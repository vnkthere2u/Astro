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Grid_12M" sheetId="3" state="visible" r:id="rId5"/>
    <sheet name="Monthly_Summary" sheetId="4" state="visible" r:id="rId6"/>
    <sheet name="Tracker" sheetId="5" state="visible" r:id="rId7"/>
    <sheet name="Daily_Composite" sheetId="6" state="visible" r:id="rId8"/>
    <sheet name="Intraday_12M" sheetId="7" state="visible" r:id="rId9"/>
    <sheet name="Short_12M" sheetId="8" state="visible" r:id="rId10"/>
    <sheet name="Long_12M" sheetId="9" state="visible" r:id="rId11"/>
    <sheet name="Intraday_Timing" sheetId="10" state="visible" r:id="rId12"/>
    <sheet name="Transit_Calendar" sheetId="11" state="visible" r:id="rId13"/>
    <sheet name="Ephemeris_12M" sheetId="12" state="visible" r:id="rId14"/>
    <sheet name="RB_Ch6_Sectors" sheetId="13" state="visible" r:id="rId15"/>
    <sheet name="RB_Ch7_Transits" sheetId="14" state="visible" r:id="rId16"/>
    <sheet name="RB_Ch8_Nakshatra" sheetId="15" state="visible" r:id="rId17"/>
    <sheet name="RB_Ch10_Hora" sheetId="16" state="visible" r:id="rId18"/>
    <sheet name="RB_Ch14_OpeningBell" sheetId="17" state="visible" r:id="rId19"/>
    <sheet name="RB_Ch4_5_Grahas_Rasis" sheetId="18" state="visible" r:id="rId20"/>
    <sheet name="Historical_Evidence" sheetId="19" state="visible" r:id="rId21"/>
    <sheet name="Source_Validation" sheetId="20" state="visible" r:id="rId22"/>
    <sheet name="Backtest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<sst xmlns="http://schemas.openxmlformats.org/spreadsheetml/2006/main" count="17118" uniqueCount="4757">
  <si>
    <t xml:space="preserve">AstroMarket Dashboard — first trading day Tuesday 27 Oct 2026</t>
  </si>
  <si>
    <t xml:space="preserve">Today = that session · Short = next 5 sessions (averaged) · Long = next 40 sessions (averaged)</t>
  </si>
  <si>
    <t xml:space="preserve">Sky</t>
  </si>
  <si>
    <t xml:space="preserve">Candra Meṣa 24°40′ · Bharaṇī · opening lagna Vṛścika 14°14′</t>
  </si>
  <si>
    <t xml:space="preserve">Business cycle</t>
  </si>
  <si>
    <t xml:space="preserve">Over-expansion &amp; boom [ACTIVE] — Śani Mīna 15°22′ R, Guru Karkaṭa 29°29′</t>
  </si>
  <si>
    <t xml:space="preserve">Book guidance</t>
  </si>
  <si>
    <t xml:space="preserve">Śani in watery rāśi aspected by Guru – euphoria; book advises booking profits and holding cash.</t>
  </si>
  <si>
    <t xml:space="preserve">Confidence = shrunk historical hit-rate of comparable calls (same target, horizon, strength). ~50% means no demonstrated edge.</t>
  </si>
  <si>
    <t xml:space="preserve">Target</t>
  </si>
  <si>
    <t xml:space="preserve">Intraday</t>
  </si>
  <si>
    <t xml:space="preserve">Short</t>
  </si>
  <si>
    <t xml:space="preserve">Long</t>
  </si>
  <si>
    <t xml:space="preserve">Composite</t>
  </si>
  <si>
    <t xml:space="preserve">Call</t>
  </si>
  <si>
    <t xml:space="preserve">Intraday conf.</t>
  </si>
  <si>
    <t xml:space="preserve">Short conf.</t>
  </si>
  <si>
    <t xml:space="preserve">Long conf.</t>
  </si>
  <si>
    <t xml:space="preserve">Nifty 50 (market)</t>
  </si>
  <si>
    <t xml:space="preserve">Agriculture &amp; agro industries</t>
  </si>
  <si>
    <t xml:space="preserve">Automobile</t>
  </si>
  <si>
    <t xml:space="preserve">Aviation</t>
  </si>
  <si>
    <t xml:space="preserve">Banking &amp; financial</t>
  </si>
  <si>
    <t xml:space="preserve">Capital goods</t>
  </si>
  <si>
    <t xml:space="preserve">Cement</t>
  </si>
  <si>
    <t xml:space="preserve">Crude oil &amp; gas</t>
  </si>
  <si>
    <t xml:space="preserve">Eatable oil</t>
  </si>
  <si>
    <t xml:space="preserve">Educational</t>
  </si>
  <si>
    <t xml:space="preserve">Essential oils &amp; perfumeries</t>
  </si>
  <si>
    <t xml:space="preserve">Exports</t>
  </si>
  <si>
    <t xml:space="preserve">FMCG</t>
  </si>
  <si>
    <t xml:space="preserve">Gems &amp; jewelry</t>
  </si>
  <si>
    <t xml:space="preserve">Health care</t>
  </si>
  <si>
    <t xml:space="preserve">Hospitality</t>
  </si>
  <si>
    <t xml:space="preserve">Infrastructure</t>
  </si>
  <si>
    <t xml:space="preserve">IT</t>
  </si>
  <si>
    <t xml:space="preserve">Leather &amp; footwear</t>
  </si>
  <si>
    <t xml:space="preserve">Media &amp; entertainment</t>
  </si>
  <si>
    <t xml:space="preserve">Metal</t>
  </si>
  <si>
    <t xml:space="preserve">Paints</t>
  </si>
  <si>
    <t xml:space="preserve">Pharmaceutical</t>
  </si>
  <si>
    <t xml:space="preserve">Power</t>
  </si>
  <si>
    <t xml:space="preserve">Publication</t>
  </si>
  <si>
    <t xml:space="preserve">Realty</t>
  </si>
  <si>
    <t xml:space="preserve">Shipping</t>
  </si>
  <si>
    <t xml:space="preserve">Sugar</t>
  </si>
  <si>
    <t xml:space="preserve">Telecommunication</t>
  </si>
  <si>
    <t xml:space="preserve">Textile</t>
  </si>
  <si>
    <t xml:space="preserve">Travel &amp; tourism</t>
  </si>
  <si>
    <t xml:space="preserve">Gov. public sector units (PSU)</t>
  </si>
  <si>
    <t xml:space="preserve">Gold</t>
  </si>
  <si>
    <t xml:space="preserve">Silver</t>
  </si>
  <si>
    <t xml:space="preserve">Crude oil</t>
  </si>
  <si>
    <t xml:space="preserve">Natural gas</t>
  </si>
  <si>
    <t xml:space="preserve">Copper</t>
  </si>
  <si>
    <t xml:space="preserve">Aluminium</t>
  </si>
  <si>
    <t xml:space="preserve">Iron &amp; steel</t>
  </si>
  <si>
    <t xml:space="preserve">Wheat / food grains</t>
  </si>
  <si>
    <t xml:space="preserve">Cotton</t>
  </si>
  <si>
    <t xml:space="preserve">Sugar (commodity)</t>
  </si>
  <si>
    <t xml:space="preserve">Intraday timing (horā, Ch.10)</t>
  </si>
  <si>
    <t xml:space="preserve">09:15–09:37 Śukra horā: SELL during — silver, copper, diamond, peppermint oil, essential oils, diamond cutting, jewelry, hospitality, hotels, tourism, media &amp; entertainment, FMCG, finance, banking, garments, sugar and agricultural sector stocks</t>
  </si>
  <si>
    <t xml:space="preserve">09:37–10:37 Budha horā: SELL during — telecommunication, FMCG, food grains, cotton, paper, newsprint, peppermint, agro products, insurance, textile, exports, aviation, IT, banking and financial, media, advertising, educational and publication sector stocks</t>
  </si>
  <si>
    <t xml:space="preserve">10:37–11:37 Candra horā: BUY before / during — crude, silver, aluminum, peppermint, eatable oils, oil &amp; gas, petroleum and shipping sector stocks</t>
  </si>
  <si>
    <t xml:space="preserve">11:37–12:37 Śani horā: SELL during — oil &amp; gas, cement, realty, infrastructure, iron &amp; steel, metal, mining, coal, agricultural products, leather &amp; footwear sector stocks</t>
  </si>
  <si>
    <t xml:space="preserve">12:37–13:37 Guru horā: BUY before / during — gold, bronze, food grains, mustard, FMCG, banking &amp; financial, insurance, eatable oils, textile, shipping, exports, gems and jewelry sector stocks</t>
  </si>
  <si>
    <t xml:space="preserve">13:37–14:37 Maṅgala horā: BUY before / during — copper, steel, metal, spices, pharmaceutical, health care, automobile, crude oil, capital goods, cement and infrastructure sector stocks</t>
  </si>
  <si>
    <t xml:space="preserve">14:37–15:30 Sūrya horā: SELL during — gold, copper, bronze as well as power and media sector stocks</t>
  </si>
  <si>
    <t xml:space="preserve">Micro-daśā windows (Ch.12)</t>
  </si>
  <si>
    <t xml:space="preserve">09:15–09:38 Śukra daśā: negative momentum (Gems &amp; jewelry, Textile, Media &amp; entertainment, Essential oils &amp; perfumeries, Health care)</t>
  </si>
  <si>
    <t xml:space="preserve">09:38–10:02 Sūrya daśā: negative momentum (Power, Media &amp; entertainment, Gov. public sector units (PSU), Gold, Copper)</t>
  </si>
  <si>
    <t xml:space="preserve">10:02–10:42 Candra daśā: positive momentum (Crude oil &amp; gas, Crude oil, Natural gas, Shipping, Silver)</t>
  </si>
  <si>
    <t xml:space="preserve">10:42–11:10 Maṅgala daśā: positive momentum (Health care, Capital goods, Automobile, Telecommunication, Pharmaceutical)</t>
  </si>
  <si>
    <t xml:space="preserve">11:10–12:22 Rāhu daśā: positive momentum (Media &amp; entertainment, Telecommunication, Power, Realty, Infrastructure)</t>
  </si>
  <si>
    <t xml:space="preserve">12:22–13:26 Guru daśā: positive momentum (Banking &amp; financial, Gems &amp; jewelry, Eatable oil, FMCG, Textile)</t>
  </si>
  <si>
    <t xml:space="preserve">13:26–14:42 Śani daśā: negative momentum (Cement, Infrastructure, Metal, Iron &amp; steel, Leather &amp; footwear)</t>
  </si>
  <si>
    <t xml:space="preserve">14:42–15:30 Budha daśā: positive momentum (Telecommunication, FMCG, Textile, IT, Educational)</t>
  </si>
  <si>
    <t xml:space="preserve">Notes</t>
  </si>
  <si>
    <t xml:space="preserve">Business-cycle regime: Over-expansion &amp; boom [ACTIVE]. Śani in watery rāśi aspected by Guru – euphoria; book advises booking profits and holding cash.</t>
  </si>
  <si>
    <t xml:space="preserve">Settings &amp; legend</t>
  </si>
  <si>
    <t xml:space="preserve">Yellow cells are inputs. Change them and every call, colour and tracker statistic in the workbook updates.</t>
  </si>
  <si>
    <t xml:space="preserve">Parameter</t>
  </si>
  <si>
    <t xml:space="preserve">Value</t>
  </si>
  <si>
    <t xml:space="preserve">Note</t>
  </si>
  <si>
    <t xml:space="preserve">Green / Red threshold (|score| above which a call is Bullish / Bearish)</t>
  </si>
  <si>
    <t xml:space="preserve">Engine default 0.15. Scores run −1 … +1.</t>
  </si>
  <si>
    <t xml:space="preserve">Overall-view weight — today</t>
  </si>
  <si>
    <t xml:space="preserve">Overall = w·today + w·next week + w·next 2 months (pre-computed in Daily_Composite with these defaults).</t>
  </si>
  <si>
    <t xml:space="preserve">Overall-view weight — next week</t>
  </si>
  <si>
    <t xml:space="preserve">Overall-view weight — next 2 months</t>
  </si>
  <si>
    <t xml:space="preserve">Workbook generated</t>
  </si>
  <si>
    <t xml:space="preserve">2026-10-26 16:31</t>
  </si>
  <si>
    <t xml:space="preserve">Re-run build_excel.py to roll forward.</t>
  </si>
  <si>
    <t xml:space="preserve">Market location / opening bell</t>
  </si>
  <si>
    <t xml:space="preserve">NSE/BSE Mumbai 09:15</t>
  </si>
  <si>
    <t xml:space="preserve">Opening-bell chart &amp; horā computed for this place.</t>
  </si>
  <si>
    <t xml:space="preserve">Legend</t>
  </si>
  <si>
    <t xml:space="preserve">Bullish (score &gt; threshold)</t>
  </si>
  <si>
    <t xml:space="preserve">Neutral (|score| ≤ threshold)</t>
  </si>
  <si>
    <t xml:space="preserve">Bearish (score &lt; −threshold)</t>
  </si>
  <si>
    <t xml:space="preserve">Input cell (blue text) — edit me</t>
  </si>
  <si>
    <t xml:space="preserve">Important</t>
  </si>
  <si>
    <t xml:space="preserve">Backtest 2012-02-21 → 2026-10-23 on NSE indices: intraday directional hit-rate 50.5% (95% CI 50.0–51.0%), short-term 50.5%, long-term 46.1% vs ~60% for a naive "always up" call. Treat outputs as an implementation of the book, not as a validated trading signal.</t>
  </si>
  <si>
    <t xml:space="preserve">Day-box grid — 12 months × all sectors &amp; commodities (daily composite)</t>
  </si>
  <si>
    <t xml:space="preserve">Each box links to Daily_Composite; green = Bullish, amber = Neutral, red = Bearish. Weekend columns shaded headers.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</si>
  <si>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</si>
  <si>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</si>
  <si>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</si>
  <si>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</si>
  <si>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</si>
  <si>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</si>
  <si>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</si>
  <si>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</si>
  <si>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</si>
  <si>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</si>
  <si>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</si>
  <si>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</si>
  <si>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</si>
  <si>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Monthly summary (formulas over Daily_Composite, trading days only)</t>
  </si>
  <si>
    <t xml:space="preserve">Month end</t>
  </si>
  <si>
    <t xml:space="preserve">Month start</t>
  </si>
  <si>
    <t xml:space="preserve">Oct-26 avg</t>
  </si>
  <si>
    <t xml:space="preserve">% Bullish</t>
  </si>
  <si>
    <t xml:space="preserve">% Bearish</t>
  </si>
  <si>
    <t xml:space="preserve">Nov-26 avg</t>
  </si>
  <si>
    <t xml:space="preserve">Dec-26 avg</t>
  </si>
  <si>
    <t xml:space="preserve">Jan-27 avg</t>
  </si>
  <si>
    <t xml:space="preserve">Feb-27 avg</t>
  </si>
  <si>
    <t xml:space="preserve">Mar-27 avg</t>
  </si>
  <si>
    <t xml:space="preserve">Apr-27 avg</t>
  </si>
  <si>
    <t xml:space="preserve">May-27 avg</t>
  </si>
  <si>
    <t xml:space="preserve">Jun-27 avg</t>
  </si>
  <si>
    <t xml:space="preserve">Jul-27 avg</t>
  </si>
  <si>
    <t xml:space="preserve">Aug-27 avg</t>
  </si>
  <si>
    <t xml:space="preserve">Sep-27 avg</t>
  </si>
  <si>
    <t xml:space="preserve">Oct-27 avg</t>
  </si>
  <si>
    <t xml:space="preserve">Prediction tracker — predicted vs actual</t>
  </si>
  <si>
    <t xml:space="preserve">Enter the realised % move (as a fraction, e.g. 0.012 = +1.2%) in the yellow column. Calls, hits and accuracy are formulas.</t>
  </si>
  <si>
    <t xml:space="preserve">Example: Nifty intraday predicted −0.42 (Bearish); actual open→close −0.6% → enter −0.006 → Hit = 1.</t>
  </si>
  <si>
    <t xml:space="preserve">Date</t>
  </si>
  <si>
    <t xml:space="preserve">Horizon</t>
  </si>
  <si>
    <t xml:space="preserve">Predicted score</t>
  </si>
  <si>
    <t xml:space="preserve">Predicted call</t>
  </si>
  <si>
    <t xml:space="preserve">Confidence</t>
  </si>
  <si>
    <t xml:space="preserve">Actual return</t>
  </si>
  <si>
    <t xml:space="preserve">Actual direction</t>
  </si>
  <si>
    <t xml:space="preserve">Hit (1/0)</t>
  </si>
  <si>
    <t xml:space="preserve">Mode</t>
  </si>
  <si>
    <t xml:space="preserve">Accuracy summary</t>
  </si>
  <si>
    <t xml:space="preserve">short</t>
  </si>
  <si>
    <t xml:space="preserve">paper</t>
  </si>
  <si>
    <t xml:space="preserve">Slice</t>
  </si>
  <si>
    <t xml:space="preserve">Hit-rate</t>
  </si>
  <si>
    <t xml:space="preserve">n</t>
  </si>
  <si>
    <t xml:space="preserve">intraday</t>
  </si>
  <si>
    <t xml:space="preserve">All settled calls</t>
  </si>
  <si>
    <t xml:space="preserve">Short-term (5 sessions)</t>
  </si>
  <si>
    <t xml:space="preserve">Bullish calls</t>
  </si>
  <si>
    <t xml:space="preserve">Bearish calls</t>
  </si>
  <si>
    <t xml:space="preserve">Benchmark: always Bullish, same rows</t>
  </si>
  <si>
    <t xml:space="preserve">Per target (all horizons)</t>
  </si>
  <si>
    <t xml:space="preserve">forward</t>
  </si>
  <si>
    <t xml:space="preserve">Daily composite score by target (engine output) — rows = calendar days</t>
  </si>
  <si>
    <t xml:space="preserve">Composite = 0.5·intraday + 0.3·short + 0.2·long. Colours follow Settings threshold.</t>
  </si>
  <si>
    <t xml:space="preserve">Trading day</t>
  </si>
  <si>
    <t xml:space="preserve">Candra rāśi</t>
  </si>
  <si>
    <t xml:space="preserve">Nakṣatra</t>
  </si>
  <si>
    <t xml:space="preserve">Lagna @open</t>
  </si>
  <si>
    <t xml:space="preserve">Regime</t>
  </si>
  <si>
    <t xml:space="preserve">Meṣa</t>
  </si>
  <si>
    <t xml:space="preserve">Bharaṇī</t>
  </si>
  <si>
    <t xml:space="preserve">Vṛścika</t>
  </si>
  <si>
    <t xml:space="preserve">Over-expansion &amp; boom [ACTIVE]</t>
  </si>
  <si>
    <t xml:space="preserve">Vṛṣabha</t>
  </si>
  <si>
    <t xml:space="preserve">Kṛttikā</t>
  </si>
  <si>
    <t xml:space="preserve">Mṛgaśīrṣā</t>
  </si>
  <si>
    <t xml:space="preserve">Mithuna</t>
  </si>
  <si>
    <t xml:space="preserve">Ārdrā</t>
  </si>
  <si>
    <t xml:space="preserve">Punarvasu</t>
  </si>
  <si>
    <t xml:space="preserve">Over-expansion &amp; boom [DORMANT]</t>
  </si>
  <si>
    <t xml:space="preserve">Karkaṭa</t>
  </si>
  <si>
    <t xml:space="preserve">Puṣya</t>
  </si>
  <si>
    <t xml:space="preserve">Aśleṣā</t>
  </si>
  <si>
    <t xml:space="preserve">Siṃha</t>
  </si>
  <si>
    <t xml:space="preserve">Maghā</t>
  </si>
  <si>
    <t xml:space="preserve">Pūrva Phālgunī</t>
  </si>
  <si>
    <t xml:space="preserve">Kanyā</t>
  </si>
  <si>
    <t xml:space="preserve">Uttara Phālgunī</t>
  </si>
  <si>
    <t xml:space="preserve">Hasta</t>
  </si>
  <si>
    <t xml:space="preserve">Citrā</t>
  </si>
  <si>
    <t xml:space="preserve">Tulā</t>
  </si>
  <si>
    <t xml:space="preserve">Svāti</t>
  </si>
  <si>
    <t xml:space="preserve">Viśākhā</t>
  </si>
  <si>
    <t xml:space="preserve">Anurādhā</t>
  </si>
  <si>
    <t xml:space="preserve">Jyeṣṭha</t>
  </si>
  <si>
    <t xml:space="preserve">Dhanus</t>
  </si>
  <si>
    <t xml:space="preserve">Mūla</t>
  </si>
  <si>
    <t xml:space="preserve">Pūrva Aṣāḍha</t>
  </si>
  <si>
    <t xml:space="preserve">Makara</t>
  </si>
  <si>
    <t xml:space="preserve">Uttara Aṣāḍha</t>
  </si>
  <si>
    <t xml:space="preserve">Śravaṇa</t>
  </si>
  <si>
    <t xml:space="preserve">Dhaniṣṭhā</t>
  </si>
  <si>
    <t xml:space="preserve">Kumbha</t>
  </si>
  <si>
    <t xml:space="preserve">Śatabhiṣak</t>
  </si>
  <si>
    <t xml:space="preserve">Pūrva Bhādra</t>
  </si>
  <si>
    <t xml:space="preserve">Mīna</t>
  </si>
  <si>
    <t xml:space="preserve">Uttara Bhādra</t>
  </si>
  <si>
    <t xml:space="preserve">Revatī</t>
  </si>
  <si>
    <t xml:space="preserve">Aśvinī</t>
  </si>
  <si>
    <t xml:space="preserve">Rohiṇī</t>
  </si>
  <si>
    <t xml:space="preserve">Over-expansion &amp; boom [TRIGGERED]</t>
  </si>
  <si>
    <t xml:space="preserve">Recession [DORMANT]</t>
  </si>
  <si>
    <t xml:space="preserve">Recession [TRIGGERED]</t>
  </si>
  <si>
    <t xml:space="preserve">Recession [ACTIVE]</t>
  </si>
  <si>
    <t xml:space="preserve">Intraday score by target — rows = calendar days</t>
  </si>
  <si>
    <t xml:space="preserve">Engine output. Colours follow Settings threshold.</t>
  </si>
  <si>
    <t xml:space="preserve">Short-term (days–weeks) score by target — rows = calendar days</t>
  </si>
  <si>
    <t xml:space="preserve">Long-term (months) score by target — rows = calendar days</t>
  </si>
  <si>
    <t xml:space="preserve">Horā (Ch.10) &amp; micro-daśā (Ch.12) windows — next 22 trading days</t>
  </si>
  <si>
    <t xml:space="preserve">Signal: BUY before/during = lord favourably aspected; SELL during = afflicted.</t>
  </si>
  <si>
    <t xml:space="preserve">Type</t>
  </si>
  <si>
    <t xml:space="preserve">From</t>
  </si>
  <si>
    <t xml:space="preserve">To</t>
  </si>
  <si>
    <t xml:space="preserve">Lord</t>
  </si>
  <si>
    <t xml:space="preserve">Net aspect</t>
  </si>
  <si>
    <t xml:space="preserve">Signal</t>
  </si>
  <si>
    <t xml:space="preserve">Sectors / commodities</t>
  </si>
  <si>
    <t xml:space="preserve">Horā</t>
  </si>
  <si>
    <t xml:space="preserve">09:15</t>
  </si>
  <si>
    <t xml:space="preserve">09:37</t>
  </si>
  <si>
    <t xml:space="preserve">Śukra</t>
  </si>
  <si>
    <t xml:space="preserve">SELL during</t>
  </si>
  <si>
    <t xml:space="preserve">silver, copper, diamond, peppermint oil, essential oils, diamond cutting, jewelry, hospitality, hotels, tourism, media &amp; entertainment, FMCG, finance, banking, garments, sugar and agricultural sector stocks</t>
  </si>
  <si>
    <t xml:space="preserve">10:37</t>
  </si>
  <si>
    <t xml:space="preserve">Budha</t>
  </si>
  <si>
    <t xml:space="preserve">telecommunication, FMCG, food grains, cotton, paper, newsprint, peppermint, agro products, insurance, textile, exports, aviation, IT, banking and financial, media, advertising, educational and publication sector stocks</t>
  </si>
  <si>
    <t xml:space="preserve">11:37</t>
  </si>
  <si>
    <t xml:space="preserve">Candra</t>
  </si>
  <si>
    <t xml:space="preserve">BUY before / during</t>
  </si>
  <si>
    <t xml:space="preserve">crude, silver, aluminum, peppermint, eatable oils, oil &amp; gas, petroleum and shipping sector stocks</t>
  </si>
  <si>
    <t xml:space="preserve">12:37</t>
  </si>
  <si>
    <t xml:space="preserve">Śani</t>
  </si>
  <si>
    <t xml:space="preserve">oil &amp; gas, cement, realty, infrastructure, iron &amp; steel, metal, mining, coal, agricultural products, leather &amp; footwear sector stocks</t>
  </si>
  <si>
    <t xml:space="preserve">13:37</t>
  </si>
  <si>
    <t xml:space="preserve">Guru</t>
  </si>
  <si>
    <t xml:space="preserve">gold, bronze, food grains, mustard, FMCG, banking &amp; financial, insurance, eatable oils, textile, shipping, exports, gems and jewelry sector stocks</t>
  </si>
  <si>
    <t xml:space="preserve">14:37</t>
  </si>
  <si>
    <t xml:space="preserve">Maṅgala</t>
  </si>
  <si>
    <t xml:space="preserve">copper, steel, metal, spices, pharmaceutical, health care, automobile, crude oil, capital goods, cement and infrastructure sector stocks</t>
  </si>
  <si>
    <t xml:space="preserve">15:30</t>
  </si>
  <si>
    <t xml:space="preserve">Sūrya</t>
  </si>
  <si>
    <t xml:space="preserve">gold, copper, bronze as well as power and media sector stocks</t>
  </si>
  <si>
    <t xml:space="preserve">Daśā</t>
  </si>
  <si>
    <t xml:space="preserve">09:38</t>
  </si>
  <si>
    <t xml:space="preserve">negative momentum</t>
  </si>
  <si>
    <t xml:space="preserve">Gems &amp; jewelry, Textile, Media &amp; entertainment, Essential oils &amp; perfumeries, Health care, Hospitality, Travel &amp; tourism, FMCG, Banking &amp; financial, Sugar, Sugar (commodity), Agriculture &amp; agro industries, Silver, Copper</t>
  </si>
  <si>
    <t xml:space="preserve">10:02</t>
  </si>
  <si>
    <t xml:space="preserve">Power, Media &amp; entertainment, Gov. public sector units (PSU), Gold, Copper, Wheat / food grains</t>
  </si>
  <si>
    <t xml:space="preserve">10:42</t>
  </si>
  <si>
    <t xml:space="preserve">positive momentum</t>
  </si>
  <si>
    <t xml:space="preserve">Crude oil &amp; gas, Crude oil, Natural gas, Shipping, Silver, Aluminium</t>
  </si>
  <si>
    <t xml:space="preserve">11:10</t>
  </si>
  <si>
    <t xml:space="preserve">Health care, Capital goods, Automobile, Telecommunication, Pharmaceutical, Cement, Infrastructure, Metal, Iron &amp; steel, Copper, Iron &amp; steel, Crude oil</t>
  </si>
  <si>
    <t xml:space="preserve">12:22</t>
  </si>
  <si>
    <t xml:space="preserve">Rāhu</t>
  </si>
  <si>
    <t xml:space="preserve">Media &amp; entertainment, Telecommunication, Power, Realty, Infrastructure, Cement, Metal, Iron &amp; steel</t>
  </si>
  <si>
    <t xml:space="preserve">13:26</t>
  </si>
  <si>
    <t xml:space="preserve">Banking &amp; financial, Gems &amp; jewelry, Eatable oil, FMCG, Textile, Shipping, Exports, Gold, Copper, Wheat / food grains</t>
  </si>
  <si>
    <t xml:space="preserve">14:42</t>
  </si>
  <si>
    <t xml:space="preserve">Cement, Infrastructure, Metal, Iron &amp; steel, Leather &amp; footwear, Crude oil &amp; gas, Crude oil, Natural gas, Realty, Agriculture &amp; agro industries, Iron &amp; steel, Crude oil</t>
  </si>
  <si>
    <t xml:space="preserve">Telecommunication, FMCG, Textile, IT, Educational, Banking &amp; financial, Publication, Aviation, Wheat / food grains, Cotton</t>
  </si>
  <si>
    <t xml:space="preserve">10:38</t>
  </si>
  <si>
    <t xml:space="preserve">11:38</t>
  </si>
  <si>
    <t xml:space="preserve">12:38</t>
  </si>
  <si>
    <t xml:space="preserve">13:38</t>
  </si>
  <si>
    <t xml:space="preserve">14:38</t>
  </si>
  <si>
    <t xml:space="preserve">09:19</t>
  </si>
  <si>
    <t xml:space="preserve">09:59</t>
  </si>
  <si>
    <t xml:space="preserve">10:27</t>
  </si>
  <si>
    <t xml:space="preserve">11:39</t>
  </si>
  <si>
    <t xml:space="preserve">12:43</t>
  </si>
  <si>
    <t xml:space="preserve">13:59</t>
  </si>
  <si>
    <t xml:space="preserve">15:07</t>
  </si>
  <si>
    <t xml:space="preserve">Ketu</t>
  </si>
  <si>
    <t xml:space="preserve">mixed</t>
  </si>
  <si>
    <t xml:space="preserve">Power, IT, Leather &amp; footwear, Crude oil &amp; gas, Crude oil, Natural gas, Pharmaceutical, Metal, Realty, Infrastructure, Automobile, Telecommunication, Crude oil, Copper, Iron &amp; steel</t>
  </si>
  <si>
    <t xml:space="preserve">09:18</t>
  </si>
  <si>
    <t xml:space="preserve">09:46</t>
  </si>
  <si>
    <t xml:space="preserve">10:58</t>
  </si>
  <si>
    <t xml:space="preserve">12:02</t>
  </si>
  <si>
    <t xml:space="preserve">13:18</t>
  </si>
  <si>
    <t xml:space="preserve">14:26</t>
  </si>
  <si>
    <t xml:space="preserve">14:54</t>
  </si>
  <si>
    <t xml:space="preserve">09:39</t>
  </si>
  <si>
    <t xml:space="preserve">neutral</t>
  </si>
  <si>
    <t xml:space="preserve">10:39</t>
  </si>
  <si>
    <t xml:space="preserve">12:39</t>
  </si>
  <si>
    <t xml:space="preserve">13:39</t>
  </si>
  <si>
    <t xml:space="preserve">14:39</t>
  </si>
  <si>
    <t xml:space="preserve">10:26</t>
  </si>
  <si>
    <t xml:space="preserve">11:30</t>
  </si>
  <si>
    <t xml:space="preserve">12:46</t>
  </si>
  <si>
    <t xml:space="preserve">13:54</t>
  </si>
  <si>
    <t xml:space="preserve">14:22</t>
  </si>
  <si>
    <t xml:space="preserve">09:40</t>
  </si>
  <si>
    <t xml:space="preserve">10:40</t>
  </si>
  <si>
    <t xml:space="preserve">11:40</t>
  </si>
  <si>
    <t xml:space="preserve">12:40</t>
  </si>
  <si>
    <t xml:space="preserve">13:40</t>
  </si>
  <si>
    <t xml:space="preserve">14:40</t>
  </si>
  <si>
    <t xml:space="preserve">10:09</t>
  </si>
  <si>
    <t xml:space="preserve">11:57</t>
  </si>
  <si>
    <t xml:space="preserve">12:21</t>
  </si>
  <si>
    <t xml:space="preserve">13:01</t>
  </si>
  <si>
    <t xml:space="preserve">13:29</t>
  </si>
  <si>
    <t xml:space="preserve">14:41</t>
  </si>
  <si>
    <t xml:space="preserve">09:36</t>
  </si>
  <si>
    <t xml:space="preserve">10:56</t>
  </si>
  <si>
    <t xml:space="preserve">11:20</t>
  </si>
  <si>
    <t xml:space="preserve">12:00</t>
  </si>
  <si>
    <t xml:space="preserve">12:28</t>
  </si>
  <si>
    <t xml:space="preserve">14:44</t>
  </si>
  <si>
    <t xml:space="preserve">09:41</t>
  </si>
  <si>
    <t xml:space="preserve">10:41</t>
  </si>
  <si>
    <t xml:space="preserve">11:41</t>
  </si>
  <si>
    <t xml:space="preserve">12:41</t>
  </si>
  <si>
    <t xml:space="preserve">13:41</t>
  </si>
  <si>
    <t xml:space="preserve">10:15</t>
  </si>
  <si>
    <t xml:space="preserve">11:19</t>
  </si>
  <si>
    <t xml:space="preserve">11:47</t>
  </si>
  <si>
    <t xml:space="preserve">12:59</t>
  </si>
  <si>
    <t xml:space="preserve">14:03</t>
  </si>
  <si>
    <t xml:space="preserve">15:19</t>
  </si>
  <si>
    <t xml:space="preserve">09:33</t>
  </si>
  <si>
    <t xml:space="preserve">10:13</t>
  </si>
  <si>
    <t xml:space="preserve">11:53</t>
  </si>
  <si>
    <t xml:space="preserve">12:57</t>
  </si>
  <si>
    <t xml:space="preserve">14:13</t>
  </si>
  <si>
    <t xml:space="preserve">15:21</t>
  </si>
  <si>
    <t xml:space="preserve">09:42</t>
  </si>
  <si>
    <t xml:space="preserve">11:42</t>
  </si>
  <si>
    <t xml:space="preserve">12:42</t>
  </si>
  <si>
    <t xml:space="preserve">13:42</t>
  </si>
  <si>
    <t xml:space="preserve">10:14</t>
  </si>
  <si>
    <t xml:space="preserve">11:26</t>
  </si>
  <si>
    <t xml:space="preserve">12:30</t>
  </si>
  <si>
    <t xml:space="preserve">13:46</t>
  </si>
  <si>
    <t xml:space="preserve">15:22</t>
  </si>
  <si>
    <t xml:space="preserve">09:43</t>
  </si>
  <si>
    <t xml:space="preserve">10:43</t>
  </si>
  <si>
    <t xml:space="preserve">11:43</t>
  </si>
  <si>
    <t xml:space="preserve">13:43</t>
  </si>
  <si>
    <t xml:space="preserve">14:43</t>
  </si>
  <si>
    <t xml:space="preserve">13:06</t>
  </si>
  <si>
    <t xml:space="preserve">14:50</t>
  </si>
  <si>
    <t xml:space="preserve">09:44</t>
  </si>
  <si>
    <t xml:space="preserve">10:44</t>
  </si>
  <si>
    <t xml:space="preserve">11:44</t>
  </si>
  <si>
    <t xml:space="preserve">12:44</t>
  </si>
  <si>
    <t xml:space="preserve">13:44</t>
  </si>
  <si>
    <t xml:space="preserve">10:31</t>
  </si>
  <si>
    <t xml:space="preserve">12:07</t>
  </si>
  <si>
    <t xml:space="preserve">13:27</t>
  </si>
  <si>
    <t xml:space="preserve">13:51</t>
  </si>
  <si>
    <t xml:space="preserve">14:31</t>
  </si>
  <si>
    <t xml:space="preserve">14:59</t>
  </si>
  <si>
    <t xml:space="preserve">09:21</t>
  </si>
  <si>
    <t xml:space="preserve">10:29</t>
  </si>
  <si>
    <t xml:space="preserve">10:57</t>
  </si>
  <si>
    <t xml:space="preserve">12:17</t>
  </si>
  <si>
    <t xml:space="preserve">13:21</t>
  </si>
  <si>
    <t xml:space="preserve">13:49</t>
  </si>
  <si>
    <t xml:space="preserve">15:01</t>
  </si>
  <si>
    <t xml:space="preserve">09:45</t>
  </si>
  <si>
    <t xml:space="preserve">10:45</t>
  </si>
  <si>
    <t xml:space="preserve">11:45</t>
  </si>
  <si>
    <t xml:space="preserve">12:45</t>
  </si>
  <si>
    <t xml:space="preserve">13:45</t>
  </si>
  <si>
    <t xml:space="preserve">14:45</t>
  </si>
  <si>
    <t xml:space="preserve">09:27</t>
  </si>
  <si>
    <t xml:space="preserve">09:55</t>
  </si>
  <si>
    <t xml:space="preserve">11:15</t>
  </si>
  <si>
    <t xml:space="preserve">12:19</t>
  </si>
  <si>
    <t xml:space="preserve">12:47</t>
  </si>
  <si>
    <t xml:space="preserve">15:03</t>
  </si>
  <si>
    <t xml:space="preserve">09:23</t>
  </si>
  <si>
    <t xml:space="preserve">11:07</t>
  </si>
  <si>
    <t xml:space="preserve">12:15</t>
  </si>
  <si>
    <t xml:space="preserve">09:47</t>
  </si>
  <si>
    <t xml:space="preserve">10:47</t>
  </si>
  <si>
    <t xml:space="preserve">13:47</t>
  </si>
  <si>
    <t xml:space="preserve">14:47</t>
  </si>
  <si>
    <t xml:space="preserve">10:08</t>
  </si>
  <si>
    <t xml:space="preserve">12:24</t>
  </si>
  <si>
    <t xml:space="preserve">14:48</t>
  </si>
  <si>
    <t xml:space="preserve">15:16</t>
  </si>
  <si>
    <t xml:space="preserve">09:48</t>
  </si>
  <si>
    <t xml:space="preserve">10:48</t>
  </si>
  <si>
    <t xml:space="preserve">11:48</t>
  </si>
  <si>
    <t xml:space="preserve">12:48</t>
  </si>
  <si>
    <t xml:space="preserve">13:48</t>
  </si>
  <si>
    <t xml:space="preserve">09:35</t>
  </si>
  <si>
    <t xml:space="preserve">11:51</t>
  </si>
  <si>
    <t xml:space="preserve">13:07</t>
  </si>
  <si>
    <t xml:space="preserve">14:15</t>
  </si>
  <si>
    <t xml:space="preserve">11:18</t>
  </si>
  <si>
    <t xml:space="preserve">12:34</t>
  </si>
  <si>
    <t xml:space="preserve">14:10</t>
  </si>
  <si>
    <t xml:space="preserve">09:49</t>
  </si>
  <si>
    <t xml:space="preserve">10:49</t>
  </si>
  <si>
    <t xml:space="preserve">11:49</t>
  </si>
  <si>
    <t xml:space="preserve">12:49</t>
  </si>
  <si>
    <t xml:space="preserve">14:49</t>
  </si>
  <si>
    <t xml:space="preserve">10:11</t>
  </si>
  <si>
    <t xml:space="preserve">11:27</t>
  </si>
  <si>
    <t xml:space="preserve">12:35</t>
  </si>
  <si>
    <t xml:space="preserve">13:03</t>
  </si>
  <si>
    <t xml:space="preserve">14:23</t>
  </si>
  <si>
    <t xml:space="preserve">15:27</t>
  </si>
  <si>
    <t xml:space="preserve">10:23</t>
  </si>
  <si>
    <t xml:space="preserve">11:31</t>
  </si>
  <si>
    <t xml:space="preserve">11:59</t>
  </si>
  <si>
    <t xml:space="preserve">13:19</t>
  </si>
  <si>
    <t xml:space="preserve">14:51</t>
  </si>
  <si>
    <t xml:space="preserve">09:51</t>
  </si>
  <si>
    <t xml:space="preserve">10:51</t>
  </si>
  <si>
    <t xml:space="preserve">12:51</t>
  </si>
  <si>
    <t xml:space="preserve">10:16</t>
  </si>
  <si>
    <t xml:space="preserve">13:00</t>
  </si>
  <si>
    <t xml:space="preserve">14:04</t>
  </si>
  <si>
    <t xml:space="preserve">15:20</t>
  </si>
  <si>
    <t xml:space="preserve">09:52</t>
  </si>
  <si>
    <t xml:space="preserve">10:52</t>
  </si>
  <si>
    <t xml:space="preserve">11:52</t>
  </si>
  <si>
    <t xml:space="preserve">12:52</t>
  </si>
  <si>
    <t xml:space="preserve">13:52</t>
  </si>
  <si>
    <t xml:space="preserve">14:52</t>
  </si>
  <si>
    <t xml:space="preserve">09:30</t>
  </si>
  <si>
    <t xml:space="preserve">10:10</t>
  </si>
  <si>
    <t xml:space="preserve">11:50</t>
  </si>
  <si>
    <t xml:space="preserve">12:54</t>
  </si>
  <si>
    <t xml:space="preserve">15:18</t>
  </si>
  <si>
    <t xml:space="preserve">10:04</t>
  </si>
  <si>
    <t xml:space="preserve">11:16</t>
  </si>
  <si>
    <t xml:space="preserve">12:20</t>
  </si>
  <si>
    <t xml:space="preserve">13:36</t>
  </si>
  <si>
    <t xml:space="preserve">15:12</t>
  </si>
  <si>
    <t xml:space="preserve">Transit calendar — ingresses, stations, eclipses (next 12 months)</t>
  </si>
  <si>
    <t xml:space="preserve">Event</t>
  </si>
  <si>
    <t xml:space="preserve">Book chapter relevance</t>
  </si>
  <si>
    <t xml:space="preserve">Business-cycle regime → Over-expansion &amp; boom [ACTIVE]</t>
  </si>
  <si>
    <t xml:space="preserve">Ch.16</t>
  </si>
  <si>
    <t xml:space="preserve">Business-cycle regime → Over-expansion &amp; boom [DORMANT (no Guru aspect)]</t>
  </si>
  <si>
    <t xml:space="preserve">Guru enters Siṃha (from Karkaṭa)</t>
  </si>
  <si>
    <t xml:space="preserve">Ch.7 transit table; Ch.6 trigger rāśi</t>
  </si>
  <si>
    <t xml:space="preserve">Śukra enters Kanyā (from Tulā)</t>
  </si>
  <si>
    <t xml:space="preserve">Ch.7 transit table</t>
  </si>
  <si>
    <t xml:space="preserve">Maṅgala enters Siṃha (from Karkaṭa)</t>
  </si>
  <si>
    <t xml:space="preserve">Budha turns direct</t>
  </si>
  <si>
    <t xml:space="preserve">Ch.7 rules 5-6 (retrograde intensifies)</t>
  </si>
  <si>
    <t xml:space="preserve">Śukra turns direct</t>
  </si>
  <si>
    <t xml:space="preserve">Sūrya enters Vṛścika (from Tulā)</t>
  </si>
  <si>
    <t xml:space="preserve">Śukra enters Tulā (from Kanyā)</t>
  </si>
  <si>
    <t xml:space="preserve">Rāhu enters Makara (from Kumbha)</t>
  </si>
  <si>
    <t xml:space="preserve">Budha enters Vṛścika (from Tulā)</t>
  </si>
  <si>
    <t xml:space="preserve">Śani turns direct</t>
  </si>
  <si>
    <t xml:space="preserve">Guru turns retrograde</t>
  </si>
  <si>
    <t xml:space="preserve">Neptune turns direct</t>
  </si>
  <si>
    <t xml:space="preserve">Sūrya enters Dhanus (from Vṛścika)</t>
  </si>
  <si>
    <t xml:space="preserve">Budha enters Dhanus (from Vṛścika)</t>
  </si>
  <si>
    <t xml:space="preserve">Śukra enters Vṛścika (from Tulā)</t>
  </si>
  <si>
    <t xml:space="preserve">Budha enters Makara (from Dhanus)</t>
  </si>
  <si>
    <t xml:space="preserve">Maṅgala turns retrograde</t>
  </si>
  <si>
    <t xml:space="preserve">Sūrya enters Makara (from Dhanus)</t>
  </si>
  <si>
    <t xml:space="preserve">Guru enters Karkaṭa (from Siṃha)</t>
  </si>
  <si>
    <t xml:space="preserve">Budha enters Kumbha (from Makara)</t>
  </si>
  <si>
    <t xml:space="preserve">Śukra enters Dhanus (from Vṛścika)</t>
  </si>
  <si>
    <t xml:space="preserve">Solar eclipse</t>
  </si>
  <si>
    <t xml:space="preserve">Ch.7 rules 9-10; Ch.15 eclipse cycle</t>
  </si>
  <si>
    <t xml:space="preserve">Uranus turns direct</t>
  </si>
  <si>
    <t xml:space="preserve">Budha turns retrograde</t>
  </si>
  <si>
    <t xml:space="preserve">Sūrya enters Kumbha (from Makara)</t>
  </si>
  <si>
    <t xml:space="preserve">Lunar eclipse</t>
  </si>
  <si>
    <t xml:space="preserve">Budha enters Makara (from Kumbha)</t>
  </si>
  <si>
    <t xml:space="preserve">Śukra enters Makara (from Dhanus)</t>
  </si>
  <si>
    <t xml:space="preserve">Maṅgala enters Karkaṭa (from Siṃha)</t>
  </si>
  <si>
    <t xml:space="preserve">Sūrya enters Mīna (from Kumbha)</t>
  </si>
  <si>
    <t xml:space="preserve">Business-cycle regime → Over-expansion &amp; boom [TRIGGERED]</t>
  </si>
  <si>
    <t xml:space="preserve">Śukra enters Kumbha (from Makara)</t>
  </si>
  <si>
    <t xml:space="preserve">Maṅgala turns direct</t>
  </si>
  <si>
    <t xml:space="preserve">Budha enters Mīna (from Kumbha)</t>
  </si>
  <si>
    <t xml:space="preserve">Guru turns direct</t>
  </si>
  <si>
    <t xml:space="preserve">Sūrya enters Meṣa (from Mīna)</t>
  </si>
  <si>
    <t xml:space="preserve">Śukra enters Mīna (from Kumbha)</t>
  </si>
  <si>
    <t xml:space="preserve">Budha enters Meṣa (from Mīna)</t>
  </si>
  <si>
    <t xml:space="preserve">Budha enters Vṛṣabha (from Meṣa)</t>
  </si>
  <si>
    <t xml:space="preserve">Pluto turns retrograde</t>
  </si>
  <si>
    <t xml:space="preserve">Śukra enters Meṣa (from Mīna)</t>
  </si>
  <si>
    <t xml:space="preserve">Sūrya enters Vṛṣabha (from Meṣa)</t>
  </si>
  <si>
    <t xml:space="preserve">Budha enters Mithuna (from Vṛṣabha)</t>
  </si>
  <si>
    <t xml:space="preserve">Śani enters Meṣa (from Mīna)</t>
  </si>
  <si>
    <t xml:space="preserve">Business-cycle regime → Recession [DORMANT (no Guru aspect)]</t>
  </si>
  <si>
    <t xml:space="preserve">Śukra enters Vṛṣabha (from Meṣa)</t>
  </si>
  <si>
    <t xml:space="preserve">Business-cycle regime → Recession [TRIGGERED]</t>
  </si>
  <si>
    <t xml:space="preserve">Sūrya enters Mithuna (from Vṛṣabha)</t>
  </si>
  <si>
    <t xml:space="preserve">Śukra enters Mithuna (from Vṛṣabha)</t>
  </si>
  <si>
    <t xml:space="preserve">Maṅgala enters Kanyā (from Siṃha)</t>
  </si>
  <si>
    <t xml:space="preserve">Neptune turns retrograde</t>
  </si>
  <si>
    <t xml:space="preserve">Sūrya enters Karkaṭa (from Mithuna)</t>
  </si>
  <si>
    <t xml:space="preserve">Śukra enters Karkaṭa (from Mithuna)</t>
  </si>
  <si>
    <t xml:space="preserve">Budha enters Karkaṭa (from Mithuna)</t>
  </si>
  <si>
    <t xml:space="preserve">Business-cycle regime → Recession [ACTIVE]</t>
  </si>
  <si>
    <t xml:space="preserve">Śani turns retrograde</t>
  </si>
  <si>
    <t xml:space="preserve">Budha enters Siṃha (from Karkaṭa)</t>
  </si>
  <si>
    <t xml:space="preserve">Śukra enters Siṃha (from Karkaṭa)</t>
  </si>
  <si>
    <t xml:space="preserve">Sūrya enters Siṃha (from Karkaṭa)</t>
  </si>
  <si>
    <t xml:space="preserve">Maṅgala enters Tulā (from Kanyā)</t>
  </si>
  <si>
    <t xml:space="preserve">Budha enters Kanyā (from Siṃha)</t>
  </si>
  <si>
    <t xml:space="preserve">Śukra enters Kanyā (from Siṃha)</t>
  </si>
  <si>
    <t xml:space="preserve">Uranus turns retrograde</t>
  </si>
  <si>
    <t xml:space="preserve">Sūrya enters Kanyā (from Siṃha)</t>
  </si>
  <si>
    <t xml:space="preserve">Budha enters Tulā (from Kanyā)</t>
  </si>
  <si>
    <t xml:space="preserve">Maṅgala enters Vṛścika (from Tulā)</t>
  </si>
  <si>
    <t xml:space="preserve">Sūrya enters Tulā (from Kanyā)</t>
  </si>
  <si>
    <t xml:space="preserve">Pluto turns direct</t>
  </si>
  <si>
    <t xml:space="preserve">Śani enters Mīna (from Meṣa)</t>
  </si>
  <si>
    <t xml:space="preserve">Budha enters Kanyā (from Tulā)</t>
  </si>
  <si>
    <t xml:space="preserve">Sidereal ephemeris (Lahiri, true node) at mid-session IST</t>
  </si>
  <si>
    <t xml:space="preserve">Source: Swiss Ephemeris via pyswisseph. R = retrograde.</t>
  </si>
  <si>
    <t xml:space="preserve">Uranus</t>
  </si>
  <si>
    <t xml:space="preserve">Neptune</t>
  </si>
  <si>
    <t xml:space="preserve">Pluto</t>
  </si>
  <si>
    <t xml:space="preserve">Candra nakṣatra</t>
  </si>
  <si>
    <t xml:space="preserve">Tithi</t>
  </si>
  <si>
    <t xml:space="preserve">Tulā 09°38′</t>
  </si>
  <si>
    <t xml:space="preserve">Meṣa 24°40′</t>
  </si>
  <si>
    <t xml:space="preserve">Karkaṭa 21°59′</t>
  </si>
  <si>
    <t xml:space="preserve">Tulā 26°07′ R</t>
  </si>
  <si>
    <t xml:space="preserve">Karkaṭa 29°29′</t>
  </si>
  <si>
    <t xml:space="preserve">Tulā 04°37′ R</t>
  </si>
  <si>
    <t xml:space="preserve">Mīna 15°22′ R</t>
  </si>
  <si>
    <t xml:space="preserve">Kumbha 03°13′</t>
  </si>
  <si>
    <t xml:space="preserve">Siṃha 03°13′</t>
  </si>
  <si>
    <t xml:space="preserve">Vṛṣabha 10°36′ R</t>
  </si>
  <si>
    <t xml:space="preserve">Mīna 07°57′ R</t>
  </si>
  <si>
    <t xml:space="preserve">Makara 08°52′</t>
  </si>
  <si>
    <t xml:space="preserve">Tulā 10°38′</t>
  </si>
  <si>
    <t xml:space="preserve">Vṛṣabha 09°21′</t>
  </si>
  <si>
    <t xml:space="preserve">Karkaṭa 22°30′</t>
  </si>
  <si>
    <t xml:space="preserve">Tulā 25°37′ R</t>
  </si>
  <si>
    <t xml:space="preserve">Karkaṭa 29°37′</t>
  </si>
  <si>
    <t xml:space="preserve">Tulā 04°02′ R</t>
  </si>
  <si>
    <t xml:space="preserve">Mīna 15°18′ R</t>
  </si>
  <si>
    <t xml:space="preserve">Kumbha 03°03′</t>
  </si>
  <si>
    <t xml:space="preserve">Siṃha 03°03′</t>
  </si>
  <si>
    <t xml:space="preserve">Vṛṣabha 10°34′ R</t>
  </si>
  <si>
    <t xml:space="preserve">Mīna 07°56′ R</t>
  </si>
  <si>
    <t xml:space="preserve">Tulā 11°38′</t>
  </si>
  <si>
    <t xml:space="preserve">Vṛṣabha 24°03′</t>
  </si>
  <si>
    <t xml:space="preserve">Karkaṭa 23°01′</t>
  </si>
  <si>
    <t xml:space="preserve">Tulā 24°57′ R</t>
  </si>
  <si>
    <t xml:space="preserve">Karkaṭa 29°45′</t>
  </si>
  <si>
    <t xml:space="preserve">Tulā 03°27′ R</t>
  </si>
  <si>
    <t xml:space="preserve">Mīna 15°14′ R</t>
  </si>
  <si>
    <t xml:space="preserve">Kumbha 02°54′</t>
  </si>
  <si>
    <t xml:space="preserve">Siṃha 02°54′</t>
  </si>
  <si>
    <t xml:space="preserve">Vṛṣabha 10°32′ R</t>
  </si>
  <si>
    <t xml:space="preserve">Mīna 07°54′ R</t>
  </si>
  <si>
    <t xml:space="preserve">Makara 08°53′</t>
  </si>
  <si>
    <t xml:space="preserve">Tulā 12°38′</t>
  </si>
  <si>
    <t xml:space="preserve">Mithuna 08°40′</t>
  </si>
  <si>
    <t xml:space="preserve">Karkaṭa 23°31′</t>
  </si>
  <si>
    <t xml:space="preserve">Tulā 24°08′ R</t>
  </si>
  <si>
    <t xml:space="preserve">Karkaṭa 29°53′</t>
  </si>
  <si>
    <t xml:space="preserve">Tulā 02°54′ R</t>
  </si>
  <si>
    <t xml:space="preserve">Mīna 15°10′ R</t>
  </si>
  <si>
    <t xml:space="preserve">Kumbha 02°48′</t>
  </si>
  <si>
    <t xml:space="preserve">Siṃha 02°48′</t>
  </si>
  <si>
    <t xml:space="preserve">Vṛṣabha 10°30′ R</t>
  </si>
  <si>
    <t xml:space="preserve">Mīna 07°53′ R</t>
  </si>
  <si>
    <t xml:space="preserve">Tulā 13°38′</t>
  </si>
  <si>
    <t xml:space="preserve">Mithuna 23°05′</t>
  </si>
  <si>
    <t xml:space="preserve">Karkaṭa 24°02′</t>
  </si>
  <si>
    <t xml:space="preserve">Tulā 23°11′ R</t>
  </si>
  <si>
    <t xml:space="preserve">Siṃha 00°00′</t>
  </si>
  <si>
    <t xml:space="preserve">Tulā 02°22′ R</t>
  </si>
  <si>
    <t xml:space="preserve">Mīna 15°06′ R</t>
  </si>
  <si>
    <t xml:space="preserve">Kumbha 02°44′</t>
  </si>
  <si>
    <t xml:space="preserve">Siṃha 02°44′</t>
  </si>
  <si>
    <t xml:space="preserve">Vṛṣabha 10°28′ R</t>
  </si>
  <si>
    <t xml:space="preserve">Mīna 07°52′ R</t>
  </si>
  <si>
    <t xml:space="preserve">Tulā 14°38′</t>
  </si>
  <si>
    <t xml:space="preserve">Karkaṭa 07°16′</t>
  </si>
  <si>
    <t xml:space="preserve">Karkaṭa 24°32′</t>
  </si>
  <si>
    <t xml:space="preserve">Tulā 22°06′ R</t>
  </si>
  <si>
    <t xml:space="preserve">Siṃha 00°07′</t>
  </si>
  <si>
    <t xml:space="preserve">Tulā 01°52′ R</t>
  </si>
  <si>
    <t xml:space="preserve">Mīna 15°02′ R</t>
  </si>
  <si>
    <t xml:space="preserve">Kumbha 02°42′</t>
  </si>
  <si>
    <t xml:space="preserve">Siṃha 02°42′</t>
  </si>
  <si>
    <t xml:space="preserve">Vṛṣabha 10°26′ R</t>
  </si>
  <si>
    <t xml:space="preserve">Mīna 07°51′ R</t>
  </si>
  <si>
    <t xml:space="preserve">Makara 08°54′</t>
  </si>
  <si>
    <t xml:space="preserve">Tulā 15°38′</t>
  </si>
  <si>
    <t xml:space="preserve">Karkaṭa 21°12′</t>
  </si>
  <si>
    <t xml:space="preserve">Karkaṭa 25°02′</t>
  </si>
  <si>
    <t xml:space="preserve">Tulā 20°55′ R</t>
  </si>
  <si>
    <t xml:space="preserve">Siṃha 00°15′</t>
  </si>
  <si>
    <t xml:space="preserve">Tulā 01°24′ R</t>
  </si>
  <si>
    <t xml:space="preserve">Mīna 14°58′ R</t>
  </si>
  <si>
    <t xml:space="preserve">Vṛṣabha 10°24′ R</t>
  </si>
  <si>
    <t xml:space="preserve">Mīna 07°49′ R</t>
  </si>
  <si>
    <t xml:space="preserve">Tulā 16°38′</t>
  </si>
  <si>
    <t xml:space="preserve">Siṃha 04°52′</t>
  </si>
  <si>
    <t xml:space="preserve">Karkaṭa 25°32′</t>
  </si>
  <si>
    <t xml:space="preserve">Tulā 19°40′ R</t>
  </si>
  <si>
    <t xml:space="preserve">Siṃha 00°22′</t>
  </si>
  <si>
    <t xml:space="preserve">Tulā 00°57′ R</t>
  </si>
  <si>
    <t xml:space="preserve">Mīna 14°55′ R</t>
  </si>
  <si>
    <t xml:space="preserve">Vṛṣabha 10°21′ R</t>
  </si>
  <si>
    <t xml:space="preserve">Mīna 07°48′ R</t>
  </si>
  <si>
    <t xml:space="preserve">Makara 08°55′</t>
  </si>
  <si>
    <t xml:space="preserve">Tulā 17°38′</t>
  </si>
  <si>
    <t xml:space="preserve">Siṃha 18°18′</t>
  </si>
  <si>
    <t xml:space="preserve">Karkaṭa 26°01′</t>
  </si>
  <si>
    <t xml:space="preserve">Tulā 18°21′ R</t>
  </si>
  <si>
    <t xml:space="preserve">Siṃha 00°29′</t>
  </si>
  <si>
    <t xml:space="preserve">Tulā 00°33′ R</t>
  </si>
  <si>
    <t xml:space="preserve">Mīna 14°51′ R</t>
  </si>
  <si>
    <t xml:space="preserve">Kumbha 02°41′</t>
  </si>
  <si>
    <t xml:space="preserve">Siṃha 02°41′</t>
  </si>
  <si>
    <t xml:space="preserve">Vṛṣabha 10°19′ R</t>
  </si>
  <si>
    <t xml:space="preserve">Mīna 07°47′ R</t>
  </si>
  <si>
    <t xml:space="preserve">Tulā 18°38′</t>
  </si>
  <si>
    <t xml:space="preserve">Kanyā 01°32′</t>
  </si>
  <si>
    <t xml:space="preserve">Karkaṭa 26°31′</t>
  </si>
  <si>
    <t xml:space="preserve">Tulā 17°03′ R</t>
  </si>
  <si>
    <t xml:space="preserve">Siṃha 00°35′</t>
  </si>
  <si>
    <t xml:space="preserve">Tulā 00°11′ R</t>
  </si>
  <si>
    <t xml:space="preserve">Mīna 14°48′ R</t>
  </si>
  <si>
    <t xml:space="preserve">Kumbha 02°38′</t>
  </si>
  <si>
    <t xml:space="preserve">Siṃha 02°38′</t>
  </si>
  <si>
    <t xml:space="preserve">Vṛṣabha 10°17′ R</t>
  </si>
  <si>
    <t xml:space="preserve">Mīna 07°46′ R</t>
  </si>
  <si>
    <t xml:space="preserve">Makara 08°56′</t>
  </si>
  <si>
    <t xml:space="preserve">Tulā 19°38′</t>
  </si>
  <si>
    <t xml:space="preserve">Kanyā 14°34′</t>
  </si>
  <si>
    <t xml:space="preserve">Karkaṭa 27°00′</t>
  </si>
  <si>
    <t xml:space="preserve">Tulā 15°48′ R</t>
  </si>
  <si>
    <t xml:space="preserve">Siṃha 00°42′</t>
  </si>
  <si>
    <t xml:space="preserve">Kanyā 29°51′ R</t>
  </si>
  <si>
    <t xml:space="preserve">Mīna 14°44′ R</t>
  </si>
  <si>
    <t xml:space="preserve">Kumbha 02°32′</t>
  </si>
  <si>
    <t xml:space="preserve">Siṃha 02°32′</t>
  </si>
  <si>
    <t xml:space="preserve">Vṛṣabha 10°15′ R</t>
  </si>
  <si>
    <t xml:space="preserve">Mīna 07°45′ R</t>
  </si>
  <si>
    <t xml:space="preserve">Tulā 20°38′</t>
  </si>
  <si>
    <t xml:space="preserve">Kanyā 27°25′</t>
  </si>
  <si>
    <t xml:space="preserve">Karkaṭa 27°29′</t>
  </si>
  <si>
    <t xml:space="preserve">Tulā 14°37′ R</t>
  </si>
  <si>
    <t xml:space="preserve">Siṃha 00°48′</t>
  </si>
  <si>
    <t xml:space="preserve">Kanyā 29°33′ R</t>
  </si>
  <si>
    <t xml:space="preserve">Mīna 14°41′ R</t>
  </si>
  <si>
    <t xml:space="preserve">Kumbha 02°23′</t>
  </si>
  <si>
    <t xml:space="preserve">Siṃha 02°23′</t>
  </si>
  <si>
    <t xml:space="preserve">Vṛṣabha 10°12′ R</t>
  </si>
  <si>
    <t xml:space="preserve">Mīna 07°44′ R</t>
  </si>
  <si>
    <t xml:space="preserve">Makara 08°57′</t>
  </si>
  <si>
    <t xml:space="preserve">Tulā 21°39′</t>
  </si>
  <si>
    <t xml:space="preserve">Tulā 10°05′</t>
  </si>
  <si>
    <t xml:space="preserve">Karkaṭa 27°58′</t>
  </si>
  <si>
    <t xml:space="preserve">Tulā 13°33′ R</t>
  </si>
  <si>
    <t xml:space="preserve">Siṃha 00°55′</t>
  </si>
  <si>
    <t xml:space="preserve">Kanyā 29°18′ R</t>
  </si>
  <si>
    <t xml:space="preserve">Mīna 14°37′ R</t>
  </si>
  <si>
    <t xml:space="preserve">Kumbha 02°11′</t>
  </si>
  <si>
    <t xml:space="preserve">Siṃha 02°11′</t>
  </si>
  <si>
    <t xml:space="preserve">Vṛṣabha 10°10′ R</t>
  </si>
  <si>
    <t xml:space="preserve">Mīna 07°42′ R</t>
  </si>
  <si>
    <t xml:space="preserve">Makara 08°58′</t>
  </si>
  <si>
    <t xml:space="preserve">Tulā 22°39′</t>
  </si>
  <si>
    <t xml:space="preserve">Tulā 22°34′</t>
  </si>
  <si>
    <t xml:space="preserve">Karkaṭa 28°27′</t>
  </si>
  <si>
    <t xml:space="preserve">Tulā 12°38′ R</t>
  </si>
  <si>
    <t xml:space="preserve">Siṃha 01°01′</t>
  </si>
  <si>
    <t xml:space="preserve">Kanyā 29°05′ R</t>
  </si>
  <si>
    <t xml:space="preserve">Mīna 14°34′ R</t>
  </si>
  <si>
    <t xml:space="preserve">Kumbha 01°58′</t>
  </si>
  <si>
    <t xml:space="preserve">Siṃha 01°58′</t>
  </si>
  <si>
    <t xml:space="preserve">Vṛṣabha 10°08′ R</t>
  </si>
  <si>
    <t xml:space="preserve">Mīna 07°41′ R</t>
  </si>
  <si>
    <t xml:space="preserve">Tulā 23°39′</t>
  </si>
  <si>
    <t xml:space="preserve">Vṛścika 04°53′</t>
  </si>
  <si>
    <t xml:space="preserve">Karkaṭa 28°55′</t>
  </si>
  <si>
    <t xml:space="preserve">Tulā 11°54′ R</t>
  </si>
  <si>
    <t xml:space="preserve">Siṃha 01°07′</t>
  </si>
  <si>
    <t xml:space="preserve">Kanyā 28°55′ R</t>
  </si>
  <si>
    <t xml:space="preserve">Mīna 14°31′ R</t>
  </si>
  <si>
    <t xml:space="preserve">Kumbha 01°44′</t>
  </si>
  <si>
    <t xml:space="preserve">Siṃha 01°44′</t>
  </si>
  <si>
    <t xml:space="preserve">Vṛṣabha 10°05′ R</t>
  </si>
  <si>
    <t xml:space="preserve">Mīna 07°40′ R</t>
  </si>
  <si>
    <t xml:space="preserve">Makara 08°59′</t>
  </si>
  <si>
    <t xml:space="preserve">Tulā 24°40′</t>
  </si>
  <si>
    <t xml:space="preserve">Vṛścika 17°02′</t>
  </si>
  <si>
    <t xml:space="preserve">Karkaṭa 29°23′</t>
  </si>
  <si>
    <t xml:space="preserve">Tulā 11°20′ R</t>
  </si>
  <si>
    <t xml:space="preserve">Siṃha 01°13′</t>
  </si>
  <si>
    <t xml:space="preserve">Kanyā 28°47′ R</t>
  </si>
  <si>
    <t xml:space="preserve">Mīna 14°28′ R</t>
  </si>
  <si>
    <t xml:space="preserve">Kumbha 01°30′</t>
  </si>
  <si>
    <t xml:space="preserve">Siṃha 01°30′</t>
  </si>
  <si>
    <t xml:space="preserve">Vṛṣabha 10°03′ R</t>
  </si>
  <si>
    <t xml:space="preserve">Mīna 07°39′ R</t>
  </si>
  <si>
    <t xml:space="preserve">Makara 08°00′</t>
  </si>
  <si>
    <t xml:space="preserve">Tulā 25°40′</t>
  </si>
  <si>
    <t xml:space="preserve">Vṛścika 29°02′</t>
  </si>
  <si>
    <t xml:space="preserve">Karkaṭa 29°51′</t>
  </si>
  <si>
    <t xml:space="preserve">Tulā 10°59′ R</t>
  </si>
  <si>
    <t xml:space="preserve">Siṃha 01°18′</t>
  </si>
  <si>
    <t xml:space="preserve">Kanyā 28°41′ R</t>
  </si>
  <si>
    <t xml:space="preserve">Mīna 14°25′ R</t>
  </si>
  <si>
    <t xml:space="preserve">Kumbha 01°17′</t>
  </si>
  <si>
    <t xml:space="preserve">Siṃha 01°17′</t>
  </si>
  <si>
    <t xml:space="preserve">Vṛṣabha 10°00′ R</t>
  </si>
  <si>
    <t xml:space="preserve">Mīna 07°38′ R</t>
  </si>
  <si>
    <t xml:space="preserve">Makara 09°01′</t>
  </si>
  <si>
    <t xml:space="preserve">Tulā 26°40′</t>
  </si>
  <si>
    <t xml:space="preserve">Dhanus 10°55′</t>
  </si>
  <si>
    <t xml:space="preserve">Siṃha 00°18′</t>
  </si>
  <si>
    <t xml:space="preserve">Tulā 10°49′ R</t>
  </si>
  <si>
    <t xml:space="preserve">Siṃha 01°24′</t>
  </si>
  <si>
    <t xml:space="preserve">Kanyā 28°38′ R</t>
  </si>
  <si>
    <t xml:space="preserve">Mīna 14°22′ R</t>
  </si>
  <si>
    <t xml:space="preserve">Kumbha 01°07′</t>
  </si>
  <si>
    <t xml:space="preserve">Vṛṣabha 09°58′ R</t>
  </si>
  <si>
    <t xml:space="preserve">Mīna 07°37′ R</t>
  </si>
  <si>
    <t xml:space="preserve">Tulā 27°41′</t>
  </si>
  <si>
    <t xml:space="preserve">Dhanus 22°43′</t>
  </si>
  <si>
    <t xml:space="preserve">Siṃha 00°46′</t>
  </si>
  <si>
    <t xml:space="preserve">Tulā 10°50′</t>
  </si>
  <si>
    <t xml:space="preserve">Siṃha 01°29′</t>
  </si>
  <si>
    <t xml:space="preserve">Kanyā 28°38′</t>
  </si>
  <si>
    <t xml:space="preserve">Mīna 14°19′ R</t>
  </si>
  <si>
    <t xml:space="preserve">Kumbha 01°00′</t>
  </si>
  <si>
    <t xml:space="preserve">Siṃha 01°00′</t>
  </si>
  <si>
    <t xml:space="preserve">Vṛṣabha 09°56′ R</t>
  </si>
  <si>
    <t xml:space="preserve">Mīna 07°36′ R</t>
  </si>
  <si>
    <t xml:space="preserve">Makara 09°02′</t>
  </si>
  <si>
    <t xml:space="preserve">Tulā 28°41′</t>
  </si>
  <si>
    <t xml:space="preserve">Makara 04°31′</t>
  </si>
  <si>
    <t xml:space="preserve">Tulā 11°02′</t>
  </si>
  <si>
    <t xml:space="preserve">Siṃha 01°34′</t>
  </si>
  <si>
    <t xml:space="preserve">Kanyā 28°40′</t>
  </si>
  <si>
    <t xml:space="preserve">Mīna 14°17′ R</t>
  </si>
  <si>
    <t xml:space="preserve">Kumbha 00°56′</t>
  </si>
  <si>
    <t xml:space="preserve">Siṃha 00°56′</t>
  </si>
  <si>
    <t xml:space="preserve">Vṛṣabha 09°53′ R</t>
  </si>
  <si>
    <t xml:space="preserve">Mīna 07°35′ R</t>
  </si>
  <si>
    <t xml:space="preserve">Makara 09°03′</t>
  </si>
  <si>
    <t xml:space="preserve">Tulā 29°41′</t>
  </si>
  <si>
    <t xml:space="preserve">Makara 16°23′</t>
  </si>
  <si>
    <t xml:space="preserve">Siṃha 01°40′</t>
  </si>
  <si>
    <t xml:space="preserve">Tulā 11°24′</t>
  </si>
  <si>
    <t xml:space="preserve">Siṃha 01°39′</t>
  </si>
  <si>
    <t xml:space="preserve">Kanyā 28°44′</t>
  </si>
  <si>
    <t xml:space="preserve">Mīna 14°14′ R</t>
  </si>
  <si>
    <t xml:space="preserve">Kumbha 00°55′</t>
  </si>
  <si>
    <t xml:space="preserve">Vṛṣabha 09°51′ R</t>
  </si>
  <si>
    <t xml:space="preserve">Makara 09°04′</t>
  </si>
  <si>
    <t xml:space="preserve">Vṛścika 00°42′</t>
  </si>
  <si>
    <t xml:space="preserve">Makara 28°25′</t>
  </si>
  <si>
    <t xml:space="preserve">Siṃha 02°06′</t>
  </si>
  <si>
    <t xml:space="preserve">Tulā 11°56′</t>
  </si>
  <si>
    <t xml:space="preserve">Kanyā 28°50′</t>
  </si>
  <si>
    <t xml:space="preserve">Mīna 14°12′ R</t>
  </si>
  <si>
    <t xml:space="preserve">Kumbha 00°54′</t>
  </si>
  <si>
    <t xml:space="preserve">Siṃha 00°54′</t>
  </si>
  <si>
    <t xml:space="preserve">Vṛṣabha 09°48′ R</t>
  </si>
  <si>
    <t xml:space="preserve">Mīna 07°34′ R</t>
  </si>
  <si>
    <t xml:space="preserve">Makara 09°05′</t>
  </si>
  <si>
    <t xml:space="preserve">Vṛścika 01°42′</t>
  </si>
  <si>
    <t xml:space="preserve">Kumbha 10°41′</t>
  </si>
  <si>
    <t xml:space="preserve">Siṃha 02°33′</t>
  </si>
  <si>
    <t xml:space="preserve">Tulā 12°35′</t>
  </si>
  <si>
    <t xml:space="preserve">Siṃha 01°49′</t>
  </si>
  <si>
    <t xml:space="preserve">Kanyā 28°59′</t>
  </si>
  <si>
    <t xml:space="preserve">Mīna 14°09′ R</t>
  </si>
  <si>
    <t xml:space="preserve">Vṛṣabha 09°46′ R</t>
  </si>
  <si>
    <t xml:space="preserve">Mīna 07°33′ R</t>
  </si>
  <si>
    <t xml:space="preserve">Makara 09°06′</t>
  </si>
  <si>
    <t xml:space="preserve">Vṛścika 02°43′</t>
  </si>
  <si>
    <t xml:space="preserve">Kumbha 23°18′</t>
  </si>
  <si>
    <t xml:space="preserve">Siṃha 02°59′</t>
  </si>
  <si>
    <t xml:space="preserve">Tulā 13°22′</t>
  </si>
  <si>
    <t xml:space="preserve">Siṃha 01°53′</t>
  </si>
  <si>
    <t xml:space="preserve">Kanyā 29°10′</t>
  </si>
  <si>
    <t xml:space="preserve">Mīna 14°07′ R</t>
  </si>
  <si>
    <t xml:space="preserve">Kumbha 00°53′</t>
  </si>
  <si>
    <t xml:space="preserve">Siṃha 00°53′</t>
  </si>
  <si>
    <t xml:space="preserve">Vṛṣabha 09°43′ R</t>
  </si>
  <si>
    <t xml:space="preserve">Mīna 07°32′ R</t>
  </si>
  <si>
    <t xml:space="preserve">Makara 09°07′</t>
  </si>
  <si>
    <t xml:space="preserve">Vṛścika 03°43′</t>
  </si>
  <si>
    <t xml:space="preserve">Mīna 06°19′</t>
  </si>
  <si>
    <t xml:space="preserve">Siṃha 03°25′</t>
  </si>
  <si>
    <t xml:space="preserve">Tulā 14°16′</t>
  </si>
  <si>
    <t xml:space="preserve">Kanyā 29°23′</t>
  </si>
  <si>
    <t xml:space="preserve">Mīna 14°05′ R</t>
  </si>
  <si>
    <t xml:space="preserve">Kumbha 00°50′</t>
  </si>
  <si>
    <t xml:space="preserve">Siṃha 00°50′</t>
  </si>
  <si>
    <t xml:space="preserve">Vṛṣabha 09°41′ R</t>
  </si>
  <si>
    <t xml:space="preserve">Mīna 07°31′ R</t>
  </si>
  <si>
    <t xml:space="preserve">Vṛścika 04°44′</t>
  </si>
  <si>
    <t xml:space="preserve">Mīna 19°49′</t>
  </si>
  <si>
    <t xml:space="preserve">Siṃha 03°50′</t>
  </si>
  <si>
    <t xml:space="preserve">Tulā 15°15′</t>
  </si>
  <si>
    <t xml:space="preserve">Siṃha 02°02′</t>
  </si>
  <si>
    <t xml:space="preserve">Kanyā 29°39′</t>
  </si>
  <si>
    <t xml:space="preserve">Mīna 14°03′ R</t>
  </si>
  <si>
    <t xml:space="preserve">Kumbha 00°45′</t>
  </si>
  <si>
    <t xml:space="preserve">Siṃha 00°45′</t>
  </si>
  <si>
    <t xml:space="preserve">Vṛṣabha 09°38′ R</t>
  </si>
  <si>
    <t xml:space="preserve">Makara 09°08′</t>
  </si>
  <si>
    <t xml:space="preserve">Vṛścika 05°45′</t>
  </si>
  <si>
    <t xml:space="preserve">Meṣa 03°49′</t>
  </si>
  <si>
    <t xml:space="preserve">Siṃha 04°15′</t>
  </si>
  <si>
    <t xml:space="preserve">Tulā 16°19′</t>
  </si>
  <si>
    <t xml:space="preserve">Kanyā 29°56′</t>
  </si>
  <si>
    <t xml:space="preserve">Mīna 14°01′ R</t>
  </si>
  <si>
    <t xml:space="preserve">Kumbha 00°36′</t>
  </si>
  <si>
    <t xml:space="preserve">Siṃha 00°36′</t>
  </si>
  <si>
    <t xml:space="preserve">Vṛṣabha 09°36′ R</t>
  </si>
  <si>
    <t xml:space="preserve">Mīna 07°30′ R</t>
  </si>
  <si>
    <t xml:space="preserve">Makara 09°10′</t>
  </si>
  <si>
    <t xml:space="preserve">Vṛścika 06°45′</t>
  </si>
  <si>
    <t xml:space="preserve">Meṣa 18°16′</t>
  </si>
  <si>
    <t xml:space="preserve">Siṃha 04°40′</t>
  </si>
  <si>
    <t xml:space="preserve">Tulā 17°28′</t>
  </si>
  <si>
    <t xml:space="preserve">Siṃha 02°10′</t>
  </si>
  <si>
    <t xml:space="preserve">Tulā 00°16′</t>
  </si>
  <si>
    <t xml:space="preserve">Mīna 13°59′ R</t>
  </si>
  <si>
    <t xml:space="preserve">Kumbha 00°26′</t>
  </si>
  <si>
    <t xml:space="preserve">Siṃha 00°26′</t>
  </si>
  <si>
    <t xml:space="preserve">Vṛṣabha 09°33′ R</t>
  </si>
  <si>
    <t xml:space="preserve">Mīna 07°29′ R</t>
  </si>
  <si>
    <t xml:space="preserve">Makara 09°11′</t>
  </si>
  <si>
    <t xml:space="preserve">Vṛścika 07°46′</t>
  </si>
  <si>
    <t xml:space="preserve">Vṛṣabha 03°05′</t>
  </si>
  <si>
    <t xml:space="preserve">Siṃha 05°05′</t>
  </si>
  <si>
    <t xml:space="preserve">Tulā 18°40′</t>
  </si>
  <si>
    <t xml:space="preserve">Siṃha 02°13′</t>
  </si>
  <si>
    <t xml:space="preserve">Tulā 00°37′</t>
  </si>
  <si>
    <t xml:space="preserve">Mīna 13°57′ R</t>
  </si>
  <si>
    <t xml:space="preserve">Kumbha 00°14′</t>
  </si>
  <si>
    <t xml:space="preserve">Siṃha 00°14′</t>
  </si>
  <si>
    <t xml:space="preserve">Vṛṣabha 09°31′ R</t>
  </si>
  <si>
    <t xml:space="preserve">Makara 09°12′</t>
  </si>
  <si>
    <t xml:space="preserve">Vṛścika 08°46′</t>
  </si>
  <si>
    <t xml:space="preserve">Vṛṣabha 18°09′</t>
  </si>
  <si>
    <t xml:space="preserve">Siṃha 05°29′</t>
  </si>
  <si>
    <t xml:space="preserve">Tulā 19°56′</t>
  </si>
  <si>
    <t xml:space="preserve">Siṃha 02°17′</t>
  </si>
  <si>
    <t xml:space="preserve">Tulā 01°00′</t>
  </si>
  <si>
    <t xml:space="preserve">Mīna 13°55′ R</t>
  </si>
  <si>
    <t xml:space="preserve">Kumbha 00°03′</t>
  </si>
  <si>
    <t xml:space="preserve">Siṃha 00°03′</t>
  </si>
  <si>
    <t xml:space="preserve">Vṛṣabha 09°28′ R</t>
  </si>
  <si>
    <t xml:space="preserve">Mīna 07°28′ R</t>
  </si>
  <si>
    <t xml:space="preserve">Makara 09°13′</t>
  </si>
  <si>
    <t xml:space="preserve">Vṛścika 09°47′</t>
  </si>
  <si>
    <t xml:space="preserve">Mithuna 03°16′</t>
  </si>
  <si>
    <t xml:space="preserve">Siṃha 05°53′</t>
  </si>
  <si>
    <t xml:space="preserve">Tulā 21°14′</t>
  </si>
  <si>
    <t xml:space="preserve">Siṃha 02°20′</t>
  </si>
  <si>
    <t xml:space="preserve">Tulā 01°25′</t>
  </si>
  <si>
    <t xml:space="preserve">Mīna 13°53′ R</t>
  </si>
  <si>
    <t xml:space="preserve">Makara 29°53′</t>
  </si>
  <si>
    <t xml:space="preserve">Vṛṣabha 09°26′ R</t>
  </si>
  <si>
    <t xml:space="preserve">Mīna 07°27′ R</t>
  </si>
  <si>
    <t xml:space="preserve">Makara 09°14′</t>
  </si>
  <si>
    <t xml:space="preserve">Vṛścika 10°48′</t>
  </si>
  <si>
    <t xml:space="preserve">Mithuna 18°17′</t>
  </si>
  <si>
    <t xml:space="preserve">Siṃha 06°17′</t>
  </si>
  <si>
    <t xml:space="preserve">Tulā 22°35′</t>
  </si>
  <si>
    <t xml:space="preserve">Tulā 01°52′</t>
  </si>
  <si>
    <t xml:space="preserve">Mīna 13°52′ R</t>
  </si>
  <si>
    <t xml:space="preserve">Makara 29°45′</t>
  </si>
  <si>
    <t xml:space="preserve">Vṛṣabha 09°23′ R</t>
  </si>
  <si>
    <t xml:space="preserve">Makara 09°15′</t>
  </si>
  <si>
    <t xml:space="preserve">Vṛścika 11°48′</t>
  </si>
  <si>
    <t xml:space="preserve">Karkaṭa 03°03′</t>
  </si>
  <si>
    <t xml:space="preserve">Siṃha 06°40′</t>
  </si>
  <si>
    <t xml:space="preserve">Tulā 23°57′</t>
  </si>
  <si>
    <t xml:space="preserve">Siṃha 02°26′</t>
  </si>
  <si>
    <t xml:space="preserve">Tulā 02°20′</t>
  </si>
  <si>
    <t xml:space="preserve">Mīna 13°51′ R</t>
  </si>
  <si>
    <t xml:space="preserve">Makara 29°39′</t>
  </si>
  <si>
    <t xml:space="preserve">Karkaṭa 29°39′</t>
  </si>
  <si>
    <t xml:space="preserve">Vṛṣabha 09°21′ R</t>
  </si>
  <si>
    <t xml:space="preserve">Mīna 07°26′ R</t>
  </si>
  <si>
    <t xml:space="preserve">Makara 09°16′</t>
  </si>
  <si>
    <t xml:space="preserve">Vṛścika 12°49′</t>
  </si>
  <si>
    <t xml:space="preserve">Karkaṭa 17°29′</t>
  </si>
  <si>
    <t xml:space="preserve">Siṃha 07°03′</t>
  </si>
  <si>
    <t xml:space="preserve">Tulā 25°21′</t>
  </si>
  <si>
    <t xml:space="preserve">Siṃha 02°29′</t>
  </si>
  <si>
    <t xml:space="preserve">Tulā 02°51′</t>
  </si>
  <si>
    <t xml:space="preserve">Mīna 13°49′ R</t>
  </si>
  <si>
    <t xml:space="preserve">Makara 29°37′</t>
  </si>
  <si>
    <t xml:space="preserve">Vṛṣabha 09°18′ R</t>
  </si>
  <si>
    <t xml:space="preserve">Makara 09°17′</t>
  </si>
  <si>
    <t xml:space="preserve">Vṛścika 13°50′</t>
  </si>
  <si>
    <t xml:space="preserve">Siṃha 01°33′</t>
  </si>
  <si>
    <t xml:space="preserve">Siṃha 07°26′</t>
  </si>
  <si>
    <t xml:space="preserve">Tulā 26°47′</t>
  </si>
  <si>
    <t xml:space="preserve">Siṃha 02°31′</t>
  </si>
  <si>
    <t xml:space="preserve">Tulā 03°22′</t>
  </si>
  <si>
    <t xml:space="preserve">Mīna 13°48′ R</t>
  </si>
  <si>
    <t xml:space="preserve">Vṛṣabha 09°15′ R</t>
  </si>
  <si>
    <t xml:space="preserve">Mīna 07°25′ R</t>
  </si>
  <si>
    <t xml:space="preserve">Makara 09°18′</t>
  </si>
  <si>
    <t xml:space="preserve">Vṛścika 14°51′</t>
  </si>
  <si>
    <t xml:space="preserve">Siṃha 15°14′</t>
  </si>
  <si>
    <t xml:space="preserve">Siṃha 07°48′</t>
  </si>
  <si>
    <t xml:space="preserve">Tulā 28°14′</t>
  </si>
  <si>
    <t xml:space="preserve">Siṃha 02°34′</t>
  </si>
  <si>
    <t xml:space="preserve">Tulā 03°55′</t>
  </si>
  <si>
    <t xml:space="preserve">Mīna 13°47′ R</t>
  </si>
  <si>
    <t xml:space="preserve">Vṛṣabha 09°13′ R</t>
  </si>
  <si>
    <t xml:space="preserve">Makara 09°20′</t>
  </si>
  <si>
    <t xml:space="preserve">Vṛścika 15°52′</t>
  </si>
  <si>
    <t xml:space="preserve">Siṃha 28°34′</t>
  </si>
  <si>
    <t xml:space="preserve">Siṃha 08°10′</t>
  </si>
  <si>
    <t xml:space="preserve">Siṃha 02°36′</t>
  </si>
  <si>
    <t xml:space="preserve">Tulā 04°30′</t>
  </si>
  <si>
    <t xml:space="preserve">Mīna 13°46′ R</t>
  </si>
  <si>
    <t xml:space="preserve">Makara 29°36′</t>
  </si>
  <si>
    <t xml:space="preserve">Karkaṭa 29°36′</t>
  </si>
  <si>
    <t xml:space="preserve">Vṛṣabha 09°10′ R</t>
  </si>
  <si>
    <t xml:space="preserve">Makara 09°21′</t>
  </si>
  <si>
    <t xml:space="preserve">Vṛścika 16°52′</t>
  </si>
  <si>
    <t xml:space="preserve">Kanyā 11°36′</t>
  </si>
  <si>
    <t xml:space="preserve">Siṃha 08°32′</t>
  </si>
  <si>
    <t xml:space="preserve">Vṛścika 01°10′</t>
  </si>
  <si>
    <t xml:space="preserve">Tulā 05°06′</t>
  </si>
  <si>
    <t xml:space="preserve">Mīna 13°45′ R</t>
  </si>
  <si>
    <t xml:space="preserve">Makara 29°34′</t>
  </si>
  <si>
    <t xml:space="preserve">Karkaṭa 29°34′</t>
  </si>
  <si>
    <t xml:space="preserve">Vṛṣabha 09°08′ R</t>
  </si>
  <si>
    <t xml:space="preserve">Mīna 07°24′ R</t>
  </si>
  <si>
    <t xml:space="preserve">Makara 09°22′</t>
  </si>
  <si>
    <t xml:space="preserve">Vṛścika 17°53′</t>
  </si>
  <si>
    <t xml:space="preserve">Kanyā 24°23′</t>
  </si>
  <si>
    <t xml:space="preserve">Siṃha 08°53′</t>
  </si>
  <si>
    <t xml:space="preserve">Vṛścika 02°39′</t>
  </si>
  <si>
    <t xml:space="preserve">Siṃha 02°40′</t>
  </si>
  <si>
    <t xml:space="preserve">Tulā 05°44′</t>
  </si>
  <si>
    <t xml:space="preserve">Mīna 13°44′ R</t>
  </si>
  <si>
    <t xml:space="preserve">Makara 29°29′</t>
  </si>
  <si>
    <t xml:space="preserve">Vṛṣabha 09°05′ R</t>
  </si>
  <si>
    <t xml:space="preserve">Makara 09°24′</t>
  </si>
  <si>
    <t xml:space="preserve">Vṛścika 18°54′</t>
  </si>
  <si>
    <t xml:space="preserve">Tulā 06°57′</t>
  </si>
  <si>
    <t xml:space="preserve">Siṃha 09°14′</t>
  </si>
  <si>
    <t xml:space="preserve">Vṛścika 04°09′</t>
  </si>
  <si>
    <t xml:space="preserve">Tulā 06°22′</t>
  </si>
  <si>
    <t xml:space="preserve">Makara 29°21′</t>
  </si>
  <si>
    <t xml:space="preserve">Karkaṭa 29°21′</t>
  </si>
  <si>
    <t xml:space="preserve">Vṛṣabha 09°03′ R</t>
  </si>
  <si>
    <t xml:space="preserve">Makara 09°25′</t>
  </si>
  <si>
    <t xml:space="preserve">Vṛścika 19°55′</t>
  </si>
  <si>
    <t xml:space="preserve">Tulā 19°21′</t>
  </si>
  <si>
    <t xml:space="preserve">Siṃha 09°35′</t>
  </si>
  <si>
    <t xml:space="preserve">Vṛścika 05°40′</t>
  </si>
  <si>
    <t xml:space="preserve">Siṃha 02°43′</t>
  </si>
  <si>
    <t xml:space="preserve">Tulā 07°02′</t>
  </si>
  <si>
    <t xml:space="preserve">Mīna 13°43′ R</t>
  </si>
  <si>
    <t xml:space="preserve">Makara 29°10′</t>
  </si>
  <si>
    <t xml:space="preserve">Karkaṭa 29°10′</t>
  </si>
  <si>
    <t xml:space="preserve">Vṛṣabha 09°01′ R</t>
  </si>
  <si>
    <t xml:space="preserve">Mīna 07°23′ R</t>
  </si>
  <si>
    <t xml:space="preserve">Makara 09°26′</t>
  </si>
  <si>
    <t xml:space="preserve">Vṛścika 20°56′</t>
  </si>
  <si>
    <t xml:space="preserve">Vṛścika 01°36′</t>
  </si>
  <si>
    <t xml:space="preserve">Siṃha 09°55′</t>
  </si>
  <si>
    <t xml:space="preserve">Vṛścika 07°10′</t>
  </si>
  <si>
    <t xml:space="preserve">Tulā 07°44′</t>
  </si>
  <si>
    <t xml:space="preserve">Mīna 13°42′ R</t>
  </si>
  <si>
    <t xml:space="preserve">Makara 28°57′</t>
  </si>
  <si>
    <t xml:space="preserve">Karkaṭa 28°57′</t>
  </si>
  <si>
    <t xml:space="preserve">Vṛṣabha 08°58′ R</t>
  </si>
  <si>
    <t xml:space="preserve">Makara 09°28′</t>
  </si>
  <si>
    <t xml:space="preserve">Vṛścika 21°57′</t>
  </si>
  <si>
    <t xml:space="preserve">Vṛścika 13°42′</t>
  </si>
  <si>
    <t xml:space="preserve">Siṃha 10°14′</t>
  </si>
  <si>
    <t xml:space="preserve">Vṛścika 08°41′</t>
  </si>
  <si>
    <t xml:space="preserve">Siṃha 02°45′</t>
  </si>
  <si>
    <t xml:space="preserve">Tulā 08°26′</t>
  </si>
  <si>
    <t xml:space="preserve">Makara 28°44′</t>
  </si>
  <si>
    <t xml:space="preserve">Karkaṭa 28°44′</t>
  </si>
  <si>
    <t xml:space="preserve">Vṛṣabha 08°56′ R</t>
  </si>
  <si>
    <t xml:space="preserve">Makara 09°29′</t>
  </si>
  <si>
    <t xml:space="preserve">Vṛścika 22°58′</t>
  </si>
  <si>
    <t xml:space="preserve">Vṛścika 25°42′</t>
  </si>
  <si>
    <t xml:space="preserve">Siṃha 10°34′</t>
  </si>
  <si>
    <t xml:space="preserve">Vṛścika 10°13′</t>
  </si>
  <si>
    <t xml:space="preserve">Siṃha 02°46′</t>
  </si>
  <si>
    <t xml:space="preserve">Tulā 09°09′</t>
  </si>
  <si>
    <t xml:space="preserve">Makara 28°31′</t>
  </si>
  <si>
    <t xml:space="preserve">Karkaṭa 28°31′</t>
  </si>
  <si>
    <t xml:space="preserve">Vṛṣabha 08°53′ R</t>
  </si>
  <si>
    <t xml:space="preserve">Makara 09°30′</t>
  </si>
  <si>
    <t xml:space="preserve">Vṛścika 23°59′</t>
  </si>
  <si>
    <t xml:space="preserve">Dhanus 07°37′</t>
  </si>
  <si>
    <t xml:space="preserve">Siṃha 10°52′</t>
  </si>
  <si>
    <t xml:space="preserve">Vṛścika 11°45′</t>
  </si>
  <si>
    <t xml:space="preserve">Siṃha 02°47′</t>
  </si>
  <si>
    <t xml:space="preserve">Tulā 09°54′</t>
  </si>
  <si>
    <t xml:space="preserve">Makara 28°20′</t>
  </si>
  <si>
    <t xml:space="preserve">Karkaṭa 28°20′</t>
  </si>
  <si>
    <t xml:space="preserve">Vṛṣabha 08°51′ R</t>
  </si>
  <si>
    <t xml:space="preserve">Makara 09°32′</t>
  </si>
  <si>
    <t xml:space="preserve">Vṛścika 24°00′</t>
  </si>
  <si>
    <t xml:space="preserve">Dhanus 19°26′</t>
  </si>
  <si>
    <t xml:space="preserve">Siṃha 11°11′</t>
  </si>
  <si>
    <t xml:space="preserve">Vṛścika 13°17′</t>
  </si>
  <si>
    <t xml:space="preserve">Tulā 10°39′</t>
  </si>
  <si>
    <t xml:space="preserve">Mīna 13°42′</t>
  </si>
  <si>
    <t xml:space="preserve">Makara 28°10′</t>
  </si>
  <si>
    <t xml:space="preserve">Karkaṭa 28°10′</t>
  </si>
  <si>
    <t xml:space="preserve">Vṛṣabha 08°48′ R</t>
  </si>
  <si>
    <t xml:space="preserve">Makara 09°33′</t>
  </si>
  <si>
    <t xml:space="preserve">Vṛścika 26°01′</t>
  </si>
  <si>
    <t xml:space="preserve">Makara 01°14′</t>
  </si>
  <si>
    <t xml:space="preserve">Siṃha 11°29′</t>
  </si>
  <si>
    <t xml:space="preserve">Vṛścika 14°49′</t>
  </si>
  <si>
    <t xml:space="preserve">Tulā 11°26′</t>
  </si>
  <si>
    <t xml:space="preserve">Makara 28°03′</t>
  </si>
  <si>
    <t xml:space="preserve">Karkaṭa 28°03′</t>
  </si>
  <si>
    <t xml:space="preserve">Vṛṣabha 08°46′ R</t>
  </si>
  <si>
    <t xml:space="preserve">Makara 09°35′</t>
  </si>
  <si>
    <t xml:space="preserve">Vṛścika 27°02′</t>
  </si>
  <si>
    <t xml:space="preserve">Makara 13°02′</t>
  </si>
  <si>
    <t xml:space="preserve">Siṃha 11°46′</t>
  </si>
  <si>
    <t xml:space="preserve">Vṛścika 16°21′</t>
  </si>
  <si>
    <t xml:space="preserve">Siṃha 02°47′ R</t>
  </si>
  <si>
    <t xml:space="preserve">Tulā 12°13′</t>
  </si>
  <si>
    <t xml:space="preserve">Makara 27°00′</t>
  </si>
  <si>
    <t xml:space="preserve">Vṛṣabha 08°44′ R</t>
  </si>
  <si>
    <t xml:space="preserve">Mīna 07°23′</t>
  </si>
  <si>
    <t xml:space="preserve">Makara 09°36′</t>
  </si>
  <si>
    <t xml:space="preserve">Vṛścika 28°03′</t>
  </si>
  <si>
    <t xml:space="preserve">Makara 24°54′</t>
  </si>
  <si>
    <t xml:space="preserve">Siṃha 12°03′</t>
  </si>
  <si>
    <t xml:space="preserve">Tulā 13°02′</t>
  </si>
  <si>
    <t xml:space="preserve">Makara 27°58′</t>
  </si>
  <si>
    <t xml:space="preserve">Vṛṣabha 08°41′ R</t>
  </si>
  <si>
    <t xml:space="preserve">Makara 09°38′</t>
  </si>
  <si>
    <t xml:space="preserve">Vṛścika 29°04′</t>
  </si>
  <si>
    <t xml:space="preserve">Kumbha 06°55′</t>
  </si>
  <si>
    <t xml:space="preserve">Siṃha 12°20′</t>
  </si>
  <si>
    <t xml:space="preserve">Vṛścika 19°26′</t>
  </si>
  <si>
    <t xml:space="preserve">Tulā 13°51′</t>
  </si>
  <si>
    <t xml:space="preserve">Mīna 13°43′</t>
  </si>
  <si>
    <t xml:space="preserve">Makara 27°59′</t>
  </si>
  <si>
    <t xml:space="preserve">Karkaṭa 27°59′</t>
  </si>
  <si>
    <t xml:space="preserve">Vṛṣabha 08°39′ R</t>
  </si>
  <si>
    <t xml:space="preserve">Makara 09°39′</t>
  </si>
  <si>
    <t xml:space="preserve">Dhanus 00°05′</t>
  </si>
  <si>
    <t xml:space="preserve">Kumbha 19°08′</t>
  </si>
  <si>
    <t xml:space="preserve">Siṃha 12°36′</t>
  </si>
  <si>
    <t xml:space="preserve">Vṛścika 20°59′</t>
  </si>
  <si>
    <t xml:space="preserve">Siṃha 02°46′ R</t>
  </si>
  <si>
    <t xml:space="preserve">Tulā 14°41′</t>
  </si>
  <si>
    <t xml:space="preserve">Vṛṣabha 08°37′ R</t>
  </si>
  <si>
    <t xml:space="preserve">Makara 09°41′</t>
  </si>
  <si>
    <t xml:space="preserve">Dhanus 01°06′</t>
  </si>
  <si>
    <t xml:space="preserve">Mīna 01°40′</t>
  </si>
  <si>
    <t xml:space="preserve">Siṃha 12°52′</t>
  </si>
  <si>
    <t xml:space="preserve">Vṛścika 22°32′</t>
  </si>
  <si>
    <t xml:space="preserve">Tulā 15°31′</t>
  </si>
  <si>
    <t xml:space="preserve">Mīna 13°44′</t>
  </si>
  <si>
    <t xml:space="preserve">Makara 28°00′</t>
  </si>
  <si>
    <t xml:space="preserve">Karkaṭa 28°00′</t>
  </si>
  <si>
    <t xml:space="preserve">Vṛṣabha 08°34′ R</t>
  </si>
  <si>
    <t xml:space="preserve">Makara 09°42′</t>
  </si>
  <si>
    <t xml:space="preserve">Dhanus 02°07′</t>
  </si>
  <si>
    <t xml:space="preserve">Mīna 14°35′</t>
  </si>
  <si>
    <t xml:space="preserve">Siṃha 13°07′</t>
  </si>
  <si>
    <t xml:space="preserve">Vṛścika 24°05′</t>
  </si>
  <si>
    <t xml:space="preserve">Siṃha 02°45′ R</t>
  </si>
  <si>
    <t xml:space="preserve">Tulā 16°23′</t>
  </si>
  <si>
    <t xml:space="preserve">Mīna 13°45′</t>
  </si>
  <si>
    <t xml:space="preserve">Vṛṣabha 08°32′ R</t>
  </si>
  <si>
    <t xml:space="preserve">Makara 09°44′</t>
  </si>
  <si>
    <t xml:space="preserve">Dhanus 03°08′</t>
  </si>
  <si>
    <t xml:space="preserve">Mīna 27°57′</t>
  </si>
  <si>
    <t xml:space="preserve">Siṃha 13°21′</t>
  </si>
  <si>
    <t xml:space="preserve">Vṛścika 25°38′</t>
  </si>
  <si>
    <t xml:space="preserve">Siṃha 02°43′ R</t>
  </si>
  <si>
    <t xml:space="preserve">Tulā 17°15′</t>
  </si>
  <si>
    <t xml:space="preserve">Makara 27°57′</t>
  </si>
  <si>
    <t xml:space="preserve">Karkaṭa 27°57′</t>
  </si>
  <si>
    <t xml:space="preserve">Vṛṣabha 08°30′ R</t>
  </si>
  <si>
    <t xml:space="preserve">Makara 09°45′</t>
  </si>
  <si>
    <t xml:space="preserve">Dhanus 04°09′</t>
  </si>
  <si>
    <t xml:space="preserve">Meṣa 11°50′</t>
  </si>
  <si>
    <t xml:space="preserve">Siṃha 13°35′</t>
  </si>
  <si>
    <t xml:space="preserve">Vṛścika 27°11′</t>
  </si>
  <si>
    <t xml:space="preserve">Siṃha 02°42′ R</t>
  </si>
  <si>
    <t xml:space="preserve">Tulā 18°08′</t>
  </si>
  <si>
    <t xml:space="preserve">Mīna 13°46′</t>
  </si>
  <si>
    <t xml:space="preserve">Makara 27°51′</t>
  </si>
  <si>
    <t xml:space="preserve">Karkaṭa 27°51′</t>
  </si>
  <si>
    <t xml:space="preserve">Vṛṣabha 08°28′ R</t>
  </si>
  <si>
    <t xml:space="preserve">Mīna 07°24′</t>
  </si>
  <si>
    <t xml:space="preserve">Makara 09°47′</t>
  </si>
  <si>
    <t xml:space="preserve">Dhanus 05°10′</t>
  </si>
  <si>
    <t xml:space="preserve">Meṣa 26°12′</t>
  </si>
  <si>
    <t xml:space="preserve">Siṃha 13°49′</t>
  </si>
  <si>
    <t xml:space="preserve">Vṛścika 28°45′</t>
  </si>
  <si>
    <t xml:space="preserve">Siṃha 02°41′ R</t>
  </si>
  <si>
    <t xml:space="preserve">Tulā 19°02′</t>
  </si>
  <si>
    <t xml:space="preserve">Mīna 13°47′</t>
  </si>
  <si>
    <t xml:space="preserve">Makara 27°44′</t>
  </si>
  <si>
    <t xml:space="preserve">Karkaṭa 27°44′</t>
  </si>
  <si>
    <t xml:space="preserve">Vṛṣabha 08°25′ R</t>
  </si>
  <si>
    <t xml:space="preserve">Makara 09°49′</t>
  </si>
  <si>
    <t xml:space="preserve">Dhanus 06°11′</t>
  </si>
  <si>
    <t xml:space="preserve">Vṛṣabha 11°00′</t>
  </si>
  <si>
    <t xml:space="preserve">Siṃha 14°02′</t>
  </si>
  <si>
    <t xml:space="preserve">Dhanus 00°18′</t>
  </si>
  <si>
    <t xml:space="preserve">Siṃha 02°39′ R</t>
  </si>
  <si>
    <t xml:space="preserve">Tulā 19°57′</t>
  </si>
  <si>
    <t xml:space="preserve">Mīna 13°49′</t>
  </si>
  <si>
    <t xml:space="preserve">Makara 27°36′</t>
  </si>
  <si>
    <t xml:space="preserve">Karkaṭa 27°36′</t>
  </si>
  <si>
    <t xml:space="preserve">Vṛṣabha 08°23′ R</t>
  </si>
  <si>
    <t xml:space="preserve">Makara 09°50′</t>
  </si>
  <si>
    <t xml:space="preserve">Dhanus 07°12′</t>
  </si>
  <si>
    <t xml:space="preserve">Vṛṣabha 26°09′</t>
  </si>
  <si>
    <t xml:space="preserve">Siṃha 14°14′</t>
  </si>
  <si>
    <t xml:space="preserve">Dhanus 01°52′</t>
  </si>
  <si>
    <t xml:space="preserve">Siṃha 02°37′ R</t>
  </si>
  <si>
    <t xml:space="preserve">Tulā 20°52′</t>
  </si>
  <si>
    <t xml:space="preserve">Mīna 13°50′</t>
  </si>
  <si>
    <t xml:space="preserve">Makara 27°29′</t>
  </si>
  <si>
    <t xml:space="preserve">Vṛṣabha 08°21′ R</t>
  </si>
  <si>
    <t xml:space="preserve">Makara 09°52′</t>
  </si>
  <si>
    <t xml:space="preserve">Dhanus 08°14′</t>
  </si>
  <si>
    <t xml:space="preserve">Mithuna 11°27′</t>
  </si>
  <si>
    <t xml:space="preserve">Siṃha 14°26′</t>
  </si>
  <si>
    <t xml:space="preserve">Dhanus 03°26′</t>
  </si>
  <si>
    <t xml:space="preserve">Siṃha 02°35′ R</t>
  </si>
  <si>
    <t xml:space="preserve">Tulā 21°47′</t>
  </si>
  <si>
    <t xml:space="preserve">Mīna 13°51′</t>
  </si>
  <si>
    <t xml:space="preserve">Makara 27°22′</t>
  </si>
  <si>
    <t xml:space="preserve">Karkaṭa 27°22′</t>
  </si>
  <si>
    <t xml:space="preserve">Vṛṣabha 08°19′ R</t>
  </si>
  <si>
    <t xml:space="preserve">Mīna 07°25′</t>
  </si>
  <si>
    <t xml:space="preserve">Makara 09°54′</t>
  </si>
  <si>
    <t xml:space="preserve">Dhanus 09°15′</t>
  </si>
  <si>
    <t xml:space="preserve">Mithuna 26°43′</t>
  </si>
  <si>
    <t xml:space="preserve">Siṃha 14°38′</t>
  </si>
  <si>
    <t xml:space="preserve">Dhanus 05°01′</t>
  </si>
  <si>
    <t xml:space="preserve">Siṃha 02°33′ R</t>
  </si>
  <si>
    <t xml:space="preserve">Tulā 22°43′</t>
  </si>
  <si>
    <t xml:space="preserve">Mīna 13°53′</t>
  </si>
  <si>
    <t xml:space="preserve">Makara 27°16′</t>
  </si>
  <si>
    <t xml:space="preserve">Karkaṭa 27°16′</t>
  </si>
  <si>
    <t xml:space="preserve">Vṛṣabha 08°17′ R</t>
  </si>
  <si>
    <t xml:space="preserve">Makara 09°55′</t>
  </si>
  <si>
    <t xml:space="preserve">Dhanus 10°16′</t>
  </si>
  <si>
    <t xml:space="preserve">Karkaṭa 11°48′</t>
  </si>
  <si>
    <t xml:space="preserve">Siṃha 14°48′</t>
  </si>
  <si>
    <t xml:space="preserve">Dhanus 06°35′</t>
  </si>
  <si>
    <t xml:space="preserve">Siṃha 02°30′ R</t>
  </si>
  <si>
    <t xml:space="preserve">Tulā 23°40′</t>
  </si>
  <si>
    <t xml:space="preserve">Mīna 13°54′</t>
  </si>
  <si>
    <t xml:space="preserve">Makara 27°12′</t>
  </si>
  <si>
    <t xml:space="preserve">Karkaṭa 27°12′</t>
  </si>
  <si>
    <t xml:space="preserve">Vṛṣabha 08°15′ R</t>
  </si>
  <si>
    <t xml:space="preserve">Mīna 07°26′</t>
  </si>
  <si>
    <t xml:space="preserve">Makara 09°57′</t>
  </si>
  <si>
    <t xml:space="preserve">Dhanus 11°17′</t>
  </si>
  <si>
    <t xml:space="preserve">Karkaṭa 26°33′</t>
  </si>
  <si>
    <t xml:space="preserve">Siṃha 14°59′</t>
  </si>
  <si>
    <t xml:space="preserve">Dhanus 08°10′</t>
  </si>
  <si>
    <t xml:space="preserve">Siṃha 02°27′ R</t>
  </si>
  <si>
    <t xml:space="preserve">Tulā 24°38′</t>
  </si>
  <si>
    <t xml:space="preserve">Mīna 13°56′</t>
  </si>
  <si>
    <t xml:space="preserve">Makara 27°11′</t>
  </si>
  <si>
    <t xml:space="preserve">Karkaṭa 27°11′</t>
  </si>
  <si>
    <t xml:space="preserve">Vṛṣabha 08°13′ R</t>
  </si>
  <si>
    <t xml:space="preserve">Makara 09°59′</t>
  </si>
  <si>
    <t xml:space="preserve">Dhanus 12°18′</t>
  </si>
  <si>
    <t xml:space="preserve">Siṃha 10°53′</t>
  </si>
  <si>
    <t xml:space="preserve">Siṃha 15°08′</t>
  </si>
  <si>
    <t xml:space="preserve">Dhanus 09°45′</t>
  </si>
  <si>
    <t xml:space="preserve">Siṃha 02°25′ R</t>
  </si>
  <si>
    <t xml:space="preserve">Tulā 25°36′</t>
  </si>
  <si>
    <t xml:space="preserve">Mīna 13°58′</t>
  </si>
  <si>
    <t xml:space="preserve">Vṛṣabha 08°11′ R</t>
  </si>
  <si>
    <t xml:space="preserve">Mīna 07°27′</t>
  </si>
  <si>
    <t xml:space="preserve">Makara 10°00′</t>
  </si>
  <si>
    <t xml:space="preserve">Dhanus 13°19′</t>
  </si>
  <si>
    <t xml:space="preserve">Siṃha 24°46′</t>
  </si>
  <si>
    <t xml:space="preserve">Siṃha 15°17′</t>
  </si>
  <si>
    <t xml:space="preserve">Dhanus 11°20′</t>
  </si>
  <si>
    <t xml:space="preserve">Siṃha 02°22′ R</t>
  </si>
  <si>
    <t xml:space="preserve">Tulā 26°34′</t>
  </si>
  <si>
    <t xml:space="preserve">Mīna 13°00′</t>
  </si>
  <si>
    <t xml:space="preserve">Makara 27°13′</t>
  </si>
  <si>
    <t xml:space="preserve">Karkaṭa 27°13′</t>
  </si>
  <si>
    <t xml:space="preserve">Vṛṣabha 08°09′ R</t>
  </si>
  <si>
    <t xml:space="preserve">Makara 10°02′</t>
  </si>
  <si>
    <t xml:space="preserve">Dhanus 14°20′</t>
  </si>
  <si>
    <t xml:space="preserve">Kanyā 08°13′</t>
  </si>
  <si>
    <t xml:space="preserve">Siṃha 15°25′</t>
  </si>
  <si>
    <t xml:space="preserve">Dhanus 12°55′</t>
  </si>
  <si>
    <t xml:space="preserve">Siṃha 02°18′ R</t>
  </si>
  <si>
    <t xml:space="preserve">Tulā 27°33′</t>
  </si>
  <si>
    <t xml:space="preserve">Mīna 14°02′</t>
  </si>
  <si>
    <t xml:space="preserve">Makara 27°14′</t>
  </si>
  <si>
    <t xml:space="preserve">Karkaṭa 27°14′</t>
  </si>
  <si>
    <t xml:space="preserve">Vṛṣabha 08°07′ R</t>
  </si>
  <si>
    <t xml:space="preserve">Mīna 07°28′</t>
  </si>
  <si>
    <t xml:space="preserve">Makara 10°04′</t>
  </si>
  <si>
    <t xml:space="preserve">Dhanus 15°21′</t>
  </si>
  <si>
    <t xml:space="preserve">Kanyā 21°16′</t>
  </si>
  <si>
    <t xml:space="preserve">Siṃha 15°33′</t>
  </si>
  <si>
    <t xml:space="preserve">Dhanus 14°31′</t>
  </si>
  <si>
    <t xml:space="preserve">Siṃha 02°15′ R</t>
  </si>
  <si>
    <t xml:space="preserve">Tulā 28°32′</t>
  </si>
  <si>
    <t xml:space="preserve">Mīna 14°04′</t>
  </si>
  <si>
    <t xml:space="preserve">Vṛṣabha 08°05′ R</t>
  </si>
  <si>
    <t xml:space="preserve">Makara 10°06′</t>
  </si>
  <si>
    <t xml:space="preserve">Dhanus 16°23′</t>
  </si>
  <si>
    <t xml:space="preserve">Tulā 03°59′</t>
  </si>
  <si>
    <t xml:space="preserve">Siṃha 15°40′</t>
  </si>
  <si>
    <t xml:space="preserve">Dhanus 16°07′</t>
  </si>
  <si>
    <t xml:space="preserve">Siṃha 02°11′ R</t>
  </si>
  <si>
    <t xml:space="preserve">Tulā 29°32′</t>
  </si>
  <si>
    <t xml:space="preserve">Mīna 14°06′</t>
  </si>
  <si>
    <t xml:space="preserve">Vṛṣabha 08°03′ R</t>
  </si>
  <si>
    <t xml:space="preserve">Mīna 07°29′</t>
  </si>
  <si>
    <t xml:space="preserve">Makara 10°07′</t>
  </si>
  <si>
    <t xml:space="preserve">Dhanus 17°24′</t>
  </si>
  <si>
    <t xml:space="preserve">Tulā 16°26′</t>
  </si>
  <si>
    <t xml:space="preserve">Siṃha 15°46′</t>
  </si>
  <si>
    <t xml:space="preserve">Dhanus 17°44′</t>
  </si>
  <si>
    <t xml:space="preserve">Siṃha 02°07′ R</t>
  </si>
  <si>
    <t xml:space="preserve">Vṛścika 00°33′</t>
  </si>
  <si>
    <t xml:space="preserve">Mīna 14°09′</t>
  </si>
  <si>
    <t xml:space="preserve">Makara 27°09′</t>
  </si>
  <si>
    <t xml:space="preserve">Karkaṭa 27°09′</t>
  </si>
  <si>
    <t xml:space="preserve">Vṛṣabha 08°02′ R</t>
  </si>
  <si>
    <t xml:space="preserve">Mīna 07°30′</t>
  </si>
  <si>
    <t xml:space="preserve">Makara 10°09′</t>
  </si>
  <si>
    <t xml:space="preserve">Dhanus 18°25′</t>
  </si>
  <si>
    <t xml:space="preserve">Tulā 28°40′</t>
  </si>
  <si>
    <t xml:space="preserve">Siṃha 15°52′</t>
  </si>
  <si>
    <t xml:space="preserve">Dhanus 19°21′</t>
  </si>
  <si>
    <t xml:space="preserve">Siṃha 02°03′ R</t>
  </si>
  <si>
    <t xml:space="preserve">Vṛścika 01°33′</t>
  </si>
  <si>
    <t xml:space="preserve">Mīna 14°11′</t>
  </si>
  <si>
    <t xml:space="preserve">Makara 27°03′</t>
  </si>
  <si>
    <t xml:space="preserve">Karkaṭa 27°03′</t>
  </si>
  <si>
    <t xml:space="preserve">Vṛṣabha 07°00′ R</t>
  </si>
  <si>
    <t xml:space="preserve">Makara 10°11′</t>
  </si>
  <si>
    <t xml:space="preserve">Vṛścika 10°44′</t>
  </si>
  <si>
    <t xml:space="preserve">Siṃha 15°57′</t>
  </si>
  <si>
    <t xml:space="preserve">Dhanus 20°58′</t>
  </si>
  <si>
    <t xml:space="preserve">Siṃha 01°59′ R</t>
  </si>
  <si>
    <t xml:space="preserve">Vṛścika 02°35′</t>
  </si>
  <si>
    <t xml:space="preserve">Mīna 14°14′</t>
  </si>
  <si>
    <t xml:space="preserve">Makara 26°57′</t>
  </si>
  <si>
    <t xml:space="preserve">Karkaṭa 26°57′</t>
  </si>
  <si>
    <t xml:space="preserve">Vṛṣabha 07°58′ R</t>
  </si>
  <si>
    <t xml:space="preserve">Mīna 07°31′</t>
  </si>
  <si>
    <t xml:space="preserve">Makara 10°13′</t>
  </si>
  <si>
    <t xml:space="preserve">Dhanus 20°27′</t>
  </si>
  <si>
    <t xml:space="preserve">Vṛścika 22°42′</t>
  </si>
  <si>
    <t xml:space="preserve">Siṃha 16°01′</t>
  </si>
  <si>
    <t xml:space="preserve">Dhanus 22°35′</t>
  </si>
  <si>
    <t xml:space="preserve">Siṃha 01°55′ R</t>
  </si>
  <si>
    <t xml:space="preserve">Vṛścika 03°36′</t>
  </si>
  <si>
    <t xml:space="preserve">Mīna 14°16′</t>
  </si>
  <si>
    <t xml:space="preserve">Makara 26°50′</t>
  </si>
  <si>
    <t xml:space="preserve">Karkaṭa 26°50′</t>
  </si>
  <si>
    <t xml:space="preserve">Vṛṣabha 07°56′ R</t>
  </si>
  <si>
    <t xml:space="preserve">Mīna 07°32′</t>
  </si>
  <si>
    <t xml:space="preserve">Makara 10°15′</t>
  </si>
  <si>
    <t xml:space="preserve">Dhanus 21°28′</t>
  </si>
  <si>
    <t xml:space="preserve">Dhanus 04°34′</t>
  </si>
  <si>
    <t xml:space="preserve">Siṃha 16°05′</t>
  </si>
  <si>
    <t xml:space="preserve">Dhanus 24°13′</t>
  </si>
  <si>
    <t xml:space="preserve">Siṃha 01°51′ R</t>
  </si>
  <si>
    <t xml:space="preserve">Vṛścika 04°38′</t>
  </si>
  <si>
    <t xml:space="preserve">Mīna 14°19′</t>
  </si>
  <si>
    <t xml:space="preserve">Makara 26°42′</t>
  </si>
  <si>
    <t xml:space="preserve">Karkaṭa 26°42′</t>
  </si>
  <si>
    <t xml:space="preserve">Vṛṣabha 07°55′ R</t>
  </si>
  <si>
    <t xml:space="preserve">Mīna 07°33′</t>
  </si>
  <si>
    <t xml:space="preserve">Makara 10°16′</t>
  </si>
  <si>
    <t xml:space="preserve">Dhanus 22°30′</t>
  </si>
  <si>
    <t xml:space="preserve">Dhanus 16°24′</t>
  </si>
  <si>
    <t xml:space="preserve">Siṃha 16°07′</t>
  </si>
  <si>
    <t xml:space="preserve">Dhanus 25°52′</t>
  </si>
  <si>
    <t xml:space="preserve">Siṃha 01°46′ R</t>
  </si>
  <si>
    <t xml:space="preserve">Mīna 14°22′</t>
  </si>
  <si>
    <t xml:space="preserve">Makara 26°36′</t>
  </si>
  <si>
    <t xml:space="preserve">Karkaṭa 26°36′</t>
  </si>
  <si>
    <t xml:space="preserve">Vṛṣabha 07°53′ R</t>
  </si>
  <si>
    <t xml:space="preserve">Mīna 07°34′</t>
  </si>
  <si>
    <t xml:space="preserve">Makara 10°18′</t>
  </si>
  <si>
    <t xml:space="preserve">Dhanus 23°31′</t>
  </si>
  <si>
    <t xml:space="preserve">Dhanus 28°13′</t>
  </si>
  <si>
    <t xml:space="preserve">Siṃha 16°10′</t>
  </si>
  <si>
    <t xml:space="preserve">Dhanus 27°30′</t>
  </si>
  <si>
    <t xml:space="preserve">Siṃha 01°41′ R</t>
  </si>
  <si>
    <t xml:space="preserve">Vṛścika 06°43′</t>
  </si>
  <si>
    <t xml:space="preserve">Mīna 14°25′</t>
  </si>
  <si>
    <t xml:space="preserve">Makara 26°31′</t>
  </si>
  <si>
    <t xml:space="preserve">Vṛṣabha 07°52′ R</t>
  </si>
  <si>
    <t xml:space="preserve">Mīna 07°35′</t>
  </si>
  <si>
    <t xml:space="preserve">Makara 10°20′</t>
  </si>
  <si>
    <t xml:space="preserve">Dhanus 24°32′</t>
  </si>
  <si>
    <t xml:space="preserve">Makara 10°03′</t>
  </si>
  <si>
    <t xml:space="preserve">Siṃha 16°11′</t>
  </si>
  <si>
    <t xml:space="preserve">Dhanus 29°09′</t>
  </si>
  <si>
    <t xml:space="preserve">Siṃha 01°36′ R</t>
  </si>
  <si>
    <t xml:space="preserve">Mīna 14°28′</t>
  </si>
  <si>
    <t xml:space="preserve">Makara 26°28′</t>
  </si>
  <si>
    <t xml:space="preserve">Karkaṭa 26°28′</t>
  </si>
  <si>
    <t xml:space="preserve">Vṛṣabha 07°50′ R</t>
  </si>
  <si>
    <t xml:space="preserve">Makara 10°22′</t>
  </si>
  <si>
    <t xml:space="preserve">Dhanus 25°33′</t>
  </si>
  <si>
    <t xml:space="preserve">Makara 21°56′</t>
  </si>
  <si>
    <t xml:space="preserve">Makara 00°49′</t>
  </si>
  <si>
    <t xml:space="preserve">Siṃha 01°31′ R</t>
  </si>
  <si>
    <t xml:space="preserve">Vṛścika 08°49′</t>
  </si>
  <si>
    <t xml:space="preserve">Mīna 14°31′</t>
  </si>
  <si>
    <t xml:space="preserve">Makara 26°27′</t>
  </si>
  <si>
    <t xml:space="preserve">Karkaṭa 26°27′</t>
  </si>
  <si>
    <t xml:space="preserve">Vṛṣabha 07°49′ R</t>
  </si>
  <si>
    <t xml:space="preserve">Mīna 07°36′</t>
  </si>
  <si>
    <t xml:space="preserve">Makara 10°24′</t>
  </si>
  <si>
    <t xml:space="preserve">Dhanus 26°34′</t>
  </si>
  <si>
    <t xml:space="preserve">Kumbha 03°54′</t>
  </si>
  <si>
    <t xml:space="preserve">Siṃha 16°11′ R</t>
  </si>
  <si>
    <t xml:space="preserve">Makara 02°28′</t>
  </si>
  <si>
    <t xml:space="preserve">Siṃha 01°26′ R</t>
  </si>
  <si>
    <t xml:space="preserve">Vṛścika 09°53′</t>
  </si>
  <si>
    <t xml:space="preserve">Mīna 14°34′</t>
  </si>
  <si>
    <t xml:space="preserve">Vṛṣabha 07°47′ R</t>
  </si>
  <si>
    <t xml:space="preserve">Mīna 07°37′</t>
  </si>
  <si>
    <t xml:space="preserve">Makara 10°26′</t>
  </si>
  <si>
    <t xml:space="preserve">Dhanus 27°35′</t>
  </si>
  <si>
    <t xml:space="preserve">Kumbha 15°00′</t>
  </si>
  <si>
    <t xml:space="preserve">Siṃha 16°10′ R</t>
  </si>
  <si>
    <t xml:space="preserve">Makara 04°09′</t>
  </si>
  <si>
    <t xml:space="preserve">Siṃha 01°20′ R</t>
  </si>
  <si>
    <t xml:space="preserve">Vṛścika 10°57′</t>
  </si>
  <si>
    <t xml:space="preserve">Mīna 14°38′</t>
  </si>
  <si>
    <t xml:space="preserve">Vṛṣabha 07°46′ R</t>
  </si>
  <si>
    <t xml:space="preserve">Mīna 07°38′</t>
  </si>
  <si>
    <t xml:space="preserve">Makara 10°27′</t>
  </si>
  <si>
    <t xml:space="preserve">Dhanus 28°36′</t>
  </si>
  <si>
    <t xml:space="preserve">Kumbha 28°18′</t>
  </si>
  <si>
    <t xml:space="preserve">Siṃha 16°09′ R</t>
  </si>
  <si>
    <t xml:space="preserve">Makara 05°49′</t>
  </si>
  <si>
    <t xml:space="preserve">Siṃha 01°14′ R</t>
  </si>
  <si>
    <t xml:space="preserve">Vṛścika 12°01′</t>
  </si>
  <si>
    <t xml:space="preserve">Mīna 14°41′</t>
  </si>
  <si>
    <t xml:space="preserve">Makara 26°30′</t>
  </si>
  <si>
    <t xml:space="preserve">Karkaṭa 26°30′</t>
  </si>
  <si>
    <t xml:space="preserve">Vṛṣabha 07°44′ R</t>
  </si>
  <si>
    <t xml:space="preserve">Mīna 07°39′</t>
  </si>
  <si>
    <t xml:space="preserve">Makara 10°29′</t>
  </si>
  <si>
    <t xml:space="preserve">Dhanus 29°38′</t>
  </si>
  <si>
    <t xml:space="preserve">Mīna 10°51′</t>
  </si>
  <si>
    <t xml:space="preserve">Siṃha 16°06′ R</t>
  </si>
  <si>
    <t xml:space="preserve">Makara 07°30′</t>
  </si>
  <si>
    <t xml:space="preserve">Siṃha 01°09′ R</t>
  </si>
  <si>
    <t xml:space="preserve">Vṛścika 13°06′</t>
  </si>
  <si>
    <t xml:space="preserve">Mīna 14°45′</t>
  </si>
  <si>
    <t xml:space="preserve">Makara 26°32′</t>
  </si>
  <si>
    <t xml:space="preserve">Karkaṭa 26°32′</t>
  </si>
  <si>
    <t xml:space="preserve">Vṛṣabha 07°43′ R</t>
  </si>
  <si>
    <t xml:space="preserve">Mīna 07°41′</t>
  </si>
  <si>
    <t xml:space="preserve">Makara 10°31′</t>
  </si>
  <si>
    <t xml:space="preserve">Makara 00°39′</t>
  </si>
  <si>
    <t xml:space="preserve">Mīna 23°43′</t>
  </si>
  <si>
    <t xml:space="preserve">Siṃha 16°03′ R</t>
  </si>
  <si>
    <t xml:space="preserve">Siṃha 01°03′ R</t>
  </si>
  <si>
    <t xml:space="preserve">Vṛścika 14°11′</t>
  </si>
  <si>
    <t xml:space="preserve">Mīna 14°48′</t>
  </si>
  <si>
    <t xml:space="preserve">Makara 26°33′</t>
  </si>
  <si>
    <t xml:space="preserve">Vṛṣabha 07°42′ R</t>
  </si>
  <si>
    <t xml:space="preserve">Mīna 07°42′</t>
  </si>
  <si>
    <t xml:space="preserve">Makara 10°33′</t>
  </si>
  <si>
    <t xml:space="preserve">Makara 01°40′</t>
  </si>
  <si>
    <t xml:space="preserve">Meṣa 06°58′</t>
  </si>
  <si>
    <t xml:space="preserve">Siṃha 15°59′ R</t>
  </si>
  <si>
    <t xml:space="preserve">Makara 10°52′</t>
  </si>
  <si>
    <t xml:space="preserve">Siṃha 00°57′ R</t>
  </si>
  <si>
    <t xml:space="preserve">Vṛścika 15°16′</t>
  </si>
  <si>
    <t xml:space="preserve">Mīna 14°52′</t>
  </si>
  <si>
    <t xml:space="preserve">Vṛṣabha 07°41′ R</t>
  </si>
  <si>
    <t xml:space="preserve">Mīna 07°43′</t>
  </si>
  <si>
    <t xml:space="preserve">Makara 10°35′</t>
  </si>
  <si>
    <t xml:space="preserve">Makara 02°41′</t>
  </si>
  <si>
    <t xml:space="preserve">Meṣa 20°38′</t>
  </si>
  <si>
    <t xml:space="preserve">Siṃha 15°54′ R</t>
  </si>
  <si>
    <t xml:space="preserve">Makara 12°33′</t>
  </si>
  <si>
    <t xml:space="preserve">Siṃha 00°51′ R</t>
  </si>
  <si>
    <t xml:space="preserve">Mīna 14°56′</t>
  </si>
  <si>
    <t xml:space="preserve">Vṛṣabha 07°40′ R</t>
  </si>
  <si>
    <t xml:space="preserve">Mīna 07°44′</t>
  </si>
  <si>
    <t xml:space="preserve">Makara 10°37′</t>
  </si>
  <si>
    <t xml:space="preserve">Makara 03°42′</t>
  </si>
  <si>
    <t xml:space="preserve">Vṛṣabha 04°46′</t>
  </si>
  <si>
    <t xml:space="preserve">Siṃha 15°48′ R</t>
  </si>
  <si>
    <t xml:space="preserve">Makara 14°14′</t>
  </si>
  <si>
    <t xml:space="preserve">Siṃha 00°44′ R</t>
  </si>
  <si>
    <t xml:space="preserve">Vṛścika 17°27′</t>
  </si>
  <si>
    <t xml:space="preserve">Mīna 14°00′</t>
  </si>
  <si>
    <t xml:space="preserve">Makara 26°29′</t>
  </si>
  <si>
    <t xml:space="preserve">Karkaṭa 26°29′</t>
  </si>
  <si>
    <t xml:space="preserve">Vṛṣabha 07°38′ R</t>
  </si>
  <si>
    <t xml:space="preserve">Mīna 07°45′</t>
  </si>
  <si>
    <t xml:space="preserve">Makara 10°39′</t>
  </si>
  <si>
    <t xml:space="preserve">Makara 04°43′</t>
  </si>
  <si>
    <t xml:space="preserve">Vṛṣabha 19°18′</t>
  </si>
  <si>
    <t xml:space="preserve">Siṃha 15°42′ R</t>
  </si>
  <si>
    <t xml:space="preserve">Makara 15°56′</t>
  </si>
  <si>
    <t xml:space="preserve">Siṃha 00°38′ R</t>
  </si>
  <si>
    <t xml:space="preserve">Vṛścika 18°32′</t>
  </si>
  <si>
    <t xml:space="preserve">Mīna 15°04′</t>
  </si>
  <si>
    <t xml:space="preserve">Makara 26°26′</t>
  </si>
  <si>
    <t xml:space="preserve">Karkaṭa 26°26′</t>
  </si>
  <si>
    <t xml:space="preserve">Vṛṣabha 07°37′ R</t>
  </si>
  <si>
    <t xml:space="preserve">Mīna 07°46′</t>
  </si>
  <si>
    <t xml:space="preserve">Makara 10°41′</t>
  </si>
  <si>
    <t xml:space="preserve">Makara 05°44′</t>
  </si>
  <si>
    <t xml:space="preserve">Mithuna 04°13′</t>
  </si>
  <si>
    <t xml:space="preserve">Siṃha 15°34′ R</t>
  </si>
  <si>
    <t xml:space="preserve">Makara 17°37′</t>
  </si>
  <si>
    <t xml:space="preserve">Siṃha 00°31′ R</t>
  </si>
  <si>
    <t xml:space="preserve">Vṛścika 19°38′</t>
  </si>
  <si>
    <t xml:space="preserve">Mīna 15°08′</t>
  </si>
  <si>
    <t xml:space="preserve">Makara 26°23′</t>
  </si>
  <si>
    <t xml:space="preserve">Karkaṭa 26°23′</t>
  </si>
  <si>
    <t xml:space="preserve">Vṛṣabha 07°36′ R</t>
  </si>
  <si>
    <t xml:space="preserve">Mīna 07°48′</t>
  </si>
  <si>
    <t xml:space="preserve">Makara 10°43′</t>
  </si>
  <si>
    <t xml:space="preserve">Makara 06°45′</t>
  </si>
  <si>
    <t xml:space="preserve">Mithuna 19°21′</t>
  </si>
  <si>
    <t xml:space="preserve">Siṃha 15°26′ R</t>
  </si>
  <si>
    <t xml:space="preserve">Makara 19°17′</t>
  </si>
  <si>
    <t xml:space="preserve">Siṃha 00°25′ R</t>
  </si>
  <si>
    <t xml:space="preserve">Vṛścika 20°45′</t>
  </si>
  <si>
    <t xml:space="preserve">Mīna 15°12′</t>
  </si>
  <si>
    <t xml:space="preserve">Makara 26°21′</t>
  </si>
  <si>
    <t xml:space="preserve">Karkaṭa 26°21′</t>
  </si>
  <si>
    <t xml:space="preserve">Vṛṣabha 07°35′ R</t>
  </si>
  <si>
    <t xml:space="preserve">Mīna 07°49′</t>
  </si>
  <si>
    <t xml:space="preserve">Makara 10°44′</t>
  </si>
  <si>
    <t xml:space="preserve">Makara 07°46′</t>
  </si>
  <si>
    <t xml:space="preserve">Karkaṭa 04°34′</t>
  </si>
  <si>
    <t xml:space="preserve">Siṃha 15°17′ R</t>
  </si>
  <si>
    <t xml:space="preserve">Makara 20°58′</t>
  </si>
  <si>
    <t xml:space="preserve">Siṃha 00°18′ R</t>
  </si>
  <si>
    <t xml:space="preserve">Vṛścika 21°51′</t>
  </si>
  <si>
    <t xml:space="preserve">Mīna 15°16′</t>
  </si>
  <si>
    <t xml:space="preserve">Makara 26°19′</t>
  </si>
  <si>
    <t xml:space="preserve">Karkaṭa 26°19′</t>
  </si>
  <si>
    <t xml:space="preserve">Vṛṣabha 07°34′ R</t>
  </si>
  <si>
    <t xml:space="preserve">Mīna 07°50′</t>
  </si>
  <si>
    <t xml:space="preserve">Makara 10°46′</t>
  </si>
  <si>
    <t xml:space="preserve">Makara 08°47′</t>
  </si>
  <si>
    <t xml:space="preserve">Karkaṭa 19°43′</t>
  </si>
  <si>
    <t xml:space="preserve">Siṃha 15°08′ R</t>
  </si>
  <si>
    <t xml:space="preserve">Makara 22°37′</t>
  </si>
  <si>
    <t xml:space="preserve">Siṃha 00°11′ R</t>
  </si>
  <si>
    <t xml:space="preserve">Mīna 15°21′</t>
  </si>
  <si>
    <t xml:space="preserve">Makara 26°18′</t>
  </si>
  <si>
    <t xml:space="preserve">Karkaṭa 26°18′</t>
  </si>
  <si>
    <t xml:space="preserve">Mīna 07°52′</t>
  </si>
  <si>
    <t xml:space="preserve">Makara 10°48′</t>
  </si>
  <si>
    <t xml:space="preserve">Makara 09°48′</t>
  </si>
  <si>
    <t xml:space="preserve">Siṃha 04°37′</t>
  </si>
  <si>
    <t xml:space="preserve">Siṃha 14°57′ R</t>
  </si>
  <si>
    <t xml:space="preserve">Makara 24°15′</t>
  </si>
  <si>
    <t xml:space="preserve">Siṃha 00°04′ R</t>
  </si>
  <si>
    <t xml:space="preserve">Mīna 15°25′</t>
  </si>
  <si>
    <t xml:space="preserve">Vṛṣabha 07°33′ R</t>
  </si>
  <si>
    <t xml:space="preserve">Mīna 07°53′</t>
  </si>
  <si>
    <t xml:space="preserve">Makara 10°50′</t>
  </si>
  <si>
    <t xml:space="preserve">Makara 10°49′</t>
  </si>
  <si>
    <t xml:space="preserve">Siṃha 19°09′</t>
  </si>
  <si>
    <t xml:space="preserve">Siṃha 14°46′ R</t>
  </si>
  <si>
    <t xml:space="preserve">Makara 25°53′</t>
  </si>
  <si>
    <t xml:space="preserve">Karkaṭa 29°57′ R</t>
  </si>
  <si>
    <t xml:space="preserve">Vṛścika 25°12′</t>
  </si>
  <si>
    <t xml:space="preserve">Mīna 15°30′</t>
  </si>
  <si>
    <t xml:space="preserve">Vṛṣabha 07°32′ R</t>
  </si>
  <si>
    <t xml:space="preserve">Mīna 07°54′</t>
  </si>
  <si>
    <t xml:space="preserve">Makara 11°50′</t>
  </si>
  <si>
    <t xml:space="preserve">Kanyā 03°16′</t>
  </si>
  <si>
    <t xml:space="preserve">Siṃha 14°34′ R</t>
  </si>
  <si>
    <t xml:space="preserve">Makara 27°28′</t>
  </si>
  <si>
    <t xml:space="preserve">Karkaṭa 29°50′ R</t>
  </si>
  <si>
    <t xml:space="preserve">Vṛścika 26°19′</t>
  </si>
  <si>
    <t xml:space="preserve">Mīna 15°34′</t>
  </si>
  <si>
    <t xml:space="preserve">Makara 26°20′</t>
  </si>
  <si>
    <t xml:space="preserve">Karkaṭa 26°20′</t>
  </si>
  <si>
    <t xml:space="preserve">Vṛṣabha 07°31′ R</t>
  </si>
  <si>
    <t xml:space="preserve">Mīna 07°56′</t>
  </si>
  <si>
    <t xml:space="preserve">Makara 10°54′</t>
  </si>
  <si>
    <t xml:space="preserve">Makara 12°51′</t>
  </si>
  <si>
    <t xml:space="preserve">Kanyā 16°55′</t>
  </si>
  <si>
    <t xml:space="preserve">Siṃha 14°21′ R</t>
  </si>
  <si>
    <t xml:space="preserve">Makara 29°02′</t>
  </si>
  <si>
    <t xml:space="preserve">Karkaṭa 29°42′ R</t>
  </si>
  <si>
    <t xml:space="preserve">Vṛścika 27°27′</t>
  </si>
  <si>
    <t xml:space="preserve">Mīna 15°39′</t>
  </si>
  <si>
    <t xml:space="preserve">Mīna 07°57′</t>
  </si>
  <si>
    <t xml:space="preserve">Makara 10°56′</t>
  </si>
  <si>
    <t xml:space="preserve">Makara 13°52′</t>
  </si>
  <si>
    <t xml:space="preserve">Tulā 00°07′</t>
  </si>
  <si>
    <t xml:space="preserve">Siṃha 14°08′ R</t>
  </si>
  <si>
    <t xml:space="preserve">Kumbha 00°33′</t>
  </si>
  <si>
    <t xml:space="preserve">Karkaṭa 29°35′ R</t>
  </si>
  <si>
    <t xml:space="preserve">Vṛścika 28°34′</t>
  </si>
  <si>
    <t xml:space="preserve">Mīna 15°44′</t>
  </si>
  <si>
    <t xml:space="preserve">Makara 26°22′</t>
  </si>
  <si>
    <t xml:space="preserve">Karkaṭa 26°22′</t>
  </si>
  <si>
    <t xml:space="preserve">Vṛṣabha 07°30′ R</t>
  </si>
  <si>
    <t xml:space="preserve">Mīna 07°59′</t>
  </si>
  <si>
    <t xml:space="preserve">Makara 10°58′</t>
  </si>
  <si>
    <t xml:space="preserve">Makara 14°53′</t>
  </si>
  <si>
    <t xml:space="preserve">Tulā 12°56′</t>
  </si>
  <si>
    <t xml:space="preserve">Siṃha 13°53′ R</t>
  </si>
  <si>
    <t xml:space="preserve">Kumbha 02°01′</t>
  </si>
  <si>
    <t xml:space="preserve">Karkaṭa 29°27′ R</t>
  </si>
  <si>
    <t xml:space="preserve">Vṛścika 29°42′</t>
  </si>
  <si>
    <t xml:space="preserve">Mīna 15°48′</t>
  </si>
  <si>
    <t xml:space="preserve">Vṛṣabha 07°29′ R</t>
  </si>
  <si>
    <t xml:space="preserve">Mīna 08°00′</t>
  </si>
  <si>
    <t xml:space="preserve">Makara 15°54′</t>
  </si>
  <si>
    <t xml:space="preserve">Tulā 25°24′</t>
  </si>
  <si>
    <t xml:space="preserve">Siṃha 13°38′ R</t>
  </si>
  <si>
    <t xml:space="preserve">Kumbha 03°26′</t>
  </si>
  <si>
    <t xml:space="preserve">Karkaṭa 29°20′ R</t>
  </si>
  <si>
    <t xml:space="preserve">Dhanus 00°50′</t>
  </si>
  <si>
    <t xml:space="preserve">Mīna 15°53′</t>
  </si>
  <si>
    <t xml:space="preserve">Mīna 08°02′</t>
  </si>
  <si>
    <t xml:space="preserve">Makara 11°02′</t>
  </si>
  <si>
    <t xml:space="preserve">Makara 16°55′</t>
  </si>
  <si>
    <t xml:space="preserve">Vṛścika 07°36′</t>
  </si>
  <si>
    <t xml:space="preserve">Siṃha 13°23′ R</t>
  </si>
  <si>
    <t xml:space="preserve">Kumbha 04°47′</t>
  </si>
  <si>
    <t xml:space="preserve">Karkaṭa 29°12′ R</t>
  </si>
  <si>
    <t xml:space="preserve">Dhanus 01°58′</t>
  </si>
  <si>
    <t xml:space="preserve">Mīna 15°58′</t>
  </si>
  <si>
    <t xml:space="preserve">Vṛṣabha 07°28′ R</t>
  </si>
  <si>
    <t xml:space="preserve">Mīna 08°03′</t>
  </si>
  <si>
    <t xml:space="preserve">Makara 11°03′</t>
  </si>
  <si>
    <t xml:space="preserve">Makara 17°56′</t>
  </si>
  <si>
    <t xml:space="preserve">Vṛścika 19°36′</t>
  </si>
  <si>
    <t xml:space="preserve">Siṃha 13°06′ R</t>
  </si>
  <si>
    <t xml:space="preserve">Kumbha 06°02′</t>
  </si>
  <si>
    <t xml:space="preserve">Karkaṭa 29°05′ R</t>
  </si>
  <si>
    <t xml:space="preserve">Dhanus 03°07′</t>
  </si>
  <si>
    <t xml:space="preserve">Mīna 16°03′</t>
  </si>
  <si>
    <t xml:space="preserve">Mīna 08°05′</t>
  </si>
  <si>
    <t xml:space="preserve">Makara 11°05′</t>
  </si>
  <si>
    <t xml:space="preserve">Makara 18°57′</t>
  </si>
  <si>
    <t xml:space="preserve">Dhanus 01°29′</t>
  </si>
  <si>
    <t xml:space="preserve">Siṃha 12°49′ R</t>
  </si>
  <si>
    <t xml:space="preserve">Kumbha 07°13′</t>
  </si>
  <si>
    <t xml:space="preserve">Karkaṭa 28°57′ R</t>
  </si>
  <si>
    <t xml:space="preserve">Dhanus 04°15′</t>
  </si>
  <si>
    <t xml:space="preserve">Mīna 16°09′</t>
  </si>
  <si>
    <t xml:space="preserve">Mīna 08°07′</t>
  </si>
  <si>
    <t xml:space="preserve">Makara 11°07′</t>
  </si>
  <si>
    <t xml:space="preserve">Makara 19°58′</t>
  </si>
  <si>
    <t xml:space="preserve">Dhanus 13°18′</t>
  </si>
  <si>
    <t xml:space="preserve">Siṃha 12°31′ R</t>
  </si>
  <si>
    <t xml:space="preserve">Kumbha 08°16′</t>
  </si>
  <si>
    <t xml:space="preserve">Karkaṭa 28°49′ R</t>
  </si>
  <si>
    <t xml:space="preserve">Dhanus 05°24′</t>
  </si>
  <si>
    <t xml:space="preserve">Mīna 16°14′</t>
  </si>
  <si>
    <t xml:space="preserve">Vṛṣabha 07°27′ R</t>
  </si>
  <si>
    <t xml:space="preserve">Mīna 08°08′</t>
  </si>
  <si>
    <t xml:space="preserve">Makara 11°09′</t>
  </si>
  <si>
    <t xml:space="preserve">Makara 20°59′</t>
  </si>
  <si>
    <t xml:space="preserve">Dhanus 25°06′</t>
  </si>
  <si>
    <t xml:space="preserve">Siṃha 12°12′ R</t>
  </si>
  <si>
    <t xml:space="preserve">Kumbha 09°13′</t>
  </si>
  <si>
    <t xml:space="preserve">Karkaṭa 28°41′ R</t>
  </si>
  <si>
    <t xml:space="preserve">Dhanus 06°33′</t>
  </si>
  <si>
    <t xml:space="preserve">Mīna 16°19′</t>
  </si>
  <si>
    <t xml:space="preserve">Mīna 08°10′</t>
  </si>
  <si>
    <t xml:space="preserve">Makara 11°11′</t>
  </si>
  <si>
    <t xml:space="preserve">Makara 21°59′</t>
  </si>
  <si>
    <t xml:space="preserve">Makara 06°57′</t>
  </si>
  <si>
    <t xml:space="preserve">Siṃha 11°53′ R</t>
  </si>
  <si>
    <t xml:space="preserve">Kumbha 10°02′</t>
  </si>
  <si>
    <t xml:space="preserve">Karkaṭa 28°34′ R</t>
  </si>
  <si>
    <t xml:space="preserve">Dhanus 07°42′</t>
  </si>
  <si>
    <t xml:space="preserve">Mīna 16°25′</t>
  </si>
  <si>
    <t xml:space="preserve">Makara 26°17′</t>
  </si>
  <si>
    <t xml:space="preserve">Karkaṭa 26°17′</t>
  </si>
  <si>
    <t xml:space="preserve">Mīna 08°11′</t>
  </si>
  <si>
    <t xml:space="preserve">Makara 11°13′</t>
  </si>
  <si>
    <t xml:space="preserve">Makara 23°00′</t>
  </si>
  <si>
    <t xml:space="preserve">Makara 18°52′</t>
  </si>
  <si>
    <t xml:space="preserve">Siṃha 11°34′ R</t>
  </si>
  <si>
    <t xml:space="preserve">Kumbha 10°42′</t>
  </si>
  <si>
    <t xml:space="preserve">Karkaṭa 28°26′ R</t>
  </si>
  <si>
    <t xml:space="preserve">Dhanus 08°51′</t>
  </si>
  <si>
    <t xml:space="preserve">Mīna 16°30′</t>
  </si>
  <si>
    <t xml:space="preserve">Mīna 08°13′</t>
  </si>
  <si>
    <t xml:space="preserve">Makara 11°15′</t>
  </si>
  <si>
    <t xml:space="preserve">Makara 24°01′</t>
  </si>
  <si>
    <t xml:space="preserve">Siṃha 11°13′ R</t>
  </si>
  <si>
    <t xml:space="preserve">Kumbha 11°13′</t>
  </si>
  <si>
    <t xml:space="preserve">Karkaṭa 28°18′ R</t>
  </si>
  <si>
    <t xml:space="preserve">Dhanus 09°00′</t>
  </si>
  <si>
    <t xml:space="preserve">Mīna 16°35′</t>
  </si>
  <si>
    <t xml:space="preserve">Mīna 08°15′</t>
  </si>
  <si>
    <t xml:space="preserve">Makara 11°17′</t>
  </si>
  <si>
    <t xml:space="preserve">Makara 25°02′</t>
  </si>
  <si>
    <t xml:space="preserve">Kumbha 13°03′</t>
  </si>
  <si>
    <t xml:space="preserve">Siṃha 10°53′ R</t>
  </si>
  <si>
    <t xml:space="preserve">Kumbha 11°33′</t>
  </si>
  <si>
    <t xml:space="preserve">Karkaṭa 28°10′ R</t>
  </si>
  <si>
    <t xml:space="preserve">Dhanus 11°09′</t>
  </si>
  <si>
    <t xml:space="preserve">Mīna 16°41′</t>
  </si>
  <si>
    <t xml:space="preserve">Mīna 08°17′</t>
  </si>
  <si>
    <t xml:space="preserve">Makara 11°19′</t>
  </si>
  <si>
    <t xml:space="preserve">Makara 26°03′</t>
  </si>
  <si>
    <t xml:space="preserve">Kumbha 25°23′</t>
  </si>
  <si>
    <t xml:space="preserve">Siṃha 10°31′ R</t>
  </si>
  <si>
    <t xml:space="preserve">Kumbha 11°43′</t>
  </si>
  <si>
    <t xml:space="preserve">Karkaṭa 28°02′ R</t>
  </si>
  <si>
    <t xml:space="preserve">Mīna 16°47′</t>
  </si>
  <si>
    <t xml:space="preserve">Vṛṣabha 07°27′</t>
  </si>
  <si>
    <t xml:space="preserve">Mīna 08°18′</t>
  </si>
  <si>
    <t xml:space="preserve">Makara 11°20′</t>
  </si>
  <si>
    <t xml:space="preserve">Siṃha 10°10′ R</t>
  </si>
  <si>
    <t xml:space="preserve">Kumbha 11°43′ R</t>
  </si>
  <si>
    <t xml:space="preserve">Karkaṭa 27°54′ R</t>
  </si>
  <si>
    <t xml:space="preserve">Dhanus 13°28′</t>
  </si>
  <si>
    <t xml:space="preserve">Mīna 16°52′</t>
  </si>
  <si>
    <t xml:space="preserve">Mīna 08°20′</t>
  </si>
  <si>
    <t xml:space="preserve">Makara 11°22′</t>
  </si>
  <si>
    <t xml:space="preserve">Makara 28°04′</t>
  </si>
  <si>
    <t xml:space="preserve">Mīna 20°38′</t>
  </si>
  <si>
    <t xml:space="preserve">Siṃha 09°47′ R</t>
  </si>
  <si>
    <t xml:space="preserve">Kumbha 11°31′ R</t>
  </si>
  <si>
    <t xml:space="preserve">Karkaṭa 27°46′ R</t>
  </si>
  <si>
    <t xml:space="preserve">Dhanus 14°38′</t>
  </si>
  <si>
    <t xml:space="preserve">Mīna 16°58′</t>
  </si>
  <si>
    <t xml:space="preserve">Mīna 08°22′</t>
  </si>
  <si>
    <t xml:space="preserve">Makara 11°24′</t>
  </si>
  <si>
    <t xml:space="preserve">Makara 29°05′</t>
  </si>
  <si>
    <t xml:space="preserve">Meṣa 03°38′</t>
  </si>
  <si>
    <t xml:space="preserve">Siṃha 09°25′ R</t>
  </si>
  <si>
    <t xml:space="preserve">Kumbha 11°09′ R</t>
  </si>
  <si>
    <t xml:space="preserve">Karkaṭa 27°38′ R</t>
  </si>
  <si>
    <t xml:space="preserve">Dhanus 15°47′</t>
  </si>
  <si>
    <t xml:space="preserve">Mīna 17°04′</t>
  </si>
  <si>
    <t xml:space="preserve">Mīna 08°24′</t>
  </si>
  <si>
    <t xml:space="preserve">Makara 11°26′</t>
  </si>
  <si>
    <t xml:space="preserve">Kumbha 00°06′</t>
  </si>
  <si>
    <t xml:space="preserve">Meṣa 16°56′</t>
  </si>
  <si>
    <t xml:space="preserve">Siṃha 09°02′ R</t>
  </si>
  <si>
    <t xml:space="preserve">Kumbha 10°37′ R</t>
  </si>
  <si>
    <t xml:space="preserve">Karkaṭa 27°30′ R</t>
  </si>
  <si>
    <t xml:space="preserve">Dhanus 16°57′</t>
  </si>
  <si>
    <t xml:space="preserve">Mīna 17°10′</t>
  </si>
  <si>
    <t xml:space="preserve">Mīna 08°26′</t>
  </si>
  <si>
    <t xml:space="preserve">Makara 11°28′</t>
  </si>
  <si>
    <t xml:space="preserve">Kumbha 01°06′</t>
  </si>
  <si>
    <t xml:space="preserve">Vṛṣabha 00°31′</t>
  </si>
  <si>
    <t xml:space="preserve">Siṃha 08°39′ R</t>
  </si>
  <si>
    <t xml:space="preserve">Kumbha 09°56′ R</t>
  </si>
  <si>
    <t xml:space="preserve">Karkaṭa 27°22′ R</t>
  </si>
  <si>
    <t xml:space="preserve">Dhanus 18°07′</t>
  </si>
  <si>
    <t xml:space="preserve">Mīna 17°16′</t>
  </si>
  <si>
    <t xml:space="preserve">Mīna 08°28′</t>
  </si>
  <si>
    <t xml:space="preserve">Makara 11°30′</t>
  </si>
  <si>
    <t xml:space="preserve">Kumbha 02°07′</t>
  </si>
  <si>
    <t xml:space="preserve">Vṛṣabha 14°26′</t>
  </si>
  <si>
    <t xml:space="preserve">Siṃha 08°16′ R</t>
  </si>
  <si>
    <t xml:space="preserve">Kumbha 09°06′ R</t>
  </si>
  <si>
    <t xml:space="preserve">Karkaṭa 27°14′ R</t>
  </si>
  <si>
    <t xml:space="preserve">Dhanus 19°17′</t>
  </si>
  <si>
    <t xml:space="preserve">Mīna 17°22′</t>
  </si>
  <si>
    <t xml:space="preserve">Vṛṣabha 07°28′</t>
  </si>
  <si>
    <t xml:space="preserve">Mīna 08°30′</t>
  </si>
  <si>
    <t xml:space="preserve">Makara 11°31′</t>
  </si>
  <si>
    <t xml:space="preserve">Kumbha 03°07′</t>
  </si>
  <si>
    <t xml:space="preserve">Vṛṣabha 28°40′</t>
  </si>
  <si>
    <t xml:space="preserve">Siṃha 07°52′ R</t>
  </si>
  <si>
    <t xml:space="preserve">Kumbha 08°09′ R</t>
  </si>
  <si>
    <t xml:space="preserve">Karkaṭa 27°06′ R</t>
  </si>
  <si>
    <t xml:space="preserve">Mīna 17°28′</t>
  </si>
  <si>
    <t xml:space="preserve">Mīna 08°31′</t>
  </si>
  <si>
    <t xml:space="preserve">Makara 11°33′</t>
  </si>
  <si>
    <t xml:space="preserve">Kumbha 04°08′</t>
  </si>
  <si>
    <t xml:space="preserve">Mithuna 13°12′</t>
  </si>
  <si>
    <t xml:space="preserve">Siṃha 07°28′ R</t>
  </si>
  <si>
    <t xml:space="preserve">Kumbha 07°07′ R</t>
  </si>
  <si>
    <t xml:space="preserve">Karkaṭa 26°58′ R</t>
  </si>
  <si>
    <t xml:space="preserve">Dhanus 21°37′</t>
  </si>
  <si>
    <t xml:space="preserve">Mīna 17°34′</t>
  </si>
  <si>
    <t xml:space="preserve">Vṛṣabha 07°29′</t>
  </si>
  <si>
    <t xml:space="preserve">Mīna 08°33′</t>
  </si>
  <si>
    <t xml:space="preserve">Makara 11°35′</t>
  </si>
  <si>
    <t xml:space="preserve">Kumbha 05°09′</t>
  </si>
  <si>
    <t xml:space="preserve">Mithuna 27°56′</t>
  </si>
  <si>
    <t xml:space="preserve">Siṃha 07°05′ R</t>
  </si>
  <si>
    <t xml:space="preserve">Kumbha 06°01′ R</t>
  </si>
  <si>
    <t xml:space="preserve">Karkaṭa 26°51′ R</t>
  </si>
  <si>
    <t xml:space="preserve">Dhanus 22°48′</t>
  </si>
  <si>
    <t xml:space="preserve">Mīna 17°40′</t>
  </si>
  <si>
    <t xml:space="preserve">Mīna 08°35′</t>
  </si>
  <si>
    <t xml:space="preserve">Makara 11°37′</t>
  </si>
  <si>
    <t xml:space="preserve">Kumbha 06°09′</t>
  </si>
  <si>
    <t xml:space="preserve">Karkaṭa 12°48′</t>
  </si>
  <si>
    <t xml:space="preserve">Siṃha 06°41′ R</t>
  </si>
  <si>
    <t xml:space="preserve">Kumbha 04°53′ R</t>
  </si>
  <si>
    <t xml:space="preserve">Karkaṭa 26°43′ R</t>
  </si>
  <si>
    <t xml:space="preserve">Dhanus 23°58′</t>
  </si>
  <si>
    <t xml:space="preserve">Mīna 17°47′</t>
  </si>
  <si>
    <t xml:space="preserve">Vṛṣabha 07°30′</t>
  </si>
  <si>
    <t xml:space="preserve">Mīna 08°37′</t>
  </si>
  <si>
    <t xml:space="preserve">Makara 11°39′</t>
  </si>
  <si>
    <t xml:space="preserve">Kumbha 07°10′</t>
  </si>
  <si>
    <t xml:space="preserve">Karkaṭa 27°41′</t>
  </si>
  <si>
    <t xml:space="preserve">Siṃha 06°17′ R</t>
  </si>
  <si>
    <t xml:space="preserve">Kumbha 03°45′ R</t>
  </si>
  <si>
    <t xml:space="preserve">Karkaṭa 26°35′ R</t>
  </si>
  <si>
    <t xml:space="preserve">Dhanus 25°09′</t>
  </si>
  <si>
    <t xml:space="preserve">Mīna 17°53′</t>
  </si>
  <si>
    <t xml:space="preserve">Mīna 08°39′</t>
  </si>
  <si>
    <t xml:space="preserve">Makara 11°40′</t>
  </si>
  <si>
    <t xml:space="preserve">Kumbha 08°10′</t>
  </si>
  <si>
    <t xml:space="preserve">Siṃha 12°26′</t>
  </si>
  <si>
    <t xml:space="preserve">Siṃha 05°53′ R</t>
  </si>
  <si>
    <t xml:space="preserve">Kumbha 02°39′ R</t>
  </si>
  <si>
    <t xml:space="preserve">Karkaṭa 26°27′ R</t>
  </si>
  <si>
    <t xml:space="preserve">Dhanus 26°19′</t>
  </si>
  <si>
    <t xml:space="preserve">Mīna 17°59′</t>
  </si>
  <si>
    <t xml:space="preserve">Vṛṣabha 07°31′</t>
  </si>
  <si>
    <t xml:space="preserve">Mīna 08°41′</t>
  </si>
  <si>
    <t xml:space="preserve">Makara 11°42′</t>
  </si>
  <si>
    <t xml:space="preserve">Kumbha 09°10′</t>
  </si>
  <si>
    <t xml:space="preserve">Siṃha 26°56′</t>
  </si>
  <si>
    <t xml:space="preserve">Siṃha 05°29′ R</t>
  </si>
  <si>
    <t xml:space="preserve">Kumbha 01°36′ R</t>
  </si>
  <si>
    <t xml:space="preserve">Karkaṭa 26°20′ R</t>
  </si>
  <si>
    <t xml:space="preserve">Mīna 18°06′</t>
  </si>
  <si>
    <t xml:space="preserve">Vṛṣabha 07°32′</t>
  </si>
  <si>
    <t xml:space="preserve">Mīna 08°43′</t>
  </si>
  <si>
    <t xml:space="preserve">Makara 11°44′</t>
  </si>
  <si>
    <t xml:space="preserve">Kumbha 10°11′</t>
  </si>
  <si>
    <t xml:space="preserve">Kanyā 11°06′</t>
  </si>
  <si>
    <t xml:space="preserve">Siṃha 05°05′ R</t>
  </si>
  <si>
    <t xml:space="preserve">Kumbha 00°37′ R</t>
  </si>
  <si>
    <t xml:space="preserve">Karkaṭa 26°12′ R</t>
  </si>
  <si>
    <t xml:space="preserve">Dhanus 28°41′</t>
  </si>
  <si>
    <t xml:space="preserve">Mīna 18°12′</t>
  </si>
  <si>
    <t xml:space="preserve">Makara 26°16′</t>
  </si>
  <si>
    <t xml:space="preserve">Karkaṭa 26°16′</t>
  </si>
  <si>
    <t xml:space="preserve">Mīna 08°45′</t>
  </si>
  <si>
    <t xml:space="preserve">Makara 11°45′</t>
  </si>
  <si>
    <t xml:space="preserve">Kumbha 11°11′</t>
  </si>
  <si>
    <t xml:space="preserve">Kanyā 24°52′</t>
  </si>
  <si>
    <t xml:space="preserve">Siṃha 04°42′ R</t>
  </si>
  <si>
    <t xml:space="preserve">Makara 29°44′ R</t>
  </si>
  <si>
    <t xml:space="preserve">Karkaṭa 26°05′ R</t>
  </si>
  <si>
    <t xml:space="preserve">Dhanus 29°51′</t>
  </si>
  <si>
    <t xml:space="preserve">Mīna 18°19′</t>
  </si>
  <si>
    <t xml:space="preserve">Makara 26°14′</t>
  </si>
  <si>
    <t xml:space="preserve">Karkaṭa 26°14′</t>
  </si>
  <si>
    <t xml:space="preserve">Vṛṣabha 07°33′</t>
  </si>
  <si>
    <t xml:space="preserve">Mīna 08°47′</t>
  </si>
  <si>
    <t xml:space="preserve">Makara 11°47′</t>
  </si>
  <si>
    <t xml:space="preserve">Kumbha 12°12′</t>
  </si>
  <si>
    <t xml:space="preserve">Tulā 08°13′</t>
  </si>
  <si>
    <t xml:space="preserve">Siṃha 04°19′ R</t>
  </si>
  <si>
    <t xml:space="preserve">Makara 28°56′ R</t>
  </si>
  <si>
    <t xml:space="preserve">Karkaṭa 25°57′ R</t>
  </si>
  <si>
    <t xml:space="preserve">Makara 01°02′</t>
  </si>
  <si>
    <t xml:space="preserve">Mīna 18°25′</t>
  </si>
  <si>
    <t xml:space="preserve">Makara 26°12′</t>
  </si>
  <si>
    <t xml:space="preserve">Karkaṭa 26°12′</t>
  </si>
  <si>
    <t xml:space="preserve">Vṛṣabha 07°34′</t>
  </si>
  <si>
    <t xml:space="preserve">Mīna 08°50′</t>
  </si>
  <si>
    <t xml:space="preserve">Makara 11°49′</t>
  </si>
  <si>
    <t xml:space="preserve">Kumbha 13°12′</t>
  </si>
  <si>
    <t xml:space="preserve">Tulā 21°08′</t>
  </si>
  <si>
    <t xml:space="preserve">Siṃha 03°56′ R</t>
  </si>
  <si>
    <t xml:space="preserve">Makara 28°16′ R</t>
  </si>
  <si>
    <t xml:space="preserve">Karkaṭa 25°50′ R</t>
  </si>
  <si>
    <t xml:space="preserve">Makara 02°13′</t>
  </si>
  <si>
    <t xml:space="preserve">Mīna 18°32′</t>
  </si>
  <si>
    <t xml:space="preserve">Makara 26°10′</t>
  </si>
  <si>
    <t xml:space="preserve">Karkaṭa 26°10′</t>
  </si>
  <si>
    <t xml:space="preserve">Vṛṣabha 07°35′</t>
  </si>
  <si>
    <t xml:space="preserve">Mīna 08°52′</t>
  </si>
  <si>
    <t xml:space="preserve">Makara 11°51′</t>
  </si>
  <si>
    <t xml:space="preserve">Kumbha 14°12′</t>
  </si>
  <si>
    <t xml:space="preserve">Vṛścika 03°42′</t>
  </si>
  <si>
    <t xml:space="preserve">Siṃha 03°33′ R</t>
  </si>
  <si>
    <t xml:space="preserve">Makara 27°43′ R</t>
  </si>
  <si>
    <t xml:space="preserve">Karkaṭa 25°43′ R</t>
  </si>
  <si>
    <t xml:space="preserve">Makara 03°24′</t>
  </si>
  <si>
    <t xml:space="preserve">Mīna 18°39′</t>
  </si>
  <si>
    <t xml:space="preserve">Makara 26°09′</t>
  </si>
  <si>
    <t xml:space="preserve">Karkaṭa 26°09′</t>
  </si>
  <si>
    <t xml:space="preserve">Vṛṣabha 07°36′</t>
  </si>
  <si>
    <t xml:space="preserve">Mīna 08°54′</t>
  </si>
  <si>
    <t xml:space="preserve">Makara 11°52′</t>
  </si>
  <si>
    <t xml:space="preserve">Kumbha 15°13′</t>
  </si>
  <si>
    <t xml:space="preserve">Vṛścika 15°57′</t>
  </si>
  <si>
    <t xml:space="preserve">Siṃha 03°10′ R</t>
  </si>
  <si>
    <t xml:space="preserve">Makara 27°17′ R</t>
  </si>
  <si>
    <t xml:space="preserve">Karkaṭa 25°36′ R</t>
  </si>
  <si>
    <t xml:space="preserve">Makara 04°35′</t>
  </si>
  <si>
    <t xml:space="preserve">Mīna 18°45′</t>
  </si>
  <si>
    <t xml:space="preserve">Makara 26°08′</t>
  </si>
  <si>
    <t xml:space="preserve">Karkaṭa 26°08′</t>
  </si>
  <si>
    <t xml:space="preserve">Vṛṣabha 07°37′</t>
  </si>
  <si>
    <t xml:space="preserve">Mīna 08°56′</t>
  </si>
  <si>
    <t xml:space="preserve">Makara 11°54′</t>
  </si>
  <si>
    <t xml:space="preserve">Kumbha 16°13′</t>
  </si>
  <si>
    <t xml:space="preserve">Vṛścika 27°58′</t>
  </si>
  <si>
    <t xml:space="preserve">Siṃha 02°48′ R</t>
  </si>
  <si>
    <t xml:space="preserve">Makara 26°58′ R</t>
  </si>
  <si>
    <t xml:space="preserve">Karkaṭa 25°29′ R</t>
  </si>
  <si>
    <t xml:space="preserve">Makara 05°47′</t>
  </si>
  <si>
    <t xml:space="preserve">Mīna 18°52′</t>
  </si>
  <si>
    <t xml:space="preserve">Vṛṣabha 07°38′</t>
  </si>
  <si>
    <t xml:space="preserve">Mīna 08°58′</t>
  </si>
  <si>
    <t xml:space="preserve">Makara 11°56′</t>
  </si>
  <si>
    <t xml:space="preserve">Kumbha 17°13′</t>
  </si>
  <si>
    <t xml:space="preserve">Dhanus 09°51′</t>
  </si>
  <si>
    <t xml:space="preserve">Siṃha 02°26′ R</t>
  </si>
  <si>
    <t xml:space="preserve">Makara 26°46′ R</t>
  </si>
  <si>
    <t xml:space="preserve">Karkaṭa 25°22′ R</t>
  </si>
  <si>
    <t xml:space="preserve">Makara 06°58′</t>
  </si>
  <si>
    <t xml:space="preserve">Mīna 18°59′</t>
  </si>
  <si>
    <t xml:space="preserve">Makara 26°11′</t>
  </si>
  <si>
    <t xml:space="preserve">Karkaṭa 26°11′</t>
  </si>
  <si>
    <t xml:space="preserve">Vṛṣabha 07°39′</t>
  </si>
  <si>
    <t xml:space="preserve">Mīna 09°00′</t>
  </si>
  <si>
    <t xml:space="preserve">Makara 11°57′</t>
  </si>
  <si>
    <t xml:space="preserve">Kumbha 18°13′</t>
  </si>
  <si>
    <t xml:space="preserve">Dhanus 21°39′</t>
  </si>
  <si>
    <t xml:space="preserve">Siṃha 02°05′ R</t>
  </si>
  <si>
    <t xml:space="preserve">Makara 26°41′ R</t>
  </si>
  <si>
    <t xml:space="preserve">Karkaṭa 25°15′ R</t>
  </si>
  <si>
    <t xml:space="preserve">Makara 08°09′</t>
  </si>
  <si>
    <t xml:space="preserve">Mīna 19°06′</t>
  </si>
  <si>
    <t xml:space="preserve">Vṛṣabha 07°40′</t>
  </si>
  <si>
    <t xml:space="preserve">Mīna 09°02′</t>
  </si>
  <si>
    <t xml:space="preserve">Makara 11°59′</t>
  </si>
  <si>
    <t xml:space="preserve">Kumbha 19°13′</t>
  </si>
  <si>
    <t xml:space="preserve">Makara 03°28′</t>
  </si>
  <si>
    <t xml:space="preserve">Siṃha 01°44′ R</t>
  </si>
  <si>
    <t xml:space="preserve">Makara 26°43′</t>
  </si>
  <si>
    <t xml:space="preserve">Karkaṭa 25°08′ R</t>
  </si>
  <si>
    <t xml:space="preserve">Mīna 19°13′</t>
  </si>
  <si>
    <t xml:space="preserve">Vṛṣabha 07°41′</t>
  </si>
  <si>
    <t xml:space="preserve">Mīna 09°04′</t>
  </si>
  <si>
    <t xml:space="preserve">Makara 12°00′</t>
  </si>
  <si>
    <t xml:space="preserve">Kumbha 20°14′</t>
  </si>
  <si>
    <t xml:space="preserve">Makara 15°21′</t>
  </si>
  <si>
    <t xml:space="preserve">Siṃha 01°24′ R</t>
  </si>
  <si>
    <t xml:space="preserve">Makara 26°51′</t>
  </si>
  <si>
    <t xml:space="preserve">Karkaṭa 25°01′ R</t>
  </si>
  <si>
    <t xml:space="preserve">Makara 10°32′</t>
  </si>
  <si>
    <t xml:space="preserve">Mīna 19°19′</t>
  </si>
  <si>
    <t xml:space="preserve">Makara 26°15′</t>
  </si>
  <si>
    <t xml:space="preserve">Karkaṭa 26°15′</t>
  </si>
  <si>
    <t xml:space="preserve">Vṛṣabha 07°43′</t>
  </si>
  <si>
    <t xml:space="preserve">Mīna 09°07′</t>
  </si>
  <si>
    <t xml:space="preserve">Makara 12°02′</t>
  </si>
  <si>
    <t xml:space="preserve">Kumbha 21°14′</t>
  </si>
  <si>
    <t xml:space="preserve">Siṃha 01°04′ R</t>
  </si>
  <si>
    <t xml:space="preserve">Makara 27°05′</t>
  </si>
  <si>
    <t xml:space="preserve">Karkaṭa 24°55′ R</t>
  </si>
  <si>
    <t xml:space="preserve">Makara 11°43′</t>
  </si>
  <si>
    <t xml:space="preserve">Mīna 19°26′</t>
  </si>
  <si>
    <t xml:space="preserve">Vṛṣabha 07°44′</t>
  </si>
  <si>
    <t xml:space="preserve">Mīna 09°09′</t>
  </si>
  <si>
    <t xml:space="preserve">Makara 12°04′</t>
  </si>
  <si>
    <t xml:space="preserve">Kumbha 22°14′</t>
  </si>
  <si>
    <t xml:space="preserve">Kumbha 09°34′</t>
  </si>
  <si>
    <t xml:space="preserve">Siṃha 00°45′ R</t>
  </si>
  <si>
    <t xml:space="preserve">Makara 27°24′</t>
  </si>
  <si>
    <t xml:space="preserve">Karkaṭa 24°48′ R</t>
  </si>
  <si>
    <t xml:space="preserve">Makara 12°55′</t>
  </si>
  <si>
    <t xml:space="preserve">Mīna 19°33′</t>
  </si>
  <si>
    <t xml:space="preserve">Vṛṣabha 07°45′</t>
  </si>
  <si>
    <t xml:space="preserve">Mīna 09°11′</t>
  </si>
  <si>
    <t xml:space="preserve">Makara 12°05′</t>
  </si>
  <si>
    <t xml:space="preserve">Kumbha 23°14′</t>
  </si>
  <si>
    <t xml:space="preserve">Kumbha 21°58′</t>
  </si>
  <si>
    <t xml:space="preserve">Siṃha 00°27′ R</t>
  </si>
  <si>
    <t xml:space="preserve">Makara 27°49′</t>
  </si>
  <si>
    <t xml:space="preserve">Karkaṭa 24°42′ R</t>
  </si>
  <si>
    <t xml:space="preserve">Makara 14°06′</t>
  </si>
  <si>
    <t xml:space="preserve">Mīna 19°40′</t>
  </si>
  <si>
    <t xml:space="preserve">Makara 26°13′</t>
  </si>
  <si>
    <t xml:space="preserve">Karkaṭa 26°13′</t>
  </si>
  <si>
    <t xml:space="preserve">Vṛṣabha 07°47′</t>
  </si>
  <si>
    <t xml:space="preserve">Mīna 09°13′</t>
  </si>
  <si>
    <t xml:space="preserve">Makara 12°07′</t>
  </si>
  <si>
    <t xml:space="preserve">Kumbha 24°14′</t>
  </si>
  <si>
    <t xml:space="preserve">Mīna 04°36′</t>
  </si>
  <si>
    <t xml:space="preserve">Siṃha 00°09′ R</t>
  </si>
  <si>
    <t xml:space="preserve">Makara 28°18′</t>
  </si>
  <si>
    <t xml:space="preserve">Karkaṭa 24°36′ R</t>
  </si>
  <si>
    <t xml:space="preserve">Makara 15°18′</t>
  </si>
  <si>
    <t xml:space="preserve">Mīna 19°48′</t>
  </si>
  <si>
    <t xml:space="preserve">Vṛṣabha 07°48′</t>
  </si>
  <si>
    <t xml:space="preserve">Mīna 09°15′</t>
  </si>
  <si>
    <t xml:space="preserve">Makara 12°08′</t>
  </si>
  <si>
    <t xml:space="preserve">Kumbha 25°14′</t>
  </si>
  <si>
    <t xml:space="preserve">Karkaṭa 29°51′ R</t>
  </si>
  <si>
    <t xml:space="preserve">Makara 28°52′</t>
  </si>
  <si>
    <t xml:space="preserve">Karkaṭa 24°30′ R</t>
  </si>
  <si>
    <t xml:space="preserve">Makara 16°30′</t>
  </si>
  <si>
    <t xml:space="preserve">Mīna 19°55′</t>
  </si>
  <si>
    <t xml:space="preserve">Makara 26°05′</t>
  </si>
  <si>
    <t xml:space="preserve">Karkaṭa 26°05′</t>
  </si>
  <si>
    <t xml:space="preserve">Vṛṣabha 07°50′</t>
  </si>
  <si>
    <t xml:space="preserve">Mīna 09°18′</t>
  </si>
  <si>
    <t xml:space="preserve">Makara 12°10′</t>
  </si>
  <si>
    <t xml:space="preserve">Kumbha 26°14′</t>
  </si>
  <si>
    <t xml:space="preserve">Meṣa 00°34′</t>
  </si>
  <si>
    <t xml:space="preserve">Makara 29°31′</t>
  </si>
  <si>
    <t xml:space="preserve">Karkaṭa 24°24′ R</t>
  </si>
  <si>
    <t xml:space="preserve">Makara 17°41′</t>
  </si>
  <si>
    <t xml:space="preserve">Mīna 20°02′</t>
  </si>
  <si>
    <t xml:space="preserve">Makara 25°00′</t>
  </si>
  <si>
    <t xml:space="preserve">Karkaṭa 25°00′</t>
  </si>
  <si>
    <t xml:space="preserve">Vṛṣabha 07°51′</t>
  </si>
  <si>
    <t xml:space="preserve">Mīna 09°20′</t>
  </si>
  <si>
    <t xml:space="preserve">Makara 12°11′</t>
  </si>
  <si>
    <t xml:space="preserve">Kumbha 27°14′</t>
  </si>
  <si>
    <t xml:space="preserve">Meṣa 13°53′</t>
  </si>
  <si>
    <t xml:space="preserve">Karkaṭa 29°19′ R</t>
  </si>
  <si>
    <t xml:space="preserve">Kumbha 00°13′</t>
  </si>
  <si>
    <t xml:space="preserve">Karkaṭa 24°19′ R</t>
  </si>
  <si>
    <t xml:space="preserve">Makara 18°53′</t>
  </si>
  <si>
    <t xml:space="preserve">Mīna 20°09′</t>
  </si>
  <si>
    <t xml:space="preserve">Makara 25°55′</t>
  </si>
  <si>
    <t xml:space="preserve">Karkaṭa 25°55′</t>
  </si>
  <si>
    <t xml:space="preserve">Vṛṣabha 07°53′</t>
  </si>
  <si>
    <t xml:space="preserve">Mīna 09°22′</t>
  </si>
  <si>
    <t xml:space="preserve">Makara 12°13′</t>
  </si>
  <si>
    <t xml:space="preserve">Kumbha 28°14′</t>
  </si>
  <si>
    <t xml:space="preserve">Meṣa 27°25′</t>
  </si>
  <si>
    <t xml:space="preserve">Karkaṭa 29°04′ R</t>
  </si>
  <si>
    <t xml:space="preserve">Kumbha 00°59′</t>
  </si>
  <si>
    <t xml:space="preserve">Karkaṭa 24°13′ R</t>
  </si>
  <si>
    <t xml:space="preserve">Makara 20°05′</t>
  </si>
  <si>
    <t xml:space="preserve">Mīna 20°16′</t>
  </si>
  <si>
    <t xml:space="preserve">Makara 25°50′</t>
  </si>
  <si>
    <t xml:space="preserve">Karkaṭa 25°50′</t>
  </si>
  <si>
    <t xml:space="preserve">Vṛṣabha 07°55′</t>
  </si>
  <si>
    <t xml:space="preserve">Mīna 09°24′</t>
  </si>
  <si>
    <t xml:space="preserve">Makara 12°14′</t>
  </si>
  <si>
    <t xml:space="preserve">Kumbha 29°14′</t>
  </si>
  <si>
    <t xml:space="preserve">Vṛṣabha 11°08′</t>
  </si>
  <si>
    <t xml:space="preserve">Kumbha 01°49′</t>
  </si>
  <si>
    <t xml:space="preserve">Karkaṭa 24°08′ R</t>
  </si>
  <si>
    <t xml:space="preserve">Makara 21°17′</t>
  </si>
  <si>
    <t xml:space="preserve">Mīna 20°23′</t>
  </si>
  <si>
    <t xml:space="preserve">Makara 25°47′</t>
  </si>
  <si>
    <t xml:space="preserve">Karkaṭa 25°47′</t>
  </si>
  <si>
    <t xml:space="preserve">Vṛṣabha 07°56′</t>
  </si>
  <si>
    <t xml:space="preserve">Mīna 09°26′</t>
  </si>
  <si>
    <t xml:space="preserve">Makara 12°15′</t>
  </si>
  <si>
    <t xml:space="preserve">Mīna 00°13′</t>
  </si>
  <si>
    <t xml:space="preserve">Vṛṣabha 25°03′</t>
  </si>
  <si>
    <t xml:space="preserve">Karkaṭa 28°36′ R</t>
  </si>
  <si>
    <t xml:space="preserve">Karkaṭa 24°02′ R</t>
  </si>
  <si>
    <t xml:space="preserve">Makara 22°29′</t>
  </si>
  <si>
    <t xml:space="preserve">Mīna 20°31′</t>
  </si>
  <si>
    <t xml:space="preserve">Makara 25°46′</t>
  </si>
  <si>
    <t xml:space="preserve">Karkaṭa 25°46′</t>
  </si>
  <si>
    <t xml:space="preserve">Vṛṣabha 07°58′</t>
  </si>
  <si>
    <t xml:space="preserve">Mīna 09°29′</t>
  </si>
  <si>
    <t xml:space="preserve">Makara 12°17′</t>
  </si>
  <si>
    <t xml:space="preserve">Mīna 01°13′</t>
  </si>
  <si>
    <t xml:space="preserve">Mithuna 09°07′</t>
  </si>
  <si>
    <t xml:space="preserve">Karkaṭa 28°23′ R</t>
  </si>
  <si>
    <t xml:space="preserve">Kumbha 03°37′</t>
  </si>
  <si>
    <t xml:space="preserve">Karkaṭa 23°57′ R</t>
  </si>
  <si>
    <t xml:space="preserve">Makara 23°41′</t>
  </si>
  <si>
    <t xml:space="preserve">Vṛṣabha 07°00′</t>
  </si>
  <si>
    <t xml:space="preserve">Mīna 09°31′</t>
  </si>
  <si>
    <t xml:space="preserve">Makara 12°18′</t>
  </si>
  <si>
    <t xml:space="preserve">Mīna 02°13′</t>
  </si>
  <si>
    <t xml:space="preserve">Mithuna 23°20′</t>
  </si>
  <si>
    <t xml:space="preserve">Kumbha 04°36′</t>
  </si>
  <si>
    <t xml:space="preserve">Karkaṭa 23°52′ R</t>
  </si>
  <si>
    <t xml:space="preserve">Makara 24°52′</t>
  </si>
  <si>
    <t xml:space="preserve">Mīna 20°45′</t>
  </si>
  <si>
    <t xml:space="preserve">Makara 25°48′</t>
  </si>
  <si>
    <t xml:space="preserve">Karkaṭa 25°48′</t>
  </si>
  <si>
    <t xml:space="preserve">Vṛṣabha 08°02′</t>
  </si>
  <si>
    <t xml:space="preserve">Mīna 09°33′</t>
  </si>
  <si>
    <t xml:space="preserve">Makara 12°20′</t>
  </si>
  <si>
    <t xml:space="preserve">Mīna 03°13′</t>
  </si>
  <si>
    <t xml:space="preserve">Karkaṭa 07°41′</t>
  </si>
  <si>
    <t xml:space="preserve">Karkaṭa 27°59′ R</t>
  </si>
  <si>
    <t xml:space="preserve">Kumbha 05°37′</t>
  </si>
  <si>
    <t xml:space="preserve">Karkaṭa 23°47′ R</t>
  </si>
  <si>
    <t xml:space="preserve">Makara 26°04′</t>
  </si>
  <si>
    <t xml:space="preserve">Mīna 20°52′</t>
  </si>
  <si>
    <t xml:space="preserve">Makara 25°49′</t>
  </si>
  <si>
    <t xml:space="preserve">Karkaṭa 25°49′</t>
  </si>
  <si>
    <t xml:space="preserve">Vṛṣabha 08°04′</t>
  </si>
  <si>
    <t xml:space="preserve">Mīna 09°35′</t>
  </si>
  <si>
    <t xml:space="preserve">Makara 12°21′</t>
  </si>
  <si>
    <t xml:space="preserve">Mīna 04°12′</t>
  </si>
  <si>
    <t xml:space="preserve">Karkaṭa 22°05′</t>
  </si>
  <si>
    <t xml:space="preserve">Karkaṭa 27°48′ R</t>
  </si>
  <si>
    <t xml:space="preserve">Kumbha 06°41′</t>
  </si>
  <si>
    <t xml:space="preserve">Karkaṭa 23°43′ R</t>
  </si>
  <si>
    <t xml:space="preserve">Mīna 20°00′</t>
  </si>
  <si>
    <t xml:space="preserve">Vṛṣabha 08°05′</t>
  </si>
  <si>
    <t xml:space="preserve">Mīna 09°38′</t>
  </si>
  <si>
    <t xml:space="preserve">Makara 12°22′</t>
  </si>
  <si>
    <t xml:space="preserve">Mīna 05°12′</t>
  </si>
  <si>
    <t xml:space="preserve">Siṃha 06°31′</t>
  </si>
  <si>
    <t xml:space="preserve">Karkaṭa 27°39′ R</t>
  </si>
  <si>
    <t xml:space="preserve">Kumbha 07°47′</t>
  </si>
  <si>
    <t xml:space="preserve">Karkaṭa 23°38′ R</t>
  </si>
  <si>
    <t xml:space="preserve">Makara 28°28′</t>
  </si>
  <si>
    <t xml:space="preserve">Mīna 21°07′</t>
  </si>
  <si>
    <t xml:space="preserve">Vṛṣabha 08°07′</t>
  </si>
  <si>
    <t xml:space="preserve">Mīna 09°40′</t>
  </si>
  <si>
    <t xml:space="preserve">Makara 12°23′</t>
  </si>
  <si>
    <t xml:space="preserve">Mīna 06°12′</t>
  </si>
  <si>
    <t xml:space="preserve">Siṃha 20°53′</t>
  </si>
  <si>
    <t xml:space="preserve">Kumbha 08°56′</t>
  </si>
  <si>
    <t xml:space="preserve">Karkaṭa 23°34′ R</t>
  </si>
  <si>
    <t xml:space="preserve">Makara 29°41′</t>
  </si>
  <si>
    <t xml:space="preserve">Mīna 21°15′</t>
  </si>
  <si>
    <t xml:space="preserve">Vṛṣabha 08°09′</t>
  </si>
  <si>
    <t xml:space="preserve">Mīna 09°42′</t>
  </si>
  <si>
    <t xml:space="preserve">Makara 12°25′</t>
  </si>
  <si>
    <t xml:space="preserve">Mīna 07°11′</t>
  </si>
  <si>
    <t xml:space="preserve">Kanyā 05°05′</t>
  </si>
  <si>
    <t xml:space="preserve">Karkaṭa 27°21′ R</t>
  </si>
  <si>
    <t xml:space="preserve">Kumbha 10°07′</t>
  </si>
  <si>
    <t xml:space="preserve">Karkaṭa 23°30′ R</t>
  </si>
  <si>
    <t xml:space="preserve">Mīna 21°22′</t>
  </si>
  <si>
    <t xml:space="preserve">Makara 25°43′</t>
  </si>
  <si>
    <t xml:space="preserve">Karkaṭa 25°43′</t>
  </si>
  <si>
    <t xml:space="preserve">Vṛṣabha 08°11′</t>
  </si>
  <si>
    <t xml:space="preserve">Mīna 09°45′</t>
  </si>
  <si>
    <t xml:space="preserve">Makara 12°26′</t>
  </si>
  <si>
    <t xml:space="preserve">Kanyā 19°03′</t>
  </si>
  <si>
    <t xml:space="preserve">Kumbha 11°19′</t>
  </si>
  <si>
    <t xml:space="preserve">Karkaṭa 23°26′ R</t>
  </si>
  <si>
    <t xml:space="preserve">Kumbha 02°05′</t>
  </si>
  <si>
    <t xml:space="preserve">Mīna 21°29′</t>
  </si>
  <si>
    <t xml:space="preserve">Makara 25°37′</t>
  </si>
  <si>
    <t xml:space="preserve">Karkaṭa 25°37′</t>
  </si>
  <si>
    <t xml:space="preserve">Vṛṣabha 08°14′</t>
  </si>
  <si>
    <t xml:space="preserve">Mīna 09°47′</t>
  </si>
  <si>
    <t xml:space="preserve">Makara 12°27′</t>
  </si>
  <si>
    <t xml:space="preserve">Mīna 09°10′</t>
  </si>
  <si>
    <t xml:space="preserve">Tulā 02°43′</t>
  </si>
  <si>
    <t xml:space="preserve">Karkaṭa 27°07′ R</t>
  </si>
  <si>
    <t xml:space="preserve">Kumbha 12°34′</t>
  </si>
  <si>
    <t xml:space="preserve">Karkaṭa 23°22′ R</t>
  </si>
  <si>
    <t xml:space="preserve">Kumbha 03°17′</t>
  </si>
  <si>
    <t xml:space="preserve">Mīna 21°37′</t>
  </si>
  <si>
    <t xml:space="preserve">Makara 25°30′</t>
  </si>
  <si>
    <t xml:space="preserve">Karkaṭa 25°30′</t>
  </si>
  <si>
    <t xml:space="preserve">Vṛṣabha 08°16′</t>
  </si>
  <si>
    <t xml:space="preserve">Mīna 09°49′</t>
  </si>
  <si>
    <t xml:space="preserve">Makara 12°28′</t>
  </si>
  <si>
    <t xml:space="preserve">Mīna 10°10′</t>
  </si>
  <si>
    <t xml:space="preserve">Tulā 16°02′</t>
  </si>
  <si>
    <t xml:space="preserve">Karkaṭa 27°01′ R</t>
  </si>
  <si>
    <t xml:space="preserve">Kumbha 13°51′</t>
  </si>
  <si>
    <t xml:space="preserve">Karkaṭa 23°19′ R</t>
  </si>
  <si>
    <t xml:space="preserve">Kumbha 04°29′</t>
  </si>
  <si>
    <t xml:space="preserve">Mīna 21°44′</t>
  </si>
  <si>
    <t xml:space="preserve">Makara 25°22′</t>
  </si>
  <si>
    <t xml:space="preserve">Karkaṭa 25°22′</t>
  </si>
  <si>
    <t xml:space="preserve">Vṛṣabha 08°18′</t>
  </si>
  <si>
    <t xml:space="preserve">Mīna 09°51′</t>
  </si>
  <si>
    <t xml:space="preserve">Makara 12°30′</t>
  </si>
  <si>
    <t xml:space="preserve">Mīna 11°09′</t>
  </si>
  <si>
    <t xml:space="preserve">Tulā 28°59′</t>
  </si>
  <si>
    <t xml:space="preserve">Karkaṭa 26°56′ R</t>
  </si>
  <si>
    <t xml:space="preserve">Kumbha 15°09′</t>
  </si>
  <si>
    <t xml:space="preserve">Karkaṭa 23°15′ R</t>
  </si>
  <si>
    <t xml:space="preserve">Kumbha 05°41′</t>
  </si>
  <si>
    <t xml:space="preserve">Mīna 21°52′</t>
  </si>
  <si>
    <t xml:space="preserve">Makara 25°15′</t>
  </si>
  <si>
    <t xml:space="preserve">Karkaṭa 25°15′</t>
  </si>
  <si>
    <t xml:space="preserve">Vṛṣabha 08°20′</t>
  </si>
  <si>
    <t xml:space="preserve">Mīna 09°54′</t>
  </si>
  <si>
    <t xml:space="preserve">Makara 12°31′</t>
  </si>
  <si>
    <t xml:space="preserve">Mīna 12°08′</t>
  </si>
  <si>
    <t xml:space="preserve">Vṛścika 11°34′</t>
  </si>
  <si>
    <t xml:space="preserve">Karkaṭa 26°52′ R</t>
  </si>
  <si>
    <t xml:space="preserve">Kumbha 16°30′</t>
  </si>
  <si>
    <t xml:space="preserve">Karkaṭa 23°12′ R</t>
  </si>
  <si>
    <t xml:space="preserve">Kumbha 06°54′</t>
  </si>
  <si>
    <t xml:space="preserve">Mīna 21°59′</t>
  </si>
  <si>
    <t xml:space="preserve">Makara 25°09′</t>
  </si>
  <si>
    <t xml:space="preserve">Karkaṭa 25°09′</t>
  </si>
  <si>
    <t xml:space="preserve">Vṛṣabha 08°22′</t>
  </si>
  <si>
    <t xml:space="preserve">Mīna 09°56′</t>
  </si>
  <si>
    <t xml:space="preserve">Makara 12°32′</t>
  </si>
  <si>
    <t xml:space="preserve">Mīna 13°08′</t>
  </si>
  <si>
    <t xml:space="preserve">Vṛścika 23°52′</t>
  </si>
  <si>
    <t xml:space="preserve">Karkaṭa 26°48′ R</t>
  </si>
  <si>
    <t xml:space="preserve">Kumbha 17°52′</t>
  </si>
  <si>
    <t xml:space="preserve">Karkaṭa 23°09′ R</t>
  </si>
  <si>
    <t xml:space="preserve">Kumbha 08°06′</t>
  </si>
  <si>
    <t xml:space="preserve">Mīna 22°07′</t>
  </si>
  <si>
    <t xml:space="preserve">Makara 25°05′</t>
  </si>
  <si>
    <t xml:space="preserve">Karkaṭa 25°05′</t>
  </si>
  <si>
    <t xml:space="preserve">Vṛṣabha 08°25′</t>
  </si>
  <si>
    <t xml:space="preserve">Mīna 09°58′</t>
  </si>
  <si>
    <t xml:space="preserve">Mīna 14°07′</t>
  </si>
  <si>
    <t xml:space="preserve">Dhanus 05°55′</t>
  </si>
  <si>
    <t xml:space="preserve">Karkaṭa 26°45′ R</t>
  </si>
  <si>
    <t xml:space="preserve">Kumbha 19°15′</t>
  </si>
  <si>
    <t xml:space="preserve">Karkaṭa 23°06′ R</t>
  </si>
  <si>
    <t xml:space="preserve">Kumbha 09°18′</t>
  </si>
  <si>
    <t xml:space="preserve">Mīna 22°14′</t>
  </si>
  <si>
    <t xml:space="preserve">Makara 25°03′</t>
  </si>
  <si>
    <t xml:space="preserve">Karkaṭa 25°03′</t>
  </si>
  <si>
    <t xml:space="preserve">Vṛṣabha 08°27′</t>
  </si>
  <si>
    <t xml:space="preserve">Mīna 10°00′</t>
  </si>
  <si>
    <t xml:space="preserve">Makara 12°34′</t>
  </si>
  <si>
    <t xml:space="preserve">Mīna 15°06′</t>
  </si>
  <si>
    <t xml:space="preserve">Dhanus 17°49′</t>
  </si>
  <si>
    <t xml:space="preserve">Kumbha 20°40′</t>
  </si>
  <si>
    <t xml:space="preserve">Karkaṭa 23°03′ R</t>
  </si>
  <si>
    <t xml:space="preserve">Kumbha 10°31′</t>
  </si>
  <si>
    <t xml:space="preserve">Mīna 22°22′</t>
  </si>
  <si>
    <t xml:space="preserve">Vṛṣabha 08°29′</t>
  </si>
  <si>
    <t xml:space="preserve">Mīna 10°03′</t>
  </si>
  <si>
    <t xml:space="preserve">Makara 12°35′</t>
  </si>
  <si>
    <t xml:space="preserve">Mīna 16°06′</t>
  </si>
  <si>
    <t xml:space="preserve">Karkaṭa 26°42′ R</t>
  </si>
  <si>
    <t xml:space="preserve">Kumbha 22°07′</t>
  </si>
  <si>
    <t xml:space="preserve">Karkaṭa 23°01′ R</t>
  </si>
  <si>
    <t xml:space="preserve">Mīna 22°29′</t>
  </si>
  <si>
    <t xml:space="preserve">Vṛṣabha 08°32′</t>
  </si>
  <si>
    <t xml:space="preserve">Mīna 10°05′</t>
  </si>
  <si>
    <t xml:space="preserve">Makara 12°36′</t>
  </si>
  <si>
    <t xml:space="preserve">Mīna 17°05′</t>
  </si>
  <si>
    <t xml:space="preserve">Makara 11°27′</t>
  </si>
  <si>
    <t xml:space="preserve">Karkaṭa 26°41′ R</t>
  </si>
  <si>
    <t xml:space="preserve">Kumbha 23°36′</t>
  </si>
  <si>
    <t xml:space="preserve">Karkaṭa 22°59′ R</t>
  </si>
  <si>
    <t xml:space="preserve">Kumbha 12°55′</t>
  </si>
  <si>
    <t xml:space="preserve">Mīna 22°37′</t>
  </si>
  <si>
    <t xml:space="preserve">Makara 25°04′</t>
  </si>
  <si>
    <t xml:space="preserve">Karkaṭa 25°04′</t>
  </si>
  <si>
    <t xml:space="preserve">Vṛṣabha 08°34′</t>
  </si>
  <si>
    <t xml:space="preserve">Mīna 10°07′</t>
  </si>
  <si>
    <t xml:space="preserve">Makara 12°37′</t>
  </si>
  <si>
    <t xml:space="preserve">Mīna 18°04′</t>
  </si>
  <si>
    <t xml:space="preserve">Makara 23°23′</t>
  </si>
  <si>
    <t xml:space="preserve">Karkaṭa 26°41′</t>
  </si>
  <si>
    <t xml:space="preserve">Kumbha 25°06′</t>
  </si>
  <si>
    <t xml:space="preserve">Karkaṭa 22°56′ R</t>
  </si>
  <si>
    <t xml:space="preserve">Kumbha 14°08′</t>
  </si>
  <si>
    <t xml:space="preserve">Mīna 22°44′</t>
  </si>
  <si>
    <t xml:space="preserve">Vṛṣabha 08°37′</t>
  </si>
  <si>
    <t xml:space="preserve">Mīna 10°09′</t>
  </si>
  <si>
    <t xml:space="preserve">Makara 12°38′</t>
  </si>
  <si>
    <t xml:space="preserve">Mīna 19°03′</t>
  </si>
  <si>
    <t xml:space="preserve">Kumbha 05°29′</t>
  </si>
  <si>
    <t xml:space="preserve">Kumbha 26°37′</t>
  </si>
  <si>
    <t xml:space="preserve">Karkaṭa 22°54′ R</t>
  </si>
  <si>
    <t xml:space="preserve">Kumbha 15°20′</t>
  </si>
  <si>
    <t xml:space="preserve">Mīna 22°52′</t>
  </si>
  <si>
    <t xml:space="preserve">Vṛṣabha 08°39′</t>
  </si>
  <si>
    <t xml:space="preserve">Mīna 10°12′</t>
  </si>
  <si>
    <t xml:space="preserve">Makara 12°39′</t>
  </si>
  <si>
    <t xml:space="preserve">Mīna 20°03′</t>
  </si>
  <si>
    <t xml:space="preserve">Kumbha 17°49′</t>
  </si>
  <si>
    <t xml:space="preserve">Karkaṭa 26°44′</t>
  </si>
  <si>
    <t xml:space="preserve">Kumbha 28°10′</t>
  </si>
  <si>
    <t xml:space="preserve">Karkaṭa 22°53′ R</t>
  </si>
  <si>
    <t xml:space="preserve">Kumbha 16°33′</t>
  </si>
  <si>
    <t xml:space="preserve">Mīna 22°00′</t>
  </si>
  <si>
    <t xml:space="preserve">Vṛṣabha 08°42′</t>
  </si>
  <si>
    <t xml:space="preserve">Mīna 10°14′</t>
  </si>
  <si>
    <t xml:space="preserve">Makara 12°40′</t>
  </si>
  <si>
    <t xml:space="preserve">Mīna 21°02′</t>
  </si>
  <si>
    <t xml:space="preserve">Mīna 00°27′</t>
  </si>
  <si>
    <t xml:space="preserve">Karkaṭa 26°46′</t>
  </si>
  <si>
    <t xml:space="preserve">Kumbha 29°45′</t>
  </si>
  <si>
    <t xml:space="preserve">Karkaṭa 22°51′ R</t>
  </si>
  <si>
    <t xml:space="preserve">Kumbha 17°45′</t>
  </si>
  <si>
    <t xml:space="preserve">Mīna 23°07′</t>
  </si>
  <si>
    <t xml:space="preserve">Makara 24°57′</t>
  </si>
  <si>
    <t xml:space="preserve">Karkaṭa 24°57′</t>
  </si>
  <si>
    <t xml:space="preserve">Vṛṣabha 08°44′</t>
  </si>
  <si>
    <t xml:space="preserve">Mīna 10°16′</t>
  </si>
  <si>
    <t xml:space="preserve">Makara 12°41′</t>
  </si>
  <si>
    <t xml:space="preserve">Mīna 22°01′</t>
  </si>
  <si>
    <t xml:space="preserve">Mīna 13°23′</t>
  </si>
  <si>
    <t xml:space="preserve">Karkaṭa 26°49′</t>
  </si>
  <si>
    <t xml:space="preserve">Mīna 01°20′</t>
  </si>
  <si>
    <t xml:space="preserve">Karkaṭa 22°50′ R</t>
  </si>
  <si>
    <t xml:space="preserve">Kumbha 18°58′</t>
  </si>
  <si>
    <t xml:space="preserve">Mīna 23°15′</t>
  </si>
  <si>
    <t xml:space="preserve">Makara 24°50′</t>
  </si>
  <si>
    <t xml:space="preserve">Karkaṭa 24°50′</t>
  </si>
  <si>
    <t xml:space="preserve">Vṛṣabha 08°47′</t>
  </si>
  <si>
    <t xml:space="preserve">Mīna 10°18′</t>
  </si>
  <si>
    <t xml:space="preserve">Makara 12°42′</t>
  </si>
  <si>
    <t xml:space="preserve">Mīna 26°37′</t>
  </si>
  <si>
    <t xml:space="preserve">Karkaṭa 26°53′</t>
  </si>
  <si>
    <t xml:space="preserve">Mīna 02°58′</t>
  </si>
  <si>
    <t xml:space="preserve">Karkaṭa 22°48′ R</t>
  </si>
  <si>
    <t xml:space="preserve">Kumbha 20°10′</t>
  </si>
  <si>
    <t xml:space="preserve">Mīna 23°22′</t>
  </si>
  <si>
    <t xml:space="preserve">Makara 24°41′</t>
  </si>
  <si>
    <t xml:space="preserve">Karkaṭa 24°41′</t>
  </si>
  <si>
    <t xml:space="preserve">Vṛṣabha 08°50′</t>
  </si>
  <si>
    <t xml:space="preserve">Mīna 10°21′</t>
  </si>
  <si>
    <t xml:space="preserve">Makara 12°43′</t>
  </si>
  <si>
    <t xml:space="preserve">Mīna 23°59′</t>
  </si>
  <si>
    <t xml:space="preserve">Meṣa 10°08′</t>
  </si>
  <si>
    <t xml:space="preserve">Mīna 04°37′</t>
  </si>
  <si>
    <t xml:space="preserve">Karkaṭa 22°47′ R</t>
  </si>
  <si>
    <t xml:space="preserve">Kumbha 21°23′</t>
  </si>
  <si>
    <t xml:space="preserve">Mīna 23°30′</t>
  </si>
  <si>
    <t xml:space="preserve">Makara 24°31′</t>
  </si>
  <si>
    <t xml:space="preserve">Karkaṭa 24°31′</t>
  </si>
  <si>
    <t xml:space="preserve">Vṛṣabha 08°52′</t>
  </si>
  <si>
    <t xml:space="preserve">Mīna 10°23′</t>
  </si>
  <si>
    <t xml:space="preserve">Makara 12°44′</t>
  </si>
  <si>
    <t xml:space="preserve">Mīna 24°58′</t>
  </si>
  <si>
    <t xml:space="preserve">Meṣa 23°53′</t>
  </si>
  <si>
    <t xml:space="preserve">Karkaṭa 27°02′</t>
  </si>
  <si>
    <t xml:space="preserve">Mīna 06°17′</t>
  </si>
  <si>
    <t xml:space="preserve">Kumbha 22°35′</t>
  </si>
  <si>
    <t xml:space="preserve">Mīna 23°37′</t>
  </si>
  <si>
    <t xml:space="preserve">Makara 24°20′</t>
  </si>
  <si>
    <t xml:space="preserve">Karkaṭa 24°20′</t>
  </si>
  <si>
    <t xml:space="preserve">Vṛṣabha 08°55′</t>
  </si>
  <si>
    <t xml:space="preserve">Mīna 10°25′</t>
  </si>
  <si>
    <t xml:space="preserve">Mīna 25°57′</t>
  </si>
  <si>
    <t xml:space="preserve">Vṛṣabha 07°49′</t>
  </si>
  <si>
    <t xml:space="preserve">Karkaṭa 27°08′</t>
  </si>
  <si>
    <t xml:space="preserve">Karkaṭa 22°46′ R</t>
  </si>
  <si>
    <t xml:space="preserve">Kumbha 23°48′</t>
  </si>
  <si>
    <t xml:space="preserve">Mīna 23°45′</t>
  </si>
  <si>
    <t xml:space="preserve">Makara 24°12′</t>
  </si>
  <si>
    <t xml:space="preserve">Karkaṭa 24°12′</t>
  </si>
  <si>
    <t xml:space="preserve">Vṛṣabha 08°58′</t>
  </si>
  <si>
    <t xml:space="preserve">Mīna 10°27′</t>
  </si>
  <si>
    <t xml:space="preserve">Makara 12°45′</t>
  </si>
  <si>
    <t xml:space="preserve">Mīna 26°56′</t>
  </si>
  <si>
    <t xml:space="preserve">Vṛṣabha 21°51′</t>
  </si>
  <si>
    <t xml:space="preserve">Mīna 09°43′</t>
  </si>
  <si>
    <t xml:space="preserve">Kumbha 25°01′</t>
  </si>
  <si>
    <t xml:space="preserve">Mīna 23°53′</t>
  </si>
  <si>
    <t xml:space="preserve">Makara 24°05′</t>
  </si>
  <si>
    <t xml:space="preserve">Karkaṭa 24°05′</t>
  </si>
  <si>
    <t xml:space="preserve">Vṛṣabha 09°01′</t>
  </si>
  <si>
    <t xml:space="preserve">Mīna 10°30′</t>
  </si>
  <si>
    <t xml:space="preserve">Makara 12°46′</t>
  </si>
  <si>
    <t xml:space="preserve">Mīna 27°55′</t>
  </si>
  <si>
    <t xml:space="preserve">Mithuna 05°58′</t>
  </si>
  <si>
    <t xml:space="preserve">Karkaṭa 27°21′</t>
  </si>
  <si>
    <t xml:space="preserve">Mīna 11°27′</t>
  </si>
  <si>
    <t xml:space="preserve">Karkaṭa 22°45′ R</t>
  </si>
  <si>
    <t xml:space="preserve">Kumbha 26°13′</t>
  </si>
  <si>
    <t xml:space="preserve">Mīna 24°00′</t>
  </si>
  <si>
    <t xml:space="preserve">Makara 24°00′</t>
  </si>
  <si>
    <t xml:space="preserve">Karkaṭa 24°00′</t>
  </si>
  <si>
    <t xml:space="preserve">Vṛṣabha 09°03′</t>
  </si>
  <si>
    <t xml:space="preserve">Mīna 10°32′</t>
  </si>
  <si>
    <t xml:space="preserve">Makara 12°47′</t>
  </si>
  <si>
    <t xml:space="preserve">Mīna 28°54′</t>
  </si>
  <si>
    <t xml:space="preserve">Mithuna 20°05′</t>
  </si>
  <si>
    <t xml:space="preserve">Mīna 13°14′</t>
  </si>
  <si>
    <t xml:space="preserve">Karkaṭa 22°45′</t>
  </si>
  <si>
    <t xml:space="preserve">Kumbha 27°26′</t>
  </si>
  <si>
    <t xml:space="preserve">Mīna 24°08′</t>
  </si>
  <si>
    <t xml:space="preserve">Makara 23°58′</t>
  </si>
  <si>
    <t xml:space="preserve">Karkaṭa 23°58′</t>
  </si>
  <si>
    <t xml:space="preserve">Vṛṣabha 09°06′</t>
  </si>
  <si>
    <t xml:space="preserve">Mīna 10°34′</t>
  </si>
  <si>
    <t xml:space="preserve">Mīna 29°52′</t>
  </si>
  <si>
    <t xml:space="preserve">Karkaṭa 04°13′</t>
  </si>
  <si>
    <t xml:space="preserve">Karkaṭa 27°37′</t>
  </si>
  <si>
    <t xml:space="preserve">Mīna 15°02′</t>
  </si>
  <si>
    <t xml:space="preserve">Kumbha 28°38′</t>
  </si>
  <si>
    <t xml:space="preserve">Mīna 24°15′</t>
  </si>
  <si>
    <t xml:space="preserve">Vṛṣabha 09°09′</t>
  </si>
  <si>
    <t xml:space="preserve">Mīna 10°36′</t>
  </si>
  <si>
    <t xml:space="preserve">Makara 12°48′</t>
  </si>
  <si>
    <t xml:space="preserve">Meṣa 00°51′</t>
  </si>
  <si>
    <t xml:space="preserve">Karkaṭa 18°19′</t>
  </si>
  <si>
    <t xml:space="preserve">Karkaṭa 27°46′</t>
  </si>
  <si>
    <t xml:space="preserve">Mīna 16°51′</t>
  </si>
  <si>
    <t xml:space="preserve">Karkaṭa 22°46′</t>
  </si>
  <si>
    <t xml:space="preserve">Kumbha 29°51′</t>
  </si>
  <si>
    <t xml:space="preserve">Mīna 24°23′</t>
  </si>
  <si>
    <t xml:space="preserve">Vṛṣabha 09°12′</t>
  </si>
  <si>
    <t xml:space="preserve">Mīna 10°38′</t>
  </si>
  <si>
    <t xml:space="preserve">Makara 12°49′</t>
  </si>
  <si>
    <t xml:space="preserve">Meṣa 01°50′</t>
  </si>
  <si>
    <t xml:space="preserve">Karkaṭa 27°56′</t>
  </si>
  <si>
    <t xml:space="preserve">Mīna 18°42′</t>
  </si>
  <si>
    <t xml:space="preserve">Mīna 01°04′</t>
  </si>
  <si>
    <t xml:space="preserve">Mīna 24°30′</t>
  </si>
  <si>
    <t xml:space="preserve">Vṛṣabha 09°15′</t>
  </si>
  <si>
    <t xml:space="preserve">Mīna 10°40′</t>
  </si>
  <si>
    <t xml:space="preserve">Meṣa 02°49′</t>
  </si>
  <si>
    <t xml:space="preserve">Siṃha 16°23′</t>
  </si>
  <si>
    <t xml:space="preserve">Karkaṭa 28°06′</t>
  </si>
  <si>
    <t xml:space="preserve">Mīna 20°35′</t>
  </si>
  <si>
    <t xml:space="preserve">Karkaṭa 22°47′</t>
  </si>
  <si>
    <t xml:space="preserve">Mīna 02°16′</t>
  </si>
  <si>
    <t xml:space="preserve">Mīna 24°38′</t>
  </si>
  <si>
    <t xml:space="preserve">Makara 23°56′</t>
  </si>
  <si>
    <t xml:space="preserve">Karkaṭa 23°56′</t>
  </si>
  <si>
    <t xml:space="preserve">Vṛṣabha 09°18′</t>
  </si>
  <si>
    <t xml:space="preserve">Mīna 10°43′</t>
  </si>
  <si>
    <t xml:space="preserve">Makara 12°50′</t>
  </si>
  <si>
    <t xml:space="preserve">Meṣa 03°47′</t>
  </si>
  <si>
    <t xml:space="preserve">Kanyā 00°18′</t>
  </si>
  <si>
    <t xml:space="preserve">Karkaṭa 28°16′</t>
  </si>
  <si>
    <t xml:space="preserve">Karkaṭa 22°48′</t>
  </si>
  <si>
    <t xml:space="preserve">Mīna 03°29′</t>
  </si>
  <si>
    <t xml:space="preserve">Mīna 24°45′</t>
  </si>
  <si>
    <t xml:space="preserve">Makara 23°52′</t>
  </si>
  <si>
    <t xml:space="preserve">Karkaṭa 23°52′</t>
  </si>
  <si>
    <t xml:space="preserve">Mīna 10°45′</t>
  </si>
  <si>
    <t xml:space="preserve">Meṣa 04°46′</t>
  </si>
  <si>
    <t xml:space="preserve">Kanyā 14°04′</t>
  </si>
  <si>
    <t xml:space="preserve">Karkaṭa 28°28′</t>
  </si>
  <si>
    <t xml:space="preserve">Mīna 24°25′</t>
  </si>
  <si>
    <t xml:space="preserve">Karkaṭa 22°49′</t>
  </si>
  <si>
    <t xml:space="preserve">Mīna 04°42′</t>
  </si>
  <si>
    <t xml:space="preserve">Mīna 24°53′</t>
  </si>
  <si>
    <t xml:space="preserve">Makara 23°45′</t>
  </si>
  <si>
    <t xml:space="preserve">Karkaṭa 23°45′</t>
  </si>
  <si>
    <t xml:space="preserve">Vṛṣabha 09°24′</t>
  </si>
  <si>
    <t xml:space="preserve">Mīna 10°47′</t>
  </si>
  <si>
    <t xml:space="preserve">Meṣa 05°44′</t>
  </si>
  <si>
    <t xml:space="preserve">Kanyā 27°40′</t>
  </si>
  <si>
    <t xml:space="preserve">Karkaṭa 28°39′</t>
  </si>
  <si>
    <t xml:space="preserve">Mīna 26°22′</t>
  </si>
  <si>
    <t xml:space="preserve">Karkaṭa 22°50′</t>
  </si>
  <si>
    <t xml:space="preserve">Mīna 05°54′</t>
  </si>
  <si>
    <t xml:space="preserve">Mīna 25°00′</t>
  </si>
  <si>
    <t xml:space="preserve">Makara 23°35′</t>
  </si>
  <si>
    <t xml:space="preserve">Karkaṭa 23°35′</t>
  </si>
  <si>
    <t xml:space="preserve">Vṛṣabha 09°27′</t>
  </si>
  <si>
    <t xml:space="preserve">Mīna 10°49′</t>
  </si>
  <si>
    <t xml:space="preserve">Makara 12°52′</t>
  </si>
  <si>
    <t xml:space="preserve">Meṣa 06°43′</t>
  </si>
  <si>
    <t xml:space="preserve">Karkaṭa 28°52′</t>
  </si>
  <si>
    <t xml:space="preserve">Mīna 28°21′</t>
  </si>
  <si>
    <t xml:space="preserve">Karkaṭa 22°52′</t>
  </si>
  <si>
    <t xml:space="preserve">Mīna 07°07′</t>
  </si>
  <si>
    <t xml:space="preserve">Mīna 25°08′</t>
  </si>
  <si>
    <t xml:space="preserve">Karkaṭa 23°23′</t>
  </si>
  <si>
    <t xml:space="preserve">Vṛṣabha 09°30′</t>
  </si>
  <si>
    <t xml:space="preserve">Meṣa 07°42′</t>
  </si>
  <si>
    <t xml:space="preserve">Tulā 24°08′</t>
  </si>
  <si>
    <t xml:space="preserve">Karkaṭa 29°04′</t>
  </si>
  <si>
    <t xml:space="preserve">Meṣa 00°21′</t>
  </si>
  <si>
    <t xml:space="preserve">Karkaṭa 22°53′</t>
  </si>
  <si>
    <t xml:space="preserve">Mīna 25°15′</t>
  </si>
  <si>
    <t xml:space="preserve">Makara 23°11′</t>
  </si>
  <si>
    <t xml:space="preserve">Karkaṭa 23°11′</t>
  </si>
  <si>
    <t xml:space="preserve">Vṛṣabha 09°33′</t>
  </si>
  <si>
    <t xml:space="preserve">Mīna 10°53′</t>
  </si>
  <si>
    <t xml:space="preserve">Makara 12°53′</t>
  </si>
  <si>
    <t xml:space="preserve">Meṣa 08°40′</t>
  </si>
  <si>
    <t xml:space="preserve">Vṛścika 06°57′</t>
  </si>
  <si>
    <t xml:space="preserve">Karkaṭa 29°18′</t>
  </si>
  <si>
    <t xml:space="preserve">Meṣa 02°23′</t>
  </si>
  <si>
    <t xml:space="preserve">Karkaṭa 22°55′</t>
  </si>
  <si>
    <t xml:space="preserve">Mīna 25°23′</t>
  </si>
  <si>
    <t xml:space="preserve">Makara 22°59′</t>
  </si>
  <si>
    <t xml:space="preserve">Karkaṭa 22°59′</t>
  </si>
  <si>
    <t xml:space="preserve">Vṛṣabha 09°36′</t>
  </si>
  <si>
    <t xml:space="preserve">Mīna 10°55′</t>
  </si>
  <si>
    <t xml:space="preserve">Meṣa 09°39′</t>
  </si>
  <si>
    <t xml:space="preserve">Vṛścika 19°28′</t>
  </si>
  <si>
    <t xml:space="preserve">Karkaṭa 29°31′</t>
  </si>
  <si>
    <t xml:space="preserve">Meṣa 04°26′</t>
  </si>
  <si>
    <t xml:space="preserve">Karkaṭa 22°57′</t>
  </si>
  <si>
    <t xml:space="preserve">Mīna 25°30′</t>
  </si>
  <si>
    <t xml:space="preserve">Makara 22°49′</t>
  </si>
  <si>
    <t xml:space="preserve">Vṛṣabha 09°39′</t>
  </si>
  <si>
    <t xml:space="preserve">Mīna 10°57′</t>
  </si>
  <si>
    <t xml:space="preserve">Meṣa 10°37′</t>
  </si>
  <si>
    <t xml:space="preserve">Dhanus 01°44′</t>
  </si>
  <si>
    <t xml:space="preserve">Karkaṭa 29°46′</t>
  </si>
  <si>
    <t xml:space="preserve">Meṣa 06°30′</t>
  </si>
  <si>
    <t xml:space="preserve">Mīna 11°58′</t>
  </si>
  <si>
    <t xml:space="preserve">Mīna 25°38′</t>
  </si>
  <si>
    <t xml:space="preserve">Makara 22°41′</t>
  </si>
  <si>
    <t xml:space="preserve">Karkaṭa 22°41′</t>
  </si>
  <si>
    <t xml:space="preserve">Vṛṣabha 09°42′</t>
  </si>
  <si>
    <t xml:space="preserve">Mīna 10°59′</t>
  </si>
  <si>
    <t xml:space="preserve">Makara 12°54′</t>
  </si>
  <si>
    <t xml:space="preserve">Meṣa 11°35′</t>
  </si>
  <si>
    <t xml:space="preserve">Dhanus 13°46′</t>
  </si>
  <si>
    <t xml:space="preserve">Meṣa 08°36′</t>
  </si>
  <si>
    <t xml:space="preserve">Mīna 13°11′</t>
  </si>
  <si>
    <t xml:space="preserve">Mīna 25°45′</t>
  </si>
  <si>
    <t xml:space="preserve">Makara 22°36′</t>
  </si>
  <si>
    <t xml:space="preserve">Karkaṭa 22°36′</t>
  </si>
  <si>
    <t xml:space="preserve">Vṛṣabha 09°46′</t>
  </si>
  <si>
    <t xml:space="preserve">Mīna 11°01′</t>
  </si>
  <si>
    <t xml:space="preserve">Meṣa 12°34′</t>
  </si>
  <si>
    <t xml:space="preserve">Dhanus 25°39′</t>
  </si>
  <si>
    <t xml:space="preserve">Siṃha 00°16′</t>
  </si>
  <si>
    <t xml:space="preserve">Meṣa 10°42′</t>
  </si>
  <si>
    <t xml:space="preserve">Karkaṭa 23°04′</t>
  </si>
  <si>
    <t xml:space="preserve">Mīna 14°24′</t>
  </si>
  <si>
    <t xml:space="preserve">Mīna 25°52′</t>
  </si>
  <si>
    <t xml:space="preserve">Makara 22°33′</t>
  </si>
  <si>
    <t xml:space="preserve">Karkaṭa 22°33′</t>
  </si>
  <si>
    <t xml:space="preserve">Vṛṣabha 09°49′</t>
  </si>
  <si>
    <t xml:space="preserve">Mīna 11°03′</t>
  </si>
  <si>
    <t xml:space="preserve">Meṣa 13°32′</t>
  </si>
  <si>
    <t xml:space="preserve">Makara 07°28′</t>
  </si>
  <si>
    <t xml:space="preserve">Siṃha 00°31′</t>
  </si>
  <si>
    <t xml:space="preserve">Meṣa 12°50′</t>
  </si>
  <si>
    <t xml:space="preserve">Karkaṭa 23°07′</t>
  </si>
  <si>
    <t xml:space="preserve">Mīna 15°36′</t>
  </si>
  <si>
    <t xml:space="preserve">Makara 22°32′</t>
  </si>
  <si>
    <t xml:space="preserve">Karkaṭa 22°32′</t>
  </si>
  <si>
    <t xml:space="preserve">Vṛṣabha 09°52′</t>
  </si>
  <si>
    <t xml:space="preserve">Mīna 11°05′</t>
  </si>
  <si>
    <t xml:space="preserve">Meṣa 14°30′</t>
  </si>
  <si>
    <t xml:space="preserve">Makara 19°18′</t>
  </si>
  <si>
    <t xml:space="preserve">Siṃha 00°47′</t>
  </si>
  <si>
    <t xml:space="preserve">Meṣa 14°58′</t>
  </si>
  <si>
    <t xml:space="preserve">Karkaṭa 23°09′</t>
  </si>
  <si>
    <t xml:space="preserve">Mīna 16°49′</t>
  </si>
  <si>
    <t xml:space="preserve">Mīna 26°07′</t>
  </si>
  <si>
    <t xml:space="preserve">Vṛṣabha 09°55′</t>
  </si>
  <si>
    <t xml:space="preserve">Mīna 11°07′</t>
  </si>
  <si>
    <t xml:space="preserve">Meṣa 15°29′</t>
  </si>
  <si>
    <t xml:space="preserve">Kumbha 01°14′</t>
  </si>
  <si>
    <t xml:space="preserve">Siṃha 01°04′</t>
  </si>
  <si>
    <t xml:space="preserve">Meṣa 17°07′</t>
  </si>
  <si>
    <t xml:space="preserve">Karkaṭa 23°12′</t>
  </si>
  <si>
    <t xml:space="preserve">Mīna 18°02′</t>
  </si>
  <si>
    <t xml:space="preserve">Mīna 26°14′</t>
  </si>
  <si>
    <t xml:space="preserve">Vṛṣabha 09°59′</t>
  </si>
  <si>
    <t xml:space="preserve">Meṣa 16°27′</t>
  </si>
  <si>
    <t xml:space="preserve">Kumbha 13°22′</t>
  </si>
  <si>
    <t xml:space="preserve">Siṃha 01°21′</t>
  </si>
  <si>
    <t xml:space="preserve">Meṣa 19°17′</t>
  </si>
  <si>
    <t xml:space="preserve">Karkaṭa 23°16′</t>
  </si>
  <si>
    <t xml:space="preserve">Mīna 19°15′</t>
  </si>
  <si>
    <t xml:space="preserve">Makara 22°30′</t>
  </si>
  <si>
    <t xml:space="preserve">Vṛṣabha 10°02′</t>
  </si>
  <si>
    <t xml:space="preserve">Mīna 11°11′</t>
  </si>
  <si>
    <t xml:space="preserve">Meṣa 17°25′</t>
  </si>
  <si>
    <t xml:space="preserve">Kumbha 25°47′</t>
  </si>
  <si>
    <t xml:space="preserve">Siṃha 01°38′</t>
  </si>
  <si>
    <t xml:space="preserve">Meṣa 21°26′</t>
  </si>
  <si>
    <t xml:space="preserve">Karkaṭa 23°19′</t>
  </si>
  <si>
    <t xml:space="preserve">Mīna 20°28′</t>
  </si>
  <si>
    <t xml:space="preserve">Mīna 26°29′</t>
  </si>
  <si>
    <t xml:space="preserve">Makara 22°27′</t>
  </si>
  <si>
    <t xml:space="preserve">Karkaṭa 22°27′</t>
  </si>
  <si>
    <t xml:space="preserve">Vṛṣabha 10°05′</t>
  </si>
  <si>
    <t xml:space="preserve">Mīna 11°13′</t>
  </si>
  <si>
    <t xml:space="preserve">Makara 12°56′</t>
  </si>
  <si>
    <t xml:space="preserve">Meṣa 18°24′</t>
  </si>
  <si>
    <t xml:space="preserve">Mīna 08°32′</t>
  </si>
  <si>
    <t xml:space="preserve">Siṃha 01°56′</t>
  </si>
  <si>
    <t xml:space="preserve">Meṣa 23°35′</t>
  </si>
  <si>
    <t xml:space="preserve">Mīna 21°41′</t>
  </si>
  <si>
    <t xml:space="preserve">Mīna 26°36′</t>
  </si>
  <si>
    <t xml:space="preserve">Makara 22°21′</t>
  </si>
  <si>
    <t xml:space="preserve">Karkaṭa 22°21′</t>
  </si>
  <si>
    <t xml:space="preserve">Vṛṣabha 10°08′</t>
  </si>
  <si>
    <t xml:space="preserve">Mīna 11°15′</t>
  </si>
  <si>
    <t xml:space="preserve">Meṣa 19°22′</t>
  </si>
  <si>
    <t xml:space="preserve">Mīna 21°40′</t>
  </si>
  <si>
    <t xml:space="preserve">Siṃha 02°15′</t>
  </si>
  <si>
    <t xml:space="preserve">Meṣa 25°44′</t>
  </si>
  <si>
    <t xml:space="preserve">Karkaṭa 23°26′</t>
  </si>
  <si>
    <t xml:space="preserve">Mīna 22°53′</t>
  </si>
  <si>
    <t xml:space="preserve">Mīna 26°43′</t>
  </si>
  <si>
    <t xml:space="preserve">Makara 22°12′</t>
  </si>
  <si>
    <t xml:space="preserve">Karkaṭa 22°12′</t>
  </si>
  <si>
    <t xml:space="preserve">Vṛṣabha 10°12′</t>
  </si>
  <si>
    <t xml:space="preserve">Mīna 11°17′</t>
  </si>
  <si>
    <t xml:space="preserve">Meṣa 20°20′</t>
  </si>
  <si>
    <t xml:space="preserve">Meṣa 05°11′</t>
  </si>
  <si>
    <t xml:space="preserve">Meṣa 27°52′</t>
  </si>
  <si>
    <t xml:space="preserve">Karkaṭa 23°30′</t>
  </si>
  <si>
    <t xml:space="preserve">Mīna 24°06′</t>
  </si>
  <si>
    <t xml:space="preserve">Mīna 26°51′</t>
  </si>
  <si>
    <t xml:space="preserve">Makara 22°02′</t>
  </si>
  <si>
    <t xml:space="preserve">Karkaṭa 22°02′</t>
  </si>
  <si>
    <t xml:space="preserve">Vṛṣabha 10°15′</t>
  </si>
  <si>
    <t xml:space="preserve">Mīna 11°19′</t>
  </si>
  <si>
    <t xml:space="preserve">Meṣa 21°18′</t>
  </si>
  <si>
    <t xml:space="preserve">Meṣa 19°04′</t>
  </si>
  <si>
    <t xml:space="preserve">Siṃha 02°52′</t>
  </si>
  <si>
    <t xml:space="preserve">Meṣa 29°59′</t>
  </si>
  <si>
    <t xml:space="preserve">Karkaṭa 23°34′</t>
  </si>
  <si>
    <t xml:space="preserve">Mīna 25°19′</t>
  </si>
  <si>
    <t xml:space="preserve">Mīna 26°58′</t>
  </si>
  <si>
    <t xml:space="preserve">Makara 21°50′</t>
  </si>
  <si>
    <t xml:space="preserve">Karkaṭa 21°50′</t>
  </si>
  <si>
    <t xml:space="preserve">Vṛṣabha 10°18′</t>
  </si>
  <si>
    <t xml:space="preserve">Mīna 11°21′</t>
  </si>
  <si>
    <t xml:space="preserve">Meṣa 22°16′</t>
  </si>
  <si>
    <t xml:space="preserve">Vṛṣabha 03°14′</t>
  </si>
  <si>
    <t xml:space="preserve">Siṃha 03°12′</t>
  </si>
  <si>
    <t xml:space="preserve">Vṛṣabha 02°04′</t>
  </si>
  <si>
    <t xml:space="preserve">Karkaṭa 23°38′</t>
  </si>
  <si>
    <t xml:space="preserve">Mīna 26°32′</t>
  </si>
  <si>
    <t xml:space="preserve">Mīna 27°05′</t>
  </si>
  <si>
    <t xml:space="preserve">Makara 21°38′</t>
  </si>
  <si>
    <t xml:space="preserve">Karkaṭa 21°38′</t>
  </si>
  <si>
    <t xml:space="preserve">Vṛṣabha 10°22′</t>
  </si>
  <si>
    <t xml:space="preserve">Mīna 11°22′</t>
  </si>
  <si>
    <t xml:space="preserve">Meṣa 23°14′</t>
  </si>
  <si>
    <t xml:space="preserve">Vṛṣabha 17°36′</t>
  </si>
  <si>
    <t xml:space="preserve">Siṃha 03°32′</t>
  </si>
  <si>
    <t xml:space="preserve">Vṛṣabha 04°08′</t>
  </si>
  <si>
    <t xml:space="preserve">Karkaṭa 23°43′</t>
  </si>
  <si>
    <t xml:space="preserve">Mīna 27°45′</t>
  </si>
  <si>
    <t xml:space="preserve">Mīna 27°12′</t>
  </si>
  <si>
    <t xml:space="preserve">Makara 21°27′</t>
  </si>
  <si>
    <t xml:space="preserve">Karkaṭa 21°27′</t>
  </si>
  <si>
    <t xml:space="preserve">Vṛṣabha 10°25′</t>
  </si>
  <si>
    <t xml:space="preserve">Mīna 11°24′</t>
  </si>
  <si>
    <t xml:space="preserve">Meṣa 24°12′</t>
  </si>
  <si>
    <t xml:space="preserve">Mithuna 02°04′</t>
  </si>
  <si>
    <t xml:space="preserve">Siṃha 03°52′</t>
  </si>
  <si>
    <t xml:space="preserve">Vṛṣabha 06°10′</t>
  </si>
  <si>
    <t xml:space="preserve">Karkaṭa 23°47′</t>
  </si>
  <si>
    <t xml:space="preserve">Mīna 28°58′</t>
  </si>
  <si>
    <t xml:space="preserve">Mīna 27°19′</t>
  </si>
  <si>
    <t xml:space="preserve">Makara 21°19′</t>
  </si>
  <si>
    <t xml:space="preserve">Karkaṭa 21°19′</t>
  </si>
  <si>
    <t xml:space="preserve">Vṛṣabha 10°29′</t>
  </si>
  <si>
    <t xml:space="preserve">Mīna 11°26′</t>
  </si>
  <si>
    <t xml:space="preserve">Makara 12°56′ R</t>
  </si>
  <si>
    <t xml:space="preserve">Meṣa 25°10′</t>
  </si>
  <si>
    <t xml:space="preserve">Mithuna 16°32′</t>
  </si>
  <si>
    <t xml:space="preserve">Siṃha 04°12′</t>
  </si>
  <si>
    <t xml:space="preserve">Vṛṣabha 08°10′</t>
  </si>
  <si>
    <t xml:space="preserve">Meṣa 00°11′</t>
  </si>
  <si>
    <t xml:space="preserve">Mīna 27°26′</t>
  </si>
  <si>
    <t xml:space="preserve">Makara 21°13′</t>
  </si>
  <si>
    <t xml:space="preserve">Karkaṭa 21°13′</t>
  </si>
  <si>
    <t xml:space="preserve">Vṛṣabha 10°32′</t>
  </si>
  <si>
    <t xml:space="preserve">Mīna 11°28′</t>
  </si>
  <si>
    <t xml:space="preserve">Meṣa 26°08′</t>
  </si>
  <si>
    <t xml:space="preserve">Karkaṭa 00°55′</t>
  </si>
  <si>
    <t xml:space="preserve">Siṃha 04°33′</t>
  </si>
  <si>
    <t xml:space="preserve">Karkaṭa 23°57′</t>
  </si>
  <si>
    <t xml:space="preserve">Meṣa 01°24′</t>
  </si>
  <si>
    <t xml:space="preserve">Mīna 27°33′</t>
  </si>
  <si>
    <t xml:space="preserve">Makara 21°10′</t>
  </si>
  <si>
    <t xml:space="preserve">Karkaṭa 21°10′</t>
  </si>
  <si>
    <t xml:space="preserve">Vṛṣabha 10°35′</t>
  </si>
  <si>
    <t xml:space="preserve">Mīna 11°30′</t>
  </si>
  <si>
    <t xml:space="preserve">Meṣa 27°06′</t>
  </si>
  <si>
    <t xml:space="preserve">Karkaṭa 15°09′</t>
  </si>
  <si>
    <t xml:space="preserve">Siṃha 04°55′</t>
  </si>
  <si>
    <t xml:space="preserve">Vṛṣabha 12°02′</t>
  </si>
  <si>
    <t xml:space="preserve">Meṣa 02°37′</t>
  </si>
  <si>
    <t xml:space="preserve">Mīna 27°40′</t>
  </si>
  <si>
    <t xml:space="preserve">Makara 21°09′</t>
  </si>
  <si>
    <t xml:space="preserve">Karkaṭa 21°09′</t>
  </si>
  <si>
    <t xml:space="preserve">Vṛṣabha 10°39′</t>
  </si>
  <si>
    <t xml:space="preserve">Mīna 11°31′</t>
  </si>
  <si>
    <t xml:space="preserve">Meṣa 28°04′</t>
  </si>
  <si>
    <t xml:space="preserve">Karkaṭa 29°14′</t>
  </si>
  <si>
    <t xml:space="preserve">Siṃha 05°16′</t>
  </si>
  <si>
    <t xml:space="preserve">Vṛṣabha 13°55′</t>
  </si>
  <si>
    <t xml:space="preserve">Karkaṭa 24°07′</t>
  </si>
  <si>
    <t xml:space="preserve">Meṣa 03°50′</t>
  </si>
  <si>
    <t xml:space="preserve">Mīna 27°47′</t>
  </si>
  <si>
    <t xml:space="preserve">Vṛṣabha 10°42′</t>
  </si>
  <si>
    <t xml:space="preserve">Mīna 11°33′</t>
  </si>
  <si>
    <t xml:space="preserve">Meṣa 29°02′</t>
  </si>
  <si>
    <t xml:space="preserve">Siṃha 13°09′</t>
  </si>
  <si>
    <t xml:space="preserve">Siṃha 05°38′</t>
  </si>
  <si>
    <t xml:space="preserve">Vṛṣabha 15°44′</t>
  </si>
  <si>
    <t xml:space="preserve">Meṣa 05°02′</t>
  </si>
  <si>
    <t xml:space="preserve">Mīna 27°54′</t>
  </si>
  <si>
    <t xml:space="preserve">Vṛṣabha 10°46′</t>
  </si>
  <si>
    <t xml:space="preserve">Mīna 11°35′</t>
  </si>
  <si>
    <t xml:space="preserve">Vṛṣabha 00°00′</t>
  </si>
  <si>
    <t xml:space="preserve">Siṃha 26°53′</t>
  </si>
  <si>
    <t xml:space="preserve">Siṃha 06°00′</t>
  </si>
  <si>
    <t xml:space="preserve">Vṛṣabha 17°30′</t>
  </si>
  <si>
    <t xml:space="preserve">Karkaṭa 24°18′</t>
  </si>
  <si>
    <t xml:space="preserve">Meṣa 06°15′</t>
  </si>
  <si>
    <t xml:space="preserve">Mīna 28°01′</t>
  </si>
  <si>
    <t xml:space="preserve">Makara 21°06′</t>
  </si>
  <si>
    <t xml:space="preserve">Karkaṭa 21°06′</t>
  </si>
  <si>
    <t xml:space="preserve">Vṛṣabha 10°49′</t>
  </si>
  <si>
    <t xml:space="preserve">Mīna 11°36′</t>
  </si>
  <si>
    <t xml:space="preserve">Makara 12°55′ R</t>
  </si>
  <si>
    <t xml:space="preserve">Vṛṣabha 00°58′</t>
  </si>
  <si>
    <t xml:space="preserve">Kanyā 10°26′</t>
  </si>
  <si>
    <t xml:space="preserve">Siṃha 06°23′</t>
  </si>
  <si>
    <t xml:space="preserve">Vṛṣabha 19°13′</t>
  </si>
  <si>
    <t xml:space="preserve">Karkaṭa 24°24′</t>
  </si>
  <si>
    <t xml:space="preserve">Meṣa 07°28′</t>
  </si>
  <si>
    <t xml:space="preserve">Mīna 28°07′</t>
  </si>
  <si>
    <t xml:space="preserve">Makara 21°02′</t>
  </si>
  <si>
    <t xml:space="preserve">Karkaṭa 21°02′</t>
  </si>
  <si>
    <t xml:space="preserve">Vṛṣabha 10°53′</t>
  </si>
  <si>
    <t xml:space="preserve">Mīna 11°38′</t>
  </si>
  <si>
    <t xml:space="preserve">Vṛṣabha 01°56′</t>
  </si>
  <si>
    <t xml:space="preserve">Kanyā 23°49′</t>
  </si>
  <si>
    <t xml:space="preserve">Siṃha 06°46′</t>
  </si>
  <si>
    <t xml:space="preserve">Vṛṣabha 20°53′</t>
  </si>
  <si>
    <t xml:space="preserve">Karkaṭa 24°29′</t>
  </si>
  <si>
    <t xml:space="preserve">Meṣa 08°41′</t>
  </si>
  <si>
    <t xml:space="preserve">Mīna 28°14′</t>
  </si>
  <si>
    <t xml:space="preserve">Makara 20°55′</t>
  </si>
  <si>
    <t xml:space="preserve">Karkaṭa 20°55′</t>
  </si>
  <si>
    <t xml:space="preserve">Vṛṣabha 10°56′</t>
  </si>
  <si>
    <t xml:space="preserve">Mīna 11°40′</t>
  </si>
  <si>
    <t xml:space="preserve">Vṛṣabha 02°54′</t>
  </si>
  <si>
    <t xml:space="preserve">Siṃha 07°09′</t>
  </si>
  <si>
    <t xml:space="preserve">Vṛṣabha 22°29′</t>
  </si>
  <si>
    <t xml:space="preserve">Karkaṭa 24°35′</t>
  </si>
  <si>
    <t xml:space="preserve">Meṣa 09°54′</t>
  </si>
  <si>
    <t xml:space="preserve">Makara 20°45′</t>
  </si>
  <si>
    <t xml:space="preserve">Karkaṭa 20°45′</t>
  </si>
  <si>
    <t xml:space="preserve">Vṛṣabha 10°00′</t>
  </si>
  <si>
    <t xml:space="preserve">Mīna 11°41′</t>
  </si>
  <si>
    <t xml:space="preserve">Vṛṣabha 03°51′</t>
  </si>
  <si>
    <t xml:space="preserve">Tulā 20°02′</t>
  </si>
  <si>
    <t xml:space="preserve">Siṃha 07°33′</t>
  </si>
  <si>
    <t xml:space="preserve">Vṛṣabha 24°02′</t>
  </si>
  <si>
    <t xml:space="preserve">Meṣa 11°07′</t>
  </si>
  <si>
    <t xml:space="preserve">Mīna 28°27′</t>
  </si>
  <si>
    <t xml:space="preserve">Makara 20°33′</t>
  </si>
  <si>
    <t xml:space="preserve">Karkaṭa 20°33′</t>
  </si>
  <si>
    <t xml:space="preserve">Vṛṣabha 11°03′</t>
  </si>
  <si>
    <t xml:space="preserve">Mīna 11°43′</t>
  </si>
  <si>
    <t xml:space="preserve">Vṛṣabha 04°49′</t>
  </si>
  <si>
    <t xml:space="preserve">Vṛścika 02°49′</t>
  </si>
  <si>
    <t xml:space="preserve">Siṃha 07°56′</t>
  </si>
  <si>
    <t xml:space="preserve">Vṛṣabha 25°32′</t>
  </si>
  <si>
    <t xml:space="preserve">Karkaṭa 24°47′</t>
  </si>
  <si>
    <t xml:space="preserve">Meṣa 12°20′</t>
  </si>
  <si>
    <t xml:space="preserve">Mīna 28°34′</t>
  </si>
  <si>
    <t xml:space="preserve">Makara 20°20′</t>
  </si>
  <si>
    <t xml:space="preserve">Karkaṭa 20°20′</t>
  </si>
  <si>
    <t xml:space="preserve">Vṛṣabha 11°07′</t>
  </si>
  <si>
    <t xml:space="preserve">Mīna 11°44′</t>
  </si>
  <si>
    <t xml:space="preserve">Makara 12°54′ R</t>
  </si>
  <si>
    <t xml:space="preserve">Vṛṣabha 05°47′</t>
  </si>
  <si>
    <t xml:space="preserve">Vṛścika 15°23′</t>
  </si>
  <si>
    <t xml:space="preserve">Siṃha 08°20′</t>
  </si>
  <si>
    <t xml:space="preserve">Vṛṣabha 26°58′</t>
  </si>
  <si>
    <t xml:space="preserve">Karkaṭa 24°54′</t>
  </si>
  <si>
    <t xml:space="preserve">Meṣa 13°33′</t>
  </si>
  <si>
    <t xml:space="preserve">Mīna 28°41′</t>
  </si>
  <si>
    <t xml:space="preserve">Makara 20°08′</t>
  </si>
  <si>
    <t xml:space="preserve">Karkaṭa 20°08′</t>
  </si>
  <si>
    <t xml:space="preserve">Vṛṣabha 11°10′</t>
  </si>
  <si>
    <t xml:space="preserve">Mīna 11°46′</t>
  </si>
  <si>
    <t xml:space="preserve">Vṛṣabha 06°45′</t>
  </si>
  <si>
    <t xml:space="preserve">Vṛścika 27°44′</t>
  </si>
  <si>
    <t xml:space="preserve">Siṃha 08°45′</t>
  </si>
  <si>
    <t xml:space="preserve">Vṛṣabha 28°21′</t>
  </si>
  <si>
    <t xml:space="preserve">Meṣa 14°46′</t>
  </si>
  <si>
    <t xml:space="preserve">Mīna 28°47′</t>
  </si>
  <si>
    <t xml:space="preserve">Karkaṭa 19°58′</t>
  </si>
  <si>
    <t xml:space="preserve">Vṛṣabha 11°14′</t>
  </si>
  <si>
    <t xml:space="preserve">Mīna 11°47′</t>
  </si>
  <si>
    <t xml:space="preserve">Vṛṣabha 07°42′</t>
  </si>
  <si>
    <t xml:space="preserve">Dhanus 09°52′</t>
  </si>
  <si>
    <t xml:space="preserve">Siṃha 09°09′</t>
  </si>
  <si>
    <t xml:space="preserve">Vṛṣabha 29°40′</t>
  </si>
  <si>
    <t xml:space="preserve">Karkaṭa 25°07′</t>
  </si>
  <si>
    <t xml:space="preserve">Meṣa 15°59′</t>
  </si>
  <si>
    <t xml:space="preserve">Makara 19°49′</t>
  </si>
  <si>
    <t xml:space="preserve">Karkaṭa 19°49′</t>
  </si>
  <si>
    <t xml:space="preserve">Vṛṣabha 11°17′</t>
  </si>
  <si>
    <t xml:space="preserve">Mīna 11°49′</t>
  </si>
  <si>
    <t xml:space="preserve">Makara 12°53′ R</t>
  </si>
  <si>
    <t xml:space="preserve">Vṛṣabha 08°40′</t>
  </si>
  <si>
    <t xml:space="preserve">Dhanus 21°50′</t>
  </si>
  <si>
    <t xml:space="preserve">Siṃha 09°34′</t>
  </si>
  <si>
    <t xml:space="preserve">Mithuna 00°56′</t>
  </si>
  <si>
    <t xml:space="preserve">Karkaṭa 25°14′</t>
  </si>
  <si>
    <t xml:space="preserve">Meṣa 17°12′</t>
  </si>
  <si>
    <t xml:space="preserve">Mīna 29°00′</t>
  </si>
  <si>
    <t xml:space="preserve">Makara 19°43′</t>
  </si>
  <si>
    <t xml:space="preserve">Vṛṣabha 11°21′</t>
  </si>
  <si>
    <t xml:space="preserve">Mīna 11°50′</t>
  </si>
  <si>
    <t xml:space="preserve">Vṛṣabha 09°37′</t>
  </si>
  <si>
    <t xml:space="preserve">Makara 03°41′</t>
  </si>
  <si>
    <t xml:space="preserve">Siṃha 09°59′</t>
  </si>
  <si>
    <t xml:space="preserve">Mithuna 02°08′</t>
  </si>
  <si>
    <t xml:space="preserve">Karkaṭa 25°21′</t>
  </si>
  <si>
    <t xml:space="preserve">Meṣa 18°25′</t>
  </si>
  <si>
    <t xml:space="preserve">Mīna 29°07′</t>
  </si>
  <si>
    <t xml:space="preserve">Makara 19°40′</t>
  </si>
  <si>
    <t xml:space="preserve">Karkaṭa 19°40′</t>
  </si>
  <si>
    <t xml:space="preserve">Vṛṣabha 11°24′</t>
  </si>
  <si>
    <t xml:space="preserve">Mīna 11°52′</t>
  </si>
  <si>
    <t xml:space="preserve">Makara 12°52′ R</t>
  </si>
  <si>
    <t xml:space="preserve">Makara 15°29′</t>
  </si>
  <si>
    <t xml:space="preserve">Siṃha 10°25′</t>
  </si>
  <si>
    <t xml:space="preserve">Karkaṭa 25°28′</t>
  </si>
  <si>
    <t xml:space="preserve">Meṣa 19°38′</t>
  </si>
  <si>
    <t xml:space="preserve">Mīna 29°13′</t>
  </si>
  <si>
    <t xml:space="preserve">Makara 19°39′</t>
  </si>
  <si>
    <t xml:space="preserve">Karkaṭa 19°39′</t>
  </si>
  <si>
    <t xml:space="preserve">Vṛṣabha 11°28′</t>
  </si>
  <si>
    <t xml:space="preserve">Mīna 11°53′</t>
  </si>
  <si>
    <t xml:space="preserve">Vṛṣabha 11°33′</t>
  </si>
  <si>
    <t xml:space="preserve">Makara 27°18′</t>
  </si>
  <si>
    <t xml:space="preserve">Siṃha 10°51′</t>
  </si>
  <si>
    <t xml:space="preserve">Mithuna 04°20′</t>
  </si>
  <si>
    <t xml:space="preserve">Karkaṭa 25°35′</t>
  </si>
  <si>
    <t xml:space="preserve">Meṣa 20°51′</t>
  </si>
  <si>
    <t xml:space="preserve">Mīna 29°19′</t>
  </si>
  <si>
    <t xml:space="preserve">Vṛṣabha 11°31′</t>
  </si>
  <si>
    <t xml:space="preserve">Mīna 11°54′</t>
  </si>
  <si>
    <t xml:space="preserve">Makara 12°51′ R</t>
  </si>
  <si>
    <t xml:space="preserve">Vṛṣabha 12°30′</t>
  </si>
  <si>
    <t xml:space="preserve">Kumbha 09°14′</t>
  </si>
  <si>
    <t xml:space="preserve">Siṃha 11°16′</t>
  </si>
  <si>
    <t xml:space="preserve">Mithuna 05°21′</t>
  </si>
  <si>
    <t xml:space="preserve">Karkaṭa 25°42′</t>
  </si>
  <si>
    <t xml:space="preserve">Meṣa 22°04′</t>
  </si>
  <si>
    <t xml:space="preserve">Mīna 29°25′</t>
  </si>
  <si>
    <t xml:space="preserve">Vṛṣabha 11°35′</t>
  </si>
  <si>
    <t xml:space="preserve">Mīna 11°56′</t>
  </si>
  <si>
    <t xml:space="preserve">Vṛṣabha 13°28′</t>
  </si>
  <si>
    <t xml:space="preserve">Kumbha 21°21′</t>
  </si>
  <si>
    <t xml:space="preserve">Siṃha 11°43′</t>
  </si>
  <si>
    <t xml:space="preserve">Mithuna 06°17′</t>
  </si>
  <si>
    <t xml:space="preserve">Meṣa 23°17′</t>
  </si>
  <si>
    <t xml:space="preserve">Mīna 29°32′</t>
  </si>
  <si>
    <t xml:space="preserve">Vṛṣabha 11°38′</t>
  </si>
  <si>
    <t xml:space="preserve">Mīna 11°57′</t>
  </si>
  <si>
    <t xml:space="preserve">Makara 12°50′ R</t>
  </si>
  <si>
    <t xml:space="preserve">Vṛṣabha 14°25′</t>
  </si>
  <si>
    <t xml:space="preserve">Mīna 03°46′</t>
  </si>
  <si>
    <t xml:space="preserve">Siṃha 12°09′</t>
  </si>
  <si>
    <t xml:space="preserve">Mithuna 07°10′</t>
  </si>
  <si>
    <t xml:space="preserve">Karkaṭa 25°57′</t>
  </si>
  <si>
    <t xml:space="preserve">Meṣa 24°30′</t>
  </si>
  <si>
    <t xml:space="preserve">Mīna 29°38′</t>
  </si>
  <si>
    <t xml:space="preserve">Makara 19°37′</t>
  </si>
  <si>
    <t xml:space="preserve">Karkaṭa 19°37′</t>
  </si>
  <si>
    <t xml:space="preserve">Vṛṣabha 11°42′</t>
  </si>
  <si>
    <t xml:space="preserve">Vṛṣabha 15°23′</t>
  </si>
  <si>
    <t xml:space="preserve">Mīna 16°33′</t>
  </si>
  <si>
    <t xml:space="preserve">Mithuna 07°59′</t>
  </si>
  <si>
    <t xml:space="preserve">Meṣa 25°43′</t>
  </si>
  <si>
    <t xml:space="preserve">Mīna 29°44′</t>
  </si>
  <si>
    <t xml:space="preserve">Makara 19°33′</t>
  </si>
  <si>
    <t xml:space="preserve">Karkaṭa 19°33′</t>
  </si>
  <si>
    <t xml:space="preserve">Vṛṣabha 11°45′</t>
  </si>
  <si>
    <t xml:space="preserve">Mīna 11°00′</t>
  </si>
  <si>
    <t xml:space="preserve">Makara 12°49′ R</t>
  </si>
  <si>
    <t xml:space="preserve">Vṛṣabha 16°21′</t>
  </si>
  <si>
    <t xml:space="preserve">Mīna 29°45′</t>
  </si>
  <si>
    <t xml:space="preserve">Siṃha 13°03′</t>
  </si>
  <si>
    <t xml:space="preserve">Mithuna 08°43′</t>
  </si>
  <si>
    <t xml:space="preserve">Meṣa 26°56′</t>
  </si>
  <si>
    <t xml:space="preserve">Mīna 29°50′</t>
  </si>
  <si>
    <t xml:space="preserve">Makara 19°27′</t>
  </si>
  <si>
    <t xml:space="preserve">Karkaṭa 19°27′</t>
  </si>
  <si>
    <t xml:space="preserve">Vṛṣabha 11°49′</t>
  </si>
  <si>
    <t xml:space="preserve">Mīna 12°01′</t>
  </si>
  <si>
    <t xml:space="preserve">Makara 12°48′ R</t>
  </si>
  <si>
    <t xml:space="preserve">Vṛṣabha 17°18′</t>
  </si>
  <si>
    <t xml:space="preserve">Meṣa 13°23′</t>
  </si>
  <si>
    <t xml:space="preserve">Siṃha 13°30′</t>
  </si>
  <si>
    <t xml:space="preserve">Mithuna 09°24′</t>
  </si>
  <si>
    <t xml:space="preserve">Meṣa 28°09′</t>
  </si>
  <si>
    <t xml:space="preserve">Mīna 29°56′</t>
  </si>
  <si>
    <t xml:space="preserve">Makara 19°19′</t>
  </si>
  <si>
    <t xml:space="preserve">Karkaṭa 19°19′</t>
  </si>
  <si>
    <t xml:space="preserve">Vṛṣabha 11°52′</t>
  </si>
  <si>
    <t xml:space="preserve">Mīna 12°02′</t>
  </si>
  <si>
    <t xml:space="preserve">Vṛṣabha 18°16′</t>
  </si>
  <si>
    <t xml:space="preserve">Meṣa 27°28′</t>
  </si>
  <si>
    <t xml:space="preserve">Siṃha 13°57′</t>
  </si>
  <si>
    <t xml:space="preserve">Mithuna 09°00′</t>
  </si>
  <si>
    <t xml:space="preserve">Meṣa 29°23′</t>
  </si>
  <si>
    <t xml:space="preserve">Meṣa 00°02′</t>
  </si>
  <si>
    <t xml:space="preserve">Makara 19°10′</t>
  </si>
  <si>
    <t xml:space="preserve">Karkaṭa 19°10′</t>
  </si>
  <si>
    <t xml:space="preserve">Vṛṣabha 11°56′</t>
  </si>
  <si>
    <t xml:space="preserve">Mīna 12°03′</t>
  </si>
  <si>
    <t xml:space="preserve">Makara 12°47′ R</t>
  </si>
  <si>
    <t xml:space="preserve">Vṛṣabha 11°54′</t>
  </si>
  <si>
    <t xml:space="preserve">Siṃha 14°25′</t>
  </si>
  <si>
    <t xml:space="preserve">Mithuna 10°31′</t>
  </si>
  <si>
    <t xml:space="preserve">Karkaṭa 26°37′</t>
  </si>
  <si>
    <t xml:space="preserve">Vṛṣabha 00°36′</t>
  </si>
  <si>
    <t xml:space="preserve">Meṣa 00°08′</t>
  </si>
  <si>
    <t xml:space="preserve">Makara 19°00′</t>
  </si>
  <si>
    <t xml:space="preserve">Karkaṭa 19°00′</t>
  </si>
  <si>
    <t xml:space="preserve">Vṛṣabha 11°59′</t>
  </si>
  <si>
    <t xml:space="preserve">Mīna 12°04′</t>
  </si>
  <si>
    <t xml:space="preserve">Makara 12°46′ R</t>
  </si>
  <si>
    <t xml:space="preserve">Vṛṣabha 20°11′</t>
  </si>
  <si>
    <t xml:space="preserve">Vṛṣabha 26°37′</t>
  </si>
  <si>
    <t xml:space="preserve">Siṃha 14°52′</t>
  </si>
  <si>
    <t xml:space="preserve">Mithuna 10°59′</t>
  </si>
  <si>
    <t xml:space="preserve">Karkaṭa 26°45′</t>
  </si>
  <si>
    <t xml:space="preserve">Vṛṣabha 01°49′</t>
  </si>
  <si>
    <t xml:space="preserve">Meṣa 00°13′</t>
  </si>
  <si>
    <t xml:space="preserve">Karkaṭa 18°52′</t>
  </si>
  <si>
    <t xml:space="preserve">Vṛṣabha 12°03′</t>
  </si>
  <si>
    <t xml:space="preserve">Mīna 12°05′</t>
  </si>
  <si>
    <t xml:space="preserve">Vṛṣabha 21°08′</t>
  </si>
  <si>
    <t xml:space="preserve">Mithuna 11°28′</t>
  </si>
  <si>
    <t xml:space="preserve">Siṃha 15°20′</t>
  </si>
  <si>
    <t xml:space="preserve">Mithuna 11°21′</t>
  </si>
  <si>
    <t xml:space="preserve">Vṛṣabha 03°02′</t>
  </si>
  <si>
    <t xml:space="preserve">Meṣa 00°19′</t>
  </si>
  <si>
    <t xml:space="preserve">Makara 18°45′</t>
  </si>
  <si>
    <t xml:space="preserve">Karkaṭa 18°45′</t>
  </si>
  <si>
    <t xml:space="preserve">Vṛṣabha 12°06′</t>
  </si>
  <si>
    <t xml:space="preserve">Mīna 12°07′</t>
  </si>
  <si>
    <t xml:space="preserve">Makara 12°45′ R</t>
  </si>
  <si>
    <t xml:space="preserve">Vṛṣabha 22°05′</t>
  </si>
  <si>
    <t xml:space="preserve">Mithuna 26°19′</t>
  </si>
  <si>
    <t xml:space="preserve">Siṃha 15°49′</t>
  </si>
  <si>
    <t xml:space="preserve">Mithuna 11°39′</t>
  </si>
  <si>
    <t xml:space="preserve">Vṛṣabha 04°15′</t>
  </si>
  <si>
    <t xml:space="preserve">Meṣa 00°25′</t>
  </si>
  <si>
    <t xml:space="preserve">Makara 18°41′</t>
  </si>
  <si>
    <t xml:space="preserve">Karkaṭa 18°41′</t>
  </si>
  <si>
    <t xml:space="preserve">Vṛṣabha 12°10′</t>
  </si>
  <si>
    <t xml:space="preserve">Makara 12°44′ R</t>
  </si>
  <si>
    <t xml:space="preserve">Vṛṣabha 23°03′</t>
  </si>
  <si>
    <t xml:space="preserve">Karkaṭa 11°03′</t>
  </si>
  <si>
    <t xml:space="preserve">Siṃha 16°17′</t>
  </si>
  <si>
    <t xml:space="preserve">Mithuna 11°53′</t>
  </si>
  <si>
    <t xml:space="preserve">Vṛṣabha 05°28′</t>
  </si>
  <si>
    <t xml:space="preserve">Meṣa 00°30′</t>
  </si>
  <si>
    <t xml:space="preserve">Makara 18°39′</t>
  </si>
  <si>
    <t xml:space="preserve">Karkaṭa 18°39′</t>
  </si>
  <si>
    <t xml:space="preserve">Vṛṣabha 12°13′</t>
  </si>
  <si>
    <t xml:space="preserve">Mīna 12°09′</t>
  </si>
  <si>
    <t xml:space="preserve">Vṛṣabha 24°00′</t>
  </si>
  <si>
    <t xml:space="preserve">Karkaṭa 25°34′</t>
  </si>
  <si>
    <t xml:space="preserve">Siṃha 16°46′</t>
  </si>
  <si>
    <t xml:space="preserve">Mithuna 12°02′</t>
  </si>
  <si>
    <t xml:space="preserve">Karkaṭa 27°19′</t>
  </si>
  <si>
    <t xml:space="preserve">Vṛṣabha 06°41′</t>
  </si>
  <si>
    <t xml:space="preserve">Meṣa 00°36′</t>
  </si>
  <si>
    <t xml:space="preserve">Vṛṣabha 12°17′</t>
  </si>
  <si>
    <t xml:space="preserve">Mīna 12°10′</t>
  </si>
  <si>
    <t xml:space="preserve">Makara 12°43′ R</t>
  </si>
  <si>
    <t xml:space="preserve">Vṛṣabha 24°58′</t>
  </si>
  <si>
    <t xml:space="preserve">Siṃha 09°48′</t>
  </si>
  <si>
    <t xml:space="preserve">Siṃha 17°14′</t>
  </si>
  <si>
    <t xml:space="preserve">Mithuna 12°07′</t>
  </si>
  <si>
    <t xml:space="preserve">Karkaṭa 27°28′</t>
  </si>
  <si>
    <t xml:space="preserve">Vṛṣabha 07°54′</t>
  </si>
  <si>
    <t xml:space="preserve">Meṣa 00°41′</t>
  </si>
  <si>
    <t xml:space="preserve">Makara 18°40′</t>
  </si>
  <si>
    <t xml:space="preserve">Karkaṭa 18°40′</t>
  </si>
  <si>
    <t xml:space="preserve">Vṛṣabha 12°20′</t>
  </si>
  <si>
    <t xml:space="preserve">Mīna 12°11′</t>
  </si>
  <si>
    <t xml:space="preserve">Makara 12°42′ R</t>
  </si>
  <si>
    <t xml:space="preserve">Vṛṣabha 25°55′</t>
  </si>
  <si>
    <t xml:space="preserve">Siṃha 23°45′</t>
  </si>
  <si>
    <t xml:space="preserve">Siṃha 17°43′</t>
  </si>
  <si>
    <t xml:space="preserve">Mithuna 12°06′ R</t>
  </si>
  <si>
    <t xml:space="preserve">Vṛṣabha 09°08′</t>
  </si>
  <si>
    <t xml:space="preserve">Meṣa 00°47′</t>
  </si>
  <si>
    <t xml:space="preserve">Vṛṣabha 12°24′</t>
  </si>
  <si>
    <t xml:space="preserve">Mīna 12°12′</t>
  </si>
  <si>
    <t xml:space="preserve">Makara 12°41′ R</t>
  </si>
  <si>
    <t xml:space="preserve">Vṛṣabha 26°52′</t>
  </si>
  <si>
    <t xml:space="preserve">Kanyā 07°24′</t>
  </si>
  <si>
    <t xml:space="preserve">Siṃha 18°13′</t>
  </si>
  <si>
    <t xml:space="preserve">Mithuna 12°02′ R</t>
  </si>
  <si>
    <t xml:space="preserve">Vṛṣabha 10°21′</t>
  </si>
  <si>
    <t xml:space="preserve">Meṣa 00°52′</t>
  </si>
  <si>
    <t xml:space="preserve">Vṛṣabha 12°27′</t>
  </si>
  <si>
    <t xml:space="preserve">Makara 12°40′ R</t>
  </si>
  <si>
    <t xml:space="preserve">Vṛṣabha 27°50′</t>
  </si>
  <si>
    <t xml:space="preserve">Kanyā 20°47′</t>
  </si>
  <si>
    <t xml:space="preserve">Siṃha 18°42′</t>
  </si>
  <si>
    <t xml:space="preserve">Mithuna 11°53′ R</t>
  </si>
  <si>
    <t xml:space="preserve">Karkaṭa 27°55′</t>
  </si>
  <si>
    <t xml:space="preserve">Vṛṣabha 11°34′</t>
  </si>
  <si>
    <t xml:space="preserve">Meṣa 00°57′</t>
  </si>
  <si>
    <t xml:space="preserve">Makara 18°38′</t>
  </si>
  <si>
    <t xml:space="preserve">Karkaṭa 18°38′</t>
  </si>
  <si>
    <t xml:space="preserve">Mīna 12°13′</t>
  </si>
  <si>
    <t xml:space="preserve">Makara 12°39′ R</t>
  </si>
  <si>
    <t xml:space="preserve">Vṛṣabha 28°47′</t>
  </si>
  <si>
    <t xml:space="preserve">Siṃha 19°12′</t>
  </si>
  <si>
    <t xml:space="preserve">Mithuna 11°40′ R</t>
  </si>
  <si>
    <t xml:space="preserve">Karkaṭa 28°05′</t>
  </si>
  <si>
    <t xml:space="preserve">Vṛṣabha 12°47′</t>
  </si>
  <si>
    <t xml:space="preserve">Meṣa 01°03′</t>
  </si>
  <si>
    <t xml:space="preserve">Makara 18°33′</t>
  </si>
  <si>
    <t xml:space="preserve">Karkaṭa 18°33′</t>
  </si>
  <si>
    <t xml:space="preserve">Vṛṣabha 12°34′</t>
  </si>
  <si>
    <t xml:space="preserve">Mīna 12°14′</t>
  </si>
  <si>
    <t xml:space="preserve">Makara 12°38′ R</t>
  </si>
  <si>
    <t xml:space="preserve">Vṛṣabha 29°44′</t>
  </si>
  <si>
    <t xml:space="preserve">Tulā 16°48′</t>
  </si>
  <si>
    <t xml:space="preserve">Siṃha 19°41′</t>
  </si>
  <si>
    <t xml:space="preserve">Mithuna 11°23′ R</t>
  </si>
  <si>
    <t xml:space="preserve">Karkaṭa 28°14′</t>
  </si>
  <si>
    <t xml:space="preserve">Vṛṣabha 14°00′</t>
  </si>
  <si>
    <t xml:space="preserve">Meṣa 01°08′</t>
  </si>
  <si>
    <t xml:space="preserve">Makara 18°27′</t>
  </si>
  <si>
    <t xml:space="preserve">Karkaṭa 18°27′</t>
  </si>
  <si>
    <t xml:space="preserve">Vṛṣabha 12°37′</t>
  </si>
  <si>
    <t xml:space="preserve">Mīna 12°15′</t>
  </si>
  <si>
    <t xml:space="preserve">Makara 12°37′ R</t>
  </si>
  <si>
    <t xml:space="preserve">Mithuna 00°42′</t>
  </si>
  <si>
    <t xml:space="preserve">Tulā 29°29′</t>
  </si>
  <si>
    <t xml:space="preserve">Siṃha 20°11′</t>
  </si>
  <si>
    <t xml:space="preserve">Mithuna 11°02′ R</t>
  </si>
  <si>
    <t xml:space="preserve">Karkaṭa 28°23′</t>
  </si>
  <si>
    <t xml:space="preserve">Vṛṣabha 15°13′</t>
  </si>
  <si>
    <t xml:space="preserve">Meṣa 01°13′</t>
  </si>
  <si>
    <t xml:space="preserve">Makara 18°19′</t>
  </si>
  <si>
    <t xml:space="preserve">Vṛṣabha 12°41′</t>
  </si>
  <si>
    <t xml:space="preserve">Mīna 12°16′</t>
  </si>
  <si>
    <t xml:space="preserve">Mithuna 01°39′</t>
  </si>
  <si>
    <t xml:space="preserve">Vṛścika 11°58′</t>
  </si>
  <si>
    <t xml:space="preserve">Siṃha 20°41′</t>
  </si>
  <si>
    <t xml:space="preserve">Mithuna 10°38′ R</t>
  </si>
  <si>
    <t xml:space="preserve">Karkaṭa 28°33′</t>
  </si>
  <si>
    <t xml:space="preserve">Vṛṣabha 16°27′</t>
  </si>
  <si>
    <t xml:space="preserve">Meṣa 01°18′</t>
  </si>
  <si>
    <t xml:space="preserve">Makara 18°11′</t>
  </si>
  <si>
    <t xml:space="preserve">Karkaṭa 18°11′</t>
  </si>
  <si>
    <t xml:space="preserve">Vṛṣabha 12°44′</t>
  </si>
  <si>
    <t xml:space="preserve">Makara 12°36′ R</t>
  </si>
  <si>
    <t xml:space="preserve">Mithuna 02°36′</t>
  </si>
  <si>
    <t xml:space="preserve">Vṛścika 24°16′</t>
  </si>
  <si>
    <t xml:space="preserve">Siṃha 21°12′</t>
  </si>
  <si>
    <t xml:space="preserve">Mithuna 10°11′ R</t>
  </si>
  <si>
    <t xml:space="preserve">Karkaṭa 28°43′</t>
  </si>
  <si>
    <t xml:space="preserve">Vṛṣabha 17°40′</t>
  </si>
  <si>
    <t xml:space="preserve">Meṣa 01°23′</t>
  </si>
  <si>
    <t xml:space="preserve">Makara 18°03′</t>
  </si>
  <si>
    <t xml:space="preserve">Karkaṭa 18°03′</t>
  </si>
  <si>
    <t xml:space="preserve">Mīna 12°17′</t>
  </si>
  <si>
    <t xml:space="preserve">Makara 12°35′ R</t>
  </si>
  <si>
    <t xml:space="preserve">Mithuna 03°33′</t>
  </si>
  <si>
    <t xml:space="preserve">Dhanus 06°24′</t>
  </si>
  <si>
    <t xml:space="preserve">Siṃha 21°42′</t>
  </si>
  <si>
    <t xml:space="preserve">Mithuna 09°41′ R</t>
  </si>
  <si>
    <t xml:space="preserve">Vṛṣabha 18°53′</t>
  </si>
  <si>
    <t xml:space="preserve">Meṣa 01°27′</t>
  </si>
  <si>
    <t xml:space="preserve">Karkaṭa 17°56′</t>
  </si>
  <si>
    <t xml:space="preserve">Vṛṣabha 12°51′</t>
  </si>
  <si>
    <t xml:space="preserve">Mīna 12°18′</t>
  </si>
  <si>
    <t xml:space="preserve">Makara 12°34′ R</t>
  </si>
  <si>
    <t xml:space="preserve">Mithuna 04°31′</t>
  </si>
  <si>
    <t xml:space="preserve">Dhanus 18°24′</t>
  </si>
  <si>
    <t xml:space="preserve">Siṃha 22°13′</t>
  </si>
  <si>
    <t xml:space="preserve">Mithuna 09°09′ R</t>
  </si>
  <si>
    <t xml:space="preserve">Karkaṭa 29°02′</t>
  </si>
  <si>
    <t xml:space="preserve">Vṛṣabha 20°06′</t>
  </si>
  <si>
    <t xml:space="preserve">Meṣa 01°32′</t>
  </si>
  <si>
    <t xml:space="preserve">Makara 17°50′</t>
  </si>
  <si>
    <t xml:space="preserve">Karkaṭa 17°50′</t>
  </si>
  <si>
    <t xml:space="preserve">Vṛṣabha 12°54′</t>
  </si>
  <si>
    <t xml:space="preserve">Mīna 12°19′</t>
  </si>
  <si>
    <t xml:space="preserve">Makara 12°33′ R</t>
  </si>
  <si>
    <t xml:space="preserve">Mithuna 05°28′</t>
  </si>
  <si>
    <t xml:space="preserve">Makara 00°16′</t>
  </si>
  <si>
    <t xml:space="preserve">Siṃha 22°44′</t>
  </si>
  <si>
    <t xml:space="preserve">Mithuna 08°36′ R</t>
  </si>
  <si>
    <t xml:space="preserve">Karkaṭa 29°12′</t>
  </si>
  <si>
    <t xml:space="preserve">Vṛṣabha 21°20′</t>
  </si>
  <si>
    <t xml:space="preserve">Meṣa 01°37′</t>
  </si>
  <si>
    <t xml:space="preserve">Makara 17°47′</t>
  </si>
  <si>
    <t xml:space="preserve">Karkaṭa 17°47′</t>
  </si>
  <si>
    <t xml:space="preserve">Vṛṣabha 12°57′</t>
  </si>
  <si>
    <t xml:space="preserve">Makara 12°31′ R</t>
  </si>
  <si>
    <t xml:space="preserve">Mithuna 06°25′</t>
  </si>
  <si>
    <t xml:space="preserve">Siṃha 23°14′</t>
  </si>
  <si>
    <t xml:space="preserve">Mithuna 08°01′ R</t>
  </si>
  <si>
    <t xml:space="preserve">Karkaṭa 29°22′</t>
  </si>
  <si>
    <t xml:space="preserve">Vṛṣabha 22°33′</t>
  </si>
  <si>
    <t xml:space="preserve">Meṣa 01°42′</t>
  </si>
  <si>
    <t xml:space="preserve">Makara 17°45′</t>
  </si>
  <si>
    <t xml:space="preserve">Karkaṭa 17°45′</t>
  </si>
  <si>
    <t xml:space="preserve">Vṛṣabha 13°01′</t>
  </si>
  <si>
    <t xml:space="preserve">Mīna 12°20′</t>
  </si>
  <si>
    <t xml:space="preserve">Makara 12°30′ R</t>
  </si>
  <si>
    <t xml:space="preserve">Mithuna 07°22′</t>
  </si>
  <si>
    <t xml:space="preserve">Siṃha 23°46′</t>
  </si>
  <si>
    <t xml:space="preserve">Mithuna 07°27′ R</t>
  </si>
  <si>
    <t xml:space="preserve">Karkaṭa 29°32′</t>
  </si>
  <si>
    <t xml:space="preserve">Vṛṣabha 23°46′</t>
  </si>
  <si>
    <t xml:space="preserve">Meṣa 01°46′</t>
  </si>
  <si>
    <t xml:space="preserve">Vṛṣabha 13°04′</t>
  </si>
  <si>
    <t xml:space="preserve">Makara 12°29′ R</t>
  </si>
  <si>
    <t xml:space="preserve">Mithuna 08°20′</t>
  </si>
  <si>
    <t xml:space="preserve">Siṃha 24°17′</t>
  </si>
  <si>
    <t xml:space="preserve">Mithuna 06°52′ R</t>
  </si>
  <si>
    <t xml:space="preserve">Karkaṭa 29°42′</t>
  </si>
  <si>
    <t xml:space="preserve">Meṣa 01°51′</t>
  </si>
  <si>
    <t xml:space="preserve">Makara 17°46′</t>
  </si>
  <si>
    <t xml:space="preserve">Karkaṭa 17°46′</t>
  </si>
  <si>
    <t xml:space="preserve">Vṛṣabha 13°07′</t>
  </si>
  <si>
    <t xml:space="preserve">Mīna 12°21′</t>
  </si>
  <si>
    <t xml:space="preserve">Makara 12°28′ R</t>
  </si>
  <si>
    <t xml:space="preserve">Mithuna 09°17′</t>
  </si>
  <si>
    <t xml:space="preserve">Kumbha 17°37′</t>
  </si>
  <si>
    <t xml:space="preserve">Siṃha 24°48′</t>
  </si>
  <si>
    <t xml:space="preserve">Mithuna 06°18′ R</t>
  </si>
  <si>
    <t xml:space="preserve">Vṛṣabha 26°13′</t>
  </si>
  <si>
    <t xml:space="preserve">Meṣa 01°55′</t>
  </si>
  <si>
    <t xml:space="preserve">Makara 17°48′</t>
  </si>
  <si>
    <t xml:space="preserve">Karkaṭa 17°48′</t>
  </si>
  <si>
    <t xml:space="preserve">Vṛṣabha 13°10′</t>
  </si>
  <si>
    <t xml:space="preserve">Makara 12°27′ R</t>
  </si>
  <si>
    <t xml:space="preserve">Mithuna 10°14′</t>
  </si>
  <si>
    <t xml:space="preserve">Siṃha 25°20′</t>
  </si>
  <si>
    <t xml:space="preserve">Mithuna 05°46′ R</t>
  </si>
  <si>
    <t xml:space="preserve">Vṛṣabha 27°26′</t>
  </si>
  <si>
    <t xml:space="preserve">Meṣa 01°59′</t>
  </si>
  <si>
    <t xml:space="preserve">Makara 17°49′</t>
  </si>
  <si>
    <t xml:space="preserve">Karkaṭa 17°49′</t>
  </si>
  <si>
    <t xml:space="preserve">Vṛṣabha 13°14′</t>
  </si>
  <si>
    <t xml:space="preserve">Mīna 12°22′</t>
  </si>
  <si>
    <t xml:space="preserve">Makara 12°26′ R</t>
  </si>
  <si>
    <t xml:space="preserve">Mithuna 11°11′</t>
  </si>
  <si>
    <t xml:space="preserve">Siṃha 25°52′</t>
  </si>
  <si>
    <t xml:space="preserve">Mithuna 05°15′ R</t>
  </si>
  <si>
    <t xml:space="preserve">Meṣa 02°03′</t>
  </si>
  <si>
    <t xml:space="preserve">Vṛṣabha 13°17′</t>
  </si>
  <si>
    <t xml:space="preserve">Makara 12°25′ R</t>
  </si>
  <si>
    <t xml:space="preserve">Mithuna 12°09′</t>
  </si>
  <si>
    <t xml:space="preserve">Siṃha 26°23′</t>
  </si>
  <si>
    <t xml:space="preserve">Mithuna 04°47′ R</t>
  </si>
  <si>
    <t xml:space="preserve">Siṃha 00°24′</t>
  </si>
  <si>
    <t xml:space="preserve">Vṛṣabha 29°53′</t>
  </si>
  <si>
    <t xml:space="preserve">Meṣa 02°08′</t>
  </si>
  <si>
    <t xml:space="preserve">Vṛṣabha 13°20′</t>
  </si>
  <si>
    <t xml:space="preserve">Mīna 12°23′</t>
  </si>
  <si>
    <t xml:space="preserve">Makara 12°24′ R</t>
  </si>
  <si>
    <t xml:space="preserve">Mithuna 13°06′</t>
  </si>
  <si>
    <t xml:space="preserve">Meṣa 08°02′</t>
  </si>
  <si>
    <t xml:space="preserve">Siṃha 26°55′</t>
  </si>
  <si>
    <t xml:space="preserve">Mithuna 04°22′ R</t>
  </si>
  <si>
    <t xml:space="preserve">Mithuna 01°06′</t>
  </si>
  <si>
    <t xml:space="preserve">Meṣa 02°12′</t>
  </si>
  <si>
    <t xml:space="preserve">Vṛṣabha 13°23′</t>
  </si>
  <si>
    <t xml:space="preserve">Makara 12°23′ R</t>
  </si>
  <si>
    <t xml:space="preserve">Mithuna 14°03′</t>
  </si>
  <si>
    <t xml:space="preserve">Meṣa 21°39′</t>
  </si>
  <si>
    <t xml:space="preserve">Siṃha 27°28′</t>
  </si>
  <si>
    <t xml:space="preserve">Mithuna 04°01′ R</t>
  </si>
  <si>
    <t xml:space="preserve">Mithuna 02°20′</t>
  </si>
  <si>
    <t xml:space="preserve">Meṣa 02°16′</t>
  </si>
  <si>
    <t xml:space="preserve">Makara 17°43′</t>
  </si>
  <si>
    <t xml:space="preserve">Karkaṭa 17°43′</t>
  </si>
  <si>
    <t xml:space="preserve">Vṛṣabha 13°26′</t>
  </si>
  <si>
    <t xml:space="preserve">Makara 12°21′ R</t>
  </si>
  <si>
    <t xml:space="preserve">Mithuna 15°00′</t>
  </si>
  <si>
    <t xml:space="preserve">Vṛṣabha 05°43′</t>
  </si>
  <si>
    <t xml:space="preserve">Siṃha 27°00′</t>
  </si>
  <si>
    <t xml:space="preserve">Mithuna 03°43′ R</t>
  </si>
  <si>
    <t xml:space="preserve">Meṣa 02°20′</t>
  </si>
  <si>
    <t xml:space="preserve">Makara 17°39′</t>
  </si>
  <si>
    <t xml:space="preserve">Karkaṭa 17°39′</t>
  </si>
  <si>
    <t xml:space="preserve">Vṛṣabha 13°30′</t>
  </si>
  <si>
    <t xml:space="preserve">Mīna 12°24′</t>
  </si>
  <si>
    <t xml:space="preserve">Makara 12°20′ R</t>
  </si>
  <si>
    <t xml:space="preserve">Mithuna 15°57′</t>
  </si>
  <si>
    <t xml:space="preserve">Vṛṣabha 20°13′</t>
  </si>
  <si>
    <t xml:space="preserve">Siṃha 28°32′</t>
  </si>
  <si>
    <t xml:space="preserve">Mithuna 03°29′ R</t>
  </si>
  <si>
    <t xml:space="preserve">Mithuna 04°47′</t>
  </si>
  <si>
    <t xml:space="preserve">Makara 17°34′</t>
  </si>
  <si>
    <t xml:space="preserve">Karkaṭa 17°34′</t>
  </si>
  <si>
    <t xml:space="preserve">Vṛṣabha 13°33′</t>
  </si>
  <si>
    <t xml:space="preserve">Makara 12°19′ R</t>
  </si>
  <si>
    <t xml:space="preserve">Mithuna 16°55′</t>
  </si>
  <si>
    <t xml:space="preserve">Mithuna 05°04′</t>
  </si>
  <si>
    <t xml:space="preserve">Siṃha 29°05′</t>
  </si>
  <si>
    <t xml:space="preserve">Mithuna 03°19′ R</t>
  </si>
  <si>
    <t xml:space="preserve">Mithuna 06°00′</t>
  </si>
  <si>
    <t xml:space="preserve">Meṣa 02°27′</t>
  </si>
  <si>
    <t xml:space="preserve">Makara 17°30′</t>
  </si>
  <si>
    <t xml:space="preserve">Karkaṭa 17°30′</t>
  </si>
  <si>
    <t xml:space="preserve">Vṛṣabha 13°36′</t>
  </si>
  <si>
    <t xml:space="preserve">Makara 12°18′ R</t>
  </si>
  <si>
    <t xml:space="preserve">Mithuna 17°52′</t>
  </si>
  <si>
    <t xml:space="preserve">Mithuna 20°08′</t>
  </si>
  <si>
    <t xml:space="preserve">Siṃha 29°38′</t>
  </si>
  <si>
    <t xml:space="preserve">Mithuna 03°14′ R</t>
  </si>
  <si>
    <t xml:space="preserve">Mithuna 07°14′</t>
  </si>
  <si>
    <t xml:space="preserve">Meṣa 02°31′</t>
  </si>
  <si>
    <t xml:space="preserve">Makara 17°27′</t>
  </si>
  <si>
    <t xml:space="preserve">Karkaṭa 17°27′</t>
  </si>
  <si>
    <t xml:space="preserve">Vṛṣabha 13°39′</t>
  </si>
  <si>
    <t xml:space="preserve">Makara 12°16′ R</t>
  </si>
  <si>
    <t xml:space="preserve">Mithuna 18°49′</t>
  </si>
  <si>
    <t xml:space="preserve">Karkaṭa 05°15′</t>
  </si>
  <si>
    <t xml:space="preserve">Kanyā 00°11′</t>
  </si>
  <si>
    <t xml:space="preserve">Mithuna 03°14′</t>
  </si>
  <si>
    <t xml:space="preserve">Mithuna 08°27′</t>
  </si>
  <si>
    <t xml:space="preserve">Meṣa 02°34′</t>
  </si>
  <si>
    <t xml:space="preserve">Makara 17°25′</t>
  </si>
  <si>
    <t xml:space="preserve">Karkaṭa 17°25′</t>
  </si>
  <si>
    <t xml:space="preserve">Vṛṣabha 13°42′</t>
  </si>
  <si>
    <t xml:space="preserve">Mīna 12°25′</t>
  </si>
  <si>
    <t xml:space="preserve">Makara 12°15′ R</t>
  </si>
  <si>
    <t xml:space="preserve">Mithuna 19°46′</t>
  </si>
  <si>
    <t xml:space="preserve">Karkaṭa 20°17′</t>
  </si>
  <si>
    <t xml:space="preserve">Kanyā 00°44′</t>
  </si>
  <si>
    <t xml:space="preserve">Mithuna 03°19′</t>
  </si>
  <si>
    <t xml:space="preserve">Siṃha 01°51′</t>
  </si>
  <si>
    <t xml:space="preserve">Mithuna 09°41′</t>
  </si>
  <si>
    <t xml:space="preserve">Meṣa 02°38′</t>
  </si>
  <si>
    <t xml:space="preserve">Makara 17°24′</t>
  </si>
  <si>
    <t xml:space="preserve">Karkaṭa 17°24′</t>
  </si>
  <si>
    <t xml:space="preserve">Vṛṣabha 13°45′</t>
  </si>
  <si>
    <t xml:space="preserve">Makara 12°14′ R</t>
  </si>
  <si>
    <t xml:space="preserve">Mithuna 20°44′</t>
  </si>
  <si>
    <t xml:space="preserve">Siṃha 05°06′</t>
  </si>
  <si>
    <t xml:space="preserve">Kanyā 01°17′</t>
  </si>
  <si>
    <t xml:space="preserve">Mithuna 03°29′</t>
  </si>
  <si>
    <t xml:space="preserve">Mithuna 10°54′</t>
  </si>
  <si>
    <t xml:space="preserve">Meṣa 02°41′</t>
  </si>
  <si>
    <t xml:space="preserve">Vṛṣabha 13°48′</t>
  </si>
  <si>
    <t xml:space="preserve">Makara 12°13′ R</t>
  </si>
  <si>
    <t xml:space="preserve">Mithuna 21°41′</t>
  </si>
  <si>
    <t xml:space="preserve">Siṃha 19°36′</t>
  </si>
  <si>
    <t xml:space="preserve">Kanyā 01°50′</t>
  </si>
  <si>
    <t xml:space="preserve">Mithuna 03°43′</t>
  </si>
  <si>
    <t xml:space="preserve">Siṃha 02°14′</t>
  </si>
  <si>
    <t xml:space="preserve">Mithuna 12°08′</t>
  </si>
  <si>
    <t xml:space="preserve">Meṣa 02°44′</t>
  </si>
  <si>
    <t xml:space="preserve">Makara 17°26′</t>
  </si>
  <si>
    <t xml:space="preserve">Karkaṭa 17°26′</t>
  </si>
  <si>
    <t xml:space="preserve">Vṛṣabha 13°51′</t>
  </si>
  <si>
    <t xml:space="preserve">Makara 12°11′ R</t>
  </si>
  <si>
    <t xml:space="preserve">Mithuna 22°38′</t>
  </si>
  <si>
    <t xml:space="preserve">Kanyā 03°43′</t>
  </si>
  <si>
    <t xml:space="preserve">Kanyā 02°24′</t>
  </si>
  <si>
    <t xml:space="preserve">Mithuna 04°03′</t>
  </si>
  <si>
    <t xml:space="preserve">Siṃha 02°25′</t>
  </si>
  <si>
    <t xml:space="preserve">Mithuna 13°21′</t>
  </si>
  <si>
    <t xml:space="preserve">Meṣa 02°48′</t>
  </si>
  <si>
    <t xml:space="preserve">Vṛṣabha 13°54′</t>
  </si>
  <si>
    <t xml:space="preserve">Makara 12°10′ R</t>
  </si>
  <si>
    <t xml:space="preserve">Mithuna 23°35′</t>
  </si>
  <si>
    <t xml:space="preserve">Kanyā 17°27′</t>
  </si>
  <si>
    <t xml:space="preserve">Kanyā 02°57′</t>
  </si>
  <si>
    <t xml:space="preserve">Mithuna 04°28′</t>
  </si>
  <si>
    <t xml:space="preserve">Mithuna 14°35′</t>
  </si>
  <si>
    <t xml:space="preserve">Meṣa 02°51′</t>
  </si>
  <si>
    <t xml:space="preserve">Makara 17°29′</t>
  </si>
  <si>
    <t xml:space="preserve">Vṛṣabha 13°57′</t>
  </si>
  <si>
    <t xml:space="preserve">Mīna 12°25′ R</t>
  </si>
  <si>
    <t xml:space="preserve">Makara 12°09′ R</t>
  </si>
  <si>
    <t xml:space="preserve">Mithuna 24°32′</t>
  </si>
  <si>
    <t xml:space="preserve">Tulā 00°49′</t>
  </si>
  <si>
    <t xml:space="preserve">Kanyā 03°31′</t>
  </si>
  <si>
    <t xml:space="preserve">Mithuna 04°59′</t>
  </si>
  <si>
    <t xml:space="preserve">Mithuna 15°48′</t>
  </si>
  <si>
    <t xml:space="preserve">Meṣa 02°54′</t>
  </si>
  <si>
    <t xml:space="preserve">Vṛṣabha 13°59′</t>
  </si>
  <si>
    <t xml:space="preserve">Makara 12°08′ R</t>
  </si>
  <si>
    <t xml:space="preserve">Mithuna 25°30′</t>
  </si>
  <si>
    <t xml:space="preserve">Tulā 13°50′</t>
  </si>
  <si>
    <t xml:space="preserve">Kanyā 04°05′</t>
  </si>
  <si>
    <t xml:space="preserve">Mithuna 05°34′</t>
  </si>
  <si>
    <t xml:space="preserve">Mithuna 17°02′</t>
  </si>
  <si>
    <t xml:space="preserve">Meṣa 02°57′</t>
  </si>
  <si>
    <t xml:space="preserve">Makara 17°28′</t>
  </si>
  <si>
    <t xml:space="preserve">Karkaṭa 17°28′</t>
  </si>
  <si>
    <t xml:space="preserve">Vṛṣabha 14°02′</t>
  </si>
  <si>
    <t xml:space="preserve">Makara 12°06′ R</t>
  </si>
  <si>
    <t xml:space="preserve">Mithuna 26°27′</t>
  </si>
  <si>
    <t xml:space="preserve">Tulā 26°33′</t>
  </si>
  <si>
    <t xml:space="preserve">Kanyā 04°39′</t>
  </si>
  <si>
    <t xml:space="preserve">Mithuna 06°15′</t>
  </si>
  <si>
    <t xml:space="preserve">Siṃha 03°11′</t>
  </si>
  <si>
    <t xml:space="preserve">Mithuna 18°16′</t>
  </si>
  <si>
    <t xml:space="preserve">Meṣa 02°59′</t>
  </si>
  <si>
    <t xml:space="preserve">Vṛṣabha 14°05′</t>
  </si>
  <si>
    <t xml:space="preserve">Makara 12°05′ R</t>
  </si>
  <si>
    <t xml:space="preserve">Mithuna 27°24′</t>
  </si>
  <si>
    <t xml:space="preserve">Vṛścika 09°01′</t>
  </si>
  <si>
    <t xml:space="preserve">Kanyā 05°13′</t>
  </si>
  <si>
    <t xml:space="preserve">Mithuna 07°00′</t>
  </si>
  <si>
    <t xml:space="preserve">Siṃha 03°22′</t>
  </si>
  <si>
    <t xml:space="preserve">Mithuna 19°29′</t>
  </si>
  <si>
    <t xml:space="preserve">Meṣa 03°02′</t>
  </si>
  <si>
    <t xml:space="preserve">Makara 17°23′</t>
  </si>
  <si>
    <t xml:space="preserve">Karkaṭa 17°23′</t>
  </si>
  <si>
    <t xml:space="preserve">Vṛṣabha 14°08′</t>
  </si>
  <si>
    <t xml:space="preserve">Makara 12°04′ R</t>
  </si>
  <si>
    <t xml:space="preserve">Mithuna 28°21′</t>
  </si>
  <si>
    <t xml:space="preserve">Vṛścika 21°17′</t>
  </si>
  <si>
    <t xml:space="preserve">Kanyā 05°47′</t>
  </si>
  <si>
    <t xml:space="preserve">Mithuna 07°51′</t>
  </si>
  <si>
    <t xml:space="preserve">Siṃha 03°34′</t>
  </si>
  <si>
    <t xml:space="preserve">Mithuna 20°43′</t>
  </si>
  <si>
    <t xml:space="preserve">Meṣa 03°05′</t>
  </si>
  <si>
    <t xml:space="preserve">Makara 17°20′</t>
  </si>
  <si>
    <t xml:space="preserve">Karkaṭa 17°20′</t>
  </si>
  <si>
    <t xml:space="preserve">Vṛṣabha 14°11′</t>
  </si>
  <si>
    <t xml:space="preserve">Mīna 12°24′ R</t>
  </si>
  <si>
    <t xml:space="preserve">Makara 12°02′ R</t>
  </si>
  <si>
    <t xml:space="preserve">Mithuna 29°18′</t>
  </si>
  <si>
    <t xml:space="preserve">Dhanus 03°22′</t>
  </si>
  <si>
    <t xml:space="preserve">Kanyā 06°21′</t>
  </si>
  <si>
    <t xml:space="preserve">Mithuna 08°46′</t>
  </si>
  <si>
    <t xml:space="preserve">Siṃha 03°46′</t>
  </si>
  <si>
    <t xml:space="preserve">Mithuna 21°57′</t>
  </si>
  <si>
    <t xml:space="preserve">Meṣa 03°07′</t>
  </si>
  <si>
    <t xml:space="preserve">Makara 17°18′</t>
  </si>
  <si>
    <t xml:space="preserve">Karkaṭa 17°18′</t>
  </si>
  <si>
    <t xml:space="preserve">Vṛṣabha 14°13′</t>
  </si>
  <si>
    <t xml:space="preserve">Makara 12°01′ R</t>
  </si>
  <si>
    <t xml:space="preserve">Karkaṭa 00°16′</t>
  </si>
  <si>
    <t xml:space="preserve">Dhanus 15°20′</t>
  </si>
  <si>
    <t xml:space="preserve">Kanyā 06°56′</t>
  </si>
  <si>
    <t xml:space="preserve">Mithuna 09°46′</t>
  </si>
  <si>
    <t xml:space="preserve">Siṃha 03°58′</t>
  </si>
  <si>
    <t xml:space="preserve">Mithuna 23°10′</t>
  </si>
  <si>
    <t xml:space="preserve">Meṣa 03°10′</t>
  </si>
  <si>
    <t xml:space="preserve">Makara 17°15′</t>
  </si>
  <si>
    <t xml:space="preserve">Karkaṭa 17°15′</t>
  </si>
  <si>
    <t xml:space="preserve">Vṛṣabha 14°16′</t>
  </si>
  <si>
    <t xml:space="preserve">Makara 11°59′ R</t>
  </si>
  <si>
    <t xml:space="preserve">Karkaṭa 01°13′</t>
  </si>
  <si>
    <t xml:space="preserve">Dhanus 27°12′</t>
  </si>
  <si>
    <t xml:space="preserve">Kanyā 07°30′</t>
  </si>
  <si>
    <t xml:space="preserve">Mithuna 10°52′</t>
  </si>
  <si>
    <t xml:space="preserve">Siṃha 04°10′</t>
  </si>
  <si>
    <t xml:space="preserve">Mithuna 24°24′</t>
  </si>
  <si>
    <t xml:space="preserve">Meṣa 03°12′</t>
  </si>
  <si>
    <t xml:space="preserve">Makara 17°13′</t>
  </si>
  <si>
    <t xml:space="preserve">Karkaṭa 17°13′</t>
  </si>
  <si>
    <t xml:space="preserve">Vṛṣabha 14°19′</t>
  </si>
  <si>
    <t xml:space="preserve">Makara 11°58′ R</t>
  </si>
  <si>
    <t xml:space="preserve">Karkaṭa 02°10′</t>
  </si>
  <si>
    <t xml:space="preserve">Makara 09°00′</t>
  </si>
  <si>
    <t xml:space="preserve">Kanyā 08°05′</t>
  </si>
  <si>
    <t xml:space="preserve">Mithuna 12°01′</t>
  </si>
  <si>
    <t xml:space="preserve">Siṃha 04°22′</t>
  </si>
  <si>
    <t xml:space="preserve">Mithuna 25°38′</t>
  </si>
  <si>
    <t xml:space="preserve">Meṣa 03°14′</t>
  </si>
  <si>
    <t xml:space="preserve">Makara 17°12′</t>
  </si>
  <si>
    <t xml:space="preserve">Karkaṭa 17°12′</t>
  </si>
  <si>
    <t xml:space="preserve">Vṛṣabha 14°21′</t>
  </si>
  <si>
    <t xml:space="preserve">Mīna 12°23′ R</t>
  </si>
  <si>
    <t xml:space="preserve">Makara 11°57′ R</t>
  </si>
  <si>
    <t xml:space="preserve">Karkaṭa 03°07′</t>
  </si>
  <si>
    <t xml:space="preserve">Makara 20°48′</t>
  </si>
  <si>
    <t xml:space="preserve">Kanyā 08°40′</t>
  </si>
  <si>
    <t xml:space="preserve">Mithuna 13°16′</t>
  </si>
  <si>
    <t xml:space="preserve">Mithuna 26°51′</t>
  </si>
  <si>
    <t xml:space="preserve">Meṣa 03°16′</t>
  </si>
  <si>
    <t xml:space="preserve">Vṛṣabha 14°24′</t>
  </si>
  <si>
    <t xml:space="preserve">Makara 11°55′ R</t>
  </si>
  <si>
    <t xml:space="preserve">Karkaṭa 04°05′</t>
  </si>
  <si>
    <t xml:space="preserve">Kumbha 02°37′</t>
  </si>
  <si>
    <t xml:space="preserve">Kanyā 09°15′</t>
  </si>
  <si>
    <t xml:space="preserve">Siṃha 04°46′</t>
  </si>
  <si>
    <t xml:space="preserve">Mithuna 28°05′</t>
  </si>
  <si>
    <t xml:space="preserve">Meṣa 03°18′</t>
  </si>
  <si>
    <t xml:space="preserve">Makara 11°54′ R</t>
  </si>
  <si>
    <t xml:space="preserve">Karkaṭa 05°02′</t>
  </si>
  <si>
    <t xml:space="preserve">Kumbha 14°30′</t>
  </si>
  <si>
    <t xml:space="preserve">Kanyā 09°50′</t>
  </si>
  <si>
    <t xml:space="preserve">Mithuna 15°59′</t>
  </si>
  <si>
    <t xml:space="preserve">Siṃha 04°58′</t>
  </si>
  <si>
    <t xml:space="preserve">Mithuna 29°19′</t>
  </si>
  <si>
    <t xml:space="preserve">Meṣa 03°20′</t>
  </si>
  <si>
    <t xml:space="preserve">Vṛṣabha 14°29′</t>
  </si>
  <si>
    <t xml:space="preserve">Mīna 12°22′ R</t>
  </si>
  <si>
    <t xml:space="preserve">Makara 11°53′ R</t>
  </si>
  <si>
    <t xml:space="preserve">Karkaṭa 05°59′</t>
  </si>
  <si>
    <t xml:space="preserve">Kumbha 26°30′</t>
  </si>
  <si>
    <t xml:space="preserve">Kanyā 10°25′</t>
  </si>
  <si>
    <t xml:space="preserve">Mithuna 17°27′</t>
  </si>
  <si>
    <t xml:space="preserve">Siṃha 05°10′</t>
  </si>
  <si>
    <t xml:space="preserve">Karkaṭa 00°33′</t>
  </si>
  <si>
    <t xml:space="preserve">Meṣa 03°22′</t>
  </si>
  <si>
    <t xml:space="preserve">Makara 17°14′</t>
  </si>
  <si>
    <t xml:space="preserve">Karkaṭa 17°14′</t>
  </si>
  <si>
    <t xml:space="preserve">Vṛṣabha 14°31′</t>
  </si>
  <si>
    <t xml:space="preserve">Makara 11°51′ R</t>
  </si>
  <si>
    <t xml:space="preserve">Karkaṭa 06°56′</t>
  </si>
  <si>
    <t xml:space="preserve">Kanyā 10°00′</t>
  </si>
  <si>
    <t xml:space="preserve">Mithuna 18°59′</t>
  </si>
  <si>
    <t xml:space="preserve">Siṃha 05°22′</t>
  </si>
  <si>
    <t xml:space="preserve">Karkaṭa 01°46′</t>
  </si>
  <si>
    <t xml:space="preserve">Meṣa 03°24′</t>
  </si>
  <si>
    <t xml:space="preserve">Makara 17°16′</t>
  </si>
  <si>
    <t xml:space="preserve">Karkaṭa 17°16′</t>
  </si>
  <si>
    <t xml:space="preserve">Vṛṣabha 14°34′</t>
  </si>
  <si>
    <t xml:space="preserve">Makara 11°50′ R</t>
  </si>
  <si>
    <t xml:space="preserve">Karkaṭa 07°54′</t>
  </si>
  <si>
    <t xml:space="preserve">Mīna 21°06′</t>
  </si>
  <si>
    <t xml:space="preserve">Kanyā 11°35′</t>
  </si>
  <si>
    <t xml:space="preserve">Mithuna 20°35′</t>
  </si>
  <si>
    <t xml:space="preserve">Siṃha 05°34′</t>
  </si>
  <si>
    <t xml:space="preserve">Karkaṭa 03°00′</t>
  </si>
  <si>
    <t xml:space="preserve">Meṣa 03°26′</t>
  </si>
  <si>
    <t xml:space="preserve">Makara 17°17′</t>
  </si>
  <si>
    <t xml:space="preserve">Karkaṭa 17°17′</t>
  </si>
  <si>
    <t xml:space="preserve">Vṛṣabha 14°36′</t>
  </si>
  <si>
    <t xml:space="preserve">Mīna 12°21′ R</t>
  </si>
  <si>
    <t xml:space="preserve">Makara 11°48′ R</t>
  </si>
  <si>
    <t xml:space="preserve">Karkaṭa 08°51′</t>
  </si>
  <si>
    <t xml:space="preserve">Kanyā 12°11′</t>
  </si>
  <si>
    <t xml:space="preserve">Mithuna 22°15′</t>
  </si>
  <si>
    <t xml:space="preserve">Siṃha 05°46′</t>
  </si>
  <si>
    <t xml:space="preserve">Karkaṭa 04°14′</t>
  </si>
  <si>
    <t xml:space="preserve">Meṣa 03°27′</t>
  </si>
  <si>
    <t xml:space="preserve">Vṛṣabha 14°39′</t>
  </si>
  <si>
    <t xml:space="preserve">Makara 11°47′ R</t>
  </si>
  <si>
    <t xml:space="preserve">Karkaṭa 09°48′</t>
  </si>
  <si>
    <t xml:space="preserve">Meṣa 16°55′</t>
  </si>
  <si>
    <t xml:space="preserve">Kanyā 12°46′</t>
  </si>
  <si>
    <t xml:space="preserve">Mithuna 23°59′</t>
  </si>
  <si>
    <t xml:space="preserve">Siṃha 05°59′</t>
  </si>
  <si>
    <t xml:space="preserve">Karkaṭa 05°28′</t>
  </si>
  <si>
    <t xml:space="preserve">Meṣa 03°29′</t>
  </si>
  <si>
    <t xml:space="preserve">Vṛṣabha 14°41′</t>
  </si>
  <si>
    <t xml:space="preserve">Mīna 12°20′ R</t>
  </si>
  <si>
    <t xml:space="preserve">Makara 11°46′ R</t>
  </si>
  <si>
    <t xml:space="preserve">Karkaṭa 10°46′</t>
  </si>
  <si>
    <t xml:space="preserve">Vṛṣabha 00°25′</t>
  </si>
  <si>
    <t xml:space="preserve">Kanyā 13°22′</t>
  </si>
  <si>
    <t xml:space="preserve">Mithuna 25°47′</t>
  </si>
  <si>
    <t xml:space="preserve">Siṃha 06°11′</t>
  </si>
  <si>
    <t xml:space="preserve">Karkaṭa 06°42′</t>
  </si>
  <si>
    <t xml:space="preserve">Meṣa 03°30′</t>
  </si>
  <si>
    <t xml:space="preserve">Vṛṣabha 14°43′</t>
  </si>
  <si>
    <t xml:space="preserve">Mīna 12°19′ R</t>
  </si>
  <si>
    <t xml:space="preserve">Makara 11°44′ R</t>
  </si>
  <si>
    <t xml:space="preserve">Karkaṭa 11°43′</t>
  </si>
  <si>
    <t xml:space="preserve">Kanyā 13°58′</t>
  </si>
  <si>
    <t xml:space="preserve">Mithuna 27°37′</t>
  </si>
  <si>
    <t xml:space="preserve">Karkaṭa 07°56′</t>
  </si>
  <si>
    <t xml:space="preserve">Meṣa 03°31′</t>
  </si>
  <si>
    <t xml:space="preserve">Vṛṣabha 14°46′</t>
  </si>
  <si>
    <t xml:space="preserve">Makara 11°43′ R</t>
  </si>
  <si>
    <t xml:space="preserve">Karkaṭa 12°40′</t>
  </si>
  <si>
    <t xml:space="preserve">Vṛṣabha 28°43′</t>
  </si>
  <si>
    <t xml:space="preserve">Mithuna 29°31′</t>
  </si>
  <si>
    <t xml:space="preserve">Siṃha 06°36′</t>
  </si>
  <si>
    <t xml:space="preserve">Karkaṭa 09°10′</t>
  </si>
  <si>
    <t xml:space="preserve">Meṣa 03°32′</t>
  </si>
  <si>
    <t xml:space="preserve">Vṛṣabha 14°48′</t>
  </si>
  <si>
    <t xml:space="preserve">Mīna 12°18′ R</t>
  </si>
  <si>
    <t xml:space="preserve">Makara 11°41′ R</t>
  </si>
  <si>
    <t xml:space="preserve">Karkaṭa 13°38′</t>
  </si>
  <si>
    <t xml:space="preserve">Mithuna 13°27′</t>
  </si>
  <si>
    <t xml:space="preserve">Kanyā 15°10′</t>
  </si>
  <si>
    <t xml:space="preserve">Karkaṭa 01°27′</t>
  </si>
  <si>
    <t xml:space="preserve">Siṃha 06°48′</t>
  </si>
  <si>
    <t xml:space="preserve">Karkaṭa 10°24′</t>
  </si>
  <si>
    <t xml:space="preserve">Meṣa 03°33′</t>
  </si>
  <si>
    <t xml:space="preserve">Vṛṣabha 14°50′</t>
  </si>
  <si>
    <t xml:space="preserve">Makara 11°40′ R</t>
  </si>
  <si>
    <t xml:space="preserve">Karkaṭa 14°35′</t>
  </si>
  <si>
    <t xml:space="preserve">Mithuna 28°28′</t>
  </si>
  <si>
    <t xml:space="preserve">Kanyā 15°46′</t>
  </si>
  <si>
    <t xml:space="preserve">Karkaṭa 03°25′</t>
  </si>
  <si>
    <t xml:space="preserve">Siṃha 07°01′</t>
  </si>
  <si>
    <t xml:space="preserve">Karkaṭa 11°37′</t>
  </si>
  <si>
    <t xml:space="preserve">Meṣa 03°34′</t>
  </si>
  <si>
    <t xml:space="preserve">Vṛṣabha 14°52′</t>
  </si>
  <si>
    <t xml:space="preserve">Mīna 12°17′ R</t>
  </si>
  <si>
    <t xml:space="preserve">Makara 11°39′ R</t>
  </si>
  <si>
    <t xml:space="preserve">Karkaṭa 15°33′</t>
  </si>
  <si>
    <t xml:space="preserve">Kanyā 16°22′</t>
  </si>
  <si>
    <t xml:space="preserve">Karkaṭa 05°25′</t>
  </si>
  <si>
    <t xml:space="preserve">Siṃha 07°13′</t>
  </si>
  <si>
    <t xml:space="preserve">Karkaṭa 12°51′</t>
  </si>
  <si>
    <t xml:space="preserve">Meṣa 03°35′</t>
  </si>
  <si>
    <t xml:space="preserve">Vṛṣabha 14°54′</t>
  </si>
  <si>
    <t xml:space="preserve">Mīna 12°16′ R</t>
  </si>
  <si>
    <t xml:space="preserve">Makara 11°37′ R</t>
  </si>
  <si>
    <t xml:space="preserve">Karkaṭa 16°30′</t>
  </si>
  <si>
    <t xml:space="preserve">Karkaṭa 28°48′</t>
  </si>
  <si>
    <t xml:space="preserve">Kanyā 16°58′</t>
  </si>
  <si>
    <t xml:space="preserve">Karkaṭa 07°27′</t>
  </si>
  <si>
    <t xml:space="preserve">Karkaṭa 14°05′</t>
  </si>
  <si>
    <t xml:space="preserve">Meṣa 03°36′</t>
  </si>
  <si>
    <t xml:space="preserve">Vṛṣabha 14°56′</t>
  </si>
  <si>
    <t xml:space="preserve">Mīna 12°15′ R</t>
  </si>
  <si>
    <t xml:space="preserve">Makara 11°36′ R</t>
  </si>
  <si>
    <t xml:space="preserve">Siṃha 13°48′</t>
  </si>
  <si>
    <t xml:space="preserve">Kanyā 17°35′</t>
  </si>
  <si>
    <t xml:space="preserve">Karkaṭa 09°30′</t>
  </si>
  <si>
    <t xml:space="preserve">Siṃha 07°38′</t>
  </si>
  <si>
    <t xml:space="preserve">Karkaṭa 15°19′</t>
  </si>
  <si>
    <t xml:space="preserve">Vṛṣabha 14°58′</t>
  </si>
  <si>
    <t xml:space="preserve">Makara 11°34′ R</t>
  </si>
  <si>
    <t xml:space="preserve">Karkaṭa 18°25′</t>
  </si>
  <si>
    <t xml:space="preserve">Siṃha 28°31′</t>
  </si>
  <si>
    <t xml:space="preserve">Kanyā 18°11′</t>
  </si>
  <si>
    <t xml:space="preserve">Karkaṭa 11°34′</t>
  </si>
  <si>
    <t xml:space="preserve">Siṃha 07°51′</t>
  </si>
  <si>
    <t xml:space="preserve">Karkaṭa 16°33′</t>
  </si>
  <si>
    <t xml:space="preserve">Meṣa 03°37′</t>
  </si>
  <si>
    <t xml:space="preserve">Vṛṣabha 15°00′</t>
  </si>
  <si>
    <t xml:space="preserve">Mīna 12°14′ R</t>
  </si>
  <si>
    <t xml:space="preserve">Makara 11°33′ R</t>
  </si>
  <si>
    <t xml:space="preserve">Karkaṭa 19°22′</t>
  </si>
  <si>
    <t xml:space="preserve">Kanyā 12°51′</t>
  </si>
  <si>
    <t xml:space="preserve">Kanyā 18°48′</t>
  </si>
  <si>
    <t xml:space="preserve">Siṃha 08°04′</t>
  </si>
  <si>
    <t xml:space="preserve">Vṛṣabha 15°02′</t>
  </si>
  <si>
    <t xml:space="preserve">Mīna 12°13′ R</t>
  </si>
  <si>
    <t xml:space="preserve">Makara 11°32′ R</t>
  </si>
  <si>
    <t xml:space="preserve">Kanyā 26°44′</t>
  </si>
  <si>
    <t xml:space="preserve">Kanyā 19°25′</t>
  </si>
  <si>
    <t xml:space="preserve">Karkaṭa 15°43′</t>
  </si>
  <si>
    <t xml:space="preserve">Siṃha 08°16′</t>
  </si>
  <si>
    <t xml:space="preserve">Karkaṭa 19°02′</t>
  </si>
  <si>
    <t xml:space="preserve">Vṛṣabha 15°04′</t>
  </si>
  <si>
    <t xml:space="preserve">Mīna 12°12′ R</t>
  </si>
  <si>
    <t xml:space="preserve">Makara 11°30′ R</t>
  </si>
  <si>
    <t xml:space="preserve">Karkaṭa 21°17′</t>
  </si>
  <si>
    <t xml:space="preserve">Tulā 10°11′</t>
  </si>
  <si>
    <t xml:space="preserve">Kanyā 20°02′</t>
  </si>
  <si>
    <t xml:space="preserve">Siṃha 08°29′</t>
  </si>
  <si>
    <t xml:space="preserve">Karkaṭa 20°16′</t>
  </si>
  <si>
    <t xml:space="preserve">Vṛṣabha 15°06′</t>
  </si>
  <si>
    <t xml:space="preserve">Mīna 12°11′ R</t>
  </si>
  <si>
    <t xml:space="preserve">Makara 11°29′ R</t>
  </si>
  <si>
    <t xml:space="preserve">Karkaṭa 22°15′</t>
  </si>
  <si>
    <t xml:space="preserve">Tulā 23°14′</t>
  </si>
  <si>
    <t xml:space="preserve">Kanyā 20°39′</t>
  </si>
  <si>
    <t xml:space="preserve">Karkaṭa 19°52′</t>
  </si>
  <si>
    <t xml:space="preserve">Siṃha 08°42′</t>
  </si>
  <si>
    <t xml:space="preserve">Karkaṭa 21°30′</t>
  </si>
  <si>
    <t xml:space="preserve">Vṛṣabha 15°08′</t>
  </si>
  <si>
    <t xml:space="preserve">Mīna 12°10′ R</t>
  </si>
  <si>
    <t xml:space="preserve">Makara 11°27′ R</t>
  </si>
  <si>
    <t xml:space="preserve">Vṛścika 05°54′</t>
  </si>
  <si>
    <t xml:space="preserve">Karkaṭa 21°56′</t>
  </si>
  <si>
    <t xml:space="preserve">Siṃha 08°55′</t>
  </si>
  <si>
    <t xml:space="preserve">Karkaṭa 22°44′</t>
  </si>
  <si>
    <t xml:space="preserve">Meṣa 03°38′ R</t>
  </si>
  <si>
    <t xml:space="preserve">Vṛṣabha 15°10′</t>
  </si>
  <si>
    <t xml:space="preserve">Mīna 12°09′ R</t>
  </si>
  <si>
    <t xml:space="preserve">Makara 11°26′ R</t>
  </si>
  <si>
    <t xml:space="preserve">Karkaṭa 24°10′</t>
  </si>
  <si>
    <t xml:space="preserve">Vṛścika 18°16′</t>
  </si>
  <si>
    <t xml:space="preserve">Kanyā 21°53′</t>
  </si>
  <si>
    <t xml:space="preserve">Karkaṭa 23°59′</t>
  </si>
  <si>
    <t xml:space="preserve">Siṃha 09°07′</t>
  </si>
  <si>
    <t xml:space="preserve">Vṛṣabha 15°12′</t>
  </si>
  <si>
    <t xml:space="preserve">Mīna 12°08′ R</t>
  </si>
  <si>
    <t xml:space="preserve">Makara 11°25′ R</t>
  </si>
  <si>
    <t xml:space="preserve">Karkaṭa 25°08′</t>
  </si>
  <si>
    <t xml:space="preserve">Dhanus 00°24′</t>
  </si>
  <si>
    <t xml:space="preserve">Kanyā 22°30′</t>
  </si>
  <si>
    <t xml:space="preserve">Siṃha 09°20′</t>
  </si>
  <si>
    <t xml:space="preserve">Karkaṭa 25°12′</t>
  </si>
  <si>
    <t xml:space="preserve">Mīna 12°07′ R</t>
  </si>
  <si>
    <t xml:space="preserve">Makara 11°23′ R</t>
  </si>
  <si>
    <t xml:space="preserve">Dhanus 12°22′</t>
  </si>
  <si>
    <t xml:space="preserve">Kanyā 23°07′</t>
  </si>
  <si>
    <t xml:space="preserve">Karkaṭa 28°02′</t>
  </si>
  <si>
    <t xml:space="preserve">Siṃha 09°33′</t>
  </si>
  <si>
    <t xml:space="preserve">Meṣa 03°37′ R</t>
  </si>
  <si>
    <t xml:space="preserve">Vṛṣabha 15°15′</t>
  </si>
  <si>
    <t xml:space="preserve">Mīna 12°06′ R</t>
  </si>
  <si>
    <t xml:space="preserve">Makara 11°22′ R</t>
  </si>
  <si>
    <t xml:space="preserve">Kanyā 23°45′</t>
  </si>
  <si>
    <t xml:space="preserve">Siṃha 00°02′</t>
  </si>
  <si>
    <t xml:space="preserve">Siṃha 09°46′</t>
  </si>
  <si>
    <t xml:space="preserve">Karkaṭa 27°40′</t>
  </si>
  <si>
    <t xml:space="preserve">Vṛṣabha 15°17′</t>
  </si>
  <si>
    <t xml:space="preserve">Mīna 12°05′ R</t>
  </si>
  <si>
    <t xml:space="preserve">Makara 11°21′ R</t>
  </si>
  <si>
    <t xml:space="preserve">Makara 06°01′</t>
  </si>
  <si>
    <t xml:space="preserve">Kanyā 24°22′</t>
  </si>
  <si>
    <t xml:space="preserve">Siṃha 02°01′</t>
  </si>
  <si>
    <t xml:space="preserve">Karkaṭa 28°54′</t>
  </si>
  <si>
    <t xml:space="preserve">Meṣa 03°36′ R</t>
  </si>
  <si>
    <t xml:space="preserve">Vṛṣabha 15°18′</t>
  </si>
  <si>
    <t xml:space="preserve">Mīna 12°04′ R</t>
  </si>
  <si>
    <t xml:space="preserve">Makara 11°19′ R</t>
  </si>
  <si>
    <t xml:space="preserve">Karkaṭa 28°58′</t>
  </si>
  <si>
    <t xml:space="preserve">Kanyā 24°00′</t>
  </si>
  <si>
    <t xml:space="preserve">Siṃha 03°59′</t>
  </si>
  <si>
    <t xml:space="preserve">Siṃha 10°12′</t>
  </si>
  <si>
    <t xml:space="preserve">Siṃha 00°09′</t>
  </si>
  <si>
    <t xml:space="preserve">Vṛṣabha 15°20′</t>
  </si>
  <si>
    <t xml:space="preserve">Mīna 12°03′ R</t>
  </si>
  <si>
    <t xml:space="preserve">Makara 11°18′ R</t>
  </si>
  <si>
    <t xml:space="preserve">Karkaṭa 29°56′</t>
  </si>
  <si>
    <t xml:space="preserve">Kanyā 25°38′</t>
  </si>
  <si>
    <t xml:space="preserve">Siṃha 05°56′</t>
  </si>
  <si>
    <t xml:space="preserve">Siṃha 10°24′</t>
  </si>
  <si>
    <t xml:space="preserve">Siṃha 01°23′</t>
  </si>
  <si>
    <t xml:space="preserve">Meṣa 03°35′ R</t>
  </si>
  <si>
    <t xml:space="preserve">Vṛṣabha 15°21′</t>
  </si>
  <si>
    <t xml:space="preserve">Mīna 12°02′ R</t>
  </si>
  <si>
    <t xml:space="preserve">Makara 11°17′ R</t>
  </si>
  <si>
    <t xml:space="preserve">Kumbha 11°34′</t>
  </si>
  <si>
    <t xml:space="preserve">Kanyā 26°15′</t>
  </si>
  <si>
    <t xml:space="preserve">Siṃha 10°37′</t>
  </si>
  <si>
    <t xml:space="preserve">Siṃha 02°37′</t>
  </si>
  <si>
    <t xml:space="preserve">Meṣa 03°34′ R</t>
  </si>
  <si>
    <t xml:space="preserve">Vṛṣabha 15°22′</t>
  </si>
  <si>
    <t xml:space="preserve">Mīna 12°01′ R</t>
  </si>
  <si>
    <t xml:space="preserve">Makara 11°15′ R</t>
  </si>
  <si>
    <t xml:space="preserve">Kumbha 23°35′</t>
  </si>
  <si>
    <t xml:space="preserve">Kanyā 26°53′</t>
  </si>
  <si>
    <t xml:space="preserve">Siṃha 09°44′</t>
  </si>
  <si>
    <t xml:space="preserve">Siṃha 10°50′</t>
  </si>
  <si>
    <t xml:space="preserve">Siṃha 03°51′</t>
  </si>
  <si>
    <t xml:space="preserve">Meṣa 03°33′ R</t>
  </si>
  <si>
    <t xml:space="preserve">Vṛṣabha 15°24′</t>
  </si>
  <si>
    <t xml:space="preserve">Mīna 11°00′ R</t>
  </si>
  <si>
    <t xml:space="preserve">Makara 11°14′ R</t>
  </si>
  <si>
    <t xml:space="preserve">Siṃha 02°49′</t>
  </si>
  <si>
    <t xml:space="preserve">Mīna 05°44′</t>
  </si>
  <si>
    <t xml:space="preserve">Kanyā 27°31′</t>
  </si>
  <si>
    <t xml:space="preserve">Siṃha 11°37′</t>
  </si>
  <si>
    <t xml:space="preserve">Siṃha 11°03′</t>
  </si>
  <si>
    <t xml:space="preserve">Meṣa 03°32′ R</t>
  </si>
  <si>
    <t xml:space="preserve">Vṛṣabha 15°25′</t>
  </si>
  <si>
    <t xml:space="preserve">Mīna 11°59′ R</t>
  </si>
  <si>
    <t xml:space="preserve">Makara 11°13′ R</t>
  </si>
  <si>
    <t xml:space="preserve">Kanyā 28°09′</t>
  </si>
  <si>
    <t xml:space="preserve">Siṃha 13°28′</t>
  </si>
  <si>
    <t xml:space="preserve">Siṃha 06°20′</t>
  </si>
  <si>
    <t xml:space="preserve">Meṣa 03°31′ R</t>
  </si>
  <si>
    <t xml:space="preserve">Makara 17°10′</t>
  </si>
  <si>
    <t xml:space="preserve">Karkaṭa 17°10′</t>
  </si>
  <si>
    <t xml:space="preserve">Vṛṣabha 15°26′</t>
  </si>
  <si>
    <t xml:space="preserve">Mīna 11°57′ R</t>
  </si>
  <si>
    <t xml:space="preserve">Makara 11°12′ R</t>
  </si>
  <si>
    <t xml:space="preserve">Siṃha 04°44′</t>
  </si>
  <si>
    <t xml:space="preserve">Meṣa 00°38′</t>
  </si>
  <si>
    <t xml:space="preserve">Kanyā 28°47′</t>
  </si>
  <si>
    <t xml:space="preserve">Siṃha 07°34′</t>
  </si>
  <si>
    <t xml:space="preserve">Meṣa 03°30′ R</t>
  </si>
  <si>
    <t xml:space="preserve">Makara 17°08′</t>
  </si>
  <si>
    <t xml:space="preserve">Karkaṭa 17°08′</t>
  </si>
  <si>
    <t xml:space="preserve">Vṛṣabha 15°28′</t>
  </si>
  <si>
    <t xml:space="preserve">Mīna 11°56′ R</t>
  </si>
  <si>
    <t xml:space="preserve">Makara 11°10′ R</t>
  </si>
  <si>
    <t xml:space="preserve">Siṃha 05°42′</t>
  </si>
  <si>
    <t xml:space="preserve">Meṣa 13°26′</t>
  </si>
  <si>
    <t xml:space="preserve">Kanyā 29°26′</t>
  </si>
  <si>
    <t xml:space="preserve">Siṃha 17°05′</t>
  </si>
  <si>
    <t xml:space="preserve">Siṃha 11°42′</t>
  </si>
  <si>
    <t xml:space="preserve">Siṃha 08°48′</t>
  </si>
  <si>
    <t xml:space="preserve">Meṣa 03°29′ R</t>
  </si>
  <si>
    <t xml:space="preserve">Makara 17°06′</t>
  </si>
  <si>
    <t xml:space="preserve">Karkaṭa 17°06′</t>
  </si>
  <si>
    <t xml:space="preserve">Vṛṣabha 15°29′</t>
  </si>
  <si>
    <t xml:space="preserve">Mīna 11°55′ R</t>
  </si>
  <si>
    <t xml:space="preserve">Makara 11°09′ R</t>
  </si>
  <si>
    <t xml:space="preserve">Meṣa 26°31′</t>
  </si>
  <si>
    <t xml:space="preserve">Tulā 00°04′</t>
  </si>
  <si>
    <t xml:space="preserve">Siṃha 18°52′</t>
  </si>
  <si>
    <t xml:space="preserve">Siṃha 11°55′</t>
  </si>
  <si>
    <t xml:space="preserve">Siṃha 10°03′</t>
  </si>
  <si>
    <t xml:space="preserve">Meṣa 03°27′ R</t>
  </si>
  <si>
    <t xml:space="preserve">Makara 17°05′</t>
  </si>
  <si>
    <t xml:space="preserve">Karkaṭa 17°05′</t>
  </si>
  <si>
    <t xml:space="preserve">Vṛṣabha 15°30′</t>
  </si>
  <si>
    <t xml:space="preserve">Mīna 11°54′ R</t>
  </si>
  <si>
    <t xml:space="preserve">Makara 11°08′ R</t>
  </si>
  <si>
    <t xml:space="preserve">Vṛṣabha 09°57′</t>
  </si>
  <si>
    <t xml:space="preserve">Tulā 00°42′</t>
  </si>
  <si>
    <t xml:space="preserve">Siṃha 20°37′</t>
  </si>
  <si>
    <t xml:space="preserve">Siṃha 12°08′</t>
  </si>
  <si>
    <t xml:space="preserve">Siṃha 11°17′</t>
  </si>
  <si>
    <t xml:space="preserve">Meṣa 03°26′ R</t>
  </si>
  <si>
    <t xml:space="preserve">Makara 17°04′</t>
  </si>
  <si>
    <t xml:space="preserve">Karkaṭa 17°04′</t>
  </si>
  <si>
    <t xml:space="preserve">Vṛṣabha 15°31′</t>
  </si>
  <si>
    <t xml:space="preserve">Mīna 11°52′ R</t>
  </si>
  <si>
    <t xml:space="preserve">Makara 11°07′ R</t>
  </si>
  <si>
    <t xml:space="preserve">Siṃha 08°35′</t>
  </si>
  <si>
    <t xml:space="preserve">Vṛṣabha 23°43′</t>
  </si>
  <si>
    <t xml:space="preserve">Tulā 01°21′</t>
  </si>
  <si>
    <t xml:space="preserve">Siṃha 22°21′</t>
  </si>
  <si>
    <t xml:space="preserve">Siṃha 12°21′</t>
  </si>
  <si>
    <t xml:space="preserve">Siṃha 12°31′</t>
  </si>
  <si>
    <t xml:space="preserve">Meṣa 03°24′ R</t>
  </si>
  <si>
    <t xml:space="preserve">Vṛṣabha 15°32′</t>
  </si>
  <si>
    <t xml:space="preserve">Mīna 11°51′ R</t>
  </si>
  <si>
    <t xml:space="preserve">Makara 11°05′ R</t>
  </si>
  <si>
    <t xml:space="preserve">Siṃha 24°04′</t>
  </si>
  <si>
    <t xml:space="preserve">Siṃha 12°34′</t>
  </si>
  <si>
    <t xml:space="preserve">Siṃha 13°46′</t>
  </si>
  <si>
    <t xml:space="preserve">Meṣa 03°22′ R</t>
  </si>
  <si>
    <t xml:space="preserve">Vṛṣabha 15°33′</t>
  </si>
  <si>
    <t xml:space="preserve">Mīna 11°50′ R</t>
  </si>
  <si>
    <t xml:space="preserve">Makara 11°04′ R</t>
  </si>
  <si>
    <t xml:space="preserve">Siṃha 10°31′</t>
  </si>
  <si>
    <t xml:space="preserve">Mithuna 22°20′</t>
  </si>
  <si>
    <t xml:space="preserve">Tulā 02°38′</t>
  </si>
  <si>
    <t xml:space="preserve">Siṃha 25°46′</t>
  </si>
  <si>
    <t xml:space="preserve">Siṃha 12°47′</t>
  </si>
  <si>
    <t xml:space="preserve">Siṃha 14°00′</t>
  </si>
  <si>
    <t xml:space="preserve">Meṣa 03°20′ R</t>
  </si>
  <si>
    <t xml:space="preserve">Vṛṣabha 15°34′</t>
  </si>
  <si>
    <t xml:space="preserve">Mīna 11°48′ R</t>
  </si>
  <si>
    <t xml:space="preserve">Makara 11°03′ R</t>
  </si>
  <si>
    <t xml:space="preserve">Karkaṭa 07°06′</t>
  </si>
  <si>
    <t xml:space="preserve">Tulā 03°17′</t>
  </si>
  <si>
    <t xml:space="preserve">Siṃha 27°26′</t>
  </si>
  <si>
    <t xml:space="preserve">Siṃha 13°00′</t>
  </si>
  <si>
    <t xml:space="preserve">Siṃha 16°14′</t>
  </si>
  <si>
    <t xml:space="preserve">Meṣa 03°18′ R</t>
  </si>
  <si>
    <t xml:space="preserve">Vṛṣabha 15°35′</t>
  </si>
  <si>
    <t xml:space="preserve">Mīna 11°47′ R</t>
  </si>
  <si>
    <t xml:space="preserve">Makara 11°02′ R</t>
  </si>
  <si>
    <t xml:space="preserve">Siṃha 12°27′</t>
  </si>
  <si>
    <t xml:space="preserve">Karkaṭa 22°03′</t>
  </si>
  <si>
    <t xml:space="preserve">Tulā 03°56′</t>
  </si>
  <si>
    <t xml:space="preserve">Siṃha 29°04′</t>
  </si>
  <si>
    <t xml:space="preserve">Siṃha 13°13′</t>
  </si>
  <si>
    <t xml:space="preserve">Siṃha 17°29′</t>
  </si>
  <si>
    <t xml:space="preserve">Meṣa 03°16′ R</t>
  </si>
  <si>
    <t xml:space="preserve">Makara 17°09′</t>
  </si>
  <si>
    <t xml:space="preserve">Karkaṭa 17°09′</t>
  </si>
  <si>
    <t xml:space="preserve">Vṛṣabha 15°36′</t>
  </si>
  <si>
    <t xml:space="preserve">Mīna 11°46′ R</t>
  </si>
  <si>
    <t xml:space="preserve">Makara 11°01′ R</t>
  </si>
  <si>
    <t xml:space="preserve">Siṃha 13°25′</t>
  </si>
  <si>
    <t xml:space="preserve">Siṃha 07°06′</t>
  </si>
  <si>
    <t xml:space="preserve">Tulā 04°35′</t>
  </si>
  <si>
    <t xml:space="preserve">Kanyā 00°42′</t>
  </si>
  <si>
    <t xml:space="preserve">Siṃha 13°26′</t>
  </si>
  <si>
    <t xml:space="preserve">Siṃha 18°43′</t>
  </si>
  <si>
    <t xml:space="preserve">Meṣa 03°14′ R</t>
  </si>
  <si>
    <t xml:space="preserve">Vṛṣabha 15°37′</t>
  </si>
  <si>
    <t xml:space="preserve">Mīna 11°44′ R</t>
  </si>
  <si>
    <t xml:space="preserve">Makara 10°00′ R</t>
  </si>
  <si>
    <t xml:space="preserve">Siṃha 14°23′</t>
  </si>
  <si>
    <t xml:space="preserve">Siṃha 22°04′</t>
  </si>
  <si>
    <t xml:space="preserve">Tulā 05°14′</t>
  </si>
  <si>
    <t xml:space="preserve">Kanyā 02°18′</t>
  </si>
  <si>
    <t xml:space="preserve">Siṃha 13°39′</t>
  </si>
  <si>
    <t xml:space="preserve">Siṃha 19°57′</t>
  </si>
  <si>
    <t xml:space="preserve">Meṣa 03°12′ R</t>
  </si>
  <si>
    <t xml:space="preserve">Mīna 11°43′ R</t>
  </si>
  <si>
    <t xml:space="preserve">Makara 10°58′ R</t>
  </si>
  <si>
    <t xml:space="preserve">Siṃha 15°21′</t>
  </si>
  <si>
    <t xml:space="preserve">Kanyā 06°49′</t>
  </si>
  <si>
    <t xml:space="preserve">Tulā 05°53′</t>
  </si>
  <si>
    <t xml:space="preserve">Kanyā 03°53′</t>
  </si>
  <si>
    <t xml:space="preserve">Siṃha 13°52′</t>
  </si>
  <si>
    <t xml:space="preserve">Meṣa 03°10′ R</t>
  </si>
  <si>
    <t xml:space="preserve">Makara 17°02′</t>
  </si>
  <si>
    <t xml:space="preserve">Karkaṭa 17°02′</t>
  </si>
  <si>
    <t xml:space="preserve">Vṛṣabha 15°38′</t>
  </si>
  <si>
    <t xml:space="preserve">Mīna 11°41′ R</t>
  </si>
  <si>
    <t xml:space="preserve">Makara 10°57′ R</t>
  </si>
  <si>
    <t xml:space="preserve">Siṃha 16°19′</t>
  </si>
  <si>
    <t xml:space="preserve">Kanyā 21°15′</t>
  </si>
  <si>
    <t xml:space="preserve">Tulā 06°33′</t>
  </si>
  <si>
    <t xml:space="preserve">Kanyā 05°27′</t>
  </si>
  <si>
    <t xml:space="preserve">Siṃha 14°06′</t>
  </si>
  <si>
    <t xml:space="preserve">Siṃha 22°26′</t>
  </si>
  <si>
    <t xml:space="preserve">Meṣa 03°07′ R</t>
  </si>
  <si>
    <t xml:space="preserve">Makara 16°57′</t>
  </si>
  <si>
    <t xml:space="preserve">Karkaṭa 16°57′</t>
  </si>
  <si>
    <t xml:space="preserve">Vṛṣabha 15°39′</t>
  </si>
  <si>
    <t xml:space="preserve">Mīna 11°40′ R</t>
  </si>
  <si>
    <t xml:space="preserve">Makara 10°56′ R</t>
  </si>
  <si>
    <t xml:space="preserve">Siṃha 17°18′</t>
  </si>
  <si>
    <t xml:space="preserve">Tulā 05°16′</t>
  </si>
  <si>
    <t xml:space="preserve">Tulā 07°12′</t>
  </si>
  <si>
    <t xml:space="preserve">Kanyā 06°59′</t>
  </si>
  <si>
    <t xml:space="preserve">Siṃha 14°19′</t>
  </si>
  <si>
    <t xml:space="preserve">Siṃha 23°41′</t>
  </si>
  <si>
    <t xml:space="preserve">Meṣa 03°05′ R</t>
  </si>
  <si>
    <t xml:space="preserve">Makara 16°53′</t>
  </si>
  <si>
    <t xml:space="preserve">Karkaṭa 16°53′</t>
  </si>
  <si>
    <t xml:space="preserve">Mīna 11°38′ R</t>
  </si>
  <si>
    <t xml:space="preserve">Makara 10°55′ R</t>
  </si>
  <si>
    <t xml:space="preserve">Siṃha 18°16′</t>
  </si>
  <si>
    <t xml:space="preserve">Tulā 18°49′</t>
  </si>
  <si>
    <t xml:space="preserve">Tulā 07°51′</t>
  </si>
  <si>
    <t xml:space="preserve">Kanyā 08°30′</t>
  </si>
  <si>
    <t xml:space="preserve">Siṃha 14°32′</t>
  </si>
  <si>
    <t xml:space="preserve">Siṃha 24°55′</t>
  </si>
  <si>
    <t xml:space="preserve">Meṣa 03°02′ R</t>
  </si>
  <si>
    <t xml:space="preserve">Makara 16°50′</t>
  </si>
  <si>
    <t xml:space="preserve">Karkaṭa 16°50′</t>
  </si>
  <si>
    <t xml:space="preserve">Vṛṣabha 15°40′</t>
  </si>
  <si>
    <t xml:space="preserve">Mīna 11°37′ R</t>
  </si>
  <si>
    <t xml:space="preserve">Makara 10°54′ R</t>
  </si>
  <si>
    <t xml:space="preserve">Siṃha 19°14′</t>
  </si>
  <si>
    <t xml:space="preserve">Vṛścika 01°56′</t>
  </si>
  <si>
    <t xml:space="preserve">Tulā 08°31′</t>
  </si>
  <si>
    <t xml:space="preserve">Siṃha 14°45′</t>
  </si>
  <si>
    <t xml:space="preserve">Siṃha 26°09′</t>
  </si>
  <si>
    <t xml:space="preserve">Meṣa 02°59′ R</t>
  </si>
  <si>
    <t xml:space="preserve">Makara 16°47′</t>
  </si>
  <si>
    <t xml:space="preserve">Karkaṭa 16°47′</t>
  </si>
  <si>
    <t xml:space="preserve">Mīna 11°35′ R</t>
  </si>
  <si>
    <t xml:space="preserve">Makara 10°53′ R</t>
  </si>
  <si>
    <t xml:space="preserve">Siṃha 20°12′</t>
  </si>
  <si>
    <t xml:space="preserve">Vṛścika 14°38′</t>
  </si>
  <si>
    <t xml:space="preserve">Tulā 09°11′</t>
  </si>
  <si>
    <t xml:space="preserve">Kanyā 11°29′</t>
  </si>
  <si>
    <t xml:space="preserve">Siṃha 14°58′</t>
  </si>
  <si>
    <t xml:space="preserve">Siṃha 27°24′</t>
  </si>
  <si>
    <t xml:space="preserve">Meṣa 02°57′ R</t>
  </si>
  <si>
    <t xml:space="preserve">Makara 16°45′</t>
  </si>
  <si>
    <t xml:space="preserve">Karkaṭa 16°45′</t>
  </si>
  <si>
    <t xml:space="preserve">Vṛṣabha 15°41′</t>
  </si>
  <si>
    <t xml:space="preserve">Mīna 11°34′ R</t>
  </si>
  <si>
    <t xml:space="preserve">Makara 10°52′ R</t>
  </si>
  <si>
    <t xml:space="preserve">Siṃha 21°10′</t>
  </si>
  <si>
    <t xml:space="preserve">Vṛścika 26°00′</t>
  </si>
  <si>
    <t xml:space="preserve">Tulā 09°50′</t>
  </si>
  <si>
    <t xml:space="preserve">Kanyā 12°56′</t>
  </si>
  <si>
    <t xml:space="preserve">Siṃha 15°11′</t>
  </si>
  <si>
    <t xml:space="preserve">Siṃha 28°38′</t>
  </si>
  <si>
    <t xml:space="preserve">Meṣa 02°54′ R</t>
  </si>
  <si>
    <t xml:space="preserve">Mīna 11°32′ R</t>
  </si>
  <si>
    <t xml:space="preserve">Makara 10°51′ R</t>
  </si>
  <si>
    <t xml:space="preserve">Siṃha 22°09′</t>
  </si>
  <si>
    <t xml:space="preserve">Dhanus 09°06′</t>
  </si>
  <si>
    <t xml:space="preserve">Tulā 10°30′</t>
  </si>
  <si>
    <t xml:space="preserve">Kanyā 14°23′</t>
  </si>
  <si>
    <t xml:space="preserve">Siṃha 15°24′</t>
  </si>
  <si>
    <t xml:space="preserve">Siṃha 29°53′</t>
  </si>
  <si>
    <t xml:space="preserve">Meṣa 02°51′ R</t>
  </si>
  <si>
    <t xml:space="preserve">Makara 16°46′</t>
  </si>
  <si>
    <t xml:space="preserve">Karkaṭa 16°46′</t>
  </si>
  <si>
    <t xml:space="preserve">Vṛṣabha 15°42′</t>
  </si>
  <si>
    <t xml:space="preserve">Mīna 11°31′ R</t>
  </si>
  <si>
    <t xml:space="preserve">Makara 10°50′ R</t>
  </si>
  <si>
    <t xml:space="preserve">Siṃha 23°07′</t>
  </si>
  <si>
    <t xml:space="preserve">Dhanus 21°01′</t>
  </si>
  <si>
    <t xml:space="preserve">Tulā 11°10′</t>
  </si>
  <si>
    <t xml:space="preserve">Kanyā 15°47′</t>
  </si>
  <si>
    <t xml:space="preserve">Siṃha 15°37′</t>
  </si>
  <si>
    <t xml:space="preserve">Kanyā 01°07′</t>
  </si>
  <si>
    <t xml:space="preserve">Meṣa 02°48′ R</t>
  </si>
  <si>
    <t xml:space="preserve">Makara 16°48′</t>
  </si>
  <si>
    <t xml:space="preserve">Karkaṭa 16°48′</t>
  </si>
  <si>
    <t xml:space="preserve">Mīna 11°29′ R</t>
  </si>
  <si>
    <t xml:space="preserve">Makara 10°49′ R</t>
  </si>
  <si>
    <t xml:space="preserve">Siṃha 24°05′</t>
  </si>
  <si>
    <t xml:space="preserve">Makara 02°50′</t>
  </si>
  <si>
    <t xml:space="preserve">Tulā 11°50′</t>
  </si>
  <si>
    <t xml:space="preserve">Kanyā 17°11′</t>
  </si>
  <si>
    <t xml:space="preserve">Siṃha 15°50′</t>
  </si>
  <si>
    <t xml:space="preserve">Kanyā 02°22′</t>
  </si>
  <si>
    <t xml:space="preserve">Meṣa 02°45′ R</t>
  </si>
  <si>
    <t xml:space="preserve">Mīna 11°28′ R</t>
  </si>
  <si>
    <t xml:space="preserve">Makara 10°48′ R</t>
  </si>
  <si>
    <t xml:space="preserve">Siṃha 25°04′</t>
  </si>
  <si>
    <t xml:space="preserve">Makara 14°37′</t>
  </si>
  <si>
    <t xml:space="preserve">Tulā 12°30′</t>
  </si>
  <si>
    <t xml:space="preserve">Kanyā 18°33′</t>
  </si>
  <si>
    <t xml:space="preserve">Siṃha 16°03′</t>
  </si>
  <si>
    <t xml:space="preserve">Kanyā 03°36′</t>
  </si>
  <si>
    <t xml:space="preserve">Meṣa 02°42′ R</t>
  </si>
  <si>
    <t xml:space="preserve">Makara 16°51′</t>
  </si>
  <si>
    <t xml:space="preserve">Karkaṭa 16°51′</t>
  </si>
  <si>
    <t xml:space="preserve">Mīna 11°26′ R</t>
  </si>
  <si>
    <t xml:space="preserve">Makara 10°47′ R</t>
  </si>
  <si>
    <t xml:space="preserve">Siṃha 26°02′</t>
  </si>
  <si>
    <t xml:space="preserve">Tulā 13°10′</t>
  </si>
  <si>
    <t xml:space="preserve">Kanyā 19°54′</t>
  </si>
  <si>
    <t xml:space="preserve">Siṃha 16°15′</t>
  </si>
  <si>
    <t xml:space="preserve">Kanyā 04°51′</t>
  </si>
  <si>
    <t xml:space="preserve">Meṣa 02°38′ R</t>
  </si>
  <si>
    <t xml:space="preserve">Mīna 11°25′ R</t>
  </si>
  <si>
    <t xml:space="preserve">Makara 10°46′ R</t>
  </si>
  <si>
    <t xml:space="preserve">Kumbha 08°21′</t>
  </si>
  <si>
    <t xml:space="preserve">Kanyā 21°13′</t>
  </si>
  <si>
    <t xml:space="preserve">Siṃha 16°28′</t>
  </si>
  <si>
    <t xml:space="preserve">Kanyā 06°05′</t>
  </si>
  <si>
    <t xml:space="preserve">Meṣa 02°35′ R</t>
  </si>
  <si>
    <t xml:space="preserve">Mīna 11°23′ R</t>
  </si>
  <si>
    <t xml:space="preserve">Makara 10°45′ R</t>
  </si>
  <si>
    <t xml:space="preserve">Siṃha 27°59′</t>
  </si>
  <si>
    <t xml:space="preserve">Kumbha 20°25′</t>
  </si>
  <si>
    <t xml:space="preserve">Tulā 14°30′</t>
  </si>
  <si>
    <t xml:space="preserve">Kanyā 22°31′</t>
  </si>
  <si>
    <t xml:space="preserve">Siṃha 16°41′</t>
  </si>
  <si>
    <t xml:space="preserve">Kanyā 07°20′</t>
  </si>
  <si>
    <t xml:space="preserve">Meṣa 02°32′ R</t>
  </si>
  <si>
    <t xml:space="preserve">Makara 16°44′</t>
  </si>
  <si>
    <t xml:space="preserve">Karkaṭa 16°44′</t>
  </si>
  <si>
    <t xml:space="preserve">Mīna 11°21′ R</t>
  </si>
  <si>
    <t xml:space="preserve">Siṃha 28°57′</t>
  </si>
  <si>
    <t xml:space="preserve">Mīna 02°38′</t>
  </si>
  <si>
    <t xml:space="preserve">Tulā 15°11′</t>
  </si>
  <si>
    <t xml:space="preserve">Kanyā 23°47′</t>
  </si>
  <si>
    <t xml:space="preserve">Siṃha 16°54′</t>
  </si>
  <si>
    <t xml:space="preserve">Kanyā 08°34′</t>
  </si>
  <si>
    <t xml:space="preserve">Meṣa 02°28′ R</t>
  </si>
  <si>
    <t xml:space="preserve">Makara 16°38′</t>
  </si>
  <si>
    <t xml:space="preserve">Karkaṭa 16°38′</t>
  </si>
  <si>
    <t xml:space="preserve">Vṛṣabha 15°42′ R</t>
  </si>
  <si>
    <t xml:space="preserve">Mīna 11°20′ R</t>
  </si>
  <si>
    <t xml:space="preserve">Makara 10°44′ R</t>
  </si>
  <si>
    <t xml:space="preserve">Siṃha 29°56′</t>
  </si>
  <si>
    <t xml:space="preserve">Mīna 15°03′</t>
  </si>
  <si>
    <t xml:space="preserve">Tulā 15°51′</t>
  </si>
  <si>
    <t xml:space="preserve">Kanyā 25°02′</t>
  </si>
  <si>
    <t xml:space="preserve">Siṃha 17°07′</t>
  </si>
  <si>
    <t xml:space="preserve">Kanyā 09°49′</t>
  </si>
  <si>
    <t xml:space="preserve">Meṣa 02°24′ R</t>
  </si>
  <si>
    <t xml:space="preserve">Makara 16°31′</t>
  </si>
  <si>
    <t xml:space="preserve">Karkaṭa 16°31′</t>
  </si>
  <si>
    <t xml:space="preserve">Mīna 11°18′ R</t>
  </si>
  <si>
    <t xml:space="preserve">Makara 10°43′ R</t>
  </si>
  <si>
    <t xml:space="preserve">Kanyā 00°54′</t>
  </si>
  <si>
    <t xml:space="preserve">Mīna 27°39′</t>
  </si>
  <si>
    <t xml:space="preserve">Tulā 16°32′</t>
  </si>
  <si>
    <t xml:space="preserve">Siṃha 17°20′</t>
  </si>
  <si>
    <t xml:space="preserve">Kanyā 11°03′</t>
  </si>
  <si>
    <t xml:space="preserve">Meṣa 02°21′ R</t>
  </si>
  <si>
    <t xml:space="preserve">Karkaṭa 16°23′</t>
  </si>
  <si>
    <t xml:space="preserve">Mīna 11°17′ R</t>
  </si>
  <si>
    <t xml:space="preserve">Makara 10°42′ R</t>
  </si>
  <si>
    <t xml:space="preserve">Kanyā 01°53′</t>
  </si>
  <si>
    <t xml:space="preserve">Meṣa 10°28′</t>
  </si>
  <si>
    <t xml:space="preserve">Tulā 17°12′</t>
  </si>
  <si>
    <t xml:space="preserve">Kanyā 27°26′</t>
  </si>
  <si>
    <t xml:space="preserve">Siṃha 17°33′</t>
  </si>
  <si>
    <t xml:space="preserve">Kanyā 12°18′</t>
  </si>
  <si>
    <t xml:space="preserve">Meṣa 02°17′ R</t>
  </si>
  <si>
    <t xml:space="preserve">Makara 16°15′</t>
  </si>
  <si>
    <t xml:space="preserve">Karkaṭa 16°15′</t>
  </si>
  <si>
    <t xml:space="preserve">Mīna 11°15′ R</t>
  </si>
  <si>
    <t xml:space="preserve">Makara 10°41′ R</t>
  </si>
  <si>
    <t xml:space="preserve">Kanyā 02°51′</t>
  </si>
  <si>
    <t xml:space="preserve">Meṣa 23°30′</t>
  </si>
  <si>
    <t xml:space="preserve">Tulā 17°53′</t>
  </si>
  <si>
    <t xml:space="preserve">Kanyā 28°36′</t>
  </si>
  <si>
    <t xml:space="preserve">Siṃha 17°46′</t>
  </si>
  <si>
    <t xml:space="preserve">Kanyā 13°32′</t>
  </si>
  <si>
    <t xml:space="preserve">Meṣa 02°13′ R</t>
  </si>
  <si>
    <t xml:space="preserve">Makara 16°08′</t>
  </si>
  <si>
    <t xml:space="preserve">Karkaṭa 16°08′</t>
  </si>
  <si>
    <t xml:space="preserve">Mīna 11°13′ R</t>
  </si>
  <si>
    <t xml:space="preserve">Kanyā 03°50′</t>
  </si>
  <si>
    <t xml:space="preserve">Vṛṣabha 06°44′</t>
  </si>
  <si>
    <t xml:space="preserve">Tulā 18°34′</t>
  </si>
  <si>
    <t xml:space="preserve">Kanyā 29°44′</t>
  </si>
  <si>
    <t xml:space="preserve">Siṃha 17°58′</t>
  </si>
  <si>
    <t xml:space="preserve">Kanyā 14°47′</t>
  </si>
  <si>
    <t xml:space="preserve">Meṣa 02°09′ R</t>
  </si>
  <si>
    <t xml:space="preserve">Makara 16°03′</t>
  </si>
  <si>
    <t xml:space="preserve">Karkaṭa 16°03′</t>
  </si>
  <si>
    <t xml:space="preserve">Mīna 11°12′ R</t>
  </si>
  <si>
    <t xml:space="preserve">Makara 10°40′ R</t>
  </si>
  <si>
    <t xml:space="preserve">Kanyā 04°49′</t>
  </si>
  <si>
    <t xml:space="preserve">Tulā 19°15′</t>
  </si>
  <si>
    <t xml:space="preserve">Siṃha 18°11′</t>
  </si>
  <si>
    <t xml:space="preserve">Kanyā 16°01′</t>
  </si>
  <si>
    <t xml:space="preserve">Meṣa 02°06′ R</t>
  </si>
  <si>
    <t xml:space="preserve">Makara 15°00′</t>
  </si>
  <si>
    <t xml:space="preserve">Karkaṭa 15°00′</t>
  </si>
  <si>
    <t xml:space="preserve">Vṛṣabha 15°41′ R</t>
  </si>
  <si>
    <t xml:space="preserve">Mīna 11°10′ R</t>
  </si>
  <si>
    <t xml:space="preserve">Makara 10°39′ R</t>
  </si>
  <si>
    <t xml:space="preserve">Mithuna 03°56′</t>
  </si>
  <si>
    <t xml:space="preserve">Siṃha 18°24′</t>
  </si>
  <si>
    <t xml:space="preserve">Kanyā 17°16′</t>
  </si>
  <si>
    <t xml:space="preserve">Meṣa 02°02′ R</t>
  </si>
  <si>
    <t xml:space="preserve">Makara 15°59′</t>
  </si>
  <si>
    <t xml:space="preserve">Karkaṭa 15°59′</t>
  </si>
  <si>
    <t xml:space="preserve">Mīna 11°08′ R</t>
  </si>
  <si>
    <t xml:space="preserve">Makara 10°38′ R</t>
  </si>
  <si>
    <t xml:space="preserve">Kanyā 06°46′</t>
  </si>
  <si>
    <t xml:space="preserve">Mithuna 17°53′</t>
  </si>
  <si>
    <t xml:space="preserve">Tulā 20°37′</t>
  </si>
  <si>
    <t xml:space="preserve">Tulā 02°53′</t>
  </si>
  <si>
    <t xml:space="preserve">Siṃha 18°37′</t>
  </si>
  <si>
    <t xml:space="preserve">Kanyā 18°30′</t>
  </si>
  <si>
    <t xml:space="preserve">Meṣa 01°58′ R</t>
  </si>
  <si>
    <t xml:space="preserve">Vṛṣabha 15°40′ R</t>
  </si>
  <si>
    <t xml:space="preserve">Mīna 11°07′ R</t>
  </si>
  <si>
    <t xml:space="preserve">Kanyā 07°45′</t>
  </si>
  <si>
    <t xml:space="preserve">Karkaṭa 02°05′</t>
  </si>
  <si>
    <t xml:space="preserve">Tulā 21°18′</t>
  </si>
  <si>
    <t xml:space="preserve">Tulā 03°52′</t>
  </si>
  <si>
    <t xml:space="preserve">Siṃha 18°49′</t>
  </si>
  <si>
    <t xml:space="preserve">Kanyā 19°45′</t>
  </si>
  <si>
    <t xml:space="preserve">Meṣa 01°53′ R</t>
  </si>
  <si>
    <t xml:space="preserve">Makara 16°00′</t>
  </si>
  <si>
    <t xml:space="preserve">Karkaṭa 16°00′</t>
  </si>
  <si>
    <t xml:space="preserve">Mīna 11°05′ R</t>
  </si>
  <si>
    <t xml:space="preserve">Makara 10°37′ R</t>
  </si>
  <si>
    <t xml:space="preserve">Kanyā 08°43′</t>
  </si>
  <si>
    <t xml:space="preserve">Tulā 21°59′</t>
  </si>
  <si>
    <t xml:space="preserve">Tulā 04°47′</t>
  </si>
  <si>
    <t xml:space="preserve">Siṃha 19°02′</t>
  </si>
  <si>
    <t xml:space="preserve">Kanyā 20°59′</t>
  </si>
  <si>
    <t xml:space="preserve">Meṣa 01°49′ R</t>
  </si>
  <si>
    <t xml:space="preserve">Makara 16°01′</t>
  </si>
  <si>
    <t xml:space="preserve">Karkaṭa 16°01′</t>
  </si>
  <si>
    <t xml:space="preserve">Vṛṣabha 15°39′ R</t>
  </si>
  <si>
    <t xml:space="preserve">Mīna 11°03′ R</t>
  </si>
  <si>
    <t xml:space="preserve">Kanyā 09°42′</t>
  </si>
  <si>
    <t xml:space="preserve">Siṃha 01°06′</t>
  </si>
  <si>
    <t xml:space="preserve">Tulā 22°40′</t>
  </si>
  <si>
    <t xml:space="preserve">Tulā 05°40′</t>
  </si>
  <si>
    <t xml:space="preserve">Siṃha 19°15′</t>
  </si>
  <si>
    <t xml:space="preserve">Kanyā 22°14′</t>
  </si>
  <si>
    <t xml:space="preserve">Meṣa 01°45′ R</t>
  </si>
  <si>
    <t xml:space="preserve">Mīna 11°02′ R</t>
  </si>
  <si>
    <t xml:space="preserve">Makara 10°36′ R</t>
  </si>
  <si>
    <t xml:space="preserve">Kanyā 10°41′</t>
  </si>
  <si>
    <t xml:space="preserve">Siṃha 15°48′</t>
  </si>
  <si>
    <t xml:space="preserve">Tulā 23°21′</t>
  </si>
  <si>
    <t xml:space="preserve">Tulā 06°30′</t>
  </si>
  <si>
    <t xml:space="preserve">Siṃha 19°27′</t>
  </si>
  <si>
    <t xml:space="preserve">Kanyā 23°28′</t>
  </si>
  <si>
    <t xml:space="preserve">Meṣa 01°41′ R</t>
  </si>
  <si>
    <t xml:space="preserve">Makara 15°57′</t>
  </si>
  <si>
    <t xml:space="preserve">Karkaṭa 15°57′</t>
  </si>
  <si>
    <t xml:space="preserve">Vṛṣabha 15°38′ R</t>
  </si>
  <si>
    <t xml:space="preserve">Mīna 10°00′ R</t>
  </si>
  <si>
    <t xml:space="preserve">Makara 10°35′ R</t>
  </si>
  <si>
    <t xml:space="preserve">Kanyā 11°40′</t>
  </si>
  <si>
    <t xml:space="preserve">Kanyā 00°30′</t>
  </si>
  <si>
    <t xml:space="preserve">Tulā 24°03′</t>
  </si>
  <si>
    <t xml:space="preserve">Tulā 07°16′</t>
  </si>
  <si>
    <t xml:space="preserve">Siṃha 19°40′</t>
  </si>
  <si>
    <t xml:space="preserve">Kanyā 24°43′</t>
  </si>
  <si>
    <t xml:space="preserve">Meṣa 01°37′ R</t>
  </si>
  <si>
    <t xml:space="preserve">Makara 15°51′</t>
  </si>
  <si>
    <t xml:space="preserve">Karkaṭa 15°51′</t>
  </si>
  <si>
    <t xml:space="preserve">Mīna 10°58′ R</t>
  </si>
  <si>
    <t xml:space="preserve">Kanyā 12°39′</t>
  </si>
  <si>
    <t xml:space="preserve">Kanyā 15°03′</t>
  </si>
  <si>
    <t xml:space="preserve">Tulā 24°44′</t>
  </si>
  <si>
    <t xml:space="preserve">Tulā 07°58′</t>
  </si>
  <si>
    <t xml:space="preserve">Siṃha 19°52′</t>
  </si>
  <si>
    <t xml:space="preserve">Kanyā 25°58′</t>
  </si>
  <si>
    <t xml:space="preserve">Meṣa 01°32′ R</t>
  </si>
  <si>
    <t xml:space="preserve">Makara 15°44′</t>
  </si>
  <si>
    <t xml:space="preserve">Karkaṭa 15°44′</t>
  </si>
  <si>
    <t xml:space="preserve">Vṛṣabha 15°37′ R</t>
  </si>
  <si>
    <t xml:space="preserve">Mīna 10°57′ R</t>
  </si>
  <si>
    <t xml:space="preserve">Makara 10°34′ R</t>
  </si>
  <si>
    <t xml:space="preserve">Kanyā 13°38′</t>
  </si>
  <si>
    <t xml:space="preserve">Kanyā 29°22′</t>
  </si>
  <si>
    <t xml:space="preserve">Tulā 25°26′</t>
  </si>
  <si>
    <t xml:space="preserve">Tulā 08°37′</t>
  </si>
  <si>
    <t xml:space="preserve">Siṃha 20°05′</t>
  </si>
  <si>
    <t xml:space="preserve">Kanyā 27°12′</t>
  </si>
  <si>
    <t xml:space="preserve">Meṣa 01°28′ R</t>
  </si>
  <si>
    <t xml:space="preserve">Makara 15°34′</t>
  </si>
  <si>
    <t xml:space="preserve">Karkaṭa 15°34′</t>
  </si>
  <si>
    <t xml:space="preserve">Vṛṣabha 15°36′ R</t>
  </si>
  <si>
    <t xml:space="preserve">Mīna 10°55′ R</t>
  </si>
  <si>
    <t xml:space="preserve">Kanyā 14°37′</t>
  </si>
  <si>
    <t xml:space="preserve">Tulā 13°21′</t>
  </si>
  <si>
    <t xml:space="preserve">Tulā 26°08′</t>
  </si>
  <si>
    <t xml:space="preserve">Siṃha 20°17′</t>
  </si>
  <si>
    <t xml:space="preserve">Kanyā 28°27′</t>
  </si>
  <si>
    <t xml:space="preserve">Meṣa 01°23′ R</t>
  </si>
  <si>
    <t xml:space="preserve">Makara 15°24′</t>
  </si>
  <si>
    <t xml:space="preserve">Karkaṭa 15°24′</t>
  </si>
  <si>
    <t xml:space="preserve">Vṛṣabha 15°35′ R</t>
  </si>
  <si>
    <t xml:space="preserve">Mīna 10°53′ R</t>
  </si>
  <si>
    <t xml:space="preserve">Kanyā 15°36′</t>
  </si>
  <si>
    <t xml:space="preserve">Tulā 26°55′</t>
  </si>
  <si>
    <t xml:space="preserve">Tulā 26°49′</t>
  </si>
  <si>
    <t xml:space="preserve">Tulā 09°40′</t>
  </si>
  <si>
    <t xml:space="preserve">Siṃha 20°29′</t>
  </si>
  <si>
    <t xml:space="preserve">Kanyā 29°41′</t>
  </si>
  <si>
    <t xml:space="preserve">Meṣa 01°19′ R</t>
  </si>
  <si>
    <t xml:space="preserve">Makara 15°15′</t>
  </si>
  <si>
    <t xml:space="preserve">Karkaṭa 15°15′</t>
  </si>
  <si>
    <t xml:space="preserve">Vṛṣabha 15°34′ R</t>
  </si>
  <si>
    <t xml:space="preserve">Mīna 10°52′ R</t>
  </si>
  <si>
    <t xml:space="preserve">Makara 10°33′ R</t>
  </si>
  <si>
    <t xml:space="preserve">Kanyā 16°35′</t>
  </si>
  <si>
    <t xml:space="preserve">Vṛścika 10°03′</t>
  </si>
  <si>
    <t xml:space="preserve">Tulā 27°31′</t>
  </si>
  <si>
    <t xml:space="preserve">Tulā 10°04′</t>
  </si>
  <si>
    <t xml:space="preserve">Siṃha 20°42′</t>
  </si>
  <si>
    <t xml:space="preserve">Tulā 00°56′</t>
  </si>
  <si>
    <t xml:space="preserve">Meṣa 01°14′ R</t>
  </si>
  <si>
    <t xml:space="preserve">Makara 15°08′</t>
  </si>
  <si>
    <t xml:space="preserve">Karkaṭa 15°08′</t>
  </si>
  <si>
    <t xml:space="preserve">Vṛṣabha 15°33′ R</t>
  </si>
  <si>
    <t xml:space="preserve">Mīna 10°50′ R</t>
  </si>
  <si>
    <t xml:space="preserve">Kanyā 17°34′</t>
  </si>
  <si>
    <t xml:space="preserve">Vṛścika 22°48′</t>
  </si>
  <si>
    <t xml:space="preserve">Tulā 28°13′</t>
  </si>
  <si>
    <t xml:space="preserve">Tulā 10°22′</t>
  </si>
  <si>
    <t xml:space="preserve">Siṃha 20°54′</t>
  </si>
  <si>
    <t xml:space="preserve">Tulā 02°10′</t>
  </si>
  <si>
    <t xml:space="preserve">Meṣa 01°10′ R</t>
  </si>
  <si>
    <t xml:space="preserve">Makara 15°03′</t>
  </si>
  <si>
    <t xml:space="preserve">Karkaṭa 15°03′</t>
  </si>
  <si>
    <t xml:space="preserve">Vṛṣabha 15°32′ R</t>
  </si>
  <si>
    <t xml:space="preserve">Mīna 10°48′ R</t>
  </si>
  <si>
    <t xml:space="preserve">Makara 10°32′ R</t>
  </si>
  <si>
    <t xml:space="preserve">Dhanus 05°11′</t>
  </si>
  <si>
    <t xml:space="preserve">Tulā 28°55′</t>
  </si>
  <si>
    <t xml:space="preserve">Tulā 10°35′</t>
  </si>
  <si>
    <t xml:space="preserve">Siṃha 21°06′</t>
  </si>
  <si>
    <t xml:space="preserve">Tulā 03°25′</t>
  </si>
  <si>
    <t xml:space="preserve">Meṣa 01°05′ R</t>
  </si>
  <si>
    <t xml:space="preserve">Makara 14°59′</t>
  </si>
  <si>
    <t xml:space="preserve">Karkaṭa 14°59′</t>
  </si>
  <si>
    <t xml:space="preserve">Vṛṣabha 15°31′ R</t>
  </si>
  <si>
    <t xml:space="preserve">Mīna 10°47′ R</t>
  </si>
  <si>
    <t xml:space="preserve">Kanyā 19°33′</t>
  </si>
  <si>
    <t xml:space="preserve">Dhanus 17°18′</t>
  </si>
  <si>
    <t xml:space="preserve">Tulā 29°37′</t>
  </si>
  <si>
    <t xml:space="preserve">Tulā 10°40′</t>
  </si>
  <si>
    <t xml:space="preserve">Siṃha 21°19′</t>
  </si>
  <si>
    <t xml:space="preserve">Tulā 04°40′</t>
  </si>
  <si>
    <t xml:space="preserve">Meṣa 01°01′ R</t>
  </si>
  <si>
    <t xml:space="preserve">Makara 14°58′</t>
  </si>
  <si>
    <t xml:space="preserve">Karkaṭa 14°58′</t>
  </si>
  <si>
    <t xml:space="preserve">Vṛṣabha 15°30′ R</t>
  </si>
  <si>
    <t xml:space="preserve">Mīna 10°45′ R</t>
  </si>
  <si>
    <t xml:space="preserve">Kanyā 20°32′</t>
  </si>
  <si>
    <t xml:space="preserve">Dhanus 29°12′</t>
  </si>
  <si>
    <t xml:space="preserve">Vṛścika 00°19′</t>
  </si>
  <si>
    <t xml:space="preserve">Tulā 10°39′ R</t>
  </si>
  <si>
    <t xml:space="preserve">Siṃha 21°31′</t>
  </si>
  <si>
    <t xml:space="preserve">Tulā 05°54′</t>
  </si>
  <si>
    <t xml:space="preserve">Meṣa 00°56′ R</t>
  </si>
  <si>
    <t xml:space="preserve">Vṛṣabha 15°29′ R</t>
  </si>
  <si>
    <t xml:space="preserve">Mīna 10°43′ R</t>
  </si>
  <si>
    <t xml:space="preserve">Makara 10°31′ R</t>
  </si>
  <si>
    <t xml:space="preserve">Kanyā 21°31′</t>
  </si>
  <si>
    <t xml:space="preserve">Makara 11°01′</t>
  </si>
  <si>
    <t xml:space="preserve">Vṛścika 01°01′</t>
  </si>
  <si>
    <t xml:space="preserve">Tulā 10°30′ R</t>
  </si>
  <si>
    <t xml:space="preserve">Siṃha 21°43′</t>
  </si>
  <si>
    <t xml:space="preserve">Tulā 07°09′</t>
  </si>
  <si>
    <t xml:space="preserve">Meṣa 00°51′ R</t>
  </si>
  <si>
    <t xml:space="preserve">Vṛṣabha 15°28′ R</t>
  </si>
  <si>
    <t xml:space="preserve">Mīna 10°42′ R</t>
  </si>
  <si>
    <t xml:space="preserve">Vṛścika 01°44′</t>
  </si>
  <si>
    <t xml:space="preserve">Tulā 10°14′ R</t>
  </si>
  <si>
    <t xml:space="preserve">Siṃha 21°55′</t>
  </si>
  <si>
    <t xml:space="preserve">Tulā 08°23′</t>
  </si>
  <si>
    <t xml:space="preserve">Meṣa 00°47′ R</t>
  </si>
  <si>
    <t xml:space="preserve">Vṛṣabha 15°27′ R</t>
  </si>
  <si>
    <t xml:space="preserve">Mīna 10°40′ R</t>
  </si>
  <si>
    <t xml:space="preserve">Kanyā 23°29′</t>
  </si>
  <si>
    <t xml:space="preserve">Kumbha 04°41′</t>
  </si>
  <si>
    <t xml:space="preserve">Vṛścika 02°26′</t>
  </si>
  <si>
    <t xml:space="preserve">Tulā 09°49′ R</t>
  </si>
  <si>
    <t xml:space="preserve">Siṃha 22°07′</t>
  </si>
  <si>
    <t xml:space="preserve">Meṣa 00°42′ R</t>
  </si>
  <si>
    <t xml:space="preserve">Makara 14°57′</t>
  </si>
  <si>
    <t xml:space="preserve">Karkaṭa 14°57′</t>
  </si>
  <si>
    <t xml:space="preserve">Vṛṣabha 15°26′ R</t>
  </si>
  <si>
    <t xml:space="preserve">Mīna 10°38′ R</t>
  </si>
  <si>
    <t xml:space="preserve">Kanyā 24°29′</t>
  </si>
  <si>
    <t xml:space="preserve">Kumbha 16°41′</t>
  </si>
  <si>
    <t xml:space="preserve">Vṛścika 03°08′</t>
  </si>
  <si>
    <t xml:space="preserve">Tulā 09°16′ R</t>
  </si>
  <si>
    <t xml:space="preserve">Siṃha 22°19′</t>
  </si>
  <si>
    <t xml:space="preserve">Tulā 10°52′</t>
  </si>
  <si>
    <t xml:space="preserve">Meṣa 00°37′ R</t>
  </si>
  <si>
    <t xml:space="preserve">Karkaṭa 14°53′</t>
  </si>
  <si>
    <t xml:space="preserve">Vṛṣabha 15°24′ R</t>
  </si>
  <si>
    <t xml:space="preserve">Mīna 10°37′ R</t>
  </si>
  <si>
    <t xml:space="preserve">Makara 10°30′ R</t>
  </si>
  <si>
    <t xml:space="preserve">Kanyā 25°28′</t>
  </si>
  <si>
    <t xml:space="preserve">Kumbha 28°54′</t>
  </si>
  <si>
    <t xml:space="preserve">Vṛścika 03°51′</t>
  </si>
  <si>
    <t xml:space="preserve">Tulā 08°35′ R</t>
  </si>
  <si>
    <t xml:space="preserve">Siṃha 22°31′</t>
  </si>
  <si>
    <t xml:space="preserve">Tulā 12°07′</t>
  </si>
  <si>
    <t xml:space="preserve">Meṣa 00°32′ R</t>
  </si>
  <si>
    <t xml:space="preserve">Makara 14°46′</t>
  </si>
  <si>
    <t xml:space="preserve">Karkaṭa 14°46′</t>
  </si>
  <si>
    <t xml:space="preserve">Vṛṣabha 15°23′ R</t>
  </si>
  <si>
    <t xml:space="preserve">Mīna 10°35′ R</t>
  </si>
  <si>
    <t xml:space="preserve">Kanyā 26°28′</t>
  </si>
  <si>
    <t xml:space="preserve">Mīna 11°20′</t>
  </si>
  <si>
    <t xml:space="preserve">Vṛścika 04°33′</t>
  </si>
  <si>
    <t xml:space="preserve">Tulā 07°46′ R</t>
  </si>
  <si>
    <t xml:space="preserve">Siṃha 22°43′</t>
  </si>
  <si>
    <t xml:space="preserve">Meṣa 00°28′ R</t>
  </si>
  <si>
    <t xml:space="preserve">Makara 14°36′</t>
  </si>
  <si>
    <t xml:space="preserve">Karkaṭa 14°36′</t>
  </si>
  <si>
    <t xml:space="preserve">Vṛṣabha 15°22′ R</t>
  </si>
  <si>
    <t xml:space="preserve">Mīna 10°34′ R</t>
  </si>
  <si>
    <t xml:space="preserve">Kanyā 27°27′</t>
  </si>
  <si>
    <t xml:space="preserve">Mīna 24°02′</t>
  </si>
  <si>
    <t xml:space="preserve">Vṛścika 05°16′</t>
  </si>
  <si>
    <t xml:space="preserve">Tulā 06°50′ R</t>
  </si>
  <si>
    <t xml:space="preserve">Siṃha 22°55′</t>
  </si>
  <si>
    <t xml:space="preserve">Tulā 14°36′</t>
  </si>
  <si>
    <t xml:space="preserve">Meṣa 00°23′ R</t>
  </si>
  <si>
    <t xml:space="preserve">Makara 14°25′</t>
  </si>
  <si>
    <t xml:space="preserve">Karkaṭa 14°25′</t>
  </si>
  <si>
    <t xml:space="preserve">Vṛṣabha 15°20′ R</t>
  </si>
  <si>
    <t xml:space="preserve">Mīna 10°32′ R</t>
  </si>
  <si>
    <t xml:space="preserve">Kanyā 28°26′</t>
  </si>
  <si>
    <t xml:space="preserve">Meṣa 06°59′</t>
  </si>
  <si>
    <t xml:space="preserve">Vṛścika 05°59′</t>
  </si>
  <si>
    <t xml:space="preserve">Tulā 05°47′ R</t>
  </si>
  <si>
    <t xml:space="preserve">Siṃha 23°06′</t>
  </si>
  <si>
    <t xml:space="preserve">Tulā 15°50′</t>
  </si>
  <si>
    <t xml:space="preserve">Meṣa 00°18′ R</t>
  </si>
  <si>
    <t xml:space="preserve">Makara 14°12′</t>
  </si>
  <si>
    <t xml:space="preserve">Karkaṭa 14°12′</t>
  </si>
  <si>
    <t xml:space="preserve">Vṛṣabha 15°19′ R</t>
  </si>
  <si>
    <t xml:space="preserve">Mīna 10°31′ R</t>
  </si>
  <si>
    <t xml:space="preserve">Meṣa 20°10′</t>
  </si>
  <si>
    <t xml:space="preserve">Vṛścika 06°41′</t>
  </si>
  <si>
    <t xml:space="preserve">Tulā 04°39′ R</t>
  </si>
  <si>
    <t xml:space="preserve">Siṃha 23°18′</t>
  </si>
  <si>
    <t xml:space="preserve">Tulā 17°05′</t>
  </si>
  <si>
    <t xml:space="preserve">Meṣa 00°13′ R</t>
  </si>
  <si>
    <t xml:space="preserve">Makara 13°00′</t>
  </si>
  <si>
    <t xml:space="preserve">Karkaṭa 13°00′</t>
  </si>
  <si>
    <t xml:space="preserve">Vṛṣabha 15°17′ R</t>
  </si>
  <si>
    <t xml:space="preserve">Mīna 10°29′ R</t>
  </si>
  <si>
    <t xml:space="preserve">Tulā 00°25′</t>
  </si>
  <si>
    <t xml:space="preserve">Vṛṣabha 03°34′</t>
  </si>
  <si>
    <t xml:space="preserve">Vṛścika 07°24′</t>
  </si>
  <si>
    <t xml:space="preserve">Siṃha 23°30′</t>
  </si>
  <si>
    <t xml:space="preserve">Tulā 18°19′</t>
  </si>
  <si>
    <t xml:space="preserve">Meṣa 00°09′ R</t>
  </si>
  <si>
    <t xml:space="preserve">Makara 13°49′</t>
  </si>
  <si>
    <t xml:space="preserve">Karkaṭa 13°49′</t>
  </si>
  <si>
    <t xml:space="preserve">Vṛṣabha 15°16′ R</t>
  </si>
  <si>
    <t xml:space="preserve">Mīna 10°27′ R</t>
  </si>
  <si>
    <t xml:space="preserve">Makara 10°30′</t>
  </si>
  <si>
    <t xml:space="preserve">Vṛṣabha 17°08′</t>
  </si>
  <si>
    <t xml:space="preserve">Vṛścika 08°07′</t>
  </si>
  <si>
    <t xml:space="preserve">Tulā 02°13′ R</t>
  </si>
  <si>
    <t xml:space="preserve">Tulā 19°34′</t>
  </si>
  <si>
    <t xml:space="preserve">Meṣa 00°04′ R</t>
  </si>
  <si>
    <t xml:space="preserve">Makara 13°40′</t>
  </si>
  <si>
    <t xml:space="preserve">Karkaṭa 13°40′</t>
  </si>
  <si>
    <t xml:space="preserve">Vṛṣabha 15°14′ R</t>
  </si>
  <si>
    <t xml:space="preserve">Mīna 10°26′ R</t>
  </si>
  <si>
    <t xml:space="preserve">Tulā 02°24′</t>
  </si>
  <si>
    <t xml:space="preserve">Mithuna 00°50′</t>
  </si>
  <si>
    <t xml:space="preserve">Vṛścika 08°50′</t>
  </si>
  <si>
    <t xml:space="preserve">Tulā 00°59′ R</t>
  </si>
  <si>
    <t xml:space="preserve">Siṃha 23°53′</t>
  </si>
  <si>
    <t xml:space="preserve">Tulā 20°49′</t>
  </si>
  <si>
    <t xml:space="preserve">Mīna 29°59′ R</t>
  </si>
  <si>
    <t xml:space="preserve">Makara 13°34′</t>
  </si>
  <si>
    <t xml:space="preserve">Karkaṭa 13°34′</t>
  </si>
  <si>
    <t xml:space="preserve">Vṛṣabha 15°12′ R</t>
  </si>
  <si>
    <t xml:space="preserve">Mīna 10°24′ R</t>
  </si>
  <si>
    <t xml:space="preserve">Tulā 03°24′</t>
  </si>
  <si>
    <t xml:space="preserve">Mithuna 14°41′</t>
  </si>
  <si>
    <t xml:space="preserve">Vṛścika 09°33′</t>
  </si>
  <si>
    <t xml:space="preserve">Kanyā 29°48′ R</t>
  </si>
  <si>
    <t xml:space="preserve">Tulā 22°03′</t>
  </si>
  <si>
    <t xml:space="preserve">Mīna 29°54′ R</t>
  </si>
  <si>
    <t xml:space="preserve">Makara 13°31′</t>
  </si>
  <si>
    <t xml:space="preserve">Karkaṭa 13°31′</t>
  </si>
  <si>
    <t xml:space="preserve">Vṛṣabha 15°11′ R</t>
  </si>
  <si>
    <t xml:space="preserve">Mīna 10°23′ R</t>
  </si>
  <si>
    <t xml:space="preserve">Tulā 04°24′</t>
  </si>
  <si>
    <t xml:space="preserve">Mithuna 28°38′</t>
  </si>
  <si>
    <t xml:space="preserve">Vṛścika 10°16′</t>
  </si>
  <si>
    <t xml:space="preserve">Siṃha 24°15′</t>
  </si>
  <si>
    <t xml:space="preserve">Tulā 23°18′</t>
  </si>
  <si>
    <t xml:space="preserve">Mīna 29°49′ R</t>
  </si>
  <si>
    <t xml:space="preserve">Makara 13°30′</t>
  </si>
  <si>
    <t xml:space="preserve">Karkaṭa 13°30′</t>
  </si>
  <si>
    <t xml:space="preserve">Vṛṣabha 15°09′ R</t>
  </si>
  <si>
    <t xml:space="preserve">Mīna 10°21′ R</t>
  </si>
  <si>
    <t xml:space="preserve">Tulā 05°23′</t>
  </si>
  <si>
    <t xml:space="preserve">Karkaṭa 12°42′</t>
  </si>
  <si>
    <t xml:space="preserve">Vṛścika 10°00′</t>
  </si>
  <si>
    <t xml:space="preserve">Kanyā 27°41′ R</t>
  </si>
  <si>
    <t xml:space="preserve">Siṃha 24°27′</t>
  </si>
  <si>
    <t xml:space="preserve">Tulā 24°32′</t>
  </si>
  <si>
    <t xml:space="preserve">Mīna 29°45′ R</t>
  </si>
  <si>
    <t xml:space="preserve">Vṛṣabha 15°07′ R</t>
  </si>
  <si>
    <t xml:space="preserve">Mīna 10°20′ R</t>
  </si>
  <si>
    <t xml:space="preserve">Tulā 06°23′</t>
  </si>
  <si>
    <t xml:space="preserve">Karkaṭa 26°51′</t>
  </si>
  <si>
    <t xml:space="preserve">Vṛścika 11°43′</t>
  </si>
  <si>
    <t xml:space="preserve">Kanyā 26°48′ R</t>
  </si>
  <si>
    <t xml:space="preserve">Siṃha 24°38′</t>
  </si>
  <si>
    <t xml:space="preserve">Tulā 25°47′</t>
  </si>
  <si>
    <t xml:space="preserve">Mīna 29°40′ R</t>
  </si>
  <si>
    <t xml:space="preserve">Vṛṣabha 15°06′ R</t>
  </si>
  <si>
    <t xml:space="preserve">Mīna 10°18′ R</t>
  </si>
  <si>
    <t xml:space="preserve">Tulā 07°23′</t>
  </si>
  <si>
    <t xml:space="preserve">Siṃha 11°05′</t>
  </si>
  <si>
    <t xml:space="preserve">Vṛścika 12°26′</t>
  </si>
  <si>
    <t xml:space="preserve">Kanyā 26°06′ R</t>
  </si>
  <si>
    <t xml:space="preserve">Siṃha 24°49′</t>
  </si>
  <si>
    <t xml:space="preserve">Tulā 27°01′</t>
  </si>
  <si>
    <t xml:space="preserve">Mīna 29°35′ R</t>
  </si>
  <si>
    <t xml:space="preserve">Makara 13°27′</t>
  </si>
  <si>
    <t xml:space="preserve">Karkaṭa 13°27′</t>
  </si>
  <si>
    <t xml:space="preserve">Vṛṣabha 15°04′ R</t>
  </si>
  <si>
    <t xml:space="preserve">Mīna 10°17′ R</t>
  </si>
  <si>
    <t xml:space="preserve">Siṃha 25°22′</t>
  </si>
  <si>
    <t xml:space="preserve">Vṛścika 13°10′</t>
  </si>
  <si>
    <t xml:space="preserve">Kanyā 25°34′ R</t>
  </si>
  <si>
    <t xml:space="preserve">Siṃha 25°00′</t>
  </si>
  <si>
    <t xml:space="preserve">Tulā 28°16′</t>
  </si>
  <si>
    <t xml:space="preserve">Mīna 29°31′ R</t>
  </si>
  <si>
    <t xml:space="preserve">Makara 13°23′</t>
  </si>
  <si>
    <t xml:space="preserve">Karkaṭa 13°23′</t>
  </si>
  <si>
    <t xml:space="preserve">Vṛṣabha 15°02′ R</t>
  </si>
  <si>
    <t xml:space="preserve">Mīna 10°16′ R</t>
  </si>
  <si>
    <t xml:space="preserve">Ch.6 — sector rules: 30 sectors × 3 horizons × buy/sell (180 statements)</t>
  </si>
  <si>
    <t xml:space="preserve">Sector</t>
  </si>
  <si>
    <t xml:space="preserve">Side</t>
  </si>
  <si>
    <t xml:space="preserve">Kāraka grahas</t>
  </si>
  <si>
    <t xml:space="preserve">Trigger graha</t>
  </si>
  <si>
    <t xml:space="preserve">Trigger rāśis</t>
  </si>
  <si>
    <t xml:space="preserve">Trigger nakṣatras</t>
  </si>
  <si>
    <t xml:space="preserve">Condition</t>
  </si>
  <si>
    <t xml:space="preserve">Outcome</t>
  </si>
  <si>
    <t xml:space="preserve">Page</t>
  </si>
  <si>
    <t xml:space="preserve">Editor note</t>
  </si>
  <si>
    <t xml:space="preserve">buy</t>
  </si>
  <si>
    <t xml:space="preserve">Budha, Śukra, Śani</t>
  </si>
  <si>
    <t xml:space="preserve">Vṛṣabha, Mithuna, Kanyā, Tulā, Makara, Kumbha</t>
  </si>
  <si>
    <t xml:space="preserve">Bharaṇī, Puṣya, Aśleṣā, Pūrva Phālgunī, Anurādhā, Jyeṣṭha, Pūrva Aṣāḍha, Uttara Bhādra, Revatī</t>
  </si>
  <si>
    <t xml:space="preserve">kārakas aspected by benefic grahas while trigger graha in listed rāśi/nakṣatra</t>
  </si>
  <si>
    <t xml:space="preserve">BUYING emerges</t>
  </si>
  <si>
    <t xml:space="preserve">sell</t>
  </si>
  <si>
    <t xml:space="preserve">kārakas aspected by malefic grahas while trigger graha in listed rāśi/nakṣatra</t>
  </si>
  <si>
    <t xml:space="preserve">SELLING emerges</t>
  </si>
  <si>
    <t xml:space="preserve">long</t>
  </si>
  <si>
    <t xml:space="preserve">Maṅgala, Ketu</t>
  </si>
  <si>
    <t xml:space="preserve">Meṣa, Vṛścika</t>
  </si>
  <si>
    <t xml:space="preserve">Aśvinī, Mṛgaśīrṣā, Maghā, Citrā, Mūla, Dhaniṣṭhā</t>
  </si>
  <si>
    <t xml:space="preserve">Budha, Uranus</t>
  </si>
  <si>
    <t xml:space="preserve">Mithuna, Kanyā, Kumbha</t>
  </si>
  <si>
    <t xml:space="preserve">Aśleṣā, Jyeṣṭha, Revatī</t>
  </si>
  <si>
    <t xml:space="preserve">Budha, Guru, Śukra</t>
  </si>
  <si>
    <t xml:space="preserve">Vṛṣabha, Mithuna, Kanyā, Tulā, Dhanus, Mīna</t>
  </si>
  <si>
    <t xml:space="preserve">Bharaṇī, Punarvasu, Aśleṣā, Pūrva Phālgunī, Viśākhā, Jyeṣṭha, Pūrva Aṣāḍha, Pūrva Bhādra, Revatī</t>
  </si>
  <si>
    <t xml:space="preserve">Mṛgaśīrṣā, Citrā, Dhaniṣṭhā</t>
  </si>
  <si>
    <t xml:space="preserve">Maṅgala, Śani, Rāhu</t>
  </si>
  <si>
    <t xml:space="preserve">Meṣa, Vṛṣabha, Vṛścika, Makara, Kumbha</t>
  </si>
  <si>
    <t xml:space="preserve">Mṛgaśīrṣā, Ārdrā, Puṣya, Citrā, Svāti, Anurādhā, Dhaniṣṭhā, Śatabhiṣak, Uttara Bhādra</t>
  </si>
  <si>
    <t xml:space="preserve">Candra, Maṅgala, Śani, Ketu, Uranus, Neptune</t>
  </si>
  <si>
    <t xml:space="preserve">Meṣa, Karkaṭa, Vṛścika, Makara, Kumbha, Mīna</t>
  </si>
  <si>
    <t xml:space="preserve">Aśvinī, Rohiṇī, Mṛgaśīrṣā, Puṣya, Maghā, Hasta, Citrā, Anurādhā, Mūla, Śravaṇa, Dhaniṣṭhā, Uttara Bhādra</t>
  </si>
  <si>
    <t xml:space="preserve">Meṣa, Vṛṣabha, Karkaṭa, Vṛścika, Makara, Kumbha</t>
  </si>
  <si>
    <t xml:space="preserve">Rohiṇī, Mṛgaśīrṣā, Ārdrā, Puṣya, Hasta, Citrā, Svāti, Anurādhā, Śravaṇa, Dhaniṣṭhā, Śatabhiṣak, Uttara Bhādra</t>
  </si>
  <si>
    <t xml:space="preserve">Candra, Maṅgala, Śani, Rāhu, Uranus, Pluto</t>
  </si>
  <si>
    <t xml:space="preserve">[Ketu?] [Mīna?]</t>
  </si>
  <si>
    <t xml:space="preserve">[Mīna?]</t>
  </si>
  <si>
    <t xml:space="preserve">Candra, Guru</t>
  </si>
  <si>
    <t xml:space="preserve">Karkaṭa, Dhanus, Mīna</t>
  </si>
  <si>
    <t xml:space="preserve">Rohiṇī, Punarvasu, Hasta, Viśākhā, Śravaṇa, Pūrva Bhādra</t>
  </si>
  <si>
    <t xml:space="preserve">Guru, Neptune</t>
  </si>
  <si>
    <t xml:space="preserve">Mithuna, Kanyā</t>
  </si>
  <si>
    <t xml:space="preserve">Vṛṣabha, Tulā</t>
  </si>
  <si>
    <t xml:space="preserve">Bharaṇī, Pūrva Phālgunī, Pūrva Aṣāḍha</t>
  </si>
  <si>
    <t xml:space="preserve">Dhanus, Mīna</t>
  </si>
  <si>
    <t xml:space="preserve">Punarvasu, Viśākhā, Pūrva Bhādra</t>
  </si>
  <si>
    <t xml:space="preserve">Guru, Śukra</t>
  </si>
  <si>
    <t xml:space="preserve">Vṛṣabha, Tulā, Dhanus, Mīna</t>
  </si>
  <si>
    <t xml:space="preserve">Bharaṇī, Punarvasu, Pūrva Phālgunī, Viśākhā, Pūrva Aṣāḍha, Pūrva Bhādra</t>
  </si>
  <si>
    <t xml:space="preserve">Maṅgala, Ketu, Neptune, Pluto</t>
  </si>
  <si>
    <t xml:space="preserve">Meṣa, Vṛścika, Mīna</t>
  </si>
  <si>
    <t xml:space="preserve">Maṅgala, Śani, Rāhu, Ketu</t>
  </si>
  <si>
    <t xml:space="preserve">Aśvinī, Mṛgaśīrṣā, Ārdrā, Puṣya, Maghā, Citrā, Svāti, Anurādhā, Mūla, Dhaniṣṭhā, Śatabhiṣak, Uttara Bhādra</t>
  </si>
  <si>
    <t xml:space="preserve">Budha, Ketu</t>
  </si>
  <si>
    <t xml:space="preserve">Mithuna, Kanyā, Vṛścika</t>
  </si>
  <si>
    <t xml:space="preserve">Aśvinī, Aśleṣā, Maghā, Jyeṣṭha, Mūla, Revatī</t>
  </si>
  <si>
    <t xml:space="preserve">Śani, Ketu</t>
  </si>
  <si>
    <t xml:space="preserve">Vṛścika, Makara, Kumbha</t>
  </si>
  <si>
    <t xml:space="preserve">Aśvinī, Puṣya, Maghā, Anurādhā, Mūla, Uttara Bhādra</t>
  </si>
  <si>
    <t xml:space="preserve">Sūrya, Budha, Śukra, Rāhu</t>
  </si>
  <si>
    <t xml:space="preserve">Vṛṣabha, Mithuna, Siṃha, Kanyā, Tulā</t>
  </si>
  <si>
    <t xml:space="preserve">Bharaṇī, Kṛttikā, Ārdrā, Aśleṣā, Pūrva Phālgunī, Uttara Phālgunī, Svāti, Jyeṣṭha, Pūrva Aṣāḍha, Uttara Aṣāḍha, Śatabhiṣak, Revatī</t>
  </si>
  <si>
    <t xml:space="preserve">Sūrya, Rāhu, Ketu, Uranus, Pluto</t>
  </si>
  <si>
    <t xml:space="preserve">Vṛṣabha, Siṃha, Vṛścika, Kumbha</t>
  </si>
  <si>
    <t xml:space="preserve">Kṛttikā, Mṛgaśīrṣā, Ārdrā, Maghā, Uttara Phālgunī, Svāti, Mūla, Uttara Aṣāḍha, Śatabhiṣak</t>
  </si>
  <si>
    <t xml:space="preserve">Candra, Guru, Neptune</t>
  </si>
  <si>
    <t xml:space="preserve">Budha, Rāhu, Uranus</t>
  </si>
  <si>
    <t xml:space="preserve">Vṛṣabha, Mithuna, Kanyā, Kumbha</t>
  </si>
  <si>
    <t xml:space="preserve">Ārdrā, Aśleṣā, Svāti, Jyeṣṭha, Śatabhiṣak, Revatī</t>
  </si>
  <si>
    <t xml:space="preserve">Budha, Śukra</t>
  </si>
  <si>
    <t xml:space="preserve">Vṛṣabha, Mithuna, Kanyā, Tulā</t>
  </si>
  <si>
    <t xml:space="preserve">Bharaṇī, Aśleṣā, Pūrva Phālgunī, Jyeṣṭha, Pūrva Aṣāḍha, Revatī</t>
  </si>
  <si>
    <t xml:space="preserve">Ch.7 — transit of 12 grahas × 12 rāśis with aspect conditions (all combinations)</t>
  </si>
  <si>
    <t xml:space="preserve">Graha</t>
  </si>
  <si>
    <t xml:space="preserve">Rāśi</t>
  </si>
  <si>
    <t xml:space="preserve">Condition A: aspected by</t>
  </si>
  <si>
    <t xml:space="preserve">Outcome A (−1…+1)</t>
  </si>
  <si>
    <t xml:space="preserve">Condition B: aspected by</t>
  </si>
  <si>
    <t xml:space="preserve">Outcome B</t>
  </si>
  <si>
    <t xml:space="preserve">If no qualifying aspect</t>
  </si>
  <si>
    <t xml:space="preserve">Sectors / commodities affected</t>
  </si>
  <si>
    <t xml:space="preserve">Fix</t>
  </si>
  <si>
    <t xml:space="preserve">Book text</t>
  </si>
  <si>
    <t xml:space="preserve">Candra, Maṅgala, Guru</t>
  </si>
  <si>
    <t xml:space="preserve">Budha, Śukra, Rāhu</t>
  </si>
  <si>
    <t xml:space="preserve">Rule 1: dignity × 0.3</t>
  </si>
  <si>
    <t xml:space="preserve">Automobile, Telecommunication, Pharmaceutical, Infrastructure, Capital goods, Health care, Cement, Gov. public sector units (PSU), Metal, Iron &amp; steel, Crude oil &amp; gas, Crude oil, Copper</t>
  </si>
  <si>
    <t xml:space="preserve">Budha, Śani, Rāhu</t>
  </si>
  <si>
    <t xml:space="preserve">Banking &amp; financial, FMCG, Media &amp; entertainment, Hospitality, Health care, Sugar, Sugar (commodity), Agriculture &amp; agro industries, Essential oils &amp; perfumeries, Gems &amp; jewelry, Textile, Silver, Copper, Paints, Travel &amp; tourism</t>
  </si>
  <si>
    <t xml:space="preserve">Telecommunication, Media &amp; entertainment, Exports, Banking &amp; financial, Aviation, FMCG, Publication, IT, Textile, Essential oils &amp; perfumeries, Agriculture &amp; agro industries, Wheat / food grains, Cotton</t>
  </si>
  <si>
    <t xml:space="preserve">Budha, Śukra, Śani, Rāhu</t>
  </si>
  <si>
    <t xml:space="preserve">Crude oil &amp; gas, Crude oil, Natural gas, FMCG, Shipping, Gems &amp; jewelry, Silver, Aluminium, Essential oils &amp; perfumeries, Agriculture &amp; agro industries</t>
  </si>
  <si>
    <t xml:space="preserve">Śukra, Śani, Rāhu</t>
  </si>
  <si>
    <t xml:space="preserve">Power, Media &amp; entertainment, Gold, Copper, Wheat / food grains</t>
  </si>
  <si>
    <t xml:space="preserve">Media &amp; entertainment, Telecommunication, Exports, Banking &amp; financial, Aviation, FMCG, Publication, IT, Textile, Essential oils &amp; perfumeries, Agriculture &amp; agro industries, Wheat / food grains, Cotton</t>
  </si>
  <si>
    <t xml:space="preserve">Automobile, Telecommunication, Pharmaceutical, Infrastructure, Capital goods, Health care, Metal, Iron &amp; steel, Cement, Gov. public sector units (PSU), Copper, Crude oil &amp; gas, Crude oil, Power</t>
  </si>
  <si>
    <t xml:space="preserve">Book prints Vṛṣabha; sector list and sequence = Vṛścika</t>
  </si>
  <si>
    <t xml:space="preserve">Śani, Rāhu</t>
  </si>
  <si>
    <t xml:space="preserve">Banking &amp; financial, FMCG, Gold, Textile, Eatable oil, Exports, Shipping, Gems &amp; jewelry, Wheat / food grains, Agriculture &amp; agro industries</t>
  </si>
  <si>
    <t xml:space="preserve">Leather &amp; footwear, Realty, Infrastructure, Crude oil &amp; gas, Crude oil, Natural gas, Cement, Metal, Iron &amp; steel, Gov. public sector units (PSU), Agriculture &amp; agro industries</t>
  </si>
  <si>
    <t xml:space="preserve">Leather &amp; footwear, Realty, Infrastructure, Crude oil &amp; gas, Crude oil, Natural gas, Cement, Metal, Iron &amp; steel, Gov. public sector units (PSU), Telecommunication, IT, Power, FMCG, Aviation, Agriculture &amp; agro industries</t>
  </si>
  <si>
    <t xml:space="preserve">Banking &amp; financial, FMCG, Gold, Textile, Eatable oil, Exports, Shipping, Gems &amp; jewelry, Crude oil &amp; gas, Crude oil, Natural gas, Pharmaceutical, Sugar, Wheat / food grains, Agriculture &amp; agro industries</t>
  </si>
  <si>
    <t xml:space="preserve">Sūrya, Maṅgala, Guru</t>
  </si>
  <si>
    <t xml:space="preserve">Sūrya, Candra, Guru</t>
  </si>
  <si>
    <t xml:space="preserve">Budha, Rāhu</t>
  </si>
  <si>
    <t xml:space="preserve">Sūrya, Śukra, Śani</t>
  </si>
  <si>
    <t xml:space="preserve">Candra, Maṅgala</t>
  </si>
  <si>
    <t xml:space="preserve">Śukra, Śani</t>
  </si>
  <si>
    <t xml:space="preserve">Sūrya, Candra, Maṅgala, Guru</t>
  </si>
  <si>
    <t xml:space="preserve">Sūrya, Candra, Maṅgala</t>
  </si>
  <si>
    <t xml:space="preserve">Śukra, Rāhu</t>
  </si>
  <si>
    <t xml:space="preserve">Sūrya, Maṅgala, Candra</t>
  </si>
  <si>
    <t xml:space="preserve">Book prints "Sūrya, Maṅgala or Guru" (Guru cannot aspect itself); read as Candra per every other Guru entry</t>
  </si>
  <si>
    <t xml:space="preserve">(unconditional)</t>
  </si>
  <si>
    <t xml:space="preserve">unconditional</t>
  </si>
  <si>
    <t xml:space="preserve">Budha, Śani</t>
  </si>
  <si>
    <t xml:space="preserve">Budha, Guru, Śukra, Rāhu</t>
  </si>
  <si>
    <t xml:space="preserve">Sūrya, Candra</t>
  </si>
  <si>
    <t xml:space="preserve">Ch.8 — intraday rules for Candra in each of 27 nakṣatras</t>
  </si>
  <si>
    <t xml:space="preserve">POSITIVE if lord aspected by</t>
  </si>
  <si>
    <t xml:space="preserve">Stronger if Candra aspected by</t>
  </si>
  <si>
    <t xml:space="preserve">NEGATIVE if lord aspected by</t>
  </si>
  <si>
    <t xml:space="preserve">Horā of peak effect</t>
  </si>
  <si>
    <t xml:space="preserve">Candra &amp; Ketu</t>
  </si>
  <si>
    <t xml:space="preserve">power, IT, leather and footwear, crude oils, oil &amp; gas, pharmaceuticals, coal, iron &amp; steel, realty, infrastructure and automobiles sectors</t>
  </si>
  <si>
    <t xml:space="preserve">Candra &amp; Śukra</t>
  </si>
  <si>
    <t xml:space="preserve">diamond, gems &amp; jewelry, opal, quartz, crystal, silver, copper, peppermint, fashion, media &amp; entertainment, essential oils, hospitality, travel &amp; tourism, FMCG, banking &amp; finance, garments, hotels, sugar &amp; agriculture sectors</t>
  </si>
  <si>
    <t xml:space="preserve">Candra &amp; Sūrya</t>
  </si>
  <si>
    <t xml:space="preserve">power sector, media, nuclear energy, Gov. public sector units, gold, copper, bronze, gun metal, garnet, ruby, firearms, wheat, explosives, graphite &amp; sulphur</t>
  </si>
  <si>
    <t xml:space="preserve">petroleum, shipping, oil &amp; gas, mineral water, soft drink, cold drink, milk, milk produces, silver, aluminum, pearl, oil, peppermint, alcohol and rice</t>
  </si>
  <si>
    <t xml:space="preserve">Candra &amp; Maṅgala</t>
  </si>
  <si>
    <t xml:space="preserve">health care, capital goods, automobiles, pharmaceuticals, crude, cements, infrastructure, steel, copper, coral, gunpowder, firearms, explosives, spices, cloves, tobaccos and metals sectors</t>
  </si>
  <si>
    <t xml:space="preserve">Candra &amp; Rāhu</t>
  </si>
  <si>
    <t xml:space="preserve">media and entertainment, telecommunication, power, electrical goods, realty, infrastructure, iron &amp; steel, cements and metals sector</t>
  </si>
  <si>
    <t xml:space="preserve">Candra &amp; Guru</t>
  </si>
  <si>
    <t xml:space="preserve">banking &amp; financial, insurance, gems &amp; jewelry, gold, copper, bronze, food grains, topaz, mustard, wheat, eatable oils, FMCG, textile, shipping and exports sector</t>
  </si>
  <si>
    <t xml:space="preserve">Candra &amp; Śani</t>
  </si>
  <si>
    <t xml:space="preserve">cements, infrastructure, iron &amp; steels, tin, leather &amp; footwear, crude oil &amp; gas, coal, mining, metals, realty and agriculture sectors</t>
  </si>
  <si>
    <t xml:space="preserve">Candra &amp; Budha</t>
  </si>
  <si>
    <t xml:space="preserve">telecommunication, FMCG, peppermint, emerald, agro products, food grains, paper, newsprint, cotton, textile, IT, educational, banking &amp; financial, insurance, publication and aviation sector</t>
  </si>
  <si>
    <t xml:space="preserve">power, IT, leather &amp; footwear, crude oils, oil &amp; gas, pharmaceuticals, coal, iron &amp; steel, realty, infrastructure and automobiles sectors</t>
  </si>
  <si>
    <t xml:space="preserve">diamond, gems &amp; jewelry, opal, quartz, crystal, silver, copper, peppermint, fashion, media &amp; entertainment, essential oils, hospitality, travel &amp; tourism, FMCG, banking &amp; finance, garments, hotels, sugar and agriculture sectors</t>
  </si>
  <si>
    <t xml:space="preserve">power sector, media, nuclear energy, Gov. public sector units, gold, copper, bronze, gunmetal, garnet, ruby, firearms, wheat, explosives, graphite and sulphur</t>
  </si>
  <si>
    <t xml:space="preserve">petroleum, shipping, oil &amp; gas, mineral water, soft &amp; cold drink, milk, milk produces, silver, aluminum, pearl, oil, peppermint, alcohol and rice</t>
  </si>
  <si>
    <t xml:space="preserve">media &amp; entertainment, telecommunication, power, electrical goods, realty, infrastructure, iron &amp; steel, cements and metals sector</t>
  </si>
  <si>
    <t xml:space="preserve">banking and financial, insurance, gems &amp; jewelry, gold, copper, bronze, food grains, topaz, mustard, wheat, eatable oils, FMCG, textile, shipping and exports sector</t>
  </si>
  <si>
    <t xml:space="preserve">telecommunication, FMCG, peppermint, emerald, agro products, food grains, paper, newsprint, cotton, textile, IT, educational, banking and financial, insurance, publication and aviation sector</t>
  </si>
  <si>
    <t xml:space="preserve">media &amp; entertainment, telecommunication, power, electrical goods, realty, infrastructure, iron &amp; steel, cements, and metals sector</t>
  </si>
  <si>
    <t xml:space="preserve">banking and financial, insurance, gems and jewelry, gold, copper, bronze, food grains, topaz, mustard, wheat, eatable oils, FMCG, textile, shipping and exports sector</t>
  </si>
  <si>
    <t xml:space="preserve">Ch.10 — horā strategies (Fig.1 sequence from sunrise)</t>
  </si>
  <si>
    <t xml:space="preserve">Horā lord</t>
  </si>
  <si>
    <t xml:space="preserve">BUY before horā if aspected by</t>
  </si>
  <si>
    <t xml:space="preserve">SELL during horā if aspected by</t>
  </si>
  <si>
    <t xml:space="preserve">Stocks / commodities</t>
  </si>
  <si>
    <t xml:space="preserve">Śukra, Rāhu, Śani</t>
  </si>
  <si>
    <t xml:space="preserve">Sūrya, Guru</t>
  </si>
  <si>
    <t xml:space="preserve">Rāhu, Śani</t>
  </si>
  <si>
    <t xml:space="preserve">Budha, Rāhu, Śani</t>
  </si>
  <si>
    <t xml:space="preserve">Sūrya, Śukra</t>
  </si>
  <si>
    <t xml:space="preserve">Horā #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</si>
  <si>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</si>
  <si>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</si>
  <si>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</si>
  <si>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</si>
  <si>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</si>
  <si>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</si>
  <si>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</si>
  <si>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Ch.13/14 — 12 grahas × 12 bhāvas of the opening-bell chart (144 rules)</t>
  </si>
  <si>
    <t xml:space="preserve">Bhāva</t>
  </si>
  <si>
    <t xml:space="preserve">Bhāva signification</t>
  </si>
  <si>
    <t xml:space="preserve">If aspected by</t>
  </si>
  <si>
    <t xml:space="preserve">If afflicted by</t>
  </si>
  <si>
    <t xml:space="preserve">Unconditional</t>
  </si>
  <si>
    <t xml:space="preserve">Mixed effect</t>
  </si>
  <si>
    <t xml:space="preserve">Sectors</t>
  </si>
  <si>
    <t xml:space="preserve">Bhāva weight</t>
  </si>
  <si>
    <t xml:space="preserve">Public sector units and power sectors.</t>
  </si>
  <si>
    <t xml:space="preserve">Śukra, Śani, Rāhu, Ketu</t>
  </si>
  <si>
    <t xml:space="preserve">Gov. public sector units (PSU), Power</t>
  </si>
  <si>
    <t xml:space="preserve">Sūrya, Budha, Guru</t>
  </si>
  <si>
    <t xml:space="preserve">Śani, Rāhu, Ketu</t>
  </si>
  <si>
    <t xml:space="preserve">Gov. public sector units (PSU), Power, Capital goods</t>
  </si>
  <si>
    <t xml:space="preserve">Sūrya, Śukra, Guru, Śani, Rāhu</t>
  </si>
  <si>
    <t xml:space="preserve">Gov. public sector units (PSU), Banking &amp; financial, Telecommunication, Aviation, IT</t>
  </si>
  <si>
    <t xml:space="preserve">Gov. public sector units (PSU), Power, Banking &amp; financial, Crude oil &amp; gas</t>
  </si>
  <si>
    <t xml:space="preserve">Rāhu, Budha, Śani</t>
  </si>
  <si>
    <t xml:space="preserve">Travel &amp; tourism, Hospitality, Banking &amp; financial, Media &amp; entertainment, Sugar, Gov. public sector units (PSU)</t>
  </si>
  <si>
    <t xml:space="preserve">Gov. public sector units (PSU), Metal, Iron &amp; steel, Capital goods, Realty, Infrastructure, Crude oil &amp; gas</t>
  </si>
  <si>
    <t xml:space="preserve">Gov. public sector units (PSU), Telecommunication, Metal, Power</t>
  </si>
  <si>
    <t xml:space="preserve">Crude oil &amp; gas, Metal, Power</t>
  </si>
  <si>
    <t xml:space="preserve">Power, Crude oil &amp; gas, Telecommunication, Aviation, Realty, Infrastructure, Gov. public sector units (PSU)</t>
  </si>
  <si>
    <t xml:space="preserve">Sūrya, Candra, Budha</t>
  </si>
  <si>
    <t xml:space="preserve">Gov. public sector units (PSU), Crude oil &amp; gas, Pharmaceutical, FMCG, Banking &amp; financial, Exports, Shipping</t>
  </si>
  <si>
    <t xml:space="preserve">Power, Pharmaceutical, Health care, Metal, Gov. public sector units (PSU)</t>
  </si>
  <si>
    <t xml:space="preserve">FMCG, banking, finance, insurance, jewelry, gold, eatable oils, food grains, soft &amp; cold drink sectors.</t>
  </si>
  <si>
    <t xml:space="preserve">Gems &amp; jewelry, Gold, Eatable oil, FMCG, Banking &amp; financial</t>
  </si>
  <si>
    <t xml:space="preserve">FMCG, Eatable oil, Crude oil &amp; gas, Crude oil, Gold, Silver, Aluminium, Iron &amp; steel, Banking &amp; financial</t>
  </si>
  <si>
    <t xml:space="preserve">{"up": ["AUTO", "CEMENT"], "down": ["BANK", "FMCG"]}</t>
  </si>
  <si>
    <t xml:space="preserve">Automobile, Cement, Banking &amp; financial, FMCG</t>
  </si>
  <si>
    <t xml:space="preserve">Sūrya, Śukra, Guru, Śani</t>
  </si>
  <si>
    <t xml:space="preserve">Telecommunication, Banking &amp; financial, Aviation, FMCG, Textile, IT, Publication, Exports, Agriculture &amp; agro industries</t>
  </si>
  <si>
    <t xml:space="preserve">Gems &amp; jewelry, Gold, Banking &amp; financial, Eatable oil, FMCG, Exports</t>
  </si>
  <si>
    <t xml:space="preserve">Gems &amp; jewelry, Gold, Silver, Banking &amp; financial, FMCG</t>
  </si>
  <si>
    <t xml:space="preserve">Sūrya, Candra, Maṅgala, Rāhu, Ketu</t>
  </si>
  <si>
    <t xml:space="preserve">FMCG, Banking &amp; financial, Gems &amp; jewelry, Gold, Eatable oil, Agriculture &amp; agro industries</t>
  </si>
  <si>
    <t xml:space="preserve">Telecommunication, Banking &amp; financial, FMCG, Agriculture &amp; agro industries, Gold, Gems &amp; jewelry</t>
  </si>
  <si>
    <t xml:space="preserve">Crude oil &amp; gas, Crude oil, Banking &amp; financial, FMCG, Copper, Gems &amp; jewelry</t>
  </si>
  <si>
    <t xml:space="preserve">Banking &amp; financial, Crude oil, Crude oil &amp; gas, FMCG, Eatable oil, Exports</t>
  </si>
  <si>
    <t xml:space="preserve">Banking &amp; financial, FMCG, Gems &amp; jewelry</t>
  </si>
  <si>
    <t xml:space="preserve">Internet, telecommunication, mobiles, media, publications, newsprint, IT, aviation and automobile sectors.</t>
  </si>
  <si>
    <t xml:space="preserve">IT, Telecommunication, Media &amp; entertainment, Publication, Aviation, Automobile</t>
  </si>
  <si>
    <t xml:space="preserve">{"up": ["AUTO", "CAPGOODS"], "down": ["TELECOM", "MEDIA", "PUBLICATION", "IT"]}</t>
  </si>
  <si>
    <t xml:space="preserve">Automobile, Capital goods, Telecommunication, Media &amp; entertainment, Publication, IT</t>
  </si>
  <si>
    <t xml:space="preserve">Rāhu, Śukra</t>
  </si>
  <si>
    <t xml:space="preserve">Travel &amp; tourism, Hospitality, Aviation, Automobile, Telecommunication, Media &amp; entertainment, Publication, IT</t>
  </si>
  <si>
    <t xml:space="preserve">Agriculture, agro products, crude, oil &amp; gas, cements, metals, iron &amp; steel, realty, mining and infrastructure sectors.</t>
  </si>
  <si>
    <t xml:space="preserve">Agriculture &amp; agro industries, Crude oil &amp; gas, Crude oil, Natural gas, Cement, Metal, Iron &amp; steel, Realty, Infrastructure</t>
  </si>
  <si>
    <t xml:space="preserve">Sūrya, Guru, Budha</t>
  </si>
  <si>
    <t xml:space="preserve">Rāhu, Ketu</t>
  </si>
  <si>
    <t xml:space="preserve">Entertainment, amusement parks, toys, handicrafts, educational institutions, insurance, finance, banking and investment sectors.</t>
  </si>
  <si>
    <t xml:space="preserve">{"up": ["MEDIA"], "down": ["EDU", "BANK"], "down_mag": -0.3}</t>
  </si>
  <si>
    <t xml:space="preserve">Media &amp; entertainment, Educational, Banking &amp; financial</t>
  </si>
  <si>
    <t xml:space="preserve">Sūrya, Budha</t>
  </si>
  <si>
    <t xml:space="preserve">Budha, Śani, Rāhu, Ketu</t>
  </si>
  <si>
    <t xml:space="preserve">Health care, hospitals, pharmaceuticals, diagnostic centers, firearms, capital goods and textiles sector.</t>
  </si>
  <si>
    <t xml:space="preserve">Health care, Pharmaceutical, Capital goods, Textile</t>
  </si>
  <si>
    <t xml:space="preserve">Foreign trades and exports sector.</t>
  </si>
  <si>
    <t xml:space="preserve">Health care, diagnostic centers, hospitals and pharmaceutical sectors.</t>
  </si>
  <si>
    <t xml:space="preserve">Health care, Pharmaceutical</t>
  </si>
  <si>
    <t xml:space="preserve">Foreign trade, exports, aviation, shipping and tourism sector.</t>
  </si>
  <si>
    <t xml:space="preserve">Exports, Aviation, Shipping, Travel &amp; tourism</t>
  </si>
  <si>
    <t xml:space="preserve">Power, nuclear energy and capital goods sector.</t>
  </si>
  <si>
    <t xml:space="preserve">Power, Capital goods</t>
  </si>
  <si>
    <t xml:space="preserve">Sūrya, Śukra, Rāhu, Ketu</t>
  </si>
  <si>
    <t xml:space="preserve">Budha, Śukra, Rāhu, Ketu</t>
  </si>
  <si>
    <t xml:space="preserve">Śani, Budha, Śukra, Rāhu, Ketu</t>
  </si>
  <si>
    <t xml:space="preserve">Investment, banking, finance and insurance sector.</t>
  </si>
  <si>
    <t xml:space="preserve">Hospitality, hotels, health care, hospitals and footwear sector.</t>
  </si>
  <si>
    <t xml:space="preserve">Health care, Hospitality, Leather &amp; footwear</t>
  </si>
  <si>
    <t xml:space="preserve">Ch.4 grahas &amp; Ch.5 rāśis — significations used to map rules to sectors</t>
  </si>
  <si>
    <t xml:space="preserve">Own</t>
  </si>
  <si>
    <t xml:space="preserve">Exalted</t>
  </si>
  <si>
    <t xml:space="preserve">Debilitated</t>
  </si>
  <si>
    <t xml:space="preserve">Friends</t>
  </si>
  <si>
    <t xml:space="preserve">Enemies</t>
  </si>
  <si>
    <t xml:space="preserve">Commodities</t>
  </si>
  <si>
    <t xml:space="preserve">Power sector, media, nuclear energy, Gov. public sector units</t>
  </si>
  <si>
    <t xml:space="preserve">Gold, copper, bronze, gun metal, garnet, ruby, firearms, wheat, explosives, graphite &amp; sulphur</t>
  </si>
  <si>
    <t xml:space="preserve">Petroleum, shipping, oil &amp; gas</t>
  </si>
  <si>
    <t xml:space="preserve">Mineral water, soft drink, cold drink, milk, milk produces, silver, aluminum, pearl, oil, peppermint, alcohol &amp; rice</t>
  </si>
  <si>
    <t xml:space="preserve">Health care, capital goods, automobiles, pharmaceuticals, cements, infrastructure, steel &amp; metals sector</t>
  </si>
  <si>
    <t xml:space="preserve">Copper, steel, crude oil, coral, gun powder, firearms, explosives, spices, cloves &amp; tobaccos</t>
  </si>
  <si>
    <t xml:space="preserve">Telecommunication, FMCG, textile, IT, educational, banking &amp; financial, insurance, publication &amp; aviation sector</t>
  </si>
  <si>
    <t xml:space="preserve">Peppermint, emerald, agro products, food grains, paper, newsprint &amp; cotton</t>
  </si>
  <si>
    <t xml:space="preserve">Banking &amp; financial, insurance, gems &amp; jewelry, eatable oils, FMCG, textile, shipping &amp; exports sector</t>
  </si>
  <si>
    <t xml:space="preserve">Gold, copper, bronze, food grains, oils, topaz, mustard &amp; wheat</t>
  </si>
  <si>
    <t xml:space="preserve">Diamond, gems &amp; jewelry, fashion, media &amp; entertainment, essential oils, hospitality, travel &amp; tourism, FMCG, banking &amp; finance, garments, hotels, sugar &amp; agriculture sectors</t>
  </si>
  <si>
    <t xml:space="preserve">Diamond, opal, quartz, crystal, silver, copper, peppermint &amp; essential oils</t>
  </si>
  <si>
    <t xml:space="preserve">Makara, Kumbha</t>
  </si>
  <si>
    <t xml:space="preserve">Cements, infrastructure, iron &amp; steels, leather &amp; footwear, crude oil &amp; gas, coal, mining, metals, realty &amp; agriculture sectors</t>
  </si>
  <si>
    <t xml:space="preserve">Tin, iron, steel, coal, leather &amp; crude oils</t>
  </si>
  <si>
    <t xml:space="preserve">Media &amp; entertainment, telecommunication, power, electrical goods, realty, infrastructure, cements &amp; metals sector</t>
  </si>
  <si>
    <t xml:space="preserve">Power, IT, leather &amp; footwear, crude oils, oil &amp; gas, pharmaceuticals, coal, realty, infrastructure &amp; automobiles sector</t>
  </si>
  <si>
    <t xml:space="preserve">Crude oils, coal, copper, iron &amp; steel</t>
  </si>
  <si>
    <t xml:space="preserve">Telecommunication, IT, metals, iron and steel, oil &amp; gas, soft drinks, aviation, alcohol &amp; nuclear energy sector</t>
  </si>
  <si>
    <t xml:space="preserve">Iron, steel, radium, uranium &amp; crude oils</t>
  </si>
  <si>
    <t xml:space="preserve">Shipping, oil &amp; gas, pharmaceutical, FMCG, insurance &amp; exports sector</t>
  </si>
  <si>
    <t xml:space="preserve">Ethanol, methanol, alcohol, mineral water, soft drink &amp; cold drinks</t>
  </si>
  <si>
    <t xml:space="preserve">Nuclear energy, pharmaceuticals, health care &amp; metals sector</t>
  </si>
  <si>
    <t xml:space="preserve">Iron and steel, uranium &amp; radium</t>
  </si>
  <si>
    <t xml:space="preserve">Ruler</t>
  </si>
  <si>
    <t xml:space="preserve">Element</t>
  </si>
  <si>
    <t xml:space="preserve">Benefics</t>
  </si>
  <si>
    <t xml:space="preserve">Malefics</t>
  </si>
  <si>
    <t xml:space="preserve">Market sectors</t>
  </si>
  <si>
    <t xml:space="preserve">Fire</t>
  </si>
  <si>
    <t xml:space="preserve">cardinal</t>
  </si>
  <si>
    <t xml:space="preserve">Sūrya, Maṅgala, Candra, Guru</t>
  </si>
  <si>
    <t xml:space="preserve">Automobiles, pharmaceuticals, infrastructure, capital goods, health care, hospitals, diagnostic centers, medical &amp; surgical equipment, limestone, gypsum, cement, iron &amp; steel, crude, spices, copper, tobaccos, firearms, explosives &amp; metals</t>
  </si>
  <si>
    <t xml:space="preserve">Earth</t>
  </si>
  <si>
    <t xml:space="preserve">fixed</t>
  </si>
  <si>
    <t xml:space="preserve">Sūrya, Budha, Śukra, Śani</t>
  </si>
  <si>
    <t xml:space="preserve">Banking, finance, FMCG, entertainment, hotels, hospitality, media, sugar, agriculture, cosmetics, essential oils, perfumeries, peppermint, confectionaries, jewelry, garments, diamond, silver, copper, paints, amusement parks, tourism, toys, investments and insurance</t>
  </si>
  <si>
    <t xml:space="preserve">Air</t>
  </si>
  <si>
    <t xml:space="preserve">mutable</t>
  </si>
  <si>
    <t xml:space="preserve">Telecommunications, media, mobiles, export, insurance, airlines, banking, FMCG, publications, IT, textile, peppermint, agro products, food grains, cotton, paper, newsprint and internet services</t>
  </si>
  <si>
    <t xml:space="preserve">Water</t>
  </si>
  <si>
    <t xml:space="preserve">Sūrya, Budha, Śukra</t>
  </si>
  <si>
    <t xml:space="preserve">Oil &amp; gas, petroleum, mineral water, shipping, milk &amp; dairy products, pearl, silver, aluminum, peppermint, alcohols, cold drinks, soft drinks &amp; rice grain</t>
  </si>
  <si>
    <t xml:space="preserve">Candra, Budha, Śukra</t>
  </si>
  <si>
    <t xml:space="preserve">Power, media, gold, copper, bronze, nuclear energy, weapons of mass destruction, gunmetal, firearms, explosives, graphite, sulphur &amp; wheat</t>
  </si>
  <si>
    <t xml:space="preserve">Media, telecommunication, mobiles, exports, insurance, aviation, banking, finance, FMCG, publications, IT, textile, peppermint, agro products, food grains, cotton, paper, newsprint and internet services</t>
  </si>
  <si>
    <t xml:space="preserve">Banking, finance, investments., insurance, FMCG, media, entertainment, hotels, hospitality, sugar, agriculture, cosmetics, essential oils, perfumeries, peppermint, confectionaries, jewelries, garments, diamond, silver, copper, paints, amusement parks, toys, tourism &amp; travel</t>
  </si>
  <si>
    <t xml:space="preserve">Automobile, pharmaceutical, infrastructure, capital goods, health care, hospitals, medical equipment, diagnostic centers, iron &amp; steel, gypsum, cement, limestone, metals, copper, crude, spices, tobacco, nuclear power, uranium, radium, firearms &amp; explosives</t>
  </si>
  <si>
    <t xml:space="preserve">Candra, Budha, Śukra, Śani</t>
  </si>
  <si>
    <t xml:space="preserve">Insurance, banking, financial, FMCG, bronze, gold, textile, eatable oils, exports, shipping, jewelry, garments, wheat, mustard &amp; food grains</t>
  </si>
  <si>
    <t xml:space="preserve">Leather, footwear, realty, infrastructure, oil &amp; gas, cement, metals, iron &amp; steel, mining, coal, gypsum, tin, limestone, agriculture &amp; livestock</t>
  </si>
  <si>
    <t xml:space="preserve">Leather, footwear, realty, infrastructure, oil &amp; gas, cement, metals, iron &amp; steel, mining, coal, gypsum, tin, limestone, telecommunication, internet, nuclear power, uranium, radium, soft &amp; cold drinks, alcohols, aviation, agriculture and livestock</t>
  </si>
  <si>
    <t xml:space="preserve">Insurance, banking, financial, FMCG, bronze, gold, textile, eatable oils, exports, shipping, jewelry, garments, oil &amp; gas, pharmaceutical, methanol, ethanol, alcohols, soft &amp; cold drinks, mineral water, wheat, mustard &amp; food grains</t>
  </si>
  <si>
    <t xml:space="preserve">Book's historical correlations (backup) with engine verification</t>
  </si>
  <si>
    <t xml:space="preserve">Chapter</t>
  </si>
  <si>
    <t xml:space="preserve">Book claim</t>
  </si>
  <si>
    <t xml:space="preserve">Engine check</t>
  </si>
  <si>
    <t xml:space="preserve">Status</t>
  </si>
  <si>
    <t xml:space="preserve">Position</t>
  </si>
  <si>
    <t xml:space="preserve">Candra 12-Mar-2009 09:55 IST: Kanyā 11°32′</t>
  </si>
  <si>
    <t xml:space="preserve">Kanyā 11°32′</t>
  </si>
  <si>
    <t xml:space="preserve">PASS</t>
  </si>
  <si>
    <t xml:space="preserve">Candra nakṣatra 29-Sep-2009 trading hours: Śravaṇa</t>
  </si>
  <si>
    <t xml:space="preserve">Candra nakṣatra 30-Sep-2009 trading hours: Dhaniṣṭhā</t>
  </si>
  <si>
    <t xml:space="preserve">Śani 10-Jan-2008: Siṃha 14°10′ (R)</t>
  </si>
  <si>
    <t xml:space="preserve">Siṃha 14°10′ R</t>
  </si>
  <si>
    <t xml:space="preserve">Guru 10-Jan-2008: Dhanus 11°10′</t>
  </si>
  <si>
    <t xml:space="preserve">Aspect</t>
  </si>
  <si>
    <t xml:space="preserve">Guru–Śani exact trine 21-Jan-2008 at 13°37′: Guru 13°37′ Dhanus / Śani 13°37′ Siṃha</t>
  </si>
  <si>
    <t xml:space="preserve">Dhanus 13°38′ / Siṃha 13°38′</t>
  </si>
  <si>
    <t xml:space="preserve">Guru→Śani aspect window #1 (3° orb): 10-Jan-2008 → 01-Feb-2008</t>
  </si>
  <si>
    <t xml:space="preserve">2008-01-11 → 2008-01-31</t>
  </si>
  <si>
    <t xml:space="preserve">Guru→Śani aspect window #2 (3° orb): 21-Aug-2008 → 11-Dec-2008</t>
  </si>
  <si>
    <t xml:space="preserve">2008-08-21 → 2008-12-11</t>
  </si>
  <si>
    <t xml:space="preserve">Motion</t>
  </si>
  <si>
    <t xml:space="preserve">Guru retrograde &amp; Śani direct on 21-Aug-2008: Guru R, Śani D</t>
  </si>
  <si>
    <t xml:space="preserve">Guru R, Śani D</t>
  </si>
  <si>
    <t xml:space="preserve">Śani/Guru rāśis 1921: Śani Siṃha, Guru Siṃha</t>
  </si>
  <si>
    <t xml:space="preserve">present</t>
  </si>
  <si>
    <t xml:space="preserve">Śani/Guru rāśis 1930: Śani Dhanus, Guru Mithuna</t>
  </si>
  <si>
    <t xml:space="preserve">Śani/Guru rāśis 1940: Śani Meṣa, Guru Meṣa</t>
  </si>
  <si>
    <t xml:space="preserve">Śani/Guru rāśis 1978: Śani Siṃha, Guru Mithuna</t>
  </si>
  <si>
    <t xml:space="preserve">Śani/Guru rāśis 1979: Śani Siṃha, Guru Siṃha</t>
  </si>
  <si>
    <t xml:space="preserve">Śani/Guru rāśis 1990: Śani Dhanus, Guru Mithuna</t>
  </si>
  <si>
    <t xml:space="preserve">Śani/Guru rāśis 2008: Śani Siṃha, Guru Dhanus</t>
  </si>
  <si>
    <t xml:space="preserve">Śani/Guru rāśis 2017-2018: Śani Dhanus, Guru Tulā</t>
  </si>
  <si>
    <t xml:space="preserve">Śani/Guru rāśis 2028-2029: Śani Meṣa, Guru Siṃha; Śani Meṣa, Guru Tulā</t>
  </si>
  <si>
    <t xml:space="preserve">Śani/Guru rāśis 2036-2038: Śani Siṃha, Guru Mithuna</t>
  </si>
  <si>
    <t xml:space="preserve">Śani/Guru rāśis 2047-2048: Śani Dhanus, Guru Meṣa; Śani Dhanus, Guru Mithuna</t>
  </si>
  <si>
    <t xml:space="preserve">Śani/Guru rāśis 2058-2059: Śani Meṣa, Guru Meṣa</t>
  </si>
  <si>
    <t xml:space="preserve">Ingress</t>
  </si>
  <si>
    <t xml:space="preserve">Śani enters Meṣa: 1998 (market collapse May 1998)</t>
  </si>
  <si>
    <t xml:space="preserve">17-Apr-1998</t>
  </si>
  <si>
    <t xml:space="preserve">Śani–Guru conjunction 2000: Meṣa, Apr–Aug 2000</t>
  </si>
  <si>
    <t xml:space="preserve">20-May-2000 Meṣa</t>
  </si>
  <si>
    <t xml:space="preserve">Crude</t>
  </si>
  <si>
    <t xml:space="preserve">Śani with Ketu in Siṃha, Jul 2007: Śani &amp; Ketu in Siṃha</t>
  </si>
  <si>
    <t xml:space="preserve">Śani Siṃha, Ketu Siṃha</t>
  </si>
  <si>
    <t xml:space="preserve">Ketu leaves Siṃha: May 2008</t>
  </si>
  <si>
    <t xml:space="preserve">05-May-2008</t>
  </si>
  <si>
    <t xml:space="preserve">Śani with Rāhu in Vṛṣabha (conjunction inside window): Mar-2002 → Mar-2003</t>
  </si>
  <si>
    <t xml:space="preserve">both in Vṛṣabha at window ends; closest 0.0°</t>
  </si>
  <si>
    <t xml:space="preserve">Śani with Rāhu in Tulā; Rāhu leaves: Jan-2013 → Jul-2014</t>
  </si>
  <si>
    <t xml:space="preserve">together; Rāhu leaves 13-Jul-2014</t>
  </si>
  <si>
    <t xml:space="preserve">Guru &amp; Rāhu "came within 30°" May–Jun 2008: ≤ 30°</t>
  </si>
  <si>
    <t xml:space="preserve">min 29.5°</t>
  </si>
  <si>
    <t xml:space="preserve">Guru–Rāhu exact conjunction Feb 2009: ≈0° in Feb-2009</t>
  </si>
  <si>
    <t xml:space="preserve">0.07° on 14-Feb</t>
  </si>
  <si>
    <t xml:space="preserve">Guru moves Makara → Kumbha: end Dec 2009</t>
  </si>
  <si>
    <t xml:space="preserve">19-Dec-2009</t>
  </si>
  <si>
    <t xml:space="preserve">Rāhu moves Makara → Dhanus: "during end of Dec 2009" (approximate)</t>
  </si>
  <si>
    <t xml:space="preserve">02-Nov-2009</t>
  </si>
  <si>
    <t xml:space="preserve">Guru conj node 06-1893: conjunction in Meṣa</t>
  </si>
  <si>
    <t xml:space="preserve">21.8°, Guru in Meṣa</t>
  </si>
  <si>
    <t xml:space="preserve">Guru conj node 11-1979: conjunction in Siṃha</t>
  </si>
  <si>
    <t xml:space="preserve">2.2°, Guru in Siṃha</t>
  </si>
  <si>
    <t xml:space="preserve">Guru conj node 03-1980: conjunction in Siṃha</t>
  </si>
  <si>
    <t xml:space="preserve">3.7°, Guru in Siṃha</t>
  </si>
  <si>
    <t xml:space="preserve">Guru conj node 02-1987: conjunction in Mīna</t>
  </si>
  <si>
    <t xml:space="preserve">15.9°, Guru in Mīna</t>
  </si>
  <si>
    <t xml:space="preserve">Guru conj Ketu in Kanyā, 1838: Kanyā</t>
  </si>
  <si>
    <t xml:space="preserve">6.7°, Guru Kanyā, Ketu Kanyā</t>
  </si>
  <si>
    <t xml:space="preserve">Guru conj node 31-May-1781: conjunction</t>
  </si>
  <si>
    <t xml:space="preserve">16.4°</t>
  </si>
  <si>
    <t xml:space="preserve">Guru conj Ketu in Vṛṣabha 1948: Vṛṣabha</t>
  </si>
  <si>
    <t xml:space="preserve">Guru Dhanus, Ketu Tulā (41°) — Book error: in 1948 Guru was in Vṛścika/Dhanus under every ayanāṃśa (tropical included); cannot be reproduced.</t>
  </si>
  <si>
    <t xml:space="preserve">FAIL</t>
  </si>
  <si>
    <t xml:space="preserve">Micro-viṃśottarī schedule 12-Mar-2009: Ca→10:30:24, Ma→10:58:24 … Ke→16:06:24</t>
  </si>
  <si>
    <t xml:space="preserve">Mo 10:30:23, Ma 10:58:23, Ra 12:10:23, Ju 13:14:23, Sa 14:30:23, Me 15:38:23, Ke 16:06:23</t>
  </si>
  <si>
    <t xml:space="preserve">Horā lords at book times (29/30-Sep-2009): Su 13:52, Mo 09:52, Ma 12:52, Ju 11:52, Ve 14:52, Sa 10:52 | Wed Mo 13:52, Me 12:52</t>
  </si>
  <si>
    <t xml:space="preserve">Su 13:52, Mo 09:52, Ma 12:52, Ju 11:52, Ve 14:52, Sa 10:52, Mo 13:52, Me 12:52</t>
  </si>
  <si>
    <t xml:space="preserve">Sunrise 29-Sep-2009 used in examples: 05:52</t>
  </si>
  <si>
    <t xml:space="preserve">Lucknow 05:58, Mumbai 06:29</t>
  </si>
  <si>
    <t xml:space="preserve">Ch.19</t>
  </si>
  <si>
    <t xml:space="preserve">Muhurat 09-Nov-2007 −151 pts → 2008 crash</t>
  </si>
  <si>
    <t xml:space="preserve">User input series in Settings of the app</t>
  </si>
  <si>
    <t xml:space="preserve">INFO</t>
  </si>
  <si>
    <t xml:space="preserve">Muhurat 28-Oct-2008 +499 pts → 2009 recovery</t>
  </si>
  <si>
    <t xml:space="preserve">Ch.18</t>
  </si>
  <si>
    <t xml:space="preserve">Śani + Rāhu in Tulā Jan-2013–Jul-2014 → crude "to cross $250"</t>
  </si>
  <si>
    <t xml:space="preserve">Conjunction verified (T27); WTI actually fell from ~$105 (Jun-2014) to ~$45 (Jan-2015)</t>
  </si>
  <si>
    <t xml:space="preserve">PREDICTION FAILED</t>
  </si>
  <si>
    <t xml:space="preserve">Watch-list recession 2017-18 (Śani Dhanus, Guru Tulā)</t>
  </si>
  <si>
    <t xml:space="preserve">Placement verified; S&amp;P 500 +19% in 2017, −6% in 2018; Nifty +29% 2017, +3% 2018</t>
  </si>
  <si>
    <t xml:space="preserve">PREDICTION NOT BORNE OUT</t>
  </si>
  <si>
    <t xml:space="preserve">Ephemeris configuration test matrix (36 hard tests from the book)</t>
  </si>
  <si>
    <t xml:space="preserve">Ayanāṃśa</t>
  </si>
  <si>
    <t xml:space="preserve">Node</t>
  </si>
  <si>
    <t xml:space="preserve">Hard pass</t>
  </si>
  <si>
    <t xml:space="preserve">Hard total</t>
  </si>
  <si>
    <t xml:space="preserve">Soft pass</t>
  </si>
  <si>
    <t xml:space="preserve">Soft total</t>
  </si>
  <si>
    <t xml:space="preserve">Selected</t>
  </si>
  <si>
    <t xml:space="preserve">Lahiri</t>
  </si>
  <si>
    <t xml:space="preserve">true</t>
  </si>
  <si>
    <t xml:space="preserve">YES</t>
  </si>
  <si>
    <t xml:space="preserve">mean</t>
  </si>
  <si>
    <t xml:space="preserve">Raman</t>
  </si>
  <si>
    <t xml:space="preserve">Krishnamurti</t>
  </si>
  <si>
    <t xml:space="preserve">Fagan-Bradley</t>
  </si>
  <si>
    <t xml:space="preserve">Tropical</t>
  </si>
  <si>
    <t xml:space="preserve">Aspect rule vs book worked examples: recall 96%, precision 79%; theoretical minimum errors 5 due to:</t>
  </si>
  <si>
    <t xml:space="preserve">• 29-Sep: Sūrya–Śani are conjunct in Kanyā; the book lists Sūrya among Śani's aspects but omits Śani from Sūrya's list.</t>
  </si>
  <si>
    <t xml:space="preserve">• 29-Sep: Rāhu (Makara) aspects Kanyā by its 9th dṛṣṭi; the book lists Rāhu on Sūrya (Kanyā) but not on Śani (also Kanyā).</t>
  </si>
  <si>
    <t xml:space="preserve">• 29/30-Sep: Ketu (Karkaṭa) aspects Makara by 7th dṛṣṭi; the book lists Ketu on Guru (Makara) but not on Candra (also Makara).</t>
  </si>
  <si>
    <t xml:space="preserve">• 29-Sep: Candra–Śani trine is listed for Śani but not for Candra (a trine is mutual).</t>
  </si>
  <si>
    <t xml:space="preserve">Backtest 2012-02-21 → 2026-10-26 — directional hit-rates (threshold ±0.15)</t>
  </si>
  <si>
    <t xml:space="preserve">Hit = sign(score) equals sign(realised return). Naive = always predicting the majority direction on the same days.</t>
  </si>
  <si>
    <t xml:space="preserve">Price series</t>
  </si>
  <si>
    <t xml:space="preserve">Quality</t>
  </si>
  <si>
    <t xml:space="preserve">Calls (n)</t>
  </si>
  <si>
    <t xml:space="preserve">95% low</t>
  </si>
  <si>
    <t xml:space="preserve">95% high</t>
  </si>
  <si>
    <t xml:space="preserve">Naive</t>
  </si>
  <si>
    <t xml:space="preserve">In-sample 2012-19</t>
  </si>
  <si>
    <t xml:space="preserve">Out-of-sample 2020+</t>
  </si>
  <si>
    <t xml:space="preserve">Avg ret Bullish calls</t>
  </si>
  <si>
    <t xml:space="preserve">Avg ret Bearish calls</t>
  </si>
  <si>
    <t xml:space="preserve">nifty 50</t>
  </si>
  <si>
    <t xml:space="preserve">direct</t>
  </si>
  <si>
    <t xml:space="preserve">nifty bank</t>
  </si>
  <si>
    <t xml:space="preserve">nifty it</t>
  </si>
  <si>
    <t xml:space="preserve">nifty auto</t>
  </si>
  <si>
    <t xml:space="preserve">nifty pharma</t>
  </si>
  <si>
    <t xml:space="preserve">nifty fmcg</t>
  </si>
  <si>
    <t xml:space="preserve">nifty metal</t>
  </si>
  <si>
    <t xml:space="preserve">nifty realty</t>
  </si>
  <si>
    <t xml:space="preserve">nifty media</t>
  </si>
  <si>
    <t xml:space="preserve">nifty infrastructure</t>
  </si>
  <si>
    <t xml:space="preserve">nifty pse</t>
  </si>
  <si>
    <t xml:space="preserve">nifty energy</t>
  </si>
  <si>
    <t xml:space="preserve">proxy</t>
  </si>
  <si>
    <t xml:space="preserve">weak</t>
  </si>
  <si>
    <t xml:space="preserve">nifty consumer durables</t>
  </si>
  <si>
    <t xml:space="preserve">nifty services sector</t>
  </si>
  <si>
    <t xml:space="preserve">nifty transportation &amp; logistics</t>
  </si>
  <si>
    <t xml:space="preserve">nifty india tourism</t>
  </si>
  <si>
    <t xml:space="preserve">nifty india consumption</t>
  </si>
  <si>
    <t xml:space="preserve">goldbees</t>
  </si>
  <si>
    <t xml:space="preserve">silverbees</t>
  </si>
  <si>
    <t xml:space="preserve">WTI</t>
  </si>
  <si>
    <t xml:space="preserve">HENRYHUB</t>
  </si>
  <si>
    <t xml:space="preserve">By rule family (direct-quality series)</t>
  </si>
  <si>
    <t xml:space="preserve">Family|horizon</t>
  </si>
  <si>
    <t xml:space="preserve">p-value</t>
  </si>
  <si>
    <t xml:space="preserve">CH10|intraday</t>
  </si>
  <si>
    <t xml:space="preserve">CH11|intraday</t>
  </si>
  <si>
    <t xml:space="preserve">CH14|intraday</t>
  </si>
  <si>
    <t xml:space="preserve">CH16|long</t>
  </si>
  <si>
    <t xml:space="preserve">CH16|short</t>
  </si>
  <si>
    <t xml:space="preserve">CH17|long</t>
  </si>
  <si>
    <t xml:space="preserve">CH17|short</t>
  </si>
  <si>
    <t xml:space="preserve">CH18|long</t>
  </si>
  <si>
    <t xml:space="preserve">CH18|short</t>
  </si>
  <si>
    <t xml:space="preserve">CH20|long</t>
  </si>
  <si>
    <t xml:space="preserve">CH6|intraday</t>
  </si>
  <si>
    <t xml:space="preserve">CH6|long</t>
  </si>
  <si>
    <t xml:space="preserve">CH6|short</t>
  </si>
  <si>
    <t xml:space="preserve">CH7|intraday</t>
  </si>
  <si>
    <t xml:space="preserve">CH7|long</t>
  </si>
  <si>
    <t xml:space="preserve">CH7|short</t>
  </si>
  <si>
    <t xml:space="preserve">CH8|intraday</t>
  </si>
  <si>
    <t xml:space="preserve">Long-run cycle tests</t>
  </si>
  <si>
    <t xml:space="preserve">gold_cycle_f3</t>
  </si>
  <si>
    <t xml:space="preserve">{"test": "Ch.17 gold-cycle score (mid-month) vs USD gold forward return", "horizon": "f3", "months": 473, "hits": 252, "hit": 0.5328, "lo": 0.4877, "hi": 0.5773, "base_up": 0.5449, "mean_ret_bull": 0.0287, "mean_ret_bear": 0.0315, "node_conj_months": 122, "mean_ret_node_conj": 0.0481, "note": "monthly windows overlap for f12; effective n \u2248 months/12"}</t>
  </si>
  <si>
    <t xml:space="preserve">gold_cycle_f12</t>
  </si>
  <si>
    <t xml:space="preserve">{"test": "Ch.17 gold-cycle score (mid-month) vs USD gold forward return", "horizon": "f12", "months": 473, "hits": 272, "hit": 0.5751, "lo": 0.5301, "hi": 0.6188, "base_up": 0.6149, "mean_ret_bull": 0.1293, "mean_ret_bear": 0.1121, "node_conj_months": 122, "mean_ret_node_conj": 0.1229, "note": "monthly windows overlap for f12; effective n \u2248 months/12"}</t>
  </si>
  <si>
    <t xml:space="preserve">crude_cycle_f3</t>
  </si>
  <si>
    <t xml:space="preserve">{"test": "Ch.18 crude-cycle score vs WTI 3-month forward return", "months": 305, "hits": 137, "hit": 0.4492, "lo": 0.3943, "hi": 0.5053, "base_up": 0.5741, "mean_ret_bull": 0.0114, "mean_ret_bear": 0.0339}</t>
  </si>
  <si>
    <t xml:space="preserve">business_cycle_sp500</t>
  </si>
  <si>
    <t xml:space="preserve">{"test": "Ch.16 regime (\u015aani r\u0101\u015bi element \u00d7 Guru aspect) vs S&amp;P 500 next-12-month return, 1871\u2192", "note": "12-month windows overlap; effective n \u2248 months/12", "recession_active_vs_rest": {"recession_mean": 0.007739664414564189, "rest_mean": 0.07188833076521613, "recession_pct_down": 0.44502617801047123, "rest_pct_down": 0.343937575030012}}</t>
  </si>
  <si>
    <t xml:space="preserve">Growth &amp; expansion | ACTIVE</t>
  </si>
  <si>
    <t xml:space="preserve">Growth &amp; expansion | DORMANT</t>
  </si>
  <si>
    <t xml:space="preserve">Growth &amp; expansion | TRIGGERED</t>
  </si>
  <si>
    <t xml:space="preserve">Over-expansion &amp; boom | ACTIVE</t>
  </si>
  <si>
    <t xml:space="preserve">Over-expansion &amp; boom | DORMANT</t>
  </si>
  <si>
    <t xml:space="preserve">Over-expansion &amp; boom | TRIGGERED</t>
  </si>
  <si>
    <t xml:space="preserve">Recession | ACTIVE</t>
  </si>
  <si>
    <t xml:space="preserve">Recession | DORMANT</t>
  </si>
  <si>
    <t xml:space="preserve">Recession | TRIGGERED</t>
  </si>
  <si>
    <t xml:space="preserve">Recession | WATCH</t>
  </si>
  <si>
    <t xml:space="preserve">Recovery &amp; revival | ACTIVE</t>
  </si>
  <si>
    <t xml:space="preserve">Recovery &amp; revival | DORMANT</t>
  </si>
  <si>
    <t xml:space="preserve">Recovery &amp; revival | TRIGGERED</t>
  </si>
  <si>
    <t xml:space="preserve">ALL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</si>
</sst>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+0.00;\-0.00;0.00"/>
    <numFmt numFmtId="166" formatCode="0%"/>
    <numFmt numFmtId="167" formatCode=";;;"/>
    <numFmt numFmtId="168" formatCode="dd\-mmm\-yy"/>
    <numFmt numFmtId="169" formatCode="\+0.00%;\-0.00%;0.00%"/>
    <numFmt numFmtId="170" formatCode="0.0%"/>
    <numFmt numFmtId="171" formatCode="\+0.00%;\-0.00%"/>
    <numFmt numFmtId="172" formatCode="0.000"/>
    <numFmt numFmtId="173" formatCode="\+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65D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sz val="7"/>
      <color rgb="FF999999"/>
      <name val="Arial"/>
      <family val="0"/>
      <charset val="1"/>
    </font>
    <font>
      <sz val="6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1F9D55"/>
        <bgColor rgb="FF008080"/>
      </patternFill>
    </fill>
    <fill>
      <patternFill patternType="solid">
        <fgColor rgb="FFD69E2E"/>
        <bgColor rgb="FFFF8080"/>
      </patternFill>
    </fill>
    <fill>
      <patternFill patternType="solid">
        <fgColor rgb="FFC5303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F6D5"/>
        </patternFill>
      </fill>
    </dxf>
    <dxf>
      <fill>
        <patternFill>
          <bgColor rgb="FFFED7D7"/>
        </patternFill>
      </fill>
    </dxf>
    <dxf>
      <fill>
        <patternFill>
          <bgColor rgb="FFFEFCBF"/>
        </patternFill>
      </fill>
    </dxf>
    <dxf>
      <fill>
        <patternFill>
          <bgColor rgb="FF1F9D55"/>
        </patternFill>
      </fill>
    </dxf>
    <dxf>
      <fill>
        <patternFill>
          <bgColor rgb="FFC53030"/>
        </patternFill>
      </fill>
    </dxf>
    <dxf>
      <fill>
        <patternFill>
          <bgColor rgb="FFD69E2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BF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6D5"/>
      <rgbColor rgb="FFFFFF99"/>
      <rgbColor rgb="FF99CCFF"/>
      <rgbColor rgb="FFFF99CC"/>
      <rgbColor rgb="FFCC99FF"/>
      <rgbColor rgb="FFFED7D7"/>
      <rgbColor rgb="FF3366FF"/>
      <rgbColor rgb="FF33CCCC"/>
      <rgbColor rgb="FF99CC00"/>
      <rgbColor rgb="FFFFCC00"/>
      <rgbColor rgb="FFD69E2E"/>
      <rgbColor rgb="FFFF6600"/>
      <rgbColor rgb="FF666666"/>
      <rgbColor rgb="FF999999"/>
      <rgbColor rgb="FF1A365D"/>
      <rgbColor rgb="FF1F9D55"/>
      <rgbColor rgb="FF003300"/>
      <rgbColor rgb="FF333300"/>
      <rgbColor rgb="FFC5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  <col collapsed="false" customWidth="true" hidden="false" outlineLevel="0" max="9" min="7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G7" s="2" t="s">
        <v>8</v>
      </c>
    </row>
    <row r="8" customFormat="false" ht="26.85" hidden="false" customHeight="false" outlineLevel="0" collapsed="false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</row>
    <row r="9" customFormat="false" ht="15" hidden="false" customHeight="false" outlineLevel="0" collapsed="false">
      <c r="A9" s="6" t="s">
        <v>18</v>
      </c>
      <c r="B9" s="7" t="n">
        <v>-0.493</v>
      </c>
      <c r="C9" s="7" t="n">
        <v>0.203</v>
      </c>
      <c r="D9" s="7" t="n">
        <v>0.065</v>
      </c>
      <c r="E9" s="7" t="n">
        <f aca="false">Settings!$C$5*B9+Settings!$C$6*C9+Settings!$C$7*D9</f>
        <v>-0.1726</v>
      </c>
      <c r="F9" s="3" t="str">
        <f aca="false">IF(E9&gt;Settings!$C$4,"Bullish",IF(E9&lt;-Settings!$C$4,"Bearish","Neutral"))</f>
        <v>Bearish</v>
      </c>
      <c r="G9" s="8" t="n">
        <v>0.529</v>
      </c>
      <c r="H9" s="8" t="n">
        <v>0.495</v>
      </c>
      <c r="I9" s="8"/>
    </row>
    <row r="10" customFormat="false" ht="15" hidden="false" customHeight="false" outlineLevel="0" collapsed="false">
      <c r="A10" s="6" t="s">
        <v>19</v>
      </c>
      <c r="B10" s="7" t="n">
        <v>-0.515</v>
      </c>
      <c r="C10" s="7" t="n">
        <v>0.142</v>
      </c>
      <c r="D10" s="7" t="n">
        <v>-0.008</v>
      </c>
      <c r="E10" s="7" t="n">
        <f aca="false">Settings!$C$5*B10+Settings!$C$6*C10+Settings!$C$7*D10</f>
        <v>-0.2165</v>
      </c>
      <c r="F10" s="3" t="str">
        <f aca="false">IF(E10&gt;Settings!$C$4,"Bullish",IF(E10&lt;-Settings!$C$4,"Bearish","Neutral"))</f>
        <v>Bearish</v>
      </c>
      <c r="G10" s="8" t="n">
        <v>0.485</v>
      </c>
      <c r="H10" s="8"/>
      <c r="I10" s="8"/>
    </row>
    <row r="11" customFormat="false" ht="15" hidden="false" customHeight="false" outlineLevel="0" collapsed="false">
      <c r="A11" s="6" t="s">
        <v>20</v>
      </c>
      <c r="B11" s="7" t="n">
        <v>0.003</v>
      </c>
      <c r="C11" s="7" t="n">
        <v>0.032</v>
      </c>
      <c r="D11" s="7" t="n">
        <v>0.002</v>
      </c>
      <c r="E11" s="7" t="n">
        <f aca="false">Settings!$C$5*B11+Settings!$C$6*C11+Settings!$C$7*D11</f>
        <v>0.0115</v>
      </c>
      <c r="F11" s="3" t="str">
        <f aca="false">IF(E11&gt;Settings!$C$4,"Bullish",IF(E11&lt;-Settings!$C$4,"Bearish","Neutral"))</f>
        <v>Neutral</v>
      </c>
      <c r="G11" s="8"/>
      <c r="H11" s="8"/>
      <c r="I11" s="8"/>
    </row>
    <row r="12" customFormat="false" ht="15" hidden="false" customHeight="false" outlineLevel="0" collapsed="false">
      <c r="A12" s="6" t="s">
        <v>21</v>
      </c>
      <c r="B12" s="7" t="n">
        <v>0.07</v>
      </c>
      <c r="C12" s="7" t="n">
        <v>0.032</v>
      </c>
      <c r="D12" s="7" t="n">
        <v>0.088</v>
      </c>
      <c r="E12" s="7" t="n">
        <f aca="false">Settings!$C$5*B12+Settings!$C$6*C12+Settings!$C$7*D12</f>
        <v>0.0622</v>
      </c>
      <c r="F12" s="3" t="str">
        <f aca="false">IF(E12&gt;Settings!$C$4,"Bullish",IF(E12&lt;-Settings!$C$4,"Bearish","Neutral"))</f>
        <v>Neutral</v>
      </c>
      <c r="G12" s="8"/>
      <c r="H12" s="8"/>
      <c r="I12" s="8"/>
    </row>
    <row r="13" customFormat="false" ht="15" hidden="false" customHeight="false" outlineLevel="0" collapsed="false">
      <c r="A13" s="6" t="s">
        <v>22</v>
      </c>
      <c r="B13" s="7" t="n">
        <v>-0.711</v>
      </c>
      <c r="C13" s="7" t="n">
        <v>0.146</v>
      </c>
      <c r="D13" s="7" t="n">
        <v>0.112</v>
      </c>
      <c r="E13" s="7" t="n">
        <f aca="false">Settings!$C$5*B13+Settings!$C$6*C13+Settings!$C$7*D13</f>
        <v>-0.2893</v>
      </c>
      <c r="F13" s="3" t="str">
        <f aca="false">IF(E13&gt;Settings!$C$4,"Bullish",IF(E13&lt;-Settings!$C$4,"Bearish","Neutral"))</f>
        <v>Bearish</v>
      </c>
      <c r="G13" s="8" t="n">
        <v>0.488</v>
      </c>
      <c r="H13" s="8"/>
      <c r="I13" s="8"/>
    </row>
    <row r="14" customFormat="false" ht="15" hidden="false" customHeight="false" outlineLevel="0" collapsed="false">
      <c r="A14" s="6" t="s">
        <v>23</v>
      </c>
      <c r="B14" s="7" t="n">
        <v>0.069</v>
      </c>
      <c r="C14" s="7" t="n">
        <v>0.032</v>
      </c>
      <c r="D14" s="7" t="n">
        <v>0.049</v>
      </c>
      <c r="E14" s="7" t="n">
        <f aca="false">Settings!$C$5*B14+Settings!$C$6*C14+Settings!$C$7*D14</f>
        <v>0.0539</v>
      </c>
      <c r="F14" s="3" t="str">
        <f aca="false">IF(E14&gt;Settings!$C$4,"Bullish",IF(E14&lt;-Settings!$C$4,"Bearish","Neutral"))</f>
        <v>Neutral</v>
      </c>
      <c r="G14" s="8"/>
      <c r="H14" s="8"/>
      <c r="I14" s="8"/>
    </row>
    <row r="15" customFormat="false" ht="15" hidden="false" customHeight="false" outlineLevel="0" collapsed="false">
      <c r="A15" s="6" t="s">
        <v>24</v>
      </c>
      <c r="B15" s="7" t="n">
        <v>0.026</v>
      </c>
      <c r="C15" s="7" t="n">
        <v>0.097</v>
      </c>
      <c r="D15" s="7" t="n">
        <v>-0.054</v>
      </c>
      <c r="E15" s="7" t="n">
        <f aca="false">Settings!$C$5*B15+Settings!$C$6*C15+Settings!$C$7*D15</f>
        <v>0.0313</v>
      </c>
      <c r="F15" s="3" t="str">
        <f aca="false">IF(E15&gt;Settings!$C$4,"Bullish",IF(E15&lt;-Settings!$C$4,"Bearish","Neutral"))</f>
        <v>Neutral</v>
      </c>
      <c r="G15" s="8"/>
      <c r="H15" s="8"/>
      <c r="I15" s="8"/>
    </row>
    <row r="16" customFormat="false" ht="15" hidden="false" customHeight="false" outlineLevel="0" collapsed="false">
      <c r="A16" s="6" t="s">
        <v>25</v>
      </c>
      <c r="B16" s="7" t="n">
        <v>0.059</v>
      </c>
      <c r="C16" s="7" t="n">
        <v>0.233</v>
      </c>
      <c r="D16" s="7" t="n">
        <v>-0.159</v>
      </c>
      <c r="E16" s="7" t="n">
        <f aca="false">Settings!$C$5*B16+Settings!$C$6*C16+Settings!$C$7*D16</f>
        <v>0.0676</v>
      </c>
      <c r="F16" s="3" t="str">
        <f aca="false">IF(E16&gt;Settings!$C$4,"Bullish",IF(E16&lt;-Settings!$C$4,"Bearish","Neutral"))</f>
        <v>Neutral</v>
      </c>
      <c r="G16" s="8"/>
      <c r="H16" s="8" t="n">
        <v>0.523</v>
      </c>
      <c r="I16" s="8" t="n">
        <v>0.448</v>
      </c>
    </row>
    <row r="17" customFormat="false" ht="15" hidden="false" customHeight="false" outlineLevel="0" collapsed="false">
      <c r="A17" s="6" t="s">
        <v>26</v>
      </c>
      <c r="B17" s="7" t="n">
        <v>0.129</v>
      </c>
      <c r="C17" s="7" t="n">
        <v>0.032</v>
      </c>
      <c r="D17" s="7" t="n">
        <v>-0.005</v>
      </c>
      <c r="E17" s="7" t="n">
        <f aca="false">Settings!$C$5*B17+Settings!$C$6*C17+Settings!$C$7*D17</f>
        <v>0.0731</v>
      </c>
      <c r="F17" s="3" t="str">
        <f aca="false">IF(E17&gt;Settings!$C$4,"Bullish",IF(E17&lt;-Settings!$C$4,"Bearish","Neutral"))</f>
        <v>Neutral</v>
      </c>
      <c r="G17" s="8"/>
      <c r="H17" s="8"/>
      <c r="I17" s="8"/>
    </row>
    <row r="18" customFormat="false" ht="15" hidden="false" customHeight="false" outlineLevel="0" collapsed="false">
      <c r="A18" s="6" t="s">
        <v>27</v>
      </c>
      <c r="B18" s="7" t="n">
        <v>-0.402</v>
      </c>
      <c r="C18" s="7" t="n">
        <v>0.032</v>
      </c>
      <c r="D18" s="7" t="n">
        <v>0.101</v>
      </c>
      <c r="E18" s="7" t="n">
        <f aca="false">Settings!$C$5*B18+Settings!$C$6*C18+Settings!$C$7*D18</f>
        <v>-0.1712</v>
      </c>
      <c r="F18" s="3" t="str">
        <f aca="false">IF(E18&gt;Settings!$C$4,"Bullish",IF(E18&lt;-Settings!$C$4,"Bearish","Neutral"))</f>
        <v>Bearish</v>
      </c>
      <c r="G18" s="8" t="n">
        <v>0.516</v>
      </c>
      <c r="H18" s="8"/>
      <c r="I18" s="8"/>
    </row>
    <row r="19" customFormat="false" ht="15" hidden="false" customHeight="false" outlineLevel="0" collapsed="false">
      <c r="A19" s="6" t="s">
        <v>28</v>
      </c>
      <c r="B19" s="7" t="n">
        <v>-0.778</v>
      </c>
      <c r="C19" s="7" t="n">
        <v>-0.047</v>
      </c>
      <c r="D19" s="7" t="n">
        <v>0.128</v>
      </c>
      <c r="E19" s="7" t="n">
        <f aca="false">Settings!$C$5*B19+Settings!$C$6*C19+Settings!$C$7*D19</f>
        <v>-0.3775</v>
      </c>
      <c r="F19" s="3" t="str">
        <f aca="false">IF(E19&gt;Settings!$C$4,"Bullish",IF(E19&lt;-Settings!$C$4,"Bearish","Neutral"))</f>
        <v>Bearish</v>
      </c>
      <c r="G19" s="8" t="n">
        <v>0.506</v>
      </c>
      <c r="H19" s="8"/>
      <c r="I19" s="8"/>
    </row>
    <row r="20" customFormat="false" ht="15" hidden="false" customHeight="false" outlineLevel="0" collapsed="false">
      <c r="A20" s="6" t="s">
        <v>29</v>
      </c>
      <c r="B20" s="7" t="n">
        <v>-0.252</v>
      </c>
      <c r="C20" s="7" t="n">
        <v>0.032</v>
      </c>
      <c r="D20" s="7" t="n">
        <v>-0.005</v>
      </c>
      <c r="E20" s="7" t="n">
        <f aca="false">Settings!$C$5*B20+Settings!$C$6*C20+Settings!$C$7*D20</f>
        <v>-0.1174</v>
      </c>
      <c r="F20" s="3" t="str">
        <f aca="false">IF(E20&gt;Settings!$C$4,"Bullish",IF(E20&lt;-Settings!$C$4,"Bearish","Neutral"))</f>
        <v>Neutral</v>
      </c>
      <c r="G20" s="8" t="n">
        <v>0.518</v>
      </c>
      <c r="H20" s="8"/>
      <c r="I20" s="8"/>
    </row>
    <row r="21" customFormat="false" ht="15" hidden="false" customHeight="false" outlineLevel="0" collapsed="false">
      <c r="A21" s="6" t="s">
        <v>30</v>
      </c>
      <c r="B21" s="7" t="n">
        <v>-0.459</v>
      </c>
      <c r="C21" s="7" t="n">
        <v>0.284</v>
      </c>
      <c r="D21" s="7" t="n">
        <v>0.092</v>
      </c>
      <c r="E21" s="7" t="n">
        <f aca="false">Settings!$C$5*B21+Settings!$C$6*C21+Settings!$C$7*D21</f>
        <v>-0.1259</v>
      </c>
      <c r="F21" s="3" t="str">
        <f aca="false">IF(E21&gt;Settings!$C$4,"Bullish",IF(E21&lt;-Settings!$C$4,"Bearish","Neutral"))</f>
        <v>Neutral</v>
      </c>
      <c r="G21" s="8" t="n">
        <v>0.482</v>
      </c>
      <c r="H21" s="8" t="n">
        <v>0.531</v>
      </c>
      <c r="I21" s="8"/>
    </row>
    <row r="22" customFormat="false" ht="15" hidden="false" customHeight="false" outlineLevel="0" collapsed="false">
      <c r="A22" s="6" t="s">
        <v>31</v>
      </c>
      <c r="B22" s="7" t="n">
        <v>-0.439</v>
      </c>
      <c r="C22" s="7" t="n">
        <v>0.127</v>
      </c>
      <c r="D22" s="7" t="n">
        <v>0.468</v>
      </c>
      <c r="E22" s="7" t="n">
        <f aca="false">Settings!$C$5*B22+Settings!$C$6*C22+Settings!$C$7*D22</f>
        <v>-0.0878</v>
      </c>
      <c r="F22" s="3" t="str">
        <f aca="false">IF(E22&gt;Settings!$C$4,"Bullish",IF(E22&lt;-Settings!$C$4,"Bearish","Neutral"))</f>
        <v>Neutral</v>
      </c>
      <c r="G22" s="8" t="n">
        <v>0.478</v>
      </c>
      <c r="H22" s="8"/>
      <c r="I22" s="8" t="n">
        <v>0.578</v>
      </c>
    </row>
    <row r="23" customFormat="false" ht="15" hidden="false" customHeight="false" outlineLevel="0" collapsed="false">
      <c r="A23" s="6" t="s">
        <v>32</v>
      </c>
      <c r="B23" s="7" t="n">
        <v>-0.544</v>
      </c>
      <c r="C23" s="7" t="n">
        <v>-0.182</v>
      </c>
      <c r="D23" s="7" t="n">
        <v>0.002</v>
      </c>
      <c r="E23" s="7" t="n">
        <f aca="false">Settings!$C$5*B23+Settings!$C$6*C23+Settings!$C$7*D23</f>
        <v>-0.3262</v>
      </c>
      <c r="F23" s="3" t="str">
        <f aca="false">IF(E23&gt;Settings!$C$4,"Bullish",IF(E23&lt;-Settings!$C$4,"Bearish","Neutral"))</f>
        <v>Bearish</v>
      </c>
      <c r="G23" s="8" t="n">
        <v>0.517</v>
      </c>
      <c r="H23" s="8" t="n">
        <v>0.536</v>
      </c>
      <c r="I23" s="8"/>
    </row>
    <row r="24" customFormat="false" ht="15" hidden="false" customHeight="false" outlineLevel="0" collapsed="false">
      <c r="A24" s="6" t="s">
        <v>33</v>
      </c>
      <c r="B24" s="7" t="n">
        <v>-0.691</v>
      </c>
      <c r="C24" s="7" t="n">
        <v>-0.202</v>
      </c>
      <c r="D24" s="7" t="n">
        <v>0.132</v>
      </c>
      <c r="E24" s="7" t="n">
        <f aca="false">Settings!$C$5*B24+Settings!$C$6*C24+Settings!$C$7*D24</f>
        <v>-0.3797</v>
      </c>
      <c r="F24" s="3" t="str">
        <f aca="false">IF(E24&gt;Settings!$C$4,"Bullish",IF(E24&lt;-Settings!$C$4,"Bearish","Neutral"))</f>
        <v>Bearish</v>
      </c>
      <c r="G24" s="8" t="n">
        <v>0.504</v>
      </c>
      <c r="H24" s="8" t="n">
        <v>0.484</v>
      </c>
      <c r="I24" s="8"/>
    </row>
    <row r="25" customFormat="false" ht="15" hidden="false" customHeight="false" outlineLevel="0" collapsed="false">
      <c r="A25" s="6" t="s">
        <v>34</v>
      </c>
      <c r="B25" s="7" t="n">
        <v>0.02</v>
      </c>
      <c r="C25" s="7" t="n">
        <v>0.052</v>
      </c>
      <c r="D25" s="7" t="n">
        <v>-0.145</v>
      </c>
      <c r="E25" s="7" t="n">
        <f aca="false">Settings!$C$5*B25+Settings!$C$6*C25+Settings!$C$7*D25</f>
        <v>-0.0034</v>
      </c>
      <c r="F25" s="3" t="str">
        <f aca="false">IF(E25&gt;Settings!$C$4,"Bullish",IF(E25&lt;-Settings!$C$4,"Bearish","Neutral"))</f>
        <v>Neutral</v>
      </c>
      <c r="G25" s="8"/>
      <c r="H25" s="8"/>
      <c r="I25" s="8"/>
    </row>
    <row r="26" customFormat="false" ht="15" hidden="false" customHeight="false" outlineLevel="0" collapsed="false">
      <c r="A26" s="6" t="s">
        <v>35</v>
      </c>
      <c r="B26" s="7" t="n">
        <v>0.038</v>
      </c>
      <c r="C26" s="7" t="n">
        <v>0.032</v>
      </c>
      <c r="D26" s="7" t="n">
        <v>0.073</v>
      </c>
      <c r="E26" s="7" t="n">
        <f aca="false">Settings!$C$5*B26+Settings!$C$6*C26+Settings!$C$7*D26</f>
        <v>0.0432</v>
      </c>
      <c r="F26" s="3" t="str">
        <f aca="false">IF(E26&gt;Settings!$C$4,"Bullish",IF(E26&lt;-Settings!$C$4,"Bearish","Neutral"))</f>
        <v>Neutral</v>
      </c>
      <c r="G26" s="8"/>
      <c r="H26" s="8"/>
      <c r="I26" s="8"/>
    </row>
    <row r="27" customFormat="false" ht="15" hidden="false" customHeight="false" outlineLevel="0" collapsed="false">
      <c r="A27" s="6" t="s">
        <v>36</v>
      </c>
      <c r="B27" s="7" t="n">
        <v>0.181</v>
      </c>
      <c r="C27" s="7" t="n">
        <v>0.032</v>
      </c>
      <c r="D27" s="7" t="n">
        <v>-0.339</v>
      </c>
      <c r="E27" s="7" t="n">
        <f aca="false">Settings!$C$5*B27+Settings!$C$6*C27+Settings!$C$7*D27</f>
        <v>0.0323</v>
      </c>
      <c r="F27" s="3" t="str">
        <f aca="false">IF(E27&gt;Settings!$C$4,"Bullish",IF(E27&lt;-Settings!$C$4,"Bearish","Neutral"))</f>
        <v>Neutral</v>
      </c>
      <c r="G27" s="8" t="n">
        <v>0.457</v>
      </c>
      <c r="H27" s="8"/>
      <c r="I27" s="8" t="n">
        <v>0.334</v>
      </c>
    </row>
    <row r="28" customFormat="false" ht="15" hidden="false" customHeight="false" outlineLevel="0" collapsed="false">
      <c r="A28" s="6" t="s">
        <v>37</v>
      </c>
      <c r="B28" s="7" t="n">
        <v>-0.781</v>
      </c>
      <c r="C28" s="7" t="n">
        <v>-0.121</v>
      </c>
      <c r="D28" s="7" t="n">
        <v>0.363</v>
      </c>
      <c r="E28" s="7" t="n">
        <f aca="false">Settings!$C$5*B28+Settings!$C$6*C28+Settings!$C$7*D28</f>
        <v>-0.3542</v>
      </c>
      <c r="F28" s="3" t="str">
        <f aca="false">IF(E28&gt;Settings!$C$4,"Bullish",IF(E28&lt;-Settings!$C$4,"Bearish","Neutral"))</f>
        <v>Bearish</v>
      </c>
      <c r="G28" s="8" t="n">
        <v>0.52</v>
      </c>
      <c r="H28" s="8"/>
      <c r="I28" s="8" t="n">
        <v>0.431</v>
      </c>
    </row>
    <row r="29" customFormat="false" ht="15" hidden="false" customHeight="false" outlineLevel="0" collapsed="false">
      <c r="A29" s="6" t="s">
        <v>38</v>
      </c>
      <c r="B29" s="7" t="n">
        <v>0.104</v>
      </c>
      <c r="C29" s="7" t="n">
        <v>0.097</v>
      </c>
      <c r="D29" s="7" t="n">
        <v>-0.048</v>
      </c>
      <c r="E29" s="7" t="n">
        <f aca="false">Settings!$C$5*B29+Settings!$C$6*C29+Settings!$C$7*D29</f>
        <v>0.0715</v>
      </c>
      <c r="F29" s="3" t="str">
        <f aca="false">IF(E29&gt;Settings!$C$4,"Bullish",IF(E29&lt;-Settings!$C$4,"Bearish","Neutral"))</f>
        <v>Neutral</v>
      </c>
      <c r="G29" s="8"/>
      <c r="H29" s="8"/>
      <c r="I29" s="8"/>
    </row>
    <row r="30" customFormat="false" ht="15" hidden="false" customHeight="false" outlineLevel="0" collapsed="false">
      <c r="A30" s="6" t="s">
        <v>39</v>
      </c>
      <c r="B30" s="7" t="n">
        <v>-0.468</v>
      </c>
      <c r="C30" s="7" t="n">
        <v>-0.202</v>
      </c>
      <c r="D30" s="7" t="n">
        <v>0.132</v>
      </c>
      <c r="E30" s="7" t="n">
        <f aca="false">Settings!$C$5*B30+Settings!$C$6*C30+Settings!$C$7*D30</f>
        <v>-0.2682</v>
      </c>
      <c r="F30" s="3" t="str">
        <f aca="false">IF(E30&gt;Settings!$C$4,"Bullish",IF(E30&lt;-Settings!$C$4,"Bearish","Neutral"))</f>
        <v>Bearish</v>
      </c>
      <c r="G30" s="8" t="n">
        <v>0.527</v>
      </c>
      <c r="H30" s="8" t="n">
        <v>0.513</v>
      </c>
      <c r="I30" s="8"/>
    </row>
    <row r="31" customFormat="false" ht="15" hidden="false" customHeight="false" outlineLevel="0" collapsed="false">
      <c r="A31" s="6" t="s">
        <v>40</v>
      </c>
      <c r="B31" s="7" t="n">
        <v>-0.261</v>
      </c>
      <c r="C31" s="7" t="n">
        <v>0.032</v>
      </c>
      <c r="D31" s="7" t="n">
        <v>-0.126</v>
      </c>
      <c r="E31" s="7" t="n">
        <f aca="false">Settings!$C$5*B31+Settings!$C$6*C31+Settings!$C$7*D31</f>
        <v>-0.1461</v>
      </c>
      <c r="F31" s="3" t="str">
        <f aca="false">IF(E31&gt;Settings!$C$4,"Bullish",IF(E31&lt;-Settings!$C$4,"Bearish","Neutral"))</f>
        <v>Neutral</v>
      </c>
      <c r="G31" s="8" t="n">
        <v>0.527</v>
      </c>
      <c r="H31" s="8"/>
      <c r="I31" s="8"/>
    </row>
    <row r="32" customFormat="false" ht="15" hidden="false" customHeight="false" outlineLevel="0" collapsed="false">
      <c r="A32" s="6" t="s">
        <v>41</v>
      </c>
      <c r="B32" s="7" t="n">
        <v>-0.151</v>
      </c>
      <c r="C32" s="7" t="n">
        <v>0.021</v>
      </c>
      <c r="D32" s="7" t="n">
        <v>0.094</v>
      </c>
      <c r="E32" s="7" t="n">
        <f aca="false">Settings!$C$5*B32+Settings!$C$6*C32+Settings!$C$7*D32</f>
        <v>-0.0504</v>
      </c>
      <c r="F32" s="3" t="str">
        <f aca="false">IF(E32&gt;Settings!$C$4,"Bullish",IF(E32&lt;-Settings!$C$4,"Bearish","Neutral"))</f>
        <v>Neutral</v>
      </c>
      <c r="G32" s="8" t="n">
        <v>0.493</v>
      </c>
      <c r="H32" s="8"/>
      <c r="I32" s="8"/>
    </row>
    <row r="33" customFormat="false" ht="15" hidden="false" customHeight="false" outlineLevel="0" collapsed="false">
      <c r="A33" s="6" t="s">
        <v>42</v>
      </c>
      <c r="B33" s="7" t="n">
        <v>0.038</v>
      </c>
      <c r="C33" s="7" t="n">
        <v>0.032</v>
      </c>
      <c r="D33" s="7" t="n">
        <v>0.101</v>
      </c>
      <c r="E33" s="7" t="n">
        <f aca="false">Settings!$C$5*B33+Settings!$C$6*C33+Settings!$C$7*D33</f>
        <v>0.0488</v>
      </c>
      <c r="F33" s="3" t="str">
        <f aca="false">IF(E33&gt;Settings!$C$4,"Bullish",IF(E33&lt;-Settings!$C$4,"Bearish","Neutral"))</f>
        <v>Neutral</v>
      </c>
      <c r="G33" s="8"/>
      <c r="H33" s="8"/>
      <c r="I33" s="8"/>
    </row>
    <row r="34" customFormat="false" ht="15" hidden="false" customHeight="false" outlineLevel="0" collapsed="false">
      <c r="A34" s="6" t="s">
        <v>43</v>
      </c>
      <c r="B34" s="7" t="n">
        <v>0.217</v>
      </c>
      <c r="C34" s="7" t="n">
        <v>0.052</v>
      </c>
      <c r="D34" s="7" t="n">
        <v>-0.145</v>
      </c>
      <c r="E34" s="7" t="n">
        <f aca="false">Settings!$C$5*B34+Settings!$C$6*C34+Settings!$C$7*D34</f>
        <v>0.0951</v>
      </c>
      <c r="F34" s="3" t="str">
        <f aca="false">IF(E34&gt;Settings!$C$4,"Bullish",IF(E34&lt;-Settings!$C$4,"Bearish","Neutral"))</f>
        <v>Neutral</v>
      </c>
      <c r="G34" s="8" t="n">
        <v>0.468</v>
      </c>
      <c r="H34" s="8"/>
      <c r="I34" s="8"/>
    </row>
    <row r="35" customFormat="false" ht="15" hidden="false" customHeight="false" outlineLevel="0" collapsed="false">
      <c r="A35" s="6" t="s">
        <v>44</v>
      </c>
      <c r="B35" s="7" t="n">
        <v>0.161</v>
      </c>
      <c r="C35" s="7" t="n">
        <v>0.184</v>
      </c>
      <c r="D35" s="7" t="n">
        <v>-0.015</v>
      </c>
      <c r="E35" s="7" t="n">
        <f aca="false">Settings!$C$5*B35+Settings!$C$6*C35+Settings!$C$7*D35</f>
        <v>0.1327</v>
      </c>
      <c r="F35" s="3" t="str">
        <f aca="false">IF(E35&gt;Settings!$C$4,"Bullish",IF(E35&lt;-Settings!$C$4,"Bearish","Neutral"))</f>
        <v>Neutral</v>
      </c>
      <c r="G35" s="8" t="n">
        <v>0.5</v>
      </c>
      <c r="H35" s="8" t="n">
        <v>0.439</v>
      </c>
      <c r="I35" s="8"/>
    </row>
    <row r="36" customFormat="false" ht="15" hidden="false" customHeight="false" outlineLevel="0" collapsed="false">
      <c r="A36" s="6" t="s">
        <v>45</v>
      </c>
      <c r="B36" s="7" t="n">
        <v>-0.789</v>
      </c>
      <c r="C36" s="7" t="n">
        <v>-0.202</v>
      </c>
      <c r="D36" s="7" t="n">
        <v>0.08</v>
      </c>
      <c r="E36" s="7" t="n">
        <f aca="false">Settings!$C$5*B36+Settings!$C$6*C36+Settings!$C$7*D36</f>
        <v>-0.4391</v>
      </c>
      <c r="F36" s="3" t="str">
        <f aca="false">IF(E36&gt;Settings!$C$4,"Bullish",IF(E36&lt;-Settings!$C$4,"Bearish","Neutral"))</f>
        <v>Bearish</v>
      </c>
      <c r="G36" s="8" t="n">
        <v>0.498</v>
      </c>
      <c r="H36" s="8" t="n">
        <v>0.515</v>
      </c>
      <c r="I36" s="8"/>
    </row>
    <row r="37" customFormat="false" ht="15" hidden="false" customHeight="false" outlineLevel="0" collapsed="false">
      <c r="A37" s="6" t="s">
        <v>46</v>
      </c>
      <c r="B37" s="7" t="n">
        <v>-0.161</v>
      </c>
      <c r="C37" s="7" t="n">
        <v>0.424</v>
      </c>
      <c r="D37" s="7" t="n">
        <v>0.077</v>
      </c>
      <c r="E37" s="7" t="n">
        <f aca="false">Settings!$C$5*B37+Settings!$C$6*C37+Settings!$C$7*D37</f>
        <v>0.0621</v>
      </c>
      <c r="F37" s="3" t="str">
        <f aca="false">IF(E37&gt;Settings!$C$4,"Bullish",IF(E37&lt;-Settings!$C$4,"Bearish","Neutral"))</f>
        <v>Neutral</v>
      </c>
      <c r="G37" s="8" t="n">
        <v>0.483</v>
      </c>
      <c r="H37" s="8" t="n">
        <v>0.528</v>
      </c>
      <c r="I37" s="8"/>
    </row>
    <row r="38" customFormat="false" ht="15" hidden="false" customHeight="false" outlineLevel="0" collapsed="false">
      <c r="A38" s="6" t="s">
        <v>47</v>
      </c>
      <c r="B38" s="7" t="n">
        <v>-0.456</v>
      </c>
      <c r="C38" s="7" t="n">
        <v>0.146</v>
      </c>
      <c r="D38" s="7" t="n">
        <v>0.112</v>
      </c>
      <c r="E38" s="7" t="n">
        <f aca="false">Settings!$C$5*B38+Settings!$C$6*C38+Settings!$C$7*D38</f>
        <v>-0.1618</v>
      </c>
      <c r="F38" s="3" t="str">
        <f aca="false">IF(E38&gt;Settings!$C$4,"Bullish",IF(E38&lt;-Settings!$C$4,"Bearish","Neutral"))</f>
        <v>Bearish</v>
      </c>
      <c r="G38" s="8" t="n">
        <v>0.511</v>
      </c>
      <c r="H38" s="8"/>
      <c r="I38" s="8"/>
    </row>
    <row r="39" customFormat="false" ht="15" hidden="false" customHeight="false" outlineLevel="0" collapsed="false">
      <c r="A39" s="6" t="s">
        <v>48</v>
      </c>
      <c r="B39" s="7" t="n">
        <v>-0.642</v>
      </c>
      <c r="C39" s="7" t="n">
        <v>0.152</v>
      </c>
      <c r="D39" s="7" t="n">
        <v>0.157</v>
      </c>
      <c r="E39" s="7" t="n">
        <f aca="false">Settings!$C$5*B39+Settings!$C$6*C39+Settings!$C$7*D39</f>
        <v>-0.244</v>
      </c>
      <c r="F39" s="3" t="str">
        <f aca="false">IF(E39&gt;Settings!$C$4,"Bullish",IF(E39&lt;-Settings!$C$4,"Bearish","Neutral"))</f>
        <v>Bearish</v>
      </c>
      <c r="G39" s="8" t="n">
        <v>0.444</v>
      </c>
      <c r="H39" s="8" t="n">
        <v>0.466</v>
      </c>
      <c r="I39" s="8" t="n">
        <v>0.463</v>
      </c>
    </row>
    <row r="40" customFormat="false" ht="15" hidden="false" customHeight="false" outlineLevel="0" collapsed="false">
      <c r="A40" s="6" t="s">
        <v>49</v>
      </c>
      <c r="B40" s="7" t="n">
        <v>-0.23</v>
      </c>
      <c r="C40" s="7" t="n">
        <v>0.032</v>
      </c>
      <c r="D40" s="7" t="n">
        <v>-0.054</v>
      </c>
      <c r="E40" s="7" t="n">
        <f aca="false">Settings!$C$5*B40+Settings!$C$6*C40+Settings!$C$7*D40</f>
        <v>-0.1162</v>
      </c>
      <c r="F40" s="3" t="str">
        <f aca="false">IF(E40&gt;Settings!$C$4,"Bullish",IF(E40&lt;-Settings!$C$4,"Bearish","Neutral"))</f>
        <v>Neutral</v>
      </c>
      <c r="G40" s="8" t="n">
        <v>0.478</v>
      </c>
      <c r="H40" s="8"/>
      <c r="I40" s="8"/>
    </row>
    <row r="41" customFormat="false" ht="15" hidden="false" customHeight="false" outlineLevel="0" collapsed="false">
      <c r="A41" s="6" t="s">
        <v>50</v>
      </c>
      <c r="B41" s="7" t="n">
        <v>0.059</v>
      </c>
      <c r="C41" s="7" t="n">
        <v>0.642</v>
      </c>
      <c r="D41" s="7" t="n">
        <v>0.752</v>
      </c>
      <c r="E41" s="7" t="n">
        <f aca="false">Settings!$C$5*B41+Settings!$C$6*C41+Settings!$C$7*D41</f>
        <v>0.3725</v>
      </c>
      <c r="F41" s="3" t="str">
        <f aca="false">IF(E41&gt;Settings!$C$4,"Bullish",IF(E41&lt;-Settings!$C$4,"Bearish","Neutral"))</f>
        <v>Bullish</v>
      </c>
      <c r="G41" s="8"/>
      <c r="H41" s="8" t="n">
        <v>0.442</v>
      </c>
      <c r="I41" s="8" t="n">
        <v>0.522</v>
      </c>
    </row>
    <row r="42" customFormat="false" ht="15" hidden="false" customHeight="false" outlineLevel="0" collapsed="false">
      <c r="A42" s="6" t="s">
        <v>51</v>
      </c>
      <c r="B42" s="7" t="n">
        <v>-0.463</v>
      </c>
      <c r="C42" s="7" t="n">
        <v>-0.056</v>
      </c>
      <c r="D42" s="7" t="n">
        <v>0.085</v>
      </c>
      <c r="E42" s="7" t="n">
        <f aca="false">Settings!$C$5*B42+Settings!$C$6*C42+Settings!$C$7*D42</f>
        <v>-0.2313</v>
      </c>
      <c r="F42" s="3" t="str">
        <f aca="false">IF(E42&gt;Settings!$C$4,"Bullish",IF(E42&lt;-Settings!$C$4,"Bearish","Neutral"))</f>
        <v>Bearish</v>
      </c>
      <c r="G42" s="8" t="n">
        <v>0.494</v>
      </c>
      <c r="H42" s="8"/>
      <c r="I42" s="8"/>
    </row>
    <row r="43" customFormat="false" ht="15" hidden="false" customHeight="false" outlineLevel="0" collapsed="false">
      <c r="A43" s="6" t="s">
        <v>52</v>
      </c>
      <c r="B43" s="7" t="n">
        <v>0.062</v>
      </c>
      <c r="C43" s="7" t="n">
        <v>0.134</v>
      </c>
      <c r="D43" s="7" t="n">
        <v>-0.272</v>
      </c>
      <c r="E43" s="7" t="n">
        <f aca="false">Settings!$C$5*B43+Settings!$C$6*C43+Settings!$C$7*D43</f>
        <v>0.0168</v>
      </c>
      <c r="F43" s="3" t="str">
        <f aca="false">IF(E43&gt;Settings!$C$4,"Bullish",IF(E43&lt;-Settings!$C$4,"Bearish","Neutral"))</f>
        <v>Neutral</v>
      </c>
      <c r="G43" s="8"/>
      <c r="H43" s="8"/>
      <c r="I43" s="8" t="n">
        <v>0.364</v>
      </c>
    </row>
    <row r="44" customFormat="false" ht="15" hidden="false" customHeight="false" outlineLevel="0" collapsed="false">
      <c r="A44" s="6" t="s">
        <v>53</v>
      </c>
      <c r="B44" s="7" t="n">
        <v>0.257</v>
      </c>
      <c r="C44" s="7" t="n">
        <v>0.142</v>
      </c>
      <c r="D44" s="7" t="n">
        <v>-0.223</v>
      </c>
      <c r="E44" s="7" t="n">
        <f aca="false">Settings!$C$5*B44+Settings!$C$6*C44+Settings!$C$7*D44</f>
        <v>0.1265</v>
      </c>
      <c r="F44" s="3" t="str">
        <f aca="false">IF(E44&gt;Settings!$C$4,"Bullish",IF(E44&lt;-Settings!$C$4,"Bearish","Neutral"))</f>
        <v>Neutral</v>
      </c>
      <c r="G44" s="8" t="n">
        <v>0.516</v>
      </c>
      <c r="H44" s="8"/>
      <c r="I44" s="8" t="n">
        <v>0.508</v>
      </c>
    </row>
    <row r="45" customFormat="false" ht="15" hidden="false" customHeight="false" outlineLevel="0" collapsed="false">
      <c r="A45" s="6" t="s">
        <v>54</v>
      </c>
      <c r="B45" s="7" t="n">
        <v>-0.648</v>
      </c>
      <c r="C45" s="7" t="n">
        <v>-0.213</v>
      </c>
      <c r="D45" s="7" t="n">
        <v>0.155</v>
      </c>
      <c r="E45" s="7" t="n">
        <f aca="false">Settings!$C$5*B45+Settings!$C$6*C45+Settings!$C$7*D45</f>
        <v>-0.3569</v>
      </c>
      <c r="F45" s="3" t="str">
        <f aca="false">IF(E45&gt;Settings!$C$4,"Bullish",IF(E45&lt;-Settings!$C$4,"Bearish","Neutral"))</f>
        <v>Bearish</v>
      </c>
      <c r="G45" s="8" t="n">
        <v>0.503</v>
      </c>
      <c r="H45" s="8" t="n">
        <v>0.485</v>
      </c>
      <c r="I45" s="8" t="n">
        <v>0.462</v>
      </c>
    </row>
    <row r="46" customFormat="false" ht="15" hidden="false" customHeight="false" outlineLevel="0" collapsed="false">
      <c r="A46" s="6" t="s">
        <v>55</v>
      </c>
      <c r="B46" s="7" t="n">
        <v>0.06</v>
      </c>
      <c r="C46" s="7" t="n">
        <v>0.154</v>
      </c>
      <c r="D46" s="7" t="n">
        <v>0.003</v>
      </c>
      <c r="E46" s="7" t="n">
        <f aca="false">Settings!$C$5*B46+Settings!$C$6*C46+Settings!$C$7*D46</f>
        <v>0.0768</v>
      </c>
      <c r="F46" s="3" t="str">
        <f aca="false">IF(E46&gt;Settings!$C$4,"Bullish",IF(E46&lt;-Settings!$C$4,"Bearish","Neutral"))</f>
        <v>Neutral</v>
      </c>
      <c r="G46" s="8"/>
      <c r="H46" s="8" t="n">
        <v>0.441</v>
      </c>
      <c r="I46" s="8"/>
    </row>
    <row r="47" customFormat="false" ht="15" hidden="false" customHeight="false" outlineLevel="0" collapsed="false">
      <c r="A47" s="6" t="s">
        <v>56</v>
      </c>
      <c r="B47" s="7" t="n">
        <v>0.002</v>
      </c>
      <c r="C47" s="7" t="n">
        <v>0</v>
      </c>
      <c r="D47" s="7" t="n">
        <v>-0.102</v>
      </c>
      <c r="E47" s="7" t="n">
        <f aca="false">Settings!$C$5*B47+Settings!$C$6*C47+Settings!$C$7*D47</f>
        <v>-0.0194</v>
      </c>
      <c r="F47" s="3" t="str">
        <f aca="false">IF(E47&gt;Settings!$C$4,"Bullish",IF(E47&lt;-Settings!$C$4,"Bearish","Neutral"))</f>
        <v>Neutral</v>
      </c>
      <c r="G47" s="8"/>
      <c r="H47" s="8"/>
      <c r="I47" s="8"/>
    </row>
    <row r="48" customFormat="false" ht="15" hidden="false" customHeight="false" outlineLevel="0" collapsed="false">
      <c r="A48" s="6" t="s">
        <v>57</v>
      </c>
      <c r="B48" s="7" t="n">
        <v>0.038</v>
      </c>
      <c r="C48" s="7" t="n">
        <v>0</v>
      </c>
      <c r="D48" s="7" t="n">
        <v>0.048</v>
      </c>
      <c r="E48" s="7" t="n">
        <f aca="false">Settings!$C$5*B48+Settings!$C$6*C48+Settings!$C$7*D48</f>
        <v>0.0286</v>
      </c>
      <c r="F48" s="3" t="str">
        <f aca="false">IF(E48&gt;Settings!$C$4,"Bullish",IF(E48&lt;-Settings!$C$4,"Bearish","Neutral"))</f>
        <v>Neutral</v>
      </c>
      <c r="G48" s="8"/>
      <c r="H48" s="8"/>
      <c r="I48" s="8"/>
    </row>
    <row r="49" customFormat="false" ht="15" hidden="false" customHeight="false" outlineLevel="0" collapsed="false">
      <c r="A49" s="6" t="s">
        <v>58</v>
      </c>
      <c r="B49" s="7" t="n">
        <v>-0.032</v>
      </c>
      <c r="C49" s="7" t="n">
        <v>0</v>
      </c>
      <c r="D49" s="7" t="n">
        <v>0</v>
      </c>
      <c r="E49" s="7" t="n">
        <f aca="false">Settings!$C$5*B49+Settings!$C$6*C49+Settings!$C$7*D49</f>
        <v>-0.016</v>
      </c>
      <c r="F49" s="3" t="str">
        <f aca="false">IF(E49&gt;Settings!$C$4,"Bullish",IF(E49&lt;-Settings!$C$4,"Bearish","Neutral"))</f>
        <v>Neutral</v>
      </c>
      <c r="G49" s="8"/>
      <c r="H49" s="8"/>
      <c r="I49" s="8"/>
    </row>
    <row r="50" customFormat="false" ht="15" hidden="false" customHeight="false" outlineLevel="0" collapsed="false">
      <c r="A50" s="6" t="s">
        <v>59</v>
      </c>
      <c r="B50" s="7" t="n">
        <v>-0.509</v>
      </c>
      <c r="C50" s="7" t="n">
        <v>-0.213</v>
      </c>
      <c r="D50" s="7" t="n">
        <v>0.085</v>
      </c>
      <c r="E50" s="7" t="n">
        <f aca="false">Settings!$C$5*B50+Settings!$C$6*C50+Settings!$C$7*D50</f>
        <v>-0.3014</v>
      </c>
      <c r="F50" s="3" t="str">
        <f aca="false">IF(E50&gt;Settings!$C$4,"Bullish",IF(E50&lt;-Settings!$C$4,"Bearish","Neutral"))</f>
        <v>Bearish</v>
      </c>
      <c r="G50" s="8" t="n">
        <v>0.5</v>
      </c>
      <c r="H50" s="8" t="n">
        <v>0.502</v>
      </c>
      <c r="I50" s="8"/>
    </row>
    <row r="52" customFormat="false" ht="15" hidden="false" customHeight="false" outlineLevel="0" collapsed="false">
      <c r="A52" s="3" t="s">
        <v>60</v>
      </c>
    </row>
    <row r="53" customFormat="false" ht="15" hidden="false" customHeight="false" outlineLevel="0" collapsed="false">
      <c r="A53" s="6" t="s">
        <v>61</v>
      </c>
    </row>
    <row r="54" customFormat="false" ht="15" hidden="false" customHeight="false" outlineLevel="0" collapsed="false">
      <c r="A54" s="6" t="s">
        <v>62</v>
      </c>
    </row>
    <row r="55" customFormat="false" ht="15" hidden="false" customHeight="false" outlineLevel="0" collapsed="false">
      <c r="A55" s="6" t="s">
        <v>63</v>
      </c>
    </row>
    <row r="56" customFormat="false" ht="15" hidden="false" customHeight="false" outlineLevel="0" collapsed="false">
      <c r="A56" s="6" t="s">
        <v>64</v>
      </c>
    </row>
    <row r="57" customFormat="false" ht="15" hidden="false" customHeight="false" outlineLevel="0" collapsed="false">
      <c r="A57" s="6" t="s">
        <v>65</v>
      </c>
    </row>
    <row r="58" customFormat="false" ht="15" hidden="false" customHeight="false" outlineLevel="0" collapsed="false">
      <c r="A58" s="6" t="s">
        <v>66</v>
      </c>
    </row>
    <row r="59" customFormat="false" ht="15" hidden="false" customHeight="false" outlineLevel="0" collapsed="false">
      <c r="A59" s="6" t="s">
        <v>67</v>
      </c>
    </row>
    <row r="61" customFormat="false" ht="15" hidden="false" customHeight="false" outlineLevel="0" collapsed="false">
      <c r="A61" s="3" t="s">
        <v>68</v>
      </c>
    </row>
    <row r="62" customFormat="false" ht="15" hidden="false" customHeight="false" outlineLevel="0" collapsed="false">
      <c r="A62" s="6" t="s">
        <v>69</v>
      </c>
    </row>
    <row r="63" customFormat="false" ht="15" hidden="false" customHeight="false" outlineLevel="0" collapsed="false">
      <c r="A63" s="6" t="s">
        <v>70</v>
      </c>
    </row>
    <row r="64" customFormat="false" ht="15" hidden="false" customHeight="false" outlineLevel="0" collapsed="false">
      <c r="A64" s="6" t="s">
        <v>71</v>
      </c>
    </row>
    <row r="65" customFormat="false" ht="15" hidden="false" customHeight="false" outlineLevel="0" collapsed="false">
      <c r="A65" s="6" t="s">
        <v>72</v>
      </c>
    </row>
    <row r="66" customFormat="false" ht="15" hidden="false" customHeight="false" outlineLevel="0" collapsed="false">
      <c r="A66" s="6" t="s">
        <v>73</v>
      </c>
    </row>
    <row r="67" customFormat="false" ht="15" hidden="false" customHeight="false" outlineLevel="0" collapsed="false">
      <c r="A67" s="6" t="s">
        <v>74</v>
      </c>
    </row>
    <row r="68" customFormat="false" ht="15" hidden="false" customHeight="false" outlineLevel="0" collapsed="false">
      <c r="A68" s="6" t="s">
        <v>75</v>
      </c>
    </row>
    <row r="69" customFormat="false" ht="15" hidden="false" customHeight="false" outlineLevel="0" collapsed="false">
      <c r="A69" s="6" t="s">
        <v>76</v>
      </c>
    </row>
    <row r="71" customFormat="false" ht="15" hidden="false" customHeight="false" outlineLevel="0" collapsed="false">
      <c r="A71" s="3" t="s">
        <v>77</v>
      </c>
    </row>
    <row r="72" customFormat="false" ht="15" hidden="false" customHeight="false" outlineLevel="0" collapsed="false">
      <c r="A72" s="6" t="s">
        <v>78</v>
      </c>
    </row>
  </sheetData>
  <conditionalFormatting sqref="B9:E50">
    <cfRule type="expression" priority="2" aboveAverage="0" equalAverage="0" bottom="0" percent="0" rank="0" text="" dxfId="0">
      <formula>AND(ISNUMBER(B9),B9&gt;Settings!$C$4)</formula>
    </cfRule>
    <cfRule type="expression" priority="3" aboveAverage="0" equalAverage="0" bottom="0" percent="0" rank="0" text="" dxfId="1">
      <formula>AND(ISNUMBER(B9),B9&lt;-Settings!$C$4)</formula>
    </cfRule>
    <cfRule type="expression" priority="4" aboveAverage="0" equalAverage="0" bottom="0" percent="0" rank="0" text="" dxfId="2">
      <formula>AND(ISNUMBER(B9),ABS(B9)&lt;=Settings!$C$4)</formula>
    </cfRule>
  </conditionalFormatting>
  <conditionalFormatting sqref="F9:F50">
    <cfRule type="cellIs" priority="5" operator="equal" aboveAverage="0" equalAverage="0" bottom="0" percent="0" rank="0" text="" dxfId="0">
      <formula>"Bullish"</formula>
    </cfRule>
    <cfRule type="cellIs" priority="6" operator="equal" aboveAverage="0" equalAverage="0" bottom="0" percent="0" rank="0" text="" dxfId="1">
      <formula>"Bearish"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5"/>
      <c r="B3" s="5" t="s">
        <v>81</v>
      </c>
      <c r="C3" s="5" t="s">
        <v>82</v>
      </c>
      <c r="D3" s="5" t="s">
        <v>83</v>
      </c>
    </row>
    <row r="4" customFormat="false" ht="15" hidden="false" customHeight="false" outlineLevel="0" collapsed="false">
      <c r="B4" s="6" t="s">
        <v>84</v>
      </c>
      <c r="C4" s="9" t="n">
        <v>0.15</v>
      </c>
      <c r="D4" s="2" t="s">
        <v>85</v>
      </c>
    </row>
    <row r="5" customFormat="false" ht="15" hidden="false" customHeight="false" outlineLevel="0" collapsed="false">
      <c r="B5" s="6" t="s">
        <v>86</v>
      </c>
      <c r="C5" s="9" t="n">
        <v>0.5</v>
      </c>
      <c r="D5" s="2" t="s">
        <v>87</v>
      </c>
    </row>
    <row r="6" customFormat="false" ht="15" hidden="false" customHeight="false" outlineLevel="0" collapsed="false">
      <c r="B6" s="6" t="s">
        <v>88</v>
      </c>
      <c r="C6" s="9" t="n">
        <v>0.3</v>
      </c>
      <c r="D6" s="2"/>
    </row>
    <row r="7" customFormat="false" ht="15" hidden="false" customHeight="false" outlineLevel="0" collapsed="false">
      <c r="B7" s="6" t="s">
        <v>89</v>
      </c>
      <c r="C7" s="9" t="n">
        <v>0.2</v>
      </c>
      <c r="D7" s="2"/>
    </row>
    <row r="8" customFormat="false" ht="15" hidden="false" customHeight="false" outlineLevel="0" collapsed="false">
      <c r="B8" s="6" t="s">
        <v>90</v>
      </c>
      <c r="C8" s="6" t="s">
        <v>91</v>
      </c>
      <c r="D8" s="2" t="s">
        <v>92</v>
      </c>
    </row>
    <row r="9" customFormat="false" ht="15" hidden="false" customHeight="false" outlineLevel="0" collapsed="false">
      <c r="B9" s="6" t="s">
        <v>93</v>
      </c>
      <c r="C9" s="6" t="s">
        <v>94</v>
      </c>
      <c r="D9" s="2" t="s">
        <v>95</v>
      </c>
    </row>
    <row r="12" customFormat="false" ht="15" hidden="false" customHeight="false" outlineLevel="0" collapsed="false">
      <c r="B12" s="3" t="s">
        <v>96</v>
      </c>
    </row>
    <row r="13" customFormat="false" ht="15" hidden="false" customHeight="false" outlineLevel="0" collapsed="false">
      <c r="B13" s="10"/>
      <c r="C13" s="6" t="s">
        <v>97</v>
      </c>
    </row>
    <row r="14" customFormat="false" ht="15" hidden="false" customHeight="false" outlineLevel="0" collapsed="false">
      <c r="B14" s="11"/>
      <c r="C14" s="6" t="s">
        <v>98</v>
      </c>
    </row>
    <row r="15" customFormat="false" ht="15" hidden="false" customHeight="false" outlineLevel="0" collapsed="false">
      <c r="B15" s="12"/>
      <c r="C15" s="6" t="s">
        <v>99</v>
      </c>
    </row>
    <row r="16" customFormat="false" ht="15" hidden="false" customHeight="false" outlineLevel="0" collapsed="false">
      <c r="B16" s="13"/>
      <c r="C16" s="6" t="s">
        <v>100</v>
      </c>
    </row>
    <row r="18" customFormat="false" ht="15" hidden="false" customHeight="false" outlineLevel="0" collapsed="false">
      <c r="B18" s="3" t="s">
        <v>101</v>
      </c>
    </row>
    <row r="19" customFormat="false" ht="15" hidden="false" customHeight="true" outlineLevel="0" collapsed="false">
      <c r="B19" s="14" t="s">
        <v>102</v>
      </c>
      <c r="C19" s="14"/>
      <c r="D19" s="14"/>
    </row>
    <row r="20" customFormat="false" ht="15" hidden="false" customHeight="false" outlineLevel="0" collapsed="false">
      <c r="B20" s="14"/>
      <c r="C20" s="14"/>
      <c r="D20" s="14"/>
    </row>
    <row r="21" customFormat="false" ht="15" hidden="false" customHeight="false" outlineLevel="0" collapsed="false">
      <c r="B21" s="14"/>
      <c r="C21" s="14"/>
      <c r="D21" s="14"/>
    </row>
    <row r="22" customFormat="false" ht="15" hidden="false" customHeight="false" outlineLevel="0" collapsed="false">
      <c r="B22" s="14"/>
      <c r="C22" s="14"/>
      <c r="D22" s="14"/>
    </row>
  </sheetData>
  <mergeCells count="1">
    <mergeCell ref="B19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66" min="2" style="0" width="3.2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15" hidden="false" customHeight="false" outlineLevel="0" collapsed="false">
      <c r="B3" s="3" t="s">
        <v>105</v>
      </c>
      <c r="G3" s="3" t="s">
        <v>106</v>
      </c>
      <c r="AK3" s="3" t="s">
        <v>107</v>
      </c>
      <c r="BP3" s="3" t="s">
        <v>108</v>
      </c>
      <c r="CU3" s="3" t="s">
        <v>109</v>
      </c>
      <c r="DW3" s="3" t="s">
        <v>110</v>
      </c>
      <c r="FB3" s="3" t="s">
        <v>111</v>
      </c>
      <c r="GF3" s="3" t="s">
        <v>112</v>
      </c>
      <c r="HK3" s="3" t="s">
        <v>113</v>
      </c>
      <c r="IO3" s="3" t="s">
        <v>114</v>
      </c>
      <c r="JT3" s="3" t="s">
        <v>115</v>
      </c>
      <c r="KY3" s="3" t="s">
        <v>116</v>
      </c>
      <c r="MC3" s="3" t="s">
        <v>117</v>
      </c>
    </row>
    <row r="4" customFormat="false" ht="15" hidden="false" customHeight="false" outlineLevel="0" collapsed="false">
      <c r="A4" s="3" t="s">
        <v>9</v>
      </c>
      <c r="B4" s="15" t="n">
        <v>27</v>
      </c>
      <c r="C4" s="15" t="n">
        <v>28</v>
      </c>
      <c r="D4" s="15" t="n">
        <v>29</v>
      </c>
      <c r="E4" s="15" t="n">
        <v>30</v>
      </c>
      <c r="F4" s="16" t="n">
        <v>31</v>
      </c>
      <c r="G4" s="16" t="n">
        <v>1</v>
      </c>
      <c r="H4" s="15" t="n">
        <v>2</v>
      </c>
      <c r="I4" s="15" t="n">
        <v>3</v>
      </c>
      <c r="J4" s="15" t="n">
        <v>4</v>
      </c>
      <c r="K4" s="15" t="n">
        <v>5</v>
      </c>
      <c r="L4" s="15" t="n">
        <v>6</v>
      </c>
      <c r="M4" s="16" t="n">
        <v>7</v>
      </c>
      <c r="N4" s="16" t="n">
        <v>8</v>
      </c>
      <c r="O4" s="15" t="n">
        <v>9</v>
      </c>
      <c r="P4" s="15" t="n">
        <v>10</v>
      </c>
      <c r="Q4" s="15" t="n">
        <v>11</v>
      </c>
      <c r="R4" s="15" t="n">
        <v>12</v>
      </c>
      <c r="S4" s="15" t="n">
        <v>13</v>
      </c>
      <c r="T4" s="16" t="n">
        <v>14</v>
      </c>
      <c r="U4" s="16" t="n">
        <v>15</v>
      </c>
      <c r="V4" s="15" t="n">
        <v>16</v>
      </c>
      <c r="W4" s="15" t="n">
        <v>17</v>
      </c>
      <c r="X4" s="15" t="n">
        <v>18</v>
      </c>
      <c r="Y4" s="15" t="n">
        <v>19</v>
      </c>
      <c r="Z4" s="15" t="n">
        <v>20</v>
      </c>
      <c r="AA4" s="16" t="n">
        <v>21</v>
      </c>
      <c r="AB4" s="16" t="n">
        <v>22</v>
      </c>
      <c r="AC4" s="15" t="n">
        <v>23</v>
      </c>
      <c r="AD4" s="15" t="n">
        <v>24</v>
      </c>
      <c r="AE4" s="15" t="n">
        <v>25</v>
      </c>
      <c r="AF4" s="15" t="n">
        <v>26</v>
      </c>
      <c r="AG4" s="15" t="n">
        <v>27</v>
      </c>
      <c r="AH4" s="16" t="n">
        <v>28</v>
      </c>
      <c r="AI4" s="16" t="n">
        <v>29</v>
      </c>
      <c r="AJ4" s="15" t="n">
        <v>30</v>
      </c>
      <c r="AK4" s="15" t="n">
        <v>1</v>
      </c>
      <c r="AL4" s="15" t="n">
        <v>2</v>
      </c>
      <c r="AM4" s="15" t="n">
        <v>3</v>
      </c>
      <c r="AN4" s="15" t="n">
        <v>4</v>
      </c>
      <c r="AO4" s="16" t="n">
        <v>5</v>
      </c>
      <c r="AP4" s="16" t="n">
        <v>6</v>
      </c>
      <c r="AQ4" s="15" t="n">
        <v>7</v>
      </c>
      <c r="AR4" s="15" t="n">
        <v>8</v>
      </c>
      <c r="AS4" s="15" t="n">
        <v>9</v>
      </c>
      <c r="AT4" s="15" t="n">
        <v>10</v>
      </c>
      <c r="AU4" s="15" t="n">
        <v>11</v>
      </c>
      <c r="AV4" s="16" t="n">
        <v>12</v>
      </c>
      <c r="AW4" s="16" t="n">
        <v>13</v>
      </c>
      <c r="AX4" s="15" t="n">
        <v>14</v>
      </c>
      <c r="AY4" s="15" t="n">
        <v>15</v>
      </c>
      <c r="AZ4" s="15" t="n">
        <v>16</v>
      </c>
      <c r="BA4" s="15" t="n">
        <v>17</v>
      </c>
      <c r="BB4" s="15" t="n">
        <v>18</v>
      </c>
      <c r="BC4" s="16" t="n">
        <v>19</v>
      </c>
      <c r="BD4" s="16" t="n">
        <v>20</v>
      </c>
      <c r="BE4" s="15" t="n">
        <v>21</v>
      </c>
      <c r="BF4" s="15" t="n">
        <v>22</v>
      </c>
      <c r="BG4" s="15" t="n">
        <v>23</v>
      </c>
      <c r="BH4" s="15" t="n">
        <v>24</v>
      </c>
      <c r="BI4" s="15" t="n">
        <v>25</v>
      </c>
      <c r="BJ4" s="16" t="n">
        <v>26</v>
      </c>
      <c r="BK4" s="16" t="n">
        <v>27</v>
      </c>
      <c r="BL4" s="15" t="n">
        <v>28</v>
      </c>
      <c r="BM4" s="15" t="n">
        <v>29</v>
      </c>
      <c r="BN4" s="15" t="n">
        <v>30</v>
      </c>
      <c r="BO4" s="15" t="n">
        <v>31</v>
      </c>
      <c r="BP4" s="15" t="n">
        <v>1</v>
      </c>
      <c r="BQ4" s="16" t="n">
        <v>2</v>
      </c>
      <c r="BR4" s="16" t="n">
        <v>3</v>
      </c>
      <c r="BS4" s="15" t="n">
        <v>4</v>
      </c>
      <c r="BT4" s="15" t="n">
        <v>5</v>
      </c>
      <c r="BU4" s="15" t="n">
        <v>6</v>
      </c>
      <c r="BV4" s="15" t="n">
        <v>7</v>
      </c>
      <c r="BW4" s="15" t="n">
        <v>8</v>
      </c>
      <c r="BX4" s="16" t="n">
        <v>9</v>
      </c>
      <c r="BY4" s="16" t="n">
        <v>10</v>
      </c>
      <c r="BZ4" s="15" t="n">
        <v>11</v>
      </c>
      <c r="CA4" s="15" t="n">
        <v>12</v>
      </c>
      <c r="CB4" s="15" t="n">
        <v>13</v>
      </c>
      <c r="CC4" s="15" t="n">
        <v>14</v>
      </c>
      <c r="CD4" s="15" t="n">
        <v>15</v>
      </c>
      <c r="CE4" s="16" t="n">
        <v>16</v>
      </c>
      <c r="CF4" s="16" t="n">
        <v>17</v>
      </c>
      <c r="CG4" s="15" t="n">
        <v>18</v>
      </c>
      <c r="CH4" s="15" t="n">
        <v>19</v>
      </c>
      <c r="CI4" s="15" t="n">
        <v>20</v>
      </c>
      <c r="CJ4" s="15" t="n">
        <v>21</v>
      </c>
      <c r="CK4" s="15" t="n">
        <v>22</v>
      </c>
      <c r="CL4" s="16" t="n">
        <v>23</v>
      </c>
      <c r="CM4" s="16" t="n">
        <v>24</v>
      </c>
      <c r="CN4" s="15" t="n">
        <v>25</v>
      </c>
      <c r="CO4" s="15" t="n">
        <v>26</v>
      </c>
      <c r="CP4" s="15" t="n">
        <v>27</v>
      </c>
      <c r="CQ4" s="15" t="n">
        <v>28</v>
      </c>
      <c r="CR4" s="15" t="n">
        <v>29</v>
      </c>
      <c r="CS4" s="16" t="n">
        <v>30</v>
      </c>
      <c r="CT4" s="16" t="n">
        <v>31</v>
      </c>
      <c r="CU4" s="15" t="n">
        <v>1</v>
      </c>
      <c r="CV4" s="15" t="n">
        <v>2</v>
      </c>
      <c r="CW4" s="15" t="n">
        <v>3</v>
      </c>
      <c r="CX4" s="15" t="n">
        <v>4</v>
      </c>
      <c r="CY4" s="15" t="n">
        <v>5</v>
      </c>
      <c r="CZ4" s="16" t="n">
        <v>6</v>
      </c>
      <c r="DA4" s="16" t="n">
        <v>7</v>
      </c>
      <c r="DB4" s="15" t="n">
        <v>8</v>
      </c>
      <c r="DC4" s="15" t="n">
        <v>9</v>
      </c>
      <c r="DD4" s="15" t="n">
        <v>10</v>
      </c>
      <c r="DE4" s="15" t="n">
        <v>11</v>
      </c>
      <c r="DF4" s="15" t="n">
        <v>12</v>
      </c>
      <c r="DG4" s="16" t="n">
        <v>13</v>
      </c>
      <c r="DH4" s="16" t="n">
        <v>14</v>
      </c>
      <c r="DI4" s="15" t="n">
        <v>15</v>
      </c>
      <c r="DJ4" s="15" t="n">
        <v>16</v>
      </c>
      <c r="DK4" s="15" t="n">
        <v>17</v>
      </c>
      <c r="DL4" s="15" t="n">
        <v>18</v>
      </c>
      <c r="DM4" s="15" t="n">
        <v>19</v>
      </c>
      <c r="DN4" s="16" t="n">
        <v>20</v>
      </c>
      <c r="DO4" s="16" t="n">
        <v>21</v>
      </c>
      <c r="DP4" s="15" t="n">
        <v>22</v>
      </c>
      <c r="DQ4" s="15" t="n">
        <v>23</v>
      </c>
      <c r="DR4" s="15" t="n">
        <v>24</v>
      </c>
      <c r="DS4" s="15" t="n">
        <v>25</v>
      </c>
      <c r="DT4" s="15" t="n">
        <v>26</v>
      </c>
      <c r="DU4" s="16" t="n">
        <v>27</v>
      </c>
      <c r="DV4" s="16" t="n">
        <v>28</v>
      </c>
      <c r="DW4" s="15" t="n">
        <v>1</v>
      </c>
      <c r="DX4" s="15" t="n">
        <v>2</v>
      </c>
      <c r="DY4" s="15" t="n">
        <v>3</v>
      </c>
      <c r="DZ4" s="15" t="n">
        <v>4</v>
      </c>
      <c r="EA4" s="15" t="n">
        <v>5</v>
      </c>
      <c r="EB4" s="16" t="n">
        <v>6</v>
      </c>
      <c r="EC4" s="16" t="n">
        <v>7</v>
      </c>
      <c r="ED4" s="15" t="n">
        <v>8</v>
      </c>
      <c r="EE4" s="15" t="n">
        <v>9</v>
      </c>
      <c r="EF4" s="15" t="n">
        <v>10</v>
      </c>
      <c r="EG4" s="15" t="n">
        <v>11</v>
      </c>
      <c r="EH4" s="15" t="n">
        <v>12</v>
      </c>
      <c r="EI4" s="16" t="n">
        <v>13</v>
      </c>
      <c r="EJ4" s="16" t="n">
        <v>14</v>
      </c>
      <c r="EK4" s="15" t="n">
        <v>15</v>
      </c>
      <c r="EL4" s="15" t="n">
        <v>16</v>
      </c>
      <c r="EM4" s="15" t="n">
        <v>17</v>
      </c>
      <c r="EN4" s="15" t="n">
        <v>18</v>
      </c>
      <c r="EO4" s="15" t="n">
        <v>19</v>
      </c>
      <c r="EP4" s="16" t="n">
        <v>20</v>
      </c>
      <c r="EQ4" s="16" t="n">
        <v>21</v>
      </c>
      <c r="ER4" s="15" t="n">
        <v>22</v>
      </c>
      <c r="ES4" s="15" t="n">
        <v>23</v>
      </c>
      <c r="ET4" s="15" t="n">
        <v>24</v>
      </c>
      <c r="EU4" s="15" t="n">
        <v>25</v>
      </c>
      <c r="EV4" s="15" t="n">
        <v>26</v>
      </c>
      <c r="EW4" s="16" t="n">
        <v>27</v>
      </c>
      <c r="EX4" s="16" t="n">
        <v>28</v>
      </c>
      <c r="EY4" s="15" t="n">
        <v>29</v>
      </c>
      <c r="EZ4" s="15" t="n">
        <v>30</v>
      </c>
      <c r="FA4" s="15" t="n">
        <v>31</v>
      </c>
      <c r="FB4" s="15" t="n">
        <v>1</v>
      </c>
      <c r="FC4" s="15" t="n">
        <v>2</v>
      </c>
      <c r="FD4" s="16" t="n">
        <v>3</v>
      </c>
      <c r="FE4" s="16" t="n">
        <v>4</v>
      </c>
      <c r="FF4" s="15" t="n">
        <v>5</v>
      </c>
      <c r="FG4" s="15" t="n">
        <v>6</v>
      </c>
      <c r="FH4" s="15" t="n">
        <v>7</v>
      </c>
      <c r="FI4" s="15" t="n">
        <v>8</v>
      </c>
      <c r="FJ4" s="15" t="n">
        <v>9</v>
      </c>
      <c r="FK4" s="16" t="n">
        <v>10</v>
      </c>
      <c r="FL4" s="16" t="n">
        <v>11</v>
      </c>
      <c r="FM4" s="15" t="n">
        <v>12</v>
      </c>
      <c r="FN4" s="15" t="n">
        <v>13</v>
      </c>
      <c r="FO4" s="15" t="n">
        <v>14</v>
      </c>
      <c r="FP4" s="15" t="n">
        <v>15</v>
      </c>
      <c r="FQ4" s="15" t="n">
        <v>16</v>
      </c>
      <c r="FR4" s="16" t="n">
        <v>17</v>
      </c>
      <c r="FS4" s="16" t="n">
        <v>18</v>
      </c>
      <c r="FT4" s="15" t="n">
        <v>19</v>
      </c>
      <c r="FU4" s="15" t="n">
        <v>20</v>
      </c>
      <c r="FV4" s="15" t="n">
        <v>21</v>
      </c>
      <c r="FW4" s="15" t="n">
        <v>22</v>
      </c>
      <c r="FX4" s="15" t="n">
        <v>23</v>
      </c>
      <c r="FY4" s="16" t="n">
        <v>24</v>
      </c>
      <c r="FZ4" s="16" t="n">
        <v>25</v>
      </c>
      <c r="GA4" s="15" t="n">
        <v>26</v>
      </c>
      <c r="GB4" s="15" t="n">
        <v>27</v>
      </c>
      <c r="GC4" s="15" t="n">
        <v>28</v>
      </c>
      <c r="GD4" s="15" t="n">
        <v>29</v>
      </c>
      <c r="GE4" s="15" t="n">
        <v>30</v>
      </c>
      <c r="GF4" s="16" t="n">
        <v>1</v>
      </c>
      <c r="GG4" s="16" t="n">
        <v>2</v>
      </c>
      <c r="GH4" s="15" t="n">
        <v>3</v>
      </c>
      <c r="GI4" s="15" t="n">
        <v>4</v>
      </c>
      <c r="GJ4" s="15" t="n">
        <v>5</v>
      </c>
      <c r="GK4" s="15" t="n">
        <v>6</v>
      </c>
      <c r="GL4" s="15" t="n">
        <v>7</v>
      </c>
      <c r="GM4" s="16" t="n">
        <v>8</v>
      </c>
      <c r="GN4" s="16" t="n">
        <v>9</v>
      </c>
      <c r="GO4" s="15" t="n">
        <v>10</v>
      </c>
      <c r="GP4" s="15" t="n">
        <v>11</v>
      </c>
      <c r="GQ4" s="15" t="n">
        <v>12</v>
      </c>
      <c r="GR4" s="15" t="n">
        <v>13</v>
      </c>
      <c r="GS4" s="15" t="n">
        <v>14</v>
      </c>
      <c r="GT4" s="16" t="n">
        <v>15</v>
      </c>
      <c r="GU4" s="16" t="n">
        <v>16</v>
      </c>
      <c r="GV4" s="15" t="n">
        <v>17</v>
      </c>
      <c r="GW4" s="15" t="n">
        <v>18</v>
      </c>
      <c r="GX4" s="15" t="n">
        <v>19</v>
      </c>
      <c r="GY4" s="15" t="n">
        <v>20</v>
      </c>
      <c r="GZ4" s="15" t="n">
        <v>21</v>
      </c>
      <c r="HA4" s="16" t="n">
        <v>22</v>
      </c>
      <c r="HB4" s="16" t="n">
        <v>23</v>
      </c>
      <c r="HC4" s="15" t="n">
        <v>24</v>
      </c>
      <c r="HD4" s="15" t="n">
        <v>25</v>
      </c>
      <c r="HE4" s="15" t="n">
        <v>26</v>
      </c>
      <c r="HF4" s="15" t="n">
        <v>27</v>
      </c>
      <c r="HG4" s="15" t="n">
        <v>28</v>
      </c>
      <c r="HH4" s="16" t="n">
        <v>29</v>
      </c>
      <c r="HI4" s="16" t="n">
        <v>30</v>
      </c>
      <c r="HJ4" s="15" t="n">
        <v>31</v>
      </c>
      <c r="HK4" s="15" t="n">
        <v>1</v>
      </c>
      <c r="HL4" s="15" t="n">
        <v>2</v>
      </c>
      <c r="HM4" s="15" t="n">
        <v>3</v>
      </c>
      <c r="HN4" s="15" t="n">
        <v>4</v>
      </c>
      <c r="HO4" s="16" t="n">
        <v>5</v>
      </c>
      <c r="HP4" s="16" t="n">
        <v>6</v>
      </c>
      <c r="HQ4" s="15" t="n">
        <v>7</v>
      </c>
      <c r="HR4" s="15" t="n">
        <v>8</v>
      </c>
      <c r="HS4" s="15" t="n">
        <v>9</v>
      </c>
      <c r="HT4" s="15" t="n">
        <v>10</v>
      </c>
      <c r="HU4" s="15" t="n">
        <v>11</v>
      </c>
      <c r="HV4" s="16" t="n">
        <v>12</v>
      </c>
      <c r="HW4" s="16" t="n">
        <v>13</v>
      </c>
      <c r="HX4" s="15" t="n">
        <v>14</v>
      </c>
      <c r="HY4" s="15" t="n">
        <v>15</v>
      </c>
      <c r="HZ4" s="15" t="n">
        <v>16</v>
      </c>
      <c r="IA4" s="15" t="n">
        <v>17</v>
      </c>
      <c r="IB4" s="15" t="n">
        <v>18</v>
      </c>
      <c r="IC4" s="16" t="n">
        <v>19</v>
      </c>
      <c r="ID4" s="16" t="n">
        <v>20</v>
      </c>
      <c r="IE4" s="15" t="n">
        <v>21</v>
      </c>
      <c r="IF4" s="15" t="n">
        <v>22</v>
      </c>
      <c r="IG4" s="15" t="n">
        <v>23</v>
      </c>
      <c r="IH4" s="15" t="n">
        <v>24</v>
      </c>
      <c r="II4" s="15" t="n">
        <v>25</v>
      </c>
      <c r="IJ4" s="16" t="n">
        <v>26</v>
      </c>
      <c r="IK4" s="16" t="n">
        <v>27</v>
      </c>
      <c r="IL4" s="15" t="n">
        <v>28</v>
      </c>
      <c r="IM4" s="15" t="n">
        <v>29</v>
      </c>
      <c r="IN4" s="15" t="n">
        <v>30</v>
      </c>
      <c r="IO4" s="15" t="n">
        <v>1</v>
      </c>
      <c r="IP4" s="15" t="n">
        <v>2</v>
      </c>
      <c r="IQ4" s="16" t="n">
        <v>3</v>
      </c>
      <c r="IR4" s="16" t="n">
        <v>4</v>
      </c>
      <c r="IS4" s="15" t="n">
        <v>5</v>
      </c>
      <c r="IT4" s="15" t="n">
        <v>6</v>
      </c>
      <c r="IU4" s="15" t="n">
        <v>7</v>
      </c>
      <c r="IV4" s="15" t="n">
        <v>8</v>
      </c>
      <c r="IW4" s="15" t="n">
        <v>9</v>
      </c>
      <c r="IX4" s="16" t="n">
        <v>10</v>
      </c>
      <c r="IY4" s="16" t="n">
        <v>11</v>
      </c>
      <c r="IZ4" s="15" t="n">
        <v>12</v>
      </c>
      <c r="JA4" s="15" t="n">
        <v>13</v>
      </c>
      <c r="JB4" s="15" t="n">
        <v>14</v>
      </c>
      <c r="JC4" s="15" t="n">
        <v>15</v>
      </c>
      <c r="JD4" s="15" t="n">
        <v>16</v>
      </c>
      <c r="JE4" s="16" t="n">
        <v>17</v>
      </c>
      <c r="JF4" s="16" t="n">
        <v>18</v>
      </c>
      <c r="JG4" s="15" t="n">
        <v>19</v>
      </c>
      <c r="JH4" s="15" t="n">
        <v>20</v>
      </c>
      <c r="JI4" s="15" t="n">
        <v>21</v>
      </c>
      <c r="JJ4" s="15" t="n">
        <v>22</v>
      </c>
      <c r="JK4" s="15" t="n">
        <v>23</v>
      </c>
      <c r="JL4" s="16" t="n">
        <v>24</v>
      </c>
      <c r="JM4" s="16" t="n">
        <v>25</v>
      </c>
      <c r="JN4" s="15" t="n">
        <v>26</v>
      </c>
      <c r="JO4" s="15" t="n">
        <v>27</v>
      </c>
      <c r="JP4" s="15" t="n">
        <v>28</v>
      </c>
      <c r="JQ4" s="15" t="n">
        <v>29</v>
      </c>
      <c r="JR4" s="15" t="n">
        <v>30</v>
      </c>
      <c r="JS4" s="16" t="n">
        <v>31</v>
      </c>
      <c r="JT4" s="16" t="n">
        <v>1</v>
      </c>
      <c r="JU4" s="15" t="n">
        <v>2</v>
      </c>
      <c r="JV4" s="15" t="n">
        <v>3</v>
      </c>
      <c r="JW4" s="15" t="n">
        <v>4</v>
      </c>
      <c r="JX4" s="15" t="n">
        <v>5</v>
      </c>
      <c r="JY4" s="15" t="n">
        <v>6</v>
      </c>
      <c r="JZ4" s="16" t="n">
        <v>7</v>
      </c>
      <c r="KA4" s="16" t="n">
        <v>8</v>
      </c>
      <c r="KB4" s="15" t="n">
        <v>9</v>
      </c>
      <c r="KC4" s="15" t="n">
        <v>10</v>
      </c>
      <c r="KD4" s="15" t="n">
        <v>11</v>
      </c>
      <c r="KE4" s="15" t="n">
        <v>12</v>
      </c>
      <c r="KF4" s="15" t="n">
        <v>13</v>
      </c>
      <c r="KG4" s="16" t="n">
        <v>14</v>
      </c>
      <c r="KH4" s="16" t="n">
        <v>15</v>
      </c>
      <c r="KI4" s="15" t="n">
        <v>16</v>
      </c>
      <c r="KJ4" s="15" t="n">
        <v>17</v>
      </c>
      <c r="KK4" s="15" t="n">
        <v>18</v>
      </c>
      <c r="KL4" s="15" t="n">
        <v>19</v>
      </c>
      <c r="KM4" s="15" t="n">
        <v>20</v>
      </c>
      <c r="KN4" s="16" t="n">
        <v>21</v>
      </c>
      <c r="KO4" s="16" t="n">
        <v>22</v>
      </c>
      <c r="KP4" s="15" t="n">
        <v>23</v>
      </c>
      <c r="KQ4" s="15" t="n">
        <v>24</v>
      </c>
      <c r="KR4" s="15" t="n">
        <v>25</v>
      </c>
      <c r="KS4" s="15" t="n">
        <v>26</v>
      </c>
      <c r="KT4" s="15" t="n">
        <v>27</v>
      </c>
      <c r="KU4" s="16" t="n">
        <v>28</v>
      </c>
      <c r="KV4" s="16" t="n">
        <v>29</v>
      </c>
      <c r="KW4" s="15" t="n">
        <v>30</v>
      </c>
      <c r="KX4" s="15" t="n">
        <v>31</v>
      </c>
      <c r="KY4" s="15" t="n">
        <v>1</v>
      </c>
      <c r="KZ4" s="15" t="n">
        <v>2</v>
      </c>
      <c r="LA4" s="15" t="n">
        <v>3</v>
      </c>
      <c r="LB4" s="16" t="n">
        <v>4</v>
      </c>
      <c r="LC4" s="16" t="n">
        <v>5</v>
      </c>
      <c r="LD4" s="15" t="n">
        <v>6</v>
      </c>
      <c r="LE4" s="15" t="n">
        <v>7</v>
      </c>
      <c r="LF4" s="15" t="n">
        <v>8</v>
      </c>
      <c r="LG4" s="15" t="n">
        <v>9</v>
      </c>
      <c r="LH4" s="15" t="n">
        <v>10</v>
      </c>
      <c r="LI4" s="16" t="n">
        <v>11</v>
      </c>
      <c r="LJ4" s="16" t="n">
        <v>12</v>
      </c>
      <c r="LK4" s="15" t="n">
        <v>13</v>
      </c>
      <c r="LL4" s="15" t="n">
        <v>14</v>
      </c>
      <c r="LM4" s="15" t="n">
        <v>15</v>
      </c>
      <c r="LN4" s="15" t="n">
        <v>16</v>
      </c>
      <c r="LO4" s="15" t="n">
        <v>17</v>
      </c>
      <c r="LP4" s="16" t="n">
        <v>18</v>
      </c>
      <c r="LQ4" s="16" t="n">
        <v>19</v>
      </c>
      <c r="LR4" s="15" t="n">
        <v>20</v>
      </c>
      <c r="LS4" s="15" t="n">
        <v>21</v>
      </c>
      <c r="LT4" s="15" t="n">
        <v>22</v>
      </c>
      <c r="LU4" s="15" t="n">
        <v>23</v>
      </c>
      <c r="LV4" s="15" t="n">
        <v>24</v>
      </c>
      <c r="LW4" s="16" t="n">
        <v>25</v>
      </c>
      <c r="LX4" s="16" t="n">
        <v>26</v>
      </c>
      <c r="LY4" s="15" t="n">
        <v>27</v>
      </c>
      <c r="LZ4" s="15" t="n">
        <v>28</v>
      </c>
      <c r="MA4" s="15" t="n">
        <v>29</v>
      </c>
      <c r="MB4" s="15" t="n">
        <v>30</v>
      </c>
      <c r="MC4" s="15" t="n">
        <v>1</v>
      </c>
      <c r="MD4" s="16" t="n">
        <v>2</v>
      </c>
      <c r="ME4" s="16" t="n">
        <v>3</v>
      </c>
      <c r="MF4" s="15" t="n">
        <v>4</v>
      </c>
      <c r="MG4" s="15" t="n">
        <v>5</v>
      </c>
      <c r="MH4" s="15" t="n">
        <v>6</v>
      </c>
      <c r="MI4" s="15" t="n">
        <v>7</v>
      </c>
      <c r="MJ4" s="15" t="n">
        <v>8</v>
      </c>
      <c r="MK4" s="16" t="n">
        <v>9</v>
      </c>
      <c r="ML4" s="16" t="n">
        <v>10</v>
      </c>
      <c r="MM4" s="15" t="n">
        <v>11</v>
      </c>
      <c r="MN4" s="15" t="n">
        <v>12</v>
      </c>
      <c r="MO4" s="15" t="n">
        <v>13</v>
      </c>
      <c r="MP4" s="15" t="n">
        <v>14</v>
      </c>
      <c r="MQ4" s="15" t="n">
        <v>15</v>
      </c>
      <c r="MR4" s="16" t="n">
        <v>16</v>
      </c>
      <c r="MS4" s="16" t="n">
        <v>17</v>
      </c>
      <c r="MT4" s="15" t="n">
        <v>18</v>
      </c>
      <c r="MU4" s="15" t="n">
        <v>19</v>
      </c>
      <c r="MV4" s="15" t="n">
        <v>20</v>
      </c>
      <c r="MW4" s="15" t="n">
        <v>21</v>
      </c>
      <c r="MX4" s="15" t="n">
        <v>22</v>
      </c>
      <c r="MY4" s="16" t="n">
        <v>23</v>
      </c>
      <c r="MZ4" s="16" t="n">
        <v>24</v>
      </c>
      <c r="NA4" s="15" t="n">
        <v>25</v>
      </c>
      <c r="NB4" s="15" t="n">
        <v>26</v>
      </c>
    </row>
    <row r="5" customFormat="false" ht="15" hidden="false" customHeight="false" outlineLevel="0" collapsed="false">
      <c r="A5" s="6" t="s">
        <v>18</v>
      </c>
      <c r="B5" s="17" t="n">
        <f aca="false">Daily_Composite!G5</f>
        <v>-0.173</v>
      </c>
      <c r="C5" s="17" t="n">
        <f aca="false">Daily_Composite!G6</f>
        <v>0.04</v>
      </c>
      <c r="D5" s="17" t="n">
        <f aca="false">Daily_Composite!G7</f>
        <v>0.009</v>
      </c>
      <c r="E5" s="17" t="n">
        <f aca="false">Daily_Composite!G8</f>
        <v>-0.07</v>
      </c>
      <c r="F5" s="17" t="n">
        <f aca="false">Daily_Composite!G9</f>
        <v>-0.326</v>
      </c>
      <c r="G5" s="17" t="n">
        <f aca="false">Daily_Composite!G10</f>
        <v>-0.215</v>
      </c>
      <c r="H5" s="17" t="n">
        <f aca="false">Daily_Composite!G11</f>
        <v>0.159</v>
      </c>
      <c r="I5" s="17" t="n">
        <f aca="false">Daily_Composite!G12</f>
        <v>-0.356</v>
      </c>
      <c r="J5" s="17" t="n">
        <f aca="false">Daily_Composite!G13</f>
        <v>0.047</v>
      </c>
      <c r="K5" s="17" t="n">
        <f aca="false">Daily_Composite!G14</f>
        <v>-0.028</v>
      </c>
      <c r="L5" s="17" t="n">
        <f aca="false">Daily_Composite!G15</f>
        <v>-0.205</v>
      </c>
      <c r="M5" s="17" t="n">
        <f aca="false">Daily_Composite!G16</f>
        <v>-0.179</v>
      </c>
      <c r="N5" s="17" t="n">
        <f aca="false">Daily_Composite!G17</f>
        <v>-0.227</v>
      </c>
      <c r="O5" s="17" t="n">
        <f aca="false">Daily_Composite!G18</f>
        <v>-0.235</v>
      </c>
      <c r="P5" s="17" t="n">
        <f aca="false">Daily_Composite!G19</f>
        <v>0.005</v>
      </c>
      <c r="Q5" s="17" t="n">
        <f aca="false">Daily_Composite!G20</f>
        <v>-0.029</v>
      </c>
      <c r="R5" s="17" t="n">
        <f aca="false">Daily_Composite!G21</f>
        <v>0.507</v>
      </c>
      <c r="S5" s="17" t="n">
        <f aca="false">Daily_Composite!G22</f>
        <v>-0.016</v>
      </c>
      <c r="T5" s="17" t="n">
        <f aca="false">Daily_Composite!G23</f>
        <v>0.461</v>
      </c>
      <c r="U5" s="17" t="n">
        <f aca="false">Daily_Composite!G24</f>
        <v>0.145</v>
      </c>
      <c r="V5" s="17" t="n">
        <f aca="false">Daily_Composite!G25</f>
        <v>0.186</v>
      </c>
      <c r="W5" s="17" t="n">
        <f aca="false">Daily_Composite!G26</f>
        <v>-0.031</v>
      </c>
      <c r="X5" s="17" t="n">
        <f aca="false">Daily_Composite!G27</f>
        <v>-0.146</v>
      </c>
      <c r="Y5" s="17" t="n">
        <f aca="false">Daily_Composite!G28</f>
        <v>0.28</v>
      </c>
      <c r="Z5" s="17" t="n">
        <f aca="false">Daily_Composite!G29</f>
        <v>0.082</v>
      </c>
      <c r="AA5" s="17" t="n">
        <f aca="false">Daily_Composite!G30</f>
        <v>0.337</v>
      </c>
      <c r="AB5" s="17" t="n">
        <f aca="false">Daily_Composite!G31</f>
        <v>-0.141</v>
      </c>
      <c r="AC5" s="17" t="n">
        <f aca="false">Daily_Composite!G32</f>
        <v>0.168</v>
      </c>
      <c r="AD5" s="17" t="n">
        <f aca="false">Daily_Composite!G33</f>
        <v>0.307</v>
      </c>
      <c r="AE5" s="17" t="n">
        <f aca="false">Daily_Composite!G34</f>
        <v>0.259</v>
      </c>
      <c r="AF5" s="17" t="n">
        <f aca="false">Daily_Composite!G35</f>
        <v>0.531</v>
      </c>
      <c r="AG5" s="17" t="n">
        <f aca="false">Daily_Composite!G36</f>
        <v>0.473</v>
      </c>
      <c r="AH5" s="17" t="n">
        <f aca="false">Daily_Composite!G37</f>
        <v>0.485</v>
      </c>
      <c r="AI5" s="17" t="n">
        <f aca="false">Daily_Composite!G38</f>
        <v>0.52</v>
      </c>
      <c r="AJ5" s="17" t="n">
        <f aca="false">Daily_Composite!G39</f>
        <v>0.369</v>
      </c>
      <c r="AK5" s="17" t="n">
        <f aca="false">Daily_Composite!G40</f>
        <v>0.524</v>
      </c>
      <c r="AL5" s="17" t="n">
        <f aca="false">Daily_Composite!G41</f>
        <v>0.279</v>
      </c>
      <c r="AM5" s="17" t="n">
        <f aca="false">Daily_Composite!G42</f>
        <v>0.058</v>
      </c>
      <c r="AN5" s="17" t="n">
        <f aca="false">Daily_Composite!G43</f>
        <v>0.346</v>
      </c>
      <c r="AO5" s="17" t="n">
        <f aca="false">Daily_Composite!G44</f>
        <v>-0.049</v>
      </c>
      <c r="AP5" s="17" t="n">
        <f aca="false">Daily_Composite!G45</f>
        <v>0.142</v>
      </c>
      <c r="AQ5" s="17" t="n">
        <f aca="false">Daily_Composite!G46</f>
        <v>0.508</v>
      </c>
      <c r="AR5" s="17" t="n">
        <f aca="false">Daily_Composite!G47</f>
        <v>0.04</v>
      </c>
      <c r="AS5" s="17" t="n">
        <f aca="false">Daily_Composite!G48</f>
        <v>0.07</v>
      </c>
      <c r="AT5" s="17" t="n">
        <f aca="false">Daily_Composite!G49</f>
        <v>0.086</v>
      </c>
      <c r="AU5" s="17" t="n">
        <f aca="false">Daily_Composite!G50</f>
        <v>0.348</v>
      </c>
      <c r="AV5" s="17" t="n">
        <f aca="false">Daily_Composite!G51</f>
        <v>0.161</v>
      </c>
      <c r="AW5" s="17" t="n">
        <f aca="false">Daily_Composite!G52</f>
        <v>-0.064</v>
      </c>
      <c r="AX5" s="17" t="n">
        <f aca="false">Daily_Composite!G53</f>
        <v>0.135</v>
      </c>
      <c r="AY5" s="17" t="n">
        <f aca="false">Daily_Composite!G54</f>
        <v>-0.088</v>
      </c>
      <c r="AZ5" s="17" t="n">
        <f aca="false">Daily_Composite!G55</f>
        <v>-0.11</v>
      </c>
      <c r="BA5" s="17" t="n">
        <f aca="false">Daily_Composite!G56</f>
        <v>0.294</v>
      </c>
      <c r="BB5" s="17" t="n">
        <f aca="false">Daily_Composite!G57</f>
        <v>-0.094</v>
      </c>
      <c r="BC5" s="17" t="n">
        <f aca="false">Daily_Composite!G58</f>
        <v>-0.273</v>
      </c>
      <c r="BD5" s="17" t="n">
        <f aca="false">Daily_Composite!G59</f>
        <v>0.202</v>
      </c>
      <c r="BE5" s="17" t="n">
        <f aca="false">Daily_Composite!G60</f>
        <v>-0.179</v>
      </c>
      <c r="BF5" s="17" t="n">
        <f aca="false">Daily_Composite!G61</f>
        <v>0.021</v>
      </c>
      <c r="BG5" s="17" t="n">
        <f aca="false">Daily_Composite!G62</f>
        <v>0.325</v>
      </c>
      <c r="BH5" s="17" t="n">
        <f aca="false">Daily_Composite!G63</f>
        <v>-0.001</v>
      </c>
      <c r="BI5" s="17" t="n">
        <f aca="false">Daily_Composite!G64</f>
        <v>0.194</v>
      </c>
      <c r="BJ5" s="17" t="n">
        <f aca="false">Daily_Composite!G65</f>
        <v>-0.157</v>
      </c>
      <c r="BK5" s="17" t="n">
        <f aca="false">Daily_Composite!G66</f>
        <v>0.088</v>
      </c>
      <c r="BL5" s="17" t="n">
        <f aca="false">Daily_Composite!G67</f>
        <v>0.08</v>
      </c>
      <c r="BM5" s="17" t="n">
        <f aca="false">Daily_Composite!G68</f>
        <v>0.202</v>
      </c>
      <c r="BN5" s="17" t="n">
        <f aca="false">Daily_Composite!G69</f>
        <v>0.062</v>
      </c>
      <c r="BO5" s="17" t="n">
        <f aca="false">Daily_Composite!G70</f>
        <v>-0.094</v>
      </c>
      <c r="BP5" s="17" t="n">
        <f aca="false">Daily_Composite!G71</f>
        <v>-0.01</v>
      </c>
      <c r="BQ5" s="17" t="n">
        <f aca="false">Daily_Composite!G72</f>
        <v>-0.035</v>
      </c>
      <c r="BR5" s="17" t="n">
        <f aca="false">Daily_Composite!G73</f>
        <v>0.151</v>
      </c>
      <c r="BS5" s="17" t="n">
        <f aca="false">Daily_Composite!G74</f>
        <v>-0.191</v>
      </c>
      <c r="BT5" s="17" t="n">
        <f aca="false">Daily_Composite!G75</f>
        <v>0.156</v>
      </c>
      <c r="BU5" s="17" t="n">
        <f aca="false">Daily_Composite!G76</f>
        <v>-0.04</v>
      </c>
      <c r="BV5" s="17" t="n">
        <f aca="false">Daily_Composite!G77</f>
        <v>-0.048</v>
      </c>
      <c r="BW5" s="17" t="n">
        <f aca="false">Daily_Composite!G78</f>
        <v>0.065</v>
      </c>
      <c r="BX5" s="17" t="n">
        <f aca="false">Daily_Composite!G79</f>
        <v>-0.217</v>
      </c>
      <c r="BY5" s="17" t="n">
        <f aca="false">Daily_Composite!G80</f>
        <v>-0.237</v>
      </c>
      <c r="BZ5" s="17" t="n">
        <f aca="false">Daily_Composite!G81</f>
        <v>0.188</v>
      </c>
      <c r="CA5" s="17" t="n">
        <f aca="false">Daily_Composite!G82</f>
        <v>-0.01</v>
      </c>
      <c r="CB5" s="17" t="n">
        <f aca="false">Daily_Composite!G83</f>
        <v>0.251</v>
      </c>
      <c r="CC5" s="17" t="n">
        <f aca="false">Daily_Composite!G84</f>
        <v>-0.2</v>
      </c>
      <c r="CD5" s="17" t="n">
        <f aca="false">Daily_Composite!G85</f>
        <v>0.367</v>
      </c>
      <c r="CE5" s="17" t="n">
        <f aca="false">Daily_Composite!G86</f>
        <v>0.179</v>
      </c>
      <c r="CF5" s="17" t="n">
        <f aca="false">Daily_Composite!G87</f>
        <v>0.47</v>
      </c>
      <c r="CG5" s="17" t="n">
        <f aca="false">Daily_Composite!G88</f>
        <v>-0.224</v>
      </c>
      <c r="CH5" s="17" t="n">
        <f aca="false">Daily_Composite!G89</f>
        <v>-0.249</v>
      </c>
      <c r="CI5" s="17" t="n">
        <f aca="false">Daily_Composite!G90</f>
        <v>0.285</v>
      </c>
      <c r="CJ5" s="17" t="n">
        <f aca="false">Daily_Composite!G91</f>
        <v>0.216</v>
      </c>
      <c r="CK5" s="17" t="n">
        <f aca="false">Daily_Composite!G92</f>
        <v>-0.132</v>
      </c>
      <c r="CL5" s="17" t="n">
        <f aca="false">Daily_Composite!G93</f>
        <v>-0.245</v>
      </c>
      <c r="CM5" s="17" t="n">
        <f aca="false">Daily_Composite!G94</f>
        <v>0.204</v>
      </c>
      <c r="CN5" s="17" t="n">
        <f aca="false">Daily_Composite!G95</f>
        <v>-0.36</v>
      </c>
      <c r="CO5" s="17" t="n">
        <f aca="false">Daily_Composite!G96</f>
        <v>-0.343</v>
      </c>
      <c r="CP5" s="17" t="n">
        <f aca="false">Daily_Composite!G97</f>
        <v>-0.454</v>
      </c>
      <c r="CQ5" s="17" t="n">
        <f aca="false">Daily_Composite!G98</f>
        <v>-0.631</v>
      </c>
      <c r="CR5" s="17" t="n">
        <f aca="false">Daily_Composite!G99</f>
        <v>-0.64</v>
      </c>
      <c r="CS5" s="17" t="n">
        <f aca="false">Daily_Composite!G100</f>
        <v>-0.617</v>
      </c>
      <c r="CT5" s="17" t="n">
        <f aca="false">Daily_Composite!G101</f>
        <v>-0.535</v>
      </c>
      <c r="CU5" s="17" t="n">
        <f aca="false">Daily_Composite!G102</f>
        <v>-0.648</v>
      </c>
      <c r="CV5" s="17" t="n">
        <f aca="false">Daily_Composite!G103</f>
        <v>-0.663</v>
      </c>
      <c r="CW5" s="17" t="n">
        <f aca="false">Daily_Composite!G104</f>
        <v>-0.676</v>
      </c>
      <c r="CX5" s="17" t="n">
        <f aca="false">Daily_Composite!G105</f>
        <v>-0.655</v>
      </c>
      <c r="CY5" s="17" t="n">
        <f aca="false">Daily_Composite!G106</f>
        <v>-0.553</v>
      </c>
      <c r="CZ5" s="17" t="n">
        <f aca="false">Daily_Composite!G107</f>
        <v>-0.555</v>
      </c>
      <c r="DA5" s="17" t="n">
        <f aca="false">Daily_Composite!G108</f>
        <v>-0.626</v>
      </c>
      <c r="DB5" s="17" t="n">
        <f aca="false">Daily_Composite!G109</f>
        <v>-0.603</v>
      </c>
      <c r="DC5" s="17" t="n">
        <f aca="false">Daily_Composite!G110</f>
        <v>-0.595</v>
      </c>
      <c r="DD5" s="17" t="n">
        <f aca="false">Daily_Composite!G111</f>
        <v>-0.277</v>
      </c>
      <c r="DE5" s="17" t="n">
        <f aca="false">Daily_Composite!G112</f>
        <v>-0.593</v>
      </c>
      <c r="DF5" s="17" t="n">
        <f aca="false">Daily_Composite!G113</f>
        <v>-0.554</v>
      </c>
      <c r="DG5" s="17" t="n">
        <f aca="false">Daily_Composite!G114</f>
        <v>-0.39</v>
      </c>
      <c r="DH5" s="17" t="n">
        <f aca="false">Daily_Composite!G115</f>
        <v>-0.479</v>
      </c>
      <c r="DI5" s="17" t="n">
        <f aca="false">Daily_Composite!G116</f>
        <v>-0.608</v>
      </c>
      <c r="DJ5" s="17" t="n">
        <f aca="false">Daily_Composite!G117</f>
        <v>-0.69</v>
      </c>
      <c r="DK5" s="17" t="n">
        <f aca="false">Daily_Composite!G118</f>
        <v>-0.685</v>
      </c>
      <c r="DL5" s="17" t="n">
        <f aca="false">Daily_Composite!G119</f>
        <v>-0.592</v>
      </c>
      <c r="DM5" s="17" t="n">
        <f aca="false">Daily_Composite!G120</f>
        <v>-0.33</v>
      </c>
      <c r="DN5" s="17" t="n">
        <f aca="false">Daily_Composite!G121</f>
        <v>-0.554</v>
      </c>
      <c r="DO5" s="17" t="n">
        <f aca="false">Daily_Composite!G122</f>
        <v>-0.427</v>
      </c>
      <c r="DP5" s="17" t="n">
        <f aca="false">Daily_Composite!G123</f>
        <v>-0.271</v>
      </c>
      <c r="DQ5" s="17" t="n">
        <f aca="false">Daily_Composite!G124</f>
        <v>-0.415</v>
      </c>
      <c r="DR5" s="17" t="n">
        <f aca="false">Daily_Composite!G125</f>
        <v>-0.039</v>
      </c>
      <c r="DS5" s="17" t="n">
        <f aca="false">Daily_Composite!G126</f>
        <v>-0.112</v>
      </c>
      <c r="DT5" s="17" t="n">
        <f aca="false">Daily_Composite!G127</f>
        <v>-0.293</v>
      </c>
      <c r="DU5" s="17" t="n">
        <f aca="false">Daily_Composite!G128</f>
        <v>0.117</v>
      </c>
      <c r="DV5" s="17" t="n">
        <f aca="false">Daily_Composite!G129</f>
        <v>-0.023</v>
      </c>
      <c r="DW5" s="17" t="n">
        <f aca="false">Daily_Composite!G130</f>
        <v>0.552</v>
      </c>
      <c r="DX5" s="17" t="n">
        <f aca="false">Daily_Composite!G131</f>
        <v>0.209</v>
      </c>
      <c r="DY5" s="17" t="n">
        <f aca="false">Daily_Composite!G132</f>
        <v>0.036</v>
      </c>
      <c r="DZ5" s="17" t="n">
        <f aca="false">Daily_Composite!G133</f>
        <v>-0.076</v>
      </c>
      <c r="EA5" s="17" t="n">
        <f aca="false">Daily_Composite!G134</f>
        <v>-0.196</v>
      </c>
      <c r="EB5" s="17" t="n">
        <f aca="false">Daily_Composite!G135</f>
        <v>0.095</v>
      </c>
      <c r="EC5" s="17" t="n">
        <f aca="false">Daily_Composite!G136</f>
        <v>-0.054</v>
      </c>
      <c r="ED5" s="17" t="n">
        <f aca="false">Daily_Composite!G137</f>
        <v>-0.366</v>
      </c>
      <c r="EE5" s="17" t="n">
        <f aca="false">Daily_Composite!G138</f>
        <v>-0.117</v>
      </c>
      <c r="EF5" s="17" t="n">
        <f aca="false">Daily_Composite!G139</f>
        <v>0.136</v>
      </c>
      <c r="EG5" s="17" t="n">
        <f aca="false">Daily_Composite!G140</f>
        <v>0.238</v>
      </c>
      <c r="EH5" s="17" t="n">
        <f aca="false">Daily_Composite!G141</f>
        <v>-0.143</v>
      </c>
      <c r="EI5" s="17" t="n">
        <f aca="false">Daily_Composite!G142</f>
        <v>-0.019</v>
      </c>
      <c r="EJ5" s="17" t="n">
        <f aca="false">Daily_Composite!G143</f>
        <v>-0.369</v>
      </c>
      <c r="EK5" s="17" t="n">
        <f aca="false">Daily_Composite!G144</f>
        <v>-0.596</v>
      </c>
      <c r="EL5" s="17" t="n">
        <f aca="false">Daily_Composite!G145</f>
        <v>-0.368</v>
      </c>
      <c r="EM5" s="17" t="n">
        <f aca="false">Daily_Composite!G146</f>
        <v>-0.403</v>
      </c>
      <c r="EN5" s="17" t="n">
        <f aca="false">Daily_Composite!G147</f>
        <v>-0.304</v>
      </c>
      <c r="EO5" s="17" t="n">
        <f aca="false">Daily_Composite!G148</f>
        <v>-0.44</v>
      </c>
      <c r="EP5" s="17" t="n">
        <f aca="false">Daily_Composite!G149</f>
        <v>0.016</v>
      </c>
      <c r="EQ5" s="17" t="n">
        <f aca="false">Daily_Composite!G150</f>
        <v>-0.206</v>
      </c>
      <c r="ER5" s="17" t="n">
        <f aca="false">Daily_Composite!G151</f>
        <v>-0.161</v>
      </c>
      <c r="ES5" s="17" t="n">
        <f aca="false">Daily_Composite!G152</f>
        <v>-0.244</v>
      </c>
      <c r="ET5" s="17" t="n">
        <f aca="false">Daily_Composite!G153</f>
        <v>-0.423</v>
      </c>
      <c r="EU5" s="17" t="n">
        <f aca="false">Daily_Composite!G154</f>
        <v>-0.339</v>
      </c>
      <c r="EV5" s="17" t="n">
        <f aca="false">Daily_Composite!G155</f>
        <v>-0.091</v>
      </c>
      <c r="EW5" s="17" t="n">
        <f aca="false">Daily_Composite!G156</f>
        <v>-0.039</v>
      </c>
      <c r="EX5" s="17" t="n">
        <f aca="false">Daily_Composite!G157</f>
        <v>0.228</v>
      </c>
      <c r="EY5" s="17" t="n">
        <f aca="false">Daily_Composite!G158</f>
        <v>-0.301</v>
      </c>
      <c r="EZ5" s="17" t="n">
        <f aca="false">Daily_Composite!G159</f>
        <v>0.064</v>
      </c>
      <c r="FA5" s="17" t="n">
        <f aca="false">Daily_Composite!G160</f>
        <v>-0.108</v>
      </c>
      <c r="FB5" s="17" t="n">
        <f aca="false">Daily_Composite!G161</f>
        <v>-0.14</v>
      </c>
      <c r="FC5" s="17" t="n">
        <f aca="false">Daily_Composite!G162</f>
        <v>0.03</v>
      </c>
      <c r="FD5" s="17" t="n">
        <f aca="false">Daily_Composite!G163</f>
        <v>-0.393</v>
      </c>
      <c r="FE5" s="17" t="n">
        <f aca="false">Daily_Composite!G164</f>
        <v>-0.376</v>
      </c>
      <c r="FF5" s="17" t="n">
        <f aca="false">Daily_Composite!G165</f>
        <v>0.293</v>
      </c>
      <c r="FG5" s="17" t="n">
        <f aca="false">Daily_Composite!G166</f>
        <v>-0.147</v>
      </c>
      <c r="FH5" s="17" t="n">
        <f aca="false">Daily_Composite!G167</f>
        <v>0.061</v>
      </c>
      <c r="FI5" s="17" t="n">
        <f aca="false">Daily_Composite!G168</f>
        <v>-0.306</v>
      </c>
      <c r="FJ5" s="17" t="n">
        <f aca="false">Daily_Composite!G169</f>
        <v>-0.023</v>
      </c>
      <c r="FK5" s="17" t="n">
        <f aca="false">Daily_Composite!G170</f>
        <v>-0.076</v>
      </c>
      <c r="FL5" s="17" t="n">
        <f aca="false">Daily_Composite!G171</f>
        <v>-0.194</v>
      </c>
      <c r="FM5" s="17" t="n">
        <f aca="false">Daily_Composite!G172</f>
        <v>0.034</v>
      </c>
      <c r="FN5" s="17" t="n">
        <f aca="false">Daily_Composite!G173</f>
        <v>0.05</v>
      </c>
      <c r="FO5" s="17" t="n">
        <f aca="false">Daily_Composite!G174</f>
        <v>-0.203</v>
      </c>
      <c r="FP5" s="17" t="n">
        <f aca="false">Daily_Composite!G175</f>
        <v>-0.076</v>
      </c>
      <c r="FQ5" s="17" t="n">
        <f aca="false">Daily_Composite!G176</f>
        <v>-0.043</v>
      </c>
      <c r="FR5" s="17" t="n">
        <f aca="false">Daily_Composite!G177</f>
        <v>0.254</v>
      </c>
      <c r="FS5" s="17" t="n">
        <f aca="false">Daily_Composite!G178</f>
        <v>-0.148</v>
      </c>
      <c r="FT5" s="17" t="n">
        <f aca="false">Daily_Composite!G179</f>
        <v>-0.424</v>
      </c>
      <c r="FU5" s="17" t="n">
        <f aca="false">Daily_Composite!G180</f>
        <v>-0.577</v>
      </c>
      <c r="FV5" s="17" t="n">
        <f aca="false">Daily_Composite!G181</f>
        <v>-0.339</v>
      </c>
      <c r="FW5" s="17" t="n">
        <f aca="false">Daily_Composite!G182</f>
        <v>-0.478</v>
      </c>
      <c r="FX5" s="17" t="n">
        <f aca="false">Daily_Composite!G183</f>
        <v>-0.532</v>
      </c>
      <c r="FY5" s="17" t="n">
        <f aca="false">Daily_Composite!G184</f>
        <v>-0.622</v>
      </c>
      <c r="FZ5" s="17" t="n">
        <f aca="false">Daily_Composite!G185</f>
        <v>-0.4</v>
      </c>
      <c r="GA5" s="17" t="n">
        <f aca="false">Daily_Composite!G186</f>
        <v>-0.119</v>
      </c>
      <c r="GB5" s="17" t="n">
        <f aca="false">Daily_Composite!G187</f>
        <v>-0.224</v>
      </c>
      <c r="GC5" s="17" t="n">
        <f aca="false">Daily_Composite!G188</f>
        <v>-0.556</v>
      </c>
      <c r="GD5" s="17" t="n">
        <f aca="false">Daily_Composite!G189</f>
        <v>-0.287</v>
      </c>
      <c r="GE5" s="17" t="n">
        <f aca="false">Daily_Composite!G190</f>
        <v>-0.168</v>
      </c>
      <c r="GF5" s="17" t="n">
        <f aca="false">Daily_Composite!G191</f>
        <v>-0.496</v>
      </c>
      <c r="GG5" s="17" t="n">
        <f aca="false">Daily_Composite!G192</f>
        <v>-0.595</v>
      </c>
      <c r="GH5" s="17" t="n">
        <f aca="false">Daily_Composite!G193</f>
        <v>-0.422</v>
      </c>
      <c r="GI5" s="17" t="n">
        <f aca="false">Daily_Composite!G194</f>
        <v>-0.284</v>
      </c>
      <c r="GJ5" s="17" t="n">
        <f aca="false">Daily_Composite!G195</f>
        <v>0.111</v>
      </c>
      <c r="GK5" s="17" t="n">
        <f aca="false">Daily_Composite!G196</f>
        <v>0.1</v>
      </c>
      <c r="GL5" s="17" t="n">
        <f aca="false">Daily_Composite!G197</f>
        <v>-0.39</v>
      </c>
      <c r="GM5" s="17" t="n">
        <f aca="false">Daily_Composite!G198</f>
        <v>-0.441</v>
      </c>
      <c r="GN5" s="17" t="n">
        <f aca="false">Daily_Composite!G199</f>
        <v>-0.211</v>
      </c>
      <c r="GO5" s="17" t="n">
        <f aca="false">Daily_Composite!G200</f>
        <v>-0.376</v>
      </c>
      <c r="GP5" s="17" t="n">
        <f aca="false">Daily_Composite!G201</f>
        <v>-0.415</v>
      </c>
      <c r="GQ5" s="17" t="n">
        <f aca="false">Daily_Composite!G202</f>
        <v>-0.384</v>
      </c>
      <c r="GR5" s="17" t="n">
        <f aca="false">Daily_Composite!G203</f>
        <v>0.121</v>
      </c>
      <c r="GS5" s="17" t="n">
        <f aca="false">Daily_Composite!G204</f>
        <v>-0.401</v>
      </c>
      <c r="GT5" s="17" t="n">
        <f aca="false">Daily_Composite!G205</f>
        <v>-0.222</v>
      </c>
      <c r="GU5" s="17" t="n">
        <f aca="false">Daily_Composite!G206</f>
        <v>-0.417</v>
      </c>
      <c r="GV5" s="17" t="n">
        <f aca="false">Daily_Composite!G207</f>
        <v>-0.357</v>
      </c>
      <c r="GW5" s="17" t="n">
        <f aca="false">Daily_Composite!G208</f>
        <v>-0.369</v>
      </c>
      <c r="GX5" s="17" t="n">
        <f aca="false">Daily_Composite!G209</f>
        <v>-0.446</v>
      </c>
      <c r="GY5" s="17" t="n">
        <f aca="false">Daily_Composite!G210</f>
        <v>-0.386</v>
      </c>
      <c r="GZ5" s="17" t="n">
        <f aca="false">Daily_Composite!G211</f>
        <v>-0.431</v>
      </c>
      <c r="HA5" s="17" t="n">
        <f aca="false">Daily_Composite!G212</f>
        <v>-0.1</v>
      </c>
      <c r="HB5" s="17" t="n">
        <f aca="false">Daily_Composite!G213</f>
        <v>-0.735</v>
      </c>
      <c r="HC5" s="17" t="n">
        <f aca="false">Daily_Composite!G214</f>
        <v>-0.632</v>
      </c>
      <c r="HD5" s="17" t="n">
        <f aca="false">Daily_Composite!G215</f>
        <v>-0.349</v>
      </c>
      <c r="HE5" s="17" t="n">
        <f aca="false">Daily_Composite!G216</f>
        <v>-0.26</v>
      </c>
      <c r="HF5" s="17" t="n">
        <f aca="false">Daily_Composite!G217</f>
        <v>-0.409</v>
      </c>
      <c r="HG5" s="17" t="n">
        <f aca="false">Daily_Composite!G218</f>
        <v>-0.669</v>
      </c>
      <c r="HH5" s="17" t="n">
        <f aca="false">Daily_Composite!G219</f>
        <v>-0.718</v>
      </c>
      <c r="HI5" s="17" t="n">
        <f aca="false">Daily_Composite!G220</f>
        <v>-0.411</v>
      </c>
      <c r="HJ5" s="17" t="n">
        <f aca="false">Daily_Composite!G221</f>
        <v>-0.41</v>
      </c>
      <c r="HK5" s="17" t="n">
        <f aca="false">Daily_Composite!G222</f>
        <v>-0.46</v>
      </c>
      <c r="HL5" s="17" t="n">
        <f aca="false">Daily_Composite!G223</f>
        <v>-0.663</v>
      </c>
      <c r="HM5" s="17" t="n">
        <f aca="false">Daily_Composite!G224</f>
        <v>-0.631</v>
      </c>
      <c r="HN5" s="17" t="n">
        <f aca="false">Daily_Composite!G225</f>
        <v>-0.727</v>
      </c>
      <c r="HO5" s="17" t="n">
        <f aca="false">Daily_Composite!G226</f>
        <v>-0.711</v>
      </c>
      <c r="HP5" s="17" t="n">
        <f aca="false">Daily_Composite!G227</f>
        <v>-0.75</v>
      </c>
      <c r="HQ5" s="17" t="n">
        <f aca="false">Daily_Composite!G228</f>
        <v>-0.707</v>
      </c>
      <c r="HR5" s="17" t="n">
        <f aca="false">Daily_Composite!G229</f>
        <v>-0.442</v>
      </c>
      <c r="HS5" s="17" t="n">
        <f aca="false">Daily_Composite!G230</f>
        <v>-0.08</v>
      </c>
      <c r="HT5" s="17" t="n">
        <f aca="false">Daily_Composite!G231</f>
        <v>-0.74</v>
      </c>
      <c r="HU5" s="17" t="n">
        <f aca="false">Daily_Composite!G232</f>
        <v>-0.545</v>
      </c>
      <c r="HV5" s="17" t="n">
        <f aca="false">Daily_Composite!G233</f>
        <v>-0.553</v>
      </c>
      <c r="HW5" s="17" t="n">
        <f aca="false">Daily_Composite!G234</f>
        <v>-0.573</v>
      </c>
      <c r="HX5" s="17" t="n">
        <f aca="false">Daily_Composite!G235</f>
        <v>-0.56</v>
      </c>
      <c r="HY5" s="17" t="n">
        <f aca="false">Daily_Composite!G236</f>
        <v>-0.504</v>
      </c>
      <c r="HZ5" s="17" t="n">
        <f aca="false">Daily_Composite!G237</f>
        <v>-0.347</v>
      </c>
      <c r="IA5" s="17" t="n">
        <f aca="false">Daily_Composite!G238</f>
        <v>-0.29</v>
      </c>
      <c r="IB5" s="17" t="n">
        <f aca="false">Daily_Composite!G239</f>
        <v>0.147</v>
      </c>
      <c r="IC5" s="17" t="n">
        <f aca="false">Daily_Composite!G240</f>
        <v>-0.202</v>
      </c>
      <c r="ID5" s="17" t="n">
        <f aca="false">Daily_Composite!G241</f>
        <v>0.025</v>
      </c>
      <c r="IE5" s="17" t="n">
        <f aca="false">Daily_Composite!G242</f>
        <v>-0.263</v>
      </c>
      <c r="IF5" s="17" t="n">
        <f aca="false">Daily_Composite!G243</f>
        <v>-0.21</v>
      </c>
      <c r="IG5" s="17" t="n">
        <f aca="false">Daily_Composite!G244</f>
        <v>-0.196</v>
      </c>
      <c r="IH5" s="17" t="n">
        <f aca="false">Daily_Composite!G245</f>
        <v>-0.083</v>
      </c>
      <c r="II5" s="17" t="n">
        <f aca="false">Daily_Composite!G246</f>
        <v>-0.203</v>
      </c>
      <c r="IJ5" s="17" t="n">
        <f aca="false">Daily_Composite!G247</f>
        <v>0.304</v>
      </c>
      <c r="IK5" s="17" t="n">
        <f aca="false">Daily_Composite!G248</f>
        <v>0.295</v>
      </c>
      <c r="IL5" s="17" t="n">
        <f aca="false">Daily_Composite!G249</f>
        <v>0.515</v>
      </c>
      <c r="IM5" s="17" t="n">
        <f aca="false">Daily_Composite!G250</f>
        <v>0.196</v>
      </c>
      <c r="IN5" s="17" t="n">
        <f aca="false">Daily_Composite!G251</f>
        <v>0.512</v>
      </c>
      <c r="IO5" s="17" t="n">
        <f aca="false">Daily_Composite!G252</f>
        <v>0.104</v>
      </c>
      <c r="IP5" s="17" t="n">
        <f aca="false">Daily_Composite!G253</f>
        <v>0.131</v>
      </c>
      <c r="IQ5" s="17" t="n">
        <f aca="false">Daily_Composite!G254</f>
        <v>0.262</v>
      </c>
      <c r="IR5" s="17" t="n">
        <f aca="false">Daily_Composite!G255</f>
        <v>0.267</v>
      </c>
      <c r="IS5" s="17" t="n">
        <f aca="false">Daily_Composite!G256</f>
        <v>-0.084</v>
      </c>
      <c r="IT5" s="17" t="n">
        <f aca="false">Daily_Composite!G257</f>
        <v>0.362</v>
      </c>
      <c r="IU5" s="17" t="n">
        <f aca="false">Daily_Composite!G258</f>
        <v>0.245</v>
      </c>
      <c r="IV5" s="17" t="n">
        <f aca="false">Daily_Composite!G259</f>
        <v>0.378</v>
      </c>
      <c r="IW5" s="17" t="n">
        <f aca="false">Daily_Composite!G260</f>
        <v>0.073</v>
      </c>
      <c r="IX5" s="17" t="n">
        <f aca="false">Daily_Composite!G261</f>
        <v>0.092</v>
      </c>
      <c r="IY5" s="17" t="n">
        <f aca="false">Daily_Composite!G262</f>
        <v>-0.136</v>
      </c>
      <c r="IZ5" s="17" t="n">
        <f aca="false">Daily_Composite!G263</f>
        <v>0.055</v>
      </c>
      <c r="JA5" s="17" t="n">
        <f aca="false">Daily_Composite!G264</f>
        <v>0.074</v>
      </c>
      <c r="JB5" s="17" t="n">
        <f aca="false">Daily_Composite!G265</f>
        <v>0.019</v>
      </c>
      <c r="JC5" s="17" t="n">
        <f aca="false">Daily_Composite!G266</f>
        <v>0.223</v>
      </c>
      <c r="JD5" s="17" t="n">
        <f aca="false">Daily_Composite!G267</f>
        <v>0.154</v>
      </c>
      <c r="JE5" s="17" t="n">
        <f aca="false">Daily_Composite!G268</f>
        <v>0.225</v>
      </c>
      <c r="JF5" s="17" t="n">
        <f aca="false">Daily_Composite!G269</f>
        <v>-0.021</v>
      </c>
      <c r="JG5" s="17" t="n">
        <f aca="false">Daily_Composite!G270</f>
        <v>-0.118</v>
      </c>
      <c r="JH5" s="17" t="n">
        <f aca="false">Daily_Composite!G271</f>
        <v>-0.212</v>
      </c>
      <c r="JI5" s="17" t="n">
        <f aca="false">Daily_Composite!G272</f>
        <v>-0.301</v>
      </c>
      <c r="JJ5" s="17" t="n">
        <f aca="false">Daily_Composite!G273</f>
        <v>-0.208</v>
      </c>
      <c r="JK5" s="17" t="n">
        <f aca="false">Daily_Composite!G274</f>
        <v>-0.216</v>
      </c>
      <c r="JL5" s="17" t="n">
        <f aca="false">Daily_Composite!G275</f>
        <v>-0.242</v>
      </c>
      <c r="JM5" s="17" t="n">
        <f aca="false">Daily_Composite!G276</f>
        <v>0.186</v>
      </c>
      <c r="JN5" s="17" t="n">
        <f aca="false">Daily_Composite!G277</f>
        <v>-0.099</v>
      </c>
      <c r="JO5" s="17" t="n">
        <f aca="false">Daily_Composite!G278</f>
        <v>-0.37</v>
      </c>
      <c r="JP5" s="17" t="n">
        <f aca="false">Daily_Composite!G279</f>
        <v>-0.347</v>
      </c>
      <c r="JQ5" s="17" t="n">
        <f aca="false">Daily_Composite!G280</f>
        <v>-0.418</v>
      </c>
      <c r="JR5" s="17" t="n">
        <f aca="false">Daily_Composite!G281</f>
        <v>-0.411</v>
      </c>
      <c r="JS5" s="17" t="n">
        <f aca="false">Daily_Composite!G282</f>
        <v>0.181</v>
      </c>
      <c r="JT5" s="17" t="n">
        <f aca="false">Daily_Composite!G283</f>
        <v>0.11</v>
      </c>
      <c r="JU5" s="17" t="n">
        <f aca="false">Daily_Composite!G284</f>
        <v>-0.248</v>
      </c>
      <c r="JV5" s="17" t="n">
        <f aca="false">Daily_Composite!G285</f>
        <v>0.294</v>
      </c>
      <c r="JW5" s="17" t="n">
        <f aca="false">Daily_Composite!G286</f>
        <v>0.32</v>
      </c>
      <c r="JX5" s="17" t="n">
        <f aca="false">Daily_Composite!G287</f>
        <v>0.054</v>
      </c>
      <c r="JY5" s="17" t="n">
        <f aca="false">Daily_Composite!G288</f>
        <v>0.138</v>
      </c>
      <c r="JZ5" s="17" t="n">
        <f aca="false">Daily_Composite!G289</f>
        <v>0.239</v>
      </c>
      <c r="KA5" s="17" t="n">
        <f aca="false">Daily_Composite!G290</f>
        <v>0.076</v>
      </c>
      <c r="KB5" s="17" t="n">
        <f aca="false">Daily_Composite!G291</f>
        <v>0.003</v>
      </c>
      <c r="KC5" s="17" t="n">
        <f aca="false">Daily_Composite!G292</f>
        <v>-0.323</v>
      </c>
      <c r="KD5" s="17" t="n">
        <f aca="false">Daily_Composite!G293</f>
        <v>0.198</v>
      </c>
      <c r="KE5" s="17" t="n">
        <f aca="false">Daily_Composite!G294</f>
        <v>0.273</v>
      </c>
      <c r="KF5" s="17" t="n">
        <f aca="false">Daily_Composite!G295</f>
        <v>0.343</v>
      </c>
      <c r="KG5" s="17" t="n">
        <f aca="false">Daily_Composite!G296</f>
        <v>-0.299</v>
      </c>
      <c r="KH5" s="17" t="n">
        <f aca="false">Daily_Composite!G297</f>
        <v>-0.627</v>
      </c>
      <c r="KI5" s="17" t="n">
        <f aca="false">Daily_Composite!G298</f>
        <v>-0.523</v>
      </c>
      <c r="KJ5" s="17" t="n">
        <f aca="false">Daily_Composite!G299</f>
        <v>-0.447</v>
      </c>
      <c r="KK5" s="17" t="n">
        <f aca="false">Daily_Composite!G300</f>
        <v>-0.401</v>
      </c>
      <c r="KL5" s="17" t="n">
        <f aca="false">Daily_Composite!G301</f>
        <v>-0.416</v>
      </c>
      <c r="KM5" s="17" t="n">
        <f aca="false">Daily_Composite!G302</f>
        <v>-0.253</v>
      </c>
      <c r="KN5" s="17" t="n">
        <f aca="false">Daily_Composite!G303</f>
        <v>0.257</v>
      </c>
      <c r="KO5" s="17" t="n">
        <f aca="false">Daily_Composite!G304</f>
        <v>-0.294</v>
      </c>
      <c r="KP5" s="17" t="n">
        <f aca="false">Daily_Composite!G305</f>
        <v>-0.322</v>
      </c>
      <c r="KQ5" s="17" t="n">
        <f aca="false">Daily_Composite!G306</f>
        <v>-0.05</v>
      </c>
      <c r="KR5" s="17" t="n">
        <f aca="false">Daily_Composite!G307</f>
        <v>-0.456</v>
      </c>
      <c r="KS5" s="17" t="n">
        <f aca="false">Daily_Composite!G308</f>
        <v>-0.577</v>
      </c>
      <c r="KT5" s="17" t="n">
        <f aca="false">Daily_Composite!G309</f>
        <v>-0.216</v>
      </c>
      <c r="KU5" s="17" t="n">
        <f aca="false">Daily_Composite!G310</f>
        <v>-0.41</v>
      </c>
      <c r="KV5" s="17" t="n">
        <f aca="false">Daily_Composite!G311</f>
        <v>-0.45</v>
      </c>
      <c r="KW5" s="17" t="n">
        <f aca="false">Daily_Composite!G312</f>
        <v>-0.024</v>
      </c>
      <c r="KX5" s="17" t="n">
        <f aca="false">Daily_Composite!G313</f>
        <v>-0.043</v>
      </c>
      <c r="KY5" s="17" t="n">
        <f aca="false">Daily_Composite!G314</f>
        <v>-0.393</v>
      </c>
      <c r="KZ5" s="17" t="n">
        <f aca="false">Daily_Composite!G315</f>
        <v>-0.284</v>
      </c>
      <c r="LA5" s="17" t="n">
        <f aca="false">Daily_Composite!G316</f>
        <v>-0.32</v>
      </c>
      <c r="LB5" s="17" t="n">
        <f aca="false">Daily_Composite!G317</f>
        <v>-0.247</v>
      </c>
      <c r="LC5" s="17" t="n">
        <f aca="false">Daily_Composite!G318</f>
        <v>-0.136</v>
      </c>
      <c r="LD5" s="17" t="n">
        <f aca="false">Daily_Composite!G319</f>
        <v>-0.066</v>
      </c>
      <c r="LE5" s="17" t="n">
        <f aca="false">Daily_Composite!G320</f>
        <v>-0.1</v>
      </c>
      <c r="LF5" s="17" t="n">
        <f aca="false">Daily_Composite!G321</f>
        <v>-0.042</v>
      </c>
      <c r="LG5" s="17" t="n">
        <f aca="false">Daily_Composite!G322</f>
        <v>0.068</v>
      </c>
      <c r="LH5" s="17" t="n">
        <f aca="false">Daily_Composite!G323</f>
        <v>0.469</v>
      </c>
      <c r="LI5" s="17" t="n">
        <f aca="false">Daily_Composite!G324</f>
        <v>-0.005</v>
      </c>
      <c r="LJ5" s="17" t="n">
        <f aca="false">Daily_Composite!G325</f>
        <v>-0.136</v>
      </c>
      <c r="LK5" s="17" t="n">
        <f aca="false">Daily_Composite!G326</f>
        <v>-0.272</v>
      </c>
      <c r="LL5" s="17" t="n">
        <f aca="false">Daily_Composite!G327</f>
        <v>0.199</v>
      </c>
      <c r="LM5" s="17" t="n">
        <f aca="false">Daily_Composite!G328</f>
        <v>0.35</v>
      </c>
      <c r="LN5" s="17" t="n">
        <f aca="false">Daily_Composite!G329</f>
        <v>0.164</v>
      </c>
      <c r="LO5" s="17" t="n">
        <f aca="false">Daily_Composite!G330</f>
        <v>-0.236</v>
      </c>
      <c r="LP5" s="17" t="n">
        <f aca="false">Daily_Composite!G331</f>
        <v>0.037</v>
      </c>
      <c r="LQ5" s="17" t="n">
        <f aca="false">Daily_Composite!G332</f>
        <v>0.049</v>
      </c>
      <c r="LR5" s="17" t="n">
        <f aca="false">Daily_Composite!G333</f>
        <v>0.27</v>
      </c>
      <c r="LS5" s="17" t="n">
        <f aca="false">Daily_Composite!G334</f>
        <v>-0.303</v>
      </c>
      <c r="LT5" s="17" t="n">
        <f aca="false">Daily_Composite!G335</f>
        <v>-0.501</v>
      </c>
      <c r="LU5" s="17" t="n">
        <f aca="false">Daily_Composite!G336</f>
        <v>-0.718</v>
      </c>
      <c r="LV5" s="17" t="n">
        <f aca="false">Daily_Composite!G337</f>
        <v>-0.302</v>
      </c>
      <c r="LW5" s="17" t="n">
        <f aca="false">Daily_Composite!G338</f>
        <v>-0.323</v>
      </c>
      <c r="LX5" s="17" t="n">
        <f aca="false">Daily_Composite!G339</f>
        <v>-0.382</v>
      </c>
      <c r="LY5" s="17" t="n">
        <f aca="false">Daily_Composite!G340</f>
        <v>-0.319</v>
      </c>
      <c r="LZ5" s="17" t="n">
        <f aca="false">Daily_Composite!G341</f>
        <v>-0.238</v>
      </c>
      <c r="MA5" s="17" t="n">
        <f aca="false">Daily_Composite!G342</f>
        <v>-0.373</v>
      </c>
      <c r="MB5" s="17" t="n">
        <f aca="false">Daily_Composite!G343</f>
        <v>-0.456</v>
      </c>
      <c r="MC5" s="17" t="n">
        <f aca="false">Daily_Composite!G344</f>
        <v>-0.557</v>
      </c>
      <c r="MD5" s="17" t="n">
        <f aca="false">Daily_Composite!G345</f>
        <v>-0.255</v>
      </c>
      <c r="ME5" s="17" t="n">
        <f aca="false">Daily_Composite!G346</f>
        <v>-0.169</v>
      </c>
      <c r="MF5" s="17" t="n">
        <f aca="false">Daily_Composite!G347</f>
        <v>0.197</v>
      </c>
      <c r="MG5" s="17" t="n">
        <f aca="false">Daily_Composite!G348</f>
        <v>0.34</v>
      </c>
      <c r="MH5" s="17" t="n">
        <f aca="false">Daily_Composite!G349</f>
        <v>0.409</v>
      </c>
      <c r="MI5" s="17" t="n">
        <f aca="false">Daily_Composite!G350</f>
        <v>0.589</v>
      </c>
      <c r="MJ5" s="17" t="n">
        <f aca="false">Daily_Composite!G351</f>
        <v>0.664</v>
      </c>
      <c r="MK5" s="17" t="n">
        <f aca="false">Daily_Composite!G352</f>
        <v>0.385</v>
      </c>
      <c r="ML5" s="17" t="n">
        <f aca="false">Daily_Composite!G353</f>
        <v>0.412</v>
      </c>
      <c r="MM5" s="17" t="n">
        <f aca="false">Daily_Composite!G354</f>
        <v>0.429</v>
      </c>
      <c r="MN5" s="17" t="n">
        <f aca="false">Daily_Composite!G355</f>
        <v>0.136</v>
      </c>
      <c r="MO5" s="17" t="n">
        <f aca="false">Daily_Composite!G356</f>
        <v>0.442</v>
      </c>
      <c r="MP5" s="17" t="n">
        <f aca="false">Daily_Composite!G357</f>
        <v>0.646</v>
      </c>
      <c r="MQ5" s="17" t="n">
        <f aca="false">Daily_Composite!G358</f>
        <v>0.637</v>
      </c>
      <c r="MR5" s="17" t="n">
        <f aca="false">Daily_Composite!G359</f>
        <v>0.057</v>
      </c>
      <c r="MS5" s="17" t="n">
        <f aca="false">Daily_Composite!G360</f>
        <v>0.331</v>
      </c>
      <c r="MT5" s="17" t="n">
        <f aca="false">Daily_Composite!G361</f>
        <v>0.142</v>
      </c>
      <c r="MU5" s="17" t="n">
        <f aca="false">Daily_Composite!G362</f>
        <v>0.141</v>
      </c>
      <c r="MV5" s="17" t="n">
        <f aca="false">Daily_Composite!G363</f>
        <v>-0.092</v>
      </c>
      <c r="MW5" s="17" t="n">
        <f aca="false">Daily_Composite!G364</f>
        <v>-0.085</v>
      </c>
      <c r="MX5" s="17" t="n">
        <f aca="false">Daily_Composite!G365</f>
        <v>-0.072</v>
      </c>
      <c r="MY5" s="17" t="n">
        <f aca="false">Daily_Composite!G366</f>
        <v>0.119</v>
      </c>
      <c r="MZ5" s="17" t="n">
        <f aca="false">Daily_Composite!G367</f>
        <v>0.307</v>
      </c>
      <c r="NA5" s="17" t="n">
        <f aca="false">Daily_Composite!G368</f>
        <v>0.035</v>
      </c>
      <c r="NB5" s="17" t="n">
        <f aca="false">Daily_Composite!G369</f>
        <v>-0.003</v>
      </c>
    </row>
    <row r="6" customFormat="false" ht="15" hidden="false" customHeight="false" outlineLevel="0" collapsed="false">
      <c r="A6" s="6" t="s">
        <v>19</v>
      </c>
      <c r="B6" s="17" t="n">
        <f aca="false">Daily_Composite!H5</f>
        <v>-0.217</v>
      </c>
      <c r="C6" s="17" t="n">
        <f aca="false">Daily_Composite!H6</f>
        <v>0.295</v>
      </c>
      <c r="D6" s="17" t="n">
        <f aca="false">Daily_Composite!H7</f>
        <v>0.125</v>
      </c>
      <c r="E6" s="17" t="n">
        <f aca="false">Daily_Composite!H8</f>
        <v>0.059</v>
      </c>
      <c r="F6" s="17" t="n">
        <f aca="false">Daily_Composite!H9</f>
        <v>-0.315</v>
      </c>
      <c r="G6" s="17" t="n">
        <f aca="false">Daily_Composite!H10</f>
        <v>0.033</v>
      </c>
      <c r="H6" s="17" t="n">
        <f aca="false">Daily_Composite!H11</f>
        <v>0.451</v>
      </c>
      <c r="I6" s="17" t="n">
        <f aca="false">Daily_Composite!H12</f>
        <v>0.22</v>
      </c>
      <c r="J6" s="17" t="n">
        <f aca="false">Daily_Composite!H13</f>
        <v>0.381</v>
      </c>
      <c r="K6" s="17" t="n">
        <f aca="false">Daily_Composite!H14</f>
        <v>0.275</v>
      </c>
      <c r="L6" s="17" t="n">
        <f aca="false">Daily_Composite!H15</f>
        <v>-0.16</v>
      </c>
      <c r="M6" s="17" t="n">
        <f aca="false">Daily_Composite!H16</f>
        <v>0.323</v>
      </c>
      <c r="N6" s="17" t="n">
        <f aca="false">Daily_Composite!H17</f>
        <v>0.207</v>
      </c>
      <c r="O6" s="17" t="n">
        <f aca="false">Daily_Composite!H18</f>
        <v>-0.156</v>
      </c>
      <c r="P6" s="17" t="n">
        <f aca="false">Daily_Composite!H19</f>
        <v>0.549</v>
      </c>
      <c r="Q6" s="17" t="n">
        <f aca="false">Daily_Composite!H20</f>
        <v>0.417</v>
      </c>
      <c r="R6" s="17" t="n">
        <f aca="false">Daily_Composite!H21</f>
        <v>0.554</v>
      </c>
      <c r="S6" s="17" t="n">
        <f aca="false">Daily_Composite!H22</f>
        <v>0.261</v>
      </c>
      <c r="T6" s="17" t="n">
        <f aca="false">Daily_Composite!H23</f>
        <v>0.479</v>
      </c>
      <c r="U6" s="17" t="n">
        <f aca="false">Daily_Composite!H24</f>
        <v>0.231</v>
      </c>
      <c r="V6" s="17" t="n">
        <f aca="false">Daily_Composite!H25</f>
        <v>0.253</v>
      </c>
      <c r="W6" s="17" t="n">
        <f aca="false">Daily_Composite!H26</f>
        <v>0.021</v>
      </c>
      <c r="X6" s="17" t="n">
        <f aca="false">Daily_Composite!H27</f>
        <v>-0.128</v>
      </c>
      <c r="Y6" s="17" t="n">
        <f aca="false">Daily_Composite!H28</f>
        <v>0.346</v>
      </c>
      <c r="Z6" s="17" t="n">
        <f aca="false">Daily_Composite!H29</f>
        <v>-0.259</v>
      </c>
      <c r="AA6" s="17" t="n">
        <f aca="false">Daily_Composite!H30</f>
        <v>0.121</v>
      </c>
      <c r="AB6" s="17" t="n">
        <f aca="false">Daily_Composite!H31</f>
        <v>0.098</v>
      </c>
      <c r="AC6" s="17" t="n">
        <f aca="false">Daily_Composite!H32</f>
        <v>0.11</v>
      </c>
      <c r="AD6" s="17" t="n">
        <f aca="false">Daily_Composite!H33</f>
        <v>-0.044</v>
      </c>
      <c r="AE6" s="17" t="n">
        <f aca="false">Daily_Composite!H34</f>
        <v>-0.015</v>
      </c>
      <c r="AF6" s="17" t="n">
        <f aca="false">Daily_Composite!H35</f>
        <v>-0.107</v>
      </c>
      <c r="AG6" s="17" t="n">
        <f aca="false">Daily_Composite!H36</f>
        <v>-0.036</v>
      </c>
      <c r="AH6" s="17" t="n">
        <f aca="false">Daily_Composite!H37</f>
        <v>0.322</v>
      </c>
      <c r="AI6" s="17" t="n">
        <f aca="false">Daily_Composite!H38</f>
        <v>0.195</v>
      </c>
      <c r="AJ6" s="17" t="n">
        <f aca="false">Daily_Composite!H39</f>
        <v>-0.054</v>
      </c>
      <c r="AK6" s="17" t="n">
        <f aca="false">Daily_Composite!H40</f>
        <v>0.226</v>
      </c>
      <c r="AL6" s="17" t="n">
        <f aca="false">Daily_Composite!H41</f>
        <v>-0.134</v>
      </c>
      <c r="AM6" s="17" t="n">
        <f aca="false">Daily_Composite!H42</f>
        <v>-0.488</v>
      </c>
      <c r="AN6" s="17" t="n">
        <f aca="false">Daily_Composite!H43</f>
        <v>-0.297</v>
      </c>
      <c r="AO6" s="17" t="n">
        <f aca="false">Daily_Composite!H44</f>
        <v>-0.376</v>
      </c>
      <c r="AP6" s="17" t="n">
        <f aca="false">Daily_Composite!H45</f>
        <v>-0.315</v>
      </c>
      <c r="AQ6" s="17" t="n">
        <f aca="false">Daily_Composite!H46</f>
        <v>0.381</v>
      </c>
      <c r="AR6" s="17" t="n">
        <f aca="false">Daily_Composite!H47</f>
        <v>-0.462</v>
      </c>
      <c r="AS6" s="17" t="n">
        <f aca="false">Daily_Composite!H48</f>
        <v>-0.359</v>
      </c>
      <c r="AT6" s="17" t="n">
        <f aca="false">Daily_Composite!H49</f>
        <v>0.075</v>
      </c>
      <c r="AU6" s="17" t="n">
        <f aca="false">Daily_Composite!H50</f>
        <v>0.079</v>
      </c>
      <c r="AV6" s="17" t="n">
        <f aca="false">Daily_Composite!H51</f>
        <v>-0.059</v>
      </c>
      <c r="AW6" s="17" t="n">
        <f aca="false">Daily_Composite!H52</f>
        <v>-0.361</v>
      </c>
      <c r="AX6" s="17" t="n">
        <f aca="false">Daily_Composite!H53</f>
        <v>-0.213</v>
      </c>
      <c r="AY6" s="17" t="n">
        <f aca="false">Daily_Composite!H54</f>
        <v>-0.388</v>
      </c>
      <c r="AZ6" s="17" t="n">
        <f aca="false">Daily_Composite!H55</f>
        <v>-0.44</v>
      </c>
      <c r="BA6" s="17" t="n">
        <f aca="false">Daily_Composite!H56</f>
        <v>0.277</v>
      </c>
      <c r="BB6" s="17" t="n">
        <f aca="false">Daily_Composite!H57</f>
        <v>-0.516</v>
      </c>
      <c r="BC6" s="17" t="n">
        <f aca="false">Daily_Composite!H58</f>
        <v>-0.537</v>
      </c>
      <c r="BD6" s="17" t="n">
        <f aca="false">Daily_Composite!H59</f>
        <v>-0.085</v>
      </c>
      <c r="BE6" s="17" t="n">
        <f aca="false">Daily_Composite!H60</f>
        <v>-0.498</v>
      </c>
      <c r="BF6" s="17" t="n">
        <f aca="false">Daily_Composite!H61</f>
        <v>-0.474</v>
      </c>
      <c r="BG6" s="17" t="n">
        <f aca="false">Daily_Composite!H62</f>
        <v>-0.131</v>
      </c>
      <c r="BH6" s="17" t="n">
        <f aca="false">Daily_Composite!H63</f>
        <v>-0.383</v>
      </c>
      <c r="BI6" s="17" t="n">
        <f aca="false">Daily_Composite!H64</f>
        <v>-0.115</v>
      </c>
      <c r="BJ6" s="17" t="n">
        <f aca="false">Daily_Composite!H65</f>
        <v>-0.567</v>
      </c>
      <c r="BK6" s="17" t="n">
        <f aca="false">Daily_Composite!H66</f>
        <v>-0.369</v>
      </c>
      <c r="BL6" s="17" t="n">
        <f aca="false">Daily_Composite!H67</f>
        <v>-0.24</v>
      </c>
      <c r="BM6" s="17" t="n">
        <f aca="false">Daily_Composite!H68</f>
        <v>-0.205</v>
      </c>
      <c r="BN6" s="17" t="n">
        <f aca="false">Daily_Composite!H69</f>
        <v>-0.397</v>
      </c>
      <c r="BO6" s="17" t="n">
        <f aca="false">Daily_Composite!H70</f>
        <v>-0.575</v>
      </c>
      <c r="BP6" s="17" t="n">
        <f aca="false">Daily_Composite!H71</f>
        <v>-0.371</v>
      </c>
      <c r="BQ6" s="17" t="n">
        <f aca="false">Daily_Composite!H72</f>
        <v>-0.327</v>
      </c>
      <c r="BR6" s="17" t="n">
        <f aca="false">Daily_Composite!H73</f>
        <v>-0.013</v>
      </c>
      <c r="BS6" s="17" t="n">
        <f aca="false">Daily_Composite!H74</f>
        <v>-0.568</v>
      </c>
      <c r="BT6" s="17" t="n">
        <f aca="false">Daily_Composite!H75</f>
        <v>-0.222</v>
      </c>
      <c r="BU6" s="17" t="n">
        <f aca="false">Daily_Composite!H76</f>
        <v>-0.123</v>
      </c>
      <c r="BV6" s="17" t="n">
        <f aca="false">Daily_Composite!H77</f>
        <v>-0.228</v>
      </c>
      <c r="BW6" s="17" t="n">
        <f aca="false">Daily_Composite!H78</f>
        <v>-0.078</v>
      </c>
      <c r="BX6" s="17" t="n">
        <f aca="false">Daily_Composite!H79</f>
        <v>-0.277</v>
      </c>
      <c r="BY6" s="17" t="n">
        <f aca="false">Daily_Composite!H80</f>
        <v>-0.385</v>
      </c>
      <c r="BZ6" s="17" t="n">
        <f aca="false">Daily_Composite!H81</f>
        <v>-0.312</v>
      </c>
      <c r="CA6" s="17" t="n">
        <f aca="false">Daily_Composite!H82</f>
        <v>-0.324</v>
      </c>
      <c r="CB6" s="17" t="n">
        <f aca="false">Daily_Composite!H83</f>
        <v>0.106</v>
      </c>
      <c r="CC6" s="17" t="n">
        <f aca="false">Daily_Composite!H84</f>
        <v>-0.513</v>
      </c>
      <c r="CD6" s="17" t="n">
        <f aca="false">Daily_Composite!H85</f>
        <v>0.187</v>
      </c>
      <c r="CE6" s="17" t="n">
        <f aca="false">Daily_Composite!H86</f>
        <v>-0.257</v>
      </c>
      <c r="CF6" s="17" t="n">
        <f aca="false">Daily_Composite!H87</f>
        <v>0.233</v>
      </c>
      <c r="CG6" s="17" t="n">
        <f aca="false">Daily_Composite!H88</f>
        <v>-0.426</v>
      </c>
      <c r="CH6" s="17" t="n">
        <f aca="false">Daily_Composite!H89</f>
        <v>-0.535</v>
      </c>
      <c r="CI6" s="17" t="n">
        <f aca="false">Daily_Composite!H90</f>
        <v>-0.169</v>
      </c>
      <c r="CJ6" s="17" t="n">
        <f aca="false">Daily_Composite!H91</f>
        <v>-0.141</v>
      </c>
      <c r="CK6" s="17" t="n">
        <f aca="false">Daily_Composite!H92</f>
        <v>-0.512</v>
      </c>
      <c r="CL6" s="17" t="n">
        <f aca="false">Daily_Composite!H93</f>
        <v>-0.626</v>
      </c>
      <c r="CM6" s="17" t="n">
        <f aca="false">Daily_Composite!H94</f>
        <v>-0.514</v>
      </c>
      <c r="CN6" s="17" t="n">
        <f aca="false">Daily_Composite!H95</f>
        <v>-0.602</v>
      </c>
      <c r="CO6" s="17" t="n">
        <f aca="false">Daily_Composite!H96</f>
        <v>-0.685</v>
      </c>
      <c r="CP6" s="17" t="n">
        <f aca="false">Daily_Composite!H97</f>
        <v>-0.764</v>
      </c>
      <c r="CQ6" s="17" t="n">
        <f aca="false">Daily_Composite!H98</f>
        <v>-0.768</v>
      </c>
      <c r="CR6" s="17" t="n">
        <f aca="false">Daily_Composite!H99</f>
        <v>-0.749</v>
      </c>
      <c r="CS6" s="17" t="n">
        <f aca="false">Daily_Composite!H100</f>
        <v>-0.775</v>
      </c>
      <c r="CT6" s="17" t="n">
        <f aca="false">Daily_Composite!H101</f>
        <v>-0.798</v>
      </c>
      <c r="CU6" s="17" t="n">
        <f aca="false">Daily_Composite!H102</f>
        <v>-0.786</v>
      </c>
      <c r="CV6" s="17" t="n">
        <f aca="false">Daily_Composite!H103</f>
        <v>-0.665</v>
      </c>
      <c r="CW6" s="17" t="n">
        <f aca="false">Daily_Composite!H104</f>
        <v>-0.68</v>
      </c>
      <c r="CX6" s="17" t="n">
        <f aca="false">Daily_Composite!H105</f>
        <v>-0.807</v>
      </c>
      <c r="CY6" s="17" t="n">
        <f aca="false">Daily_Composite!H106</f>
        <v>-0.778</v>
      </c>
      <c r="CZ6" s="17" t="n">
        <f aca="false">Daily_Composite!H107</f>
        <v>-0.698</v>
      </c>
      <c r="DA6" s="17" t="n">
        <f aca="false">Daily_Composite!H108</f>
        <v>-0.798</v>
      </c>
      <c r="DB6" s="17" t="n">
        <f aca="false">Daily_Composite!H109</f>
        <v>-0.798</v>
      </c>
      <c r="DC6" s="17" t="n">
        <f aca="false">Daily_Composite!H110</f>
        <v>-0.771</v>
      </c>
      <c r="DD6" s="17" t="n">
        <f aca="false">Daily_Composite!H111</f>
        <v>-0.792</v>
      </c>
      <c r="DE6" s="17" t="n">
        <f aca="false">Daily_Composite!H112</f>
        <v>-0.789</v>
      </c>
      <c r="DF6" s="17" t="n">
        <f aca="false">Daily_Composite!H113</f>
        <v>-0.488</v>
      </c>
      <c r="DG6" s="17" t="n">
        <f aca="false">Daily_Composite!H114</f>
        <v>-0.5</v>
      </c>
      <c r="DH6" s="17" t="n">
        <f aca="false">Daily_Composite!H115</f>
        <v>-0.558</v>
      </c>
      <c r="DI6" s="17" t="n">
        <f aca="false">Daily_Composite!H116</f>
        <v>-0.77</v>
      </c>
      <c r="DJ6" s="17" t="n">
        <f aca="false">Daily_Composite!H117</f>
        <v>-0.688</v>
      </c>
      <c r="DK6" s="17" t="n">
        <f aca="false">Daily_Composite!H118</f>
        <v>-0.624</v>
      </c>
      <c r="DL6" s="17" t="n">
        <f aca="false">Daily_Composite!H119</f>
        <v>-0.757</v>
      </c>
      <c r="DM6" s="17" t="n">
        <f aca="false">Daily_Composite!H120</f>
        <v>-0.653</v>
      </c>
      <c r="DN6" s="17" t="n">
        <f aca="false">Daily_Composite!H121</f>
        <v>-0.544</v>
      </c>
      <c r="DO6" s="17" t="n">
        <f aca="false">Daily_Composite!H122</f>
        <v>-0.339</v>
      </c>
      <c r="DP6" s="17" t="n">
        <f aca="false">Daily_Composite!H123</f>
        <v>-0.328</v>
      </c>
      <c r="DQ6" s="17" t="n">
        <f aca="false">Daily_Composite!H124</f>
        <v>-0.492</v>
      </c>
      <c r="DR6" s="17" t="n">
        <f aca="false">Daily_Composite!H125</f>
        <v>-0.257</v>
      </c>
      <c r="DS6" s="17" t="n">
        <f aca="false">Daily_Composite!H126</f>
        <v>-0.074</v>
      </c>
      <c r="DT6" s="17" t="n">
        <f aca="false">Daily_Composite!H127</f>
        <v>-0.322</v>
      </c>
      <c r="DU6" s="17" t="n">
        <f aca="false">Daily_Composite!H128</f>
        <v>-0.129</v>
      </c>
      <c r="DV6" s="17" t="n">
        <f aca="false">Daily_Composite!H129</f>
        <v>-0.345</v>
      </c>
      <c r="DW6" s="17" t="n">
        <f aca="false">Daily_Composite!H130</f>
        <v>0.488</v>
      </c>
      <c r="DX6" s="17" t="n">
        <f aca="false">Daily_Composite!H131</f>
        <v>-0.137</v>
      </c>
      <c r="DY6" s="17" t="n">
        <f aca="false">Daily_Composite!H132</f>
        <v>0.325</v>
      </c>
      <c r="DZ6" s="17" t="n">
        <f aca="false">Daily_Composite!H133</f>
        <v>0.008</v>
      </c>
      <c r="EA6" s="17" t="n">
        <f aca="false">Daily_Composite!H134</f>
        <v>-0.302</v>
      </c>
      <c r="EB6" s="17" t="n">
        <f aca="false">Daily_Composite!H135</f>
        <v>0</v>
      </c>
      <c r="EC6" s="17" t="n">
        <f aca="false">Daily_Composite!H136</f>
        <v>-0.174</v>
      </c>
      <c r="ED6" s="17" t="n">
        <f aca="false">Daily_Composite!H137</f>
        <v>-0.478</v>
      </c>
      <c r="EE6" s="17" t="n">
        <f aca="false">Daily_Composite!H138</f>
        <v>-0.438</v>
      </c>
      <c r="EF6" s="17" t="n">
        <f aca="false">Daily_Composite!H139</f>
        <v>-0.018</v>
      </c>
      <c r="EG6" s="17" t="n">
        <f aca="false">Daily_Composite!H140</f>
        <v>-0.342</v>
      </c>
      <c r="EH6" s="17" t="n">
        <f aca="false">Daily_Composite!H141</f>
        <v>-0.342</v>
      </c>
      <c r="EI6" s="17" t="n">
        <f aca="false">Daily_Composite!H142</f>
        <v>-0.334</v>
      </c>
      <c r="EJ6" s="17" t="n">
        <f aca="false">Daily_Composite!H143</f>
        <v>-0.619</v>
      </c>
      <c r="EK6" s="17" t="n">
        <f aca="false">Daily_Composite!H144</f>
        <v>-0.595</v>
      </c>
      <c r="EL6" s="17" t="n">
        <f aca="false">Daily_Composite!H145</f>
        <v>-0.512</v>
      </c>
      <c r="EM6" s="17" t="n">
        <f aca="false">Daily_Composite!H146</f>
        <v>-0.609</v>
      </c>
      <c r="EN6" s="17" t="n">
        <f aca="false">Daily_Composite!H147</f>
        <v>-0.628</v>
      </c>
      <c r="EO6" s="17" t="n">
        <f aca="false">Daily_Composite!H148</f>
        <v>-0.608</v>
      </c>
      <c r="EP6" s="17" t="n">
        <f aca="false">Daily_Composite!H149</f>
        <v>-0.363</v>
      </c>
      <c r="EQ6" s="17" t="n">
        <f aca="false">Daily_Composite!H150</f>
        <v>-0.503</v>
      </c>
      <c r="ER6" s="17" t="n">
        <f aca="false">Daily_Composite!H151</f>
        <v>-0.528</v>
      </c>
      <c r="ES6" s="17" t="n">
        <f aca="false">Daily_Composite!H152</f>
        <v>-0.593</v>
      </c>
      <c r="ET6" s="17" t="n">
        <f aca="false">Daily_Composite!H153</f>
        <v>-0.529</v>
      </c>
      <c r="EU6" s="17" t="n">
        <f aca="false">Daily_Composite!H154</f>
        <v>-0.543</v>
      </c>
      <c r="EV6" s="17" t="n">
        <f aca="false">Daily_Composite!H155</f>
        <v>-0.442</v>
      </c>
      <c r="EW6" s="17" t="n">
        <f aca="false">Daily_Composite!H156</f>
        <v>-0.602</v>
      </c>
      <c r="EX6" s="17" t="n">
        <f aca="false">Daily_Composite!H157</f>
        <v>-0.38</v>
      </c>
      <c r="EY6" s="17" t="n">
        <f aca="false">Daily_Composite!H158</f>
        <v>-0.332</v>
      </c>
      <c r="EZ6" s="17" t="n">
        <f aca="false">Daily_Composite!H159</f>
        <v>-0.286</v>
      </c>
      <c r="FA6" s="17" t="n">
        <f aca="false">Daily_Composite!H160</f>
        <v>-0.404</v>
      </c>
      <c r="FB6" s="17" t="n">
        <f aca="false">Daily_Composite!H161</f>
        <v>-0.43</v>
      </c>
      <c r="FC6" s="17" t="n">
        <f aca="false">Daily_Composite!H162</f>
        <v>-0.579</v>
      </c>
      <c r="FD6" s="17" t="n">
        <f aca="false">Daily_Composite!H163</f>
        <v>-0.616</v>
      </c>
      <c r="FE6" s="17" t="n">
        <f aca="false">Daily_Composite!H164</f>
        <v>-0.627</v>
      </c>
      <c r="FF6" s="17" t="n">
        <f aca="false">Daily_Composite!H165</f>
        <v>0.149</v>
      </c>
      <c r="FG6" s="17" t="n">
        <f aca="false">Daily_Composite!H166</f>
        <v>-0.646</v>
      </c>
      <c r="FH6" s="17" t="n">
        <f aca="false">Daily_Composite!H167</f>
        <v>-0.447</v>
      </c>
      <c r="FI6" s="17" t="n">
        <f aca="false">Daily_Composite!H168</f>
        <v>-0.35</v>
      </c>
      <c r="FJ6" s="17" t="n">
        <f aca="false">Daily_Composite!H169</f>
        <v>-0.374</v>
      </c>
      <c r="FK6" s="17" t="n">
        <f aca="false">Daily_Composite!H170</f>
        <v>-0.319</v>
      </c>
      <c r="FL6" s="17" t="n">
        <f aca="false">Daily_Composite!H171</f>
        <v>-0.643</v>
      </c>
      <c r="FM6" s="17" t="n">
        <f aca="false">Daily_Composite!H172</f>
        <v>-0.342</v>
      </c>
      <c r="FN6" s="17" t="n">
        <f aca="false">Daily_Composite!H173</f>
        <v>-0.313</v>
      </c>
      <c r="FO6" s="17" t="n">
        <f aca="false">Daily_Composite!H174</f>
        <v>-0.606</v>
      </c>
      <c r="FP6" s="17" t="n">
        <f aca="false">Daily_Composite!H175</f>
        <v>-0.374</v>
      </c>
      <c r="FQ6" s="17" t="n">
        <f aca="false">Daily_Composite!H176</f>
        <v>-0.218</v>
      </c>
      <c r="FR6" s="17" t="n">
        <f aca="false">Daily_Composite!H177</f>
        <v>0.3</v>
      </c>
      <c r="FS6" s="17" t="n">
        <f aca="false">Daily_Composite!H178</f>
        <v>-0.234</v>
      </c>
      <c r="FT6" s="17" t="n">
        <f aca="false">Daily_Composite!H179</f>
        <v>-0.593</v>
      </c>
      <c r="FU6" s="17" t="n">
        <f aca="false">Daily_Composite!H180</f>
        <v>-0.268</v>
      </c>
      <c r="FV6" s="17" t="n">
        <f aca="false">Daily_Composite!H181</f>
        <v>-0.159</v>
      </c>
      <c r="FW6" s="17" t="n">
        <f aca="false">Daily_Composite!H182</f>
        <v>-0.443</v>
      </c>
      <c r="FX6" s="17" t="n">
        <f aca="false">Daily_Composite!H183</f>
        <v>-0.178</v>
      </c>
      <c r="FY6" s="17" t="n">
        <f aca="false">Daily_Composite!H184</f>
        <v>-0.424</v>
      </c>
      <c r="FZ6" s="17" t="n">
        <f aca="false">Daily_Composite!H185</f>
        <v>-0.071</v>
      </c>
      <c r="GA6" s="17" t="n">
        <f aca="false">Daily_Composite!H186</f>
        <v>0.233</v>
      </c>
      <c r="GB6" s="17" t="n">
        <f aca="false">Daily_Composite!H187</f>
        <v>0.178</v>
      </c>
      <c r="GC6" s="17" t="n">
        <f aca="false">Daily_Composite!H188</f>
        <v>-0.288</v>
      </c>
      <c r="GD6" s="17" t="n">
        <f aca="false">Daily_Composite!H189</f>
        <v>-0.116</v>
      </c>
      <c r="GE6" s="17" t="n">
        <f aca="false">Daily_Composite!H190</f>
        <v>-0.157</v>
      </c>
      <c r="GF6" s="17" t="n">
        <f aca="false">Daily_Composite!H191</f>
        <v>-0.147</v>
      </c>
      <c r="GG6" s="17" t="n">
        <f aca="false">Daily_Composite!H192</f>
        <v>-0.453</v>
      </c>
      <c r="GH6" s="17" t="n">
        <f aca="false">Daily_Composite!H193</f>
        <v>-0.146</v>
      </c>
      <c r="GI6" s="17" t="n">
        <f aca="false">Daily_Composite!H194</f>
        <v>-0.051</v>
      </c>
      <c r="GJ6" s="17" t="n">
        <f aca="false">Daily_Composite!H195</f>
        <v>-0.023</v>
      </c>
      <c r="GK6" s="17" t="n">
        <f aca="false">Daily_Composite!H196</f>
        <v>0.421</v>
      </c>
      <c r="GL6" s="17" t="n">
        <f aca="false">Daily_Composite!H197</f>
        <v>-0.006</v>
      </c>
      <c r="GM6" s="17" t="n">
        <f aca="false">Daily_Composite!H198</f>
        <v>-0.382</v>
      </c>
      <c r="GN6" s="17" t="n">
        <f aca="false">Daily_Composite!H199</f>
        <v>0.3</v>
      </c>
      <c r="GO6" s="17" t="n">
        <f aca="false">Daily_Composite!H200</f>
        <v>0.009</v>
      </c>
      <c r="GP6" s="17" t="n">
        <f aca="false">Daily_Composite!H201</f>
        <v>-0.303</v>
      </c>
      <c r="GQ6" s="17" t="n">
        <f aca="false">Daily_Composite!H202</f>
        <v>-0.328</v>
      </c>
      <c r="GR6" s="17" t="n">
        <f aca="false">Daily_Composite!H203</f>
        <v>0.254</v>
      </c>
      <c r="GS6" s="17" t="n">
        <f aca="false">Daily_Composite!H204</f>
        <v>-0.111</v>
      </c>
      <c r="GT6" s="17" t="n">
        <f aca="false">Daily_Composite!H205</f>
        <v>-0.074</v>
      </c>
      <c r="GU6" s="17" t="n">
        <f aca="false">Daily_Composite!H206</f>
        <v>-0.445</v>
      </c>
      <c r="GV6" s="17" t="n">
        <f aca="false">Daily_Composite!H207</f>
        <v>-0.247</v>
      </c>
      <c r="GW6" s="17" t="n">
        <f aca="false">Daily_Composite!H208</f>
        <v>-0.088</v>
      </c>
      <c r="GX6" s="17" t="n">
        <f aca="false">Daily_Composite!H209</f>
        <v>-0.47</v>
      </c>
      <c r="GY6" s="17" t="n">
        <f aca="false">Daily_Composite!H210</f>
        <v>-0.459</v>
      </c>
      <c r="GZ6" s="17" t="n">
        <f aca="false">Daily_Composite!H211</f>
        <v>-0.375</v>
      </c>
      <c r="HA6" s="17" t="n">
        <f aca="false">Daily_Composite!H212</f>
        <v>-0.007</v>
      </c>
      <c r="HB6" s="17" t="n">
        <f aca="false">Daily_Composite!H213</f>
        <v>-0.4</v>
      </c>
      <c r="HC6" s="17" t="n">
        <f aca="false">Daily_Composite!H214</f>
        <v>-0.645</v>
      </c>
      <c r="HD6" s="17" t="n">
        <f aca="false">Daily_Composite!H215</f>
        <v>-0.438</v>
      </c>
      <c r="HE6" s="17" t="n">
        <f aca="false">Daily_Composite!H216</f>
        <v>-0.262</v>
      </c>
      <c r="HF6" s="17" t="n">
        <f aca="false">Daily_Composite!H217</f>
        <v>-0.485</v>
      </c>
      <c r="HG6" s="17" t="n">
        <f aca="false">Daily_Composite!H218</f>
        <v>-0.542</v>
      </c>
      <c r="HH6" s="17" t="n">
        <f aca="false">Daily_Composite!H219</f>
        <v>-0.592</v>
      </c>
      <c r="HI6" s="17" t="n">
        <f aca="false">Daily_Composite!H220</f>
        <v>-0.554</v>
      </c>
      <c r="HJ6" s="17" t="n">
        <f aca="false">Daily_Composite!H221</f>
        <v>-0.569</v>
      </c>
      <c r="HK6" s="17" t="n">
        <f aca="false">Daily_Composite!H222</f>
        <v>-0.499</v>
      </c>
      <c r="HL6" s="17" t="n">
        <f aca="false">Daily_Composite!H223</f>
        <v>-0.579</v>
      </c>
      <c r="HM6" s="17" t="n">
        <f aca="false">Daily_Composite!H224</f>
        <v>-0.283</v>
      </c>
      <c r="HN6" s="17" t="n">
        <f aca="false">Daily_Composite!H225</f>
        <v>-0.617</v>
      </c>
      <c r="HO6" s="17" t="n">
        <f aca="false">Daily_Composite!H226</f>
        <v>-0.533</v>
      </c>
      <c r="HP6" s="17" t="n">
        <f aca="false">Daily_Composite!H227</f>
        <v>-0.416</v>
      </c>
      <c r="HQ6" s="17" t="n">
        <f aca="false">Daily_Composite!H228</f>
        <v>-0.596</v>
      </c>
      <c r="HR6" s="17" t="n">
        <f aca="false">Daily_Composite!H229</f>
        <v>-0.16</v>
      </c>
      <c r="HS6" s="17" t="n">
        <f aca="false">Daily_Composite!H230</f>
        <v>0.124</v>
      </c>
      <c r="HT6" s="17" t="n">
        <f aca="false">Daily_Composite!H231</f>
        <v>-0.295</v>
      </c>
      <c r="HU6" s="17" t="n">
        <f aca="false">Daily_Composite!H232</f>
        <v>-0.395</v>
      </c>
      <c r="HV6" s="17" t="n">
        <f aca="false">Daily_Composite!H233</f>
        <v>-0.26</v>
      </c>
      <c r="HW6" s="17" t="n">
        <f aca="false">Daily_Composite!H234</f>
        <v>-0.419</v>
      </c>
      <c r="HX6" s="17" t="n">
        <f aca="false">Daily_Composite!H235</f>
        <v>-0.384</v>
      </c>
      <c r="HY6" s="17" t="n">
        <f aca="false">Daily_Composite!H236</f>
        <v>-0.252</v>
      </c>
      <c r="HZ6" s="17" t="n">
        <f aca="false">Daily_Composite!H237</f>
        <v>-0.257</v>
      </c>
      <c r="IA6" s="17" t="n">
        <f aca="false">Daily_Composite!H238</f>
        <v>0.166</v>
      </c>
      <c r="IB6" s="17" t="n">
        <f aca="false">Daily_Composite!H239</f>
        <v>0.438</v>
      </c>
      <c r="IC6" s="17" t="n">
        <f aca="false">Daily_Composite!H240</f>
        <v>0.06</v>
      </c>
      <c r="ID6" s="17" t="n">
        <f aca="false">Daily_Composite!H241</f>
        <v>0.333</v>
      </c>
      <c r="IE6" s="17" t="n">
        <f aca="false">Daily_Composite!H242</f>
        <v>-0.026</v>
      </c>
      <c r="IF6" s="17" t="n">
        <f aca="false">Daily_Composite!H243</f>
        <v>-0.302</v>
      </c>
      <c r="IG6" s="17" t="n">
        <f aca="false">Daily_Composite!H244</f>
        <v>-0.172</v>
      </c>
      <c r="IH6" s="17" t="n">
        <f aca="false">Daily_Composite!H245</f>
        <v>-0.119</v>
      </c>
      <c r="II6" s="17" t="n">
        <f aca="false">Daily_Composite!H246</f>
        <v>0.019</v>
      </c>
      <c r="IJ6" s="17" t="n">
        <f aca="false">Daily_Composite!H247</f>
        <v>0.466</v>
      </c>
      <c r="IK6" s="17" t="n">
        <f aca="false">Daily_Composite!H248</f>
        <v>0.306</v>
      </c>
      <c r="IL6" s="17" t="n">
        <f aca="false">Daily_Composite!H249</f>
        <v>0.557</v>
      </c>
      <c r="IM6" s="17" t="n">
        <f aca="false">Daily_Composite!H250</f>
        <v>-0.019</v>
      </c>
      <c r="IN6" s="17" t="n">
        <f aca="false">Daily_Composite!H251</f>
        <v>0.549</v>
      </c>
      <c r="IO6" s="17" t="n">
        <f aca="false">Daily_Composite!H252</f>
        <v>0.227</v>
      </c>
      <c r="IP6" s="17" t="n">
        <f aca="false">Daily_Composite!H253</f>
        <v>0.044</v>
      </c>
      <c r="IQ6" s="17" t="n">
        <f aca="false">Daily_Composite!H254</f>
        <v>0.017</v>
      </c>
      <c r="IR6" s="17" t="n">
        <f aca="false">Daily_Composite!H255</f>
        <v>0.305</v>
      </c>
      <c r="IS6" s="17" t="n">
        <f aca="false">Daily_Composite!H256</f>
        <v>-0.222</v>
      </c>
      <c r="IT6" s="17" t="n">
        <f aca="false">Daily_Composite!H257</f>
        <v>0.464</v>
      </c>
      <c r="IU6" s="17" t="n">
        <f aca="false">Daily_Composite!H258</f>
        <v>0.131</v>
      </c>
      <c r="IV6" s="17" t="n">
        <f aca="false">Daily_Composite!H259</f>
        <v>0.492</v>
      </c>
      <c r="IW6" s="17" t="n">
        <f aca="false">Daily_Composite!H260</f>
        <v>0.114</v>
      </c>
      <c r="IX6" s="17" t="n">
        <f aca="false">Daily_Composite!H261</f>
        <v>0.121</v>
      </c>
      <c r="IY6" s="17" t="n">
        <f aca="false">Daily_Composite!H262</f>
        <v>0.031</v>
      </c>
      <c r="IZ6" s="17" t="n">
        <f aca="false">Daily_Composite!H263</f>
        <v>-0.125</v>
      </c>
      <c r="JA6" s="17" t="n">
        <f aca="false">Daily_Composite!H264</f>
        <v>-0.111</v>
      </c>
      <c r="JB6" s="17" t="n">
        <f aca="false">Daily_Composite!H265</f>
        <v>-0.104</v>
      </c>
      <c r="JC6" s="17" t="n">
        <f aca="false">Daily_Composite!H266</f>
        <v>0.391</v>
      </c>
      <c r="JD6" s="17" t="n">
        <f aca="false">Daily_Composite!H267</f>
        <v>-0.05</v>
      </c>
      <c r="JE6" s="17" t="n">
        <f aca="false">Daily_Composite!H268</f>
        <v>0.243</v>
      </c>
      <c r="JF6" s="17" t="n">
        <f aca="false">Daily_Composite!H269</f>
        <v>-0.129</v>
      </c>
      <c r="JG6" s="17" t="n">
        <f aca="false">Daily_Composite!H270</f>
        <v>-0.237</v>
      </c>
      <c r="JH6" s="17" t="n">
        <f aca="false">Daily_Composite!H271</f>
        <v>-0.48</v>
      </c>
      <c r="JI6" s="17" t="n">
        <f aca="false">Daily_Composite!H272</f>
        <v>-0.177</v>
      </c>
      <c r="JJ6" s="17" t="n">
        <f aca="false">Daily_Composite!H273</f>
        <v>-0.315</v>
      </c>
      <c r="JK6" s="17" t="n">
        <f aca="false">Daily_Composite!H274</f>
        <v>-0.458</v>
      </c>
      <c r="JL6" s="17" t="n">
        <f aca="false">Daily_Composite!H275</f>
        <v>-0.637</v>
      </c>
      <c r="JM6" s="17" t="n">
        <f aca="false">Daily_Composite!H276</f>
        <v>0.053</v>
      </c>
      <c r="JN6" s="17" t="n">
        <f aca="false">Daily_Composite!H277</f>
        <v>-0.403</v>
      </c>
      <c r="JO6" s="17" t="n">
        <f aca="false">Daily_Composite!H278</f>
        <v>-0.712</v>
      </c>
      <c r="JP6" s="17" t="n">
        <f aca="false">Daily_Composite!H279</f>
        <v>-0.34</v>
      </c>
      <c r="JQ6" s="17" t="n">
        <f aca="false">Daily_Composite!H280</f>
        <v>-0.46</v>
      </c>
      <c r="JR6" s="17" t="n">
        <f aca="false">Daily_Composite!H281</f>
        <v>-0.271</v>
      </c>
      <c r="JS6" s="17" t="n">
        <f aca="false">Daily_Composite!H282</f>
        <v>0.114</v>
      </c>
      <c r="JT6" s="17" t="n">
        <f aca="false">Daily_Composite!H283</f>
        <v>0.108</v>
      </c>
      <c r="JU6" s="17" t="n">
        <f aca="false">Daily_Composite!H284</f>
        <v>-0.377</v>
      </c>
      <c r="JV6" s="17" t="n">
        <f aca="false">Daily_Composite!H285</f>
        <v>0.331</v>
      </c>
      <c r="JW6" s="17" t="n">
        <f aca="false">Daily_Composite!H286</f>
        <v>0.243</v>
      </c>
      <c r="JX6" s="17" t="n">
        <f aca="false">Daily_Composite!H287</f>
        <v>-0.038</v>
      </c>
      <c r="JY6" s="17" t="n">
        <f aca="false">Daily_Composite!H288</f>
        <v>0.143</v>
      </c>
      <c r="JZ6" s="17" t="n">
        <f aca="false">Daily_Composite!H289</f>
        <v>0.039</v>
      </c>
      <c r="KA6" s="17" t="n">
        <f aca="false">Daily_Composite!H290</f>
        <v>-0.024</v>
      </c>
      <c r="KB6" s="17" t="n">
        <f aca="false">Daily_Composite!H291</f>
        <v>-0.007</v>
      </c>
      <c r="KC6" s="17" t="n">
        <f aca="false">Daily_Composite!H292</f>
        <v>-0.307</v>
      </c>
      <c r="KD6" s="17" t="n">
        <f aca="false">Daily_Composite!H293</f>
        <v>0.331</v>
      </c>
      <c r="KE6" s="17" t="n">
        <f aca="false">Daily_Composite!H294</f>
        <v>-0.241</v>
      </c>
      <c r="KF6" s="17" t="n">
        <f aca="false">Daily_Composite!H295</f>
        <v>-0.016</v>
      </c>
      <c r="KG6" s="17" t="n">
        <f aca="false">Daily_Composite!H296</f>
        <v>-0.026</v>
      </c>
      <c r="KH6" s="17" t="n">
        <f aca="false">Daily_Composite!H297</f>
        <v>-0.464</v>
      </c>
      <c r="KI6" s="17" t="n">
        <f aca="false">Daily_Composite!H298</f>
        <v>-0.311</v>
      </c>
      <c r="KJ6" s="17" t="n">
        <f aca="false">Daily_Composite!H299</f>
        <v>-0.267</v>
      </c>
      <c r="KK6" s="17" t="n">
        <f aca="false">Daily_Composite!H300</f>
        <v>-0.455</v>
      </c>
      <c r="KL6" s="17" t="n">
        <f aca="false">Daily_Composite!H301</f>
        <v>-0.441</v>
      </c>
      <c r="KM6" s="17" t="n">
        <f aca="false">Daily_Composite!H302</f>
        <v>-0.265</v>
      </c>
      <c r="KN6" s="17" t="n">
        <f aca="false">Daily_Composite!H303</f>
        <v>0.322</v>
      </c>
      <c r="KO6" s="17" t="n">
        <f aca="false">Daily_Composite!H304</f>
        <v>-0.371</v>
      </c>
      <c r="KP6" s="17" t="n">
        <f aca="false">Daily_Composite!H305</f>
        <v>-0.355</v>
      </c>
      <c r="KQ6" s="17" t="n">
        <f aca="false">Daily_Composite!H306</f>
        <v>-0.051</v>
      </c>
      <c r="KR6" s="17" t="n">
        <f aca="false">Daily_Composite!H307</f>
        <v>-0.35</v>
      </c>
      <c r="KS6" s="17" t="n">
        <f aca="false">Daily_Composite!H308</f>
        <v>-0.424</v>
      </c>
      <c r="KT6" s="17" t="n">
        <f aca="false">Daily_Composite!H309</f>
        <v>-0.354</v>
      </c>
      <c r="KU6" s="17" t="n">
        <f aca="false">Daily_Composite!H310</f>
        <v>-0.561</v>
      </c>
      <c r="KV6" s="17" t="n">
        <f aca="false">Daily_Composite!H311</f>
        <v>-0.608</v>
      </c>
      <c r="KW6" s="17" t="n">
        <f aca="false">Daily_Composite!H312</f>
        <v>-0.132</v>
      </c>
      <c r="KX6" s="17" t="n">
        <f aca="false">Daily_Composite!H313</f>
        <v>-0.138</v>
      </c>
      <c r="KY6" s="17" t="n">
        <f aca="false">Daily_Composite!H314</f>
        <v>-0.595</v>
      </c>
      <c r="KZ6" s="17" t="n">
        <f aca="false">Daily_Composite!H315</f>
        <v>-0.357</v>
      </c>
      <c r="LA6" s="17" t="n">
        <f aca="false">Daily_Composite!H316</f>
        <v>-0.487</v>
      </c>
      <c r="LB6" s="17" t="n">
        <f aca="false">Daily_Composite!H317</f>
        <v>-0.435</v>
      </c>
      <c r="LC6" s="17" t="n">
        <f aca="false">Daily_Composite!H318</f>
        <v>-0.407</v>
      </c>
      <c r="LD6" s="17" t="n">
        <f aca="false">Daily_Composite!H319</f>
        <v>-0.055</v>
      </c>
      <c r="LE6" s="17" t="n">
        <f aca="false">Daily_Composite!H320</f>
        <v>-0.361</v>
      </c>
      <c r="LF6" s="17" t="n">
        <f aca="false">Daily_Composite!H321</f>
        <v>0.208</v>
      </c>
      <c r="LG6" s="17" t="n">
        <f aca="false">Daily_Composite!H322</f>
        <v>0.257</v>
      </c>
      <c r="LH6" s="17" t="n">
        <f aca="false">Daily_Composite!H323</f>
        <v>0.598</v>
      </c>
      <c r="LI6" s="17" t="n">
        <f aca="false">Daily_Composite!H324</f>
        <v>0.006</v>
      </c>
      <c r="LJ6" s="17" t="n">
        <f aca="false">Daily_Composite!H325</f>
        <v>-0.203</v>
      </c>
      <c r="LK6" s="17" t="n">
        <f aca="false">Daily_Composite!H326</f>
        <v>0.096</v>
      </c>
      <c r="LL6" s="17" t="n">
        <f aca="false">Daily_Composite!H327</f>
        <v>0.282</v>
      </c>
      <c r="LM6" s="17" t="n">
        <f aca="false">Daily_Composite!H328</f>
        <v>0.55</v>
      </c>
      <c r="LN6" s="17" t="n">
        <f aca="false">Daily_Composite!H329</f>
        <v>0.237</v>
      </c>
      <c r="LO6" s="17" t="n">
        <f aca="false">Daily_Composite!H330</f>
        <v>-0.38</v>
      </c>
      <c r="LP6" s="17" t="n">
        <f aca="false">Daily_Composite!H331</f>
        <v>0.153</v>
      </c>
      <c r="LQ6" s="17" t="n">
        <f aca="false">Daily_Composite!H332</f>
        <v>0.019</v>
      </c>
      <c r="LR6" s="17" t="n">
        <f aca="false">Daily_Composite!H333</f>
        <v>0.164</v>
      </c>
      <c r="LS6" s="17" t="n">
        <f aca="false">Daily_Composite!H334</f>
        <v>-0.113</v>
      </c>
      <c r="LT6" s="17" t="n">
        <f aca="false">Daily_Composite!H335</f>
        <v>-0.415</v>
      </c>
      <c r="LU6" s="17" t="n">
        <f aca="false">Daily_Composite!H336</f>
        <v>-0.144</v>
      </c>
      <c r="LV6" s="17" t="n">
        <f aca="false">Daily_Composite!H337</f>
        <v>-0.147</v>
      </c>
      <c r="LW6" s="17" t="n">
        <f aca="false">Daily_Composite!H338</f>
        <v>-0.17</v>
      </c>
      <c r="LX6" s="17" t="n">
        <f aca="false">Daily_Composite!H339</f>
        <v>-0.174</v>
      </c>
      <c r="LY6" s="17" t="n">
        <f aca="false">Daily_Composite!H340</f>
        <v>-0.016</v>
      </c>
      <c r="LZ6" s="17" t="n">
        <f aca="false">Daily_Composite!H341</f>
        <v>-0.13</v>
      </c>
      <c r="MA6" s="17" t="n">
        <f aca="false">Daily_Composite!H342</f>
        <v>-0.176</v>
      </c>
      <c r="MB6" s="17" t="n">
        <f aca="false">Daily_Composite!H343</f>
        <v>-0.315</v>
      </c>
      <c r="MC6" s="17" t="n">
        <f aca="false">Daily_Composite!H344</f>
        <v>-0.079</v>
      </c>
      <c r="MD6" s="17" t="n">
        <f aca="false">Daily_Composite!H345</f>
        <v>-0.069</v>
      </c>
      <c r="ME6" s="17" t="n">
        <f aca="false">Daily_Composite!H346</f>
        <v>-0.025</v>
      </c>
      <c r="MF6" s="17" t="n">
        <f aca="false">Daily_Composite!H347</f>
        <v>0.654</v>
      </c>
      <c r="MG6" s="17" t="n">
        <f aca="false">Daily_Composite!H348</f>
        <v>0.662</v>
      </c>
      <c r="MH6" s="17" t="n">
        <f aca="false">Daily_Composite!H349</f>
        <v>0.479</v>
      </c>
      <c r="MI6" s="17" t="n">
        <f aca="false">Daily_Composite!H350</f>
        <v>0.727</v>
      </c>
      <c r="MJ6" s="17" t="n">
        <f aca="false">Daily_Composite!H351</f>
        <v>0.683</v>
      </c>
      <c r="MK6" s="17" t="n">
        <f aca="false">Daily_Composite!H352</f>
        <v>0.47</v>
      </c>
      <c r="ML6" s="17" t="n">
        <f aca="false">Daily_Composite!H353</f>
        <v>0.574</v>
      </c>
      <c r="MM6" s="17" t="n">
        <f aca="false">Daily_Composite!H354</f>
        <v>0.687</v>
      </c>
      <c r="MN6" s="17" t="n">
        <f aca="false">Daily_Composite!H355</f>
        <v>0.596</v>
      </c>
      <c r="MO6" s="17" t="n">
        <f aca="false">Daily_Composite!H356</f>
        <v>0.71</v>
      </c>
      <c r="MP6" s="17" t="n">
        <f aca="false">Daily_Composite!H357</f>
        <v>0.69</v>
      </c>
      <c r="MQ6" s="17" t="n">
        <f aca="false">Daily_Composite!H358</f>
        <v>0.664</v>
      </c>
      <c r="MR6" s="17" t="n">
        <f aca="false">Daily_Composite!H359</f>
        <v>0.194</v>
      </c>
      <c r="MS6" s="17" t="n">
        <f aca="false">Daily_Composite!H360</f>
        <v>0.57</v>
      </c>
      <c r="MT6" s="17" t="n">
        <f aca="false">Daily_Composite!H361</f>
        <v>0.375</v>
      </c>
      <c r="MU6" s="17" t="n">
        <f aca="false">Daily_Composite!H362</f>
        <v>0.4</v>
      </c>
      <c r="MV6" s="17" t="n">
        <f aca="false">Daily_Composite!H363</f>
        <v>0.077</v>
      </c>
      <c r="MW6" s="17" t="n">
        <f aca="false">Daily_Composite!H364</f>
        <v>0.065</v>
      </c>
      <c r="MX6" s="17" t="n">
        <f aca="false">Daily_Composite!H365</f>
        <v>0.118</v>
      </c>
      <c r="MY6" s="17" t="n">
        <f aca="false">Daily_Composite!H366</f>
        <v>0.549</v>
      </c>
      <c r="MZ6" s="17" t="n">
        <f aca="false">Daily_Composite!H367</f>
        <v>0.476</v>
      </c>
      <c r="NA6" s="17" t="n">
        <f aca="false">Daily_Composite!H368</f>
        <v>0.142</v>
      </c>
      <c r="NB6" s="17" t="n">
        <f aca="false">Daily_Composite!H369</f>
        <v>0.132</v>
      </c>
    </row>
    <row r="7" customFormat="false" ht="15" hidden="false" customHeight="false" outlineLevel="0" collapsed="false">
      <c r="A7" s="6" t="s">
        <v>20</v>
      </c>
      <c r="B7" s="17" t="n">
        <f aca="false">Daily_Composite!I5</f>
        <v>0.011</v>
      </c>
      <c r="C7" s="17" t="n">
        <f aca="false">Daily_Composite!I6</f>
        <v>-0.099</v>
      </c>
      <c r="D7" s="17" t="n">
        <f aca="false">Daily_Composite!I7</f>
        <v>0.084</v>
      </c>
      <c r="E7" s="17" t="n">
        <f aca="false">Daily_Composite!I8</f>
        <v>0.01</v>
      </c>
      <c r="F7" s="17" t="n">
        <f aca="false">Daily_Composite!I9</f>
        <v>-0.026</v>
      </c>
      <c r="G7" s="17" t="n">
        <f aca="false">Daily_Composite!I10</f>
        <v>-0.134</v>
      </c>
      <c r="H7" s="17" t="n">
        <f aca="false">Daily_Composite!I11</f>
        <v>-0.126</v>
      </c>
      <c r="I7" s="17" t="n">
        <f aca="false">Daily_Composite!I12</f>
        <v>-0.468</v>
      </c>
      <c r="J7" s="17" t="n">
        <f aca="false">Daily_Composite!I13</f>
        <v>-0.089</v>
      </c>
      <c r="K7" s="17" t="n">
        <f aca="false">Daily_Composite!I14</f>
        <v>-0.086</v>
      </c>
      <c r="L7" s="17" t="n">
        <f aca="false">Daily_Composite!I15</f>
        <v>-0.084</v>
      </c>
      <c r="M7" s="17" t="n">
        <f aca="false">Daily_Composite!I16</f>
        <v>-0.214</v>
      </c>
      <c r="N7" s="17" t="n">
        <f aca="false">Daily_Composite!I17</f>
        <v>-0.081</v>
      </c>
      <c r="O7" s="17" t="n">
        <f aca="false">Daily_Composite!I18</f>
        <v>-0.081</v>
      </c>
      <c r="P7" s="17" t="n">
        <f aca="false">Daily_Composite!I19</f>
        <v>-0.213</v>
      </c>
      <c r="Q7" s="17" t="n">
        <f aca="false">Daily_Composite!I20</f>
        <v>-0.207</v>
      </c>
      <c r="R7" s="17" t="n">
        <f aca="false">Daily_Composite!I21</f>
        <v>0.15</v>
      </c>
      <c r="S7" s="17" t="n">
        <f aca="false">Daily_Composite!I22</f>
        <v>-0.424</v>
      </c>
      <c r="T7" s="17" t="n">
        <f aca="false">Daily_Composite!I23</f>
        <v>0.002</v>
      </c>
      <c r="U7" s="17" t="n">
        <f aca="false">Daily_Composite!I24</f>
        <v>0.002</v>
      </c>
      <c r="V7" s="17" t="n">
        <f aca="false">Daily_Composite!I25</f>
        <v>0.002</v>
      </c>
      <c r="W7" s="17" t="n">
        <f aca="false">Daily_Composite!I26</f>
        <v>-0.227</v>
      </c>
      <c r="X7" s="17" t="n">
        <f aca="false">Daily_Composite!I27</f>
        <v>0.058</v>
      </c>
      <c r="Y7" s="17" t="n">
        <f aca="false">Daily_Composite!I28</f>
        <v>0.045</v>
      </c>
      <c r="Z7" s="17" t="n">
        <f aca="false">Daily_Composite!I29</f>
        <v>0.053</v>
      </c>
      <c r="AA7" s="17" t="n">
        <f aca="false">Daily_Composite!I30</f>
        <v>0.085</v>
      </c>
      <c r="AB7" s="17" t="n">
        <f aca="false">Daily_Composite!I31</f>
        <v>-0.294</v>
      </c>
      <c r="AC7" s="17" t="n">
        <f aca="false">Daily_Composite!I32</f>
        <v>-0.127</v>
      </c>
      <c r="AD7" s="17" t="n">
        <f aca="false">Daily_Composite!I33</f>
        <v>0.119</v>
      </c>
      <c r="AE7" s="17" t="n">
        <f aca="false">Daily_Composite!I34</f>
        <v>0.151</v>
      </c>
      <c r="AF7" s="17" t="n">
        <f aca="false">Daily_Composite!I35</f>
        <v>0.623</v>
      </c>
      <c r="AG7" s="17" t="n">
        <f aca="false">Daily_Composite!I36</f>
        <v>0.252</v>
      </c>
      <c r="AH7" s="17" t="n">
        <f aca="false">Daily_Composite!I37</f>
        <v>0.214</v>
      </c>
      <c r="AI7" s="17" t="n">
        <f aca="false">Daily_Composite!I38</f>
        <v>0.226</v>
      </c>
      <c r="AJ7" s="17" t="n">
        <f aca="false">Daily_Composite!I39</f>
        <v>0.48</v>
      </c>
      <c r="AK7" s="17" t="n">
        <f aca="false">Daily_Composite!I40</f>
        <v>0.209</v>
      </c>
      <c r="AL7" s="17" t="n">
        <f aca="false">Daily_Composite!I41</f>
        <v>0.179</v>
      </c>
      <c r="AM7" s="17" t="n">
        <f aca="false">Daily_Composite!I42</f>
        <v>0.118</v>
      </c>
      <c r="AN7" s="17" t="n">
        <f aca="false">Daily_Composite!I43</f>
        <v>0.445</v>
      </c>
      <c r="AO7" s="17" t="n">
        <f aca="false">Daily_Composite!I44</f>
        <v>0.107</v>
      </c>
      <c r="AP7" s="17" t="n">
        <f aca="false">Daily_Composite!I45</f>
        <v>0.116</v>
      </c>
      <c r="AQ7" s="17" t="n">
        <f aca="false">Daily_Composite!I46</f>
        <v>0.217</v>
      </c>
      <c r="AR7" s="17" t="n">
        <f aca="false">Daily_Composite!I47</f>
        <v>0.198</v>
      </c>
      <c r="AS7" s="17" t="n">
        <f aca="false">Daily_Composite!I48</f>
        <v>0.135</v>
      </c>
      <c r="AT7" s="17" t="n">
        <f aca="false">Daily_Composite!I49</f>
        <v>-0.289</v>
      </c>
      <c r="AU7" s="17" t="n">
        <f aca="false">Daily_Composite!I50</f>
        <v>0.119</v>
      </c>
      <c r="AV7" s="17" t="n">
        <f aca="false">Daily_Composite!I51</f>
        <v>0.115</v>
      </c>
      <c r="AW7" s="17" t="n">
        <f aca="false">Daily_Composite!I52</f>
        <v>0.122</v>
      </c>
      <c r="AX7" s="17" t="n">
        <f aca="false">Daily_Composite!I53</f>
        <v>0.293</v>
      </c>
      <c r="AY7" s="17" t="n">
        <f aca="false">Daily_Composite!I54</f>
        <v>0.204</v>
      </c>
      <c r="AZ7" s="17" t="n">
        <f aca="false">Daily_Composite!I55</f>
        <v>0.113</v>
      </c>
      <c r="BA7" s="17" t="n">
        <f aca="false">Daily_Composite!I56</f>
        <v>0.128</v>
      </c>
      <c r="BB7" s="17" t="n">
        <f aca="false">Daily_Composite!I57</f>
        <v>0.178</v>
      </c>
      <c r="BC7" s="17" t="n">
        <f aca="false">Daily_Composite!I58</f>
        <v>0.205</v>
      </c>
      <c r="BD7" s="17" t="n">
        <f aca="false">Daily_Composite!I59</f>
        <v>0.54</v>
      </c>
      <c r="BE7" s="17" t="n">
        <f aca="false">Daily_Composite!I60</f>
        <v>0.289</v>
      </c>
      <c r="BF7" s="17" t="n">
        <f aca="false">Daily_Composite!I61</f>
        <v>0.148</v>
      </c>
      <c r="BG7" s="17" t="n">
        <f aca="false">Daily_Composite!I62</f>
        <v>0.608</v>
      </c>
      <c r="BH7" s="17" t="n">
        <f aca="false">Daily_Composite!I63</f>
        <v>0.08</v>
      </c>
      <c r="BI7" s="17" t="n">
        <f aca="false">Daily_Composite!I64</f>
        <v>0.085</v>
      </c>
      <c r="BJ7" s="17" t="n">
        <f aca="false">Daily_Composite!I65</f>
        <v>0.101</v>
      </c>
      <c r="BK7" s="17" t="n">
        <f aca="false">Daily_Composite!I66</f>
        <v>0.053</v>
      </c>
      <c r="BL7" s="17" t="n">
        <f aca="false">Daily_Composite!I67</f>
        <v>0.334</v>
      </c>
      <c r="BM7" s="17" t="n">
        <f aca="false">Daily_Composite!I68</f>
        <v>0.038</v>
      </c>
      <c r="BN7" s="17" t="n">
        <f aca="false">Daily_Composite!I69</f>
        <v>0.073</v>
      </c>
      <c r="BO7" s="17" t="n">
        <f aca="false">Daily_Composite!I70</f>
        <v>0.031</v>
      </c>
      <c r="BP7" s="17" t="n">
        <f aca="false">Daily_Composite!I71</f>
        <v>0.254</v>
      </c>
      <c r="BQ7" s="17" t="n">
        <f aca="false">Daily_Composite!I72</f>
        <v>-0.019</v>
      </c>
      <c r="BR7" s="17" t="n">
        <f aca="false">Daily_Composite!I73</f>
        <v>-0.016</v>
      </c>
      <c r="BS7" s="17" t="n">
        <f aca="false">Daily_Composite!I74</f>
        <v>0.164</v>
      </c>
      <c r="BT7" s="17" t="n">
        <f aca="false">Daily_Composite!I75</f>
        <v>0.136</v>
      </c>
      <c r="BU7" s="17" t="n">
        <f aca="false">Daily_Composite!I76</f>
        <v>-0.13</v>
      </c>
      <c r="BV7" s="17" t="n">
        <f aca="false">Daily_Composite!I77</f>
        <v>-0.08</v>
      </c>
      <c r="BW7" s="17" t="n">
        <f aca="false">Daily_Composite!I78</f>
        <v>-0.061</v>
      </c>
      <c r="BX7" s="17" t="n">
        <f aca="false">Daily_Composite!I79</f>
        <v>-0.07</v>
      </c>
      <c r="BY7" s="17" t="n">
        <f aca="false">Daily_Composite!I80</f>
        <v>-0.07</v>
      </c>
      <c r="BZ7" s="17" t="n">
        <f aca="false">Daily_Composite!I81</f>
        <v>0.437</v>
      </c>
      <c r="CA7" s="17" t="n">
        <f aca="false">Daily_Composite!I82</f>
        <v>-0.075</v>
      </c>
      <c r="CB7" s="17" t="n">
        <f aca="false">Daily_Composite!I83</f>
        <v>0.002</v>
      </c>
      <c r="CC7" s="17" t="n">
        <f aca="false">Daily_Composite!I84</f>
        <v>-0.038</v>
      </c>
      <c r="CD7" s="17" t="n">
        <f aca="false">Daily_Composite!I85</f>
        <v>-0.013</v>
      </c>
      <c r="CE7" s="17" t="n">
        <f aca="false">Daily_Composite!I86</f>
        <v>0.348</v>
      </c>
      <c r="CF7" s="17" t="n">
        <f aca="false">Daily_Composite!I87</f>
        <v>0.364</v>
      </c>
      <c r="CG7" s="17" t="n">
        <f aca="false">Daily_Composite!I88</f>
        <v>-0.008</v>
      </c>
      <c r="CH7" s="17" t="n">
        <f aca="false">Daily_Composite!I89</f>
        <v>0.006</v>
      </c>
      <c r="CI7" s="17" t="n">
        <f aca="false">Daily_Composite!I90</f>
        <v>0.38</v>
      </c>
      <c r="CJ7" s="17" t="n">
        <f aca="false">Daily_Composite!I91</f>
        <v>0.007</v>
      </c>
      <c r="CK7" s="17" t="n">
        <f aca="false">Daily_Composite!I92</f>
        <v>0.04</v>
      </c>
      <c r="CL7" s="17" t="n">
        <f aca="false">Daily_Composite!I93</f>
        <v>0.048</v>
      </c>
      <c r="CM7" s="17" t="n">
        <f aca="false">Daily_Composite!I94</f>
        <v>0.5</v>
      </c>
      <c r="CN7" s="17" t="n">
        <f aca="false">Daily_Composite!I95</f>
        <v>0.055</v>
      </c>
      <c r="CO7" s="17" t="n">
        <f aca="false">Daily_Composite!I96</f>
        <v>0.023</v>
      </c>
      <c r="CP7" s="17" t="n">
        <f aca="false">Daily_Composite!I97</f>
        <v>0.027</v>
      </c>
      <c r="CQ7" s="17" t="n">
        <f aca="false">Daily_Composite!I98</f>
        <v>-0.407</v>
      </c>
      <c r="CR7" s="17" t="n">
        <f aca="false">Daily_Composite!I99</f>
        <v>0.004</v>
      </c>
      <c r="CS7" s="17" t="n">
        <f aca="false">Daily_Composite!I100</f>
        <v>0.007</v>
      </c>
      <c r="CT7" s="17" t="n">
        <f aca="false">Daily_Composite!I101</f>
        <v>-0.08</v>
      </c>
      <c r="CU7" s="17" t="n">
        <f aca="false">Daily_Composite!I102</f>
        <v>-0.165</v>
      </c>
      <c r="CV7" s="17" t="n">
        <f aca="false">Daily_Composite!I103</f>
        <v>-0.49</v>
      </c>
      <c r="CW7" s="17" t="n">
        <f aca="false">Daily_Composite!I104</f>
        <v>-0.522</v>
      </c>
      <c r="CX7" s="17" t="n">
        <f aca="false">Daily_Composite!I105</f>
        <v>-0.105</v>
      </c>
      <c r="CY7" s="17" t="n">
        <f aca="false">Daily_Composite!I106</f>
        <v>-0.177</v>
      </c>
      <c r="CZ7" s="17" t="n">
        <f aca="false">Daily_Composite!I107</f>
        <v>-0.221</v>
      </c>
      <c r="DA7" s="17" t="n">
        <f aca="false">Daily_Composite!I108</f>
        <v>-0.396</v>
      </c>
      <c r="DB7" s="17" t="n">
        <f aca="false">Daily_Composite!I109</f>
        <v>-0.14</v>
      </c>
      <c r="DC7" s="17" t="n">
        <f aca="false">Daily_Composite!I110</f>
        <v>-0.117</v>
      </c>
      <c r="DD7" s="17" t="n">
        <f aca="false">Daily_Composite!I111</f>
        <v>-0.115</v>
      </c>
      <c r="DE7" s="17" t="n">
        <f aca="false">Daily_Composite!I112</f>
        <v>-0.056</v>
      </c>
      <c r="DF7" s="17" t="n">
        <f aca="false">Daily_Composite!I113</f>
        <v>-0.504</v>
      </c>
      <c r="DG7" s="17" t="n">
        <f aca="false">Daily_Composite!I114</f>
        <v>-0.13</v>
      </c>
      <c r="DH7" s="17" t="n">
        <f aca="false">Daily_Composite!I115</f>
        <v>0.019</v>
      </c>
      <c r="DI7" s="17" t="n">
        <f aca="false">Daily_Composite!I116</f>
        <v>-0.102</v>
      </c>
      <c r="DJ7" s="17" t="n">
        <f aca="false">Daily_Composite!I117</f>
        <v>-0.253</v>
      </c>
      <c r="DK7" s="17" t="n">
        <f aca="false">Daily_Composite!I118</f>
        <v>0.046</v>
      </c>
      <c r="DL7" s="17" t="n">
        <f aca="false">Daily_Composite!I119</f>
        <v>0.06</v>
      </c>
      <c r="DM7" s="17" t="n">
        <f aca="false">Daily_Composite!I120</f>
        <v>0.071</v>
      </c>
      <c r="DN7" s="17" t="n">
        <f aca="false">Daily_Composite!I121</f>
        <v>0.082</v>
      </c>
      <c r="DO7" s="17" t="n">
        <f aca="false">Daily_Composite!I122</f>
        <v>0.02</v>
      </c>
      <c r="DP7" s="17" t="n">
        <f aca="false">Daily_Composite!I123</f>
        <v>0.107</v>
      </c>
      <c r="DQ7" s="17" t="n">
        <f aca="false">Daily_Composite!I124</f>
        <v>-0.005</v>
      </c>
      <c r="DR7" s="17" t="n">
        <f aca="false">Daily_Composite!I125</f>
        <v>0.458</v>
      </c>
      <c r="DS7" s="17" t="n">
        <f aca="false">Daily_Composite!I126</f>
        <v>0.098</v>
      </c>
      <c r="DT7" s="17" t="n">
        <f aca="false">Daily_Composite!I127</f>
        <v>0.115</v>
      </c>
      <c r="DU7" s="17" t="n">
        <f aca="false">Daily_Composite!I128</f>
        <v>0.427</v>
      </c>
      <c r="DV7" s="17" t="n">
        <f aca="false">Daily_Composite!I129</f>
        <v>0.406</v>
      </c>
      <c r="DW7" s="17" t="n">
        <f aca="false">Daily_Composite!I130</f>
        <v>0.43</v>
      </c>
      <c r="DX7" s="17" t="n">
        <f aca="false">Daily_Composite!I131</f>
        <v>0.514</v>
      </c>
      <c r="DY7" s="17" t="n">
        <f aca="false">Daily_Composite!I132</f>
        <v>-0.072</v>
      </c>
      <c r="DZ7" s="17" t="n">
        <f aca="false">Daily_Composite!I133</f>
        <v>-0.017</v>
      </c>
      <c r="EA7" s="17" t="n">
        <f aca="false">Daily_Composite!I134</f>
        <v>-0.006</v>
      </c>
      <c r="EB7" s="17" t="n">
        <f aca="false">Daily_Composite!I135</f>
        <v>0.4</v>
      </c>
      <c r="EC7" s="17" t="n">
        <f aca="false">Daily_Composite!I136</f>
        <v>0.015</v>
      </c>
      <c r="ED7" s="17" t="n">
        <f aca="false">Daily_Composite!I137</f>
        <v>0.015</v>
      </c>
      <c r="EE7" s="17" t="n">
        <f aca="false">Daily_Composite!I138</f>
        <v>-0.009</v>
      </c>
      <c r="EF7" s="17" t="n">
        <f aca="false">Daily_Composite!I139</f>
        <v>-0.003</v>
      </c>
      <c r="EG7" s="17" t="n">
        <f aca="false">Daily_Composite!I140</f>
        <v>0.508</v>
      </c>
      <c r="EH7" s="17" t="n">
        <f aca="false">Daily_Composite!I141</f>
        <v>0.187</v>
      </c>
      <c r="EI7" s="17" t="n">
        <f aca="false">Daily_Composite!I142</f>
        <v>0.191</v>
      </c>
      <c r="EJ7" s="17" t="n">
        <f aca="false">Daily_Composite!I143</f>
        <v>0.036</v>
      </c>
      <c r="EK7" s="17" t="n">
        <f aca="false">Daily_Composite!I144</f>
        <v>-0.299</v>
      </c>
      <c r="EL7" s="17" t="n">
        <f aca="false">Daily_Composite!I145</f>
        <v>0.045</v>
      </c>
      <c r="EM7" s="17" t="n">
        <f aca="false">Daily_Composite!I146</f>
        <v>0.038</v>
      </c>
      <c r="EN7" s="17" t="n">
        <f aca="false">Daily_Composite!I147</f>
        <v>0.041</v>
      </c>
      <c r="EO7" s="17" t="n">
        <f aca="false">Daily_Composite!I148</f>
        <v>0.053</v>
      </c>
      <c r="EP7" s="17" t="n">
        <f aca="false">Daily_Composite!I149</f>
        <v>0.285</v>
      </c>
      <c r="EQ7" s="17" t="n">
        <f aca="false">Daily_Composite!I150</f>
        <v>0.086</v>
      </c>
      <c r="ER7" s="17" t="n">
        <f aca="false">Daily_Composite!I151</f>
        <v>0.015</v>
      </c>
      <c r="ES7" s="17" t="n">
        <f aca="false">Daily_Composite!I152</f>
        <v>0.015</v>
      </c>
      <c r="ET7" s="17" t="n">
        <f aca="false">Daily_Composite!I153</f>
        <v>-0.394</v>
      </c>
      <c r="EU7" s="17" t="n">
        <f aca="false">Daily_Composite!I154</f>
        <v>-0.074</v>
      </c>
      <c r="EV7" s="17" t="n">
        <f aca="false">Daily_Composite!I155</f>
        <v>-0.078</v>
      </c>
      <c r="EW7" s="17" t="n">
        <f aca="false">Daily_Composite!I156</f>
        <v>0.134</v>
      </c>
      <c r="EX7" s="17" t="n">
        <f aca="false">Daily_Composite!I157</f>
        <v>0.077</v>
      </c>
      <c r="EY7" s="17" t="n">
        <f aca="false">Daily_Composite!I158</f>
        <v>-0.392</v>
      </c>
      <c r="EZ7" s="17" t="n">
        <f aca="false">Daily_Composite!I159</f>
        <v>-0.085</v>
      </c>
      <c r="FA7" s="17" t="n">
        <f aca="false">Daily_Composite!I160</f>
        <v>-0.066</v>
      </c>
      <c r="FB7" s="17" t="n">
        <f aca="false">Daily_Composite!I161</f>
        <v>-0.037</v>
      </c>
      <c r="FC7" s="17" t="n">
        <f aca="false">Daily_Composite!I162</f>
        <v>0.258</v>
      </c>
      <c r="FD7" s="17" t="n">
        <f aca="false">Daily_Composite!I163</f>
        <v>-0.29</v>
      </c>
      <c r="FE7" s="17" t="n">
        <f aca="false">Daily_Composite!I164</f>
        <v>-0.061</v>
      </c>
      <c r="FF7" s="17" t="n">
        <f aca="false">Daily_Composite!I165</f>
        <v>-0.06</v>
      </c>
      <c r="FG7" s="17" t="n">
        <f aca="false">Daily_Composite!I166</f>
        <v>-0.057</v>
      </c>
      <c r="FH7" s="17" t="n">
        <f aca="false">Daily_Composite!I167</f>
        <v>-0.028</v>
      </c>
      <c r="FI7" s="17" t="n">
        <f aca="false">Daily_Composite!I168</f>
        <v>-0.386</v>
      </c>
      <c r="FJ7" s="17" t="n">
        <f aca="false">Daily_Composite!I169</f>
        <v>-0.167</v>
      </c>
      <c r="FK7" s="17" t="n">
        <f aca="false">Daily_Composite!I170</f>
        <v>-0.021</v>
      </c>
      <c r="FL7" s="17" t="n">
        <f aca="false">Daily_Composite!I171</f>
        <v>-0.017</v>
      </c>
      <c r="FM7" s="17" t="n">
        <f aca="false">Daily_Composite!I172</f>
        <v>-0.087</v>
      </c>
      <c r="FN7" s="17" t="n">
        <f aca="false">Daily_Composite!I173</f>
        <v>-0.007</v>
      </c>
      <c r="FO7" s="17" t="n">
        <f aca="false">Daily_Composite!I174</f>
        <v>0.014</v>
      </c>
      <c r="FP7" s="17" t="n">
        <f aca="false">Daily_Composite!I175</f>
        <v>0.035</v>
      </c>
      <c r="FQ7" s="17" t="n">
        <f aca="false">Daily_Composite!I176</f>
        <v>-0.142</v>
      </c>
      <c r="FR7" s="17" t="n">
        <f aca="false">Daily_Composite!I177</f>
        <v>-0.109</v>
      </c>
      <c r="FS7" s="17" t="n">
        <f aca="false">Daily_Composite!I178</f>
        <v>-0.134</v>
      </c>
      <c r="FT7" s="17" t="n">
        <f aca="false">Daily_Composite!I179</f>
        <v>-0.138</v>
      </c>
      <c r="FU7" s="17" t="n">
        <f aca="false">Daily_Composite!I180</f>
        <v>-0.525</v>
      </c>
      <c r="FV7" s="17" t="n">
        <f aca="false">Daily_Composite!I181</f>
        <v>-0.255</v>
      </c>
      <c r="FW7" s="17" t="n">
        <f aca="false">Daily_Composite!I182</f>
        <v>-0.293</v>
      </c>
      <c r="FX7" s="17" t="n">
        <f aca="false">Daily_Composite!I183</f>
        <v>-0.449</v>
      </c>
      <c r="FY7" s="17" t="n">
        <f aca="false">Daily_Composite!I184</f>
        <v>-0.425</v>
      </c>
      <c r="FZ7" s="17" t="n">
        <f aca="false">Daily_Composite!I185</f>
        <v>-0.559</v>
      </c>
      <c r="GA7" s="17" t="n">
        <f aca="false">Daily_Composite!I186</f>
        <v>-0.295</v>
      </c>
      <c r="GB7" s="17" t="n">
        <f aca="false">Daily_Composite!I187</f>
        <v>-0.33</v>
      </c>
      <c r="GC7" s="17" t="n">
        <f aca="false">Daily_Composite!I188</f>
        <v>-0.278</v>
      </c>
      <c r="GD7" s="17" t="n">
        <f aca="false">Daily_Composite!I189</f>
        <v>-0.175</v>
      </c>
      <c r="GE7" s="17" t="n">
        <f aca="false">Daily_Composite!I190</f>
        <v>0.217</v>
      </c>
      <c r="GF7" s="17" t="n">
        <f aca="false">Daily_Composite!I191</f>
        <v>-0.062</v>
      </c>
      <c r="GG7" s="17" t="n">
        <f aca="false">Daily_Composite!I192</f>
        <v>-0.076</v>
      </c>
      <c r="GH7" s="17" t="n">
        <f aca="false">Daily_Composite!I193</f>
        <v>-0.141</v>
      </c>
      <c r="GI7" s="17" t="n">
        <f aca="false">Daily_Composite!I194</f>
        <v>-0.154</v>
      </c>
      <c r="GJ7" s="17" t="n">
        <f aca="false">Daily_Composite!I195</f>
        <v>0.255</v>
      </c>
      <c r="GK7" s="17" t="n">
        <f aca="false">Daily_Composite!I196</f>
        <v>-0.168</v>
      </c>
      <c r="GL7" s="17" t="n">
        <f aca="false">Daily_Composite!I197</f>
        <v>-0.185</v>
      </c>
      <c r="GM7" s="17" t="n">
        <f aca="false">Daily_Composite!I198</f>
        <v>-0.215</v>
      </c>
      <c r="GN7" s="17" t="n">
        <f aca="false">Daily_Composite!I199</f>
        <v>-0.454</v>
      </c>
      <c r="GO7" s="17" t="n">
        <f aca="false">Daily_Composite!I200</f>
        <v>-0.224</v>
      </c>
      <c r="GP7" s="17" t="n">
        <f aca="false">Daily_Composite!I201</f>
        <v>-0.201</v>
      </c>
      <c r="GQ7" s="17" t="n">
        <f aca="false">Daily_Composite!I202</f>
        <v>-0.177</v>
      </c>
      <c r="GR7" s="17" t="n">
        <f aca="false">Daily_Composite!I203</f>
        <v>-0.153</v>
      </c>
      <c r="GS7" s="17" t="n">
        <f aca="false">Daily_Composite!I204</f>
        <v>-0.209</v>
      </c>
      <c r="GT7" s="17" t="n">
        <f aca="false">Daily_Composite!I205</f>
        <v>-0.01</v>
      </c>
      <c r="GU7" s="17" t="n">
        <f aca="false">Daily_Composite!I206</f>
        <v>-0.088</v>
      </c>
      <c r="GV7" s="17" t="n">
        <f aca="false">Daily_Composite!I207</f>
        <v>-0.165</v>
      </c>
      <c r="GW7" s="17" t="n">
        <f aca="false">Daily_Composite!I208</f>
        <v>-0.089</v>
      </c>
      <c r="GX7" s="17" t="n">
        <f aca="false">Daily_Composite!I209</f>
        <v>-0.091</v>
      </c>
      <c r="GY7" s="17" t="n">
        <f aca="false">Daily_Composite!I210</f>
        <v>-0.069</v>
      </c>
      <c r="GZ7" s="17" t="n">
        <f aca="false">Daily_Composite!I211</f>
        <v>-0.205</v>
      </c>
      <c r="HA7" s="17" t="n">
        <f aca="false">Daily_Composite!I212</f>
        <v>-0.233</v>
      </c>
      <c r="HB7" s="17" t="n">
        <f aca="false">Daily_Composite!I213</f>
        <v>-0.461</v>
      </c>
      <c r="HC7" s="17" t="n">
        <f aca="false">Daily_Composite!I214</f>
        <v>-0.097</v>
      </c>
      <c r="HD7" s="17" t="n">
        <f aca="false">Daily_Composite!I215</f>
        <v>-0.102</v>
      </c>
      <c r="HE7" s="17" t="n">
        <f aca="false">Daily_Composite!I216</f>
        <v>-0.107</v>
      </c>
      <c r="HF7" s="17" t="n">
        <f aca="false">Daily_Composite!I217</f>
        <v>-0.365</v>
      </c>
      <c r="HG7" s="17" t="n">
        <f aca="false">Daily_Composite!I218</f>
        <v>-0.03</v>
      </c>
      <c r="HH7" s="17" t="n">
        <f aca="false">Daily_Composite!I219</f>
        <v>-0.066</v>
      </c>
      <c r="HI7" s="17" t="n">
        <f aca="false">Daily_Composite!I220</f>
        <v>-0.142</v>
      </c>
      <c r="HJ7" s="17" t="n">
        <f aca="false">Daily_Composite!I221</f>
        <v>-0.142</v>
      </c>
      <c r="HK7" s="17" t="n">
        <f aca="false">Daily_Composite!I222</f>
        <v>-0.151</v>
      </c>
      <c r="HL7" s="17" t="n">
        <f aca="false">Daily_Composite!I223</f>
        <v>-0.069</v>
      </c>
      <c r="HM7" s="17" t="n">
        <f aca="false">Daily_Composite!I224</f>
        <v>-0.495</v>
      </c>
      <c r="HN7" s="17" t="n">
        <f aca="false">Daily_Composite!I225</f>
        <v>-0.189</v>
      </c>
      <c r="HO7" s="17" t="n">
        <f aca="false">Daily_Composite!I226</f>
        <v>-0.339</v>
      </c>
      <c r="HP7" s="17" t="n">
        <f aca="false">Daily_Composite!I227</f>
        <v>-0.207</v>
      </c>
      <c r="HQ7" s="17" t="n">
        <f aca="false">Daily_Composite!I228</f>
        <v>-0.207</v>
      </c>
      <c r="HR7" s="17" t="n">
        <f aca="false">Daily_Composite!I229</f>
        <v>-0.23</v>
      </c>
      <c r="HS7" s="17" t="n">
        <f aca="false">Daily_Composite!I230</f>
        <v>-0.254</v>
      </c>
      <c r="HT7" s="17" t="n">
        <f aca="false">Daily_Composite!I231</f>
        <v>-0.501</v>
      </c>
      <c r="HU7" s="17" t="n">
        <f aca="false">Daily_Composite!I232</f>
        <v>-0.139</v>
      </c>
      <c r="HV7" s="17" t="n">
        <f aca="false">Daily_Composite!I233</f>
        <v>-0.297</v>
      </c>
      <c r="HW7" s="17" t="n">
        <f aca="false">Daily_Composite!I234</f>
        <v>-0.281</v>
      </c>
      <c r="HX7" s="17" t="n">
        <f aca="false">Daily_Composite!I235</f>
        <v>-0.405</v>
      </c>
      <c r="HY7" s="17" t="n">
        <f aca="false">Daily_Composite!I236</f>
        <v>-0.276</v>
      </c>
      <c r="HZ7" s="17" t="n">
        <f aca="false">Daily_Composite!I237</f>
        <v>-0.275</v>
      </c>
      <c r="IA7" s="17" t="n">
        <f aca="false">Daily_Composite!I238</f>
        <v>-0.432</v>
      </c>
      <c r="IB7" s="17" t="n">
        <f aca="false">Daily_Composite!I239</f>
        <v>-0.41</v>
      </c>
      <c r="IC7" s="17" t="n">
        <f aca="false">Daily_Composite!I240</f>
        <v>-0.622</v>
      </c>
      <c r="ID7" s="17" t="n">
        <f aca="false">Daily_Composite!I241</f>
        <v>-0.151</v>
      </c>
      <c r="IE7" s="17" t="n">
        <f aca="false">Daily_Composite!I242</f>
        <v>-0.164</v>
      </c>
      <c r="IF7" s="17" t="n">
        <f aca="false">Daily_Composite!I243</f>
        <v>-0.219</v>
      </c>
      <c r="IG7" s="17" t="n">
        <f aca="false">Daily_Composite!I244</f>
        <v>-0.449</v>
      </c>
      <c r="IH7" s="17" t="n">
        <f aca="false">Daily_Composite!I245</f>
        <v>0.161</v>
      </c>
      <c r="II7" s="17" t="n">
        <f aca="false">Daily_Composite!I246</f>
        <v>-0.084</v>
      </c>
      <c r="IJ7" s="17" t="n">
        <f aca="false">Daily_Composite!I247</f>
        <v>-0.084</v>
      </c>
      <c r="IK7" s="17" t="n">
        <f aca="false">Daily_Composite!I248</f>
        <v>-0.125</v>
      </c>
      <c r="IL7" s="17" t="n">
        <f aca="false">Daily_Composite!I249</f>
        <v>-0.129</v>
      </c>
      <c r="IM7" s="17" t="n">
        <f aca="false">Daily_Composite!I250</f>
        <v>0.083</v>
      </c>
      <c r="IN7" s="17" t="n">
        <f aca="false">Daily_Composite!I251</f>
        <v>0.197</v>
      </c>
      <c r="IO7" s="17" t="n">
        <f aca="false">Daily_Composite!I252</f>
        <v>-0.069</v>
      </c>
      <c r="IP7" s="17" t="n">
        <f aca="false">Daily_Composite!I253</f>
        <v>-0.133</v>
      </c>
      <c r="IQ7" s="17" t="n">
        <f aca="false">Daily_Composite!I254</f>
        <v>0.137</v>
      </c>
      <c r="IR7" s="17" t="n">
        <f aca="false">Daily_Composite!I255</f>
        <v>-0.135</v>
      </c>
      <c r="IS7" s="17" t="n">
        <f aca="false">Daily_Composite!I256</f>
        <v>-0.23</v>
      </c>
      <c r="IT7" s="17" t="n">
        <f aca="false">Daily_Composite!I257</f>
        <v>-0.233</v>
      </c>
      <c r="IU7" s="17" t="n">
        <f aca="false">Daily_Composite!I258</f>
        <v>-0.317</v>
      </c>
      <c r="IV7" s="17" t="n">
        <f aca="false">Daily_Composite!I259</f>
        <v>-0.232</v>
      </c>
      <c r="IW7" s="17" t="n">
        <f aca="false">Daily_Composite!I260</f>
        <v>-0.091</v>
      </c>
      <c r="IX7" s="17" t="n">
        <f aca="false">Daily_Composite!I261</f>
        <v>-0.124</v>
      </c>
      <c r="IY7" s="17" t="n">
        <f aca="false">Daily_Composite!I262</f>
        <v>-0.525</v>
      </c>
      <c r="IZ7" s="17" t="n">
        <f aca="false">Daily_Composite!I263</f>
        <v>-0.221</v>
      </c>
      <c r="JA7" s="17" t="n">
        <f aca="false">Daily_Composite!I264</f>
        <v>-0.222</v>
      </c>
      <c r="JB7" s="17" t="n">
        <f aca="false">Daily_Composite!I265</f>
        <v>-0.287</v>
      </c>
      <c r="JC7" s="17" t="n">
        <f aca="false">Daily_Composite!I266</f>
        <v>-0.48</v>
      </c>
      <c r="JD7" s="17" t="n">
        <f aca="false">Daily_Composite!I267</f>
        <v>-0.324</v>
      </c>
      <c r="JE7" s="17" t="n">
        <f aca="false">Daily_Composite!I268</f>
        <v>-0.213</v>
      </c>
      <c r="JF7" s="17" t="n">
        <f aca="false">Daily_Composite!I269</f>
        <v>-0.23</v>
      </c>
      <c r="JG7" s="17" t="n">
        <f aca="false">Daily_Composite!I270</f>
        <v>-0.126</v>
      </c>
      <c r="JH7" s="17" t="n">
        <f aca="false">Daily_Composite!I271</f>
        <v>-0.229</v>
      </c>
      <c r="JI7" s="17" t="n">
        <f aca="false">Daily_Composite!I272</f>
        <v>-0.581</v>
      </c>
      <c r="JJ7" s="17" t="n">
        <f aca="false">Daily_Composite!I273</f>
        <v>-0.228</v>
      </c>
      <c r="JK7" s="17" t="n">
        <f aca="false">Daily_Composite!I274</f>
        <v>-0.227</v>
      </c>
      <c r="JL7" s="17" t="n">
        <f aca="false">Daily_Composite!I275</f>
        <v>-0.096</v>
      </c>
      <c r="JM7" s="17" t="n">
        <f aca="false">Daily_Composite!I276</f>
        <v>-0.1</v>
      </c>
      <c r="JN7" s="17" t="n">
        <f aca="false">Daily_Composite!I277</f>
        <v>-0.135</v>
      </c>
      <c r="JO7" s="17" t="n">
        <f aca="false">Daily_Composite!I278</f>
        <v>-0.09</v>
      </c>
      <c r="JP7" s="17" t="n">
        <f aca="false">Daily_Composite!I279</f>
        <v>-0.215</v>
      </c>
      <c r="JQ7" s="17" t="n">
        <f aca="false">Daily_Composite!I280</f>
        <v>-0.11</v>
      </c>
      <c r="JR7" s="17" t="n">
        <f aca="false">Daily_Composite!I281</f>
        <v>-0.559</v>
      </c>
      <c r="JS7" s="17" t="n">
        <f aca="false">Daily_Composite!I282</f>
        <v>-0.186</v>
      </c>
      <c r="JT7" s="17" t="n">
        <f aca="false">Daily_Composite!I283</f>
        <v>-0.208</v>
      </c>
      <c r="JU7" s="17" t="n">
        <f aca="false">Daily_Composite!I284</f>
        <v>-0.208</v>
      </c>
      <c r="JV7" s="17" t="n">
        <f aca="false">Daily_Composite!I285</f>
        <v>-0.209</v>
      </c>
      <c r="JW7" s="17" t="n">
        <f aca="false">Daily_Composite!I286</f>
        <v>-0.21</v>
      </c>
      <c r="JX7" s="17" t="n">
        <f aca="false">Daily_Composite!I287</f>
        <v>-0.21</v>
      </c>
      <c r="JY7" s="17" t="n">
        <f aca="false">Daily_Composite!I288</f>
        <v>-0.085</v>
      </c>
      <c r="JZ7" s="17" t="n">
        <f aca="false">Daily_Composite!I289</f>
        <v>0.085</v>
      </c>
      <c r="KA7" s="17" t="n">
        <f aca="false">Daily_Composite!I290</f>
        <v>-0.211</v>
      </c>
      <c r="KB7" s="17" t="n">
        <f aca="false">Daily_Composite!I291</f>
        <v>-0.211</v>
      </c>
      <c r="KC7" s="17" t="n">
        <f aca="false">Daily_Composite!I292</f>
        <v>-0.288</v>
      </c>
      <c r="KD7" s="17" t="n">
        <f aca="false">Daily_Composite!I293</f>
        <v>-0.355</v>
      </c>
      <c r="KE7" s="17" t="n">
        <f aca="false">Daily_Composite!I294</f>
        <v>0.179</v>
      </c>
      <c r="KF7" s="17" t="n">
        <f aca="false">Daily_Composite!I295</f>
        <v>0.19</v>
      </c>
      <c r="KG7" s="17" t="n">
        <f aca="false">Daily_Composite!I296</f>
        <v>-0.225</v>
      </c>
      <c r="KH7" s="17" t="n">
        <f aca="false">Daily_Composite!I297</f>
        <v>-0.245</v>
      </c>
      <c r="KI7" s="17" t="n">
        <f aca="false">Daily_Composite!I298</f>
        <v>-0.226</v>
      </c>
      <c r="KJ7" s="17" t="n">
        <f aca="false">Daily_Composite!I299</f>
        <v>-0.487</v>
      </c>
      <c r="KK7" s="17" t="n">
        <f aca="false">Daily_Composite!I300</f>
        <v>-0.27</v>
      </c>
      <c r="KL7" s="17" t="n">
        <f aca="false">Daily_Composite!I301</f>
        <v>-0.275</v>
      </c>
      <c r="KM7" s="17" t="n">
        <f aca="false">Daily_Composite!I302</f>
        <v>-0.255</v>
      </c>
      <c r="KN7" s="17" t="n">
        <f aca="false">Daily_Composite!I303</f>
        <v>-0.258</v>
      </c>
      <c r="KO7" s="17" t="n">
        <f aca="false">Daily_Composite!I304</f>
        <v>-0.24</v>
      </c>
      <c r="KP7" s="17" t="n">
        <f aca="false">Daily_Composite!I305</f>
        <v>-0.36</v>
      </c>
      <c r="KQ7" s="17" t="n">
        <f aca="false">Daily_Composite!I306</f>
        <v>-0.197</v>
      </c>
      <c r="KR7" s="17" t="n">
        <f aca="false">Daily_Composite!I307</f>
        <v>-0.287</v>
      </c>
      <c r="KS7" s="17" t="n">
        <f aca="false">Daily_Composite!I308</f>
        <v>-0.513</v>
      </c>
      <c r="KT7" s="17" t="n">
        <f aca="false">Daily_Composite!I309</f>
        <v>-0.162</v>
      </c>
      <c r="KU7" s="17" t="n">
        <f aca="false">Daily_Composite!I310</f>
        <v>-0.195</v>
      </c>
      <c r="KV7" s="17" t="n">
        <f aca="false">Daily_Composite!I311</f>
        <v>-0.225</v>
      </c>
      <c r="KW7" s="17" t="n">
        <f aca="false">Daily_Composite!I312</f>
        <v>-0.224</v>
      </c>
      <c r="KX7" s="17" t="n">
        <f aca="false">Daily_Composite!I313</f>
        <v>-0.346</v>
      </c>
      <c r="KY7" s="17" t="n">
        <f aca="false">Daily_Composite!I314</f>
        <v>-0.198</v>
      </c>
      <c r="KZ7" s="17" t="n">
        <f aca="false">Daily_Composite!I315</f>
        <v>-0.194</v>
      </c>
      <c r="LA7" s="17" t="n">
        <f aca="false">Daily_Composite!I316</f>
        <v>-0.189</v>
      </c>
      <c r="LB7" s="17" t="n">
        <f aca="false">Daily_Composite!I317</f>
        <v>-0.025</v>
      </c>
      <c r="LC7" s="17" t="n">
        <f aca="false">Daily_Composite!I318</f>
        <v>-0.064</v>
      </c>
      <c r="LD7" s="17" t="n">
        <f aca="false">Daily_Composite!I319</f>
        <v>-0.41</v>
      </c>
      <c r="LE7" s="17" t="n">
        <f aca="false">Daily_Composite!I320</f>
        <v>-0.476</v>
      </c>
      <c r="LF7" s="17" t="n">
        <f aca="false">Daily_Composite!I321</f>
        <v>-0.428</v>
      </c>
      <c r="LG7" s="17" t="n">
        <f aca="false">Daily_Composite!I322</f>
        <v>-0.294</v>
      </c>
      <c r="LH7" s="17" t="n">
        <f aca="false">Daily_Composite!I323</f>
        <v>-0.124</v>
      </c>
      <c r="LI7" s="17" t="n">
        <f aca="false">Daily_Composite!I324</f>
        <v>-0.138</v>
      </c>
      <c r="LJ7" s="17" t="n">
        <f aca="false">Daily_Composite!I325</f>
        <v>-0.163</v>
      </c>
      <c r="LK7" s="17" t="n">
        <f aca="false">Daily_Composite!I326</f>
        <v>-0.583</v>
      </c>
      <c r="LL7" s="17" t="n">
        <f aca="false">Daily_Composite!I327</f>
        <v>-0.137</v>
      </c>
      <c r="LM7" s="17" t="n">
        <f aca="false">Daily_Composite!I328</f>
        <v>-0.133</v>
      </c>
      <c r="LN7" s="17" t="n">
        <f aca="false">Daily_Composite!I329</f>
        <v>-0.15</v>
      </c>
      <c r="LO7" s="17" t="n">
        <f aca="false">Daily_Composite!I330</f>
        <v>-0.146</v>
      </c>
      <c r="LP7" s="17" t="n">
        <f aca="false">Daily_Composite!I331</f>
        <v>-0.119</v>
      </c>
      <c r="LQ7" s="17" t="n">
        <f aca="false">Daily_Composite!I332</f>
        <v>0.141</v>
      </c>
      <c r="LR7" s="17" t="n">
        <f aca="false">Daily_Composite!I333</f>
        <v>0.145</v>
      </c>
      <c r="LS7" s="17" t="n">
        <f aca="false">Daily_Composite!I334</f>
        <v>-0.136</v>
      </c>
      <c r="LT7" s="17" t="n">
        <f aca="false">Daily_Composite!I335</f>
        <v>-0.152</v>
      </c>
      <c r="LU7" s="17" t="n">
        <f aca="false">Daily_Composite!I336</f>
        <v>-0.565</v>
      </c>
      <c r="LV7" s="17" t="n">
        <f aca="false">Daily_Composite!I337</f>
        <v>-0.125</v>
      </c>
      <c r="LW7" s="17" t="n">
        <f aca="false">Daily_Composite!I338</f>
        <v>-0.103</v>
      </c>
      <c r="LX7" s="17" t="n">
        <f aca="false">Daily_Composite!I339</f>
        <v>-0.139</v>
      </c>
      <c r="LY7" s="17" t="n">
        <f aca="false">Daily_Composite!I340</f>
        <v>-0.331</v>
      </c>
      <c r="LZ7" s="17" t="n">
        <f aca="false">Daily_Composite!I341</f>
        <v>-0.135</v>
      </c>
      <c r="MA7" s="17" t="n">
        <f aca="false">Daily_Composite!I342</f>
        <v>-0.13</v>
      </c>
      <c r="MB7" s="17" t="n">
        <f aca="false">Daily_Composite!I343</f>
        <v>-0.126</v>
      </c>
      <c r="MC7" s="17" t="n">
        <f aca="false">Daily_Composite!I344</f>
        <v>-0.537</v>
      </c>
      <c r="MD7" s="17" t="n">
        <f aca="false">Daily_Composite!I345</f>
        <v>-0.067</v>
      </c>
      <c r="ME7" s="17" t="n">
        <f aca="false">Daily_Composite!I346</f>
        <v>-0.073</v>
      </c>
      <c r="MF7" s="17" t="n">
        <f aca="false">Daily_Composite!I347</f>
        <v>-0.409</v>
      </c>
      <c r="MG7" s="17" t="n">
        <f aca="false">Daily_Composite!I348</f>
        <v>-0.388</v>
      </c>
      <c r="MH7" s="17" t="n">
        <f aca="false">Daily_Composite!I349</f>
        <v>-0.261</v>
      </c>
      <c r="MI7" s="17" t="n">
        <f aca="false">Daily_Composite!I350</f>
        <v>-0.044</v>
      </c>
      <c r="MJ7" s="17" t="n">
        <f aca="false">Daily_Composite!I351</f>
        <v>0.014</v>
      </c>
      <c r="MK7" s="17" t="n">
        <f aca="false">Daily_Composite!I352</f>
        <v>-0.013</v>
      </c>
      <c r="ML7" s="17" t="n">
        <f aca="false">Daily_Composite!I353</f>
        <v>-0.013</v>
      </c>
      <c r="MM7" s="17" t="n">
        <f aca="false">Daily_Composite!I354</f>
        <v>-0.013</v>
      </c>
      <c r="MN7" s="17" t="n">
        <f aca="false">Daily_Composite!I355</f>
        <v>-0.146</v>
      </c>
      <c r="MO7" s="17" t="n">
        <f aca="false">Daily_Composite!I356</f>
        <v>-0.118</v>
      </c>
      <c r="MP7" s="17" t="n">
        <f aca="false">Daily_Composite!I357</f>
        <v>-0.04</v>
      </c>
      <c r="MQ7" s="17" t="n">
        <f aca="false">Daily_Composite!I358</f>
        <v>-0.018</v>
      </c>
      <c r="MR7" s="17" t="n">
        <f aca="false">Daily_Composite!I359</f>
        <v>-0.164</v>
      </c>
      <c r="MS7" s="17" t="n">
        <f aca="false">Daily_Composite!I360</f>
        <v>-0.128</v>
      </c>
      <c r="MT7" s="17" t="n">
        <f aca="false">Daily_Composite!I361</f>
        <v>-0.098</v>
      </c>
      <c r="MU7" s="17" t="n">
        <f aca="false">Daily_Composite!I362</f>
        <v>-0.139</v>
      </c>
      <c r="MV7" s="17" t="n">
        <f aca="false">Daily_Composite!I363</f>
        <v>-0.131</v>
      </c>
      <c r="MW7" s="17" t="n">
        <f aca="false">Daily_Composite!I364</f>
        <v>-0.13</v>
      </c>
      <c r="MX7" s="17" t="n">
        <f aca="false">Daily_Composite!I365</f>
        <v>-0.156</v>
      </c>
      <c r="MY7" s="17" t="n">
        <f aca="false">Daily_Composite!I366</f>
        <v>-0.237</v>
      </c>
      <c r="MZ7" s="17" t="n">
        <f aca="false">Daily_Composite!I367</f>
        <v>-0.235</v>
      </c>
      <c r="NA7" s="17" t="n">
        <f aca="false">Daily_Composite!I368</f>
        <v>-0.183</v>
      </c>
      <c r="NB7" s="17" t="n">
        <f aca="false">Daily_Composite!I369</f>
        <v>-0.21</v>
      </c>
    </row>
    <row r="8" customFormat="false" ht="15" hidden="false" customHeight="false" outlineLevel="0" collapsed="false">
      <c r="A8" s="6" t="s">
        <v>21</v>
      </c>
      <c r="B8" s="17" t="n">
        <f aca="false">Daily_Composite!J5</f>
        <v>0.062</v>
      </c>
      <c r="C8" s="17" t="n">
        <f aca="false">Daily_Composite!J6</f>
        <v>0.099</v>
      </c>
      <c r="D8" s="17" t="n">
        <f aca="false">Daily_Composite!J7</f>
        <v>0.097</v>
      </c>
      <c r="E8" s="17" t="n">
        <f aca="false">Daily_Composite!J8</f>
        <v>0.23</v>
      </c>
      <c r="F8" s="17" t="n">
        <f aca="false">Daily_Composite!J9</f>
        <v>0.179</v>
      </c>
      <c r="G8" s="17" t="n">
        <f aca="false">Daily_Composite!J10</f>
        <v>-0.083</v>
      </c>
      <c r="H8" s="17" t="n">
        <f aca="false">Daily_Composite!J11</f>
        <v>0.391</v>
      </c>
      <c r="I8" s="17" t="n">
        <f aca="false">Daily_Composite!J12</f>
        <v>0.115</v>
      </c>
      <c r="J8" s="17" t="n">
        <f aca="false">Daily_Composite!J13</f>
        <v>0.134</v>
      </c>
      <c r="K8" s="17" t="n">
        <f aca="false">Daily_Composite!J14</f>
        <v>0.404</v>
      </c>
      <c r="L8" s="17" t="n">
        <f aca="false">Daily_Composite!J15</f>
        <v>0.236</v>
      </c>
      <c r="M8" s="17" t="n">
        <f aca="false">Daily_Composite!J16</f>
        <v>0.31</v>
      </c>
      <c r="N8" s="17" t="n">
        <f aca="false">Daily_Composite!J17</f>
        <v>0.113</v>
      </c>
      <c r="O8" s="17" t="n">
        <f aca="false">Daily_Composite!J18</f>
        <v>0.101</v>
      </c>
      <c r="P8" s="17" t="n">
        <f aca="false">Daily_Composite!J19</f>
        <v>0.131</v>
      </c>
      <c r="Q8" s="17" t="n">
        <f aca="false">Daily_Composite!J20</f>
        <v>0.176</v>
      </c>
      <c r="R8" s="17" t="n">
        <f aca="false">Daily_Composite!J21</f>
        <v>0.288</v>
      </c>
      <c r="S8" s="17" t="n">
        <f aca="false">Daily_Composite!J22</f>
        <v>0.133</v>
      </c>
      <c r="T8" s="17" t="n">
        <f aca="false">Daily_Composite!J23</f>
        <v>-0.102</v>
      </c>
      <c r="U8" s="17" t="n">
        <f aca="false">Daily_Composite!J24</f>
        <v>-0.113</v>
      </c>
      <c r="V8" s="17" t="n">
        <f aca="false">Daily_Composite!J25</f>
        <v>-0.102</v>
      </c>
      <c r="W8" s="17" t="n">
        <f aca="false">Daily_Composite!J26</f>
        <v>-0.138</v>
      </c>
      <c r="X8" s="17" t="n">
        <f aca="false">Daily_Composite!J27</f>
        <v>-0.352</v>
      </c>
      <c r="Y8" s="17" t="n">
        <f aca="false">Daily_Composite!J28</f>
        <v>-0.295</v>
      </c>
      <c r="Z8" s="17" t="n">
        <f aca="false">Daily_Composite!J29</f>
        <v>-0.176</v>
      </c>
      <c r="AA8" s="17" t="n">
        <f aca="false">Daily_Composite!J30</f>
        <v>0.146</v>
      </c>
      <c r="AB8" s="17" t="n">
        <f aca="false">Daily_Composite!J31</f>
        <v>-0.201</v>
      </c>
      <c r="AC8" s="17" t="n">
        <f aca="false">Daily_Composite!J32</f>
        <v>-0.195</v>
      </c>
      <c r="AD8" s="17" t="n">
        <f aca="false">Daily_Composite!J33</f>
        <v>-0.16</v>
      </c>
      <c r="AE8" s="17" t="n">
        <f aca="false">Daily_Composite!J34</f>
        <v>-0.161</v>
      </c>
      <c r="AF8" s="17" t="n">
        <f aca="false">Daily_Composite!J35</f>
        <v>0.093</v>
      </c>
      <c r="AG8" s="17" t="n">
        <f aca="false">Daily_Composite!J36</f>
        <v>0.092</v>
      </c>
      <c r="AH8" s="17" t="n">
        <f aca="false">Daily_Composite!J37</f>
        <v>0.095</v>
      </c>
      <c r="AI8" s="17" t="n">
        <f aca="false">Daily_Composite!J38</f>
        <v>0.394</v>
      </c>
      <c r="AJ8" s="17" t="n">
        <f aca="false">Daily_Composite!J39</f>
        <v>0.108</v>
      </c>
      <c r="AK8" s="17" t="n">
        <f aca="false">Daily_Composite!J40</f>
        <v>0.139</v>
      </c>
      <c r="AL8" s="17" t="n">
        <f aca="false">Daily_Composite!J41</f>
        <v>0.168</v>
      </c>
      <c r="AM8" s="17" t="n">
        <f aca="false">Daily_Composite!J42</f>
        <v>0.128</v>
      </c>
      <c r="AN8" s="17" t="n">
        <f aca="false">Daily_Composite!J43</f>
        <v>0.246</v>
      </c>
      <c r="AO8" s="17" t="n">
        <f aca="false">Daily_Composite!J44</f>
        <v>0.199</v>
      </c>
      <c r="AP8" s="17" t="n">
        <f aca="false">Daily_Composite!J45</f>
        <v>0.198</v>
      </c>
      <c r="AQ8" s="17" t="n">
        <f aca="false">Daily_Composite!J46</f>
        <v>0.184</v>
      </c>
      <c r="AR8" s="17" t="n">
        <f aca="false">Daily_Composite!J47</f>
        <v>0.187</v>
      </c>
      <c r="AS8" s="17" t="n">
        <f aca="false">Daily_Composite!J48</f>
        <v>-0.047</v>
      </c>
      <c r="AT8" s="17" t="n">
        <f aca="false">Daily_Composite!J49</f>
        <v>0.182</v>
      </c>
      <c r="AU8" s="17" t="n">
        <f aca="false">Daily_Composite!J50</f>
        <v>0.155</v>
      </c>
      <c r="AV8" s="17" t="n">
        <f aca="false">Daily_Composite!J51</f>
        <v>0.147</v>
      </c>
      <c r="AW8" s="17" t="n">
        <f aca="false">Daily_Composite!J52</f>
        <v>0.148</v>
      </c>
      <c r="AX8" s="17" t="n">
        <f aca="false">Daily_Composite!J53</f>
        <v>0.151</v>
      </c>
      <c r="AY8" s="17" t="n">
        <f aca="false">Daily_Composite!J54</f>
        <v>0.037</v>
      </c>
      <c r="AZ8" s="17" t="n">
        <f aca="false">Daily_Composite!J55</f>
        <v>-0.218</v>
      </c>
      <c r="BA8" s="17" t="n">
        <f aca="false">Daily_Composite!J56</f>
        <v>-0.056</v>
      </c>
      <c r="BB8" s="17" t="n">
        <f aca="false">Daily_Composite!J57</f>
        <v>-0.042</v>
      </c>
      <c r="BC8" s="17" t="n">
        <f aca="false">Daily_Composite!J58</f>
        <v>-0.395</v>
      </c>
      <c r="BD8" s="17" t="n">
        <f aca="false">Daily_Composite!J59</f>
        <v>-0.076</v>
      </c>
      <c r="BE8" s="17" t="n">
        <f aca="false">Daily_Composite!J60</f>
        <v>-0.079</v>
      </c>
      <c r="BF8" s="17" t="n">
        <f aca="false">Daily_Composite!J61</f>
        <v>-0.017</v>
      </c>
      <c r="BG8" s="17" t="n">
        <f aca="false">Daily_Composite!J62</f>
        <v>-0.015</v>
      </c>
      <c r="BH8" s="17" t="n">
        <f aca="false">Daily_Composite!J63</f>
        <v>0.043</v>
      </c>
      <c r="BI8" s="17" t="n">
        <f aca="false">Daily_Composite!J64</f>
        <v>0.086</v>
      </c>
      <c r="BJ8" s="17" t="n">
        <f aca="false">Daily_Composite!J65</f>
        <v>0.036</v>
      </c>
      <c r="BK8" s="17" t="n">
        <f aca="false">Daily_Composite!J66</f>
        <v>0.323</v>
      </c>
      <c r="BL8" s="17" t="n">
        <f aca="false">Daily_Composite!J67</f>
        <v>-0.055</v>
      </c>
      <c r="BM8" s="17" t="n">
        <f aca="false">Daily_Composite!J68</f>
        <v>-0.028</v>
      </c>
      <c r="BN8" s="17" t="n">
        <f aca="false">Daily_Composite!J69</f>
        <v>0.018</v>
      </c>
      <c r="BO8" s="17" t="n">
        <f aca="false">Daily_Composite!J70</f>
        <v>0.112</v>
      </c>
      <c r="BP8" s="17" t="n">
        <f aca="false">Daily_Composite!J71</f>
        <v>-0.034</v>
      </c>
      <c r="BQ8" s="17" t="n">
        <f aca="false">Daily_Composite!J72</f>
        <v>-0.02</v>
      </c>
      <c r="BR8" s="17" t="n">
        <f aca="false">Daily_Composite!J73</f>
        <v>-0.018</v>
      </c>
      <c r="BS8" s="17" t="n">
        <f aca="false">Daily_Composite!J74</f>
        <v>0.032</v>
      </c>
      <c r="BT8" s="17" t="n">
        <f aca="false">Daily_Composite!J75</f>
        <v>0.416</v>
      </c>
      <c r="BU8" s="17" t="n">
        <f aca="false">Daily_Composite!J76</f>
        <v>-0.015</v>
      </c>
      <c r="BV8" s="17" t="n">
        <f aca="false">Daily_Composite!J77</f>
        <v>-0.018</v>
      </c>
      <c r="BW8" s="17" t="n">
        <f aca="false">Daily_Composite!J78</f>
        <v>-0.019</v>
      </c>
      <c r="BX8" s="17" t="n">
        <f aca="false">Daily_Composite!J79</f>
        <v>0.022</v>
      </c>
      <c r="BY8" s="17" t="n">
        <f aca="false">Daily_Composite!J80</f>
        <v>-0.057</v>
      </c>
      <c r="BZ8" s="17" t="n">
        <f aca="false">Daily_Composite!J81</f>
        <v>0.208</v>
      </c>
      <c r="CA8" s="17" t="n">
        <f aca="false">Daily_Composite!J82</f>
        <v>0.232</v>
      </c>
      <c r="CB8" s="17" t="n">
        <f aca="false">Daily_Composite!J83</f>
        <v>0.25</v>
      </c>
      <c r="CC8" s="17" t="n">
        <f aca="false">Daily_Composite!J84</f>
        <v>0.073</v>
      </c>
      <c r="CD8" s="17" t="n">
        <f aca="false">Daily_Composite!J85</f>
        <v>0.546</v>
      </c>
      <c r="CE8" s="17" t="n">
        <f aca="false">Daily_Composite!J86</f>
        <v>0.126</v>
      </c>
      <c r="CF8" s="17" t="n">
        <f aca="false">Daily_Composite!J87</f>
        <v>0.133</v>
      </c>
      <c r="CG8" s="17" t="n">
        <f aca="false">Daily_Composite!J88</f>
        <v>0.095</v>
      </c>
      <c r="CH8" s="17" t="n">
        <f aca="false">Daily_Composite!J89</f>
        <v>0.087</v>
      </c>
      <c r="CI8" s="17" t="n">
        <f aca="false">Daily_Composite!J90</f>
        <v>0.448</v>
      </c>
      <c r="CJ8" s="17" t="n">
        <f aca="false">Daily_Composite!J91</f>
        <v>0.476</v>
      </c>
      <c r="CK8" s="17" t="n">
        <f aca="false">Daily_Composite!J92</f>
        <v>0.065</v>
      </c>
      <c r="CL8" s="17" t="n">
        <f aca="false">Daily_Composite!J93</f>
        <v>0.229</v>
      </c>
      <c r="CM8" s="17" t="n">
        <f aca="false">Daily_Composite!J94</f>
        <v>-0.019</v>
      </c>
      <c r="CN8" s="17" t="n">
        <f aca="false">Daily_Composite!J95</f>
        <v>-0.108</v>
      </c>
      <c r="CO8" s="17" t="n">
        <f aca="false">Daily_Composite!J96</f>
        <v>0.121</v>
      </c>
      <c r="CP8" s="17" t="n">
        <f aca="false">Daily_Composite!J97</f>
        <v>0.155</v>
      </c>
      <c r="CQ8" s="17" t="n">
        <f aca="false">Daily_Composite!J98</f>
        <v>-0.246</v>
      </c>
      <c r="CR8" s="17" t="n">
        <f aca="false">Daily_Composite!J99</f>
        <v>-0.25</v>
      </c>
      <c r="CS8" s="17" t="n">
        <f aca="false">Daily_Composite!J100</f>
        <v>-0.273</v>
      </c>
      <c r="CT8" s="17" t="n">
        <f aca="false">Daily_Composite!J101</f>
        <v>-0.219</v>
      </c>
      <c r="CU8" s="17" t="n">
        <f aca="false">Daily_Composite!J102</f>
        <v>-0.5</v>
      </c>
      <c r="CV8" s="17" t="n">
        <f aca="false">Daily_Composite!J103</f>
        <v>-0.23</v>
      </c>
      <c r="CW8" s="17" t="n">
        <f aca="false">Daily_Composite!J104</f>
        <v>-0.235</v>
      </c>
      <c r="CX8" s="17" t="n">
        <f aca="false">Daily_Composite!J105</f>
        <v>-0.239</v>
      </c>
      <c r="CY8" s="17" t="n">
        <f aca="false">Daily_Composite!J106</f>
        <v>-0.218</v>
      </c>
      <c r="CZ8" s="17" t="n">
        <f aca="false">Daily_Composite!J107</f>
        <v>-0.243</v>
      </c>
      <c r="DA8" s="17" t="n">
        <f aca="false">Daily_Composite!J108</f>
        <v>-0.454</v>
      </c>
      <c r="DB8" s="17" t="n">
        <f aca="false">Daily_Composite!J109</f>
        <v>-0.462</v>
      </c>
      <c r="DC8" s="17" t="n">
        <f aca="false">Daily_Composite!J110</f>
        <v>-0.461</v>
      </c>
      <c r="DD8" s="17" t="n">
        <f aca="false">Daily_Composite!J111</f>
        <v>-0.076</v>
      </c>
      <c r="DE8" s="17" t="n">
        <f aca="false">Daily_Composite!J112</f>
        <v>-0.505</v>
      </c>
      <c r="DF8" s="17" t="n">
        <f aca="false">Daily_Composite!J113</f>
        <v>-0.085</v>
      </c>
      <c r="DG8" s="17" t="n">
        <f aca="false">Daily_Composite!J114</f>
        <v>-0.095</v>
      </c>
      <c r="DH8" s="17" t="n">
        <f aca="false">Daily_Composite!J115</f>
        <v>-0.093</v>
      </c>
      <c r="DI8" s="17" t="n">
        <f aca="false">Daily_Composite!J116</f>
        <v>-0.214</v>
      </c>
      <c r="DJ8" s="17" t="n">
        <f aca="false">Daily_Composite!J117</f>
        <v>-0.202</v>
      </c>
      <c r="DK8" s="17" t="n">
        <f aca="false">Daily_Composite!J118</f>
        <v>-0.214</v>
      </c>
      <c r="DL8" s="17" t="n">
        <f aca="false">Daily_Composite!J119</f>
        <v>-0.009</v>
      </c>
      <c r="DM8" s="17" t="n">
        <f aca="false">Daily_Composite!J120</f>
        <v>0.006</v>
      </c>
      <c r="DN8" s="17" t="n">
        <f aca="false">Daily_Composite!J121</f>
        <v>-0.302</v>
      </c>
      <c r="DO8" s="17" t="n">
        <f aca="false">Daily_Composite!J122</f>
        <v>0.038</v>
      </c>
      <c r="DP8" s="17" t="n">
        <f aca="false">Daily_Composite!J123</f>
        <v>0.041</v>
      </c>
      <c r="DQ8" s="17" t="n">
        <f aca="false">Daily_Composite!J124</f>
        <v>-0.03</v>
      </c>
      <c r="DR8" s="17" t="n">
        <f aca="false">Daily_Composite!J125</f>
        <v>0.288</v>
      </c>
      <c r="DS8" s="17" t="n">
        <f aca="false">Daily_Composite!J126</f>
        <v>0.243</v>
      </c>
      <c r="DT8" s="17" t="n">
        <f aca="false">Daily_Composite!J127</f>
        <v>0.267</v>
      </c>
      <c r="DU8" s="17" t="n">
        <f aca="false">Daily_Composite!J128</f>
        <v>0.137</v>
      </c>
      <c r="DV8" s="17" t="n">
        <f aca="false">Daily_Composite!J129</f>
        <v>0.056</v>
      </c>
      <c r="DW8" s="17" t="n">
        <f aca="false">Daily_Composite!J130</f>
        <v>0.676</v>
      </c>
      <c r="DX8" s="17" t="n">
        <f aca="false">Daily_Composite!J131</f>
        <v>0.288</v>
      </c>
      <c r="DY8" s="17" t="n">
        <f aca="false">Daily_Composite!J132</f>
        <v>0.119</v>
      </c>
      <c r="DZ8" s="17" t="n">
        <f aca="false">Daily_Composite!J133</f>
        <v>0.186</v>
      </c>
      <c r="EA8" s="17" t="n">
        <f aca="false">Daily_Composite!J134</f>
        <v>0.148</v>
      </c>
      <c r="EB8" s="17" t="n">
        <f aca="false">Daily_Composite!J135</f>
        <v>0.07</v>
      </c>
      <c r="EC8" s="17" t="n">
        <f aca="false">Daily_Composite!J136</f>
        <v>0.235</v>
      </c>
      <c r="ED8" s="17" t="n">
        <f aca="false">Daily_Composite!J137</f>
        <v>0.184</v>
      </c>
      <c r="EE8" s="17" t="n">
        <f aca="false">Daily_Composite!J138</f>
        <v>0.079</v>
      </c>
      <c r="EF8" s="17" t="n">
        <f aca="false">Daily_Composite!J139</f>
        <v>0.412</v>
      </c>
      <c r="EG8" s="17" t="n">
        <f aca="false">Daily_Composite!J140</f>
        <v>-0.001</v>
      </c>
      <c r="EH8" s="17" t="n">
        <f aca="false">Daily_Composite!J141</f>
        <v>0.002</v>
      </c>
      <c r="EI8" s="17" t="n">
        <f aca="false">Daily_Composite!J142</f>
        <v>0.033</v>
      </c>
      <c r="EJ8" s="17" t="n">
        <f aca="false">Daily_Composite!J143</f>
        <v>0.031</v>
      </c>
      <c r="EK8" s="17" t="n">
        <f aca="false">Daily_Composite!J144</f>
        <v>-0.008</v>
      </c>
      <c r="EL8" s="17" t="n">
        <f aca="false">Daily_Composite!J145</f>
        <v>0.018</v>
      </c>
      <c r="EM8" s="17" t="n">
        <f aca="false">Daily_Composite!J146</f>
        <v>0.019</v>
      </c>
      <c r="EN8" s="17" t="n">
        <f aca="false">Daily_Composite!J147</f>
        <v>0.075</v>
      </c>
      <c r="EO8" s="17" t="n">
        <f aca="false">Daily_Composite!J148</f>
        <v>-0.155</v>
      </c>
      <c r="EP8" s="17" t="n">
        <f aca="false">Daily_Composite!J149</f>
        <v>0.093</v>
      </c>
      <c r="EQ8" s="17" t="n">
        <f aca="false">Daily_Composite!J150</f>
        <v>0.119</v>
      </c>
      <c r="ER8" s="17" t="n">
        <f aca="false">Daily_Composite!J151</f>
        <v>-0.012</v>
      </c>
      <c r="ES8" s="17" t="n">
        <f aca="false">Daily_Composite!J152</f>
        <v>0.094</v>
      </c>
      <c r="ET8" s="17" t="n">
        <f aca="false">Daily_Composite!J153</f>
        <v>0.142</v>
      </c>
      <c r="EU8" s="17" t="n">
        <f aca="false">Daily_Composite!J154</f>
        <v>0.11</v>
      </c>
      <c r="EV8" s="17" t="n">
        <f aca="false">Daily_Composite!J155</f>
        <v>0.143</v>
      </c>
      <c r="EW8" s="17" t="n">
        <f aca="false">Daily_Composite!J156</f>
        <v>0.151</v>
      </c>
      <c r="EX8" s="17" t="n">
        <f aca="false">Daily_Composite!J157</f>
        <v>0.256</v>
      </c>
      <c r="EY8" s="17" t="n">
        <f aca="false">Daily_Composite!J158</f>
        <v>0.242</v>
      </c>
      <c r="EZ8" s="17" t="n">
        <f aca="false">Daily_Composite!J159</f>
        <v>0.247</v>
      </c>
      <c r="FA8" s="17" t="n">
        <f aca="false">Daily_Composite!J160</f>
        <v>0.266</v>
      </c>
      <c r="FB8" s="17" t="n">
        <f aca="false">Daily_Composite!J161</f>
        <v>0.032</v>
      </c>
      <c r="FC8" s="17" t="n">
        <f aca="false">Daily_Composite!J162</f>
        <v>0.151</v>
      </c>
      <c r="FD8" s="17" t="n">
        <f aca="false">Daily_Composite!J163</f>
        <v>0.04</v>
      </c>
      <c r="FE8" s="17" t="n">
        <f aca="false">Daily_Composite!J164</f>
        <v>-0.012</v>
      </c>
      <c r="FF8" s="17" t="n">
        <f aca="false">Daily_Composite!J165</f>
        <v>0.311</v>
      </c>
      <c r="FG8" s="17" t="n">
        <f aca="false">Daily_Composite!J166</f>
        <v>0.32</v>
      </c>
      <c r="FH8" s="17" t="n">
        <f aca="false">Daily_Composite!J167</f>
        <v>0.532</v>
      </c>
      <c r="FI8" s="17" t="n">
        <f aca="false">Daily_Composite!J168</f>
        <v>0.35</v>
      </c>
      <c r="FJ8" s="17" t="n">
        <f aca="false">Daily_Composite!J169</f>
        <v>0.31</v>
      </c>
      <c r="FK8" s="17" t="n">
        <f aca="false">Daily_Composite!J170</f>
        <v>0.13</v>
      </c>
      <c r="FL8" s="17" t="n">
        <f aca="false">Daily_Composite!J171</f>
        <v>0.13</v>
      </c>
      <c r="FM8" s="17" t="n">
        <f aca="false">Daily_Composite!J172</f>
        <v>0.544</v>
      </c>
      <c r="FN8" s="17" t="n">
        <f aca="false">Daily_Composite!J173</f>
        <v>0.49</v>
      </c>
      <c r="FO8" s="17" t="n">
        <f aca="false">Daily_Composite!J174</f>
        <v>0.223</v>
      </c>
      <c r="FP8" s="17" t="n">
        <f aca="false">Daily_Composite!J175</f>
        <v>0.353</v>
      </c>
      <c r="FQ8" s="17" t="n">
        <f aca="false">Daily_Composite!J176</f>
        <v>0.211</v>
      </c>
      <c r="FR8" s="17" t="n">
        <f aca="false">Daily_Composite!J177</f>
        <v>0.208</v>
      </c>
      <c r="FS8" s="17" t="n">
        <f aca="false">Daily_Composite!J178</f>
        <v>0.291</v>
      </c>
      <c r="FT8" s="17" t="n">
        <f aca="false">Daily_Composite!J179</f>
        <v>0.049</v>
      </c>
      <c r="FU8" s="17" t="n">
        <f aca="false">Daily_Composite!J180</f>
        <v>0.172</v>
      </c>
      <c r="FV8" s="17" t="n">
        <f aca="false">Daily_Composite!J181</f>
        <v>0.162</v>
      </c>
      <c r="FW8" s="17" t="n">
        <f aca="false">Daily_Composite!J182</f>
        <v>0.146</v>
      </c>
      <c r="FX8" s="17" t="n">
        <f aca="false">Daily_Composite!J183</f>
        <v>0.021</v>
      </c>
      <c r="FY8" s="17" t="n">
        <f aca="false">Daily_Composite!J184</f>
        <v>-0.173</v>
      </c>
      <c r="FZ8" s="17" t="n">
        <f aca="false">Daily_Composite!J185</f>
        <v>0.166</v>
      </c>
      <c r="GA8" s="17" t="n">
        <f aca="false">Daily_Composite!J186</f>
        <v>0.174</v>
      </c>
      <c r="GB8" s="17" t="n">
        <f aca="false">Daily_Composite!J187</f>
        <v>0.134</v>
      </c>
      <c r="GC8" s="17" t="n">
        <f aca="false">Daily_Composite!J188</f>
        <v>-0.057</v>
      </c>
      <c r="GD8" s="17" t="n">
        <f aca="false">Daily_Composite!J189</f>
        <v>0.116</v>
      </c>
      <c r="GE8" s="17" t="n">
        <f aca="false">Daily_Composite!J190</f>
        <v>0.059</v>
      </c>
      <c r="GF8" s="17" t="n">
        <f aca="false">Daily_Composite!J191</f>
        <v>0.042</v>
      </c>
      <c r="GG8" s="17" t="n">
        <f aca="false">Daily_Composite!J192</f>
        <v>0.074</v>
      </c>
      <c r="GH8" s="17" t="n">
        <f aca="false">Daily_Composite!J193</f>
        <v>0.109</v>
      </c>
      <c r="GI8" s="17" t="n">
        <f aca="false">Daily_Composite!J194</f>
        <v>0.313</v>
      </c>
      <c r="GJ8" s="17" t="n">
        <f aca="false">Daily_Composite!J195</f>
        <v>0.072</v>
      </c>
      <c r="GK8" s="17" t="n">
        <f aca="false">Daily_Composite!J196</f>
        <v>0.056</v>
      </c>
      <c r="GL8" s="17" t="n">
        <f aca="false">Daily_Composite!J197</f>
        <v>0.012</v>
      </c>
      <c r="GM8" s="17" t="n">
        <f aca="false">Daily_Composite!J198</f>
        <v>0.013</v>
      </c>
      <c r="GN8" s="17" t="n">
        <f aca="false">Daily_Composite!J199</f>
        <v>0.447</v>
      </c>
      <c r="GO8" s="17" t="n">
        <f aca="false">Daily_Composite!J200</f>
        <v>0.451</v>
      </c>
      <c r="GP8" s="17" t="n">
        <f aca="false">Daily_Composite!J201</f>
        <v>0.13</v>
      </c>
      <c r="GQ8" s="17" t="n">
        <f aca="false">Daily_Composite!J202</f>
        <v>0.031</v>
      </c>
      <c r="GR8" s="17" t="n">
        <f aca="false">Daily_Composite!J203</f>
        <v>0.507</v>
      </c>
      <c r="GS8" s="17" t="n">
        <f aca="false">Daily_Composite!J204</f>
        <v>0.018</v>
      </c>
      <c r="GT8" s="17" t="n">
        <f aca="false">Daily_Composite!J205</f>
        <v>0.066</v>
      </c>
      <c r="GU8" s="17" t="n">
        <f aca="false">Daily_Composite!J206</f>
        <v>0.132</v>
      </c>
      <c r="GV8" s="17" t="n">
        <f aca="false">Daily_Composite!J207</f>
        <v>0.26</v>
      </c>
      <c r="GW8" s="17" t="n">
        <f aca="false">Daily_Composite!J208</f>
        <v>0.098</v>
      </c>
      <c r="GX8" s="17" t="n">
        <f aca="false">Daily_Composite!J209</f>
        <v>0.099</v>
      </c>
      <c r="GY8" s="17" t="n">
        <f aca="false">Daily_Composite!J210</f>
        <v>-0.001</v>
      </c>
      <c r="GZ8" s="17" t="n">
        <f aca="false">Daily_Composite!J211</f>
        <v>-0.012</v>
      </c>
      <c r="HA8" s="17" t="n">
        <f aca="false">Daily_Composite!J212</f>
        <v>0.347</v>
      </c>
      <c r="HB8" s="17" t="n">
        <f aca="false">Daily_Composite!J213</f>
        <v>-0.091</v>
      </c>
      <c r="HC8" s="17" t="n">
        <f aca="false">Daily_Composite!J214</f>
        <v>-0.149</v>
      </c>
      <c r="HD8" s="17" t="n">
        <f aca="false">Daily_Composite!J215</f>
        <v>0.081</v>
      </c>
      <c r="HE8" s="17" t="n">
        <f aca="false">Daily_Composite!J216</f>
        <v>0.078</v>
      </c>
      <c r="HF8" s="17" t="n">
        <f aca="false">Daily_Composite!J217</f>
        <v>-0.016</v>
      </c>
      <c r="HG8" s="17" t="n">
        <f aca="false">Daily_Composite!J218</f>
        <v>-0.424</v>
      </c>
      <c r="HH8" s="17" t="n">
        <f aca="false">Daily_Composite!J219</f>
        <v>-0.285</v>
      </c>
      <c r="HI8" s="17" t="n">
        <f aca="false">Daily_Composite!J220</f>
        <v>0.069</v>
      </c>
      <c r="HJ8" s="17" t="n">
        <f aca="false">Daily_Composite!J221</f>
        <v>0.069</v>
      </c>
      <c r="HK8" s="17" t="n">
        <f aca="false">Daily_Composite!J222</f>
        <v>-0.217</v>
      </c>
      <c r="HL8" s="17" t="n">
        <f aca="false">Daily_Composite!J223</f>
        <v>-0.172</v>
      </c>
      <c r="HM8" s="17" t="n">
        <f aca="false">Daily_Composite!J224</f>
        <v>-0.031</v>
      </c>
      <c r="HN8" s="17" t="n">
        <f aca="false">Daily_Composite!J225</f>
        <v>-0.033</v>
      </c>
      <c r="HO8" s="17" t="n">
        <f aca="false">Daily_Composite!J226</f>
        <v>-0.034</v>
      </c>
      <c r="HP8" s="17" t="n">
        <f aca="false">Daily_Composite!J227</f>
        <v>-0.142</v>
      </c>
      <c r="HQ8" s="17" t="n">
        <f aca="false">Daily_Composite!J228</f>
        <v>-0.099</v>
      </c>
      <c r="HR8" s="17" t="n">
        <f aca="false">Daily_Composite!J229</f>
        <v>0.075</v>
      </c>
      <c r="HS8" s="17" t="n">
        <f aca="false">Daily_Composite!J230</f>
        <v>0.331</v>
      </c>
      <c r="HT8" s="17" t="n">
        <f aca="false">Daily_Composite!J231</f>
        <v>-0.017</v>
      </c>
      <c r="HU8" s="17" t="n">
        <f aca="false">Daily_Composite!J232</f>
        <v>0.019</v>
      </c>
      <c r="HV8" s="17" t="n">
        <f aca="false">Daily_Composite!J233</f>
        <v>0.199</v>
      </c>
      <c r="HW8" s="17" t="n">
        <f aca="false">Daily_Composite!J234</f>
        <v>0.159</v>
      </c>
      <c r="HX8" s="17" t="n">
        <f aca="false">Daily_Composite!J235</f>
        <v>0.035</v>
      </c>
      <c r="HY8" s="17" t="n">
        <f aca="false">Daily_Composite!J236</f>
        <v>0.082</v>
      </c>
      <c r="HZ8" s="17" t="n">
        <f aca="false">Daily_Composite!J237</f>
        <v>0.177</v>
      </c>
      <c r="IA8" s="17" t="n">
        <f aca="false">Daily_Composite!J238</f>
        <v>0.302</v>
      </c>
      <c r="IB8" s="17" t="n">
        <f aca="false">Daily_Composite!J239</f>
        <v>0.586</v>
      </c>
      <c r="IC8" s="17" t="n">
        <f aca="false">Daily_Composite!J240</f>
        <v>0.139</v>
      </c>
      <c r="ID8" s="17" t="n">
        <f aca="false">Daily_Composite!J241</f>
        <v>0.14</v>
      </c>
      <c r="IE8" s="17" t="n">
        <f aca="false">Daily_Composite!J242</f>
        <v>0.177</v>
      </c>
      <c r="IF8" s="17" t="n">
        <f aca="false">Daily_Composite!J243</f>
        <v>0.164</v>
      </c>
      <c r="IG8" s="17" t="n">
        <f aca="false">Daily_Composite!J244</f>
        <v>0.173</v>
      </c>
      <c r="IH8" s="17" t="n">
        <f aca="false">Daily_Composite!J245</f>
        <v>0.156</v>
      </c>
      <c r="II8" s="17" t="n">
        <f aca="false">Daily_Composite!J246</f>
        <v>0.323</v>
      </c>
      <c r="IJ8" s="17" t="n">
        <f aca="false">Daily_Composite!J247</f>
        <v>0.318</v>
      </c>
      <c r="IK8" s="17" t="n">
        <f aca="false">Daily_Composite!J248</f>
        <v>0.243</v>
      </c>
      <c r="IL8" s="17" t="n">
        <f aca="false">Daily_Composite!J249</f>
        <v>0.612</v>
      </c>
      <c r="IM8" s="17" t="n">
        <f aca="false">Daily_Composite!J250</f>
        <v>0.18</v>
      </c>
      <c r="IN8" s="17" t="n">
        <f aca="false">Daily_Composite!J251</f>
        <v>0.183</v>
      </c>
      <c r="IO8" s="17" t="n">
        <f aca="false">Daily_Composite!J252</f>
        <v>0.179</v>
      </c>
      <c r="IP8" s="17" t="n">
        <f aca="false">Daily_Composite!J253</f>
        <v>0.174</v>
      </c>
      <c r="IQ8" s="17" t="n">
        <f aca="false">Daily_Composite!J254</f>
        <v>0.33</v>
      </c>
      <c r="IR8" s="17" t="n">
        <f aca="false">Daily_Composite!J255</f>
        <v>0.339</v>
      </c>
      <c r="IS8" s="17" t="n">
        <f aca="false">Daily_Composite!J256</f>
        <v>0.022</v>
      </c>
      <c r="IT8" s="17" t="n">
        <f aca="false">Daily_Composite!J257</f>
        <v>0.586</v>
      </c>
      <c r="IU8" s="17" t="n">
        <f aca="false">Daily_Composite!J258</f>
        <v>0.02</v>
      </c>
      <c r="IV8" s="17" t="n">
        <f aca="false">Daily_Composite!J259</f>
        <v>0.019</v>
      </c>
      <c r="IW8" s="17" t="n">
        <f aca="false">Daily_Composite!J260</f>
        <v>0.197</v>
      </c>
      <c r="IX8" s="17" t="n">
        <f aca="false">Daily_Composite!J261</f>
        <v>0.122</v>
      </c>
      <c r="IY8" s="17" t="n">
        <f aca="false">Daily_Composite!J262</f>
        <v>-0.018</v>
      </c>
      <c r="IZ8" s="17" t="n">
        <f aca="false">Daily_Composite!J263</f>
        <v>0.018</v>
      </c>
      <c r="JA8" s="17" t="n">
        <f aca="false">Daily_Composite!J264</f>
        <v>0.008</v>
      </c>
      <c r="JB8" s="17" t="n">
        <f aca="false">Daily_Composite!J265</f>
        <v>-0.009</v>
      </c>
      <c r="JC8" s="17" t="n">
        <f aca="false">Daily_Composite!J266</f>
        <v>0.515</v>
      </c>
      <c r="JD8" s="17" t="n">
        <f aca="false">Daily_Composite!J267</f>
        <v>-0.057</v>
      </c>
      <c r="JE8" s="17" t="n">
        <f aca="false">Daily_Composite!J268</f>
        <v>-0.12</v>
      </c>
      <c r="JF8" s="17" t="n">
        <f aca="false">Daily_Composite!J269</f>
        <v>-0.115</v>
      </c>
      <c r="JG8" s="17" t="n">
        <f aca="false">Daily_Composite!J270</f>
        <v>-0.086</v>
      </c>
      <c r="JH8" s="17" t="n">
        <f aca="false">Daily_Composite!J271</f>
        <v>-0.117</v>
      </c>
      <c r="JI8" s="17" t="n">
        <f aca="false">Daily_Composite!J272</f>
        <v>-0.262</v>
      </c>
      <c r="JJ8" s="17" t="n">
        <f aca="false">Daily_Composite!J273</f>
        <v>-0.355</v>
      </c>
      <c r="JK8" s="17" t="n">
        <f aca="false">Daily_Composite!J274</f>
        <v>-0.467</v>
      </c>
      <c r="JL8" s="17" t="n">
        <f aca="false">Daily_Composite!J275</f>
        <v>-0.227</v>
      </c>
      <c r="JM8" s="17" t="n">
        <f aca="false">Daily_Composite!J276</f>
        <v>0.106</v>
      </c>
      <c r="JN8" s="17" t="n">
        <f aca="false">Daily_Composite!J277</f>
        <v>-0.346</v>
      </c>
      <c r="JO8" s="17" t="n">
        <f aca="false">Daily_Composite!J278</f>
        <v>-0.333</v>
      </c>
      <c r="JP8" s="17" t="n">
        <f aca="false">Daily_Composite!J279</f>
        <v>-0.313</v>
      </c>
      <c r="JQ8" s="17" t="n">
        <f aca="false">Daily_Composite!J280</f>
        <v>-0.21</v>
      </c>
      <c r="JR8" s="17" t="n">
        <f aca="false">Daily_Composite!J281</f>
        <v>-0.18</v>
      </c>
      <c r="JS8" s="17" t="n">
        <f aca="false">Daily_Composite!J282</f>
        <v>0.092</v>
      </c>
      <c r="JT8" s="17" t="n">
        <f aca="false">Daily_Composite!J283</f>
        <v>0.088</v>
      </c>
      <c r="JU8" s="17" t="n">
        <f aca="false">Daily_Composite!J284</f>
        <v>-0.12</v>
      </c>
      <c r="JV8" s="17" t="n">
        <f aca="false">Daily_Composite!J285</f>
        <v>0.464</v>
      </c>
      <c r="JW8" s="17" t="n">
        <f aca="false">Daily_Composite!J286</f>
        <v>-0.02</v>
      </c>
      <c r="JX8" s="17" t="n">
        <f aca="false">Daily_Composite!J287</f>
        <v>-0.009</v>
      </c>
      <c r="JY8" s="17" t="n">
        <f aca="false">Daily_Composite!J288</f>
        <v>0.067</v>
      </c>
      <c r="JZ8" s="17" t="n">
        <f aca="false">Daily_Composite!J289</f>
        <v>0.132</v>
      </c>
      <c r="KA8" s="17" t="n">
        <f aca="false">Daily_Composite!J290</f>
        <v>-0.158</v>
      </c>
      <c r="KB8" s="17" t="n">
        <f aca="false">Daily_Composite!J291</f>
        <v>-0.131</v>
      </c>
      <c r="KC8" s="17" t="n">
        <f aca="false">Daily_Composite!J292</f>
        <v>-0.159</v>
      </c>
      <c r="KD8" s="17" t="n">
        <f aca="false">Daily_Composite!J293</f>
        <v>0.479</v>
      </c>
      <c r="KE8" s="17" t="n">
        <f aca="false">Daily_Composite!J294</f>
        <v>-0.198</v>
      </c>
      <c r="KF8" s="17" t="n">
        <f aca="false">Daily_Composite!J295</f>
        <v>-0.253</v>
      </c>
      <c r="KG8" s="17" t="n">
        <f aca="false">Daily_Composite!J296</f>
        <v>-0.336</v>
      </c>
      <c r="KH8" s="17" t="n">
        <f aca="false">Daily_Composite!J297</f>
        <v>-0.284</v>
      </c>
      <c r="KI8" s="17" t="n">
        <f aca="false">Daily_Composite!J298</f>
        <v>-0.253</v>
      </c>
      <c r="KJ8" s="17" t="n">
        <f aca="false">Daily_Composite!J299</f>
        <v>-0.283</v>
      </c>
      <c r="KK8" s="17" t="n">
        <f aca="false">Daily_Composite!J300</f>
        <v>-0.469</v>
      </c>
      <c r="KL8" s="17" t="n">
        <f aca="false">Daily_Composite!J301</f>
        <v>-0.458</v>
      </c>
      <c r="KM8" s="17" t="n">
        <f aca="false">Daily_Composite!J302</f>
        <v>-0.393</v>
      </c>
      <c r="KN8" s="17" t="n">
        <f aca="false">Daily_Composite!J303</f>
        <v>0.235</v>
      </c>
      <c r="KO8" s="17" t="n">
        <f aca="false">Daily_Composite!J304</f>
        <v>-0.412</v>
      </c>
      <c r="KP8" s="17" t="n">
        <f aca="false">Daily_Composite!J305</f>
        <v>-0.349</v>
      </c>
      <c r="KQ8" s="17" t="n">
        <f aca="false">Daily_Composite!J306</f>
        <v>-0.341</v>
      </c>
      <c r="KR8" s="17" t="n">
        <f aca="false">Daily_Composite!J307</f>
        <v>-0.389</v>
      </c>
      <c r="KS8" s="17" t="n">
        <f aca="false">Daily_Composite!J308</f>
        <v>-0.388</v>
      </c>
      <c r="KT8" s="17" t="n">
        <f aca="false">Daily_Composite!J309</f>
        <v>-0.236</v>
      </c>
      <c r="KU8" s="17" t="n">
        <f aca="false">Daily_Composite!J310</f>
        <v>-0.144</v>
      </c>
      <c r="KV8" s="17" t="n">
        <f aca="false">Daily_Composite!J311</f>
        <v>-0.274</v>
      </c>
      <c r="KW8" s="17" t="n">
        <f aca="false">Daily_Composite!J312</f>
        <v>0.163</v>
      </c>
      <c r="KX8" s="17" t="n">
        <f aca="false">Daily_Composite!J313</f>
        <v>-0.103</v>
      </c>
      <c r="KY8" s="17" t="n">
        <f aca="false">Daily_Composite!J314</f>
        <v>-0.097</v>
      </c>
      <c r="KZ8" s="17" t="n">
        <f aca="false">Daily_Composite!J315</f>
        <v>-0.369</v>
      </c>
      <c r="LA8" s="17" t="n">
        <f aca="false">Daily_Composite!J316</f>
        <v>-0.366</v>
      </c>
      <c r="LB8" s="17" t="n">
        <f aca="false">Daily_Composite!J317</f>
        <v>-0.062</v>
      </c>
      <c r="LC8" s="17" t="n">
        <f aca="false">Daily_Composite!J318</f>
        <v>-0.058</v>
      </c>
      <c r="LD8" s="17" t="n">
        <f aca="false">Daily_Composite!J319</f>
        <v>-0.074</v>
      </c>
      <c r="LE8" s="17" t="n">
        <f aca="false">Daily_Composite!J320</f>
        <v>-0.054</v>
      </c>
      <c r="LF8" s="17" t="n">
        <f aca="false">Daily_Composite!J321</f>
        <v>0.202</v>
      </c>
      <c r="LG8" s="17" t="n">
        <f aca="false">Daily_Composite!J322</f>
        <v>0.028</v>
      </c>
      <c r="LH8" s="17" t="n">
        <f aca="false">Daily_Composite!J323</f>
        <v>0.116</v>
      </c>
      <c r="LI8" s="17" t="n">
        <f aca="false">Daily_Composite!J324</f>
        <v>0.074</v>
      </c>
      <c r="LJ8" s="17" t="n">
        <f aca="false">Daily_Composite!J325</f>
        <v>0.046</v>
      </c>
      <c r="LK8" s="17" t="n">
        <f aca="false">Daily_Composite!J326</f>
        <v>0.054</v>
      </c>
      <c r="LL8" s="17" t="n">
        <f aca="false">Daily_Composite!J327</f>
        <v>0.016</v>
      </c>
      <c r="LM8" s="17" t="n">
        <f aca="false">Daily_Composite!J328</f>
        <v>-0.033</v>
      </c>
      <c r="LN8" s="17" t="n">
        <f aca="false">Daily_Composite!J329</f>
        <v>0.049</v>
      </c>
      <c r="LO8" s="17" t="n">
        <f aca="false">Daily_Composite!J330</f>
        <v>0.003</v>
      </c>
      <c r="LP8" s="17" t="n">
        <f aca="false">Daily_Composite!J331</f>
        <v>0.209</v>
      </c>
      <c r="LQ8" s="17" t="n">
        <f aca="false">Daily_Composite!J332</f>
        <v>-0.022</v>
      </c>
      <c r="LR8" s="17" t="n">
        <f aca="false">Daily_Composite!J333</f>
        <v>0.013</v>
      </c>
      <c r="LS8" s="17" t="n">
        <f aca="false">Daily_Composite!J334</f>
        <v>-0.051</v>
      </c>
      <c r="LT8" s="17" t="n">
        <f aca="false">Daily_Composite!J335</f>
        <v>-0.143</v>
      </c>
      <c r="LU8" s="17" t="n">
        <f aca="false">Daily_Composite!J336</f>
        <v>-0.456</v>
      </c>
      <c r="LV8" s="17" t="n">
        <f aca="false">Daily_Composite!J337</f>
        <v>-0.44</v>
      </c>
      <c r="LW8" s="17" t="n">
        <f aca="false">Daily_Composite!J338</f>
        <v>-0.187</v>
      </c>
      <c r="LX8" s="17" t="n">
        <f aca="false">Daily_Composite!J339</f>
        <v>-0.17</v>
      </c>
      <c r="LY8" s="17" t="n">
        <f aca="false">Daily_Composite!J340</f>
        <v>-0.194</v>
      </c>
      <c r="LZ8" s="17" t="n">
        <f aca="false">Daily_Composite!J341</f>
        <v>-0.177</v>
      </c>
      <c r="MA8" s="17" t="n">
        <f aca="false">Daily_Composite!J342</f>
        <v>-0.473</v>
      </c>
      <c r="MB8" s="17" t="n">
        <f aca="false">Daily_Composite!J343</f>
        <v>-0.523</v>
      </c>
      <c r="MC8" s="17" t="n">
        <f aca="false">Daily_Composite!J344</f>
        <v>-0.426</v>
      </c>
      <c r="MD8" s="17" t="n">
        <f aca="false">Daily_Composite!J345</f>
        <v>-0.144</v>
      </c>
      <c r="ME8" s="17" t="n">
        <f aca="false">Daily_Composite!J346</f>
        <v>-0.111</v>
      </c>
      <c r="MF8" s="17" t="n">
        <f aca="false">Daily_Composite!J347</f>
        <v>-0.018</v>
      </c>
      <c r="MG8" s="17" t="n">
        <f aca="false">Daily_Composite!J348</f>
        <v>0.127</v>
      </c>
      <c r="MH8" s="17" t="n">
        <f aca="false">Daily_Composite!J349</f>
        <v>0.032</v>
      </c>
      <c r="MI8" s="17" t="n">
        <f aca="false">Daily_Composite!J350</f>
        <v>0.092</v>
      </c>
      <c r="MJ8" s="17" t="n">
        <f aca="false">Daily_Composite!J351</f>
        <v>0.249</v>
      </c>
      <c r="MK8" s="17" t="n">
        <f aca="false">Daily_Composite!J352</f>
        <v>0.24</v>
      </c>
      <c r="ML8" s="17" t="n">
        <f aca="false">Daily_Composite!J353</f>
        <v>0.218</v>
      </c>
      <c r="MM8" s="17" t="n">
        <f aca="false">Daily_Composite!J354</f>
        <v>-0.131</v>
      </c>
      <c r="MN8" s="17" t="n">
        <f aca="false">Daily_Composite!J355</f>
        <v>-0.177</v>
      </c>
      <c r="MO8" s="17" t="n">
        <f aca="false">Daily_Composite!J356</f>
        <v>0.015</v>
      </c>
      <c r="MP8" s="17" t="n">
        <f aca="false">Daily_Composite!J357</f>
        <v>0.09</v>
      </c>
      <c r="MQ8" s="17" t="n">
        <f aca="false">Daily_Composite!J358</f>
        <v>0.51</v>
      </c>
      <c r="MR8" s="17" t="n">
        <f aca="false">Daily_Composite!J359</f>
        <v>0.124</v>
      </c>
      <c r="MS8" s="17" t="n">
        <f aca="false">Daily_Composite!J360</f>
        <v>0.131</v>
      </c>
      <c r="MT8" s="17" t="n">
        <f aca="false">Daily_Composite!J361</f>
        <v>0.177</v>
      </c>
      <c r="MU8" s="17" t="n">
        <f aca="false">Daily_Composite!J362</f>
        <v>0.161</v>
      </c>
      <c r="MV8" s="17" t="n">
        <f aca="false">Daily_Composite!J363</f>
        <v>0.162</v>
      </c>
      <c r="MW8" s="17" t="n">
        <f aca="false">Daily_Composite!J364</f>
        <v>0.222</v>
      </c>
      <c r="MX8" s="17" t="n">
        <f aca="false">Daily_Composite!J365</f>
        <v>0.274</v>
      </c>
      <c r="MY8" s="17" t="n">
        <f aca="false">Daily_Composite!J366</f>
        <v>-0.015</v>
      </c>
      <c r="MZ8" s="17" t="n">
        <f aca="false">Daily_Composite!J367</f>
        <v>0.575</v>
      </c>
      <c r="NA8" s="17" t="n">
        <f aca="false">Daily_Composite!J368</f>
        <v>0.2</v>
      </c>
      <c r="NB8" s="17" t="n">
        <f aca="false">Daily_Composite!J369</f>
        <v>0.192</v>
      </c>
    </row>
    <row r="9" customFormat="false" ht="15" hidden="false" customHeight="false" outlineLevel="0" collapsed="false">
      <c r="A9" s="6" t="s">
        <v>22</v>
      </c>
      <c r="B9" s="17" t="n">
        <f aca="false">Daily_Composite!K5</f>
        <v>-0.289</v>
      </c>
      <c r="C9" s="17" t="n">
        <f aca="false">Daily_Composite!K6</f>
        <v>0.163</v>
      </c>
      <c r="D9" s="17" t="n">
        <f aca="false">Daily_Composite!K7</f>
        <v>-0.035</v>
      </c>
      <c r="E9" s="17" t="n">
        <f aca="false">Daily_Composite!K8</f>
        <v>-0.115</v>
      </c>
      <c r="F9" s="17" t="n">
        <f aca="false">Daily_Composite!K9</f>
        <v>-0.415</v>
      </c>
      <c r="G9" s="17" t="n">
        <f aca="false">Daily_Composite!K10</f>
        <v>-0.126</v>
      </c>
      <c r="H9" s="17" t="n">
        <f aca="false">Daily_Composite!K11</f>
        <v>0.174</v>
      </c>
      <c r="I9" s="17" t="n">
        <f aca="false">Daily_Composite!K12</f>
        <v>-0.035</v>
      </c>
      <c r="J9" s="17" t="n">
        <f aca="false">Daily_Composite!K13</f>
        <v>0.12</v>
      </c>
      <c r="K9" s="17" t="n">
        <f aca="false">Daily_Composite!K14</f>
        <v>0.027</v>
      </c>
      <c r="L9" s="17" t="n">
        <f aca="false">Daily_Composite!K15</f>
        <v>-0.079</v>
      </c>
      <c r="M9" s="17" t="n">
        <f aca="false">Daily_Composite!K16</f>
        <v>-0.121</v>
      </c>
      <c r="N9" s="17" t="n">
        <f aca="false">Daily_Composite!K17</f>
        <v>-0.173</v>
      </c>
      <c r="O9" s="17" t="n">
        <f aca="false">Daily_Composite!K18</f>
        <v>-0.289</v>
      </c>
      <c r="P9" s="17" t="n">
        <f aca="false">Daily_Composite!K19</f>
        <v>0.076</v>
      </c>
      <c r="Q9" s="17" t="n">
        <f aca="false">Daily_Composite!K20</f>
        <v>0.096</v>
      </c>
      <c r="R9" s="17" t="n">
        <f aca="false">Daily_Composite!K21</f>
        <v>0.391</v>
      </c>
      <c r="S9" s="17" t="n">
        <f aca="false">Daily_Composite!K22</f>
        <v>0.337</v>
      </c>
      <c r="T9" s="17" t="n">
        <f aca="false">Daily_Composite!K23</f>
        <v>0.637</v>
      </c>
      <c r="U9" s="17" t="n">
        <f aca="false">Daily_Composite!K24</f>
        <v>0.24</v>
      </c>
      <c r="V9" s="17" t="n">
        <f aca="false">Daily_Composite!K25</f>
        <v>0.259</v>
      </c>
      <c r="W9" s="17" t="n">
        <f aca="false">Daily_Composite!K26</f>
        <v>0.108</v>
      </c>
      <c r="X9" s="17" t="n">
        <f aca="false">Daily_Composite!K27</f>
        <v>0.074</v>
      </c>
      <c r="Y9" s="17" t="n">
        <f aca="false">Daily_Composite!K28</f>
        <v>0.593</v>
      </c>
      <c r="Z9" s="17" t="n">
        <f aca="false">Daily_Composite!K29</f>
        <v>0.248</v>
      </c>
      <c r="AA9" s="17" t="n">
        <f aca="false">Daily_Composite!K30</f>
        <v>0.395</v>
      </c>
      <c r="AB9" s="17" t="n">
        <f aca="false">Daily_Composite!K31</f>
        <v>0.079</v>
      </c>
      <c r="AC9" s="17" t="n">
        <f aca="false">Daily_Composite!K32</f>
        <v>0.339</v>
      </c>
      <c r="AD9" s="17" t="n">
        <f aca="false">Daily_Composite!K33</f>
        <v>0.352</v>
      </c>
      <c r="AE9" s="17" t="n">
        <f aca="false">Daily_Composite!K34</f>
        <v>0.364</v>
      </c>
      <c r="AF9" s="17" t="n">
        <f aca="false">Daily_Composite!K35</f>
        <v>0.34</v>
      </c>
      <c r="AG9" s="17" t="n">
        <f aca="false">Daily_Composite!K36</f>
        <v>0.455</v>
      </c>
      <c r="AH9" s="17" t="n">
        <f aca="false">Daily_Composite!K37</f>
        <v>0.612</v>
      </c>
      <c r="AI9" s="17" t="n">
        <f aca="false">Daily_Composite!K38</f>
        <v>0.604</v>
      </c>
      <c r="AJ9" s="17" t="n">
        <f aca="false">Daily_Composite!K39</f>
        <v>0.314</v>
      </c>
      <c r="AK9" s="17" t="n">
        <f aca="false">Daily_Composite!K40</f>
        <v>0.616</v>
      </c>
      <c r="AL9" s="17" t="n">
        <f aca="false">Daily_Composite!K41</f>
        <v>0.305</v>
      </c>
      <c r="AM9" s="17" t="n">
        <f aca="false">Daily_Composite!K42</f>
        <v>0.267</v>
      </c>
      <c r="AN9" s="17" t="n">
        <f aca="false">Daily_Composite!K43</f>
        <v>0.239</v>
      </c>
      <c r="AO9" s="17" t="n">
        <f aca="false">Daily_Composite!K44</f>
        <v>-0.042</v>
      </c>
      <c r="AP9" s="17" t="n">
        <f aca="false">Daily_Composite!K45</f>
        <v>0.094</v>
      </c>
      <c r="AQ9" s="17" t="n">
        <f aca="false">Daily_Composite!K46</f>
        <v>0.588</v>
      </c>
      <c r="AR9" s="17" t="n">
        <f aca="false">Daily_Composite!K47</f>
        <v>0.173</v>
      </c>
      <c r="AS9" s="17" t="n">
        <f aca="false">Daily_Composite!K48</f>
        <v>0.085</v>
      </c>
      <c r="AT9" s="17" t="n">
        <f aca="false">Daily_Composite!K49</f>
        <v>0.533</v>
      </c>
      <c r="AU9" s="17" t="n">
        <f aca="false">Daily_Composite!K50</f>
        <v>0.497</v>
      </c>
      <c r="AV9" s="17" t="n">
        <f aca="false">Daily_Composite!K51</f>
        <v>0.261</v>
      </c>
      <c r="AW9" s="17" t="n">
        <f aca="false">Daily_Composite!K52</f>
        <v>0.093</v>
      </c>
      <c r="AX9" s="17" t="n">
        <f aca="false">Daily_Composite!K53</f>
        <v>0.077</v>
      </c>
      <c r="AY9" s="17" t="n">
        <f aca="false">Daily_Composite!K54</f>
        <v>0.131</v>
      </c>
      <c r="AZ9" s="17" t="n">
        <f aca="false">Daily_Composite!K55</f>
        <v>0.132</v>
      </c>
      <c r="BA9" s="17" t="n">
        <f aca="false">Daily_Composite!K56</f>
        <v>0.456</v>
      </c>
      <c r="BB9" s="17" t="n">
        <f aca="false">Daily_Composite!K57</f>
        <v>-0.061</v>
      </c>
      <c r="BC9" s="17" t="n">
        <f aca="false">Daily_Composite!K58</f>
        <v>-0.311</v>
      </c>
      <c r="BD9" s="17" t="n">
        <f aca="false">Daily_Composite!K59</f>
        <v>-0.045</v>
      </c>
      <c r="BE9" s="17" t="n">
        <f aca="false">Daily_Composite!K60</f>
        <v>-0.283</v>
      </c>
      <c r="BF9" s="17" t="n">
        <f aca="false">Daily_Composite!K61</f>
        <v>0.075</v>
      </c>
      <c r="BG9" s="17" t="n">
        <f aca="false">Daily_Composite!K62</f>
        <v>0.047</v>
      </c>
      <c r="BH9" s="17" t="n">
        <f aca="false">Daily_Composite!K63</f>
        <v>-0.036</v>
      </c>
      <c r="BI9" s="17" t="n">
        <f aca="false">Daily_Composite!K64</f>
        <v>0.267</v>
      </c>
      <c r="BJ9" s="17" t="n">
        <f aca="false">Daily_Composite!K65</f>
        <v>-0.034</v>
      </c>
      <c r="BK9" s="17" t="n">
        <f aca="false">Daily_Composite!K66</f>
        <v>0.247</v>
      </c>
      <c r="BL9" s="17" t="n">
        <f aca="false">Daily_Composite!K67</f>
        <v>-0.044</v>
      </c>
      <c r="BM9" s="17" t="n">
        <f aca="false">Daily_Composite!K68</f>
        <v>0.278</v>
      </c>
      <c r="BN9" s="17" t="n">
        <f aca="false">Daily_Composite!K69</f>
        <v>0.077</v>
      </c>
      <c r="BO9" s="17" t="n">
        <f aca="false">Daily_Composite!K70</f>
        <v>0.067</v>
      </c>
      <c r="BP9" s="17" t="n">
        <f aca="false">Daily_Composite!K71</f>
        <v>-0.026</v>
      </c>
      <c r="BQ9" s="17" t="n">
        <f aca="false">Daily_Composite!K72</f>
        <v>-0.037</v>
      </c>
      <c r="BR9" s="17" t="n">
        <f aca="false">Daily_Composite!K73</f>
        <v>0.283</v>
      </c>
      <c r="BS9" s="17" t="n">
        <f aca="false">Daily_Composite!K74</f>
        <v>-0.219</v>
      </c>
      <c r="BT9" s="17" t="n">
        <f aca="false">Daily_Composite!K75</f>
        <v>0.064</v>
      </c>
      <c r="BU9" s="17" t="n">
        <f aca="false">Daily_Composite!K76</f>
        <v>0.156</v>
      </c>
      <c r="BV9" s="17" t="n">
        <f aca="false">Daily_Composite!K77</f>
        <v>0.008</v>
      </c>
      <c r="BW9" s="17" t="n">
        <f aca="false">Daily_Composite!K78</f>
        <v>0.082</v>
      </c>
      <c r="BX9" s="17" t="n">
        <f aca="false">Daily_Composite!K79</f>
        <v>-0.128</v>
      </c>
      <c r="BY9" s="17" t="n">
        <f aca="false">Daily_Composite!K80</f>
        <v>-0.167</v>
      </c>
      <c r="BZ9" s="17" t="n">
        <f aca="false">Daily_Composite!K81</f>
        <v>0.016</v>
      </c>
      <c r="CA9" s="17" t="n">
        <f aca="false">Daily_Composite!K82</f>
        <v>-0.009</v>
      </c>
      <c r="CB9" s="17" t="n">
        <f aca="false">Daily_Composite!K83</f>
        <v>0.496</v>
      </c>
      <c r="CC9" s="17" t="n">
        <f aca="false">Daily_Composite!K84</f>
        <v>-0.023</v>
      </c>
      <c r="CD9" s="17" t="n">
        <f aca="false">Daily_Composite!K85</f>
        <v>0.488</v>
      </c>
      <c r="CE9" s="17" t="n">
        <f aca="false">Daily_Composite!K86</f>
        <v>-0.031</v>
      </c>
      <c r="CF9" s="17" t="n">
        <f aca="false">Daily_Composite!K87</f>
        <v>0.447</v>
      </c>
      <c r="CG9" s="17" t="n">
        <f aca="false">Daily_Composite!K88</f>
        <v>-0.175</v>
      </c>
      <c r="CH9" s="17" t="n">
        <f aca="false">Daily_Composite!K89</f>
        <v>-0.084</v>
      </c>
      <c r="CI9" s="17" t="n">
        <f aca="false">Daily_Composite!K90</f>
        <v>0.096</v>
      </c>
      <c r="CJ9" s="17" t="n">
        <f aca="false">Daily_Composite!K91</f>
        <v>0.232</v>
      </c>
      <c r="CK9" s="17" t="n">
        <f aca="false">Daily_Composite!K92</f>
        <v>0.004</v>
      </c>
      <c r="CL9" s="17" t="n">
        <f aca="false">Daily_Composite!K93</f>
        <v>-0.128</v>
      </c>
      <c r="CM9" s="17" t="n">
        <f aca="false">Daily_Composite!K94</f>
        <v>0.004</v>
      </c>
      <c r="CN9" s="17" t="n">
        <f aca="false">Daily_Composite!K95</f>
        <v>-0.168</v>
      </c>
      <c r="CO9" s="17" t="n">
        <f aca="false">Daily_Composite!K96</f>
        <v>-0.221</v>
      </c>
      <c r="CP9" s="17" t="n">
        <f aca="false">Daily_Composite!K97</f>
        <v>-0.252</v>
      </c>
      <c r="CQ9" s="17" t="n">
        <f aca="false">Daily_Composite!K98</f>
        <v>-0.427</v>
      </c>
      <c r="CR9" s="17" t="n">
        <f aca="false">Daily_Composite!K99</f>
        <v>-0.412</v>
      </c>
      <c r="CS9" s="17" t="n">
        <f aca="false">Daily_Composite!K100</f>
        <v>-0.448</v>
      </c>
      <c r="CT9" s="17" t="n">
        <f aca="false">Daily_Composite!K101</f>
        <v>-0.24</v>
      </c>
      <c r="CU9" s="17" t="n">
        <f aca="false">Daily_Composite!K102</f>
        <v>-0.461</v>
      </c>
      <c r="CV9" s="17" t="n">
        <f aca="false">Daily_Composite!K103</f>
        <v>-0.393</v>
      </c>
      <c r="CW9" s="17" t="n">
        <f aca="false">Daily_Composite!K104</f>
        <v>-0.466</v>
      </c>
      <c r="CX9" s="17" t="n">
        <f aca="false">Daily_Composite!K105</f>
        <v>-0.498</v>
      </c>
      <c r="CY9" s="17" t="n">
        <f aca="false">Daily_Composite!K106</f>
        <v>-0.293</v>
      </c>
      <c r="CZ9" s="17" t="n">
        <f aca="false">Daily_Composite!K107</f>
        <v>-0.328</v>
      </c>
      <c r="DA9" s="17" t="n">
        <f aca="false">Daily_Composite!K108</f>
        <v>-0.119</v>
      </c>
      <c r="DB9" s="17" t="n">
        <f aca="false">Daily_Composite!K109</f>
        <v>-0.126</v>
      </c>
      <c r="DC9" s="17" t="n">
        <f aca="false">Daily_Composite!K110</f>
        <v>-0.144</v>
      </c>
      <c r="DD9" s="17" t="n">
        <f aca="false">Daily_Composite!K111</f>
        <v>0.142</v>
      </c>
      <c r="DE9" s="17" t="n">
        <f aca="false">Daily_Composite!K112</f>
        <v>-0.294</v>
      </c>
      <c r="DF9" s="17" t="n">
        <f aca="false">Daily_Composite!K113</f>
        <v>-0.029</v>
      </c>
      <c r="DG9" s="17" t="n">
        <f aca="false">Daily_Composite!K114</f>
        <v>-0.069</v>
      </c>
      <c r="DH9" s="17" t="n">
        <f aca="false">Daily_Composite!K115</f>
        <v>-0.343</v>
      </c>
      <c r="DI9" s="17" t="n">
        <f aca="false">Daily_Composite!K116</f>
        <v>-0.346</v>
      </c>
      <c r="DJ9" s="17" t="n">
        <f aca="false">Daily_Composite!K117</f>
        <v>-0.425</v>
      </c>
      <c r="DK9" s="17" t="n">
        <f aca="false">Daily_Composite!K118</f>
        <v>-0.435</v>
      </c>
      <c r="DL9" s="17" t="n">
        <f aca="false">Daily_Composite!K119</f>
        <v>-0.472</v>
      </c>
      <c r="DM9" s="17" t="n">
        <f aca="false">Daily_Composite!K120</f>
        <v>-0.136</v>
      </c>
      <c r="DN9" s="17" t="n">
        <f aca="false">Daily_Composite!K121</f>
        <v>-0.396</v>
      </c>
      <c r="DO9" s="17" t="n">
        <f aca="false">Daily_Composite!K122</f>
        <v>-0.304</v>
      </c>
      <c r="DP9" s="17" t="n">
        <f aca="false">Daily_Composite!K123</f>
        <v>-0.306</v>
      </c>
      <c r="DQ9" s="17" t="n">
        <f aca="false">Daily_Composite!K124</f>
        <v>-0.272</v>
      </c>
      <c r="DR9" s="17" t="n">
        <f aca="false">Daily_Composite!K125</f>
        <v>-0.288</v>
      </c>
      <c r="DS9" s="17" t="n">
        <f aca="false">Daily_Composite!K126</f>
        <v>-0.296</v>
      </c>
      <c r="DT9" s="17" t="n">
        <f aca="false">Daily_Composite!K127</f>
        <v>-0.39</v>
      </c>
      <c r="DU9" s="17" t="n">
        <f aca="false">Daily_Composite!K128</f>
        <v>-0.071</v>
      </c>
      <c r="DV9" s="17" t="n">
        <f aca="false">Daily_Composite!K129</f>
        <v>-0.096</v>
      </c>
      <c r="DW9" s="17" t="n">
        <f aca="false">Daily_Composite!K130</f>
        <v>0.492</v>
      </c>
      <c r="DX9" s="17" t="n">
        <f aca="false">Daily_Composite!K131</f>
        <v>-0.117</v>
      </c>
      <c r="DY9" s="17" t="n">
        <f aca="false">Daily_Composite!K132</f>
        <v>0.11</v>
      </c>
      <c r="DZ9" s="17" t="n">
        <f aca="false">Daily_Composite!K133</f>
        <v>-0.091</v>
      </c>
      <c r="EA9" s="17" t="n">
        <f aca="false">Daily_Composite!K134</f>
        <v>-0.1</v>
      </c>
      <c r="EB9" s="17" t="n">
        <f aca="false">Daily_Composite!K135</f>
        <v>-0.063</v>
      </c>
      <c r="EC9" s="17" t="n">
        <f aca="false">Daily_Composite!K136</f>
        <v>-0.013</v>
      </c>
      <c r="ED9" s="17" t="n">
        <f aca="false">Daily_Composite!K137</f>
        <v>-0.321</v>
      </c>
      <c r="EE9" s="17" t="n">
        <f aca="false">Daily_Composite!K138</f>
        <v>0.082</v>
      </c>
      <c r="EF9" s="17" t="n">
        <f aca="false">Daily_Composite!K139</f>
        <v>0.239</v>
      </c>
      <c r="EG9" s="17" t="n">
        <f aca="false">Daily_Composite!K140</f>
        <v>-0.056</v>
      </c>
      <c r="EH9" s="17" t="n">
        <f aca="false">Daily_Composite!K141</f>
        <v>-0.142</v>
      </c>
      <c r="EI9" s="17" t="n">
        <f aca="false">Daily_Composite!K142</f>
        <v>-0.061</v>
      </c>
      <c r="EJ9" s="17" t="n">
        <f aca="false">Daily_Composite!K143</f>
        <v>-0.278</v>
      </c>
      <c r="EK9" s="17" t="n">
        <f aca="false">Daily_Composite!K144</f>
        <v>-0.479</v>
      </c>
      <c r="EL9" s="17" t="n">
        <f aca="false">Daily_Composite!K145</f>
        <v>-0.377</v>
      </c>
      <c r="EM9" s="17" t="n">
        <f aca="false">Daily_Composite!K146</f>
        <v>-0.444</v>
      </c>
      <c r="EN9" s="17" t="n">
        <f aca="false">Daily_Composite!K147</f>
        <v>-0.167</v>
      </c>
      <c r="EO9" s="17" t="n">
        <f aca="false">Daily_Composite!K148</f>
        <v>-0.374</v>
      </c>
      <c r="EP9" s="17" t="n">
        <f aca="false">Daily_Composite!K149</f>
        <v>-0.111</v>
      </c>
      <c r="EQ9" s="17" t="n">
        <f aca="false">Daily_Composite!K150</f>
        <v>-0.266</v>
      </c>
      <c r="ER9" s="17" t="n">
        <f aca="false">Daily_Composite!K151</f>
        <v>-0.066</v>
      </c>
      <c r="ES9" s="17" t="n">
        <f aca="false">Daily_Composite!K152</f>
        <v>-0.022</v>
      </c>
      <c r="ET9" s="17" t="n">
        <f aca="false">Daily_Composite!K153</f>
        <v>-0.147</v>
      </c>
      <c r="EU9" s="17" t="n">
        <f aca="false">Daily_Composite!K154</f>
        <v>-0.143</v>
      </c>
      <c r="EV9" s="17" t="n">
        <f aca="false">Daily_Composite!K155</f>
        <v>0.101</v>
      </c>
      <c r="EW9" s="17" t="n">
        <f aca="false">Daily_Composite!K156</f>
        <v>0.107</v>
      </c>
      <c r="EX9" s="17" t="n">
        <f aca="false">Daily_Composite!K157</f>
        <v>0.369</v>
      </c>
      <c r="EY9" s="17" t="n">
        <f aca="false">Daily_Composite!K158</f>
        <v>-0.006</v>
      </c>
      <c r="EZ9" s="17" t="n">
        <f aca="false">Daily_Composite!K159</f>
        <v>0.172</v>
      </c>
      <c r="FA9" s="17" t="n">
        <f aca="false">Daily_Composite!K160</f>
        <v>-0.075</v>
      </c>
      <c r="FB9" s="17" t="n">
        <f aca="false">Daily_Composite!K161</f>
        <v>-0.035</v>
      </c>
      <c r="FC9" s="17" t="n">
        <f aca="false">Daily_Composite!K162</f>
        <v>-0.049</v>
      </c>
      <c r="FD9" s="17" t="n">
        <f aca="false">Daily_Composite!K163</f>
        <v>-0.075</v>
      </c>
      <c r="FE9" s="17" t="n">
        <f aca="false">Daily_Composite!K164</f>
        <v>-0.065</v>
      </c>
      <c r="FF9" s="17" t="n">
        <f aca="false">Daily_Composite!K165</f>
        <v>0.476</v>
      </c>
      <c r="FG9" s="17" t="n">
        <f aca="false">Daily_Composite!K166</f>
        <v>0.11</v>
      </c>
      <c r="FH9" s="17" t="n">
        <f aca="false">Daily_Composite!K167</f>
        <v>0.173</v>
      </c>
      <c r="FI9" s="17" t="n">
        <f aca="false">Daily_Composite!K168</f>
        <v>0.054</v>
      </c>
      <c r="FJ9" s="17" t="n">
        <f aca="false">Daily_Composite!K169</f>
        <v>0.16</v>
      </c>
      <c r="FK9" s="17" t="n">
        <f aca="false">Daily_Composite!K170</f>
        <v>0.175</v>
      </c>
      <c r="FL9" s="17" t="n">
        <f aca="false">Daily_Composite!K171</f>
        <v>0.145</v>
      </c>
      <c r="FM9" s="17" t="n">
        <f aca="false">Daily_Composite!K172</f>
        <v>0.114</v>
      </c>
      <c r="FN9" s="17" t="n">
        <f aca="false">Daily_Composite!K173</f>
        <v>0.129</v>
      </c>
      <c r="FO9" s="17" t="n">
        <f aca="false">Daily_Composite!K174</f>
        <v>-0.072</v>
      </c>
      <c r="FP9" s="17" t="n">
        <f aca="false">Daily_Composite!K175</f>
        <v>-0.103</v>
      </c>
      <c r="FQ9" s="17" t="n">
        <f aca="false">Daily_Composite!K176</f>
        <v>0.002</v>
      </c>
      <c r="FR9" s="17" t="n">
        <f aca="false">Daily_Composite!K177</f>
        <v>0.39</v>
      </c>
      <c r="FS9" s="17" t="n">
        <f aca="false">Daily_Composite!K178</f>
        <v>-0.116</v>
      </c>
      <c r="FT9" s="17" t="n">
        <f aca="false">Daily_Composite!K179</f>
        <v>-0.254</v>
      </c>
      <c r="FU9" s="17" t="n">
        <f aca="false">Daily_Composite!K180</f>
        <v>-0.278</v>
      </c>
      <c r="FV9" s="17" t="n">
        <f aca="false">Daily_Composite!K181</f>
        <v>-0.162</v>
      </c>
      <c r="FW9" s="17" t="n">
        <f aca="false">Daily_Composite!K182</f>
        <v>-0.451</v>
      </c>
      <c r="FX9" s="17" t="n">
        <f aca="false">Daily_Composite!K183</f>
        <v>-0.341</v>
      </c>
      <c r="FY9" s="17" t="n">
        <f aca="false">Daily_Composite!K184</f>
        <v>-0.404</v>
      </c>
      <c r="FZ9" s="17" t="n">
        <f aca="false">Daily_Composite!K185</f>
        <v>-0.038</v>
      </c>
      <c r="GA9" s="17" t="n">
        <f aca="false">Daily_Composite!K186</f>
        <v>0.049</v>
      </c>
      <c r="GB9" s="17" t="n">
        <f aca="false">Daily_Composite!K187</f>
        <v>-0.12</v>
      </c>
      <c r="GC9" s="17" t="n">
        <f aca="false">Daily_Composite!K188</f>
        <v>-0.39</v>
      </c>
      <c r="GD9" s="17" t="n">
        <f aca="false">Daily_Composite!K189</f>
        <v>-0.036</v>
      </c>
      <c r="GE9" s="17" t="n">
        <f aca="false">Daily_Composite!K190</f>
        <v>-0.07</v>
      </c>
      <c r="GF9" s="17" t="n">
        <f aca="false">Daily_Composite!K191</f>
        <v>-0.219</v>
      </c>
      <c r="GG9" s="17" t="n">
        <f aca="false">Daily_Composite!K192</f>
        <v>-0.524</v>
      </c>
      <c r="GH9" s="17" t="n">
        <f aca="false">Daily_Composite!K193</f>
        <v>-0.25</v>
      </c>
      <c r="GI9" s="17" t="n">
        <f aca="false">Daily_Composite!K194</f>
        <v>-0.148</v>
      </c>
      <c r="GJ9" s="17" t="n">
        <f aca="false">Daily_Composite!K195</f>
        <v>-0.039</v>
      </c>
      <c r="GK9" s="17" t="n">
        <f aca="false">Daily_Composite!K196</f>
        <v>0.308</v>
      </c>
      <c r="GL9" s="17" t="n">
        <f aca="false">Daily_Composite!K197</f>
        <v>-0.325</v>
      </c>
      <c r="GM9" s="17" t="n">
        <f aca="false">Daily_Composite!K198</f>
        <v>-0.284</v>
      </c>
      <c r="GN9" s="17" t="n">
        <f aca="false">Daily_Composite!K199</f>
        <v>-0.021</v>
      </c>
      <c r="GO9" s="17" t="n">
        <f aca="false">Daily_Composite!K200</f>
        <v>-0.266</v>
      </c>
      <c r="GP9" s="17" t="n">
        <f aca="false">Daily_Composite!K201</f>
        <v>-0.391</v>
      </c>
      <c r="GQ9" s="17" t="n">
        <f aca="false">Daily_Composite!K202</f>
        <v>-0.21</v>
      </c>
      <c r="GR9" s="17" t="n">
        <f aca="false">Daily_Composite!K203</f>
        <v>0.265</v>
      </c>
      <c r="GS9" s="17" t="n">
        <f aca="false">Daily_Composite!K204</f>
        <v>-0.296</v>
      </c>
      <c r="GT9" s="17" t="n">
        <f aca="false">Daily_Composite!K205</f>
        <v>-0.235</v>
      </c>
      <c r="GU9" s="17" t="n">
        <f aca="false">Daily_Composite!K206</f>
        <v>-0.314</v>
      </c>
      <c r="GV9" s="17" t="n">
        <f aca="false">Daily_Composite!K207</f>
        <v>-0.261</v>
      </c>
      <c r="GW9" s="17" t="n">
        <f aca="false">Daily_Composite!K208</f>
        <v>-0.285</v>
      </c>
      <c r="GX9" s="17" t="n">
        <f aca="false">Daily_Composite!K209</f>
        <v>-0.506</v>
      </c>
      <c r="GY9" s="17" t="n">
        <f aca="false">Daily_Composite!K210</f>
        <v>-0.494</v>
      </c>
      <c r="GZ9" s="17" t="n">
        <f aca="false">Daily_Composite!K211</f>
        <v>-0.338</v>
      </c>
      <c r="HA9" s="17" t="n">
        <f aca="false">Daily_Composite!K212</f>
        <v>0.059</v>
      </c>
      <c r="HB9" s="17" t="n">
        <f aca="false">Daily_Composite!K213</f>
        <v>-0.463</v>
      </c>
      <c r="HC9" s="17" t="n">
        <f aca="false">Daily_Composite!K214</f>
        <v>-0.639</v>
      </c>
      <c r="HD9" s="17" t="n">
        <f aca="false">Daily_Composite!K215</f>
        <v>-0.108</v>
      </c>
      <c r="HE9" s="17" t="n">
        <f aca="false">Daily_Composite!K216</f>
        <v>-0.082</v>
      </c>
      <c r="HF9" s="17" t="n">
        <f aca="false">Daily_Composite!K217</f>
        <v>-0.15</v>
      </c>
      <c r="HG9" s="17" t="n">
        <f aca="false">Daily_Composite!K218</f>
        <v>-0.372</v>
      </c>
      <c r="HH9" s="17" t="n">
        <f aca="false">Daily_Composite!K219</f>
        <v>-0.545</v>
      </c>
      <c r="HI9" s="17" t="n">
        <f aca="false">Daily_Composite!K220</f>
        <v>-0.166</v>
      </c>
      <c r="HJ9" s="17" t="n">
        <f aca="false">Daily_Composite!K221</f>
        <v>-0.147</v>
      </c>
      <c r="HK9" s="17" t="n">
        <f aca="false">Daily_Composite!K222</f>
        <v>-0.237</v>
      </c>
      <c r="HL9" s="17" t="n">
        <f aca="false">Daily_Composite!K223</f>
        <v>-0.613</v>
      </c>
      <c r="HM9" s="17" t="n">
        <f aca="false">Daily_Composite!K224</f>
        <v>-0.326</v>
      </c>
      <c r="HN9" s="17" t="n">
        <f aca="false">Daily_Composite!K225</f>
        <v>-0.624</v>
      </c>
      <c r="HO9" s="17" t="n">
        <f aca="false">Daily_Composite!K226</f>
        <v>-0.615</v>
      </c>
      <c r="HP9" s="17" t="n">
        <f aca="false">Daily_Composite!K227</f>
        <v>-0.576</v>
      </c>
      <c r="HQ9" s="17" t="n">
        <f aca="false">Daily_Composite!K228</f>
        <v>-0.659</v>
      </c>
      <c r="HR9" s="17" t="n">
        <f aca="false">Daily_Composite!K229</f>
        <v>-0.343</v>
      </c>
      <c r="HS9" s="17" t="n">
        <f aca="false">Daily_Composite!K230</f>
        <v>0.094</v>
      </c>
      <c r="HT9" s="17" t="n">
        <f aca="false">Daily_Composite!K231</f>
        <v>-0.498</v>
      </c>
      <c r="HU9" s="17" t="n">
        <f aca="false">Daily_Composite!K232</f>
        <v>-0.544</v>
      </c>
      <c r="HV9" s="17" t="n">
        <f aca="false">Daily_Composite!K233</f>
        <v>-0.44</v>
      </c>
      <c r="HW9" s="17" t="n">
        <f aca="false">Daily_Composite!K234</f>
        <v>-0.441</v>
      </c>
      <c r="HX9" s="17" t="n">
        <f aca="false">Daily_Composite!K235</f>
        <v>-0.429</v>
      </c>
      <c r="HY9" s="17" t="n">
        <f aca="false">Daily_Composite!K236</f>
        <v>-0.343</v>
      </c>
      <c r="HZ9" s="17" t="n">
        <f aca="false">Daily_Composite!K237</f>
        <v>-0.216</v>
      </c>
      <c r="IA9" s="17" t="n">
        <f aca="false">Daily_Composite!K238</f>
        <v>-0.223</v>
      </c>
      <c r="IB9" s="17" t="n">
        <f aca="false">Daily_Composite!K239</f>
        <v>0.309</v>
      </c>
      <c r="IC9" s="17" t="n">
        <f aca="false">Daily_Composite!K240</f>
        <v>0.283</v>
      </c>
      <c r="ID9" s="17" t="n">
        <f aca="false">Daily_Composite!K241</f>
        <v>0.224</v>
      </c>
      <c r="IE9" s="17" t="n">
        <f aca="false">Daily_Composite!K242</f>
        <v>-0.028</v>
      </c>
      <c r="IF9" s="17" t="n">
        <f aca="false">Daily_Composite!K243</f>
        <v>0.103</v>
      </c>
      <c r="IG9" s="17" t="n">
        <f aca="false">Daily_Composite!K244</f>
        <v>0.112</v>
      </c>
      <c r="IH9" s="17" t="n">
        <f aca="false">Daily_Composite!K245</f>
        <v>-0.083</v>
      </c>
      <c r="II9" s="17" t="n">
        <f aca="false">Daily_Composite!K246</f>
        <v>-0.024</v>
      </c>
      <c r="IJ9" s="17" t="n">
        <f aca="false">Daily_Composite!K247</f>
        <v>0.622</v>
      </c>
      <c r="IK9" s="17" t="n">
        <f aca="false">Daily_Composite!K248</f>
        <v>0.494</v>
      </c>
      <c r="IL9" s="17" t="n">
        <f aca="false">Daily_Composite!K249</f>
        <v>0.633</v>
      </c>
      <c r="IM9" s="17" t="n">
        <f aca="false">Daily_Composite!K250</f>
        <v>0.22</v>
      </c>
      <c r="IN9" s="17" t="n">
        <f aca="false">Daily_Composite!K251</f>
        <v>0.624</v>
      </c>
      <c r="IO9" s="17" t="n">
        <f aca="false">Daily_Composite!K252</f>
        <v>0.325</v>
      </c>
      <c r="IP9" s="17" t="n">
        <f aca="false">Daily_Composite!K253</f>
        <v>0.413</v>
      </c>
      <c r="IQ9" s="17" t="n">
        <f aca="false">Daily_Composite!K254</f>
        <v>0.248</v>
      </c>
      <c r="IR9" s="17" t="n">
        <f aca="false">Daily_Composite!K255</f>
        <v>0.473</v>
      </c>
      <c r="IS9" s="17" t="n">
        <f aca="false">Daily_Composite!K256</f>
        <v>0.241</v>
      </c>
      <c r="IT9" s="17" t="n">
        <f aca="false">Daily_Composite!K257</f>
        <v>0.593</v>
      </c>
      <c r="IU9" s="17" t="n">
        <f aca="false">Daily_Composite!K258</f>
        <v>0.395</v>
      </c>
      <c r="IV9" s="17" t="n">
        <f aca="false">Daily_Composite!K259</f>
        <v>0.595</v>
      </c>
      <c r="IW9" s="17" t="n">
        <f aca="false">Daily_Composite!K260</f>
        <v>0.21</v>
      </c>
      <c r="IX9" s="17" t="n">
        <f aca="false">Daily_Composite!K261</f>
        <v>0.227</v>
      </c>
      <c r="IY9" s="17" t="n">
        <f aca="false">Daily_Composite!K262</f>
        <v>0.25</v>
      </c>
      <c r="IZ9" s="17" t="n">
        <f aca="false">Daily_Composite!K263</f>
        <v>0.176</v>
      </c>
      <c r="JA9" s="17" t="n">
        <f aca="false">Daily_Composite!K264</f>
        <v>0.288</v>
      </c>
      <c r="JB9" s="17" t="n">
        <f aca="false">Daily_Composite!K265</f>
        <v>0.264</v>
      </c>
      <c r="JC9" s="17" t="n">
        <f aca="false">Daily_Composite!K266</f>
        <v>0.59</v>
      </c>
      <c r="JD9" s="17" t="n">
        <f aca="false">Daily_Composite!K267</f>
        <v>0.393</v>
      </c>
      <c r="JE9" s="17" t="n">
        <f aca="false">Daily_Composite!K268</f>
        <v>0.527</v>
      </c>
      <c r="JF9" s="17" t="n">
        <f aca="false">Daily_Composite!K269</f>
        <v>0.303</v>
      </c>
      <c r="JG9" s="17" t="n">
        <f aca="false">Daily_Composite!K270</f>
        <v>0.281</v>
      </c>
      <c r="JH9" s="17" t="n">
        <f aca="false">Daily_Composite!K271</f>
        <v>0.262</v>
      </c>
      <c r="JI9" s="17" t="n">
        <f aca="false">Daily_Composite!K272</f>
        <v>0.356</v>
      </c>
      <c r="JJ9" s="17" t="n">
        <f aca="false">Daily_Composite!K273</f>
        <v>0.273</v>
      </c>
      <c r="JK9" s="17" t="n">
        <f aca="false">Daily_Composite!K274</f>
        <v>0.303</v>
      </c>
      <c r="JL9" s="17" t="n">
        <f aca="false">Daily_Composite!K275</f>
        <v>0.008</v>
      </c>
      <c r="JM9" s="17" t="n">
        <f aca="false">Daily_Composite!K276</f>
        <v>0.346</v>
      </c>
      <c r="JN9" s="17" t="n">
        <f aca="false">Daily_Composite!K277</f>
        <v>0.081</v>
      </c>
      <c r="JO9" s="17" t="n">
        <f aca="false">Daily_Composite!K278</f>
        <v>-0.342</v>
      </c>
      <c r="JP9" s="17" t="n">
        <f aca="false">Daily_Composite!K279</f>
        <v>-0.033</v>
      </c>
      <c r="JQ9" s="17" t="n">
        <f aca="false">Daily_Composite!K280</f>
        <v>-0.245</v>
      </c>
      <c r="JR9" s="17" t="n">
        <f aca="false">Daily_Composite!K281</f>
        <v>0.021</v>
      </c>
      <c r="JS9" s="17" t="n">
        <f aca="false">Daily_Composite!K282</f>
        <v>0.268</v>
      </c>
      <c r="JT9" s="17" t="n">
        <f aca="false">Daily_Composite!K283</f>
        <v>0.271</v>
      </c>
      <c r="JU9" s="17" t="n">
        <f aca="false">Daily_Composite!K284</f>
        <v>0.013</v>
      </c>
      <c r="JV9" s="17" t="n">
        <f aca="false">Daily_Composite!K285</f>
        <v>0.525</v>
      </c>
      <c r="JW9" s="17" t="n">
        <f aca="false">Daily_Composite!K286</f>
        <v>0.564</v>
      </c>
      <c r="JX9" s="17" t="n">
        <f aca="false">Daily_Composite!K287</f>
        <v>0.293</v>
      </c>
      <c r="JY9" s="17" t="n">
        <f aca="false">Daily_Composite!K288</f>
        <v>0.233</v>
      </c>
      <c r="JZ9" s="17" t="n">
        <f aca="false">Daily_Composite!K289</f>
        <v>0.262</v>
      </c>
      <c r="KA9" s="17" t="n">
        <f aca="false">Daily_Composite!K290</f>
        <v>0.258</v>
      </c>
      <c r="KB9" s="17" t="n">
        <f aca="false">Daily_Composite!K291</f>
        <v>0.303</v>
      </c>
      <c r="KC9" s="17" t="n">
        <f aca="false">Daily_Composite!K292</f>
        <v>-0.056</v>
      </c>
      <c r="KD9" s="17" t="n">
        <f aca="false">Daily_Composite!K293</f>
        <v>0.509</v>
      </c>
      <c r="KE9" s="17" t="n">
        <f aca="false">Daily_Composite!K294</f>
        <v>0.229</v>
      </c>
      <c r="KF9" s="17" t="n">
        <f aca="false">Daily_Composite!K295</f>
        <v>0.369</v>
      </c>
      <c r="KG9" s="17" t="n">
        <f aca="false">Daily_Composite!K296</f>
        <v>-0.163</v>
      </c>
      <c r="KH9" s="17" t="n">
        <f aca="false">Daily_Composite!K297</f>
        <v>-0.421</v>
      </c>
      <c r="KI9" s="17" t="n">
        <f aca="false">Daily_Composite!K298</f>
        <v>-0.304</v>
      </c>
      <c r="KJ9" s="17" t="n">
        <f aca="false">Daily_Composite!K299</f>
        <v>-0.159</v>
      </c>
      <c r="KK9" s="17" t="n">
        <f aca="false">Daily_Composite!K300</f>
        <v>-0.124</v>
      </c>
      <c r="KL9" s="17" t="n">
        <f aca="false">Daily_Composite!K301</f>
        <v>0.002</v>
      </c>
      <c r="KM9" s="17" t="n">
        <f aca="false">Daily_Composite!K302</f>
        <v>-0.029</v>
      </c>
      <c r="KN9" s="17" t="n">
        <f aca="false">Daily_Composite!K303</f>
        <v>0.381</v>
      </c>
      <c r="KO9" s="17" t="n">
        <f aca="false">Daily_Composite!K304</f>
        <v>-0.213</v>
      </c>
      <c r="KP9" s="17" t="n">
        <f aca="false">Daily_Composite!K305</f>
        <v>-0.068</v>
      </c>
      <c r="KQ9" s="17" t="n">
        <f aca="false">Daily_Composite!K306</f>
        <v>0.194</v>
      </c>
      <c r="KR9" s="17" t="n">
        <f aca="false">Daily_Composite!K307</f>
        <v>-0.209</v>
      </c>
      <c r="KS9" s="17" t="n">
        <f aca="false">Daily_Composite!K308</f>
        <v>-0.258</v>
      </c>
      <c r="KT9" s="17" t="n">
        <f aca="false">Daily_Composite!K309</f>
        <v>-0.129</v>
      </c>
      <c r="KU9" s="17" t="n">
        <f aca="false">Daily_Composite!K310</f>
        <v>-0.379</v>
      </c>
      <c r="KV9" s="17" t="n">
        <f aca="false">Daily_Composite!K311</f>
        <v>-0.162</v>
      </c>
      <c r="KW9" s="17" t="n">
        <f aca="false">Daily_Composite!K312</f>
        <v>0.23</v>
      </c>
      <c r="KX9" s="17" t="n">
        <f aca="false">Daily_Composite!K313</f>
        <v>0.189</v>
      </c>
      <c r="KY9" s="17" t="n">
        <f aca="false">Daily_Composite!K314</f>
        <v>-0.357</v>
      </c>
      <c r="KZ9" s="17" t="n">
        <f aca="false">Daily_Composite!K315</f>
        <v>-0.11</v>
      </c>
      <c r="LA9" s="17" t="n">
        <f aca="false">Daily_Composite!K316</f>
        <v>-0.087</v>
      </c>
      <c r="LB9" s="17" t="n">
        <f aca="false">Daily_Composite!K317</f>
        <v>-0.158</v>
      </c>
      <c r="LC9" s="17" t="n">
        <f aca="false">Daily_Composite!K318</f>
        <v>-0.099</v>
      </c>
      <c r="LD9" s="17" t="n">
        <f aca="false">Daily_Composite!K319</f>
        <v>0.253</v>
      </c>
      <c r="LE9" s="17" t="n">
        <f aca="false">Daily_Composite!K320</f>
        <v>0.307</v>
      </c>
      <c r="LF9" s="17" t="n">
        <f aca="false">Daily_Composite!K321</f>
        <v>0.101</v>
      </c>
      <c r="LG9" s="17" t="n">
        <f aca="false">Daily_Composite!K322</f>
        <v>0.141</v>
      </c>
      <c r="LH9" s="17" t="n">
        <f aca="false">Daily_Composite!K323</f>
        <v>0.647</v>
      </c>
      <c r="LI9" s="17" t="n">
        <f aca="false">Daily_Composite!K324</f>
        <v>0.195</v>
      </c>
      <c r="LJ9" s="17" t="n">
        <f aca="false">Daily_Composite!K325</f>
        <v>0.179</v>
      </c>
      <c r="LK9" s="17" t="n">
        <f aca="false">Daily_Composite!K326</f>
        <v>0.159</v>
      </c>
      <c r="LL9" s="17" t="n">
        <f aca="false">Daily_Composite!K327</f>
        <v>0.331</v>
      </c>
      <c r="LM9" s="17" t="n">
        <f aca="false">Daily_Composite!K328</f>
        <v>0.613</v>
      </c>
      <c r="LN9" s="17" t="n">
        <f aca="false">Daily_Composite!K329</f>
        <v>0.349</v>
      </c>
      <c r="LO9" s="17" t="n">
        <f aca="false">Daily_Composite!K330</f>
        <v>0.002</v>
      </c>
      <c r="LP9" s="17" t="n">
        <f aca="false">Daily_Composite!K331</f>
        <v>-0.012</v>
      </c>
      <c r="LQ9" s="17" t="n">
        <f aca="false">Daily_Composite!K332</f>
        <v>-0.168</v>
      </c>
      <c r="LR9" s="17" t="n">
        <f aca="false">Daily_Composite!K333</f>
        <v>0.189</v>
      </c>
      <c r="LS9" s="17" t="n">
        <f aca="false">Daily_Composite!K334</f>
        <v>-0.292</v>
      </c>
      <c r="LT9" s="17" t="n">
        <f aca="false">Daily_Composite!K335</f>
        <v>-0.491</v>
      </c>
      <c r="LU9" s="17" t="n">
        <f aca="false">Daily_Composite!K336</f>
        <v>-0.45</v>
      </c>
      <c r="LV9" s="17" t="n">
        <f aca="false">Daily_Composite!K337</f>
        <v>-0.418</v>
      </c>
      <c r="LW9" s="17" t="n">
        <f aca="false">Daily_Composite!K338</f>
        <v>-0.245</v>
      </c>
      <c r="LX9" s="17" t="n">
        <f aca="false">Daily_Composite!K339</f>
        <v>-0.244</v>
      </c>
      <c r="LY9" s="17" t="n">
        <f aca="false">Daily_Composite!K340</f>
        <v>-0.261</v>
      </c>
      <c r="LZ9" s="17" t="n">
        <f aca="false">Daily_Composite!K341</f>
        <v>-0.211</v>
      </c>
      <c r="MA9" s="17" t="n">
        <f aca="false">Daily_Composite!K342</f>
        <v>-0.294</v>
      </c>
      <c r="MB9" s="17" t="n">
        <f aca="false">Daily_Composite!K343</f>
        <v>-0.366</v>
      </c>
      <c r="MC9" s="17" t="n">
        <f aca="false">Daily_Composite!K344</f>
        <v>-0.31</v>
      </c>
      <c r="MD9" s="17" t="n">
        <f aca="false">Daily_Composite!K345</f>
        <v>-0.24</v>
      </c>
      <c r="ME9" s="17" t="n">
        <f aca="false">Daily_Composite!K346</f>
        <v>-0.23</v>
      </c>
      <c r="MF9" s="17" t="n">
        <f aca="false">Daily_Composite!K347</f>
        <v>0.335</v>
      </c>
      <c r="MG9" s="17" t="n">
        <f aca="false">Daily_Composite!K348</f>
        <v>0.6</v>
      </c>
      <c r="MH9" s="17" t="n">
        <f aca="false">Daily_Composite!K349</f>
        <v>0.572</v>
      </c>
      <c r="MI9" s="17" t="n">
        <f aca="false">Daily_Composite!K350</f>
        <v>0.714</v>
      </c>
      <c r="MJ9" s="17" t="n">
        <f aca="false">Daily_Composite!K351</f>
        <v>0.741</v>
      </c>
      <c r="MK9" s="17" t="n">
        <f aca="false">Daily_Composite!K352</f>
        <v>0.641</v>
      </c>
      <c r="ML9" s="17" t="n">
        <f aca="false">Daily_Composite!K353</f>
        <v>0.63</v>
      </c>
      <c r="MM9" s="17" t="n">
        <f aca="false">Daily_Composite!K354</f>
        <v>0.662</v>
      </c>
      <c r="MN9" s="17" t="n">
        <f aca="false">Daily_Composite!K355</f>
        <v>0.38</v>
      </c>
      <c r="MO9" s="17" t="n">
        <f aca="false">Daily_Composite!K356</f>
        <v>0.716</v>
      </c>
      <c r="MP9" s="17" t="n">
        <f aca="false">Daily_Composite!K357</f>
        <v>0.665</v>
      </c>
      <c r="MQ9" s="17" t="n">
        <f aca="false">Daily_Composite!K358</f>
        <v>0.665</v>
      </c>
      <c r="MR9" s="17" t="n">
        <f aca="false">Daily_Composite!K359</f>
        <v>0.228</v>
      </c>
      <c r="MS9" s="17" t="n">
        <f aca="false">Daily_Composite!K360</f>
        <v>0.564</v>
      </c>
      <c r="MT9" s="17" t="n">
        <f aca="false">Daily_Composite!K361</f>
        <v>0.33</v>
      </c>
      <c r="MU9" s="17" t="n">
        <f aca="false">Daily_Composite!K362</f>
        <v>0.272</v>
      </c>
      <c r="MV9" s="17" t="n">
        <f aca="false">Daily_Composite!K363</f>
        <v>-0.077</v>
      </c>
      <c r="MW9" s="17" t="n">
        <f aca="false">Daily_Composite!K364</f>
        <v>-0.05</v>
      </c>
      <c r="MX9" s="17" t="n">
        <f aca="false">Daily_Composite!K365</f>
        <v>0.006</v>
      </c>
      <c r="MY9" s="17" t="n">
        <f aca="false">Daily_Composite!K366</f>
        <v>0.157</v>
      </c>
      <c r="MZ9" s="17" t="n">
        <f aca="false">Daily_Composite!K367</f>
        <v>0.531</v>
      </c>
      <c r="NA9" s="17" t="n">
        <f aca="false">Daily_Composite!K368</f>
        <v>0.09</v>
      </c>
      <c r="NB9" s="17" t="n">
        <f aca="false">Daily_Composite!K369</f>
        <v>0.133</v>
      </c>
    </row>
    <row r="10" customFormat="false" ht="15" hidden="false" customHeight="false" outlineLevel="0" collapsed="false">
      <c r="A10" s="6" t="s">
        <v>23</v>
      </c>
      <c r="B10" s="17" t="n">
        <f aca="false">Daily_Composite!L5</f>
        <v>0.054</v>
      </c>
      <c r="C10" s="17" t="n">
        <f aca="false">Daily_Composite!L6</f>
        <v>-0.125</v>
      </c>
      <c r="D10" s="17" t="n">
        <f aca="false">Daily_Composite!L7</f>
        <v>0.129</v>
      </c>
      <c r="E10" s="17" t="n">
        <f aca="false">Daily_Composite!L8</f>
        <v>-0.022</v>
      </c>
      <c r="F10" s="17" t="n">
        <f aca="false">Daily_Composite!L9</f>
        <v>-0.06</v>
      </c>
      <c r="G10" s="17" t="n">
        <f aca="false">Daily_Composite!L10</f>
        <v>-0.233</v>
      </c>
      <c r="H10" s="17" t="n">
        <f aca="false">Daily_Composite!L11</f>
        <v>-0.227</v>
      </c>
      <c r="I10" s="17" t="n">
        <f aca="false">Daily_Composite!L12</f>
        <v>-0.165</v>
      </c>
      <c r="J10" s="17" t="n">
        <f aca="false">Daily_Composite!L13</f>
        <v>-0.206</v>
      </c>
      <c r="K10" s="17" t="n">
        <f aca="false">Daily_Composite!L14</f>
        <v>-0.244</v>
      </c>
      <c r="L10" s="17" t="n">
        <f aca="false">Daily_Composite!L15</f>
        <v>-0.201</v>
      </c>
      <c r="M10" s="17" t="n">
        <f aca="false">Daily_Composite!L16</f>
        <v>-0.201</v>
      </c>
      <c r="N10" s="17" t="n">
        <f aca="false">Daily_Composite!L17</f>
        <v>-0.202</v>
      </c>
      <c r="O10" s="17" t="n">
        <f aca="false">Daily_Composite!L18</f>
        <v>-0.202</v>
      </c>
      <c r="P10" s="17" t="n">
        <f aca="false">Daily_Composite!L19</f>
        <v>-0.202</v>
      </c>
      <c r="Q10" s="17" t="n">
        <f aca="false">Daily_Composite!L20</f>
        <v>-0.181</v>
      </c>
      <c r="R10" s="17" t="n">
        <f aca="false">Daily_Composite!L21</f>
        <v>0.433</v>
      </c>
      <c r="S10" s="17" t="n">
        <f aca="false">Daily_Composite!L22</f>
        <v>0.228</v>
      </c>
      <c r="T10" s="17" t="n">
        <f aca="false">Daily_Composite!L23</f>
        <v>0.198</v>
      </c>
      <c r="U10" s="17" t="n">
        <f aca="false">Daily_Composite!L24</f>
        <v>0.198</v>
      </c>
      <c r="V10" s="17" t="n">
        <f aca="false">Daily_Composite!L25</f>
        <v>0.198</v>
      </c>
      <c r="W10" s="17" t="n">
        <f aca="false">Daily_Composite!L26</f>
        <v>-0.012</v>
      </c>
      <c r="X10" s="17" t="n">
        <f aca="false">Daily_Composite!L27</f>
        <v>0.252</v>
      </c>
      <c r="Y10" s="17" t="n">
        <f aca="false">Daily_Composite!L28</f>
        <v>0.236</v>
      </c>
      <c r="Z10" s="17" t="n">
        <f aca="false">Daily_Composite!L29</f>
        <v>0.144</v>
      </c>
      <c r="AA10" s="17" t="n">
        <f aca="false">Daily_Composite!L30</f>
        <v>0.128</v>
      </c>
      <c r="AB10" s="17" t="n">
        <f aca="false">Daily_Composite!L31</f>
        <v>0.511</v>
      </c>
      <c r="AC10" s="17" t="n">
        <f aca="false">Daily_Composite!L32</f>
        <v>0.015</v>
      </c>
      <c r="AD10" s="17" t="n">
        <f aca="false">Daily_Composite!L33</f>
        <v>0.107</v>
      </c>
      <c r="AE10" s="17" t="n">
        <f aca="false">Daily_Composite!L34</f>
        <v>0.118</v>
      </c>
      <c r="AF10" s="17" t="n">
        <f aca="false">Daily_Composite!L35</f>
        <v>0.645</v>
      </c>
      <c r="AG10" s="17" t="n">
        <f aca="false">Daily_Composite!L36</f>
        <v>0.184</v>
      </c>
      <c r="AH10" s="17" t="n">
        <f aca="false">Daily_Composite!L37</f>
        <v>0.156</v>
      </c>
      <c r="AI10" s="17" t="n">
        <f aca="false">Daily_Composite!L38</f>
        <v>0.169</v>
      </c>
      <c r="AJ10" s="17" t="n">
        <f aca="false">Daily_Composite!L39</f>
        <v>0.18</v>
      </c>
      <c r="AK10" s="17" t="n">
        <f aca="false">Daily_Composite!L40</f>
        <v>0.166</v>
      </c>
      <c r="AL10" s="17" t="n">
        <f aca="false">Daily_Composite!L41</f>
        <v>0.151</v>
      </c>
      <c r="AM10" s="17" t="n">
        <f aca="false">Daily_Composite!L42</f>
        <v>-0.046</v>
      </c>
      <c r="AN10" s="17" t="n">
        <f aca="false">Daily_Composite!L43</f>
        <v>0.497</v>
      </c>
      <c r="AO10" s="17" t="n">
        <f aca="false">Daily_Composite!L44</f>
        <v>0.113</v>
      </c>
      <c r="AP10" s="17" t="n">
        <f aca="false">Daily_Composite!L45</f>
        <v>0.123</v>
      </c>
      <c r="AQ10" s="17" t="n">
        <f aca="false">Daily_Composite!L46</f>
        <v>0.414</v>
      </c>
      <c r="AR10" s="17" t="n">
        <f aca="false">Daily_Composite!L47</f>
        <v>0.406</v>
      </c>
      <c r="AS10" s="17" t="n">
        <f aca="false">Daily_Composite!L48</f>
        <v>0.437</v>
      </c>
      <c r="AT10" s="17" t="n">
        <f aca="false">Daily_Composite!L49</f>
        <v>0.068</v>
      </c>
      <c r="AU10" s="17" t="n">
        <f aca="false">Daily_Composite!L50</f>
        <v>0.063</v>
      </c>
      <c r="AV10" s="17" t="n">
        <f aca="false">Daily_Composite!L51</f>
        <v>0.013</v>
      </c>
      <c r="AW10" s="17" t="n">
        <f aca="false">Daily_Composite!L52</f>
        <v>0.019</v>
      </c>
      <c r="AX10" s="17" t="n">
        <f aca="false">Daily_Composite!L53</f>
        <v>0.451</v>
      </c>
      <c r="AY10" s="17" t="n">
        <f aca="false">Daily_Composite!L54</f>
        <v>0.006</v>
      </c>
      <c r="AZ10" s="17" t="n">
        <f aca="false">Daily_Composite!L55</f>
        <v>-0.056</v>
      </c>
      <c r="BA10" s="17" t="n">
        <f aca="false">Daily_Composite!L56</f>
        <v>0.023</v>
      </c>
      <c r="BB10" s="17" t="n">
        <f aca="false">Daily_Composite!L57</f>
        <v>0.06</v>
      </c>
      <c r="BC10" s="17" t="n">
        <f aca="false">Daily_Composite!L58</f>
        <v>0.057</v>
      </c>
      <c r="BD10" s="17" t="n">
        <f aca="false">Daily_Composite!L59</f>
        <v>0.355</v>
      </c>
      <c r="BE10" s="17" t="n">
        <f aca="false">Daily_Composite!L60</f>
        <v>0.21</v>
      </c>
      <c r="BF10" s="17" t="n">
        <f aca="false">Daily_Composite!L61</f>
        <v>0.067</v>
      </c>
      <c r="BG10" s="17" t="n">
        <f aca="false">Daily_Composite!L62</f>
        <v>0.498</v>
      </c>
      <c r="BH10" s="17" t="n">
        <f aca="false">Daily_Composite!L63</f>
        <v>0.071</v>
      </c>
      <c r="BI10" s="17" t="n">
        <f aca="false">Daily_Composite!L64</f>
        <v>-0.005</v>
      </c>
      <c r="BJ10" s="17" t="n">
        <f aca="false">Daily_Composite!L65</f>
        <v>0.066</v>
      </c>
      <c r="BK10" s="17" t="n">
        <f aca="false">Daily_Composite!L66</f>
        <v>0.062</v>
      </c>
      <c r="BL10" s="17" t="n">
        <f aca="false">Daily_Composite!L67</f>
        <v>0.069</v>
      </c>
      <c r="BM10" s="17" t="n">
        <f aca="false">Daily_Composite!L68</f>
        <v>0.067</v>
      </c>
      <c r="BN10" s="17" t="n">
        <f aca="false">Daily_Composite!L69</f>
        <v>0.051</v>
      </c>
      <c r="BO10" s="17" t="n">
        <f aca="false">Daily_Composite!L70</f>
        <v>0.024</v>
      </c>
      <c r="BP10" s="17" t="n">
        <f aca="false">Daily_Composite!L71</f>
        <v>0.238</v>
      </c>
      <c r="BQ10" s="17" t="n">
        <f aca="false">Daily_Composite!L72</f>
        <v>0.032</v>
      </c>
      <c r="BR10" s="17" t="n">
        <f aca="false">Daily_Composite!L73</f>
        <v>0.035</v>
      </c>
      <c r="BS10" s="17" t="n">
        <f aca="false">Daily_Composite!L74</f>
        <v>0.278</v>
      </c>
      <c r="BT10" s="17" t="n">
        <f aca="false">Daily_Composite!L75</f>
        <v>0.345</v>
      </c>
      <c r="BU10" s="17" t="n">
        <f aca="false">Daily_Composite!L76</f>
        <v>0.024</v>
      </c>
      <c r="BV10" s="17" t="n">
        <f aca="false">Daily_Composite!L77</f>
        <v>-0.025</v>
      </c>
      <c r="BW10" s="17" t="n">
        <f aca="false">Daily_Composite!L78</f>
        <v>-0.004</v>
      </c>
      <c r="BX10" s="17" t="n">
        <f aca="false">Daily_Composite!L79</f>
        <v>-0.011</v>
      </c>
      <c r="BY10" s="17" t="n">
        <f aca="false">Daily_Composite!L80</f>
        <v>-0.011</v>
      </c>
      <c r="BZ10" s="17" t="n">
        <f aca="false">Daily_Composite!L81</f>
        <v>0.428</v>
      </c>
      <c r="CA10" s="17" t="n">
        <f aca="false">Daily_Composite!L82</f>
        <v>-0.013</v>
      </c>
      <c r="CB10" s="17" t="n">
        <f aca="false">Daily_Composite!L83</f>
        <v>0.154</v>
      </c>
      <c r="CC10" s="17" t="n">
        <f aca="false">Daily_Composite!L84</f>
        <v>0.043</v>
      </c>
      <c r="CD10" s="17" t="n">
        <f aca="false">Daily_Composite!L85</f>
        <v>0.044</v>
      </c>
      <c r="CE10" s="17" t="n">
        <f aca="false">Daily_Composite!L86</f>
        <v>0.414</v>
      </c>
      <c r="CF10" s="17" t="n">
        <f aca="false">Daily_Composite!L87</f>
        <v>0.424</v>
      </c>
      <c r="CG10" s="17" t="n">
        <f aca="false">Daily_Composite!L88</f>
        <v>0.013</v>
      </c>
      <c r="CH10" s="17" t="n">
        <f aca="false">Daily_Composite!L89</f>
        <v>-0.018</v>
      </c>
      <c r="CI10" s="17" t="n">
        <f aca="false">Daily_Composite!L90</f>
        <v>0.423</v>
      </c>
      <c r="CJ10" s="17" t="n">
        <f aca="false">Daily_Composite!L91</f>
        <v>0.134</v>
      </c>
      <c r="CK10" s="17" t="n">
        <f aca="false">Daily_Composite!L92</f>
        <v>0.108</v>
      </c>
      <c r="CL10" s="17" t="n">
        <f aca="false">Daily_Composite!L93</f>
        <v>0.019</v>
      </c>
      <c r="CM10" s="17" t="n">
        <f aca="false">Daily_Composite!L94</f>
        <v>0.023</v>
      </c>
      <c r="CN10" s="17" t="n">
        <f aca="false">Daily_Composite!L95</f>
        <v>0.042</v>
      </c>
      <c r="CO10" s="17" t="n">
        <f aca="false">Daily_Composite!L96</f>
        <v>0.01</v>
      </c>
      <c r="CP10" s="17" t="n">
        <f aca="false">Daily_Composite!L97</f>
        <v>0.016</v>
      </c>
      <c r="CQ10" s="17" t="n">
        <f aca="false">Daily_Composite!L98</f>
        <v>-0.403</v>
      </c>
      <c r="CR10" s="17" t="n">
        <f aca="false">Daily_Composite!L99</f>
        <v>-0.032</v>
      </c>
      <c r="CS10" s="17" t="n">
        <f aca="false">Daily_Composite!L100</f>
        <v>-0.031</v>
      </c>
      <c r="CT10" s="17" t="n">
        <f aca="false">Daily_Composite!L101</f>
        <v>-0.183</v>
      </c>
      <c r="CU10" s="17" t="n">
        <f aca="false">Daily_Composite!L102</f>
        <v>-0.205</v>
      </c>
      <c r="CV10" s="17" t="n">
        <f aca="false">Daily_Composite!L103</f>
        <v>-0.172</v>
      </c>
      <c r="CW10" s="17" t="n">
        <f aca="false">Daily_Composite!L104</f>
        <v>-0.107</v>
      </c>
      <c r="CX10" s="17" t="n">
        <f aca="false">Daily_Composite!L105</f>
        <v>-0.141</v>
      </c>
      <c r="CY10" s="17" t="n">
        <f aca="false">Daily_Composite!L106</f>
        <v>-0.19</v>
      </c>
      <c r="CZ10" s="17" t="n">
        <f aca="false">Daily_Composite!L107</f>
        <v>-0.222</v>
      </c>
      <c r="DA10" s="17" t="n">
        <f aca="false">Daily_Composite!L108</f>
        <v>-0.151</v>
      </c>
      <c r="DB10" s="17" t="n">
        <f aca="false">Daily_Composite!L109</f>
        <v>-0.063</v>
      </c>
      <c r="DC10" s="17" t="n">
        <f aca="false">Daily_Composite!L110</f>
        <v>-0.055</v>
      </c>
      <c r="DD10" s="17" t="n">
        <f aca="false">Daily_Composite!L111</f>
        <v>-0.157</v>
      </c>
      <c r="DE10" s="17" t="n">
        <f aca="false">Daily_Composite!L112</f>
        <v>-0.097</v>
      </c>
      <c r="DF10" s="17" t="n">
        <f aca="false">Daily_Composite!L113</f>
        <v>0.125</v>
      </c>
      <c r="DG10" s="17" t="n">
        <f aca="false">Daily_Composite!L114</f>
        <v>0.013</v>
      </c>
      <c r="DH10" s="17" t="n">
        <f aca="false">Daily_Composite!L115</f>
        <v>0.103</v>
      </c>
      <c r="DI10" s="17" t="n">
        <f aca="false">Daily_Composite!L116</f>
        <v>0.103</v>
      </c>
      <c r="DJ10" s="17" t="n">
        <f aca="false">Daily_Composite!L117</f>
        <v>-0.023</v>
      </c>
      <c r="DK10" s="17" t="n">
        <f aca="false">Daily_Composite!L118</f>
        <v>-0.026</v>
      </c>
      <c r="DL10" s="17" t="n">
        <f aca="false">Daily_Composite!L119</f>
        <v>-0.04</v>
      </c>
      <c r="DM10" s="17" t="n">
        <f aca="false">Daily_Composite!L120</f>
        <v>0.065</v>
      </c>
      <c r="DN10" s="17" t="n">
        <f aca="false">Daily_Composite!L121</f>
        <v>0.062</v>
      </c>
      <c r="DO10" s="17" t="n">
        <f aca="false">Daily_Composite!L122</f>
        <v>0.18</v>
      </c>
      <c r="DP10" s="17" t="n">
        <f aca="false">Daily_Composite!L123</f>
        <v>0.064</v>
      </c>
      <c r="DQ10" s="17" t="n">
        <f aca="false">Daily_Composite!L124</f>
        <v>0.048</v>
      </c>
      <c r="DR10" s="17" t="n">
        <f aca="false">Daily_Composite!L125</f>
        <v>0.484</v>
      </c>
      <c r="DS10" s="17" t="n">
        <f aca="false">Daily_Composite!L126</f>
        <v>0.024</v>
      </c>
      <c r="DT10" s="17" t="n">
        <f aca="false">Daily_Composite!L127</f>
        <v>0.04</v>
      </c>
      <c r="DU10" s="17" t="n">
        <f aca="false">Daily_Composite!L128</f>
        <v>0.418</v>
      </c>
      <c r="DV10" s="17" t="n">
        <f aca="false">Daily_Composite!L129</f>
        <v>0.39</v>
      </c>
      <c r="DW10" s="17" t="n">
        <f aca="false">Daily_Composite!L130</f>
        <v>0.466</v>
      </c>
      <c r="DX10" s="17" t="n">
        <f aca="false">Daily_Composite!L131</f>
        <v>-0.042</v>
      </c>
      <c r="DY10" s="17" t="n">
        <f aca="false">Daily_Composite!L132</f>
        <v>0.241</v>
      </c>
      <c r="DZ10" s="17" t="n">
        <f aca="false">Daily_Composite!L133</f>
        <v>0.03</v>
      </c>
      <c r="EA10" s="17" t="n">
        <f aca="false">Daily_Composite!L134</f>
        <v>0.044</v>
      </c>
      <c r="EB10" s="17" t="n">
        <f aca="false">Daily_Composite!L135</f>
        <v>0.458</v>
      </c>
      <c r="EC10" s="17" t="n">
        <f aca="false">Daily_Composite!L136</f>
        <v>0.321</v>
      </c>
      <c r="ED10" s="17" t="n">
        <f aca="false">Daily_Composite!L137</f>
        <v>0.323</v>
      </c>
      <c r="EE10" s="17" t="n">
        <f aca="false">Daily_Composite!L138</f>
        <v>0.308</v>
      </c>
      <c r="EF10" s="17" t="n">
        <f aca="false">Daily_Composite!L139</f>
        <v>0.314</v>
      </c>
      <c r="EG10" s="17" t="n">
        <f aca="false">Daily_Composite!L140</f>
        <v>0.417</v>
      </c>
      <c r="EH10" s="17" t="n">
        <f aca="false">Daily_Composite!L141</f>
        <v>0.125</v>
      </c>
      <c r="EI10" s="17" t="n">
        <f aca="false">Daily_Composite!L142</f>
        <v>0.124</v>
      </c>
      <c r="EJ10" s="17" t="n">
        <f aca="false">Daily_Composite!L143</f>
        <v>0.04</v>
      </c>
      <c r="EK10" s="17" t="n">
        <f aca="false">Daily_Composite!L144</f>
        <v>-0.399</v>
      </c>
      <c r="EL10" s="17" t="n">
        <f aca="false">Daily_Composite!L145</f>
        <v>0.023</v>
      </c>
      <c r="EM10" s="17" t="n">
        <f aca="false">Daily_Composite!L146</f>
        <v>0.022</v>
      </c>
      <c r="EN10" s="17" t="n">
        <f aca="false">Daily_Composite!L147</f>
        <v>-0.066</v>
      </c>
      <c r="EO10" s="17" t="n">
        <f aca="false">Daily_Composite!L148</f>
        <v>-0.09</v>
      </c>
      <c r="EP10" s="17" t="n">
        <f aca="false">Daily_Composite!L149</f>
        <v>0.101</v>
      </c>
      <c r="EQ10" s="17" t="n">
        <f aca="false">Daily_Composite!L150</f>
        <v>0.09</v>
      </c>
      <c r="ER10" s="17" t="n">
        <f aca="false">Daily_Composite!L151</f>
        <v>-0.013</v>
      </c>
      <c r="ES10" s="17" t="n">
        <f aca="false">Daily_Composite!L152</f>
        <v>-0.021</v>
      </c>
      <c r="ET10" s="17" t="n">
        <f aca="false">Daily_Composite!L153</f>
        <v>-0.4</v>
      </c>
      <c r="EU10" s="17" t="n">
        <f aca="false">Daily_Composite!L154</f>
        <v>-0.07</v>
      </c>
      <c r="EV10" s="17" t="n">
        <f aca="false">Daily_Composite!L155</f>
        <v>-0.074</v>
      </c>
      <c r="EW10" s="17" t="n">
        <f aca="false">Daily_Composite!L156</f>
        <v>0.106</v>
      </c>
      <c r="EX10" s="17" t="n">
        <f aca="false">Daily_Composite!L157</f>
        <v>0.289</v>
      </c>
      <c r="EY10" s="17" t="n">
        <f aca="false">Daily_Composite!L158</f>
        <v>0.309</v>
      </c>
      <c r="EZ10" s="17" t="n">
        <f aca="false">Daily_Composite!L159</f>
        <v>0.294</v>
      </c>
      <c r="FA10" s="17" t="n">
        <f aca="false">Daily_Composite!L160</f>
        <v>0.307</v>
      </c>
      <c r="FB10" s="17" t="n">
        <f aca="false">Daily_Composite!L161</f>
        <v>0.326</v>
      </c>
      <c r="FC10" s="17" t="n">
        <f aca="false">Daily_Composite!L162</f>
        <v>0.522</v>
      </c>
      <c r="FD10" s="17" t="n">
        <f aca="false">Daily_Composite!L163</f>
        <v>0.059</v>
      </c>
      <c r="FE10" s="17" t="n">
        <f aca="false">Daily_Composite!L164</f>
        <v>0.201</v>
      </c>
      <c r="FF10" s="17" t="n">
        <f aca="false">Daily_Composite!L165</f>
        <v>0.233</v>
      </c>
      <c r="FG10" s="17" t="n">
        <f aca="false">Daily_Composite!L166</f>
        <v>0.022</v>
      </c>
      <c r="FH10" s="17" t="n">
        <f aca="false">Daily_Composite!L167</f>
        <v>0.052</v>
      </c>
      <c r="FI10" s="17" t="n">
        <f aca="false">Daily_Composite!L168</f>
        <v>0.033</v>
      </c>
      <c r="FJ10" s="17" t="n">
        <f aca="false">Daily_Composite!L169</f>
        <v>0.067</v>
      </c>
      <c r="FK10" s="17" t="n">
        <f aca="false">Daily_Composite!L170</f>
        <v>0.07</v>
      </c>
      <c r="FL10" s="17" t="n">
        <f aca="false">Daily_Composite!L171</f>
        <v>0.074</v>
      </c>
      <c r="FM10" s="17" t="n">
        <f aca="false">Daily_Composite!L172</f>
        <v>0.15</v>
      </c>
      <c r="FN10" s="17" t="n">
        <f aca="false">Daily_Composite!L173</f>
        <v>0.008</v>
      </c>
      <c r="FO10" s="17" t="n">
        <f aca="false">Daily_Composite!L174</f>
        <v>-0.017</v>
      </c>
      <c r="FP10" s="17" t="n">
        <f aca="false">Daily_Composite!L175</f>
        <v>0.069</v>
      </c>
      <c r="FQ10" s="17" t="n">
        <f aca="false">Daily_Composite!L176</f>
        <v>-0.032</v>
      </c>
      <c r="FR10" s="17" t="n">
        <f aca="false">Daily_Composite!L177</f>
        <v>-0.096</v>
      </c>
      <c r="FS10" s="17" t="n">
        <f aca="false">Daily_Composite!L178</f>
        <v>-0.121</v>
      </c>
      <c r="FT10" s="17" t="n">
        <f aca="false">Daily_Composite!L179</f>
        <v>-0.126</v>
      </c>
      <c r="FU10" s="17" t="n">
        <f aca="false">Daily_Composite!L180</f>
        <v>-0.595</v>
      </c>
      <c r="FV10" s="17" t="n">
        <f aca="false">Daily_Composite!L181</f>
        <v>-0.177</v>
      </c>
      <c r="FW10" s="17" t="n">
        <f aca="false">Daily_Composite!L182</f>
        <v>-0.201</v>
      </c>
      <c r="FX10" s="17" t="n">
        <f aca="false">Daily_Composite!L183</f>
        <v>-0.451</v>
      </c>
      <c r="FY10" s="17" t="n">
        <f aca="false">Daily_Composite!L184</f>
        <v>-0.34</v>
      </c>
      <c r="FZ10" s="17" t="n">
        <f aca="false">Daily_Composite!L185</f>
        <v>-0.212</v>
      </c>
      <c r="GA10" s="17" t="n">
        <f aca="false">Daily_Composite!L186</f>
        <v>-0.236</v>
      </c>
      <c r="GB10" s="17" t="n">
        <f aca="false">Daily_Composite!L187</f>
        <v>-0.224</v>
      </c>
      <c r="GC10" s="17" t="n">
        <f aca="false">Daily_Composite!L188</f>
        <v>-0.225</v>
      </c>
      <c r="GD10" s="17" t="n">
        <f aca="false">Daily_Composite!L189</f>
        <v>0.061</v>
      </c>
      <c r="GE10" s="17" t="n">
        <f aca="false">Daily_Composite!L190</f>
        <v>0.262</v>
      </c>
      <c r="GF10" s="17" t="n">
        <f aca="false">Daily_Composite!L191</f>
        <v>0.148</v>
      </c>
      <c r="GG10" s="17" t="n">
        <f aca="false">Daily_Composite!L192</f>
        <v>0.142</v>
      </c>
      <c r="GH10" s="17" t="n">
        <f aca="false">Daily_Composite!L193</f>
        <v>-0.367</v>
      </c>
      <c r="GI10" s="17" t="n">
        <f aca="false">Daily_Composite!L194</f>
        <v>-0.38</v>
      </c>
      <c r="GJ10" s="17" t="n">
        <f aca="false">Daily_Composite!L195</f>
        <v>0.231</v>
      </c>
      <c r="GK10" s="17" t="n">
        <f aca="false">Daily_Composite!L196</f>
        <v>0.041</v>
      </c>
      <c r="GL10" s="17" t="n">
        <f aca="false">Daily_Composite!L197</f>
        <v>0.112</v>
      </c>
      <c r="GM10" s="17" t="n">
        <f aca="false">Daily_Composite!L198</f>
        <v>0.09</v>
      </c>
      <c r="GN10" s="17" t="n">
        <f aca="false">Daily_Composite!L199</f>
        <v>-0.192</v>
      </c>
      <c r="GO10" s="17" t="n">
        <f aca="false">Daily_Composite!L200</f>
        <v>-0.15</v>
      </c>
      <c r="GP10" s="17" t="n">
        <f aca="false">Daily_Composite!L201</f>
        <v>-0.129</v>
      </c>
      <c r="GQ10" s="17" t="n">
        <f aca="false">Daily_Composite!L202</f>
        <v>-0.236</v>
      </c>
      <c r="GR10" s="17" t="n">
        <f aca="false">Daily_Composite!L203</f>
        <v>-0.122</v>
      </c>
      <c r="GS10" s="17" t="n">
        <f aca="false">Daily_Composite!L204</f>
        <v>0.036</v>
      </c>
      <c r="GT10" s="17" t="n">
        <f aca="false">Daily_Composite!L205</f>
        <v>0.03</v>
      </c>
      <c r="GU10" s="17" t="n">
        <f aca="false">Daily_Composite!L206</f>
        <v>-0.243</v>
      </c>
      <c r="GV10" s="17" t="n">
        <f aca="false">Daily_Composite!L207</f>
        <v>-0.22</v>
      </c>
      <c r="GW10" s="17" t="n">
        <f aca="false">Daily_Composite!L208</f>
        <v>-0.024</v>
      </c>
      <c r="GX10" s="17" t="n">
        <f aca="false">Daily_Composite!L209</f>
        <v>-0.026</v>
      </c>
      <c r="GY10" s="17" t="n">
        <f aca="false">Daily_Composite!L210</f>
        <v>0.072</v>
      </c>
      <c r="GZ10" s="17" t="n">
        <f aca="false">Daily_Composite!L211</f>
        <v>-0.109</v>
      </c>
      <c r="HA10" s="17" t="n">
        <f aca="false">Daily_Composite!L212</f>
        <v>-0.084</v>
      </c>
      <c r="HB10" s="17" t="n">
        <f aca="false">Daily_Composite!L213</f>
        <v>0.007</v>
      </c>
      <c r="HC10" s="17" t="n">
        <f aca="false">Daily_Composite!L214</f>
        <v>-0.036</v>
      </c>
      <c r="HD10" s="17" t="n">
        <f aca="false">Daily_Composite!L215</f>
        <v>-0.041</v>
      </c>
      <c r="HE10" s="17" t="n">
        <f aca="false">Daily_Composite!L216</f>
        <v>-0.046</v>
      </c>
      <c r="HF10" s="17" t="n">
        <f aca="false">Daily_Composite!L217</f>
        <v>-0.052</v>
      </c>
      <c r="HG10" s="17" t="n">
        <f aca="false">Daily_Composite!L218</f>
        <v>0.027</v>
      </c>
      <c r="HH10" s="17" t="n">
        <f aca="false">Daily_Composite!L219</f>
        <v>-0.008</v>
      </c>
      <c r="HI10" s="17" t="n">
        <f aca="false">Daily_Composite!L220</f>
        <v>-0.412</v>
      </c>
      <c r="HJ10" s="17" t="n">
        <f aca="false">Daily_Composite!L221</f>
        <v>-0.427</v>
      </c>
      <c r="HK10" s="17" t="n">
        <f aca="false">Daily_Composite!L222</f>
        <v>-0.147</v>
      </c>
      <c r="HL10" s="17" t="n">
        <f aca="false">Daily_Composite!L223</f>
        <v>-0.004</v>
      </c>
      <c r="HM10" s="17" t="n">
        <f aca="false">Daily_Composite!L224</f>
        <v>-0.448</v>
      </c>
      <c r="HN10" s="17" t="n">
        <f aca="false">Daily_Composite!L225</f>
        <v>-0.153</v>
      </c>
      <c r="HO10" s="17" t="n">
        <f aca="false">Daily_Composite!L226</f>
        <v>-0.155</v>
      </c>
      <c r="HP10" s="17" t="n">
        <f aca="false">Daily_Composite!L227</f>
        <v>-0.155</v>
      </c>
      <c r="HQ10" s="17" t="n">
        <f aca="false">Daily_Composite!L228</f>
        <v>-0.155</v>
      </c>
      <c r="HR10" s="17" t="n">
        <f aca="false">Daily_Composite!L229</f>
        <v>-0.164</v>
      </c>
      <c r="HS10" s="17" t="n">
        <f aca="false">Daily_Composite!L230</f>
        <v>-0.217</v>
      </c>
      <c r="HT10" s="17" t="n">
        <f aca="false">Daily_Composite!L231</f>
        <v>-0.19</v>
      </c>
      <c r="HU10" s="17" t="n">
        <f aca="false">Daily_Composite!L232</f>
        <v>-0.155</v>
      </c>
      <c r="HV10" s="17" t="n">
        <f aca="false">Daily_Composite!L233</f>
        <v>-0.2</v>
      </c>
      <c r="HW10" s="17" t="n">
        <f aca="false">Daily_Composite!L234</f>
        <v>-0.2</v>
      </c>
      <c r="HX10" s="17" t="n">
        <f aca="false">Daily_Composite!L235</f>
        <v>-0.285</v>
      </c>
      <c r="HY10" s="17" t="n">
        <f aca="false">Daily_Composite!L236</f>
        <v>-0.267</v>
      </c>
      <c r="HZ10" s="17" t="n">
        <f aca="false">Daily_Composite!L237</f>
        <v>-0.248</v>
      </c>
      <c r="IA10" s="17" t="n">
        <f aca="false">Daily_Composite!L238</f>
        <v>-0.166</v>
      </c>
      <c r="IB10" s="17" t="n">
        <f aca="false">Daily_Composite!L239</f>
        <v>-0.197</v>
      </c>
      <c r="IC10" s="17" t="n">
        <f aca="false">Daily_Composite!L240</f>
        <v>-0.261</v>
      </c>
      <c r="ID10" s="17" t="n">
        <f aca="false">Daily_Composite!L241</f>
        <v>-0.141</v>
      </c>
      <c r="IE10" s="17" t="n">
        <f aca="false">Daily_Composite!L242</f>
        <v>-0.15</v>
      </c>
      <c r="IF10" s="17" t="n">
        <f aca="false">Daily_Composite!L243</f>
        <v>-0.2</v>
      </c>
      <c r="IG10" s="17" t="n">
        <f aca="false">Daily_Composite!L244</f>
        <v>-0.2</v>
      </c>
      <c r="IH10" s="17" t="n">
        <f aca="false">Daily_Composite!L245</f>
        <v>0.225</v>
      </c>
      <c r="II10" s="17" t="n">
        <f aca="false">Daily_Composite!L246</f>
        <v>-0.166</v>
      </c>
      <c r="IJ10" s="17" t="n">
        <f aca="false">Daily_Composite!L247</f>
        <v>-0.18</v>
      </c>
      <c r="IK10" s="17" t="n">
        <f aca="false">Daily_Composite!L248</f>
        <v>-0.178</v>
      </c>
      <c r="IL10" s="17" t="n">
        <f aca="false">Daily_Composite!L249</f>
        <v>-0.182</v>
      </c>
      <c r="IM10" s="17" t="n">
        <f aca="false">Daily_Composite!L250</f>
        <v>-0.076</v>
      </c>
      <c r="IN10" s="17" t="n">
        <f aca="false">Daily_Composite!L251</f>
        <v>0.158</v>
      </c>
      <c r="IO10" s="17" t="n">
        <f aca="false">Daily_Composite!L252</f>
        <v>-0.162</v>
      </c>
      <c r="IP10" s="17" t="n">
        <f aca="false">Daily_Composite!L253</f>
        <v>-0.18</v>
      </c>
      <c r="IQ10" s="17" t="n">
        <f aca="false">Daily_Composite!L254</f>
        <v>0.161</v>
      </c>
      <c r="IR10" s="17" t="n">
        <f aca="false">Daily_Composite!L255</f>
        <v>-0.18</v>
      </c>
      <c r="IS10" s="17" t="n">
        <f aca="false">Daily_Composite!L256</f>
        <v>-0.061</v>
      </c>
      <c r="IT10" s="17" t="n">
        <f aca="false">Daily_Composite!L257</f>
        <v>-0.07</v>
      </c>
      <c r="IU10" s="17" t="n">
        <f aca="false">Daily_Composite!L258</f>
        <v>-0.038</v>
      </c>
      <c r="IV10" s="17" t="n">
        <f aca="false">Daily_Composite!L259</f>
        <v>-0.038</v>
      </c>
      <c r="IW10" s="17" t="n">
        <f aca="false">Daily_Composite!L260</f>
        <v>-0.004</v>
      </c>
      <c r="IX10" s="17" t="n">
        <f aca="false">Daily_Composite!L261</f>
        <v>-0.141</v>
      </c>
      <c r="IY10" s="17" t="n">
        <f aca="false">Daily_Composite!L262</f>
        <v>-0.49</v>
      </c>
      <c r="IZ10" s="17" t="n">
        <f aca="false">Daily_Composite!L263</f>
        <v>-0.036</v>
      </c>
      <c r="JA10" s="17" t="n">
        <f aca="false">Daily_Composite!L264</f>
        <v>-0.038</v>
      </c>
      <c r="JB10" s="17" t="n">
        <f aca="false">Daily_Composite!L265</f>
        <v>-0.257</v>
      </c>
      <c r="JC10" s="17" t="n">
        <f aca="false">Daily_Composite!L266</f>
        <v>-0.441</v>
      </c>
      <c r="JD10" s="17" t="n">
        <f aca="false">Daily_Composite!L267</f>
        <v>-0.036</v>
      </c>
      <c r="JE10" s="17" t="n">
        <f aca="false">Daily_Composite!L268</f>
        <v>-0.043</v>
      </c>
      <c r="JF10" s="17" t="n">
        <f aca="false">Daily_Composite!L269</f>
        <v>-0.059</v>
      </c>
      <c r="JG10" s="17" t="n">
        <f aca="false">Daily_Composite!L270</f>
        <v>-0.144</v>
      </c>
      <c r="JH10" s="17" t="n">
        <f aca="false">Daily_Composite!L271</f>
        <v>-0.258</v>
      </c>
      <c r="JI10" s="17" t="n">
        <f aca="false">Daily_Composite!L272</f>
        <v>-0.516</v>
      </c>
      <c r="JJ10" s="17" t="n">
        <f aca="false">Daily_Composite!L273</f>
        <v>-0.134</v>
      </c>
      <c r="JK10" s="17" t="n">
        <f aca="false">Daily_Composite!L274</f>
        <v>-0.128</v>
      </c>
      <c r="JL10" s="17" t="n">
        <f aca="false">Daily_Composite!L275</f>
        <v>-0.1</v>
      </c>
      <c r="JM10" s="17" t="n">
        <f aca="false">Daily_Composite!L276</f>
        <v>-0.103</v>
      </c>
      <c r="JN10" s="17" t="n">
        <f aca="false">Daily_Composite!L277</f>
        <v>-0.107</v>
      </c>
      <c r="JO10" s="17" t="n">
        <f aca="false">Daily_Composite!L278</f>
        <v>-0.111</v>
      </c>
      <c r="JP10" s="17" t="n">
        <f aca="false">Daily_Composite!L279</f>
        <v>-0.146</v>
      </c>
      <c r="JQ10" s="17" t="n">
        <f aca="false">Daily_Composite!L280</f>
        <v>-0.284</v>
      </c>
      <c r="JR10" s="17" t="n">
        <f aca="false">Daily_Composite!L281</f>
        <v>-0.617</v>
      </c>
      <c r="JS10" s="17" t="n">
        <f aca="false">Daily_Composite!L282</f>
        <v>-0.131</v>
      </c>
      <c r="JT10" s="17" t="n">
        <f aca="false">Daily_Composite!L283</f>
        <v>-0.148</v>
      </c>
      <c r="JU10" s="17" t="n">
        <f aca="false">Daily_Composite!L284</f>
        <v>-0.144</v>
      </c>
      <c r="JV10" s="17" t="n">
        <f aca="false">Daily_Composite!L285</f>
        <v>-0.14</v>
      </c>
      <c r="JW10" s="17" t="n">
        <f aca="false">Daily_Composite!L286</f>
        <v>-0.134</v>
      </c>
      <c r="JX10" s="17" t="n">
        <f aca="false">Daily_Composite!L287</f>
        <v>-0.129</v>
      </c>
      <c r="JY10" s="17" t="n">
        <f aca="false">Daily_Composite!L288</f>
        <v>-0.165</v>
      </c>
      <c r="JZ10" s="17" t="n">
        <f aca="false">Daily_Composite!L289</f>
        <v>0.017</v>
      </c>
      <c r="KA10" s="17" t="n">
        <f aca="false">Daily_Composite!L290</f>
        <v>-0.356</v>
      </c>
      <c r="KB10" s="17" t="n">
        <f aca="false">Daily_Composite!L291</f>
        <v>-0.354</v>
      </c>
      <c r="KC10" s="17" t="n">
        <f aca="false">Daily_Composite!L292</f>
        <v>-0.557</v>
      </c>
      <c r="KD10" s="17" t="n">
        <f aca="false">Daily_Composite!L293</f>
        <v>-0.553</v>
      </c>
      <c r="KE10" s="17" t="n">
        <f aca="false">Daily_Composite!L294</f>
        <v>-0.35</v>
      </c>
      <c r="KF10" s="17" t="n">
        <f aca="false">Daily_Composite!L295</f>
        <v>-0.348</v>
      </c>
      <c r="KG10" s="17" t="n">
        <f aca="false">Daily_Composite!L296</f>
        <v>-0.328</v>
      </c>
      <c r="KH10" s="17" t="n">
        <f aca="false">Daily_Composite!L297</f>
        <v>-0.345</v>
      </c>
      <c r="KI10" s="17" t="n">
        <f aca="false">Daily_Composite!L298</f>
        <v>-0.238</v>
      </c>
      <c r="KJ10" s="17" t="n">
        <f aca="false">Daily_Composite!L299</f>
        <v>-0.225</v>
      </c>
      <c r="KK10" s="17" t="n">
        <f aca="false">Daily_Composite!L300</f>
        <v>-0.307</v>
      </c>
      <c r="KL10" s="17" t="n">
        <f aca="false">Daily_Composite!L301</f>
        <v>-0.305</v>
      </c>
      <c r="KM10" s="17" t="n">
        <f aca="false">Daily_Composite!L302</f>
        <v>-0.181</v>
      </c>
      <c r="KN10" s="17" t="n">
        <f aca="false">Daily_Composite!L303</f>
        <v>-0.135</v>
      </c>
      <c r="KO10" s="17" t="n">
        <f aca="false">Daily_Composite!L304</f>
        <v>-0.168</v>
      </c>
      <c r="KP10" s="17" t="n">
        <f aca="false">Daily_Composite!L305</f>
        <v>-0.465</v>
      </c>
      <c r="KQ10" s="17" t="n">
        <f aca="false">Daily_Composite!L306</f>
        <v>-0.296</v>
      </c>
      <c r="KR10" s="17" t="n">
        <f aca="false">Daily_Composite!L307</f>
        <v>-0.217</v>
      </c>
      <c r="KS10" s="17" t="n">
        <f aca="false">Daily_Composite!L308</f>
        <v>-0.53</v>
      </c>
      <c r="KT10" s="17" t="n">
        <f aca="false">Daily_Composite!L309</f>
        <v>-0.318</v>
      </c>
      <c r="KU10" s="17" t="n">
        <f aca="false">Daily_Composite!L310</f>
        <v>-0.275</v>
      </c>
      <c r="KV10" s="17" t="n">
        <f aca="false">Daily_Composite!L311</f>
        <v>-0.207</v>
      </c>
      <c r="KW10" s="17" t="n">
        <f aca="false">Daily_Composite!L312</f>
        <v>-0.206</v>
      </c>
      <c r="KX10" s="17" t="n">
        <f aca="false">Daily_Composite!L313</f>
        <v>-0.202</v>
      </c>
      <c r="KY10" s="17" t="n">
        <f aca="false">Daily_Composite!L314</f>
        <v>-0.198</v>
      </c>
      <c r="KZ10" s="17" t="n">
        <f aca="false">Daily_Composite!L315</f>
        <v>-0.194</v>
      </c>
      <c r="LA10" s="17" t="n">
        <f aca="false">Daily_Composite!L316</f>
        <v>-0.189</v>
      </c>
      <c r="LB10" s="17" t="n">
        <f aca="false">Daily_Composite!L317</f>
        <v>-0.115</v>
      </c>
      <c r="LC10" s="17" t="n">
        <f aca="false">Daily_Composite!L318</f>
        <v>-0.152</v>
      </c>
      <c r="LD10" s="17" t="n">
        <f aca="false">Daily_Composite!L319</f>
        <v>-0.488</v>
      </c>
      <c r="LE10" s="17" t="n">
        <f aca="false">Daily_Composite!L320</f>
        <v>-0.482</v>
      </c>
      <c r="LF10" s="17" t="n">
        <f aca="false">Daily_Composite!L321</f>
        <v>-0.473</v>
      </c>
      <c r="LG10" s="17" t="n">
        <f aca="false">Daily_Composite!L322</f>
        <v>-0.13</v>
      </c>
      <c r="LH10" s="17" t="n">
        <f aca="false">Daily_Composite!L323</f>
        <v>-0.127</v>
      </c>
      <c r="LI10" s="17" t="n">
        <f aca="false">Daily_Composite!L324</f>
        <v>-0.163</v>
      </c>
      <c r="LJ10" s="17" t="n">
        <f aca="false">Daily_Composite!L325</f>
        <v>-0.206</v>
      </c>
      <c r="LK10" s="17" t="n">
        <f aca="false">Daily_Composite!L326</f>
        <v>-0.589</v>
      </c>
      <c r="LL10" s="17" t="n">
        <f aca="false">Daily_Composite!L327</f>
        <v>0.003</v>
      </c>
      <c r="LM10" s="17" t="n">
        <f aca="false">Daily_Composite!L328</f>
        <v>0.025</v>
      </c>
      <c r="LN10" s="17" t="n">
        <f aca="false">Daily_Composite!L329</f>
        <v>-0.121</v>
      </c>
      <c r="LO10" s="17" t="n">
        <f aca="false">Daily_Composite!L330</f>
        <v>-0.176</v>
      </c>
      <c r="LP10" s="17" t="n">
        <f aca="false">Daily_Composite!L331</f>
        <v>-0.117</v>
      </c>
      <c r="LQ10" s="17" t="n">
        <f aca="false">Daily_Composite!L332</f>
        <v>0.282</v>
      </c>
      <c r="LR10" s="17" t="n">
        <f aca="false">Daily_Composite!L333</f>
        <v>0.292</v>
      </c>
      <c r="LS10" s="17" t="n">
        <f aca="false">Daily_Composite!L334</f>
        <v>-0.093</v>
      </c>
      <c r="LT10" s="17" t="n">
        <f aca="false">Daily_Composite!L335</f>
        <v>-0.259</v>
      </c>
      <c r="LU10" s="17" t="n">
        <f aca="false">Daily_Composite!L336</f>
        <v>-0.59</v>
      </c>
      <c r="LV10" s="17" t="n">
        <f aca="false">Daily_Composite!L337</f>
        <v>-0.112</v>
      </c>
      <c r="LW10" s="17" t="n">
        <f aca="false">Daily_Composite!L338</f>
        <v>-0.335</v>
      </c>
      <c r="LX10" s="17" t="n">
        <f aca="false">Daily_Composite!L339</f>
        <v>-0.428</v>
      </c>
      <c r="LY10" s="17" t="n">
        <f aca="false">Daily_Composite!L340</f>
        <v>-0.42</v>
      </c>
      <c r="LZ10" s="17" t="n">
        <f aca="false">Daily_Composite!L341</f>
        <v>-0.243</v>
      </c>
      <c r="MA10" s="17" t="n">
        <f aca="false">Daily_Composite!L342</f>
        <v>-0.239</v>
      </c>
      <c r="MB10" s="17" t="n">
        <f aca="false">Daily_Composite!L343</f>
        <v>-0.235</v>
      </c>
      <c r="MC10" s="17" t="n">
        <f aca="false">Daily_Composite!L344</f>
        <v>-0.564</v>
      </c>
      <c r="MD10" s="17" t="n">
        <f aca="false">Daily_Composite!L345</f>
        <v>-0.017</v>
      </c>
      <c r="ME10" s="17" t="n">
        <f aca="false">Daily_Composite!L346</f>
        <v>0.023</v>
      </c>
      <c r="MF10" s="17" t="n">
        <f aca="false">Daily_Composite!L347</f>
        <v>-0.503</v>
      </c>
      <c r="MG10" s="17" t="n">
        <f aca="false">Daily_Composite!L348</f>
        <v>-0.491</v>
      </c>
      <c r="MH10" s="17" t="n">
        <f aca="false">Daily_Composite!L349</f>
        <v>-0.195</v>
      </c>
      <c r="MI10" s="17" t="n">
        <f aca="false">Daily_Composite!L350</f>
        <v>-0.181</v>
      </c>
      <c r="MJ10" s="17" t="n">
        <f aca="false">Daily_Composite!L351</f>
        <v>0.021</v>
      </c>
      <c r="MK10" s="17" t="n">
        <f aca="false">Daily_Composite!L352</f>
        <v>-0.056</v>
      </c>
      <c r="ML10" s="17" t="n">
        <f aca="false">Daily_Composite!L353</f>
        <v>-0.056</v>
      </c>
      <c r="MM10" s="17" t="n">
        <f aca="false">Daily_Composite!L354</f>
        <v>0.022</v>
      </c>
      <c r="MN10" s="17" t="n">
        <f aca="false">Daily_Composite!L355</f>
        <v>-0.045</v>
      </c>
      <c r="MO10" s="17" t="n">
        <f aca="false">Daily_Composite!L356</f>
        <v>0.099</v>
      </c>
      <c r="MP10" s="17" t="n">
        <f aca="false">Daily_Composite!L357</f>
        <v>-0.013</v>
      </c>
      <c r="MQ10" s="17" t="n">
        <f aca="false">Daily_Composite!L358</f>
        <v>-0.136</v>
      </c>
      <c r="MR10" s="17" t="n">
        <f aca="false">Daily_Composite!L359</f>
        <v>-0.275</v>
      </c>
      <c r="MS10" s="17" t="n">
        <f aca="false">Daily_Composite!L360</f>
        <v>-0.143</v>
      </c>
      <c r="MT10" s="17" t="n">
        <f aca="false">Daily_Composite!L361</f>
        <v>0.073</v>
      </c>
      <c r="MU10" s="17" t="n">
        <f aca="false">Daily_Composite!L362</f>
        <v>-0.024</v>
      </c>
      <c r="MV10" s="17" t="n">
        <f aca="false">Daily_Composite!L363</f>
        <v>-0.029</v>
      </c>
      <c r="MW10" s="17" t="n">
        <f aca="false">Daily_Composite!L364</f>
        <v>-0.16</v>
      </c>
      <c r="MX10" s="17" t="n">
        <f aca="false">Daily_Composite!L365</f>
        <v>-0.186</v>
      </c>
      <c r="MY10" s="17" t="n">
        <f aca="false">Daily_Composite!L366</f>
        <v>-0.053</v>
      </c>
      <c r="MZ10" s="17" t="n">
        <f aca="false">Daily_Composite!L367</f>
        <v>-0.212</v>
      </c>
      <c r="NA10" s="17" t="n">
        <f aca="false">Daily_Composite!L368</f>
        <v>-0.128</v>
      </c>
      <c r="NB10" s="17" t="n">
        <f aca="false">Daily_Composite!L369</f>
        <v>-0.04</v>
      </c>
    </row>
    <row r="11" customFormat="false" ht="15" hidden="false" customHeight="false" outlineLevel="0" collapsed="false">
      <c r="A11" s="6" t="s">
        <v>24</v>
      </c>
      <c r="B11" s="17" t="n">
        <f aca="false">Daily_Composite!M5</f>
        <v>0.031</v>
      </c>
      <c r="C11" s="17" t="n">
        <f aca="false">Daily_Composite!M6</f>
        <v>0.006</v>
      </c>
      <c r="D11" s="17" t="n">
        <f aca="false">Daily_Composite!M7</f>
        <v>0.067</v>
      </c>
      <c r="E11" s="17" t="n">
        <f aca="false">Daily_Composite!M8</f>
        <v>-0.027</v>
      </c>
      <c r="F11" s="17" t="n">
        <f aca="false">Daily_Composite!M9</f>
        <v>0.041</v>
      </c>
      <c r="G11" s="17" t="n">
        <f aca="false">Daily_Composite!M10</f>
        <v>-0.311</v>
      </c>
      <c r="H11" s="17" t="n">
        <f aca="false">Daily_Composite!M11</f>
        <v>-0.087</v>
      </c>
      <c r="I11" s="17" t="n">
        <f aca="false">Daily_Composite!M12</f>
        <v>-0.037</v>
      </c>
      <c r="J11" s="17" t="n">
        <f aca="false">Daily_Composite!M13</f>
        <v>-0.037</v>
      </c>
      <c r="K11" s="17" t="n">
        <f aca="false">Daily_Composite!M14</f>
        <v>-0.067</v>
      </c>
      <c r="L11" s="17" t="n">
        <f aca="false">Daily_Composite!M15</f>
        <v>-0.044</v>
      </c>
      <c r="M11" s="17" t="n">
        <f aca="false">Daily_Composite!M16</f>
        <v>-0.138</v>
      </c>
      <c r="N11" s="17" t="n">
        <f aca="false">Daily_Composite!M17</f>
        <v>-0.331</v>
      </c>
      <c r="O11" s="17" t="n">
        <f aca="false">Daily_Composite!M18</f>
        <v>-0.017</v>
      </c>
      <c r="P11" s="17" t="n">
        <f aca="false">Daily_Composite!M19</f>
        <v>0.073</v>
      </c>
      <c r="Q11" s="17" t="n">
        <f aca="false">Daily_Composite!M20</f>
        <v>-0.047</v>
      </c>
      <c r="R11" s="17" t="n">
        <f aca="false">Daily_Composite!M21</f>
        <v>0.402</v>
      </c>
      <c r="S11" s="17" t="n">
        <f aca="false">Daily_Composite!M22</f>
        <v>0.009</v>
      </c>
      <c r="T11" s="17" t="n">
        <f aca="false">Daily_Composite!M23</f>
        <v>-0.065</v>
      </c>
      <c r="U11" s="17" t="n">
        <f aca="false">Daily_Composite!M24</f>
        <v>-0.022</v>
      </c>
      <c r="V11" s="17" t="n">
        <f aca="false">Daily_Composite!M25</f>
        <v>-0.016</v>
      </c>
      <c r="W11" s="17" t="n">
        <f aca="false">Daily_Composite!M26</f>
        <v>-0.161</v>
      </c>
      <c r="X11" s="17" t="n">
        <f aca="false">Daily_Composite!M27</f>
        <v>-0.421</v>
      </c>
      <c r="Y11" s="17" t="n">
        <f aca="false">Daily_Composite!M28</f>
        <v>-0.275</v>
      </c>
      <c r="Z11" s="17" t="n">
        <f aca="false">Daily_Composite!M29</f>
        <v>-0.404</v>
      </c>
      <c r="AA11" s="17" t="n">
        <f aca="false">Daily_Composite!M30</f>
        <v>-0.035</v>
      </c>
      <c r="AB11" s="17" t="n">
        <f aca="false">Daily_Composite!M31</f>
        <v>0.122</v>
      </c>
      <c r="AC11" s="17" t="n">
        <f aca="false">Daily_Composite!M32</f>
        <v>-0.202</v>
      </c>
      <c r="AD11" s="17" t="n">
        <f aca="false">Daily_Composite!M33</f>
        <v>-0.122</v>
      </c>
      <c r="AE11" s="17" t="n">
        <f aca="false">Daily_Composite!M34</f>
        <v>-0.101</v>
      </c>
      <c r="AF11" s="17" t="n">
        <f aca="false">Daily_Composite!M35</f>
        <v>0.355</v>
      </c>
      <c r="AG11" s="17" t="n">
        <f aca="false">Daily_Composite!M36</f>
        <v>0.295</v>
      </c>
      <c r="AH11" s="17" t="n">
        <f aca="false">Daily_Composite!M37</f>
        <v>0.073</v>
      </c>
      <c r="AI11" s="17" t="n">
        <f aca="false">Daily_Composite!M38</f>
        <v>0.075</v>
      </c>
      <c r="AJ11" s="17" t="n">
        <f aca="false">Daily_Composite!M39</f>
        <v>0.032</v>
      </c>
      <c r="AK11" s="17" t="n">
        <f aca="false">Daily_Composite!M40</f>
        <v>-0.016</v>
      </c>
      <c r="AL11" s="17" t="n">
        <f aca="false">Daily_Composite!M41</f>
        <v>-0.029</v>
      </c>
      <c r="AM11" s="17" t="n">
        <f aca="false">Daily_Composite!M42</f>
        <v>0.005</v>
      </c>
      <c r="AN11" s="17" t="n">
        <f aca="false">Daily_Composite!M43</f>
        <v>0.198</v>
      </c>
      <c r="AO11" s="17" t="n">
        <f aca="false">Daily_Composite!M44</f>
        <v>-0.217</v>
      </c>
      <c r="AP11" s="17" t="n">
        <f aca="false">Daily_Composite!M45</f>
        <v>0.096</v>
      </c>
      <c r="AQ11" s="17" t="n">
        <f aca="false">Daily_Composite!M46</f>
        <v>0.101</v>
      </c>
      <c r="AR11" s="17" t="n">
        <f aca="false">Daily_Composite!M47</f>
        <v>-0.406</v>
      </c>
      <c r="AS11" s="17" t="n">
        <f aca="false">Daily_Composite!M48</f>
        <v>0.094</v>
      </c>
      <c r="AT11" s="17" t="n">
        <f aca="false">Daily_Composite!M49</f>
        <v>-0.056</v>
      </c>
      <c r="AU11" s="17" t="n">
        <f aca="false">Daily_Composite!M50</f>
        <v>-0.05</v>
      </c>
      <c r="AV11" s="17" t="n">
        <f aca="false">Daily_Composite!M51</f>
        <v>-0.146</v>
      </c>
      <c r="AW11" s="17" t="n">
        <f aca="false">Daily_Composite!M52</f>
        <v>-0.181</v>
      </c>
      <c r="AX11" s="17" t="n">
        <f aca="false">Daily_Composite!M53</f>
        <v>0.091</v>
      </c>
      <c r="AY11" s="17" t="n">
        <f aca="false">Daily_Composite!M54</f>
        <v>-0.295</v>
      </c>
      <c r="AZ11" s="17" t="n">
        <f aca="false">Daily_Composite!M55</f>
        <v>-0.348</v>
      </c>
      <c r="BA11" s="17" t="n">
        <f aca="false">Daily_Composite!M56</f>
        <v>-0.234</v>
      </c>
      <c r="BB11" s="17" t="n">
        <f aca="false">Daily_Composite!M57</f>
        <v>-0.488</v>
      </c>
      <c r="BC11" s="17" t="n">
        <f aca="false">Daily_Composite!M58</f>
        <v>-0.208</v>
      </c>
      <c r="BD11" s="17" t="n">
        <f aca="false">Daily_Composite!M59</f>
        <v>0.127</v>
      </c>
      <c r="BE11" s="17" t="n">
        <f aca="false">Daily_Composite!M60</f>
        <v>-0.138</v>
      </c>
      <c r="BF11" s="17" t="n">
        <f aca="false">Daily_Composite!M61</f>
        <v>-0.075</v>
      </c>
      <c r="BG11" s="17" t="n">
        <f aca="false">Daily_Composite!M62</f>
        <v>0.298</v>
      </c>
      <c r="BH11" s="17" t="n">
        <f aca="false">Daily_Composite!M63</f>
        <v>-0.166</v>
      </c>
      <c r="BI11" s="17" t="n">
        <f aca="false">Daily_Composite!M64</f>
        <v>-0.184</v>
      </c>
      <c r="BJ11" s="17" t="n">
        <f aca="false">Daily_Composite!M65</f>
        <v>-0.488</v>
      </c>
      <c r="BK11" s="17" t="n">
        <f aca="false">Daily_Composite!M66</f>
        <v>-0.222</v>
      </c>
      <c r="BL11" s="17" t="n">
        <f aca="false">Daily_Composite!M67</f>
        <v>-0.162</v>
      </c>
      <c r="BM11" s="17" t="n">
        <f aca="false">Daily_Composite!M68</f>
        <v>-0.185</v>
      </c>
      <c r="BN11" s="17" t="n">
        <f aca="false">Daily_Composite!M69</f>
        <v>-0.242</v>
      </c>
      <c r="BO11" s="17" t="n">
        <f aca="false">Daily_Composite!M70</f>
        <v>-0.264</v>
      </c>
      <c r="BP11" s="17" t="n">
        <f aca="false">Daily_Composite!M71</f>
        <v>-0.116</v>
      </c>
      <c r="BQ11" s="17" t="n">
        <f aca="false">Daily_Composite!M72</f>
        <v>-0.214</v>
      </c>
      <c r="BR11" s="17" t="n">
        <f aca="false">Daily_Composite!M73</f>
        <v>-0.211</v>
      </c>
      <c r="BS11" s="17" t="n">
        <f aca="false">Daily_Composite!M74</f>
        <v>-0.493</v>
      </c>
      <c r="BT11" s="17" t="n">
        <f aca="false">Daily_Composite!M75</f>
        <v>-0.152</v>
      </c>
      <c r="BU11" s="17" t="n">
        <f aca="false">Daily_Composite!M76</f>
        <v>-0.198</v>
      </c>
      <c r="BV11" s="17" t="n">
        <f aca="false">Daily_Composite!M77</f>
        <v>-0.23</v>
      </c>
      <c r="BW11" s="17" t="n">
        <f aca="false">Daily_Composite!M78</f>
        <v>-0.187</v>
      </c>
      <c r="BX11" s="17" t="n">
        <f aca="false">Daily_Composite!M79</f>
        <v>-0.14</v>
      </c>
      <c r="BY11" s="17" t="n">
        <f aca="false">Daily_Composite!M80</f>
        <v>-0.023</v>
      </c>
      <c r="BZ11" s="17" t="n">
        <f aca="false">Daily_Composite!M81</f>
        <v>0.309</v>
      </c>
      <c r="CA11" s="17" t="n">
        <f aca="false">Daily_Composite!M82</f>
        <v>0.14</v>
      </c>
      <c r="CB11" s="17" t="n">
        <f aca="false">Daily_Composite!M83</f>
        <v>-0.199</v>
      </c>
      <c r="CC11" s="17" t="n">
        <f aca="false">Daily_Composite!M84</f>
        <v>-0.536</v>
      </c>
      <c r="CD11" s="17" t="n">
        <f aca="false">Daily_Composite!M85</f>
        <v>-0.265</v>
      </c>
      <c r="CE11" s="17" t="n">
        <f aca="false">Daily_Composite!M86</f>
        <v>0.144</v>
      </c>
      <c r="CF11" s="17" t="n">
        <f aca="false">Daily_Composite!M87</f>
        <v>0.154</v>
      </c>
      <c r="CG11" s="17" t="n">
        <f aca="false">Daily_Composite!M88</f>
        <v>-0.185</v>
      </c>
      <c r="CH11" s="17" t="n">
        <f aca="false">Daily_Composite!M89</f>
        <v>-0.221</v>
      </c>
      <c r="CI11" s="17" t="n">
        <f aca="false">Daily_Composite!M90</f>
        <v>0.079</v>
      </c>
      <c r="CJ11" s="17" t="n">
        <f aca="false">Daily_Composite!M91</f>
        <v>-0.113</v>
      </c>
      <c r="CK11" s="17" t="n">
        <f aca="false">Daily_Composite!M92</f>
        <v>-0.484</v>
      </c>
      <c r="CL11" s="17" t="n">
        <f aca="false">Daily_Composite!M93</f>
        <v>-0.401</v>
      </c>
      <c r="CM11" s="17" t="n">
        <f aca="false">Daily_Composite!M94</f>
        <v>-0.458</v>
      </c>
      <c r="CN11" s="17" t="n">
        <f aca="false">Daily_Composite!M95</f>
        <v>-0.516</v>
      </c>
      <c r="CO11" s="17" t="n">
        <f aca="false">Daily_Composite!M96</f>
        <v>-0.521</v>
      </c>
      <c r="CP11" s="17" t="n">
        <f aca="false">Daily_Composite!M97</f>
        <v>-0.536</v>
      </c>
      <c r="CQ11" s="17" t="n">
        <f aca="false">Daily_Composite!M98</f>
        <v>-0.76</v>
      </c>
      <c r="CR11" s="17" t="n">
        <f aca="false">Daily_Composite!M99</f>
        <v>-0.772</v>
      </c>
      <c r="CS11" s="17" t="n">
        <f aca="false">Daily_Composite!M100</f>
        <v>-0.549</v>
      </c>
      <c r="CT11" s="17" t="n">
        <f aca="false">Daily_Composite!M101</f>
        <v>-0.76</v>
      </c>
      <c r="CU11" s="17" t="n">
        <f aca="false">Daily_Composite!M102</f>
        <v>-0.608</v>
      </c>
      <c r="CV11" s="17" t="n">
        <f aca="false">Daily_Composite!M103</f>
        <v>-0.499</v>
      </c>
      <c r="CW11" s="17" t="n">
        <f aca="false">Daily_Composite!M104</f>
        <v>-0.477</v>
      </c>
      <c r="CX11" s="17" t="n">
        <f aca="false">Daily_Composite!M105</f>
        <v>-0.481</v>
      </c>
      <c r="CY11" s="17" t="n">
        <f aca="false">Daily_Composite!M106</f>
        <v>-0.766</v>
      </c>
      <c r="CZ11" s="17" t="n">
        <f aca="false">Daily_Composite!M107</f>
        <v>-0.767</v>
      </c>
      <c r="DA11" s="17" t="n">
        <f aca="false">Daily_Composite!M108</f>
        <v>-0.721</v>
      </c>
      <c r="DB11" s="17" t="n">
        <f aca="false">Daily_Composite!M109</f>
        <v>-0.777</v>
      </c>
      <c r="DC11" s="17" t="n">
        <f aca="false">Daily_Composite!M110</f>
        <v>-0.729</v>
      </c>
      <c r="DD11" s="17" t="n">
        <f aca="false">Daily_Composite!M111</f>
        <v>-0.767</v>
      </c>
      <c r="DE11" s="17" t="n">
        <f aca="false">Daily_Composite!M112</f>
        <v>-0.338</v>
      </c>
      <c r="DF11" s="17" t="n">
        <f aca="false">Daily_Composite!M113</f>
        <v>-0.396</v>
      </c>
      <c r="DG11" s="17" t="n">
        <f aca="false">Daily_Composite!M114</f>
        <v>-0.488</v>
      </c>
      <c r="DH11" s="17" t="n">
        <f aca="false">Daily_Composite!M115</f>
        <v>-0.484</v>
      </c>
      <c r="DI11" s="17" t="n">
        <f aca="false">Daily_Composite!M116</f>
        <v>-0.466</v>
      </c>
      <c r="DJ11" s="17" t="n">
        <f aca="false">Daily_Composite!M117</f>
        <v>-0.605</v>
      </c>
      <c r="DK11" s="17" t="n">
        <f aca="false">Daily_Composite!M118</f>
        <v>-0.684</v>
      </c>
      <c r="DL11" s="17" t="n">
        <f aca="false">Daily_Composite!M119</f>
        <v>-0.268</v>
      </c>
      <c r="DM11" s="17" t="n">
        <f aca="false">Daily_Composite!M120</f>
        <v>-0.642</v>
      </c>
      <c r="DN11" s="17" t="n">
        <f aca="false">Daily_Composite!M121</f>
        <v>-0.134</v>
      </c>
      <c r="DO11" s="17" t="n">
        <f aca="false">Daily_Composite!M122</f>
        <v>-0.081</v>
      </c>
      <c r="DP11" s="17" t="n">
        <f aca="false">Daily_Composite!M123</f>
        <v>-0.076</v>
      </c>
      <c r="DQ11" s="17" t="n">
        <f aca="false">Daily_Composite!M124</f>
        <v>-0.06</v>
      </c>
      <c r="DR11" s="17" t="n">
        <f aca="false">Daily_Composite!M125</f>
        <v>0.243</v>
      </c>
      <c r="DS11" s="17" t="n">
        <f aca="false">Daily_Composite!M126</f>
        <v>0.464</v>
      </c>
      <c r="DT11" s="17" t="n">
        <f aca="false">Daily_Composite!M127</f>
        <v>0.079</v>
      </c>
      <c r="DU11" s="17" t="n">
        <f aca="false">Daily_Composite!M128</f>
        <v>0.131</v>
      </c>
      <c r="DV11" s="17" t="n">
        <f aca="false">Daily_Composite!M129</f>
        <v>-0.239</v>
      </c>
      <c r="DW11" s="17" t="n">
        <f aca="false">Daily_Composite!M130</f>
        <v>0.357</v>
      </c>
      <c r="DX11" s="17" t="n">
        <f aca="false">Daily_Composite!M131</f>
        <v>0.062</v>
      </c>
      <c r="DY11" s="17" t="n">
        <f aca="false">Daily_Composite!M132</f>
        <v>-0.078</v>
      </c>
      <c r="DZ11" s="17" t="n">
        <f aca="false">Daily_Composite!M133</f>
        <v>-0.023</v>
      </c>
      <c r="EA11" s="17" t="n">
        <f aca="false">Daily_Composite!M134</f>
        <v>-0.035</v>
      </c>
      <c r="EB11" s="17" t="n">
        <f aca="false">Daily_Composite!M135</f>
        <v>0.23</v>
      </c>
      <c r="EC11" s="17" t="n">
        <f aca="false">Daily_Composite!M136</f>
        <v>0.244</v>
      </c>
      <c r="ED11" s="17" t="n">
        <f aca="false">Daily_Composite!M137</f>
        <v>-0.257</v>
      </c>
      <c r="EE11" s="17" t="n">
        <f aca="false">Daily_Composite!M138</f>
        <v>-0.554</v>
      </c>
      <c r="EF11" s="17" t="n">
        <f aca="false">Daily_Composite!M139</f>
        <v>-0.245</v>
      </c>
      <c r="EG11" s="17" t="n">
        <f aca="false">Daily_Composite!M140</f>
        <v>0.094</v>
      </c>
      <c r="EH11" s="17" t="n">
        <f aca="false">Daily_Composite!M141</f>
        <v>-0.077</v>
      </c>
      <c r="EI11" s="17" t="n">
        <f aca="false">Daily_Composite!M142</f>
        <v>-0.057</v>
      </c>
      <c r="EJ11" s="17" t="n">
        <f aca="false">Daily_Composite!M143</f>
        <v>-0.148</v>
      </c>
      <c r="EK11" s="17" t="n">
        <f aca="false">Daily_Composite!M144</f>
        <v>-0.555</v>
      </c>
      <c r="EL11" s="17" t="n">
        <f aca="false">Daily_Composite!M145</f>
        <v>-0.355</v>
      </c>
      <c r="EM11" s="17" t="n">
        <f aca="false">Daily_Composite!M146</f>
        <v>-0.211</v>
      </c>
      <c r="EN11" s="17" t="n">
        <f aca="false">Daily_Composite!M147</f>
        <v>-0.614</v>
      </c>
      <c r="EO11" s="17" t="n">
        <f aca="false">Daily_Composite!M148</f>
        <v>-0.232</v>
      </c>
      <c r="EP11" s="17" t="n">
        <f aca="false">Daily_Composite!M149</f>
        <v>-0.184</v>
      </c>
      <c r="EQ11" s="17" t="n">
        <f aca="false">Daily_Composite!M150</f>
        <v>-0.195</v>
      </c>
      <c r="ER11" s="17" t="n">
        <f aca="false">Daily_Composite!M151</f>
        <v>-0.326</v>
      </c>
      <c r="ES11" s="17" t="n">
        <f aca="false">Daily_Composite!M152</f>
        <v>-0.338</v>
      </c>
      <c r="ET11" s="17" t="n">
        <f aca="false">Daily_Composite!M153</f>
        <v>-0.654</v>
      </c>
      <c r="EU11" s="17" t="n">
        <f aca="false">Daily_Composite!M154</f>
        <v>-0.65</v>
      </c>
      <c r="EV11" s="17" t="n">
        <f aca="false">Daily_Composite!M155</f>
        <v>-0.387</v>
      </c>
      <c r="EW11" s="17" t="n">
        <f aca="false">Daily_Composite!M156</f>
        <v>-0.576</v>
      </c>
      <c r="EX11" s="17" t="n">
        <f aca="false">Daily_Composite!M157</f>
        <v>-0.309</v>
      </c>
      <c r="EY11" s="17" t="n">
        <f aca="false">Daily_Composite!M158</f>
        <v>-0.166</v>
      </c>
      <c r="EZ11" s="17" t="n">
        <f aca="false">Daily_Composite!M159</f>
        <v>-0.157</v>
      </c>
      <c r="FA11" s="17" t="n">
        <f aca="false">Daily_Composite!M160</f>
        <v>-0.088</v>
      </c>
      <c r="FB11" s="17" t="n">
        <f aca="false">Daily_Composite!M161</f>
        <v>-0.456</v>
      </c>
      <c r="FC11" s="17" t="n">
        <f aca="false">Daily_Composite!M162</f>
        <v>-0.178</v>
      </c>
      <c r="FD11" s="17" t="n">
        <f aca="false">Daily_Composite!M163</f>
        <v>-0.509</v>
      </c>
      <c r="FE11" s="17" t="n">
        <f aca="false">Daily_Composite!M164</f>
        <v>-0.555</v>
      </c>
      <c r="FF11" s="17" t="n">
        <f aca="false">Daily_Composite!M165</f>
        <v>-0.114</v>
      </c>
      <c r="FG11" s="17" t="n">
        <f aca="false">Daily_Composite!M166</f>
        <v>-0.547</v>
      </c>
      <c r="FH11" s="17" t="n">
        <f aca="false">Daily_Composite!M167</f>
        <v>-0.058</v>
      </c>
      <c r="FI11" s="17" t="n">
        <f aca="false">Daily_Composite!M168</f>
        <v>-0.29</v>
      </c>
      <c r="FJ11" s="17" t="n">
        <f aca="false">Daily_Composite!M169</f>
        <v>-0.265</v>
      </c>
      <c r="FK11" s="17" t="n">
        <f aca="false">Daily_Composite!M170</f>
        <v>-0.223</v>
      </c>
      <c r="FL11" s="17" t="n">
        <f aca="false">Daily_Composite!M171</f>
        <v>-0.269</v>
      </c>
      <c r="FM11" s="17" t="n">
        <f aca="false">Daily_Composite!M172</f>
        <v>-0.171</v>
      </c>
      <c r="FN11" s="17" t="n">
        <f aca="false">Daily_Composite!M173</f>
        <v>-0.019</v>
      </c>
      <c r="FO11" s="17" t="n">
        <f aca="false">Daily_Composite!M174</f>
        <v>-0.364</v>
      </c>
      <c r="FP11" s="17" t="n">
        <f aca="false">Daily_Composite!M175</f>
        <v>0.066</v>
      </c>
      <c r="FQ11" s="17" t="n">
        <f aca="false">Daily_Composite!M176</f>
        <v>0.06</v>
      </c>
      <c r="FR11" s="17" t="n">
        <f aca="false">Daily_Composite!M177</f>
        <v>0.059</v>
      </c>
      <c r="FS11" s="17" t="n">
        <f aca="false">Daily_Composite!M178</f>
        <v>-0.054</v>
      </c>
      <c r="FT11" s="17" t="n">
        <f aca="false">Daily_Composite!M179</f>
        <v>-0.065</v>
      </c>
      <c r="FU11" s="17" t="n">
        <f aca="false">Daily_Composite!M180</f>
        <v>-0.569</v>
      </c>
      <c r="FV11" s="17" t="n">
        <f aca="false">Daily_Composite!M181</f>
        <v>-0.519</v>
      </c>
      <c r="FW11" s="17" t="n">
        <f aca="false">Daily_Composite!M182</f>
        <v>-0.218</v>
      </c>
      <c r="FX11" s="17" t="n">
        <f aca="false">Daily_Composite!M183</f>
        <v>-0.326</v>
      </c>
      <c r="FY11" s="17" t="n">
        <f aca="false">Daily_Composite!M184</f>
        <v>-0.346</v>
      </c>
      <c r="FZ11" s="17" t="n">
        <f aca="false">Daily_Composite!M185</f>
        <v>-0.213</v>
      </c>
      <c r="GA11" s="17" t="n">
        <f aca="false">Daily_Composite!M186</f>
        <v>-0.214</v>
      </c>
      <c r="GB11" s="17" t="n">
        <f aca="false">Daily_Composite!M187</f>
        <v>-0.226</v>
      </c>
      <c r="GC11" s="17" t="n">
        <f aca="false">Daily_Composite!M188</f>
        <v>-0.565</v>
      </c>
      <c r="GD11" s="17" t="n">
        <f aca="false">Daily_Composite!M189</f>
        <v>-0.589</v>
      </c>
      <c r="GE11" s="17" t="n">
        <f aca="false">Daily_Composite!M190</f>
        <v>-0.131</v>
      </c>
      <c r="GF11" s="17" t="n">
        <f aca="false">Daily_Composite!M191</f>
        <v>-0.597</v>
      </c>
      <c r="GG11" s="17" t="n">
        <f aca="false">Daily_Composite!M192</f>
        <v>-0.375</v>
      </c>
      <c r="GH11" s="17" t="n">
        <f aca="false">Daily_Composite!M193</f>
        <v>-0.489</v>
      </c>
      <c r="GI11" s="17" t="n">
        <f aca="false">Daily_Composite!M194</f>
        <v>-0.22</v>
      </c>
      <c r="GJ11" s="17" t="n">
        <f aca="false">Daily_Composite!M195</f>
        <v>-0.092</v>
      </c>
      <c r="GK11" s="17" t="n">
        <f aca="false">Daily_Composite!M196</f>
        <v>-0.244</v>
      </c>
      <c r="GL11" s="17" t="n">
        <f aca="false">Daily_Composite!M197</f>
        <v>-0.305</v>
      </c>
      <c r="GM11" s="17" t="n">
        <f aca="false">Daily_Composite!M198</f>
        <v>-0.389</v>
      </c>
      <c r="GN11" s="17" t="n">
        <f aca="false">Daily_Composite!M199</f>
        <v>-0.489</v>
      </c>
      <c r="GO11" s="17" t="n">
        <f aca="false">Daily_Composite!M200</f>
        <v>-0.658</v>
      </c>
      <c r="GP11" s="17" t="n">
        <f aca="false">Daily_Composite!M201</f>
        <v>-0.26</v>
      </c>
      <c r="GQ11" s="17" t="n">
        <f aca="false">Daily_Composite!M202</f>
        <v>-0.62</v>
      </c>
      <c r="GR11" s="17" t="n">
        <f aca="false">Daily_Composite!M203</f>
        <v>-0.248</v>
      </c>
      <c r="GS11" s="17" t="n">
        <f aca="false">Daily_Composite!M204</f>
        <v>-0.169</v>
      </c>
      <c r="GT11" s="17" t="n">
        <f aca="false">Daily_Composite!M205</f>
        <v>-0.175</v>
      </c>
      <c r="GU11" s="17" t="n">
        <f aca="false">Daily_Composite!M206</f>
        <v>-0.274</v>
      </c>
      <c r="GV11" s="17" t="n">
        <f aca="false">Daily_Composite!M207</f>
        <v>-0.448</v>
      </c>
      <c r="GW11" s="17" t="n">
        <f aca="false">Daily_Composite!M208</f>
        <v>-0.49</v>
      </c>
      <c r="GX11" s="17" t="n">
        <f aca="false">Daily_Composite!M209</f>
        <v>-0.197</v>
      </c>
      <c r="GY11" s="17" t="n">
        <f aca="false">Daily_Composite!M210</f>
        <v>-0.221</v>
      </c>
      <c r="GZ11" s="17" t="n">
        <f aca="false">Daily_Composite!M211</f>
        <v>-0.467</v>
      </c>
      <c r="HA11" s="17" t="n">
        <f aca="false">Daily_Composite!M212</f>
        <v>-0.465</v>
      </c>
      <c r="HB11" s="17" t="n">
        <f aca="false">Daily_Composite!M213</f>
        <v>-0.221</v>
      </c>
      <c r="HC11" s="17" t="n">
        <f aca="false">Daily_Composite!M214</f>
        <v>-0.251</v>
      </c>
      <c r="HD11" s="17" t="n">
        <f aca="false">Daily_Composite!M215</f>
        <v>-0.644</v>
      </c>
      <c r="HE11" s="17" t="n">
        <f aca="false">Daily_Composite!M216</f>
        <v>-0.658</v>
      </c>
      <c r="HF11" s="17" t="n">
        <f aca="false">Daily_Composite!M217</f>
        <v>-0.666</v>
      </c>
      <c r="HG11" s="17" t="n">
        <f aca="false">Daily_Composite!M218</f>
        <v>-0.726</v>
      </c>
      <c r="HH11" s="17" t="n">
        <f aca="false">Daily_Composite!M219</f>
        <v>-0.568</v>
      </c>
      <c r="HI11" s="17" t="n">
        <f aca="false">Daily_Composite!M220</f>
        <v>-0.713</v>
      </c>
      <c r="HJ11" s="17" t="n">
        <f aca="false">Daily_Composite!M221</f>
        <v>-0.716</v>
      </c>
      <c r="HK11" s="17" t="n">
        <f aca="false">Daily_Composite!M222</f>
        <v>-0.282</v>
      </c>
      <c r="HL11" s="17" t="n">
        <f aca="false">Daily_Composite!M223</f>
        <v>-0.275</v>
      </c>
      <c r="HM11" s="17" t="n">
        <f aca="false">Daily_Composite!M224</f>
        <v>-0.511</v>
      </c>
      <c r="HN11" s="17" t="n">
        <f aca="false">Daily_Composite!M225</f>
        <v>-0.365</v>
      </c>
      <c r="HO11" s="17" t="n">
        <f aca="false">Daily_Composite!M226</f>
        <v>-0.357</v>
      </c>
      <c r="HP11" s="17" t="n">
        <f aca="false">Daily_Composite!M227</f>
        <v>-0.641</v>
      </c>
      <c r="HQ11" s="17" t="n">
        <f aca="false">Daily_Composite!M228</f>
        <v>-0.209</v>
      </c>
      <c r="HR11" s="17" t="n">
        <f aca="false">Daily_Composite!M229</f>
        <v>-0.383</v>
      </c>
      <c r="HS11" s="17" t="n">
        <f aca="false">Daily_Composite!M230</f>
        <v>-0.219</v>
      </c>
      <c r="HT11" s="17" t="n">
        <f aca="false">Daily_Composite!M231</f>
        <v>-0.096</v>
      </c>
      <c r="HU11" s="17" t="n">
        <f aca="false">Daily_Composite!M232</f>
        <v>-0.065</v>
      </c>
      <c r="HV11" s="17" t="n">
        <f aca="false">Daily_Composite!M233</f>
        <v>-0.188</v>
      </c>
      <c r="HW11" s="17" t="n">
        <f aca="false">Daily_Composite!M234</f>
        <v>-0.188</v>
      </c>
      <c r="HX11" s="17" t="n">
        <f aca="false">Daily_Composite!M235</f>
        <v>-0.327</v>
      </c>
      <c r="HY11" s="17" t="n">
        <f aca="false">Daily_Composite!M236</f>
        <v>-0.476</v>
      </c>
      <c r="HZ11" s="17" t="n">
        <f aca="false">Daily_Composite!M237</f>
        <v>-0.275</v>
      </c>
      <c r="IA11" s="17" t="n">
        <f aca="false">Daily_Composite!M238</f>
        <v>-0.098</v>
      </c>
      <c r="IB11" s="17" t="n">
        <f aca="false">Daily_Composite!M239</f>
        <v>-0.153</v>
      </c>
      <c r="IC11" s="17" t="n">
        <f aca="false">Daily_Composite!M240</f>
        <v>-0.213</v>
      </c>
      <c r="ID11" s="17" t="n">
        <f aca="false">Daily_Composite!M241</f>
        <v>-0.11</v>
      </c>
      <c r="IE11" s="17" t="n">
        <f aca="false">Daily_Composite!M242</f>
        <v>-0.387</v>
      </c>
      <c r="IF11" s="17" t="n">
        <f aca="false">Daily_Composite!M243</f>
        <v>-0.442</v>
      </c>
      <c r="IG11" s="17" t="n">
        <f aca="false">Daily_Composite!M244</f>
        <v>-0.467</v>
      </c>
      <c r="IH11" s="17" t="n">
        <f aca="false">Daily_Composite!M245</f>
        <v>0.109</v>
      </c>
      <c r="II11" s="17" t="n">
        <f aca="false">Daily_Composite!M246</f>
        <v>-0.135</v>
      </c>
      <c r="IJ11" s="17" t="n">
        <f aca="false">Daily_Composite!M247</f>
        <v>-0.023</v>
      </c>
      <c r="IK11" s="17" t="n">
        <f aca="false">Daily_Composite!M248</f>
        <v>0.062</v>
      </c>
      <c r="IL11" s="17" t="n">
        <f aca="false">Daily_Composite!M249</f>
        <v>-0.057</v>
      </c>
      <c r="IM11" s="17" t="n">
        <f aca="false">Daily_Composite!M250</f>
        <v>0.065</v>
      </c>
      <c r="IN11" s="17" t="n">
        <f aca="false">Daily_Composite!M251</f>
        <v>0.197</v>
      </c>
      <c r="IO11" s="17" t="n">
        <f aca="false">Daily_Composite!M252</f>
        <v>0.082</v>
      </c>
      <c r="IP11" s="17" t="n">
        <f aca="false">Daily_Composite!M253</f>
        <v>-0.082</v>
      </c>
      <c r="IQ11" s="17" t="n">
        <f aca="false">Daily_Composite!M254</f>
        <v>0.141</v>
      </c>
      <c r="IR11" s="17" t="n">
        <f aca="false">Daily_Composite!M255</f>
        <v>-0.15</v>
      </c>
      <c r="IS11" s="17" t="n">
        <f aca="false">Daily_Composite!M256</f>
        <v>-0.654</v>
      </c>
      <c r="IT11" s="17" t="n">
        <f aca="false">Daily_Composite!M257</f>
        <v>-0.273</v>
      </c>
      <c r="IU11" s="17" t="n">
        <f aca="false">Daily_Composite!M258</f>
        <v>-0.249</v>
      </c>
      <c r="IV11" s="17" t="n">
        <f aca="false">Daily_Composite!M259</f>
        <v>-0.265</v>
      </c>
      <c r="IW11" s="17" t="n">
        <f aca="false">Daily_Composite!M260</f>
        <v>-0.12</v>
      </c>
      <c r="IX11" s="17" t="n">
        <f aca="false">Daily_Composite!M261</f>
        <v>-0.158</v>
      </c>
      <c r="IY11" s="17" t="n">
        <f aca="false">Daily_Composite!M262</f>
        <v>-0.595</v>
      </c>
      <c r="IZ11" s="17" t="n">
        <f aca="false">Daily_Composite!M263</f>
        <v>-0.152</v>
      </c>
      <c r="JA11" s="17" t="n">
        <f aca="false">Daily_Composite!M264</f>
        <v>-0.281</v>
      </c>
      <c r="JB11" s="17" t="n">
        <f aca="false">Daily_Composite!M265</f>
        <v>-0.502</v>
      </c>
      <c r="JC11" s="17" t="n">
        <f aca="false">Daily_Composite!M266</f>
        <v>-0.528</v>
      </c>
      <c r="JD11" s="17" t="n">
        <f aca="false">Daily_Composite!M267</f>
        <v>-0.313</v>
      </c>
      <c r="JE11" s="17" t="n">
        <f aca="false">Daily_Composite!M268</f>
        <v>-0.293</v>
      </c>
      <c r="JF11" s="17" t="n">
        <f aca="false">Daily_Composite!M269</f>
        <v>-0.31</v>
      </c>
      <c r="JG11" s="17" t="n">
        <f aca="false">Daily_Composite!M270</f>
        <v>-0.639</v>
      </c>
      <c r="JH11" s="17" t="n">
        <f aca="false">Daily_Composite!M271</f>
        <v>-0.682</v>
      </c>
      <c r="JI11" s="17" t="n">
        <f aca="false">Daily_Composite!M272</f>
        <v>-0.721</v>
      </c>
      <c r="JJ11" s="17" t="n">
        <f aca="false">Daily_Composite!M273</f>
        <v>-0.601</v>
      </c>
      <c r="JK11" s="17" t="n">
        <f aca="false">Daily_Composite!M274</f>
        <v>-0.608</v>
      </c>
      <c r="JL11" s="17" t="n">
        <f aca="false">Daily_Composite!M275</f>
        <v>-0.49</v>
      </c>
      <c r="JM11" s="17" t="n">
        <f aca="false">Daily_Composite!M276</f>
        <v>-0.183</v>
      </c>
      <c r="JN11" s="17" t="n">
        <f aca="false">Daily_Composite!M277</f>
        <v>-0.266</v>
      </c>
      <c r="JO11" s="17" t="n">
        <f aca="false">Daily_Composite!M278</f>
        <v>-0.229</v>
      </c>
      <c r="JP11" s="17" t="n">
        <f aca="false">Daily_Composite!M279</f>
        <v>-0.34</v>
      </c>
      <c r="JQ11" s="17" t="n">
        <f aca="false">Daily_Composite!M280</f>
        <v>-0.239</v>
      </c>
      <c r="JR11" s="17" t="n">
        <f aca="false">Daily_Composite!M281</f>
        <v>-0.572</v>
      </c>
      <c r="JS11" s="17" t="n">
        <f aca="false">Daily_Composite!M282</f>
        <v>0.107</v>
      </c>
      <c r="JT11" s="17" t="n">
        <f aca="false">Daily_Composite!M283</f>
        <v>-0.242</v>
      </c>
      <c r="JU11" s="17" t="n">
        <f aca="false">Daily_Composite!M284</f>
        <v>-0.578</v>
      </c>
      <c r="JV11" s="17" t="n">
        <f aca="false">Daily_Composite!M285</f>
        <v>-0.264</v>
      </c>
      <c r="JW11" s="17" t="n">
        <f aca="false">Daily_Composite!M286</f>
        <v>-0.227</v>
      </c>
      <c r="JX11" s="17" t="n">
        <f aca="false">Daily_Composite!M287</f>
        <v>-0.243</v>
      </c>
      <c r="JY11" s="17" t="n">
        <f aca="false">Daily_Composite!M288</f>
        <v>-0.116</v>
      </c>
      <c r="JZ11" s="17" t="n">
        <f aca="false">Daily_Composite!M289</f>
        <v>-0.022</v>
      </c>
      <c r="KA11" s="17" t="n">
        <f aca="false">Daily_Composite!M290</f>
        <v>0.103</v>
      </c>
      <c r="KB11" s="17" t="n">
        <f aca="false">Daily_Composite!M291</f>
        <v>-0.265</v>
      </c>
      <c r="KC11" s="17" t="n">
        <f aca="false">Daily_Composite!M292</f>
        <v>-0.594</v>
      </c>
      <c r="KD11" s="17" t="n">
        <f aca="false">Daily_Composite!M293</f>
        <v>-0.332</v>
      </c>
      <c r="KE11" s="17" t="n">
        <f aca="false">Daily_Composite!M294</f>
        <v>-0.265</v>
      </c>
      <c r="KF11" s="17" t="n">
        <f aca="false">Daily_Composite!M295</f>
        <v>-0.195</v>
      </c>
      <c r="KG11" s="17" t="n">
        <f aca="false">Daily_Composite!M296</f>
        <v>-0.098</v>
      </c>
      <c r="KH11" s="17" t="n">
        <f aca="false">Daily_Composite!M297</f>
        <v>-0.509</v>
      </c>
      <c r="KI11" s="17" t="n">
        <f aca="false">Daily_Composite!M298</f>
        <v>-0.574</v>
      </c>
      <c r="KJ11" s="17" t="n">
        <f aca="false">Daily_Composite!M299</f>
        <v>-0.572</v>
      </c>
      <c r="KK11" s="17" t="n">
        <f aca="false">Daily_Composite!M300</f>
        <v>-0.224</v>
      </c>
      <c r="KL11" s="17" t="n">
        <f aca="false">Daily_Composite!M301</f>
        <v>-0.528</v>
      </c>
      <c r="KM11" s="17" t="n">
        <f aca="false">Daily_Composite!M302</f>
        <v>-0.326</v>
      </c>
      <c r="KN11" s="17" t="n">
        <f aca="false">Daily_Composite!M303</f>
        <v>-0.212</v>
      </c>
      <c r="KO11" s="17" t="n">
        <f aca="false">Daily_Composite!M304</f>
        <v>-0.282</v>
      </c>
      <c r="KP11" s="17" t="n">
        <f aca="false">Daily_Composite!M305</f>
        <v>-0.384</v>
      </c>
      <c r="KQ11" s="17" t="n">
        <f aca="false">Daily_Composite!M306</f>
        <v>-0.262</v>
      </c>
      <c r="KR11" s="17" t="n">
        <f aca="false">Daily_Composite!M307</f>
        <v>-0.425</v>
      </c>
      <c r="KS11" s="17" t="n">
        <f aca="false">Daily_Composite!M308</f>
        <v>-0.562</v>
      </c>
      <c r="KT11" s="17" t="n">
        <f aca="false">Daily_Composite!M309</f>
        <v>-0.019</v>
      </c>
      <c r="KU11" s="17" t="n">
        <f aca="false">Daily_Composite!M310</f>
        <v>-0.234</v>
      </c>
      <c r="KV11" s="17" t="n">
        <f aca="false">Daily_Composite!M311</f>
        <v>-0.653</v>
      </c>
      <c r="KW11" s="17" t="n">
        <f aca="false">Daily_Composite!M312</f>
        <v>-0.263</v>
      </c>
      <c r="KX11" s="17" t="n">
        <f aca="false">Daily_Composite!M313</f>
        <v>-0.259</v>
      </c>
      <c r="KY11" s="17" t="n">
        <f aca="false">Daily_Composite!M314</f>
        <v>-0.22</v>
      </c>
      <c r="KZ11" s="17" t="n">
        <f aca="false">Daily_Composite!M315</f>
        <v>-0.242</v>
      </c>
      <c r="LA11" s="17" t="n">
        <f aca="false">Daily_Composite!M316</f>
        <v>-0.237</v>
      </c>
      <c r="LB11" s="17" t="n">
        <f aca="false">Daily_Composite!M317</f>
        <v>-0.212</v>
      </c>
      <c r="LC11" s="17" t="n">
        <f aca="false">Daily_Composite!M318</f>
        <v>0.086</v>
      </c>
      <c r="LD11" s="17" t="n">
        <f aca="false">Daily_Composite!M319</f>
        <v>-0.383</v>
      </c>
      <c r="LE11" s="17" t="n">
        <f aca="false">Daily_Composite!M320</f>
        <v>-0.561</v>
      </c>
      <c r="LF11" s="17" t="n">
        <f aca="false">Daily_Composite!M321</f>
        <v>-0.099</v>
      </c>
      <c r="LG11" s="17" t="n">
        <f aca="false">Daily_Composite!M322</f>
        <v>0.062</v>
      </c>
      <c r="LH11" s="17" t="n">
        <f aca="false">Daily_Composite!M323</f>
        <v>0.076</v>
      </c>
      <c r="LI11" s="17" t="n">
        <f aca="false">Daily_Composite!M324</f>
        <v>-0.343</v>
      </c>
      <c r="LJ11" s="17" t="n">
        <f aca="false">Daily_Composite!M325</f>
        <v>-0.35</v>
      </c>
      <c r="LK11" s="17" t="n">
        <f aca="false">Daily_Composite!M326</f>
        <v>-0.569</v>
      </c>
      <c r="LL11" s="17" t="n">
        <f aca="false">Daily_Composite!M327</f>
        <v>0.28</v>
      </c>
      <c r="LM11" s="17" t="n">
        <f aca="false">Daily_Composite!M328</f>
        <v>-0.076</v>
      </c>
      <c r="LN11" s="17" t="n">
        <f aca="false">Daily_Composite!M329</f>
        <v>0.095</v>
      </c>
      <c r="LO11" s="17" t="n">
        <f aca="false">Daily_Composite!M330</f>
        <v>-0.341</v>
      </c>
      <c r="LP11" s="17" t="n">
        <f aca="false">Daily_Composite!M331</f>
        <v>0.121</v>
      </c>
      <c r="LQ11" s="17" t="n">
        <f aca="false">Daily_Composite!M332</f>
        <v>0.251</v>
      </c>
      <c r="LR11" s="17" t="n">
        <f aca="false">Daily_Composite!M333</f>
        <v>0.266</v>
      </c>
      <c r="LS11" s="17" t="n">
        <f aca="false">Daily_Composite!M334</f>
        <v>0.064</v>
      </c>
      <c r="LT11" s="17" t="n">
        <f aca="false">Daily_Composite!M335</f>
        <v>0.059</v>
      </c>
      <c r="LU11" s="17" t="n">
        <f aca="false">Daily_Composite!M336</f>
        <v>-0.39</v>
      </c>
      <c r="LV11" s="17" t="n">
        <f aca="false">Daily_Composite!M337</f>
        <v>0.341</v>
      </c>
      <c r="LW11" s="17" t="n">
        <f aca="false">Daily_Composite!M338</f>
        <v>0.168</v>
      </c>
      <c r="LX11" s="17" t="n">
        <f aca="false">Daily_Composite!M339</f>
        <v>-0.002</v>
      </c>
      <c r="LY11" s="17" t="n">
        <f aca="false">Daily_Composite!M340</f>
        <v>0.119</v>
      </c>
      <c r="LZ11" s="17" t="n">
        <f aca="false">Daily_Composite!M341</f>
        <v>0.145</v>
      </c>
      <c r="MA11" s="17" t="n">
        <f aca="false">Daily_Composite!M342</f>
        <v>0.093</v>
      </c>
      <c r="MB11" s="17" t="n">
        <f aca="false">Daily_Composite!M343</f>
        <v>0.104</v>
      </c>
      <c r="MC11" s="17" t="n">
        <f aca="false">Daily_Composite!M344</f>
        <v>-0.455</v>
      </c>
      <c r="MD11" s="17" t="n">
        <f aca="false">Daily_Composite!M345</f>
        <v>-0.013</v>
      </c>
      <c r="ME11" s="17" t="n">
        <f aca="false">Daily_Composite!M346</f>
        <v>0.133</v>
      </c>
      <c r="MF11" s="17" t="n">
        <f aca="false">Daily_Composite!M347</f>
        <v>0.35</v>
      </c>
      <c r="MG11" s="17" t="n">
        <f aca="false">Daily_Composite!M348</f>
        <v>0.048</v>
      </c>
      <c r="MH11" s="17" t="n">
        <f aca="false">Daily_Composite!M349</f>
        <v>0.186</v>
      </c>
      <c r="MI11" s="17" t="n">
        <f aca="false">Daily_Composite!M350</f>
        <v>0.254</v>
      </c>
      <c r="MJ11" s="17" t="n">
        <f aca="false">Daily_Composite!M351</f>
        <v>0.324</v>
      </c>
      <c r="MK11" s="17" t="n">
        <f aca="false">Daily_Composite!M352</f>
        <v>0.213</v>
      </c>
      <c r="ML11" s="17" t="n">
        <f aca="false">Daily_Composite!M353</f>
        <v>0.207</v>
      </c>
      <c r="MM11" s="17" t="n">
        <f aca="false">Daily_Composite!M354</f>
        <v>0.268</v>
      </c>
      <c r="MN11" s="17" t="n">
        <f aca="false">Daily_Composite!M355</f>
        <v>0.197</v>
      </c>
      <c r="MO11" s="17" t="n">
        <f aca="false">Daily_Composite!M356</f>
        <v>0.142</v>
      </c>
      <c r="MP11" s="17" t="n">
        <f aca="false">Daily_Composite!M357</f>
        <v>0.532</v>
      </c>
      <c r="MQ11" s="17" t="n">
        <f aca="false">Daily_Composite!M358</f>
        <v>0.027</v>
      </c>
      <c r="MR11" s="17" t="n">
        <f aca="false">Daily_Composite!M359</f>
        <v>-0.015</v>
      </c>
      <c r="MS11" s="17" t="n">
        <f aca="false">Daily_Composite!M360</f>
        <v>0.057</v>
      </c>
      <c r="MT11" s="17" t="n">
        <f aca="false">Daily_Composite!M361</f>
        <v>0.098</v>
      </c>
      <c r="MU11" s="17" t="n">
        <f aca="false">Daily_Composite!M362</f>
        <v>0.07</v>
      </c>
      <c r="MV11" s="17" t="n">
        <f aca="false">Daily_Composite!M363</f>
        <v>-0.132</v>
      </c>
      <c r="MW11" s="17" t="n">
        <f aca="false">Daily_Composite!M364</f>
        <v>0.011</v>
      </c>
      <c r="MX11" s="17" t="n">
        <f aca="false">Daily_Composite!M365</f>
        <v>-0.112</v>
      </c>
      <c r="MY11" s="17" t="n">
        <f aca="false">Daily_Composite!M366</f>
        <v>0.36</v>
      </c>
      <c r="MZ11" s="17" t="n">
        <f aca="false">Daily_Composite!M367</f>
        <v>-0.161</v>
      </c>
      <c r="NA11" s="17" t="n">
        <f aca="false">Daily_Composite!M368</f>
        <v>-0.143</v>
      </c>
      <c r="NB11" s="17" t="n">
        <f aca="false">Daily_Composite!M369</f>
        <v>-0.165</v>
      </c>
    </row>
    <row r="12" customFormat="false" ht="15" hidden="false" customHeight="false" outlineLevel="0" collapsed="false">
      <c r="A12" s="6" t="s">
        <v>25</v>
      </c>
      <c r="B12" s="17" t="n">
        <f aca="false">Daily_Composite!N5</f>
        <v>0.067</v>
      </c>
      <c r="C12" s="17" t="n">
        <f aca="false">Daily_Composite!N6</f>
        <v>-0.135</v>
      </c>
      <c r="D12" s="17" t="n">
        <f aca="false">Daily_Composite!N7</f>
        <v>-0.105</v>
      </c>
      <c r="E12" s="17" t="n">
        <f aca="false">Daily_Composite!N8</f>
        <v>0.057</v>
      </c>
      <c r="F12" s="17" t="n">
        <f aca="false">Daily_Composite!N9</f>
        <v>-0.023</v>
      </c>
      <c r="G12" s="17" t="n">
        <f aca="false">Daily_Composite!N10</f>
        <v>-0.305</v>
      </c>
      <c r="H12" s="17" t="n">
        <f aca="false">Daily_Composite!N11</f>
        <v>-0.075</v>
      </c>
      <c r="I12" s="17" t="n">
        <f aca="false">Daily_Composite!N12</f>
        <v>-0.5</v>
      </c>
      <c r="J12" s="17" t="n">
        <f aca="false">Daily_Composite!N13</f>
        <v>-0.116</v>
      </c>
      <c r="K12" s="17" t="n">
        <f aca="false">Daily_Composite!N14</f>
        <v>-0.183</v>
      </c>
      <c r="L12" s="17" t="n">
        <f aca="false">Daily_Composite!N15</f>
        <v>-0.551</v>
      </c>
      <c r="M12" s="17" t="n">
        <f aca="false">Daily_Composite!N16</f>
        <v>-0.316</v>
      </c>
      <c r="N12" s="17" t="n">
        <f aca="false">Daily_Composite!N17</f>
        <v>-0.086</v>
      </c>
      <c r="O12" s="17" t="n">
        <f aca="false">Daily_Composite!N18</f>
        <v>-0.068</v>
      </c>
      <c r="P12" s="17" t="n">
        <f aca="false">Daily_Composite!N19</f>
        <v>-0.111</v>
      </c>
      <c r="Q12" s="17" t="n">
        <f aca="false">Daily_Composite!N20</f>
        <v>-0.25</v>
      </c>
      <c r="R12" s="17" t="n">
        <f aca="false">Daily_Composite!N21</f>
        <v>0.305</v>
      </c>
      <c r="S12" s="17" t="n">
        <f aca="false">Daily_Composite!N22</f>
        <v>-0.411</v>
      </c>
      <c r="T12" s="17" t="n">
        <f aca="false">Daily_Composite!N23</f>
        <v>-0.102</v>
      </c>
      <c r="U12" s="17" t="n">
        <f aca="false">Daily_Composite!N24</f>
        <v>-0.111</v>
      </c>
      <c r="V12" s="17" t="n">
        <f aca="false">Daily_Composite!N25</f>
        <v>-0.101</v>
      </c>
      <c r="W12" s="17" t="n">
        <f aca="false">Daily_Composite!N26</f>
        <v>-0.268</v>
      </c>
      <c r="X12" s="17" t="n">
        <f aca="false">Daily_Composite!N27</f>
        <v>-0.269</v>
      </c>
      <c r="Y12" s="17" t="n">
        <f aca="false">Daily_Composite!N28</f>
        <v>-0.275</v>
      </c>
      <c r="Z12" s="17" t="n">
        <f aca="false">Daily_Composite!N29</f>
        <v>-0.431</v>
      </c>
      <c r="AA12" s="17" t="n">
        <f aca="false">Daily_Composite!N30</f>
        <v>-0.188</v>
      </c>
      <c r="AB12" s="17" t="n">
        <f aca="false">Daily_Composite!N31</f>
        <v>-0.379</v>
      </c>
      <c r="AC12" s="17" t="n">
        <f aca="false">Daily_Composite!N32</f>
        <v>-0.225</v>
      </c>
      <c r="AD12" s="17" t="n">
        <f aca="false">Daily_Composite!N33</f>
        <v>-0.175</v>
      </c>
      <c r="AE12" s="17" t="n">
        <f aca="false">Daily_Composite!N34</f>
        <v>-0.154</v>
      </c>
      <c r="AF12" s="17" t="n">
        <f aca="false">Daily_Composite!N35</f>
        <v>0.212</v>
      </c>
      <c r="AG12" s="17" t="n">
        <f aca="false">Daily_Composite!N36</f>
        <v>-0.056</v>
      </c>
      <c r="AH12" s="17" t="n">
        <f aca="false">Daily_Composite!N37</f>
        <v>-0.134</v>
      </c>
      <c r="AI12" s="17" t="n">
        <f aca="false">Daily_Composite!N38</f>
        <v>-0.243</v>
      </c>
      <c r="AJ12" s="17" t="n">
        <f aca="false">Daily_Composite!N39</f>
        <v>0.099</v>
      </c>
      <c r="AK12" s="17" t="n">
        <f aca="false">Daily_Composite!N40</f>
        <v>-0.036</v>
      </c>
      <c r="AL12" s="17" t="n">
        <f aca="false">Daily_Composite!N41</f>
        <v>-0.065</v>
      </c>
      <c r="AM12" s="17" t="n">
        <f aca="false">Daily_Composite!N42</f>
        <v>-0.492</v>
      </c>
      <c r="AN12" s="17" t="n">
        <f aca="false">Daily_Composite!N43</f>
        <v>0.177</v>
      </c>
      <c r="AO12" s="17" t="n">
        <f aca="false">Daily_Composite!N44</f>
        <v>-0.187</v>
      </c>
      <c r="AP12" s="17" t="n">
        <f aca="false">Daily_Composite!N45</f>
        <v>-0.107</v>
      </c>
      <c r="AQ12" s="17" t="n">
        <f aca="false">Daily_Composite!N46</f>
        <v>0.174</v>
      </c>
      <c r="AR12" s="17" t="n">
        <f aca="false">Daily_Composite!N47</f>
        <v>-0.411</v>
      </c>
      <c r="AS12" s="17" t="n">
        <f aca="false">Daily_Composite!N48</f>
        <v>0.109</v>
      </c>
      <c r="AT12" s="17" t="n">
        <f aca="false">Daily_Composite!N49</f>
        <v>-0.459</v>
      </c>
      <c r="AU12" s="17" t="n">
        <f aca="false">Daily_Composite!N50</f>
        <v>-0.123</v>
      </c>
      <c r="AV12" s="17" t="n">
        <f aca="false">Daily_Composite!N51</f>
        <v>-0.317</v>
      </c>
      <c r="AW12" s="17" t="n">
        <f aca="false">Daily_Composite!N52</f>
        <v>-0.522</v>
      </c>
      <c r="AX12" s="17" t="n">
        <f aca="false">Daily_Composite!N53</f>
        <v>-0.148</v>
      </c>
      <c r="AY12" s="17" t="n">
        <f aca="false">Daily_Composite!N54</f>
        <v>-0.363</v>
      </c>
      <c r="AZ12" s="17" t="n">
        <f aca="false">Daily_Composite!N55</f>
        <v>-0.39</v>
      </c>
      <c r="BA12" s="17" t="n">
        <f aca="false">Daily_Composite!N56</f>
        <v>-0.335</v>
      </c>
      <c r="BB12" s="17" t="n">
        <f aca="false">Daily_Composite!N57</f>
        <v>-0.566</v>
      </c>
      <c r="BC12" s="17" t="n">
        <f aca="false">Daily_Composite!N58</f>
        <v>-0.15</v>
      </c>
      <c r="BD12" s="17" t="n">
        <f aca="false">Daily_Composite!N59</f>
        <v>0.185</v>
      </c>
      <c r="BE12" s="17" t="n">
        <f aca="false">Daily_Composite!N60</f>
        <v>-0.212</v>
      </c>
      <c r="BF12" s="17" t="n">
        <f aca="false">Daily_Composite!N61</f>
        <v>-0.562</v>
      </c>
      <c r="BG12" s="17" t="n">
        <f aca="false">Daily_Composite!N62</f>
        <v>0.154</v>
      </c>
      <c r="BH12" s="17" t="n">
        <f aca="false">Daily_Composite!N63</f>
        <v>-0.272</v>
      </c>
      <c r="BI12" s="17" t="n">
        <f aca="false">Daily_Composite!N64</f>
        <v>-0.256</v>
      </c>
      <c r="BJ12" s="17" t="n">
        <f aca="false">Daily_Composite!N65</f>
        <v>-0.605</v>
      </c>
      <c r="BK12" s="17" t="n">
        <f aca="false">Daily_Composite!N66</f>
        <v>-0.528</v>
      </c>
      <c r="BL12" s="17" t="n">
        <f aca="false">Daily_Composite!N67</f>
        <v>-0.038</v>
      </c>
      <c r="BM12" s="17" t="n">
        <f aca="false">Daily_Composite!N68</f>
        <v>-0.246</v>
      </c>
      <c r="BN12" s="17" t="n">
        <f aca="false">Daily_Composite!N69</f>
        <v>-0.354</v>
      </c>
      <c r="BO12" s="17" t="n">
        <f aca="false">Daily_Composite!N70</f>
        <v>-0.606</v>
      </c>
      <c r="BP12" s="17" t="n">
        <f aca="false">Daily_Composite!N71</f>
        <v>-0.247</v>
      </c>
      <c r="BQ12" s="17" t="n">
        <f aca="false">Daily_Composite!N72</f>
        <v>-0.32</v>
      </c>
      <c r="BR12" s="17" t="n">
        <f aca="false">Daily_Composite!N73</f>
        <v>-0.317</v>
      </c>
      <c r="BS12" s="17" t="n">
        <f aca="false">Daily_Composite!N74</f>
        <v>-0.604</v>
      </c>
      <c r="BT12" s="17" t="n">
        <f aca="false">Daily_Composite!N75</f>
        <v>-0.292</v>
      </c>
      <c r="BU12" s="17" t="n">
        <f aca="false">Daily_Composite!N76</f>
        <v>-0.441</v>
      </c>
      <c r="BV12" s="17" t="n">
        <f aca="false">Daily_Composite!N77</f>
        <v>-0.314</v>
      </c>
      <c r="BW12" s="17" t="n">
        <f aca="false">Daily_Composite!N78</f>
        <v>-0.269</v>
      </c>
      <c r="BX12" s="17" t="n">
        <f aca="false">Daily_Composite!N79</f>
        <v>-0.512</v>
      </c>
      <c r="BY12" s="17" t="n">
        <f aca="false">Daily_Composite!N80</f>
        <v>-0.492</v>
      </c>
      <c r="BZ12" s="17" t="n">
        <f aca="false">Daily_Composite!N81</f>
        <v>0.251</v>
      </c>
      <c r="CA12" s="17" t="n">
        <f aca="false">Daily_Composite!N82</f>
        <v>-0.213</v>
      </c>
      <c r="CB12" s="17" t="n">
        <f aca="false">Daily_Composite!N83</f>
        <v>-0.319</v>
      </c>
      <c r="CC12" s="17" t="n">
        <f aca="false">Daily_Composite!N84</f>
        <v>-0.663</v>
      </c>
      <c r="CD12" s="17" t="n">
        <f aca="false">Daily_Composite!N85</f>
        <v>-0.254</v>
      </c>
      <c r="CE12" s="17" t="n">
        <f aca="false">Daily_Composite!N86</f>
        <v>0.08</v>
      </c>
      <c r="CF12" s="17" t="n">
        <f aca="false">Daily_Composite!N87</f>
        <v>0.076</v>
      </c>
      <c r="CG12" s="17" t="n">
        <f aca="false">Daily_Composite!N88</f>
        <v>-0.462</v>
      </c>
      <c r="CH12" s="17" t="n">
        <f aca="false">Daily_Composite!N89</f>
        <v>-0.692</v>
      </c>
      <c r="CI12" s="17" t="n">
        <f aca="false">Daily_Composite!N90</f>
        <v>-0.013</v>
      </c>
      <c r="CJ12" s="17" t="n">
        <f aca="false">Daily_Composite!N91</f>
        <v>-0.345</v>
      </c>
      <c r="CK12" s="17" t="n">
        <f aca="false">Daily_Composite!N92</f>
        <v>-0.46</v>
      </c>
      <c r="CL12" s="17" t="n">
        <f aca="false">Daily_Composite!N93</f>
        <v>-0.597</v>
      </c>
      <c r="CM12" s="17" t="n">
        <f aca="false">Daily_Composite!N94</f>
        <v>0.079</v>
      </c>
      <c r="CN12" s="17" t="n">
        <f aca="false">Daily_Composite!N95</f>
        <v>-0.597</v>
      </c>
      <c r="CO12" s="17" t="n">
        <f aca="false">Daily_Composite!N96</f>
        <v>-0.555</v>
      </c>
      <c r="CP12" s="17" t="n">
        <f aca="false">Daily_Composite!N97</f>
        <v>-0.786</v>
      </c>
      <c r="CQ12" s="17" t="n">
        <f aca="false">Daily_Composite!N98</f>
        <v>-0.803</v>
      </c>
      <c r="CR12" s="17" t="n">
        <f aca="false">Daily_Composite!N99</f>
        <v>-0.715</v>
      </c>
      <c r="CS12" s="17" t="n">
        <f aca="false">Daily_Composite!N100</f>
        <v>-0.628</v>
      </c>
      <c r="CT12" s="17" t="n">
        <f aca="false">Daily_Composite!N101</f>
        <v>-0.795</v>
      </c>
      <c r="CU12" s="17" t="n">
        <f aca="false">Daily_Composite!N102</f>
        <v>-0.541</v>
      </c>
      <c r="CV12" s="17" t="n">
        <f aca="false">Daily_Composite!N103</f>
        <v>-0.824</v>
      </c>
      <c r="CW12" s="17" t="n">
        <f aca="false">Daily_Composite!N104</f>
        <v>-0.822</v>
      </c>
      <c r="CX12" s="17" t="n">
        <f aca="false">Daily_Composite!N105</f>
        <v>-0.584</v>
      </c>
      <c r="CY12" s="17" t="n">
        <f aca="false">Daily_Composite!N106</f>
        <v>-0.811</v>
      </c>
      <c r="CZ12" s="17" t="n">
        <f aca="false">Daily_Composite!N107</f>
        <v>-0.675</v>
      </c>
      <c r="DA12" s="17" t="n">
        <f aca="false">Daily_Composite!N108</f>
        <v>-0.817</v>
      </c>
      <c r="DB12" s="17" t="n">
        <f aca="false">Daily_Composite!N109</f>
        <v>-0.82</v>
      </c>
      <c r="DC12" s="17" t="n">
        <f aca="false">Daily_Composite!N110</f>
        <v>-0.827</v>
      </c>
      <c r="DD12" s="17" t="n">
        <f aca="false">Daily_Composite!N111</f>
        <v>-0.829</v>
      </c>
      <c r="DE12" s="17" t="n">
        <f aca="false">Daily_Composite!N112</f>
        <v>-0.502</v>
      </c>
      <c r="DF12" s="17" t="n">
        <f aca="false">Daily_Composite!N113</f>
        <v>-0.826</v>
      </c>
      <c r="DG12" s="17" t="n">
        <f aca="false">Daily_Composite!N114</f>
        <v>-0.741</v>
      </c>
      <c r="DH12" s="17" t="n">
        <f aca="false">Daily_Composite!N115</f>
        <v>-0.78</v>
      </c>
      <c r="DI12" s="17" t="n">
        <f aca="false">Daily_Composite!N116</f>
        <v>-0.86</v>
      </c>
      <c r="DJ12" s="17" t="n">
        <f aca="false">Daily_Composite!N117</f>
        <v>-0.791</v>
      </c>
      <c r="DK12" s="17" t="n">
        <f aca="false">Daily_Composite!N118</f>
        <v>-0.586</v>
      </c>
      <c r="DL12" s="17" t="n">
        <f aca="false">Daily_Composite!N119</f>
        <v>-0.62</v>
      </c>
      <c r="DM12" s="17" t="n">
        <f aca="false">Daily_Composite!N120</f>
        <v>-0.744</v>
      </c>
      <c r="DN12" s="17" t="n">
        <f aca="false">Daily_Composite!N121</f>
        <v>-0.563</v>
      </c>
      <c r="DO12" s="17" t="n">
        <f aca="false">Daily_Composite!N122</f>
        <v>-0.467</v>
      </c>
      <c r="DP12" s="17" t="n">
        <f aca="false">Daily_Composite!N123</f>
        <v>-0.41</v>
      </c>
      <c r="DQ12" s="17" t="n">
        <f aca="false">Daily_Composite!N124</f>
        <v>-0.59</v>
      </c>
      <c r="DR12" s="17" t="n">
        <f aca="false">Daily_Composite!N125</f>
        <v>-0.042</v>
      </c>
      <c r="DS12" s="17" t="n">
        <f aca="false">Daily_Composite!N126</f>
        <v>-0.223</v>
      </c>
      <c r="DT12" s="17" t="n">
        <f aca="false">Daily_Composite!N127</f>
        <v>-0.251</v>
      </c>
      <c r="DU12" s="17" t="n">
        <f aca="false">Daily_Composite!N128</f>
        <v>-0.147</v>
      </c>
      <c r="DV12" s="17" t="n">
        <f aca="false">Daily_Composite!N129</f>
        <v>-0.468</v>
      </c>
      <c r="DW12" s="17" t="n">
        <f aca="false">Daily_Composite!N130</f>
        <v>-0.087</v>
      </c>
      <c r="DX12" s="17" t="n">
        <f aca="false">Daily_Composite!N131</f>
        <v>0.213</v>
      </c>
      <c r="DY12" s="17" t="n">
        <f aca="false">Daily_Composite!N132</f>
        <v>-0.191</v>
      </c>
      <c r="DZ12" s="17" t="n">
        <f aca="false">Daily_Composite!N133</f>
        <v>-0.154</v>
      </c>
      <c r="EA12" s="17" t="n">
        <f aca="false">Daily_Composite!N134</f>
        <v>-0.43</v>
      </c>
      <c r="EB12" s="17" t="n">
        <f aca="false">Daily_Composite!N135</f>
        <v>0.16</v>
      </c>
      <c r="EC12" s="17" t="n">
        <f aca="false">Daily_Composite!N136</f>
        <v>-0.258</v>
      </c>
      <c r="ED12" s="17" t="n">
        <f aca="false">Daily_Composite!N137</f>
        <v>-0.274</v>
      </c>
      <c r="EE12" s="17" t="n">
        <f aca="false">Daily_Composite!N138</f>
        <v>-0.59</v>
      </c>
      <c r="EF12" s="17" t="n">
        <f aca="false">Daily_Composite!N139</f>
        <v>-0.407</v>
      </c>
      <c r="EG12" s="17" t="n">
        <f aca="false">Daily_Composite!N140</f>
        <v>0.216</v>
      </c>
      <c r="EH12" s="17" t="n">
        <f aca="false">Daily_Composite!N141</f>
        <v>-0.177</v>
      </c>
      <c r="EI12" s="17" t="n">
        <f aca="false">Daily_Composite!N142</f>
        <v>-0.159</v>
      </c>
      <c r="EJ12" s="17" t="n">
        <f aca="false">Daily_Composite!N143</f>
        <v>-0.683</v>
      </c>
      <c r="EK12" s="17" t="n">
        <f aca="false">Daily_Composite!N144</f>
        <v>-0.686</v>
      </c>
      <c r="EL12" s="17" t="n">
        <f aca="false">Daily_Composite!N145</f>
        <v>-0.334</v>
      </c>
      <c r="EM12" s="17" t="n">
        <f aca="false">Daily_Composite!N146</f>
        <v>-0.289</v>
      </c>
      <c r="EN12" s="17" t="n">
        <f aca="false">Daily_Composite!N147</f>
        <v>-0.629</v>
      </c>
      <c r="EO12" s="17" t="n">
        <f aca="false">Daily_Composite!N148</f>
        <v>-0.382</v>
      </c>
      <c r="EP12" s="17" t="n">
        <f aca="false">Daily_Composite!N149</f>
        <v>-0.027</v>
      </c>
      <c r="EQ12" s="17" t="n">
        <f aca="false">Daily_Composite!N150</f>
        <v>-0.235</v>
      </c>
      <c r="ER12" s="17" t="n">
        <f aca="false">Daily_Composite!N151</f>
        <v>-0.375</v>
      </c>
      <c r="ES12" s="17" t="n">
        <f aca="false">Daily_Composite!N152</f>
        <v>-0.636</v>
      </c>
      <c r="ET12" s="17" t="n">
        <f aca="false">Daily_Composite!N153</f>
        <v>-0.669</v>
      </c>
      <c r="EU12" s="17" t="n">
        <f aca="false">Daily_Composite!N154</f>
        <v>-0.476</v>
      </c>
      <c r="EV12" s="17" t="n">
        <f aca="false">Daily_Composite!N155</f>
        <v>-0.431</v>
      </c>
      <c r="EW12" s="17" t="n">
        <f aca="false">Daily_Composite!N156</f>
        <v>-0.554</v>
      </c>
      <c r="EX12" s="17" t="n">
        <f aca="false">Daily_Composite!N157</f>
        <v>-0.172</v>
      </c>
      <c r="EY12" s="17" t="n">
        <f aca="false">Daily_Composite!N158</f>
        <v>-0.486</v>
      </c>
      <c r="EZ12" s="17" t="n">
        <f aca="false">Daily_Composite!N159</f>
        <v>-0.152</v>
      </c>
      <c r="FA12" s="17" t="n">
        <f aca="false">Daily_Composite!N160</f>
        <v>-0.09</v>
      </c>
      <c r="FB12" s="17" t="n">
        <f aca="false">Daily_Composite!N161</f>
        <v>-0.251</v>
      </c>
      <c r="FC12" s="17" t="n">
        <f aca="false">Daily_Composite!N162</f>
        <v>0.03</v>
      </c>
      <c r="FD12" s="17" t="n">
        <f aca="false">Daily_Composite!N163</f>
        <v>-0.547</v>
      </c>
      <c r="FE12" s="17" t="n">
        <f aca="false">Daily_Composite!N164</f>
        <v>-0.499</v>
      </c>
      <c r="FF12" s="17" t="n">
        <f aca="false">Daily_Composite!N165</f>
        <v>-0.019</v>
      </c>
      <c r="FG12" s="17" t="n">
        <f aca="false">Daily_Composite!N166</f>
        <v>-0.576</v>
      </c>
      <c r="FH12" s="17" t="n">
        <f aca="false">Daily_Composite!N167</f>
        <v>-0.038</v>
      </c>
      <c r="FI12" s="17" t="n">
        <f aca="false">Daily_Composite!N168</f>
        <v>-0.534</v>
      </c>
      <c r="FJ12" s="17" t="n">
        <f aca="false">Daily_Composite!N169</f>
        <v>-0.164</v>
      </c>
      <c r="FK12" s="17" t="n">
        <f aca="false">Daily_Composite!N170</f>
        <v>-0.433</v>
      </c>
      <c r="FL12" s="17" t="n">
        <f aca="false">Daily_Composite!N171</f>
        <v>-0.668</v>
      </c>
      <c r="FM12" s="17" t="n">
        <f aca="false">Daily_Composite!N172</f>
        <v>-0.105</v>
      </c>
      <c r="FN12" s="17" t="n">
        <f aca="false">Daily_Composite!N173</f>
        <v>-0.12</v>
      </c>
      <c r="FO12" s="17" t="n">
        <f aca="false">Daily_Composite!N174</f>
        <v>-0.403</v>
      </c>
      <c r="FP12" s="17" t="n">
        <f aca="false">Daily_Composite!N175</f>
        <v>-0.006</v>
      </c>
      <c r="FQ12" s="17" t="n">
        <f aca="false">Daily_Composite!N176</f>
        <v>-0.095</v>
      </c>
      <c r="FR12" s="17" t="n">
        <f aca="false">Daily_Composite!N177</f>
        <v>-0.046</v>
      </c>
      <c r="FS12" s="17" t="n">
        <f aca="false">Daily_Composite!N178</f>
        <v>-0.19</v>
      </c>
      <c r="FT12" s="17" t="n">
        <f aca="false">Daily_Composite!N179</f>
        <v>-0.707</v>
      </c>
      <c r="FU12" s="17" t="n">
        <f aca="false">Daily_Composite!N180</f>
        <v>-0.699</v>
      </c>
      <c r="FV12" s="17" t="n">
        <f aca="false">Daily_Composite!N181</f>
        <v>-0.158</v>
      </c>
      <c r="FW12" s="17" t="n">
        <f aca="false">Daily_Composite!N182</f>
        <v>-0.195</v>
      </c>
      <c r="FX12" s="17" t="n">
        <f aca="false">Daily_Composite!N183</f>
        <v>-0.456</v>
      </c>
      <c r="FY12" s="17" t="n">
        <f aca="false">Daily_Composite!N184</f>
        <v>-0.503</v>
      </c>
      <c r="FZ12" s="17" t="n">
        <f aca="false">Daily_Composite!N185</f>
        <v>-0.518</v>
      </c>
      <c r="GA12" s="17" t="n">
        <f aca="false">Daily_Composite!N186</f>
        <v>-0.231</v>
      </c>
      <c r="GB12" s="17" t="n">
        <f aca="false">Daily_Composite!N187</f>
        <v>-0.26</v>
      </c>
      <c r="GC12" s="17" t="n">
        <f aca="false">Daily_Composite!N188</f>
        <v>-0.645</v>
      </c>
      <c r="GD12" s="17" t="n">
        <f aca="false">Daily_Composite!N189</f>
        <v>-0.709</v>
      </c>
      <c r="GE12" s="17" t="n">
        <f aca="false">Daily_Composite!N190</f>
        <v>-0.293</v>
      </c>
      <c r="GF12" s="17" t="n">
        <f aca="false">Daily_Composite!N191</f>
        <v>-0.564</v>
      </c>
      <c r="GG12" s="17" t="n">
        <f aca="false">Daily_Composite!N192</f>
        <v>-0.53</v>
      </c>
      <c r="GH12" s="17" t="n">
        <f aca="false">Daily_Composite!N193</f>
        <v>-0.576</v>
      </c>
      <c r="GI12" s="17" t="n">
        <f aca="false">Daily_Composite!N194</f>
        <v>-0.413</v>
      </c>
      <c r="GJ12" s="17" t="n">
        <f aca="false">Daily_Composite!N195</f>
        <v>0.096</v>
      </c>
      <c r="GK12" s="17" t="n">
        <f aca="false">Daily_Composite!N196</f>
        <v>-0.249</v>
      </c>
      <c r="GL12" s="17" t="n">
        <f aca="false">Daily_Composite!N197</f>
        <v>-0.444</v>
      </c>
      <c r="GM12" s="17" t="n">
        <f aca="false">Daily_Composite!N198</f>
        <v>-0.696</v>
      </c>
      <c r="GN12" s="17" t="n">
        <f aca="false">Daily_Composite!N199</f>
        <v>-0.486</v>
      </c>
      <c r="GO12" s="17" t="n">
        <f aca="false">Daily_Composite!N200</f>
        <v>-0.364</v>
      </c>
      <c r="GP12" s="17" t="n">
        <f aca="false">Daily_Composite!N201</f>
        <v>-0.395</v>
      </c>
      <c r="GQ12" s="17" t="n">
        <f aca="false">Daily_Composite!N202</f>
        <v>-0.581</v>
      </c>
      <c r="GR12" s="17" t="n">
        <f aca="false">Daily_Composite!N203</f>
        <v>-0.523</v>
      </c>
      <c r="GS12" s="17" t="n">
        <f aca="false">Daily_Composite!N204</f>
        <v>-0.385</v>
      </c>
      <c r="GT12" s="17" t="n">
        <f aca="false">Daily_Composite!N205</f>
        <v>-0.225</v>
      </c>
      <c r="GU12" s="17" t="n">
        <f aca="false">Daily_Composite!N206</f>
        <v>-0.604</v>
      </c>
      <c r="GV12" s="17" t="n">
        <f aca="false">Daily_Composite!N207</f>
        <v>-0.477</v>
      </c>
      <c r="GW12" s="17" t="n">
        <f aca="false">Daily_Composite!N208</f>
        <v>-0.367</v>
      </c>
      <c r="GX12" s="17" t="n">
        <f aca="false">Daily_Composite!N209</f>
        <v>-0.252</v>
      </c>
      <c r="GY12" s="17" t="n">
        <f aca="false">Daily_Composite!N210</f>
        <v>-0.113</v>
      </c>
      <c r="GZ12" s="17" t="n">
        <f aca="false">Daily_Composite!N211</f>
        <v>-0.409</v>
      </c>
      <c r="HA12" s="17" t="n">
        <f aca="false">Daily_Composite!N212</f>
        <v>-0.395</v>
      </c>
      <c r="HB12" s="17" t="n">
        <f aca="false">Daily_Composite!N213</f>
        <v>-0.63</v>
      </c>
      <c r="HC12" s="17" t="n">
        <f aca="false">Daily_Composite!N214</f>
        <v>-0.299</v>
      </c>
      <c r="HD12" s="17" t="n">
        <f aca="false">Daily_Composite!N215</f>
        <v>-0.59</v>
      </c>
      <c r="HE12" s="17" t="n">
        <f aca="false">Daily_Composite!N216</f>
        <v>-0.487</v>
      </c>
      <c r="HF12" s="17" t="n">
        <f aca="false">Daily_Composite!N217</f>
        <v>-0.612</v>
      </c>
      <c r="HG12" s="17" t="n">
        <f aca="false">Daily_Composite!N218</f>
        <v>-0.558</v>
      </c>
      <c r="HH12" s="17" t="n">
        <f aca="false">Daily_Composite!N219</f>
        <v>-0.528</v>
      </c>
      <c r="HI12" s="17" t="n">
        <f aca="false">Daily_Composite!N220</f>
        <v>-0.659</v>
      </c>
      <c r="HJ12" s="17" t="n">
        <f aca="false">Daily_Composite!N221</f>
        <v>-0.684</v>
      </c>
      <c r="HK12" s="17" t="n">
        <f aca="false">Daily_Composite!N222</f>
        <v>-0.554</v>
      </c>
      <c r="HL12" s="17" t="n">
        <f aca="false">Daily_Composite!N223</f>
        <v>-0.575</v>
      </c>
      <c r="HM12" s="17" t="n">
        <f aca="false">Daily_Composite!N224</f>
        <v>-0.667</v>
      </c>
      <c r="HN12" s="17" t="n">
        <f aca="false">Daily_Composite!N225</f>
        <v>-0.623</v>
      </c>
      <c r="HO12" s="17" t="n">
        <f aca="false">Daily_Composite!N226</f>
        <v>-0.503</v>
      </c>
      <c r="HP12" s="17" t="n">
        <f aca="false">Daily_Composite!N227</f>
        <v>-0.507</v>
      </c>
      <c r="HQ12" s="17" t="n">
        <f aca="false">Daily_Composite!N228</f>
        <v>-0.453</v>
      </c>
      <c r="HR12" s="17" t="n">
        <f aca="false">Daily_Composite!N229</f>
        <v>-0.358</v>
      </c>
      <c r="HS12" s="17" t="n">
        <f aca="false">Daily_Composite!N230</f>
        <v>-0.392</v>
      </c>
      <c r="HT12" s="17" t="n">
        <f aca="false">Daily_Composite!N231</f>
        <v>-0.624</v>
      </c>
      <c r="HU12" s="17" t="n">
        <f aca="false">Daily_Composite!N232</f>
        <v>-0.404</v>
      </c>
      <c r="HV12" s="17" t="n">
        <f aca="false">Daily_Composite!N233</f>
        <v>-0.449</v>
      </c>
      <c r="HW12" s="17" t="n">
        <f aca="false">Daily_Composite!N234</f>
        <v>-0.569</v>
      </c>
      <c r="HX12" s="17" t="n">
        <f aca="false">Daily_Composite!N235</f>
        <v>-0.517</v>
      </c>
      <c r="HY12" s="17" t="n">
        <f aca="false">Daily_Composite!N236</f>
        <v>-0.534</v>
      </c>
      <c r="HZ12" s="17" t="n">
        <f aca="false">Daily_Composite!N237</f>
        <v>-0.494</v>
      </c>
      <c r="IA12" s="17" t="n">
        <f aca="false">Daily_Composite!N238</f>
        <v>-0.364</v>
      </c>
      <c r="IB12" s="17" t="n">
        <f aca="false">Daily_Composite!N239</f>
        <v>-0.36</v>
      </c>
      <c r="IC12" s="17" t="n">
        <f aca="false">Daily_Composite!N240</f>
        <v>-0.563</v>
      </c>
      <c r="ID12" s="17" t="n">
        <f aca="false">Daily_Composite!N241</f>
        <v>-0.374</v>
      </c>
      <c r="IE12" s="17" t="n">
        <f aca="false">Daily_Composite!N242</f>
        <v>-0.59</v>
      </c>
      <c r="IF12" s="17" t="n">
        <f aca="false">Daily_Composite!N243</f>
        <v>-0.633</v>
      </c>
      <c r="IG12" s="17" t="n">
        <f aca="false">Daily_Composite!N244</f>
        <v>-0.581</v>
      </c>
      <c r="IH12" s="17" t="n">
        <f aca="false">Daily_Composite!N245</f>
        <v>-0.136</v>
      </c>
      <c r="II12" s="17" t="n">
        <f aca="false">Daily_Composite!N246</f>
        <v>-0.446</v>
      </c>
      <c r="IJ12" s="17" t="n">
        <f aca="false">Daily_Composite!N247</f>
        <v>-0.341</v>
      </c>
      <c r="IK12" s="17" t="n">
        <f aca="false">Daily_Composite!N248</f>
        <v>-0.18</v>
      </c>
      <c r="IL12" s="17" t="n">
        <f aca="false">Daily_Composite!N249</f>
        <v>-0.064</v>
      </c>
      <c r="IM12" s="17" t="n">
        <f aca="false">Daily_Composite!N250</f>
        <v>-0.27</v>
      </c>
      <c r="IN12" s="17" t="n">
        <f aca="false">Daily_Composite!N251</f>
        <v>-0.088</v>
      </c>
      <c r="IO12" s="17" t="n">
        <f aca="false">Daily_Composite!N252</f>
        <v>-0.388</v>
      </c>
      <c r="IP12" s="17" t="n">
        <f aca="false">Daily_Composite!N253</f>
        <v>-0.612</v>
      </c>
      <c r="IQ12" s="17" t="n">
        <f aca="false">Daily_Composite!N254</f>
        <v>-0.157</v>
      </c>
      <c r="IR12" s="17" t="n">
        <f aca="false">Daily_Composite!N255</f>
        <v>-0.385</v>
      </c>
      <c r="IS12" s="17" t="n">
        <f aca="false">Daily_Composite!N256</f>
        <v>-0.7</v>
      </c>
      <c r="IT12" s="17" t="n">
        <f aca="false">Daily_Composite!N257</f>
        <v>-0.592</v>
      </c>
      <c r="IU12" s="17" t="n">
        <f aca="false">Daily_Composite!N258</f>
        <v>-0.078</v>
      </c>
      <c r="IV12" s="17" t="n">
        <f aca="false">Daily_Composite!N259</f>
        <v>-0.117</v>
      </c>
      <c r="IW12" s="17" t="n">
        <f aca="false">Daily_Composite!N260</f>
        <v>-0.276</v>
      </c>
      <c r="IX12" s="17" t="n">
        <f aca="false">Daily_Composite!N261</f>
        <v>-0.339</v>
      </c>
      <c r="IY12" s="17" t="n">
        <f aca="false">Daily_Composite!N262</f>
        <v>-0.639</v>
      </c>
      <c r="IZ12" s="17" t="n">
        <f aca="false">Daily_Composite!N263</f>
        <v>-0.453</v>
      </c>
      <c r="JA12" s="17" t="n">
        <f aca="false">Daily_Composite!N264</f>
        <v>-0.314</v>
      </c>
      <c r="JB12" s="17" t="n">
        <f aca="false">Daily_Composite!N265</f>
        <v>-0.572</v>
      </c>
      <c r="JC12" s="17" t="n">
        <f aca="false">Daily_Composite!N266</f>
        <v>-0.655</v>
      </c>
      <c r="JD12" s="17" t="n">
        <f aca="false">Daily_Composite!N267</f>
        <v>-0.281</v>
      </c>
      <c r="JE12" s="17" t="n">
        <f aca="false">Daily_Composite!N268</f>
        <v>-0.319</v>
      </c>
      <c r="JF12" s="17" t="n">
        <f aca="false">Daily_Composite!N269</f>
        <v>-0.413</v>
      </c>
      <c r="JG12" s="17" t="n">
        <f aca="false">Daily_Composite!N270</f>
        <v>-0.788</v>
      </c>
      <c r="JH12" s="17" t="n">
        <f aca="false">Daily_Composite!N271</f>
        <v>-0.856</v>
      </c>
      <c r="JI12" s="17" t="n">
        <f aca="false">Daily_Composite!N272</f>
        <v>-0.732</v>
      </c>
      <c r="JJ12" s="17" t="n">
        <f aca="false">Daily_Composite!N273</f>
        <v>-0.567</v>
      </c>
      <c r="JK12" s="17" t="n">
        <f aca="false">Daily_Composite!N274</f>
        <v>-0.652</v>
      </c>
      <c r="JL12" s="17" t="n">
        <f aca="false">Daily_Composite!N275</f>
        <v>-0.548</v>
      </c>
      <c r="JM12" s="17" t="n">
        <f aca="false">Daily_Composite!N276</f>
        <v>-0.149</v>
      </c>
      <c r="JN12" s="17" t="n">
        <f aca="false">Daily_Composite!N277</f>
        <v>-0.284</v>
      </c>
      <c r="JO12" s="17" t="n">
        <f aca="false">Daily_Composite!N278</f>
        <v>-0.244</v>
      </c>
      <c r="JP12" s="17" t="n">
        <f aca="false">Daily_Composite!N279</f>
        <v>-0.593</v>
      </c>
      <c r="JQ12" s="17" t="n">
        <f aca="false">Daily_Composite!N280</f>
        <v>-0.519</v>
      </c>
      <c r="JR12" s="17" t="n">
        <f aca="false">Daily_Composite!N281</f>
        <v>-0.754</v>
      </c>
      <c r="JS12" s="17" t="n">
        <f aca="false">Daily_Composite!N282</f>
        <v>-0.484</v>
      </c>
      <c r="JT12" s="17" t="n">
        <f aca="false">Daily_Composite!N283</f>
        <v>-0.394</v>
      </c>
      <c r="JU12" s="17" t="n">
        <f aca="false">Daily_Composite!N284</f>
        <v>-0.725</v>
      </c>
      <c r="JV12" s="17" t="n">
        <f aca="false">Daily_Composite!N285</f>
        <v>-0.585</v>
      </c>
      <c r="JW12" s="17" t="n">
        <f aca="false">Daily_Composite!N286</f>
        <v>-0.17</v>
      </c>
      <c r="JX12" s="17" t="n">
        <f aca="false">Daily_Composite!N287</f>
        <v>-0.219</v>
      </c>
      <c r="JY12" s="17" t="n">
        <f aca="false">Daily_Composite!N288</f>
        <v>-0.233</v>
      </c>
      <c r="JZ12" s="17" t="n">
        <f aca="false">Daily_Composite!N289</f>
        <v>-0.131</v>
      </c>
      <c r="KA12" s="17" t="n">
        <f aca="false">Daily_Composite!N290</f>
        <v>-0.539</v>
      </c>
      <c r="KB12" s="17" t="n">
        <f aca="false">Daily_Composite!N291</f>
        <v>-0.442</v>
      </c>
      <c r="KC12" s="17" t="n">
        <f aca="false">Daily_Composite!N292</f>
        <v>-0.731</v>
      </c>
      <c r="KD12" s="17" t="n">
        <f aca="false">Daily_Composite!N293</f>
        <v>-0.51</v>
      </c>
      <c r="KE12" s="17" t="n">
        <f aca="false">Daily_Composite!N294</f>
        <v>0.054</v>
      </c>
      <c r="KF12" s="17" t="n">
        <f aca="false">Daily_Composite!N295</f>
        <v>0.131</v>
      </c>
      <c r="KG12" s="17" t="n">
        <f aca="false">Daily_Composite!N296</f>
        <v>-0.151</v>
      </c>
      <c r="KH12" s="17" t="n">
        <f aca="false">Daily_Composite!N297</f>
        <v>-0.644</v>
      </c>
      <c r="KI12" s="17" t="n">
        <f aca="false">Daily_Composite!N298</f>
        <v>-0.708</v>
      </c>
      <c r="KJ12" s="17" t="n">
        <f aca="false">Daily_Composite!N299</f>
        <v>-0.605</v>
      </c>
      <c r="KK12" s="17" t="n">
        <f aca="false">Daily_Composite!N300</f>
        <v>-0.497</v>
      </c>
      <c r="KL12" s="17" t="n">
        <f aca="false">Daily_Composite!N301</f>
        <v>-0.509</v>
      </c>
      <c r="KM12" s="17" t="n">
        <f aca="false">Daily_Composite!N302</f>
        <v>-0.304</v>
      </c>
      <c r="KN12" s="17" t="n">
        <f aca="false">Daily_Composite!N303</f>
        <v>-0.003</v>
      </c>
      <c r="KO12" s="17" t="n">
        <f aca="false">Daily_Composite!N304</f>
        <v>-0.229</v>
      </c>
      <c r="KP12" s="17" t="n">
        <f aca="false">Daily_Composite!N305</f>
        <v>-0.328</v>
      </c>
      <c r="KQ12" s="17" t="n">
        <f aca="false">Daily_Composite!N306</f>
        <v>-0.246</v>
      </c>
      <c r="KR12" s="17" t="n">
        <f aca="false">Daily_Composite!N307</f>
        <v>-0.451</v>
      </c>
      <c r="KS12" s="17" t="n">
        <f aca="false">Daily_Composite!N308</f>
        <v>-0.605</v>
      </c>
      <c r="KT12" s="17" t="n">
        <f aca="false">Daily_Composite!N309</f>
        <v>-0.408</v>
      </c>
      <c r="KU12" s="17" t="n">
        <f aca="false">Daily_Composite!N310</f>
        <v>-0.271</v>
      </c>
      <c r="KV12" s="17" t="n">
        <f aca="false">Daily_Composite!N311</f>
        <v>-0.679</v>
      </c>
      <c r="KW12" s="17" t="n">
        <f aca="false">Daily_Composite!N312</f>
        <v>-0.607</v>
      </c>
      <c r="KX12" s="17" t="n">
        <f aca="false">Daily_Composite!N313</f>
        <v>-0.224</v>
      </c>
      <c r="KY12" s="17" t="n">
        <f aca="false">Daily_Composite!N314</f>
        <v>-0.182</v>
      </c>
      <c r="KZ12" s="17" t="n">
        <f aca="false">Daily_Composite!N315</f>
        <v>-0.274</v>
      </c>
      <c r="LA12" s="17" t="n">
        <f aca="false">Daily_Composite!N316</f>
        <v>-0.528</v>
      </c>
      <c r="LB12" s="17" t="n">
        <f aca="false">Daily_Composite!N317</f>
        <v>-0.37</v>
      </c>
      <c r="LC12" s="17" t="n">
        <f aca="false">Daily_Composite!N318</f>
        <v>-0.363</v>
      </c>
      <c r="LD12" s="17" t="n">
        <f aca="false">Daily_Composite!N319</f>
        <v>-0.411</v>
      </c>
      <c r="LE12" s="17" t="n">
        <f aca="false">Daily_Composite!N320</f>
        <v>-0.586</v>
      </c>
      <c r="LF12" s="17" t="n">
        <f aca="false">Daily_Composite!N321</f>
        <v>-0.257</v>
      </c>
      <c r="LG12" s="17" t="n">
        <f aca="false">Daily_Composite!N322</f>
        <v>0.059</v>
      </c>
      <c r="LH12" s="17" t="n">
        <f aca="false">Daily_Composite!N323</f>
        <v>0.061</v>
      </c>
      <c r="LI12" s="17" t="n">
        <f aca="false">Daily_Composite!N324</f>
        <v>-0.463</v>
      </c>
      <c r="LJ12" s="17" t="n">
        <f aca="false">Daily_Composite!N325</f>
        <v>-0.605</v>
      </c>
      <c r="LK12" s="17" t="n">
        <f aca="false">Daily_Composite!N326</f>
        <v>-0.62</v>
      </c>
      <c r="LL12" s="17" t="n">
        <f aca="false">Daily_Composite!N327</f>
        <v>-0.064</v>
      </c>
      <c r="LM12" s="17" t="n">
        <f aca="false">Daily_Composite!N328</f>
        <v>-0.048</v>
      </c>
      <c r="LN12" s="17" t="n">
        <f aca="false">Daily_Composite!N329</f>
        <v>-0.125</v>
      </c>
      <c r="LO12" s="17" t="n">
        <f aca="false">Daily_Composite!N330</f>
        <v>-0.55</v>
      </c>
      <c r="LP12" s="17" t="n">
        <f aca="false">Daily_Composite!N331</f>
        <v>0.091</v>
      </c>
      <c r="LQ12" s="17" t="n">
        <f aca="false">Daily_Composite!N332</f>
        <v>0.224</v>
      </c>
      <c r="LR12" s="17" t="n">
        <f aca="false">Daily_Composite!N333</f>
        <v>0.259</v>
      </c>
      <c r="LS12" s="17" t="n">
        <f aca="false">Daily_Composite!N334</f>
        <v>0.017</v>
      </c>
      <c r="LT12" s="17" t="n">
        <f aca="false">Daily_Composite!N335</f>
        <v>-0.22</v>
      </c>
      <c r="LU12" s="17" t="n">
        <f aca="false">Daily_Composite!N336</f>
        <v>-0.525</v>
      </c>
      <c r="LV12" s="17" t="n">
        <f aca="false">Daily_Composite!N337</f>
        <v>0.035</v>
      </c>
      <c r="LW12" s="17" t="n">
        <f aca="false">Daily_Composite!N338</f>
        <v>-0.271</v>
      </c>
      <c r="LX12" s="17" t="n">
        <f aca="false">Daily_Composite!N339</f>
        <v>-0.376</v>
      </c>
      <c r="LY12" s="17" t="n">
        <f aca="false">Daily_Composite!N340</f>
        <v>0.028</v>
      </c>
      <c r="LZ12" s="17" t="n">
        <f aca="false">Daily_Composite!N341</f>
        <v>0.075</v>
      </c>
      <c r="MA12" s="17" t="n">
        <f aca="false">Daily_Composite!N342</f>
        <v>0.002</v>
      </c>
      <c r="MB12" s="17" t="n">
        <f aca="false">Daily_Composite!N343</f>
        <v>-0.321</v>
      </c>
      <c r="MC12" s="17" t="n">
        <f aca="false">Daily_Composite!N344</f>
        <v>-0.529</v>
      </c>
      <c r="MD12" s="17" t="n">
        <f aca="false">Daily_Composite!N345</f>
        <v>-0.048</v>
      </c>
      <c r="ME12" s="17" t="n">
        <f aca="false">Daily_Composite!N346</f>
        <v>0.071</v>
      </c>
      <c r="MF12" s="17" t="n">
        <f aca="false">Daily_Composite!N347</f>
        <v>0.273</v>
      </c>
      <c r="MG12" s="17" t="n">
        <f aca="false">Daily_Composite!N348</f>
        <v>-0.172</v>
      </c>
      <c r="MH12" s="17" t="n">
        <f aca="false">Daily_Composite!N349</f>
        <v>0.138</v>
      </c>
      <c r="MI12" s="17" t="n">
        <f aca="false">Daily_Composite!N350</f>
        <v>0.23</v>
      </c>
      <c r="MJ12" s="17" t="n">
        <f aca="false">Daily_Composite!N351</f>
        <v>0.277</v>
      </c>
      <c r="MK12" s="17" t="n">
        <f aca="false">Daily_Composite!N352</f>
        <v>-0.376</v>
      </c>
      <c r="ML12" s="17" t="n">
        <f aca="false">Daily_Composite!N353</f>
        <v>-0.248</v>
      </c>
      <c r="MM12" s="17" t="n">
        <f aca="false">Daily_Composite!N354</f>
        <v>0.188</v>
      </c>
      <c r="MN12" s="17" t="n">
        <f aca="false">Daily_Composite!N355</f>
        <v>-0.068</v>
      </c>
      <c r="MO12" s="17" t="n">
        <f aca="false">Daily_Composite!N356</f>
        <v>0.025</v>
      </c>
      <c r="MP12" s="17" t="n">
        <f aca="false">Daily_Composite!N357</f>
        <v>0.483</v>
      </c>
      <c r="MQ12" s="17" t="n">
        <f aca="false">Daily_Composite!N358</f>
        <v>0.303</v>
      </c>
      <c r="MR12" s="17" t="n">
        <f aca="false">Daily_Composite!N359</f>
        <v>-0.254</v>
      </c>
      <c r="MS12" s="17" t="n">
        <f aca="false">Daily_Composite!N360</f>
        <v>-0.183</v>
      </c>
      <c r="MT12" s="17" t="n">
        <f aca="false">Daily_Composite!N361</f>
        <v>-0.17</v>
      </c>
      <c r="MU12" s="17" t="n">
        <f aca="false">Daily_Composite!N362</f>
        <v>-0.139</v>
      </c>
      <c r="MV12" s="17" t="n">
        <f aca="false">Daily_Composite!N363</f>
        <v>-0.146</v>
      </c>
      <c r="MW12" s="17" t="n">
        <f aca="false">Daily_Composite!N364</f>
        <v>-0.15</v>
      </c>
      <c r="MX12" s="17" t="n">
        <f aca="false">Daily_Composite!N365</f>
        <v>-0.202</v>
      </c>
      <c r="MY12" s="17" t="n">
        <f aca="false">Daily_Composite!N366</f>
        <v>0.19</v>
      </c>
      <c r="MZ12" s="17" t="n">
        <f aca="false">Daily_Composite!N367</f>
        <v>-0.46</v>
      </c>
      <c r="NA12" s="17" t="n">
        <f aca="false">Daily_Composite!N368</f>
        <v>-0.125</v>
      </c>
      <c r="NB12" s="17" t="n">
        <f aca="false">Daily_Composite!N369</f>
        <v>-0.21</v>
      </c>
    </row>
    <row r="13" customFormat="false" ht="15" hidden="false" customHeight="false" outlineLevel="0" collapsed="false">
      <c r="A13" s="6" t="s">
        <v>26</v>
      </c>
      <c r="B13" s="17" t="n">
        <f aca="false">Daily_Composite!O5</f>
        <v>0.073</v>
      </c>
      <c r="C13" s="17" t="n">
        <f aca="false">Daily_Composite!O6</f>
        <v>0.016</v>
      </c>
      <c r="D13" s="17" t="n">
        <f aca="false">Daily_Composite!O7</f>
        <v>-0.006</v>
      </c>
      <c r="E13" s="17" t="n">
        <f aca="false">Daily_Composite!O8</f>
        <v>0.039</v>
      </c>
      <c r="F13" s="17" t="n">
        <f aca="false">Daily_Composite!O9</f>
        <v>-0.424</v>
      </c>
      <c r="G13" s="17" t="n">
        <f aca="false">Daily_Composite!O10</f>
        <v>-0.162</v>
      </c>
      <c r="H13" s="17" t="n">
        <f aca="false">Daily_Composite!O11</f>
        <v>-0.12</v>
      </c>
      <c r="I13" s="17" t="n">
        <f aca="false">Daily_Composite!O12</f>
        <v>-0.038</v>
      </c>
      <c r="J13" s="17" t="n">
        <f aca="false">Daily_Composite!O13</f>
        <v>-0.087</v>
      </c>
      <c r="K13" s="17" t="n">
        <f aca="false">Daily_Composite!O14</f>
        <v>-0.185</v>
      </c>
      <c r="L13" s="17" t="n">
        <f aca="false">Daily_Composite!O15</f>
        <v>-0.526</v>
      </c>
      <c r="M13" s="17" t="n">
        <f aca="false">Daily_Composite!O16</f>
        <v>-0.258</v>
      </c>
      <c r="N13" s="17" t="n">
        <f aca="false">Daily_Composite!O17</f>
        <v>-0.213</v>
      </c>
      <c r="O13" s="17" t="n">
        <f aca="false">Daily_Composite!O18</f>
        <v>-0.519</v>
      </c>
      <c r="P13" s="17" t="n">
        <f aca="false">Daily_Composite!O19</f>
        <v>-0.215</v>
      </c>
      <c r="Q13" s="17" t="n">
        <f aca="false">Daily_Composite!O20</f>
        <v>-0.197</v>
      </c>
      <c r="R13" s="17" t="n">
        <f aca="false">Daily_Composite!O21</f>
        <v>-0.101</v>
      </c>
      <c r="S13" s="17" t="n">
        <f aca="false">Daily_Composite!O22</f>
        <v>-0.105</v>
      </c>
      <c r="T13" s="17" t="n">
        <f aca="false">Daily_Composite!O23</f>
        <v>-0.215</v>
      </c>
      <c r="U13" s="17" t="n">
        <f aca="false">Daily_Composite!O24</f>
        <v>-0.21</v>
      </c>
      <c r="V13" s="17" t="n">
        <f aca="false">Daily_Composite!O25</f>
        <v>-0.208</v>
      </c>
      <c r="W13" s="17" t="n">
        <f aca="false">Daily_Composite!O26</f>
        <v>-0.191</v>
      </c>
      <c r="X13" s="17" t="n">
        <f aca="false">Daily_Composite!O27</f>
        <v>-0.14</v>
      </c>
      <c r="Y13" s="17" t="n">
        <f aca="false">Daily_Composite!O28</f>
        <v>0.411</v>
      </c>
      <c r="Z13" s="17" t="n">
        <f aca="false">Daily_Composite!O29</f>
        <v>-0.127</v>
      </c>
      <c r="AA13" s="17" t="n">
        <f aca="false">Daily_Composite!O30</f>
        <v>-0.345</v>
      </c>
      <c r="AB13" s="17" t="n">
        <f aca="false">Daily_Composite!O31</f>
        <v>-0.015</v>
      </c>
      <c r="AC13" s="17" t="n">
        <f aca="false">Daily_Composite!O32</f>
        <v>-0.049</v>
      </c>
      <c r="AD13" s="17" t="n">
        <f aca="false">Daily_Composite!O33</f>
        <v>-0.129</v>
      </c>
      <c r="AE13" s="17" t="n">
        <f aca="false">Daily_Composite!O34</f>
        <v>-0.131</v>
      </c>
      <c r="AF13" s="17" t="n">
        <f aca="false">Daily_Composite!O35</f>
        <v>-0.148</v>
      </c>
      <c r="AG13" s="17" t="n">
        <f aca="false">Daily_Composite!O36</f>
        <v>-0.125</v>
      </c>
      <c r="AH13" s="17" t="n">
        <f aca="false">Daily_Composite!O37</f>
        <v>0.394</v>
      </c>
      <c r="AI13" s="17" t="n">
        <f aca="false">Daily_Composite!O38</f>
        <v>-0.047</v>
      </c>
      <c r="AJ13" s="17" t="n">
        <f aca="false">Daily_Composite!O39</f>
        <v>-0</v>
      </c>
      <c r="AK13" s="17" t="n">
        <f aca="false">Daily_Composite!O40</f>
        <v>-0.066</v>
      </c>
      <c r="AL13" s="17" t="n">
        <f aca="false">Daily_Composite!O41</f>
        <v>-0.088</v>
      </c>
      <c r="AM13" s="17" t="n">
        <f aca="false">Daily_Composite!O42</f>
        <v>-0.178</v>
      </c>
      <c r="AN13" s="17" t="n">
        <f aca="false">Daily_Composite!O43</f>
        <v>-0.082</v>
      </c>
      <c r="AO13" s="17" t="n">
        <f aca="false">Daily_Composite!O44</f>
        <v>-0.086</v>
      </c>
      <c r="AP13" s="17" t="n">
        <f aca="false">Daily_Composite!O45</f>
        <v>-0.051</v>
      </c>
      <c r="AQ13" s="17" t="n">
        <f aca="false">Daily_Composite!O46</f>
        <v>0.473</v>
      </c>
      <c r="AR13" s="17" t="n">
        <f aca="false">Daily_Composite!O47</f>
        <v>-0.035</v>
      </c>
      <c r="AS13" s="17" t="n">
        <f aca="false">Daily_Composite!O48</f>
        <v>-0.019</v>
      </c>
      <c r="AT13" s="17" t="n">
        <f aca="false">Daily_Composite!O49</f>
        <v>0.39</v>
      </c>
      <c r="AU13" s="17" t="n">
        <f aca="false">Daily_Composite!O50</f>
        <v>0.327</v>
      </c>
      <c r="AV13" s="17" t="n">
        <f aca="false">Daily_Composite!O51</f>
        <v>0.05</v>
      </c>
      <c r="AW13" s="17" t="n">
        <f aca="false">Daily_Composite!O52</f>
        <v>0.013</v>
      </c>
      <c r="AX13" s="17" t="n">
        <f aca="false">Daily_Composite!O53</f>
        <v>-0.104</v>
      </c>
      <c r="AY13" s="17" t="n">
        <f aca="false">Daily_Composite!O54</f>
        <v>0.05</v>
      </c>
      <c r="AZ13" s="17" t="n">
        <f aca="false">Daily_Composite!O55</f>
        <v>0.132</v>
      </c>
      <c r="BA13" s="17" t="n">
        <f aca="false">Daily_Composite!O56</f>
        <v>0.465</v>
      </c>
      <c r="BB13" s="17" t="n">
        <f aca="false">Daily_Composite!O57</f>
        <v>0.174</v>
      </c>
      <c r="BC13" s="17" t="n">
        <f aca="false">Daily_Composite!O58</f>
        <v>0.338</v>
      </c>
      <c r="BD13" s="17" t="n">
        <f aca="false">Daily_Composite!O59</f>
        <v>0.034</v>
      </c>
      <c r="BE13" s="17" t="n">
        <f aca="false">Daily_Composite!O60</f>
        <v>-0.009</v>
      </c>
      <c r="BF13" s="17" t="n">
        <f aca="false">Daily_Composite!O61</f>
        <v>-0.185</v>
      </c>
      <c r="BG13" s="17" t="n">
        <f aca="false">Daily_Composite!O62</f>
        <v>-0.074</v>
      </c>
      <c r="BH13" s="17" t="n">
        <f aca="false">Daily_Composite!O63</f>
        <v>-0.027</v>
      </c>
      <c r="BI13" s="17" t="n">
        <f aca="false">Daily_Composite!O64</f>
        <v>0.307</v>
      </c>
      <c r="BJ13" s="17" t="n">
        <f aca="false">Daily_Composite!O65</f>
        <v>-0.239</v>
      </c>
      <c r="BK13" s="17" t="n">
        <f aca="false">Daily_Composite!O66</f>
        <v>-0.139</v>
      </c>
      <c r="BL13" s="17" t="n">
        <f aca="false">Daily_Composite!O67</f>
        <v>-0.007</v>
      </c>
      <c r="BM13" s="17" t="n">
        <f aca="false">Daily_Composite!O68</f>
        <v>-0.018</v>
      </c>
      <c r="BN13" s="17" t="n">
        <f aca="false">Daily_Composite!O69</f>
        <v>-0.106</v>
      </c>
      <c r="BO13" s="17" t="n">
        <f aca="false">Daily_Composite!O70</f>
        <v>-0.265</v>
      </c>
      <c r="BP13" s="17" t="n">
        <f aca="false">Daily_Composite!O71</f>
        <v>-0.126</v>
      </c>
      <c r="BQ13" s="17" t="n">
        <f aca="false">Daily_Composite!O72</f>
        <v>-0.138</v>
      </c>
      <c r="BR13" s="17" t="n">
        <f aca="false">Daily_Composite!O73</f>
        <v>0.207</v>
      </c>
      <c r="BS13" s="17" t="n">
        <f aca="false">Daily_Composite!O74</f>
        <v>-0.141</v>
      </c>
      <c r="BT13" s="17" t="n">
        <f aca="false">Daily_Composite!O75</f>
        <v>-0.087</v>
      </c>
      <c r="BU13" s="17" t="n">
        <f aca="false">Daily_Composite!O76</f>
        <v>0.243</v>
      </c>
      <c r="BV13" s="17" t="n">
        <f aca="false">Daily_Composite!O77</f>
        <v>0.231</v>
      </c>
      <c r="BW13" s="17" t="n">
        <f aca="false">Daily_Composite!O78</f>
        <v>0.202</v>
      </c>
      <c r="BX13" s="17" t="n">
        <f aca="false">Daily_Composite!O79</f>
        <v>-0.127</v>
      </c>
      <c r="BY13" s="17" t="n">
        <f aca="false">Daily_Composite!O80</f>
        <v>-0.144</v>
      </c>
      <c r="BZ13" s="17" t="n">
        <f aca="false">Daily_Composite!O81</f>
        <v>0.024</v>
      </c>
      <c r="CA13" s="17" t="n">
        <f aca="false">Daily_Composite!O82</f>
        <v>0.01</v>
      </c>
      <c r="CB13" s="17" t="n">
        <f aca="false">Daily_Composite!O83</f>
        <v>0.382</v>
      </c>
      <c r="CC13" s="17" t="n">
        <f aca="false">Daily_Composite!O84</f>
        <v>-0.215</v>
      </c>
      <c r="CD13" s="17" t="n">
        <f aca="false">Daily_Composite!O85</f>
        <v>0.168</v>
      </c>
      <c r="CE13" s="17" t="n">
        <f aca="false">Daily_Composite!O86</f>
        <v>-0.147</v>
      </c>
      <c r="CF13" s="17" t="n">
        <f aca="false">Daily_Composite!O87</f>
        <v>-0.12</v>
      </c>
      <c r="CG13" s="17" t="n">
        <f aca="false">Daily_Composite!O88</f>
        <v>-0.174</v>
      </c>
      <c r="CH13" s="17" t="n">
        <f aca="false">Daily_Composite!O89</f>
        <v>-0.441</v>
      </c>
      <c r="CI13" s="17" t="n">
        <f aca="false">Daily_Composite!O90</f>
        <v>-0.242</v>
      </c>
      <c r="CJ13" s="17" t="n">
        <f aca="false">Daily_Composite!O91</f>
        <v>-0.279</v>
      </c>
      <c r="CK13" s="17" t="n">
        <f aca="false">Daily_Composite!O92</f>
        <v>-0.081</v>
      </c>
      <c r="CL13" s="17" t="n">
        <f aca="false">Daily_Composite!O93</f>
        <v>-0.512</v>
      </c>
      <c r="CM13" s="17" t="n">
        <f aca="false">Daily_Composite!O94</f>
        <v>-0.284</v>
      </c>
      <c r="CN13" s="17" t="n">
        <f aca="false">Daily_Composite!O95</f>
        <v>-0.412</v>
      </c>
      <c r="CO13" s="17" t="n">
        <f aca="false">Daily_Composite!O96</f>
        <v>-0.343</v>
      </c>
      <c r="CP13" s="17" t="n">
        <f aca="false">Daily_Composite!O97</f>
        <v>-0.623</v>
      </c>
      <c r="CQ13" s="17" t="n">
        <f aca="false">Daily_Composite!O98</f>
        <v>-0.329</v>
      </c>
      <c r="CR13" s="17" t="n">
        <f aca="false">Daily_Composite!O99</f>
        <v>-0.373</v>
      </c>
      <c r="CS13" s="17" t="n">
        <f aca="false">Daily_Composite!O100</f>
        <v>-0.629</v>
      </c>
      <c r="CT13" s="17" t="n">
        <f aca="false">Daily_Composite!O101</f>
        <v>-0.297</v>
      </c>
      <c r="CU13" s="17" t="n">
        <f aca="false">Daily_Composite!O102</f>
        <v>-0.345</v>
      </c>
      <c r="CV13" s="17" t="n">
        <f aca="false">Daily_Composite!O103</f>
        <v>-0.483</v>
      </c>
      <c r="CW13" s="17" t="n">
        <f aca="false">Daily_Composite!O104</f>
        <v>-0.525</v>
      </c>
      <c r="CX13" s="17" t="n">
        <f aca="false">Daily_Composite!O105</f>
        <v>-0.605</v>
      </c>
      <c r="CY13" s="17" t="n">
        <f aca="false">Daily_Composite!O106</f>
        <v>-0.195</v>
      </c>
      <c r="CZ13" s="17" t="n">
        <f aca="false">Daily_Composite!O107</f>
        <v>0.07</v>
      </c>
      <c r="DA13" s="17" t="n">
        <f aca="false">Daily_Composite!O108</f>
        <v>-0.278</v>
      </c>
      <c r="DB13" s="17" t="n">
        <f aca="false">Daily_Composite!O109</f>
        <v>-0.278</v>
      </c>
      <c r="DC13" s="17" t="n">
        <f aca="false">Daily_Composite!O110</f>
        <v>-0.029</v>
      </c>
      <c r="DD13" s="17" t="n">
        <f aca="false">Daily_Composite!O111</f>
        <v>-0.059</v>
      </c>
      <c r="DE13" s="17" t="n">
        <f aca="false">Daily_Composite!O112</f>
        <v>0.009</v>
      </c>
      <c r="DF13" s="17" t="n">
        <f aca="false">Daily_Composite!O113</f>
        <v>-0.223</v>
      </c>
      <c r="DG13" s="17" t="n">
        <f aca="false">Daily_Composite!O114</f>
        <v>-0.261</v>
      </c>
      <c r="DH13" s="17" t="n">
        <f aca="false">Daily_Composite!O115</f>
        <v>-0.317</v>
      </c>
      <c r="DI13" s="17" t="n">
        <f aca="false">Daily_Composite!O116</f>
        <v>-0.508</v>
      </c>
      <c r="DJ13" s="17" t="n">
        <f aca="false">Daily_Composite!O117</f>
        <v>-0.303</v>
      </c>
      <c r="DK13" s="17" t="n">
        <f aca="false">Daily_Composite!O118</f>
        <v>-0.264</v>
      </c>
      <c r="DL13" s="17" t="n">
        <f aca="false">Daily_Composite!O119</f>
        <v>-0.55</v>
      </c>
      <c r="DM13" s="17" t="n">
        <f aca="false">Daily_Composite!O120</f>
        <v>-0.286</v>
      </c>
      <c r="DN13" s="17" t="n">
        <f aca="false">Daily_Composite!O121</f>
        <v>-0.21</v>
      </c>
      <c r="DO13" s="17" t="n">
        <f aca="false">Daily_Composite!O122</f>
        <v>-0.204</v>
      </c>
      <c r="DP13" s="17" t="n">
        <f aca="false">Daily_Composite!O123</f>
        <v>-0.206</v>
      </c>
      <c r="DQ13" s="17" t="n">
        <f aca="false">Daily_Composite!O124</f>
        <v>-0.464</v>
      </c>
      <c r="DR13" s="17" t="n">
        <f aca="false">Daily_Composite!O125</f>
        <v>-0.276</v>
      </c>
      <c r="DS13" s="17" t="n">
        <f aca="false">Daily_Composite!O126</f>
        <v>-0.186</v>
      </c>
      <c r="DT13" s="17" t="n">
        <f aca="false">Daily_Composite!O127</f>
        <v>-0.486</v>
      </c>
      <c r="DU13" s="17" t="n">
        <f aca="false">Daily_Composite!O128</f>
        <v>-0.258</v>
      </c>
      <c r="DV13" s="17" t="n">
        <f aca="false">Daily_Composite!O129</f>
        <v>-0.292</v>
      </c>
      <c r="DW13" s="17" t="n">
        <f aca="false">Daily_Composite!O130</f>
        <v>-0.273</v>
      </c>
      <c r="DX13" s="17" t="n">
        <f aca="false">Daily_Composite!O131</f>
        <v>-0.542</v>
      </c>
      <c r="DY13" s="17" t="n">
        <f aca="false">Daily_Composite!O132</f>
        <v>-0.595</v>
      </c>
      <c r="DZ13" s="17" t="n">
        <f aca="false">Daily_Composite!O133</f>
        <v>-0.336</v>
      </c>
      <c r="EA13" s="17" t="n">
        <f aca="false">Daily_Composite!O134</f>
        <v>-0.634</v>
      </c>
      <c r="EB13" s="17" t="n">
        <f aca="false">Daily_Composite!O135</f>
        <v>-0.308</v>
      </c>
      <c r="EC13" s="17" t="n">
        <f aca="false">Daily_Composite!O136</f>
        <v>-0.298</v>
      </c>
      <c r="ED13" s="17" t="n">
        <f aca="false">Daily_Composite!O137</f>
        <v>-0.666</v>
      </c>
      <c r="EE13" s="17" t="n">
        <f aca="false">Daily_Composite!O138</f>
        <v>-0.518</v>
      </c>
      <c r="EF13" s="17" t="n">
        <f aca="false">Daily_Composite!O139</f>
        <v>-0.519</v>
      </c>
      <c r="EG13" s="17" t="n">
        <f aca="false">Daily_Composite!O140</f>
        <v>-0.244</v>
      </c>
      <c r="EH13" s="17" t="n">
        <f aca="false">Daily_Composite!O141</f>
        <v>-0.236</v>
      </c>
      <c r="EI13" s="17" t="n">
        <f aca="false">Daily_Composite!O142</f>
        <v>-0.216</v>
      </c>
      <c r="EJ13" s="17" t="n">
        <f aca="false">Daily_Composite!O143</f>
        <v>-0.538</v>
      </c>
      <c r="EK13" s="17" t="n">
        <f aca="false">Daily_Composite!O144</f>
        <v>-0.331</v>
      </c>
      <c r="EL13" s="17" t="n">
        <f aca="false">Daily_Composite!O145</f>
        <v>-0.212</v>
      </c>
      <c r="EM13" s="17" t="n">
        <f aca="false">Daily_Composite!O146</f>
        <v>-0.449</v>
      </c>
      <c r="EN13" s="17" t="n">
        <f aca="false">Daily_Composite!O147</f>
        <v>-0.064</v>
      </c>
      <c r="EO13" s="17" t="n">
        <f aca="false">Daily_Composite!O148</f>
        <v>-0.228</v>
      </c>
      <c r="EP13" s="17" t="n">
        <f aca="false">Daily_Composite!O149</f>
        <v>-0.128</v>
      </c>
      <c r="EQ13" s="17" t="n">
        <f aca="false">Daily_Composite!O150</f>
        <v>-0.135</v>
      </c>
      <c r="ER13" s="17" t="n">
        <f aca="false">Daily_Composite!O151</f>
        <v>-0.147</v>
      </c>
      <c r="ES13" s="17" t="n">
        <f aca="false">Daily_Composite!O152</f>
        <v>-0.24</v>
      </c>
      <c r="ET13" s="17" t="n">
        <f aca="false">Daily_Composite!O153</f>
        <v>-0.104</v>
      </c>
      <c r="EU13" s="17" t="n">
        <f aca="false">Daily_Composite!O154</f>
        <v>-0.072</v>
      </c>
      <c r="EV13" s="17" t="n">
        <f aca="false">Daily_Composite!O155</f>
        <v>0.276</v>
      </c>
      <c r="EW13" s="17" t="n">
        <f aca="false">Daily_Composite!O156</f>
        <v>-0.03</v>
      </c>
      <c r="EX13" s="17" t="n">
        <f aca="false">Daily_Composite!O157</f>
        <v>-0.016</v>
      </c>
      <c r="EY13" s="17" t="n">
        <f aca="false">Daily_Composite!O158</f>
        <v>0.006</v>
      </c>
      <c r="EZ13" s="17" t="n">
        <f aca="false">Daily_Composite!O159</f>
        <v>-0.184</v>
      </c>
      <c r="FA13" s="17" t="n">
        <f aca="false">Daily_Composite!O160</f>
        <v>-0.149</v>
      </c>
      <c r="FB13" s="17" t="n">
        <f aca="false">Daily_Composite!O161</f>
        <v>0.384</v>
      </c>
      <c r="FC13" s="17" t="n">
        <f aca="false">Daily_Composite!O162</f>
        <v>0.111</v>
      </c>
      <c r="FD13" s="17" t="n">
        <f aca="false">Daily_Composite!O163</f>
        <v>0.085</v>
      </c>
      <c r="FE13" s="17" t="n">
        <f aca="false">Daily_Composite!O164</f>
        <v>0.087</v>
      </c>
      <c r="FF13" s="17" t="n">
        <f aca="false">Daily_Composite!O165</f>
        <v>0.515</v>
      </c>
      <c r="FG13" s="17" t="n">
        <f aca="false">Daily_Composite!O166</f>
        <v>0.36</v>
      </c>
      <c r="FH13" s="17" t="n">
        <f aca="false">Daily_Composite!O167</f>
        <v>0.418</v>
      </c>
      <c r="FI13" s="17" t="n">
        <f aca="false">Daily_Composite!O168</f>
        <v>0.027</v>
      </c>
      <c r="FJ13" s="17" t="n">
        <f aca="false">Daily_Composite!O169</f>
        <v>-0.01</v>
      </c>
      <c r="FK13" s="17" t="n">
        <f aca="false">Daily_Composite!O170</f>
        <v>-0.11</v>
      </c>
      <c r="FL13" s="17" t="n">
        <f aca="false">Daily_Composite!O171</f>
        <v>-0.258</v>
      </c>
      <c r="FM13" s="17" t="n">
        <f aca="false">Daily_Composite!O172</f>
        <v>-0.108</v>
      </c>
      <c r="FN13" s="17" t="n">
        <f aca="false">Daily_Composite!O173</f>
        <v>-0.008</v>
      </c>
      <c r="FO13" s="17" t="n">
        <f aca="false">Daily_Composite!O174</f>
        <v>-0.017</v>
      </c>
      <c r="FP13" s="17" t="n">
        <f aca="false">Daily_Composite!O175</f>
        <v>0.043</v>
      </c>
      <c r="FQ13" s="17" t="n">
        <f aca="false">Daily_Composite!O176</f>
        <v>-0.216</v>
      </c>
      <c r="FR13" s="17" t="n">
        <f aca="false">Daily_Composite!O177</f>
        <v>-0.205</v>
      </c>
      <c r="FS13" s="17" t="n">
        <f aca="false">Daily_Composite!O178</f>
        <v>-0.251</v>
      </c>
      <c r="FT13" s="17" t="n">
        <f aca="false">Daily_Composite!O179</f>
        <v>-0.56</v>
      </c>
      <c r="FU13" s="17" t="n">
        <f aca="false">Daily_Composite!O180</f>
        <v>-0.251</v>
      </c>
      <c r="FV13" s="17" t="n">
        <f aca="false">Daily_Composite!O181</f>
        <v>-0.146</v>
      </c>
      <c r="FW13" s="17" t="n">
        <f aca="false">Daily_Composite!O182</f>
        <v>0.001</v>
      </c>
      <c r="FX13" s="17" t="n">
        <f aca="false">Daily_Composite!O183</f>
        <v>-0.146</v>
      </c>
      <c r="FY13" s="17" t="n">
        <f aca="false">Daily_Composite!O184</f>
        <v>-0.125</v>
      </c>
      <c r="FZ13" s="17" t="n">
        <f aca="false">Daily_Composite!O185</f>
        <v>0.171</v>
      </c>
      <c r="GA13" s="17" t="n">
        <f aca="false">Daily_Composite!O186</f>
        <v>-0.299</v>
      </c>
      <c r="GB13" s="17" t="n">
        <f aca="false">Daily_Composite!O187</f>
        <v>-0.478</v>
      </c>
      <c r="GC13" s="17" t="n">
        <f aca="false">Daily_Composite!O188</f>
        <v>-0.18</v>
      </c>
      <c r="GD13" s="17" t="n">
        <f aca="false">Daily_Composite!O189</f>
        <v>-0.257</v>
      </c>
      <c r="GE13" s="17" t="n">
        <f aca="false">Daily_Composite!O190</f>
        <v>-0.208</v>
      </c>
      <c r="GF13" s="17" t="n">
        <f aca="false">Daily_Composite!O191</f>
        <v>-0.299</v>
      </c>
      <c r="GG13" s="17" t="n">
        <f aca="false">Daily_Composite!O192</f>
        <v>-0.628</v>
      </c>
      <c r="GH13" s="17" t="n">
        <f aca="false">Daily_Composite!O193</f>
        <v>-0.48</v>
      </c>
      <c r="GI13" s="17" t="n">
        <f aca="false">Daily_Composite!O194</f>
        <v>-0.416</v>
      </c>
      <c r="GJ13" s="17" t="n">
        <f aca="false">Daily_Composite!O195</f>
        <v>-0.189</v>
      </c>
      <c r="GK13" s="17" t="n">
        <f aca="false">Daily_Composite!O196</f>
        <v>-0.205</v>
      </c>
      <c r="GL13" s="17" t="n">
        <f aca="false">Daily_Composite!O197</f>
        <v>-0.235</v>
      </c>
      <c r="GM13" s="17" t="n">
        <f aca="false">Daily_Composite!O198</f>
        <v>-0.493</v>
      </c>
      <c r="GN13" s="17" t="n">
        <f aca="false">Daily_Composite!O199</f>
        <v>-0.201</v>
      </c>
      <c r="GO13" s="17" t="n">
        <f aca="false">Daily_Composite!O200</f>
        <v>-0.173</v>
      </c>
      <c r="GP13" s="17" t="n">
        <f aca="false">Daily_Composite!O201</f>
        <v>-0.485</v>
      </c>
      <c r="GQ13" s="17" t="n">
        <f aca="false">Daily_Composite!O202</f>
        <v>-0.119</v>
      </c>
      <c r="GR13" s="17" t="n">
        <f aca="false">Daily_Composite!O203</f>
        <v>-0.28</v>
      </c>
      <c r="GS13" s="17" t="n">
        <f aca="false">Daily_Composite!O204</f>
        <v>-0.192</v>
      </c>
      <c r="GT13" s="17" t="n">
        <f aca="false">Daily_Composite!O205</f>
        <v>-0.168</v>
      </c>
      <c r="GU13" s="17" t="n">
        <f aca="false">Daily_Composite!O206</f>
        <v>-0.416</v>
      </c>
      <c r="GV13" s="17" t="n">
        <f aca="false">Daily_Composite!O207</f>
        <v>-0.216</v>
      </c>
      <c r="GW13" s="17" t="n">
        <f aca="false">Daily_Composite!O208</f>
        <v>-0.192</v>
      </c>
      <c r="GX13" s="17" t="n">
        <f aca="false">Daily_Composite!O209</f>
        <v>-0.539</v>
      </c>
      <c r="GY13" s="17" t="n">
        <f aca="false">Daily_Composite!O210</f>
        <v>-0.306</v>
      </c>
      <c r="GZ13" s="17" t="n">
        <f aca="false">Daily_Composite!O211</f>
        <v>-0.213</v>
      </c>
      <c r="HA13" s="17" t="n">
        <f aca="false">Daily_Composite!O212</f>
        <v>-0.153</v>
      </c>
      <c r="HB13" s="17" t="n">
        <f aca="false">Daily_Composite!O213</f>
        <v>-0.484</v>
      </c>
      <c r="HC13" s="17" t="n">
        <f aca="false">Daily_Composite!O214</f>
        <v>-0.599</v>
      </c>
      <c r="HD13" s="17" t="n">
        <f aca="false">Daily_Composite!O215</f>
        <v>-0.197</v>
      </c>
      <c r="HE13" s="17" t="n">
        <f aca="false">Daily_Composite!O216</f>
        <v>-0.127</v>
      </c>
      <c r="HF13" s="17" t="n">
        <f aca="false">Daily_Composite!O217</f>
        <v>-0.188</v>
      </c>
      <c r="HG13" s="17" t="n">
        <f aca="false">Daily_Composite!O218</f>
        <v>-0.324</v>
      </c>
      <c r="HH13" s="17" t="n">
        <f aca="false">Daily_Composite!O219</f>
        <v>-0.562</v>
      </c>
      <c r="HI13" s="17" t="n">
        <f aca="false">Daily_Composite!O220</f>
        <v>-0.245</v>
      </c>
      <c r="HJ13" s="17" t="n">
        <f aca="false">Daily_Composite!O221</f>
        <v>-0.204</v>
      </c>
      <c r="HK13" s="17" t="n">
        <f aca="false">Daily_Composite!O222</f>
        <v>-0.184</v>
      </c>
      <c r="HL13" s="17" t="n">
        <f aca="false">Daily_Composite!O223</f>
        <v>-0.205</v>
      </c>
      <c r="HM13" s="17" t="n">
        <f aca="false">Daily_Composite!O224</f>
        <v>-0.211</v>
      </c>
      <c r="HN13" s="17" t="n">
        <f aca="false">Daily_Composite!O225</f>
        <v>-0.379</v>
      </c>
      <c r="HO13" s="17" t="n">
        <f aca="false">Daily_Composite!O226</f>
        <v>-0.15</v>
      </c>
      <c r="HP13" s="17" t="n">
        <f aca="false">Daily_Composite!O227</f>
        <v>-0.181</v>
      </c>
      <c r="HQ13" s="17" t="n">
        <f aca="false">Daily_Composite!O228</f>
        <v>-0.555</v>
      </c>
      <c r="HR13" s="17" t="n">
        <f aca="false">Daily_Composite!O229</f>
        <v>-0.17</v>
      </c>
      <c r="HS13" s="17" t="n">
        <f aca="false">Daily_Composite!O230</f>
        <v>-0.184</v>
      </c>
      <c r="HT13" s="17" t="n">
        <f aca="false">Daily_Composite!O231</f>
        <v>-0.202</v>
      </c>
      <c r="HU13" s="17" t="n">
        <f aca="false">Daily_Composite!O232</f>
        <v>-0.162</v>
      </c>
      <c r="HV13" s="17" t="n">
        <f aca="false">Daily_Composite!O233</f>
        <v>-0.194</v>
      </c>
      <c r="HW13" s="17" t="n">
        <f aca="false">Daily_Composite!O234</f>
        <v>-0.373</v>
      </c>
      <c r="HX13" s="17" t="n">
        <f aca="false">Daily_Composite!O235</f>
        <v>-0.165</v>
      </c>
      <c r="HY13" s="17" t="n">
        <f aca="false">Daily_Composite!O236</f>
        <v>-0.197</v>
      </c>
      <c r="HZ13" s="17" t="n">
        <f aca="false">Daily_Composite!O237</f>
        <v>-0.564</v>
      </c>
      <c r="IA13" s="17" t="n">
        <f aca="false">Daily_Composite!O238</f>
        <v>-0.141</v>
      </c>
      <c r="IB13" s="17" t="n">
        <f aca="false">Daily_Composite!O239</f>
        <v>-0.134</v>
      </c>
      <c r="IC13" s="17" t="n">
        <f aca="false">Daily_Composite!O240</f>
        <v>0.079</v>
      </c>
      <c r="ID13" s="17" t="n">
        <f aca="false">Daily_Composite!O241</f>
        <v>0.163</v>
      </c>
      <c r="IE13" s="17" t="n">
        <f aca="false">Daily_Composite!O242</f>
        <v>-0.172</v>
      </c>
      <c r="IF13" s="17" t="n">
        <f aca="false">Daily_Composite!O243</f>
        <v>-0.309</v>
      </c>
      <c r="IG13" s="17" t="n">
        <f aca="false">Daily_Composite!O244</f>
        <v>-0.14</v>
      </c>
      <c r="IH13" s="17" t="n">
        <f aca="false">Daily_Composite!O245</f>
        <v>-0.125</v>
      </c>
      <c r="II13" s="17" t="n">
        <f aca="false">Daily_Composite!O246</f>
        <v>-0.142</v>
      </c>
      <c r="IJ13" s="17" t="n">
        <f aca="false">Daily_Composite!O247</f>
        <v>0.372</v>
      </c>
      <c r="IK13" s="17" t="n">
        <f aca="false">Daily_Composite!O248</f>
        <v>0.236</v>
      </c>
      <c r="IL13" s="17" t="n">
        <f aca="false">Daily_Composite!O249</f>
        <v>0.342</v>
      </c>
      <c r="IM13" s="17" t="n">
        <f aca="false">Daily_Composite!O250</f>
        <v>0.018</v>
      </c>
      <c r="IN13" s="17" t="n">
        <f aca="false">Daily_Composite!O251</f>
        <v>-0.046</v>
      </c>
      <c r="IO13" s="17" t="n">
        <f aca="false">Daily_Composite!O252</f>
        <v>-0.059</v>
      </c>
      <c r="IP13" s="17" t="n">
        <f aca="false">Daily_Composite!O253</f>
        <v>-0.073</v>
      </c>
      <c r="IQ13" s="17" t="n">
        <f aca="false">Daily_Composite!O254</f>
        <v>-0.035</v>
      </c>
      <c r="IR13" s="17" t="n">
        <f aca="false">Daily_Composite!O255</f>
        <v>0.22</v>
      </c>
      <c r="IS13" s="17" t="n">
        <f aca="false">Daily_Composite!O256</f>
        <v>-0.264</v>
      </c>
      <c r="IT13" s="17" t="n">
        <f aca="false">Daily_Composite!O257</f>
        <v>-0.291</v>
      </c>
      <c r="IU13" s="17" t="n">
        <f aca="false">Daily_Composite!O258</f>
        <v>-0.067</v>
      </c>
      <c r="IV13" s="17" t="n">
        <f aca="false">Daily_Composite!O259</f>
        <v>-0.054</v>
      </c>
      <c r="IW13" s="17" t="n">
        <f aca="false">Daily_Composite!O260</f>
        <v>-0.155</v>
      </c>
      <c r="IX13" s="17" t="n">
        <f aca="false">Daily_Composite!O261</f>
        <v>-0.186</v>
      </c>
      <c r="IY13" s="17" t="n">
        <f aca="false">Daily_Composite!O262</f>
        <v>-0.157</v>
      </c>
      <c r="IZ13" s="17" t="n">
        <f aca="false">Daily_Composite!O263</f>
        <v>-0.125</v>
      </c>
      <c r="JA13" s="17" t="n">
        <f aca="false">Daily_Composite!O264</f>
        <v>-0.148</v>
      </c>
      <c r="JB13" s="17" t="n">
        <f aca="false">Daily_Composite!O265</f>
        <v>-0.084</v>
      </c>
      <c r="JC13" s="17" t="n">
        <f aca="false">Daily_Composite!O266</f>
        <v>-0.092</v>
      </c>
      <c r="JD13" s="17" t="n">
        <f aca="false">Daily_Composite!O267</f>
        <v>0.156</v>
      </c>
      <c r="JE13" s="17" t="n">
        <f aca="false">Daily_Composite!O268</f>
        <v>0.023</v>
      </c>
      <c r="JF13" s="17" t="n">
        <f aca="false">Daily_Composite!O269</f>
        <v>-0.044</v>
      </c>
      <c r="JG13" s="17" t="n">
        <f aca="false">Daily_Composite!O270</f>
        <v>-0.104</v>
      </c>
      <c r="JH13" s="17" t="n">
        <f aca="false">Daily_Composite!O271</f>
        <v>-0.221</v>
      </c>
      <c r="JI13" s="17" t="n">
        <f aca="false">Daily_Composite!O272</f>
        <v>0.016</v>
      </c>
      <c r="JJ13" s="17" t="n">
        <f aca="false">Daily_Composite!O273</f>
        <v>0.005</v>
      </c>
      <c r="JK13" s="17" t="n">
        <f aca="false">Daily_Composite!O274</f>
        <v>0.345</v>
      </c>
      <c r="JL13" s="17" t="n">
        <f aca="false">Daily_Composite!O275</f>
        <v>0.233</v>
      </c>
      <c r="JM13" s="17" t="n">
        <f aca="false">Daily_Composite!O276</f>
        <v>0.291</v>
      </c>
      <c r="JN13" s="17" t="n">
        <f aca="false">Daily_Composite!O277</f>
        <v>-0.074</v>
      </c>
      <c r="JO13" s="17" t="n">
        <f aca="false">Daily_Composite!O278</f>
        <v>-0.086</v>
      </c>
      <c r="JP13" s="17" t="n">
        <f aca="false">Daily_Composite!O279</f>
        <v>-0.102</v>
      </c>
      <c r="JQ13" s="17" t="n">
        <f aca="false">Daily_Composite!O280</f>
        <v>-0.096</v>
      </c>
      <c r="JR13" s="17" t="n">
        <f aca="false">Daily_Composite!O281</f>
        <v>-0.063</v>
      </c>
      <c r="JS13" s="17" t="n">
        <f aca="false">Daily_Composite!O282</f>
        <v>-0.075</v>
      </c>
      <c r="JT13" s="17" t="n">
        <f aca="false">Daily_Composite!O283</f>
        <v>-0.143</v>
      </c>
      <c r="JU13" s="17" t="n">
        <f aca="false">Daily_Composite!O284</f>
        <v>-0.192</v>
      </c>
      <c r="JV13" s="17" t="n">
        <f aca="false">Daily_Composite!O285</f>
        <v>-0.264</v>
      </c>
      <c r="JW13" s="17" t="n">
        <f aca="false">Daily_Composite!O286</f>
        <v>0.003</v>
      </c>
      <c r="JX13" s="17" t="n">
        <f aca="false">Daily_Composite!O287</f>
        <v>-0.012</v>
      </c>
      <c r="JY13" s="17" t="n">
        <f aca="false">Daily_Composite!O288</f>
        <v>-0.097</v>
      </c>
      <c r="JZ13" s="17" t="n">
        <f aca="false">Daily_Composite!O289</f>
        <v>-0.118</v>
      </c>
      <c r="KA13" s="17" t="n">
        <f aca="false">Daily_Composite!O290</f>
        <v>-0.187</v>
      </c>
      <c r="KB13" s="17" t="n">
        <f aca="false">Daily_Composite!O291</f>
        <v>-0.263</v>
      </c>
      <c r="KC13" s="17" t="n">
        <f aca="false">Daily_Composite!O292</f>
        <v>-0.12</v>
      </c>
      <c r="KD13" s="17" t="n">
        <f aca="false">Daily_Composite!O293</f>
        <v>-0.126</v>
      </c>
      <c r="KE13" s="17" t="n">
        <f aca="false">Daily_Composite!O294</f>
        <v>0.056</v>
      </c>
      <c r="KF13" s="17" t="n">
        <f aca="false">Daily_Composite!O295</f>
        <v>0.199</v>
      </c>
      <c r="KG13" s="17" t="n">
        <f aca="false">Daily_Composite!O296</f>
        <v>0.14</v>
      </c>
      <c r="KH13" s="17" t="n">
        <f aca="false">Daily_Composite!O297</f>
        <v>-0.223</v>
      </c>
      <c r="KI13" s="17" t="n">
        <f aca="false">Daily_Composite!O298</f>
        <v>-0.464</v>
      </c>
      <c r="KJ13" s="17" t="n">
        <f aca="false">Daily_Composite!O299</f>
        <v>-0.18</v>
      </c>
      <c r="KK13" s="17" t="n">
        <f aca="false">Daily_Composite!O300</f>
        <v>-0.044</v>
      </c>
      <c r="KL13" s="17" t="n">
        <f aca="false">Daily_Composite!O301</f>
        <v>0.014</v>
      </c>
      <c r="KM13" s="17" t="n">
        <f aca="false">Daily_Composite!O302</f>
        <v>-0.193</v>
      </c>
      <c r="KN13" s="17" t="n">
        <f aca="false">Daily_Composite!O303</f>
        <v>0.045</v>
      </c>
      <c r="KO13" s="17" t="n">
        <f aca="false">Daily_Composite!O304</f>
        <v>-0.119</v>
      </c>
      <c r="KP13" s="17" t="n">
        <f aca="false">Daily_Composite!O305</f>
        <v>-0.077</v>
      </c>
      <c r="KQ13" s="17" t="n">
        <f aca="false">Daily_Composite!O306</f>
        <v>-0.129</v>
      </c>
      <c r="KR13" s="17" t="n">
        <f aca="false">Daily_Composite!O307</f>
        <v>-0.154</v>
      </c>
      <c r="KS13" s="17" t="n">
        <f aca="false">Daily_Composite!O308</f>
        <v>-0.152</v>
      </c>
      <c r="KT13" s="17" t="n">
        <f aca="false">Daily_Composite!O309</f>
        <v>-0.129</v>
      </c>
      <c r="KU13" s="17" t="n">
        <f aca="false">Daily_Composite!O310</f>
        <v>-0.539</v>
      </c>
      <c r="KV13" s="17" t="n">
        <f aca="false">Daily_Composite!O311</f>
        <v>-0.36</v>
      </c>
      <c r="KW13" s="17" t="n">
        <f aca="false">Daily_Composite!O312</f>
        <v>-0.35</v>
      </c>
      <c r="KX13" s="17" t="n">
        <f aca="false">Daily_Composite!O313</f>
        <v>0.001</v>
      </c>
      <c r="KY13" s="17" t="n">
        <f aca="false">Daily_Composite!O314</f>
        <v>0.002</v>
      </c>
      <c r="KZ13" s="17" t="n">
        <f aca="false">Daily_Composite!O315</f>
        <v>-0.102</v>
      </c>
      <c r="LA13" s="17" t="n">
        <f aca="false">Daily_Composite!O316</f>
        <v>-0.174</v>
      </c>
      <c r="LB13" s="17" t="n">
        <f aca="false">Daily_Composite!O317</f>
        <v>-0.176</v>
      </c>
      <c r="LC13" s="17" t="n">
        <f aca="false">Daily_Composite!O318</f>
        <v>-0.153</v>
      </c>
      <c r="LD13" s="17" t="n">
        <f aca="false">Daily_Composite!O319</f>
        <v>-0.016</v>
      </c>
      <c r="LE13" s="17" t="n">
        <f aca="false">Daily_Composite!O320</f>
        <v>-0.073</v>
      </c>
      <c r="LF13" s="17" t="n">
        <f aca="false">Daily_Composite!O321</f>
        <v>-0.159</v>
      </c>
      <c r="LG13" s="17" t="n">
        <f aca="false">Daily_Composite!O322</f>
        <v>0.231</v>
      </c>
      <c r="LH13" s="17" t="n">
        <f aca="false">Daily_Composite!O323</f>
        <v>0.376</v>
      </c>
      <c r="LI13" s="17" t="n">
        <f aca="false">Daily_Composite!O324</f>
        <v>-0.084</v>
      </c>
      <c r="LJ13" s="17" t="n">
        <f aca="false">Daily_Composite!O325</f>
        <v>-0.084</v>
      </c>
      <c r="LK13" s="17" t="n">
        <f aca="false">Daily_Composite!O326</f>
        <v>-0.114</v>
      </c>
      <c r="LL13" s="17" t="n">
        <f aca="false">Daily_Composite!O327</f>
        <v>0.022</v>
      </c>
      <c r="LM13" s="17" t="n">
        <f aca="false">Daily_Composite!O328</f>
        <v>0.418</v>
      </c>
      <c r="LN13" s="17" t="n">
        <f aca="false">Daily_Composite!O329</f>
        <v>0.034</v>
      </c>
      <c r="LO13" s="17" t="n">
        <f aca="false">Daily_Composite!O330</f>
        <v>-0.259</v>
      </c>
      <c r="LP13" s="17" t="n">
        <f aca="false">Daily_Composite!O331</f>
        <v>-0.1</v>
      </c>
      <c r="LQ13" s="17" t="n">
        <f aca="false">Daily_Composite!O332</f>
        <v>-0.053</v>
      </c>
      <c r="LR13" s="17" t="n">
        <f aca="false">Daily_Composite!O333</f>
        <v>-0.038</v>
      </c>
      <c r="LS13" s="17" t="n">
        <f aca="false">Daily_Composite!O334</f>
        <v>-0.064</v>
      </c>
      <c r="LT13" s="17" t="n">
        <f aca="false">Daily_Composite!O335</f>
        <v>-0.155</v>
      </c>
      <c r="LU13" s="17" t="n">
        <f aca="false">Daily_Composite!O336</f>
        <v>-0.086</v>
      </c>
      <c r="LV13" s="17" t="n">
        <f aca="false">Daily_Composite!O337</f>
        <v>-0.053</v>
      </c>
      <c r="LW13" s="17" t="n">
        <f aca="false">Daily_Composite!O338</f>
        <v>-0.186</v>
      </c>
      <c r="LX13" s="17" t="n">
        <f aca="false">Daily_Composite!O339</f>
        <v>-0.225</v>
      </c>
      <c r="LY13" s="17" t="n">
        <f aca="false">Daily_Composite!O340</f>
        <v>-0.033</v>
      </c>
      <c r="LZ13" s="17" t="n">
        <f aca="false">Daily_Composite!O341</f>
        <v>0.053</v>
      </c>
      <c r="MA13" s="17" t="n">
        <f aca="false">Daily_Composite!O342</f>
        <v>0.004</v>
      </c>
      <c r="MB13" s="17" t="n">
        <f aca="false">Daily_Composite!O343</f>
        <v>-0.076</v>
      </c>
      <c r="MC13" s="17" t="n">
        <f aca="false">Daily_Composite!O344</f>
        <v>0.023</v>
      </c>
      <c r="MD13" s="17" t="n">
        <f aca="false">Daily_Composite!O345</f>
        <v>0.003</v>
      </c>
      <c r="ME13" s="17" t="n">
        <f aca="false">Daily_Composite!O346</f>
        <v>0.079</v>
      </c>
      <c r="MF13" s="17" t="n">
        <f aca="false">Daily_Composite!O347</f>
        <v>-0.008</v>
      </c>
      <c r="MG13" s="17" t="n">
        <f aca="false">Daily_Composite!O348</f>
        <v>-0.063</v>
      </c>
      <c r="MH13" s="17" t="n">
        <f aca="false">Daily_Composite!O349</f>
        <v>-0.008</v>
      </c>
      <c r="MI13" s="17" t="n">
        <f aca="false">Daily_Composite!O350</f>
        <v>0.341</v>
      </c>
      <c r="MJ13" s="17" t="n">
        <f aca="false">Daily_Composite!O351</f>
        <v>0.29</v>
      </c>
      <c r="MK13" s="17" t="n">
        <f aca="false">Daily_Composite!O352</f>
        <v>-0.252</v>
      </c>
      <c r="ML13" s="17" t="n">
        <f aca="false">Daily_Composite!O353</f>
        <v>-0.163</v>
      </c>
      <c r="MM13" s="17" t="n">
        <f aca="false">Daily_Composite!O354</f>
        <v>0.018</v>
      </c>
      <c r="MN13" s="17" t="n">
        <f aca="false">Daily_Composite!O355</f>
        <v>0.039</v>
      </c>
      <c r="MO13" s="17" t="n">
        <f aca="false">Daily_Composite!O356</f>
        <v>0.445</v>
      </c>
      <c r="MP13" s="17" t="n">
        <f aca="false">Daily_Composite!O357</f>
        <v>0.346</v>
      </c>
      <c r="MQ13" s="17" t="n">
        <f aca="false">Daily_Composite!O358</f>
        <v>0.314</v>
      </c>
      <c r="MR13" s="17" t="n">
        <f aca="false">Daily_Composite!O359</f>
        <v>-0.02</v>
      </c>
      <c r="MS13" s="17" t="n">
        <f aca="false">Daily_Composite!O360</f>
        <v>0.019</v>
      </c>
      <c r="MT13" s="17" t="n">
        <f aca="false">Daily_Composite!O361</f>
        <v>-0.011</v>
      </c>
      <c r="MU13" s="17" t="n">
        <f aca="false">Daily_Composite!O362</f>
        <v>-0.004</v>
      </c>
      <c r="MV13" s="17" t="n">
        <f aca="false">Daily_Composite!O363</f>
        <v>0.036</v>
      </c>
      <c r="MW13" s="17" t="n">
        <f aca="false">Daily_Composite!O364</f>
        <v>0.029</v>
      </c>
      <c r="MX13" s="17" t="n">
        <f aca="false">Daily_Composite!O365</f>
        <v>0.02</v>
      </c>
      <c r="MY13" s="17" t="n">
        <f aca="false">Daily_Composite!O366</f>
        <v>-0.073</v>
      </c>
      <c r="MZ13" s="17" t="n">
        <f aca="false">Daily_Composite!O367</f>
        <v>-0.234</v>
      </c>
      <c r="NA13" s="17" t="n">
        <f aca="false">Daily_Composite!O368</f>
        <v>0.055</v>
      </c>
      <c r="NB13" s="17" t="n">
        <f aca="false">Daily_Composite!O369</f>
        <v>0.092</v>
      </c>
    </row>
    <row r="14" customFormat="false" ht="15" hidden="false" customHeight="false" outlineLevel="0" collapsed="false">
      <c r="A14" s="6" t="s">
        <v>27</v>
      </c>
      <c r="B14" s="17" t="n">
        <f aca="false">Daily_Composite!P5</f>
        <v>-0.171</v>
      </c>
      <c r="C14" s="17" t="n">
        <f aca="false">Daily_Composite!P6</f>
        <v>-0.142</v>
      </c>
      <c r="D14" s="17" t="n">
        <f aca="false">Daily_Composite!P7</f>
        <v>-0.146</v>
      </c>
      <c r="E14" s="17" t="n">
        <f aca="false">Daily_Composite!P8</f>
        <v>0.218</v>
      </c>
      <c r="F14" s="17" t="n">
        <f aca="false">Daily_Composite!P9</f>
        <v>-0.015</v>
      </c>
      <c r="G14" s="17" t="n">
        <f aca="false">Daily_Composite!P10</f>
        <v>-0.109</v>
      </c>
      <c r="H14" s="17" t="n">
        <f aca="false">Daily_Composite!P11</f>
        <v>0.403</v>
      </c>
      <c r="I14" s="17" t="n">
        <f aca="false">Daily_Composite!P12</f>
        <v>-0.101</v>
      </c>
      <c r="J14" s="17" t="n">
        <f aca="false">Daily_Composite!P13</f>
        <v>-0.098</v>
      </c>
      <c r="K14" s="17" t="n">
        <f aca="false">Daily_Composite!P14</f>
        <v>0.319</v>
      </c>
      <c r="L14" s="17" t="n">
        <f aca="false">Daily_Composite!P15</f>
        <v>0.165</v>
      </c>
      <c r="M14" s="17" t="n">
        <f aca="false">Daily_Composite!P16</f>
        <v>0.147</v>
      </c>
      <c r="N14" s="17" t="n">
        <f aca="false">Daily_Composite!P17</f>
        <v>-0.146</v>
      </c>
      <c r="O14" s="17" t="n">
        <f aca="false">Daily_Composite!P18</f>
        <v>-0.156</v>
      </c>
      <c r="P14" s="17" t="n">
        <f aca="false">Daily_Composite!P19</f>
        <v>-0.074</v>
      </c>
      <c r="Q14" s="17" t="n">
        <f aca="false">Daily_Composite!P20</f>
        <v>0.053</v>
      </c>
      <c r="R14" s="17" t="n">
        <f aca="false">Daily_Composite!P21</f>
        <v>0.237</v>
      </c>
      <c r="S14" s="17" t="n">
        <f aca="false">Daily_Composite!P22</f>
        <v>-0.158</v>
      </c>
      <c r="T14" s="17" t="n">
        <f aca="false">Daily_Composite!P23</f>
        <v>0.039</v>
      </c>
      <c r="U14" s="17" t="n">
        <f aca="false">Daily_Composite!P24</f>
        <v>0.025</v>
      </c>
      <c r="V14" s="17" t="n">
        <f aca="false">Daily_Composite!P25</f>
        <v>0.038</v>
      </c>
      <c r="W14" s="17" t="n">
        <f aca="false">Daily_Composite!P26</f>
        <v>0.01</v>
      </c>
      <c r="X14" s="17" t="n">
        <f aca="false">Daily_Composite!P27</f>
        <v>-0.017</v>
      </c>
      <c r="Y14" s="17" t="n">
        <f aca="false">Daily_Composite!P28</f>
        <v>0.01</v>
      </c>
      <c r="Z14" s="17" t="n">
        <f aca="false">Daily_Composite!P29</f>
        <v>0.01</v>
      </c>
      <c r="AA14" s="17" t="n">
        <f aca="false">Daily_Composite!P30</f>
        <v>0.372</v>
      </c>
      <c r="AB14" s="17" t="n">
        <f aca="false">Daily_Composite!P31</f>
        <v>-0.042</v>
      </c>
      <c r="AC14" s="17" t="n">
        <f aca="false">Daily_Composite!P32</f>
        <v>0.015</v>
      </c>
      <c r="AD14" s="17" t="n">
        <f aca="false">Daily_Composite!P33</f>
        <v>0.038</v>
      </c>
      <c r="AE14" s="17" t="n">
        <f aca="false">Daily_Composite!P34</f>
        <v>0.038</v>
      </c>
      <c r="AF14" s="17" t="n">
        <f aca="false">Daily_Composite!P35</f>
        <v>0.23</v>
      </c>
      <c r="AG14" s="17" t="n">
        <f aca="false">Daily_Composite!P36</f>
        <v>0.035</v>
      </c>
      <c r="AH14" s="17" t="n">
        <f aca="false">Daily_Composite!P37</f>
        <v>0.019</v>
      </c>
      <c r="AI14" s="17" t="n">
        <f aca="false">Daily_Composite!P38</f>
        <v>0.398</v>
      </c>
      <c r="AJ14" s="17" t="n">
        <f aca="false">Daily_Composite!P39</f>
        <v>0.034</v>
      </c>
      <c r="AK14" s="17" t="n">
        <f aca="false">Daily_Composite!P40</f>
        <v>0.052</v>
      </c>
      <c r="AL14" s="17" t="n">
        <f aca="false">Daily_Composite!P41</f>
        <v>0.072</v>
      </c>
      <c r="AM14" s="17" t="n">
        <f aca="false">Daily_Composite!P42</f>
        <v>0.069</v>
      </c>
      <c r="AN14" s="17" t="n">
        <f aca="false">Daily_Composite!P43</f>
        <v>0.087</v>
      </c>
      <c r="AO14" s="17" t="n">
        <f aca="false">Daily_Composite!P44</f>
        <v>0.116</v>
      </c>
      <c r="AP14" s="17" t="n">
        <f aca="false">Daily_Composite!P45</f>
        <v>0.116</v>
      </c>
      <c r="AQ14" s="17" t="n">
        <f aca="false">Daily_Composite!P46</f>
        <v>0.078</v>
      </c>
      <c r="AR14" s="17" t="n">
        <f aca="false">Daily_Composite!P47</f>
        <v>0.083</v>
      </c>
      <c r="AS14" s="17" t="n">
        <f aca="false">Daily_Composite!P48</f>
        <v>-0.188</v>
      </c>
      <c r="AT14" s="17" t="n">
        <f aca="false">Daily_Composite!P49</f>
        <v>0.101</v>
      </c>
      <c r="AU14" s="17" t="n">
        <f aca="false">Daily_Composite!P50</f>
        <v>0.077</v>
      </c>
      <c r="AV14" s="17" t="n">
        <f aca="false">Daily_Composite!P51</f>
        <v>0.049</v>
      </c>
      <c r="AW14" s="17" t="n">
        <f aca="false">Daily_Composite!P52</f>
        <v>0.049</v>
      </c>
      <c r="AX14" s="17" t="n">
        <f aca="false">Daily_Composite!P53</f>
        <v>0.052</v>
      </c>
      <c r="AY14" s="17" t="n">
        <f aca="false">Daily_Composite!P54</f>
        <v>0.029</v>
      </c>
      <c r="AZ14" s="17" t="n">
        <f aca="false">Daily_Composite!P55</f>
        <v>-0.21</v>
      </c>
      <c r="BA14" s="17" t="n">
        <f aca="false">Daily_Composite!P56</f>
        <v>-0.211</v>
      </c>
      <c r="BB14" s="17" t="n">
        <f aca="false">Daily_Composite!P57</f>
        <v>-0.204</v>
      </c>
      <c r="BC14" s="17" t="n">
        <f aca="false">Daily_Composite!P58</f>
        <v>-0.497</v>
      </c>
      <c r="BD14" s="17" t="n">
        <f aca="false">Daily_Composite!P59</f>
        <v>-0.212</v>
      </c>
      <c r="BE14" s="17" t="n">
        <f aca="false">Daily_Composite!P60</f>
        <v>-0.214</v>
      </c>
      <c r="BF14" s="17" t="n">
        <f aca="false">Daily_Composite!P61</f>
        <v>-0.279</v>
      </c>
      <c r="BG14" s="17" t="n">
        <f aca="false">Daily_Composite!P62</f>
        <v>-0.278</v>
      </c>
      <c r="BH14" s="17" t="n">
        <f aca="false">Daily_Composite!P63</f>
        <v>0.037</v>
      </c>
      <c r="BI14" s="17" t="n">
        <f aca="false">Daily_Composite!P64</f>
        <v>0.118</v>
      </c>
      <c r="BJ14" s="17" t="n">
        <f aca="false">Daily_Composite!P65</f>
        <v>-0.157</v>
      </c>
      <c r="BK14" s="17" t="n">
        <f aca="false">Daily_Composite!P66</f>
        <v>0.266</v>
      </c>
      <c r="BL14" s="17" t="n">
        <f aca="false">Daily_Composite!P67</f>
        <v>-0.197</v>
      </c>
      <c r="BM14" s="17" t="n">
        <f aca="false">Daily_Composite!P68</f>
        <v>-0.175</v>
      </c>
      <c r="BN14" s="17" t="n">
        <f aca="false">Daily_Composite!P69</f>
        <v>0.178</v>
      </c>
      <c r="BO14" s="17" t="n">
        <f aca="false">Daily_Composite!P70</f>
        <v>0.164</v>
      </c>
      <c r="BP14" s="17" t="n">
        <f aca="false">Daily_Composite!P71</f>
        <v>-0.18</v>
      </c>
      <c r="BQ14" s="17" t="n">
        <f aca="false">Daily_Composite!P72</f>
        <v>-0.167</v>
      </c>
      <c r="BR14" s="17" t="n">
        <f aca="false">Daily_Composite!P73</f>
        <v>-0.165</v>
      </c>
      <c r="BS14" s="17" t="n">
        <f aca="false">Daily_Composite!P74</f>
        <v>-0.162</v>
      </c>
      <c r="BT14" s="17" t="n">
        <f aca="false">Daily_Composite!P75</f>
        <v>0.349</v>
      </c>
      <c r="BU14" s="17" t="n">
        <f aca="false">Daily_Composite!P76</f>
        <v>-0.161</v>
      </c>
      <c r="BV14" s="17" t="n">
        <f aca="false">Daily_Composite!P77</f>
        <v>-0.164</v>
      </c>
      <c r="BW14" s="17" t="n">
        <f aca="false">Daily_Composite!P78</f>
        <v>-0.164</v>
      </c>
      <c r="BX14" s="17" t="n">
        <f aca="false">Daily_Composite!P79</f>
        <v>-0.127</v>
      </c>
      <c r="BY14" s="17" t="n">
        <f aca="false">Daily_Composite!P80</f>
        <v>-0.182</v>
      </c>
      <c r="BZ14" s="17" t="n">
        <f aca="false">Daily_Composite!P81</f>
        <v>-0.16</v>
      </c>
      <c r="CA14" s="17" t="n">
        <f aca="false">Daily_Composite!P82</f>
        <v>-0.156</v>
      </c>
      <c r="CB14" s="17" t="n">
        <f aca="false">Daily_Composite!P83</f>
        <v>0.035</v>
      </c>
      <c r="CC14" s="17" t="n">
        <f aca="false">Daily_Composite!P84</f>
        <v>0.038</v>
      </c>
      <c r="CD14" s="17" t="n">
        <f aca="false">Daily_Composite!P85</f>
        <v>0.511</v>
      </c>
      <c r="CE14" s="17" t="n">
        <f aca="false">Daily_Composite!P86</f>
        <v>0.075</v>
      </c>
      <c r="CF14" s="17" t="n">
        <f aca="false">Daily_Composite!P87</f>
        <v>0.075</v>
      </c>
      <c r="CG14" s="17" t="n">
        <f aca="false">Daily_Composite!P88</f>
        <v>0.059</v>
      </c>
      <c r="CH14" s="17" t="n">
        <f aca="false">Daily_Composite!P89</f>
        <v>0.05</v>
      </c>
      <c r="CI14" s="17" t="n">
        <f aca="false">Daily_Composite!P90</f>
        <v>0.386</v>
      </c>
      <c r="CJ14" s="17" t="n">
        <f aca="false">Daily_Composite!P91</f>
        <v>0.424</v>
      </c>
      <c r="CK14" s="17" t="n">
        <f aca="false">Daily_Composite!P92</f>
        <v>0.044</v>
      </c>
      <c r="CL14" s="17" t="n">
        <f aca="false">Daily_Composite!P93</f>
        <v>0.225</v>
      </c>
      <c r="CM14" s="17" t="n">
        <f aca="false">Daily_Composite!P94</f>
        <v>0.074</v>
      </c>
      <c r="CN14" s="17" t="n">
        <f aca="false">Daily_Composite!P95</f>
        <v>0.074</v>
      </c>
      <c r="CO14" s="17" t="n">
        <f aca="false">Daily_Composite!P96</f>
        <v>0.422</v>
      </c>
      <c r="CP14" s="17" t="n">
        <f aca="false">Daily_Composite!P97</f>
        <v>0.419</v>
      </c>
      <c r="CQ14" s="17" t="n">
        <f aca="false">Daily_Composite!P98</f>
        <v>-0.012</v>
      </c>
      <c r="CR14" s="17" t="n">
        <f aca="false">Daily_Composite!P99</f>
        <v>0.031</v>
      </c>
      <c r="CS14" s="17" t="n">
        <f aca="false">Daily_Composite!P100</f>
        <v>0.008</v>
      </c>
      <c r="CT14" s="17" t="n">
        <f aca="false">Daily_Composite!P101</f>
        <v>0.008</v>
      </c>
      <c r="CU14" s="17" t="n">
        <f aca="false">Daily_Composite!P102</f>
        <v>-0.41</v>
      </c>
      <c r="CV14" s="17" t="n">
        <f aca="false">Daily_Composite!P103</f>
        <v>0.008</v>
      </c>
      <c r="CW14" s="17" t="n">
        <f aca="false">Daily_Composite!P104</f>
        <v>0.01</v>
      </c>
      <c r="CX14" s="17" t="n">
        <f aca="false">Daily_Composite!P105</f>
        <v>0.012</v>
      </c>
      <c r="CY14" s="17" t="n">
        <f aca="false">Daily_Composite!P106</f>
        <v>0.042</v>
      </c>
      <c r="CZ14" s="17" t="n">
        <f aca="false">Daily_Composite!P107</f>
        <v>0.016</v>
      </c>
      <c r="DA14" s="17" t="n">
        <f aca="false">Daily_Composite!P108</f>
        <v>0</v>
      </c>
      <c r="DB14" s="17" t="n">
        <f aca="false">Daily_Composite!P109</f>
        <v>-0.013</v>
      </c>
      <c r="DC14" s="17" t="n">
        <f aca="false">Daily_Composite!P110</f>
        <v>-0.006</v>
      </c>
      <c r="DD14" s="17" t="n">
        <f aca="false">Daily_Composite!P111</f>
        <v>0.012</v>
      </c>
      <c r="DE14" s="17" t="n">
        <f aca="false">Daily_Composite!P112</f>
        <v>-0.402</v>
      </c>
      <c r="DF14" s="17" t="n">
        <f aca="false">Daily_Composite!P113</f>
        <v>0.053</v>
      </c>
      <c r="DG14" s="17" t="n">
        <f aca="false">Daily_Composite!P114</f>
        <v>0.058</v>
      </c>
      <c r="DH14" s="17" t="n">
        <f aca="false">Daily_Composite!P115</f>
        <v>-0.117</v>
      </c>
      <c r="DI14" s="17" t="n">
        <f aca="false">Daily_Composite!P116</f>
        <v>-0.135</v>
      </c>
      <c r="DJ14" s="17" t="n">
        <f aca="false">Daily_Composite!P117</f>
        <v>-0.143</v>
      </c>
      <c r="DK14" s="17" t="n">
        <f aca="false">Daily_Composite!P118</f>
        <v>-0.256</v>
      </c>
      <c r="DL14" s="17" t="n">
        <f aca="false">Daily_Composite!P119</f>
        <v>-0.121</v>
      </c>
      <c r="DM14" s="17" t="n">
        <f aca="false">Daily_Composite!P120</f>
        <v>-0.123</v>
      </c>
      <c r="DN14" s="17" t="n">
        <f aca="false">Daily_Composite!P121</f>
        <v>-0.351</v>
      </c>
      <c r="DO14" s="17" t="n">
        <f aca="false">Daily_Composite!P122</f>
        <v>-0.141</v>
      </c>
      <c r="DP14" s="17" t="n">
        <f aca="false">Daily_Composite!P123</f>
        <v>-0.139</v>
      </c>
      <c r="DQ14" s="17" t="n">
        <f aca="false">Daily_Composite!P124</f>
        <v>-0.139</v>
      </c>
      <c r="DR14" s="17" t="n">
        <f aca="false">Daily_Composite!P125</f>
        <v>-0.059</v>
      </c>
      <c r="DS14" s="17" t="n">
        <f aca="false">Daily_Composite!P126</f>
        <v>-0.136</v>
      </c>
      <c r="DT14" s="17" t="n">
        <f aca="false">Daily_Composite!P127</f>
        <v>-0.135</v>
      </c>
      <c r="DU14" s="17" t="n">
        <f aca="false">Daily_Composite!P128</f>
        <v>-0.127</v>
      </c>
      <c r="DV14" s="17" t="n">
        <f aca="false">Daily_Composite!P129</f>
        <v>-0.131</v>
      </c>
      <c r="DW14" s="17" t="n">
        <f aca="false">Daily_Composite!P130</f>
        <v>0.574</v>
      </c>
      <c r="DX14" s="17" t="n">
        <f aca="false">Daily_Composite!P131</f>
        <v>-0.125</v>
      </c>
      <c r="DY14" s="17" t="n">
        <f aca="false">Daily_Composite!P132</f>
        <v>0.016</v>
      </c>
      <c r="DZ14" s="17" t="n">
        <f aca="false">Daily_Composite!P133</f>
        <v>-0.005</v>
      </c>
      <c r="EA14" s="17" t="n">
        <f aca="false">Daily_Composite!P134</f>
        <v>-0.008</v>
      </c>
      <c r="EB14" s="17" t="n">
        <f aca="false">Daily_Composite!P135</f>
        <v>-0.014</v>
      </c>
      <c r="EC14" s="17" t="n">
        <f aca="false">Daily_Composite!P136</f>
        <v>-0.032</v>
      </c>
      <c r="ED14" s="17" t="n">
        <f aca="false">Daily_Composite!P137</f>
        <v>-0.021</v>
      </c>
      <c r="EE14" s="17" t="n">
        <f aca="false">Daily_Composite!P138</f>
        <v>0.035</v>
      </c>
      <c r="EF14" s="17" t="n">
        <f aca="false">Daily_Composite!P139</f>
        <v>0.494</v>
      </c>
      <c r="EG14" s="17" t="n">
        <f aca="false">Daily_Composite!P140</f>
        <v>0.084</v>
      </c>
      <c r="EH14" s="17" t="n">
        <f aca="false">Daily_Composite!P141</f>
        <v>0.094</v>
      </c>
      <c r="EI14" s="17" t="n">
        <f aca="false">Daily_Composite!P142</f>
        <v>0.097</v>
      </c>
      <c r="EJ14" s="17" t="n">
        <f aca="false">Daily_Composite!P143</f>
        <v>0.095</v>
      </c>
      <c r="EK14" s="17" t="n">
        <f aca="false">Daily_Composite!P144</f>
        <v>0.056</v>
      </c>
      <c r="EL14" s="17" t="n">
        <f aca="false">Daily_Composite!P145</f>
        <v>-0.214</v>
      </c>
      <c r="EM14" s="17" t="n">
        <f aca="false">Daily_Composite!P146</f>
        <v>-0.073</v>
      </c>
      <c r="EN14" s="17" t="n">
        <f aca="false">Daily_Composite!P147</f>
        <v>0.084</v>
      </c>
      <c r="EO14" s="17" t="n">
        <f aca="false">Daily_Composite!P148</f>
        <v>-0.27</v>
      </c>
      <c r="EP14" s="17" t="n">
        <f aca="false">Daily_Composite!P149</f>
        <v>0.16</v>
      </c>
      <c r="EQ14" s="17" t="n">
        <f aca="false">Daily_Composite!P150</f>
        <v>0.174</v>
      </c>
      <c r="ER14" s="17" t="n">
        <f aca="false">Daily_Composite!P151</f>
        <v>0.199</v>
      </c>
      <c r="ES14" s="17" t="n">
        <f aca="false">Daily_Composite!P152</f>
        <v>0.195</v>
      </c>
      <c r="ET14" s="17" t="n">
        <f aca="false">Daily_Composite!P153</f>
        <v>0.128</v>
      </c>
      <c r="EU14" s="17" t="n">
        <f aca="false">Daily_Composite!P154</f>
        <v>0.104</v>
      </c>
      <c r="EV14" s="17" t="n">
        <f aca="false">Daily_Composite!P155</f>
        <v>0.132</v>
      </c>
      <c r="EW14" s="17" t="n">
        <f aca="false">Daily_Composite!P156</f>
        <v>0.135</v>
      </c>
      <c r="EX14" s="17" t="n">
        <f aca="false">Daily_Composite!P157</f>
        <v>0.269</v>
      </c>
      <c r="EY14" s="17" t="n">
        <f aca="false">Daily_Composite!P158</f>
        <v>0.133</v>
      </c>
      <c r="EZ14" s="17" t="n">
        <f aca="false">Daily_Composite!P159</f>
        <v>0.131</v>
      </c>
      <c r="FA14" s="17" t="n">
        <f aca="false">Daily_Composite!P160</f>
        <v>0.168</v>
      </c>
      <c r="FB14" s="17" t="n">
        <f aca="false">Daily_Composite!P161</f>
        <v>0.208</v>
      </c>
      <c r="FC14" s="17" t="n">
        <f aca="false">Daily_Composite!P162</f>
        <v>0.248</v>
      </c>
      <c r="FD14" s="17" t="n">
        <f aca="false">Daily_Composite!P163</f>
        <v>0.262</v>
      </c>
      <c r="FE14" s="17" t="n">
        <f aca="false">Daily_Composite!P164</f>
        <v>0.28</v>
      </c>
      <c r="FF14" s="17" t="n">
        <f aca="false">Daily_Composite!P165</f>
        <v>0.29</v>
      </c>
      <c r="FG14" s="17" t="n">
        <f aca="false">Daily_Composite!P166</f>
        <v>0.327</v>
      </c>
      <c r="FH14" s="17" t="n">
        <f aca="false">Daily_Composite!P167</f>
        <v>0.576</v>
      </c>
      <c r="FI14" s="17" t="n">
        <f aca="false">Daily_Composite!P168</f>
        <v>0.361</v>
      </c>
      <c r="FJ14" s="17" t="n">
        <f aca="false">Daily_Composite!P169</f>
        <v>0.319</v>
      </c>
      <c r="FK14" s="17" t="n">
        <f aca="false">Daily_Composite!P170</f>
        <v>0.276</v>
      </c>
      <c r="FL14" s="17" t="n">
        <f aca="false">Daily_Composite!P171</f>
        <v>0.255</v>
      </c>
      <c r="FM14" s="17" t="n">
        <f aca="false">Daily_Composite!P172</f>
        <v>0.628</v>
      </c>
      <c r="FN14" s="17" t="n">
        <f aca="false">Daily_Composite!P173</f>
        <v>0.583</v>
      </c>
      <c r="FO14" s="17" t="n">
        <f aca="false">Daily_Composite!P174</f>
        <v>0.187</v>
      </c>
      <c r="FP14" s="17" t="n">
        <f aca="false">Daily_Composite!P175</f>
        <v>0.241</v>
      </c>
      <c r="FQ14" s="17" t="n">
        <f aca="false">Daily_Composite!P176</f>
        <v>0.139</v>
      </c>
      <c r="FR14" s="17" t="n">
        <f aca="false">Daily_Composite!P177</f>
        <v>0.136</v>
      </c>
      <c r="FS14" s="17" t="n">
        <f aca="false">Daily_Composite!P178</f>
        <v>0.274</v>
      </c>
      <c r="FT14" s="17" t="n">
        <f aca="false">Daily_Composite!P179</f>
        <v>0.104</v>
      </c>
      <c r="FU14" s="17" t="n">
        <f aca="false">Daily_Composite!P180</f>
        <v>0.025</v>
      </c>
      <c r="FV14" s="17" t="n">
        <f aca="false">Daily_Composite!P181</f>
        <v>0.097</v>
      </c>
      <c r="FW14" s="17" t="n">
        <f aca="false">Daily_Composite!P182</f>
        <v>0.082</v>
      </c>
      <c r="FX14" s="17" t="n">
        <f aca="false">Daily_Composite!P183</f>
        <v>0.111</v>
      </c>
      <c r="FY14" s="17" t="n">
        <f aca="false">Daily_Composite!P184</f>
        <v>-0.025</v>
      </c>
      <c r="FZ14" s="17" t="n">
        <f aca="false">Daily_Composite!P185</f>
        <v>0.099</v>
      </c>
      <c r="GA14" s="17" t="n">
        <f aca="false">Daily_Composite!P186</f>
        <v>0.115</v>
      </c>
      <c r="GB14" s="17" t="n">
        <f aca="false">Daily_Composite!P187</f>
        <v>0.136</v>
      </c>
      <c r="GC14" s="17" t="n">
        <f aca="false">Daily_Composite!P188</f>
        <v>0.136</v>
      </c>
      <c r="GD14" s="17" t="n">
        <f aca="false">Daily_Composite!P189</f>
        <v>0.135</v>
      </c>
      <c r="GE14" s="17" t="n">
        <f aca="false">Daily_Composite!P190</f>
        <v>0.133</v>
      </c>
      <c r="GF14" s="17" t="n">
        <f aca="false">Daily_Composite!P191</f>
        <v>0.131</v>
      </c>
      <c r="GG14" s="17" t="n">
        <f aca="false">Daily_Composite!P192</f>
        <v>0.104</v>
      </c>
      <c r="GH14" s="17" t="n">
        <f aca="false">Daily_Composite!P193</f>
        <v>0.129</v>
      </c>
      <c r="GI14" s="17" t="n">
        <f aca="false">Daily_Composite!P194</f>
        <v>0.364</v>
      </c>
      <c r="GJ14" s="17" t="n">
        <f aca="false">Daily_Composite!P195</f>
        <v>0.091</v>
      </c>
      <c r="GK14" s="17" t="n">
        <f aca="false">Daily_Composite!P196</f>
        <v>0.075</v>
      </c>
      <c r="GL14" s="17" t="n">
        <f aca="false">Daily_Composite!P197</f>
        <v>0.03</v>
      </c>
      <c r="GM14" s="17" t="n">
        <f aca="false">Daily_Composite!P198</f>
        <v>0.032</v>
      </c>
      <c r="GN14" s="17" t="n">
        <f aca="false">Daily_Composite!P199</f>
        <v>0.364</v>
      </c>
      <c r="GO14" s="17" t="n">
        <f aca="false">Daily_Composite!P200</f>
        <v>0.374</v>
      </c>
      <c r="GP14" s="17" t="n">
        <f aca="false">Daily_Composite!P201</f>
        <v>0.057</v>
      </c>
      <c r="GQ14" s="17" t="n">
        <f aca="false">Daily_Composite!P202</f>
        <v>0.051</v>
      </c>
      <c r="GR14" s="17" t="n">
        <f aca="false">Daily_Composite!P203</f>
        <v>0.524</v>
      </c>
      <c r="GS14" s="17" t="n">
        <f aca="false">Daily_Composite!P204</f>
        <v>0.038</v>
      </c>
      <c r="GT14" s="17" t="n">
        <f aca="false">Daily_Composite!P205</f>
        <v>0.059</v>
      </c>
      <c r="GU14" s="17" t="n">
        <f aca="false">Daily_Composite!P206</f>
        <v>0.4</v>
      </c>
      <c r="GV14" s="17" t="n">
        <f aca="false">Daily_Composite!P207</f>
        <v>0.399</v>
      </c>
      <c r="GW14" s="17" t="n">
        <f aca="false">Daily_Composite!P208</f>
        <v>0.046</v>
      </c>
      <c r="GX14" s="17" t="n">
        <f aca="false">Daily_Composite!P209</f>
        <v>0.044</v>
      </c>
      <c r="GY14" s="17" t="n">
        <f aca="false">Daily_Composite!P210</f>
        <v>0.011</v>
      </c>
      <c r="GZ14" s="17" t="n">
        <f aca="false">Daily_Composite!P211</f>
        <v>-0.002</v>
      </c>
      <c r="HA14" s="17" t="n">
        <f aca="false">Daily_Composite!P212</f>
        <v>0.435</v>
      </c>
      <c r="HB14" s="17" t="n">
        <f aca="false">Daily_Composite!P213</f>
        <v>0.009</v>
      </c>
      <c r="HC14" s="17" t="n">
        <f aca="false">Daily_Composite!P214</f>
        <v>-0.029</v>
      </c>
      <c r="HD14" s="17" t="n">
        <f aca="false">Daily_Composite!P215</f>
        <v>-0.006</v>
      </c>
      <c r="HE14" s="17" t="n">
        <f aca="false">Daily_Composite!P216</f>
        <v>-0.01</v>
      </c>
      <c r="HF14" s="17" t="n">
        <f aca="false">Daily_Composite!P217</f>
        <v>-0.032</v>
      </c>
      <c r="HG14" s="17" t="n">
        <f aca="false">Daily_Composite!P218</f>
        <v>-0.044</v>
      </c>
      <c r="HH14" s="17" t="n">
        <f aca="false">Daily_Composite!P219</f>
        <v>-0.028</v>
      </c>
      <c r="HI14" s="17" t="n">
        <f aca="false">Daily_Composite!P220</f>
        <v>-0.028</v>
      </c>
      <c r="HJ14" s="17" t="n">
        <f aca="false">Daily_Composite!P221</f>
        <v>-0.028</v>
      </c>
      <c r="HK14" s="17" t="n">
        <f aca="false">Daily_Composite!P222</f>
        <v>-0.035</v>
      </c>
      <c r="HL14" s="17" t="n">
        <f aca="false">Daily_Composite!P223</f>
        <v>-0.042</v>
      </c>
      <c r="HM14" s="17" t="n">
        <f aca="false">Daily_Composite!P224</f>
        <v>-0.049</v>
      </c>
      <c r="HN14" s="17" t="n">
        <f aca="false">Daily_Composite!P225</f>
        <v>-0.054</v>
      </c>
      <c r="HO14" s="17" t="n">
        <f aca="false">Daily_Composite!P226</f>
        <v>-0.057</v>
      </c>
      <c r="HP14" s="17" t="n">
        <f aca="false">Daily_Composite!P227</f>
        <v>-0.169</v>
      </c>
      <c r="HQ14" s="17" t="n">
        <f aca="false">Daily_Composite!P228</f>
        <v>-0.107</v>
      </c>
      <c r="HR14" s="17" t="n">
        <f aca="false">Daily_Composite!P229</f>
        <v>-0.068</v>
      </c>
      <c r="HS14" s="17" t="n">
        <f aca="false">Daily_Composite!P230</f>
        <v>0.337</v>
      </c>
      <c r="HT14" s="17" t="n">
        <f aca="false">Daily_Composite!P231</f>
        <v>-0.042</v>
      </c>
      <c r="HU14" s="17" t="n">
        <f aca="false">Daily_Composite!P232</f>
        <v>-0.005</v>
      </c>
      <c r="HV14" s="17" t="n">
        <f aca="false">Daily_Composite!P233</f>
        <v>0.236</v>
      </c>
      <c r="HW14" s="17" t="n">
        <f aca="false">Daily_Composite!P234</f>
        <v>0.236</v>
      </c>
      <c r="HX14" s="17" t="n">
        <f aca="false">Daily_Composite!P235</f>
        <v>0.014</v>
      </c>
      <c r="HY14" s="17" t="n">
        <f aca="false">Daily_Composite!P236</f>
        <v>0.063</v>
      </c>
      <c r="HZ14" s="17" t="n">
        <f aca="false">Daily_Composite!P237</f>
        <v>0.16</v>
      </c>
      <c r="IA14" s="17" t="n">
        <f aca="false">Daily_Composite!P238</f>
        <v>0.062</v>
      </c>
      <c r="IB14" s="17" t="n">
        <f aca="false">Daily_Composite!P239</f>
        <v>0.576</v>
      </c>
      <c r="IC14" s="17" t="n">
        <f aca="false">Daily_Composite!P240</f>
        <v>0.117</v>
      </c>
      <c r="ID14" s="17" t="n">
        <f aca="false">Daily_Composite!P241</f>
        <v>0.119</v>
      </c>
      <c r="IE14" s="17" t="n">
        <f aca="false">Daily_Composite!P242</f>
        <v>0.155</v>
      </c>
      <c r="IF14" s="17" t="n">
        <f aca="false">Daily_Composite!P243</f>
        <v>0.145</v>
      </c>
      <c r="IG14" s="17" t="n">
        <f aca="false">Daily_Composite!P244</f>
        <v>0.151</v>
      </c>
      <c r="IH14" s="17" t="n">
        <f aca="false">Daily_Composite!P245</f>
        <v>0.118</v>
      </c>
      <c r="II14" s="17" t="n">
        <f aca="false">Daily_Composite!P246</f>
        <v>0.142</v>
      </c>
      <c r="IJ14" s="17" t="n">
        <f aca="false">Daily_Composite!P247</f>
        <v>0.138</v>
      </c>
      <c r="IK14" s="17" t="n">
        <f aca="false">Daily_Composite!P248</f>
        <v>0.116</v>
      </c>
      <c r="IL14" s="17" t="n">
        <f aca="false">Daily_Composite!P249</f>
        <v>0.58</v>
      </c>
      <c r="IM14" s="17" t="n">
        <f aca="false">Daily_Composite!P250</f>
        <v>0.142</v>
      </c>
      <c r="IN14" s="17" t="n">
        <f aca="false">Daily_Composite!P251</f>
        <v>0.151</v>
      </c>
      <c r="IO14" s="17" t="n">
        <f aca="false">Daily_Composite!P252</f>
        <v>0.152</v>
      </c>
      <c r="IP14" s="17" t="n">
        <f aca="false">Daily_Composite!P253</f>
        <v>0.153</v>
      </c>
      <c r="IQ14" s="17" t="n">
        <f aca="false">Daily_Composite!P254</f>
        <v>0.486</v>
      </c>
      <c r="IR14" s="17" t="n">
        <f aca="false">Daily_Composite!P255</f>
        <v>0.48</v>
      </c>
      <c r="IS14" s="17" t="n">
        <f aca="false">Daily_Composite!P256</f>
        <v>0.154</v>
      </c>
      <c r="IT14" s="17" t="n">
        <f aca="false">Daily_Composite!P257</f>
        <v>0.593</v>
      </c>
      <c r="IU14" s="17" t="n">
        <f aca="false">Daily_Composite!P258</f>
        <v>0.156</v>
      </c>
      <c r="IV14" s="17" t="n">
        <f aca="false">Daily_Composite!P259</f>
        <v>0.157</v>
      </c>
      <c r="IW14" s="17" t="n">
        <f aca="false">Daily_Composite!P260</f>
        <v>0.497</v>
      </c>
      <c r="IX14" s="17" t="n">
        <f aca="false">Daily_Composite!P261</f>
        <v>0.498</v>
      </c>
      <c r="IY14" s="17" t="n">
        <f aca="false">Daily_Composite!P262</f>
        <v>0.123</v>
      </c>
      <c r="IZ14" s="17" t="n">
        <f aca="false">Daily_Composite!P263</f>
        <v>0.153</v>
      </c>
      <c r="JA14" s="17" t="n">
        <f aca="false">Daily_Composite!P264</f>
        <v>0.107</v>
      </c>
      <c r="JB14" s="17" t="n">
        <f aca="false">Daily_Composite!P265</f>
        <v>0.063</v>
      </c>
      <c r="JC14" s="17" t="n">
        <f aca="false">Daily_Composite!P266</f>
        <v>0.455</v>
      </c>
      <c r="JD14" s="17" t="n">
        <f aca="false">Daily_Composite!P267</f>
        <v>-0.064</v>
      </c>
      <c r="JE14" s="17" t="n">
        <f aca="false">Daily_Composite!P268</f>
        <v>-0.041</v>
      </c>
      <c r="JF14" s="17" t="n">
        <f aca="false">Daily_Composite!P269</f>
        <v>-0.054</v>
      </c>
      <c r="JG14" s="17" t="n">
        <f aca="false">Daily_Composite!P270</f>
        <v>-0.096</v>
      </c>
      <c r="JH14" s="17" t="n">
        <f aca="false">Daily_Composite!P271</f>
        <v>-0.097</v>
      </c>
      <c r="JI14" s="17" t="n">
        <f aca="false">Daily_Composite!P272</f>
        <v>-0.094</v>
      </c>
      <c r="JJ14" s="17" t="n">
        <f aca="false">Daily_Composite!P273</f>
        <v>-0.121</v>
      </c>
      <c r="JK14" s="17" t="n">
        <f aca="false">Daily_Composite!P274</f>
        <v>-0.139</v>
      </c>
      <c r="JL14" s="17" t="n">
        <f aca="false">Daily_Composite!P275</f>
        <v>-0.118</v>
      </c>
      <c r="JM14" s="17" t="n">
        <f aca="false">Daily_Composite!P276</f>
        <v>0.275</v>
      </c>
      <c r="JN14" s="17" t="n">
        <f aca="false">Daily_Composite!P277</f>
        <v>-0.118</v>
      </c>
      <c r="JO14" s="17" t="n">
        <f aca="false">Daily_Composite!P278</f>
        <v>-0.114</v>
      </c>
      <c r="JP14" s="17" t="n">
        <f aca="false">Daily_Composite!P279</f>
        <v>-0.109</v>
      </c>
      <c r="JQ14" s="17" t="n">
        <f aca="false">Daily_Composite!P280</f>
        <v>-0.058</v>
      </c>
      <c r="JR14" s="17" t="n">
        <f aca="false">Daily_Composite!P281</f>
        <v>-0.006</v>
      </c>
      <c r="JS14" s="17" t="n">
        <f aca="false">Daily_Composite!P282</f>
        <v>0.429</v>
      </c>
      <c r="JT14" s="17" t="n">
        <f aca="false">Daily_Composite!P283</f>
        <v>0.413</v>
      </c>
      <c r="JU14" s="17" t="n">
        <f aca="false">Daily_Composite!P284</f>
        <v>0.075</v>
      </c>
      <c r="JV14" s="17" t="n">
        <f aca="false">Daily_Composite!P285</f>
        <v>0.573</v>
      </c>
      <c r="JW14" s="17" t="n">
        <f aca="false">Daily_Composite!P286</f>
        <v>0.183</v>
      </c>
      <c r="JX14" s="17" t="n">
        <f aca="false">Daily_Composite!P287</f>
        <v>0.183</v>
      </c>
      <c r="JY14" s="17" t="n">
        <f aca="false">Daily_Composite!P288</f>
        <v>0.522</v>
      </c>
      <c r="JZ14" s="17" t="n">
        <f aca="false">Daily_Composite!P289</f>
        <v>0.53</v>
      </c>
      <c r="KA14" s="17" t="n">
        <f aca="false">Daily_Composite!P290</f>
        <v>0.171</v>
      </c>
      <c r="KB14" s="17" t="n">
        <f aca="false">Daily_Composite!P291</f>
        <v>0.208</v>
      </c>
      <c r="KC14" s="17" t="n">
        <f aca="false">Daily_Composite!P292</f>
        <v>0.21</v>
      </c>
      <c r="KD14" s="17" t="n">
        <f aca="false">Daily_Composite!P293</f>
        <v>0.623</v>
      </c>
      <c r="KE14" s="17" t="n">
        <f aca="false">Daily_Composite!P294</f>
        <v>0.165</v>
      </c>
      <c r="KF14" s="17" t="n">
        <f aca="false">Daily_Composite!P295</f>
        <v>0.119</v>
      </c>
      <c r="KG14" s="17" t="n">
        <f aca="false">Daily_Composite!P296</f>
        <v>0.026</v>
      </c>
      <c r="KH14" s="17" t="n">
        <f aca="false">Daily_Composite!P297</f>
        <v>-0.073</v>
      </c>
      <c r="KI14" s="17" t="n">
        <f aca="false">Daily_Composite!P298</f>
        <v>-0.019</v>
      </c>
      <c r="KJ14" s="17" t="n">
        <f aca="false">Daily_Composite!P299</f>
        <v>-0.048</v>
      </c>
      <c r="KK14" s="17" t="n">
        <f aca="false">Daily_Composite!P300</f>
        <v>0.03</v>
      </c>
      <c r="KL14" s="17" t="n">
        <f aca="false">Daily_Composite!P301</f>
        <v>0.035</v>
      </c>
      <c r="KM14" s="17" t="n">
        <f aca="false">Daily_Composite!P302</f>
        <v>0.043</v>
      </c>
      <c r="KN14" s="17" t="n">
        <f aca="false">Daily_Composite!P303</f>
        <v>0.387</v>
      </c>
      <c r="KO14" s="17" t="n">
        <f aca="false">Daily_Composite!P304</f>
        <v>0.009</v>
      </c>
      <c r="KP14" s="17" t="n">
        <f aca="false">Daily_Composite!P305</f>
        <v>0.038</v>
      </c>
      <c r="KQ14" s="17" t="n">
        <f aca="false">Daily_Composite!P306</f>
        <v>0.043</v>
      </c>
      <c r="KR14" s="17" t="n">
        <f aca="false">Daily_Composite!P307</f>
        <v>0.011</v>
      </c>
      <c r="KS14" s="17" t="n">
        <f aca="false">Daily_Composite!P308</f>
        <v>0.002</v>
      </c>
      <c r="KT14" s="17" t="n">
        <f aca="false">Daily_Composite!P309</f>
        <v>0.326</v>
      </c>
      <c r="KU14" s="17" t="n">
        <f aca="false">Daily_Composite!P310</f>
        <v>0.328</v>
      </c>
      <c r="KV14" s="17" t="n">
        <f aca="false">Daily_Composite!P311</f>
        <v>-0.046</v>
      </c>
      <c r="KW14" s="17" t="n">
        <f aca="false">Daily_Composite!P312</f>
        <v>0.373</v>
      </c>
      <c r="KX14" s="17" t="n">
        <f aca="false">Daily_Composite!P313</f>
        <v>0.005</v>
      </c>
      <c r="KY14" s="17" t="n">
        <f aca="false">Daily_Composite!P314</f>
        <v>0.007</v>
      </c>
      <c r="KZ14" s="17" t="n">
        <f aca="false">Daily_Composite!P315</f>
        <v>-0.141</v>
      </c>
      <c r="LA14" s="17" t="n">
        <f aca="false">Daily_Composite!P316</f>
        <v>-0.11</v>
      </c>
      <c r="LB14" s="17" t="n">
        <f aca="false">Daily_Composite!P317</f>
        <v>0.013</v>
      </c>
      <c r="LC14" s="17" t="n">
        <f aca="false">Daily_Composite!P318</f>
        <v>0.013</v>
      </c>
      <c r="LD14" s="17" t="n">
        <f aca="false">Daily_Composite!P319</f>
        <v>0.013</v>
      </c>
      <c r="LE14" s="17" t="n">
        <f aca="false">Daily_Composite!P320</f>
        <v>0.015</v>
      </c>
      <c r="LF14" s="17" t="n">
        <f aca="false">Daily_Composite!P321</f>
        <v>0.293</v>
      </c>
      <c r="LG14" s="17" t="n">
        <f aca="false">Daily_Composite!P322</f>
        <v>-0.078</v>
      </c>
      <c r="LH14" s="17" t="n">
        <f aca="false">Daily_Composite!P323</f>
        <v>-0.046</v>
      </c>
      <c r="LI14" s="17" t="n">
        <f aca="false">Daily_Composite!P324</f>
        <v>-0.044</v>
      </c>
      <c r="LJ14" s="17" t="n">
        <f aca="false">Daily_Composite!P325</f>
        <v>-0.072</v>
      </c>
      <c r="LK14" s="17" t="n">
        <f aca="false">Daily_Composite!P326</f>
        <v>-0.064</v>
      </c>
      <c r="LL14" s="17" t="n">
        <f aca="false">Daily_Composite!P327</f>
        <v>0.069</v>
      </c>
      <c r="LM14" s="17" t="n">
        <f aca="false">Daily_Composite!P328</f>
        <v>0.135</v>
      </c>
      <c r="LN14" s="17" t="n">
        <f aca="false">Daily_Composite!P329</f>
        <v>0.04</v>
      </c>
      <c r="LO14" s="17" t="n">
        <f aca="false">Daily_Composite!P330</f>
        <v>0.046</v>
      </c>
      <c r="LP14" s="17" t="n">
        <f aca="false">Daily_Composite!P331</f>
        <v>0.433</v>
      </c>
      <c r="LQ14" s="17" t="n">
        <f aca="false">Daily_Composite!P332</f>
        <v>0.074</v>
      </c>
      <c r="LR14" s="17" t="n">
        <f aca="false">Daily_Composite!P333</f>
        <v>0.11</v>
      </c>
      <c r="LS14" s="17" t="n">
        <f aca="false">Daily_Composite!P334</f>
        <v>0.073</v>
      </c>
      <c r="LT14" s="17" t="n">
        <f aca="false">Daily_Composite!P335</f>
        <v>-0.04</v>
      </c>
      <c r="LU14" s="17" t="n">
        <f aca="false">Daily_Composite!P336</f>
        <v>-0.172</v>
      </c>
      <c r="LV14" s="17" t="n">
        <f aca="false">Daily_Composite!P337</f>
        <v>0.042</v>
      </c>
      <c r="LW14" s="17" t="n">
        <f aca="false">Daily_Composite!P338</f>
        <v>-0.047</v>
      </c>
      <c r="LX14" s="17" t="n">
        <f aca="false">Daily_Composite!P339</f>
        <v>-0.026</v>
      </c>
      <c r="LY14" s="17" t="n">
        <f aca="false">Daily_Composite!P340</f>
        <v>-0.048</v>
      </c>
      <c r="LZ14" s="17" t="n">
        <f aca="false">Daily_Composite!P341</f>
        <v>-0.019</v>
      </c>
      <c r="MA14" s="17" t="n">
        <f aca="false">Daily_Composite!P342</f>
        <v>0.068</v>
      </c>
      <c r="MB14" s="17" t="n">
        <f aca="false">Daily_Composite!P343</f>
        <v>0.094</v>
      </c>
      <c r="MC14" s="17" t="n">
        <f aca="false">Daily_Composite!P344</f>
        <v>0.123</v>
      </c>
      <c r="MD14" s="17" t="n">
        <f aca="false">Daily_Composite!P345</f>
        <v>0.096</v>
      </c>
      <c r="ME14" s="17" t="n">
        <f aca="false">Daily_Composite!P346</f>
        <v>0.132</v>
      </c>
      <c r="MF14" s="17" t="n">
        <f aca="false">Daily_Composite!P347</f>
        <v>0.15</v>
      </c>
      <c r="MG14" s="17" t="n">
        <f aca="false">Daily_Composite!P348</f>
        <v>0.589</v>
      </c>
      <c r="MH14" s="17" t="n">
        <f aca="false">Daily_Composite!P349</f>
        <v>0.185</v>
      </c>
      <c r="MI14" s="17" t="n">
        <f aca="false">Daily_Composite!P350</f>
        <v>0.203</v>
      </c>
      <c r="MJ14" s="17" t="n">
        <f aca="false">Daily_Composite!P351</f>
        <v>0.245</v>
      </c>
      <c r="MK14" s="17" t="n">
        <f aca="false">Daily_Composite!P352</f>
        <v>0.252</v>
      </c>
      <c r="ML14" s="17" t="n">
        <f aca="false">Daily_Composite!P353</f>
        <v>0.226</v>
      </c>
      <c r="MM14" s="17" t="n">
        <f aca="false">Daily_Composite!P354</f>
        <v>0.325</v>
      </c>
      <c r="MN14" s="17" t="n">
        <f aca="false">Daily_Composite!P355</f>
        <v>0.268</v>
      </c>
      <c r="MO14" s="17" t="n">
        <f aca="false">Daily_Composite!P356</f>
        <v>0.241</v>
      </c>
      <c r="MP14" s="17" t="n">
        <f aca="false">Daily_Composite!P357</f>
        <v>0.198</v>
      </c>
      <c r="MQ14" s="17" t="n">
        <f aca="false">Daily_Composite!P358</f>
        <v>0.551</v>
      </c>
      <c r="MR14" s="17" t="n">
        <f aca="false">Daily_Composite!P359</f>
        <v>0.088</v>
      </c>
      <c r="MS14" s="17" t="n">
        <f aca="false">Daily_Composite!P360</f>
        <v>0.093</v>
      </c>
      <c r="MT14" s="17" t="n">
        <f aca="false">Daily_Composite!P361</f>
        <v>0.073</v>
      </c>
      <c r="MU14" s="17" t="n">
        <f aca="false">Daily_Composite!P362</f>
        <v>0.085</v>
      </c>
      <c r="MV14" s="17" t="n">
        <f aca="false">Daily_Composite!P363</f>
        <v>0.213</v>
      </c>
      <c r="MW14" s="17" t="n">
        <f aca="false">Daily_Composite!P364</f>
        <v>0.374</v>
      </c>
      <c r="MX14" s="17" t="n">
        <f aca="false">Daily_Composite!P365</f>
        <v>0.375</v>
      </c>
      <c r="MY14" s="17" t="n">
        <f aca="false">Daily_Composite!P366</f>
        <v>0.003</v>
      </c>
      <c r="MZ14" s="17" t="n">
        <f aca="false">Daily_Composite!P367</f>
        <v>0.526</v>
      </c>
      <c r="NA14" s="17" t="n">
        <f aca="false">Daily_Composite!P368</f>
        <v>-0.07</v>
      </c>
      <c r="NB14" s="17" t="n">
        <f aca="false">Daily_Composite!P369</f>
        <v>-0.019</v>
      </c>
    </row>
    <row r="15" customFormat="false" ht="15" hidden="false" customHeight="false" outlineLevel="0" collapsed="false">
      <c r="A15" s="6" t="s">
        <v>28</v>
      </c>
      <c r="B15" s="17" t="n">
        <f aca="false">Daily_Composite!Q5</f>
        <v>-0.377</v>
      </c>
      <c r="C15" s="17" t="n">
        <f aca="false">Daily_Composite!Q6</f>
        <v>0.028</v>
      </c>
      <c r="D15" s="17" t="n">
        <f aca="false">Daily_Composite!Q7</f>
        <v>-0.241</v>
      </c>
      <c r="E15" s="17" t="n">
        <f aca="false">Daily_Composite!Q8</f>
        <v>-0.195</v>
      </c>
      <c r="F15" s="17" t="n">
        <f aca="false">Daily_Composite!Q9</f>
        <v>-0.114</v>
      </c>
      <c r="G15" s="17" t="n">
        <f aca="false">Daily_Composite!Q10</f>
        <v>0.059</v>
      </c>
      <c r="H15" s="17" t="n">
        <f aca="false">Daily_Composite!Q11</f>
        <v>0.342</v>
      </c>
      <c r="I15" s="17" t="n">
        <f aca="false">Daily_Composite!Q12</f>
        <v>0.107</v>
      </c>
      <c r="J15" s="17" t="n">
        <f aca="false">Daily_Composite!Q13</f>
        <v>0.215</v>
      </c>
      <c r="K15" s="17" t="n">
        <f aca="false">Daily_Composite!Q14</f>
        <v>0.136</v>
      </c>
      <c r="L15" s="17" t="n">
        <f aca="false">Daily_Composite!Q15</f>
        <v>-0.18</v>
      </c>
      <c r="M15" s="17" t="n">
        <f aca="false">Daily_Composite!Q16</f>
        <v>0.137</v>
      </c>
      <c r="N15" s="17" t="n">
        <f aca="false">Daily_Composite!Q17</f>
        <v>0.388</v>
      </c>
      <c r="O15" s="17" t="n">
        <f aca="false">Daily_Composite!Q18</f>
        <v>0.398</v>
      </c>
      <c r="P15" s="17" t="n">
        <f aca="false">Daily_Composite!Q19</f>
        <v>0.248</v>
      </c>
      <c r="Q15" s="17" t="n">
        <f aca="false">Daily_Composite!Q20</f>
        <v>0.168</v>
      </c>
      <c r="R15" s="17" t="n">
        <f aca="false">Daily_Composite!Q21</f>
        <v>0.37</v>
      </c>
      <c r="S15" s="17" t="n">
        <f aca="false">Daily_Composite!Q22</f>
        <v>0.198</v>
      </c>
      <c r="T15" s="17" t="n">
        <f aca="false">Daily_Composite!Q23</f>
        <v>0.586</v>
      </c>
      <c r="U15" s="17" t="n">
        <f aca="false">Daily_Composite!Q24</f>
        <v>0.156</v>
      </c>
      <c r="V15" s="17" t="n">
        <f aca="false">Daily_Composite!Q25</f>
        <v>0.177</v>
      </c>
      <c r="W15" s="17" t="n">
        <f aca="false">Daily_Composite!Q26</f>
        <v>0.105</v>
      </c>
      <c r="X15" s="17" t="n">
        <f aca="false">Daily_Composite!Q27</f>
        <v>0.12</v>
      </c>
      <c r="Y15" s="17" t="n">
        <f aca="false">Daily_Composite!Q28</f>
        <v>0.177</v>
      </c>
      <c r="Z15" s="17" t="n">
        <f aca="false">Daily_Composite!Q29</f>
        <v>0.139</v>
      </c>
      <c r="AA15" s="17" t="n">
        <f aca="false">Daily_Composite!Q30</f>
        <v>0.371</v>
      </c>
      <c r="AB15" s="17" t="n">
        <f aca="false">Daily_Composite!Q31</f>
        <v>0.177</v>
      </c>
      <c r="AC15" s="17" t="n">
        <f aca="false">Daily_Composite!Q32</f>
        <v>0.435</v>
      </c>
      <c r="AD15" s="17" t="n">
        <f aca="false">Daily_Composite!Q33</f>
        <v>0.404</v>
      </c>
      <c r="AE15" s="17" t="n">
        <f aca="false">Daily_Composite!Q34</f>
        <v>0.423</v>
      </c>
      <c r="AF15" s="17" t="n">
        <f aca="false">Daily_Composite!Q35</f>
        <v>0.073</v>
      </c>
      <c r="AG15" s="17" t="n">
        <f aca="false">Daily_Composite!Q36</f>
        <v>0.178</v>
      </c>
      <c r="AH15" s="17" t="n">
        <f aca="false">Daily_Composite!Q37</f>
        <v>0.031</v>
      </c>
      <c r="AI15" s="17" t="n">
        <f aca="false">Daily_Composite!Q38</f>
        <v>0.305</v>
      </c>
      <c r="AJ15" s="17" t="n">
        <f aca="false">Daily_Composite!Q39</f>
        <v>0.18</v>
      </c>
      <c r="AK15" s="17" t="n">
        <f aca="false">Daily_Composite!Q40</f>
        <v>0.527</v>
      </c>
      <c r="AL15" s="17" t="n">
        <f aca="false">Daily_Composite!Q41</f>
        <v>0.11</v>
      </c>
      <c r="AM15" s="17" t="n">
        <f aca="false">Daily_Composite!Q42</f>
        <v>-0.404</v>
      </c>
      <c r="AN15" s="17" t="n">
        <f aca="false">Daily_Composite!Q43</f>
        <v>-0.066</v>
      </c>
      <c r="AO15" s="17" t="n">
        <f aca="false">Daily_Composite!Q44</f>
        <v>-0.24</v>
      </c>
      <c r="AP15" s="17" t="n">
        <f aca="false">Daily_Composite!Q45</f>
        <v>-0.158</v>
      </c>
      <c r="AQ15" s="17" t="n">
        <f aca="false">Daily_Composite!Q46</f>
        <v>0.017</v>
      </c>
      <c r="AR15" s="17" t="n">
        <f aca="false">Daily_Composite!Q47</f>
        <v>-0.006</v>
      </c>
      <c r="AS15" s="17" t="n">
        <f aca="false">Daily_Composite!Q48</f>
        <v>-0.222</v>
      </c>
      <c r="AT15" s="17" t="n">
        <f aca="false">Daily_Composite!Q49</f>
        <v>0.025</v>
      </c>
      <c r="AU15" s="17" t="n">
        <f aca="false">Daily_Composite!Q50</f>
        <v>0.022</v>
      </c>
      <c r="AV15" s="17" t="n">
        <f aca="false">Daily_Composite!Q51</f>
        <v>0.008</v>
      </c>
      <c r="AW15" s="17" t="n">
        <f aca="false">Daily_Composite!Q52</f>
        <v>-0.247</v>
      </c>
      <c r="AX15" s="17" t="n">
        <f aca="false">Daily_Composite!Q53</f>
        <v>-0.006</v>
      </c>
      <c r="AY15" s="17" t="n">
        <f aca="false">Daily_Composite!Q54</f>
        <v>0.055</v>
      </c>
      <c r="AZ15" s="17" t="n">
        <f aca="false">Daily_Composite!Q55</f>
        <v>-0.009</v>
      </c>
      <c r="BA15" s="17" t="n">
        <f aca="false">Daily_Composite!Q56</f>
        <v>-0.028</v>
      </c>
      <c r="BB15" s="17" t="n">
        <f aca="false">Daily_Composite!Q57</f>
        <v>-0.017</v>
      </c>
      <c r="BC15" s="17" t="n">
        <f aca="false">Daily_Composite!Q58</f>
        <v>-0.38</v>
      </c>
      <c r="BD15" s="17" t="n">
        <f aca="false">Daily_Composite!Q59</f>
        <v>0.045</v>
      </c>
      <c r="BE15" s="17" t="n">
        <f aca="false">Daily_Composite!Q60</f>
        <v>-0.395</v>
      </c>
      <c r="BF15" s="17" t="n">
        <f aca="false">Daily_Composite!Q61</f>
        <v>-0.368</v>
      </c>
      <c r="BG15" s="17" t="n">
        <f aca="false">Daily_Composite!Q62</f>
        <v>0.006</v>
      </c>
      <c r="BH15" s="17" t="n">
        <f aca="false">Daily_Composite!Q63</f>
        <v>-0.075</v>
      </c>
      <c r="BI15" s="17" t="n">
        <f aca="false">Daily_Composite!Q64</f>
        <v>-0.109</v>
      </c>
      <c r="BJ15" s="17" t="n">
        <f aca="false">Daily_Composite!Q65</f>
        <v>-0.199</v>
      </c>
      <c r="BK15" s="17" t="n">
        <f aca="false">Daily_Composite!Q66</f>
        <v>-0.15</v>
      </c>
      <c r="BL15" s="17" t="n">
        <f aca="false">Daily_Composite!Q67</f>
        <v>0.067</v>
      </c>
      <c r="BM15" s="17" t="n">
        <f aca="false">Daily_Composite!Q68</f>
        <v>0.056</v>
      </c>
      <c r="BN15" s="17" t="n">
        <f aca="false">Daily_Composite!Q69</f>
        <v>-0.096</v>
      </c>
      <c r="BO15" s="17" t="n">
        <f aca="false">Daily_Composite!Q70</f>
        <v>-0.5</v>
      </c>
      <c r="BP15" s="17" t="n">
        <f aca="false">Daily_Composite!Q71</f>
        <v>-0.355</v>
      </c>
      <c r="BQ15" s="17" t="n">
        <f aca="false">Daily_Composite!Q72</f>
        <v>-0.319</v>
      </c>
      <c r="BR15" s="17" t="n">
        <f aca="false">Daily_Composite!Q73</f>
        <v>-0.304</v>
      </c>
      <c r="BS15" s="17" t="n">
        <f aca="false">Daily_Composite!Q74</f>
        <v>-0.174</v>
      </c>
      <c r="BT15" s="17" t="n">
        <f aca="false">Daily_Composite!Q75</f>
        <v>0.043</v>
      </c>
      <c r="BU15" s="17" t="n">
        <f aca="false">Daily_Composite!Q76</f>
        <v>-0.096</v>
      </c>
      <c r="BV15" s="17" t="n">
        <f aca="false">Daily_Composite!Q77</f>
        <v>-0.271</v>
      </c>
      <c r="BW15" s="17" t="n">
        <f aca="false">Daily_Composite!Q78</f>
        <v>-0.03</v>
      </c>
      <c r="BX15" s="17" t="n">
        <f aca="false">Daily_Composite!Q79</f>
        <v>-0.286</v>
      </c>
      <c r="BY15" s="17" t="n">
        <f aca="false">Daily_Composite!Q80</f>
        <v>-0.374</v>
      </c>
      <c r="BZ15" s="17" t="n">
        <f aca="false">Daily_Composite!Q81</f>
        <v>-0.006</v>
      </c>
      <c r="CA15" s="17" t="n">
        <f aca="false">Daily_Composite!Q82</f>
        <v>-0.007</v>
      </c>
      <c r="CB15" s="17" t="n">
        <f aca="false">Daily_Composite!Q83</f>
        <v>-0.033</v>
      </c>
      <c r="CC15" s="17" t="n">
        <f aca="false">Daily_Composite!Q84</f>
        <v>-0.101</v>
      </c>
      <c r="CD15" s="17" t="n">
        <f aca="false">Daily_Composite!Q85</f>
        <v>0.294</v>
      </c>
      <c r="CE15" s="17" t="n">
        <f aca="false">Daily_Composite!Q86</f>
        <v>0.023</v>
      </c>
      <c r="CF15" s="17" t="n">
        <f aca="false">Daily_Composite!Q87</f>
        <v>0.301</v>
      </c>
      <c r="CG15" s="17" t="n">
        <f aca="false">Daily_Composite!Q88</f>
        <v>-0.443</v>
      </c>
      <c r="CH15" s="17" t="n">
        <f aca="false">Daily_Composite!Q89</f>
        <v>-0.519</v>
      </c>
      <c r="CI15" s="17" t="n">
        <f aca="false">Daily_Composite!Q90</f>
        <v>-0.042</v>
      </c>
      <c r="CJ15" s="17" t="n">
        <f aca="false">Daily_Composite!Q91</f>
        <v>0.03</v>
      </c>
      <c r="CK15" s="17" t="n">
        <f aca="false">Daily_Composite!Q92</f>
        <v>-0.022</v>
      </c>
      <c r="CL15" s="17" t="n">
        <f aca="false">Daily_Composite!Q93</f>
        <v>-0.159</v>
      </c>
      <c r="CM15" s="17" t="n">
        <f aca="false">Daily_Composite!Q94</f>
        <v>0.039</v>
      </c>
      <c r="CN15" s="17" t="n">
        <f aca="false">Daily_Composite!Q95</f>
        <v>-0.226</v>
      </c>
      <c r="CO15" s="17" t="n">
        <f aca="false">Daily_Composite!Q96</f>
        <v>-0.184</v>
      </c>
      <c r="CP15" s="17" t="n">
        <f aca="false">Daily_Composite!Q97</f>
        <v>-0.413</v>
      </c>
      <c r="CQ15" s="17" t="n">
        <f aca="false">Daily_Composite!Q98</f>
        <v>-0.328</v>
      </c>
      <c r="CR15" s="17" t="n">
        <f aca="false">Daily_Composite!Q99</f>
        <v>-0.231</v>
      </c>
      <c r="CS15" s="17" t="n">
        <f aca="false">Daily_Composite!Q100</f>
        <v>0.165</v>
      </c>
      <c r="CT15" s="17" t="n">
        <f aca="false">Daily_Composite!Q101</f>
        <v>-0.044</v>
      </c>
      <c r="CU15" s="17" t="n">
        <f aca="false">Daily_Composite!Q102</f>
        <v>-0.371</v>
      </c>
      <c r="CV15" s="17" t="n">
        <f aca="false">Daily_Composite!Q103</f>
        <v>-0.064</v>
      </c>
      <c r="CW15" s="17" t="n">
        <f aca="false">Daily_Composite!Q104</f>
        <v>-0.086</v>
      </c>
      <c r="CX15" s="17" t="n">
        <f aca="false">Daily_Composite!Q105</f>
        <v>-0.292</v>
      </c>
      <c r="CY15" s="17" t="n">
        <f aca="false">Daily_Composite!Q106</f>
        <v>0.004</v>
      </c>
      <c r="CZ15" s="17" t="n">
        <f aca="false">Daily_Composite!Q107</f>
        <v>0.273</v>
      </c>
      <c r="DA15" s="17" t="n">
        <f aca="false">Daily_Composite!Q108</f>
        <v>-0.066</v>
      </c>
      <c r="DB15" s="17" t="n">
        <f aca="false">Daily_Composite!Q109</f>
        <v>-0.069</v>
      </c>
      <c r="DC15" s="17" t="n">
        <f aca="false">Daily_Composite!Q110</f>
        <v>-0.065</v>
      </c>
      <c r="DD15" s="17" t="n">
        <f aca="false">Daily_Composite!Q111</f>
        <v>-0.058</v>
      </c>
      <c r="DE15" s="17" t="n">
        <f aca="false">Daily_Composite!Q112</f>
        <v>-0.433</v>
      </c>
      <c r="DF15" s="17" t="n">
        <f aca="false">Daily_Composite!Q113</f>
        <v>-0.004</v>
      </c>
      <c r="DG15" s="17" t="n">
        <f aca="false">Daily_Composite!Q114</f>
        <v>0.105</v>
      </c>
      <c r="DH15" s="17" t="n">
        <f aca="false">Daily_Composite!Q115</f>
        <v>0.162</v>
      </c>
      <c r="DI15" s="17" t="n">
        <f aca="false">Daily_Composite!Q116</f>
        <v>-0.317</v>
      </c>
      <c r="DJ15" s="17" t="n">
        <f aca="false">Daily_Composite!Q117</f>
        <v>-0.005</v>
      </c>
      <c r="DK15" s="17" t="n">
        <f aca="false">Daily_Composite!Q118</f>
        <v>-0.171</v>
      </c>
      <c r="DL15" s="17" t="n">
        <f aca="false">Daily_Composite!Q119</f>
        <v>-0.103</v>
      </c>
      <c r="DM15" s="17" t="n">
        <f aca="false">Daily_Composite!Q120</f>
        <v>-0.066</v>
      </c>
      <c r="DN15" s="17" t="n">
        <f aca="false">Daily_Composite!Q121</f>
        <v>-0.412</v>
      </c>
      <c r="DO15" s="17" t="n">
        <f aca="false">Daily_Composite!Q122</f>
        <v>-0</v>
      </c>
      <c r="DP15" s="17" t="n">
        <f aca="false">Daily_Composite!Q123</f>
        <v>-0.018</v>
      </c>
      <c r="DQ15" s="17" t="n">
        <f aca="false">Daily_Composite!Q124</f>
        <v>-0.451</v>
      </c>
      <c r="DR15" s="17" t="n">
        <f aca="false">Daily_Composite!Q125</f>
        <v>-0.098</v>
      </c>
      <c r="DS15" s="17" t="n">
        <f aca="false">Daily_Composite!Q126</f>
        <v>0.195</v>
      </c>
      <c r="DT15" s="17" t="n">
        <f aca="false">Daily_Composite!Q127</f>
        <v>0.244</v>
      </c>
      <c r="DU15" s="17" t="n">
        <f aca="false">Daily_Composite!Q128</f>
        <v>0.051</v>
      </c>
      <c r="DV15" s="17" t="n">
        <f aca="false">Daily_Composite!Q129</f>
        <v>0.015</v>
      </c>
      <c r="DW15" s="17" t="n">
        <f aca="false">Daily_Composite!Q130</f>
        <v>0.409</v>
      </c>
      <c r="DX15" s="17" t="n">
        <f aca="false">Daily_Composite!Q131</f>
        <v>0.002</v>
      </c>
      <c r="DY15" s="17" t="n">
        <f aca="false">Daily_Composite!Q132</f>
        <v>0.434</v>
      </c>
      <c r="DZ15" s="17" t="n">
        <f aca="false">Daily_Composite!Q133</f>
        <v>-0.02</v>
      </c>
      <c r="EA15" s="17" t="n">
        <f aca="false">Daily_Composite!Q134</f>
        <v>-0.318</v>
      </c>
      <c r="EB15" s="17" t="n">
        <f aca="false">Daily_Composite!Q135</f>
        <v>-0.029</v>
      </c>
      <c r="EC15" s="17" t="n">
        <f aca="false">Daily_Composite!Q136</f>
        <v>0.05</v>
      </c>
      <c r="ED15" s="17" t="n">
        <f aca="false">Daily_Composite!Q137</f>
        <v>0.081</v>
      </c>
      <c r="EE15" s="17" t="n">
        <f aca="false">Daily_Composite!Q138</f>
        <v>0.022</v>
      </c>
      <c r="EF15" s="17" t="n">
        <f aca="false">Daily_Composite!Q139</f>
        <v>0.256</v>
      </c>
      <c r="EG15" s="17" t="n">
        <f aca="false">Daily_Composite!Q140</f>
        <v>-0.007</v>
      </c>
      <c r="EH15" s="17" t="n">
        <f aca="false">Daily_Composite!Q141</f>
        <v>-0.034</v>
      </c>
      <c r="EI15" s="17" t="n">
        <f aca="false">Daily_Composite!Q142</f>
        <v>-0.053</v>
      </c>
      <c r="EJ15" s="17" t="n">
        <f aca="false">Daily_Composite!Q143</f>
        <v>-0.43</v>
      </c>
      <c r="EK15" s="17" t="n">
        <f aca="false">Daily_Composite!Q144</f>
        <v>-0.345</v>
      </c>
      <c r="EL15" s="17" t="n">
        <f aca="false">Daily_Composite!Q145</f>
        <v>-0.047</v>
      </c>
      <c r="EM15" s="17" t="n">
        <f aca="false">Daily_Composite!Q146</f>
        <v>-0.143</v>
      </c>
      <c r="EN15" s="17" t="n">
        <f aca="false">Daily_Composite!Q147</f>
        <v>-0.062</v>
      </c>
      <c r="EO15" s="17" t="n">
        <f aca="false">Daily_Composite!Q148</f>
        <v>-0.348</v>
      </c>
      <c r="EP15" s="17" t="n">
        <f aca="false">Daily_Composite!Q149</f>
        <v>-0.114</v>
      </c>
      <c r="EQ15" s="17" t="n">
        <f aca="false">Daily_Composite!Q150</f>
        <v>-0.089</v>
      </c>
      <c r="ER15" s="17" t="n">
        <f aca="false">Daily_Composite!Q151</f>
        <v>-0.216</v>
      </c>
      <c r="ES15" s="17" t="n">
        <f aca="false">Daily_Composite!Q152</f>
        <v>-0.414</v>
      </c>
      <c r="ET15" s="17" t="n">
        <f aca="false">Daily_Composite!Q153</f>
        <v>-0.318</v>
      </c>
      <c r="EU15" s="17" t="n">
        <f aca="false">Daily_Composite!Q154</f>
        <v>-0.142</v>
      </c>
      <c r="EV15" s="17" t="n">
        <f aca="false">Daily_Composite!Q155</f>
        <v>-0.148</v>
      </c>
      <c r="EW15" s="17" t="n">
        <f aca="false">Daily_Composite!Q156</f>
        <v>0.023</v>
      </c>
      <c r="EX15" s="17" t="n">
        <f aca="false">Daily_Composite!Q157</f>
        <v>0.103</v>
      </c>
      <c r="EY15" s="17" t="n">
        <f aca="false">Daily_Composite!Q158</f>
        <v>-0.188</v>
      </c>
      <c r="EZ15" s="17" t="n">
        <f aca="false">Daily_Composite!Q159</f>
        <v>0.16</v>
      </c>
      <c r="FA15" s="17" t="n">
        <f aca="false">Daily_Composite!Q160</f>
        <v>-0.195</v>
      </c>
      <c r="FB15" s="17" t="n">
        <f aca="false">Daily_Composite!Q161</f>
        <v>0.045</v>
      </c>
      <c r="FC15" s="17" t="n">
        <f aca="false">Daily_Composite!Q162</f>
        <v>-0.237</v>
      </c>
      <c r="FD15" s="17" t="n">
        <f aca="false">Daily_Composite!Q163</f>
        <v>-0.232</v>
      </c>
      <c r="FE15" s="17" t="n">
        <f aca="false">Daily_Composite!Q164</f>
        <v>-0.221</v>
      </c>
      <c r="FF15" s="17" t="n">
        <f aca="false">Daily_Composite!Q165</f>
        <v>-0.161</v>
      </c>
      <c r="FG15" s="17" t="n">
        <f aca="false">Daily_Composite!Q166</f>
        <v>-0.172</v>
      </c>
      <c r="FH15" s="17" t="n">
        <f aca="false">Daily_Composite!Q167</f>
        <v>-0.152</v>
      </c>
      <c r="FI15" s="17" t="n">
        <f aca="false">Daily_Composite!Q168</f>
        <v>-0.192</v>
      </c>
      <c r="FJ15" s="17" t="n">
        <f aca="false">Daily_Composite!Q169</f>
        <v>-0.378</v>
      </c>
      <c r="FK15" s="17" t="n">
        <f aca="false">Daily_Composite!Q170</f>
        <v>-0.376</v>
      </c>
      <c r="FL15" s="17" t="n">
        <f aca="false">Daily_Composite!Q171</f>
        <v>-0.53</v>
      </c>
      <c r="FM15" s="17" t="n">
        <f aca="false">Daily_Composite!Q172</f>
        <v>-0.164</v>
      </c>
      <c r="FN15" s="17" t="n">
        <f aca="false">Daily_Composite!Q173</f>
        <v>-0.207</v>
      </c>
      <c r="FO15" s="17" t="n">
        <f aca="false">Daily_Composite!Q174</f>
        <v>-0.211</v>
      </c>
      <c r="FP15" s="17" t="n">
        <f aca="false">Daily_Composite!Q175</f>
        <v>-0.161</v>
      </c>
      <c r="FQ15" s="17" t="n">
        <f aca="false">Daily_Composite!Q176</f>
        <v>-0.128</v>
      </c>
      <c r="FR15" s="17" t="n">
        <f aca="false">Daily_Composite!Q177</f>
        <v>0.407</v>
      </c>
      <c r="FS15" s="17" t="n">
        <f aca="false">Daily_Composite!Q178</f>
        <v>-0.284</v>
      </c>
      <c r="FT15" s="17" t="n">
        <f aca="false">Daily_Composite!Q179</f>
        <v>-0.513</v>
      </c>
      <c r="FU15" s="17" t="n">
        <f aca="false">Daily_Composite!Q180</f>
        <v>-0.271</v>
      </c>
      <c r="FV15" s="17" t="n">
        <f aca="false">Daily_Composite!Q181</f>
        <v>0.049</v>
      </c>
      <c r="FW15" s="17" t="n">
        <f aca="false">Daily_Composite!Q182</f>
        <v>-0.216</v>
      </c>
      <c r="FX15" s="17" t="n">
        <f aca="false">Daily_Composite!Q183</f>
        <v>-0.253</v>
      </c>
      <c r="FY15" s="17" t="n">
        <f aca="false">Daily_Composite!Q184</f>
        <v>-0.418</v>
      </c>
      <c r="FZ15" s="17" t="n">
        <f aca="false">Daily_Composite!Q185</f>
        <v>-0.155</v>
      </c>
      <c r="GA15" s="17" t="n">
        <f aca="false">Daily_Composite!Q186</f>
        <v>0.221</v>
      </c>
      <c r="GB15" s="17" t="n">
        <f aca="false">Daily_Composite!Q187</f>
        <v>0.213</v>
      </c>
      <c r="GC15" s="17" t="n">
        <f aca="false">Daily_Composite!Q188</f>
        <v>-0.197</v>
      </c>
      <c r="GD15" s="17" t="n">
        <f aca="false">Daily_Composite!Q189</f>
        <v>0.021</v>
      </c>
      <c r="GE15" s="17" t="n">
        <f aca="false">Daily_Composite!Q190</f>
        <v>0.032</v>
      </c>
      <c r="GF15" s="17" t="n">
        <f aca="false">Daily_Composite!Q191</f>
        <v>-0.02</v>
      </c>
      <c r="GG15" s="17" t="n">
        <f aca="false">Daily_Composite!Q192</f>
        <v>-0.045</v>
      </c>
      <c r="GH15" s="17" t="n">
        <f aca="false">Daily_Composite!Q193</f>
        <v>0.015</v>
      </c>
      <c r="GI15" s="17" t="n">
        <f aca="false">Daily_Composite!Q194</f>
        <v>-0.019</v>
      </c>
      <c r="GJ15" s="17" t="n">
        <f aca="false">Daily_Composite!Q195</f>
        <v>-0.024</v>
      </c>
      <c r="GK15" s="17" t="n">
        <f aca="false">Daily_Composite!Q196</f>
        <v>0.368</v>
      </c>
      <c r="GL15" s="17" t="n">
        <f aca="false">Daily_Composite!Q197</f>
        <v>-0.035</v>
      </c>
      <c r="GM15" s="17" t="n">
        <f aca="false">Daily_Composite!Q198</f>
        <v>-0.481</v>
      </c>
      <c r="GN15" s="17" t="n">
        <f aca="false">Daily_Composite!Q199</f>
        <v>0.057</v>
      </c>
      <c r="GO15" s="17" t="n">
        <f aca="false">Daily_Composite!Q200</f>
        <v>-0.003</v>
      </c>
      <c r="GP15" s="17" t="n">
        <f aca="false">Daily_Composite!Q201</f>
        <v>-0.029</v>
      </c>
      <c r="GQ15" s="17" t="n">
        <f aca="false">Daily_Composite!Q202</f>
        <v>-0.146</v>
      </c>
      <c r="GR15" s="17" t="n">
        <f aca="false">Daily_Composite!Q203</f>
        <v>0.237</v>
      </c>
      <c r="GS15" s="17" t="n">
        <f aca="false">Daily_Composite!Q204</f>
        <v>-0.225</v>
      </c>
      <c r="GT15" s="17" t="n">
        <f aca="false">Daily_Composite!Q205</f>
        <v>-0.189</v>
      </c>
      <c r="GU15" s="17" t="n">
        <f aca="false">Daily_Composite!Q206</f>
        <v>-0.596</v>
      </c>
      <c r="GV15" s="17" t="n">
        <f aca="false">Daily_Composite!Q207</f>
        <v>-0.346</v>
      </c>
      <c r="GW15" s="17" t="n">
        <f aca="false">Daily_Composite!Q208</f>
        <v>-0.566</v>
      </c>
      <c r="GX15" s="17" t="n">
        <f aca="false">Daily_Composite!Q209</f>
        <v>-0.553</v>
      </c>
      <c r="GY15" s="17" t="n">
        <f aca="false">Daily_Composite!Q210</f>
        <v>-0.159</v>
      </c>
      <c r="GZ15" s="17" t="n">
        <f aca="false">Daily_Composite!Q211</f>
        <v>-0.189</v>
      </c>
      <c r="HA15" s="17" t="n">
        <f aca="false">Daily_Composite!Q212</f>
        <v>0.108</v>
      </c>
      <c r="HB15" s="17" t="n">
        <f aca="false">Daily_Composite!Q213</f>
        <v>-0.314</v>
      </c>
      <c r="HC15" s="17" t="n">
        <f aca="false">Daily_Composite!Q214</f>
        <v>-0.58</v>
      </c>
      <c r="HD15" s="17" t="n">
        <f aca="false">Daily_Composite!Q215</f>
        <v>-0.071</v>
      </c>
      <c r="HE15" s="17" t="n">
        <f aca="false">Daily_Composite!Q216</f>
        <v>0.091</v>
      </c>
      <c r="HF15" s="17" t="n">
        <f aca="false">Daily_Composite!Q217</f>
        <v>-0.107</v>
      </c>
      <c r="HG15" s="17" t="n">
        <f aca="false">Daily_Composite!Q218</f>
        <v>-0.163</v>
      </c>
      <c r="HH15" s="17" t="n">
        <f aca="false">Daily_Composite!Q219</f>
        <v>-0.158</v>
      </c>
      <c r="HI15" s="17" t="n">
        <f aca="false">Daily_Composite!Q220</f>
        <v>-0.091</v>
      </c>
      <c r="HJ15" s="17" t="n">
        <f aca="false">Daily_Composite!Q221</f>
        <v>-0.094</v>
      </c>
      <c r="HK15" s="17" t="n">
        <f aca="false">Daily_Composite!Q222</f>
        <v>-0.417</v>
      </c>
      <c r="HL15" s="17" t="n">
        <f aca="false">Daily_Composite!Q223</f>
        <v>-0.659</v>
      </c>
      <c r="HM15" s="17" t="n">
        <f aca="false">Daily_Composite!Q224</f>
        <v>-0.356</v>
      </c>
      <c r="HN15" s="17" t="n">
        <f aca="false">Daily_Composite!Q225</f>
        <v>-0.744</v>
      </c>
      <c r="HO15" s="17" t="n">
        <f aca="false">Daily_Composite!Q226</f>
        <v>-0.69</v>
      </c>
      <c r="HP15" s="17" t="n">
        <f aca="false">Daily_Composite!Q227</f>
        <v>-0.458</v>
      </c>
      <c r="HQ15" s="17" t="n">
        <f aca="false">Daily_Composite!Q228</f>
        <v>-0.454</v>
      </c>
      <c r="HR15" s="17" t="n">
        <f aca="false">Daily_Composite!Q229</f>
        <v>-0.307</v>
      </c>
      <c r="HS15" s="17" t="n">
        <f aca="false">Daily_Composite!Q230</f>
        <v>0.032</v>
      </c>
      <c r="HT15" s="17" t="n">
        <f aca="false">Daily_Composite!Q231</f>
        <v>-0.361</v>
      </c>
      <c r="HU15" s="17" t="n">
        <f aca="false">Daily_Composite!Q232</f>
        <v>-0.539</v>
      </c>
      <c r="HV15" s="17" t="n">
        <f aca="false">Daily_Composite!Q233</f>
        <v>-0.375</v>
      </c>
      <c r="HW15" s="17" t="n">
        <f aca="false">Daily_Composite!Q234</f>
        <v>-0.543</v>
      </c>
      <c r="HX15" s="17" t="n">
        <f aca="false">Daily_Composite!Q235</f>
        <v>-0.459</v>
      </c>
      <c r="HY15" s="17" t="n">
        <f aca="false">Daily_Composite!Q236</f>
        <v>-0.312</v>
      </c>
      <c r="HZ15" s="17" t="n">
        <f aca="false">Daily_Composite!Q237</f>
        <v>0.057</v>
      </c>
      <c r="IA15" s="17" t="n">
        <f aca="false">Daily_Composite!Q238</f>
        <v>-0.075</v>
      </c>
      <c r="IB15" s="17" t="n">
        <f aca="false">Daily_Composite!Q239</f>
        <v>0.249</v>
      </c>
      <c r="IC15" s="17" t="n">
        <f aca="false">Daily_Composite!Q240</f>
        <v>-0.133</v>
      </c>
      <c r="ID15" s="17" t="n">
        <f aca="false">Daily_Composite!Q241</f>
        <v>0.079</v>
      </c>
      <c r="IE15" s="17" t="n">
        <f aca="false">Daily_Composite!Q242</f>
        <v>-0.169</v>
      </c>
      <c r="IF15" s="17" t="n">
        <f aca="false">Daily_Composite!Q243</f>
        <v>-0.47</v>
      </c>
      <c r="IG15" s="17" t="n">
        <f aca="false">Daily_Composite!Q244</f>
        <v>-0.26</v>
      </c>
      <c r="IH15" s="17" t="n">
        <f aca="false">Daily_Composite!Q245</f>
        <v>-0.12</v>
      </c>
      <c r="II15" s="17" t="n">
        <f aca="false">Daily_Composite!Q246</f>
        <v>-0.106</v>
      </c>
      <c r="IJ15" s="17" t="n">
        <f aca="false">Daily_Composite!Q247</f>
        <v>-0.181</v>
      </c>
      <c r="IK15" s="17" t="n">
        <f aca="false">Daily_Composite!Q248</f>
        <v>-0.252</v>
      </c>
      <c r="IL15" s="17" t="n">
        <f aca="false">Daily_Composite!Q249</f>
        <v>0.207</v>
      </c>
      <c r="IM15" s="17" t="n">
        <f aca="false">Daily_Composite!Q250</f>
        <v>-0.189</v>
      </c>
      <c r="IN15" s="17" t="n">
        <f aca="false">Daily_Composite!Q251</f>
        <v>0.396</v>
      </c>
      <c r="IO15" s="17" t="n">
        <f aca="false">Daily_Composite!Q252</f>
        <v>-0.022</v>
      </c>
      <c r="IP15" s="17" t="n">
        <f aca="false">Daily_Composite!Q253</f>
        <v>-0.194</v>
      </c>
      <c r="IQ15" s="17" t="n">
        <f aca="false">Daily_Composite!Q254</f>
        <v>-0.286</v>
      </c>
      <c r="IR15" s="17" t="n">
        <f aca="false">Daily_Composite!Q255</f>
        <v>-0.291</v>
      </c>
      <c r="IS15" s="17" t="n">
        <f aca="false">Daily_Composite!Q256</f>
        <v>-0.218</v>
      </c>
      <c r="IT15" s="17" t="n">
        <f aca="false">Daily_Composite!Q257</f>
        <v>0.222</v>
      </c>
      <c r="IU15" s="17" t="n">
        <f aca="false">Daily_Composite!Q258</f>
        <v>0.005</v>
      </c>
      <c r="IV15" s="17" t="n">
        <f aca="false">Daily_Composite!Q259</f>
        <v>0.377</v>
      </c>
      <c r="IW15" s="17" t="n">
        <f aca="false">Daily_Composite!Q260</f>
        <v>-0.207</v>
      </c>
      <c r="IX15" s="17" t="n">
        <f aca="false">Daily_Composite!Q261</f>
        <v>-0.208</v>
      </c>
      <c r="IY15" s="17" t="n">
        <f aca="false">Daily_Composite!Q262</f>
        <v>0.067</v>
      </c>
      <c r="IZ15" s="17" t="n">
        <f aca="false">Daily_Composite!Q263</f>
        <v>-0.232</v>
      </c>
      <c r="JA15" s="17" t="n">
        <f aca="false">Daily_Composite!Q264</f>
        <v>-0.202</v>
      </c>
      <c r="JB15" s="17" t="n">
        <f aca="false">Daily_Composite!Q265</f>
        <v>-0.022</v>
      </c>
      <c r="JC15" s="17" t="n">
        <f aca="false">Daily_Composite!Q266</f>
        <v>0.31</v>
      </c>
      <c r="JD15" s="17" t="n">
        <f aca="false">Daily_Composite!Q267</f>
        <v>-0.095</v>
      </c>
      <c r="JE15" s="17" t="n">
        <f aca="false">Daily_Composite!Q268</f>
        <v>0.268</v>
      </c>
      <c r="JF15" s="17" t="n">
        <f aca="false">Daily_Composite!Q269</f>
        <v>-0.121</v>
      </c>
      <c r="JG15" s="17" t="n">
        <f aca="false">Daily_Composite!Q270</f>
        <v>-0.105</v>
      </c>
      <c r="JH15" s="17" t="n">
        <f aca="false">Daily_Composite!Q271</f>
        <v>-0.461</v>
      </c>
      <c r="JI15" s="17" t="n">
        <f aca="false">Daily_Composite!Q272</f>
        <v>-0.111</v>
      </c>
      <c r="JJ15" s="17" t="n">
        <f aca="false">Daily_Composite!Q273</f>
        <v>-0.178</v>
      </c>
      <c r="JK15" s="17" t="n">
        <f aca="false">Daily_Composite!Q274</f>
        <v>-0.354</v>
      </c>
      <c r="JL15" s="17" t="n">
        <f aca="false">Daily_Composite!Q275</f>
        <v>-0.317</v>
      </c>
      <c r="JM15" s="17" t="n">
        <f aca="false">Daily_Composite!Q276</f>
        <v>-0.015</v>
      </c>
      <c r="JN15" s="17" t="n">
        <f aca="false">Daily_Composite!Q277</f>
        <v>-0.344</v>
      </c>
      <c r="JO15" s="17" t="n">
        <f aca="false">Daily_Composite!Q278</f>
        <v>-0.679</v>
      </c>
      <c r="JP15" s="17" t="n">
        <f aca="false">Daily_Composite!Q279</f>
        <v>-0.393</v>
      </c>
      <c r="JQ15" s="17" t="n">
        <f aca="false">Daily_Composite!Q280</f>
        <v>-0.529</v>
      </c>
      <c r="JR15" s="17" t="n">
        <f aca="false">Daily_Composite!Q281</f>
        <v>-0.351</v>
      </c>
      <c r="JS15" s="17" t="n">
        <f aca="false">Daily_Composite!Q282</f>
        <v>-0.278</v>
      </c>
      <c r="JT15" s="17" t="n">
        <f aca="false">Daily_Composite!Q283</f>
        <v>-0.287</v>
      </c>
      <c r="JU15" s="17" t="n">
        <f aca="false">Daily_Composite!Q284</f>
        <v>-0.245</v>
      </c>
      <c r="JV15" s="17" t="n">
        <f aca="false">Daily_Composite!Q285</f>
        <v>0.163</v>
      </c>
      <c r="JW15" s="17" t="n">
        <f aca="false">Daily_Composite!Q286</f>
        <v>0.105</v>
      </c>
      <c r="JX15" s="17" t="n">
        <f aca="false">Daily_Composite!Q287</f>
        <v>-0.159</v>
      </c>
      <c r="JY15" s="17" t="n">
        <f aca="false">Daily_Composite!Q288</f>
        <v>-0.295</v>
      </c>
      <c r="JZ15" s="17" t="n">
        <f aca="false">Daily_Composite!Q289</f>
        <v>-0.44</v>
      </c>
      <c r="KA15" s="17" t="n">
        <f aca="false">Daily_Composite!Q290</f>
        <v>-0.13</v>
      </c>
      <c r="KB15" s="17" t="n">
        <f aca="false">Daily_Composite!Q291</f>
        <v>-0.091</v>
      </c>
      <c r="KC15" s="17" t="n">
        <f aca="false">Daily_Composite!Q292</f>
        <v>-0.353</v>
      </c>
      <c r="KD15" s="17" t="n">
        <f aca="false">Daily_Composite!Q293</f>
        <v>0.11</v>
      </c>
      <c r="KE15" s="17" t="n">
        <f aca="false">Daily_Composite!Q294</f>
        <v>-0.337</v>
      </c>
      <c r="KF15" s="17" t="n">
        <f aca="false">Daily_Composite!Q295</f>
        <v>-0.299</v>
      </c>
      <c r="KG15" s="17" t="n">
        <f aca="false">Daily_Composite!Q296</f>
        <v>-0.344</v>
      </c>
      <c r="KH15" s="17" t="n">
        <f aca="false">Daily_Composite!Q297</f>
        <v>-0.348</v>
      </c>
      <c r="KI15" s="17" t="n">
        <f aca="false">Daily_Composite!Q298</f>
        <v>-0.346</v>
      </c>
      <c r="KJ15" s="17" t="n">
        <f aca="false">Daily_Composite!Q299</f>
        <v>-0.2</v>
      </c>
      <c r="KK15" s="17" t="n">
        <f aca="false">Daily_Composite!Q300</f>
        <v>-0.194</v>
      </c>
      <c r="KL15" s="17" t="n">
        <f aca="false">Daily_Composite!Q301</f>
        <v>-0.173</v>
      </c>
      <c r="KM15" s="17" t="n">
        <f aca="false">Daily_Composite!Q302</f>
        <v>-0.238</v>
      </c>
      <c r="KN15" s="17" t="n">
        <f aca="false">Daily_Composite!Q303</f>
        <v>0.195</v>
      </c>
      <c r="KO15" s="17" t="n">
        <f aca="false">Daily_Composite!Q304</f>
        <v>-0.273</v>
      </c>
      <c r="KP15" s="17" t="n">
        <f aca="false">Daily_Composite!Q305</f>
        <v>-0.27</v>
      </c>
      <c r="KQ15" s="17" t="n">
        <f aca="false">Daily_Composite!Q306</f>
        <v>0.163</v>
      </c>
      <c r="KR15" s="17" t="n">
        <f aca="false">Daily_Composite!Q307</f>
        <v>-0.316</v>
      </c>
      <c r="KS15" s="17" t="n">
        <f aca="false">Daily_Composite!Q308</f>
        <v>-0.41</v>
      </c>
      <c r="KT15" s="17" t="n">
        <f aca="false">Daily_Composite!Q309</f>
        <v>-0.313</v>
      </c>
      <c r="KU15" s="17" t="n">
        <f aca="false">Daily_Composite!Q310</f>
        <v>-0.264</v>
      </c>
      <c r="KV15" s="17" t="n">
        <f aca="false">Daily_Composite!Q311</f>
        <v>-0.441</v>
      </c>
      <c r="KW15" s="17" t="n">
        <f aca="false">Daily_Composite!Q312</f>
        <v>-0.155</v>
      </c>
      <c r="KX15" s="17" t="n">
        <f aca="false">Daily_Composite!Q313</f>
        <v>-0.146</v>
      </c>
      <c r="KY15" s="17" t="n">
        <f aca="false">Daily_Composite!Q314</f>
        <v>-0.685</v>
      </c>
      <c r="KZ15" s="17" t="n">
        <f aca="false">Daily_Composite!Q315</f>
        <v>-0.22</v>
      </c>
      <c r="LA15" s="17" t="n">
        <f aca="false">Daily_Composite!Q316</f>
        <v>-0.436</v>
      </c>
      <c r="LB15" s="17" t="n">
        <f aca="false">Daily_Composite!Q317</f>
        <v>-0.518</v>
      </c>
      <c r="LC15" s="17" t="n">
        <f aca="false">Daily_Composite!Q318</f>
        <v>-0.5</v>
      </c>
      <c r="LD15" s="17" t="n">
        <f aca="false">Daily_Composite!Q319</f>
        <v>-0.127</v>
      </c>
      <c r="LE15" s="17" t="n">
        <f aca="false">Daily_Composite!Q320</f>
        <v>-0.018</v>
      </c>
      <c r="LF15" s="17" t="n">
        <f aca="false">Daily_Composite!Q321</f>
        <v>0.037</v>
      </c>
      <c r="LG15" s="17" t="n">
        <f aca="false">Daily_Composite!Q322</f>
        <v>-0.122</v>
      </c>
      <c r="LH15" s="17" t="n">
        <f aca="false">Daily_Composite!Q323</f>
        <v>0.566</v>
      </c>
      <c r="LI15" s="17" t="n">
        <f aca="false">Daily_Composite!Q324</f>
        <v>-0.106</v>
      </c>
      <c r="LJ15" s="17" t="n">
        <f aca="false">Daily_Composite!Q325</f>
        <v>-0.301</v>
      </c>
      <c r="LK15" s="17" t="n">
        <f aca="false">Daily_Composite!Q326</f>
        <v>-0.1</v>
      </c>
      <c r="LL15" s="17" t="n">
        <f aca="false">Daily_Composite!Q327</f>
        <v>0.006</v>
      </c>
      <c r="LM15" s="17" t="n">
        <f aca="false">Daily_Composite!Q328</f>
        <v>0.011</v>
      </c>
      <c r="LN15" s="17" t="n">
        <f aca="false">Daily_Composite!Q329</f>
        <v>-0.211</v>
      </c>
      <c r="LO15" s="17" t="n">
        <f aca="false">Daily_Composite!Q330</f>
        <v>-0.267</v>
      </c>
      <c r="LP15" s="17" t="n">
        <f aca="false">Daily_Composite!Q331</f>
        <v>-0.154</v>
      </c>
      <c r="LQ15" s="17" t="n">
        <f aca="false">Daily_Composite!Q332</f>
        <v>-0.34</v>
      </c>
      <c r="LR15" s="17" t="n">
        <f aca="false">Daily_Composite!Q333</f>
        <v>-0.074</v>
      </c>
      <c r="LS15" s="17" t="n">
        <f aca="false">Daily_Composite!Q334</f>
        <v>-0.478</v>
      </c>
      <c r="LT15" s="17" t="n">
        <f aca="false">Daily_Composite!Q335</f>
        <v>-0.663</v>
      </c>
      <c r="LU15" s="17" t="n">
        <f aca="false">Daily_Composite!Q336</f>
        <v>-0.487</v>
      </c>
      <c r="LV15" s="17" t="n">
        <f aca="false">Daily_Composite!Q337</f>
        <v>-0.512</v>
      </c>
      <c r="LW15" s="17" t="n">
        <f aca="false">Daily_Composite!Q338</f>
        <v>-0.508</v>
      </c>
      <c r="LX15" s="17" t="n">
        <f aca="false">Daily_Composite!Q339</f>
        <v>-0.531</v>
      </c>
      <c r="LY15" s="17" t="n">
        <f aca="false">Daily_Composite!Q340</f>
        <v>-0.346</v>
      </c>
      <c r="LZ15" s="17" t="n">
        <f aca="false">Daily_Composite!Q341</f>
        <v>-0.525</v>
      </c>
      <c r="MA15" s="17" t="n">
        <f aca="false">Daily_Composite!Q342</f>
        <v>-0.461</v>
      </c>
      <c r="MB15" s="17" t="n">
        <f aca="false">Daily_Composite!Q343</f>
        <v>-0.555</v>
      </c>
      <c r="MC15" s="17" t="n">
        <f aca="false">Daily_Composite!Q344</f>
        <v>-0.419</v>
      </c>
      <c r="MD15" s="17" t="n">
        <f aca="false">Daily_Composite!Q345</f>
        <v>-0.406</v>
      </c>
      <c r="ME15" s="17" t="n">
        <f aca="false">Daily_Composite!Q346</f>
        <v>-0.403</v>
      </c>
      <c r="MF15" s="17" t="n">
        <f aca="false">Daily_Composite!Q347</f>
        <v>-0.015</v>
      </c>
      <c r="MG15" s="17" t="n">
        <f aca="false">Daily_Composite!Q348</f>
        <v>0.243</v>
      </c>
      <c r="MH15" s="17" t="n">
        <f aca="false">Daily_Composite!Q349</f>
        <v>0.044</v>
      </c>
      <c r="MI15" s="17" t="n">
        <f aca="false">Daily_Composite!Q350</f>
        <v>0.504</v>
      </c>
      <c r="MJ15" s="17" t="n">
        <f aca="false">Daily_Composite!Q351</f>
        <v>0.225</v>
      </c>
      <c r="MK15" s="17" t="n">
        <f aca="false">Daily_Composite!Q352</f>
        <v>-0.229</v>
      </c>
      <c r="ML15" s="17" t="n">
        <f aca="false">Daily_Composite!Q353</f>
        <v>-0.076</v>
      </c>
      <c r="MM15" s="17" t="n">
        <f aca="false">Daily_Composite!Q354</f>
        <v>0.298</v>
      </c>
      <c r="MN15" s="17" t="n">
        <f aca="false">Daily_Composite!Q355</f>
        <v>0.126</v>
      </c>
      <c r="MO15" s="17" t="n">
        <f aca="false">Daily_Composite!Q356</f>
        <v>0.179</v>
      </c>
      <c r="MP15" s="17" t="n">
        <f aca="false">Daily_Composite!Q357</f>
        <v>0.156</v>
      </c>
      <c r="MQ15" s="17" t="n">
        <f aca="false">Daily_Composite!Q358</f>
        <v>0.438</v>
      </c>
      <c r="MR15" s="17" t="n">
        <f aca="false">Daily_Composite!Q359</f>
        <v>-0.022</v>
      </c>
      <c r="MS15" s="17" t="n">
        <f aca="false">Daily_Composite!Q360</f>
        <v>0.345</v>
      </c>
      <c r="MT15" s="17" t="n">
        <f aca="false">Daily_Composite!Q361</f>
        <v>-0.003</v>
      </c>
      <c r="MU15" s="17" t="n">
        <f aca="false">Daily_Composite!Q362</f>
        <v>-0.023</v>
      </c>
      <c r="MV15" s="17" t="n">
        <f aca="false">Daily_Composite!Q363</f>
        <v>-0.214</v>
      </c>
      <c r="MW15" s="17" t="n">
        <f aca="false">Daily_Composite!Q364</f>
        <v>-0.342</v>
      </c>
      <c r="MX15" s="17" t="n">
        <f aca="false">Daily_Composite!Q365</f>
        <v>-0.296</v>
      </c>
      <c r="MY15" s="17" t="n">
        <f aca="false">Daily_Composite!Q366</f>
        <v>-0.244</v>
      </c>
      <c r="MZ15" s="17" t="n">
        <f aca="false">Daily_Composite!Q367</f>
        <v>0.116</v>
      </c>
      <c r="NA15" s="17" t="n">
        <f aca="false">Daily_Composite!Q368</f>
        <v>-0.116</v>
      </c>
      <c r="NB15" s="17" t="n">
        <f aca="false">Daily_Composite!Q369</f>
        <v>-0.465</v>
      </c>
    </row>
    <row r="16" customFormat="false" ht="15" hidden="false" customHeight="false" outlineLevel="0" collapsed="false">
      <c r="A16" s="6" t="s">
        <v>29</v>
      </c>
      <c r="B16" s="17" t="n">
        <f aca="false">Daily_Composite!R5</f>
        <v>-0.117</v>
      </c>
      <c r="C16" s="17" t="n">
        <f aca="false">Daily_Composite!R6</f>
        <v>-0.191</v>
      </c>
      <c r="D16" s="17" t="n">
        <f aca="false">Daily_Composite!R7</f>
        <v>-0.192</v>
      </c>
      <c r="E16" s="17" t="n">
        <f aca="false">Daily_Composite!R8</f>
        <v>-0.209</v>
      </c>
      <c r="F16" s="17" t="n">
        <f aca="false">Daily_Composite!R9</f>
        <v>-0.461</v>
      </c>
      <c r="G16" s="17" t="n">
        <f aca="false">Daily_Composite!R10</f>
        <v>-0.283</v>
      </c>
      <c r="H16" s="17" t="n">
        <f aca="false">Daily_Composite!R11</f>
        <v>-0.294</v>
      </c>
      <c r="I16" s="17" t="n">
        <f aca="false">Daily_Composite!R12</f>
        <v>-0.133</v>
      </c>
      <c r="J16" s="17" t="n">
        <f aca="false">Daily_Composite!R13</f>
        <v>-0.167</v>
      </c>
      <c r="K16" s="17" t="n">
        <f aca="false">Daily_Composite!R14</f>
        <v>-0.261</v>
      </c>
      <c r="L16" s="17" t="n">
        <f aca="false">Daily_Composite!R15</f>
        <v>-0.325</v>
      </c>
      <c r="M16" s="17" t="n">
        <f aca="false">Daily_Composite!R16</f>
        <v>-0.348</v>
      </c>
      <c r="N16" s="17" t="n">
        <f aca="false">Daily_Composite!R17</f>
        <v>-0.322</v>
      </c>
      <c r="O16" s="17" t="n">
        <f aca="false">Daily_Composite!R18</f>
        <v>-0.604</v>
      </c>
      <c r="P16" s="17" t="n">
        <f aca="false">Daily_Composite!R19</f>
        <v>-0.282</v>
      </c>
      <c r="Q16" s="17" t="n">
        <f aca="false">Daily_Composite!R20</f>
        <v>-0.259</v>
      </c>
      <c r="R16" s="17" t="n">
        <f aca="false">Daily_Composite!R21</f>
        <v>-0.294</v>
      </c>
      <c r="S16" s="17" t="n">
        <f aca="false">Daily_Composite!R22</f>
        <v>-0.316</v>
      </c>
      <c r="T16" s="17" t="n">
        <f aca="false">Daily_Composite!R23</f>
        <v>-0.34</v>
      </c>
      <c r="U16" s="17" t="n">
        <f aca="false">Daily_Composite!R24</f>
        <v>-0.261</v>
      </c>
      <c r="V16" s="17" t="n">
        <f aca="false">Daily_Composite!R25</f>
        <v>-0.252</v>
      </c>
      <c r="W16" s="17" t="n">
        <f aca="false">Daily_Composite!R26</f>
        <v>-0.265</v>
      </c>
      <c r="X16" s="17" t="n">
        <f aca="false">Daily_Composite!R27</f>
        <v>-0.255</v>
      </c>
      <c r="Y16" s="17" t="n">
        <f aca="false">Daily_Composite!R28</f>
        <v>0.117</v>
      </c>
      <c r="Z16" s="17" t="n">
        <f aca="false">Daily_Composite!R29</f>
        <v>-0.233</v>
      </c>
      <c r="AA16" s="17" t="n">
        <f aca="false">Daily_Composite!R30</f>
        <v>-0.323</v>
      </c>
      <c r="AB16" s="17" t="n">
        <f aca="false">Daily_Composite!R31</f>
        <v>-0.203</v>
      </c>
      <c r="AC16" s="17" t="n">
        <f aca="false">Daily_Composite!R32</f>
        <v>-0.22</v>
      </c>
      <c r="AD16" s="17" t="n">
        <f aca="false">Daily_Composite!R33</f>
        <v>-0.244</v>
      </c>
      <c r="AE16" s="17" t="n">
        <f aca="false">Daily_Composite!R34</f>
        <v>-0.244</v>
      </c>
      <c r="AF16" s="17" t="n">
        <f aca="false">Daily_Composite!R35</f>
        <v>-0.215</v>
      </c>
      <c r="AG16" s="17" t="n">
        <f aca="false">Daily_Composite!R36</f>
        <v>0.001</v>
      </c>
      <c r="AH16" s="17" t="n">
        <f aca="false">Daily_Composite!R37</f>
        <v>0.429</v>
      </c>
      <c r="AI16" s="17" t="n">
        <f aca="false">Daily_Composite!R38</f>
        <v>0.027</v>
      </c>
      <c r="AJ16" s="17" t="n">
        <f aca="false">Daily_Composite!R39</f>
        <v>0.03</v>
      </c>
      <c r="AK16" s="17" t="n">
        <f aca="false">Daily_Composite!R40</f>
        <v>-0.021</v>
      </c>
      <c r="AL16" s="17" t="n">
        <f aca="false">Daily_Composite!R41</f>
        <v>-0.021</v>
      </c>
      <c r="AM16" s="17" t="n">
        <f aca="false">Daily_Composite!R42</f>
        <v>-0.053</v>
      </c>
      <c r="AN16" s="17" t="n">
        <f aca="false">Daily_Composite!R43</f>
        <v>-0.052</v>
      </c>
      <c r="AO16" s="17" t="n">
        <f aca="false">Daily_Composite!R44</f>
        <v>-0.007</v>
      </c>
      <c r="AP16" s="17" t="n">
        <f aca="false">Daily_Composite!R45</f>
        <v>0.01</v>
      </c>
      <c r="AQ16" s="17" t="n">
        <f aca="false">Daily_Composite!R46</f>
        <v>0.471</v>
      </c>
      <c r="AR16" s="17" t="n">
        <f aca="false">Daily_Composite!R47</f>
        <v>0.008</v>
      </c>
      <c r="AS16" s="17" t="n">
        <f aca="false">Daily_Composite!R48</f>
        <v>0.016</v>
      </c>
      <c r="AT16" s="17" t="n">
        <f aca="false">Daily_Composite!R49</f>
        <v>0.367</v>
      </c>
      <c r="AU16" s="17" t="n">
        <f aca="false">Daily_Composite!R50</f>
        <v>0.315</v>
      </c>
      <c r="AV16" s="17" t="n">
        <f aca="false">Daily_Composite!R51</f>
        <v>0.168</v>
      </c>
      <c r="AW16" s="17" t="n">
        <f aca="false">Daily_Composite!R52</f>
        <v>0.103</v>
      </c>
      <c r="AX16" s="17" t="n">
        <f aca="false">Daily_Composite!R53</f>
        <v>0.098</v>
      </c>
      <c r="AY16" s="17" t="n">
        <f aca="false">Daily_Composite!R54</f>
        <v>0.094</v>
      </c>
      <c r="AZ16" s="17" t="n">
        <f aca="false">Daily_Composite!R55</f>
        <v>0.015</v>
      </c>
      <c r="BA16" s="17" t="n">
        <f aca="false">Daily_Composite!R56</f>
        <v>0.486</v>
      </c>
      <c r="BB16" s="17" t="n">
        <f aca="false">Daily_Composite!R57</f>
        <v>0.161</v>
      </c>
      <c r="BC16" s="17" t="n">
        <f aca="false">Daily_Composite!R58</f>
        <v>0.138</v>
      </c>
      <c r="BD16" s="17" t="n">
        <f aca="false">Daily_Composite!R59</f>
        <v>-0.116</v>
      </c>
      <c r="BE16" s="17" t="n">
        <f aca="false">Daily_Composite!R60</f>
        <v>-0.134</v>
      </c>
      <c r="BF16" s="17" t="n">
        <f aca="false">Daily_Composite!R61</f>
        <v>-0.084</v>
      </c>
      <c r="BG16" s="17" t="n">
        <f aca="false">Daily_Composite!R62</f>
        <v>-0.073</v>
      </c>
      <c r="BH16" s="17" t="n">
        <f aca="false">Daily_Composite!R63</f>
        <v>-0.237</v>
      </c>
      <c r="BI16" s="17" t="n">
        <f aca="false">Daily_Composite!R64</f>
        <v>0.107</v>
      </c>
      <c r="BJ16" s="17" t="n">
        <f aca="false">Daily_Composite!R65</f>
        <v>-0.166</v>
      </c>
      <c r="BK16" s="17" t="n">
        <f aca="false">Daily_Composite!R66</f>
        <v>-0.162</v>
      </c>
      <c r="BL16" s="17" t="n">
        <f aca="false">Daily_Composite!R67</f>
        <v>-0.015</v>
      </c>
      <c r="BM16" s="17" t="n">
        <f aca="false">Daily_Composite!R68</f>
        <v>0.007</v>
      </c>
      <c r="BN16" s="17" t="n">
        <f aca="false">Daily_Composite!R69</f>
        <v>-0.228</v>
      </c>
      <c r="BO16" s="17" t="n">
        <f aca="false">Daily_Composite!R70</f>
        <v>-0.234</v>
      </c>
      <c r="BP16" s="17" t="n">
        <f aca="false">Daily_Composite!R71</f>
        <v>-0.042</v>
      </c>
      <c r="BQ16" s="17" t="n">
        <f aca="false">Daily_Composite!R72</f>
        <v>-0.059</v>
      </c>
      <c r="BR16" s="17" t="n">
        <f aca="false">Daily_Composite!R73</f>
        <v>0.156</v>
      </c>
      <c r="BS16" s="17" t="n">
        <f aca="false">Daily_Composite!R74</f>
        <v>-0.032</v>
      </c>
      <c r="BT16" s="17" t="n">
        <f aca="false">Daily_Composite!R75</f>
        <v>0.004</v>
      </c>
      <c r="BU16" s="17" t="n">
        <f aca="false">Daily_Composite!R76</f>
        <v>0.088</v>
      </c>
      <c r="BV16" s="17" t="n">
        <f aca="false">Daily_Composite!R77</f>
        <v>-0.069</v>
      </c>
      <c r="BW16" s="17" t="n">
        <f aca="false">Daily_Composite!R78</f>
        <v>-0.03</v>
      </c>
      <c r="BX16" s="17" t="n">
        <f aca="false">Daily_Composite!R79</f>
        <v>0.02</v>
      </c>
      <c r="BY16" s="17" t="n">
        <f aca="false">Daily_Composite!R80</f>
        <v>-0.113</v>
      </c>
      <c r="BZ16" s="17" t="n">
        <f aca="false">Daily_Composite!R81</f>
        <v>-0.074</v>
      </c>
      <c r="CA16" s="17" t="n">
        <f aca="false">Daily_Composite!R82</f>
        <v>-0.071</v>
      </c>
      <c r="CB16" s="17" t="n">
        <f aca="false">Daily_Composite!R83</f>
        <v>0.434</v>
      </c>
      <c r="CC16" s="17" t="n">
        <f aca="false">Daily_Composite!R84</f>
        <v>0.206</v>
      </c>
      <c r="CD16" s="17" t="n">
        <f aca="false">Daily_Composite!R85</f>
        <v>0.394</v>
      </c>
      <c r="CE16" s="17" t="n">
        <f aca="false">Daily_Composite!R86</f>
        <v>0.173</v>
      </c>
      <c r="CF16" s="17" t="n">
        <f aca="false">Daily_Composite!R87</f>
        <v>0.098</v>
      </c>
      <c r="CG16" s="17" t="n">
        <f aca="false">Daily_Composite!R88</f>
        <v>0.123</v>
      </c>
      <c r="CH16" s="17" t="n">
        <f aca="false">Daily_Composite!R89</f>
        <v>0.116</v>
      </c>
      <c r="CI16" s="17" t="n">
        <f aca="false">Daily_Composite!R90</f>
        <v>0.113</v>
      </c>
      <c r="CJ16" s="17" t="n">
        <f aca="false">Daily_Composite!R91</f>
        <v>0.179</v>
      </c>
      <c r="CK16" s="17" t="n">
        <f aca="false">Daily_Composite!R92</f>
        <v>0.169</v>
      </c>
      <c r="CL16" s="17" t="n">
        <f aca="false">Daily_Composite!R93</f>
        <v>0.019</v>
      </c>
      <c r="CM16" s="17" t="n">
        <f aca="false">Daily_Composite!R94</f>
        <v>0.105</v>
      </c>
      <c r="CN16" s="17" t="n">
        <f aca="false">Daily_Composite!R95</f>
        <v>-0.121</v>
      </c>
      <c r="CO16" s="17" t="n">
        <f aca="false">Daily_Composite!R96</f>
        <v>-0.03</v>
      </c>
      <c r="CP16" s="17" t="n">
        <f aca="false">Daily_Composite!R97</f>
        <v>-0.063</v>
      </c>
      <c r="CQ16" s="17" t="n">
        <f aca="false">Daily_Composite!R98</f>
        <v>-0.054</v>
      </c>
      <c r="CR16" s="17" t="n">
        <f aca="false">Daily_Composite!R99</f>
        <v>-0.07</v>
      </c>
      <c r="CS16" s="17" t="n">
        <f aca="false">Daily_Composite!R100</f>
        <v>-0.457</v>
      </c>
      <c r="CT16" s="17" t="n">
        <f aca="false">Daily_Composite!R101</f>
        <v>-0.068</v>
      </c>
      <c r="CU16" s="17" t="n">
        <f aca="false">Daily_Composite!R102</f>
        <v>-0.12</v>
      </c>
      <c r="CV16" s="17" t="n">
        <f aca="false">Daily_Composite!R103</f>
        <v>-0.287</v>
      </c>
      <c r="CW16" s="17" t="n">
        <f aca="false">Daily_Composite!R104</f>
        <v>-0.413</v>
      </c>
      <c r="CX16" s="17" t="n">
        <f aca="false">Daily_Composite!R105</f>
        <v>-0.455</v>
      </c>
      <c r="CY16" s="17" t="n">
        <f aca="false">Daily_Composite!R106</f>
        <v>-0.083</v>
      </c>
      <c r="CZ16" s="17" t="n">
        <f aca="false">Daily_Composite!R107</f>
        <v>-0.126</v>
      </c>
      <c r="DA16" s="17" t="n">
        <f aca="false">Daily_Composite!R108</f>
        <v>-0.238</v>
      </c>
      <c r="DB16" s="17" t="n">
        <f aca="false">Daily_Composite!R109</f>
        <v>-0.24</v>
      </c>
      <c r="DC16" s="17" t="n">
        <f aca="false">Daily_Composite!R110</f>
        <v>-0.238</v>
      </c>
      <c r="DD16" s="17" t="n">
        <f aca="false">Daily_Composite!R111</f>
        <v>0.094</v>
      </c>
      <c r="DE16" s="17" t="n">
        <f aca="false">Daily_Composite!R112</f>
        <v>0.117</v>
      </c>
      <c r="DF16" s="17" t="n">
        <f aca="false">Daily_Composite!R113</f>
        <v>-0.182</v>
      </c>
      <c r="DG16" s="17" t="n">
        <f aca="false">Daily_Composite!R114</f>
        <v>-0.204</v>
      </c>
      <c r="DH16" s="17" t="n">
        <f aca="false">Daily_Composite!R115</f>
        <v>-0.224</v>
      </c>
      <c r="DI16" s="17" t="n">
        <f aca="false">Daily_Composite!R116</f>
        <v>-0.22</v>
      </c>
      <c r="DJ16" s="17" t="n">
        <f aca="false">Daily_Composite!R117</f>
        <v>-0.234</v>
      </c>
      <c r="DK16" s="17" t="n">
        <f aca="false">Daily_Composite!R118</f>
        <v>-0.329</v>
      </c>
      <c r="DL16" s="17" t="n">
        <f aca="false">Daily_Composite!R119</f>
        <v>-0.503</v>
      </c>
      <c r="DM16" s="17" t="n">
        <f aca="false">Daily_Composite!R120</f>
        <v>-0</v>
      </c>
      <c r="DN16" s="17" t="n">
        <f aca="false">Daily_Composite!R121</f>
        <v>-0.092</v>
      </c>
      <c r="DO16" s="17" t="n">
        <f aca="false">Daily_Composite!R122</f>
        <v>-0.215</v>
      </c>
      <c r="DP16" s="17" t="n">
        <f aca="false">Daily_Composite!R123</f>
        <v>-0.206</v>
      </c>
      <c r="DQ16" s="17" t="n">
        <f aca="false">Daily_Composite!R124</f>
        <v>-0.275</v>
      </c>
      <c r="DR16" s="17" t="n">
        <f aca="false">Daily_Composite!R125</f>
        <v>-0.267</v>
      </c>
      <c r="DS16" s="17" t="n">
        <f aca="false">Daily_Composite!R126</f>
        <v>-0.16</v>
      </c>
      <c r="DT16" s="17" t="n">
        <f aca="false">Daily_Composite!R127</f>
        <v>-0.45</v>
      </c>
      <c r="DU16" s="17" t="n">
        <f aca="false">Daily_Composite!R128</f>
        <v>-0.204</v>
      </c>
      <c r="DV16" s="17" t="n">
        <f aca="false">Daily_Composite!R129</f>
        <v>-0.281</v>
      </c>
      <c r="DW16" s="17" t="n">
        <f aca="false">Daily_Composite!R130</f>
        <v>-0.325</v>
      </c>
      <c r="DX16" s="17" t="n">
        <f aca="false">Daily_Composite!R131</f>
        <v>-0.495</v>
      </c>
      <c r="DY16" s="17" t="n">
        <f aca="false">Daily_Composite!R132</f>
        <v>-0.556</v>
      </c>
      <c r="DZ16" s="17" t="n">
        <f aca="false">Daily_Composite!R133</f>
        <v>-0.181</v>
      </c>
      <c r="EA16" s="17" t="n">
        <f aca="false">Daily_Composite!R134</f>
        <v>-0.229</v>
      </c>
      <c r="EB16" s="17" t="n">
        <f aca="false">Daily_Composite!R135</f>
        <v>-0.202</v>
      </c>
      <c r="EC16" s="17" t="n">
        <f aca="false">Daily_Composite!R136</f>
        <v>-0.193</v>
      </c>
      <c r="ED16" s="17" t="n">
        <f aca="false">Daily_Composite!R137</f>
        <v>-0.649</v>
      </c>
      <c r="EE16" s="17" t="n">
        <f aca="false">Daily_Composite!R138</f>
        <v>-0.45</v>
      </c>
      <c r="EF16" s="17" t="n">
        <f aca="false">Daily_Composite!R139</f>
        <v>-0.404</v>
      </c>
      <c r="EG16" s="17" t="n">
        <f aca="false">Daily_Composite!R140</f>
        <v>-0.157</v>
      </c>
      <c r="EH16" s="17" t="n">
        <f aca="false">Daily_Composite!R141</f>
        <v>-0.117</v>
      </c>
      <c r="EI16" s="17" t="n">
        <f aca="false">Daily_Composite!R142</f>
        <v>-0.094</v>
      </c>
      <c r="EJ16" s="17" t="n">
        <f aca="false">Daily_Composite!R143</f>
        <v>-0.11</v>
      </c>
      <c r="EK16" s="17" t="n">
        <f aca="false">Daily_Composite!R144</f>
        <v>-0.131</v>
      </c>
      <c r="EL16" s="17" t="n">
        <f aca="false">Daily_Composite!R145</f>
        <v>-0.097</v>
      </c>
      <c r="EM16" s="17" t="n">
        <f aca="false">Daily_Composite!R146</f>
        <v>-0.444</v>
      </c>
      <c r="EN16" s="17" t="n">
        <f aca="false">Daily_Composite!R147</f>
        <v>-0.044</v>
      </c>
      <c r="EO16" s="17" t="n">
        <f aca="false">Daily_Composite!R148</f>
        <v>-0.009</v>
      </c>
      <c r="EP16" s="17" t="n">
        <f aca="false">Daily_Composite!R149</f>
        <v>-0.05</v>
      </c>
      <c r="EQ16" s="17" t="n">
        <f aca="false">Daily_Composite!R150</f>
        <v>-0.033</v>
      </c>
      <c r="ER16" s="17" t="n">
        <f aca="false">Daily_Composite!R151</f>
        <v>-0.167</v>
      </c>
      <c r="ES16" s="17" t="n">
        <f aca="false">Daily_Composite!R152</f>
        <v>-0.139</v>
      </c>
      <c r="ET16" s="17" t="n">
        <f aca="false">Daily_Composite!R153</f>
        <v>-0.039</v>
      </c>
      <c r="EU16" s="17" t="n">
        <f aca="false">Daily_Composite!R154</f>
        <v>0.105</v>
      </c>
      <c r="EV16" s="17" t="n">
        <f aca="false">Daily_Composite!R155</f>
        <v>0.265</v>
      </c>
      <c r="EW16" s="17" t="n">
        <f aca="false">Daily_Composite!R156</f>
        <v>0.116</v>
      </c>
      <c r="EX16" s="17" t="n">
        <f aca="false">Daily_Composite!R157</f>
        <v>0.145</v>
      </c>
      <c r="EY16" s="17" t="n">
        <f aca="false">Daily_Composite!R158</f>
        <v>0.211</v>
      </c>
      <c r="EZ16" s="17" t="n">
        <f aca="false">Daily_Composite!R159</f>
        <v>0.099</v>
      </c>
      <c r="FA16" s="17" t="n">
        <f aca="false">Daily_Composite!R160</f>
        <v>0.128</v>
      </c>
      <c r="FB16" s="17" t="n">
        <f aca="false">Daily_Composite!R161</f>
        <v>0.095</v>
      </c>
      <c r="FC16" s="17" t="n">
        <f aca="false">Daily_Composite!R162</f>
        <v>0.097</v>
      </c>
      <c r="FD16" s="17" t="n">
        <f aca="false">Daily_Composite!R163</f>
        <v>0.196</v>
      </c>
      <c r="FE16" s="17" t="n">
        <f aca="false">Daily_Composite!R164</f>
        <v>0.216</v>
      </c>
      <c r="FF16" s="17" t="n">
        <f aca="false">Daily_Composite!R165</f>
        <v>0.608</v>
      </c>
      <c r="FG16" s="17" t="n">
        <f aca="false">Daily_Composite!R166</f>
        <v>0.541</v>
      </c>
      <c r="FH16" s="17" t="n">
        <f aca="false">Daily_Composite!R167</f>
        <v>0.527</v>
      </c>
      <c r="FI16" s="17" t="n">
        <f aca="false">Daily_Composite!R168</f>
        <v>0.204</v>
      </c>
      <c r="FJ16" s="17" t="n">
        <f aca="false">Daily_Composite!R169</f>
        <v>0.17</v>
      </c>
      <c r="FK16" s="17" t="n">
        <f aca="false">Daily_Composite!R170</f>
        <v>0.121</v>
      </c>
      <c r="FL16" s="17" t="n">
        <f aca="false">Daily_Composite!R171</f>
        <v>0.098</v>
      </c>
      <c r="FM16" s="17" t="n">
        <f aca="false">Daily_Composite!R172</f>
        <v>0.138</v>
      </c>
      <c r="FN16" s="17" t="n">
        <f aca="false">Daily_Composite!R173</f>
        <v>0.298</v>
      </c>
      <c r="FO16" s="17" t="n">
        <f aca="false">Daily_Composite!R174</f>
        <v>0.043</v>
      </c>
      <c r="FP16" s="17" t="n">
        <f aca="false">Daily_Composite!R175</f>
        <v>-0.041</v>
      </c>
      <c r="FQ16" s="17" t="n">
        <f aca="false">Daily_Composite!R176</f>
        <v>-0.023</v>
      </c>
      <c r="FR16" s="17" t="n">
        <f aca="false">Daily_Composite!R177</f>
        <v>-0.009</v>
      </c>
      <c r="FS16" s="17" t="n">
        <f aca="false">Daily_Composite!R178</f>
        <v>-0.108</v>
      </c>
      <c r="FT16" s="17" t="n">
        <f aca="false">Daily_Composite!R179</f>
        <v>-0.12</v>
      </c>
      <c r="FU16" s="17" t="n">
        <f aca="false">Daily_Composite!R180</f>
        <v>-0.138</v>
      </c>
      <c r="FV16" s="17" t="n">
        <f aca="false">Daily_Composite!R181</f>
        <v>-0.021</v>
      </c>
      <c r="FW16" s="17" t="n">
        <f aca="false">Daily_Composite!R182</f>
        <v>-0.336</v>
      </c>
      <c r="FX16" s="17" t="n">
        <f aca="false">Daily_Composite!R183</f>
        <v>-0.065</v>
      </c>
      <c r="FY16" s="17" t="n">
        <f aca="false">Daily_Composite!R184</f>
        <v>-0.119</v>
      </c>
      <c r="FZ16" s="17" t="n">
        <f aca="false">Daily_Composite!R185</f>
        <v>-0.07</v>
      </c>
      <c r="GA16" s="17" t="n">
        <f aca="false">Daily_Composite!R186</f>
        <v>-0.351</v>
      </c>
      <c r="GB16" s="17" t="n">
        <f aca="false">Daily_Composite!R187</f>
        <v>-0.421</v>
      </c>
      <c r="GC16" s="17" t="n">
        <f aca="false">Daily_Composite!R188</f>
        <v>-0.134</v>
      </c>
      <c r="GD16" s="17" t="n">
        <f aca="false">Daily_Composite!R189</f>
        <v>-0.047</v>
      </c>
      <c r="GE16" s="17" t="n">
        <f aca="false">Daily_Composite!R190</f>
        <v>-0.081</v>
      </c>
      <c r="GF16" s="17" t="n">
        <f aca="false">Daily_Composite!R191</f>
        <v>-0.243</v>
      </c>
      <c r="GG16" s="17" t="n">
        <f aca="false">Daily_Composite!R192</f>
        <v>-0.566</v>
      </c>
      <c r="GH16" s="17" t="n">
        <f aca="false">Daily_Composite!R193</f>
        <v>-0.411</v>
      </c>
      <c r="GI16" s="17" t="n">
        <f aca="false">Daily_Composite!R194</f>
        <v>-0.321</v>
      </c>
      <c r="GJ16" s="17" t="n">
        <f aca="false">Daily_Composite!R195</f>
        <v>-0.131</v>
      </c>
      <c r="GK16" s="17" t="n">
        <f aca="false">Daily_Composite!R196</f>
        <v>-0.168</v>
      </c>
      <c r="GL16" s="17" t="n">
        <f aca="false">Daily_Composite!R197</f>
        <v>-0.188</v>
      </c>
      <c r="GM16" s="17" t="n">
        <f aca="false">Daily_Composite!R198</f>
        <v>-0.165</v>
      </c>
      <c r="GN16" s="17" t="n">
        <f aca="false">Daily_Composite!R199</f>
        <v>0.003</v>
      </c>
      <c r="GO16" s="17" t="n">
        <f aca="false">Daily_Composite!R200</f>
        <v>0.033</v>
      </c>
      <c r="GP16" s="17" t="n">
        <f aca="false">Daily_Composite!R201</f>
        <v>-0.427</v>
      </c>
      <c r="GQ16" s="17" t="n">
        <f aca="false">Daily_Composite!R202</f>
        <v>-0.015</v>
      </c>
      <c r="GR16" s="17" t="n">
        <f aca="false">Daily_Composite!R203</f>
        <v>-0.001</v>
      </c>
      <c r="GS16" s="17" t="n">
        <f aca="false">Daily_Composite!R204</f>
        <v>-0.139</v>
      </c>
      <c r="GT16" s="17" t="n">
        <f aca="false">Daily_Composite!R205</f>
        <v>-0.115</v>
      </c>
      <c r="GU16" s="17" t="n">
        <f aca="false">Daily_Composite!R206</f>
        <v>-0.256</v>
      </c>
      <c r="GV16" s="17" t="n">
        <f aca="false">Daily_Composite!R207</f>
        <v>-0.176</v>
      </c>
      <c r="GW16" s="17" t="n">
        <f aca="false">Daily_Composite!R208</f>
        <v>-0.051</v>
      </c>
      <c r="GX16" s="17" t="n">
        <f aca="false">Daily_Composite!R209</f>
        <v>-0.473</v>
      </c>
      <c r="GY16" s="17" t="n">
        <f aca="false">Daily_Composite!R210</f>
        <v>-0.465</v>
      </c>
      <c r="GZ16" s="17" t="n">
        <f aca="false">Daily_Composite!R211</f>
        <v>-0.131</v>
      </c>
      <c r="HA16" s="17" t="n">
        <f aca="false">Daily_Composite!R212</f>
        <v>-0.057</v>
      </c>
      <c r="HB16" s="17" t="n">
        <f aca="false">Daily_Composite!R213</f>
        <v>-0.436</v>
      </c>
      <c r="HC16" s="17" t="n">
        <f aca="false">Daily_Composite!R214</f>
        <v>-0.455</v>
      </c>
      <c r="HD16" s="17" t="n">
        <f aca="false">Daily_Composite!R215</f>
        <v>0.038</v>
      </c>
      <c r="HE16" s="17" t="n">
        <f aca="false">Daily_Composite!R216</f>
        <v>0.064</v>
      </c>
      <c r="HF16" s="17" t="n">
        <f aca="false">Daily_Composite!R217</f>
        <v>0.067</v>
      </c>
      <c r="HG16" s="17" t="n">
        <f aca="false">Daily_Composite!R218</f>
        <v>-0.102</v>
      </c>
      <c r="HH16" s="17" t="n">
        <f aca="false">Daily_Composite!R219</f>
        <v>-0.472</v>
      </c>
      <c r="HI16" s="17" t="n">
        <f aca="false">Daily_Composite!R220</f>
        <v>-0.06</v>
      </c>
      <c r="HJ16" s="17" t="n">
        <f aca="false">Daily_Composite!R221</f>
        <v>-0.009</v>
      </c>
      <c r="HK16" s="17" t="n">
        <f aca="false">Daily_Composite!R222</f>
        <v>-0.152</v>
      </c>
      <c r="HL16" s="17" t="n">
        <f aca="false">Daily_Composite!R223</f>
        <v>-0.144</v>
      </c>
      <c r="HM16" s="17" t="n">
        <f aca="false">Daily_Composite!R224</f>
        <v>-0.01</v>
      </c>
      <c r="HN16" s="17" t="n">
        <f aca="false">Daily_Composite!R225</f>
        <v>-0.013</v>
      </c>
      <c r="HO16" s="17" t="n">
        <f aca="false">Daily_Composite!R226</f>
        <v>-0.013</v>
      </c>
      <c r="HP16" s="17" t="n">
        <f aca="false">Daily_Composite!R227</f>
        <v>-0.075</v>
      </c>
      <c r="HQ16" s="17" t="n">
        <f aca="false">Daily_Composite!R228</f>
        <v>-0.443</v>
      </c>
      <c r="HR16" s="17" t="n">
        <f aca="false">Daily_Composite!R229</f>
        <v>0.121</v>
      </c>
      <c r="HS16" s="17" t="n">
        <f aca="false">Daily_Composite!R230</f>
        <v>0.007</v>
      </c>
      <c r="HT16" s="17" t="n">
        <f aca="false">Daily_Composite!R231</f>
        <v>-0.029</v>
      </c>
      <c r="HU16" s="17" t="n">
        <f aca="false">Daily_Composite!R232</f>
        <v>-0.028</v>
      </c>
      <c r="HV16" s="17" t="n">
        <f aca="false">Daily_Composite!R233</f>
        <v>0.081</v>
      </c>
      <c r="HW16" s="17" t="n">
        <f aca="false">Daily_Composite!R234</f>
        <v>-0.003</v>
      </c>
      <c r="HX16" s="17" t="n">
        <f aca="false">Daily_Composite!R235</f>
        <v>-0.028</v>
      </c>
      <c r="HY16" s="17" t="n">
        <f aca="false">Daily_Composite!R236</f>
        <v>-0.034</v>
      </c>
      <c r="HZ16" s="17" t="n">
        <f aca="false">Daily_Composite!R237</f>
        <v>-0.393</v>
      </c>
      <c r="IA16" s="17" t="n">
        <f aca="false">Daily_Composite!R238</f>
        <v>0.16</v>
      </c>
      <c r="IB16" s="17" t="n">
        <f aca="false">Daily_Composite!R239</f>
        <v>0.067</v>
      </c>
      <c r="IC16" s="17" t="n">
        <f aca="false">Daily_Composite!R240</f>
        <v>0.092</v>
      </c>
      <c r="ID16" s="17" t="n">
        <f aca="false">Daily_Composite!R241</f>
        <v>0.131</v>
      </c>
      <c r="IE16" s="17" t="n">
        <f aca="false">Daily_Composite!R242</f>
        <v>0.077</v>
      </c>
      <c r="IF16" s="17" t="n">
        <f aca="false">Daily_Composite!R243</f>
        <v>-0.107</v>
      </c>
      <c r="IG16" s="17" t="n">
        <f aca="false">Daily_Composite!R244</f>
        <v>-0.083</v>
      </c>
      <c r="IH16" s="17" t="n">
        <f aca="false">Daily_Composite!R245</f>
        <v>0.038</v>
      </c>
      <c r="II16" s="17" t="n">
        <f aca="false">Daily_Composite!R246</f>
        <v>0.072</v>
      </c>
      <c r="IJ16" s="17" t="n">
        <f aca="false">Daily_Composite!R247</f>
        <v>0.481</v>
      </c>
      <c r="IK16" s="17" t="n">
        <f aca="false">Daily_Composite!R248</f>
        <v>0.445</v>
      </c>
      <c r="IL16" s="17" t="n">
        <f aca="false">Daily_Composite!R249</f>
        <v>0.469</v>
      </c>
      <c r="IM16" s="17" t="n">
        <f aca="false">Daily_Composite!R250</f>
        <v>0.282</v>
      </c>
      <c r="IN16" s="17" t="n">
        <f aca="false">Daily_Composite!R251</f>
        <v>0.229</v>
      </c>
      <c r="IO16" s="17" t="n">
        <f aca="false">Daily_Composite!R252</f>
        <v>0.223</v>
      </c>
      <c r="IP16" s="17" t="n">
        <f aca="false">Daily_Composite!R253</f>
        <v>0.175</v>
      </c>
      <c r="IQ16" s="17" t="n">
        <f aca="false">Daily_Composite!R254</f>
        <v>0.143</v>
      </c>
      <c r="IR16" s="17" t="n">
        <f aca="false">Daily_Composite!R255</f>
        <v>0.364</v>
      </c>
      <c r="IS16" s="17" t="n">
        <f aca="false">Daily_Composite!R256</f>
        <v>-0.13</v>
      </c>
      <c r="IT16" s="17" t="n">
        <f aca="false">Daily_Composite!R257</f>
        <v>-0.136</v>
      </c>
      <c r="IU16" s="17" t="n">
        <f aca="false">Daily_Composite!R258</f>
        <v>-0.097</v>
      </c>
      <c r="IV16" s="17" t="n">
        <f aca="false">Daily_Composite!R259</f>
        <v>-0.102</v>
      </c>
      <c r="IW16" s="17" t="n">
        <f aca="false">Daily_Composite!R260</f>
        <v>-0.292</v>
      </c>
      <c r="IX16" s="17" t="n">
        <f aca="false">Daily_Composite!R261</f>
        <v>-0.276</v>
      </c>
      <c r="IY16" s="17" t="n">
        <f aca="false">Daily_Composite!R262</f>
        <v>-0.165</v>
      </c>
      <c r="IZ16" s="17" t="n">
        <f aca="false">Daily_Composite!R263</f>
        <v>-0.138</v>
      </c>
      <c r="JA16" s="17" t="n">
        <f aca="false">Daily_Composite!R264</f>
        <v>-0.115</v>
      </c>
      <c r="JB16" s="17" t="n">
        <f aca="false">Daily_Composite!R265</f>
        <v>-0.084</v>
      </c>
      <c r="JC16" s="17" t="n">
        <f aca="false">Daily_Composite!R266</f>
        <v>-0.062</v>
      </c>
      <c r="JD16" s="17" t="n">
        <f aca="false">Daily_Composite!R267</f>
        <v>0.077</v>
      </c>
      <c r="JE16" s="17" t="n">
        <f aca="false">Daily_Composite!R268</f>
        <v>-0.095</v>
      </c>
      <c r="JF16" s="17" t="n">
        <f aca="false">Daily_Composite!R269</f>
        <v>-0.09</v>
      </c>
      <c r="JG16" s="17" t="n">
        <f aca="false">Daily_Composite!R270</f>
        <v>-0.061</v>
      </c>
      <c r="JH16" s="17" t="n">
        <f aca="false">Daily_Composite!R271</f>
        <v>-0.094</v>
      </c>
      <c r="JI16" s="17" t="n">
        <f aca="false">Daily_Composite!R272</f>
        <v>-0.094</v>
      </c>
      <c r="JJ16" s="17" t="n">
        <f aca="false">Daily_Composite!R273</f>
        <v>-0.099</v>
      </c>
      <c r="JK16" s="17" t="n">
        <f aca="false">Daily_Composite!R274</f>
        <v>0.299</v>
      </c>
      <c r="JL16" s="17" t="n">
        <f aca="false">Daily_Composite!R275</f>
        <v>0.136</v>
      </c>
      <c r="JM16" s="17" t="n">
        <f aca="false">Daily_Composite!R276</f>
        <v>0.215</v>
      </c>
      <c r="JN16" s="17" t="n">
        <f aca="false">Daily_Composite!R277</f>
        <v>-0.33</v>
      </c>
      <c r="JO16" s="17" t="n">
        <f aca="false">Daily_Composite!R278</f>
        <v>-0.323</v>
      </c>
      <c r="JP16" s="17" t="n">
        <f aca="false">Daily_Composite!R279</f>
        <v>-0.303</v>
      </c>
      <c r="JQ16" s="17" t="n">
        <f aca="false">Daily_Composite!R280</f>
        <v>-0.237</v>
      </c>
      <c r="JR16" s="17" t="n">
        <f aca="false">Daily_Composite!R281</f>
        <v>-0.245</v>
      </c>
      <c r="JS16" s="17" t="n">
        <f aca="false">Daily_Composite!R282</f>
        <v>-0.266</v>
      </c>
      <c r="JT16" s="17" t="n">
        <f aca="false">Daily_Composite!R283</f>
        <v>-0.288</v>
      </c>
      <c r="JU16" s="17" t="n">
        <f aca="false">Daily_Composite!R284</f>
        <v>-0.225</v>
      </c>
      <c r="JV16" s="17" t="n">
        <f aca="false">Daily_Composite!R285</f>
        <v>-0.214</v>
      </c>
      <c r="JW16" s="17" t="n">
        <f aca="false">Daily_Composite!R286</f>
        <v>-0.175</v>
      </c>
      <c r="JX16" s="17" t="n">
        <f aca="false">Daily_Composite!R287</f>
        <v>-0.184</v>
      </c>
      <c r="JY16" s="17" t="n">
        <f aca="false">Daily_Composite!R288</f>
        <v>-0.368</v>
      </c>
      <c r="JZ16" s="17" t="n">
        <f aca="false">Daily_Composite!R289</f>
        <v>-0.237</v>
      </c>
      <c r="KA16" s="17" t="n">
        <f aca="false">Daily_Composite!R290</f>
        <v>-0.228</v>
      </c>
      <c r="KB16" s="17" t="n">
        <f aca="false">Daily_Composite!R291</f>
        <v>-0.285</v>
      </c>
      <c r="KC16" s="17" t="n">
        <f aca="false">Daily_Composite!R292</f>
        <v>-0.281</v>
      </c>
      <c r="KD16" s="17" t="n">
        <f aca="false">Daily_Composite!R293</f>
        <v>-0.252</v>
      </c>
      <c r="KE16" s="17" t="n">
        <f aca="false">Daily_Composite!R294</f>
        <v>-0.27</v>
      </c>
      <c r="KF16" s="17" t="n">
        <f aca="false">Daily_Composite!R295</f>
        <v>-0.1</v>
      </c>
      <c r="KG16" s="17" t="n">
        <f aca="false">Daily_Composite!R296</f>
        <v>-0.323</v>
      </c>
      <c r="KH16" s="17" t="n">
        <f aca="false">Daily_Composite!R297</f>
        <v>-0.362</v>
      </c>
      <c r="KI16" s="17" t="n">
        <f aca="false">Daily_Composite!R298</f>
        <v>-0.314</v>
      </c>
      <c r="KJ16" s="17" t="n">
        <f aca="false">Daily_Composite!R299</f>
        <v>-0.344</v>
      </c>
      <c r="KK16" s="17" t="n">
        <f aca="false">Daily_Composite!R300</f>
        <v>-0.359</v>
      </c>
      <c r="KL16" s="17" t="n">
        <f aca="false">Daily_Composite!R301</f>
        <v>-0.392</v>
      </c>
      <c r="KM16" s="17" t="n">
        <f aca="false">Daily_Composite!R302</f>
        <v>-0.363</v>
      </c>
      <c r="KN16" s="17" t="n">
        <f aca="false">Daily_Composite!R303</f>
        <v>-0.187</v>
      </c>
      <c r="KO16" s="17" t="n">
        <f aca="false">Daily_Composite!R304</f>
        <v>-0.357</v>
      </c>
      <c r="KP16" s="17" t="n">
        <f aca="false">Daily_Composite!R305</f>
        <v>-0.343</v>
      </c>
      <c r="KQ16" s="17" t="n">
        <f aca="false">Daily_Composite!R306</f>
        <v>-0.361</v>
      </c>
      <c r="KR16" s="17" t="n">
        <f aca="false">Daily_Composite!R307</f>
        <v>-0.404</v>
      </c>
      <c r="KS16" s="17" t="n">
        <f aca="false">Daily_Composite!R308</f>
        <v>-0.402</v>
      </c>
      <c r="KT16" s="17" t="n">
        <f aca="false">Daily_Composite!R309</f>
        <v>-0.37</v>
      </c>
      <c r="KU16" s="17" t="n">
        <f aca="false">Daily_Composite!R310</f>
        <v>-0.538</v>
      </c>
      <c r="KV16" s="17" t="n">
        <f aca="false">Daily_Composite!R311</f>
        <v>-0.203</v>
      </c>
      <c r="KW16" s="17" t="n">
        <f aca="false">Daily_Composite!R312</f>
        <v>-0.164</v>
      </c>
      <c r="KX16" s="17" t="n">
        <f aca="false">Daily_Composite!R313</f>
        <v>0.025</v>
      </c>
      <c r="KY16" s="17" t="n">
        <f aca="false">Daily_Composite!R314</f>
        <v>0.032</v>
      </c>
      <c r="KZ16" s="17" t="n">
        <f aca="false">Daily_Composite!R315</f>
        <v>0.05</v>
      </c>
      <c r="LA16" s="17" t="n">
        <f aca="false">Daily_Composite!R316</f>
        <v>0.055</v>
      </c>
      <c r="LB16" s="17" t="n">
        <f aca="false">Daily_Composite!R317</f>
        <v>0.039</v>
      </c>
      <c r="LC16" s="17" t="n">
        <f aca="false">Daily_Composite!R318</f>
        <v>0.045</v>
      </c>
      <c r="LD16" s="17" t="n">
        <f aca="false">Daily_Composite!R319</f>
        <v>0.229</v>
      </c>
      <c r="LE16" s="17" t="n">
        <f aca="false">Daily_Composite!R320</f>
        <v>0.078</v>
      </c>
      <c r="LF16" s="17" t="n">
        <f aca="false">Daily_Composite!R321</f>
        <v>-0.153</v>
      </c>
      <c r="LG16" s="17" t="n">
        <f aca="false">Daily_Composite!R322</f>
        <v>0.244</v>
      </c>
      <c r="LH16" s="17" t="n">
        <f aca="false">Daily_Composite!R323</f>
        <v>0.377</v>
      </c>
      <c r="LI16" s="17" t="n">
        <f aca="false">Daily_Composite!R324</f>
        <v>-0.054</v>
      </c>
      <c r="LJ16" s="17" t="n">
        <f aca="false">Daily_Composite!R325</f>
        <v>-0.082</v>
      </c>
      <c r="LK16" s="17" t="n">
        <f aca="false">Daily_Composite!R326</f>
        <v>-0.098</v>
      </c>
      <c r="LL16" s="17" t="n">
        <f aca="false">Daily_Composite!R327</f>
        <v>-0.055</v>
      </c>
      <c r="LM16" s="17" t="n">
        <f aca="false">Daily_Composite!R328</f>
        <v>0.467</v>
      </c>
      <c r="LN16" s="17" t="n">
        <f aca="false">Daily_Composite!R329</f>
        <v>0.167</v>
      </c>
      <c r="LO16" s="17" t="n">
        <f aca="false">Daily_Composite!R330</f>
        <v>-0.163</v>
      </c>
      <c r="LP16" s="17" t="n">
        <f aca="false">Daily_Composite!R331</f>
        <v>-0.064</v>
      </c>
      <c r="LQ16" s="17" t="n">
        <f aca="false">Daily_Composite!R332</f>
        <v>-0.34</v>
      </c>
      <c r="LR16" s="17" t="n">
        <f aca="false">Daily_Composite!R333</f>
        <v>-0.262</v>
      </c>
      <c r="LS16" s="17" t="n">
        <f aca="false">Daily_Composite!R334</f>
        <v>-0.223</v>
      </c>
      <c r="LT16" s="17" t="n">
        <f aca="false">Daily_Composite!R335</f>
        <v>-0.313</v>
      </c>
      <c r="LU16" s="17" t="n">
        <f aca="false">Daily_Composite!R336</f>
        <v>-0.418</v>
      </c>
      <c r="LV16" s="17" t="n">
        <f aca="false">Daily_Composite!R337</f>
        <v>-0.473</v>
      </c>
      <c r="LW16" s="17" t="n">
        <f aca="false">Daily_Composite!R338</f>
        <v>-0.294</v>
      </c>
      <c r="LX16" s="17" t="n">
        <f aca="false">Daily_Composite!R339</f>
        <v>-0.288</v>
      </c>
      <c r="LY16" s="17" t="n">
        <f aca="false">Daily_Composite!R340</f>
        <v>-0.301</v>
      </c>
      <c r="LZ16" s="17" t="n">
        <f aca="false">Daily_Composite!R341</f>
        <v>-0.261</v>
      </c>
      <c r="MA16" s="17" t="n">
        <f aca="false">Daily_Composite!R342</f>
        <v>-0.421</v>
      </c>
      <c r="MB16" s="17" t="n">
        <f aca="false">Daily_Composite!R343</f>
        <v>-0.422</v>
      </c>
      <c r="MC16" s="17" t="n">
        <f aca="false">Daily_Composite!R344</f>
        <v>-0.389</v>
      </c>
      <c r="MD16" s="17" t="n">
        <f aca="false">Daily_Composite!R345</f>
        <v>-0.262</v>
      </c>
      <c r="ME16" s="17" t="n">
        <f aca="false">Daily_Composite!R346</f>
        <v>-0.199</v>
      </c>
      <c r="MF16" s="17" t="n">
        <f aca="false">Daily_Composite!R347</f>
        <v>-0.216</v>
      </c>
      <c r="MG16" s="17" t="n">
        <f aca="false">Daily_Composite!R348</f>
        <v>-0.213</v>
      </c>
      <c r="MH16" s="17" t="n">
        <f aca="false">Daily_Composite!R349</f>
        <v>-0.083</v>
      </c>
      <c r="MI16" s="17" t="n">
        <f aca="false">Daily_Composite!R350</f>
        <v>0.192</v>
      </c>
      <c r="MJ16" s="17" t="n">
        <f aca="false">Daily_Composite!R351</f>
        <v>0.184</v>
      </c>
      <c r="MK16" s="17" t="n">
        <f aca="false">Daily_Composite!R352</f>
        <v>-0.175</v>
      </c>
      <c r="ML16" s="17" t="n">
        <f aca="false">Daily_Composite!R353</f>
        <v>-0.2</v>
      </c>
      <c r="MM16" s="17" t="n">
        <f aca="false">Daily_Composite!R354</f>
        <v>-0.186</v>
      </c>
      <c r="MN16" s="17" t="n">
        <f aca="false">Daily_Composite!R355</f>
        <v>-0.153</v>
      </c>
      <c r="MO16" s="17" t="n">
        <f aca="false">Daily_Composite!R356</f>
        <v>0.393</v>
      </c>
      <c r="MP16" s="17" t="n">
        <f aca="false">Daily_Composite!R357</f>
        <v>0.296</v>
      </c>
      <c r="MQ16" s="17" t="n">
        <f aca="false">Daily_Composite!R358</f>
        <v>0.3</v>
      </c>
      <c r="MR16" s="17" t="n">
        <f aca="false">Daily_Composite!R359</f>
        <v>-0.121</v>
      </c>
      <c r="MS16" s="17" t="n">
        <f aca="false">Daily_Composite!R360</f>
        <v>-0.092</v>
      </c>
      <c r="MT16" s="17" t="n">
        <f aca="false">Daily_Composite!R361</f>
        <v>-0.155</v>
      </c>
      <c r="MU16" s="17" t="n">
        <f aca="false">Daily_Composite!R362</f>
        <v>-0.143</v>
      </c>
      <c r="MV16" s="17" t="n">
        <f aca="false">Daily_Composite!R363</f>
        <v>-0.199</v>
      </c>
      <c r="MW16" s="17" t="n">
        <f aca="false">Daily_Composite!R364</f>
        <v>-0.165</v>
      </c>
      <c r="MX16" s="17" t="n">
        <f aca="false">Daily_Composite!R365</f>
        <v>-0.125</v>
      </c>
      <c r="MY16" s="17" t="n">
        <f aca="false">Daily_Composite!R366</f>
        <v>-0.149</v>
      </c>
      <c r="MZ16" s="17" t="n">
        <f aca="false">Daily_Composite!R367</f>
        <v>-0.149</v>
      </c>
      <c r="NA16" s="17" t="n">
        <f aca="false">Daily_Composite!R368</f>
        <v>-0.02</v>
      </c>
      <c r="NB16" s="17" t="n">
        <f aca="false">Daily_Composite!R369</f>
        <v>-0.003</v>
      </c>
    </row>
    <row r="17" customFormat="false" ht="15" hidden="false" customHeight="false" outlineLevel="0" collapsed="false">
      <c r="A17" s="6" t="s">
        <v>30</v>
      </c>
      <c r="B17" s="17" t="n">
        <f aca="false">Daily_Composite!S5</f>
        <v>-0.126</v>
      </c>
      <c r="C17" s="17" t="n">
        <f aca="false">Daily_Composite!S6</f>
        <v>0.343</v>
      </c>
      <c r="D17" s="17" t="n">
        <f aca="false">Daily_Composite!S7</f>
        <v>0.153</v>
      </c>
      <c r="E17" s="17" t="n">
        <f aca="false">Daily_Composite!S8</f>
        <v>0.001</v>
      </c>
      <c r="F17" s="17" t="n">
        <f aca="false">Daily_Composite!S9</f>
        <v>-0.442</v>
      </c>
      <c r="G17" s="17" t="n">
        <f aca="false">Daily_Composite!S10</f>
        <v>0.013</v>
      </c>
      <c r="H17" s="17" t="n">
        <f aca="false">Daily_Composite!S11</f>
        <v>0.345</v>
      </c>
      <c r="I17" s="17" t="n">
        <f aca="false">Daily_Composite!S12</f>
        <v>0.057</v>
      </c>
      <c r="J17" s="17" t="n">
        <f aca="false">Daily_Composite!S13</f>
        <v>0.212</v>
      </c>
      <c r="K17" s="17" t="n">
        <f aca="false">Daily_Composite!S14</f>
        <v>0.121</v>
      </c>
      <c r="L17" s="17" t="n">
        <f aca="false">Daily_Composite!S15</f>
        <v>-0.29</v>
      </c>
      <c r="M17" s="17" t="n">
        <f aca="false">Daily_Composite!S16</f>
        <v>0.075</v>
      </c>
      <c r="N17" s="17" t="n">
        <f aca="false">Daily_Composite!S17</f>
        <v>-0.127</v>
      </c>
      <c r="O17" s="17" t="n">
        <f aca="false">Daily_Composite!S18</f>
        <v>-0.309</v>
      </c>
      <c r="P17" s="17" t="n">
        <f aca="false">Daily_Composite!S19</f>
        <v>0.131</v>
      </c>
      <c r="Q17" s="17" t="n">
        <f aca="false">Daily_Composite!S20</f>
        <v>0.222</v>
      </c>
      <c r="R17" s="17" t="n">
        <f aca="false">Daily_Composite!S21</f>
        <v>0.477</v>
      </c>
      <c r="S17" s="17" t="n">
        <f aca="false">Daily_Composite!S22</f>
        <v>0.478</v>
      </c>
      <c r="T17" s="17" t="n">
        <f aca="false">Daily_Composite!S23</f>
        <v>0.601</v>
      </c>
      <c r="U17" s="17" t="n">
        <f aca="false">Daily_Composite!S24</f>
        <v>0.13</v>
      </c>
      <c r="V17" s="17" t="n">
        <f aca="false">Daily_Composite!S25</f>
        <v>0.151</v>
      </c>
      <c r="W17" s="17" t="n">
        <f aca="false">Daily_Composite!S26</f>
        <v>0.09</v>
      </c>
      <c r="X17" s="17" t="n">
        <f aca="false">Daily_Composite!S27</f>
        <v>-0.137</v>
      </c>
      <c r="Y17" s="17" t="n">
        <f aca="false">Daily_Composite!S28</f>
        <v>0.486</v>
      </c>
      <c r="Z17" s="17" t="n">
        <f aca="false">Daily_Composite!S29</f>
        <v>0.228</v>
      </c>
      <c r="AA17" s="17" t="n">
        <f aca="false">Daily_Composite!S30</f>
        <v>0.374</v>
      </c>
      <c r="AB17" s="17" t="n">
        <f aca="false">Daily_Composite!S31</f>
        <v>0.171</v>
      </c>
      <c r="AC17" s="17" t="n">
        <f aca="false">Daily_Composite!S32</f>
        <v>0.31</v>
      </c>
      <c r="AD17" s="17" t="n">
        <f aca="false">Daily_Composite!S33</f>
        <v>0.174</v>
      </c>
      <c r="AE17" s="17" t="n">
        <f aca="false">Daily_Composite!S34</f>
        <v>0.211</v>
      </c>
      <c r="AF17" s="17" t="n">
        <f aca="false">Daily_Composite!S35</f>
        <v>0.238</v>
      </c>
      <c r="AG17" s="17" t="n">
        <f aca="false">Daily_Composite!S36</f>
        <v>0.357</v>
      </c>
      <c r="AH17" s="17" t="n">
        <f aca="false">Daily_Composite!S37</f>
        <v>0.545</v>
      </c>
      <c r="AI17" s="17" t="n">
        <f aca="false">Daily_Composite!S38</f>
        <v>0.519</v>
      </c>
      <c r="AJ17" s="17" t="n">
        <f aca="false">Daily_Composite!S39</f>
        <v>0.149</v>
      </c>
      <c r="AK17" s="17" t="n">
        <f aca="false">Daily_Composite!S40</f>
        <v>0.564</v>
      </c>
      <c r="AL17" s="17" t="n">
        <f aca="false">Daily_Composite!S41</f>
        <v>0.141</v>
      </c>
      <c r="AM17" s="17" t="n">
        <f aca="false">Daily_Composite!S42</f>
        <v>-0.235</v>
      </c>
      <c r="AN17" s="17" t="n">
        <f aca="false">Daily_Composite!S43</f>
        <v>0.205</v>
      </c>
      <c r="AO17" s="17" t="n">
        <f aca="false">Daily_Composite!S44</f>
        <v>0.043</v>
      </c>
      <c r="AP17" s="17" t="n">
        <f aca="false">Daily_Composite!S45</f>
        <v>0.139</v>
      </c>
      <c r="AQ17" s="17" t="n">
        <f aca="false">Daily_Composite!S46</f>
        <v>0.552</v>
      </c>
      <c r="AR17" s="17" t="n">
        <f aca="false">Daily_Composite!S47</f>
        <v>0.136</v>
      </c>
      <c r="AS17" s="17" t="n">
        <f aca="false">Daily_Composite!S48</f>
        <v>0.047</v>
      </c>
      <c r="AT17" s="17" t="n">
        <f aca="false">Daily_Composite!S49</f>
        <v>0.495</v>
      </c>
      <c r="AU17" s="17" t="n">
        <f aca="false">Daily_Composite!S50</f>
        <v>0.458</v>
      </c>
      <c r="AV17" s="17" t="n">
        <f aca="false">Daily_Composite!S51</f>
        <v>0.223</v>
      </c>
      <c r="AW17" s="17" t="n">
        <f aca="false">Daily_Composite!S52</f>
        <v>-0.184</v>
      </c>
      <c r="AX17" s="17" t="n">
        <f aca="false">Daily_Composite!S53</f>
        <v>0.038</v>
      </c>
      <c r="AY17" s="17" t="n">
        <f aca="false">Daily_Composite!S54</f>
        <v>-0.176</v>
      </c>
      <c r="AZ17" s="17" t="n">
        <f aca="false">Daily_Composite!S55</f>
        <v>-0.185</v>
      </c>
      <c r="BA17" s="17" t="n">
        <f aca="false">Daily_Composite!S56</f>
        <v>0.528</v>
      </c>
      <c r="BB17" s="17" t="n">
        <f aca="false">Daily_Composite!S57</f>
        <v>0.16</v>
      </c>
      <c r="BC17" s="17" t="n">
        <f aca="false">Daily_Composite!S58</f>
        <v>-0.271</v>
      </c>
      <c r="BD17" s="17" t="n">
        <f aca="false">Daily_Composite!S59</f>
        <v>0.113</v>
      </c>
      <c r="BE17" s="17" t="n">
        <f aca="false">Daily_Composite!S60</f>
        <v>-0.242</v>
      </c>
      <c r="BF17" s="17" t="n">
        <f aca="false">Daily_Composite!S61</f>
        <v>-0.112</v>
      </c>
      <c r="BG17" s="17" t="n">
        <f aca="false">Daily_Composite!S62</f>
        <v>0.331</v>
      </c>
      <c r="BH17" s="17" t="n">
        <f aca="false">Daily_Composite!S63</f>
        <v>0.114</v>
      </c>
      <c r="BI17" s="17" t="n">
        <f aca="false">Daily_Composite!S64</f>
        <v>0.377</v>
      </c>
      <c r="BJ17" s="17" t="n">
        <f aca="false">Daily_Composite!S65</f>
        <v>-0.114</v>
      </c>
      <c r="BK17" s="17" t="n">
        <f aca="false">Daily_Composite!S66</f>
        <v>0.168</v>
      </c>
      <c r="BL17" s="17" t="n">
        <f aca="false">Daily_Composite!S67</f>
        <v>0.102</v>
      </c>
      <c r="BM17" s="17" t="n">
        <f aca="false">Daily_Composite!S68</f>
        <v>0.373</v>
      </c>
      <c r="BN17" s="17" t="n">
        <f aca="false">Daily_Composite!S69</f>
        <v>0.214</v>
      </c>
      <c r="BO17" s="17" t="n">
        <f aca="false">Daily_Composite!S70</f>
        <v>-0.292</v>
      </c>
      <c r="BP17" s="17" t="n">
        <f aca="false">Daily_Composite!S71</f>
        <v>0.109</v>
      </c>
      <c r="BQ17" s="17" t="n">
        <f aca="false">Daily_Composite!S72</f>
        <v>0.155</v>
      </c>
      <c r="BR17" s="17" t="n">
        <f aca="false">Daily_Composite!S73</f>
        <v>0.392</v>
      </c>
      <c r="BS17" s="17" t="n">
        <f aca="false">Daily_Composite!S74</f>
        <v>0.028</v>
      </c>
      <c r="BT17" s="17" t="n">
        <f aca="false">Daily_Composite!S75</f>
        <v>0.322</v>
      </c>
      <c r="BU17" s="17" t="n">
        <f aca="false">Daily_Composite!S76</f>
        <v>0.317</v>
      </c>
      <c r="BV17" s="17" t="n">
        <f aca="false">Daily_Composite!S77</f>
        <v>0.195</v>
      </c>
      <c r="BW17" s="17" t="n">
        <f aca="false">Daily_Composite!S78</f>
        <v>0.256</v>
      </c>
      <c r="BX17" s="17" t="n">
        <f aca="false">Daily_Composite!S79</f>
        <v>-0.21</v>
      </c>
      <c r="BY17" s="17" t="n">
        <f aca="false">Daily_Composite!S80</f>
        <v>-0.287</v>
      </c>
      <c r="BZ17" s="17" t="n">
        <f aca="false">Daily_Composite!S81</f>
        <v>-0.19</v>
      </c>
      <c r="CA17" s="17" t="n">
        <f aca="false">Daily_Composite!S82</f>
        <v>-0.219</v>
      </c>
      <c r="CB17" s="17" t="n">
        <f aca="false">Daily_Composite!S83</f>
        <v>0.343</v>
      </c>
      <c r="CC17" s="17" t="n">
        <f aca="false">Daily_Composite!S84</f>
        <v>-0.088</v>
      </c>
      <c r="CD17" s="17" t="n">
        <f aca="false">Daily_Composite!S85</f>
        <v>0.401</v>
      </c>
      <c r="CE17" s="17" t="n">
        <f aca="false">Daily_Composite!S86</f>
        <v>-0.12</v>
      </c>
      <c r="CF17" s="17" t="n">
        <f aca="false">Daily_Composite!S87</f>
        <v>0.359</v>
      </c>
      <c r="CG17" s="17" t="n">
        <f aca="false">Daily_Composite!S88</f>
        <v>-0.263</v>
      </c>
      <c r="CH17" s="17" t="n">
        <f aca="false">Daily_Composite!S89</f>
        <v>-0.485</v>
      </c>
      <c r="CI17" s="17" t="n">
        <f aca="false">Daily_Composite!S90</f>
        <v>0.147</v>
      </c>
      <c r="CJ17" s="17" t="n">
        <f aca="false">Daily_Composite!S91</f>
        <v>0.199</v>
      </c>
      <c r="CK17" s="17" t="n">
        <f aca="false">Daily_Composite!S92</f>
        <v>-0.105</v>
      </c>
      <c r="CL17" s="17" t="n">
        <f aca="false">Daily_Composite!S93</f>
        <v>-0.286</v>
      </c>
      <c r="CM17" s="17" t="n">
        <f aca="false">Daily_Composite!S94</f>
        <v>-0.219</v>
      </c>
      <c r="CN17" s="17" t="n">
        <f aca="false">Daily_Composite!S95</f>
        <v>-0.426</v>
      </c>
      <c r="CO17" s="17" t="n">
        <f aca="false">Daily_Composite!S96</f>
        <v>-0.437</v>
      </c>
      <c r="CP17" s="17" t="n">
        <f aca="false">Daily_Composite!S97</f>
        <v>-0.603</v>
      </c>
      <c r="CQ17" s="17" t="n">
        <f aca="false">Daily_Composite!S98</f>
        <v>-0.576</v>
      </c>
      <c r="CR17" s="17" t="n">
        <f aca="false">Daily_Composite!S99</f>
        <v>-0.573</v>
      </c>
      <c r="CS17" s="17" t="n">
        <f aca="false">Daily_Composite!S100</f>
        <v>-0.63</v>
      </c>
      <c r="CT17" s="17" t="n">
        <f aca="false">Daily_Composite!S101</f>
        <v>-0.308</v>
      </c>
      <c r="CU17" s="17" t="n">
        <f aca="false">Daily_Composite!S102</f>
        <v>-0.627</v>
      </c>
      <c r="CV17" s="17" t="n">
        <f aca="false">Daily_Composite!S103</f>
        <v>-0.511</v>
      </c>
      <c r="CW17" s="17" t="n">
        <f aca="false">Daily_Composite!S104</f>
        <v>-0.576</v>
      </c>
      <c r="CX17" s="17" t="n">
        <f aca="false">Daily_Composite!S105</f>
        <v>-0.669</v>
      </c>
      <c r="CY17" s="17" t="n">
        <f aca="false">Daily_Composite!S106</f>
        <v>-0.31</v>
      </c>
      <c r="CZ17" s="17" t="n">
        <f aca="false">Daily_Composite!S107</f>
        <v>-0.029</v>
      </c>
      <c r="DA17" s="17" t="n">
        <f aca="false">Daily_Composite!S108</f>
        <v>-0.637</v>
      </c>
      <c r="DB17" s="17" t="n">
        <f aca="false">Daily_Composite!S109</f>
        <v>-0.638</v>
      </c>
      <c r="DC17" s="17" t="n">
        <f aca="false">Daily_Composite!S110</f>
        <v>-0.654</v>
      </c>
      <c r="DD17" s="17" t="n">
        <f aca="false">Daily_Composite!S111</f>
        <v>-0.212</v>
      </c>
      <c r="DE17" s="17" t="n">
        <f aca="false">Daily_Composite!S112</f>
        <v>-0.624</v>
      </c>
      <c r="DF17" s="17" t="n">
        <f aca="false">Daily_Composite!S113</f>
        <v>-0.426</v>
      </c>
      <c r="DG17" s="17" t="n">
        <f aca="false">Daily_Composite!S114</f>
        <v>-0.474</v>
      </c>
      <c r="DH17" s="17" t="n">
        <f aca="false">Daily_Composite!S115</f>
        <v>-0.533</v>
      </c>
      <c r="DI17" s="17" t="n">
        <f aca="false">Daily_Composite!S116</f>
        <v>-0.75</v>
      </c>
      <c r="DJ17" s="17" t="n">
        <f aca="false">Daily_Composite!S117</f>
        <v>-0.662</v>
      </c>
      <c r="DK17" s="17" t="n">
        <f aca="false">Daily_Composite!S118</f>
        <v>-0.683</v>
      </c>
      <c r="DL17" s="17" t="n">
        <f aca="false">Daily_Composite!S119</f>
        <v>-0.749</v>
      </c>
      <c r="DM17" s="17" t="n">
        <f aca="false">Daily_Composite!S120</f>
        <v>-0.271</v>
      </c>
      <c r="DN17" s="17" t="n">
        <f aca="false">Daily_Composite!S121</f>
        <v>-0.618</v>
      </c>
      <c r="DO17" s="17" t="n">
        <f aca="false">Daily_Composite!S122</f>
        <v>-0.438</v>
      </c>
      <c r="DP17" s="17" t="n">
        <f aca="false">Daily_Composite!S123</f>
        <v>-0.439</v>
      </c>
      <c r="DQ17" s="17" t="n">
        <f aca="false">Daily_Composite!S124</f>
        <v>-0.646</v>
      </c>
      <c r="DR17" s="17" t="n">
        <f aca="false">Daily_Composite!S125</f>
        <v>-0.429</v>
      </c>
      <c r="DS17" s="17" t="n">
        <f aca="false">Daily_Composite!S126</f>
        <v>-0.487</v>
      </c>
      <c r="DT17" s="17" t="n">
        <f aca="false">Daily_Composite!S127</f>
        <v>-0.617</v>
      </c>
      <c r="DU17" s="17" t="n">
        <f aca="false">Daily_Composite!S128</f>
        <v>-0.256</v>
      </c>
      <c r="DV17" s="17" t="n">
        <f aca="false">Daily_Composite!S129</f>
        <v>-0.284</v>
      </c>
      <c r="DW17" s="17" t="n">
        <f aca="false">Daily_Composite!S130</f>
        <v>0.224</v>
      </c>
      <c r="DX17" s="17" t="n">
        <f aca="false">Daily_Composite!S131</f>
        <v>-0.307</v>
      </c>
      <c r="DY17" s="17" t="n">
        <f aca="false">Daily_Composite!S132</f>
        <v>-0.074</v>
      </c>
      <c r="DZ17" s="17" t="n">
        <f aca="false">Daily_Composite!S133</f>
        <v>-0.282</v>
      </c>
      <c r="EA17" s="17" t="n">
        <f aca="false">Daily_Composite!S134</f>
        <v>-0.511</v>
      </c>
      <c r="EB17" s="17" t="n">
        <f aca="false">Daily_Composite!S135</f>
        <v>-0.272</v>
      </c>
      <c r="EC17" s="17" t="n">
        <f aca="false">Daily_Composite!S136</f>
        <v>-0.486</v>
      </c>
      <c r="ED17" s="17" t="n">
        <f aca="false">Daily_Composite!S137</f>
        <v>-0.626</v>
      </c>
      <c r="EE17" s="17" t="n">
        <f aca="false">Daily_Composite!S138</f>
        <v>-0.112</v>
      </c>
      <c r="EF17" s="17" t="n">
        <f aca="false">Daily_Composite!S139</f>
        <v>-0.036</v>
      </c>
      <c r="EG17" s="17" t="n">
        <f aca="false">Daily_Composite!S140</f>
        <v>-0.324</v>
      </c>
      <c r="EH17" s="17" t="n">
        <f aca="false">Daily_Composite!S141</f>
        <v>-0.41</v>
      </c>
      <c r="EI17" s="17" t="n">
        <f aca="false">Daily_Composite!S142</f>
        <v>-0.31</v>
      </c>
      <c r="EJ17" s="17" t="n">
        <f aca="false">Daily_Composite!S143</f>
        <v>-0.646</v>
      </c>
      <c r="EK17" s="17" t="n">
        <f aca="false">Daily_Composite!S144</f>
        <v>-0.595</v>
      </c>
      <c r="EL17" s="17" t="n">
        <f aca="false">Daily_Composite!S145</f>
        <v>-0.441</v>
      </c>
      <c r="EM17" s="17" t="n">
        <f aca="false">Daily_Composite!S146</f>
        <v>-0.539</v>
      </c>
      <c r="EN17" s="17" t="n">
        <f aca="false">Daily_Composite!S147</f>
        <v>-0.203</v>
      </c>
      <c r="EO17" s="17" t="n">
        <f aca="false">Daily_Composite!S148</f>
        <v>-0.432</v>
      </c>
      <c r="EP17" s="17" t="n">
        <f aca="false">Daily_Composite!S149</f>
        <v>-0.163</v>
      </c>
      <c r="EQ17" s="17" t="n">
        <f aca="false">Daily_Composite!S150</f>
        <v>-0.316</v>
      </c>
      <c r="ER17" s="17" t="n">
        <f aca="false">Daily_Composite!S151</f>
        <v>-0.205</v>
      </c>
      <c r="ES17" s="17" t="n">
        <f aca="false">Daily_Composite!S152</f>
        <v>-0.363</v>
      </c>
      <c r="ET17" s="17" t="n">
        <f aca="false">Daily_Composite!S153</f>
        <v>-0.248</v>
      </c>
      <c r="EU17" s="17" t="n">
        <f aca="false">Daily_Composite!S154</f>
        <v>-0.256</v>
      </c>
      <c r="EV17" s="17" t="n">
        <f aca="false">Daily_Composite!S155</f>
        <v>-0.059</v>
      </c>
      <c r="EW17" s="17" t="n">
        <f aca="false">Daily_Composite!S156</f>
        <v>-0.055</v>
      </c>
      <c r="EX17" s="17" t="n">
        <f aca="false">Daily_Composite!S157</f>
        <v>0.223</v>
      </c>
      <c r="EY17" s="17" t="n">
        <f aca="false">Daily_Composite!S158</f>
        <v>-0.063</v>
      </c>
      <c r="EZ17" s="17" t="n">
        <f aca="false">Daily_Composite!S159</f>
        <v>0.114</v>
      </c>
      <c r="FA17" s="17" t="n">
        <f aca="false">Daily_Composite!S160</f>
        <v>-0.179</v>
      </c>
      <c r="FB17" s="17" t="n">
        <f aca="false">Daily_Composite!S161</f>
        <v>0.136</v>
      </c>
      <c r="FC17" s="17" t="n">
        <f aca="false">Daily_Composite!S162</f>
        <v>-0.171</v>
      </c>
      <c r="FD17" s="17" t="n">
        <f aca="false">Daily_Composite!S163</f>
        <v>-0.38</v>
      </c>
      <c r="FE17" s="17" t="n">
        <f aca="false">Daily_Composite!S164</f>
        <v>-0.399</v>
      </c>
      <c r="FF17" s="17" t="n">
        <f aca="false">Daily_Composite!S165</f>
        <v>0.342</v>
      </c>
      <c r="FG17" s="17" t="n">
        <f aca="false">Daily_Composite!S166</f>
        <v>-0.074</v>
      </c>
      <c r="FH17" s="17" t="n">
        <f aca="false">Daily_Composite!S167</f>
        <v>-0.031</v>
      </c>
      <c r="FI17" s="17" t="n">
        <f aca="false">Daily_Composite!S168</f>
        <v>-0.23</v>
      </c>
      <c r="FJ17" s="17" t="n">
        <f aca="false">Daily_Composite!S169</f>
        <v>-0.127</v>
      </c>
      <c r="FK17" s="17" t="n">
        <f aca="false">Daily_Composite!S170</f>
        <v>-0.097</v>
      </c>
      <c r="FL17" s="17" t="n">
        <f aca="false">Daily_Composite!S171</f>
        <v>-0.551</v>
      </c>
      <c r="FM17" s="17" t="n">
        <f aca="false">Daily_Composite!S172</f>
        <v>-0.165</v>
      </c>
      <c r="FN17" s="17" t="n">
        <f aca="false">Daily_Composite!S173</f>
        <v>-0.136</v>
      </c>
      <c r="FO17" s="17" t="n">
        <f aca="false">Daily_Composite!S174</f>
        <v>-0.324</v>
      </c>
      <c r="FP17" s="17" t="n">
        <f aca="false">Daily_Composite!S175</f>
        <v>-0.252</v>
      </c>
      <c r="FQ17" s="17" t="n">
        <f aca="false">Daily_Composite!S176</f>
        <v>-0.276</v>
      </c>
      <c r="FR17" s="17" t="n">
        <f aca="false">Daily_Composite!S177</f>
        <v>0.259</v>
      </c>
      <c r="FS17" s="17" t="n">
        <f aca="false">Daily_Composite!S178</f>
        <v>-0.336</v>
      </c>
      <c r="FT17" s="17" t="n">
        <f aca="false">Daily_Composite!S179</f>
        <v>-0.618</v>
      </c>
      <c r="FU17" s="17" t="n">
        <f aca="false">Daily_Composite!S180</f>
        <v>-0.353</v>
      </c>
      <c r="FV17" s="17" t="n">
        <f aca="false">Daily_Composite!S181</f>
        <v>-0.34</v>
      </c>
      <c r="FW17" s="17" t="n">
        <f aca="false">Daily_Composite!S182</f>
        <v>-0.51</v>
      </c>
      <c r="FX17" s="17" t="n">
        <f aca="false">Daily_Composite!S183</f>
        <v>-0.354</v>
      </c>
      <c r="FY17" s="17" t="n">
        <f aca="false">Daily_Composite!S184</f>
        <v>-0.442</v>
      </c>
      <c r="FZ17" s="17" t="n">
        <f aca="false">Daily_Composite!S185</f>
        <v>-0.031</v>
      </c>
      <c r="GA17" s="17" t="n">
        <f aca="false">Daily_Composite!S186</f>
        <v>0.047</v>
      </c>
      <c r="GB17" s="17" t="n">
        <f aca="false">Daily_Composite!S187</f>
        <v>-0.048</v>
      </c>
      <c r="GC17" s="17" t="n">
        <f aca="false">Daily_Composite!S188</f>
        <v>-0.365</v>
      </c>
      <c r="GD17" s="17" t="n">
        <f aca="false">Daily_Composite!S189</f>
        <v>-0.273</v>
      </c>
      <c r="GE17" s="17" t="n">
        <f aca="false">Daily_Composite!S190</f>
        <v>-0.526</v>
      </c>
      <c r="GF17" s="17" t="n">
        <f aca="false">Daily_Composite!S191</f>
        <v>-0.558</v>
      </c>
      <c r="GG17" s="17" t="n">
        <f aca="false">Daily_Composite!S192</f>
        <v>-0.654</v>
      </c>
      <c r="GH17" s="17" t="n">
        <f aca="false">Daily_Composite!S193</f>
        <v>-0.445</v>
      </c>
      <c r="GI17" s="17" t="n">
        <f aca="false">Daily_Composite!S194</f>
        <v>-0.352</v>
      </c>
      <c r="GJ17" s="17" t="n">
        <f aca="false">Daily_Composite!S195</f>
        <v>-0.305</v>
      </c>
      <c r="GK17" s="17" t="n">
        <f aca="false">Daily_Composite!S196</f>
        <v>0.079</v>
      </c>
      <c r="GL17" s="17" t="n">
        <f aca="false">Daily_Composite!S197</f>
        <v>-0.413</v>
      </c>
      <c r="GM17" s="17" t="n">
        <f aca="false">Daily_Composite!S198</f>
        <v>-0.508</v>
      </c>
      <c r="GN17" s="17" t="n">
        <f aca="false">Daily_Composite!S199</f>
        <v>-0.105</v>
      </c>
      <c r="GO17" s="17" t="n">
        <f aca="false">Daily_Composite!S200</f>
        <v>-0.239</v>
      </c>
      <c r="GP17" s="17" t="n">
        <f aca="false">Daily_Composite!S201</f>
        <v>-0.43</v>
      </c>
      <c r="GQ17" s="17" t="n">
        <f aca="false">Daily_Composite!S202</f>
        <v>-0.158</v>
      </c>
      <c r="GR17" s="17" t="n">
        <f aca="false">Daily_Composite!S203</f>
        <v>0.294</v>
      </c>
      <c r="GS17" s="17" t="n">
        <f aca="false">Daily_Composite!S204</f>
        <v>-0.262</v>
      </c>
      <c r="GT17" s="17" t="n">
        <f aca="false">Daily_Composite!S205</f>
        <v>-0.231</v>
      </c>
      <c r="GU17" s="17" t="n">
        <f aca="false">Daily_Composite!S206</f>
        <v>-0.479</v>
      </c>
      <c r="GV17" s="17" t="n">
        <f aca="false">Daily_Composite!S207</f>
        <v>-0.285</v>
      </c>
      <c r="GW17" s="17" t="n">
        <f aca="false">Daily_Composite!S208</f>
        <v>-0.277</v>
      </c>
      <c r="GX17" s="17" t="n">
        <f aca="false">Daily_Composite!S209</f>
        <v>-0.553</v>
      </c>
      <c r="GY17" s="17" t="n">
        <f aca="false">Daily_Composite!S210</f>
        <v>-0.539</v>
      </c>
      <c r="GZ17" s="17" t="n">
        <f aca="false">Daily_Composite!S211</f>
        <v>-0.358</v>
      </c>
      <c r="HA17" s="17" t="n">
        <f aca="false">Daily_Composite!S212</f>
        <v>0.036</v>
      </c>
      <c r="HB17" s="17" t="n">
        <f aca="false">Daily_Composite!S213</f>
        <v>-0.464</v>
      </c>
      <c r="HC17" s="17" t="n">
        <f aca="false">Daily_Composite!S214</f>
        <v>-0.684</v>
      </c>
      <c r="HD17" s="17" t="n">
        <f aca="false">Daily_Composite!S215</f>
        <v>-0.164</v>
      </c>
      <c r="HE17" s="17" t="n">
        <f aca="false">Daily_Composite!S216</f>
        <v>0.036</v>
      </c>
      <c r="HF17" s="17" t="n">
        <f aca="false">Daily_Composite!S217</f>
        <v>-0.129</v>
      </c>
      <c r="HG17" s="17" t="n">
        <f aca="false">Daily_Composite!S218</f>
        <v>-0.562</v>
      </c>
      <c r="HH17" s="17" t="n">
        <f aca="false">Daily_Composite!S219</f>
        <v>-0.656</v>
      </c>
      <c r="HI17" s="17" t="n">
        <f aca="false">Daily_Composite!S220</f>
        <v>-0.214</v>
      </c>
      <c r="HJ17" s="17" t="n">
        <f aca="false">Daily_Composite!S221</f>
        <v>-0.195</v>
      </c>
      <c r="HK17" s="17" t="n">
        <f aca="false">Daily_Composite!S222</f>
        <v>-0.428</v>
      </c>
      <c r="HL17" s="17" t="n">
        <f aca="false">Daily_Composite!S223</f>
        <v>-0.655</v>
      </c>
      <c r="HM17" s="17" t="n">
        <f aca="false">Daily_Composite!S224</f>
        <v>-0.348</v>
      </c>
      <c r="HN17" s="17" t="n">
        <f aca="false">Daily_Composite!S225</f>
        <v>-0.692</v>
      </c>
      <c r="HO17" s="17" t="n">
        <f aca="false">Daily_Composite!S226</f>
        <v>-0.628</v>
      </c>
      <c r="HP17" s="17" t="n">
        <f aca="false">Daily_Composite!S227</f>
        <v>-0.536</v>
      </c>
      <c r="HQ17" s="17" t="n">
        <f aca="false">Daily_Composite!S228</f>
        <v>-0.675</v>
      </c>
      <c r="HR17" s="17" t="n">
        <f aca="false">Daily_Composite!S229</f>
        <v>-0.275</v>
      </c>
      <c r="HS17" s="17" t="n">
        <f aca="false">Daily_Composite!S230</f>
        <v>0.116</v>
      </c>
      <c r="HT17" s="17" t="n">
        <f aca="false">Daily_Composite!S231</f>
        <v>-0.429</v>
      </c>
      <c r="HU17" s="17" t="n">
        <f aca="false">Daily_Composite!S232</f>
        <v>-0.533</v>
      </c>
      <c r="HV17" s="17" t="n">
        <f aca="false">Daily_Composite!S233</f>
        <v>-0.372</v>
      </c>
      <c r="HW17" s="17" t="n">
        <f aca="false">Daily_Composite!S234</f>
        <v>-0.498</v>
      </c>
      <c r="HX17" s="17" t="n">
        <f aca="false">Daily_Composite!S235</f>
        <v>-0.412</v>
      </c>
      <c r="HY17" s="17" t="n">
        <f aca="false">Daily_Composite!S236</f>
        <v>-0.268</v>
      </c>
      <c r="HZ17" s="17" t="n">
        <f aca="false">Daily_Composite!S237</f>
        <v>-0.257</v>
      </c>
      <c r="IA17" s="17" t="n">
        <f aca="false">Daily_Composite!S238</f>
        <v>-0.014</v>
      </c>
      <c r="IB17" s="17" t="n">
        <f aca="false">Daily_Composite!S239</f>
        <v>0.421</v>
      </c>
      <c r="IC17" s="17" t="n">
        <f aca="false">Daily_Composite!S240</f>
        <v>0.161</v>
      </c>
      <c r="ID17" s="17" t="n">
        <f aca="false">Daily_Composite!S241</f>
        <v>0.185</v>
      </c>
      <c r="IE17" s="17" t="n">
        <f aca="false">Daily_Composite!S242</f>
        <v>-0.069</v>
      </c>
      <c r="IF17" s="17" t="n">
        <f aca="false">Daily_Composite!S243</f>
        <v>-0.33</v>
      </c>
      <c r="IG17" s="17" t="n">
        <f aca="false">Daily_Composite!S244</f>
        <v>-0.098</v>
      </c>
      <c r="IH17" s="17" t="n">
        <f aca="false">Daily_Composite!S245</f>
        <v>-0.273</v>
      </c>
      <c r="II17" s="17" t="n">
        <f aca="false">Daily_Composite!S246</f>
        <v>-0.226</v>
      </c>
      <c r="IJ17" s="17" t="n">
        <f aca="false">Daily_Composite!S247</f>
        <v>0.542</v>
      </c>
      <c r="IK17" s="17" t="n">
        <f aca="false">Daily_Composite!S248</f>
        <v>0.385</v>
      </c>
      <c r="IL17" s="17" t="n">
        <f aca="false">Daily_Composite!S249</f>
        <v>0.607</v>
      </c>
      <c r="IM17" s="17" t="n">
        <f aca="false">Daily_Composite!S250</f>
        <v>0.095</v>
      </c>
      <c r="IN17" s="17" t="n">
        <f aca="false">Daily_Composite!S251</f>
        <v>0.597</v>
      </c>
      <c r="IO17" s="17" t="n">
        <f aca="false">Daily_Composite!S252</f>
        <v>0.281</v>
      </c>
      <c r="IP17" s="17" t="n">
        <f aca="false">Daily_Composite!S253</f>
        <v>0.148</v>
      </c>
      <c r="IQ17" s="17" t="n">
        <f aca="false">Daily_Composite!S254</f>
        <v>0.126</v>
      </c>
      <c r="IR17" s="17" t="n">
        <f aca="false">Daily_Composite!S255</f>
        <v>0.395</v>
      </c>
      <c r="IS17" s="17" t="n">
        <f aca="false">Daily_Composite!S256</f>
        <v>-0.006</v>
      </c>
      <c r="IT17" s="17" t="n">
        <f aca="false">Daily_Composite!S257</f>
        <v>0.544</v>
      </c>
      <c r="IU17" s="17" t="n">
        <f aca="false">Daily_Composite!S258</f>
        <v>0.202</v>
      </c>
      <c r="IV17" s="17" t="n">
        <f aca="false">Daily_Composite!S259</f>
        <v>0.569</v>
      </c>
      <c r="IW17" s="17" t="n">
        <f aca="false">Daily_Composite!S260</f>
        <v>0.156</v>
      </c>
      <c r="IX17" s="17" t="n">
        <f aca="false">Daily_Composite!S261</f>
        <v>0.178</v>
      </c>
      <c r="IY17" s="17" t="n">
        <f aca="false">Daily_Composite!S262</f>
        <v>0.251</v>
      </c>
      <c r="IZ17" s="17" t="n">
        <f aca="false">Daily_Composite!S263</f>
        <v>0.15</v>
      </c>
      <c r="JA17" s="17" t="n">
        <f aca="false">Daily_Composite!S264</f>
        <v>0.169</v>
      </c>
      <c r="JB17" s="17" t="n">
        <f aca="false">Daily_Composite!S265</f>
        <v>0.139</v>
      </c>
      <c r="JC17" s="17" t="n">
        <f aca="false">Daily_Composite!S266</f>
        <v>0.509</v>
      </c>
      <c r="JD17" s="17" t="n">
        <f aca="false">Daily_Composite!S267</f>
        <v>0.223</v>
      </c>
      <c r="JE17" s="17" t="n">
        <f aca="false">Daily_Composite!S268</f>
        <v>0.339</v>
      </c>
      <c r="JF17" s="17" t="n">
        <f aca="false">Daily_Composite!S269</f>
        <v>0.068</v>
      </c>
      <c r="JG17" s="17" t="n">
        <f aca="false">Daily_Composite!S270</f>
        <v>-0.057</v>
      </c>
      <c r="JH17" s="17" t="n">
        <f aca="false">Daily_Composite!S271</f>
        <v>-0.38</v>
      </c>
      <c r="JI17" s="17" t="n">
        <f aca="false">Daily_Composite!S272</f>
        <v>-0.374</v>
      </c>
      <c r="JJ17" s="17" t="n">
        <f aca="false">Daily_Composite!S273</f>
        <v>-0.392</v>
      </c>
      <c r="JK17" s="17" t="n">
        <f aca="false">Daily_Composite!S274</f>
        <v>-0.243</v>
      </c>
      <c r="JL17" s="17" t="n">
        <f aca="false">Daily_Composite!S275</f>
        <v>-0.285</v>
      </c>
      <c r="JM17" s="17" t="n">
        <f aca="false">Daily_Composite!S276</f>
        <v>0.107</v>
      </c>
      <c r="JN17" s="17" t="n">
        <f aca="false">Daily_Composite!S277</f>
        <v>-0.311</v>
      </c>
      <c r="JO17" s="17" t="n">
        <f aca="false">Daily_Composite!S278</f>
        <v>-0.624</v>
      </c>
      <c r="JP17" s="17" t="n">
        <f aca="false">Daily_Composite!S279</f>
        <v>-0.28</v>
      </c>
      <c r="JQ17" s="17" t="n">
        <f aca="false">Daily_Composite!S280</f>
        <v>-0.449</v>
      </c>
      <c r="JR17" s="17" t="n">
        <f aca="false">Daily_Composite!S281</f>
        <v>-0.18</v>
      </c>
      <c r="JS17" s="17" t="n">
        <f aca="false">Daily_Composite!S282</f>
        <v>0.188</v>
      </c>
      <c r="JT17" s="17" t="n">
        <f aca="false">Daily_Composite!S283</f>
        <v>0.182</v>
      </c>
      <c r="JU17" s="17" t="n">
        <f aca="false">Daily_Composite!S284</f>
        <v>-0.101</v>
      </c>
      <c r="JV17" s="17" t="n">
        <f aca="false">Daily_Composite!S285</f>
        <v>0.412</v>
      </c>
      <c r="JW17" s="17" t="n">
        <f aca="false">Daily_Composite!S286</f>
        <v>0.419</v>
      </c>
      <c r="JX17" s="17" t="n">
        <f aca="false">Daily_Composite!S287</f>
        <v>0.077</v>
      </c>
      <c r="JY17" s="17" t="n">
        <f aca="false">Daily_Composite!S288</f>
        <v>0.201</v>
      </c>
      <c r="JZ17" s="17" t="n">
        <f aca="false">Daily_Composite!S289</f>
        <v>0.206</v>
      </c>
      <c r="KA17" s="17" t="n">
        <f aca="false">Daily_Composite!S290</f>
        <v>0.198</v>
      </c>
      <c r="KB17" s="17" t="n">
        <f aca="false">Daily_Composite!S291</f>
        <v>0.239</v>
      </c>
      <c r="KC17" s="17" t="n">
        <f aca="false">Daily_Composite!S292</f>
        <v>-0.137</v>
      </c>
      <c r="KD17" s="17" t="n">
        <f aca="false">Daily_Composite!S293</f>
        <v>0.379</v>
      </c>
      <c r="KE17" s="17" t="n">
        <f aca="false">Daily_Composite!S294</f>
        <v>0.14</v>
      </c>
      <c r="KF17" s="17" t="n">
        <f aca="false">Daily_Composite!S295</f>
        <v>0.282</v>
      </c>
      <c r="KG17" s="17" t="n">
        <f aca="false">Daily_Composite!S296</f>
        <v>-0.214</v>
      </c>
      <c r="KH17" s="17" t="n">
        <f aca="false">Daily_Composite!S297</f>
        <v>-0.31</v>
      </c>
      <c r="KI17" s="17" t="n">
        <f aca="false">Daily_Composite!S298</f>
        <v>-0.292</v>
      </c>
      <c r="KJ17" s="17" t="n">
        <f aca="false">Daily_Composite!S299</f>
        <v>-0.214</v>
      </c>
      <c r="KK17" s="17" t="n">
        <f aca="false">Daily_Composite!S300</f>
        <v>-0.486</v>
      </c>
      <c r="KL17" s="17" t="n">
        <f aca="false">Daily_Composite!S301</f>
        <v>-0.423</v>
      </c>
      <c r="KM17" s="17" t="n">
        <f aca="false">Daily_Composite!S302</f>
        <v>-0.138</v>
      </c>
      <c r="KN17" s="17" t="n">
        <f aca="false">Daily_Composite!S303</f>
        <v>0.345</v>
      </c>
      <c r="KO17" s="17" t="n">
        <f aca="false">Daily_Composite!S304</f>
        <v>-0.308</v>
      </c>
      <c r="KP17" s="17" t="n">
        <f aca="false">Daily_Composite!S305</f>
        <v>-0.176</v>
      </c>
      <c r="KQ17" s="17" t="n">
        <f aca="false">Daily_Composite!S306</f>
        <v>0.102</v>
      </c>
      <c r="KR17" s="17" t="n">
        <f aca="false">Daily_Composite!S307</f>
        <v>-0.276</v>
      </c>
      <c r="KS17" s="17" t="n">
        <f aca="false">Daily_Composite!S308</f>
        <v>-0.311</v>
      </c>
      <c r="KT17" s="17" t="n">
        <f aca="false">Daily_Composite!S309</f>
        <v>-0.232</v>
      </c>
      <c r="KU17" s="17" t="n">
        <f aca="false">Daily_Composite!S310</f>
        <v>-0.437</v>
      </c>
      <c r="KV17" s="17" t="n">
        <f aca="false">Daily_Composite!S311</f>
        <v>-0.312</v>
      </c>
      <c r="KW17" s="17" t="n">
        <f aca="false">Daily_Composite!S312</f>
        <v>0.076</v>
      </c>
      <c r="KX17" s="17" t="n">
        <f aca="false">Daily_Composite!S313</f>
        <v>0.003</v>
      </c>
      <c r="KY17" s="17" t="n">
        <f aca="false">Daily_Composite!S314</f>
        <v>-0.454</v>
      </c>
      <c r="KZ17" s="17" t="n">
        <f aca="false">Daily_Composite!S315</f>
        <v>-0.149</v>
      </c>
      <c r="LA17" s="17" t="n">
        <f aca="false">Daily_Composite!S316</f>
        <v>-0.331</v>
      </c>
      <c r="LB17" s="17" t="n">
        <f aca="false">Daily_Composite!S317</f>
        <v>-0.314</v>
      </c>
      <c r="LC17" s="17" t="n">
        <f aca="false">Daily_Composite!S318</f>
        <v>-0.277</v>
      </c>
      <c r="LD17" s="17" t="n">
        <f aca="false">Daily_Composite!S319</f>
        <v>0.044</v>
      </c>
      <c r="LE17" s="17" t="n">
        <f aca="false">Daily_Composite!S320</f>
        <v>0.095</v>
      </c>
      <c r="LF17" s="17" t="n">
        <f aca="false">Daily_Composite!S321</f>
        <v>0.072</v>
      </c>
      <c r="LG17" s="17" t="n">
        <f aca="false">Daily_Composite!S322</f>
        <v>0.102</v>
      </c>
      <c r="LH17" s="17" t="n">
        <f aca="false">Daily_Composite!S323</f>
        <v>0.625</v>
      </c>
      <c r="LI17" s="17" t="n">
        <f aca="false">Daily_Composite!S324</f>
        <v>-0.012</v>
      </c>
      <c r="LJ17" s="17" t="n">
        <f aca="false">Daily_Composite!S325</f>
        <v>-0.24</v>
      </c>
      <c r="LK17" s="17" t="n">
        <f aca="false">Daily_Composite!S326</f>
        <v>-0.027</v>
      </c>
      <c r="LL17" s="17" t="n">
        <f aca="false">Daily_Composite!S327</f>
        <v>-0.153</v>
      </c>
      <c r="LM17" s="17" t="n">
        <f aca="false">Daily_Composite!S328</f>
        <v>0.562</v>
      </c>
      <c r="LN17" s="17" t="n">
        <f aca="false">Daily_Composite!S329</f>
        <v>0.196</v>
      </c>
      <c r="LO17" s="17" t="n">
        <f aca="false">Daily_Composite!S330</f>
        <v>-0.171</v>
      </c>
      <c r="LP17" s="17" t="n">
        <f aca="false">Daily_Composite!S331</f>
        <v>-0.028</v>
      </c>
      <c r="LQ17" s="17" t="n">
        <f aca="false">Daily_Composite!S332</f>
        <v>-0.226</v>
      </c>
      <c r="LR17" s="17" t="n">
        <f aca="false">Daily_Composite!S333</f>
        <v>0.118</v>
      </c>
      <c r="LS17" s="17" t="n">
        <f aca="false">Daily_Composite!S334</f>
        <v>-0.309</v>
      </c>
      <c r="LT17" s="17" t="n">
        <f aca="false">Daily_Composite!S335</f>
        <v>-0.593</v>
      </c>
      <c r="LU17" s="17" t="n">
        <f aca="false">Daily_Composite!S336</f>
        <v>-0.465</v>
      </c>
      <c r="LV17" s="17" t="n">
        <f aca="false">Daily_Composite!S337</f>
        <v>-0.468</v>
      </c>
      <c r="LW17" s="17" t="n">
        <f aca="false">Daily_Composite!S338</f>
        <v>-0.451</v>
      </c>
      <c r="LX17" s="17" t="n">
        <f aca="false">Daily_Composite!S339</f>
        <v>-0.482</v>
      </c>
      <c r="LY17" s="17" t="n">
        <f aca="false">Daily_Composite!S340</f>
        <v>-0.313</v>
      </c>
      <c r="LZ17" s="17" t="n">
        <f aca="false">Daily_Composite!S341</f>
        <v>-0.381</v>
      </c>
      <c r="MA17" s="17" t="n">
        <f aca="false">Daily_Composite!S342</f>
        <v>-0.42</v>
      </c>
      <c r="MB17" s="17" t="n">
        <f aca="false">Daily_Composite!S343</f>
        <v>-0.472</v>
      </c>
      <c r="MC17" s="17" t="n">
        <f aca="false">Daily_Composite!S344</f>
        <v>-0.341</v>
      </c>
      <c r="MD17" s="17" t="n">
        <f aca="false">Daily_Composite!S345</f>
        <v>-0.245</v>
      </c>
      <c r="ME17" s="17" t="n">
        <f aca="false">Daily_Composite!S346</f>
        <v>-0.234</v>
      </c>
      <c r="MF17" s="17" t="n">
        <f aca="false">Daily_Composite!S347</f>
        <v>0.108</v>
      </c>
      <c r="MG17" s="17" t="n">
        <f aca="false">Daily_Composite!S348</f>
        <v>0.517</v>
      </c>
      <c r="MH17" s="17" t="n">
        <f aca="false">Daily_Composite!S349</f>
        <v>0.427</v>
      </c>
      <c r="MI17" s="17" t="n">
        <f aca="false">Daily_Composite!S350</f>
        <v>0.686</v>
      </c>
      <c r="MJ17" s="17" t="n">
        <f aca="false">Daily_Composite!S351</f>
        <v>0.687</v>
      </c>
      <c r="MK17" s="17" t="n">
        <f aca="false">Daily_Composite!S352</f>
        <v>-0.015</v>
      </c>
      <c r="ML17" s="17" t="n">
        <f aca="false">Daily_Composite!S353</f>
        <v>0.129</v>
      </c>
      <c r="MM17" s="17" t="n">
        <f aca="false">Daily_Composite!S354</f>
        <v>0.168</v>
      </c>
      <c r="MN17" s="17" t="n">
        <f aca="false">Daily_Composite!S355</f>
        <v>0.004</v>
      </c>
      <c r="MO17" s="17" t="n">
        <f aca="false">Daily_Composite!S356</f>
        <v>0.671</v>
      </c>
      <c r="MP17" s="17" t="n">
        <f aca="false">Daily_Composite!S357</f>
        <v>0.618</v>
      </c>
      <c r="MQ17" s="17" t="n">
        <f aca="false">Daily_Composite!S358</f>
        <v>0.638</v>
      </c>
      <c r="MR17" s="17" t="n">
        <f aca="false">Daily_Composite!S359</f>
        <v>0.137</v>
      </c>
      <c r="MS17" s="17" t="n">
        <f aca="false">Daily_Composite!S360</f>
        <v>0.52</v>
      </c>
      <c r="MT17" s="17" t="n">
        <f aca="false">Daily_Composite!S361</f>
        <v>0.307</v>
      </c>
      <c r="MU17" s="17" t="n">
        <f aca="false">Daily_Composite!S362</f>
        <v>0.295</v>
      </c>
      <c r="MV17" s="17" t="n">
        <f aca="false">Daily_Composite!S363</f>
        <v>0.041</v>
      </c>
      <c r="MW17" s="17" t="n">
        <f aca="false">Daily_Composite!S364</f>
        <v>-0.119</v>
      </c>
      <c r="MX17" s="17" t="n">
        <f aca="false">Daily_Composite!S365</f>
        <v>-0.066</v>
      </c>
      <c r="MY17" s="17" t="n">
        <f aca="false">Daily_Composite!S366</f>
        <v>-0.007</v>
      </c>
      <c r="MZ17" s="17" t="n">
        <f aca="false">Daily_Composite!S367</f>
        <v>0.408</v>
      </c>
      <c r="NA17" s="17" t="n">
        <f aca="false">Daily_Composite!S368</f>
        <v>0.064</v>
      </c>
      <c r="NB17" s="17" t="n">
        <f aca="false">Daily_Composite!S369</f>
        <v>0.056</v>
      </c>
    </row>
    <row r="18" customFormat="false" ht="15" hidden="false" customHeight="false" outlineLevel="0" collapsed="false">
      <c r="A18" s="6" t="s">
        <v>31</v>
      </c>
      <c r="B18" s="17" t="n">
        <f aca="false">Daily_Composite!T5</f>
        <v>-0.088</v>
      </c>
      <c r="C18" s="17" t="n">
        <f aca="false">Daily_Composite!T6</f>
        <v>-0.203</v>
      </c>
      <c r="D18" s="17" t="n">
        <f aca="false">Daily_Composite!T7</f>
        <v>0.157</v>
      </c>
      <c r="E18" s="17" t="n">
        <f aca="false">Daily_Composite!T8</f>
        <v>-0.018</v>
      </c>
      <c r="F18" s="17" t="n">
        <f aca="false">Daily_Composite!T9</f>
        <v>-0.462</v>
      </c>
      <c r="G18" s="17" t="n">
        <f aca="false">Daily_Composite!T10</f>
        <v>-0.024</v>
      </c>
      <c r="H18" s="17" t="n">
        <f aca="false">Daily_Composite!T11</f>
        <v>0.273</v>
      </c>
      <c r="I18" s="17" t="n">
        <f aca="false">Daily_Composite!T12</f>
        <v>-0.008</v>
      </c>
      <c r="J18" s="17" t="n">
        <f aca="false">Daily_Composite!T13</f>
        <v>-0.014</v>
      </c>
      <c r="K18" s="17" t="n">
        <f aca="false">Daily_Composite!T14</f>
        <v>-0.284</v>
      </c>
      <c r="L18" s="17" t="n">
        <f aca="false">Daily_Composite!T15</f>
        <v>-0.327</v>
      </c>
      <c r="M18" s="17" t="n">
        <f aca="false">Daily_Composite!T16</f>
        <v>0.067</v>
      </c>
      <c r="N18" s="17" t="n">
        <f aca="false">Daily_Composite!T17</f>
        <v>-0.126</v>
      </c>
      <c r="O18" s="17" t="n">
        <f aca="false">Daily_Composite!T18</f>
        <v>-0.333</v>
      </c>
      <c r="P18" s="17" t="n">
        <f aca="false">Daily_Composite!T19</f>
        <v>0.095</v>
      </c>
      <c r="Q18" s="17" t="n">
        <f aca="false">Daily_Composite!T20</f>
        <v>0.077</v>
      </c>
      <c r="R18" s="17" t="n">
        <f aca="false">Daily_Composite!T21</f>
        <v>0.322</v>
      </c>
      <c r="S18" s="17" t="n">
        <f aca="false">Daily_Composite!T22</f>
        <v>0.467</v>
      </c>
      <c r="T18" s="17" t="n">
        <f aca="false">Daily_Composite!T23</f>
        <v>0.596</v>
      </c>
      <c r="U18" s="17" t="n">
        <f aca="false">Daily_Composite!T24</f>
        <v>-0.004</v>
      </c>
      <c r="V18" s="17" t="n">
        <f aca="false">Daily_Composite!T25</f>
        <v>0.146</v>
      </c>
      <c r="W18" s="17" t="n">
        <f aca="false">Daily_Composite!T26</f>
        <v>0.01</v>
      </c>
      <c r="X18" s="17" t="n">
        <f aca="false">Daily_Composite!T27</f>
        <v>0.194</v>
      </c>
      <c r="Y18" s="17" t="n">
        <f aca="false">Daily_Composite!T28</f>
        <v>0.65</v>
      </c>
      <c r="Z18" s="17" t="n">
        <f aca="false">Daily_Composite!T29</f>
        <v>0.274</v>
      </c>
      <c r="AA18" s="17" t="n">
        <f aca="false">Daily_Composite!T30</f>
        <v>0.428</v>
      </c>
      <c r="AB18" s="17" t="n">
        <f aca="false">Daily_Composite!T31</f>
        <v>0.267</v>
      </c>
      <c r="AC18" s="17" t="n">
        <f aca="false">Daily_Composite!T32</f>
        <v>0.407</v>
      </c>
      <c r="AD18" s="17" t="n">
        <f aca="false">Daily_Composite!T33</f>
        <v>0.604</v>
      </c>
      <c r="AE18" s="17" t="n">
        <f aca="false">Daily_Composite!T34</f>
        <v>0.21</v>
      </c>
      <c r="AF18" s="17" t="n">
        <f aca="false">Daily_Composite!T35</f>
        <v>0.446</v>
      </c>
      <c r="AG18" s="17" t="n">
        <f aca="false">Daily_Composite!T36</f>
        <v>0.155</v>
      </c>
      <c r="AH18" s="17" t="n">
        <f aca="false">Daily_Composite!T37</f>
        <v>0.609</v>
      </c>
      <c r="AI18" s="17" t="n">
        <f aca="false">Daily_Composite!T38</f>
        <v>0.387</v>
      </c>
      <c r="AJ18" s="17" t="n">
        <f aca="false">Daily_Composite!T39</f>
        <v>0.169</v>
      </c>
      <c r="AK18" s="17" t="n">
        <f aca="false">Daily_Composite!T40</f>
        <v>0.602</v>
      </c>
      <c r="AL18" s="17" t="n">
        <f aca="false">Daily_Composite!T41</f>
        <v>0.28</v>
      </c>
      <c r="AM18" s="17" t="n">
        <f aca="false">Daily_Composite!T42</f>
        <v>-0.284</v>
      </c>
      <c r="AN18" s="17" t="n">
        <f aca="false">Daily_Composite!T43</f>
        <v>0.404</v>
      </c>
      <c r="AO18" s="17" t="n">
        <f aca="false">Daily_Composite!T44</f>
        <v>0.041</v>
      </c>
      <c r="AP18" s="17" t="n">
        <f aca="false">Daily_Composite!T45</f>
        <v>0.146</v>
      </c>
      <c r="AQ18" s="17" t="n">
        <f aca="false">Daily_Composite!T46</f>
        <v>0.564</v>
      </c>
      <c r="AR18" s="17" t="n">
        <f aca="false">Daily_Composite!T47</f>
        <v>0.151</v>
      </c>
      <c r="AS18" s="17" t="n">
        <f aca="false">Daily_Composite!T48</f>
        <v>-0.101</v>
      </c>
      <c r="AT18" s="17" t="n">
        <f aca="false">Daily_Composite!T49</f>
        <v>0.518</v>
      </c>
      <c r="AU18" s="17" t="n">
        <f aca="false">Daily_Composite!T50</f>
        <v>0.502</v>
      </c>
      <c r="AV18" s="17" t="n">
        <f aca="false">Daily_Composite!T51</f>
        <v>0.596</v>
      </c>
      <c r="AW18" s="17" t="n">
        <f aca="false">Daily_Composite!T52</f>
        <v>-0.055</v>
      </c>
      <c r="AX18" s="17" t="n">
        <f aca="false">Daily_Composite!T53</f>
        <v>0.467</v>
      </c>
      <c r="AY18" s="17" t="n">
        <f aca="false">Daily_Composite!T54</f>
        <v>0.249</v>
      </c>
      <c r="AZ18" s="17" t="n">
        <f aca="false">Daily_Composite!T55</f>
        <v>0.25</v>
      </c>
      <c r="BA18" s="17" t="n">
        <f aca="false">Daily_Composite!T56</f>
        <v>0.669</v>
      </c>
      <c r="BB18" s="17" t="n">
        <f aca="false">Daily_Composite!T57</f>
        <v>0.424</v>
      </c>
      <c r="BC18" s="17" t="n">
        <f aca="false">Daily_Composite!T58</f>
        <v>-0.042</v>
      </c>
      <c r="BD18" s="17" t="n">
        <f aca="false">Daily_Composite!T59</f>
        <v>0.186</v>
      </c>
      <c r="BE18" s="17" t="n">
        <f aca="false">Daily_Composite!T60</f>
        <v>-0.136</v>
      </c>
      <c r="BF18" s="17" t="n">
        <f aca="false">Daily_Composite!T61</f>
        <v>-0.193</v>
      </c>
      <c r="BG18" s="17" t="n">
        <f aca="false">Daily_Composite!T62</f>
        <v>0.544</v>
      </c>
      <c r="BH18" s="17" t="n">
        <f aca="false">Daily_Composite!T63</f>
        <v>0.154</v>
      </c>
      <c r="BI18" s="17" t="n">
        <f aca="false">Daily_Composite!T64</f>
        <v>0.453</v>
      </c>
      <c r="BJ18" s="17" t="n">
        <f aca="false">Daily_Composite!T65</f>
        <v>-0.089</v>
      </c>
      <c r="BK18" s="17" t="n">
        <f aca="false">Daily_Composite!T66</f>
        <v>-0.011</v>
      </c>
      <c r="BL18" s="17" t="n">
        <f aca="false">Daily_Composite!T67</f>
        <v>0.166</v>
      </c>
      <c r="BM18" s="17" t="n">
        <f aca="false">Daily_Composite!T68</f>
        <v>0.393</v>
      </c>
      <c r="BN18" s="17" t="n">
        <f aca="false">Daily_Composite!T69</f>
        <v>0.126</v>
      </c>
      <c r="BO18" s="17" t="n">
        <f aca="false">Daily_Composite!T70</f>
        <v>-0.33</v>
      </c>
      <c r="BP18" s="17" t="n">
        <f aca="false">Daily_Composite!T71</f>
        <v>0.179</v>
      </c>
      <c r="BQ18" s="17" t="n">
        <f aca="false">Daily_Composite!T72</f>
        <v>0.047</v>
      </c>
      <c r="BR18" s="17" t="n">
        <f aca="false">Daily_Composite!T73</f>
        <v>0.333</v>
      </c>
      <c r="BS18" s="17" t="n">
        <f aca="false">Daily_Composite!T74</f>
        <v>0.025</v>
      </c>
      <c r="BT18" s="17" t="n">
        <f aca="false">Daily_Composite!T75</f>
        <v>0.241</v>
      </c>
      <c r="BU18" s="17" t="n">
        <f aca="false">Daily_Composite!T76</f>
        <v>0.297</v>
      </c>
      <c r="BV18" s="17" t="n">
        <f aca="false">Daily_Composite!T77</f>
        <v>0.169</v>
      </c>
      <c r="BW18" s="17" t="n">
        <f aca="false">Daily_Composite!T78</f>
        <v>0.554</v>
      </c>
      <c r="BX18" s="17" t="n">
        <f aca="false">Daily_Composite!T79</f>
        <v>-0.156</v>
      </c>
      <c r="BY18" s="17" t="n">
        <f aca="false">Daily_Composite!T80</f>
        <v>-0.186</v>
      </c>
      <c r="BZ18" s="17" t="n">
        <f aca="false">Daily_Composite!T81</f>
        <v>0.513</v>
      </c>
      <c r="CA18" s="17" t="n">
        <f aca="false">Daily_Composite!T82</f>
        <v>0.117</v>
      </c>
      <c r="CB18" s="17" t="n">
        <f aca="false">Daily_Composite!T83</f>
        <v>0.504</v>
      </c>
      <c r="CC18" s="17" t="n">
        <f aca="false">Daily_Composite!T84</f>
        <v>-0.098</v>
      </c>
      <c r="CD18" s="17" t="n">
        <f aca="false">Daily_Composite!T85</f>
        <v>0.458</v>
      </c>
      <c r="CE18" s="17" t="n">
        <f aca="false">Daily_Composite!T86</f>
        <v>-0.053</v>
      </c>
      <c r="CF18" s="17" t="n">
        <f aca="false">Daily_Composite!T87</f>
        <v>0.38</v>
      </c>
      <c r="CG18" s="17" t="n">
        <f aca="false">Daily_Composite!T88</f>
        <v>-0.263</v>
      </c>
      <c r="CH18" s="17" t="n">
        <f aca="false">Daily_Composite!T89</f>
        <v>-0.408</v>
      </c>
      <c r="CI18" s="17" t="n">
        <f aca="false">Daily_Composite!T90</f>
        <v>0.234</v>
      </c>
      <c r="CJ18" s="17" t="n">
        <f aca="false">Daily_Composite!T91</f>
        <v>-0.038</v>
      </c>
      <c r="CK18" s="17" t="n">
        <f aca="false">Daily_Composite!T92</f>
        <v>-0.034</v>
      </c>
      <c r="CL18" s="17" t="n">
        <f aca="false">Daily_Composite!T93</f>
        <v>-0.142</v>
      </c>
      <c r="CM18" s="17" t="n">
        <f aca="false">Daily_Composite!T94</f>
        <v>-0.01</v>
      </c>
      <c r="CN18" s="17" t="n">
        <f aca="false">Daily_Composite!T95</f>
        <v>-0.341</v>
      </c>
      <c r="CO18" s="17" t="n">
        <f aca="false">Daily_Composite!T96</f>
        <v>0.008</v>
      </c>
      <c r="CP18" s="17" t="n">
        <f aca="false">Daily_Composite!T97</f>
        <v>-0.357</v>
      </c>
      <c r="CQ18" s="17" t="n">
        <f aca="false">Daily_Composite!T98</f>
        <v>-0.436</v>
      </c>
      <c r="CR18" s="17" t="n">
        <f aca="false">Daily_Composite!T99</f>
        <v>-0.325</v>
      </c>
      <c r="CS18" s="17" t="n">
        <f aca="false">Daily_Composite!T100</f>
        <v>-0.356</v>
      </c>
      <c r="CT18" s="17" t="n">
        <f aca="false">Daily_Composite!T101</f>
        <v>-0.133</v>
      </c>
      <c r="CU18" s="17" t="n">
        <f aca="false">Daily_Composite!T102</f>
        <v>-0.39</v>
      </c>
      <c r="CV18" s="17" t="n">
        <f aca="false">Daily_Composite!T103</f>
        <v>-0.22</v>
      </c>
      <c r="CW18" s="17" t="n">
        <f aca="false">Daily_Composite!T104</f>
        <v>-0.331</v>
      </c>
      <c r="CX18" s="17" t="n">
        <f aca="false">Daily_Composite!T105</f>
        <v>-0.449</v>
      </c>
      <c r="CY18" s="17" t="n">
        <f aca="false">Daily_Composite!T106</f>
        <v>0.302</v>
      </c>
      <c r="CZ18" s="17" t="n">
        <f aca="false">Daily_Composite!T107</f>
        <v>0.203</v>
      </c>
      <c r="DA18" s="17" t="n">
        <f aca="false">Daily_Composite!T108</f>
        <v>-0.12</v>
      </c>
      <c r="DB18" s="17" t="n">
        <f aca="false">Daily_Composite!T109</f>
        <v>-0.18</v>
      </c>
      <c r="DC18" s="17" t="n">
        <f aca="false">Daily_Composite!T110</f>
        <v>-0.026</v>
      </c>
      <c r="DD18" s="17" t="n">
        <f aca="false">Daily_Composite!T111</f>
        <v>0.006</v>
      </c>
      <c r="DE18" s="17" t="n">
        <f aca="false">Daily_Composite!T112</f>
        <v>-0.353</v>
      </c>
      <c r="DF18" s="17" t="n">
        <f aca="false">Daily_Composite!T113</f>
        <v>-0.14</v>
      </c>
      <c r="DG18" s="17" t="n">
        <f aca="false">Daily_Composite!T114</f>
        <v>-0.206</v>
      </c>
      <c r="DH18" s="17" t="n">
        <f aca="false">Daily_Composite!T115</f>
        <v>0.072</v>
      </c>
      <c r="DI18" s="17" t="n">
        <f aca="false">Daily_Composite!T116</f>
        <v>-0.461</v>
      </c>
      <c r="DJ18" s="17" t="n">
        <f aca="false">Daily_Composite!T117</f>
        <v>-0.394</v>
      </c>
      <c r="DK18" s="17" t="n">
        <f aca="false">Daily_Composite!T118</f>
        <v>-0.203</v>
      </c>
      <c r="DL18" s="17" t="n">
        <f aca="false">Daily_Composite!T119</f>
        <v>-0.473</v>
      </c>
      <c r="DM18" s="17" t="n">
        <f aca="false">Daily_Composite!T120</f>
        <v>-0.115</v>
      </c>
      <c r="DN18" s="17" t="n">
        <f aca="false">Daily_Composite!T121</f>
        <v>-0.389</v>
      </c>
      <c r="DO18" s="17" t="n">
        <f aca="false">Daily_Composite!T122</f>
        <v>-0.159</v>
      </c>
      <c r="DP18" s="17" t="n">
        <f aca="false">Daily_Composite!T123</f>
        <v>0.338</v>
      </c>
      <c r="DQ18" s="17" t="n">
        <f aca="false">Daily_Composite!T124</f>
        <v>-0.414</v>
      </c>
      <c r="DR18" s="17" t="n">
        <f aca="false">Daily_Composite!T125</f>
        <v>0.145</v>
      </c>
      <c r="DS18" s="17" t="n">
        <f aca="false">Daily_Composite!T126</f>
        <v>-0.345</v>
      </c>
      <c r="DT18" s="17" t="n">
        <f aca="false">Daily_Composite!T127</f>
        <v>-0.416</v>
      </c>
      <c r="DU18" s="17" t="n">
        <f aca="false">Daily_Composite!T128</f>
        <v>-0.159</v>
      </c>
      <c r="DV18" s="17" t="n">
        <f aca="false">Daily_Composite!T129</f>
        <v>-0.188</v>
      </c>
      <c r="DW18" s="17" t="n">
        <f aca="false">Daily_Composite!T130</f>
        <v>0.339</v>
      </c>
      <c r="DX18" s="17" t="n">
        <f aca="false">Daily_Composite!T131</f>
        <v>-0.331</v>
      </c>
      <c r="DY18" s="17" t="n">
        <f aca="false">Daily_Composite!T132</f>
        <v>-0.206</v>
      </c>
      <c r="DZ18" s="17" t="n">
        <f aca="false">Daily_Composite!T133</f>
        <v>0.162</v>
      </c>
      <c r="EA18" s="17" t="n">
        <f aca="false">Daily_Composite!T134</f>
        <v>-0.412</v>
      </c>
      <c r="EB18" s="17" t="n">
        <f aca="false">Daily_Composite!T135</f>
        <v>0.219</v>
      </c>
      <c r="EC18" s="17" t="n">
        <f aca="false">Daily_Composite!T136</f>
        <v>-0.129</v>
      </c>
      <c r="ED18" s="17" t="n">
        <f aca="false">Daily_Composite!T137</f>
        <v>-0.486</v>
      </c>
      <c r="EE18" s="17" t="n">
        <f aca="false">Daily_Composite!T138</f>
        <v>-0.223</v>
      </c>
      <c r="EF18" s="17" t="n">
        <f aca="false">Daily_Composite!T139</f>
        <v>0.037</v>
      </c>
      <c r="EG18" s="17" t="n">
        <f aca="false">Daily_Composite!T140</f>
        <v>-0.154</v>
      </c>
      <c r="EH18" s="17" t="n">
        <f aca="false">Daily_Composite!T141</f>
        <v>-0.297</v>
      </c>
      <c r="EI18" s="17" t="n">
        <f aca="false">Daily_Composite!T142</f>
        <v>0.128</v>
      </c>
      <c r="EJ18" s="17" t="n">
        <f aca="false">Daily_Composite!T143</f>
        <v>-0.507</v>
      </c>
      <c r="EK18" s="17" t="n">
        <f aca="false">Daily_Composite!T144</f>
        <v>-0.514</v>
      </c>
      <c r="EL18" s="17" t="n">
        <f aca="false">Daily_Composite!T145</f>
        <v>-0.152</v>
      </c>
      <c r="EM18" s="17" t="n">
        <f aca="false">Daily_Composite!T146</f>
        <v>-0.41</v>
      </c>
      <c r="EN18" s="17" t="n">
        <f aca="false">Daily_Composite!T147</f>
        <v>-0.097</v>
      </c>
      <c r="EO18" s="17" t="n">
        <f aca="false">Daily_Composite!T148</f>
        <v>-0.295</v>
      </c>
      <c r="EP18" s="17" t="n">
        <f aca="false">Daily_Composite!T149</f>
        <v>-0.067</v>
      </c>
      <c r="EQ18" s="17" t="n">
        <f aca="false">Daily_Composite!T150</f>
        <v>-0.189</v>
      </c>
      <c r="ER18" s="17" t="n">
        <f aca="false">Daily_Composite!T151</f>
        <v>0.349</v>
      </c>
      <c r="ES18" s="17" t="n">
        <f aca="false">Daily_Composite!T152</f>
        <v>-0.238</v>
      </c>
      <c r="ET18" s="17" t="n">
        <f aca="false">Daily_Composite!T153</f>
        <v>-0.363</v>
      </c>
      <c r="EU18" s="17" t="n">
        <f aca="false">Daily_Composite!T154</f>
        <v>-0.11</v>
      </c>
      <c r="EV18" s="17" t="n">
        <f aca="false">Daily_Composite!T155</f>
        <v>0.025</v>
      </c>
      <c r="EW18" s="17" t="n">
        <f aca="false">Daily_Composite!T156</f>
        <v>0.043</v>
      </c>
      <c r="EX18" s="17" t="n">
        <f aca="false">Daily_Composite!T157</f>
        <v>0.178</v>
      </c>
      <c r="EY18" s="17" t="n">
        <f aca="false">Daily_Composite!T158</f>
        <v>0.061</v>
      </c>
      <c r="EZ18" s="17" t="n">
        <f aca="false">Daily_Composite!T159</f>
        <v>0.25</v>
      </c>
      <c r="FA18" s="17" t="n">
        <f aca="false">Daily_Composite!T160</f>
        <v>-0.099</v>
      </c>
      <c r="FB18" s="17" t="n">
        <f aca="false">Daily_Composite!T161</f>
        <v>0.235</v>
      </c>
      <c r="FC18" s="17" t="n">
        <f aca="false">Daily_Composite!T162</f>
        <v>0.343</v>
      </c>
      <c r="FD18" s="17" t="n">
        <f aca="false">Daily_Composite!T163</f>
        <v>-0.217</v>
      </c>
      <c r="FE18" s="17" t="n">
        <f aca="false">Daily_Composite!T164</f>
        <v>-0.106</v>
      </c>
      <c r="FF18" s="17" t="n">
        <f aca="false">Daily_Composite!T165</f>
        <v>0.437</v>
      </c>
      <c r="FG18" s="17" t="n">
        <f aca="false">Daily_Composite!T166</f>
        <v>-0.033</v>
      </c>
      <c r="FH18" s="17" t="n">
        <f aca="false">Daily_Composite!T167</f>
        <v>-0.013</v>
      </c>
      <c r="FI18" s="17" t="n">
        <f aca="false">Daily_Composite!T168</f>
        <v>-0.192</v>
      </c>
      <c r="FJ18" s="17" t="n">
        <f aca="false">Daily_Composite!T169</f>
        <v>-0.22</v>
      </c>
      <c r="FK18" s="17" t="n">
        <f aca="false">Daily_Composite!T170</f>
        <v>-0.202</v>
      </c>
      <c r="FL18" s="17" t="n">
        <f aca="false">Daily_Composite!T171</f>
        <v>-0.513</v>
      </c>
      <c r="FM18" s="17" t="n">
        <f aca="false">Daily_Composite!T172</f>
        <v>-0.2</v>
      </c>
      <c r="FN18" s="17" t="n">
        <f aca="false">Daily_Composite!T173</f>
        <v>-0.24</v>
      </c>
      <c r="FO18" s="17" t="n">
        <f aca="false">Daily_Composite!T174</f>
        <v>-0.249</v>
      </c>
      <c r="FP18" s="17" t="n">
        <f aca="false">Daily_Composite!T175</f>
        <v>-0.137</v>
      </c>
      <c r="FQ18" s="17" t="n">
        <f aca="false">Daily_Composite!T176</f>
        <v>-0.202</v>
      </c>
      <c r="FR18" s="17" t="n">
        <f aca="false">Daily_Composite!T177</f>
        <v>0.321</v>
      </c>
      <c r="FS18" s="17" t="n">
        <f aca="false">Daily_Composite!T178</f>
        <v>0.125</v>
      </c>
      <c r="FT18" s="17" t="n">
        <f aca="false">Daily_Composite!T179</f>
        <v>-0.502</v>
      </c>
      <c r="FU18" s="17" t="n">
        <f aca="false">Daily_Composite!T180</f>
        <v>-0.498</v>
      </c>
      <c r="FV18" s="17" t="n">
        <f aca="false">Daily_Composite!T181</f>
        <v>-0.273</v>
      </c>
      <c r="FW18" s="17" t="n">
        <f aca="false">Daily_Composite!T182</f>
        <v>-0.384</v>
      </c>
      <c r="FX18" s="17" t="n">
        <f aca="false">Daily_Composite!T183</f>
        <v>-0.292</v>
      </c>
      <c r="FY18" s="17" t="n">
        <f aca="false">Daily_Composite!T184</f>
        <v>-0.474</v>
      </c>
      <c r="FZ18" s="17" t="n">
        <f aca="false">Daily_Composite!T185</f>
        <v>0.078</v>
      </c>
      <c r="GA18" s="17" t="n">
        <f aca="false">Daily_Composite!T186</f>
        <v>0.011</v>
      </c>
      <c r="GB18" s="17" t="n">
        <f aca="false">Daily_Composite!T187</f>
        <v>-0.19</v>
      </c>
      <c r="GC18" s="17" t="n">
        <f aca="false">Daily_Composite!T188</f>
        <v>-0.377</v>
      </c>
      <c r="GD18" s="17" t="n">
        <f aca="false">Daily_Composite!T189</f>
        <v>-0.291</v>
      </c>
      <c r="GE18" s="17" t="n">
        <f aca="false">Daily_Composite!T190</f>
        <v>0.031</v>
      </c>
      <c r="GF18" s="17" t="n">
        <f aca="false">Daily_Composite!T191</f>
        <v>-0.383</v>
      </c>
      <c r="GG18" s="17" t="n">
        <f aca="false">Daily_Composite!T192</f>
        <v>-0.634</v>
      </c>
      <c r="GH18" s="17" t="n">
        <f aca="false">Daily_Composite!T193</f>
        <v>-0.553</v>
      </c>
      <c r="GI18" s="17" t="n">
        <f aca="false">Daily_Composite!T194</f>
        <v>-0.492</v>
      </c>
      <c r="GJ18" s="17" t="n">
        <f aca="false">Daily_Composite!T195</f>
        <v>-0.328</v>
      </c>
      <c r="GK18" s="17" t="n">
        <f aca="false">Daily_Composite!T196</f>
        <v>0.018</v>
      </c>
      <c r="GL18" s="17" t="n">
        <f aca="false">Daily_Composite!T197</f>
        <v>-0.411</v>
      </c>
      <c r="GM18" s="17" t="n">
        <f aca="false">Daily_Composite!T198</f>
        <v>-0.483</v>
      </c>
      <c r="GN18" s="17" t="n">
        <f aca="false">Daily_Composite!T199</f>
        <v>-0.334</v>
      </c>
      <c r="GO18" s="17" t="n">
        <f aca="false">Daily_Composite!T200</f>
        <v>-0.21</v>
      </c>
      <c r="GP18" s="17" t="n">
        <f aca="false">Daily_Composite!T201</f>
        <v>-0.477</v>
      </c>
      <c r="GQ18" s="17" t="n">
        <f aca="false">Daily_Composite!T202</f>
        <v>-0.125</v>
      </c>
      <c r="GR18" s="17" t="n">
        <f aca="false">Daily_Composite!T203</f>
        <v>0.309</v>
      </c>
      <c r="GS18" s="17" t="n">
        <f aca="false">Daily_Composite!T204</f>
        <v>-0.322</v>
      </c>
      <c r="GT18" s="17" t="n">
        <f aca="false">Daily_Composite!T205</f>
        <v>-0.334</v>
      </c>
      <c r="GU18" s="17" t="n">
        <f aca="false">Daily_Composite!T206</f>
        <v>-0.537</v>
      </c>
      <c r="GV18" s="17" t="n">
        <f aca="false">Daily_Composite!T207</f>
        <v>-0.328</v>
      </c>
      <c r="GW18" s="17" t="n">
        <f aca="false">Daily_Composite!T208</f>
        <v>-0.58</v>
      </c>
      <c r="GX18" s="17" t="n">
        <f aca="false">Daily_Composite!T209</f>
        <v>-0.642</v>
      </c>
      <c r="GY18" s="17" t="n">
        <f aca="false">Daily_Composite!T210</f>
        <v>-0.614</v>
      </c>
      <c r="GZ18" s="17" t="n">
        <f aca="false">Daily_Composite!T211</f>
        <v>-0.34</v>
      </c>
      <c r="HA18" s="17" t="n">
        <f aca="false">Daily_Composite!T212</f>
        <v>0.051</v>
      </c>
      <c r="HB18" s="17" t="n">
        <f aca="false">Daily_Composite!T213</f>
        <v>-0.556</v>
      </c>
      <c r="HC18" s="17" t="n">
        <f aca="false">Daily_Composite!T214</f>
        <v>-0.643</v>
      </c>
      <c r="HD18" s="17" t="n">
        <f aca="false">Daily_Composite!T215</f>
        <v>-0.463</v>
      </c>
      <c r="HE18" s="17" t="n">
        <f aca="false">Daily_Composite!T216</f>
        <v>-0.006</v>
      </c>
      <c r="HF18" s="17" t="n">
        <f aca="false">Daily_Composite!T217</f>
        <v>-0.17</v>
      </c>
      <c r="HG18" s="17" t="n">
        <f aca="false">Daily_Composite!T218</f>
        <v>-0.302</v>
      </c>
      <c r="HH18" s="17" t="n">
        <f aca="false">Daily_Composite!T219</f>
        <v>-0.605</v>
      </c>
      <c r="HI18" s="17" t="n">
        <f aca="false">Daily_Composite!T220</f>
        <v>-0.338</v>
      </c>
      <c r="HJ18" s="17" t="n">
        <f aca="false">Daily_Composite!T221</f>
        <v>-0.3</v>
      </c>
      <c r="HK18" s="17" t="n">
        <f aca="false">Daily_Composite!T222</f>
        <v>-0.438</v>
      </c>
      <c r="HL18" s="17" t="n">
        <f aca="false">Daily_Composite!T223</f>
        <v>-0.667</v>
      </c>
      <c r="HM18" s="17" t="n">
        <f aca="false">Daily_Composite!T224</f>
        <v>-0.631</v>
      </c>
      <c r="HN18" s="17" t="n">
        <f aca="false">Daily_Composite!T225</f>
        <v>-0.729</v>
      </c>
      <c r="HO18" s="17" t="n">
        <f aca="false">Daily_Composite!T226</f>
        <v>-0.693</v>
      </c>
      <c r="HP18" s="17" t="n">
        <f aca="false">Daily_Composite!T227</f>
        <v>-0.402</v>
      </c>
      <c r="HQ18" s="17" t="n">
        <f aca="false">Daily_Composite!T228</f>
        <v>-0.692</v>
      </c>
      <c r="HR18" s="17" t="n">
        <f aca="false">Daily_Composite!T229</f>
        <v>-0.295</v>
      </c>
      <c r="HS18" s="17" t="n">
        <f aca="false">Daily_Composite!T230</f>
        <v>0.054</v>
      </c>
      <c r="HT18" s="17" t="n">
        <f aca="false">Daily_Composite!T231</f>
        <v>-0.374</v>
      </c>
      <c r="HU18" s="17" t="n">
        <f aca="false">Daily_Composite!T232</f>
        <v>-0.605</v>
      </c>
      <c r="HV18" s="17" t="n">
        <f aca="false">Daily_Composite!T233</f>
        <v>-0.616</v>
      </c>
      <c r="HW18" s="17" t="n">
        <f aca="false">Daily_Composite!T234</f>
        <v>-0.486</v>
      </c>
      <c r="HX18" s="17" t="n">
        <f aca="false">Daily_Composite!T235</f>
        <v>-0.523</v>
      </c>
      <c r="HY18" s="17" t="n">
        <f aca="false">Daily_Composite!T236</f>
        <v>-0.405</v>
      </c>
      <c r="HZ18" s="17" t="n">
        <f aca="false">Daily_Composite!T237</f>
        <v>-0.485</v>
      </c>
      <c r="IA18" s="17" t="n">
        <f aca="false">Daily_Composite!T238</f>
        <v>-0.175</v>
      </c>
      <c r="IB18" s="17" t="n">
        <f aca="false">Daily_Composite!T239</f>
        <v>0.205</v>
      </c>
      <c r="IC18" s="17" t="n">
        <f aca="false">Daily_Composite!T240</f>
        <v>-0.019</v>
      </c>
      <c r="ID18" s="17" t="n">
        <f aca="false">Daily_Composite!T241</f>
        <v>0.018</v>
      </c>
      <c r="IE18" s="17" t="n">
        <f aca="false">Daily_Composite!T242</f>
        <v>-0.488</v>
      </c>
      <c r="IF18" s="17" t="n">
        <f aca="false">Daily_Composite!T243</f>
        <v>-0.481</v>
      </c>
      <c r="IG18" s="17" t="n">
        <f aca="false">Daily_Composite!T244</f>
        <v>-0.293</v>
      </c>
      <c r="IH18" s="17" t="n">
        <f aca="false">Daily_Composite!T245</f>
        <v>0.147</v>
      </c>
      <c r="II18" s="17" t="n">
        <f aca="false">Daily_Composite!T246</f>
        <v>-0.219</v>
      </c>
      <c r="IJ18" s="17" t="n">
        <f aca="false">Daily_Composite!T247</f>
        <v>0.361</v>
      </c>
      <c r="IK18" s="17" t="n">
        <f aca="false">Daily_Composite!T248</f>
        <v>0.098</v>
      </c>
      <c r="IL18" s="17" t="n">
        <f aca="false">Daily_Composite!T249</f>
        <v>0.372</v>
      </c>
      <c r="IM18" s="17" t="n">
        <f aca="false">Daily_Composite!T250</f>
        <v>-0.126</v>
      </c>
      <c r="IN18" s="17" t="n">
        <f aca="false">Daily_Composite!T251</f>
        <v>0.349</v>
      </c>
      <c r="IO18" s="17" t="n">
        <f aca="false">Daily_Composite!T252</f>
        <v>-0.481</v>
      </c>
      <c r="IP18" s="17" t="n">
        <f aca="false">Daily_Composite!T253</f>
        <v>-0.215</v>
      </c>
      <c r="IQ18" s="17" t="n">
        <f aca="false">Daily_Composite!T254</f>
        <v>0.106</v>
      </c>
      <c r="IR18" s="17" t="n">
        <f aca="false">Daily_Composite!T255</f>
        <v>0.2</v>
      </c>
      <c r="IS18" s="17" t="n">
        <f aca="false">Daily_Composite!T256</f>
        <v>-0.208</v>
      </c>
      <c r="IT18" s="17" t="n">
        <f aca="false">Daily_Composite!T257</f>
        <v>0.254</v>
      </c>
      <c r="IU18" s="17" t="n">
        <f aca="false">Daily_Composite!T258</f>
        <v>0.024</v>
      </c>
      <c r="IV18" s="17" t="n">
        <f aca="false">Daily_Composite!T259</f>
        <v>0.409</v>
      </c>
      <c r="IW18" s="17" t="n">
        <f aca="false">Daily_Composite!T260</f>
        <v>-0.446</v>
      </c>
      <c r="IX18" s="17" t="n">
        <f aca="false">Daily_Composite!T261</f>
        <v>-0.028</v>
      </c>
      <c r="IY18" s="17" t="n">
        <f aca="false">Daily_Composite!T262</f>
        <v>-0.274</v>
      </c>
      <c r="IZ18" s="17" t="n">
        <f aca="false">Daily_Composite!T263</f>
        <v>-0.217</v>
      </c>
      <c r="JA18" s="17" t="n">
        <f aca="false">Daily_Composite!T264</f>
        <v>-0.244</v>
      </c>
      <c r="JB18" s="17" t="n">
        <f aca="false">Daily_Composite!T265</f>
        <v>-0.07</v>
      </c>
      <c r="JC18" s="17" t="n">
        <f aca="false">Daily_Composite!T266</f>
        <v>0.282</v>
      </c>
      <c r="JD18" s="17" t="n">
        <f aca="false">Daily_Composite!T267</f>
        <v>-0.058</v>
      </c>
      <c r="JE18" s="17" t="n">
        <f aca="false">Daily_Composite!T268</f>
        <v>0.189</v>
      </c>
      <c r="JF18" s="17" t="n">
        <f aca="false">Daily_Composite!T269</f>
        <v>-0.493</v>
      </c>
      <c r="JG18" s="17" t="n">
        <f aca="false">Daily_Composite!T270</f>
        <v>-0.079</v>
      </c>
      <c r="JH18" s="17" t="n">
        <f aca="false">Daily_Composite!T271</f>
        <v>-0.498</v>
      </c>
      <c r="JI18" s="17" t="n">
        <f aca="false">Daily_Composite!T272</f>
        <v>-0.411</v>
      </c>
      <c r="JJ18" s="17" t="n">
        <f aca="false">Daily_Composite!T273</f>
        <v>-0.185</v>
      </c>
      <c r="JK18" s="17" t="n">
        <f aca="false">Daily_Composite!T274</f>
        <v>0.005</v>
      </c>
      <c r="JL18" s="17" t="n">
        <f aca="false">Daily_Composite!T275</f>
        <v>-0.285</v>
      </c>
      <c r="JM18" s="17" t="n">
        <f aca="false">Daily_Composite!T276</f>
        <v>0.119</v>
      </c>
      <c r="JN18" s="17" t="n">
        <f aca="false">Daily_Composite!T277</f>
        <v>-0.303</v>
      </c>
      <c r="JO18" s="17" t="n">
        <f aca="false">Daily_Composite!T278</f>
        <v>-0.641</v>
      </c>
      <c r="JP18" s="17" t="n">
        <f aca="false">Daily_Composite!T279</f>
        <v>-0.668</v>
      </c>
      <c r="JQ18" s="17" t="n">
        <f aca="false">Daily_Composite!T280</f>
        <v>-0.459</v>
      </c>
      <c r="JR18" s="17" t="n">
        <f aca="false">Daily_Composite!T281</f>
        <v>-0.553</v>
      </c>
      <c r="JS18" s="17" t="n">
        <f aca="false">Daily_Composite!T282</f>
        <v>-0.187</v>
      </c>
      <c r="JT18" s="17" t="n">
        <f aca="false">Daily_Composite!T283</f>
        <v>-0.062</v>
      </c>
      <c r="JU18" s="17" t="n">
        <f aca="false">Daily_Composite!T284</f>
        <v>-0.226</v>
      </c>
      <c r="JV18" s="17" t="n">
        <f aca="false">Daily_Composite!T285</f>
        <v>0.206</v>
      </c>
      <c r="JW18" s="17" t="n">
        <f aca="false">Daily_Composite!T286</f>
        <v>0.135</v>
      </c>
      <c r="JX18" s="17" t="n">
        <f aca="false">Daily_Composite!T287</f>
        <v>-0.578</v>
      </c>
      <c r="JY18" s="17" t="n">
        <f aca="false">Daily_Composite!T288</f>
        <v>-0.105</v>
      </c>
      <c r="JZ18" s="17" t="n">
        <f aca="false">Daily_Composite!T289</f>
        <v>-0.069</v>
      </c>
      <c r="KA18" s="17" t="n">
        <f aca="false">Daily_Composite!T290</f>
        <v>-0.043</v>
      </c>
      <c r="KB18" s="17" t="n">
        <f aca="false">Daily_Composite!T291</f>
        <v>-0.045</v>
      </c>
      <c r="KC18" s="17" t="n">
        <f aca="false">Daily_Composite!T292</f>
        <v>-0.196</v>
      </c>
      <c r="KD18" s="17" t="n">
        <f aca="false">Daily_Composite!T293</f>
        <v>0.19</v>
      </c>
      <c r="KE18" s="17" t="n">
        <f aca="false">Daily_Composite!T294</f>
        <v>-0.063</v>
      </c>
      <c r="KF18" s="17" t="n">
        <f aca="false">Daily_Composite!T295</f>
        <v>0.208</v>
      </c>
      <c r="KG18" s="17" t="n">
        <f aca="false">Daily_Composite!T296</f>
        <v>-0.138</v>
      </c>
      <c r="KH18" s="17" t="n">
        <f aca="false">Daily_Composite!T297</f>
        <v>-0.573</v>
      </c>
      <c r="KI18" s="17" t="n">
        <f aca="false">Daily_Composite!T298</f>
        <v>-0.24</v>
      </c>
      <c r="KJ18" s="17" t="n">
        <f aca="false">Daily_Composite!T299</f>
        <v>-0.175</v>
      </c>
      <c r="KK18" s="17" t="n">
        <f aca="false">Daily_Composite!T300</f>
        <v>-0.084</v>
      </c>
      <c r="KL18" s="17" t="n">
        <f aca="false">Daily_Composite!T301</f>
        <v>-0.132</v>
      </c>
      <c r="KM18" s="17" t="n">
        <f aca="false">Daily_Composite!T302</f>
        <v>-0.154</v>
      </c>
      <c r="KN18" s="17" t="n">
        <f aca="false">Daily_Composite!T303</f>
        <v>0.342</v>
      </c>
      <c r="KO18" s="17" t="n">
        <f aca="false">Daily_Composite!T304</f>
        <v>-0.109</v>
      </c>
      <c r="KP18" s="17" t="n">
        <f aca="false">Daily_Composite!T305</f>
        <v>-0.183</v>
      </c>
      <c r="KQ18" s="17" t="n">
        <f aca="false">Daily_Composite!T306</f>
        <v>0.065</v>
      </c>
      <c r="KR18" s="17" t="n">
        <f aca="false">Daily_Composite!T307</f>
        <v>-0.512</v>
      </c>
      <c r="KS18" s="17" t="n">
        <f aca="false">Daily_Composite!T308</f>
        <v>-0.521</v>
      </c>
      <c r="KT18" s="17" t="n">
        <f aca="false">Daily_Composite!T309</f>
        <v>-0.147</v>
      </c>
      <c r="KU18" s="17" t="n">
        <f aca="false">Daily_Composite!T310</f>
        <v>-0.556</v>
      </c>
      <c r="KV18" s="17" t="n">
        <f aca="false">Daily_Composite!T311</f>
        <v>-0.337</v>
      </c>
      <c r="KW18" s="17" t="n">
        <f aca="false">Daily_Composite!T312</f>
        <v>-0.047</v>
      </c>
      <c r="KX18" s="17" t="n">
        <f aca="false">Daily_Composite!T313</f>
        <v>-0.108</v>
      </c>
      <c r="KY18" s="17" t="n">
        <f aca="false">Daily_Composite!T314</f>
        <v>-0.579</v>
      </c>
      <c r="KZ18" s="17" t="n">
        <f aca="false">Daily_Composite!T315</f>
        <v>-0.239</v>
      </c>
      <c r="LA18" s="17" t="n">
        <f aca="false">Daily_Composite!T316</f>
        <v>-0.39</v>
      </c>
      <c r="LB18" s="17" t="n">
        <f aca="false">Daily_Composite!T317</f>
        <v>-0.382</v>
      </c>
      <c r="LC18" s="17" t="n">
        <f aca="false">Daily_Composite!T318</f>
        <v>-0.372</v>
      </c>
      <c r="LD18" s="17" t="n">
        <f aca="false">Daily_Composite!T319</f>
        <v>-0.183</v>
      </c>
      <c r="LE18" s="17" t="n">
        <f aca="false">Daily_Composite!T320</f>
        <v>-0.026</v>
      </c>
      <c r="LF18" s="17" t="n">
        <f aca="false">Daily_Composite!T321</f>
        <v>0.037</v>
      </c>
      <c r="LG18" s="17" t="n">
        <f aca="false">Daily_Composite!T322</f>
        <v>-0.097</v>
      </c>
      <c r="LH18" s="17" t="n">
        <f aca="false">Daily_Composite!T323</f>
        <v>0.5</v>
      </c>
      <c r="LI18" s="17" t="n">
        <f aca="false">Daily_Composite!T324</f>
        <v>0.316</v>
      </c>
      <c r="LJ18" s="17" t="n">
        <f aca="false">Daily_Composite!T325</f>
        <v>-0.371</v>
      </c>
      <c r="LK18" s="17" t="n">
        <f aca="false">Daily_Composite!T326</f>
        <v>-0.442</v>
      </c>
      <c r="LL18" s="17" t="n">
        <f aca="false">Daily_Composite!T327</f>
        <v>-0.122</v>
      </c>
      <c r="LM18" s="17" t="n">
        <f aca="false">Daily_Composite!T328</f>
        <v>0.419</v>
      </c>
      <c r="LN18" s="17" t="n">
        <f aca="false">Daily_Composite!T329</f>
        <v>0.049</v>
      </c>
      <c r="LO18" s="17" t="n">
        <f aca="false">Daily_Composite!T330</f>
        <v>-0.259</v>
      </c>
      <c r="LP18" s="17" t="n">
        <f aca="false">Daily_Composite!T331</f>
        <v>-0.214</v>
      </c>
      <c r="LQ18" s="17" t="n">
        <f aca="false">Daily_Composite!T332</f>
        <v>-0.302</v>
      </c>
      <c r="LR18" s="17" t="n">
        <f aca="false">Daily_Composite!T333</f>
        <v>-0.127</v>
      </c>
      <c r="LS18" s="17" t="n">
        <f aca="false">Daily_Composite!T334</f>
        <v>-0.589</v>
      </c>
      <c r="LT18" s="17" t="n">
        <f aca="false">Daily_Composite!T335</f>
        <v>-0.568</v>
      </c>
      <c r="LU18" s="17" t="n">
        <f aca="false">Daily_Composite!T336</f>
        <v>-0.587</v>
      </c>
      <c r="LV18" s="17" t="n">
        <f aca="false">Daily_Composite!T337</f>
        <v>-0.319</v>
      </c>
      <c r="LW18" s="17" t="n">
        <f aca="false">Daily_Composite!T338</f>
        <v>-0.415</v>
      </c>
      <c r="LX18" s="17" t="n">
        <f aca="false">Daily_Composite!T339</f>
        <v>-0.439</v>
      </c>
      <c r="LY18" s="17" t="n">
        <f aca="false">Daily_Composite!T340</f>
        <v>-0.248</v>
      </c>
      <c r="LZ18" s="17" t="n">
        <f aca="false">Daily_Composite!T341</f>
        <v>-0.338</v>
      </c>
      <c r="MA18" s="17" t="n">
        <f aca="false">Daily_Composite!T342</f>
        <v>-0.508</v>
      </c>
      <c r="MB18" s="17" t="n">
        <f aca="false">Daily_Composite!T343</f>
        <v>-0.41</v>
      </c>
      <c r="MC18" s="17" t="n">
        <f aca="false">Daily_Composite!T344</f>
        <v>-0.529</v>
      </c>
      <c r="MD18" s="17" t="n">
        <f aca="false">Daily_Composite!T345</f>
        <v>-0.313</v>
      </c>
      <c r="ME18" s="17" t="n">
        <f aca="false">Daily_Composite!T346</f>
        <v>-0.338</v>
      </c>
      <c r="MF18" s="17" t="n">
        <f aca="false">Daily_Composite!T347</f>
        <v>0.005</v>
      </c>
      <c r="MG18" s="17" t="n">
        <f aca="false">Daily_Composite!T348</f>
        <v>0.277</v>
      </c>
      <c r="MH18" s="17" t="n">
        <f aca="false">Daily_Composite!T349</f>
        <v>0.242</v>
      </c>
      <c r="MI18" s="17" t="n">
        <f aca="false">Daily_Composite!T350</f>
        <v>0.535</v>
      </c>
      <c r="MJ18" s="17" t="n">
        <f aca="false">Daily_Composite!T351</f>
        <v>0.425</v>
      </c>
      <c r="MK18" s="17" t="n">
        <f aca="false">Daily_Composite!T352</f>
        <v>-0.194</v>
      </c>
      <c r="ML18" s="17" t="n">
        <f aca="false">Daily_Composite!T353</f>
        <v>-0.033</v>
      </c>
      <c r="MM18" s="17" t="n">
        <f aca="false">Daily_Composite!T354</f>
        <v>0.283</v>
      </c>
      <c r="MN18" s="17" t="n">
        <f aca="false">Daily_Composite!T355</f>
        <v>0.12</v>
      </c>
      <c r="MO18" s="17" t="n">
        <f aca="false">Daily_Composite!T356</f>
        <v>0.545</v>
      </c>
      <c r="MP18" s="17" t="n">
        <f aca="false">Daily_Composite!T357</f>
        <v>0.448</v>
      </c>
      <c r="MQ18" s="17" t="n">
        <f aca="false">Daily_Composite!T358</f>
        <v>0.48</v>
      </c>
      <c r="MR18" s="17" t="n">
        <f aca="false">Daily_Composite!T359</f>
        <v>-0.031</v>
      </c>
      <c r="MS18" s="17" t="n">
        <f aca="false">Daily_Composite!T360</f>
        <v>0.332</v>
      </c>
      <c r="MT18" s="17" t="n">
        <f aca="false">Daily_Composite!T361</f>
        <v>-0.483</v>
      </c>
      <c r="MU18" s="17" t="n">
        <f aca="false">Daily_Composite!T362</f>
        <v>-0.176</v>
      </c>
      <c r="MV18" s="17" t="n">
        <f aca="false">Daily_Composite!T363</f>
        <v>-0.147</v>
      </c>
      <c r="MW18" s="17" t="n">
        <f aca="false">Daily_Composite!T364</f>
        <v>-0.225</v>
      </c>
      <c r="MX18" s="17" t="n">
        <f aca="false">Daily_Composite!T365</f>
        <v>-0.389</v>
      </c>
      <c r="MY18" s="17" t="n">
        <f aca="false">Daily_Composite!T366</f>
        <v>-0.239</v>
      </c>
      <c r="MZ18" s="17" t="n">
        <f aca="false">Daily_Composite!T367</f>
        <v>0.119</v>
      </c>
      <c r="NA18" s="17" t="n">
        <f aca="false">Daily_Composite!T368</f>
        <v>-0.168</v>
      </c>
      <c r="NB18" s="17" t="n">
        <f aca="false">Daily_Composite!T369</f>
        <v>-0.303</v>
      </c>
    </row>
    <row r="19" customFormat="false" ht="15" hidden="false" customHeight="false" outlineLevel="0" collapsed="false">
      <c r="A19" s="6" t="s">
        <v>32</v>
      </c>
      <c r="B19" s="17" t="n">
        <f aca="false">Daily_Composite!U5</f>
        <v>-0.326</v>
      </c>
      <c r="C19" s="17" t="n">
        <f aca="false">Daily_Composite!U6</f>
        <v>-0.048</v>
      </c>
      <c r="D19" s="17" t="n">
        <f aca="false">Daily_Composite!U7</f>
        <v>-0.122</v>
      </c>
      <c r="E19" s="17" t="n">
        <f aca="false">Daily_Composite!U8</f>
        <v>-0.044</v>
      </c>
      <c r="F19" s="17" t="n">
        <f aca="false">Daily_Composite!U9</f>
        <v>-0.014</v>
      </c>
      <c r="G19" s="17" t="n">
        <f aca="false">Daily_Composite!U10</f>
        <v>-0.139</v>
      </c>
      <c r="H19" s="17" t="n">
        <f aca="false">Daily_Composite!U11</f>
        <v>-0.131</v>
      </c>
      <c r="I19" s="17" t="n">
        <f aca="false">Daily_Composite!U12</f>
        <v>-0.265</v>
      </c>
      <c r="J19" s="17" t="n">
        <f aca="false">Daily_Composite!U13</f>
        <v>-0.075</v>
      </c>
      <c r="K19" s="17" t="n">
        <f aca="false">Daily_Composite!U14</f>
        <v>-0.049</v>
      </c>
      <c r="L19" s="17" t="n">
        <f aca="false">Daily_Composite!U15</f>
        <v>-0.039</v>
      </c>
      <c r="M19" s="17" t="n">
        <f aca="false">Daily_Composite!U16</f>
        <v>-0.189</v>
      </c>
      <c r="N19" s="17" t="n">
        <f aca="false">Daily_Composite!U17</f>
        <v>-0.276</v>
      </c>
      <c r="O19" s="17" t="n">
        <f aca="false">Daily_Composite!U18</f>
        <v>-0.265</v>
      </c>
      <c r="P19" s="17" t="n">
        <f aca="false">Daily_Composite!U19</f>
        <v>-0.188</v>
      </c>
      <c r="Q19" s="17" t="n">
        <f aca="false">Daily_Composite!U20</f>
        <v>-0.211</v>
      </c>
      <c r="R19" s="17" t="n">
        <f aca="false">Daily_Composite!U21</f>
        <v>0.146</v>
      </c>
      <c r="S19" s="17" t="n">
        <f aca="false">Daily_Composite!U22</f>
        <v>-0.269</v>
      </c>
      <c r="T19" s="17" t="n">
        <f aca="false">Daily_Composite!U23</f>
        <v>0.318</v>
      </c>
      <c r="U19" s="17" t="n">
        <f aca="false">Daily_Composite!U24</f>
        <v>-0.008</v>
      </c>
      <c r="V19" s="17" t="n">
        <f aca="false">Daily_Composite!U25</f>
        <v>0</v>
      </c>
      <c r="W19" s="17" t="n">
        <f aca="false">Daily_Composite!U26</f>
        <v>-0.178</v>
      </c>
      <c r="X19" s="17" t="n">
        <f aca="false">Daily_Composite!U27</f>
        <v>0.177</v>
      </c>
      <c r="Y19" s="17" t="n">
        <f aca="false">Daily_Composite!U28</f>
        <v>0.177</v>
      </c>
      <c r="Z19" s="17" t="n">
        <f aca="false">Daily_Composite!U29</f>
        <v>0.101</v>
      </c>
      <c r="AA19" s="17" t="n">
        <f aca="false">Daily_Composite!U30</f>
        <v>0.117</v>
      </c>
      <c r="AB19" s="17" t="n">
        <f aca="false">Daily_Composite!U31</f>
        <v>0.169</v>
      </c>
      <c r="AC19" s="17" t="n">
        <f aca="false">Daily_Composite!U32</f>
        <v>0.082</v>
      </c>
      <c r="AD19" s="17" t="n">
        <f aca="false">Daily_Composite!U33</f>
        <v>0.007</v>
      </c>
      <c r="AE19" s="17" t="n">
        <f aca="false">Daily_Composite!U34</f>
        <v>0.026</v>
      </c>
      <c r="AF19" s="17" t="n">
        <f aca="false">Daily_Composite!U35</f>
        <v>0.552</v>
      </c>
      <c r="AG19" s="17" t="n">
        <f aca="false">Daily_Composite!U36</f>
        <v>0.199</v>
      </c>
      <c r="AH19" s="17" t="n">
        <f aca="false">Daily_Composite!U37</f>
        <v>0.095</v>
      </c>
      <c r="AI19" s="17" t="n">
        <f aca="false">Daily_Composite!U38</f>
        <v>0.072</v>
      </c>
      <c r="AJ19" s="17" t="n">
        <f aca="false">Daily_Composite!U39</f>
        <v>0.149</v>
      </c>
      <c r="AK19" s="17" t="n">
        <f aca="false">Daily_Composite!U40</f>
        <v>0.421</v>
      </c>
      <c r="AL19" s="17" t="n">
        <f aca="false">Daily_Composite!U41</f>
        <v>0.093</v>
      </c>
      <c r="AM19" s="17" t="n">
        <f aca="false">Daily_Composite!U42</f>
        <v>0.053</v>
      </c>
      <c r="AN19" s="17" t="n">
        <f aca="false">Daily_Composite!U43</f>
        <v>0.377</v>
      </c>
      <c r="AO19" s="17" t="n">
        <f aca="false">Daily_Composite!U44</f>
        <v>-0.077</v>
      </c>
      <c r="AP19" s="17" t="n">
        <f aca="false">Daily_Composite!U45</f>
        <v>-0.036</v>
      </c>
      <c r="AQ19" s="17" t="n">
        <f aca="false">Daily_Composite!U46</f>
        <v>0.157</v>
      </c>
      <c r="AR19" s="17" t="n">
        <f aca="false">Daily_Composite!U47</f>
        <v>0.089</v>
      </c>
      <c r="AS19" s="17" t="n">
        <f aca="false">Daily_Composite!U48</f>
        <v>0</v>
      </c>
      <c r="AT19" s="17" t="n">
        <f aca="false">Daily_Composite!U49</f>
        <v>-0.023</v>
      </c>
      <c r="AU19" s="17" t="n">
        <f aca="false">Daily_Composite!U50</f>
        <v>0.022</v>
      </c>
      <c r="AV19" s="17" t="n">
        <f aca="false">Daily_Composite!U51</f>
        <v>0.024</v>
      </c>
      <c r="AW19" s="17" t="n">
        <f aca="false">Daily_Composite!U52</f>
        <v>0.01</v>
      </c>
      <c r="AX19" s="17" t="n">
        <f aca="false">Daily_Composite!U53</f>
        <v>0.185</v>
      </c>
      <c r="AY19" s="17" t="n">
        <f aca="false">Daily_Composite!U54</f>
        <v>0.044</v>
      </c>
      <c r="AZ19" s="17" t="n">
        <f aca="false">Daily_Composite!U55</f>
        <v>0.326</v>
      </c>
      <c r="BA19" s="17" t="n">
        <f aca="false">Daily_Composite!U56</f>
        <v>0.352</v>
      </c>
      <c r="BB19" s="17" t="n">
        <f aca="false">Daily_Composite!U57</f>
        <v>0.427</v>
      </c>
      <c r="BC19" s="17" t="n">
        <f aca="false">Daily_Composite!U58</f>
        <v>0.37</v>
      </c>
      <c r="BD19" s="17" t="n">
        <f aca="false">Daily_Composite!U59</f>
        <v>0.432</v>
      </c>
      <c r="BE19" s="17" t="n">
        <f aca="false">Daily_Composite!U60</f>
        <v>-0.033</v>
      </c>
      <c r="BF19" s="17" t="n">
        <f aca="false">Daily_Composite!U61</f>
        <v>0.367</v>
      </c>
      <c r="BG19" s="17" t="n">
        <f aca="false">Daily_Composite!U62</f>
        <v>0.554</v>
      </c>
      <c r="BH19" s="17" t="n">
        <f aca="false">Daily_Composite!U63</f>
        <v>0.38</v>
      </c>
      <c r="BI19" s="17" t="n">
        <f aca="false">Daily_Composite!U64</f>
        <v>0.384</v>
      </c>
      <c r="BJ19" s="17" t="n">
        <f aca="false">Daily_Composite!U65</f>
        <v>0.383</v>
      </c>
      <c r="BK19" s="17" t="n">
        <f aca="false">Daily_Composite!U66</f>
        <v>0.367</v>
      </c>
      <c r="BL19" s="17" t="n">
        <f aca="false">Daily_Composite!U67</f>
        <v>0.436</v>
      </c>
      <c r="BM19" s="17" t="n">
        <f aca="false">Daily_Composite!U68</f>
        <v>0.388</v>
      </c>
      <c r="BN19" s="17" t="n">
        <f aca="false">Daily_Composite!U69</f>
        <v>0.358</v>
      </c>
      <c r="BO19" s="17" t="n">
        <f aca="false">Daily_Composite!U70</f>
        <v>0.321</v>
      </c>
      <c r="BP19" s="17" t="n">
        <f aca="false">Daily_Composite!U71</f>
        <v>0.365</v>
      </c>
      <c r="BQ19" s="17" t="n">
        <f aca="false">Daily_Composite!U72</f>
        <v>0.297</v>
      </c>
      <c r="BR19" s="17" t="n">
        <f aca="false">Daily_Composite!U73</f>
        <v>0.315</v>
      </c>
      <c r="BS19" s="17" t="n">
        <f aca="false">Daily_Composite!U74</f>
        <v>0.296</v>
      </c>
      <c r="BT19" s="17" t="n">
        <f aca="false">Daily_Composite!U75</f>
        <v>0.304</v>
      </c>
      <c r="BU19" s="17" t="n">
        <f aca="false">Daily_Composite!U76</f>
        <v>0.271</v>
      </c>
      <c r="BV19" s="17" t="n">
        <f aca="false">Daily_Composite!U77</f>
        <v>0.26</v>
      </c>
      <c r="BW19" s="17" t="n">
        <f aca="false">Daily_Composite!U78</f>
        <v>0.287</v>
      </c>
      <c r="BX19" s="17" t="n">
        <f aca="false">Daily_Composite!U79</f>
        <v>0.284</v>
      </c>
      <c r="BY19" s="17" t="n">
        <f aca="false">Daily_Composite!U80</f>
        <v>0.246</v>
      </c>
      <c r="BZ19" s="17" t="n">
        <f aca="false">Daily_Composite!U81</f>
        <v>0.449</v>
      </c>
      <c r="CA19" s="17" t="n">
        <f aca="false">Daily_Composite!U82</f>
        <v>0.23</v>
      </c>
      <c r="CB19" s="17" t="n">
        <f aca="false">Daily_Composite!U83</f>
        <v>0.116</v>
      </c>
      <c r="CC19" s="17" t="n">
        <f aca="false">Daily_Composite!U84</f>
        <v>0.138</v>
      </c>
      <c r="CD19" s="17" t="n">
        <f aca="false">Daily_Composite!U85</f>
        <v>0.034</v>
      </c>
      <c r="CE19" s="17" t="n">
        <f aca="false">Daily_Composite!U86</f>
        <v>0.266</v>
      </c>
      <c r="CF19" s="17" t="n">
        <f aca="false">Daily_Composite!U87</f>
        <v>0.439</v>
      </c>
      <c r="CG19" s="17" t="n">
        <f aca="false">Daily_Composite!U88</f>
        <v>-0.149</v>
      </c>
      <c r="CH19" s="17" t="n">
        <f aca="false">Daily_Composite!U89</f>
        <v>-0.012</v>
      </c>
      <c r="CI19" s="17" t="n">
        <f aca="false">Daily_Composite!U90</f>
        <v>0.34</v>
      </c>
      <c r="CJ19" s="17" t="n">
        <f aca="false">Daily_Composite!U91</f>
        <v>0.086</v>
      </c>
      <c r="CK19" s="17" t="n">
        <f aca="false">Daily_Composite!U92</f>
        <v>0.119</v>
      </c>
      <c r="CL19" s="17" t="n">
        <f aca="false">Daily_Composite!U93</f>
        <v>0.1</v>
      </c>
      <c r="CM19" s="17" t="n">
        <f aca="false">Daily_Composite!U94</f>
        <v>0.259</v>
      </c>
      <c r="CN19" s="17" t="n">
        <f aca="false">Daily_Composite!U95</f>
        <v>0.118</v>
      </c>
      <c r="CO19" s="17" t="n">
        <f aca="false">Daily_Composite!U96</f>
        <v>0.061</v>
      </c>
      <c r="CP19" s="17" t="n">
        <f aca="false">Daily_Composite!U97</f>
        <v>0.073</v>
      </c>
      <c r="CQ19" s="17" t="n">
        <f aca="false">Daily_Composite!U98</f>
        <v>-0.397</v>
      </c>
      <c r="CR19" s="17" t="n">
        <f aca="false">Daily_Composite!U99</f>
        <v>-0.032</v>
      </c>
      <c r="CS19" s="17" t="n">
        <f aca="false">Daily_Composite!U100</f>
        <v>0.02</v>
      </c>
      <c r="CT19" s="17" t="n">
        <f aca="false">Daily_Composite!U101</f>
        <v>0.068</v>
      </c>
      <c r="CU19" s="17" t="n">
        <f aca="false">Daily_Composite!U102</f>
        <v>-0.017</v>
      </c>
      <c r="CV19" s="17" t="n">
        <f aca="false">Daily_Composite!U103</f>
        <v>-0.283</v>
      </c>
      <c r="CW19" s="17" t="n">
        <f aca="false">Daily_Composite!U104</f>
        <v>-0.285</v>
      </c>
      <c r="CX19" s="17" t="n">
        <f aca="false">Daily_Composite!U105</f>
        <v>-0.203</v>
      </c>
      <c r="CY19" s="17" t="n">
        <f aca="false">Daily_Composite!U106</f>
        <v>-0.177</v>
      </c>
      <c r="CZ19" s="17" t="n">
        <f aca="false">Daily_Composite!U107</f>
        <v>-0.205</v>
      </c>
      <c r="DA19" s="17" t="n">
        <f aca="false">Daily_Composite!U108</f>
        <v>-0.317</v>
      </c>
      <c r="DB19" s="17" t="n">
        <f aca="false">Daily_Composite!U109</f>
        <v>-0.038</v>
      </c>
      <c r="DC19" s="17" t="n">
        <f aca="false">Daily_Composite!U110</f>
        <v>-0.049</v>
      </c>
      <c r="DD19" s="17" t="n">
        <f aca="false">Daily_Composite!U111</f>
        <v>-0.336</v>
      </c>
      <c r="DE19" s="17" t="n">
        <f aca="false">Daily_Composite!U112</f>
        <v>-0.336</v>
      </c>
      <c r="DF19" s="17" t="n">
        <f aca="false">Daily_Composite!U113</f>
        <v>-0.086</v>
      </c>
      <c r="DG19" s="17" t="n">
        <f aca="false">Daily_Composite!U114</f>
        <v>-0.08</v>
      </c>
      <c r="DH19" s="17" t="n">
        <f aca="false">Daily_Composite!U115</f>
        <v>0.109</v>
      </c>
      <c r="DI19" s="17" t="n">
        <f aca="false">Daily_Composite!U116</f>
        <v>0.124</v>
      </c>
      <c r="DJ19" s="17" t="n">
        <f aca="false">Daily_Composite!U117</f>
        <v>-0.228</v>
      </c>
      <c r="DK19" s="17" t="n">
        <f aca="false">Daily_Composite!U118</f>
        <v>0.17</v>
      </c>
      <c r="DL19" s="17" t="n">
        <f aca="false">Daily_Composite!U119</f>
        <v>0.185</v>
      </c>
      <c r="DM19" s="17" t="n">
        <f aca="false">Daily_Composite!U120</f>
        <v>0.235</v>
      </c>
      <c r="DN19" s="17" t="n">
        <f aca="false">Daily_Composite!U121</f>
        <v>0.246</v>
      </c>
      <c r="DO19" s="17" t="n">
        <f aca="false">Daily_Composite!U122</f>
        <v>0.257</v>
      </c>
      <c r="DP19" s="17" t="n">
        <f aca="false">Daily_Composite!U123</f>
        <v>0.271</v>
      </c>
      <c r="DQ19" s="17" t="n">
        <f aca="false">Daily_Composite!U124</f>
        <v>0.225</v>
      </c>
      <c r="DR19" s="17" t="n">
        <f aca="false">Daily_Composite!U125</f>
        <v>0.49</v>
      </c>
      <c r="DS19" s="17" t="n">
        <f aca="false">Daily_Composite!U126</f>
        <v>0.085</v>
      </c>
      <c r="DT19" s="17" t="n">
        <f aca="false">Daily_Composite!U127</f>
        <v>0.16</v>
      </c>
      <c r="DU19" s="17" t="n">
        <f aca="false">Daily_Composite!U128</f>
        <v>0.464</v>
      </c>
      <c r="DV19" s="17" t="n">
        <f aca="false">Daily_Composite!U129</f>
        <v>0.448</v>
      </c>
      <c r="DW19" s="17" t="n">
        <f aca="false">Daily_Composite!U130</f>
        <v>0.46</v>
      </c>
      <c r="DX19" s="17" t="n">
        <f aca="false">Daily_Composite!U131</f>
        <v>0.351</v>
      </c>
      <c r="DY19" s="17" t="n">
        <f aca="false">Daily_Composite!U132</f>
        <v>0.171</v>
      </c>
      <c r="DZ19" s="17" t="n">
        <f aca="false">Daily_Composite!U133</f>
        <v>-0.062</v>
      </c>
      <c r="EA19" s="17" t="n">
        <f aca="false">Daily_Composite!U134</f>
        <v>-0.052</v>
      </c>
      <c r="EB19" s="17" t="n">
        <f aca="false">Daily_Composite!U135</f>
        <v>0.299</v>
      </c>
      <c r="EC19" s="17" t="n">
        <f aca="false">Daily_Composite!U136</f>
        <v>-0.007</v>
      </c>
      <c r="ED19" s="17" t="n">
        <f aca="false">Daily_Composite!U137</f>
        <v>0.005</v>
      </c>
      <c r="EE19" s="17" t="n">
        <f aca="false">Daily_Composite!U138</f>
        <v>0.1</v>
      </c>
      <c r="EF19" s="17" t="n">
        <f aca="false">Daily_Composite!U139</f>
        <v>-0.072</v>
      </c>
      <c r="EG19" s="17" t="n">
        <f aca="false">Daily_Composite!U140</f>
        <v>0.174</v>
      </c>
      <c r="EH19" s="17" t="n">
        <f aca="false">Daily_Composite!U141</f>
        <v>0.029</v>
      </c>
      <c r="EI19" s="17" t="n">
        <f aca="false">Daily_Composite!U142</f>
        <v>0.033</v>
      </c>
      <c r="EJ19" s="17" t="n">
        <f aca="false">Daily_Composite!U143</f>
        <v>-0.053</v>
      </c>
      <c r="EK19" s="17" t="n">
        <f aca="false">Daily_Composite!U144</f>
        <v>-0.343</v>
      </c>
      <c r="EL19" s="17" t="n">
        <f aca="false">Daily_Composite!U145</f>
        <v>-0.036</v>
      </c>
      <c r="EM19" s="17" t="n">
        <f aca="false">Daily_Composite!U146</f>
        <v>-0.03</v>
      </c>
      <c r="EN19" s="17" t="n">
        <f aca="false">Daily_Composite!U147</f>
        <v>-0.015</v>
      </c>
      <c r="EO19" s="17" t="n">
        <f aca="false">Daily_Composite!U148</f>
        <v>-0.05</v>
      </c>
      <c r="EP19" s="17" t="n">
        <f aca="false">Daily_Composite!U149</f>
        <v>0.008</v>
      </c>
      <c r="EQ19" s="17" t="n">
        <f aca="false">Daily_Composite!U150</f>
        <v>-0.005</v>
      </c>
      <c r="ER19" s="17" t="n">
        <f aca="false">Daily_Composite!U151</f>
        <v>-0.028</v>
      </c>
      <c r="ES19" s="17" t="n">
        <f aca="false">Daily_Composite!U152</f>
        <v>-0.044</v>
      </c>
      <c r="ET19" s="17" t="n">
        <f aca="false">Daily_Composite!U153</f>
        <v>-0.443</v>
      </c>
      <c r="EU19" s="17" t="n">
        <f aca="false">Daily_Composite!U154</f>
        <v>-0.285</v>
      </c>
      <c r="EV19" s="17" t="n">
        <f aca="false">Daily_Composite!U155</f>
        <v>-0.309</v>
      </c>
      <c r="EW19" s="17" t="n">
        <f aca="false">Daily_Composite!U156</f>
        <v>0.217</v>
      </c>
      <c r="EX19" s="17" t="n">
        <f aca="false">Daily_Composite!U157</f>
        <v>0.111</v>
      </c>
      <c r="EY19" s="17" t="n">
        <f aca="false">Daily_Composite!U158</f>
        <v>-0.238</v>
      </c>
      <c r="EZ19" s="17" t="n">
        <f aca="false">Daily_Composite!U159</f>
        <v>0.104</v>
      </c>
      <c r="FA19" s="17" t="n">
        <f aca="false">Daily_Composite!U160</f>
        <v>-0.166</v>
      </c>
      <c r="FB19" s="17" t="n">
        <f aca="false">Daily_Composite!U161</f>
        <v>-0.152</v>
      </c>
      <c r="FC19" s="17" t="n">
        <f aca="false">Daily_Composite!U162</f>
        <v>0.231</v>
      </c>
      <c r="FD19" s="17" t="n">
        <f aca="false">Daily_Composite!U163</f>
        <v>-0.282</v>
      </c>
      <c r="FE19" s="17" t="n">
        <f aca="false">Daily_Composite!U164</f>
        <v>-0.134</v>
      </c>
      <c r="FF19" s="17" t="n">
        <f aca="false">Daily_Composite!U165</f>
        <v>-0.107</v>
      </c>
      <c r="FG19" s="17" t="n">
        <f aca="false">Daily_Composite!U166</f>
        <v>-0.035</v>
      </c>
      <c r="FH19" s="17" t="n">
        <f aca="false">Daily_Composite!U167</f>
        <v>-0.038</v>
      </c>
      <c r="FI19" s="17" t="n">
        <f aca="false">Daily_Composite!U168</f>
        <v>-0.121</v>
      </c>
      <c r="FJ19" s="17" t="n">
        <f aca="false">Daily_Composite!U169</f>
        <v>-0.096</v>
      </c>
      <c r="FK19" s="17" t="n">
        <f aca="false">Daily_Composite!U170</f>
        <v>-0.028</v>
      </c>
      <c r="FL19" s="17" t="n">
        <f aca="false">Daily_Composite!U171</f>
        <v>-0.035</v>
      </c>
      <c r="FM19" s="17" t="n">
        <f aca="false">Daily_Composite!U172</f>
        <v>-0.03</v>
      </c>
      <c r="FN19" s="17" t="n">
        <f aca="false">Daily_Composite!U173</f>
        <v>-0.056</v>
      </c>
      <c r="FO19" s="17" t="n">
        <f aca="false">Daily_Composite!U174</f>
        <v>-0.071</v>
      </c>
      <c r="FP19" s="17" t="n">
        <f aca="false">Daily_Composite!U175</f>
        <v>-0.023</v>
      </c>
      <c r="FQ19" s="17" t="n">
        <f aca="false">Daily_Composite!U176</f>
        <v>-0.11</v>
      </c>
      <c r="FR19" s="17" t="n">
        <f aca="false">Daily_Composite!U177</f>
        <v>0.323</v>
      </c>
      <c r="FS19" s="17" t="n">
        <f aca="false">Daily_Composite!U178</f>
        <v>-0.14</v>
      </c>
      <c r="FT19" s="17" t="n">
        <f aca="false">Daily_Composite!U179</f>
        <v>-0.073</v>
      </c>
      <c r="FU19" s="17" t="n">
        <f aca="false">Daily_Composite!U180</f>
        <v>-0.521</v>
      </c>
      <c r="FV19" s="17" t="n">
        <f aca="false">Daily_Composite!U181</f>
        <v>-0.375</v>
      </c>
      <c r="FW19" s="17" t="n">
        <f aca="false">Daily_Composite!U182</f>
        <v>-0.411</v>
      </c>
      <c r="FX19" s="17" t="n">
        <f aca="false">Daily_Composite!U183</f>
        <v>-0.483</v>
      </c>
      <c r="FY19" s="17" t="n">
        <f aca="false">Daily_Composite!U184</f>
        <v>-0.465</v>
      </c>
      <c r="FZ19" s="17" t="n">
        <f aca="false">Daily_Composite!U185</f>
        <v>-0.389</v>
      </c>
      <c r="GA19" s="17" t="n">
        <f aca="false">Daily_Composite!U186</f>
        <v>0.106</v>
      </c>
      <c r="GB19" s="17" t="n">
        <f aca="false">Daily_Composite!U187</f>
        <v>0.042</v>
      </c>
      <c r="GC19" s="17" t="n">
        <f aca="false">Daily_Composite!U188</f>
        <v>-0.347</v>
      </c>
      <c r="GD19" s="17" t="n">
        <f aca="false">Daily_Composite!U189</f>
        <v>-0.336</v>
      </c>
      <c r="GE19" s="17" t="n">
        <f aca="false">Daily_Composite!U190</f>
        <v>-0.024</v>
      </c>
      <c r="GF19" s="17" t="n">
        <f aca="false">Daily_Composite!U191</f>
        <v>-0.205</v>
      </c>
      <c r="GG19" s="17" t="n">
        <f aca="false">Daily_Composite!U192</f>
        <v>-0.203</v>
      </c>
      <c r="GH19" s="17" t="n">
        <f aca="false">Daily_Composite!U193</f>
        <v>-0.313</v>
      </c>
      <c r="GI19" s="17" t="n">
        <f aca="false">Daily_Composite!U194</f>
        <v>-0.347</v>
      </c>
      <c r="GJ19" s="17" t="n">
        <f aca="false">Daily_Composite!U195</f>
        <v>-0.138</v>
      </c>
      <c r="GK19" s="17" t="n">
        <f aca="false">Daily_Composite!U196</f>
        <v>0.209</v>
      </c>
      <c r="GL19" s="17" t="n">
        <f aca="false">Daily_Composite!U197</f>
        <v>-0.259</v>
      </c>
      <c r="GM19" s="17" t="n">
        <f aca="false">Daily_Composite!U198</f>
        <v>-0.289</v>
      </c>
      <c r="GN19" s="17" t="n">
        <f aca="false">Daily_Composite!U199</f>
        <v>-0.463</v>
      </c>
      <c r="GO19" s="17" t="n">
        <f aca="false">Daily_Composite!U200</f>
        <v>-0.262</v>
      </c>
      <c r="GP19" s="17" t="n">
        <f aca="false">Daily_Composite!U201</f>
        <v>-0.234</v>
      </c>
      <c r="GQ19" s="17" t="n">
        <f aca="false">Daily_Composite!U202</f>
        <v>-0.256</v>
      </c>
      <c r="GR19" s="17" t="n">
        <f aca="false">Daily_Composite!U203</f>
        <v>-0.229</v>
      </c>
      <c r="GS19" s="17" t="n">
        <f aca="false">Daily_Composite!U204</f>
        <v>-0.244</v>
      </c>
      <c r="GT19" s="17" t="n">
        <f aca="false">Daily_Composite!U205</f>
        <v>-0.177</v>
      </c>
      <c r="GU19" s="17" t="n">
        <f aca="false">Daily_Composite!U206</f>
        <v>-0.154</v>
      </c>
      <c r="GV19" s="17" t="n">
        <f aca="false">Daily_Composite!U207</f>
        <v>-0.223</v>
      </c>
      <c r="GW19" s="17" t="n">
        <f aca="false">Daily_Composite!U208</f>
        <v>-0.259</v>
      </c>
      <c r="GX19" s="17" t="n">
        <f aca="false">Daily_Composite!U209</f>
        <v>-0.297</v>
      </c>
      <c r="GY19" s="17" t="n">
        <f aca="false">Daily_Composite!U210</f>
        <v>-0.164</v>
      </c>
      <c r="GZ19" s="17" t="n">
        <f aca="false">Daily_Composite!U211</f>
        <v>-0.244</v>
      </c>
      <c r="HA19" s="17" t="n">
        <f aca="false">Daily_Composite!U212</f>
        <v>-0.38</v>
      </c>
      <c r="HB19" s="17" t="n">
        <f aca="false">Daily_Composite!U213</f>
        <v>-0.346</v>
      </c>
      <c r="HC19" s="17" t="n">
        <f aca="false">Daily_Composite!U214</f>
        <v>-0.544</v>
      </c>
      <c r="HD19" s="17" t="n">
        <f aca="false">Daily_Composite!U215</f>
        <v>-0.332</v>
      </c>
      <c r="HE19" s="17" t="n">
        <f aca="false">Daily_Composite!U216</f>
        <v>-0.327</v>
      </c>
      <c r="HF19" s="17" t="n">
        <f aca="false">Daily_Composite!U217</f>
        <v>-0.521</v>
      </c>
      <c r="HG19" s="17" t="n">
        <f aca="false">Daily_Composite!U218</f>
        <v>-0.312</v>
      </c>
      <c r="HH19" s="17" t="n">
        <f aca="false">Daily_Composite!U219</f>
        <v>-0.353</v>
      </c>
      <c r="HI19" s="17" t="n">
        <f aca="false">Daily_Composite!U220</f>
        <v>-0.419</v>
      </c>
      <c r="HJ19" s="17" t="n">
        <f aca="false">Daily_Composite!U221</f>
        <v>-0.456</v>
      </c>
      <c r="HK19" s="17" t="n">
        <f aca="false">Daily_Composite!U222</f>
        <v>-0.347</v>
      </c>
      <c r="HL19" s="17" t="n">
        <f aca="false">Daily_Composite!U223</f>
        <v>-0.561</v>
      </c>
      <c r="HM19" s="17" t="n">
        <f aca="false">Daily_Composite!U224</f>
        <v>-0.566</v>
      </c>
      <c r="HN19" s="17" t="n">
        <f aca="false">Daily_Composite!U225</f>
        <v>-0.581</v>
      </c>
      <c r="HO19" s="17" t="n">
        <f aca="false">Daily_Composite!U226</f>
        <v>-0.633</v>
      </c>
      <c r="HP19" s="17" t="n">
        <f aca="false">Daily_Composite!U227</f>
        <v>-0.349</v>
      </c>
      <c r="HQ19" s="17" t="n">
        <f aca="false">Daily_Composite!U228</f>
        <v>-0.342</v>
      </c>
      <c r="HR19" s="17" t="n">
        <f aca="false">Daily_Composite!U229</f>
        <v>-0.333</v>
      </c>
      <c r="HS19" s="17" t="n">
        <f aca="false">Daily_Composite!U230</f>
        <v>-0.359</v>
      </c>
      <c r="HT19" s="17" t="n">
        <f aca="false">Daily_Composite!U231</f>
        <v>-0.297</v>
      </c>
      <c r="HU19" s="17" t="n">
        <f aca="false">Daily_Composite!U232</f>
        <v>-0.535</v>
      </c>
      <c r="HV19" s="17" t="n">
        <f aca="false">Daily_Composite!U233</f>
        <v>-0.323</v>
      </c>
      <c r="HW19" s="17" t="n">
        <f aca="false">Daily_Composite!U234</f>
        <v>-0.32</v>
      </c>
      <c r="HX19" s="17" t="n">
        <f aca="false">Daily_Composite!U235</f>
        <v>-0.518</v>
      </c>
      <c r="HY19" s="17" t="n">
        <f aca="false">Daily_Composite!U236</f>
        <v>-0.298</v>
      </c>
      <c r="HZ19" s="17" t="n">
        <f aca="false">Daily_Composite!U237</f>
        <v>-0.225</v>
      </c>
      <c r="IA19" s="17" t="n">
        <f aca="false">Daily_Composite!U238</f>
        <v>-0.261</v>
      </c>
      <c r="IB19" s="17" t="n">
        <f aca="false">Daily_Composite!U239</f>
        <v>-0.306</v>
      </c>
      <c r="IC19" s="17" t="n">
        <f aca="false">Daily_Composite!U240</f>
        <v>-0.2</v>
      </c>
      <c r="ID19" s="17" t="n">
        <f aca="false">Daily_Composite!U241</f>
        <v>-0.083</v>
      </c>
      <c r="IE19" s="17" t="n">
        <f aca="false">Daily_Composite!U242</f>
        <v>-0.102</v>
      </c>
      <c r="IF19" s="17" t="n">
        <f aca="false">Daily_Composite!U243</f>
        <v>-0.184</v>
      </c>
      <c r="IG19" s="17" t="n">
        <f aca="false">Daily_Composite!U244</f>
        <v>-0.336</v>
      </c>
      <c r="IH19" s="17" t="n">
        <f aca="false">Daily_Composite!U245</f>
        <v>0.183</v>
      </c>
      <c r="II19" s="17" t="n">
        <f aca="false">Daily_Composite!U246</f>
        <v>-0.093</v>
      </c>
      <c r="IJ19" s="17" t="n">
        <f aca="false">Daily_Composite!U247</f>
        <v>-0.169</v>
      </c>
      <c r="IK19" s="17" t="n">
        <f aca="false">Daily_Composite!U248</f>
        <v>-0.09</v>
      </c>
      <c r="IL19" s="17" t="n">
        <f aca="false">Daily_Composite!U249</f>
        <v>-0.107</v>
      </c>
      <c r="IM19" s="17" t="n">
        <f aca="false">Daily_Composite!U250</f>
        <v>0.053</v>
      </c>
      <c r="IN19" s="17" t="n">
        <f aca="false">Daily_Composite!U251</f>
        <v>0.273</v>
      </c>
      <c r="IO19" s="17" t="n">
        <f aca="false">Daily_Composite!U252</f>
        <v>-0.234</v>
      </c>
      <c r="IP19" s="17" t="n">
        <f aca="false">Daily_Composite!U253</f>
        <v>-0.15</v>
      </c>
      <c r="IQ19" s="17" t="n">
        <f aca="false">Daily_Composite!U254</f>
        <v>0.124</v>
      </c>
      <c r="IR19" s="17" t="n">
        <f aca="false">Daily_Composite!U255</f>
        <v>-0.086</v>
      </c>
      <c r="IS19" s="17" t="n">
        <f aca="false">Daily_Composite!U256</f>
        <v>-0.272</v>
      </c>
      <c r="IT19" s="17" t="n">
        <f aca="false">Daily_Composite!U257</f>
        <v>-0.297</v>
      </c>
      <c r="IU19" s="17" t="n">
        <f aca="false">Daily_Composite!U258</f>
        <v>-0.179</v>
      </c>
      <c r="IV19" s="17" t="n">
        <f aca="false">Daily_Composite!U259</f>
        <v>0.192</v>
      </c>
      <c r="IW19" s="17" t="n">
        <f aca="false">Daily_Composite!U260</f>
        <v>-0.067</v>
      </c>
      <c r="IX19" s="17" t="n">
        <f aca="false">Daily_Composite!U261</f>
        <v>-0.099</v>
      </c>
      <c r="IY19" s="17" t="n">
        <f aca="false">Daily_Composite!U262</f>
        <v>-0.479</v>
      </c>
      <c r="IZ19" s="17" t="n">
        <f aca="false">Daily_Composite!U263</f>
        <v>-0.325</v>
      </c>
      <c r="JA19" s="17" t="n">
        <f aca="false">Daily_Composite!U264</f>
        <v>-0.361</v>
      </c>
      <c r="JB19" s="17" t="n">
        <f aca="false">Daily_Composite!U265</f>
        <v>-0.078</v>
      </c>
      <c r="JC19" s="17" t="n">
        <f aca="false">Daily_Composite!U266</f>
        <v>-0.356</v>
      </c>
      <c r="JD19" s="17" t="n">
        <f aca="false">Daily_Composite!U267</f>
        <v>-0.221</v>
      </c>
      <c r="JE19" s="17" t="n">
        <f aca="false">Daily_Composite!U268</f>
        <v>0.109</v>
      </c>
      <c r="JF19" s="17" t="n">
        <f aca="false">Daily_Composite!U269</f>
        <v>-0.288</v>
      </c>
      <c r="JG19" s="17" t="n">
        <f aca="false">Daily_Composite!U270</f>
        <v>-0.225</v>
      </c>
      <c r="JH19" s="17" t="n">
        <f aca="false">Daily_Composite!U271</f>
        <v>-0.287</v>
      </c>
      <c r="JI19" s="17" t="n">
        <f aca="false">Daily_Composite!U272</f>
        <v>-0.512</v>
      </c>
      <c r="JJ19" s="17" t="n">
        <f aca="false">Daily_Composite!U273</f>
        <v>-0.243</v>
      </c>
      <c r="JK19" s="17" t="n">
        <f aca="false">Daily_Composite!U274</f>
        <v>-0.228</v>
      </c>
      <c r="JL19" s="17" t="n">
        <f aca="false">Daily_Composite!U275</f>
        <v>-0.082</v>
      </c>
      <c r="JM19" s="17" t="n">
        <f aca="false">Daily_Composite!U276</f>
        <v>-0.127</v>
      </c>
      <c r="JN19" s="17" t="n">
        <f aca="false">Daily_Composite!U277</f>
        <v>-0.005</v>
      </c>
      <c r="JO19" s="17" t="n">
        <f aca="false">Daily_Composite!U278</f>
        <v>-0.423</v>
      </c>
      <c r="JP19" s="17" t="n">
        <f aca="false">Daily_Composite!U279</f>
        <v>-0.254</v>
      </c>
      <c r="JQ19" s="17" t="n">
        <f aca="false">Daily_Composite!U280</f>
        <v>-0.393</v>
      </c>
      <c r="JR19" s="17" t="n">
        <f aca="false">Daily_Composite!U281</f>
        <v>-0.547</v>
      </c>
      <c r="JS19" s="17" t="n">
        <f aca="false">Daily_Composite!U282</f>
        <v>-0.07</v>
      </c>
      <c r="JT19" s="17" t="n">
        <f aca="false">Daily_Composite!U283</f>
        <v>-0.094</v>
      </c>
      <c r="JU19" s="17" t="n">
        <f aca="false">Daily_Composite!U284</f>
        <v>-0.091</v>
      </c>
      <c r="JV19" s="17" t="n">
        <f aca="false">Daily_Composite!U285</f>
        <v>-0.066</v>
      </c>
      <c r="JW19" s="17" t="n">
        <f aca="false">Daily_Composite!U286</f>
        <v>-0.031</v>
      </c>
      <c r="JX19" s="17" t="n">
        <f aca="false">Daily_Composite!U287</f>
        <v>-0.085</v>
      </c>
      <c r="JY19" s="17" t="n">
        <f aca="false">Daily_Composite!U288</f>
        <v>-0.049</v>
      </c>
      <c r="JZ19" s="17" t="n">
        <f aca="false">Daily_Composite!U289</f>
        <v>0.065</v>
      </c>
      <c r="KA19" s="17" t="n">
        <f aca="false">Daily_Composite!U290</f>
        <v>-0.281</v>
      </c>
      <c r="KB19" s="17" t="n">
        <f aca="false">Daily_Composite!U291</f>
        <v>-0.281</v>
      </c>
      <c r="KC19" s="17" t="n">
        <f aca="false">Daily_Composite!U292</f>
        <v>-0.318</v>
      </c>
      <c r="KD19" s="17" t="n">
        <f aca="false">Daily_Composite!U293</f>
        <v>-0.384</v>
      </c>
      <c r="KE19" s="17" t="n">
        <f aca="false">Daily_Composite!U294</f>
        <v>-0.271</v>
      </c>
      <c r="KF19" s="17" t="n">
        <f aca="false">Daily_Composite!U295</f>
        <v>-0.219</v>
      </c>
      <c r="KG19" s="17" t="n">
        <f aca="false">Daily_Composite!U296</f>
        <v>-0.398</v>
      </c>
      <c r="KH19" s="17" t="n">
        <f aca="false">Daily_Composite!U297</f>
        <v>-0.391</v>
      </c>
      <c r="KI19" s="17" t="n">
        <f aca="false">Daily_Composite!U298</f>
        <v>-0.291</v>
      </c>
      <c r="KJ19" s="17" t="n">
        <f aca="false">Daily_Composite!U299</f>
        <v>-0.352</v>
      </c>
      <c r="KK19" s="17" t="n">
        <f aca="false">Daily_Composite!U300</f>
        <v>-0.172</v>
      </c>
      <c r="KL19" s="17" t="n">
        <f aca="false">Daily_Composite!U301</f>
        <v>-0.167</v>
      </c>
      <c r="KM19" s="17" t="n">
        <f aca="false">Daily_Composite!U302</f>
        <v>-0.105</v>
      </c>
      <c r="KN19" s="17" t="n">
        <f aca="false">Daily_Composite!U303</f>
        <v>-0.145</v>
      </c>
      <c r="KO19" s="17" t="n">
        <f aca="false">Daily_Composite!U304</f>
        <v>-0.125</v>
      </c>
      <c r="KP19" s="17" t="n">
        <f aca="false">Daily_Composite!U305</f>
        <v>-0.303</v>
      </c>
      <c r="KQ19" s="17" t="n">
        <f aca="false">Daily_Composite!U306</f>
        <v>0.087</v>
      </c>
      <c r="KR19" s="17" t="n">
        <f aca="false">Daily_Composite!U307</f>
        <v>-0.413</v>
      </c>
      <c r="KS19" s="17" t="n">
        <f aca="false">Daily_Composite!U308</f>
        <v>-0.578</v>
      </c>
      <c r="KT19" s="17" t="n">
        <f aca="false">Daily_Composite!U309</f>
        <v>-0.19</v>
      </c>
      <c r="KU19" s="17" t="n">
        <f aca="false">Daily_Composite!U310</f>
        <v>-0.168</v>
      </c>
      <c r="KV19" s="17" t="n">
        <f aca="false">Daily_Composite!U311</f>
        <v>-0.197</v>
      </c>
      <c r="KW19" s="17" t="n">
        <f aca="false">Daily_Composite!U312</f>
        <v>-0.195</v>
      </c>
      <c r="KX19" s="17" t="n">
        <f aca="false">Daily_Composite!U313</f>
        <v>-0.332</v>
      </c>
      <c r="KY19" s="17" t="n">
        <f aca="false">Daily_Composite!U314</f>
        <v>-0.613</v>
      </c>
      <c r="KZ19" s="17" t="n">
        <f aca="false">Daily_Composite!U315</f>
        <v>-0.313</v>
      </c>
      <c r="LA19" s="17" t="n">
        <f aca="false">Daily_Composite!U316</f>
        <v>-0.309</v>
      </c>
      <c r="LB19" s="17" t="n">
        <f aca="false">Daily_Composite!U317</f>
        <v>-0.384</v>
      </c>
      <c r="LC19" s="17" t="n">
        <f aca="false">Daily_Composite!U318</f>
        <v>-0.433</v>
      </c>
      <c r="LD19" s="17" t="n">
        <f aca="false">Daily_Composite!U319</f>
        <v>-0.38</v>
      </c>
      <c r="LE19" s="17" t="n">
        <f aca="false">Daily_Composite!U320</f>
        <v>-0.355</v>
      </c>
      <c r="LF19" s="17" t="n">
        <f aca="false">Daily_Composite!U321</f>
        <v>-0.48</v>
      </c>
      <c r="LG19" s="17" t="n">
        <f aca="false">Daily_Composite!U322</f>
        <v>-0.396</v>
      </c>
      <c r="LH19" s="17" t="n">
        <f aca="false">Daily_Composite!U323</f>
        <v>0.148</v>
      </c>
      <c r="LI19" s="17" t="n">
        <f aca="false">Daily_Composite!U324</f>
        <v>-0.26</v>
      </c>
      <c r="LJ19" s="17" t="n">
        <f aca="false">Daily_Composite!U325</f>
        <v>-0.232</v>
      </c>
      <c r="LK19" s="17" t="n">
        <f aca="false">Daily_Composite!U326</f>
        <v>-0.579</v>
      </c>
      <c r="LL19" s="17" t="n">
        <f aca="false">Daily_Composite!U327</f>
        <v>-0.161</v>
      </c>
      <c r="LM19" s="17" t="n">
        <f aca="false">Daily_Composite!U328</f>
        <v>-0.136</v>
      </c>
      <c r="LN19" s="17" t="n">
        <f aca="false">Daily_Composite!U329</f>
        <v>-0.309</v>
      </c>
      <c r="LO19" s="17" t="n">
        <f aca="false">Daily_Composite!U330</f>
        <v>-0.365</v>
      </c>
      <c r="LP19" s="17" t="n">
        <f aca="false">Daily_Composite!U331</f>
        <v>-0.287</v>
      </c>
      <c r="LQ19" s="17" t="n">
        <f aca="false">Daily_Composite!U332</f>
        <v>-0.05</v>
      </c>
      <c r="LR19" s="17" t="n">
        <f aca="false">Daily_Composite!U333</f>
        <v>-0.004</v>
      </c>
      <c r="LS19" s="17" t="n">
        <f aca="false">Daily_Composite!U334</f>
        <v>-0.53</v>
      </c>
      <c r="LT19" s="17" t="n">
        <f aca="false">Daily_Composite!U335</f>
        <v>-0.585</v>
      </c>
      <c r="LU19" s="17" t="n">
        <f aca="false">Daily_Composite!U336</f>
        <v>-0.657</v>
      </c>
      <c r="LV19" s="17" t="n">
        <f aca="false">Daily_Composite!U337</f>
        <v>-0.439</v>
      </c>
      <c r="LW19" s="17" t="n">
        <f aca="false">Daily_Composite!U338</f>
        <v>-0.367</v>
      </c>
      <c r="LX19" s="17" t="n">
        <f aca="false">Daily_Composite!U339</f>
        <v>-0.395</v>
      </c>
      <c r="LY19" s="17" t="n">
        <f aca="false">Daily_Composite!U340</f>
        <v>-0.465</v>
      </c>
      <c r="LZ19" s="17" t="n">
        <f aca="false">Daily_Composite!U341</f>
        <v>-0.546</v>
      </c>
      <c r="MA19" s="17" t="n">
        <f aca="false">Daily_Composite!U342</f>
        <v>-0.386</v>
      </c>
      <c r="MB19" s="17" t="n">
        <f aca="false">Daily_Composite!U343</f>
        <v>-0.334</v>
      </c>
      <c r="MC19" s="17" t="n">
        <f aca="false">Daily_Composite!U344</f>
        <v>-0.584</v>
      </c>
      <c r="MD19" s="17" t="n">
        <f aca="false">Daily_Composite!U345</f>
        <v>-0.374</v>
      </c>
      <c r="ME19" s="17" t="n">
        <f aca="false">Daily_Composite!U346</f>
        <v>-0.4</v>
      </c>
      <c r="MF19" s="17" t="n">
        <f aca="false">Daily_Composite!U347</f>
        <v>-0.242</v>
      </c>
      <c r="MG19" s="17" t="n">
        <f aca="false">Daily_Composite!U348</f>
        <v>-0.266</v>
      </c>
      <c r="MH19" s="17" t="n">
        <f aca="false">Daily_Composite!U349</f>
        <v>-0.075</v>
      </c>
      <c r="MI19" s="17" t="n">
        <f aca="false">Daily_Composite!U350</f>
        <v>0.45</v>
      </c>
      <c r="MJ19" s="17" t="n">
        <f aca="false">Daily_Composite!U351</f>
        <v>0.187</v>
      </c>
      <c r="MK19" s="17" t="n">
        <f aca="false">Daily_Composite!U352</f>
        <v>0.225</v>
      </c>
      <c r="ML19" s="17" t="n">
        <f aca="false">Daily_Composite!U353</f>
        <v>0.243</v>
      </c>
      <c r="MM19" s="17" t="n">
        <f aca="false">Daily_Composite!U354</f>
        <v>0.346</v>
      </c>
      <c r="MN19" s="17" t="n">
        <f aca="false">Daily_Composite!U355</f>
        <v>0.013</v>
      </c>
      <c r="MO19" s="17" t="n">
        <f aca="false">Daily_Composite!U356</f>
        <v>0.067</v>
      </c>
      <c r="MP19" s="17" t="n">
        <f aca="false">Daily_Composite!U357</f>
        <v>0.224</v>
      </c>
      <c r="MQ19" s="17" t="n">
        <f aca="false">Daily_Composite!U358</f>
        <v>0.127</v>
      </c>
      <c r="MR19" s="17" t="n">
        <f aca="false">Daily_Composite!U359</f>
        <v>-0.182</v>
      </c>
      <c r="MS19" s="17" t="n">
        <f aca="false">Daily_Composite!U360</f>
        <v>0.132</v>
      </c>
      <c r="MT19" s="17" t="n">
        <f aca="false">Daily_Composite!U361</f>
        <v>-0.375</v>
      </c>
      <c r="MU19" s="17" t="n">
        <f aca="false">Daily_Composite!U362</f>
        <v>-0.39</v>
      </c>
      <c r="MV19" s="17" t="n">
        <f aca="false">Daily_Composite!U363</f>
        <v>-0.23</v>
      </c>
      <c r="MW19" s="17" t="n">
        <f aca="false">Daily_Composite!U364</f>
        <v>-0.339</v>
      </c>
      <c r="MX19" s="17" t="n">
        <f aca="false">Daily_Composite!U365</f>
        <v>-0.381</v>
      </c>
      <c r="MY19" s="17" t="n">
        <f aca="false">Daily_Composite!U366</f>
        <v>-0.36</v>
      </c>
      <c r="MZ19" s="17" t="n">
        <f aca="false">Daily_Composite!U367</f>
        <v>-0.364</v>
      </c>
      <c r="NA19" s="17" t="n">
        <f aca="false">Daily_Composite!U368</f>
        <v>-0.363</v>
      </c>
      <c r="NB19" s="17" t="n">
        <f aca="false">Daily_Composite!U369</f>
        <v>-0.493</v>
      </c>
    </row>
    <row r="20" customFormat="false" ht="15" hidden="false" customHeight="false" outlineLevel="0" collapsed="false">
      <c r="A20" s="6" t="s">
        <v>33</v>
      </c>
      <c r="B20" s="17" t="n">
        <f aca="false">Daily_Composite!V5</f>
        <v>-0.379</v>
      </c>
      <c r="C20" s="17" t="n">
        <f aca="false">Daily_Composite!V6</f>
        <v>0.096</v>
      </c>
      <c r="D20" s="17" t="n">
        <f aca="false">Daily_Composite!V7</f>
        <v>-0.144</v>
      </c>
      <c r="E20" s="17" t="n">
        <f aca="false">Daily_Composite!V8</f>
        <v>0.07</v>
      </c>
      <c r="F20" s="17" t="n">
        <f aca="false">Daily_Composite!V9</f>
        <v>0.149</v>
      </c>
      <c r="G20" s="17" t="n">
        <f aca="false">Daily_Composite!V10</f>
        <v>0.136</v>
      </c>
      <c r="H20" s="17" t="n">
        <f aca="false">Daily_Composite!V11</f>
        <v>0.136</v>
      </c>
      <c r="I20" s="17" t="n">
        <f aca="false">Daily_Composite!V12</f>
        <v>0.2</v>
      </c>
      <c r="J20" s="17" t="n">
        <f aca="false">Daily_Composite!V13</f>
        <v>0.292</v>
      </c>
      <c r="K20" s="17" t="n">
        <f aca="false">Daily_Composite!V14</f>
        <v>0.283</v>
      </c>
      <c r="L20" s="17" t="n">
        <f aca="false">Daily_Composite!V15</f>
        <v>0.322</v>
      </c>
      <c r="M20" s="17" t="n">
        <f aca="false">Daily_Composite!V16</f>
        <v>0.307</v>
      </c>
      <c r="N20" s="17" t="n">
        <f aca="false">Daily_Composite!V17</f>
        <v>0.46</v>
      </c>
      <c r="O20" s="17" t="n">
        <f aca="false">Daily_Composite!V18</f>
        <v>0.474</v>
      </c>
      <c r="P20" s="17" t="n">
        <f aca="false">Daily_Composite!V19</f>
        <v>0.32</v>
      </c>
      <c r="Q20" s="17" t="n">
        <f aca="false">Daily_Composite!V20</f>
        <v>0.295</v>
      </c>
      <c r="R20" s="17" t="n">
        <f aca="false">Daily_Composite!V21</f>
        <v>0.255</v>
      </c>
      <c r="S20" s="17" t="n">
        <f aca="false">Daily_Composite!V22</f>
        <v>0.161</v>
      </c>
      <c r="T20" s="17" t="n">
        <f aca="false">Daily_Composite!V23</f>
        <v>0.538</v>
      </c>
      <c r="U20" s="17" t="n">
        <f aca="false">Daily_Composite!V24</f>
        <v>0.095</v>
      </c>
      <c r="V20" s="17" t="n">
        <f aca="false">Daily_Composite!V25</f>
        <v>0.104</v>
      </c>
      <c r="W20" s="17" t="n">
        <f aca="false">Daily_Composite!V26</f>
        <v>0.125</v>
      </c>
      <c r="X20" s="17" t="n">
        <f aca="false">Daily_Composite!V27</f>
        <v>0.181</v>
      </c>
      <c r="Y20" s="17" t="n">
        <f aca="false">Daily_Composite!V28</f>
        <v>0.192</v>
      </c>
      <c r="Z20" s="17" t="n">
        <f aca="false">Daily_Composite!V29</f>
        <v>0.191</v>
      </c>
      <c r="AA20" s="17" t="n">
        <f aca="false">Daily_Composite!V30</f>
        <v>0.204</v>
      </c>
      <c r="AB20" s="17" t="n">
        <f aca="false">Daily_Composite!V31</f>
        <v>0.213</v>
      </c>
      <c r="AC20" s="17" t="n">
        <f aca="false">Daily_Composite!V32</f>
        <v>0.463</v>
      </c>
      <c r="AD20" s="17" t="n">
        <f aca="false">Daily_Composite!V33</f>
        <v>0.423</v>
      </c>
      <c r="AE20" s="17" t="n">
        <f aca="false">Daily_Composite!V34</f>
        <v>0.434</v>
      </c>
      <c r="AF20" s="17" t="n">
        <f aca="false">Daily_Composite!V35</f>
        <v>0.148</v>
      </c>
      <c r="AG20" s="17" t="n">
        <f aca="false">Daily_Composite!V36</f>
        <v>0.154</v>
      </c>
      <c r="AH20" s="17" t="n">
        <f aca="false">Daily_Composite!V37</f>
        <v>0.149</v>
      </c>
      <c r="AI20" s="17" t="n">
        <f aca="false">Daily_Composite!V38</f>
        <v>0.138</v>
      </c>
      <c r="AJ20" s="17" t="n">
        <f aca="false">Daily_Composite!V39</f>
        <v>0.131</v>
      </c>
      <c r="AK20" s="17" t="n">
        <f aca="false">Daily_Composite!V40</f>
        <v>0.542</v>
      </c>
      <c r="AL20" s="17" t="n">
        <f aca="false">Daily_Composite!V41</f>
        <v>0.092</v>
      </c>
      <c r="AM20" s="17" t="n">
        <f aca="false">Daily_Composite!V42</f>
        <v>0.102</v>
      </c>
      <c r="AN20" s="17" t="n">
        <f aca="false">Daily_Composite!V43</f>
        <v>0.102</v>
      </c>
      <c r="AO20" s="17" t="n">
        <f aca="false">Daily_Composite!V44</f>
        <v>-0.162</v>
      </c>
      <c r="AP20" s="17" t="n">
        <f aca="false">Daily_Composite!V45</f>
        <v>-0.089</v>
      </c>
      <c r="AQ20" s="17" t="n">
        <f aca="false">Daily_Composite!V46</f>
        <v>0.131</v>
      </c>
      <c r="AR20" s="17" t="n">
        <f aca="false">Daily_Composite!V47</f>
        <v>0.093</v>
      </c>
      <c r="AS20" s="17" t="n">
        <f aca="false">Daily_Composite!V48</f>
        <v>0.095</v>
      </c>
      <c r="AT20" s="17" t="n">
        <f aca="false">Daily_Composite!V49</f>
        <v>0.127</v>
      </c>
      <c r="AU20" s="17" t="n">
        <f aca="false">Daily_Composite!V50</f>
        <v>0.128</v>
      </c>
      <c r="AV20" s="17" t="n">
        <f aca="false">Daily_Composite!V51</f>
        <v>0.147</v>
      </c>
      <c r="AW20" s="17" t="n">
        <f aca="false">Daily_Composite!V52</f>
        <v>0.147</v>
      </c>
      <c r="AX20" s="17" t="n">
        <f aca="false">Daily_Composite!V53</f>
        <v>0.147</v>
      </c>
      <c r="AY20" s="17" t="n">
        <f aca="false">Daily_Composite!V54</f>
        <v>0.134</v>
      </c>
      <c r="AZ20" s="17" t="n">
        <f aca="false">Daily_Composite!V55</f>
        <v>0.048</v>
      </c>
      <c r="BA20" s="17" t="n">
        <f aca="false">Daily_Composite!V56</f>
        <v>0.056</v>
      </c>
      <c r="BB20" s="17" t="n">
        <f aca="false">Daily_Composite!V57</f>
        <v>0.075</v>
      </c>
      <c r="BC20" s="17" t="n">
        <f aca="false">Daily_Composite!V58</f>
        <v>0.076</v>
      </c>
      <c r="BD20" s="17" t="n">
        <f aca="false">Daily_Composite!V59</f>
        <v>0.062</v>
      </c>
      <c r="BE20" s="17" t="n">
        <f aca="false">Daily_Composite!V60</f>
        <v>-0.356</v>
      </c>
      <c r="BF20" s="17" t="n">
        <f aca="false">Daily_Composite!V61</f>
        <v>0.105</v>
      </c>
      <c r="BG20" s="17" t="n">
        <f aca="false">Daily_Composite!V62</f>
        <v>0.094</v>
      </c>
      <c r="BH20" s="17" t="n">
        <f aca="false">Daily_Composite!V63</f>
        <v>0.141</v>
      </c>
      <c r="BI20" s="17" t="n">
        <f aca="false">Daily_Composite!V64</f>
        <v>0.118</v>
      </c>
      <c r="BJ20" s="17" t="n">
        <f aca="false">Daily_Composite!V65</f>
        <v>0.157</v>
      </c>
      <c r="BK20" s="17" t="n">
        <f aca="false">Daily_Composite!V66</f>
        <v>0.157</v>
      </c>
      <c r="BL20" s="17" t="n">
        <f aca="false">Daily_Composite!V67</f>
        <v>0.156</v>
      </c>
      <c r="BM20" s="17" t="n">
        <f aca="false">Daily_Composite!V68</f>
        <v>0.128</v>
      </c>
      <c r="BN20" s="17" t="n">
        <f aca="false">Daily_Composite!V69</f>
        <v>0.1</v>
      </c>
      <c r="BO20" s="17" t="n">
        <f aca="false">Daily_Composite!V70</f>
        <v>0.072</v>
      </c>
      <c r="BP20" s="17" t="n">
        <f aca="false">Daily_Composite!V71</f>
        <v>-0.212</v>
      </c>
      <c r="BQ20" s="17" t="n">
        <f aca="false">Daily_Composite!V72</f>
        <v>-0.191</v>
      </c>
      <c r="BR20" s="17" t="n">
        <f aca="false">Daily_Composite!V73</f>
        <v>-0.178</v>
      </c>
      <c r="BS20" s="17" t="n">
        <f aca="false">Daily_Composite!V74</f>
        <v>-0.019</v>
      </c>
      <c r="BT20" s="17" t="n">
        <f aca="false">Daily_Composite!V75</f>
        <v>-0.003</v>
      </c>
      <c r="BU20" s="17" t="n">
        <f aca="false">Daily_Composite!V76</f>
        <v>0.011</v>
      </c>
      <c r="BV20" s="17" t="n">
        <f aca="false">Daily_Composite!V77</f>
        <v>-0.166</v>
      </c>
      <c r="BW20" s="17" t="n">
        <f aca="false">Daily_Composite!V78</f>
        <v>0.097</v>
      </c>
      <c r="BX20" s="17" t="n">
        <f aca="false">Daily_Composite!V79</f>
        <v>0.116</v>
      </c>
      <c r="BY20" s="17" t="n">
        <f aca="false">Daily_Composite!V80</f>
        <v>0.059</v>
      </c>
      <c r="BZ20" s="17" t="n">
        <f aca="false">Daily_Composite!V81</f>
        <v>0.05</v>
      </c>
      <c r="CA20" s="17" t="n">
        <f aca="false">Daily_Composite!V82</f>
        <v>0.032</v>
      </c>
      <c r="CB20" s="17" t="n">
        <f aca="false">Daily_Composite!V83</f>
        <v>0.113</v>
      </c>
      <c r="CC20" s="17" t="n">
        <f aca="false">Daily_Composite!V84</f>
        <v>0.09</v>
      </c>
      <c r="CD20" s="17" t="n">
        <f aca="false">Daily_Composite!V85</f>
        <v>0.094</v>
      </c>
      <c r="CE20" s="17" t="n">
        <f aca="false">Daily_Composite!V86</f>
        <v>0.094</v>
      </c>
      <c r="CF20" s="17" t="n">
        <f aca="false">Daily_Composite!V87</f>
        <v>0.374</v>
      </c>
      <c r="CG20" s="17" t="n">
        <f aca="false">Daily_Composite!V88</f>
        <v>-0.318</v>
      </c>
      <c r="CH20" s="17" t="n">
        <f aca="false">Daily_Composite!V89</f>
        <v>-0.291</v>
      </c>
      <c r="CI20" s="17" t="n">
        <f aca="false">Daily_Composite!V90</f>
        <v>0.08</v>
      </c>
      <c r="CJ20" s="17" t="n">
        <f aca="false">Daily_Composite!V91</f>
        <v>0.093</v>
      </c>
      <c r="CK20" s="17" t="n">
        <f aca="false">Daily_Composite!V92</f>
        <v>0.146</v>
      </c>
      <c r="CL20" s="17" t="n">
        <f aca="false">Daily_Composite!V93</f>
        <v>0.118</v>
      </c>
      <c r="CM20" s="17" t="n">
        <f aca="false">Daily_Composite!V94</f>
        <v>0.1</v>
      </c>
      <c r="CN20" s="17" t="n">
        <f aca="false">Daily_Composite!V95</f>
        <v>-0.095</v>
      </c>
      <c r="CO20" s="17" t="n">
        <f aca="false">Daily_Composite!V96</f>
        <v>0.14</v>
      </c>
      <c r="CP20" s="17" t="n">
        <f aca="false">Daily_Composite!V97</f>
        <v>0.139</v>
      </c>
      <c r="CQ20" s="17" t="n">
        <f aca="false">Daily_Composite!V98</f>
        <v>-0.197</v>
      </c>
      <c r="CR20" s="17" t="n">
        <f aca="false">Daily_Composite!V99</f>
        <v>-0.142</v>
      </c>
      <c r="CS20" s="17" t="n">
        <f aca="false">Daily_Composite!V100</f>
        <v>0.277</v>
      </c>
      <c r="CT20" s="17" t="n">
        <f aca="false">Daily_Composite!V101</f>
        <v>0.074</v>
      </c>
      <c r="CU20" s="17" t="n">
        <f aca="false">Daily_Composite!V102</f>
        <v>0.095</v>
      </c>
      <c r="CV20" s="17" t="n">
        <f aca="false">Daily_Composite!V103</f>
        <v>0.059</v>
      </c>
      <c r="CW20" s="17" t="n">
        <f aca="false">Daily_Composite!V104</f>
        <v>0.048</v>
      </c>
      <c r="CX20" s="17" t="n">
        <f aca="false">Daily_Composite!V105</f>
        <v>-0.152</v>
      </c>
      <c r="CY20" s="17" t="n">
        <f aca="false">Daily_Composite!V106</f>
        <v>0.048</v>
      </c>
      <c r="CZ20" s="17" t="n">
        <f aca="false">Daily_Composite!V107</f>
        <v>0.052</v>
      </c>
      <c r="DA20" s="17" t="n">
        <f aca="false">Daily_Composite!V108</f>
        <v>0.068</v>
      </c>
      <c r="DB20" s="17" t="n">
        <f aca="false">Daily_Composite!V109</f>
        <v>0.102</v>
      </c>
      <c r="DC20" s="17" t="n">
        <f aca="false">Daily_Composite!V110</f>
        <v>0.1</v>
      </c>
      <c r="DD20" s="17" t="n">
        <f aca="false">Daily_Composite!V111</f>
        <v>0.076</v>
      </c>
      <c r="DE20" s="17" t="n">
        <f aca="false">Daily_Composite!V112</f>
        <v>0.079</v>
      </c>
      <c r="DF20" s="17" t="n">
        <f aca="false">Daily_Composite!V113</f>
        <v>0.083</v>
      </c>
      <c r="DG20" s="17" t="n">
        <f aca="false">Daily_Composite!V114</f>
        <v>0.205</v>
      </c>
      <c r="DH20" s="17" t="n">
        <f aca="false">Daily_Composite!V115</f>
        <v>0.379</v>
      </c>
      <c r="DI20" s="17" t="n">
        <f aca="false">Daily_Composite!V116</f>
        <v>0.385</v>
      </c>
      <c r="DJ20" s="17" t="n">
        <f aca="false">Daily_Composite!V117</f>
        <v>0.261</v>
      </c>
      <c r="DK20" s="17" t="n">
        <f aca="false">Daily_Composite!V118</f>
        <v>0.197</v>
      </c>
      <c r="DL20" s="17" t="n">
        <f aca="false">Daily_Composite!V119</f>
        <v>0.194</v>
      </c>
      <c r="DM20" s="17" t="n">
        <f aca="false">Daily_Composite!V120</f>
        <v>0.228</v>
      </c>
      <c r="DN20" s="17" t="n">
        <f aca="false">Daily_Composite!V121</f>
        <v>0.225</v>
      </c>
      <c r="DO20" s="17" t="n">
        <f aca="false">Daily_Composite!V122</f>
        <v>0.208</v>
      </c>
      <c r="DP20" s="17" t="n">
        <f aca="false">Daily_Composite!V123</f>
        <v>0.194</v>
      </c>
      <c r="DQ20" s="17" t="n">
        <f aca="false">Daily_Composite!V124</f>
        <v>0.207</v>
      </c>
      <c r="DR20" s="17" t="n">
        <f aca="false">Daily_Composite!V125</f>
        <v>0.154</v>
      </c>
      <c r="DS20" s="17" t="n">
        <f aca="false">Daily_Composite!V126</f>
        <v>0.309</v>
      </c>
      <c r="DT20" s="17" t="n">
        <f aca="false">Daily_Composite!V127</f>
        <v>0.356</v>
      </c>
      <c r="DU20" s="17" t="n">
        <f aca="false">Daily_Composite!V128</f>
        <v>0.145</v>
      </c>
      <c r="DV20" s="17" t="n">
        <f aca="false">Daily_Composite!V129</f>
        <v>0.133</v>
      </c>
      <c r="DW20" s="17" t="n">
        <f aca="false">Daily_Composite!V130</f>
        <v>0.144</v>
      </c>
      <c r="DX20" s="17" t="n">
        <f aca="false">Daily_Composite!V131</f>
        <v>0.136</v>
      </c>
      <c r="DY20" s="17" t="n">
        <f aca="false">Daily_Composite!V132</f>
        <v>0.496</v>
      </c>
      <c r="DZ20" s="17" t="n">
        <f aca="false">Daily_Composite!V133</f>
        <v>-0.01</v>
      </c>
      <c r="EA20" s="17" t="n">
        <f aca="false">Daily_Composite!V134</f>
        <v>-0.01</v>
      </c>
      <c r="EB20" s="17" t="n">
        <f aca="false">Daily_Composite!V135</f>
        <v>-0.003</v>
      </c>
      <c r="EC20" s="17" t="n">
        <f aca="false">Daily_Composite!V136</f>
        <v>0.015</v>
      </c>
      <c r="ED20" s="17" t="n">
        <f aca="false">Daily_Composite!V137</f>
        <v>0.027</v>
      </c>
      <c r="EE20" s="17" t="n">
        <f aca="false">Daily_Composite!V138</f>
        <v>-0.01</v>
      </c>
      <c r="EF20" s="17" t="n">
        <f aca="false">Daily_Composite!V139</f>
        <v>-0.029</v>
      </c>
      <c r="EG20" s="17" t="n">
        <f aca="false">Daily_Composite!V140</f>
        <v>-0.038</v>
      </c>
      <c r="EH20" s="17" t="n">
        <f aca="false">Daily_Composite!V141</f>
        <v>-0.019</v>
      </c>
      <c r="EI20" s="17" t="n">
        <f aca="false">Daily_Composite!V142</f>
        <v>-0.037</v>
      </c>
      <c r="EJ20" s="17" t="n">
        <f aca="false">Daily_Composite!V143</f>
        <v>-0.046</v>
      </c>
      <c r="EK20" s="17" t="n">
        <f aca="false">Daily_Composite!V144</f>
        <v>-0.248</v>
      </c>
      <c r="EL20" s="17" t="n">
        <f aca="false">Daily_Composite!V145</f>
        <v>-0.019</v>
      </c>
      <c r="EM20" s="17" t="n">
        <f aca="false">Daily_Composite!V146</f>
        <v>-0.004</v>
      </c>
      <c r="EN20" s="17" t="n">
        <f aca="false">Daily_Composite!V147</f>
        <v>-0.004</v>
      </c>
      <c r="EO20" s="17" t="n">
        <f aca="false">Daily_Composite!V148</f>
        <v>-0.041</v>
      </c>
      <c r="EP20" s="17" t="n">
        <f aca="false">Daily_Composite!V149</f>
        <v>-0.031</v>
      </c>
      <c r="EQ20" s="17" t="n">
        <f aca="false">Daily_Composite!V150</f>
        <v>-0.029</v>
      </c>
      <c r="ER20" s="17" t="n">
        <f aca="false">Daily_Composite!V151</f>
        <v>0.06</v>
      </c>
      <c r="ES20" s="17" t="n">
        <f aca="false">Daily_Composite!V152</f>
        <v>0.051</v>
      </c>
      <c r="ET20" s="17" t="n">
        <f aca="false">Daily_Composite!V153</f>
        <v>-0.252</v>
      </c>
      <c r="EU20" s="17" t="n">
        <f aca="false">Daily_Composite!V154</f>
        <v>-0.076</v>
      </c>
      <c r="EV20" s="17" t="n">
        <f aca="false">Daily_Composite!V155</f>
        <v>-0.11</v>
      </c>
      <c r="EW20" s="17" t="n">
        <f aca="false">Daily_Composite!V156</f>
        <v>0.054</v>
      </c>
      <c r="EX20" s="17" t="n">
        <f aca="false">Daily_Composite!V157</f>
        <v>0.05</v>
      </c>
      <c r="EY20" s="17" t="n">
        <f aca="false">Daily_Composite!V158</f>
        <v>-0.077</v>
      </c>
      <c r="EZ20" s="17" t="n">
        <f aca="false">Daily_Composite!V159</f>
        <v>0.275</v>
      </c>
      <c r="FA20" s="17" t="n">
        <f aca="false">Daily_Composite!V160</f>
        <v>-0.08</v>
      </c>
      <c r="FB20" s="17" t="n">
        <f aca="false">Daily_Composite!V161</f>
        <v>-0.143</v>
      </c>
      <c r="FC20" s="17" t="n">
        <f aca="false">Daily_Composite!V162</f>
        <v>-0.145</v>
      </c>
      <c r="FD20" s="17" t="n">
        <f aca="false">Daily_Composite!V163</f>
        <v>-0.114</v>
      </c>
      <c r="FE20" s="17" t="n">
        <f aca="false">Daily_Composite!V164</f>
        <v>-0.119</v>
      </c>
      <c r="FF20" s="17" t="n">
        <f aca="false">Daily_Composite!V165</f>
        <v>-0.086</v>
      </c>
      <c r="FG20" s="17" t="n">
        <f aca="false">Daily_Composite!V166</f>
        <v>-0.096</v>
      </c>
      <c r="FH20" s="17" t="n">
        <f aca="false">Daily_Composite!V167</f>
        <v>-0.117</v>
      </c>
      <c r="FI20" s="17" t="n">
        <f aca="false">Daily_Composite!V168</f>
        <v>-0.118</v>
      </c>
      <c r="FJ20" s="17" t="n">
        <f aca="false">Daily_Composite!V169</f>
        <v>-0.294</v>
      </c>
      <c r="FK20" s="17" t="n">
        <f aca="false">Daily_Composite!V170</f>
        <v>-0.266</v>
      </c>
      <c r="FL20" s="17" t="n">
        <f aca="false">Daily_Composite!V171</f>
        <v>-0.275</v>
      </c>
      <c r="FM20" s="17" t="n">
        <f aca="false">Daily_Composite!V172</f>
        <v>-0.125</v>
      </c>
      <c r="FN20" s="17" t="n">
        <f aca="false">Daily_Composite!V173</f>
        <v>-0.107</v>
      </c>
      <c r="FO20" s="17" t="n">
        <f aca="false">Daily_Composite!V174</f>
        <v>-0.141</v>
      </c>
      <c r="FP20" s="17" t="n">
        <f aca="false">Daily_Composite!V175</f>
        <v>-0.098</v>
      </c>
      <c r="FQ20" s="17" t="n">
        <f aca="false">Daily_Composite!V176</f>
        <v>-0.02</v>
      </c>
      <c r="FR20" s="17" t="n">
        <f aca="false">Daily_Composite!V177</f>
        <v>0.51</v>
      </c>
      <c r="FS20" s="17" t="n">
        <f aca="false">Daily_Composite!V178</f>
        <v>-0.051</v>
      </c>
      <c r="FT20" s="17" t="n">
        <f aca="false">Daily_Composite!V179</f>
        <v>0.021</v>
      </c>
      <c r="FU20" s="17" t="n">
        <f aca="false">Daily_Composite!V180</f>
        <v>0.003</v>
      </c>
      <c r="FV20" s="17" t="n">
        <f aca="false">Daily_Composite!V181</f>
        <v>0.185</v>
      </c>
      <c r="FW20" s="17" t="n">
        <f aca="false">Daily_Composite!V182</f>
        <v>0.002</v>
      </c>
      <c r="FX20" s="17" t="n">
        <f aca="false">Daily_Composite!V183</f>
        <v>-0.081</v>
      </c>
      <c r="FY20" s="17" t="n">
        <f aca="false">Daily_Composite!V184</f>
        <v>-0.065</v>
      </c>
      <c r="FZ20" s="17" t="n">
        <f aca="false">Daily_Composite!V185</f>
        <v>0.056</v>
      </c>
      <c r="GA20" s="17" t="n">
        <f aca="false">Daily_Composite!V186</f>
        <v>0.389</v>
      </c>
      <c r="GB20" s="17" t="n">
        <f aca="false">Daily_Composite!V187</f>
        <v>0.369</v>
      </c>
      <c r="GC20" s="17" t="n">
        <f aca="false">Daily_Composite!V188</f>
        <v>-0.069</v>
      </c>
      <c r="GD20" s="17" t="n">
        <f aca="false">Daily_Composite!V189</f>
        <v>0.019</v>
      </c>
      <c r="GE20" s="17" t="n">
        <f aca="false">Daily_Composite!V190</f>
        <v>0.025</v>
      </c>
      <c r="GF20" s="17" t="n">
        <f aca="false">Daily_Composite!V191</f>
        <v>0.042</v>
      </c>
      <c r="GG20" s="17" t="n">
        <f aca="false">Daily_Composite!V192</f>
        <v>0.043</v>
      </c>
      <c r="GH20" s="17" t="n">
        <f aca="false">Daily_Composite!V193</f>
        <v>0.014</v>
      </c>
      <c r="GI20" s="17" t="n">
        <f aca="false">Daily_Composite!V194</f>
        <v>-0.018</v>
      </c>
      <c r="GJ20" s="17" t="n">
        <f aca="false">Daily_Composite!V195</f>
        <v>-0.041</v>
      </c>
      <c r="GK20" s="17" t="n">
        <f aca="false">Daily_Composite!V196</f>
        <v>0.428</v>
      </c>
      <c r="GL20" s="17" t="n">
        <f aca="false">Daily_Composite!V197</f>
        <v>0.005</v>
      </c>
      <c r="GM20" s="17" t="n">
        <f aca="false">Daily_Composite!V198</f>
        <v>-0.016</v>
      </c>
      <c r="GN20" s="17" t="n">
        <f aca="false">Daily_Composite!V199</f>
        <v>-0.068</v>
      </c>
      <c r="GO20" s="17" t="n">
        <f aca="false">Daily_Composite!V200</f>
        <v>-0.13</v>
      </c>
      <c r="GP20" s="17" t="n">
        <f aca="false">Daily_Composite!V201</f>
        <v>-0.111</v>
      </c>
      <c r="GQ20" s="17" t="n">
        <f aca="false">Daily_Composite!V202</f>
        <v>-0.14</v>
      </c>
      <c r="GR20" s="17" t="n">
        <f aca="false">Daily_Composite!V203</f>
        <v>-0.175</v>
      </c>
      <c r="GS20" s="17" t="n">
        <f aca="false">Daily_Composite!V204</f>
        <v>-0.222</v>
      </c>
      <c r="GT20" s="17" t="n">
        <f aca="false">Daily_Composite!V205</f>
        <v>-0.245</v>
      </c>
      <c r="GU20" s="17" t="n">
        <f aca="false">Daily_Composite!V206</f>
        <v>-0.22</v>
      </c>
      <c r="GV20" s="17" t="n">
        <f aca="false">Daily_Composite!V207</f>
        <v>-0.257</v>
      </c>
      <c r="GW20" s="17" t="n">
        <f aca="false">Daily_Composite!V208</f>
        <v>-0.572</v>
      </c>
      <c r="GX20" s="17" t="n">
        <f aca="false">Daily_Composite!V209</f>
        <v>-0.568</v>
      </c>
      <c r="GY20" s="17" t="n">
        <f aca="false">Daily_Composite!V210</f>
        <v>-0.178</v>
      </c>
      <c r="GZ20" s="17" t="n">
        <f aca="false">Daily_Composite!V211</f>
        <v>-0.185</v>
      </c>
      <c r="HA20" s="17" t="n">
        <f aca="false">Daily_Composite!V212</f>
        <v>-0.198</v>
      </c>
      <c r="HB20" s="17" t="n">
        <f aca="false">Daily_Composite!V213</f>
        <v>-0.263</v>
      </c>
      <c r="HC20" s="17" t="n">
        <f aca="false">Daily_Composite!V214</f>
        <v>-0.566</v>
      </c>
      <c r="HD20" s="17" t="n">
        <f aca="false">Daily_Composite!V215</f>
        <v>-0.238</v>
      </c>
      <c r="HE20" s="17" t="n">
        <f aca="false">Daily_Composite!V216</f>
        <v>-0.234</v>
      </c>
      <c r="HF20" s="17" t="n">
        <f aca="false">Daily_Composite!V217</f>
        <v>-0.281</v>
      </c>
      <c r="HG20" s="17" t="n">
        <f aca="false">Daily_Composite!V218</f>
        <v>-0.265</v>
      </c>
      <c r="HH20" s="17" t="n">
        <f aca="false">Daily_Composite!V219</f>
        <v>-0.287</v>
      </c>
      <c r="HI20" s="17" t="n">
        <f aca="false">Daily_Composite!V220</f>
        <v>-0.287</v>
      </c>
      <c r="HJ20" s="17" t="n">
        <f aca="false">Daily_Composite!V221</f>
        <v>-0.287</v>
      </c>
      <c r="HK20" s="17" t="n">
        <f aca="false">Daily_Composite!V222</f>
        <v>-0.18</v>
      </c>
      <c r="HL20" s="17" t="n">
        <f aca="false">Daily_Composite!V223</f>
        <v>-0.6</v>
      </c>
      <c r="HM20" s="17" t="n">
        <f aca="false">Daily_Composite!V224</f>
        <v>-0.234</v>
      </c>
      <c r="HN20" s="17" t="n">
        <f aca="false">Daily_Composite!V225</f>
        <v>-0.681</v>
      </c>
      <c r="HO20" s="17" t="n">
        <f aca="false">Daily_Composite!V226</f>
        <v>-0.657</v>
      </c>
      <c r="HP20" s="17" t="n">
        <f aca="false">Daily_Composite!V227</f>
        <v>-0.297</v>
      </c>
      <c r="HQ20" s="17" t="n">
        <f aca="false">Daily_Composite!V228</f>
        <v>-0.29</v>
      </c>
      <c r="HR20" s="17" t="n">
        <f aca="false">Daily_Composite!V229</f>
        <v>-0.274</v>
      </c>
      <c r="HS20" s="17" t="n">
        <f aca="false">Daily_Composite!V230</f>
        <v>-0.293</v>
      </c>
      <c r="HT20" s="17" t="n">
        <f aca="false">Daily_Composite!V231</f>
        <v>-0.264</v>
      </c>
      <c r="HU20" s="17" t="n">
        <f aca="false">Daily_Composite!V232</f>
        <v>-0.507</v>
      </c>
      <c r="HV20" s="17" t="n">
        <f aca="false">Daily_Composite!V233</f>
        <v>-0.246</v>
      </c>
      <c r="HW20" s="17" t="n">
        <f aca="false">Daily_Composite!V234</f>
        <v>-0.243</v>
      </c>
      <c r="HX20" s="17" t="n">
        <f aca="false">Daily_Composite!V235</f>
        <v>-0.402</v>
      </c>
      <c r="HY20" s="17" t="n">
        <f aca="false">Daily_Composite!V236</f>
        <v>-0.231</v>
      </c>
      <c r="HZ20" s="17" t="n">
        <f aca="false">Daily_Composite!V237</f>
        <v>0.069</v>
      </c>
      <c r="IA20" s="17" t="n">
        <f aca="false">Daily_Composite!V238</f>
        <v>-0.168</v>
      </c>
      <c r="IB20" s="17" t="n">
        <f aca="false">Daily_Composite!V239</f>
        <v>-0.172</v>
      </c>
      <c r="IC20" s="17" t="n">
        <f aca="false">Daily_Composite!V240</f>
        <v>-0.066</v>
      </c>
      <c r="ID20" s="17" t="n">
        <f aca="false">Daily_Composite!V241</f>
        <v>0.121</v>
      </c>
      <c r="IE20" s="17" t="n">
        <f aca="false">Daily_Composite!V242</f>
        <v>-0.086</v>
      </c>
      <c r="IF20" s="17" t="n">
        <f aca="false">Daily_Composite!V243</f>
        <v>-0.126</v>
      </c>
      <c r="IG20" s="17" t="n">
        <f aca="false">Daily_Composite!V244</f>
        <v>-0.156</v>
      </c>
      <c r="IH20" s="17" t="n">
        <f aca="false">Daily_Composite!V245</f>
        <v>-0.084</v>
      </c>
      <c r="II20" s="17" t="n">
        <f aca="false">Daily_Composite!V246</f>
        <v>-0.093</v>
      </c>
      <c r="IJ20" s="17" t="n">
        <f aca="false">Daily_Composite!V247</f>
        <v>-0.135</v>
      </c>
      <c r="IK20" s="17" t="n">
        <f aca="false">Daily_Composite!V248</f>
        <v>-0.136</v>
      </c>
      <c r="IL20" s="17" t="n">
        <f aca="false">Daily_Composite!V249</f>
        <v>-0.137</v>
      </c>
      <c r="IM20" s="17" t="n">
        <f aca="false">Daily_Composite!V250</f>
        <v>-0.092</v>
      </c>
      <c r="IN20" s="17" t="n">
        <f aca="false">Daily_Composite!V251</f>
        <v>0.326</v>
      </c>
      <c r="IO20" s="17" t="n">
        <f aca="false">Daily_Composite!V252</f>
        <v>0.083</v>
      </c>
      <c r="IP20" s="17" t="n">
        <f aca="false">Daily_Composite!V253</f>
        <v>0.148</v>
      </c>
      <c r="IQ20" s="17" t="n">
        <f aca="false">Daily_Composite!V254</f>
        <v>-0.078</v>
      </c>
      <c r="IR20" s="17" t="n">
        <f aca="false">Daily_Composite!V255</f>
        <v>-0.046</v>
      </c>
      <c r="IS20" s="17" t="n">
        <f aca="false">Daily_Composite!V256</f>
        <v>-0.232</v>
      </c>
      <c r="IT20" s="17" t="n">
        <f aca="false">Daily_Composite!V257</f>
        <v>-0.266</v>
      </c>
      <c r="IU20" s="17" t="n">
        <f aca="false">Daily_Composite!V258</f>
        <v>-0.12</v>
      </c>
      <c r="IV20" s="17" t="n">
        <f aca="false">Daily_Composite!V259</f>
        <v>0.299</v>
      </c>
      <c r="IW20" s="17" t="n">
        <f aca="false">Daily_Composite!V260</f>
        <v>-0.125</v>
      </c>
      <c r="IX20" s="17" t="n">
        <f aca="false">Daily_Composite!V261</f>
        <v>-0.127</v>
      </c>
      <c r="IY20" s="17" t="n">
        <f aca="false">Daily_Composite!V262</f>
        <v>0.024</v>
      </c>
      <c r="IZ20" s="17" t="n">
        <f aca="false">Daily_Composite!V263</f>
        <v>-0.317</v>
      </c>
      <c r="JA20" s="17" t="n">
        <f aca="false">Daily_Composite!V264</f>
        <v>-0.303</v>
      </c>
      <c r="JB20" s="17" t="n">
        <f aca="false">Daily_Composite!V265</f>
        <v>-0.159</v>
      </c>
      <c r="JC20" s="17" t="n">
        <f aca="false">Daily_Composite!V266</f>
        <v>-0.181</v>
      </c>
      <c r="JD20" s="17" t="n">
        <f aca="false">Daily_Composite!V267</f>
        <v>-0.164</v>
      </c>
      <c r="JE20" s="17" t="n">
        <f aca="false">Daily_Composite!V268</f>
        <v>0.223</v>
      </c>
      <c r="JF20" s="17" t="n">
        <f aca="false">Daily_Composite!V269</f>
        <v>-0.249</v>
      </c>
      <c r="JG20" s="17" t="n">
        <f aca="false">Daily_Composite!V270</f>
        <v>-0.171</v>
      </c>
      <c r="JH20" s="17" t="n">
        <f aca="false">Daily_Composite!V271</f>
        <v>-0.212</v>
      </c>
      <c r="JI20" s="17" t="n">
        <f aca="false">Daily_Composite!V272</f>
        <v>-0.21</v>
      </c>
      <c r="JJ20" s="17" t="n">
        <f aca="false">Daily_Composite!V273</f>
        <v>-0.208</v>
      </c>
      <c r="JK20" s="17" t="n">
        <f aca="false">Daily_Composite!V274</f>
        <v>-0.202</v>
      </c>
      <c r="JL20" s="17" t="n">
        <f aca="false">Daily_Composite!V275</f>
        <v>-0.182</v>
      </c>
      <c r="JM20" s="17" t="n">
        <f aca="false">Daily_Composite!V276</f>
        <v>-0.187</v>
      </c>
      <c r="JN20" s="17" t="n">
        <f aca="false">Daily_Composite!V277</f>
        <v>-0.205</v>
      </c>
      <c r="JO20" s="17" t="n">
        <f aca="false">Daily_Composite!V278</f>
        <v>-0.526</v>
      </c>
      <c r="JP20" s="17" t="n">
        <f aca="false">Daily_Composite!V279</f>
        <v>-0.252</v>
      </c>
      <c r="JQ20" s="17" t="n">
        <f aca="false">Daily_Composite!V280</f>
        <v>-0.39</v>
      </c>
      <c r="JR20" s="17" t="n">
        <f aca="false">Daily_Composite!V281</f>
        <v>-0.235</v>
      </c>
      <c r="JS20" s="17" t="n">
        <f aca="false">Daily_Composite!V282</f>
        <v>-0.055</v>
      </c>
      <c r="JT20" s="17" t="n">
        <f aca="false">Daily_Composite!V283</f>
        <v>-0.055</v>
      </c>
      <c r="JU20" s="17" t="n">
        <f aca="false">Daily_Composite!V284</f>
        <v>-0.064</v>
      </c>
      <c r="JV20" s="17" t="n">
        <f aca="false">Daily_Composite!V285</f>
        <v>-0.039</v>
      </c>
      <c r="JW20" s="17" t="n">
        <f aca="false">Daily_Composite!V286</f>
        <v>0.222</v>
      </c>
      <c r="JX20" s="17" t="n">
        <f aca="false">Daily_Composite!V287</f>
        <v>-0.059</v>
      </c>
      <c r="JY20" s="17" t="n">
        <f aca="false">Daily_Composite!V288</f>
        <v>-0.057</v>
      </c>
      <c r="JZ20" s="17" t="n">
        <f aca="false">Daily_Composite!V289</f>
        <v>-0.104</v>
      </c>
      <c r="KA20" s="17" t="n">
        <f aca="false">Daily_Composite!V290</f>
        <v>0.157</v>
      </c>
      <c r="KB20" s="17" t="n">
        <f aca="false">Daily_Composite!V291</f>
        <v>0.154</v>
      </c>
      <c r="KC20" s="17" t="n">
        <f aca="false">Daily_Composite!V292</f>
        <v>-0.101</v>
      </c>
      <c r="KD20" s="17" t="n">
        <f aca="false">Daily_Composite!V293</f>
        <v>-0.119</v>
      </c>
      <c r="KE20" s="17" t="n">
        <f aca="false">Daily_Composite!V294</f>
        <v>-0.091</v>
      </c>
      <c r="KF20" s="17" t="n">
        <f aca="false">Daily_Composite!V295</f>
        <v>-0.027</v>
      </c>
      <c r="KG20" s="17" t="n">
        <f aca="false">Daily_Composite!V296</f>
        <v>-0.119</v>
      </c>
      <c r="KH20" s="17" t="n">
        <f aca="false">Daily_Composite!V297</f>
        <v>-0.187</v>
      </c>
      <c r="KI20" s="17" t="n">
        <f aca="false">Daily_Composite!V298</f>
        <v>-0.099</v>
      </c>
      <c r="KJ20" s="17" t="n">
        <f aca="false">Daily_Composite!V299</f>
        <v>-0.004</v>
      </c>
      <c r="KK20" s="17" t="n">
        <f aca="false">Daily_Composite!V300</f>
        <v>0.023</v>
      </c>
      <c r="KL20" s="17" t="n">
        <f aca="false">Daily_Composite!V301</f>
        <v>0.035</v>
      </c>
      <c r="KM20" s="17" t="n">
        <f aca="false">Daily_Composite!V302</f>
        <v>0.044</v>
      </c>
      <c r="KN20" s="17" t="n">
        <f aca="false">Daily_Composite!V303</f>
        <v>0.048</v>
      </c>
      <c r="KO20" s="17" t="n">
        <f aca="false">Daily_Composite!V304</f>
        <v>0.035</v>
      </c>
      <c r="KP20" s="17" t="n">
        <f aca="false">Daily_Composite!V305</f>
        <v>-0.048</v>
      </c>
      <c r="KQ20" s="17" t="n">
        <f aca="false">Daily_Composite!V306</f>
        <v>0.305</v>
      </c>
      <c r="KR20" s="17" t="n">
        <f aca="false">Daily_Composite!V307</f>
        <v>-0.099</v>
      </c>
      <c r="KS20" s="17" t="n">
        <f aca="false">Daily_Composite!V308</f>
        <v>-0.227</v>
      </c>
      <c r="KT20" s="17" t="n">
        <f aca="false">Daily_Composite!V309</f>
        <v>-0.059</v>
      </c>
      <c r="KU20" s="17" t="n">
        <f aca="false">Daily_Composite!V310</f>
        <v>-0.087</v>
      </c>
      <c r="KV20" s="17" t="n">
        <f aca="false">Daily_Composite!V311</f>
        <v>-0.086</v>
      </c>
      <c r="KW20" s="17" t="n">
        <f aca="false">Daily_Composite!V312</f>
        <v>-0.084</v>
      </c>
      <c r="KX20" s="17" t="n">
        <f aca="false">Daily_Composite!V313</f>
        <v>-0.255</v>
      </c>
      <c r="KY20" s="17" t="n">
        <f aca="false">Daily_Composite!V314</f>
        <v>-0.692</v>
      </c>
      <c r="KZ20" s="17" t="n">
        <f aca="false">Daily_Composite!V315</f>
        <v>-0.251</v>
      </c>
      <c r="LA20" s="17" t="n">
        <f aca="false">Daily_Composite!V316</f>
        <v>-0.248</v>
      </c>
      <c r="LB20" s="17" t="n">
        <f aca="false">Daily_Composite!V317</f>
        <v>-0.528</v>
      </c>
      <c r="LC20" s="17" t="n">
        <f aca="false">Daily_Composite!V318</f>
        <v>-0.515</v>
      </c>
      <c r="LD20" s="17" t="n">
        <f aca="false">Daily_Composite!V319</f>
        <v>-0.174</v>
      </c>
      <c r="LE20" s="17" t="n">
        <f aca="false">Daily_Composite!V320</f>
        <v>-0.074</v>
      </c>
      <c r="LF20" s="17" t="n">
        <f aca="false">Daily_Composite!V321</f>
        <v>-0.232</v>
      </c>
      <c r="LG20" s="17" t="n">
        <f aca="false">Daily_Composite!V322</f>
        <v>-0.201</v>
      </c>
      <c r="LH20" s="17" t="n">
        <f aca="false">Daily_Composite!V323</f>
        <v>0.498</v>
      </c>
      <c r="LI20" s="17" t="n">
        <f aca="false">Daily_Composite!V324</f>
        <v>-0.096</v>
      </c>
      <c r="LJ20" s="17" t="n">
        <f aca="false">Daily_Composite!V325</f>
        <v>-0.042</v>
      </c>
      <c r="LK20" s="17" t="n">
        <f aca="false">Daily_Composite!V326</f>
        <v>-0.043</v>
      </c>
      <c r="LL20" s="17" t="n">
        <f aca="false">Daily_Composite!V327</f>
        <v>-0.04</v>
      </c>
      <c r="LM20" s="17" t="n">
        <f aca="false">Daily_Composite!V328</f>
        <v>-0.019</v>
      </c>
      <c r="LN20" s="17" t="n">
        <f aca="false">Daily_Composite!V329</f>
        <v>-0.169</v>
      </c>
      <c r="LO20" s="17" t="n">
        <f aca="false">Daily_Composite!V330</f>
        <v>-0.186</v>
      </c>
      <c r="LP20" s="17" t="n">
        <f aca="false">Daily_Composite!V331</f>
        <v>-0.233</v>
      </c>
      <c r="LQ20" s="17" t="n">
        <f aca="false">Daily_Composite!V332</f>
        <v>-0.272</v>
      </c>
      <c r="LR20" s="17" t="n">
        <f aca="false">Daily_Composite!V333</f>
        <v>-0.033</v>
      </c>
      <c r="LS20" s="17" t="n">
        <f aca="false">Daily_Composite!V334</f>
        <v>-0.394</v>
      </c>
      <c r="LT20" s="17" t="n">
        <f aca="false">Daily_Composite!V335</f>
        <v>-0.557</v>
      </c>
      <c r="LU20" s="17" t="n">
        <f aca="false">Daily_Composite!V336</f>
        <v>-0.348</v>
      </c>
      <c r="LV20" s="17" t="n">
        <f aca="false">Daily_Composite!V337</f>
        <v>-0.349</v>
      </c>
      <c r="LW20" s="17" t="n">
        <f aca="false">Daily_Composite!V338</f>
        <v>-0.289</v>
      </c>
      <c r="LX20" s="17" t="n">
        <f aca="false">Daily_Composite!V339</f>
        <v>-0.29</v>
      </c>
      <c r="LY20" s="17" t="n">
        <f aca="false">Daily_Composite!V340</f>
        <v>-0.29</v>
      </c>
      <c r="LZ20" s="17" t="n">
        <f aca="false">Daily_Composite!V341</f>
        <v>-0.489</v>
      </c>
      <c r="MA20" s="17" t="n">
        <f aca="false">Daily_Composite!V342</f>
        <v>-0.284</v>
      </c>
      <c r="MB20" s="17" t="n">
        <f aca="false">Daily_Composite!V343</f>
        <v>-0.23</v>
      </c>
      <c r="MC20" s="17" t="n">
        <f aca="false">Daily_Composite!V344</f>
        <v>-0.233</v>
      </c>
      <c r="MD20" s="17" t="n">
        <f aca="false">Daily_Composite!V345</f>
        <v>-0.358</v>
      </c>
      <c r="ME20" s="17" t="n">
        <f aca="false">Daily_Composite!V346</f>
        <v>-0.381</v>
      </c>
      <c r="MF20" s="17" t="n">
        <f aca="false">Daily_Composite!V347</f>
        <v>0.131</v>
      </c>
      <c r="MG20" s="17" t="n">
        <f aca="false">Daily_Composite!V348</f>
        <v>0.131</v>
      </c>
      <c r="MH20" s="17" t="n">
        <f aca="false">Daily_Composite!V349</f>
        <v>0.194</v>
      </c>
      <c r="MI20" s="17" t="n">
        <f aca="false">Daily_Composite!V350</f>
        <v>0.543</v>
      </c>
      <c r="MJ20" s="17" t="n">
        <f aca="false">Daily_Composite!V351</f>
        <v>0.332</v>
      </c>
      <c r="MK20" s="17" t="n">
        <f aca="false">Daily_Composite!V352</f>
        <v>0.353</v>
      </c>
      <c r="ML20" s="17" t="n">
        <f aca="false">Daily_Composite!V353</f>
        <v>0.367</v>
      </c>
      <c r="MM20" s="17" t="n">
        <f aca="false">Daily_Composite!V354</f>
        <v>0.349</v>
      </c>
      <c r="MN20" s="17" t="n">
        <f aca="false">Daily_Composite!V355</f>
        <v>0.219</v>
      </c>
      <c r="MO20" s="17" t="n">
        <f aca="false">Daily_Composite!V356</f>
        <v>0.271</v>
      </c>
      <c r="MP20" s="17" t="n">
        <f aca="false">Daily_Composite!V357</f>
        <v>0.248</v>
      </c>
      <c r="MQ20" s="17" t="n">
        <f aca="false">Daily_Composite!V358</f>
        <v>0.185</v>
      </c>
      <c r="MR20" s="17" t="n">
        <f aca="false">Daily_Composite!V359</f>
        <v>0.079</v>
      </c>
      <c r="MS20" s="17" t="n">
        <f aca="false">Daily_Composite!V360</f>
        <v>0.365</v>
      </c>
      <c r="MT20" s="17" t="n">
        <f aca="false">Daily_Composite!V361</f>
        <v>-0.007</v>
      </c>
      <c r="MU20" s="17" t="n">
        <f aca="false">Daily_Composite!V362</f>
        <v>-0.08</v>
      </c>
      <c r="MV20" s="17" t="n">
        <f aca="false">Daily_Composite!V363</f>
        <v>-0.081</v>
      </c>
      <c r="MW20" s="17" t="n">
        <f aca="false">Daily_Composite!V364</f>
        <v>-0.303</v>
      </c>
      <c r="MX20" s="17" t="n">
        <f aca="false">Daily_Composite!V365</f>
        <v>-0.325</v>
      </c>
      <c r="MY20" s="17" t="n">
        <f aca="false">Daily_Composite!V366</f>
        <v>-0.281</v>
      </c>
      <c r="MZ20" s="17" t="n">
        <f aca="false">Daily_Composite!V367</f>
        <v>-0.278</v>
      </c>
      <c r="NA20" s="17" t="n">
        <f aca="false">Daily_Composite!V368</f>
        <v>-0.28</v>
      </c>
      <c r="NB20" s="17" t="n">
        <f aca="false">Daily_Composite!V369</f>
        <v>-0.57</v>
      </c>
    </row>
    <row r="21" customFormat="false" ht="15" hidden="false" customHeight="false" outlineLevel="0" collapsed="false">
      <c r="A21" s="6" t="s">
        <v>34</v>
      </c>
      <c r="B21" s="17" t="n">
        <f aca="false">Daily_Composite!W5</f>
        <v>-0.003</v>
      </c>
      <c r="C21" s="17" t="n">
        <f aca="false">Daily_Composite!W6</f>
        <v>-0.039</v>
      </c>
      <c r="D21" s="17" t="n">
        <f aca="false">Daily_Composite!W7</f>
        <v>0.024</v>
      </c>
      <c r="E21" s="17" t="n">
        <f aca="false">Daily_Composite!W8</f>
        <v>-0.096</v>
      </c>
      <c r="F21" s="17" t="n">
        <f aca="false">Daily_Composite!W9</f>
        <v>-0.018</v>
      </c>
      <c r="G21" s="17" t="n">
        <f aca="false">Daily_Composite!W10</f>
        <v>-0.409</v>
      </c>
      <c r="H21" s="17" t="n">
        <f aca="false">Daily_Composite!W11</f>
        <v>-0.146</v>
      </c>
      <c r="I21" s="17" t="n">
        <f aca="false">Daily_Composite!W12</f>
        <v>-0.53</v>
      </c>
      <c r="J21" s="17" t="n">
        <f aca="false">Daily_Composite!W13</f>
        <v>-0.078</v>
      </c>
      <c r="K21" s="17" t="n">
        <f aca="false">Daily_Composite!W14</f>
        <v>-0.098</v>
      </c>
      <c r="L21" s="17" t="n">
        <f aca="false">Daily_Composite!W15</f>
        <v>-0.067</v>
      </c>
      <c r="M21" s="17" t="n">
        <f aca="false">Daily_Composite!W16</f>
        <v>-0.196</v>
      </c>
      <c r="N21" s="17" t="n">
        <f aca="false">Daily_Composite!W17</f>
        <v>-0.382</v>
      </c>
      <c r="O21" s="17" t="n">
        <f aca="false">Daily_Composite!W18</f>
        <v>-0.029</v>
      </c>
      <c r="P21" s="17" t="n">
        <f aca="false">Daily_Composite!W19</f>
        <v>-0.014</v>
      </c>
      <c r="Q21" s="17" t="n">
        <f aca="false">Daily_Composite!W20</f>
        <v>-0.134</v>
      </c>
      <c r="R21" s="17" t="n">
        <f aca="false">Daily_Composite!W21</f>
        <v>0.287</v>
      </c>
      <c r="S21" s="17" t="n">
        <f aca="false">Daily_Composite!W22</f>
        <v>-0.436</v>
      </c>
      <c r="T21" s="17" t="n">
        <f aca="false">Daily_Composite!W23</f>
        <v>-0.103</v>
      </c>
      <c r="U21" s="17" t="n">
        <f aca="false">Daily_Composite!W24</f>
        <v>-0.126</v>
      </c>
      <c r="V21" s="17" t="n">
        <f aca="false">Daily_Composite!W25</f>
        <v>-0.12</v>
      </c>
      <c r="W21" s="17" t="n">
        <f aca="false">Daily_Composite!W26</f>
        <v>-0.253</v>
      </c>
      <c r="X21" s="17" t="n">
        <f aca="false">Daily_Composite!W27</f>
        <v>-0.466</v>
      </c>
      <c r="Y21" s="17" t="n">
        <f aca="false">Daily_Composite!W28</f>
        <v>-0.361</v>
      </c>
      <c r="Z21" s="17" t="n">
        <f aca="false">Daily_Composite!W29</f>
        <v>-0.429</v>
      </c>
      <c r="AA21" s="17" t="n">
        <f aca="false">Daily_Composite!W30</f>
        <v>-0.046</v>
      </c>
      <c r="AB21" s="17" t="n">
        <f aca="false">Daily_Composite!W31</f>
        <v>-0.379</v>
      </c>
      <c r="AC21" s="17" t="n">
        <f aca="false">Daily_Composite!W32</f>
        <v>-0.24</v>
      </c>
      <c r="AD21" s="17" t="n">
        <f aca="false">Daily_Composite!W33</f>
        <v>-0.156</v>
      </c>
      <c r="AE21" s="17" t="n">
        <f aca="false">Daily_Composite!W34</f>
        <v>-0.127</v>
      </c>
      <c r="AF21" s="17" t="n">
        <f aca="false">Daily_Composite!W35</f>
        <v>0.372</v>
      </c>
      <c r="AG21" s="17" t="n">
        <f aca="false">Daily_Composite!W36</f>
        <v>0.302</v>
      </c>
      <c r="AH21" s="17" t="n">
        <f aca="false">Daily_Composite!W37</f>
        <v>0.083</v>
      </c>
      <c r="AI21" s="17" t="n">
        <f aca="false">Daily_Composite!W38</f>
        <v>0.085</v>
      </c>
      <c r="AJ21" s="17" t="n">
        <f aca="false">Daily_Composite!W39</f>
        <v>0.111</v>
      </c>
      <c r="AK21" s="17" t="n">
        <f aca="false">Daily_Composite!W40</f>
        <v>-0.011</v>
      </c>
      <c r="AL21" s="17" t="n">
        <f aca="false">Daily_Composite!W41</f>
        <v>-0.03</v>
      </c>
      <c r="AM21" s="17" t="n">
        <f aca="false">Daily_Composite!W42</f>
        <v>-0.001</v>
      </c>
      <c r="AN21" s="17" t="n">
        <f aca="false">Daily_Composite!W43</f>
        <v>0.19</v>
      </c>
      <c r="AO21" s="17" t="n">
        <f aca="false">Daily_Composite!W44</f>
        <v>-0.249</v>
      </c>
      <c r="AP21" s="17" t="n">
        <f aca="false">Daily_Composite!W45</f>
        <v>0.046</v>
      </c>
      <c r="AQ21" s="17" t="n">
        <f aca="false">Daily_Composite!W46</f>
        <v>0.047</v>
      </c>
      <c r="AR21" s="17" t="n">
        <f aca="false">Daily_Composite!W47</f>
        <v>-0.434</v>
      </c>
      <c r="AS21" s="17" t="n">
        <f aca="false">Daily_Composite!W48</f>
        <v>-0.029</v>
      </c>
      <c r="AT21" s="17" t="n">
        <f aca="false">Daily_Composite!W49</f>
        <v>-0.439</v>
      </c>
      <c r="AU21" s="17" t="n">
        <f aca="false">Daily_Composite!W50</f>
        <v>-0.06</v>
      </c>
      <c r="AV21" s="17" t="n">
        <f aca="false">Daily_Composite!W51</f>
        <v>-0.235</v>
      </c>
      <c r="AW21" s="17" t="n">
        <f aca="false">Daily_Composite!W52</f>
        <v>-0.273</v>
      </c>
      <c r="AX21" s="17" t="n">
        <f aca="false">Daily_Composite!W53</f>
        <v>-0.029</v>
      </c>
      <c r="AY21" s="17" t="n">
        <f aca="false">Daily_Composite!W54</f>
        <v>-0.34</v>
      </c>
      <c r="AZ21" s="17" t="n">
        <f aca="false">Daily_Composite!W55</f>
        <v>-0.349</v>
      </c>
      <c r="BA21" s="17" t="n">
        <f aca="false">Daily_Composite!W56</f>
        <v>-0.201</v>
      </c>
      <c r="BB21" s="17" t="n">
        <f aca="false">Daily_Composite!W57</f>
        <v>-0.446</v>
      </c>
      <c r="BC21" s="17" t="n">
        <f aca="false">Daily_Composite!W58</f>
        <v>-0.166</v>
      </c>
      <c r="BD21" s="17" t="n">
        <f aca="false">Daily_Composite!W59</f>
        <v>0.245</v>
      </c>
      <c r="BE21" s="17" t="n">
        <f aca="false">Daily_Composite!W60</f>
        <v>-0.093</v>
      </c>
      <c r="BF21" s="17" t="n">
        <f aca="false">Daily_Composite!W61</f>
        <v>-0.039</v>
      </c>
      <c r="BG21" s="17" t="n">
        <f aca="false">Daily_Composite!W62</f>
        <v>0.337</v>
      </c>
      <c r="BH21" s="17" t="n">
        <f aca="false">Daily_Composite!W63</f>
        <v>-0.148</v>
      </c>
      <c r="BI21" s="17" t="n">
        <f aca="false">Daily_Composite!W64</f>
        <v>-0.163</v>
      </c>
      <c r="BJ21" s="17" t="n">
        <f aca="false">Daily_Composite!W65</f>
        <v>-0.477</v>
      </c>
      <c r="BK21" s="17" t="n">
        <f aca="false">Daily_Composite!W66</f>
        <v>-0.207</v>
      </c>
      <c r="BL21" s="17" t="n">
        <f aca="false">Daily_Composite!W67</f>
        <v>-0.068</v>
      </c>
      <c r="BM21" s="17" t="n">
        <f aca="false">Daily_Composite!W68</f>
        <v>-0.172</v>
      </c>
      <c r="BN21" s="17" t="n">
        <f aca="false">Daily_Composite!W69</f>
        <v>-0.229</v>
      </c>
      <c r="BO21" s="17" t="n">
        <f aca="false">Daily_Composite!W70</f>
        <v>-0.252</v>
      </c>
      <c r="BP21" s="17" t="n">
        <f aca="false">Daily_Composite!W71</f>
        <v>-0.09</v>
      </c>
      <c r="BQ21" s="17" t="n">
        <f aca="false">Daily_Composite!W72</f>
        <v>-0.202</v>
      </c>
      <c r="BR21" s="17" t="n">
        <f aca="false">Daily_Composite!W73</f>
        <v>-0.199</v>
      </c>
      <c r="BS21" s="17" t="n">
        <f aca="false">Daily_Composite!W74</f>
        <v>-0.478</v>
      </c>
      <c r="BT21" s="17" t="n">
        <f aca="false">Daily_Composite!W75</f>
        <v>-0.176</v>
      </c>
      <c r="BU21" s="17" t="n">
        <f aca="false">Daily_Composite!W76</f>
        <v>-0.356</v>
      </c>
      <c r="BV21" s="17" t="n">
        <f aca="false">Daily_Composite!W77</f>
        <v>-0.218</v>
      </c>
      <c r="BW21" s="17" t="n">
        <f aca="false">Daily_Composite!W78</f>
        <v>-0.175</v>
      </c>
      <c r="BX21" s="17" t="n">
        <f aca="false">Daily_Composite!W79</f>
        <v>-0.186</v>
      </c>
      <c r="BY21" s="17" t="n">
        <f aca="false">Daily_Composite!W80</f>
        <v>-0.054</v>
      </c>
      <c r="BZ21" s="17" t="n">
        <f aca="false">Daily_Composite!W81</f>
        <v>0.313</v>
      </c>
      <c r="CA21" s="17" t="n">
        <f aca="false">Daily_Composite!W82</f>
        <v>0.143</v>
      </c>
      <c r="CB21" s="17" t="n">
        <f aca="false">Daily_Composite!W83</f>
        <v>-0.19</v>
      </c>
      <c r="CC21" s="17" t="n">
        <f aca="false">Daily_Composite!W84</f>
        <v>-0.515</v>
      </c>
      <c r="CD21" s="17" t="n">
        <f aca="false">Daily_Composite!W85</f>
        <v>-0.25</v>
      </c>
      <c r="CE21" s="17" t="n">
        <f aca="false">Daily_Composite!W86</f>
        <v>0.169</v>
      </c>
      <c r="CF21" s="17" t="n">
        <f aca="false">Daily_Composite!W87</f>
        <v>0.158</v>
      </c>
      <c r="CG21" s="17" t="n">
        <f aca="false">Daily_Composite!W88</f>
        <v>-0.17</v>
      </c>
      <c r="CH21" s="17" t="n">
        <f aca="false">Daily_Composite!W89</f>
        <v>-0.16</v>
      </c>
      <c r="CI21" s="17" t="n">
        <f aca="false">Daily_Composite!W90</f>
        <v>0.137</v>
      </c>
      <c r="CJ21" s="17" t="n">
        <f aca="false">Daily_Composite!W91</f>
        <v>-0.055</v>
      </c>
      <c r="CK21" s="17" t="n">
        <f aca="false">Daily_Composite!W92</f>
        <v>-0.462</v>
      </c>
      <c r="CL21" s="17" t="n">
        <f aca="false">Daily_Composite!W93</f>
        <v>-0.393</v>
      </c>
      <c r="CM21" s="17" t="n">
        <f aca="false">Daily_Composite!W94</f>
        <v>0.141</v>
      </c>
      <c r="CN21" s="17" t="n">
        <f aca="false">Daily_Composite!W95</f>
        <v>-0.508</v>
      </c>
      <c r="CO21" s="17" t="n">
        <f aca="false">Daily_Composite!W96</f>
        <v>-0.516</v>
      </c>
      <c r="CP21" s="17" t="n">
        <f aca="false">Daily_Composite!W97</f>
        <v>-0.535</v>
      </c>
      <c r="CQ21" s="17" t="n">
        <f aca="false">Daily_Composite!W98</f>
        <v>-0.761</v>
      </c>
      <c r="CR21" s="17" t="n">
        <f aca="false">Daily_Composite!W99</f>
        <v>-0.774</v>
      </c>
      <c r="CS21" s="17" t="n">
        <f aca="false">Daily_Composite!W100</f>
        <v>-0.552</v>
      </c>
      <c r="CT21" s="17" t="n">
        <f aca="false">Daily_Composite!W101</f>
        <v>-0.763</v>
      </c>
      <c r="CU21" s="17" t="n">
        <f aca="false">Daily_Composite!W102</f>
        <v>-0.632</v>
      </c>
      <c r="CV21" s="17" t="n">
        <f aca="false">Daily_Composite!W103</f>
        <v>-0.779</v>
      </c>
      <c r="CW21" s="17" t="n">
        <f aca="false">Daily_Composite!W104</f>
        <v>-0.778</v>
      </c>
      <c r="CX21" s="17" t="n">
        <f aca="false">Daily_Composite!W105</f>
        <v>-0.484</v>
      </c>
      <c r="CY21" s="17" t="n">
        <f aca="false">Daily_Composite!W106</f>
        <v>-0.771</v>
      </c>
      <c r="CZ21" s="17" t="n">
        <f aca="false">Daily_Composite!W107</f>
        <v>-0.77</v>
      </c>
      <c r="DA21" s="17" t="n">
        <f aca="false">Daily_Composite!W108</f>
        <v>-0.759</v>
      </c>
      <c r="DB21" s="17" t="n">
        <f aca="false">Daily_Composite!W109</f>
        <v>-0.784</v>
      </c>
      <c r="DC21" s="17" t="n">
        <f aca="false">Daily_Composite!W110</f>
        <v>-0.76</v>
      </c>
      <c r="DD21" s="17" t="n">
        <f aca="false">Daily_Composite!W111</f>
        <v>-0.775</v>
      </c>
      <c r="DE21" s="17" t="n">
        <f aca="false">Daily_Composite!W112</f>
        <v>-0.49</v>
      </c>
      <c r="DF21" s="17" t="n">
        <f aca="false">Daily_Composite!W113</f>
        <v>-0.752</v>
      </c>
      <c r="DG21" s="17" t="n">
        <f aca="false">Daily_Composite!W114</f>
        <v>-0.601</v>
      </c>
      <c r="DH21" s="17" t="n">
        <f aca="false">Daily_Composite!W115</f>
        <v>-0.591</v>
      </c>
      <c r="DI21" s="17" t="n">
        <f aca="false">Daily_Composite!W116</f>
        <v>-0.558</v>
      </c>
      <c r="DJ21" s="17" t="n">
        <f aca="false">Daily_Composite!W117</f>
        <v>-0.655</v>
      </c>
      <c r="DK21" s="17" t="n">
        <f aca="false">Daily_Composite!W118</f>
        <v>-0.718</v>
      </c>
      <c r="DL21" s="17" t="n">
        <f aca="false">Daily_Composite!W119</f>
        <v>-0.377</v>
      </c>
      <c r="DM21" s="17" t="n">
        <f aca="false">Daily_Composite!W120</f>
        <v>-0.646</v>
      </c>
      <c r="DN21" s="17" t="n">
        <f aca="false">Daily_Composite!W121</f>
        <v>-0.273</v>
      </c>
      <c r="DO21" s="17" t="n">
        <f aca="false">Daily_Composite!W122</f>
        <v>-0.383</v>
      </c>
      <c r="DP21" s="17" t="n">
        <f aca="false">Daily_Composite!W123</f>
        <v>-0.171</v>
      </c>
      <c r="DQ21" s="17" t="n">
        <f aca="false">Daily_Composite!W124</f>
        <v>-0.193</v>
      </c>
      <c r="DR21" s="17" t="n">
        <f aca="false">Daily_Composite!W125</f>
        <v>0.178</v>
      </c>
      <c r="DS21" s="17" t="n">
        <f aca="false">Daily_Composite!W126</f>
        <v>0.468</v>
      </c>
      <c r="DT21" s="17" t="n">
        <f aca="false">Daily_Composite!W127</f>
        <v>0.008</v>
      </c>
      <c r="DU21" s="17" t="n">
        <f aca="false">Daily_Composite!W128</f>
        <v>0.124</v>
      </c>
      <c r="DV21" s="17" t="n">
        <f aca="false">Daily_Composite!W129</f>
        <v>-0.272</v>
      </c>
      <c r="DW21" s="17" t="n">
        <f aca="false">Daily_Composite!W130</f>
        <v>0.281</v>
      </c>
      <c r="DX21" s="17" t="n">
        <f aca="false">Daily_Composite!W131</f>
        <v>0.488</v>
      </c>
      <c r="DY21" s="17" t="n">
        <f aca="false">Daily_Composite!W132</f>
        <v>-0.041</v>
      </c>
      <c r="DZ21" s="17" t="n">
        <f aca="false">Daily_Composite!W133</f>
        <v>0.057</v>
      </c>
      <c r="EA21" s="17" t="n">
        <f aca="false">Daily_Composite!W134</f>
        <v>0.039</v>
      </c>
      <c r="EB21" s="17" t="n">
        <f aca="false">Daily_Composite!W135</f>
        <v>0.28</v>
      </c>
      <c r="EC21" s="17" t="n">
        <f aca="false">Daily_Composite!W136</f>
        <v>0.309</v>
      </c>
      <c r="ED21" s="17" t="n">
        <f aca="false">Daily_Composite!W137</f>
        <v>-0.164</v>
      </c>
      <c r="EE21" s="17" t="n">
        <f aca="false">Daily_Composite!W138</f>
        <v>-0.492</v>
      </c>
      <c r="EF21" s="17" t="n">
        <f aca="false">Daily_Composite!W139</f>
        <v>-0.222</v>
      </c>
      <c r="EG21" s="17" t="n">
        <f aca="false">Daily_Composite!W140</f>
        <v>0.335</v>
      </c>
      <c r="EH21" s="17" t="n">
        <f aca="false">Daily_Composite!W141</f>
        <v>-0.04</v>
      </c>
      <c r="EI21" s="17" t="n">
        <f aca="false">Daily_Composite!W142</f>
        <v>-0.012</v>
      </c>
      <c r="EJ21" s="17" t="n">
        <f aca="false">Daily_Composite!W143</f>
        <v>-0.101</v>
      </c>
      <c r="EK21" s="17" t="n">
        <f aca="false">Daily_Composite!W144</f>
        <v>-0.522</v>
      </c>
      <c r="EL21" s="17" t="n">
        <f aca="false">Daily_Composite!W145</f>
        <v>-0.275</v>
      </c>
      <c r="EM21" s="17" t="n">
        <f aca="false">Daily_Composite!W146</f>
        <v>-0.194</v>
      </c>
      <c r="EN21" s="17" t="n">
        <f aca="false">Daily_Composite!W147</f>
        <v>-0.587</v>
      </c>
      <c r="EO21" s="17" t="n">
        <f aca="false">Daily_Composite!W148</f>
        <v>-0.206</v>
      </c>
      <c r="EP21" s="17" t="n">
        <f aca="false">Daily_Composite!W149</f>
        <v>-0.048</v>
      </c>
      <c r="EQ21" s="17" t="n">
        <f aca="false">Daily_Composite!W150</f>
        <v>-0.174</v>
      </c>
      <c r="ER21" s="17" t="n">
        <f aca="false">Daily_Composite!W151</f>
        <v>-0.304</v>
      </c>
      <c r="ES21" s="17" t="n">
        <f aca="false">Daily_Composite!W152</f>
        <v>-0.319</v>
      </c>
      <c r="ET21" s="17" t="n">
        <f aca="false">Daily_Composite!W153</f>
        <v>-0.632</v>
      </c>
      <c r="EU21" s="17" t="n">
        <f aca="false">Daily_Composite!W154</f>
        <v>-0.632</v>
      </c>
      <c r="EV21" s="17" t="n">
        <f aca="false">Daily_Composite!W155</f>
        <v>-0.379</v>
      </c>
      <c r="EW21" s="17" t="n">
        <f aca="false">Daily_Composite!W156</f>
        <v>-0.563</v>
      </c>
      <c r="EX21" s="17" t="n">
        <f aca="false">Daily_Composite!W157</f>
        <v>-0.333</v>
      </c>
      <c r="EY21" s="17" t="n">
        <f aca="false">Daily_Composite!W158</f>
        <v>-0.524</v>
      </c>
      <c r="EZ21" s="17" t="n">
        <f aca="false">Daily_Composite!W159</f>
        <v>-0.041</v>
      </c>
      <c r="FA21" s="17" t="n">
        <f aca="false">Daily_Composite!W160</f>
        <v>0.026</v>
      </c>
      <c r="FB21" s="17" t="n">
        <f aca="false">Daily_Composite!W161</f>
        <v>-0.473</v>
      </c>
      <c r="FC21" s="17" t="n">
        <f aca="false">Daily_Composite!W162</f>
        <v>-0.139</v>
      </c>
      <c r="FD21" s="17" t="n">
        <f aca="false">Daily_Composite!W163</f>
        <v>-0.479</v>
      </c>
      <c r="FE21" s="17" t="n">
        <f aca="false">Daily_Composite!W164</f>
        <v>-0.55</v>
      </c>
      <c r="FF21" s="17" t="n">
        <f aca="false">Daily_Composite!W165</f>
        <v>-0.001</v>
      </c>
      <c r="FG21" s="17" t="n">
        <f aca="false">Daily_Composite!W166</f>
        <v>-0.533</v>
      </c>
      <c r="FH21" s="17" t="n">
        <f aca="false">Daily_Composite!W167</f>
        <v>0.052</v>
      </c>
      <c r="FI21" s="17" t="n">
        <f aca="false">Daily_Composite!W168</f>
        <v>-0.465</v>
      </c>
      <c r="FJ21" s="17" t="n">
        <f aca="false">Daily_Composite!W169</f>
        <v>-0.194</v>
      </c>
      <c r="FK21" s="17" t="n">
        <f aca="false">Daily_Composite!W170</f>
        <v>-0.283</v>
      </c>
      <c r="FL21" s="17" t="n">
        <f aca="false">Daily_Composite!W171</f>
        <v>-0.295</v>
      </c>
      <c r="FM21" s="17" t="n">
        <f aca="false">Daily_Composite!W172</f>
        <v>-0.091</v>
      </c>
      <c r="FN21" s="17" t="n">
        <f aca="false">Daily_Composite!W173</f>
        <v>0.09</v>
      </c>
      <c r="FO21" s="17" t="n">
        <f aca="false">Daily_Composite!W174</f>
        <v>-0.345</v>
      </c>
      <c r="FP21" s="17" t="n">
        <f aca="false">Daily_Composite!W175</f>
        <v>0.181</v>
      </c>
      <c r="FQ21" s="17" t="n">
        <f aca="false">Daily_Composite!W176</f>
        <v>0.068</v>
      </c>
      <c r="FR21" s="17" t="n">
        <f aca="false">Daily_Composite!W177</f>
        <v>0.175</v>
      </c>
      <c r="FS21" s="17" t="n">
        <f aca="false">Daily_Composite!W178</f>
        <v>0.072</v>
      </c>
      <c r="FT21" s="17" t="n">
        <f aca="false">Daily_Composite!W179</f>
        <v>-0.04</v>
      </c>
      <c r="FU21" s="17" t="n">
        <f aca="false">Daily_Composite!W180</f>
        <v>-0.514</v>
      </c>
      <c r="FV21" s="17" t="n">
        <f aca="false">Daily_Composite!W181</f>
        <v>-0.426</v>
      </c>
      <c r="FW21" s="17" t="n">
        <f aca="false">Daily_Composite!W182</f>
        <v>-0.099</v>
      </c>
      <c r="FX21" s="17" t="n">
        <f aca="false">Daily_Composite!W183</f>
        <v>-0.345</v>
      </c>
      <c r="FY21" s="17" t="n">
        <f aca="false">Daily_Composite!W184</f>
        <v>-0.387</v>
      </c>
      <c r="FZ21" s="17" t="n">
        <f aca="false">Daily_Composite!W185</f>
        <v>-0.51</v>
      </c>
      <c r="GA21" s="17" t="n">
        <f aca="false">Daily_Composite!W186</f>
        <v>-0.096</v>
      </c>
      <c r="GB21" s="17" t="n">
        <f aca="false">Daily_Composite!W187</f>
        <v>-0.103</v>
      </c>
      <c r="GC21" s="17" t="n">
        <f aca="false">Daily_Composite!W188</f>
        <v>-0.541</v>
      </c>
      <c r="GD21" s="17" t="n">
        <f aca="false">Daily_Composite!W189</f>
        <v>-0.573</v>
      </c>
      <c r="GE21" s="17" t="n">
        <f aca="false">Daily_Composite!W190</f>
        <v>-0.095</v>
      </c>
      <c r="GF21" s="17" t="n">
        <f aca="false">Daily_Composite!W191</f>
        <v>-0.569</v>
      </c>
      <c r="GG21" s="17" t="n">
        <f aca="false">Daily_Composite!W192</f>
        <v>-0.326</v>
      </c>
      <c r="GH21" s="17" t="n">
        <f aca="false">Daily_Composite!W193</f>
        <v>-0.422</v>
      </c>
      <c r="GI21" s="17" t="n">
        <f aca="false">Daily_Composite!W194</f>
        <v>-0.202</v>
      </c>
      <c r="GJ21" s="17" t="n">
        <f aca="false">Daily_Composite!W195</f>
        <v>0.176</v>
      </c>
      <c r="GK21" s="17" t="n">
        <f aca="false">Daily_Composite!W196</f>
        <v>-0.194</v>
      </c>
      <c r="GL21" s="17" t="n">
        <f aca="false">Daily_Composite!W197</f>
        <v>-0.266</v>
      </c>
      <c r="GM21" s="17" t="n">
        <f aca="false">Daily_Composite!W198</f>
        <v>-0.345</v>
      </c>
      <c r="GN21" s="17" t="n">
        <f aca="false">Daily_Composite!W199</f>
        <v>-0.468</v>
      </c>
      <c r="GO21" s="17" t="n">
        <f aca="false">Daily_Composite!W200</f>
        <v>-0.649</v>
      </c>
      <c r="GP21" s="17" t="n">
        <f aca="false">Daily_Composite!W201</f>
        <v>-0.258</v>
      </c>
      <c r="GQ21" s="17" t="n">
        <f aca="false">Daily_Composite!W202</f>
        <v>-0.631</v>
      </c>
      <c r="GR21" s="17" t="n">
        <f aca="false">Daily_Composite!W203</f>
        <v>-0.252</v>
      </c>
      <c r="GS21" s="17" t="n">
        <f aca="false">Daily_Composite!W204</f>
        <v>-0.412</v>
      </c>
      <c r="GT21" s="17" t="n">
        <f aca="false">Daily_Composite!W205</f>
        <v>-0.183</v>
      </c>
      <c r="GU21" s="17" t="n">
        <f aca="false">Daily_Composite!W206</f>
        <v>-0.283</v>
      </c>
      <c r="GV21" s="17" t="n">
        <f aca="false">Daily_Composite!W207</f>
        <v>-0.441</v>
      </c>
      <c r="GW21" s="17" t="n">
        <f aca="false">Daily_Composite!W208</f>
        <v>-0.509</v>
      </c>
      <c r="GX21" s="17" t="n">
        <f aca="false">Daily_Composite!W209</f>
        <v>-0.205</v>
      </c>
      <c r="GY21" s="17" t="n">
        <f aca="false">Daily_Composite!W210</f>
        <v>-0.245</v>
      </c>
      <c r="GZ21" s="17" t="n">
        <f aca="false">Daily_Composite!W211</f>
        <v>-0.517</v>
      </c>
      <c r="HA21" s="17" t="n">
        <f aca="false">Daily_Composite!W212</f>
        <v>-0.492</v>
      </c>
      <c r="HB21" s="17" t="n">
        <f aca="false">Daily_Composite!W213</f>
        <v>-0.665</v>
      </c>
      <c r="HC21" s="17" t="n">
        <f aca="false">Daily_Composite!W214</f>
        <v>-0.26</v>
      </c>
      <c r="HD21" s="17" t="n">
        <f aca="false">Daily_Composite!W215</f>
        <v>-0.671</v>
      </c>
      <c r="HE21" s="17" t="n">
        <f aca="false">Daily_Composite!W216</f>
        <v>-0.685</v>
      </c>
      <c r="HF21" s="17" t="n">
        <f aca="false">Daily_Composite!W217</f>
        <v>-0.691</v>
      </c>
      <c r="HG21" s="17" t="n">
        <f aca="false">Daily_Composite!W218</f>
        <v>-0.741</v>
      </c>
      <c r="HH21" s="17" t="n">
        <f aca="false">Daily_Composite!W219</f>
        <v>-0.604</v>
      </c>
      <c r="HI21" s="17" t="n">
        <f aca="false">Daily_Composite!W220</f>
        <v>-0.729</v>
      </c>
      <c r="HJ21" s="17" t="n">
        <f aca="false">Daily_Composite!W221</f>
        <v>-0.736</v>
      </c>
      <c r="HK21" s="17" t="n">
        <f aca="false">Daily_Composite!W222</f>
        <v>-0.301</v>
      </c>
      <c r="HL21" s="17" t="n">
        <f aca="false">Daily_Composite!W223</f>
        <v>-0.396</v>
      </c>
      <c r="HM21" s="17" t="n">
        <f aca="false">Daily_Composite!W224</f>
        <v>-0.563</v>
      </c>
      <c r="HN21" s="17" t="n">
        <f aca="false">Daily_Composite!W225</f>
        <v>-0.417</v>
      </c>
      <c r="HO21" s="17" t="n">
        <f aca="false">Daily_Composite!W226</f>
        <v>-0.411</v>
      </c>
      <c r="HP21" s="17" t="n">
        <f aca="false">Daily_Composite!W227</f>
        <v>-0.678</v>
      </c>
      <c r="HQ21" s="17" t="n">
        <f aca="false">Daily_Composite!W228</f>
        <v>-0.236</v>
      </c>
      <c r="HR21" s="17" t="n">
        <f aca="false">Daily_Composite!W229</f>
        <v>-0.486</v>
      </c>
      <c r="HS21" s="17" t="n">
        <f aca="false">Daily_Composite!W230</f>
        <v>-0.25</v>
      </c>
      <c r="HT21" s="17" t="n">
        <f aca="false">Daily_Composite!W231</f>
        <v>-0.601</v>
      </c>
      <c r="HU21" s="17" t="n">
        <f aca="false">Daily_Composite!W232</f>
        <v>-0.197</v>
      </c>
      <c r="HV21" s="17" t="n">
        <f aca="false">Daily_Composite!W233</f>
        <v>-0.229</v>
      </c>
      <c r="HW21" s="17" t="n">
        <f aca="false">Daily_Composite!W234</f>
        <v>-0.229</v>
      </c>
      <c r="HX21" s="17" t="n">
        <f aca="false">Daily_Composite!W235</f>
        <v>-0.401</v>
      </c>
      <c r="HY21" s="17" t="n">
        <f aca="false">Daily_Composite!W236</f>
        <v>-0.546</v>
      </c>
      <c r="HZ21" s="17" t="n">
        <f aca="false">Daily_Composite!W237</f>
        <v>-0.319</v>
      </c>
      <c r="IA21" s="17" t="n">
        <f aca="false">Daily_Composite!W238</f>
        <v>-0.258</v>
      </c>
      <c r="IB21" s="17" t="n">
        <f aca="false">Daily_Composite!W239</f>
        <v>-0.3</v>
      </c>
      <c r="IC21" s="17" t="n">
        <f aca="false">Daily_Composite!W240</f>
        <v>-0.604</v>
      </c>
      <c r="ID21" s="17" t="n">
        <f aca="false">Daily_Composite!W241</f>
        <v>-0.205</v>
      </c>
      <c r="IE21" s="17" t="n">
        <f aca="false">Daily_Composite!W242</f>
        <v>-0.552</v>
      </c>
      <c r="IF21" s="17" t="n">
        <f aca="false">Daily_Composite!W243</f>
        <v>-0.552</v>
      </c>
      <c r="IG21" s="17" t="n">
        <f aca="false">Daily_Composite!W244</f>
        <v>-0.562</v>
      </c>
      <c r="IH21" s="17" t="n">
        <f aca="false">Daily_Composite!W245</f>
        <v>-0.044</v>
      </c>
      <c r="II21" s="17" t="n">
        <f aca="false">Daily_Composite!W246</f>
        <v>-0.321</v>
      </c>
      <c r="IJ21" s="17" t="n">
        <f aca="false">Daily_Composite!W247</f>
        <v>-0.2</v>
      </c>
      <c r="IK21" s="17" t="n">
        <f aca="false">Daily_Composite!W248</f>
        <v>-0.079</v>
      </c>
      <c r="IL21" s="17" t="n">
        <f aca="false">Daily_Composite!W249</f>
        <v>-0.134</v>
      </c>
      <c r="IM21" s="17" t="n">
        <f aca="false">Daily_Composite!W250</f>
        <v>-0.005</v>
      </c>
      <c r="IN21" s="17" t="n">
        <f aca="false">Daily_Composite!W251</f>
        <v>0.121</v>
      </c>
      <c r="IO21" s="17" t="n">
        <f aca="false">Daily_Composite!W252</f>
        <v>-0.04</v>
      </c>
      <c r="IP21" s="17" t="n">
        <f aca="false">Daily_Composite!W253</f>
        <v>-0.152</v>
      </c>
      <c r="IQ21" s="17" t="n">
        <f aca="false">Daily_Composite!W254</f>
        <v>0.096</v>
      </c>
      <c r="IR21" s="17" t="n">
        <f aca="false">Daily_Composite!W255</f>
        <v>-0.205</v>
      </c>
      <c r="IS21" s="17" t="n">
        <f aca="false">Daily_Composite!W256</f>
        <v>-0.659</v>
      </c>
      <c r="IT21" s="17" t="n">
        <f aca="false">Daily_Composite!W257</f>
        <v>-0.274</v>
      </c>
      <c r="IU21" s="17" t="n">
        <f aca="false">Daily_Composite!W258</f>
        <v>-0.358</v>
      </c>
      <c r="IV21" s="17" t="n">
        <f aca="false">Daily_Composite!W259</f>
        <v>-0.268</v>
      </c>
      <c r="IW21" s="17" t="n">
        <f aca="false">Daily_Composite!W260</f>
        <v>-0.226</v>
      </c>
      <c r="IX21" s="17" t="n">
        <f aca="false">Daily_Composite!W261</f>
        <v>-0.244</v>
      </c>
      <c r="IY21" s="17" t="n">
        <f aca="false">Daily_Composite!W262</f>
        <v>-0.604</v>
      </c>
      <c r="IZ21" s="17" t="n">
        <f aca="false">Daily_Composite!W263</f>
        <v>-0.114</v>
      </c>
      <c r="JA21" s="17" t="n">
        <f aca="false">Daily_Composite!W264</f>
        <v>-0.283</v>
      </c>
      <c r="JB21" s="17" t="n">
        <f aca="false">Daily_Composite!W265</f>
        <v>-0.514</v>
      </c>
      <c r="JC21" s="17" t="n">
        <f aca="false">Daily_Composite!W266</f>
        <v>-0.549</v>
      </c>
      <c r="JD21" s="17" t="n">
        <f aca="false">Daily_Composite!W267</f>
        <v>-0.428</v>
      </c>
      <c r="JE21" s="17" t="n">
        <f aca="false">Daily_Composite!W268</f>
        <v>-0.297</v>
      </c>
      <c r="JF21" s="17" t="n">
        <f aca="false">Daily_Composite!W269</f>
        <v>-0.314</v>
      </c>
      <c r="JG21" s="17" t="n">
        <f aca="false">Daily_Composite!W270</f>
        <v>-0.693</v>
      </c>
      <c r="JH21" s="17" t="n">
        <f aca="false">Daily_Composite!W271</f>
        <v>-0.702</v>
      </c>
      <c r="JI21" s="17" t="n">
        <f aca="false">Daily_Composite!W272</f>
        <v>-0.725</v>
      </c>
      <c r="JJ21" s="17" t="n">
        <f aca="false">Daily_Composite!W273</f>
        <v>-0.608</v>
      </c>
      <c r="JK21" s="17" t="n">
        <f aca="false">Daily_Composite!W274</f>
        <v>-0.592</v>
      </c>
      <c r="JL21" s="17" t="n">
        <f aca="false">Daily_Composite!W275</f>
        <v>-0.576</v>
      </c>
      <c r="JM21" s="17" t="n">
        <f aca="false">Daily_Composite!W276</f>
        <v>-0.265</v>
      </c>
      <c r="JN21" s="17" t="n">
        <f aca="false">Daily_Composite!W277</f>
        <v>-0.258</v>
      </c>
      <c r="JO21" s="17" t="n">
        <f aca="false">Daily_Composite!W278</f>
        <v>-0.179</v>
      </c>
      <c r="JP21" s="17" t="n">
        <f aca="false">Daily_Composite!W279</f>
        <v>-0.305</v>
      </c>
      <c r="JQ21" s="17" t="n">
        <f aca="false">Daily_Composite!W280</f>
        <v>-0.279</v>
      </c>
      <c r="JR21" s="17" t="n">
        <f aca="false">Daily_Composite!W281</f>
        <v>-0.548</v>
      </c>
      <c r="JS21" s="17" t="n">
        <f aca="false">Daily_Composite!W282</f>
        <v>0.156</v>
      </c>
      <c r="JT21" s="17" t="n">
        <f aca="false">Daily_Composite!W283</f>
        <v>-0.227</v>
      </c>
      <c r="JU21" s="17" t="n">
        <f aca="false">Daily_Composite!W284</f>
        <v>-0.559</v>
      </c>
      <c r="JV21" s="17" t="n">
        <f aca="false">Daily_Composite!W285</f>
        <v>-0.256</v>
      </c>
      <c r="JW21" s="17" t="n">
        <f aca="false">Daily_Composite!W286</f>
        <v>-0.227</v>
      </c>
      <c r="JX21" s="17" t="n">
        <f aca="false">Daily_Composite!W287</f>
        <v>-0.243</v>
      </c>
      <c r="JY21" s="17" t="n">
        <f aca="false">Daily_Composite!W288</f>
        <v>-0.208</v>
      </c>
      <c r="JZ21" s="17" t="n">
        <f aca="false">Daily_Composite!W289</f>
        <v>0.026</v>
      </c>
      <c r="KA21" s="17" t="n">
        <f aca="false">Daily_Composite!W290</f>
        <v>0.157</v>
      </c>
      <c r="KB21" s="17" t="n">
        <f aca="false">Daily_Composite!W291</f>
        <v>-0.266</v>
      </c>
      <c r="KC21" s="17" t="n">
        <f aca="false">Daily_Composite!W292</f>
        <v>-0.565</v>
      </c>
      <c r="KD21" s="17" t="n">
        <f aca="false">Daily_Composite!W293</f>
        <v>-0.316</v>
      </c>
      <c r="KE21" s="17" t="n">
        <f aca="false">Daily_Composite!W294</f>
        <v>0.158</v>
      </c>
      <c r="KF21" s="17" t="n">
        <f aca="false">Daily_Composite!W295</f>
        <v>0.231</v>
      </c>
      <c r="KG21" s="17" t="n">
        <f aca="false">Daily_Composite!W296</f>
        <v>-0.104</v>
      </c>
      <c r="KH21" s="17" t="n">
        <f aca="false">Daily_Composite!W297</f>
        <v>-0.541</v>
      </c>
      <c r="KI21" s="17" t="n">
        <f aca="false">Daily_Composite!W298</f>
        <v>-0.619</v>
      </c>
      <c r="KJ21" s="17" t="n">
        <f aca="false">Daily_Composite!W299</f>
        <v>-0.62</v>
      </c>
      <c r="KK21" s="17" t="n">
        <f aca="false">Daily_Composite!W300</f>
        <v>-0.25</v>
      </c>
      <c r="KL21" s="17" t="n">
        <f aca="false">Daily_Composite!W301</f>
        <v>-0.566</v>
      </c>
      <c r="KM21" s="17" t="n">
        <f aca="false">Daily_Composite!W302</f>
        <v>-0.384</v>
      </c>
      <c r="KN21" s="17" t="n">
        <f aca="false">Daily_Composite!W303</f>
        <v>-0.278</v>
      </c>
      <c r="KO21" s="17" t="n">
        <f aca="false">Daily_Composite!W304</f>
        <v>-0.31</v>
      </c>
      <c r="KP21" s="17" t="n">
        <f aca="false">Daily_Composite!W305</f>
        <v>-0.418</v>
      </c>
      <c r="KQ21" s="17" t="n">
        <f aca="false">Daily_Composite!W306</f>
        <v>-0.301</v>
      </c>
      <c r="KR21" s="17" t="n">
        <f aca="false">Daily_Composite!W307</f>
        <v>-0.446</v>
      </c>
      <c r="KS21" s="17" t="n">
        <f aca="false">Daily_Composite!W308</f>
        <v>-0.608</v>
      </c>
      <c r="KT21" s="17" t="n">
        <f aca="false">Daily_Composite!W309</f>
        <v>-0.077</v>
      </c>
      <c r="KU21" s="17" t="n">
        <f aca="false">Daily_Composite!W310</f>
        <v>-0.251</v>
      </c>
      <c r="KV21" s="17" t="n">
        <f aca="false">Daily_Composite!W311</f>
        <v>-0.669</v>
      </c>
      <c r="KW21" s="17" t="n">
        <f aca="false">Daily_Composite!W312</f>
        <v>-0.28</v>
      </c>
      <c r="KX21" s="17" t="n">
        <f aca="false">Daily_Composite!W313</f>
        <v>-0.42</v>
      </c>
      <c r="KY21" s="17" t="n">
        <f aca="false">Daily_Composite!W314</f>
        <v>-0.22</v>
      </c>
      <c r="KZ21" s="17" t="n">
        <f aca="false">Daily_Composite!W315</f>
        <v>-0.242</v>
      </c>
      <c r="LA21" s="17" t="n">
        <f aca="false">Daily_Composite!W316</f>
        <v>-0.237</v>
      </c>
      <c r="LB21" s="17" t="n">
        <f aca="false">Daily_Composite!W317</f>
        <v>-0.277</v>
      </c>
      <c r="LC21" s="17" t="n">
        <f aca="false">Daily_Composite!W318</f>
        <v>0.038</v>
      </c>
      <c r="LD21" s="17" t="n">
        <f aca="false">Daily_Composite!W319</f>
        <v>-0.368</v>
      </c>
      <c r="LE21" s="17" t="n">
        <f aca="false">Daily_Composite!W320</f>
        <v>-0.573</v>
      </c>
      <c r="LF21" s="17" t="n">
        <f aca="false">Daily_Composite!W321</f>
        <v>-0.101</v>
      </c>
      <c r="LG21" s="17" t="n">
        <f aca="false">Daily_Composite!W322</f>
        <v>-0.005</v>
      </c>
      <c r="LH21" s="17" t="n">
        <f aca="false">Daily_Composite!W323</f>
        <v>0.076</v>
      </c>
      <c r="LI21" s="17" t="n">
        <f aca="false">Daily_Composite!W324</f>
        <v>-0.369</v>
      </c>
      <c r="LJ21" s="17" t="n">
        <f aca="false">Daily_Composite!W325</f>
        <v>-0.382</v>
      </c>
      <c r="LK21" s="17" t="n">
        <f aca="false">Daily_Composite!W326</f>
        <v>-0.577</v>
      </c>
      <c r="LL21" s="17" t="n">
        <f aca="false">Daily_Composite!W327</f>
        <v>0.279</v>
      </c>
      <c r="LM21" s="17" t="n">
        <f aca="false">Daily_Composite!W328</f>
        <v>-0.078</v>
      </c>
      <c r="LN21" s="17" t="n">
        <f aca="false">Daily_Composite!W329</f>
        <v>0.095</v>
      </c>
      <c r="LO21" s="17" t="n">
        <f aca="false">Daily_Composite!W330</f>
        <v>-0.374</v>
      </c>
      <c r="LP21" s="17" t="n">
        <f aca="false">Daily_Composite!W331</f>
        <v>0.121</v>
      </c>
      <c r="LQ21" s="17" t="n">
        <f aca="false">Daily_Composite!W332</f>
        <v>0.254</v>
      </c>
      <c r="LR21" s="17" t="n">
        <f aca="false">Daily_Composite!W333</f>
        <v>0.265</v>
      </c>
      <c r="LS21" s="17" t="n">
        <f aca="false">Daily_Composite!W334</f>
        <v>0.075</v>
      </c>
      <c r="LT21" s="17" t="n">
        <f aca="false">Daily_Composite!W335</f>
        <v>0.076</v>
      </c>
      <c r="LU21" s="17" t="n">
        <f aca="false">Daily_Composite!W336</f>
        <v>-0.387</v>
      </c>
      <c r="LV21" s="17" t="n">
        <f aca="false">Daily_Composite!W337</f>
        <v>0.339</v>
      </c>
      <c r="LW21" s="17" t="n">
        <f aca="false">Daily_Composite!W338</f>
        <v>0.168</v>
      </c>
      <c r="LX21" s="17" t="n">
        <f aca="false">Daily_Composite!W339</f>
        <v>-0.041</v>
      </c>
      <c r="LY21" s="17" t="n">
        <f aca="false">Daily_Composite!W340</f>
        <v>0.034</v>
      </c>
      <c r="LZ21" s="17" t="n">
        <f aca="false">Daily_Composite!W341</f>
        <v>0.145</v>
      </c>
      <c r="MA21" s="17" t="n">
        <f aca="false">Daily_Composite!W342</f>
        <v>0.093</v>
      </c>
      <c r="MB21" s="17" t="n">
        <f aca="false">Daily_Composite!W343</f>
        <v>0.104</v>
      </c>
      <c r="MC21" s="17" t="n">
        <f aca="false">Daily_Composite!W344</f>
        <v>-0.441</v>
      </c>
      <c r="MD21" s="17" t="n">
        <f aca="false">Daily_Composite!W345</f>
        <v>0.015</v>
      </c>
      <c r="ME21" s="17" t="n">
        <f aca="false">Daily_Composite!W346</f>
        <v>0.133</v>
      </c>
      <c r="MF21" s="17" t="n">
        <f aca="false">Daily_Composite!W347</f>
        <v>0.337</v>
      </c>
      <c r="MG21" s="17" t="n">
        <f aca="false">Daily_Composite!W348</f>
        <v>0.018</v>
      </c>
      <c r="MH21" s="17" t="n">
        <f aca="false">Daily_Composite!W349</f>
        <v>0.138</v>
      </c>
      <c r="MI21" s="17" t="n">
        <f aca="false">Daily_Composite!W350</f>
        <v>0.238</v>
      </c>
      <c r="MJ21" s="17" t="n">
        <f aca="false">Daily_Composite!W351</f>
        <v>0.303</v>
      </c>
      <c r="MK21" s="17" t="n">
        <f aca="false">Daily_Composite!W352</f>
        <v>0.092</v>
      </c>
      <c r="ML21" s="17" t="n">
        <f aca="false">Daily_Composite!W353</f>
        <v>0.089</v>
      </c>
      <c r="MM21" s="17" t="n">
        <f aca="false">Daily_Composite!W354</f>
        <v>0.198</v>
      </c>
      <c r="MN21" s="17" t="n">
        <f aca="false">Daily_Composite!W355</f>
        <v>0.124</v>
      </c>
      <c r="MO21" s="17" t="n">
        <f aca="false">Daily_Composite!W356</f>
        <v>0.053</v>
      </c>
      <c r="MP21" s="17" t="n">
        <f aca="false">Daily_Composite!W357</f>
        <v>0.492</v>
      </c>
      <c r="MQ21" s="17" t="n">
        <f aca="false">Daily_Composite!W358</f>
        <v>0.011</v>
      </c>
      <c r="MR21" s="17" t="n">
        <f aca="false">Daily_Composite!W359</f>
        <v>-0.063</v>
      </c>
      <c r="MS21" s="17" t="n">
        <f aca="false">Daily_Composite!W360</f>
        <v>0.001</v>
      </c>
      <c r="MT21" s="17" t="n">
        <f aca="false">Daily_Composite!W361</f>
        <v>0.036</v>
      </c>
      <c r="MU21" s="17" t="n">
        <f aca="false">Daily_Composite!W362</f>
        <v>0.018</v>
      </c>
      <c r="MV21" s="17" t="n">
        <f aca="false">Daily_Composite!W363</f>
        <v>-0.143</v>
      </c>
      <c r="MW21" s="17" t="n">
        <f aca="false">Daily_Composite!W364</f>
        <v>-0.027</v>
      </c>
      <c r="MX21" s="17" t="n">
        <f aca="false">Daily_Composite!W365</f>
        <v>-0.125</v>
      </c>
      <c r="MY21" s="17" t="n">
        <f aca="false">Daily_Composite!W366</f>
        <v>0.284</v>
      </c>
      <c r="MZ21" s="17" t="n">
        <f aca="false">Daily_Composite!W367</f>
        <v>-0.174</v>
      </c>
      <c r="NA21" s="17" t="n">
        <f aca="false">Daily_Composite!W368</f>
        <v>-0.089</v>
      </c>
      <c r="NB21" s="17" t="n">
        <f aca="false">Daily_Composite!W369</f>
        <v>-0.175</v>
      </c>
    </row>
    <row r="22" customFormat="false" ht="15" hidden="false" customHeight="false" outlineLevel="0" collapsed="false">
      <c r="A22" s="6" t="s">
        <v>35</v>
      </c>
      <c r="B22" s="17" t="n">
        <f aca="false">Daily_Composite!X5</f>
        <v>0.043</v>
      </c>
      <c r="C22" s="17" t="n">
        <f aca="false">Daily_Composite!X6</f>
        <v>0.081</v>
      </c>
      <c r="D22" s="17" t="n">
        <f aca="false">Daily_Composite!X7</f>
        <v>0.081</v>
      </c>
      <c r="E22" s="17" t="n">
        <f aca="false">Daily_Composite!X8</f>
        <v>0.085</v>
      </c>
      <c r="F22" s="17" t="n">
        <f aca="false">Daily_Composite!X9</f>
        <v>-0.117</v>
      </c>
      <c r="G22" s="17" t="n">
        <f aca="false">Daily_Composite!X10</f>
        <v>0.086</v>
      </c>
      <c r="H22" s="17" t="n">
        <f aca="false">Daily_Composite!X11</f>
        <v>0.375</v>
      </c>
      <c r="I22" s="17" t="n">
        <f aca="false">Daily_Composite!X12</f>
        <v>-0.351</v>
      </c>
      <c r="J22" s="17" t="n">
        <f aca="false">Daily_Composite!X13</f>
        <v>0.147</v>
      </c>
      <c r="K22" s="17" t="n">
        <f aca="false">Daily_Composite!X14</f>
        <v>0.206</v>
      </c>
      <c r="L22" s="17" t="n">
        <f aca="false">Daily_Composite!X15</f>
        <v>0.067</v>
      </c>
      <c r="M22" s="17" t="n">
        <f aca="false">Daily_Composite!X16</f>
        <v>0.067</v>
      </c>
      <c r="N22" s="17" t="n">
        <f aca="false">Daily_Composite!X17</f>
        <v>0.129</v>
      </c>
      <c r="O22" s="17" t="n">
        <f aca="false">Daily_Composite!X18</f>
        <v>0.118</v>
      </c>
      <c r="P22" s="17" t="n">
        <f aca="false">Daily_Composite!X19</f>
        <v>0.122</v>
      </c>
      <c r="Q22" s="17" t="n">
        <f aca="false">Daily_Composite!X20</f>
        <v>0.051</v>
      </c>
      <c r="R22" s="17" t="n">
        <f aca="false">Daily_Composite!X21</f>
        <v>0.131</v>
      </c>
      <c r="S22" s="17" t="n">
        <f aca="false">Daily_Composite!X22</f>
        <v>-0.303</v>
      </c>
      <c r="T22" s="17" t="n">
        <f aca="false">Daily_Composite!X23</f>
        <v>0.046</v>
      </c>
      <c r="U22" s="17" t="n">
        <f aca="false">Daily_Composite!X24</f>
        <v>0.033</v>
      </c>
      <c r="V22" s="17" t="n">
        <f aca="false">Daily_Composite!X25</f>
        <v>0.046</v>
      </c>
      <c r="W22" s="17" t="n">
        <f aca="false">Daily_Composite!X26</f>
        <v>0.012</v>
      </c>
      <c r="X22" s="17" t="n">
        <f aca="false">Daily_Composite!X27</f>
        <v>-0.247</v>
      </c>
      <c r="Y22" s="17" t="n">
        <f aca="false">Daily_Composite!X28</f>
        <v>-0.214</v>
      </c>
      <c r="Z22" s="17" t="n">
        <f aca="false">Daily_Composite!X29</f>
        <v>0.024</v>
      </c>
      <c r="AA22" s="17" t="n">
        <f aca="false">Daily_Composite!X30</f>
        <v>0.245</v>
      </c>
      <c r="AB22" s="17" t="n">
        <f aca="false">Daily_Composite!X31</f>
        <v>-0.388</v>
      </c>
      <c r="AC22" s="17" t="n">
        <f aca="false">Daily_Composite!X32</f>
        <v>0.026</v>
      </c>
      <c r="AD22" s="17" t="n">
        <f aca="false">Daily_Composite!X33</f>
        <v>0.073</v>
      </c>
      <c r="AE22" s="17" t="n">
        <f aca="false">Daily_Composite!X34</f>
        <v>0.081</v>
      </c>
      <c r="AF22" s="17" t="n">
        <f aca="false">Daily_Composite!X35</f>
        <v>0.183</v>
      </c>
      <c r="AG22" s="17" t="n">
        <f aca="false">Daily_Composite!X36</f>
        <v>0.155</v>
      </c>
      <c r="AH22" s="17" t="n">
        <f aca="false">Daily_Composite!X37</f>
        <v>0.096</v>
      </c>
      <c r="AI22" s="17" t="n">
        <f aca="false">Daily_Composite!X38</f>
        <v>0.352</v>
      </c>
      <c r="AJ22" s="17" t="n">
        <f aca="false">Daily_Composite!X39</f>
        <v>0.204</v>
      </c>
      <c r="AK22" s="17" t="n">
        <f aca="false">Daily_Composite!X40</f>
        <v>0.099</v>
      </c>
      <c r="AL22" s="17" t="n">
        <f aca="false">Daily_Composite!X41</f>
        <v>0.088</v>
      </c>
      <c r="AM22" s="17" t="n">
        <f aca="false">Daily_Composite!X42</f>
        <v>-0.009</v>
      </c>
      <c r="AN22" s="17" t="n">
        <f aca="false">Daily_Composite!X43</f>
        <v>-0.07</v>
      </c>
      <c r="AO22" s="17" t="n">
        <f aca="false">Daily_Composite!X44</f>
        <v>0.06</v>
      </c>
      <c r="AP22" s="17" t="n">
        <f aca="false">Daily_Composite!X45</f>
        <v>0.06</v>
      </c>
      <c r="AQ22" s="17" t="n">
        <f aca="false">Daily_Composite!X46</f>
        <v>-0.125</v>
      </c>
      <c r="AR22" s="17" t="n">
        <f aca="false">Daily_Composite!X47</f>
        <v>-0.127</v>
      </c>
      <c r="AS22" s="17" t="n">
        <f aca="false">Daily_Composite!X48</f>
        <v>-0.337</v>
      </c>
      <c r="AT22" s="17" t="n">
        <f aca="false">Daily_Composite!X49</f>
        <v>-0.377</v>
      </c>
      <c r="AU22" s="17" t="n">
        <f aca="false">Daily_Composite!X50</f>
        <v>0.02</v>
      </c>
      <c r="AV22" s="17" t="n">
        <f aca="false">Daily_Composite!X51</f>
        <v>0.002</v>
      </c>
      <c r="AW22" s="17" t="n">
        <f aca="false">Daily_Composite!X52</f>
        <v>0.002</v>
      </c>
      <c r="AX22" s="17" t="n">
        <f aca="false">Daily_Composite!X53</f>
        <v>0.004</v>
      </c>
      <c r="AY22" s="17" t="n">
        <f aca="false">Daily_Composite!X54</f>
        <v>-0.275</v>
      </c>
      <c r="AZ22" s="17" t="n">
        <f aca="false">Daily_Composite!X55</f>
        <v>-0.342</v>
      </c>
      <c r="BA22" s="17" t="n">
        <f aca="false">Daily_Composite!X56</f>
        <v>-0.022</v>
      </c>
      <c r="BB22" s="17" t="n">
        <f aca="false">Daily_Composite!X57</f>
        <v>0.034</v>
      </c>
      <c r="BC22" s="17" t="n">
        <f aca="false">Daily_Composite!X58</f>
        <v>-0.337</v>
      </c>
      <c r="BD22" s="17" t="n">
        <f aca="false">Daily_Composite!X59</f>
        <v>0.067</v>
      </c>
      <c r="BE22" s="17" t="n">
        <f aca="false">Daily_Composite!X60</f>
        <v>0.038</v>
      </c>
      <c r="BF22" s="17" t="n">
        <f aca="false">Daily_Composite!X61</f>
        <v>0.13</v>
      </c>
      <c r="BG22" s="17" t="n">
        <f aca="false">Daily_Composite!X62</f>
        <v>0.12</v>
      </c>
      <c r="BH22" s="17" t="n">
        <f aca="false">Daily_Composite!X63</f>
        <v>0.034</v>
      </c>
      <c r="BI22" s="17" t="n">
        <f aca="false">Daily_Composite!X64</f>
        <v>0.037</v>
      </c>
      <c r="BJ22" s="17" t="n">
        <f aca="false">Daily_Composite!X65</f>
        <v>0.072</v>
      </c>
      <c r="BK22" s="17" t="n">
        <f aca="false">Daily_Composite!X66</f>
        <v>0.126</v>
      </c>
      <c r="BL22" s="17" t="n">
        <f aca="false">Daily_Composite!X67</f>
        <v>0.07</v>
      </c>
      <c r="BM22" s="17" t="n">
        <f aca="false">Daily_Composite!X68</f>
        <v>-0.019</v>
      </c>
      <c r="BN22" s="17" t="n">
        <f aca="false">Daily_Composite!X69</f>
        <v>0.143</v>
      </c>
      <c r="BO22" s="17" t="n">
        <f aca="false">Daily_Composite!X70</f>
        <v>0.121</v>
      </c>
      <c r="BP22" s="17" t="n">
        <f aca="false">Daily_Composite!X71</f>
        <v>-0.054</v>
      </c>
      <c r="BQ22" s="17" t="n">
        <f aca="false">Daily_Composite!X72</f>
        <v>-0.042</v>
      </c>
      <c r="BR22" s="17" t="n">
        <f aca="false">Daily_Composite!X73</f>
        <v>-0.039</v>
      </c>
      <c r="BS22" s="17" t="n">
        <f aca="false">Daily_Composite!X74</f>
        <v>0.197</v>
      </c>
      <c r="BT22" s="17" t="n">
        <f aca="false">Daily_Composite!X75</f>
        <v>0.241</v>
      </c>
      <c r="BU22" s="17" t="n">
        <f aca="false">Daily_Composite!X76</f>
        <v>-0.184</v>
      </c>
      <c r="BV22" s="17" t="n">
        <f aca="false">Daily_Composite!X77</f>
        <v>-0.046</v>
      </c>
      <c r="BW22" s="17" t="n">
        <f aca="false">Daily_Composite!X78</f>
        <v>-0.049</v>
      </c>
      <c r="BX22" s="17" t="n">
        <f aca="false">Daily_Composite!X79</f>
        <v>-0.011</v>
      </c>
      <c r="BY22" s="17" t="n">
        <f aca="false">Daily_Composite!X80</f>
        <v>-0.089</v>
      </c>
      <c r="BZ22" s="17" t="n">
        <f aca="false">Daily_Composite!X81</f>
        <v>-0.223</v>
      </c>
      <c r="CA22" s="17" t="n">
        <f aca="false">Daily_Composite!X82</f>
        <v>-0.217</v>
      </c>
      <c r="CB22" s="17" t="n">
        <f aca="false">Daily_Composite!X83</f>
        <v>-0.165</v>
      </c>
      <c r="CC22" s="17" t="n">
        <f aca="false">Daily_Composite!X84</f>
        <v>0.036</v>
      </c>
      <c r="CD22" s="17" t="n">
        <f aca="false">Daily_Composite!X85</f>
        <v>0.446</v>
      </c>
      <c r="CE22" s="17" t="n">
        <f aca="false">Daily_Composite!X86</f>
        <v>0.316</v>
      </c>
      <c r="CF22" s="17" t="n">
        <f aca="false">Daily_Composite!X87</f>
        <v>0.092</v>
      </c>
      <c r="CG22" s="17" t="n">
        <f aca="false">Daily_Composite!X88</f>
        <v>0.054</v>
      </c>
      <c r="CH22" s="17" t="n">
        <f aca="false">Daily_Composite!X89</f>
        <v>0.044</v>
      </c>
      <c r="CI22" s="17" t="n">
        <f aca="false">Daily_Composite!X90</f>
        <v>0.383</v>
      </c>
      <c r="CJ22" s="17" t="n">
        <f aca="false">Daily_Composite!X91</f>
        <v>0.419</v>
      </c>
      <c r="CK22" s="17" t="n">
        <f aca="false">Daily_Composite!X92</f>
        <v>0.012</v>
      </c>
      <c r="CL22" s="17" t="n">
        <f aca="false">Daily_Composite!X93</f>
        <v>0.049</v>
      </c>
      <c r="CM22" s="17" t="n">
        <f aca="false">Daily_Composite!X94</f>
        <v>0.462</v>
      </c>
      <c r="CN22" s="17" t="n">
        <f aca="false">Daily_Composite!X95</f>
        <v>-0.164</v>
      </c>
      <c r="CO22" s="17" t="n">
        <f aca="false">Daily_Composite!X96</f>
        <v>0.027</v>
      </c>
      <c r="CP22" s="17" t="n">
        <f aca="false">Daily_Composite!X97</f>
        <v>-0.041</v>
      </c>
      <c r="CQ22" s="17" t="n">
        <f aca="false">Daily_Composite!X98</f>
        <v>-0.305</v>
      </c>
      <c r="CR22" s="17" t="n">
        <f aca="false">Daily_Composite!X99</f>
        <v>-0.331</v>
      </c>
      <c r="CS22" s="17" t="n">
        <f aca="false">Daily_Composite!X100</f>
        <v>-0.329</v>
      </c>
      <c r="CT22" s="17" t="n">
        <f aca="false">Daily_Composite!X101</f>
        <v>-0.489</v>
      </c>
      <c r="CU22" s="17" t="n">
        <f aca="false">Daily_Composite!X102</f>
        <v>-0.585</v>
      </c>
      <c r="CV22" s="17" t="n">
        <f aca="false">Daily_Composite!X103</f>
        <v>-0.592</v>
      </c>
      <c r="CW22" s="17" t="n">
        <f aca="false">Daily_Composite!X104</f>
        <v>-0.591</v>
      </c>
      <c r="CX22" s="17" t="n">
        <f aca="false">Daily_Composite!X105</f>
        <v>-0.291</v>
      </c>
      <c r="CY22" s="17" t="n">
        <f aca="false">Daily_Composite!X106</f>
        <v>-0.269</v>
      </c>
      <c r="CZ22" s="17" t="n">
        <f aca="false">Daily_Composite!X107</f>
        <v>-0.293</v>
      </c>
      <c r="DA22" s="17" t="n">
        <f aca="false">Daily_Composite!X108</f>
        <v>-0.43</v>
      </c>
      <c r="DB22" s="17" t="n">
        <f aca="false">Daily_Composite!X109</f>
        <v>-0.431</v>
      </c>
      <c r="DC22" s="17" t="n">
        <f aca="false">Daily_Composite!X110</f>
        <v>-0.439</v>
      </c>
      <c r="DD22" s="17" t="n">
        <f aca="false">Daily_Composite!X111</f>
        <v>-0.132</v>
      </c>
      <c r="DE22" s="17" t="n">
        <f aca="false">Daily_Composite!X112</f>
        <v>-0.639</v>
      </c>
      <c r="DF22" s="17" t="n">
        <f aca="false">Daily_Composite!X113</f>
        <v>-0.66</v>
      </c>
      <c r="DG22" s="17" t="n">
        <f aca="false">Daily_Composite!X114</f>
        <v>-0.16</v>
      </c>
      <c r="DH22" s="17" t="n">
        <f aca="false">Daily_Composite!X115</f>
        <v>-0.159</v>
      </c>
      <c r="DI22" s="17" t="n">
        <f aca="false">Daily_Composite!X116</f>
        <v>-0.28</v>
      </c>
      <c r="DJ22" s="17" t="n">
        <f aca="false">Daily_Composite!X117</f>
        <v>-0.267</v>
      </c>
      <c r="DK22" s="17" t="n">
        <f aca="false">Daily_Composite!X118</f>
        <v>-0.456</v>
      </c>
      <c r="DL22" s="17" t="n">
        <f aca="false">Daily_Composite!X119</f>
        <v>-0.297</v>
      </c>
      <c r="DM22" s="17" t="n">
        <f aca="false">Daily_Composite!X120</f>
        <v>-0.113</v>
      </c>
      <c r="DN22" s="17" t="n">
        <f aca="false">Daily_Composite!X121</f>
        <v>-0.587</v>
      </c>
      <c r="DO22" s="17" t="n">
        <f aca="false">Daily_Composite!X122</f>
        <v>-0.445</v>
      </c>
      <c r="DP22" s="17" t="n">
        <f aca="false">Daily_Composite!X123</f>
        <v>-0.117</v>
      </c>
      <c r="DQ22" s="17" t="n">
        <f aca="false">Daily_Composite!X124</f>
        <v>-0.33</v>
      </c>
      <c r="DR22" s="17" t="n">
        <f aca="false">Daily_Composite!X125</f>
        <v>-0.013</v>
      </c>
      <c r="DS22" s="17" t="n">
        <f aca="false">Daily_Composite!X126</f>
        <v>-0.034</v>
      </c>
      <c r="DT22" s="17" t="n">
        <f aca="false">Daily_Composite!X127</f>
        <v>-0.026</v>
      </c>
      <c r="DU22" s="17" t="n">
        <f aca="false">Daily_Composite!X128</f>
        <v>0.247</v>
      </c>
      <c r="DV22" s="17" t="n">
        <f aca="false">Daily_Composite!X129</f>
        <v>0.213</v>
      </c>
      <c r="DW22" s="17" t="n">
        <f aca="false">Daily_Composite!X130</f>
        <v>0.391</v>
      </c>
      <c r="DX22" s="17" t="n">
        <f aca="false">Daily_Composite!X131</f>
        <v>0.406</v>
      </c>
      <c r="DY22" s="17" t="n">
        <f aca="false">Daily_Composite!X132</f>
        <v>-0.044</v>
      </c>
      <c r="DZ22" s="17" t="n">
        <f aca="false">Daily_Composite!X133</f>
        <v>-0.072</v>
      </c>
      <c r="EA22" s="17" t="n">
        <f aca="false">Daily_Composite!X134</f>
        <v>-0.082</v>
      </c>
      <c r="EB22" s="17" t="n">
        <f aca="false">Daily_Composite!X135</f>
        <v>-0.115</v>
      </c>
      <c r="EC22" s="17" t="n">
        <f aca="false">Daily_Composite!X136</f>
        <v>-0.362</v>
      </c>
      <c r="ED22" s="17" t="n">
        <f aca="false">Daily_Composite!X137</f>
        <v>-0.354</v>
      </c>
      <c r="EE22" s="17" t="n">
        <f aca="false">Daily_Composite!X138</f>
        <v>-0.063</v>
      </c>
      <c r="EF22" s="17" t="n">
        <f aca="false">Daily_Composite!X139</f>
        <v>0.323</v>
      </c>
      <c r="EG22" s="17" t="n">
        <f aca="false">Daily_Composite!X140</f>
        <v>0.389</v>
      </c>
      <c r="EH22" s="17" t="n">
        <f aca="false">Daily_Composite!X141</f>
        <v>-0.051</v>
      </c>
      <c r="EI22" s="17" t="n">
        <f aca="false">Daily_Composite!X142</f>
        <v>-0.015</v>
      </c>
      <c r="EJ22" s="17" t="n">
        <f aca="false">Daily_Composite!X143</f>
        <v>-0.017</v>
      </c>
      <c r="EK22" s="17" t="n">
        <f aca="false">Daily_Composite!X144</f>
        <v>-0.056</v>
      </c>
      <c r="EL22" s="17" t="n">
        <f aca="false">Daily_Composite!X145</f>
        <v>-0.054</v>
      </c>
      <c r="EM22" s="17" t="n">
        <f aca="false">Daily_Composite!X146</f>
        <v>-0.05</v>
      </c>
      <c r="EN22" s="17" t="n">
        <f aca="false">Daily_Composite!X147</f>
        <v>0.022</v>
      </c>
      <c r="EO22" s="17" t="n">
        <f aca="false">Daily_Composite!X148</f>
        <v>-0.305</v>
      </c>
      <c r="EP22" s="17" t="n">
        <f aca="false">Daily_Composite!X149</f>
        <v>0.084</v>
      </c>
      <c r="EQ22" s="17" t="n">
        <f aca="false">Daily_Composite!X150</f>
        <v>0.061</v>
      </c>
      <c r="ER22" s="17" t="n">
        <f aca="false">Daily_Composite!X151</f>
        <v>-0.129</v>
      </c>
      <c r="ES22" s="17" t="n">
        <f aca="false">Daily_Composite!X152</f>
        <v>-0.115</v>
      </c>
      <c r="ET22" s="17" t="n">
        <f aca="false">Daily_Composite!X153</f>
        <v>0.086</v>
      </c>
      <c r="EU22" s="17" t="n">
        <f aca="false">Daily_Composite!X154</f>
        <v>0.055</v>
      </c>
      <c r="EV22" s="17" t="n">
        <f aca="false">Daily_Composite!X155</f>
        <v>0.062</v>
      </c>
      <c r="EW22" s="17" t="n">
        <f aca="false">Daily_Composite!X156</f>
        <v>0.009</v>
      </c>
      <c r="EX22" s="17" t="n">
        <f aca="false">Daily_Composite!X157</f>
        <v>-0.059</v>
      </c>
      <c r="EY22" s="17" t="n">
        <f aca="false">Daily_Composite!X158</f>
        <v>-0.41</v>
      </c>
      <c r="EZ22" s="17" t="n">
        <f aca="false">Daily_Composite!X159</f>
        <v>-0.195</v>
      </c>
      <c r="FA22" s="17" t="n">
        <f aca="false">Daily_Composite!X160</f>
        <v>-0.207</v>
      </c>
      <c r="FB22" s="17" t="n">
        <f aca="false">Daily_Composite!X161</f>
        <v>-0.212</v>
      </c>
      <c r="FC22" s="17" t="n">
        <f aca="false">Daily_Composite!X162</f>
        <v>-0.201</v>
      </c>
      <c r="FD22" s="17" t="n">
        <f aca="false">Daily_Composite!X163</f>
        <v>-0.355</v>
      </c>
      <c r="FE22" s="17" t="n">
        <f aca="false">Daily_Composite!X164</f>
        <v>-0.369</v>
      </c>
      <c r="FF22" s="17" t="n">
        <f aca="false">Daily_Composite!X165</f>
        <v>-0.188</v>
      </c>
      <c r="FG22" s="17" t="n">
        <f aca="false">Daily_Composite!X166</f>
        <v>-0.173</v>
      </c>
      <c r="FH22" s="17" t="n">
        <f aca="false">Daily_Composite!X167</f>
        <v>-0.244</v>
      </c>
      <c r="FI22" s="17" t="n">
        <f aca="false">Daily_Composite!X168</f>
        <v>-0.333</v>
      </c>
      <c r="FJ22" s="17" t="n">
        <f aca="false">Daily_Composite!X169</f>
        <v>-0.137</v>
      </c>
      <c r="FK22" s="17" t="n">
        <f aca="false">Daily_Composite!X170</f>
        <v>-0.109</v>
      </c>
      <c r="FL22" s="17" t="n">
        <f aca="false">Daily_Composite!X171</f>
        <v>-0.127</v>
      </c>
      <c r="FM22" s="17" t="n">
        <f aca="false">Daily_Composite!X172</f>
        <v>0.023</v>
      </c>
      <c r="FN22" s="17" t="n">
        <f aca="false">Daily_Composite!X173</f>
        <v>-0.011</v>
      </c>
      <c r="FO22" s="17" t="n">
        <f aca="false">Daily_Composite!X174</f>
        <v>-0.07</v>
      </c>
      <c r="FP22" s="17" t="n">
        <f aca="false">Daily_Composite!X175</f>
        <v>-0.139</v>
      </c>
      <c r="FQ22" s="17" t="n">
        <f aca="false">Daily_Composite!X176</f>
        <v>0.103</v>
      </c>
      <c r="FR22" s="17" t="n">
        <f aca="false">Daily_Composite!X177</f>
        <v>-0.071</v>
      </c>
      <c r="FS22" s="17" t="n">
        <f aca="false">Daily_Composite!X178</f>
        <v>-0.085</v>
      </c>
      <c r="FT22" s="17" t="n">
        <f aca="false">Daily_Composite!X179</f>
        <v>-0.13</v>
      </c>
      <c r="FU22" s="17" t="n">
        <f aca="false">Daily_Composite!X180</f>
        <v>-0.154</v>
      </c>
      <c r="FV22" s="17" t="n">
        <f aca="false">Daily_Composite!X181</f>
        <v>-0.14</v>
      </c>
      <c r="FW22" s="17" t="n">
        <f aca="false">Daily_Composite!X182</f>
        <v>-0.174</v>
      </c>
      <c r="FX22" s="17" t="n">
        <f aca="false">Daily_Composite!X183</f>
        <v>-0.166</v>
      </c>
      <c r="FY22" s="17" t="n">
        <f aca="false">Daily_Composite!X184</f>
        <v>-0.357</v>
      </c>
      <c r="FZ22" s="17" t="n">
        <f aca="false">Daily_Composite!X185</f>
        <v>-0.384</v>
      </c>
      <c r="GA22" s="17" t="n">
        <f aca="false">Daily_Composite!X186</f>
        <v>-0.143</v>
      </c>
      <c r="GB22" s="17" t="n">
        <f aca="false">Daily_Composite!X187</f>
        <v>-0.07</v>
      </c>
      <c r="GC22" s="17" t="n">
        <f aca="false">Daily_Composite!X188</f>
        <v>-0.036</v>
      </c>
      <c r="GD22" s="17" t="n">
        <f aca="false">Daily_Composite!X189</f>
        <v>0.064</v>
      </c>
      <c r="GE22" s="17" t="n">
        <f aca="false">Daily_Composite!X190</f>
        <v>-0.222</v>
      </c>
      <c r="GF22" s="17" t="n">
        <f aca="false">Daily_Composite!X191</f>
        <v>-0.272</v>
      </c>
      <c r="GG22" s="17" t="n">
        <f aca="false">Daily_Composite!X192</f>
        <v>-0.238</v>
      </c>
      <c r="GH22" s="17" t="n">
        <f aca="false">Daily_Composite!X193</f>
        <v>0.053</v>
      </c>
      <c r="GI22" s="17" t="n">
        <f aca="false">Daily_Composite!X194</f>
        <v>0.118</v>
      </c>
      <c r="GJ22" s="17" t="n">
        <f aca="false">Daily_Composite!X195</f>
        <v>0.313</v>
      </c>
      <c r="GK22" s="17" t="n">
        <f aca="false">Daily_Composite!X196</f>
        <v>0.011</v>
      </c>
      <c r="GL22" s="17" t="n">
        <f aca="false">Daily_Composite!X197</f>
        <v>-0.029</v>
      </c>
      <c r="GM22" s="17" t="n">
        <f aca="false">Daily_Composite!X198</f>
        <v>-0.022</v>
      </c>
      <c r="GN22" s="17" t="n">
        <f aca="false">Daily_Composite!X199</f>
        <v>0.281</v>
      </c>
      <c r="GO22" s="17" t="n">
        <f aca="false">Daily_Composite!X200</f>
        <v>0.241</v>
      </c>
      <c r="GP22" s="17" t="n">
        <f aca="false">Daily_Composite!X201</f>
        <v>0.101</v>
      </c>
      <c r="GQ22" s="17" t="n">
        <f aca="false">Daily_Composite!X202</f>
        <v>0.007</v>
      </c>
      <c r="GR22" s="17" t="n">
        <f aca="false">Daily_Composite!X203</f>
        <v>0.409</v>
      </c>
      <c r="GS22" s="17" t="n">
        <f aca="false">Daily_Composite!X204</f>
        <v>-0.096</v>
      </c>
      <c r="GT22" s="17" t="n">
        <f aca="false">Daily_Composite!X205</f>
        <v>0.013</v>
      </c>
      <c r="GU22" s="17" t="n">
        <f aca="false">Daily_Composite!X206</f>
        <v>0.065</v>
      </c>
      <c r="GV22" s="17" t="n">
        <f aca="false">Daily_Composite!X207</f>
        <v>0.105</v>
      </c>
      <c r="GW22" s="17" t="n">
        <f aca="false">Daily_Composite!X208</f>
        <v>0.094</v>
      </c>
      <c r="GX22" s="17" t="n">
        <f aca="false">Daily_Composite!X209</f>
        <v>0.098</v>
      </c>
      <c r="GY22" s="17" t="n">
        <f aca="false">Daily_Composite!X210</f>
        <v>0.155</v>
      </c>
      <c r="GZ22" s="17" t="n">
        <f aca="false">Daily_Composite!X211</f>
        <v>0.031</v>
      </c>
      <c r="HA22" s="17" t="n">
        <f aca="false">Daily_Composite!X212</f>
        <v>0.299</v>
      </c>
      <c r="HB22" s="17" t="n">
        <f aca="false">Daily_Composite!X213</f>
        <v>-0.359</v>
      </c>
      <c r="HC22" s="17" t="n">
        <f aca="false">Daily_Composite!X214</f>
        <v>-0.138</v>
      </c>
      <c r="HD22" s="17" t="n">
        <f aca="false">Daily_Composite!X215</f>
        <v>0.094</v>
      </c>
      <c r="HE22" s="17" t="n">
        <f aca="false">Daily_Composite!X216</f>
        <v>0.093</v>
      </c>
      <c r="HF22" s="17" t="n">
        <f aca="false">Daily_Composite!X217</f>
        <v>0.001</v>
      </c>
      <c r="HG22" s="17" t="n">
        <f aca="false">Daily_Composite!X218</f>
        <v>-0.391</v>
      </c>
      <c r="HH22" s="17" t="n">
        <f aca="false">Daily_Composite!X219</f>
        <v>-0.264</v>
      </c>
      <c r="HI22" s="17" t="n">
        <f aca="false">Daily_Composite!X220</f>
        <v>0.089</v>
      </c>
      <c r="HJ22" s="17" t="n">
        <f aca="false">Daily_Composite!X221</f>
        <v>0.089</v>
      </c>
      <c r="HK22" s="17" t="n">
        <f aca="false">Daily_Composite!X222</f>
        <v>-0.192</v>
      </c>
      <c r="HL22" s="17" t="n">
        <f aca="false">Daily_Composite!X223</f>
        <v>-0.005</v>
      </c>
      <c r="HM22" s="17" t="n">
        <f aca="false">Daily_Composite!X224</f>
        <v>-0.007</v>
      </c>
      <c r="HN22" s="17" t="n">
        <f aca="false">Daily_Composite!X225</f>
        <v>-0.009</v>
      </c>
      <c r="HO22" s="17" t="n">
        <f aca="false">Daily_Composite!X226</f>
        <v>-0.008</v>
      </c>
      <c r="HP22" s="17" t="n">
        <f aca="false">Daily_Composite!X227</f>
        <v>-0.235</v>
      </c>
      <c r="HQ22" s="17" t="n">
        <f aca="false">Daily_Composite!X228</f>
        <v>-0.202</v>
      </c>
      <c r="HR22" s="17" t="n">
        <f aca="false">Daily_Composite!X229</f>
        <v>-0.012</v>
      </c>
      <c r="HS22" s="17" t="n">
        <f aca="false">Daily_Composite!X230</f>
        <v>0.191</v>
      </c>
      <c r="HT22" s="17" t="n">
        <f aca="false">Daily_Composite!X231</f>
        <v>-0.336</v>
      </c>
      <c r="HU22" s="17" t="n">
        <f aca="false">Daily_Composite!X232</f>
        <v>0.023</v>
      </c>
      <c r="HV22" s="17" t="n">
        <f aca="false">Daily_Composite!X233</f>
        <v>-0.065</v>
      </c>
      <c r="HW22" s="17" t="n">
        <f aca="false">Daily_Composite!X234</f>
        <v>-0.128</v>
      </c>
      <c r="HX22" s="17" t="n">
        <f aca="false">Daily_Composite!X235</f>
        <v>0.023</v>
      </c>
      <c r="HY22" s="17" t="n">
        <f aca="false">Daily_Composite!X236</f>
        <v>0.055</v>
      </c>
      <c r="HZ22" s="17" t="n">
        <f aca="false">Daily_Composite!X237</f>
        <v>0.136</v>
      </c>
      <c r="IA22" s="17" t="n">
        <f aca="false">Daily_Composite!X238</f>
        <v>0.179</v>
      </c>
      <c r="IB22" s="17" t="n">
        <f aca="false">Daily_Composite!X239</f>
        <v>0.494</v>
      </c>
      <c r="IC22" s="17" t="n">
        <f aca="false">Daily_Composite!X240</f>
        <v>-0.211</v>
      </c>
      <c r="ID22" s="17" t="n">
        <f aca="false">Daily_Composite!X241</f>
        <v>0.13</v>
      </c>
      <c r="IE22" s="17" t="n">
        <f aca="false">Daily_Composite!X242</f>
        <v>0.167</v>
      </c>
      <c r="IF22" s="17" t="n">
        <f aca="false">Daily_Composite!X243</f>
        <v>0.169</v>
      </c>
      <c r="IG22" s="17" t="n">
        <f aca="false">Daily_Composite!X244</f>
        <v>0.202</v>
      </c>
      <c r="IH22" s="17" t="n">
        <f aca="false">Daily_Composite!X245</f>
        <v>-0.056</v>
      </c>
      <c r="II22" s="17" t="n">
        <f aca="false">Daily_Composite!X246</f>
        <v>0.028</v>
      </c>
      <c r="IJ22" s="17" t="n">
        <f aca="false">Daily_Composite!X247</f>
        <v>0.052</v>
      </c>
      <c r="IK22" s="17" t="n">
        <f aca="false">Daily_Composite!X248</f>
        <v>0.255</v>
      </c>
      <c r="IL22" s="17" t="n">
        <f aca="false">Daily_Composite!X249</f>
        <v>0.677</v>
      </c>
      <c r="IM22" s="17" t="n">
        <f aca="false">Daily_Composite!X250</f>
        <v>0.61</v>
      </c>
      <c r="IN22" s="17" t="n">
        <f aca="false">Daily_Composite!X251</f>
        <v>0.295</v>
      </c>
      <c r="IO22" s="17" t="n">
        <f aca="false">Daily_Composite!X252</f>
        <v>0.289</v>
      </c>
      <c r="IP22" s="17" t="n">
        <f aca="false">Daily_Composite!X253</f>
        <v>0.282</v>
      </c>
      <c r="IQ22" s="17" t="n">
        <f aca="false">Daily_Composite!X254</f>
        <v>0.437</v>
      </c>
      <c r="IR22" s="17" t="n">
        <f aca="false">Daily_Composite!X255</f>
        <v>0.447</v>
      </c>
      <c r="IS22" s="17" t="n">
        <f aca="false">Daily_Composite!X256</f>
        <v>0.276</v>
      </c>
      <c r="IT22" s="17" t="n">
        <f aca="false">Daily_Composite!X257</f>
        <v>0.692</v>
      </c>
      <c r="IU22" s="17" t="n">
        <f aca="false">Daily_Composite!X258</f>
        <v>0.568</v>
      </c>
      <c r="IV22" s="17" t="n">
        <f aca="false">Daily_Composite!X259</f>
        <v>0.265</v>
      </c>
      <c r="IW22" s="17" t="n">
        <f aca="false">Daily_Composite!X260</f>
        <v>0.426</v>
      </c>
      <c r="IX22" s="17" t="n">
        <f aca="false">Daily_Composite!X261</f>
        <v>0.436</v>
      </c>
      <c r="IY22" s="17" t="n">
        <f aca="false">Daily_Composite!X262</f>
        <v>0.219</v>
      </c>
      <c r="IZ22" s="17" t="n">
        <f aca="false">Daily_Composite!X263</f>
        <v>0.257</v>
      </c>
      <c r="JA22" s="17" t="n">
        <f aca="false">Daily_Composite!X264</f>
        <v>0.243</v>
      </c>
      <c r="JB22" s="17" t="n">
        <f aca="false">Daily_Composite!X265</f>
        <v>0.464</v>
      </c>
      <c r="JC22" s="17" t="n">
        <f aca="false">Daily_Composite!X266</f>
        <v>0.631</v>
      </c>
      <c r="JD22" s="17" t="n">
        <f aca="false">Daily_Composite!X267</f>
        <v>0.357</v>
      </c>
      <c r="JE22" s="17" t="n">
        <f aca="false">Daily_Composite!X268</f>
        <v>0.1</v>
      </c>
      <c r="JF22" s="17" t="n">
        <f aca="false">Daily_Composite!X269</f>
        <v>0.105</v>
      </c>
      <c r="JG22" s="17" t="n">
        <f aca="false">Daily_Composite!X270</f>
        <v>0.136</v>
      </c>
      <c r="JH22" s="17" t="n">
        <f aca="false">Daily_Composite!X271</f>
        <v>0.104</v>
      </c>
      <c r="JI22" s="17" t="n">
        <f aca="false">Daily_Composite!X272</f>
        <v>-0.197</v>
      </c>
      <c r="JJ22" s="17" t="n">
        <f aca="false">Daily_Composite!X273</f>
        <v>-0.206</v>
      </c>
      <c r="JK22" s="17" t="n">
        <f aca="false">Daily_Composite!X274</f>
        <v>-0.291</v>
      </c>
      <c r="JL22" s="17" t="n">
        <f aca="false">Daily_Composite!X275</f>
        <v>-0.011</v>
      </c>
      <c r="JM22" s="17" t="n">
        <f aca="false">Daily_Composite!X276</f>
        <v>0.277</v>
      </c>
      <c r="JN22" s="17" t="n">
        <f aca="false">Daily_Composite!X277</f>
        <v>0.026</v>
      </c>
      <c r="JO22" s="17" t="n">
        <f aca="false">Daily_Composite!X278</f>
        <v>-0.017</v>
      </c>
      <c r="JP22" s="17" t="n">
        <f aca="false">Daily_Composite!X279</f>
        <v>-0.024</v>
      </c>
      <c r="JQ22" s="17" t="n">
        <f aca="false">Daily_Composite!X280</f>
        <v>0.017</v>
      </c>
      <c r="JR22" s="17" t="n">
        <f aca="false">Daily_Composite!X281</f>
        <v>0.058</v>
      </c>
      <c r="JS22" s="17" t="n">
        <f aca="false">Daily_Composite!X282</f>
        <v>0.457</v>
      </c>
      <c r="JT22" s="17" t="n">
        <f aca="false">Daily_Composite!X283</f>
        <v>0.448</v>
      </c>
      <c r="JU22" s="17" t="n">
        <f aca="false">Daily_Composite!X284</f>
        <v>0.128</v>
      </c>
      <c r="JV22" s="17" t="n">
        <f aca="false">Daily_Composite!X285</f>
        <v>0.612</v>
      </c>
      <c r="JW22" s="17" t="n">
        <f aca="false">Daily_Composite!X286</f>
        <v>0.232</v>
      </c>
      <c r="JX22" s="17" t="n">
        <f aca="false">Daily_Composite!X287</f>
        <v>0.228</v>
      </c>
      <c r="JY22" s="17" t="n">
        <f aca="false">Daily_Composite!X288</f>
        <v>0.467</v>
      </c>
      <c r="JZ22" s="17" t="n">
        <f aca="false">Daily_Composite!X289</f>
        <v>0.418</v>
      </c>
      <c r="KA22" s="17" t="n">
        <f aca="false">Daily_Composite!X290</f>
        <v>0.025</v>
      </c>
      <c r="KB22" s="17" t="n">
        <f aca="false">Daily_Composite!X291</f>
        <v>0.058</v>
      </c>
      <c r="KC22" s="17" t="n">
        <f aca="false">Daily_Composite!X292</f>
        <v>0.425</v>
      </c>
      <c r="KD22" s="17" t="n">
        <f aca="false">Daily_Composite!X293</f>
        <v>0.565</v>
      </c>
      <c r="KE22" s="17" t="n">
        <f aca="false">Daily_Composite!X294</f>
        <v>0.551</v>
      </c>
      <c r="KF22" s="17" t="n">
        <f aca="false">Daily_Composite!X295</f>
        <v>0.544</v>
      </c>
      <c r="KG22" s="17" t="n">
        <f aca="false">Daily_Composite!X296</f>
        <v>-0.109</v>
      </c>
      <c r="KH22" s="17" t="n">
        <f aca="false">Daily_Composite!X297</f>
        <v>-0.043</v>
      </c>
      <c r="KI22" s="17" t="n">
        <f aca="false">Daily_Composite!X298</f>
        <v>-0.007</v>
      </c>
      <c r="KJ22" s="17" t="n">
        <f aca="false">Daily_Composite!X299</f>
        <v>0.006</v>
      </c>
      <c r="KK22" s="17" t="n">
        <f aca="false">Daily_Composite!X300</f>
        <v>-0.307</v>
      </c>
      <c r="KL22" s="17" t="n">
        <f aca="false">Daily_Composite!X301</f>
        <v>-0.316</v>
      </c>
      <c r="KM22" s="17" t="n">
        <f aca="false">Daily_Composite!X302</f>
        <v>-0.11</v>
      </c>
      <c r="KN22" s="17" t="n">
        <f aca="false">Daily_Composite!X303</f>
        <v>0.415</v>
      </c>
      <c r="KO22" s="17" t="n">
        <f aca="false">Daily_Composite!X304</f>
        <v>0.109</v>
      </c>
      <c r="KP22" s="17" t="n">
        <f aca="false">Daily_Composite!X305</f>
        <v>-0.061</v>
      </c>
      <c r="KQ22" s="17" t="n">
        <f aca="false">Daily_Composite!X306</f>
        <v>-0.058</v>
      </c>
      <c r="KR22" s="17" t="n">
        <f aca="false">Daily_Composite!X307</f>
        <v>-0.064</v>
      </c>
      <c r="KS22" s="17" t="n">
        <f aca="false">Daily_Composite!X308</f>
        <v>-0.091</v>
      </c>
      <c r="KT22" s="17" t="n">
        <f aca="false">Daily_Composite!X309</f>
        <v>0.069</v>
      </c>
      <c r="KU22" s="17" t="n">
        <f aca="false">Daily_Composite!X310</f>
        <v>0.129</v>
      </c>
      <c r="KV22" s="17" t="n">
        <f aca="false">Daily_Composite!X311</f>
        <v>-0.107</v>
      </c>
      <c r="KW22" s="17" t="n">
        <f aca="false">Daily_Composite!X312</f>
        <v>0.269</v>
      </c>
      <c r="KX22" s="17" t="n">
        <f aca="false">Daily_Composite!X313</f>
        <v>0.119</v>
      </c>
      <c r="KY22" s="17" t="n">
        <f aca="false">Daily_Composite!X314</f>
        <v>0.048</v>
      </c>
      <c r="KZ22" s="17" t="n">
        <f aca="false">Daily_Composite!X315</f>
        <v>-0.155</v>
      </c>
      <c r="LA22" s="17" t="n">
        <f aca="false">Daily_Composite!X316</f>
        <v>-0.073</v>
      </c>
      <c r="LB22" s="17" t="n">
        <f aca="false">Daily_Composite!X317</f>
        <v>0.083</v>
      </c>
      <c r="LC22" s="17" t="n">
        <f aca="false">Daily_Composite!X318</f>
        <v>0.086</v>
      </c>
      <c r="LD22" s="17" t="n">
        <f aca="false">Daily_Composite!X319</f>
        <v>0.164</v>
      </c>
      <c r="LE22" s="17" t="n">
        <f aca="false">Daily_Composite!X320</f>
        <v>0.093</v>
      </c>
      <c r="LF22" s="17" t="n">
        <f aca="false">Daily_Composite!X321</f>
        <v>0.276</v>
      </c>
      <c r="LG22" s="17" t="n">
        <f aca="false">Daily_Composite!X322</f>
        <v>0.139</v>
      </c>
      <c r="LH22" s="17" t="n">
        <f aca="false">Daily_Composite!X323</f>
        <v>0.116</v>
      </c>
      <c r="LI22" s="17" t="n">
        <f aca="false">Daily_Composite!X324</f>
        <v>0.074</v>
      </c>
      <c r="LJ22" s="17" t="n">
        <f aca="false">Daily_Composite!X325</f>
        <v>0.046</v>
      </c>
      <c r="LK22" s="17" t="n">
        <f aca="false">Daily_Composite!X326</f>
        <v>0.054</v>
      </c>
      <c r="LL22" s="17" t="n">
        <f aca="false">Daily_Composite!X327</f>
        <v>-0.131</v>
      </c>
      <c r="LM22" s="17" t="n">
        <f aca="false">Daily_Composite!X328</f>
        <v>-0.113</v>
      </c>
      <c r="LN22" s="17" t="n">
        <f aca="false">Daily_Composite!X329</f>
        <v>0.055</v>
      </c>
      <c r="LO22" s="17" t="n">
        <f aca="false">Daily_Composite!X330</f>
        <v>0.017</v>
      </c>
      <c r="LP22" s="17" t="n">
        <f aca="false">Daily_Composite!X331</f>
        <v>0.276</v>
      </c>
      <c r="LQ22" s="17" t="n">
        <f aca="false">Daily_Composite!X332</f>
        <v>0.268</v>
      </c>
      <c r="LR22" s="17" t="n">
        <f aca="false">Daily_Composite!X333</f>
        <v>0.038</v>
      </c>
      <c r="LS22" s="17" t="n">
        <f aca="false">Daily_Composite!X334</f>
        <v>-0.01</v>
      </c>
      <c r="LT22" s="17" t="n">
        <f aca="false">Daily_Composite!X335</f>
        <v>-0.084</v>
      </c>
      <c r="LU22" s="17" t="n">
        <f aca="false">Daily_Composite!X336</f>
        <v>-0.258</v>
      </c>
      <c r="LV22" s="17" t="n">
        <f aca="false">Daily_Composite!X337</f>
        <v>-0.179</v>
      </c>
      <c r="LW22" s="17" t="n">
        <f aca="false">Daily_Composite!X338</f>
        <v>-0.088</v>
      </c>
      <c r="LX22" s="17" t="n">
        <f aca="false">Daily_Composite!X339</f>
        <v>-0.07</v>
      </c>
      <c r="LY22" s="17" t="n">
        <f aca="false">Daily_Composite!X340</f>
        <v>-0.061</v>
      </c>
      <c r="LZ22" s="17" t="n">
        <f aca="false">Daily_Composite!X341</f>
        <v>-0.071</v>
      </c>
      <c r="MA22" s="17" t="n">
        <f aca="false">Daily_Composite!X342</f>
        <v>-0.202</v>
      </c>
      <c r="MB22" s="17" t="n">
        <f aca="false">Daily_Composite!X343</f>
        <v>-0.199</v>
      </c>
      <c r="MC22" s="17" t="n">
        <f aca="false">Daily_Composite!X344</f>
        <v>-0.143</v>
      </c>
      <c r="MD22" s="17" t="n">
        <f aca="false">Daily_Composite!X345</f>
        <v>-0.023</v>
      </c>
      <c r="ME22" s="17" t="n">
        <f aca="false">Daily_Composite!X346</f>
        <v>0.01</v>
      </c>
      <c r="MF22" s="17" t="n">
        <f aca="false">Daily_Composite!X347</f>
        <v>0.167</v>
      </c>
      <c r="MG22" s="17" t="n">
        <f aca="false">Daily_Composite!X348</f>
        <v>0.428</v>
      </c>
      <c r="MH22" s="17" t="n">
        <f aca="false">Daily_Composite!X349</f>
        <v>0.291</v>
      </c>
      <c r="MI22" s="17" t="n">
        <f aca="false">Daily_Composite!X350</f>
        <v>0.193</v>
      </c>
      <c r="MJ22" s="17" t="n">
        <f aca="false">Daily_Composite!X351</f>
        <v>0.34</v>
      </c>
      <c r="MK22" s="17" t="n">
        <f aca="false">Daily_Composite!X352</f>
        <v>0.322</v>
      </c>
      <c r="ML22" s="17" t="n">
        <f aca="false">Daily_Composite!X353</f>
        <v>0.299</v>
      </c>
      <c r="MM22" s="17" t="n">
        <f aca="false">Daily_Composite!X354</f>
        <v>-0.059</v>
      </c>
      <c r="MN22" s="17" t="n">
        <f aca="false">Daily_Composite!X355</f>
        <v>-0.139</v>
      </c>
      <c r="MO22" s="17" t="n">
        <f aca="false">Daily_Composite!X356</f>
        <v>-0.098</v>
      </c>
      <c r="MP22" s="17" t="n">
        <f aca="false">Daily_Composite!X357</f>
        <v>0.112</v>
      </c>
      <c r="MQ22" s="17" t="n">
        <f aca="false">Daily_Composite!X358</f>
        <v>0.526</v>
      </c>
      <c r="MR22" s="17" t="n">
        <f aca="false">Daily_Composite!X359</f>
        <v>0.229</v>
      </c>
      <c r="MS22" s="17" t="n">
        <f aca="false">Daily_Composite!X360</f>
        <v>0.123</v>
      </c>
      <c r="MT22" s="17" t="n">
        <f aca="false">Daily_Composite!X361</f>
        <v>0.169</v>
      </c>
      <c r="MU22" s="17" t="n">
        <f aca="false">Daily_Composite!X362</f>
        <v>0.152</v>
      </c>
      <c r="MV22" s="17" t="n">
        <f aca="false">Daily_Composite!X363</f>
        <v>0.192</v>
      </c>
      <c r="MW22" s="17" t="n">
        <f aca="false">Daily_Composite!X364</f>
        <v>0.255</v>
      </c>
      <c r="MX22" s="17" t="n">
        <f aca="false">Daily_Composite!X365</f>
        <v>0.308</v>
      </c>
      <c r="MY22" s="17" t="n">
        <f aca="false">Daily_Composite!X366</f>
        <v>0.119</v>
      </c>
      <c r="MZ22" s="17" t="n">
        <f aca="false">Daily_Composite!X367</f>
        <v>0.59</v>
      </c>
      <c r="NA22" s="17" t="n">
        <f aca="false">Daily_Composite!X368</f>
        <v>0.409</v>
      </c>
      <c r="NB22" s="17" t="n">
        <f aca="false">Daily_Composite!X369</f>
        <v>0.186</v>
      </c>
    </row>
    <row r="23" customFormat="false" ht="15" hidden="false" customHeight="false" outlineLevel="0" collapsed="false">
      <c r="A23" s="6" t="s">
        <v>36</v>
      </c>
      <c r="B23" s="17" t="n">
        <f aca="false">Daily_Composite!Y5</f>
        <v>0.032</v>
      </c>
      <c r="C23" s="17" t="n">
        <f aca="false">Daily_Composite!Y6</f>
        <v>0.023</v>
      </c>
      <c r="D23" s="17" t="n">
        <f aca="false">Daily_Composite!Y7</f>
        <v>0.012</v>
      </c>
      <c r="E23" s="17" t="n">
        <f aca="false">Daily_Composite!Y8</f>
        <v>0.041</v>
      </c>
      <c r="F23" s="17" t="n">
        <f aca="false">Daily_Composite!Y9</f>
        <v>0.045</v>
      </c>
      <c r="G23" s="17" t="n">
        <f aca="false">Daily_Composite!Y10</f>
        <v>-0.381</v>
      </c>
      <c r="H23" s="17" t="n">
        <f aca="false">Daily_Composite!Y11</f>
        <v>0.01</v>
      </c>
      <c r="I23" s="17" t="n">
        <f aca="false">Daily_Composite!Y12</f>
        <v>-0.524</v>
      </c>
      <c r="J23" s="17" t="n">
        <f aca="false">Daily_Composite!Y13</f>
        <v>0.03</v>
      </c>
      <c r="K23" s="17" t="n">
        <f aca="false">Daily_Composite!Y14</f>
        <v>0.001</v>
      </c>
      <c r="L23" s="17" t="n">
        <f aca="false">Daily_Composite!Y15</f>
        <v>0.004</v>
      </c>
      <c r="M23" s="17" t="n">
        <f aca="false">Daily_Composite!Y16</f>
        <v>0.011</v>
      </c>
      <c r="N23" s="17" t="n">
        <f aca="false">Daily_Composite!Y17</f>
        <v>0.047</v>
      </c>
      <c r="O23" s="17" t="n">
        <f aca="false">Daily_Composite!Y18</f>
        <v>0.049</v>
      </c>
      <c r="P23" s="17" t="n">
        <f aca="false">Daily_Composite!Y19</f>
        <v>0.024</v>
      </c>
      <c r="Q23" s="17" t="n">
        <f aca="false">Daily_Composite!Y20</f>
        <v>-0.146</v>
      </c>
      <c r="R23" s="17" t="n">
        <f aca="false">Daily_Composite!Y21</f>
        <v>-0.138</v>
      </c>
      <c r="S23" s="17" t="n">
        <f aca="false">Daily_Composite!Y22</f>
        <v>-0.58</v>
      </c>
      <c r="T23" s="17" t="n">
        <f aca="false">Daily_Composite!Y23</f>
        <v>-0.149</v>
      </c>
      <c r="U23" s="17" t="n">
        <f aca="false">Daily_Composite!Y24</f>
        <v>-0.286</v>
      </c>
      <c r="V23" s="17" t="n">
        <f aca="false">Daily_Composite!Y25</f>
        <v>-0.288</v>
      </c>
      <c r="W23" s="17" t="n">
        <f aca="false">Daily_Composite!Y26</f>
        <v>-0.31</v>
      </c>
      <c r="X23" s="17" t="n">
        <f aca="false">Daily_Composite!Y27</f>
        <v>-0.588</v>
      </c>
      <c r="Y23" s="17" t="n">
        <f aca="false">Daily_Composite!Y28</f>
        <v>-0.618</v>
      </c>
      <c r="Z23" s="17" t="n">
        <f aca="false">Daily_Composite!Y29</f>
        <v>-0.691</v>
      </c>
      <c r="AA23" s="17" t="n">
        <f aca="false">Daily_Composite!Y30</f>
        <v>-0.222</v>
      </c>
      <c r="AB23" s="17" t="n">
        <f aca="false">Daily_Composite!Y31</f>
        <v>-0.685</v>
      </c>
      <c r="AC23" s="17" t="n">
        <f aca="false">Daily_Composite!Y32</f>
        <v>-0.221</v>
      </c>
      <c r="AD23" s="17" t="n">
        <f aca="false">Daily_Composite!Y33</f>
        <v>-0.215</v>
      </c>
      <c r="AE23" s="17" t="n">
        <f aca="false">Daily_Composite!Y34</f>
        <v>-0.186</v>
      </c>
      <c r="AF23" s="17" t="n">
        <f aca="false">Daily_Composite!Y35</f>
        <v>-0.229</v>
      </c>
      <c r="AG23" s="17" t="n">
        <f aca="false">Daily_Composite!Y36</f>
        <v>-0.229</v>
      </c>
      <c r="AH23" s="17" t="n">
        <f aca="false">Daily_Composite!Y37</f>
        <v>-0.219</v>
      </c>
      <c r="AI23" s="17" t="n">
        <f aca="false">Daily_Composite!Y38</f>
        <v>-0.219</v>
      </c>
      <c r="AJ23" s="17" t="n">
        <f aca="false">Daily_Composite!Y39</f>
        <v>-0.426</v>
      </c>
      <c r="AK23" s="17" t="n">
        <f aca="false">Daily_Composite!Y40</f>
        <v>-0.232</v>
      </c>
      <c r="AL23" s="17" t="n">
        <f aca="false">Daily_Composite!Y41</f>
        <v>-0.213</v>
      </c>
      <c r="AM23" s="17" t="n">
        <f aca="false">Daily_Composite!Y42</f>
        <v>-0.172</v>
      </c>
      <c r="AN23" s="17" t="n">
        <f aca="false">Daily_Composite!Y43</f>
        <v>-0.168</v>
      </c>
      <c r="AO23" s="17" t="n">
        <f aca="false">Daily_Composite!Y44</f>
        <v>-0.157</v>
      </c>
      <c r="AP23" s="17" t="n">
        <f aca="false">Daily_Composite!Y45</f>
        <v>-0.157</v>
      </c>
      <c r="AQ23" s="17" t="n">
        <f aca="false">Daily_Composite!Y46</f>
        <v>-0.305</v>
      </c>
      <c r="AR23" s="17" t="n">
        <f aca="false">Daily_Composite!Y47</f>
        <v>-0.613</v>
      </c>
      <c r="AS23" s="17" t="n">
        <f aca="false">Daily_Composite!Y48</f>
        <v>-0.396</v>
      </c>
      <c r="AT23" s="17" t="n">
        <f aca="false">Daily_Composite!Y49</f>
        <v>-0.577</v>
      </c>
      <c r="AU23" s="17" t="n">
        <f aca="false">Daily_Composite!Y50</f>
        <v>-0.08</v>
      </c>
      <c r="AV23" s="17" t="n">
        <f aca="false">Daily_Composite!Y51</f>
        <v>-0.283</v>
      </c>
      <c r="AW23" s="17" t="n">
        <f aca="false">Daily_Composite!Y52</f>
        <v>-0.337</v>
      </c>
      <c r="AX23" s="17" t="n">
        <f aca="false">Daily_Composite!Y53</f>
        <v>-0.381</v>
      </c>
      <c r="AY23" s="17" t="n">
        <f aca="false">Daily_Composite!Y54</f>
        <v>-0.466</v>
      </c>
      <c r="AZ23" s="17" t="n">
        <f aca="false">Daily_Composite!Y55</f>
        <v>-0.539</v>
      </c>
      <c r="BA23" s="17" t="n">
        <f aca="false">Daily_Composite!Y56</f>
        <v>-0.338</v>
      </c>
      <c r="BB23" s="17" t="n">
        <f aca="false">Daily_Composite!Y57</f>
        <v>-0.591</v>
      </c>
      <c r="BC23" s="17" t="n">
        <f aca="false">Daily_Composite!Y58</f>
        <v>-0.318</v>
      </c>
      <c r="BD23" s="17" t="n">
        <f aca="false">Daily_Composite!Y59</f>
        <v>-0.308</v>
      </c>
      <c r="BE23" s="17" t="n">
        <f aca="false">Daily_Composite!Y60</f>
        <v>-0.288</v>
      </c>
      <c r="BF23" s="17" t="n">
        <f aca="false">Daily_Composite!Y61</f>
        <v>-0.186</v>
      </c>
      <c r="BG23" s="17" t="n">
        <f aca="false">Daily_Composite!Y62</f>
        <v>-0.183</v>
      </c>
      <c r="BH23" s="17" t="n">
        <f aca="false">Daily_Composite!Y63</f>
        <v>-0.236</v>
      </c>
      <c r="BI23" s="17" t="n">
        <f aca="false">Daily_Composite!Y64</f>
        <v>-0.219</v>
      </c>
      <c r="BJ23" s="17" t="n">
        <f aca="false">Daily_Composite!Y65</f>
        <v>-0.543</v>
      </c>
      <c r="BK23" s="17" t="n">
        <f aca="false">Daily_Composite!Y66</f>
        <v>-0.223</v>
      </c>
      <c r="BL23" s="17" t="n">
        <f aca="false">Daily_Composite!Y67</f>
        <v>-0.282</v>
      </c>
      <c r="BM23" s="17" t="n">
        <f aca="false">Daily_Composite!Y68</f>
        <v>-0.172</v>
      </c>
      <c r="BN23" s="17" t="n">
        <f aca="false">Daily_Composite!Y69</f>
        <v>-0.2</v>
      </c>
      <c r="BO23" s="17" t="n">
        <f aca="false">Daily_Composite!Y70</f>
        <v>-0.198</v>
      </c>
      <c r="BP23" s="17" t="n">
        <f aca="false">Daily_Composite!Y71</f>
        <v>-0.146</v>
      </c>
      <c r="BQ23" s="17" t="n">
        <f aca="false">Daily_Composite!Y72</f>
        <v>-0.141</v>
      </c>
      <c r="BR23" s="17" t="n">
        <f aca="false">Daily_Composite!Y73</f>
        <v>-0.141</v>
      </c>
      <c r="BS23" s="17" t="n">
        <f aca="false">Daily_Composite!Y74</f>
        <v>-0.484</v>
      </c>
      <c r="BT23" s="17" t="n">
        <f aca="false">Daily_Composite!Y75</f>
        <v>-0.35</v>
      </c>
      <c r="BU23" s="17" t="n">
        <f aca="false">Daily_Composite!Y76</f>
        <v>-0.4</v>
      </c>
      <c r="BV23" s="17" t="n">
        <f aca="false">Daily_Composite!Y77</f>
        <v>-0.115</v>
      </c>
      <c r="BW23" s="17" t="n">
        <f aca="false">Daily_Composite!Y78</f>
        <v>-0.075</v>
      </c>
      <c r="BX23" s="17" t="n">
        <f aca="false">Daily_Composite!Y79</f>
        <v>-0.192</v>
      </c>
      <c r="BY23" s="17" t="n">
        <f aca="false">Daily_Composite!Y80</f>
        <v>-0.127</v>
      </c>
      <c r="BZ23" s="17" t="n">
        <f aca="false">Daily_Composite!Y81</f>
        <v>-0.26</v>
      </c>
      <c r="CA23" s="17" t="n">
        <f aca="false">Daily_Composite!Y82</f>
        <v>-0.299</v>
      </c>
      <c r="CB23" s="17" t="n">
        <f aca="false">Daily_Composite!Y83</f>
        <v>-0.086</v>
      </c>
      <c r="CC23" s="17" t="n">
        <f aca="false">Daily_Composite!Y84</f>
        <v>-0.44</v>
      </c>
      <c r="CD23" s="17" t="n">
        <f aca="false">Daily_Composite!Y85</f>
        <v>-0.035</v>
      </c>
      <c r="CE23" s="17" t="n">
        <f aca="false">Daily_Composite!Y86</f>
        <v>0.015</v>
      </c>
      <c r="CF23" s="17" t="n">
        <f aca="false">Daily_Composite!Y87</f>
        <v>0.009</v>
      </c>
      <c r="CG23" s="17" t="n">
        <f aca="false">Daily_Composite!Y88</f>
        <v>0.063</v>
      </c>
      <c r="CH23" s="17" t="n">
        <f aca="false">Daily_Composite!Y89</f>
        <v>-0.003</v>
      </c>
      <c r="CI23" s="17" t="n">
        <f aca="false">Daily_Composite!Y90</f>
        <v>0.007</v>
      </c>
      <c r="CJ23" s="17" t="n">
        <f aca="false">Daily_Composite!Y91</f>
        <v>-0.017</v>
      </c>
      <c r="CK23" s="17" t="n">
        <f aca="false">Daily_Composite!Y92</f>
        <v>-0.302</v>
      </c>
      <c r="CL23" s="17" t="n">
        <f aca="false">Daily_Composite!Y93</f>
        <v>-0.167</v>
      </c>
      <c r="CM23" s="17" t="n">
        <f aca="false">Daily_Composite!Y94</f>
        <v>0.158</v>
      </c>
      <c r="CN23" s="17" t="n">
        <f aca="false">Daily_Composite!Y95</f>
        <v>-0.33</v>
      </c>
      <c r="CO23" s="17" t="n">
        <f aca="false">Daily_Composite!Y96</f>
        <v>-0.277</v>
      </c>
      <c r="CP23" s="17" t="n">
        <f aca="false">Daily_Composite!Y97</f>
        <v>-0.299</v>
      </c>
      <c r="CQ23" s="17" t="n">
        <f aca="false">Daily_Composite!Y98</f>
        <v>-0.313</v>
      </c>
      <c r="CR23" s="17" t="n">
        <f aca="false">Daily_Composite!Y99</f>
        <v>-0.384</v>
      </c>
      <c r="CS23" s="17" t="n">
        <f aca="false">Daily_Composite!Y100</f>
        <v>-0.385</v>
      </c>
      <c r="CT23" s="17" t="n">
        <f aca="false">Daily_Composite!Y101</f>
        <v>-0.764</v>
      </c>
      <c r="CU23" s="17" t="n">
        <f aca="false">Daily_Composite!Y102</f>
        <v>-0.654</v>
      </c>
      <c r="CV23" s="17" t="n">
        <f aca="false">Daily_Composite!Y103</f>
        <v>-0.769</v>
      </c>
      <c r="CW23" s="17" t="n">
        <f aca="false">Daily_Composite!Y104</f>
        <v>-0.77</v>
      </c>
      <c r="CX23" s="17" t="n">
        <f aca="false">Daily_Composite!Y105</f>
        <v>-0.316</v>
      </c>
      <c r="CY23" s="17" t="n">
        <f aca="false">Daily_Composite!Y106</f>
        <v>-0.752</v>
      </c>
      <c r="CZ23" s="17" t="n">
        <f aca="false">Daily_Composite!Y107</f>
        <v>-0.752</v>
      </c>
      <c r="DA23" s="17" t="n">
        <f aca="false">Daily_Composite!Y108</f>
        <v>-0.755</v>
      </c>
      <c r="DB23" s="17" t="n">
        <f aca="false">Daily_Composite!Y109</f>
        <v>-0.748</v>
      </c>
      <c r="DC23" s="17" t="n">
        <f aca="false">Daily_Composite!Y110</f>
        <v>-0.746</v>
      </c>
      <c r="DD23" s="17" t="n">
        <f aca="false">Daily_Composite!Y111</f>
        <v>-0.768</v>
      </c>
      <c r="DE23" s="17" t="n">
        <f aca="false">Daily_Composite!Y112</f>
        <v>-0.328</v>
      </c>
      <c r="DF23" s="17" t="n">
        <f aca="false">Daily_Composite!Y113</f>
        <v>-0.765</v>
      </c>
      <c r="DG23" s="17" t="n">
        <f aca="false">Daily_Composite!Y114</f>
        <v>-0.307</v>
      </c>
      <c r="DH23" s="17" t="n">
        <f aca="false">Daily_Composite!Y115</f>
        <v>-0.187</v>
      </c>
      <c r="DI23" s="17" t="n">
        <f aca="false">Daily_Composite!Y116</f>
        <v>-0.166</v>
      </c>
      <c r="DJ23" s="17" t="n">
        <f aca="false">Daily_Composite!Y117</f>
        <v>-0.176</v>
      </c>
      <c r="DK23" s="17" t="n">
        <f aca="false">Daily_Composite!Y118</f>
        <v>-0.172</v>
      </c>
      <c r="DL23" s="17" t="n">
        <f aca="false">Daily_Composite!Y119</f>
        <v>-0.142</v>
      </c>
      <c r="DM23" s="17" t="n">
        <f aca="false">Daily_Composite!Y120</f>
        <v>-0.649</v>
      </c>
      <c r="DN23" s="17" t="n">
        <f aca="false">Daily_Composite!Y121</f>
        <v>-0.013</v>
      </c>
      <c r="DO23" s="17" t="n">
        <f aca="false">Daily_Composite!Y122</f>
        <v>-0.327</v>
      </c>
      <c r="DP23" s="17" t="n">
        <f aca="false">Daily_Composite!Y123</f>
        <v>0.013</v>
      </c>
      <c r="DQ23" s="17" t="n">
        <f aca="false">Daily_Composite!Y124</f>
        <v>0.048</v>
      </c>
      <c r="DR23" s="17" t="n">
        <f aca="false">Daily_Composite!Y125</f>
        <v>0.077</v>
      </c>
      <c r="DS23" s="17" t="n">
        <f aca="false">Daily_Composite!Y126</f>
        <v>0.14</v>
      </c>
      <c r="DT23" s="17" t="n">
        <f aca="false">Daily_Composite!Y127</f>
        <v>0.112</v>
      </c>
      <c r="DU23" s="17" t="n">
        <f aca="false">Daily_Composite!Y128</f>
        <v>-0.1</v>
      </c>
      <c r="DV23" s="17" t="n">
        <f aca="false">Daily_Composite!Y129</f>
        <v>-0.391</v>
      </c>
      <c r="DW23" s="17" t="n">
        <f aca="false">Daily_Composite!Y130</f>
        <v>-0.026</v>
      </c>
      <c r="DX23" s="17" t="n">
        <f aca="false">Daily_Composite!Y131</f>
        <v>0.454</v>
      </c>
      <c r="DY23" s="17" t="n">
        <f aca="false">Daily_Composite!Y132</f>
        <v>-0.038</v>
      </c>
      <c r="DZ23" s="17" t="n">
        <f aca="false">Daily_Composite!Y133</f>
        <v>-0.145</v>
      </c>
      <c r="EA23" s="17" t="n">
        <f aca="false">Daily_Composite!Y134</f>
        <v>-0.181</v>
      </c>
      <c r="EB23" s="17" t="n">
        <f aca="false">Daily_Composite!Y135</f>
        <v>-0.245</v>
      </c>
      <c r="EC23" s="17" t="n">
        <f aca="false">Daily_Composite!Y136</f>
        <v>-0.292</v>
      </c>
      <c r="ED23" s="17" t="n">
        <f aca="false">Daily_Composite!Y137</f>
        <v>-0.282</v>
      </c>
      <c r="EE23" s="17" t="n">
        <f aca="false">Daily_Composite!Y138</f>
        <v>-0.516</v>
      </c>
      <c r="EF23" s="17" t="n">
        <f aca="false">Daily_Composite!Y139</f>
        <v>-0.228</v>
      </c>
      <c r="EG23" s="17" t="n">
        <f aca="false">Daily_Composite!Y140</f>
        <v>0.29</v>
      </c>
      <c r="EH23" s="17" t="n">
        <f aca="false">Daily_Composite!Y141</f>
        <v>-0.189</v>
      </c>
      <c r="EI23" s="17" t="n">
        <f aca="false">Daily_Composite!Y142</f>
        <v>-0.168</v>
      </c>
      <c r="EJ23" s="17" t="n">
        <f aca="false">Daily_Composite!Y143</f>
        <v>-0.168</v>
      </c>
      <c r="EK23" s="17" t="n">
        <f aca="false">Daily_Composite!Y144</f>
        <v>-0.193</v>
      </c>
      <c r="EL23" s="17" t="n">
        <f aca="false">Daily_Composite!Y145</f>
        <v>-0.217</v>
      </c>
      <c r="EM23" s="17" t="n">
        <f aca="false">Daily_Composite!Y146</f>
        <v>-0.177</v>
      </c>
      <c r="EN23" s="17" t="n">
        <f aca="false">Daily_Composite!Y147</f>
        <v>-0.602</v>
      </c>
      <c r="EO23" s="17" t="n">
        <f aca="false">Daily_Composite!Y148</f>
        <v>-0.253</v>
      </c>
      <c r="EP23" s="17" t="n">
        <f aca="false">Daily_Composite!Y149</f>
        <v>-0.149</v>
      </c>
      <c r="EQ23" s="17" t="n">
        <f aca="false">Daily_Composite!Y150</f>
        <v>-0.251</v>
      </c>
      <c r="ER23" s="17" t="n">
        <f aca="false">Daily_Composite!Y151</f>
        <v>-0.207</v>
      </c>
      <c r="ES23" s="17" t="n">
        <f aca="false">Daily_Composite!Y152</f>
        <v>-0.226</v>
      </c>
      <c r="ET23" s="17" t="n">
        <f aca="false">Daily_Composite!Y153</f>
        <v>-0.238</v>
      </c>
      <c r="EU23" s="17" t="n">
        <f aca="false">Daily_Composite!Y154</f>
        <v>-0.274</v>
      </c>
      <c r="EV23" s="17" t="n">
        <f aca="false">Daily_Composite!Y155</f>
        <v>-0.247</v>
      </c>
      <c r="EW23" s="17" t="n">
        <f aca="false">Daily_Composite!Y156</f>
        <v>-0.606</v>
      </c>
      <c r="EX23" s="17" t="n">
        <f aca="false">Daily_Composite!Y157</f>
        <v>-0.523</v>
      </c>
      <c r="EY23" s="17" t="n">
        <f aca="false">Daily_Composite!Y158</f>
        <v>-0.584</v>
      </c>
      <c r="EZ23" s="17" t="n">
        <f aca="false">Daily_Composite!Y159</f>
        <v>-0.143</v>
      </c>
      <c r="FA23" s="17" t="n">
        <f aca="false">Daily_Composite!Y160</f>
        <v>-0.086</v>
      </c>
      <c r="FB23" s="17" t="n">
        <f aca="false">Daily_Composite!Y161</f>
        <v>-0.505</v>
      </c>
      <c r="FC23" s="17" t="n">
        <f aca="false">Daily_Composite!Y162</f>
        <v>-0.517</v>
      </c>
      <c r="FD23" s="17" t="n">
        <f aca="false">Daily_Composite!Y163</f>
        <v>-0.5</v>
      </c>
      <c r="FE23" s="17" t="n">
        <f aca="false">Daily_Composite!Y164</f>
        <v>-0.513</v>
      </c>
      <c r="FF23" s="17" t="n">
        <f aca="false">Daily_Composite!Y165</f>
        <v>-0.112</v>
      </c>
      <c r="FG23" s="17" t="n">
        <f aca="false">Daily_Composite!Y166</f>
        <v>-0.558</v>
      </c>
      <c r="FH23" s="17" t="n">
        <f aca="false">Daily_Composite!Y167</f>
        <v>-0.088</v>
      </c>
      <c r="FI23" s="17" t="n">
        <f aca="false">Daily_Composite!Y168</f>
        <v>-0.52</v>
      </c>
      <c r="FJ23" s="17" t="n">
        <f aca="false">Daily_Composite!Y169</f>
        <v>-0.113</v>
      </c>
      <c r="FK23" s="17" t="n">
        <f aca="false">Daily_Composite!Y170</f>
        <v>-0.086</v>
      </c>
      <c r="FL23" s="17" t="n">
        <f aca="false">Daily_Composite!Y171</f>
        <v>-0.085</v>
      </c>
      <c r="FM23" s="17" t="n">
        <f aca="false">Daily_Composite!Y172</f>
        <v>-0.083</v>
      </c>
      <c r="FN23" s="17" t="n">
        <f aca="false">Daily_Composite!Y173</f>
        <v>-0.047</v>
      </c>
      <c r="FO23" s="17" t="n">
        <f aca="false">Daily_Composite!Y174</f>
        <v>-0.425</v>
      </c>
      <c r="FP23" s="17" t="n">
        <f aca="false">Daily_Composite!Y175</f>
        <v>0.08</v>
      </c>
      <c r="FQ23" s="17" t="n">
        <f aca="false">Daily_Composite!Y176</f>
        <v>0.105</v>
      </c>
      <c r="FR23" s="17" t="n">
        <f aca="false">Daily_Composite!Y177</f>
        <v>0.137</v>
      </c>
      <c r="FS23" s="17" t="n">
        <f aca="false">Daily_Composite!Y178</f>
        <v>0.117</v>
      </c>
      <c r="FT23" s="17" t="n">
        <f aca="false">Daily_Composite!Y179</f>
        <v>0.108</v>
      </c>
      <c r="FU23" s="17" t="n">
        <f aca="false">Daily_Composite!Y180</f>
        <v>0.079</v>
      </c>
      <c r="FV23" s="17" t="n">
        <f aca="false">Daily_Composite!Y181</f>
        <v>0.092</v>
      </c>
      <c r="FW23" s="17" t="n">
        <f aca="false">Daily_Composite!Y182</f>
        <v>0.123</v>
      </c>
      <c r="FX23" s="17" t="n">
        <f aca="false">Daily_Composite!Y183</f>
        <v>0.12</v>
      </c>
      <c r="FY23" s="17" t="n">
        <f aca="false">Daily_Composite!Y184</f>
        <v>-0.14</v>
      </c>
      <c r="FZ23" s="17" t="n">
        <f aca="false">Daily_Composite!Y185</f>
        <v>-0.333</v>
      </c>
      <c r="GA23" s="17" t="n">
        <f aca="false">Daily_Composite!Y186</f>
        <v>0.114</v>
      </c>
      <c r="GB23" s="17" t="n">
        <f aca="false">Daily_Composite!Y187</f>
        <v>0.095</v>
      </c>
      <c r="GC23" s="17" t="n">
        <f aca="false">Daily_Composite!Y188</f>
        <v>-0.208</v>
      </c>
      <c r="GD23" s="17" t="n">
        <f aca="false">Daily_Composite!Y189</f>
        <v>-0.352</v>
      </c>
      <c r="GE23" s="17" t="n">
        <f aca="false">Daily_Composite!Y190</f>
        <v>-0.268</v>
      </c>
      <c r="GF23" s="17" t="n">
        <f aca="false">Daily_Composite!Y191</f>
        <v>-0.213</v>
      </c>
      <c r="GG23" s="17" t="n">
        <f aca="false">Daily_Composite!Y192</f>
        <v>-0.147</v>
      </c>
      <c r="GH23" s="17" t="n">
        <f aca="false">Daily_Composite!Y193</f>
        <v>-0.237</v>
      </c>
      <c r="GI23" s="17" t="n">
        <f aca="false">Daily_Composite!Y194</f>
        <v>-0.108</v>
      </c>
      <c r="GJ23" s="17" t="n">
        <f aca="false">Daily_Composite!Y195</f>
        <v>0.279</v>
      </c>
      <c r="GK23" s="17" t="n">
        <f aca="false">Daily_Composite!Y196</f>
        <v>-0.077</v>
      </c>
      <c r="GL23" s="17" t="n">
        <f aca="false">Daily_Composite!Y197</f>
        <v>-0.11</v>
      </c>
      <c r="GM23" s="17" t="n">
        <f aca="false">Daily_Composite!Y198</f>
        <v>-0.119</v>
      </c>
      <c r="GN23" s="17" t="n">
        <f aca="false">Daily_Composite!Y199</f>
        <v>-0.083</v>
      </c>
      <c r="GO23" s="17" t="n">
        <f aca="false">Daily_Composite!Y200</f>
        <v>-0.121</v>
      </c>
      <c r="GP23" s="17" t="n">
        <f aca="false">Daily_Composite!Y201</f>
        <v>-0.125</v>
      </c>
      <c r="GQ23" s="17" t="n">
        <f aca="false">Daily_Composite!Y202</f>
        <v>-0.475</v>
      </c>
      <c r="GR23" s="17" t="n">
        <f aca="false">Daily_Composite!Y203</f>
        <v>-0.158</v>
      </c>
      <c r="GS23" s="17" t="n">
        <f aca="false">Daily_Composite!Y204</f>
        <v>-0.394</v>
      </c>
      <c r="GT23" s="17" t="n">
        <f aca="false">Daily_Composite!Y205</f>
        <v>-0.141</v>
      </c>
      <c r="GU23" s="17" t="n">
        <f aca="false">Daily_Composite!Y206</f>
        <v>-0.144</v>
      </c>
      <c r="GV23" s="17" t="n">
        <f aca="false">Daily_Composite!Y207</f>
        <v>-0.182</v>
      </c>
      <c r="GW23" s="17" t="n">
        <f aca="false">Daily_Composite!Y208</f>
        <v>-0.163</v>
      </c>
      <c r="GX23" s="17" t="n">
        <f aca="false">Daily_Composite!Y209</f>
        <v>-0.156</v>
      </c>
      <c r="GY23" s="17" t="n">
        <f aca="false">Daily_Composite!Y210</f>
        <v>-0.266</v>
      </c>
      <c r="GZ23" s="17" t="n">
        <f aca="false">Daily_Composite!Y211</f>
        <v>-0.459</v>
      </c>
      <c r="HA23" s="17" t="n">
        <f aca="false">Daily_Composite!Y212</f>
        <v>-0.432</v>
      </c>
      <c r="HB23" s="17" t="n">
        <f aca="false">Daily_Composite!Y213</f>
        <v>-0.544</v>
      </c>
      <c r="HC23" s="17" t="n">
        <f aca="false">Daily_Composite!Y214</f>
        <v>-0.226</v>
      </c>
      <c r="HD23" s="17" t="n">
        <f aca="false">Daily_Composite!Y215</f>
        <v>-0.531</v>
      </c>
      <c r="HE23" s="17" t="n">
        <f aca="false">Daily_Composite!Y216</f>
        <v>-0.539</v>
      </c>
      <c r="HF23" s="17" t="n">
        <f aca="false">Daily_Composite!Y217</f>
        <v>-0.55</v>
      </c>
      <c r="HG23" s="17" t="n">
        <f aca="false">Daily_Composite!Y218</f>
        <v>-0.542</v>
      </c>
      <c r="HH23" s="17" t="n">
        <f aca="false">Daily_Composite!Y219</f>
        <v>-0.53</v>
      </c>
      <c r="HI23" s="17" t="n">
        <f aca="false">Daily_Composite!Y220</f>
        <v>-0.587</v>
      </c>
      <c r="HJ23" s="17" t="n">
        <f aca="false">Daily_Composite!Y221</f>
        <v>-0.592</v>
      </c>
      <c r="HK23" s="17" t="n">
        <f aca="false">Daily_Composite!Y222</f>
        <v>-0.155</v>
      </c>
      <c r="HL23" s="17" t="n">
        <f aca="false">Daily_Composite!Y223</f>
        <v>-0.125</v>
      </c>
      <c r="HM23" s="17" t="n">
        <f aca="false">Daily_Composite!Y224</f>
        <v>-0.12</v>
      </c>
      <c r="HN23" s="17" t="n">
        <f aca="false">Daily_Composite!Y225</f>
        <v>-0.122</v>
      </c>
      <c r="HO23" s="17" t="n">
        <f aca="false">Daily_Composite!Y226</f>
        <v>-0.124</v>
      </c>
      <c r="HP23" s="17" t="n">
        <f aca="false">Daily_Composite!Y227</f>
        <v>-0.137</v>
      </c>
      <c r="HQ23" s="17" t="n">
        <f aca="false">Daily_Composite!Y228</f>
        <v>-0.13</v>
      </c>
      <c r="HR23" s="17" t="n">
        <f aca="false">Daily_Composite!Y229</f>
        <v>-0.379</v>
      </c>
      <c r="HS23" s="17" t="n">
        <f aca="false">Daily_Composite!Y230</f>
        <v>-0.152</v>
      </c>
      <c r="HT23" s="17" t="n">
        <f aca="false">Daily_Composite!Y231</f>
        <v>-0.569</v>
      </c>
      <c r="HU23" s="17" t="n">
        <f aca="false">Daily_Composite!Y232</f>
        <v>-0.159</v>
      </c>
      <c r="HV23" s="17" t="n">
        <f aca="false">Daily_Composite!Y233</f>
        <v>-0.168</v>
      </c>
      <c r="HW23" s="17" t="n">
        <f aca="false">Daily_Composite!Y234</f>
        <v>-0.168</v>
      </c>
      <c r="HX23" s="17" t="n">
        <f aca="false">Daily_Composite!Y235</f>
        <v>-0.206</v>
      </c>
      <c r="HY23" s="17" t="n">
        <f aca="false">Daily_Composite!Y236</f>
        <v>-0.197</v>
      </c>
      <c r="HZ23" s="17" t="n">
        <f aca="false">Daily_Composite!Y237</f>
        <v>-0.175</v>
      </c>
      <c r="IA23" s="17" t="n">
        <f aca="false">Daily_Composite!Y238</f>
        <v>-0.365</v>
      </c>
      <c r="IB23" s="17" t="n">
        <f aca="false">Daily_Composite!Y239</f>
        <v>-0.435</v>
      </c>
      <c r="IC23" s="17" t="n">
        <f aca="false">Daily_Composite!Y240</f>
        <v>-0.571</v>
      </c>
      <c r="ID23" s="17" t="n">
        <f aca="false">Daily_Composite!Y241</f>
        <v>-0.102</v>
      </c>
      <c r="IE23" s="17" t="n">
        <f aca="false">Daily_Composite!Y242</f>
        <v>-0.537</v>
      </c>
      <c r="IF23" s="17" t="n">
        <f aca="false">Daily_Composite!Y243</f>
        <v>-0.542</v>
      </c>
      <c r="IG23" s="17" t="n">
        <f aca="false">Daily_Composite!Y244</f>
        <v>-0.56</v>
      </c>
      <c r="IH23" s="17" t="n">
        <f aca="false">Daily_Composite!Y245</f>
        <v>-0.467</v>
      </c>
      <c r="II23" s="17" t="n">
        <f aca="false">Daily_Composite!Y246</f>
        <v>-0.441</v>
      </c>
      <c r="IJ23" s="17" t="n">
        <f aca="false">Daily_Composite!Y247</f>
        <v>-0.377</v>
      </c>
      <c r="IK23" s="17" t="n">
        <f aca="false">Daily_Composite!Y248</f>
        <v>-0.241</v>
      </c>
      <c r="IL23" s="17" t="n">
        <f aca="false">Daily_Composite!Y249</f>
        <v>-0.157</v>
      </c>
      <c r="IM23" s="17" t="n">
        <f aca="false">Daily_Composite!Y250</f>
        <v>-0.299</v>
      </c>
      <c r="IN23" s="17" t="n">
        <f aca="false">Daily_Composite!Y251</f>
        <v>-0.137</v>
      </c>
      <c r="IO23" s="17" t="n">
        <f aca="false">Daily_Composite!Y252</f>
        <v>-0.127</v>
      </c>
      <c r="IP23" s="17" t="n">
        <f aca="false">Daily_Composite!Y253</f>
        <v>-0.129</v>
      </c>
      <c r="IQ23" s="17" t="n">
        <f aca="false">Daily_Composite!Y254</f>
        <v>-0.103</v>
      </c>
      <c r="IR23" s="17" t="n">
        <f aca="false">Daily_Composite!Y255</f>
        <v>-0.075</v>
      </c>
      <c r="IS23" s="17" t="n">
        <f aca="false">Daily_Composite!Y256</f>
        <v>-0.641</v>
      </c>
      <c r="IT23" s="17" t="n">
        <f aca="false">Daily_Composite!Y257</f>
        <v>-0.334</v>
      </c>
      <c r="IU23" s="17" t="n">
        <f aca="false">Daily_Composite!Y258</f>
        <v>-0.407</v>
      </c>
      <c r="IV23" s="17" t="n">
        <f aca="false">Daily_Composite!Y259</f>
        <v>-0.208</v>
      </c>
      <c r="IW23" s="17" t="n">
        <f aca="false">Daily_Composite!Y260</f>
        <v>-0.203</v>
      </c>
      <c r="IX23" s="17" t="n">
        <f aca="false">Daily_Composite!Y261</f>
        <v>-0.206</v>
      </c>
      <c r="IY23" s="17" t="n">
        <f aca="false">Daily_Composite!Y262</f>
        <v>-0.22</v>
      </c>
      <c r="IZ23" s="17" t="n">
        <f aca="false">Daily_Composite!Y263</f>
        <v>-0.22</v>
      </c>
      <c r="JA23" s="17" t="n">
        <f aca="false">Daily_Composite!Y264</f>
        <v>-0.219</v>
      </c>
      <c r="JB23" s="17" t="n">
        <f aca="false">Daily_Composite!Y265</f>
        <v>-0.567</v>
      </c>
      <c r="JC23" s="17" t="n">
        <f aca="false">Daily_Composite!Y266</f>
        <v>-0.46</v>
      </c>
      <c r="JD23" s="17" t="n">
        <f aca="false">Daily_Composite!Y267</f>
        <v>-0.475</v>
      </c>
      <c r="JE23" s="17" t="n">
        <f aca="false">Daily_Composite!Y268</f>
        <v>-0.37</v>
      </c>
      <c r="JF23" s="17" t="n">
        <f aca="false">Daily_Composite!Y269</f>
        <v>-0.37</v>
      </c>
      <c r="JG23" s="17" t="n">
        <f aca="false">Daily_Composite!Y270</f>
        <v>-0.698</v>
      </c>
      <c r="JH23" s="17" t="n">
        <f aca="false">Daily_Composite!Y271</f>
        <v>-0.701</v>
      </c>
      <c r="JI23" s="17" t="n">
        <f aca="false">Daily_Composite!Y272</f>
        <v>-0.686</v>
      </c>
      <c r="JJ23" s="17" t="n">
        <f aca="false">Daily_Composite!Y273</f>
        <v>-0.665</v>
      </c>
      <c r="JK23" s="17" t="n">
        <f aca="false">Daily_Composite!Y274</f>
        <v>-0.597</v>
      </c>
      <c r="JL23" s="17" t="n">
        <f aca="false">Daily_Composite!Y275</f>
        <v>-0.631</v>
      </c>
      <c r="JM23" s="17" t="n">
        <f aca="false">Daily_Composite!Y276</f>
        <v>-0.276</v>
      </c>
      <c r="JN23" s="17" t="n">
        <f aca="false">Daily_Composite!Y277</f>
        <v>-0.56</v>
      </c>
      <c r="JO23" s="17" t="n">
        <f aca="false">Daily_Composite!Y278</f>
        <v>-0.288</v>
      </c>
      <c r="JP23" s="17" t="n">
        <f aca="false">Daily_Composite!Y279</f>
        <v>-0.225</v>
      </c>
      <c r="JQ23" s="17" t="n">
        <f aca="false">Daily_Composite!Y280</f>
        <v>-0.226</v>
      </c>
      <c r="JR23" s="17" t="n">
        <f aca="false">Daily_Composite!Y281</f>
        <v>-0.205</v>
      </c>
      <c r="JS23" s="17" t="n">
        <f aca="false">Daily_Composite!Y282</f>
        <v>-0.103</v>
      </c>
      <c r="JT23" s="17" t="n">
        <f aca="false">Daily_Composite!Y283</f>
        <v>-0.104</v>
      </c>
      <c r="JU23" s="17" t="n">
        <f aca="false">Daily_Composite!Y284</f>
        <v>-0.487</v>
      </c>
      <c r="JV23" s="17" t="n">
        <f aca="false">Daily_Composite!Y285</f>
        <v>-0.104</v>
      </c>
      <c r="JW23" s="17" t="n">
        <f aca="false">Daily_Composite!Y286</f>
        <v>-0.095</v>
      </c>
      <c r="JX23" s="17" t="n">
        <f aca="false">Daily_Composite!Y287</f>
        <v>-0.11</v>
      </c>
      <c r="JY23" s="17" t="n">
        <f aca="false">Daily_Composite!Y288</f>
        <v>-0.109</v>
      </c>
      <c r="JZ23" s="17" t="n">
        <f aca="false">Daily_Composite!Y289</f>
        <v>-0.157</v>
      </c>
      <c r="KA23" s="17" t="n">
        <f aca="false">Daily_Composite!Y290</f>
        <v>-0.18</v>
      </c>
      <c r="KB23" s="17" t="n">
        <f aca="false">Daily_Composite!Y291</f>
        <v>-0.18</v>
      </c>
      <c r="KC23" s="17" t="n">
        <f aca="false">Daily_Composite!Y292</f>
        <v>-0.485</v>
      </c>
      <c r="KD23" s="17" t="n">
        <f aca="false">Daily_Composite!Y293</f>
        <v>-0.274</v>
      </c>
      <c r="KE23" s="17" t="n">
        <f aca="false">Daily_Composite!Y294</f>
        <v>0.192</v>
      </c>
      <c r="KF23" s="17" t="n">
        <f aca="false">Daily_Composite!Y295</f>
        <v>0.285</v>
      </c>
      <c r="KG23" s="17" t="n">
        <f aca="false">Daily_Composite!Y296</f>
        <v>-0.146</v>
      </c>
      <c r="KH23" s="17" t="n">
        <f aca="false">Daily_Composite!Y297</f>
        <v>-0.5</v>
      </c>
      <c r="KI23" s="17" t="n">
        <f aca="false">Daily_Composite!Y298</f>
        <v>-0.585</v>
      </c>
      <c r="KJ23" s="17" t="n">
        <f aca="false">Daily_Composite!Y299</f>
        <v>-0.552</v>
      </c>
      <c r="KK23" s="17" t="n">
        <f aca="false">Daily_Composite!Y300</f>
        <v>-0.414</v>
      </c>
      <c r="KL23" s="17" t="n">
        <f aca="false">Daily_Composite!Y301</f>
        <v>-0.445</v>
      </c>
      <c r="KM23" s="17" t="n">
        <f aca="false">Daily_Composite!Y302</f>
        <v>-0.359</v>
      </c>
      <c r="KN23" s="17" t="n">
        <f aca="false">Daily_Composite!Y303</f>
        <v>-0.161</v>
      </c>
      <c r="KO23" s="17" t="n">
        <f aca="false">Daily_Composite!Y304</f>
        <v>-0.416</v>
      </c>
      <c r="KP23" s="17" t="n">
        <f aca="false">Daily_Composite!Y305</f>
        <v>-0.168</v>
      </c>
      <c r="KQ23" s="17" t="n">
        <f aca="false">Daily_Composite!Y306</f>
        <v>-0.189</v>
      </c>
      <c r="KR23" s="17" t="n">
        <f aca="false">Daily_Composite!Y307</f>
        <v>-0.13</v>
      </c>
      <c r="KS23" s="17" t="n">
        <f aca="false">Daily_Composite!Y308</f>
        <v>-0.151</v>
      </c>
      <c r="KT23" s="17" t="n">
        <f aca="false">Daily_Composite!Y309</f>
        <v>-0.121</v>
      </c>
      <c r="KU23" s="17" t="n">
        <f aca="false">Daily_Composite!Y310</f>
        <v>-0.09</v>
      </c>
      <c r="KV23" s="17" t="n">
        <f aca="false">Daily_Composite!Y311</f>
        <v>-0.611</v>
      </c>
      <c r="KW23" s="17" t="n">
        <f aca="false">Daily_Composite!Y312</f>
        <v>-0.087</v>
      </c>
      <c r="KX23" s="17" t="n">
        <f aca="false">Daily_Composite!Y313</f>
        <v>-0.444</v>
      </c>
      <c r="KY23" s="17" t="n">
        <f aca="false">Daily_Composite!Y314</f>
        <v>-0.11</v>
      </c>
      <c r="KZ23" s="17" t="n">
        <f aca="false">Daily_Composite!Y315</f>
        <v>-0.158</v>
      </c>
      <c r="LA23" s="17" t="n">
        <f aca="false">Daily_Composite!Y316</f>
        <v>-0.155</v>
      </c>
      <c r="LB23" s="17" t="n">
        <f aca="false">Daily_Composite!Y317</f>
        <v>-0.163</v>
      </c>
      <c r="LC23" s="17" t="n">
        <f aca="false">Daily_Composite!Y318</f>
        <v>-0.164</v>
      </c>
      <c r="LD23" s="17" t="n">
        <f aca="false">Daily_Composite!Y319</f>
        <v>-0.285</v>
      </c>
      <c r="LE23" s="17" t="n">
        <f aca="false">Daily_Composite!Y320</f>
        <v>-0.527</v>
      </c>
      <c r="LF23" s="17" t="n">
        <f aca="false">Daily_Composite!Y321</f>
        <v>-0.364</v>
      </c>
      <c r="LG23" s="17" t="n">
        <f aca="false">Daily_Composite!Y322</f>
        <v>-0.342</v>
      </c>
      <c r="LH23" s="17" t="n">
        <f aca="false">Daily_Composite!Y323</f>
        <v>-0.008</v>
      </c>
      <c r="LI23" s="17" t="n">
        <f aca="false">Daily_Composite!Y324</f>
        <v>-0.469</v>
      </c>
      <c r="LJ23" s="17" t="n">
        <f aca="false">Daily_Composite!Y325</f>
        <v>-0.451</v>
      </c>
      <c r="LK23" s="17" t="n">
        <f aca="false">Daily_Composite!Y326</f>
        <v>-0.42</v>
      </c>
      <c r="LL23" s="17" t="n">
        <f aca="false">Daily_Composite!Y327</f>
        <v>-0.34</v>
      </c>
      <c r="LM23" s="17" t="n">
        <f aca="false">Daily_Composite!Y328</f>
        <v>-0.318</v>
      </c>
      <c r="LN23" s="17" t="n">
        <f aca="false">Daily_Composite!Y329</f>
        <v>-0.029</v>
      </c>
      <c r="LO23" s="17" t="n">
        <f aca="false">Daily_Composite!Y330</f>
        <v>-0.502</v>
      </c>
      <c r="LP23" s="17" t="n">
        <f aca="false">Daily_Composite!Y331</f>
        <v>-0.035</v>
      </c>
      <c r="LQ23" s="17" t="n">
        <f aca="false">Daily_Composite!Y332</f>
        <v>-0.319</v>
      </c>
      <c r="LR23" s="17" t="n">
        <f aca="false">Daily_Composite!Y333</f>
        <v>-0.056</v>
      </c>
      <c r="LS23" s="17" t="n">
        <f aca="false">Daily_Composite!Y334</f>
        <v>-0.016</v>
      </c>
      <c r="LT23" s="17" t="n">
        <f aca="false">Daily_Composite!Y335</f>
        <v>-0.126</v>
      </c>
      <c r="LU23" s="17" t="n">
        <f aca="false">Daily_Composite!Y336</f>
        <v>-0.109</v>
      </c>
      <c r="LV23" s="17" t="n">
        <f aca="false">Daily_Composite!Y337</f>
        <v>-0.108</v>
      </c>
      <c r="LW23" s="17" t="n">
        <f aca="false">Daily_Composite!Y338</f>
        <v>-0.107</v>
      </c>
      <c r="LX23" s="17" t="n">
        <f aca="false">Daily_Composite!Y339</f>
        <v>-0.229</v>
      </c>
      <c r="LY23" s="17" t="n">
        <f aca="false">Daily_Composite!Y340</f>
        <v>-0.204</v>
      </c>
      <c r="LZ23" s="17" t="n">
        <f aca="false">Daily_Composite!Y341</f>
        <v>-0.108</v>
      </c>
      <c r="MA23" s="17" t="n">
        <f aca="false">Daily_Composite!Y342</f>
        <v>-0.115</v>
      </c>
      <c r="MB23" s="17" t="n">
        <f aca="false">Daily_Composite!Y343</f>
        <v>-0.056</v>
      </c>
      <c r="MC23" s="17" t="n">
        <f aca="false">Daily_Composite!Y344</f>
        <v>-0.071</v>
      </c>
      <c r="MD23" s="17" t="n">
        <f aca="false">Daily_Composite!Y345</f>
        <v>-0.134</v>
      </c>
      <c r="ME23" s="17" t="n">
        <f aca="false">Daily_Composite!Y346</f>
        <v>-0.125</v>
      </c>
      <c r="MF23" s="17" t="n">
        <f aca="false">Daily_Composite!Y347</f>
        <v>0.353</v>
      </c>
      <c r="MG23" s="17" t="n">
        <f aca="false">Daily_Composite!Y348</f>
        <v>-0.017</v>
      </c>
      <c r="MH23" s="17" t="n">
        <f aca="false">Daily_Composite!Y349</f>
        <v>0.008</v>
      </c>
      <c r="MI23" s="17" t="n">
        <f aca="false">Daily_Composite!Y350</f>
        <v>-0.05</v>
      </c>
      <c r="MJ23" s="17" t="n">
        <f aca="false">Daily_Composite!Y351</f>
        <v>-0.046</v>
      </c>
      <c r="MK23" s="17" t="n">
        <f aca="false">Daily_Composite!Y352</f>
        <v>-0.058</v>
      </c>
      <c r="ML23" s="17" t="n">
        <f aca="false">Daily_Composite!Y353</f>
        <v>-0.095</v>
      </c>
      <c r="MM23" s="17" t="n">
        <f aca="false">Daily_Composite!Y354</f>
        <v>-0.041</v>
      </c>
      <c r="MN23" s="17" t="n">
        <f aca="false">Daily_Composite!Y355</f>
        <v>0.087</v>
      </c>
      <c r="MO23" s="17" t="n">
        <f aca="false">Daily_Composite!Y356</f>
        <v>0.129</v>
      </c>
      <c r="MP23" s="17" t="n">
        <f aca="false">Daily_Composite!Y357</f>
        <v>0.441</v>
      </c>
      <c r="MQ23" s="17" t="n">
        <f aca="false">Daily_Composite!Y358</f>
        <v>0.148</v>
      </c>
      <c r="MR23" s="17" t="n">
        <f aca="false">Daily_Composite!Y359</f>
        <v>0.214</v>
      </c>
      <c r="MS23" s="17" t="n">
        <f aca="false">Daily_Composite!Y360</f>
        <v>0.112</v>
      </c>
      <c r="MT23" s="17" t="n">
        <f aca="false">Daily_Composite!Y361</f>
        <v>0.057</v>
      </c>
      <c r="MU23" s="17" t="n">
        <f aca="false">Daily_Composite!Y362</f>
        <v>0.068</v>
      </c>
      <c r="MV23" s="17" t="n">
        <f aca="false">Daily_Composite!Y363</f>
        <v>0.092</v>
      </c>
      <c r="MW23" s="17" t="n">
        <f aca="false">Daily_Composite!Y364</f>
        <v>-0.005</v>
      </c>
      <c r="MX23" s="17" t="n">
        <f aca="false">Daily_Composite!Y365</f>
        <v>-0.037</v>
      </c>
      <c r="MY23" s="17" t="n">
        <f aca="false">Daily_Composite!Y366</f>
        <v>0.365</v>
      </c>
      <c r="MZ23" s="17" t="n">
        <f aca="false">Daily_Composite!Y367</f>
        <v>-0.051</v>
      </c>
      <c r="NA23" s="17" t="n">
        <f aca="false">Daily_Composite!Y368</f>
        <v>0.116</v>
      </c>
      <c r="NB23" s="17" t="n">
        <f aca="false">Daily_Composite!Y369</f>
        <v>-0.023</v>
      </c>
    </row>
    <row r="24" customFormat="false" ht="15" hidden="false" customHeight="false" outlineLevel="0" collapsed="false">
      <c r="A24" s="6" t="s">
        <v>37</v>
      </c>
      <c r="B24" s="17" t="n">
        <f aca="false">Daily_Composite!Z5</f>
        <v>-0.354</v>
      </c>
      <c r="C24" s="17" t="n">
        <f aca="false">Daily_Composite!Z6</f>
        <v>-0.381</v>
      </c>
      <c r="D24" s="17" t="n">
        <f aca="false">Daily_Composite!Z7</f>
        <v>-0.194</v>
      </c>
      <c r="E24" s="17" t="n">
        <f aca="false">Daily_Composite!Z8</f>
        <v>-0.301</v>
      </c>
      <c r="F24" s="17" t="n">
        <f aca="false">Daily_Composite!Z9</f>
        <v>-0.151</v>
      </c>
      <c r="G24" s="17" t="n">
        <f aca="false">Daily_Composite!Z10</f>
        <v>-0.019</v>
      </c>
      <c r="H24" s="17" t="n">
        <f aca="false">Daily_Composite!Z11</f>
        <v>-0.02</v>
      </c>
      <c r="I24" s="17" t="n">
        <f aca="false">Daily_Composite!Z12</f>
        <v>0.04</v>
      </c>
      <c r="J24" s="17" t="n">
        <f aca="false">Daily_Composite!Z13</f>
        <v>0.089</v>
      </c>
      <c r="K24" s="17" t="n">
        <f aca="false">Daily_Composite!Z14</f>
        <v>-0.114</v>
      </c>
      <c r="L24" s="17" t="n">
        <f aca="false">Daily_Composite!Z15</f>
        <v>0.263</v>
      </c>
      <c r="M24" s="17" t="n">
        <f aca="false">Daily_Composite!Z16</f>
        <v>0.17</v>
      </c>
      <c r="N24" s="17" t="n">
        <f aca="false">Daily_Composite!Z17</f>
        <v>-0.149</v>
      </c>
      <c r="O24" s="17" t="n">
        <f aca="false">Daily_Composite!Z18</f>
        <v>0.101</v>
      </c>
      <c r="P24" s="17" t="n">
        <f aca="false">Daily_Composite!Z19</f>
        <v>0.236</v>
      </c>
      <c r="Q24" s="17" t="n">
        <f aca="false">Daily_Composite!Z20</f>
        <v>0.345</v>
      </c>
      <c r="R24" s="17" t="n">
        <f aca="false">Daily_Composite!Z21</f>
        <v>0.336</v>
      </c>
      <c r="S24" s="17" t="n">
        <f aca="false">Daily_Composite!Z22</f>
        <v>0.099</v>
      </c>
      <c r="T24" s="17" t="n">
        <f aca="false">Daily_Composite!Z23</f>
        <v>0.595</v>
      </c>
      <c r="U24" s="17" t="n">
        <f aca="false">Daily_Composite!Z24</f>
        <v>0.185</v>
      </c>
      <c r="V24" s="17" t="n">
        <f aca="false">Daily_Composite!Z25</f>
        <v>0.203</v>
      </c>
      <c r="W24" s="17" t="n">
        <f aca="false">Daily_Composite!Z26</f>
        <v>0.195</v>
      </c>
      <c r="X24" s="17" t="n">
        <f aca="false">Daily_Composite!Z27</f>
        <v>-0.138</v>
      </c>
      <c r="Y24" s="17" t="n">
        <f aca="false">Daily_Composite!Z28</f>
        <v>0.258</v>
      </c>
      <c r="Z24" s="17" t="n">
        <f aca="false">Daily_Composite!Z29</f>
        <v>0.275</v>
      </c>
      <c r="AA24" s="17" t="n">
        <f aca="false">Daily_Composite!Z30</f>
        <v>0.362</v>
      </c>
      <c r="AB24" s="17" t="n">
        <f aca="false">Daily_Composite!Z31</f>
        <v>0.234</v>
      </c>
      <c r="AC24" s="17" t="n">
        <f aca="false">Daily_Composite!Z32</f>
        <v>0.431</v>
      </c>
      <c r="AD24" s="17" t="n">
        <f aca="false">Daily_Composite!Z33</f>
        <v>0.75</v>
      </c>
      <c r="AE24" s="17" t="n">
        <f aca="false">Daily_Composite!Z34</f>
        <v>0.444</v>
      </c>
      <c r="AF24" s="17" t="n">
        <f aca="false">Daily_Composite!Z35</f>
        <v>0.397</v>
      </c>
      <c r="AG24" s="17" t="n">
        <f aca="false">Daily_Composite!Z36</f>
        <v>0.687</v>
      </c>
      <c r="AH24" s="17" t="n">
        <f aca="false">Daily_Composite!Z37</f>
        <v>0.379</v>
      </c>
      <c r="AI24" s="17" t="n">
        <f aca="false">Daily_Composite!Z38</f>
        <v>0.507</v>
      </c>
      <c r="AJ24" s="17" t="n">
        <f aca="false">Daily_Composite!Z39</f>
        <v>0.697</v>
      </c>
      <c r="AK24" s="17" t="n">
        <f aca="false">Daily_Composite!Z40</f>
        <v>0.764</v>
      </c>
      <c r="AL24" s="17" t="n">
        <f aca="false">Daily_Composite!Z41</f>
        <v>0.713</v>
      </c>
      <c r="AM24" s="17" t="n">
        <f aca="false">Daily_Composite!Z42</f>
        <v>0.245</v>
      </c>
      <c r="AN24" s="17" t="n">
        <f aca="false">Daily_Composite!Z43</f>
        <v>0.193</v>
      </c>
      <c r="AO24" s="17" t="n">
        <f aca="false">Daily_Composite!Z44</f>
        <v>-0.007</v>
      </c>
      <c r="AP24" s="17" t="n">
        <f aca="false">Daily_Composite!Z45</f>
        <v>0.3</v>
      </c>
      <c r="AQ24" s="17" t="n">
        <f aca="false">Daily_Composite!Z46</f>
        <v>0.27</v>
      </c>
      <c r="AR24" s="17" t="n">
        <f aca="false">Daily_Composite!Z47</f>
        <v>0.246</v>
      </c>
      <c r="AS24" s="17" t="n">
        <f aca="false">Daily_Composite!Z48</f>
        <v>0.334</v>
      </c>
      <c r="AT24" s="17" t="n">
        <f aca="false">Daily_Composite!Z49</f>
        <v>0.276</v>
      </c>
      <c r="AU24" s="17" t="n">
        <f aca="false">Daily_Composite!Z50</f>
        <v>0.334</v>
      </c>
      <c r="AV24" s="17" t="n">
        <f aca="false">Daily_Composite!Z51</f>
        <v>0.633</v>
      </c>
      <c r="AW24" s="17" t="n">
        <f aca="false">Daily_Composite!Z52</f>
        <v>0.284</v>
      </c>
      <c r="AX24" s="17" t="n">
        <f aca="false">Daily_Composite!Z53</f>
        <v>0.287</v>
      </c>
      <c r="AY24" s="17" t="n">
        <f aca="false">Daily_Composite!Z54</f>
        <v>0.322</v>
      </c>
      <c r="AZ24" s="17" t="n">
        <f aca="false">Daily_Composite!Z55</f>
        <v>-0.139</v>
      </c>
      <c r="BA24" s="17" t="n">
        <f aca="false">Daily_Composite!Z56</f>
        <v>-0.035</v>
      </c>
      <c r="BB24" s="17" t="n">
        <f aca="false">Daily_Composite!Z57</f>
        <v>-0.013</v>
      </c>
      <c r="BC24" s="17" t="n">
        <f aca="false">Daily_Composite!Z58</f>
        <v>-0.052</v>
      </c>
      <c r="BD24" s="17" t="n">
        <f aca="false">Daily_Composite!Z59</f>
        <v>-0.038</v>
      </c>
      <c r="BE24" s="17" t="n">
        <f aca="false">Daily_Composite!Z60</f>
        <v>-0.246</v>
      </c>
      <c r="BF24" s="17" t="n">
        <f aca="false">Daily_Composite!Z61</f>
        <v>-0.052</v>
      </c>
      <c r="BG24" s="17" t="n">
        <f aca="false">Daily_Composite!Z62</f>
        <v>-0.084</v>
      </c>
      <c r="BH24" s="17" t="n">
        <f aca="false">Daily_Composite!Z63</f>
        <v>-0.001</v>
      </c>
      <c r="BI24" s="17" t="n">
        <f aca="false">Daily_Composite!Z64</f>
        <v>-0.039</v>
      </c>
      <c r="BJ24" s="17" t="n">
        <f aca="false">Daily_Composite!Z65</f>
        <v>0.072</v>
      </c>
      <c r="BK24" s="17" t="n">
        <f aca="false">Daily_Composite!Z66</f>
        <v>0.072</v>
      </c>
      <c r="BL24" s="17" t="n">
        <f aca="false">Daily_Composite!Z67</f>
        <v>0.429</v>
      </c>
      <c r="BM24" s="17" t="n">
        <f aca="false">Daily_Composite!Z68</f>
        <v>0.442</v>
      </c>
      <c r="BN24" s="17" t="n">
        <f aca="false">Daily_Composite!Z69</f>
        <v>0.145</v>
      </c>
      <c r="BO24" s="17" t="n">
        <f aca="false">Daily_Composite!Z70</f>
        <v>0.068</v>
      </c>
      <c r="BP24" s="17" t="n">
        <f aca="false">Daily_Composite!Z71</f>
        <v>-0.046</v>
      </c>
      <c r="BQ24" s="17" t="n">
        <f aca="false">Daily_Composite!Z72</f>
        <v>0.034</v>
      </c>
      <c r="BR24" s="17" t="n">
        <f aca="false">Daily_Composite!Z73</f>
        <v>0.051</v>
      </c>
      <c r="BS24" s="17" t="n">
        <f aca="false">Daily_Composite!Z74</f>
        <v>-0.006</v>
      </c>
      <c r="BT24" s="17" t="n">
        <f aca="false">Daily_Composite!Z75</f>
        <v>-0.03</v>
      </c>
      <c r="BU24" s="17" t="n">
        <f aca="false">Daily_Composite!Z76</f>
        <v>-0.017</v>
      </c>
      <c r="BV24" s="17" t="n">
        <f aca="false">Daily_Composite!Z77</f>
        <v>0.06</v>
      </c>
      <c r="BW24" s="17" t="n">
        <f aca="false">Daily_Composite!Z78</f>
        <v>0.552</v>
      </c>
      <c r="BX24" s="17" t="n">
        <f aca="false">Daily_Composite!Z79</f>
        <v>-0.035</v>
      </c>
      <c r="BY24" s="17" t="n">
        <f aca="false">Daily_Composite!Z80</f>
        <v>-0.076</v>
      </c>
      <c r="BZ24" s="17" t="n">
        <f aca="false">Daily_Composite!Z81</f>
        <v>-0.063</v>
      </c>
      <c r="CA24" s="17" t="n">
        <f aca="false">Daily_Composite!Z82</f>
        <v>0.307</v>
      </c>
      <c r="CB24" s="17" t="n">
        <f aca="false">Daily_Composite!Z83</f>
        <v>0.159</v>
      </c>
      <c r="CC24" s="17" t="n">
        <f aca="false">Daily_Composite!Z84</f>
        <v>0.129</v>
      </c>
      <c r="CD24" s="17" t="n">
        <f aca="false">Daily_Composite!Z85</f>
        <v>0.184</v>
      </c>
      <c r="CE24" s="17" t="n">
        <f aca="false">Daily_Composite!Z86</f>
        <v>0.183</v>
      </c>
      <c r="CF24" s="17" t="n">
        <f aca="false">Daily_Composite!Z87</f>
        <v>0.541</v>
      </c>
      <c r="CG24" s="17" t="n">
        <f aca="false">Daily_Composite!Z88</f>
        <v>-0.058</v>
      </c>
      <c r="CH24" s="17" t="n">
        <f aca="false">Daily_Composite!Z89</f>
        <v>-0.085</v>
      </c>
      <c r="CI24" s="17" t="n">
        <f aca="false">Daily_Composite!Z90</f>
        <v>0.003</v>
      </c>
      <c r="CJ24" s="17" t="n">
        <f aca="false">Daily_Composite!Z91</f>
        <v>0.239</v>
      </c>
      <c r="CK24" s="17" t="n">
        <f aca="false">Daily_Composite!Z92</f>
        <v>0.094</v>
      </c>
      <c r="CL24" s="17" t="n">
        <f aca="false">Daily_Composite!Z93</f>
        <v>-0.072</v>
      </c>
      <c r="CM24" s="17" t="n">
        <f aca="false">Daily_Composite!Z94</f>
        <v>0.332</v>
      </c>
      <c r="CN24" s="17" t="n">
        <f aca="false">Daily_Composite!Z95</f>
        <v>0.266</v>
      </c>
      <c r="CO24" s="17" t="n">
        <f aca="false">Daily_Composite!Z96</f>
        <v>0.089</v>
      </c>
      <c r="CP24" s="17" t="n">
        <f aca="false">Daily_Composite!Z97</f>
        <v>-0.08</v>
      </c>
      <c r="CQ24" s="17" t="n">
        <f aca="false">Daily_Composite!Z98</f>
        <v>-0.341</v>
      </c>
      <c r="CR24" s="17" t="n">
        <f aca="false">Daily_Composite!Z99</f>
        <v>-0.427</v>
      </c>
      <c r="CS24" s="17" t="n">
        <f aca="false">Daily_Composite!Z100</f>
        <v>-0.183</v>
      </c>
      <c r="CT24" s="17" t="n">
        <f aca="false">Daily_Composite!Z101</f>
        <v>0.004</v>
      </c>
      <c r="CU24" s="17" t="n">
        <f aca="false">Daily_Composite!Z102</f>
        <v>-0.19</v>
      </c>
      <c r="CV24" s="17" t="n">
        <f aca="false">Daily_Composite!Z103</f>
        <v>-0.038</v>
      </c>
      <c r="CW24" s="17" t="n">
        <f aca="false">Daily_Composite!Z104</f>
        <v>-0.071</v>
      </c>
      <c r="CX24" s="17" t="n">
        <f aca="false">Daily_Composite!Z105</f>
        <v>-0.384</v>
      </c>
      <c r="CY24" s="17" t="n">
        <f aca="false">Daily_Composite!Z106</f>
        <v>0.177</v>
      </c>
      <c r="CZ24" s="17" t="n">
        <f aca="false">Daily_Composite!Z107</f>
        <v>-0.009</v>
      </c>
      <c r="DA24" s="17" t="n">
        <f aca="false">Daily_Composite!Z108</f>
        <v>-0.022</v>
      </c>
      <c r="DB24" s="17" t="n">
        <f aca="false">Daily_Composite!Z109</f>
        <v>-0.491</v>
      </c>
      <c r="DC24" s="17" t="n">
        <f aca="false">Daily_Composite!Z110</f>
        <v>0.015</v>
      </c>
      <c r="DD24" s="17" t="n">
        <f aca="false">Daily_Composite!Z111</f>
        <v>0.073</v>
      </c>
      <c r="DE24" s="17" t="n">
        <f aca="false">Daily_Composite!Z112</f>
        <v>-0.134</v>
      </c>
      <c r="DF24" s="17" t="n">
        <f aca="false">Daily_Composite!Z113</f>
        <v>0.187</v>
      </c>
      <c r="DG24" s="17" t="n">
        <f aca="false">Daily_Composite!Z114</f>
        <v>0.332</v>
      </c>
      <c r="DH24" s="17" t="n">
        <f aca="false">Daily_Composite!Z115</f>
        <v>0.399</v>
      </c>
      <c r="DI24" s="17" t="n">
        <f aca="false">Daily_Composite!Z116</f>
        <v>-0.03</v>
      </c>
      <c r="DJ24" s="17" t="n">
        <f aca="false">Daily_Composite!Z117</f>
        <v>-0.165</v>
      </c>
      <c r="DK24" s="17" t="n">
        <f aca="false">Daily_Composite!Z118</f>
        <v>-0.268</v>
      </c>
      <c r="DL24" s="17" t="n">
        <f aca="false">Daily_Composite!Z119</f>
        <v>-0.011</v>
      </c>
      <c r="DM24" s="17" t="n">
        <f aca="false">Daily_Composite!Z120</f>
        <v>0.12</v>
      </c>
      <c r="DN24" s="17" t="n">
        <f aca="false">Daily_Composite!Z121</f>
        <v>0.17</v>
      </c>
      <c r="DO24" s="17" t="n">
        <f aca="false">Daily_Composite!Z122</f>
        <v>0.164</v>
      </c>
      <c r="DP24" s="17" t="n">
        <f aca="false">Daily_Composite!Z123</f>
        <v>0.59</v>
      </c>
      <c r="DQ24" s="17" t="n">
        <f aca="false">Daily_Composite!Z124</f>
        <v>0.025</v>
      </c>
      <c r="DR24" s="17" t="n">
        <f aca="false">Daily_Composite!Z125</f>
        <v>0.149</v>
      </c>
      <c r="DS24" s="17" t="n">
        <f aca="false">Daily_Composite!Z126</f>
        <v>0.623</v>
      </c>
      <c r="DT24" s="17" t="n">
        <f aca="false">Daily_Composite!Z127</f>
        <v>0.393</v>
      </c>
      <c r="DU24" s="17" t="n">
        <f aca="false">Daily_Composite!Z128</f>
        <v>0.051</v>
      </c>
      <c r="DV24" s="17" t="n">
        <f aca="false">Daily_Composite!Z129</f>
        <v>0.037</v>
      </c>
      <c r="DW24" s="17" t="n">
        <f aca="false">Daily_Composite!Z130</f>
        <v>0.501</v>
      </c>
      <c r="DX24" s="17" t="n">
        <f aca="false">Daily_Composite!Z131</f>
        <v>0.079</v>
      </c>
      <c r="DY24" s="17" t="n">
        <f aca="false">Daily_Composite!Z132</f>
        <v>0.613</v>
      </c>
      <c r="DZ24" s="17" t="n">
        <f aca="false">Daily_Composite!Z133</f>
        <v>0.512</v>
      </c>
      <c r="EA24" s="17" t="n">
        <f aca="false">Daily_Composite!Z134</f>
        <v>0.023</v>
      </c>
      <c r="EB24" s="17" t="n">
        <f aca="false">Daily_Composite!Z135</f>
        <v>0.007</v>
      </c>
      <c r="EC24" s="17" t="n">
        <f aca="false">Daily_Composite!Z136</f>
        <v>0.564</v>
      </c>
      <c r="ED24" s="17" t="n">
        <f aca="false">Daily_Composite!Z137</f>
        <v>0.05</v>
      </c>
      <c r="EE24" s="17" t="n">
        <f aca="false">Daily_Composite!Z138</f>
        <v>0.048</v>
      </c>
      <c r="EF24" s="17" t="n">
        <f aca="false">Daily_Composite!Z139</f>
        <v>0.306</v>
      </c>
      <c r="EG24" s="17" t="n">
        <f aca="false">Daily_Composite!Z140</f>
        <v>0.065</v>
      </c>
      <c r="EH24" s="17" t="n">
        <f aca="false">Daily_Composite!Z141</f>
        <v>0.124</v>
      </c>
      <c r="EI24" s="17" t="n">
        <f aca="false">Daily_Composite!Z142</f>
        <v>0.377</v>
      </c>
      <c r="EJ24" s="17" t="n">
        <f aca="false">Daily_Composite!Z143</f>
        <v>0.099</v>
      </c>
      <c r="EK24" s="17" t="n">
        <f aca="false">Daily_Composite!Z144</f>
        <v>-0.272</v>
      </c>
      <c r="EL24" s="17" t="n">
        <f aca="false">Daily_Composite!Z145</f>
        <v>-0.08</v>
      </c>
      <c r="EM24" s="17" t="n">
        <f aca="false">Daily_Composite!Z146</f>
        <v>-0.099</v>
      </c>
      <c r="EN24" s="17" t="n">
        <f aca="false">Daily_Composite!Z147</f>
        <v>-0.011</v>
      </c>
      <c r="EO24" s="17" t="n">
        <f aca="false">Daily_Composite!Z148</f>
        <v>-0.229</v>
      </c>
      <c r="EP24" s="17" t="n">
        <f aca="false">Daily_Composite!Z149</f>
        <v>-0.089</v>
      </c>
      <c r="EQ24" s="17" t="n">
        <f aca="false">Daily_Composite!Z150</f>
        <v>-0.059</v>
      </c>
      <c r="ER24" s="17" t="n">
        <f aca="false">Daily_Composite!Z151</f>
        <v>0.275</v>
      </c>
      <c r="ES24" s="17" t="n">
        <f aca="false">Daily_Composite!Z152</f>
        <v>-0.156</v>
      </c>
      <c r="ET24" s="17" t="n">
        <f aca="false">Daily_Composite!Z153</f>
        <v>-0.272</v>
      </c>
      <c r="EU24" s="17" t="n">
        <f aca="false">Daily_Composite!Z154</f>
        <v>-0.395</v>
      </c>
      <c r="EV24" s="17" t="n">
        <f aca="false">Daily_Composite!Z155</f>
        <v>-0.211</v>
      </c>
      <c r="EW24" s="17" t="n">
        <f aca="false">Daily_Composite!Z156</f>
        <v>0.068</v>
      </c>
      <c r="EX24" s="17" t="n">
        <f aca="false">Daily_Composite!Z157</f>
        <v>-0.025</v>
      </c>
      <c r="EY24" s="17" t="n">
        <f aca="false">Daily_Composite!Z158</f>
        <v>-0.288</v>
      </c>
      <c r="EZ24" s="17" t="n">
        <f aca="false">Daily_Composite!Z159</f>
        <v>-0.163</v>
      </c>
      <c r="FA24" s="17" t="n">
        <f aca="false">Daily_Composite!Z160</f>
        <v>-0.381</v>
      </c>
      <c r="FB24" s="17" t="n">
        <f aca="false">Daily_Composite!Z161</f>
        <v>-0.354</v>
      </c>
      <c r="FC24" s="17" t="n">
        <f aca="false">Daily_Composite!Z162</f>
        <v>-0.348</v>
      </c>
      <c r="FD24" s="17" t="n">
        <f aca="false">Daily_Composite!Z163</f>
        <v>-0.34</v>
      </c>
      <c r="FE24" s="17" t="n">
        <f aca="false">Daily_Composite!Z164</f>
        <v>-0.485</v>
      </c>
      <c r="FF24" s="17" t="n">
        <f aca="false">Daily_Composite!Z165</f>
        <v>-0.288</v>
      </c>
      <c r="FG24" s="17" t="n">
        <f aca="false">Daily_Composite!Z166</f>
        <v>-0.288</v>
      </c>
      <c r="FH24" s="17" t="n">
        <f aca="false">Daily_Composite!Z167</f>
        <v>-0.316</v>
      </c>
      <c r="FI24" s="17" t="n">
        <f aca="false">Daily_Composite!Z168</f>
        <v>-0.308</v>
      </c>
      <c r="FJ24" s="17" t="n">
        <f aca="false">Daily_Composite!Z169</f>
        <v>-0.326</v>
      </c>
      <c r="FK24" s="17" t="n">
        <f aca="false">Daily_Composite!Z170</f>
        <v>-0.289</v>
      </c>
      <c r="FL24" s="17" t="n">
        <f aca="false">Daily_Composite!Z171</f>
        <v>-0.328</v>
      </c>
      <c r="FM24" s="17" t="n">
        <f aca="false">Daily_Composite!Z172</f>
        <v>-0.292</v>
      </c>
      <c r="FN24" s="17" t="n">
        <f aca="false">Daily_Composite!Z173</f>
        <v>-0.334</v>
      </c>
      <c r="FO24" s="17" t="n">
        <f aca="false">Daily_Composite!Z174</f>
        <v>-0.299</v>
      </c>
      <c r="FP24" s="17" t="n">
        <f aca="false">Daily_Composite!Z175</f>
        <v>-0.368</v>
      </c>
      <c r="FQ24" s="17" t="n">
        <f aca="false">Daily_Composite!Z176</f>
        <v>0.098</v>
      </c>
      <c r="FR24" s="17" t="n">
        <f aca="false">Daily_Composite!Z177</f>
        <v>0.388</v>
      </c>
      <c r="FS24" s="17" t="n">
        <f aca="false">Daily_Composite!Z178</f>
        <v>0.027</v>
      </c>
      <c r="FT24" s="17" t="n">
        <f aca="false">Daily_Composite!Z179</f>
        <v>-0.325</v>
      </c>
      <c r="FU24" s="17" t="n">
        <f aca="false">Daily_Composite!Z180</f>
        <v>-0.365</v>
      </c>
      <c r="FV24" s="17" t="n">
        <f aca="false">Daily_Composite!Z181</f>
        <v>-0.457</v>
      </c>
      <c r="FW24" s="17" t="n">
        <f aca="false">Daily_Composite!Z182</f>
        <v>-0.446</v>
      </c>
      <c r="FX24" s="17" t="n">
        <f aca="false">Daily_Composite!Z183</f>
        <v>-0.392</v>
      </c>
      <c r="FY24" s="17" t="n">
        <f aca="false">Daily_Composite!Z184</f>
        <v>-0.384</v>
      </c>
      <c r="FZ24" s="17" t="n">
        <f aca="false">Daily_Composite!Z185</f>
        <v>-0.334</v>
      </c>
      <c r="GA24" s="17" t="n">
        <f aca="false">Daily_Composite!Z186</f>
        <v>0.037</v>
      </c>
      <c r="GB24" s="17" t="n">
        <f aca="false">Daily_Composite!Z187</f>
        <v>0.101</v>
      </c>
      <c r="GC24" s="17" t="n">
        <f aca="false">Daily_Composite!Z188</f>
        <v>-0.331</v>
      </c>
      <c r="GD24" s="17" t="n">
        <f aca="false">Daily_Composite!Z189</f>
        <v>0.001</v>
      </c>
      <c r="GE24" s="17" t="n">
        <f aca="false">Daily_Composite!Z190</f>
        <v>0.002</v>
      </c>
      <c r="GF24" s="17" t="n">
        <f aca="false">Daily_Composite!Z191</f>
        <v>-0.388</v>
      </c>
      <c r="GG24" s="17" t="n">
        <f aca="false">Daily_Composite!Z192</f>
        <v>-0.128</v>
      </c>
      <c r="GH24" s="17" t="n">
        <f aca="false">Daily_Composite!Z193</f>
        <v>-0.023</v>
      </c>
      <c r="GI24" s="17" t="n">
        <f aca="false">Daily_Composite!Z194</f>
        <v>-0.083</v>
      </c>
      <c r="GJ24" s="17" t="n">
        <f aca="false">Daily_Composite!Z195</f>
        <v>-0.062</v>
      </c>
      <c r="GK24" s="17" t="n">
        <f aca="false">Daily_Composite!Z196</f>
        <v>0.331</v>
      </c>
      <c r="GL24" s="17" t="n">
        <f aca="false">Daily_Composite!Z197</f>
        <v>-0.219</v>
      </c>
      <c r="GM24" s="17" t="n">
        <f aca="false">Daily_Composite!Z198</f>
        <v>-0.254</v>
      </c>
      <c r="GN24" s="17" t="n">
        <f aca="false">Daily_Composite!Z199</f>
        <v>0.08</v>
      </c>
      <c r="GO24" s="17" t="n">
        <f aca="false">Daily_Composite!Z200</f>
        <v>-0.453</v>
      </c>
      <c r="GP24" s="17" t="n">
        <f aca="false">Daily_Composite!Z201</f>
        <v>-0.066</v>
      </c>
      <c r="GQ24" s="17" t="n">
        <f aca="false">Daily_Composite!Z202</f>
        <v>-0.185</v>
      </c>
      <c r="GR24" s="17" t="n">
        <f aca="false">Daily_Composite!Z203</f>
        <v>-0.338</v>
      </c>
      <c r="GS24" s="17" t="n">
        <f aca="false">Daily_Composite!Z204</f>
        <v>-0.232</v>
      </c>
      <c r="GT24" s="17" t="n">
        <f aca="false">Daily_Composite!Z205</f>
        <v>0.16</v>
      </c>
      <c r="GU24" s="17" t="n">
        <f aca="false">Daily_Composite!Z206</f>
        <v>-0.261</v>
      </c>
      <c r="GV24" s="17" t="n">
        <f aca="false">Daily_Composite!Z207</f>
        <v>-0.298</v>
      </c>
      <c r="GW24" s="17" t="n">
        <f aca="false">Daily_Composite!Z208</f>
        <v>-0.432</v>
      </c>
      <c r="GX24" s="17" t="n">
        <f aca="false">Daily_Composite!Z209</f>
        <v>-0.249</v>
      </c>
      <c r="GY24" s="17" t="n">
        <f aca="false">Daily_Composite!Z210</f>
        <v>-0.196</v>
      </c>
      <c r="GZ24" s="17" t="n">
        <f aca="false">Daily_Composite!Z211</f>
        <v>-0.237</v>
      </c>
      <c r="HA24" s="17" t="n">
        <f aca="false">Daily_Composite!Z212</f>
        <v>-0.325</v>
      </c>
      <c r="HB24" s="17" t="n">
        <f aca="false">Daily_Composite!Z213</f>
        <v>-0.426</v>
      </c>
      <c r="HC24" s="17" t="n">
        <f aca="false">Daily_Composite!Z214</f>
        <v>-0.664</v>
      </c>
      <c r="HD24" s="17" t="n">
        <f aca="false">Daily_Composite!Z215</f>
        <v>-0.577</v>
      </c>
      <c r="HE24" s="17" t="n">
        <f aca="false">Daily_Composite!Z216</f>
        <v>-0.166</v>
      </c>
      <c r="HF24" s="17" t="n">
        <f aca="false">Daily_Composite!Z217</f>
        <v>-0.187</v>
      </c>
      <c r="HG24" s="17" t="n">
        <f aca="false">Daily_Composite!Z218</f>
        <v>-0.694</v>
      </c>
      <c r="HH24" s="17" t="n">
        <f aca="false">Daily_Composite!Z219</f>
        <v>-0.297</v>
      </c>
      <c r="HI24" s="17" t="n">
        <f aca="false">Daily_Composite!Z220</f>
        <v>-0.182</v>
      </c>
      <c r="HJ24" s="17" t="n">
        <f aca="false">Daily_Composite!Z221</f>
        <v>-0.182</v>
      </c>
      <c r="HK24" s="17" t="n">
        <f aca="false">Daily_Composite!Z222</f>
        <v>-0.481</v>
      </c>
      <c r="HL24" s="17" t="n">
        <f aca="false">Daily_Composite!Z223</f>
        <v>-0.664</v>
      </c>
      <c r="HM24" s="17" t="n">
        <f aca="false">Daily_Composite!Z224</f>
        <v>-0.64</v>
      </c>
      <c r="HN24" s="17" t="n">
        <f aca="false">Daily_Composite!Z225</f>
        <v>-0.651</v>
      </c>
      <c r="HO24" s="17" t="n">
        <f aca="false">Daily_Composite!Z226</f>
        <v>-0.637</v>
      </c>
      <c r="HP24" s="17" t="n">
        <f aca="false">Daily_Composite!Z227</f>
        <v>-0.733</v>
      </c>
      <c r="HQ24" s="17" t="n">
        <f aca="false">Daily_Composite!Z228</f>
        <v>-0.55</v>
      </c>
      <c r="HR24" s="17" t="n">
        <f aca="false">Daily_Composite!Z229</f>
        <v>-0.318</v>
      </c>
      <c r="HS24" s="17" t="n">
        <f aca="false">Daily_Composite!Z230</f>
        <v>-0.505</v>
      </c>
      <c r="HT24" s="17" t="n">
        <f aca="false">Daily_Composite!Z231</f>
        <v>-0.246</v>
      </c>
      <c r="HU24" s="17" t="n">
        <f aca="false">Daily_Composite!Z232</f>
        <v>-0.36</v>
      </c>
      <c r="HV24" s="17" t="n">
        <f aca="false">Daily_Composite!Z233</f>
        <v>-0.547</v>
      </c>
      <c r="HW24" s="17" t="n">
        <f aca="false">Daily_Composite!Z234</f>
        <v>-0.376</v>
      </c>
      <c r="HX24" s="17" t="n">
        <f aca="false">Daily_Composite!Z235</f>
        <v>-0.346</v>
      </c>
      <c r="HY24" s="17" t="n">
        <f aca="false">Daily_Composite!Z236</f>
        <v>-0.353</v>
      </c>
      <c r="HZ24" s="17" t="n">
        <f aca="false">Daily_Composite!Z237</f>
        <v>0.186</v>
      </c>
      <c r="IA24" s="17" t="n">
        <f aca="false">Daily_Composite!Z238</f>
        <v>-0.055</v>
      </c>
      <c r="IB24" s="17" t="n">
        <f aca="false">Daily_Composite!Z239</f>
        <v>-0.04</v>
      </c>
      <c r="IC24" s="17" t="n">
        <f aca="false">Daily_Composite!Z240</f>
        <v>0.051</v>
      </c>
      <c r="ID24" s="17" t="n">
        <f aca="false">Daily_Composite!Z241</f>
        <v>0.196</v>
      </c>
      <c r="IE24" s="17" t="n">
        <f aca="false">Daily_Composite!Z242</f>
        <v>-0.248</v>
      </c>
      <c r="IF24" s="17" t="n">
        <f aca="false">Daily_Composite!Z243</f>
        <v>0.049</v>
      </c>
      <c r="IG24" s="17" t="n">
        <f aca="false">Daily_Composite!Z244</f>
        <v>0.04</v>
      </c>
      <c r="IH24" s="17" t="n">
        <f aca="false">Daily_Composite!Z245</f>
        <v>0.084</v>
      </c>
      <c r="II24" s="17" t="n">
        <f aca="false">Daily_Composite!Z246</f>
        <v>0.309</v>
      </c>
      <c r="IJ24" s="17" t="n">
        <f aca="false">Daily_Composite!Z247</f>
        <v>0.119</v>
      </c>
      <c r="IK24" s="17" t="n">
        <f aca="false">Daily_Composite!Z248</f>
        <v>0.093</v>
      </c>
      <c r="IL24" s="17" t="n">
        <f aca="false">Daily_Composite!Z249</f>
        <v>0.278</v>
      </c>
      <c r="IM24" s="17" t="n">
        <f aca="false">Daily_Composite!Z250</f>
        <v>0.109</v>
      </c>
      <c r="IN24" s="17" t="n">
        <f aca="false">Daily_Composite!Z251</f>
        <v>0.549</v>
      </c>
      <c r="IO24" s="17" t="n">
        <f aca="false">Daily_Composite!Z252</f>
        <v>-0.275</v>
      </c>
      <c r="IP24" s="17" t="n">
        <f aca="false">Daily_Composite!Z253</f>
        <v>0.206</v>
      </c>
      <c r="IQ24" s="17" t="n">
        <f aca="false">Daily_Composite!Z254</f>
        <v>0.106</v>
      </c>
      <c r="IR24" s="17" t="n">
        <f aca="false">Daily_Composite!Z255</f>
        <v>0.132</v>
      </c>
      <c r="IS24" s="17" t="n">
        <f aca="false">Daily_Composite!Z256</f>
        <v>0.093</v>
      </c>
      <c r="IT24" s="17" t="n">
        <f aca="false">Daily_Composite!Z257</f>
        <v>0.179</v>
      </c>
      <c r="IU24" s="17" t="n">
        <f aca="false">Daily_Composite!Z258</f>
        <v>0.357</v>
      </c>
      <c r="IV24" s="17" t="n">
        <f aca="false">Daily_Composite!Z259</f>
        <v>0.508</v>
      </c>
      <c r="IW24" s="17" t="n">
        <f aca="false">Daily_Composite!Z260</f>
        <v>-0.361</v>
      </c>
      <c r="IX24" s="17" t="n">
        <f aca="false">Daily_Composite!Z261</f>
        <v>0.031</v>
      </c>
      <c r="IY24" s="17" t="n">
        <f aca="false">Daily_Composite!Z262</f>
        <v>0.126</v>
      </c>
      <c r="IZ24" s="17" t="n">
        <f aca="false">Daily_Composite!Z263</f>
        <v>0.282</v>
      </c>
      <c r="JA24" s="17" t="n">
        <f aca="false">Daily_Composite!Z264</f>
        <v>0.069</v>
      </c>
      <c r="JB24" s="17" t="n">
        <f aca="false">Daily_Composite!Z265</f>
        <v>0.089</v>
      </c>
      <c r="JC24" s="17" t="n">
        <f aca="false">Daily_Composite!Z266</f>
        <v>0.257</v>
      </c>
      <c r="JD24" s="17" t="n">
        <f aca="false">Daily_Composite!Z267</f>
        <v>0.116</v>
      </c>
      <c r="JE24" s="17" t="n">
        <f aca="false">Daily_Composite!Z268</f>
        <v>0.438</v>
      </c>
      <c r="JF24" s="17" t="n">
        <f aca="false">Daily_Composite!Z269</f>
        <v>-0.226</v>
      </c>
      <c r="JG24" s="17" t="n">
        <f aca="false">Daily_Composite!Z270</f>
        <v>0.286</v>
      </c>
      <c r="JH24" s="17" t="n">
        <f aca="false">Daily_Composite!Z271</f>
        <v>0.071</v>
      </c>
      <c r="JI24" s="17" t="n">
        <f aca="false">Daily_Composite!Z272</f>
        <v>-0.041</v>
      </c>
      <c r="JJ24" s="17" t="n">
        <f aca="false">Daily_Composite!Z273</f>
        <v>0.001</v>
      </c>
      <c r="JK24" s="17" t="n">
        <f aca="false">Daily_Composite!Z274</f>
        <v>-0.238</v>
      </c>
      <c r="JL24" s="17" t="n">
        <f aca="false">Daily_Composite!Z275</f>
        <v>-0.119</v>
      </c>
      <c r="JM24" s="17" t="n">
        <f aca="false">Daily_Composite!Z276</f>
        <v>-0.204</v>
      </c>
      <c r="JN24" s="17" t="n">
        <f aca="false">Daily_Composite!Z277</f>
        <v>-0.183</v>
      </c>
      <c r="JO24" s="17" t="n">
        <f aca="false">Daily_Composite!Z278</f>
        <v>-0.503</v>
      </c>
      <c r="JP24" s="17" t="n">
        <f aca="false">Daily_Composite!Z279</f>
        <v>-0.528</v>
      </c>
      <c r="JQ24" s="17" t="n">
        <f aca="false">Daily_Composite!Z280</f>
        <v>-0.393</v>
      </c>
      <c r="JR24" s="17" t="n">
        <f aca="false">Daily_Composite!Z281</f>
        <v>-0.253</v>
      </c>
      <c r="JS24" s="17" t="n">
        <f aca="false">Daily_Composite!Z282</f>
        <v>0.351</v>
      </c>
      <c r="JT24" s="17" t="n">
        <f aca="false">Daily_Composite!Z283</f>
        <v>0.064</v>
      </c>
      <c r="JU24" s="17" t="n">
        <f aca="false">Daily_Composite!Z284</f>
        <v>-0.041</v>
      </c>
      <c r="JV24" s="17" t="n">
        <f aca="false">Daily_Composite!Z285</f>
        <v>0.06</v>
      </c>
      <c r="JW24" s="17" t="n">
        <f aca="false">Daily_Composite!Z286</f>
        <v>0.318</v>
      </c>
      <c r="JX24" s="17" t="n">
        <f aca="false">Daily_Composite!Z287</f>
        <v>-0.195</v>
      </c>
      <c r="JY24" s="17" t="n">
        <f aca="false">Daily_Composite!Z288</f>
        <v>0.006</v>
      </c>
      <c r="JZ24" s="17" t="n">
        <f aca="false">Daily_Composite!Z289</f>
        <v>-0.036</v>
      </c>
      <c r="KA24" s="17" t="n">
        <f aca="false">Daily_Composite!Z290</f>
        <v>0.404</v>
      </c>
      <c r="KB24" s="17" t="n">
        <f aca="false">Daily_Composite!Z291</f>
        <v>0.059</v>
      </c>
      <c r="KC24" s="17" t="n">
        <f aca="false">Daily_Composite!Z292</f>
        <v>-0.176</v>
      </c>
      <c r="KD24" s="17" t="n">
        <f aca="false">Daily_Composite!Z293</f>
        <v>-0.08</v>
      </c>
      <c r="KE24" s="17" t="n">
        <f aca="false">Daily_Composite!Z294</f>
        <v>-0.188</v>
      </c>
      <c r="KF24" s="17" t="n">
        <f aca="false">Daily_Composite!Z295</f>
        <v>-0.205</v>
      </c>
      <c r="KG24" s="17" t="n">
        <f aca="false">Daily_Composite!Z296</f>
        <v>-0.461</v>
      </c>
      <c r="KH24" s="17" t="n">
        <f aca="false">Daily_Composite!Z297</f>
        <v>-0.591</v>
      </c>
      <c r="KI24" s="17" t="n">
        <f aca="false">Daily_Composite!Z298</f>
        <v>-0.191</v>
      </c>
      <c r="KJ24" s="17" t="n">
        <f aca="false">Daily_Composite!Z299</f>
        <v>-0.169</v>
      </c>
      <c r="KK24" s="17" t="n">
        <f aca="false">Daily_Composite!Z300</f>
        <v>0.334</v>
      </c>
      <c r="KL24" s="17" t="n">
        <f aca="false">Daily_Composite!Z301</f>
        <v>-0.065</v>
      </c>
      <c r="KM24" s="17" t="n">
        <f aca="false">Daily_Composite!Z302</f>
        <v>-0.127</v>
      </c>
      <c r="KN24" s="17" t="n">
        <f aca="false">Daily_Composite!Z303</f>
        <v>0.036</v>
      </c>
      <c r="KO24" s="17" t="n">
        <f aca="false">Daily_Composite!Z304</f>
        <v>-0.155</v>
      </c>
      <c r="KP24" s="17" t="n">
        <f aca="false">Daily_Composite!Z305</f>
        <v>-0.005</v>
      </c>
      <c r="KQ24" s="17" t="n">
        <f aca="false">Daily_Composite!Z306</f>
        <v>0.265</v>
      </c>
      <c r="KR24" s="17" t="n">
        <f aca="false">Daily_Composite!Z307</f>
        <v>-0.392</v>
      </c>
      <c r="KS24" s="17" t="n">
        <f aca="false">Daily_Composite!Z308</f>
        <v>-0.167</v>
      </c>
      <c r="KT24" s="17" t="n">
        <f aca="false">Daily_Composite!Z309</f>
        <v>0.274</v>
      </c>
      <c r="KU24" s="17" t="n">
        <f aca="false">Daily_Composite!Z310</f>
        <v>0.114</v>
      </c>
      <c r="KV24" s="17" t="n">
        <f aca="false">Daily_Composite!Z311</f>
        <v>-0.07</v>
      </c>
      <c r="KW24" s="17" t="n">
        <f aca="false">Daily_Composite!Z312</f>
        <v>0.015</v>
      </c>
      <c r="KX24" s="17" t="n">
        <f aca="false">Daily_Composite!Z313</f>
        <v>0.117</v>
      </c>
      <c r="KY24" s="17" t="n">
        <f aca="false">Daily_Composite!Z314</f>
        <v>-0.373</v>
      </c>
      <c r="KZ24" s="17" t="n">
        <f aca="false">Daily_Composite!Z315</f>
        <v>-0.042</v>
      </c>
      <c r="LA24" s="17" t="n">
        <f aca="false">Daily_Composite!Z316</f>
        <v>-0</v>
      </c>
      <c r="LB24" s="17" t="n">
        <f aca="false">Daily_Composite!Z317</f>
        <v>-0.034</v>
      </c>
      <c r="LC24" s="17" t="n">
        <f aca="false">Daily_Composite!Z318</f>
        <v>0.32</v>
      </c>
      <c r="LD24" s="17" t="n">
        <f aca="false">Daily_Composite!Z319</f>
        <v>0.135</v>
      </c>
      <c r="LE24" s="17" t="n">
        <f aca="false">Daily_Composite!Z320</f>
        <v>0.206</v>
      </c>
      <c r="LF24" s="17" t="n">
        <f aca="false">Daily_Composite!Z321</f>
        <v>0.033</v>
      </c>
      <c r="LG24" s="17" t="n">
        <f aca="false">Daily_Composite!Z322</f>
        <v>0.019</v>
      </c>
      <c r="LH24" s="17" t="n">
        <f aca="false">Daily_Composite!Z323</f>
        <v>0.731</v>
      </c>
      <c r="LI24" s="17" t="n">
        <f aca="false">Daily_Composite!Z324</f>
        <v>0.718</v>
      </c>
      <c r="LJ24" s="17" t="n">
        <f aca="false">Daily_Composite!Z325</f>
        <v>0.142</v>
      </c>
      <c r="LK24" s="17" t="n">
        <f aca="false">Daily_Composite!Z326</f>
        <v>0.15</v>
      </c>
      <c r="LL24" s="17" t="n">
        <f aca="false">Daily_Composite!Z327</f>
        <v>0.714</v>
      </c>
      <c r="LM24" s="17" t="n">
        <f aca="false">Daily_Composite!Z328</f>
        <v>0.273</v>
      </c>
      <c r="LN24" s="17" t="n">
        <f aca="false">Daily_Composite!Z329</f>
        <v>-0.062</v>
      </c>
      <c r="LO24" s="17" t="n">
        <f aca="false">Daily_Composite!Z330</f>
        <v>-0.136</v>
      </c>
      <c r="LP24" s="17" t="n">
        <f aca="false">Daily_Composite!Z331</f>
        <v>-0.208</v>
      </c>
      <c r="LQ24" s="17" t="n">
        <f aca="false">Daily_Composite!Z332</f>
        <v>-0.306</v>
      </c>
      <c r="LR24" s="17" t="n">
        <f aca="false">Daily_Composite!Z333</f>
        <v>-0.039</v>
      </c>
      <c r="LS24" s="17" t="n">
        <f aca="false">Daily_Composite!Z334</f>
        <v>-0.569</v>
      </c>
      <c r="LT24" s="17" t="n">
        <f aca="false">Daily_Composite!Z335</f>
        <v>-0.598</v>
      </c>
      <c r="LU24" s="17" t="n">
        <f aca="false">Daily_Composite!Z336</f>
        <v>-0.517</v>
      </c>
      <c r="LV24" s="17" t="n">
        <f aca="false">Daily_Composite!Z337</f>
        <v>-0.237</v>
      </c>
      <c r="LW24" s="17" t="n">
        <f aca="false">Daily_Composite!Z338</f>
        <v>-0.398</v>
      </c>
      <c r="LX24" s="17" t="n">
        <f aca="false">Daily_Composite!Z339</f>
        <v>-0.379</v>
      </c>
      <c r="LY24" s="17" t="n">
        <f aca="false">Daily_Composite!Z340</f>
        <v>-0.447</v>
      </c>
      <c r="LZ24" s="17" t="n">
        <f aca="false">Daily_Composite!Z341</f>
        <v>-0.504</v>
      </c>
      <c r="MA24" s="17" t="n">
        <f aca="false">Daily_Composite!Z342</f>
        <v>-0.601</v>
      </c>
      <c r="MB24" s="17" t="n">
        <f aca="false">Daily_Composite!Z343</f>
        <v>-0.487</v>
      </c>
      <c r="MC24" s="17" t="n">
        <f aca="false">Daily_Composite!Z344</f>
        <v>-0.431</v>
      </c>
      <c r="MD24" s="17" t="n">
        <f aca="false">Daily_Composite!Z345</f>
        <v>-0.381</v>
      </c>
      <c r="ME24" s="17" t="n">
        <f aca="false">Daily_Composite!Z346</f>
        <v>-0.363</v>
      </c>
      <c r="MF24" s="17" t="n">
        <f aca="false">Daily_Composite!Z347</f>
        <v>0.228</v>
      </c>
      <c r="MG24" s="17" t="n">
        <f aca="false">Daily_Composite!Z348</f>
        <v>0.34</v>
      </c>
      <c r="MH24" s="17" t="n">
        <f aca="false">Daily_Composite!Z349</f>
        <v>0.314</v>
      </c>
      <c r="MI24" s="17" t="n">
        <f aca="false">Daily_Composite!Z350</f>
        <v>0.64</v>
      </c>
      <c r="MJ24" s="17" t="n">
        <f aca="false">Daily_Composite!Z351</f>
        <v>0.493</v>
      </c>
      <c r="MK24" s="17" t="n">
        <f aca="false">Daily_Composite!Z352</f>
        <v>0.504</v>
      </c>
      <c r="ML24" s="17" t="n">
        <f aca="false">Daily_Composite!Z353</f>
        <v>0.493</v>
      </c>
      <c r="MM24" s="17" t="n">
        <f aca="false">Daily_Composite!Z354</f>
        <v>0.542</v>
      </c>
      <c r="MN24" s="17" t="n">
        <f aca="false">Daily_Composite!Z355</f>
        <v>0.536</v>
      </c>
      <c r="MO24" s="17" t="n">
        <f aca="false">Daily_Composite!Z356</f>
        <v>0.322</v>
      </c>
      <c r="MP24" s="17" t="n">
        <f aca="false">Daily_Composite!Z357</f>
        <v>0.311</v>
      </c>
      <c r="MQ24" s="17" t="n">
        <f aca="false">Daily_Composite!Z358</f>
        <v>0.519</v>
      </c>
      <c r="MR24" s="17" t="n">
        <f aca="false">Daily_Composite!Z359</f>
        <v>0.195</v>
      </c>
      <c r="MS24" s="17" t="n">
        <f aca="false">Daily_Composite!Z360</f>
        <v>0.469</v>
      </c>
      <c r="MT24" s="17" t="n">
        <f aca="false">Daily_Composite!Z361</f>
        <v>-0.345</v>
      </c>
      <c r="MU24" s="17" t="n">
        <f aca="false">Daily_Composite!Z362</f>
        <v>-0.036</v>
      </c>
      <c r="MV24" s="17" t="n">
        <f aca="false">Daily_Composite!Z363</f>
        <v>-0.116</v>
      </c>
      <c r="MW24" s="17" t="n">
        <f aca="false">Daily_Composite!Z364</f>
        <v>-0.207</v>
      </c>
      <c r="MX24" s="17" t="n">
        <f aca="false">Daily_Composite!Z365</f>
        <v>-0.193</v>
      </c>
      <c r="MY24" s="17" t="n">
        <f aca="false">Daily_Composite!Z366</f>
        <v>-0.066</v>
      </c>
      <c r="MZ24" s="17" t="n">
        <f aca="false">Daily_Composite!Z367</f>
        <v>-0.158</v>
      </c>
      <c r="NA24" s="17" t="n">
        <f aca="false">Daily_Composite!Z368</f>
        <v>0.176</v>
      </c>
      <c r="NB24" s="17" t="n">
        <f aca="false">Daily_Composite!Z369</f>
        <v>0.078</v>
      </c>
    </row>
    <row r="25" customFormat="false" ht="15" hidden="false" customHeight="false" outlineLevel="0" collapsed="false">
      <c r="A25" s="6" t="s">
        <v>38</v>
      </c>
      <c r="B25" s="17" t="n">
        <f aca="false">Daily_Composite!AA5</f>
        <v>0.072</v>
      </c>
      <c r="C25" s="17" t="n">
        <f aca="false">Daily_Composite!AA6</f>
        <v>-0.407</v>
      </c>
      <c r="D25" s="17" t="n">
        <f aca="false">Daily_Composite!AA7</f>
        <v>0.003</v>
      </c>
      <c r="E25" s="17" t="n">
        <f aca="false">Daily_Composite!AA8</f>
        <v>-0.03</v>
      </c>
      <c r="F25" s="17" t="n">
        <f aca="false">Daily_Composite!AA9</f>
        <v>0.056</v>
      </c>
      <c r="G25" s="17" t="n">
        <f aca="false">Daily_Composite!AA10</f>
        <v>-0.242</v>
      </c>
      <c r="H25" s="17" t="n">
        <f aca="false">Daily_Composite!AA11</f>
        <v>-0.002</v>
      </c>
      <c r="I25" s="17" t="n">
        <f aca="false">Daily_Composite!AA12</f>
        <v>-0.42</v>
      </c>
      <c r="J25" s="17" t="n">
        <f aca="false">Daily_Composite!AA13</f>
        <v>-0.037</v>
      </c>
      <c r="K25" s="17" t="n">
        <f aca="false">Daily_Composite!AA14</f>
        <v>-0.073</v>
      </c>
      <c r="L25" s="17" t="n">
        <f aca="false">Daily_Composite!AA15</f>
        <v>-0.158</v>
      </c>
      <c r="M25" s="17" t="n">
        <f aca="false">Daily_Composite!AA16</f>
        <v>-0.165</v>
      </c>
      <c r="N25" s="17" t="n">
        <f aca="false">Daily_Composite!AA17</f>
        <v>-0.276</v>
      </c>
      <c r="O25" s="17" t="n">
        <f aca="false">Daily_Composite!AA18</f>
        <v>-0.017</v>
      </c>
      <c r="P25" s="17" t="n">
        <f aca="false">Daily_Composite!AA19</f>
        <v>0.047</v>
      </c>
      <c r="Q25" s="17" t="n">
        <f aca="false">Daily_Composite!AA20</f>
        <v>-0.075</v>
      </c>
      <c r="R25" s="17" t="n">
        <f aca="false">Daily_Composite!AA21</f>
        <v>0.413</v>
      </c>
      <c r="S25" s="17" t="n">
        <f aca="false">Daily_Composite!AA22</f>
        <v>-0.36</v>
      </c>
      <c r="T25" s="17" t="n">
        <f aca="false">Daily_Composite!AA23</f>
        <v>-0.05</v>
      </c>
      <c r="U25" s="17" t="n">
        <f aca="false">Daily_Composite!AA24</f>
        <v>0.02</v>
      </c>
      <c r="V25" s="17" t="n">
        <f aca="false">Daily_Composite!AA25</f>
        <v>0.029</v>
      </c>
      <c r="W25" s="17" t="n">
        <f aca="false">Daily_Composite!AA26</f>
        <v>-0.161</v>
      </c>
      <c r="X25" s="17" t="n">
        <f aca="false">Daily_Composite!AA27</f>
        <v>-0.38</v>
      </c>
      <c r="Y25" s="17" t="n">
        <f aca="false">Daily_Composite!AA28</f>
        <v>-0.178</v>
      </c>
      <c r="Z25" s="17" t="n">
        <f aca="false">Daily_Composite!AA29</f>
        <v>-0.37</v>
      </c>
      <c r="AA25" s="17" t="n">
        <f aca="false">Daily_Composite!AA30</f>
        <v>-0.023</v>
      </c>
      <c r="AB25" s="17" t="n">
        <f aca="false">Daily_Composite!AA31</f>
        <v>-0.28</v>
      </c>
      <c r="AC25" s="17" t="n">
        <f aca="false">Daily_Composite!AA32</f>
        <v>-0.143</v>
      </c>
      <c r="AD25" s="17" t="n">
        <f aca="false">Daily_Composite!AA33</f>
        <v>0.413</v>
      </c>
      <c r="AE25" s="17" t="n">
        <f aca="false">Daily_Composite!AA34</f>
        <v>-0.063</v>
      </c>
      <c r="AF25" s="17" t="n">
        <f aca="false">Daily_Composite!AA35</f>
        <v>0.319</v>
      </c>
      <c r="AG25" s="17" t="n">
        <f aca="false">Daily_Composite!AA36</f>
        <v>0.296</v>
      </c>
      <c r="AH25" s="17" t="n">
        <f aca="false">Daily_Composite!AA37</f>
        <v>0.054</v>
      </c>
      <c r="AI25" s="17" t="n">
        <f aca="false">Daily_Composite!AA38</f>
        <v>-0.029</v>
      </c>
      <c r="AJ25" s="17" t="n">
        <f aca="false">Daily_Composite!AA39</f>
        <v>0.047</v>
      </c>
      <c r="AK25" s="17" t="n">
        <f aca="false">Daily_Composite!AA40</f>
        <v>0.005</v>
      </c>
      <c r="AL25" s="17" t="n">
        <f aca="false">Daily_Composite!AA41</f>
        <v>-0.006</v>
      </c>
      <c r="AM25" s="17" t="n">
        <f aca="false">Daily_Composite!AA42</f>
        <v>-0.082</v>
      </c>
      <c r="AN25" s="17" t="n">
        <f aca="false">Daily_Composite!AA43</f>
        <v>0.273</v>
      </c>
      <c r="AO25" s="17" t="n">
        <f aca="false">Daily_Composite!AA44</f>
        <v>-0.167</v>
      </c>
      <c r="AP25" s="17" t="n">
        <f aca="false">Daily_Composite!AA45</f>
        <v>0.157</v>
      </c>
      <c r="AQ25" s="17" t="n">
        <f aca="false">Daily_Composite!AA46</f>
        <v>0.224</v>
      </c>
      <c r="AR25" s="17" t="n">
        <f aca="false">Daily_Composite!AA47</f>
        <v>-0.338</v>
      </c>
      <c r="AS25" s="17" t="n">
        <f aca="false">Daily_Composite!AA48</f>
        <v>0.228</v>
      </c>
      <c r="AT25" s="17" t="n">
        <f aca="false">Daily_Composite!AA49</f>
        <v>-0.408</v>
      </c>
      <c r="AU25" s="17" t="n">
        <f aca="false">Daily_Composite!AA50</f>
        <v>-0.047</v>
      </c>
      <c r="AV25" s="17" t="n">
        <f aca="false">Daily_Composite!AA51</f>
        <v>-0.157</v>
      </c>
      <c r="AW25" s="17" t="n">
        <f aca="false">Daily_Composite!AA52</f>
        <v>-0.195</v>
      </c>
      <c r="AX25" s="17" t="n">
        <f aca="false">Daily_Composite!AA53</f>
        <v>0.107</v>
      </c>
      <c r="AY25" s="17" t="n">
        <f aca="false">Daily_Composite!AA54</f>
        <v>-0.259</v>
      </c>
      <c r="AZ25" s="17" t="n">
        <f aca="false">Daily_Composite!AA55</f>
        <v>-0.228</v>
      </c>
      <c r="BA25" s="17" t="n">
        <f aca="false">Daily_Composite!AA56</f>
        <v>-0.149</v>
      </c>
      <c r="BB25" s="17" t="n">
        <f aca="false">Daily_Composite!AA57</f>
        <v>-0.456</v>
      </c>
      <c r="BC25" s="17" t="n">
        <f aca="false">Daily_Composite!AA58</f>
        <v>-0.122</v>
      </c>
      <c r="BD25" s="17" t="n">
        <f aca="false">Daily_Composite!AA59</f>
        <v>0.314</v>
      </c>
      <c r="BE25" s="17" t="n">
        <f aca="false">Daily_Composite!AA60</f>
        <v>-0.015</v>
      </c>
      <c r="BF25" s="17" t="n">
        <f aca="false">Daily_Composite!AA61</f>
        <v>-0.085</v>
      </c>
      <c r="BG25" s="17" t="n">
        <f aca="false">Daily_Composite!AA62</f>
        <v>0.233</v>
      </c>
      <c r="BH25" s="17" t="n">
        <f aca="false">Daily_Composite!AA63</f>
        <v>-0.015</v>
      </c>
      <c r="BI25" s="17" t="n">
        <f aca="false">Daily_Composite!AA64</f>
        <v>-0.099</v>
      </c>
      <c r="BJ25" s="17" t="n">
        <f aca="false">Daily_Composite!AA65</f>
        <v>-0.51</v>
      </c>
      <c r="BK25" s="17" t="n">
        <f aca="false">Daily_Composite!AA66</f>
        <v>-0.338</v>
      </c>
      <c r="BL25" s="17" t="n">
        <f aca="false">Daily_Composite!AA67</f>
        <v>-0.077</v>
      </c>
      <c r="BM25" s="17" t="n">
        <f aca="false">Daily_Composite!AA68</f>
        <v>-0.102</v>
      </c>
      <c r="BN25" s="17" t="n">
        <f aca="false">Daily_Composite!AA69</f>
        <v>-0.166</v>
      </c>
      <c r="BO25" s="17" t="n">
        <f aca="false">Daily_Composite!AA70</f>
        <v>-0.355</v>
      </c>
      <c r="BP25" s="17" t="n">
        <f aca="false">Daily_Composite!AA71</f>
        <v>-0.127</v>
      </c>
      <c r="BQ25" s="17" t="n">
        <f aca="false">Daily_Composite!AA72</f>
        <v>-0.047</v>
      </c>
      <c r="BR25" s="17" t="n">
        <f aca="false">Daily_Composite!AA73</f>
        <v>-0.129</v>
      </c>
      <c r="BS25" s="17" t="n">
        <f aca="false">Daily_Composite!AA74</f>
        <v>-0.485</v>
      </c>
      <c r="BT25" s="17" t="n">
        <f aca="false">Daily_Composite!AA75</f>
        <v>0.004</v>
      </c>
      <c r="BU25" s="17" t="n">
        <f aca="false">Daily_Composite!AA76</f>
        <v>-0.32</v>
      </c>
      <c r="BV25" s="17" t="n">
        <f aca="false">Daily_Composite!AA77</f>
        <v>-0.148</v>
      </c>
      <c r="BW25" s="17" t="n">
        <f aca="false">Daily_Composite!AA78</f>
        <v>-0.099</v>
      </c>
      <c r="BX25" s="17" t="n">
        <f aca="false">Daily_Composite!AA79</f>
        <v>-0.163</v>
      </c>
      <c r="BY25" s="17" t="n">
        <f aca="false">Daily_Composite!AA80</f>
        <v>-0.033</v>
      </c>
      <c r="BZ25" s="17" t="n">
        <f aca="false">Daily_Composite!AA81</f>
        <v>0.386</v>
      </c>
      <c r="CA25" s="17" t="n">
        <f aca="false">Daily_Composite!AA82</f>
        <v>0.296</v>
      </c>
      <c r="CB25" s="17" t="n">
        <f aca="false">Daily_Composite!AA83</f>
        <v>-0.159</v>
      </c>
      <c r="CC25" s="17" t="n">
        <f aca="false">Daily_Composite!AA84</f>
        <v>-0.551</v>
      </c>
      <c r="CD25" s="17" t="n">
        <f aca="false">Daily_Composite!AA85</f>
        <v>-0.287</v>
      </c>
      <c r="CE25" s="17" t="n">
        <f aca="false">Daily_Composite!AA86</f>
        <v>0.209</v>
      </c>
      <c r="CF25" s="17" t="n">
        <f aca="false">Daily_Composite!AA87</f>
        <v>0.188</v>
      </c>
      <c r="CG25" s="17" t="n">
        <f aca="false">Daily_Composite!AA88</f>
        <v>-0.288</v>
      </c>
      <c r="CH25" s="17" t="n">
        <f aca="false">Daily_Composite!AA89</f>
        <v>-0.344</v>
      </c>
      <c r="CI25" s="17" t="n">
        <f aca="false">Daily_Composite!AA90</f>
        <v>0.097</v>
      </c>
      <c r="CJ25" s="17" t="n">
        <f aca="false">Daily_Composite!AA91</f>
        <v>-0.088</v>
      </c>
      <c r="CK25" s="17" t="n">
        <f aca="false">Daily_Composite!AA92</f>
        <v>-0.423</v>
      </c>
      <c r="CL25" s="17" t="n">
        <f aca="false">Daily_Composite!AA93</f>
        <v>-0.445</v>
      </c>
      <c r="CM25" s="17" t="n">
        <f aca="false">Daily_Composite!AA94</f>
        <v>0.07</v>
      </c>
      <c r="CN25" s="17" t="n">
        <f aca="false">Daily_Composite!AA95</f>
        <v>-0.496</v>
      </c>
      <c r="CO25" s="17" t="n">
        <f aca="false">Daily_Composite!AA96</f>
        <v>-0.506</v>
      </c>
      <c r="CP25" s="17" t="n">
        <f aca="false">Daily_Composite!AA97</f>
        <v>-0.617</v>
      </c>
      <c r="CQ25" s="17" t="n">
        <f aca="false">Daily_Composite!AA98</f>
        <v>-0.723</v>
      </c>
      <c r="CR25" s="17" t="n">
        <f aca="false">Daily_Composite!AA99</f>
        <v>-0.75</v>
      </c>
      <c r="CS25" s="17" t="n">
        <f aca="false">Daily_Composite!AA100</f>
        <v>-0.536</v>
      </c>
      <c r="CT25" s="17" t="n">
        <f aca="false">Daily_Composite!AA101</f>
        <v>-0.721</v>
      </c>
      <c r="CU25" s="17" t="n">
        <f aca="false">Daily_Composite!AA102</f>
        <v>-0.405</v>
      </c>
      <c r="CV25" s="17" t="n">
        <f aca="false">Daily_Composite!AA103</f>
        <v>-0.733</v>
      </c>
      <c r="CW25" s="17" t="n">
        <f aca="false">Daily_Composite!AA104</f>
        <v>-0.729</v>
      </c>
      <c r="CX25" s="17" t="n">
        <f aca="false">Daily_Composite!AA105</f>
        <v>-0.468</v>
      </c>
      <c r="CY25" s="17" t="n">
        <f aca="false">Daily_Composite!AA106</f>
        <v>-0.715</v>
      </c>
      <c r="CZ25" s="17" t="n">
        <f aca="false">Daily_Composite!AA107</f>
        <v>-0.707</v>
      </c>
      <c r="DA25" s="17" t="n">
        <f aca="false">Daily_Composite!AA108</f>
        <v>-0.673</v>
      </c>
      <c r="DB25" s="17" t="n">
        <f aca="false">Daily_Composite!AA109</f>
        <v>-0.754</v>
      </c>
      <c r="DC25" s="17" t="n">
        <f aca="false">Daily_Composite!AA110</f>
        <v>-0.689</v>
      </c>
      <c r="DD25" s="17" t="n">
        <f aca="false">Daily_Composite!AA111</f>
        <v>-0.748</v>
      </c>
      <c r="DE25" s="17" t="n">
        <f aca="false">Daily_Composite!AA112</f>
        <v>-0.48</v>
      </c>
      <c r="DF25" s="17" t="n">
        <f aca="false">Daily_Composite!AA113</f>
        <v>-0.673</v>
      </c>
      <c r="DG25" s="17" t="n">
        <f aca="false">Daily_Composite!AA114</f>
        <v>-0.511</v>
      </c>
      <c r="DH25" s="17" t="n">
        <f aca="false">Daily_Composite!AA115</f>
        <v>-0.26</v>
      </c>
      <c r="DI25" s="17" t="n">
        <f aca="false">Daily_Composite!AA116</f>
        <v>-0.552</v>
      </c>
      <c r="DJ25" s="17" t="n">
        <f aca="false">Daily_Composite!AA117</f>
        <v>-0.618</v>
      </c>
      <c r="DK25" s="17" t="n">
        <f aca="false">Daily_Composite!AA118</f>
        <v>-0.685</v>
      </c>
      <c r="DL25" s="17" t="n">
        <f aca="false">Daily_Composite!AA119</f>
        <v>-0.386</v>
      </c>
      <c r="DM25" s="17" t="n">
        <f aca="false">Daily_Composite!AA120</f>
        <v>-0.646</v>
      </c>
      <c r="DN25" s="17" t="n">
        <f aca="false">Daily_Composite!AA121</f>
        <v>-0.394</v>
      </c>
      <c r="DO25" s="17" t="n">
        <f aca="false">Daily_Composite!AA122</f>
        <v>-0.323</v>
      </c>
      <c r="DP25" s="17" t="n">
        <f aca="false">Daily_Composite!AA123</f>
        <v>-0.187</v>
      </c>
      <c r="DQ25" s="17" t="n">
        <f aca="false">Daily_Composite!AA124</f>
        <v>-0.353</v>
      </c>
      <c r="DR25" s="17" t="n">
        <f aca="false">Daily_Composite!AA125</f>
        <v>0.113</v>
      </c>
      <c r="DS25" s="17" t="n">
        <f aca="false">Daily_Composite!AA126</f>
        <v>0.43</v>
      </c>
      <c r="DT25" s="17" t="n">
        <f aca="false">Daily_Composite!AA127</f>
        <v>-0.024</v>
      </c>
      <c r="DU25" s="17" t="n">
        <f aca="false">Daily_Composite!AA128</f>
        <v>0.06</v>
      </c>
      <c r="DV25" s="17" t="n">
        <f aca="false">Daily_Composite!AA129</f>
        <v>-0.317</v>
      </c>
      <c r="DW25" s="17" t="n">
        <f aca="false">Daily_Composite!AA130</f>
        <v>0.252</v>
      </c>
      <c r="DX25" s="17" t="n">
        <f aca="false">Daily_Composite!AA131</f>
        <v>0.361</v>
      </c>
      <c r="DY25" s="17" t="n">
        <f aca="false">Daily_Composite!AA132</f>
        <v>-0.088</v>
      </c>
      <c r="DZ25" s="17" t="n">
        <f aca="false">Daily_Composite!AA133</f>
        <v>-0.047</v>
      </c>
      <c r="EA25" s="17" t="n">
        <f aca="false">Daily_Composite!AA134</f>
        <v>-0.033</v>
      </c>
      <c r="EB25" s="17" t="n">
        <f aca="false">Daily_Composite!AA135</f>
        <v>0.256</v>
      </c>
      <c r="EC25" s="17" t="n">
        <f aca="false">Daily_Composite!AA136</f>
        <v>0.282</v>
      </c>
      <c r="ED25" s="17" t="n">
        <f aca="false">Daily_Composite!AA137</f>
        <v>-0.208</v>
      </c>
      <c r="EE25" s="17" t="n">
        <f aca="false">Daily_Composite!AA138</f>
        <v>-0.535</v>
      </c>
      <c r="EF25" s="17" t="n">
        <f aca="false">Daily_Composite!AA139</f>
        <v>-0.246</v>
      </c>
      <c r="EG25" s="17" t="n">
        <f aca="false">Daily_Composite!AA140</f>
        <v>0.322</v>
      </c>
      <c r="EH25" s="17" t="n">
        <f aca="false">Daily_Composite!AA141</f>
        <v>-0.052</v>
      </c>
      <c r="EI25" s="17" t="n">
        <f aca="false">Daily_Composite!AA142</f>
        <v>0.217</v>
      </c>
      <c r="EJ25" s="17" t="n">
        <f aca="false">Daily_Composite!AA143</f>
        <v>-0.233</v>
      </c>
      <c r="EK25" s="17" t="n">
        <f aca="false">Daily_Composite!AA144</f>
        <v>-0.565</v>
      </c>
      <c r="EL25" s="17" t="n">
        <f aca="false">Daily_Composite!AA145</f>
        <v>-0.248</v>
      </c>
      <c r="EM25" s="17" t="n">
        <f aca="false">Daily_Composite!AA146</f>
        <v>-0.186</v>
      </c>
      <c r="EN25" s="17" t="n">
        <f aca="false">Daily_Composite!AA147</f>
        <v>-0.543</v>
      </c>
      <c r="EO25" s="17" t="n">
        <f aca="false">Daily_Composite!AA148</f>
        <v>-0.285</v>
      </c>
      <c r="EP25" s="17" t="n">
        <f aca="false">Daily_Composite!AA149</f>
        <v>0.096</v>
      </c>
      <c r="EQ25" s="17" t="n">
        <f aca="false">Daily_Composite!AA150</f>
        <v>-0.111</v>
      </c>
      <c r="ER25" s="17" t="n">
        <f aca="false">Daily_Composite!AA151</f>
        <v>-0.242</v>
      </c>
      <c r="ES25" s="17" t="n">
        <f aca="false">Daily_Composite!AA152</f>
        <v>-0.419</v>
      </c>
      <c r="ET25" s="17" t="n">
        <f aca="false">Daily_Composite!AA153</f>
        <v>-0.551</v>
      </c>
      <c r="EU25" s="17" t="n">
        <f aca="false">Daily_Composite!AA154</f>
        <v>-0.534</v>
      </c>
      <c r="EV25" s="17" t="n">
        <f aca="false">Daily_Composite!AA155</f>
        <v>-0.326</v>
      </c>
      <c r="EW25" s="17" t="n">
        <f aca="false">Daily_Composite!AA156</f>
        <v>-0.496</v>
      </c>
      <c r="EX25" s="17" t="n">
        <f aca="false">Daily_Composite!AA157</f>
        <v>-0.075</v>
      </c>
      <c r="EY25" s="17" t="n">
        <f aca="false">Daily_Composite!AA158</f>
        <v>-0.435</v>
      </c>
      <c r="EZ25" s="17" t="n">
        <f aca="false">Daily_Composite!AA159</f>
        <v>-0.141</v>
      </c>
      <c r="FA25" s="17" t="n">
        <f aca="false">Daily_Composite!AA160</f>
        <v>-0.086</v>
      </c>
      <c r="FB25" s="17" t="n">
        <f aca="false">Daily_Composite!AA161</f>
        <v>-0.391</v>
      </c>
      <c r="FC25" s="17" t="n">
        <f aca="false">Daily_Composite!AA162</f>
        <v>0.028</v>
      </c>
      <c r="FD25" s="17" t="n">
        <f aca="false">Daily_Composite!AA163</f>
        <v>-0.478</v>
      </c>
      <c r="FE25" s="17" t="n">
        <f aca="false">Daily_Composite!AA164</f>
        <v>-0.559</v>
      </c>
      <c r="FF25" s="17" t="n">
        <f aca="false">Daily_Composite!AA165</f>
        <v>-0.126</v>
      </c>
      <c r="FG25" s="17" t="n">
        <f aca="false">Daily_Composite!AA166</f>
        <v>-0.526</v>
      </c>
      <c r="FH25" s="17" t="n">
        <f aca="false">Daily_Composite!AA167</f>
        <v>-0.071</v>
      </c>
      <c r="FI25" s="17" t="n">
        <f aca="false">Daily_Composite!AA168</f>
        <v>-0.459</v>
      </c>
      <c r="FJ25" s="17" t="n">
        <f aca="false">Daily_Composite!AA169</f>
        <v>-0.153</v>
      </c>
      <c r="FK25" s="17" t="n">
        <f aca="false">Daily_Composite!AA170</f>
        <v>-0.219</v>
      </c>
      <c r="FL25" s="17" t="n">
        <f aca="false">Daily_Composite!AA171</f>
        <v>-0.241</v>
      </c>
      <c r="FM25" s="17" t="n">
        <f aca="false">Daily_Composite!AA172</f>
        <v>-0.056</v>
      </c>
      <c r="FN25" s="17" t="n">
        <f aca="false">Daily_Composite!AA173</f>
        <v>-0.023</v>
      </c>
      <c r="FO25" s="17" t="n">
        <f aca="false">Daily_Composite!AA174</f>
        <v>-0.316</v>
      </c>
      <c r="FP25" s="17" t="n">
        <f aca="false">Daily_Composite!AA175</f>
        <v>0.078</v>
      </c>
      <c r="FQ25" s="17" t="n">
        <f aca="false">Daily_Composite!AA176</f>
        <v>0.02</v>
      </c>
      <c r="FR25" s="17" t="n">
        <f aca="false">Daily_Composite!AA177</f>
        <v>0.08</v>
      </c>
      <c r="FS25" s="17" t="n">
        <f aca="false">Daily_Composite!AA178</f>
        <v>-0.033</v>
      </c>
      <c r="FT25" s="17" t="n">
        <f aca="false">Daily_Composite!AA179</f>
        <v>-0.237</v>
      </c>
      <c r="FU25" s="17" t="n">
        <f aca="false">Daily_Composite!AA180</f>
        <v>-0.527</v>
      </c>
      <c r="FV25" s="17" t="n">
        <f aca="false">Daily_Composite!AA181</f>
        <v>-0.382</v>
      </c>
      <c r="FW25" s="17" t="n">
        <f aca="false">Daily_Composite!AA182</f>
        <v>-0.175</v>
      </c>
      <c r="FX25" s="17" t="n">
        <f aca="false">Daily_Composite!AA183</f>
        <v>-0.239</v>
      </c>
      <c r="FY25" s="17" t="n">
        <f aca="false">Daily_Composite!AA184</f>
        <v>-0.235</v>
      </c>
      <c r="FZ25" s="17" t="n">
        <f aca="false">Daily_Composite!AA185</f>
        <v>-0.456</v>
      </c>
      <c r="GA25" s="17" t="n">
        <f aca="false">Daily_Composite!AA186</f>
        <v>-0.18</v>
      </c>
      <c r="GB25" s="17" t="n">
        <f aca="false">Daily_Composite!AA187</f>
        <v>-0.193</v>
      </c>
      <c r="GC25" s="17" t="n">
        <f aca="false">Daily_Composite!AA188</f>
        <v>-0.477</v>
      </c>
      <c r="GD25" s="17" t="n">
        <f aca="false">Daily_Composite!AA189</f>
        <v>-0.476</v>
      </c>
      <c r="GE25" s="17" t="n">
        <f aca="false">Daily_Composite!AA190</f>
        <v>0.003</v>
      </c>
      <c r="GF25" s="17" t="n">
        <f aca="false">Daily_Composite!AA191</f>
        <v>-0.526</v>
      </c>
      <c r="GG25" s="17" t="n">
        <f aca="false">Daily_Composite!AA192</f>
        <v>-0.253</v>
      </c>
      <c r="GH25" s="17" t="n">
        <f aca="false">Daily_Composite!AA193</f>
        <v>-0.367</v>
      </c>
      <c r="GI25" s="17" t="n">
        <f aca="false">Daily_Composite!AA194</f>
        <v>-0.168</v>
      </c>
      <c r="GJ25" s="17" t="n">
        <f aca="false">Daily_Composite!AA195</f>
        <v>0.268</v>
      </c>
      <c r="GK25" s="17" t="n">
        <f aca="false">Daily_Composite!AA196</f>
        <v>-0.047</v>
      </c>
      <c r="GL25" s="17" t="n">
        <f aca="false">Daily_Composite!AA197</f>
        <v>-0.22</v>
      </c>
      <c r="GM25" s="17" t="n">
        <f aca="false">Daily_Composite!AA198</f>
        <v>-0.282</v>
      </c>
      <c r="GN25" s="17" t="n">
        <f aca="false">Daily_Composite!AA199</f>
        <v>-0.309</v>
      </c>
      <c r="GO25" s="17" t="n">
        <f aca="false">Daily_Composite!AA200</f>
        <v>-0.513</v>
      </c>
      <c r="GP25" s="17" t="n">
        <f aca="false">Daily_Composite!AA201</f>
        <v>-0.262</v>
      </c>
      <c r="GQ25" s="17" t="n">
        <f aca="false">Daily_Composite!AA202</f>
        <v>-0.485</v>
      </c>
      <c r="GR25" s="17" t="n">
        <f aca="false">Daily_Composite!AA203</f>
        <v>-0.356</v>
      </c>
      <c r="GS25" s="17" t="n">
        <f aca="false">Daily_Composite!AA204</f>
        <v>-0.305</v>
      </c>
      <c r="GT25" s="17" t="n">
        <f aca="false">Daily_Composite!AA205</f>
        <v>-0.134</v>
      </c>
      <c r="GU25" s="17" t="n">
        <f aca="false">Daily_Composite!AA206</f>
        <v>-0.345</v>
      </c>
      <c r="GV25" s="17" t="n">
        <f aca="false">Daily_Composite!AA207</f>
        <v>-0.36</v>
      </c>
      <c r="GW25" s="17" t="n">
        <f aca="false">Daily_Composite!AA208</f>
        <v>-0.432</v>
      </c>
      <c r="GX25" s="17" t="n">
        <f aca="false">Daily_Composite!AA209</f>
        <v>-0.141</v>
      </c>
      <c r="GY25" s="17" t="n">
        <f aca="false">Daily_Composite!AA210</f>
        <v>-0.013</v>
      </c>
      <c r="GZ25" s="17" t="n">
        <f aca="false">Daily_Composite!AA211</f>
        <v>-0.294</v>
      </c>
      <c r="HA25" s="17" t="n">
        <f aca="false">Daily_Composite!AA212</f>
        <v>-0.281</v>
      </c>
      <c r="HB25" s="17" t="n">
        <f aca="false">Daily_Composite!AA213</f>
        <v>-0.569</v>
      </c>
      <c r="HC25" s="17" t="n">
        <f aca="false">Daily_Composite!AA214</f>
        <v>-0.208</v>
      </c>
      <c r="HD25" s="17" t="n">
        <f aca="false">Daily_Composite!AA215</f>
        <v>-0.538</v>
      </c>
      <c r="HE25" s="17" t="n">
        <f aca="false">Daily_Composite!AA216</f>
        <v>-0.552</v>
      </c>
      <c r="HF25" s="17" t="n">
        <f aca="false">Daily_Composite!AA217</f>
        <v>-0.56</v>
      </c>
      <c r="HG25" s="17" t="n">
        <f aca="false">Daily_Composite!AA218</f>
        <v>-0.679</v>
      </c>
      <c r="HH25" s="17" t="n">
        <f aca="false">Daily_Composite!AA219</f>
        <v>-0.486</v>
      </c>
      <c r="HI25" s="17" t="n">
        <f aca="false">Daily_Composite!AA220</f>
        <v>-0.665</v>
      </c>
      <c r="HJ25" s="17" t="n">
        <f aca="false">Daily_Composite!AA221</f>
        <v>-0.667</v>
      </c>
      <c r="HK25" s="17" t="n">
        <f aca="false">Daily_Composite!AA222</f>
        <v>-0.462</v>
      </c>
      <c r="HL25" s="17" t="n">
        <f aca="false">Daily_Composite!AA223</f>
        <v>-0.452</v>
      </c>
      <c r="HM25" s="17" t="n">
        <f aca="false">Daily_Composite!AA224</f>
        <v>-0.697</v>
      </c>
      <c r="HN25" s="17" t="n">
        <f aca="false">Daily_Composite!AA225</f>
        <v>-0.495</v>
      </c>
      <c r="HO25" s="17" t="n">
        <f aca="false">Daily_Composite!AA226</f>
        <v>-0.463</v>
      </c>
      <c r="HP25" s="17" t="n">
        <f aca="false">Daily_Composite!AA227</f>
        <v>-0.642</v>
      </c>
      <c r="HQ25" s="17" t="n">
        <f aca="false">Daily_Composite!AA228</f>
        <v>-0.357</v>
      </c>
      <c r="HR25" s="17" t="n">
        <f aca="false">Daily_Composite!AA229</f>
        <v>-0.456</v>
      </c>
      <c r="HS25" s="17" t="n">
        <f aca="false">Daily_Composite!AA230</f>
        <v>-0.498</v>
      </c>
      <c r="HT25" s="17" t="n">
        <f aca="false">Daily_Composite!AA231</f>
        <v>-0.583</v>
      </c>
      <c r="HU25" s="17" t="n">
        <f aca="false">Daily_Composite!AA232</f>
        <v>-0.323</v>
      </c>
      <c r="HV25" s="17" t="n">
        <f aca="false">Daily_Composite!AA233</f>
        <v>-0.356</v>
      </c>
      <c r="HW25" s="17" t="n">
        <f aca="false">Daily_Composite!AA234</f>
        <v>-0.426</v>
      </c>
      <c r="HX25" s="17" t="n">
        <f aca="false">Daily_Composite!AA235</f>
        <v>-0.426</v>
      </c>
      <c r="HY25" s="17" t="n">
        <f aca="false">Daily_Composite!AA236</f>
        <v>-0.555</v>
      </c>
      <c r="HZ25" s="17" t="n">
        <f aca="false">Daily_Composite!AA237</f>
        <v>-0.424</v>
      </c>
      <c r="IA25" s="17" t="n">
        <f aca="false">Daily_Composite!AA238</f>
        <v>-0.317</v>
      </c>
      <c r="IB25" s="17" t="n">
        <f aca="false">Daily_Composite!AA239</f>
        <v>-0.344</v>
      </c>
      <c r="IC25" s="17" t="n">
        <f aca="false">Daily_Composite!AA240</f>
        <v>-0.586</v>
      </c>
      <c r="ID25" s="17" t="n">
        <f aca="false">Daily_Composite!AA241</f>
        <v>-0.319</v>
      </c>
      <c r="IE25" s="17" t="n">
        <f aca="false">Daily_Composite!AA242</f>
        <v>-0.519</v>
      </c>
      <c r="IF25" s="17" t="n">
        <f aca="false">Daily_Composite!AA243</f>
        <v>-0.543</v>
      </c>
      <c r="IG25" s="17" t="n">
        <f aca="false">Daily_Composite!AA244</f>
        <v>-0.552</v>
      </c>
      <c r="IH25" s="17" t="n">
        <f aca="false">Daily_Composite!AA245</f>
        <v>-0.022</v>
      </c>
      <c r="II25" s="17" t="n">
        <f aca="false">Daily_Composite!AA246</f>
        <v>-0.318</v>
      </c>
      <c r="IJ25" s="17" t="n">
        <f aca="false">Daily_Composite!AA247</f>
        <v>-0.152</v>
      </c>
      <c r="IK25" s="17" t="n">
        <f aca="false">Daily_Composite!AA248</f>
        <v>-0.112</v>
      </c>
      <c r="IL25" s="17" t="n">
        <f aca="false">Daily_Composite!AA249</f>
        <v>-0.265</v>
      </c>
      <c r="IM25" s="17" t="n">
        <f aca="false">Daily_Composite!AA250</f>
        <v>-0.045</v>
      </c>
      <c r="IN25" s="17" t="n">
        <f aca="false">Daily_Composite!AA251</f>
        <v>0.095</v>
      </c>
      <c r="IO25" s="17" t="n">
        <f aca="false">Daily_Composite!AA252</f>
        <v>-0.596</v>
      </c>
      <c r="IP25" s="17" t="n">
        <f aca="false">Daily_Composite!AA253</f>
        <v>-0.26</v>
      </c>
      <c r="IQ25" s="17" t="n">
        <f aca="false">Daily_Composite!AA254</f>
        <v>0.04</v>
      </c>
      <c r="IR25" s="17" t="n">
        <f aca="false">Daily_Composite!AA255</f>
        <v>-0.207</v>
      </c>
      <c r="IS25" s="17" t="n">
        <f aca="false">Daily_Composite!AA256</f>
        <v>-0.645</v>
      </c>
      <c r="IT25" s="17" t="n">
        <f aca="false">Daily_Composite!AA257</f>
        <v>-0.402</v>
      </c>
      <c r="IU25" s="17" t="n">
        <f aca="false">Daily_Composite!AA258</f>
        <v>-0.249</v>
      </c>
      <c r="IV25" s="17" t="n">
        <f aca="false">Daily_Composite!AA259</f>
        <v>-0.265</v>
      </c>
      <c r="IW25" s="17" t="n">
        <f aca="false">Daily_Composite!AA260</f>
        <v>-0.223</v>
      </c>
      <c r="IX25" s="17" t="n">
        <f aca="false">Daily_Composite!AA261</f>
        <v>-0.31</v>
      </c>
      <c r="IY25" s="17" t="n">
        <f aca="false">Daily_Composite!AA262</f>
        <v>-0.603</v>
      </c>
      <c r="IZ25" s="17" t="n">
        <f aca="false">Daily_Composite!AA263</f>
        <v>-0.123</v>
      </c>
      <c r="JA25" s="17" t="n">
        <f aca="false">Daily_Composite!AA264</f>
        <v>-0.29</v>
      </c>
      <c r="JB25" s="17" t="n">
        <f aca="false">Daily_Composite!AA265</f>
        <v>-0.517</v>
      </c>
      <c r="JC25" s="17" t="n">
        <f aca="false">Daily_Composite!AA266</f>
        <v>-0.545</v>
      </c>
      <c r="JD25" s="17" t="n">
        <f aca="false">Daily_Composite!AA267</f>
        <v>-0.316</v>
      </c>
      <c r="JE25" s="17" t="n">
        <f aca="false">Daily_Composite!AA268</f>
        <v>-0.291</v>
      </c>
      <c r="JF25" s="17" t="n">
        <f aca="false">Daily_Composite!AA269</f>
        <v>-0.308</v>
      </c>
      <c r="JG25" s="17" t="n">
        <f aca="false">Daily_Composite!AA270</f>
        <v>-0.644</v>
      </c>
      <c r="JH25" s="17" t="n">
        <f aca="false">Daily_Composite!AA271</f>
        <v>-0.655</v>
      </c>
      <c r="JI25" s="17" t="n">
        <f aca="false">Daily_Composite!AA272</f>
        <v>-0.66</v>
      </c>
      <c r="JJ25" s="17" t="n">
        <f aca="false">Daily_Composite!AA273</f>
        <v>-0.517</v>
      </c>
      <c r="JK25" s="17" t="n">
        <f aca="false">Daily_Composite!AA274</f>
        <v>-0.571</v>
      </c>
      <c r="JL25" s="17" t="n">
        <f aca="false">Daily_Composite!AA275</f>
        <v>-0.536</v>
      </c>
      <c r="JM25" s="17" t="n">
        <f aca="false">Daily_Composite!AA276</f>
        <v>-0.269</v>
      </c>
      <c r="JN25" s="17" t="n">
        <f aca="false">Daily_Composite!AA277</f>
        <v>-0.216</v>
      </c>
      <c r="JO25" s="17" t="n">
        <f aca="false">Daily_Composite!AA278</f>
        <v>-0.156</v>
      </c>
      <c r="JP25" s="17" t="n">
        <f aca="false">Daily_Composite!AA279</f>
        <v>-0.699</v>
      </c>
      <c r="JQ25" s="17" t="n">
        <f aca="false">Daily_Composite!AA280</f>
        <v>-0.381</v>
      </c>
      <c r="JR25" s="17" t="n">
        <f aca="false">Daily_Composite!AA281</f>
        <v>-0.622</v>
      </c>
      <c r="JS25" s="17" t="n">
        <f aca="false">Daily_Composite!AA282</f>
        <v>0.035</v>
      </c>
      <c r="JT25" s="17" t="n">
        <f aca="false">Daily_Composite!AA283</f>
        <v>-0.262</v>
      </c>
      <c r="JU25" s="17" t="n">
        <f aca="false">Daily_Composite!AA284</f>
        <v>-0.612</v>
      </c>
      <c r="JV25" s="17" t="n">
        <f aca="false">Daily_Composite!AA285</f>
        <v>-0.436</v>
      </c>
      <c r="JW25" s="17" t="n">
        <f aca="false">Daily_Composite!AA286</f>
        <v>-0.236</v>
      </c>
      <c r="JX25" s="17" t="n">
        <f aca="false">Daily_Composite!AA287</f>
        <v>-0.253</v>
      </c>
      <c r="JY25" s="17" t="n">
        <f aca="false">Daily_Composite!AA288</f>
        <v>-0.235</v>
      </c>
      <c r="JZ25" s="17" t="n">
        <f aca="false">Daily_Composite!AA289</f>
        <v>-0.067</v>
      </c>
      <c r="KA25" s="17" t="n">
        <f aca="false">Daily_Composite!AA290</f>
        <v>0.078</v>
      </c>
      <c r="KB25" s="17" t="n">
        <f aca="false">Daily_Composite!AA291</f>
        <v>-0.261</v>
      </c>
      <c r="KC25" s="17" t="n">
        <f aca="false">Daily_Composite!AA292</f>
        <v>-0.607</v>
      </c>
      <c r="KD25" s="17" t="n">
        <f aca="false">Daily_Composite!AA293</f>
        <v>-0.359</v>
      </c>
      <c r="KE25" s="17" t="n">
        <f aca="false">Daily_Composite!AA294</f>
        <v>0.15</v>
      </c>
      <c r="KF25" s="17" t="n">
        <f aca="false">Daily_Composite!AA295</f>
        <v>0.209</v>
      </c>
      <c r="KG25" s="17" t="n">
        <f aca="false">Daily_Composite!AA296</f>
        <v>-0.106</v>
      </c>
      <c r="KH25" s="17" t="n">
        <f aca="false">Daily_Composite!AA297</f>
        <v>-0.543</v>
      </c>
      <c r="KI25" s="17" t="n">
        <f aca="false">Daily_Composite!AA298</f>
        <v>-0.579</v>
      </c>
      <c r="KJ25" s="17" t="n">
        <f aca="false">Daily_Composite!AA299</f>
        <v>-0.546</v>
      </c>
      <c r="KK25" s="17" t="n">
        <f aca="false">Daily_Composite!AA300</f>
        <v>-0.178</v>
      </c>
      <c r="KL25" s="17" t="n">
        <f aca="false">Daily_Composite!AA301</f>
        <v>-0.505</v>
      </c>
      <c r="KM25" s="17" t="n">
        <f aca="false">Daily_Composite!AA302</f>
        <v>-0.3</v>
      </c>
      <c r="KN25" s="17" t="n">
        <f aca="false">Daily_Composite!AA303</f>
        <v>-0.212</v>
      </c>
      <c r="KO25" s="17" t="n">
        <f aca="false">Daily_Composite!AA304</f>
        <v>-0.189</v>
      </c>
      <c r="KP25" s="17" t="n">
        <f aca="false">Daily_Composite!AA305</f>
        <v>-0.293</v>
      </c>
      <c r="KQ25" s="17" t="n">
        <f aca="false">Daily_Composite!AA306</f>
        <v>-0.191</v>
      </c>
      <c r="KR25" s="17" t="n">
        <f aca="false">Daily_Composite!AA307</f>
        <v>-0.584</v>
      </c>
      <c r="KS25" s="17" t="n">
        <f aca="false">Daily_Composite!AA308</f>
        <v>-0.573</v>
      </c>
      <c r="KT25" s="17" t="n">
        <f aca="false">Daily_Composite!AA309</f>
        <v>-0.056</v>
      </c>
      <c r="KU25" s="17" t="n">
        <f aca="false">Daily_Composite!AA310</f>
        <v>-0.234</v>
      </c>
      <c r="KV25" s="17" t="n">
        <f aca="false">Daily_Composite!AA311</f>
        <v>-0.647</v>
      </c>
      <c r="KW25" s="17" t="n">
        <f aca="false">Daily_Composite!AA312</f>
        <v>-0.454</v>
      </c>
      <c r="KX25" s="17" t="n">
        <f aca="false">Daily_Composite!AA313</f>
        <v>-0.259</v>
      </c>
      <c r="KY25" s="17" t="n">
        <f aca="false">Daily_Composite!AA314</f>
        <v>-0.22</v>
      </c>
      <c r="KZ25" s="17" t="n">
        <f aca="false">Daily_Composite!AA315</f>
        <v>-0.242</v>
      </c>
      <c r="LA25" s="17" t="n">
        <f aca="false">Daily_Composite!AA316</f>
        <v>-0.409</v>
      </c>
      <c r="LB25" s="17" t="n">
        <f aca="false">Daily_Composite!AA317</f>
        <v>-0.283</v>
      </c>
      <c r="LC25" s="17" t="n">
        <f aca="false">Daily_Composite!AA318</f>
        <v>0.033</v>
      </c>
      <c r="LD25" s="17" t="n">
        <f aca="false">Daily_Composite!AA319</f>
        <v>-0.399</v>
      </c>
      <c r="LE25" s="17" t="n">
        <f aca="false">Daily_Composite!AA320</f>
        <v>-0.572</v>
      </c>
      <c r="LF25" s="17" t="n">
        <f aca="false">Daily_Composite!AA321</f>
        <v>-0.123</v>
      </c>
      <c r="LG25" s="17" t="n">
        <f aca="false">Daily_Composite!AA322</f>
        <v>0.062</v>
      </c>
      <c r="LH25" s="17" t="n">
        <f aca="false">Daily_Composite!AA323</f>
        <v>0.076</v>
      </c>
      <c r="LI25" s="17" t="n">
        <f aca="false">Daily_Composite!AA324</f>
        <v>-0.351</v>
      </c>
      <c r="LJ25" s="17" t="n">
        <f aca="false">Daily_Composite!AA325</f>
        <v>-0.368</v>
      </c>
      <c r="LK25" s="17" t="n">
        <f aca="false">Daily_Composite!AA326</f>
        <v>-0.566</v>
      </c>
      <c r="LL25" s="17" t="n">
        <f aca="false">Daily_Composite!AA327</f>
        <v>0.301</v>
      </c>
      <c r="LM25" s="17" t="n">
        <f aca="false">Daily_Composite!AA328</f>
        <v>-0.004</v>
      </c>
      <c r="LN25" s="17" t="n">
        <f aca="false">Daily_Composite!AA329</f>
        <v>0.095</v>
      </c>
      <c r="LO25" s="17" t="n">
        <f aca="false">Daily_Composite!AA330</f>
        <v>-0.378</v>
      </c>
      <c r="LP25" s="17" t="n">
        <f aca="false">Daily_Composite!AA331</f>
        <v>0.121</v>
      </c>
      <c r="LQ25" s="17" t="n">
        <f aca="false">Daily_Composite!AA332</f>
        <v>0.265</v>
      </c>
      <c r="LR25" s="17" t="n">
        <f aca="false">Daily_Composite!AA333</f>
        <v>0.287</v>
      </c>
      <c r="LS25" s="17" t="n">
        <f aca="false">Daily_Composite!AA334</f>
        <v>-0.339</v>
      </c>
      <c r="LT25" s="17" t="n">
        <f aca="false">Daily_Composite!AA335</f>
        <v>0.02</v>
      </c>
      <c r="LU25" s="17" t="n">
        <f aca="false">Daily_Composite!AA336</f>
        <v>-0.451</v>
      </c>
      <c r="LV25" s="17" t="n">
        <f aca="false">Daily_Composite!AA337</f>
        <v>0.291</v>
      </c>
      <c r="LW25" s="17" t="n">
        <f aca="false">Daily_Composite!AA338</f>
        <v>-0</v>
      </c>
      <c r="LX25" s="17" t="n">
        <f aca="false">Daily_Composite!AA339</f>
        <v>-0.08</v>
      </c>
      <c r="LY25" s="17" t="n">
        <f aca="false">Daily_Composite!AA340</f>
        <v>0.06</v>
      </c>
      <c r="LZ25" s="17" t="n">
        <f aca="false">Daily_Composite!AA341</f>
        <v>0.078</v>
      </c>
      <c r="MA25" s="17" t="n">
        <f aca="false">Daily_Composite!AA342</f>
        <v>0.021</v>
      </c>
      <c r="MB25" s="17" t="n">
        <f aca="false">Daily_Composite!AA343</f>
        <v>-0.181</v>
      </c>
      <c r="MC25" s="17" t="n">
        <f aca="false">Daily_Composite!AA344</f>
        <v>-0.528</v>
      </c>
      <c r="MD25" s="17" t="n">
        <f aca="false">Daily_Composite!AA345</f>
        <v>-0.052</v>
      </c>
      <c r="ME25" s="17" t="n">
        <f aca="false">Daily_Composite!AA346</f>
        <v>0.11</v>
      </c>
      <c r="MF25" s="17" t="n">
        <f aca="false">Daily_Composite!AA347</f>
        <v>0.287</v>
      </c>
      <c r="MG25" s="17" t="n">
        <f aca="false">Daily_Composite!AA348</f>
        <v>-0.091</v>
      </c>
      <c r="MH25" s="17" t="n">
        <f aca="false">Daily_Composite!AA349</f>
        <v>0.161</v>
      </c>
      <c r="MI25" s="17" t="n">
        <f aca="false">Daily_Composite!AA350</f>
        <v>0.23</v>
      </c>
      <c r="MJ25" s="17" t="n">
        <f aca="false">Daily_Composite!AA351</f>
        <v>0.294</v>
      </c>
      <c r="MK25" s="17" t="n">
        <f aca="false">Daily_Composite!AA352</f>
        <v>-0.037</v>
      </c>
      <c r="ML25" s="17" t="n">
        <f aca="false">Daily_Composite!AA353</f>
        <v>-0.013</v>
      </c>
      <c r="MM25" s="17" t="n">
        <f aca="false">Daily_Composite!AA354</f>
        <v>0.139</v>
      </c>
      <c r="MN25" s="17" t="n">
        <f aca="false">Daily_Composite!AA355</f>
        <v>0.044</v>
      </c>
      <c r="MO25" s="17" t="n">
        <f aca="false">Daily_Composite!AA356</f>
        <v>-0.005</v>
      </c>
      <c r="MP25" s="17" t="n">
        <f aca="false">Daily_Composite!AA357</f>
        <v>0.478</v>
      </c>
      <c r="MQ25" s="17" t="n">
        <f aca="false">Daily_Composite!AA358</f>
        <v>-0.001</v>
      </c>
      <c r="MR25" s="17" t="n">
        <f aca="false">Daily_Composite!AA359</f>
        <v>-0.197</v>
      </c>
      <c r="MS25" s="17" t="n">
        <f aca="false">Daily_Composite!AA360</f>
        <v>-0.136</v>
      </c>
      <c r="MT25" s="17" t="n">
        <f aca="false">Daily_Composite!AA361</f>
        <v>-0.394</v>
      </c>
      <c r="MU25" s="17" t="n">
        <f aca="false">Daily_Composite!AA362</f>
        <v>-0.111</v>
      </c>
      <c r="MV25" s="17" t="n">
        <f aca="false">Daily_Composite!AA363</f>
        <v>-0.085</v>
      </c>
      <c r="MW25" s="17" t="n">
        <f aca="false">Daily_Composite!AA364</f>
        <v>-0.044</v>
      </c>
      <c r="MX25" s="17" t="n">
        <f aca="false">Daily_Composite!AA365</f>
        <v>-0.151</v>
      </c>
      <c r="MY25" s="17" t="n">
        <f aca="false">Daily_Composite!AA366</f>
        <v>0.289</v>
      </c>
      <c r="MZ25" s="17" t="n">
        <f aca="false">Daily_Composite!AA367</f>
        <v>-0.277</v>
      </c>
      <c r="NA25" s="17" t="n">
        <f aca="false">Daily_Composite!AA368</f>
        <v>-0.172</v>
      </c>
      <c r="NB25" s="17" t="n">
        <f aca="false">Daily_Composite!AA369</f>
        <v>-0.193</v>
      </c>
    </row>
    <row r="26" customFormat="false" ht="15" hidden="false" customHeight="false" outlineLevel="0" collapsed="false">
      <c r="A26" s="6" t="s">
        <v>39</v>
      </c>
      <c r="B26" s="17" t="n">
        <f aca="false">Daily_Composite!AB5</f>
        <v>-0.268</v>
      </c>
      <c r="C26" s="17" t="n">
        <f aca="false">Daily_Composite!AB6</f>
        <v>0.041</v>
      </c>
      <c r="D26" s="17" t="n">
        <f aca="false">Daily_Composite!AB7</f>
        <v>-0.184</v>
      </c>
      <c r="E26" s="17" t="n">
        <f aca="false">Daily_Composite!AB8</f>
        <v>0.009</v>
      </c>
      <c r="F26" s="17" t="n">
        <f aca="false">Daily_Composite!AB9</f>
        <v>0.062</v>
      </c>
      <c r="G26" s="17" t="n">
        <f aca="false">Daily_Composite!AB10</f>
        <v>0.062</v>
      </c>
      <c r="H26" s="17" t="n">
        <f aca="false">Daily_Composite!AB11</f>
        <v>0.062</v>
      </c>
      <c r="I26" s="17" t="n">
        <f aca="false">Daily_Composite!AB12</f>
        <v>0.111</v>
      </c>
      <c r="J26" s="17" t="n">
        <f aca="false">Daily_Composite!AB13</f>
        <v>0.226</v>
      </c>
      <c r="K26" s="17" t="n">
        <f aca="false">Daily_Composite!AB14</f>
        <v>0.2</v>
      </c>
      <c r="L26" s="17" t="n">
        <f aca="false">Daily_Composite!AB15</f>
        <v>0.24</v>
      </c>
      <c r="M26" s="17" t="n">
        <f aca="false">Daily_Composite!AB16</f>
        <v>0.235</v>
      </c>
      <c r="N26" s="17" t="n">
        <f aca="false">Daily_Composite!AB17</f>
        <v>0.363</v>
      </c>
      <c r="O26" s="17" t="n">
        <f aca="false">Daily_Composite!AB18</f>
        <v>0.364</v>
      </c>
      <c r="P26" s="17" t="n">
        <f aca="false">Daily_Composite!AB19</f>
        <v>0.227</v>
      </c>
      <c r="Q26" s="17" t="n">
        <f aca="false">Daily_Composite!AB20</f>
        <v>0.187</v>
      </c>
      <c r="R26" s="17" t="n">
        <f aca="false">Daily_Composite!AB21</f>
        <v>0.148</v>
      </c>
      <c r="S26" s="17" t="n">
        <f aca="false">Daily_Composite!AB22</f>
        <v>0.108</v>
      </c>
      <c r="T26" s="17" t="n">
        <f aca="false">Daily_Composite!AB23</f>
        <v>0.426</v>
      </c>
      <c r="U26" s="17" t="n">
        <f aca="false">Daily_Composite!AB24</f>
        <v>0.074</v>
      </c>
      <c r="V26" s="17" t="n">
        <f aca="false">Daily_Composite!AB25</f>
        <v>0.074</v>
      </c>
      <c r="W26" s="17" t="n">
        <f aca="false">Daily_Composite!AB26</f>
        <v>0.067</v>
      </c>
      <c r="X26" s="17" t="n">
        <f aca="false">Daily_Composite!AB27</f>
        <v>0.093</v>
      </c>
      <c r="Y26" s="17" t="n">
        <f aca="false">Daily_Composite!AB28</f>
        <v>0.119</v>
      </c>
      <c r="Z26" s="17" t="n">
        <f aca="false">Daily_Composite!AB29</f>
        <v>0.143</v>
      </c>
      <c r="AA26" s="17" t="n">
        <f aca="false">Daily_Composite!AB30</f>
        <v>0.167</v>
      </c>
      <c r="AB26" s="17" t="n">
        <f aca="false">Daily_Composite!AB31</f>
        <v>0.167</v>
      </c>
      <c r="AC26" s="17" t="n">
        <f aca="false">Daily_Composite!AB32</f>
        <v>0.389</v>
      </c>
      <c r="AD26" s="17" t="n">
        <f aca="false">Daily_Composite!AB33</f>
        <v>0.384</v>
      </c>
      <c r="AE26" s="17" t="n">
        <f aca="false">Daily_Composite!AB34</f>
        <v>0.39</v>
      </c>
      <c r="AF26" s="17" t="n">
        <f aca="false">Daily_Composite!AB35</f>
        <v>0.158</v>
      </c>
      <c r="AG26" s="17" t="n">
        <f aca="false">Daily_Composite!AB36</f>
        <v>0.138</v>
      </c>
      <c r="AH26" s="17" t="n">
        <f aca="false">Daily_Composite!AB37</f>
        <v>0.119</v>
      </c>
      <c r="AI26" s="17" t="n">
        <f aca="false">Daily_Composite!AB38</f>
        <v>0.119</v>
      </c>
      <c r="AJ26" s="17" t="n">
        <f aca="false">Daily_Composite!AB39</f>
        <v>0.119</v>
      </c>
      <c r="AK26" s="17" t="n">
        <f aca="false">Daily_Composite!AB40</f>
        <v>0.407</v>
      </c>
      <c r="AL26" s="17" t="n">
        <f aca="false">Daily_Composite!AB41</f>
        <v>0.083</v>
      </c>
      <c r="AM26" s="17" t="n">
        <f aca="false">Daily_Composite!AB42</f>
        <v>0.065</v>
      </c>
      <c r="AN26" s="17" t="n">
        <f aca="false">Daily_Composite!AB43</f>
        <v>0.065</v>
      </c>
      <c r="AO26" s="17" t="n">
        <f aca="false">Daily_Composite!AB44</f>
        <v>-0.16</v>
      </c>
      <c r="AP26" s="17" t="n">
        <f aca="false">Daily_Composite!AB45</f>
        <v>-0.108</v>
      </c>
      <c r="AQ26" s="17" t="n">
        <f aca="false">Daily_Composite!AB46</f>
        <v>0.064</v>
      </c>
      <c r="AR26" s="17" t="n">
        <f aca="false">Daily_Composite!AB47</f>
        <v>0.065</v>
      </c>
      <c r="AS26" s="17" t="n">
        <f aca="false">Daily_Composite!AB48</f>
        <v>0.066</v>
      </c>
      <c r="AT26" s="17" t="n">
        <f aca="false">Daily_Composite!AB49</f>
        <v>0.067</v>
      </c>
      <c r="AU26" s="17" t="n">
        <f aca="false">Daily_Composite!AB50</f>
        <v>0.068</v>
      </c>
      <c r="AV26" s="17" t="n">
        <f aca="false">Daily_Composite!AB51</f>
        <v>0.069</v>
      </c>
      <c r="AW26" s="17" t="n">
        <f aca="false">Daily_Composite!AB52</f>
        <v>0.069</v>
      </c>
      <c r="AX26" s="17" t="n">
        <f aca="false">Daily_Composite!AB53</f>
        <v>0.069</v>
      </c>
      <c r="AY26" s="17" t="n">
        <f aca="false">Daily_Composite!AB54</f>
        <v>0.07</v>
      </c>
      <c r="AZ26" s="17" t="n">
        <f aca="false">Daily_Composite!AB55</f>
        <v>0.07</v>
      </c>
      <c r="BA26" s="17" t="n">
        <f aca="false">Daily_Composite!AB56</f>
        <v>0.071</v>
      </c>
      <c r="BB26" s="17" t="n">
        <f aca="false">Daily_Composite!AB57</f>
        <v>0.071</v>
      </c>
      <c r="BC26" s="17" t="n">
        <f aca="false">Daily_Composite!AB58</f>
        <v>0.071</v>
      </c>
      <c r="BD26" s="17" t="n">
        <f aca="false">Daily_Composite!AB59</f>
        <v>0.071</v>
      </c>
      <c r="BE26" s="17" t="n">
        <f aca="false">Daily_Composite!AB60</f>
        <v>-0.179</v>
      </c>
      <c r="BF26" s="17" t="n">
        <f aca="false">Daily_Composite!AB61</f>
        <v>0.038</v>
      </c>
      <c r="BG26" s="17" t="n">
        <f aca="false">Daily_Composite!AB62</f>
        <v>0.026</v>
      </c>
      <c r="BH26" s="17" t="n">
        <f aca="false">Daily_Composite!AB63</f>
        <v>0.072</v>
      </c>
      <c r="BI26" s="17" t="n">
        <f aca="false">Daily_Composite!AB64</f>
        <v>0.073</v>
      </c>
      <c r="BJ26" s="17" t="n">
        <f aca="false">Daily_Composite!AB65</f>
        <v>0.074</v>
      </c>
      <c r="BK26" s="17" t="n">
        <f aca="false">Daily_Composite!AB66</f>
        <v>0.074</v>
      </c>
      <c r="BL26" s="17" t="n">
        <f aca="false">Daily_Composite!AB67</f>
        <v>0.074</v>
      </c>
      <c r="BM26" s="17" t="n">
        <f aca="false">Daily_Composite!AB68</f>
        <v>0.046</v>
      </c>
      <c r="BN26" s="17" t="n">
        <f aca="false">Daily_Composite!AB69</f>
        <v>0.018</v>
      </c>
      <c r="BO26" s="17" t="n">
        <f aca="false">Daily_Composite!AB70</f>
        <v>-0.011</v>
      </c>
      <c r="BP26" s="17" t="n">
        <f aca="false">Daily_Composite!AB71</f>
        <v>-0.265</v>
      </c>
      <c r="BQ26" s="17" t="n">
        <f aca="false">Daily_Composite!AB72</f>
        <v>-0.246</v>
      </c>
      <c r="BR26" s="17" t="n">
        <f aca="false">Daily_Composite!AB73</f>
        <v>-0.25</v>
      </c>
      <c r="BS26" s="17" t="n">
        <f aca="false">Daily_Composite!AB74</f>
        <v>-0.058</v>
      </c>
      <c r="BT26" s="17" t="n">
        <f aca="false">Daily_Composite!AB75</f>
        <v>-0.043</v>
      </c>
      <c r="BU26" s="17" t="n">
        <f aca="false">Daily_Composite!AB76</f>
        <v>-0.018</v>
      </c>
      <c r="BV26" s="17" t="n">
        <f aca="false">Daily_Composite!AB77</f>
        <v>-0.2</v>
      </c>
      <c r="BW26" s="17" t="n">
        <f aca="false">Daily_Composite!AB78</f>
        <v>0.032</v>
      </c>
      <c r="BX26" s="17" t="n">
        <f aca="false">Daily_Composite!AB79</f>
        <v>0.045</v>
      </c>
      <c r="BY26" s="17" t="n">
        <f aca="false">Daily_Composite!AB80</f>
        <v>0.045</v>
      </c>
      <c r="BZ26" s="17" t="n">
        <f aca="false">Daily_Composite!AB81</f>
        <v>0.045</v>
      </c>
      <c r="CA26" s="17" t="n">
        <f aca="false">Daily_Composite!AB82</f>
        <v>0.054</v>
      </c>
      <c r="CB26" s="17" t="n">
        <f aca="false">Daily_Composite!AB83</f>
        <v>0.054</v>
      </c>
      <c r="CC26" s="17" t="n">
        <f aca="false">Daily_Composite!AB84</f>
        <v>0.054</v>
      </c>
      <c r="CD26" s="17" t="n">
        <f aca="false">Daily_Composite!AB85</f>
        <v>0.055</v>
      </c>
      <c r="CE26" s="17" t="n">
        <f aca="false">Daily_Composite!AB86</f>
        <v>0.056</v>
      </c>
      <c r="CF26" s="17" t="n">
        <f aca="false">Daily_Composite!AB87</f>
        <v>0.006</v>
      </c>
      <c r="CG26" s="17" t="n">
        <f aca="false">Daily_Composite!AB88</f>
        <v>-0.34</v>
      </c>
      <c r="CH26" s="17" t="n">
        <f aca="false">Daily_Composite!AB89</f>
        <v>-0.295</v>
      </c>
      <c r="CI26" s="17" t="n">
        <f aca="false">Daily_Composite!AB90</f>
        <v>0.061</v>
      </c>
      <c r="CJ26" s="17" t="n">
        <f aca="false">Daily_Composite!AB91</f>
        <v>0.063</v>
      </c>
      <c r="CK26" s="17" t="n">
        <f aca="false">Daily_Composite!AB92</f>
        <v>0.066</v>
      </c>
      <c r="CL26" s="17" t="n">
        <f aca="false">Daily_Composite!AB93</f>
        <v>0.068</v>
      </c>
      <c r="CM26" s="17" t="n">
        <f aca="false">Daily_Composite!AB94</f>
        <v>0.068</v>
      </c>
      <c r="CN26" s="17" t="n">
        <f aca="false">Daily_Composite!AB95</f>
        <v>-0.138</v>
      </c>
      <c r="CO26" s="17" t="n">
        <f aca="false">Daily_Composite!AB96</f>
        <v>0.068</v>
      </c>
      <c r="CP26" s="17" t="n">
        <f aca="false">Daily_Composite!AB97</f>
        <v>0.068</v>
      </c>
      <c r="CQ26" s="17" t="n">
        <f aca="false">Daily_Composite!AB98</f>
        <v>-0.174</v>
      </c>
      <c r="CR26" s="17" t="n">
        <f aca="false">Daily_Composite!AB99</f>
        <v>-0.118</v>
      </c>
      <c r="CS26" s="17" t="n">
        <f aca="false">Daily_Composite!AB100</f>
        <v>0.257</v>
      </c>
      <c r="CT26" s="17" t="n">
        <f aca="false">Daily_Composite!AB101</f>
        <v>0.068</v>
      </c>
      <c r="CU26" s="17" t="n">
        <f aca="false">Daily_Composite!AB102</f>
        <v>0.068</v>
      </c>
      <c r="CV26" s="17" t="n">
        <f aca="false">Daily_Composite!AB103</f>
        <v>0.068</v>
      </c>
      <c r="CW26" s="17" t="n">
        <f aca="false">Daily_Composite!AB104</f>
        <v>0.068</v>
      </c>
      <c r="CX26" s="17" t="n">
        <f aca="false">Daily_Composite!AB105</f>
        <v>-0.065</v>
      </c>
      <c r="CY26" s="17" t="n">
        <f aca="false">Daily_Composite!AB106</f>
        <v>0.068</v>
      </c>
      <c r="CZ26" s="17" t="n">
        <f aca="false">Daily_Composite!AB107</f>
        <v>0.067</v>
      </c>
      <c r="DA26" s="17" t="n">
        <f aca="false">Daily_Composite!AB108</f>
        <v>0.067</v>
      </c>
      <c r="DB26" s="17" t="n">
        <f aca="false">Daily_Composite!AB109</f>
        <v>0.067</v>
      </c>
      <c r="DC26" s="17" t="n">
        <f aca="false">Daily_Composite!AB110</f>
        <v>0.067</v>
      </c>
      <c r="DD26" s="17" t="n">
        <f aca="false">Daily_Composite!AB111</f>
        <v>0.067</v>
      </c>
      <c r="DE26" s="17" t="n">
        <f aca="false">Daily_Composite!AB112</f>
        <v>0.067</v>
      </c>
      <c r="DF26" s="17" t="n">
        <f aca="false">Daily_Composite!AB113</f>
        <v>0.067</v>
      </c>
      <c r="DG26" s="17" t="n">
        <f aca="false">Daily_Composite!AB114</f>
        <v>0.097</v>
      </c>
      <c r="DH26" s="17" t="n">
        <f aca="false">Daily_Composite!AB115</f>
        <v>0.286</v>
      </c>
      <c r="DI26" s="17" t="n">
        <f aca="false">Daily_Composite!AB116</f>
        <v>0.273</v>
      </c>
      <c r="DJ26" s="17" t="n">
        <f aca="false">Daily_Composite!AB117</f>
        <v>0.109</v>
      </c>
      <c r="DK26" s="17" t="n">
        <f aca="false">Daily_Composite!AB118</f>
        <v>0.066</v>
      </c>
      <c r="DL26" s="17" t="n">
        <f aca="false">Daily_Composite!AB119</f>
        <v>0.066</v>
      </c>
      <c r="DM26" s="17" t="n">
        <f aca="false">Daily_Composite!AB120</f>
        <v>0.066</v>
      </c>
      <c r="DN26" s="17" t="n">
        <f aca="false">Daily_Composite!AB121</f>
        <v>0.066</v>
      </c>
      <c r="DO26" s="17" t="n">
        <f aca="false">Daily_Composite!AB122</f>
        <v>0.066</v>
      </c>
      <c r="DP26" s="17" t="n">
        <f aca="false">Daily_Composite!AB123</f>
        <v>0.066</v>
      </c>
      <c r="DQ26" s="17" t="n">
        <f aca="false">Daily_Composite!AB124</f>
        <v>0.065</v>
      </c>
      <c r="DR26" s="17" t="n">
        <f aca="false">Daily_Composite!AB125</f>
        <v>0.065</v>
      </c>
      <c r="DS26" s="17" t="n">
        <f aca="false">Daily_Composite!AB126</f>
        <v>0.233</v>
      </c>
      <c r="DT26" s="17" t="n">
        <f aca="false">Daily_Composite!AB127</f>
        <v>0.289</v>
      </c>
      <c r="DU26" s="17" t="n">
        <f aca="false">Daily_Composite!AB128</f>
        <v>0.064</v>
      </c>
      <c r="DV26" s="17" t="n">
        <f aca="false">Daily_Composite!AB129</f>
        <v>0.064</v>
      </c>
      <c r="DW26" s="17" t="n">
        <f aca="false">Daily_Composite!AB130</f>
        <v>0.064</v>
      </c>
      <c r="DX26" s="17" t="n">
        <f aca="false">Daily_Composite!AB131</f>
        <v>0.064</v>
      </c>
      <c r="DY26" s="17" t="n">
        <f aca="false">Daily_Composite!AB132</f>
        <v>0.414</v>
      </c>
      <c r="DZ26" s="17" t="n">
        <f aca="false">Daily_Composite!AB133</f>
        <v>0.063</v>
      </c>
      <c r="EA26" s="17" t="n">
        <f aca="false">Daily_Composite!AB134</f>
        <v>0.063</v>
      </c>
      <c r="EB26" s="17" t="n">
        <f aca="false">Daily_Composite!AB135</f>
        <v>0.062</v>
      </c>
      <c r="EC26" s="17" t="n">
        <f aca="false">Daily_Composite!AB136</f>
        <v>0.062</v>
      </c>
      <c r="ED26" s="17" t="n">
        <f aca="false">Daily_Composite!AB137</f>
        <v>0.062</v>
      </c>
      <c r="EE26" s="17" t="n">
        <f aca="false">Daily_Composite!AB138</f>
        <v>0.062</v>
      </c>
      <c r="EF26" s="17" t="n">
        <f aca="false">Daily_Composite!AB139</f>
        <v>0.062</v>
      </c>
      <c r="EG26" s="17" t="n">
        <f aca="false">Daily_Composite!AB140</f>
        <v>0.062</v>
      </c>
      <c r="EH26" s="17" t="n">
        <f aca="false">Daily_Composite!AB141</f>
        <v>0.079</v>
      </c>
      <c r="EI26" s="17" t="n">
        <f aca="false">Daily_Composite!AB142</f>
        <v>0.062</v>
      </c>
      <c r="EJ26" s="17" t="n">
        <f aca="false">Daily_Composite!AB143</f>
        <v>0.042</v>
      </c>
      <c r="EK26" s="17" t="n">
        <f aca="false">Daily_Composite!AB144</f>
        <v>-0.17</v>
      </c>
      <c r="EL26" s="17" t="n">
        <f aca="false">Daily_Composite!AB145</f>
        <v>0.062</v>
      </c>
      <c r="EM26" s="17" t="n">
        <f aca="false">Daily_Composite!AB146</f>
        <v>0.062</v>
      </c>
      <c r="EN26" s="17" t="n">
        <f aca="false">Daily_Composite!AB147</f>
        <v>0.061</v>
      </c>
      <c r="EO26" s="17" t="n">
        <f aca="false">Daily_Composite!AB148</f>
        <v>0.062</v>
      </c>
      <c r="EP26" s="17" t="n">
        <f aca="false">Daily_Composite!AB149</f>
        <v>0.062</v>
      </c>
      <c r="EQ26" s="17" t="n">
        <f aca="false">Daily_Composite!AB150</f>
        <v>0.053</v>
      </c>
      <c r="ER26" s="17" t="n">
        <f aca="false">Daily_Composite!AB151</f>
        <v>0.062</v>
      </c>
      <c r="ES26" s="17" t="n">
        <f aca="false">Daily_Composite!AB152</f>
        <v>0.062</v>
      </c>
      <c r="ET26" s="17" t="n">
        <f aca="false">Daily_Composite!AB153</f>
        <v>-0.21</v>
      </c>
      <c r="EU26" s="17" t="n">
        <f aca="false">Daily_Composite!AB154</f>
        <v>-0.043</v>
      </c>
      <c r="EV26" s="17" t="n">
        <f aca="false">Daily_Composite!AB155</f>
        <v>-0.078</v>
      </c>
      <c r="EW26" s="17" t="n">
        <f aca="false">Daily_Composite!AB156</f>
        <v>0.061</v>
      </c>
      <c r="EX26" s="17" t="n">
        <f aca="false">Daily_Composite!AB157</f>
        <v>0.061</v>
      </c>
      <c r="EY26" s="17" t="n">
        <f aca="false">Daily_Composite!AB158</f>
        <v>-0.085</v>
      </c>
      <c r="EZ26" s="17" t="n">
        <f aca="false">Daily_Composite!AB159</f>
        <v>-0.023</v>
      </c>
      <c r="FA26" s="17" t="n">
        <f aca="false">Daily_Composite!AB160</f>
        <v>-0.087</v>
      </c>
      <c r="FB26" s="17" t="n">
        <f aca="false">Daily_Composite!AB161</f>
        <v>-0.149</v>
      </c>
      <c r="FC26" s="17" t="n">
        <f aca="false">Daily_Composite!AB162</f>
        <v>-0.149</v>
      </c>
      <c r="FD26" s="17" t="n">
        <f aca="false">Daily_Composite!AB163</f>
        <v>-0.089</v>
      </c>
      <c r="FE26" s="17" t="n">
        <f aca="false">Daily_Composite!AB164</f>
        <v>-0.089</v>
      </c>
      <c r="FF26" s="17" t="n">
        <f aca="false">Daily_Composite!AB165</f>
        <v>-0.089</v>
      </c>
      <c r="FG26" s="17" t="n">
        <f aca="false">Daily_Composite!AB166</f>
        <v>-0.089</v>
      </c>
      <c r="FH26" s="17" t="n">
        <f aca="false">Daily_Composite!AB167</f>
        <v>-0.09</v>
      </c>
      <c r="FI26" s="17" t="n">
        <f aca="false">Daily_Composite!AB168</f>
        <v>-0.091</v>
      </c>
      <c r="FJ26" s="17" t="n">
        <f aca="false">Daily_Composite!AB169</f>
        <v>-0.277</v>
      </c>
      <c r="FK26" s="17" t="n">
        <f aca="false">Daily_Composite!AB170</f>
        <v>-0.246</v>
      </c>
      <c r="FL26" s="17" t="n">
        <f aca="false">Daily_Composite!AB171</f>
        <v>-0.256</v>
      </c>
      <c r="FM26" s="17" t="n">
        <f aca="false">Daily_Composite!AB172</f>
        <v>-0.095</v>
      </c>
      <c r="FN26" s="17" t="n">
        <f aca="false">Daily_Composite!AB173</f>
        <v>-0.096</v>
      </c>
      <c r="FO26" s="17" t="n">
        <f aca="false">Daily_Composite!AB174</f>
        <v>-0.098</v>
      </c>
      <c r="FP26" s="17" t="n">
        <f aca="false">Daily_Composite!AB175</f>
        <v>-0.1</v>
      </c>
      <c r="FQ26" s="17" t="n">
        <f aca="false">Daily_Composite!AB176</f>
        <v>-0.101</v>
      </c>
      <c r="FR26" s="17" t="n">
        <f aca="false">Daily_Composite!AB177</f>
        <v>0.284</v>
      </c>
      <c r="FS26" s="17" t="n">
        <f aca="false">Daily_Composite!AB178</f>
        <v>-0.103</v>
      </c>
      <c r="FT26" s="17" t="n">
        <f aca="false">Daily_Composite!AB179</f>
        <v>-0.036</v>
      </c>
      <c r="FU26" s="17" t="n">
        <f aca="false">Daily_Composite!AB180</f>
        <v>-0.04</v>
      </c>
      <c r="FV26" s="17" t="n">
        <f aca="false">Daily_Composite!AB181</f>
        <v>0.072</v>
      </c>
      <c r="FW26" s="17" t="n">
        <f aca="false">Daily_Composite!AB182</f>
        <v>-0.149</v>
      </c>
      <c r="FX26" s="17" t="n">
        <f aca="false">Daily_Composite!AB183</f>
        <v>-0.167</v>
      </c>
      <c r="FY26" s="17" t="n">
        <f aca="false">Daily_Composite!AB184</f>
        <v>-0.16</v>
      </c>
      <c r="FZ26" s="17" t="n">
        <f aca="false">Daily_Composite!AB185</f>
        <v>-0.095</v>
      </c>
      <c r="GA26" s="17" t="n">
        <f aca="false">Daily_Composite!AB186</f>
        <v>-0.058</v>
      </c>
      <c r="GB26" s="17" t="n">
        <f aca="false">Daily_Composite!AB187</f>
        <v>-0.039</v>
      </c>
      <c r="GC26" s="17" t="n">
        <f aca="false">Daily_Composite!AB188</f>
        <v>-0.136</v>
      </c>
      <c r="GD26" s="17" t="n">
        <f aca="false">Daily_Composite!AB189</f>
        <v>0.076</v>
      </c>
      <c r="GE26" s="17" t="n">
        <f aca="false">Daily_Composite!AB190</f>
        <v>0.081</v>
      </c>
      <c r="GF26" s="17" t="n">
        <f aca="false">Daily_Composite!AB191</f>
        <v>0.096</v>
      </c>
      <c r="GG26" s="17" t="n">
        <f aca="false">Daily_Composite!AB192</f>
        <v>0.096</v>
      </c>
      <c r="GH26" s="17" t="n">
        <f aca="false">Daily_Composite!AB193</f>
        <v>0.096</v>
      </c>
      <c r="GI26" s="17" t="n">
        <f aca="false">Daily_Composite!AB194</f>
        <v>0.055</v>
      </c>
      <c r="GJ26" s="17" t="n">
        <f aca="false">Daily_Composite!AB195</f>
        <v>0.009</v>
      </c>
      <c r="GK26" s="17" t="n">
        <f aca="false">Daily_Composite!AB196</f>
        <v>0.138</v>
      </c>
      <c r="GL26" s="17" t="n">
        <f aca="false">Daily_Composite!AB197</f>
        <v>0.081</v>
      </c>
      <c r="GM26" s="17" t="n">
        <f aca="false">Daily_Composite!AB198</f>
        <v>0.067</v>
      </c>
      <c r="GN26" s="17" t="n">
        <f aca="false">Daily_Composite!AB199</f>
        <v>-0.021</v>
      </c>
      <c r="GO26" s="17" t="n">
        <f aca="false">Daily_Composite!AB200</f>
        <v>-0.021</v>
      </c>
      <c r="GP26" s="17" t="n">
        <f aca="false">Daily_Composite!AB201</f>
        <v>-0.028</v>
      </c>
      <c r="GQ26" s="17" t="n">
        <f aca="false">Daily_Composite!AB202</f>
        <v>-0.028</v>
      </c>
      <c r="GR26" s="17" t="n">
        <f aca="false">Daily_Composite!AB203</f>
        <v>-0.07</v>
      </c>
      <c r="GS26" s="17" t="n">
        <f aca="false">Daily_Composite!AB204</f>
        <v>-0.111</v>
      </c>
      <c r="GT26" s="17" t="n">
        <f aca="false">Daily_Composite!AB205</f>
        <v>-0.151</v>
      </c>
      <c r="GU26" s="17" t="n">
        <f aca="false">Daily_Composite!AB206</f>
        <v>-0.151</v>
      </c>
      <c r="GV26" s="17" t="n">
        <f aca="false">Daily_Composite!AB207</f>
        <v>-0.151</v>
      </c>
      <c r="GW26" s="17" t="n">
        <f aca="false">Daily_Composite!AB208</f>
        <v>-0.538</v>
      </c>
      <c r="GX26" s="17" t="n">
        <f aca="false">Daily_Composite!AB209</f>
        <v>-0.522</v>
      </c>
      <c r="GY26" s="17" t="n">
        <f aca="false">Daily_Composite!AB210</f>
        <v>-0.141</v>
      </c>
      <c r="GZ26" s="17" t="n">
        <f aca="false">Daily_Composite!AB211</f>
        <v>-0.141</v>
      </c>
      <c r="HA26" s="17" t="n">
        <f aca="false">Daily_Composite!AB212</f>
        <v>-0.142</v>
      </c>
      <c r="HB26" s="17" t="n">
        <f aca="false">Daily_Composite!AB213</f>
        <v>-0.142</v>
      </c>
      <c r="HC26" s="17" t="n">
        <f aca="false">Daily_Composite!AB214</f>
        <v>-0.312</v>
      </c>
      <c r="HD26" s="17" t="n">
        <f aca="false">Daily_Composite!AB215</f>
        <v>-0.146</v>
      </c>
      <c r="HE26" s="17" t="n">
        <f aca="false">Daily_Composite!AB216</f>
        <v>-0.149</v>
      </c>
      <c r="HF26" s="17" t="n">
        <f aca="false">Daily_Composite!AB217</f>
        <v>-0.153</v>
      </c>
      <c r="HG26" s="17" t="n">
        <f aca="false">Daily_Composite!AB218</f>
        <v>-0.137</v>
      </c>
      <c r="HH26" s="17" t="n">
        <f aca="false">Daily_Composite!AB219</f>
        <v>-0.159</v>
      </c>
      <c r="HI26" s="17" t="n">
        <f aca="false">Daily_Composite!AB220</f>
        <v>-0.159</v>
      </c>
      <c r="HJ26" s="17" t="n">
        <f aca="false">Daily_Composite!AB221</f>
        <v>-0.159</v>
      </c>
      <c r="HK26" s="17" t="n">
        <f aca="false">Daily_Composite!AB222</f>
        <v>-0.18</v>
      </c>
      <c r="HL26" s="17" t="n">
        <f aca="false">Daily_Composite!AB223</f>
        <v>-0.42</v>
      </c>
      <c r="HM26" s="17" t="n">
        <f aca="false">Daily_Composite!AB224</f>
        <v>-0.22</v>
      </c>
      <c r="HN26" s="17" t="n">
        <f aca="false">Daily_Composite!AB225</f>
        <v>-0.667</v>
      </c>
      <c r="HO26" s="17" t="n">
        <f aca="false">Daily_Composite!AB226</f>
        <v>-0.639</v>
      </c>
      <c r="HP26" s="17" t="n">
        <f aca="false">Daily_Composite!AB227</f>
        <v>-0.256</v>
      </c>
      <c r="HQ26" s="17" t="n">
        <f aca="false">Daily_Composite!AB228</f>
        <v>-0.256</v>
      </c>
      <c r="HR26" s="17" t="n">
        <f aca="false">Daily_Composite!AB229</f>
        <v>-0.26</v>
      </c>
      <c r="HS26" s="17" t="n">
        <f aca="false">Daily_Composite!AB230</f>
        <v>-0.265</v>
      </c>
      <c r="HT26" s="17" t="n">
        <f aca="false">Daily_Composite!AB231</f>
        <v>-0.242</v>
      </c>
      <c r="HU26" s="17" t="n">
        <f aca="false">Daily_Composite!AB232</f>
        <v>-0.248</v>
      </c>
      <c r="HV26" s="17" t="n">
        <f aca="false">Daily_Composite!AB233</f>
        <v>-0.198</v>
      </c>
      <c r="HW26" s="17" t="n">
        <f aca="false">Daily_Composite!AB234</f>
        <v>-0.198</v>
      </c>
      <c r="HX26" s="17" t="n">
        <f aca="false">Daily_Composite!AB235</f>
        <v>-0.377</v>
      </c>
      <c r="HY26" s="17" t="n">
        <f aca="false">Daily_Composite!AB236</f>
        <v>-0.217</v>
      </c>
      <c r="HZ26" s="17" t="n">
        <f aca="false">Daily_Composite!AB237</f>
        <v>0.067</v>
      </c>
      <c r="IA26" s="17" t="n">
        <f aca="false">Daily_Composite!AB238</f>
        <v>-0.142</v>
      </c>
      <c r="IB26" s="17" t="n">
        <f aca="false">Daily_Composite!AB239</f>
        <v>-0.142</v>
      </c>
      <c r="IC26" s="17" t="n">
        <f aca="false">Daily_Composite!AB240</f>
        <v>-0.142</v>
      </c>
      <c r="ID26" s="17" t="n">
        <f aca="false">Daily_Composite!AB241</f>
        <v>0.069</v>
      </c>
      <c r="IE26" s="17" t="n">
        <f aca="false">Daily_Composite!AB242</f>
        <v>-0.142</v>
      </c>
      <c r="IF26" s="17" t="n">
        <f aca="false">Daily_Composite!AB243</f>
        <v>-0.142</v>
      </c>
      <c r="IG26" s="17" t="n">
        <f aca="false">Daily_Composite!AB244</f>
        <v>-0.145</v>
      </c>
      <c r="IH26" s="17" t="n">
        <f aca="false">Daily_Composite!AB245</f>
        <v>-0.147</v>
      </c>
      <c r="II26" s="17" t="n">
        <f aca="false">Daily_Composite!AB246</f>
        <v>-0.15</v>
      </c>
      <c r="IJ26" s="17" t="n">
        <f aca="false">Daily_Composite!AB247</f>
        <v>-0.152</v>
      </c>
      <c r="IK26" s="17" t="n">
        <f aca="false">Daily_Composite!AB248</f>
        <v>-0.152</v>
      </c>
      <c r="IL26" s="17" t="n">
        <f aca="false">Daily_Composite!AB249</f>
        <v>-0.152</v>
      </c>
      <c r="IM26" s="17" t="n">
        <f aca="false">Daily_Composite!AB250</f>
        <v>-0.154</v>
      </c>
      <c r="IN26" s="17" t="n">
        <f aca="false">Daily_Composite!AB251</f>
        <v>0.127</v>
      </c>
      <c r="IO26" s="17" t="n">
        <f aca="false">Daily_Composite!AB252</f>
        <v>0.016</v>
      </c>
      <c r="IP26" s="17" t="n">
        <f aca="false">Daily_Composite!AB253</f>
        <v>0.088</v>
      </c>
      <c r="IQ26" s="17" t="n">
        <f aca="false">Daily_Composite!AB254</f>
        <v>-0.151</v>
      </c>
      <c r="IR26" s="17" t="n">
        <f aca="false">Daily_Composite!AB255</f>
        <v>-0.151</v>
      </c>
      <c r="IS26" s="17" t="n">
        <f aca="false">Daily_Composite!AB256</f>
        <v>-0.151</v>
      </c>
      <c r="IT26" s="17" t="n">
        <f aca="false">Daily_Composite!AB257</f>
        <v>-0.15</v>
      </c>
      <c r="IU26" s="17" t="n">
        <f aca="false">Daily_Composite!AB258</f>
        <v>-0.151</v>
      </c>
      <c r="IV26" s="17" t="n">
        <f aca="false">Daily_Composite!AB259</f>
        <v>0.063</v>
      </c>
      <c r="IW26" s="17" t="n">
        <f aca="false">Daily_Composite!AB260</f>
        <v>-0.153</v>
      </c>
      <c r="IX26" s="17" t="n">
        <f aca="false">Daily_Composite!AB261</f>
        <v>-0.154</v>
      </c>
      <c r="IY26" s="17" t="n">
        <f aca="false">Daily_Composite!AB262</f>
        <v>0.002</v>
      </c>
      <c r="IZ26" s="17" t="n">
        <f aca="false">Daily_Composite!AB263</f>
        <v>-0.317</v>
      </c>
      <c r="JA26" s="17" t="n">
        <f aca="false">Daily_Composite!AB264</f>
        <v>-0.305</v>
      </c>
      <c r="JB26" s="17" t="n">
        <f aca="false">Daily_Composite!AB265</f>
        <v>-0.155</v>
      </c>
      <c r="JC26" s="17" t="n">
        <f aca="false">Daily_Composite!AB266</f>
        <v>-0.156</v>
      </c>
      <c r="JD26" s="17" t="n">
        <f aca="false">Daily_Composite!AB267</f>
        <v>-0.156</v>
      </c>
      <c r="JE26" s="17" t="n">
        <f aca="false">Daily_Composite!AB268</f>
        <v>-0.007</v>
      </c>
      <c r="JF26" s="17" t="n">
        <f aca="false">Daily_Composite!AB269</f>
        <v>-0.151</v>
      </c>
      <c r="JG26" s="17" t="n">
        <f aca="false">Daily_Composite!AB270</f>
        <v>-0.151</v>
      </c>
      <c r="JH26" s="17" t="n">
        <f aca="false">Daily_Composite!AB271</f>
        <v>-0.146</v>
      </c>
      <c r="JI26" s="17" t="n">
        <f aca="false">Daily_Composite!AB272</f>
        <v>-0.141</v>
      </c>
      <c r="JJ26" s="17" t="n">
        <f aca="false">Daily_Composite!AB273</f>
        <v>-0.137</v>
      </c>
      <c r="JK26" s="17" t="n">
        <f aca="false">Daily_Composite!AB274</f>
        <v>-0.132</v>
      </c>
      <c r="JL26" s="17" t="n">
        <f aca="false">Daily_Composite!AB275</f>
        <v>-0.123</v>
      </c>
      <c r="JM26" s="17" t="n">
        <f aca="false">Daily_Composite!AB276</f>
        <v>-0.123</v>
      </c>
      <c r="JN26" s="17" t="n">
        <f aca="false">Daily_Composite!AB277</f>
        <v>-0.123</v>
      </c>
      <c r="JO26" s="17" t="n">
        <f aca="false">Daily_Composite!AB278</f>
        <v>-0.156</v>
      </c>
      <c r="JP26" s="17" t="n">
        <f aca="false">Daily_Composite!AB279</f>
        <v>-0.177</v>
      </c>
      <c r="JQ26" s="17" t="n">
        <f aca="false">Daily_Composite!AB280</f>
        <v>-0.333</v>
      </c>
      <c r="JR26" s="17" t="n">
        <f aca="false">Daily_Composite!AB281</f>
        <v>-0.162</v>
      </c>
      <c r="JS26" s="17" t="n">
        <f aca="false">Daily_Composite!AB282</f>
        <v>-0.1</v>
      </c>
      <c r="JT26" s="17" t="n">
        <f aca="false">Daily_Composite!AB283</f>
        <v>-0.1</v>
      </c>
      <c r="JU26" s="17" t="n">
        <f aca="false">Daily_Composite!AB284</f>
        <v>-0.1</v>
      </c>
      <c r="JV26" s="17" t="n">
        <f aca="false">Daily_Composite!AB285</f>
        <v>-0.101</v>
      </c>
      <c r="JW26" s="17" t="n">
        <f aca="false">Daily_Composite!AB286</f>
        <v>0.155</v>
      </c>
      <c r="JX26" s="17" t="n">
        <f aca="false">Daily_Composite!AB287</f>
        <v>-0.103</v>
      </c>
      <c r="JY26" s="17" t="n">
        <f aca="false">Daily_Composite!AB288</f>
        <v>-0.103</v>
      </c>
      <c r="JZ26" s="17" t="n">
        <f aca="false">Daily_Composite!AB289</f>
        <v>-0.104</v>
      </c>
      <c r="KA26" s="17" t="n">
        <f aca="false">Daily_Composite!AB290</f>
        <v>0.157</v>
      </c>
      <c r="KB26" s="17" t="n">
        <f aca="false">Daily_Composite!AB291</f>
        <v>0.154</v>
      </c>
      <c r="KC26" s="17" t="n">
        <f aca="false">Daily_Composite!AB292</f>
        <v>-0.101</v>
      </c>
      <c r="KD26" s="17" t="n">
        <f aca="false">Daily_Composite!AB293</f>
        <v>-0.098</v>
      </c>
      <c r="KE26" s="17" t="n">
        <f aca="false">Daily_Composite!AB294</f>
        <v>-0.095</v>
      </c>
      <c r="KF26" s="17" t="n">
        <f aca="false">Daily_Composite!AB295</f>
        <v>-0.092</v>
      </c>
      <c r="KG26" s="17" t="n">
        <f aca="false">Daily_Composite!AB296</f>
        <v>0.007</v>
      </c>
      <c r="KH26" s="17" t="n">
        <f aca="false">Daily_Composite!AB297</f>
        <v>-0.088</v>
      </c>
      <c r="KI26" s="17" t="n">
        <f aca="false">Daily_Composite!AB298</f>
        <v>-0.088</v>
      </c>
      <c r="KJ26" s="17" t="n">
        <f aca="false">Daily_Composite!AB299</f>
        <v>-0.085</v>
      </c>
      <c r="KK26" s="17" t="n">
        <f aca="false">Daily_Composite!AB300</f>
        <v>-0.081</v>
      </c>
      <c r="KL26" s="17" t="n">
        <f aca="false">Daily_Composite!AB301</f>
        <v>-0.077</v>
      </c>
      <c r="KM26" s="17" t="n">
        <f aca="false">Daily_Composite!AB302</f>
        <v>-0.073</v>
      </c>
      <c r="KN26" s="17" t="n">
        <f aca="false">Daily_Composite!AB303</f>
        <v>-0.069</v>
      </c>
      <c r="KO26" s="17" t="n">
        <f aca="false">Daily_Composite!AB304</f>
        <v>-0.069</v>
      </c>
      <c r="KP26" s="17" t="n">
        <f aca="false">Daily_Composite!AB305</f>
        <v>-0.117</v>
      </c>
      <c r="KQ26" s="17" t="n">
        <f aca="false">Daily_Composite!AB306</f>
        <v>0.04</v>
      </c>
      <c r="KR26" s="17" t="n">
        <f aca="false">Daily_Composite!AB307</f>
        <v>-0.213</v>
      </c>
      <c r="KS26" s="17" t="n">
        <f aca="false">Daily_Composite!AB308</f>
        <v>-0.31</v>
      </c>
      <c r="KT26" s="17" t="n">
        <f aca="false">Daily_Composite!AB309</f>
        <v>-0.151</v>
      </c>
      <c r="KU26" s="17" t="n">
        <f aca="false">Daily_Composite!AB310</f>
        <v>-0.18</v>
      </c>
      <c r="KV26" s="17" t="n">
        <f aca="false">Daily_Composite!AB311</f>
        <v>-0.18</v>
      </c>
      <c r="KW26" s="17" t="n">
        <f aca="false">Daily_Composite!AB312</f>
        <v>-0.18</v>
      </c>
      <c r="KX26" s="17" t="n">
        <f aca="false">Daily_Composite!AB313</f>
        <v>-0.208</v>
      </c>
      <c r="KY26" s="17" t="n">
        <f aca="false">Daily_Composite!AB314</f>
        <v>-0.573</v>
      </c>
      <c r="KZ26" s="17" t="n">
        <f aca="false">Daily_Composite!AB315</f>
        <v>-0.203</v>
      </c>
      <c r="LA26" s="17" t="n">
        <f aca="false">Daily_Composite!AB316</f>
        <v>-0.2</v>
      </c>
      <c r="LB26" s="17" t="n">
        <f aca="false">Daily_Composite!AB317</f>
        <v>-0.51</v>
      </c>
      <c r="LC26" s="17" t="n">
        <f aca="false">Daily_Composite!AB318</f>
        <v>-0.494</v>
      </c>
      <c r="LD26" s="17" t="n">
        <f aca="false">Daily_Composite!AB319</f>
        <v>-0.127</v>
      </c>
      <c r="LE26" s="17" t="n">
        <f aca="false">Daily_Composite!AB320</f>
        <v>-0.053</v>
      </c>
      <c r="LF26" s="17" t="n">
        <f aca="false">Daily_Composite!AB321</f>
        <v>-0.202</v>
      </c>
      <c r="LG26" s="17" t="n">
        <f aca="false">Daily_Composite!AB322</f>
        <v>-0.172</v>
      </c>
      <c r="LH26" s="17" t="n">
        <f aca="false">Daily_Composite!AB323</f>
        <v>0.245</v>
      </c>
      <c r="LI26" s="17" t="n">
        <f aca="false">Daily_Composite!AB324</f>
        <v>-0.187</v>
      </c>
      <c r="LJ26" s="17" t="n">
        <f aca="false">Daily_Composite!AB325</f>
        <v>-0.187</v>
      </c>
      <c r="LK26" s="17" t="n">
        <f aca="false">Daily_Composite!AB326</f>
        <v>-0.187</v>
      </c>
      <c r="LL26" s="17" t="n">
        <f aca="false">Daily_Composite!AB327</f>
        <v>-0.168</v>
      </c>
      <c r="LM26" s="17" t="n">
        <f aca="false">Daily_Composite!AB328</f>
        <v>-0.169</v>
      </c>
      <c r="LN26" s="17" t="n">
        <f aca="false">Daily_Composite!AB329</f>
        <v>-0.248</v>
      </c>
      <c r="LO26" s="17" t="n">
        <f aca="false">Daily_Composite!AB330</f>
        <v>-0.262</v>
      </c>
      <c r="LP26" s="17" t="n">
        <f aca="false">Daily_Composite!AB331</f>
        <v>-0.276</v>
      </c>
      <c r="LQ26" s="17" t="n">
        <f aca="false">Daily_Composite!AB332</f>
        <v>-0.308</v>
      </c>
      <c r="LR26" s="17" t="n">
        <f aca="false">Daily_Composite!AB333</f>
        <v>-0.121</v>
      </c>
      <c r="LS26" s="17" t="n">
        <f aca="false">Daily_Composite!AB334</f>
        <v>-0.45</v>
      </c>
      <c r="LT26" s="17" t="n">
        <f aca="false">Daily_Composite!AB335</f>
        <v>-0.528</v>
      </c>
      <c r="LU26" s="17" t="n">
        <f aca="false">Daily_Composite!AB336</f>
        <v>-0.284</v>
      </c>
      <c r="LV26" s="17" t="n">
        <f aca="false">Daily_Composite!AB337</f>
        <v>-0.284</v>
      </c>
      <c r="LW26" s="17" t="n">
        <f aca="false">Daily_Composite!AB338</f>
        <v>-0.218</v>
      </c>
      <c r="LX26" s="17" t="n">
        <f aca="false">Daily_Composite!AB339</f>
        <v>-0.218</v>
      </c>
      <c r="LY26" s="17" t="n">
        <f aca="false">Daily_Composite!AB340</f>
        <v>-0.218</v>
      </c>
      <c r="LZ26" s="17" t="n">
        <f aca="false">Daily_Composite!AB341</f>
        <v>-0.246</v>
      </c>
      <c r="MA26" s="17" t="n">
        <f aca="false">Daily_Composite!AB342</f>
        <v>-0.196</v>
      </c>
      <c r="MB26" s="17" t="n">
        <f aca="false">Daily_Composite!AB343</f>
        <v>-0.184</v>
      </c>
      <c r="MC26" s="17" t="n">
        <f aca="false">Daily_Composite!AB344</f>
        <v>-0.172</v>
      </c>
      <c r="MD26" s="17" t="n">
        <f aca="false">Daily_Composite!AB345</f>
        <v>-0.305</v>
      </c>
      <c r="ME26" s="17" t="n">
        <f aca="false">Daily_Composite!AB346</f>
        <v>-0.332</v>
      </c>
      <c r="MF26" s="17" t="n">
        <f aca="false">Daily_Composite!AB347</f>
        <v>-0.037</v>
      </c>
      <c r="MG26" s="17" t="n">
        <f aca="false">Daily_Composite!AB348</f>
        <v>-0.006</v>
      </c>
      <c r="MH26" s="17" t="n">
        <f aca="false">Daily_Composite!AB349</f>
        <v>0.024</v>
      </c>
      <c r="MI26" s="17" t="n">
        <f aca="false">Daily_Composite!AB350</f>
        <v>0.382</v>
      </c>
      <c r="MJ26" s="17" t="n">
        <f aca="false">Daily_Composite!AB351</f>
        <v>0.177</v>
      </c>
      <c r="MK26" s="17" t="n">
        <f aca="false">Daily_Composite!AB352</f>
        <v>0.176</v>
      </c>
      <c r="ML26" s="17" t="n">
        <f aca="false">Daily_Composite!AB353</f>
        <v>0.176</v>
      </c>
      <c r="MM26" s="17" t="n">
        <f aca="false">Daily_Composite!AB354</f>
        <v>0.242</v>
      </c>
      <c r="MN26" s="17" t="n">
        <f aca="false">Daily_Composite!AB355</f>
        <v>0.09</v>
      </c>
      <c r="MO26" s="17" t="n">
        <f aca="false">Daily_Composite!AB356</f>
        <v>0.094</v>
      </c>
      <c r="MP26" s="17" t="n">
        <f aca="false">Daily_Composite!AB357</f>
        <v>0.074</v>
      </c>
      <c r="MQ26" s="17" t="n">
        <f aca="false">Daily_Composite!AB358</f>
        <v>0.013</v>
      </c>
      <c r="MR26" s="17" t="n">
        <f aca="false">Daily_Composite!AB359</f>
        <v>-0.047</v>
      </c>
      <c r="MS26" s="17" t="n">
        <f aca="false">Daily_Composite!AB360</f>
        <v>0.122</v>
      </c>
      <c r="MT26" s="17" t="n">
        <f aca="false">Daily_Composite!AB361</f>
        <v>-0.086</v>
      </c>
      <c r="MU26" s="17" t="n">
        <f aca="false">Daily_Composite!AB362</f>
        <v>-0.139</v>
      </c>
      <c r="MV26" s="17" t="n">
        <f aca="false">Daily_Composite!AB363</f>
        <v>-0.174</v>
      </c>
      <c r="MW26" s="17" t="n">
        <f aca="false">Daily_Composite!AB364</f>
        <v>-0.212</v>
      </c>
      <c r="MX26" s="17" t="n">
        <f aca="false">Daily_Composite!AB365</f>
        <v>-0.199</v>
      </c>
      <c r="MY26" s="17" t="n">
        <f aca="false">Daily_Composite!AB366</f>
        <v>-0.187</v>
      </c>
      <c r="MZ26" s="17" t="n">
        <f aca="false">Daily_Composite!AB367</f>
        <v>-0.187</v>
      </c>
      <c r="NA26" s="17" t="n">
        <f aca="false">Daily_Composite!AB368</f>
        <v>-0.187</v>
      </c>
      <c r="NB26" s="17" t="n">
        <f aca="false">Daily_Composite!AB369</f>
        <v>-0.373</v>
      </c>
    </row>
    <row r="27" customFormat="false" ht="15" hidden="false" customHeight="false" outlineLevel="0" collapsed="false">
      <c r="A27" s="6" t="s">
        <v>40</v>
      </c>
      <c r="B27" s="17" t="n">
        <f aca="false">Daily_Composite!AC5</f>
        <v>-0.146</v>
      </c>
      <c r="C27" s="17" t="n">
        <f aca="false">Daily_Composite!AC6</f>
        <v>-0.159</v>
      </c>
      <c r="D27" s="17" t="n">
        <f aca="false">Daily_Composite!AC7</f>
        <v>-0.085</v>
      </c>
      <c r="E27" s="17" t="n">
        <f aca="false">Daily_Composite!AC8</f>
        <v>-0.08</v>
      </c>
      <c r="F27" s="17" t="n">
        <f aca="false">Daily_Composite!AC9</f>
        <v>-0.091</v>
      </c>
      <c r="G27" s="17" t="n">
        <f aca="false">Daily_Composite!AC10</f>
        <v>-0.196</v>
      </c>
      <c r="H27" s="17" t="n">
        <f aca="false">Daily_Composite!AC11</f>
        <v>-0.188</v>
      </c>
      <c r="I27" s="17" t="n">
        <f aca="false">Daily_Composite!AC12</f>
        <v>-0.495</v>
      </c>
      <c r="J27" s="17" t="n">
        <f aca="false">Daily_Composite!AC13</f>
        <v>-0.154</v>
      </c>
      <c r="K27" s="17" t="n">
        <f aca="false">Daily_Composite!AC14</f>
        <v>-0.152</v>
      </c>
      <c r="L27" s="17" t="n">
        <f aca="false">Daily_Composite!AC15</f>
        <v>-0.15</v>
      </c>
      <c r="M27" s="17" t="n">
        <f aca="false">Daily_Composite!AC16</f>
        <v>-0.266</v>
      </c>
      <c r="N27" s="17" t="n">
        <f aca="false">Daily_Composite!AC17</f>
        <v>-0.147</v>
      </c>
      <c r="O27" s="17" t="n">
        <f aca="false">Daily_Composite!AC18</f>
        <v>-0.147</v>
      </c>
      <c r="P27" s="17" t="n">
        <f aca="false">Daily_Composite!AC19</f>
        <v>-0.268</v>
      </c>
      <c r="Q27" s="17" t="n">
        <f aca="false">Daily_Composite!AC20</f>
        <v>-0.296</v>
      </c>
      <c r="R27" s="17" t="n">
        <f aca="false">Daily_Composite!AC21</f>
        <v>0.035</v>
      </c>
      <c r="S27" s="17" t="n">
        <f aca="false">Daily_Composite!AC22</f>
        <v>-0.465</v>
      </c>
      <c r="T27" s="17" t="n">
        <f aca="false">Daily_Composite!AC23</f>
        <v>-0.046</v>
      </c>
      <c r="U27" s="17" t="n">
        <f aca="false">Daily_Composite!AC24</f>
        <v>-0.046</v>
      </c>
      <c r="V27" s="17" t="n">
        <f aca="false">Daily_Composite!AC25</f>
        <v>-0.046</v>
      </c>
      <c r="W27" s="17" t="n">
        <f aca="false">Daily_Composite!AC26</f>
        <v>-0.272</v>
      </c>
      <c r="X27" s="17" t="n">
        <f aca="false">Daily_Composite!AC27</f>
        <v>0.011</v>
      </c>
      <c r="Y27" s="17" t="n">
        <f aca="false">Daily_Composite!AC28</f>
        <v>0.002</v>
      </c>
      <c r="Z27" s="17" t="n">
        <f aca="false">Daily_Composite!AC29</f>
        <v>-0.046</v>
      </c>
      <c r="AA27" s="17" t="n">
        <f aca="false">Daily_Composite!AC30</f>
        <v>-0.117</v>
      </c>
      <c r="AB27" s="17" t="n">
        <f aca="false">Daily_Composite!AC31</f>
        <v>-0.341</v>
      </c>
      <c r="AC27" s="17" t="n">
        <f aca="false">Daily_Composite!AC32</f>
        <v>-0.137</v>
      </c>
      <c r="AD27" s="17" t="n">
        <f aca="false">Daily_Composite!AC33</f>
        <v>0.029</v>
      </c>
      <c r="AE27" s="17" t="n">
        <f aca="false">Daily_Composite!AC34</f>
        <v>0.032</v>
      </c>
      <c r="AF27" s="17" t="n">
        <f aca="false">Daily_Composite!AC35</f>
        <v>0.444</v>
      </c>
      <c r="AG27" s="17" t="n">
        <f aca="false">Daily_Composite!AC36</f>
        <v>0.08</v>
      </c>
      <c r="AH27" s="17" t="n">
        <f aca="false">Daily_Composite!AC37</f>
        <v>-0.026</v>
      </c>
      <c r="AI27" s="17" t="n">
        <f aca="false">Daily_Composite!AC38</f>
        <v>-0.038</v>
      </c>
      <c r="AJ27" s="17" t="n">
        <f aca="false">Daily_Composite!AC39</f>
        <v>0.045</v>
      </c>
      <c r="AK27" s="17" t="n">
        <f aca="false">Daily_Composite!AC40</f>
        <v>0.041</v>
      </c>
      <c r="AL27" s="17" t="n">
        <f aca="false">Daily_Composite!AC41</f>
        <v>0.016</v>
      </c>
      <c r="AM27" s="17" t="n">
        <f aca="false">Daily_Composite!AC42</f>
        <v>-0.04</v>
      </c>
      <c r="AN27" s="17" t="n">
        <f aca="false">Daily_Composite!AC43</f>
        <v>0.299</v>
      </c>
      <c r="AO27" s="17" t="n">
        <f aca="false">Daily_Composite!AC44</f>
        <v>-0.068</v>
      </c>
      <c r="AP27" s="17" t="n">
        <f aca="false">Daily_Composite!AC45</f>
        <v>-0.061</v>
      </c>
      <c r="AQ27" s="17" t="n">
        <f aca="false">Daily_Composite!AC46</f>
        <v>0.037</v>
      </c>
      <c r="AR27" s="17" t="n">
        <f aca="false">Daily_Composite!AC47</f>
        <v>0.007</v>
      </c>
      <c r="AS27" s="17" t="n">
        <f aca="false">Daily_Composite!AC48</f>
        <v>-0.082</v>
      </c>
      <c r="AT27" s="17" t="n">
        <f aca="false">Daily_Composite!AC49</f>
        <v>-0.46</v>
      </c>
      <c r="AU27" s="17" t="n">
        <f aca="false">Daily_Composite!AC50</f>
        <v>-0.092</v>
      </c>
      <c r="AV27" s="17" t="n">
        <f aca="false">Daily_Composite!AC51</f>
        <v>-0.108</v>
      </c>
      <c r="AW27" s="17" t="n">
        <f aca="false">Daily_Composite!AC52</f>
        <v>-0.122</v>
      </c>
      <c r="AX27" s="17" t="n">
        <f aca="false">Daily_Composite!AC53</f>
        <v>0.056</v>
      </c>
      <c r="AY27" s="17" t="n">
        <f aca="false">Daily_Composite!AC54</f>
        <v>-0.074</v>
      </c>
      <c r="AZ27" s="17" t="n">
        <f aca="false">Daily_Composite!AC55</f>
        <v>0.288</v>
      </c>
      <c r="BA27" s="17" t="n">
        <f aca="false">Daily_Composite!AC56</f>
        <v>0.299</v>
      </c>
      <c r="BB27" s="17" t="n">
        <f aca="false">Daily_Composite!AC57</f>
        <v>0.358</v>
      </c>
      <c r="BC27" s="17" t="n">
        <f aca="false">Daily_Composite!AC58</f>
        <v>0.361</v>
      </c>
      <c r="BD27" s="17" t="n">
        <f aca="false">Daily_Composite!AC59</f>
        <v>0.432</v>
      </c>
      <c r="BE27" s="17" t="n">
        <f aca="false">Daily_Composite!AC60</f>
        <v>0.258</v>
      </c>
      <c r="BF27" s="17" t="n">
        <f aca="false">Daily_Composite!AC61</f>
        <v>0.291</v>
      </c>
      <c r="BG27" s="17" t="n">
        <f aca="false">Daily_Composite!AC62</f>
        <v>0.499</v>
      </c>
      <c r="BH27" s="17" t="n">
        <f aca="false">Daily_Composite!AC63</f>
        <v>0.28</v>
      </c>
      <c r="BI27" s="17" t="n">
        <f aca="false">Daily_Composite!AC64</f>
        <v>0.302</v>
      </c>
      <c r="BJ27" s="17" t="n">
        <f aca="false">Daily_Composite!AC65</f>
        <v>0.274</v>
      </c>
      <c r="BK27" s="17" t="n">
        <f aca="false">Daily_Composite!AC66</f>
        <v>0.255</v>
      </c>
      <c r="BL27" s="17" t="n">
        <f aca="false">Daily_Composite!AC67</f>
        <v>0.34</v>
      </c>
      <c r="BM27" s="17" t="n">
        <f aca="false">Daily_Composite!AC68</f>
        <v>0.287</v>
      </c>
      <c r="BN27" s="17" t="n">
        <f aca="false">Daily_Composite!AC69</f>
        <v>0.259</v>
      </c>
      <c r="BO27" s="17" t="n">
        <f aca="false">Daily_Composite!AC70</f>
        <v>0.22</v>
      </c>
      <c r="BP27" s="17" t="n">
        <f aca="false">Daily_Composite!AC71</f>
        <v>0.335</v>
      </c>
      <c r="BQ27" s="17" t="n">
        <f aca="false">Daily_Composite!AC72</f>
        <v>0.226</v>
      </c>
      <c r="BR27" s="17" t="n">
        <f aca="false">Daily_Composite!AC73</f>
        <v>0.232</v>
      </c>
      <c r="BS27" s="17" t="n">
        <f aca="false">Daily_Composite!AC74</f>
        <v>0.243</v>
      </c>
      <c r="BT27" s="17" t="n">
        <f aca="false">Daily_Composite!AC75</f>
        <v>0.253</v>
      </c>
      <c r="BU27" s="17" t="n">
        <f aca="false">Daily_Composite!AC76</f>
        <v>0.011</v>
      </c>
      <c r="BV27" s="17" t="n">
        <f aca="false">Daily_Composite!AC77</f>
        <v>0.209</v>
      </c>
      <c r="BW27" s="17" t="n">
        <f aca="false">Daily_Composite!AC78</f>
        <v>0.221</v>
      </c>
      <c r="BX27" s="17" t="n">
        <f aca="false">Daily_Composite!AC79</f>
        <v>0.215</v>
      </c>
      <c r="BY27" s="17" t="n">
        <f aca="false">Daily_Composite!AC80</f>
        <v>0.214</v>
      </c>
      <c r="BZ27" s="17" t="n">
        <f aca="false">Daily_Composite!AC81</f>
        <v>0.427</v>
      </c>
      <c r="CA27" s="17" t="n">
        <f aca="false">Daily_Composite!AC82</f>
        <v>0.225</v>
      </c>
      <c r="CB27" s="17" t="n">
        <f aca="false">Daily_Composite!AC83</f>
        <v>0.039</v>
      </c>
      <c r="CC27" s="17" t="n">
        <f aca="false">Daily_Composite!AC84</f>
        <v>0.047</v>
      </c>
      <c r="CD27" s="17" t="n">
        <f aca="false">Daily_Composite!AC85</f>
        <v>0.025</v>
      </c>
      <c r="CE27" s="17" t="n">
        <f aca="false">Daily_Composite!AC86</f>
        <v>0.256</v>
      </c>
      <c r="CF27" s="17" t="n">
        <f aca="false">Daily_Composite!AC87</f>
        <v>0.268</v>
      </c>
      <c r="CG27" s="17" t="n">
        <f aca="false">Daily_Composite!AC88</f>
        <v>0.005</v>
      </c>
      <c r="CH27" s="17" t="n">
        <f aca="false">Daily_Composite!AC89</f>
        <v>0.021</v>
      </c>
      <c r="CI27" s="17" t="n">
        <f aca="false">Daily_Composite!AC90</f>
        <v>0.309</v>
      </c>
      <c r="CJ27" s="17" t="n">
        <f aca="false">Daily_Composite!AC91</f>
        <v>0.036</v>
      </c>
      <c r="CK27" s="17" t="n">
        <f aca="false">Daily_Composite!AC92</f>
        <v>0.018</v>
      </c>
      <c r="CL27" s="17" t="n">
        <f aca="false">Daily_Composite!AC93</f>
        <v>0.029</v>
      </c>
      <c r="CM27" s="17" t="n">
        <f aca="false">Daily_Composite!AC94</f>
        <v>0.479</v>
      </c>
      <c r="CN27" s="17" t="n">
        <f aca="false">Daily_Composite!AC95</f>
        <v>0.049</v>
      </c>
      <c r="CO27" s="17" t="n">
        <f aca="false">Daily_Composite!AC96</f>
        <v>-0.032</v>
      </c>
      <c r="CP27" s="17" t="n">
        <f aca="false">Daily_Composite!AC97</f>
        <v>-0.019</v>
      </c>
      <c r="CQ27" s="17" t="n">
        <f aca="false">Daily_Composite!AC98</f>
        <v>-0.399</v>
      </c>
      <c r="CR27" s="17" t="n">
        <f aca="false">Daily_Composite!AC99</f>
        <v>-0.025</v>
      </c>
      <c r="CS27" s="17" t="n">
        <f aca="false">Daily_Composite!AC100</f>
        <v>-0.024</v>
      </c>
      <c r="CT27" s="17" t="n">
        <f aca="false">Daily_Composite!AC101</f>
        <v>0.042</v>
      </c>
      <c r="CU27" s="17" t="n">
        <f aca="false">Daily_Composite!AC102</f>
        <v>-0.064</v>
      </c>
      <c r="CV27" s="17" t="n">
        <f aca="false">Daily_Composite!AC103</f>
        <v>-0.462</v>
      </c>
      <c r="CW27" s="17" t="n">
        <f aca="false">Daily_Composite!AC104</f>
        <v>-0.488</v>
      </c>
      <c r="CX27" s="17" t="n">
        <f aca="false">Daily_Composite!AC105</f>
        <v>-0.131</v>
      </c>
      <c r="CY27" s="17" t="n">
        <f aca="false">Daily_Composite!AC106</f>
        <v>-0.179</v>
      </c>
      <c r="CZ27" s="17" t="n">
        <f aca="false">Daily_Composite!AC107</f>
        <v>-0.211</v>
      </c>
      <c r="DA27" s="17" t="n">
        <f aca="false">Daily_Composite!AC108</f>
        <v>-0.454</v>
      </c>
      <c r="DB27" s="17" t="n">
        <f aca="false">Daily_Composite!AC109</f>
        <v>-0.262</v>
      </c>
      <c r="DC27" s="17" t="n">
        <f aca="false">Daily_Composite!AC110</f>
        <v>-0.268</v>
      </c>
      <c r="DD27" s="17" t="n">
        <f aca="false">Daily_Composite!AC111</f>
        <v>-0.253</v>
      </c>
      <c r="DE27" s="17" t="n">
        <f aca="false">Daily_Composite!AC112</f>
        <v>-0.298</v>
      </c>
      <c r="DF27" s="17" t="n">
        <f aca="false">Daily_Composite!AC113</f>
        <v>-0.505</v>
      </c>
      <c r="DG27" s="17" t="n">
        <f aca="false">Daily_Composite!AC114</f>
        <v>-0.333</v>
      </c>
      <c r="DH27" s="17" t="n">
        <f aca="false">Daily_Composite!AC115</f>
        <v>-0.182</v>
      </c>
      <c r="DI27" s="17" t="n">
        <f aca="false">Daily_Composite!AC116</f>
        <v>-0.18</v>
      </c>
      <c r="DJ27" s="17" t="n">
        <f aca="false">Daily_Composite!AC117</f>
        <v>-0.333</v>
      </c>
      <c r="DK27" s="17" t="n">
        <f aca="false">Daily_Composite!AC118</f>
        <v>-0.148</v>
      </c>
      <c r="DL27" s="17" t="n">
        <f aca="false">Daily_Composite!AC119</f>
        <v>-0.129</v>
      </c>
      <c r="DM27" s="17" t="n">
        <f aca="false">Daily_Composite!AC120</f>
        <v>0.066</v>
      </c>
      <c r="DN27" s="17" t="n">
        <f aca="false">Daily_Composite!AC121</f>
        <v>-0.034</v>
      </c>
      <c r="DO27" s="17" t="n">
        <f aca="false">Daily_Composite!AC122</f>
        <v>-0.198</v>
      </c>
      <c r="DP27" s="17" t="n">
        <f aca="false">Daily_Composite!AC123</f>
        <v>-0.04</v>
      </c>
      <c r="DQ27" s="17" t="n">
        <f aca="false">Daily_Composite!AC124</f>
        <v>0.013</v>
      </c>
      <c r="DR27" s="17" t="n">
        <f aca="false">Daily_Composite!AC125</f>
        <v>0.4</v>
      </c>
      <c r="DS27" s="17" t="n">
        <f aca="false">Daily_Composite!AC126</f>
        <v>-0.027</v>
      </c>
      <c r="DT27" s="17" t="n">
        <f aca="false">Daily_Composite!AC127</f>
        <v>-0.003</v>
      </c>
      <c r="DU27" s="17" t="n">
        <f aca="false">Daily_Composite!AC128</f>
        <v>0.326</v>
      </c>
      <c r="DV27" s="17" t="n">
        <f aca="false">Daily_Composite!AC129</f>
        <v>0.312</v>
      </c>
      <c r="DW27" s="17" t="n">
        <f aca="false">Daily_Composite!AC130</f>
        <v>0.259</v>
      </c>
      <c r="DX27" s="17" t="n">
        <f aca="false">Daily_Composite!AC131</f>
        <v>0.445</v>
      </c>
      <c r="DY27" s="17" t="n">
        <f aca="false">Daily_Composite!AC132</f>
        <v>-0.068</v>
      </c>
      <c r="DZ27" s="17" t="n">
        <f aca="false">Daily_Composite!AC133</f>
        <v>-0.013</v>
      </c>
      <c r="EA27" s="17" t="n">
        <f aca="false">Daily_Composite!AC134</f>
        <v>-0.002</v>
      </c>
      <c r="EB27" s="17" t="n">
        <f aca="false">Daily_Composite!AC135</f>
        <v>0.325</v>
      </c>
      <c r="EC27" s="17" t="n">
        <f aca="false">Daily_Composite!AC136</f>
        <v>0.018</v>
      </c>
      <c r="ED27" s="17" t="n">
        <f aca="false">Daily_Composite!AC137</f>
        <v>0.018</v>
      </c>
      <c r="EE27" s="17" t="n">
        <f aca="false">Daily_Composite!AC138</f>
        <v>0.213</v>
      </c>
      <c r="EF27" s="17" t="n">
        <f aca="false">Daily_Composite!AC139</f>
        <v>-0.074</v>
      </c>
      <c r="EG27" s="17" t="n">
        <f aca="false">Daily_Composite!AC140</f>
        <v>0.485</v>
      </c>
      <c r="EH27" s="17" t="n">
        <f aca="false">Daily_Composite!AC141</f>
        <v>0.085</v>
      </c>
      <c r="EI27" s="17" t="n">
        <f aca="false">Daily_Composite!AC142</f>
        <v>0.083</v>
      </c>
      <c r="EJ27" s="17" t="n">
        <f aca="false">Daily_Composite!AC143</f>
        <v>0.021</v>
      </c>
      <c r="EK27" s="17" t="n">
        <f aca="false">Daily_Composite!AC144</f>
        <v>-0.318</v>
      </c>
      <c r="EL27" s="17" t="n">
        <f aca="false">Daily_Composite!AC145</f>
        <v>-0.005</v>
      </c>
      <c r="EM27" s="17" t="n">
        <f aca="false">Daily_Composite!AC146</f>
        <v>-0.014</v>
      </c>
      <c r="EN27" s="17" t="n">
        <f aca="false">Daily_Composite!AC147</f>
        <v>0.001</v>
      </c>
      <c r="EO27" s="17" t="n">
        <f aca="false">Daily_Composite!AC148</f>
        <v>0.004</v>
      </c>
      <c r="EP27" s="17" t="n">
        <f aca="false">Daily_Composite!AC149</f>
        <v>0.232</v>
      </c>
      <c r="EQ27" s="17" t="n">
        <f aca="false">Daily_Composite!AC150</f>
        <v>0.028</v>
      </c>
      <c r="ER27" s="17" t="n">
        <f aca="false">Daily_Composite!AC151</f>
        <v>-0.075</v>
      </c>
      <c r="ES27" s="17" t="n">
        <f aca="false">Daily_Composite!AC152</f>
        <v>-0.082</v>
      </c>
      <c r="ET27" s="17" t="n">
        <f aca="false">Daily_Composite!AC153</f>
        <v>-0.433</v>
      </c>
      <c r="EU27" s="17" t="n">
        <f aca="false">Daily_Composite!AC154</f>
        <v>-0.131</v>
      </c>
      <c r="EV27" s="17" t="n">
        <f aca="false">Daily_Composite!AC155</f>
        <v>-0.127</v>
      </c>
      <c r="EW27" s="17" t="n">
        <f aca="false">Daily_Composite!AC156</f>
        <v>0.204</v>
      </c>
      <c r="EX27" s="17" t="n">
        <f aca="false">Daily_Composite!AC157</f>
        <v>0.103</v>
      </c>
      <c r="EY27" s="17" t="n">
        <f aca="false">Daily_Composite!AC158</f>
        <v>-0.397</v>
      </c>
      <c r="EZ27" s="17" t="n">
        <f aca="false">Daily_Composite!AC159</f>
        <v>-0.068</v>
      </c>
      <c r="FA27" s="17" t="n">
        <f aca="false">Daily_Composite!AC160</f>
        <v>-0.041</v>
      </c>
      <c r="FB27" s="17" t="n">
        <f aca="false">Daily_Composite!AC161</f>
        <v>0.038</v>
      </c>
      <c r="FC27" s="17" t="n">
        <f aca="false">Daily_Composite!AC162</f>
        <v>0.351</v>
      </c>
      <c r="FD27" s="17" t="n">
        <f aca="false">Daily_Composite!AC163</f>
        <v>-0.198</v>
      </c>
      <c r="FE27" s="17" t="n">
        <f aca="false">Daily_Composite!AC164</f>
        <v>-0</v>
      </c>
      <c r="FF27" s="17" t="n">
        <f aca="false">Daily_Composite!AC165</f>
        <v>0.095</v>
      </c>
      <c r="FG27" s="17" t="n">
        <f aca="false">Daily_Composite!AC166</f>
        <v>0.074</v>
      </c>
      <c r="FH27" s="17" t="n">
        <f aca="false">Daily_Composite!AC167</f>
        <v>0.073</v>
      </c>
      <c r="FI27" s="17" t="n">
        <f aca="false">Daily_Composite!AC168</f>
        <v>-0.352</v>
      </c>
      <c r="FJ27" s="17" t="n">
        <f aca="false">Daily_Composite!AC169</f>
        <v>-0.012</v>
      </c>
      <c r="FK27" s="17" t="n">
        <f aca="false">Daily_Composite!AC170</f>
        <v>-0.019</v>
      </c>
      <c r="FL27" s="17" t="n">
        <f aca="false">Daily_Composite!AC171</f>
        <v>-0.015</v>
      </c>
      <c r="FM27" s="17" t="n">
        <f aca="false">Daily_Composite!AC172</f>
        <v>0.04</v>
      </c>
      <c r="FN27" s="17" t="n">
        <f aca="false">Daily_Composite!AC173</f>
        <v>-0.027</v>
      </c>
      <c r="FO27" s="17" t="n">
        <f aca="false">Daily_Composite!AC174</f>
        <v>-0.022</v>
      </c>
      <c r="FP27" s="17" t="n">
        <f aca="false">Daily_Composite!AC175</f>
        <v>-0.034</v>
      </c>
      <c r="FQ27" s="17" t="n">
        <f aca="false">Daily_Composite!AC176</f>
        <v>-0.251</v>
      </c>
      <c r="FR27" s="17" t="n">
        <f aca="false">Daily_Composite!AC177</f>
        <v>-0.15</v>
      </c>
      <c r="FS27" s="17" t="n">
        <f aca="false">Daily_Composite!AC178</f>
        <v>-0.169</v>
      </c>
      <c r="FT27" s="17" t="n">
        <f aca="false">Daily_Composite!AC179</f>
        <v>-0.174</v>
      </c>
      <c r="FU27" s="17" t="n">
        <f aca="false">Daily_Composite!AC180</f>
        <v>-0.605</v>
      </c>
      <c r="FV27" s="17" t="n">
        <f aca="false">Daily_Composite!AC181</f>
        <v>-0.196</v>
      </c>
      <c r="FW27" s="17" t="n">
        <f aca="false">Daily_Composite!AC182</f>
        <v>-0.209</v>
      </c>
      <c r="FX27" s="17" t="n">
        <f aca="false">Daily_Composite!AC183</f>
        <v>-0.428</v>
      </c>
      <c r="FY27" s="17" t="n">
        <f aca="false">Daily_Composite!AC184</f>
        <v>-0.412</v>
      </c>
      <c r="FZ27" s="17" t="n">
        <f aca="false">Daily_Composite!AC185</f>
        <v>-0.624</v>
      </c>
      <c r="GA27" s="17" t="n">
        <f aca="false">Daily_Composite!AC186</f>
        <v>-0.261</v>
      </c>
      <c r="GB27" s="17" t="n">
        <f aca="false">Daily_Composite!AC187</f>
        <v>-0.292</v>
      </c>
      <c r="GC27" s="17" t="n">
        <f aca="false">Daily_Composite!AC188</f>
        <v>-0.253</v>
      </c>
      <c r="GD27" s="17" t="n">
        <f aca="false">Daily_Composite!AC189</f>
        <v>-0.328</v>
      </c>
      <c r="GE27" s="17" t="n">
        <f aca="false">Daily_Composite!AC190</f>
        <v>-0.024</v>
      </c>
      <c r="GF27" s="17" t="n">
        <f aca="false">Daily_Composite!AC191</f>
        <v>-0.219</v>
      </c>
      <c r="GG27" s="17" t="n">
        <f aca="false">Daily_Composite!AC192</f>
        <v>-0.219</v>
      </c>
      <c r="GH27" s="17" t="n">
        <f aca="false">Daily_Composite!AC193</f>
        <v>-0.286</v>
      </c>
      <c r="GI27" s="17" t="n">
        <f aca="false">Daily_Composite!AC194</f>
        <v>-0.339</v>
      </c>
      <c r="GJ27" s="17" t="n">
        <f aca="false">Daily_Composite!AC195</f>
        <v>0.104</v>
      </c>
      <c r="GK27" s="17" t="n">
        <f aca="false">Daily_Composite!AC196</f>
        <v>-0.293</v>
      </c>
      <c r="GL27" s="17" t="n">
        <f aca="false">Daily_Composite!AC197</f>
        <v>-0.199</v>
      </c>
      <c r="GM27" s="17" t="n">
        <f aca="false">Daily_Composite!AC198</f>
        <v>-0.201</v>
      </c>
      <c r="GN27" s="17" t="n">
        <f aca="false">Daily_Composite!AC199</f>
        <v>-0.487</v>
      </c>
      <c r="GO27" s="17" t="n">
        <f aca="false">Daily_Composite!AC200</f>
        <v>-0.207</v>
      </c>
      <c r="GP27" s="17" t="n">
        <f aca="false">Daily_Composite!AC201</f>
        <v>-0.186</v>
      </c>
      <c r="GQ27" s="17" t="n">
        <f aca="false">Daily_Composite!AC202</f>
        <v>-0.164</v>
      </c>
      <c r="GR27" s="17" t="n">
        <f aca="false">Daily_Composite!AC203</f>
        <v>-0.128</v>
      </c>
      <c r="GS27" s="17" t="n">
        <f aca="false">Daily_Composite!AC204</f>
        <v>-0.289</v>
      </c>
      <c r="GT27" s="17" t="n">
        <f aca="false">Daily_Composite!AC205</f>
        <v>-0.052</v>
      </c>
      <c r="GU27" s="17" t="n">
        <f aca="false">Daily_Composite!AC206</f>
        <v>-0.053</v>
      </c>
      <c r="GV27" s="17" t="n">
        <f aca="false">Daily_Composite!AC207</f>
        <v>-0.086</v>
      </c>
      <c r="GW27" s="17" t="n">
        <f aca="false">Daily_Composite!AC208</f>
        <v>-0.053</v>
      </c>
      <c r="GX27" s="17" t="n">
        <f aca="false">Daily_Composite!AC209</f>
        <v>-0.057</v>
      </c>
      <c r="GY27" s="17" t="n">
        <f aca="false">Daily_Composite!AC210</f>
        <v>-0.052</v>
      </c>
      <c r="GZ27" s="17" t="n">
        <f aca="false">Daily_Composite!AC211</f>
        <v>-0.11</v>
      </c>
      <c r="HA27" s="17" t="n">
        <f aca="false">Daily_Composite!AC212</f>
        <v>-0.226</v>
      </c>
      <c r="HB27" s="17" t="n">
        <f aca="false">Daily_Composite!AC213</f>
        <v>-0.482</v>
      </c>
      <c r="HC27" s="17" t="n">
        <f aca="false">Daily_Composite!AC214</f>
        <v>-0.087</v>
      </c>
      <c r="HD27" s="17" t="n">
        <f aca="false">Daily_Composite!AC215</f>
        <v>-0.139</v>
      </c>
      <c r="HE27" s="17" t="n">
        <f aca="false">Daily_Composite!AC216</f>
        <v>-0.14</v>
      </c>
      <c r="HF27" s="17" t="n">
        <f aca="false">Daily_Composite!AC217</f>
        <v>-0.328</v>
      </c>
      <c r="HG27" s="17" t="n">
        <f aca="false">Daily_Composite!AC218</f>
        <v>-0.084</v>
      </c>
      <c r="HH27" s="17" t="n">
        <f aca="false">Daily_Composite!AC219</f>
        <v>-0.115</v>
      </c>
      <c r="HI27" s="17" t="n">
        <f aca="false">Daily_Composite!AC220</f>
        <v>-0.072</v>
      </c>
      <c r="HJ27" s="17" t="n">
        <f aca="false">Daily_Composite!AC221</f>
        <v>-0.166</v>
      </c>
      <c r="HK27" s="17" t="n">
        <f aca="false">Daily_Composite!AC222</f>
        <v>-0.213</v>
      </c>
      <c r="HL27" s="17" t="n">
        <f aca="false">Daily_Composite!AC223</f>
        <v>-0.162</v>
      </c>
      <c r="HM27" s="17" t="n">
        <f aca="false">Daily_Composite!AC224</f>
        <v>-0.42</v>
      </c>
      <c r="HN27" s="17" t="n">
        <f aca="false">Daily_Composite!AC225</f>
        <v>-0.154</v>
      </c>
      <c r="HO27" s="17" t="n">
        <f aca="false">Daily_Composite!AC226</f>
        <v>-0.231</v>
      </c>
      <c r="HP27" s="17" t="n">
        <f aca="false">Daily_Composite!AC227</f>
        <v>-0.164</v>
      </c>
      <c r="HQ27" s="17" t="n">
        <f aca="false">Daily_Composite!AC228</f>
        <v>-0.164</v>
      </c>
      <c r="HR27" s="17" t="n">
        <f aca="false">Daily_Composite!AC229</f>
        <v>-0.181</v>
      </c>
      <c r="HS27" s="17" t="n">
        <f aca="false">Daily_Composite!AC230</f>
        <v>-0.198</v>
      </c>
      <c r="HT27" s="17" t="n">
        <f aca="false">Daily_Composite!AC231</f>
        <v>-0.51</v>
      </c>
      <c r="HU27" s="17" t="n">
        <f aca="false">Daily_Composite!AC232</f>
        <v>-0.18</v>
      </c>
      <c r="HV27" s="17" t="n">
        <f aca="false">Daily_Composite!AC233</f>
        <v>-0.224</v>
      </c>
      <c r="HW27" s="17" t="n">
        <f aca="false">Daily_Composite!AC234</f>
        <v>-0.224</v>
      </c>
      <c r="HX27" s="17" t="n">
        <f aca="false">Daily_Composite!AC235</f>
        <v>-0.29</v>
      </c>
      <c r="HY27" s="17" t="n">
        <f aca="false">Daily_Composite!AC236</f>
        <v>-0.223</v>
      </c>
      <c r="HZ27" s="17" t="n">
        <f aca="false">Daily_Composite!AC237</f>
        <v>-0.223</v>
      </c>
      <c r="IA27" s="17" t="n">
        <f aca="false">Daily_Composite!AC238</f>
        <v>-0.23</v>
      </c>
      <c r="IB27" s="17" t="n">
        <f aca="false">Daily_Composite!AC239</f>
        <v>-0.272</v>
      </c>
      <c r="IC27" s="17" t="n">
        <f aca="false">Daily_Composite!AC240</f>
        <v>-0.566</v>
      </c>
      <c r="ID27" s="17" t="n">
        <f aca="false">Daily_Composite!AC241</f>
        <v>-0.142</v>
      </c>
      <c r="IE27" s="17" t="n">
        <f aca="false">Daily_Composite!AC242</f>
        <v>-0.152</v>
      </c>
      <c r="IF27" s="17" t="n">
        <f aca="false">Daily_Composite!AC243</f>
        <v>-0.195</v>
      </c>
      <c r="IG27" s="17" t="n">
        <f aca="false">Daily_Composite!AC244</f>
        <v>-0.318</v>
      </c>
      <c r="IH27" s="17" t="n">
        <f aca="false">Daily_Composite!AC245</f>
        <v>0.165</v>
      </c>
      <c r="II27" s="17" t="n">
        <f aca="false">Daily_Composite!AC246</f>
        <v>-0.135</v>
      </c>
      <c r="IJ27" s="17" t="n">
        <f aca="false">Daily_Composite!AC247</f>
        <v>-0.169</v>
      </c>
      <c r="IK27" s="17" t="n">
        <f aca="false">Daily_Composite!AC248</f>
        <v>0.054</v>
      </c>
      <c r="IL27" s="17" t="n">
        <f aca="false">Daily_Composite!AC249</f>
        <v>0.103</v>
      </c>
      <c r="IM27" s="17" t="n">
        <f aca="false">Daily_Composite!AC250</f>
        <v>0.025</v>
      </c>
      <c r="IN27" s="17" t="n">
        <f aca="false">Daily_Composite!AC251</f>
        <v>0.127</v>
      </c>
      <c r="IO27" s="17" t="n">
        <f aca="false">Daily_Composite!AC252</f>
        <v>-0.152</v>
      </c>
      <c r="IP27" s="17" t="n">
        <f aca="false">Daily_Composite!AC253</f>
        <v>-0.171</v>
      </c>
      <c r="IQ27" s="17" t="n">
        <f aca="false">Daily_Composite!AC254</f>
        <v>0.098</v>
      </c>
      <c r="IR27" s="17" t="n">
        <f aca="false">Daily_Composite!AC255</f>
        <v>-0.172</v>
      </c>
      <c r="IS27" s="17" t="n">
        <f aca="false">Daily_Composite!AC256</f>
        <v>-0.172</v>
      </c>
      <c r="IT27" s="17" t="n">
        <f aca="false">Daily_Composite!AC257</f>
        <v>-0.162</v>
      </c>
      <c r="IU27" s="17" t="n">
        <f aca="false">Daily_Composite!AC258</f>
        <v>-0.191</v>
      </c>
      <c r="IV27" s="17" t="n">
        <f aca="false">Daily_Composite!AC259</f>
        <v>-0.148</v>
      </c>
      <c r="IW27" s="17" t="n">
        <f aca="false">Daily_Composite!AC260</f>
        <v>-0.075</v>
      </c>
      <c r="IX27" s="17" t="n">
        <f aca="false">Daily_Composite!AC261</f>
        <v>-0.106</v>
      </c>
      <c r="IY27" s="17" t="n">
        <f aca="false">Daily_Composite!AC262</f>
        <v>-0.452</v>
      </c>
      <c r="IZ27" s="17" t="n">
        <f aca="false">Daily_Composite!AC263</f>
        <v>-0.146</v>
      </c>
      <c r="JA27" s="17" t="n">
        <f aca="false">Daily_Composite!AC264</f>
        <v>-0.148</v>
      </c>
      <c r="JB27" s="17" t="n">
        <f aca="false">Daily_Composite!AC265</f>
        <v>-0.057</v>
      </c>
      <c r="JC27" s="17" t="n">
        <f aca="false">Daily_Composite!AC266</f>
        <v>-0.315</v>
      </c>
      <c r="JD27" s="17" t="n">
        <f aca="false">Daily_Composite!AC267</f>
        <v>-0.195</v>
      </c>
      <c r="JE27" s="17" t="n">
        <f aca="false">Daily_Composite!AC268</f>
        <v>-0.156</v>
      </c>
      <c r="JF27" s="17" t="n">
        <f aca="false">Daily_Composite!AC269</f>
        <v>-0.174</v>
      </c>
      <c r="JG27" s="17" t="n">
        <f aca="false">Daily_Composite!AC270</f>
        <v>-0.189</v>
      </c>
      <c r="JH27" s="17" t="n">
        <f aca="false">Daily_Composite!AC271</f>
        <v>-0.206</v>
      </c>
      <c r="JI27" s="17" t="n">
        <f aca="false">Daily_Composite!AC272</f>
        <v>-0.45</v>
      </c>
      <c r="JJ27" s="17" t="n">
        <f aca="false">Daily_Composite!AC273</f>
        <v>-0.157</v>
      </c>
      <c r="JK27" s="17" t="n">
        <f aca="false">Daily_Composite!AC274</f>
        <v>-0.144</v>
      </c>
      <c r="JL27" s="17" t="n">
        <f aca="false">Daily_Composite!AC275</f>
        <v>0.094</v>
      </c>
      <c r="JM27" s="17" t="n">
        <f aca="false">Daily_Composite!AC276</f>
        <v>0.139</v>
      </c>
      <c r="JN27" s="17" t="n">
        <f aca="false">Daily_Composite!AC277</f>
        <v>0.041</v>
      </c>
      <c r="JO27" s="17" t="n">
        <f aca="false">Daily_Composite!AC278</f>
        <v>0.079</v>
      </c>
      <c r="JP27" s="17" t="n">
        <f aca="false">Daily_Composite!AC279</f>
        <v>-0.129</v>
      </c>
      <c r="JQ27" s="17" t="n">
        <f aca="false">Daily_Composite!AC280</f>
        <v>-0.1</v>
      </c>
      <c r="JR27" s="17" t="n">
        <f aca="false">Daily_Composite!AC281</f>
        <v>-0.473</v>
      </c>
      <c r="JS27" s="17" t="n">
        <f aca="false">Daily_Composite!AC282</f>
        <v>-0.103</v>
      </c>
      <c r="JT27" s="17" t="n">
        <f aca="false">Daily_Composite!AC283</f>
        <v>-0.127</v>
      </c>
      <c r="JU27" s="17" t="n">
        <f aca="false">Daily_Composite!AC284</f>
        <v>-0.115</v>
      </c>
      <c r="JV27" s="17" t="n">
        <f aca="false">Daily_Composite!AC285</f>
        <v>-0.116</v>
      </c>
      <c r="JW27" s="17" t="n">
        <f aca="false">Daily_Composite!AC286</f>
        <v>-0.116</v>
      </c>
      <c r="JX27" s="17" t="n">
        <f aca="false">Daily_Composite!AC287</f>
        <v>-0.117</v>
      </c>
      <c r="JY27" s="17" t="n">
        <f aca="false">Daily_Composite!AC288</f>
        <v>-0.083</v>
      </c>
      <c r="JZ27" s="17" t="n">
        <f aca="false">Daily_Composite!AC289</f>
        <v>0.075</v>
      </c>
      <c r="KA27" s="17" t="n">
        <f aca="false">Daily_Composite!AC290</f>
        <v>-0.271</v>
      </c>
      <c r="KB27" s="17" t="n">
        <f aca="false">Daily_Composite!AC291</f>
        <v>-0.271</v>
      </c>
      <c r="KC27" s="17" t="n">
        <f aca="false">Daily_Composite!AC292</f>
        <v>-0.308</v>
      </c>
      <c r="KD27" s="17" t="n">
        <f aca="false">Daily_Composite!AC293</f>
        <v>-0.355</v>
      </c>
      <c r="KE27" s="17" t="n">
        <f aca="false">Daily_Composite!AC294</f>
        <v>0.146</v>
      </c>
      <c r="KF27" s="17" t="n">
        <f aca="false">Daily_Composite!AC295</f>
        <v>0.174</v>
      </c>
      <c r="KG27" s="17" t="n">
        <f aca="false">Daily_Composite!AC296</f>
        <v>-0.269</v>
      </c>
      <c r="KH27" s="17" t="n">
        <f aca="false">Daily_Composite!AC297</f>
        <v>-0.288</v>
      </c>
      <c r="KI27" s="17" t="n">
        <f aca="false">Daily_Composite!AC298</f>
        <v>-0.27</v>
      </c>
      <c r="KJ27" s="17" t="n">
        <f aca="false">Daily_Composite!AC299</f>
        <v>-0.412</v>
      </c>
      <c r="KK27" s="17" t="n">
        <f aca="false">Daily_Composite!AC300</f>
        <v>-0.266</v>
      </c>
      <c r="KL27" s="17" t="n">
        <f aca="false">Daily_Composite!AC301</f>
        <v>-0.268</v>
      </c>
      <c r="KM27" s="17" t="n">
        <f aca="false">Daily_Composite!AC302</f>
        <v>-0.209</v>
      </c>
      <c r="KN27" s="17" t="n">
        <f aca="false">Daily_Composite!AC303</f>
        <v>-0.049</v>
      </c>
      <c r="KO27" s="17" t="n">
        <f aca="false">Daily_Composite!AC304</f>
        <v>-0.216</v>
      </c>
      <c r="KP27" s="17" t="n">
        <f aca="false">Daily_Composite!AC305</f>
        <v>-0.356</v>
      </c>
      <c r="KQ27" s="17" t="n">
        <f aca="false">Daily_Composite!AC306</f>
        <v>-0.211</v>
      </c>
      <c r="KR27" s="17" t="n">
        <f aca="false">Daily_Composite!AC307</f>
        <v>-0.314</v>
      </c>
      <c r="KS27" s="17" t="n">
        <f aca="false">Daily_Composite!AC308</f>
        <v>-0.526</v>
      </c>
      <c r="KT27" s="17" t="n">
        <f aca="false">Daily_Composite!AC309</f>
        <v>-0.269</v>
      </c>
      <c r="KU27" s="17" t="n">
        <f aca="false">Daily_Composite!AC310</f>
        <v>-0.248</v>
      </c>
      <c r="KV27" s="17" t="n">
        <f aca="false">Daily_Composite!AC311</f>
        <v>-0.277</v>
      </c>
      <c r="KW27" s="17" t="n">
        <f aca="false">Daily_Composite!AC312</f>
        <v>-0.276</v>
      </c>
      <c r="KX27" s="17" t="n">
        <f aca="false">Daily_Composite!AC313</f>
        <v>-0.275</v>
      </c>
      <c r="KY27" s="17" t="n">
        <f aca="false">Daily_Composite!AC314</f>
        <v>-0.259</v>
      </c>
      <c r="KZ27" s="17" t="n">
        <f aca="false">Daily_Composite!AC315</f>
        <v>-0.255</v>
      </c>
      <c r="LA27" s="17" t="n">
        <f aca="false">Daily_Composite!AC316</f>
        <v>-0.251</v>
      </c>
      <c r="LB27" s="17" t="n">
        <f aca="false">Daily_Composite!AC317</f>
        <v>-0.115</v>
      </c>
      <c r="LC27" s="17" t="n">
        <f aca="false">Daily_Composite!AC318</f>
        <v>-0.215</v>
      </c>
      <c r="LD27" s="17" t="n">
        <f aca="false">Daily_Composite!AC319</f>
        <v>-0.328</v>
      </c>
      <c r="LE27" s="17" t="n">
        <f aca="false">Daily_Composite!AC320</f>
        <v>-0.326</v>
      </c>
      <c r="LF27" s="17" t="n">
        <f aca="false">Daily_Composite!AC321</f>
        <v>-0.309</v>
      </c>
      <c r="LG27" s="17" t="n">
        <f aca="false">Daily_Composite!AC322</f>
        <v>-0.191</v>
      </c>
      <c r="LH27" s="17" t="n">
        <f aca="false">Daily_Composite!AC323</f>
        <v>-0.195</v>
      </c>
      <c r="LI27" s="17" t="n">
        <f aca="false">Daily_Composite!AC324</f>
        <v>-0.168</v>
      </c>
      <c r="LJ27" s="17" t="n">
        <f aca="false">Daily_Composite!AC325</f>
        <v>-0.193</v>
      </c>
      <c r="LK27" s="17" t="n">
        <f aca="false">Daily_Composite!AC326</f>
        <v>-0.566</v>
      </c>
      <c r="LL27" s="17" t="n">
        <f aca="false">Daily_Composite!AC327</f>
        <v>-0.17</v>
      </c>
      <c r="LM27" s="17" t="n">
        <f aca="false">Daily_Composite!AC328</f>
        <v>-0.168</v>
      </c>
      <c r="LN27" s="17" t="n">
        <f aca="false">Daily_Composite!AC329</f>
        <v>-0.383</v>
      </c>
      <c r="LO27" s="17" t="n">
        <f aca="false">Daily_Composite!AC330</f>
        <v>-0.418</v>
      </c>
      <c r="LP27" s="17" t="n">
        <f aca="false">Daily_Composite!AC331</f>
        <v>-0.142</v>
      </c>
      <c r="LQ27" s="17" t="n">
        <f aca="false">Daily_Composite!AC332</f>
        <v>0.144</v>
      </c>
      <c r="LR27" s="17" t="n">
        <f aca="false">Daily_Composite!AC333</f>
        <v>0.148</v>
      </c>
      <c r="LS27" s="17" t="n">
        <f aca="false">Daily_Composite!AC334</f>
        <v>-0.18</v>
      </c>
      <c r="LT27" s="17" t="n">
        <f aca="false">Daily_Composite!AC335</f>
        <v>-0.231</v>
      </c>
      <c r="LU27" s="17" t="n">
        <f aca="false">Daily_Composite!AC336</f>
        <v>-0.559</v>
      </c>
      <c r="LV27" s="17" t="n">
        <f aca="false">Daily_Composite!AC337</f>
        <v>-0.158</v>
      </c>
      <c r="LW27" s="17" t="n">
        <f aca="false">Daily_Composite!AC338</f>
        <v>-0.135</v>
      </c>
      <c r="LX27" s="17" t="n">
        <f aca="false">Daily_Composite!AC339</f>
        <v>-0.168</v>
      </c>
      <c r="LY27" s="17" t="n">
        <f aca="false">Daily_Composite!AC340</f>
        <v>-0.258</v>
      </c>
      <c r="LZ27" s="17" t="n">
        <f aca="false">Daily_Composite!AC341</f>
        <v>-0.164</v>
      </c>
      <c r="MA27" s="17" t="n">
        <f aca="false">Daily_Composite!AC342</f>
        <v>-0.159</v>
      </c>
      <c r="MB27" s="17" t="n">
        <f aca="false">Daily_Composite!AC343</f>
        <v>-0.155</v>
      </c>
      <c r="MC27" s="17" t="n">
        <f aca="false">Daily_Composite!AC344</f>
        <v>-0.515</v>
      </c>
      <c r="MD27" s="17" t="n">
        <f aca="false">Daily_Composite!AC345</f>
        <v>-0.097</v>
      </c>
      <c r="ME27" s="17" t="n">
        <f aca="false">Daily_Composite!AC346</f>
        <v>-0.104</v>
      </c>
      <c r="MF27" s="17" t="n">
        <f aca="false">Daily_Composite!AC347</f>
        <v>-0.241</v>
      </c>
      <c r="MG27" s="17" t="n">
        <f aca="false">Daily_Composite!AC348</f>
        <v>-0.267</v>
      </c>
      <c r="MH27" s="17" t="n">
        <f aca="false">Daily_Composite!AC349</f>
        <v>-0.132</v>
      </c>
      <c r="MI27" s="17" t="n">
        <f aca="false">Daily_Composite!AC350</f>
        <v>-0.086</v>
      </c>
      <c r="MJ27" s="17" t="n">
        <f aca="false">Daily_Composite!AC351</f>
        <v>-0.022</v>
      </c>
      <c r="MK27" s="17" t="n">
        <f aca="false">Daily_Composite!AC352</f>
        <v>-0.014</v>
      </c>
      <c r="ML27" s="17" t="n">
        <f aca="false">Daily_Composite!AC353</f>
        <v>-0.014</v>
      </c>
      <c r="MM27" s="17" t="n">
        <f aca="false">Daily_Composite!AC354</f>
        <v>0.046</v>
      </c>
      <c r="MN27" s="17" t="n">
        <f aca="false">Daily_Composite!AC355</f>
        <v>-0.202</v>
      </c>
      <c r="MO27" s="17" t="n">
        <f aca="false">Daily_Composite!AC356</f>
        <v>-0.185</v>
      </c>
      <c r="MP27" s="17" t="n">
        <f aca="false">Daily_Composite!AC357</f>
        <v>0.225</v>
      </c>
      <c r="MQ27" s="17" t="n">
        <f aca="false">Daily_Composite!AC358</f>
        <v>0.168</v>
      </c>
      <c r="MR27" s="17" t="n">
        <f aca="false">Daily_Composite!AC359</f>
        <v>-0.251</v>
      </c>
      <c r="MS27" s="17" t="n">
        <f aca="false">Daily_Composite!AC360</f>
        <v>-0.216</v>
      </c>
      <c r="MT27" s="17" t="n">
        <f aca="false">Daily_Composite!AC361</f>
        <v>-0.217</v>
      </c>
      <c r="MU27" s="17" t="n">
        <f aca="false">Daily_Composite!AC362</f>
        <v>-0.209</v>
      </c>
      <c r="MV27" s="17" t="n">
        <f aca="false">Daily_Composite!AC363</f>
        <v>-0.214</v>
      </c>
      <c r="MW27" s="17" t="n">
        <f aca="false">Daily_Composite!AC364</f>
        <v>-0.152</v>
      </c>
      <c r="MX27" s="17" t="n">
        <f aca="false">Daily_Composite!AC365</f>
        <v>-0.192</v>
      </c>
      <c r="MY27" s="17" t="n">
        <f aca="false">Daily_Composite!AC366</f>
        <v>-0.21</v>
      </c>
      <c r="MZ27" s="17" t="n">
        <f aca="false">Daily_Composite!AC367</f>
        <v>-0.218</v>
      </c>
      <c r="NA27" s="17" t="n">
        <f aca="false">Daily_Composite!AC368</f>
        <v>-0.215</v>
      </c>
      <c r="NB27" s="17" t="n">
        <f aca="false">Daily_Composite!AC369</f>
        <v>-0.245</v>
      </c>
    </row>
    <row r="28" customFormat="false" ht="15" hidden="false" customHeight="false" outlineLevel="0" collapsed="false">
      <c r="A28" s="6" t="s">
        <v>41</v>
      </c>
      <c r="B28" s="17" t="n">
        <f aca="false">Daily_Composite!AD5</f>
        <v>-0.05</v>
      </c>
      <c r="C28" s="17" t="n">
        <f aca="false">Daily_Composite!AD6</f>
        <v>-0.442</v>
      </c>
      <c r="D28" s="17" t="n">
        <f aca="false">Daily_Composite!AD7</f>
        <v>-0.211</v>
      </c>
      <c r="E28" s="17" t="n">
        <f aca="false">Daily_Composite!AD8</f>
        <v>-0.214</v>
      </c>
      <c r="F28" s="17" t="n">
        <f aca="false">Daily_Composite!AD9</f>
        <v>-0.078</v>
      </c>
      <c r="G28" s="17" t="n">
        <f aca="false">Daily_Composite!AD10</f>
        <v>-0.283</v>
      </c>
      <c r="H28" s="17" t="n">
        <f aca="false">Daily_Composite!AD11</f>
        <v>-0.282</v>
      </c>
      <c r="I28" s="17" t="n">
        <f aca="false">Daily_Composite!AD12</f>
        <v>-0.463</v>
      </c>
      <c r="J28" s="17" t="n">
        <f aca="false">Daily_Composite!AD13</f>
        <v>-0.308</v>
      </c>
      <c r="K28" s="17" t="n">
        <f aca="false">Daily_Composite!AD14</f>
        <v>-0.405</v>
      </c>
      <c r="L28" s="17" t="n">
        <f aca="false">Daily_Composite!AD15</f>
        <v>-0.149</v>
      </c>
      <c r="M28" s="17" t="n">
        <f aca="false">Daily_Composite!AD16</f>
        <v>-0.139</v>
      </c>
      <c r="N28" s="17" t="n">
        <f aca="false">Daily_Composite!AD17</f>
        <v>-0.337</v>
      </c>
      <c r="O28" s="17" t="n">
        <f aca="false">Daily_Composite!AD18</f>
        <v>-0.107</v>
      </c>
      <c r="P28" s="17" t="n">
        <f aca="false">Daily_Composite!AD19</f>
        <v>-0.191</v>
      </c>
      <c r="Q28" s="17" t="n">
        <f aca="false">Daily_Composite!AD20</f>
        <v>-0.205</v>
      </c>
      <c r="R28" s="17" t="n">
        <f aca="false">Daily_Composite!AD21</f>
        <v>0.274</v>
      </c>
      <c r="S28" s="17" t="n">
        <f aca="false">Daily_Composite!AD22</f>
        <v>-0.241</v>
      </c>
      <c r="T28" s="17" t="n">
        <f aca="false">Daily_Composite!AD23</f>
        <v>0.269</v>
      </c>
      <c r="U28" s="17" t="n">
        <f aca="false">Daily_Composite!AD24</f>
        <v>0.073</v>
      </c>
      <c r="V28" s="17" t="n">
        <f aca="false">Daily_Composite!AD25</f>
        <v>0.31</v>
      </c>
      <c r="W28" s="17" t="n">
        <f aca="false">Daily_Composite!AD26</f>
        <v>0.261</v>
      </c>
      <c r="X28" s="17" t="n">
        <f aca="false">Daily_Composite!AD27</f>
        <v>-0.277</v>
      </c>
      <c r="Y28" s="17" t="n">
        <f aca="false">Daily_Composite!AD28</f>
        <v>-0.002</v>
      </c>
      <c r="Z28" s="17" t="n">
        <f aca="false">Daily_Composite!AD29</f>
        <v>0.318</v>
      </c>
      <c r="AA28" s="17" t="n">
        <f aca="false">Daily_Composite!AD30</f>
        <v>0.278</v>
      </c>
      <c r="AB28" s="17" t="n">
        <f aca="false">Daily_Composite!AD31</f>
        <v>-0.092</v>
      </c>
      <c r="AC28" s="17" t="n">
        <f aca="false">Daily_Composite!AD32</f>
        <v>0.245</v>
      </c>
      <c r="AD28" s="17" t="n">
        <f aca="false">Daily_Composite!AD33</f>
        <v>0.65</v>
      </c>
      <c r="AE28" s="17" t="n">
        <f aca="false">Daily_Composite!AD34</f>
        <v>0.252</v>
      </c>
      <c r="AF28" s="17" t="n">
        <f aca="false">Daily_Composite!AD35</f>
        <v>0.288</v>
      </c>
      <c r="AG28" s="17" t="n">
        <f aca="false">Daily_Composite!AD36</f>
        <v>0.534</v>
      </c>
      <c r="AH28" s="17" t="n">
        <f aca="false">Daily_Composite!AD37</f>
        <v>0.308</v>
      </c>
      <c r="AI28" s="17" t="n">
        <f aca="false">Daily_Composite!AD38</f>
        <v>0.311</v>
      </c>
      <c r="AJ28" s="17" t="n">
        <f aca="false">Daily_Composite!AD39</f>
        <v>0.548</v>
      </c>
      <c r="AK28" s="17" t="n">
        <f aca="false">Daily_Composite!AD40</f>
        <v>0.529</v>
      </c>
      <c r="AL28" s="17" t="n">
        <f aca="false">Daily_Composite!AD41</f>
        <v>0.606</v>
      </c>
      <c r="AM28" s="17" t="n">
        <f aca="false">Daily_Composite!AD42</f>
        <v>0.068</v>
      </c>
      <c r="AN28" s="17" t="n">
        <f aca="false">Daily_Composite!AD43</f>
        <v>0.065</v>
      </c>
      <c r="AO28" s="17" t="n">
        <f aca="false">Daily_Composite!AD44</f>
        <v>0.106</v>
      </c>
      <c r="AP28" s="17" t="n">
        <f aca="false">Daily_Composite!AD45</f>
        <v>0.381</v>
      </c>
      <c r="AQ28" s="17" t="n">
        <f aca="false">Daily_Composite!AD46</f>
        <v>0.318</v>
      </c>
      <c r="AR28" s="17" t="n">
        <f aca="false">Daily_Composite!AD47</f>
        <v>0.298</v>
      </c>
      <c r="AS28" s="17" t="n">
        <f aca="false">Daily_Composite!AD48</f>
        <v>0.345</v>
      </c>
      <c r="AT28" s="17" t="n">
        <f aca="false">Daily_Composite!AD49</f>
        <v>-0.192</v>
      </c>
      <c r="AU28" s="17" t="n">
        <f aca="false">Daily_Composite!AD50</f>
        <v>0.214</v>
      </c>
      <c r="AV28" s="17" t="n">
        <f aca="false">Daily_Composite!AD51</f>
        <v>0.554</v>
      </c>
      <c r="AW28" s="17" t="n">
        <f aca="false">Daily_Composite!AD52</f>
        <v>0.258</v>
      </c>
      <c r="AX28" s="17" t="n">
        <f aca="false">Daily_Composite!AD53</f>
        <v>0.258</v>
      </c>
      <c r="AY28" s="17" t="n">
        <f aca="false">Daily_Composite!AD54</f>
        <v>-0.034</v>
      </c>
      <c r="AZ28" s="17" t="n">
        <f aca="false">Daily_Composite!AD55</f>
        <v>-0.045</v>
      </c>
      <c r="BA28" s="17" t="n">
        <f aca="false">Daily_Composite!AD56</f>
        <v>0.343</v>
      </c>
      <c r="BB28" s="17" t="n">
        <f aca="false">Daily_Composite!AD57</f>
        <v>0.361</v>
      </c>
      <c r="BC28" s="17" t="n">
        <f aca="false">Daily_Composite!AD58</f>
        <v>0.381</v>
      </c>
      <c r="BD28" s="17" t="n">
        <f aca="false">Daily_Composite!AD59</f>
        <v>0.343</v>
      </c>
      <c r="BE28" s="17" t="n">
        <f aca="false">Daily_Composite!AD60</f>
        <v>0.212</v>
      </c>
      <c r="BF28" s="17" t="n">
        <f aca="false">Daily_Composite!AD61</f>
        <v>0.345</v>
      </c>
      <c r="BG28" s="17" t="n">
        <f aca="false">Daily_Composite!AD62</f>
        <v>0.208</v>
      </c>
      <c r="BH28" s="17" t="n">
        <f aca="false">Daily_Composite!AD63</f>
        <v>0.474</v>
      </c>
      <c r="BI28" s="17" t="n">
        <f aca="false">Daily_Composite!AD64</f>
        <v>0.269</v>
      </c>
      <c r="BJ28" s="17" t="n">
        <f aca="false">Daily_Composite!AD65</f>
        <v>0.202</v>
      </c>
      <c r="BK28" s="17" t="n">
        <f aca="false">Daily_Composite!AD66</f>
        <v>0.154</v>
      </c>
      <c r="BL28" s="17" t="n">
        <f aca="false">Daily_Composite!AD67</f>
        <v>0.624</v>
      </c>
      <c r="BM28" s="17" t="n">
        <f aca="false">Daily_Composite!AD68</f>
        <v>0.589</v>
      </c>
      <c r="BN28" s="17" t="n">
        <f aca="false">Daily_Composite!AD69</f>
        <v>0.351</v>
      </c>
      <c r="BO28" s="17" t="n">
        <f aca="false">Daily_Composite!AD70</f>
        <v>0.212</v>
      </c>
      <c r="BP28" s="17" t="n">
        <f aca="false">Daily_Composite!AD71</f>
        <v>0.012</v>
      </c>
      <c r="BQ28" s="17" t="n">
        <f aca="false">Daily_Composite!AD72</f>
        <v>0.397</v>
      </c>
      <c r="BR28" s="17" t="n">
        <f aca="false">Daily_Composite!AD73</f>
        <v>0.283</v>
      </c>
      <c r="BS28" s="17" t="n">
        <f aca="false">Daily_Composite!AD74</f>
        <v>0.337</v>
      </c>
      <c r="BT28" s="17" t="n">
        <f aca="false">Daily_Composite!AD75</f>
        <v>0.387</v>
      </c>
      <c r="BU28" s="17" t="n">
        <f aca="false">Daily_Composite!AD76</f>
        <v>0.202</v>
      </c>
      <c r="BV28" s="17" t="n">
        <f aca="false">Daily_Composite!AD77</f>
        <v>0.298</v>
      </c>
      <c r="BW28" s="17" t="n">
        <f aca="false">Daily_Composite!AD78</f>
        <v>0.618</v>
      </c>
      <c r="BX28" s="17" t="n">
        <f aca="false">Daily_Composite!AD79</f>
        <v>0.03</v>
      </c>
      <c r="BY28" s="17" t="n">
        <f aca="false">Daily_Composite!AD80</f>
        <v>0.097</v>
      </c>
      <c r="BZ28" s="17" t="n">
        <f aca="false">Daily_Composite!AD81</f>
        <v>0.217</v>
      </c>
      <c r="CA28" s="17" t="n">
        <f aca="false">Daily_Composite!AD82</f>
        <v>0.464</v>
      </c>
      <c r="CB28" s="17" t="n">
        <f aca="false">Daily_Composite!AD83</f>
        <v>0.248</v>
      </c>
      <c r="CC28" s="17" t="n">
        <f aca="false">Daily_Composite!AD84</f>
        <v>0.12</v>
      </c>
      <c r="CD28" s="17" t="n">
        <f aca="false">Daily_Composite!AD85</f>
        <v>0.126</v>
      </c>
      <c r="CE28" s="17" t="n">
        <f aca="false">Daily_Composite!AD86</f>
        <v>0.248</v>
      </c>
      <c r="CF28" s="17" t="n">
        <f aca="false">Daily_Composite!AD87</f>
        <v>0.204</v>
      </c>
      <c r="CG28" s="17" t="n">
        <f aca="false">Daily_Composite!AD88</f>
        <v>0.095</v>
      </c>
      <c r="CH28" s="17" t="n">
        <f aca="false">Daily_Composite!AD89</f>
        <v>-0.03</v>
      </c>
      <c r="CI28" s="17" t="n">
        <f aca="false">Daily_Composite!AD90</f>
        <v>0.212</v>
      </c>
      <c r="CJ28" s="17" t="n">
        <f aca="false">Daily_Composite!AD91</f>
        <v>0.288</v>
      </c>
      <c r="CK28" s="17" t="n">
        <f aca="false">Daily_Composite!AD92</f>
        <v>0.132</v>
      </c>
      <c r="CL28" s="17" t="n">
        <f aca="false">Daily_Composite!AD93</f>
        <v>-0.004</v>
      </c>
      <c r="CM28" s="17" t="n">
        <f aca="false">Daily_Composite!AD94</f>
        <v>0.437</v>
      </c>
      <c r="CN28" s="17" t="n">
        <f aca="false">Daily_Composite!AD95</f>
        <v>-0.006</v>
      </c>
      <c r="CO28" s="17" t="n">
        <f aca="false">Daily_Composite!AD96</f>
        <v>-0.016</v>
      </c>
      <c r="CP28" s="17" t="n">
        <f aca="false">Daily_Composite!AD97</f>
        <v>-0.119</v>
      </c>
      <c r="CQ28" s="17" t="n">
        <f aca="false">Daily_Composite!AD98</f>
        <v>-0.086</v>
      </c>
      <c r="CR28" s="17" t="n">
        <f aca="false">Daily_Composite!AD99</f>
        <v>-0.56</v>
      </c>
      <c r="CS28" s="17" t="n">
        <f aca="false">Daily_Composite!AD100</f>
        <v>-0.182</v>
      </c>
      <c r="CT28" s="17" t="n">
        <f aca="false">Daily_Composite!AD101</f>
        <v>-0.291</v>
      </c>
      <c r="CU28" s="17" t="n">
        <f aca="false">Daily_Composite!AD102</f>
        <v>-0.307</v>
      </c>
      <c r="CV28" s="17" t="n">
        <f aca="false">Daily_Composite!AD103</f>
        <v>-0.609</v>
      </c>
      <c r="CW28" s="17" t="n">
        <f aca="false">Daily_Composite!AD104</f>
        <v>-0.612</v>
      </c>
      <c r="CX28" s="17" t="n">
        <f aca="false">Daily_Composite!AD105</f>
        <v>-0.155</v>
      </c>
      <c r="CY28" s="17" t="n">
        <f aca="false">Daily_Composite!AD106</f>
        <v>-0.011</v>
      </c>
      <c r="CZ28" s="17" t="n">
        <f aca="false">Daily_Composite!AD107</f>
        <v>-0.119</v>
      </c>
      <c r="DA28" s="17" t="n">
        <f aca="false">Daily_Composite!AD108</f>
        <v>-0.535</v>
      </c>
      <c r="DB28" s="17" t="n">
        <f aca="false">Daily_Composite!AD109</f>
        <v>-0.64</v>
      </c>
      <c r="DC28" s="17" t="n">
        <f aca="false">Daily_Composite!AD110</f>
        <v>-0.525</v>
      </c>
      <c r="DD28" s="17" t="n">
        <f aca="false">Daily_Composite!AD111</f>
        <v>-0.031</v>
      </c>
      <c r="DE28" s="17" t="n">
        <f aca="false">Daily_Composite!AD112</f>
        <v>-0.018</v>
      </c>
      <c r="DF28" s="17" t="n">
        <f aca="false">Daily_Composite!AD113</f>
        <v>-0.486</v>
      </c>
      <c r="DG28" s="17" t="n">
        <f aca="false">Daily_Composite!AD114</f>
        <v>-0.066</v>
      </c>
      <c r="DH28" s="17" t="n">
        <f aca="false">Daily_Composite!AD115</f>
        <v>0.196</v>
      </c>
      <c r="DI28" s="17" t="n">
        <f aca="false">Daily_Composite!AD116</f>
        <v>-0.014</v>
      </c>
      <c r="DJ28" s="17" t="n">
        <f aca="false">Daily_Composite!AD117</f>
        <v>-0.02</v>
      </c>
      <c r="DK28" s="17" t="n">
        <f aca="false">Daily_Composite!AD118</f>
        <v>-0.504</v>
      </c>
      <c r="DL28" s="17" t="n">
        <f aca="false">Daily_Composite!AD119</f>
        <v>-0.073</v>
      </c>
      <c r="DM28" s="17" t="n">
        <f aca="false">Daily_Composite!AD120</f>
        <v>0.121</v>
      </c>
      <c r="DN28" s="17" t="n">
        <f aca="false">Daily_Composite!AD121</f>
        <v>0.169</v>
      </c>
      <c r="DO28" s="17" t="n">
        <f aca="false">Daily_Composite!AD122</f>
        <v>0.097</v>
      </c>
      <c r="DP28" s="17" t="n">
        <f aca="false">Daily_Composite!AD123</f>
        <v>0.42</v>
      </c>
      <c r="DQ28" s="17" t="n">
        <f aca="false">Daily_Composite!AD124</f>
        <v>0.195</v>
      </c>
      <c r="DR28" s="17" t="n">
        <f aca="false">Daily_Composite!AD125</f>
        <v>0.262</v>
      </c>
      <c r="DS28" s="17" t="n">
        <f aca="false">Daily_Composite!AD126</f>
        <v>0.528</v>
      </c>
      <c r="DT28" s="17" t="n">
        <f aca="false">Daily_Composite!AD127</f>
        <v>0.153</v>
      </c>
      <c r="DU28" s="17" t="n">
        <f aca="false">Daily_Composite!AD128</f>
        <v>0.47</v>
      </c>
      <c r="DV28" s="17" t="n">
        <f aca="false">Daily_Composite!AD129</f>
        <v>0.463</v>
      </c>
      <c r="DW28" s="17" t="n">
        <f aca="false">Daily_Composite!AD130</f>
        <v>0.463</v>
      </c>
      <c r="DX28" s="17" t="n">
        <f aca="false">Daily_Composite!AD131</f>
        <v>0.534</v>
      </c>
      <c r="DY28" s="17" t="n">
        <f aca="false">Daily_Composite!AD132</f>
        <v>0.415</v>
      </c>
      <c r="DZ28" s="17" t="n">
        <f aca="false">Daily_Composite!AD133</f>
        <v>0.487</v>
      </c>
      <c r="EA28" s="17" t="n">
        <f aca="false">Daily_Composite!AD134</f>
        <v>0.139</v>
      </c>
      <c r="EB28" s="17" t="n">
        <f aca="false">Daily_Composite!AD135</f>
        <v>0.118</v>
      </c>
      <c r="EC28" s="17" t="n">
        <f aca="false">Daily_Composite!AD136</f>
        <v>0.479</v>
      </c>
      <c r="ED28" s="17" t="n">
        <f aca="false">Daily_Composite!AD137</f>
        <v>0.312</v>
      </c>
      <c r="EE28" s="17" t="n">
        <f aca="false">Daily_Composite!AD138</f>
        <v>0.287</v>
      </c>
      <c r="EF28" s="17" t="n">
        <f aca="false">Daily_Composite!AD139</f>
        <v>0.271</v>
      </c>
      <c r="EG28" s="17" t="n">
        <f aca="false">Daily_Composite!AD140</f>
        <v>0.418</v>
      </c>
      <c r="EH28" s="17" t="n">
        <f aca="false">Daily_Composite!AD141</f>
        <v>-0.031</v>
      </c>
      <c r="EI28" s="17" t="n">
        <f aca="false">Daily_Composite!AD142</f>
        <v>0.329</v>
      </c>
      <c r="EJ28" s="17" t="n">
        <f aca="false">Daily_Composite!AD143</f>
        <v>0.061</v>
      </c>
      <c r="EK28" s="17" t="n">
        <f aca="false">Daily_Composite!AD144</f>
        <v>-0.214</v>
      </c>
      <c r="EL28" s="17" t="n">
        <f aca="false">Daily_Composite!AD145</f>
        <v>0.012</v>
      </c>
      <c r="EM28" s="17" t="n">
        <f aca="false">Daily_Composite!AD146</f>
        <v>0.017</v>
      </c>
      <c r="EN28" s="17" t="n">
        <f aca="false">Daily_Composite!AD147</f>
        <v>-0.079</v>
      </c>
      <c r="EO28" s="17" t="n">
        <f aca="false">Daily_Composite!AD148</f>
        <v>-0.109</v>
      </c>
      <c r="EP28" s="17" t="n">
        <f aca="false">Daily_Composite!AD149</f>
        <v>0.305</v>
      </c>
      <c r="EQ28" s="17" t="n">
        <f aca="false">Daily_Composite!AD150</f>
        <v>0.121</v>
      </c>
      <c r="ER28" s="17" t="n">
        <f aca="false">Daily_Composite!AD151</f>
        <v>0.378</v>
      </c>
      <c r="ES28" s="17" t="n">
        <f aca="false">Daily_Composite!AD152</f>
        <v>0.073</v>
      </c>
      <c r="ET28" s="17" t="n">
        <f aca="false">Daily_Composite!AD153</f>
        <v>0.04</v>
      </c>
      <c r="EU28" s="17" t="n">
        <f aca="false">Daily_Composite!AD154</f>
        <v>-0.317</v>
      </c>
      <c r="EV28" s="17" t="n">
        <f aca="false">Daily_Composite!AD155</f>
        <v>0.048</v>
      </c>
      <c r="EW28" s="17" t="n">
        <f aca="false">Daily_Composite!AD156</f>
        <v>0.194</v>
      </c>
      <c r="EX28" s="17" t="n">
        <f aca="false">Daily_Composite!AD157</f>
        <v>0.114</v>
      </c>
      <c r="EY28" s="17" t="n">
        <f aca="false">Daily_Composite!AD158</f>
        <v>-0.045</v>
      </c>
      <c r="EZ28" s="17" t="n">
        <f aca="false">Daily_Composite!AD159</f>
        <v>0.376</v>
      </c>
      <c r="FA28" s="17" t="n">
        <f aca="false">Daily_Composite!AD160</f>
        <v>0.272</v>
      </c>
      <c r="FB28" s="17" t="n">
        <f aca="false">Daily_Composite!AD161</f>
        <v>0.29</v>
      </c>
      <c r="FC28" s="17" t="n">
        <f aca="false">Daily_Composite!AD162</f>
        <v>0.348</v>
      </c>
      <c r="FD28" s="17" t="n">
        <f aca="false">Daily_Composite!AD163</f>
        <v>-0.028</v>
      </c>
      <c r="FE28" s="17" t="n">
        <f aca="false">Daily_Composite!AD164</f>
        <v>-0.442</v>
      </c>
      <c r="FF28" s="17" t="n">
        <f aca="false">Daily_Composite!AD165</f>
        <v>0.301</v>
      </c>
      <c r="FG28" s="17" t="n">
        <f aca="false">Daily_Composite!AD166</f>
        <v>0.128</v>
      </c>
      <c r="FH28" s="17" t="n">
        <f aca="false">Daily_Composite!AD167</f>
        <v>0.126</v>
      </c>
      <c r="FI28" s="17" t="n">
        <f aca="false">Daily_Composite!AD168</f>
        <v>-0.268</v>
      </c>
      <c r="FJ28" s="17" t="n">
        <f aca="false">Daily_Composite!AD169</f>
        <v>0.094</v>
      </c>
      <c r="FK28" s="17" t="n">
        <f aca="false">Daily_Composite!AD170</f>
        <v>-0.274</v>
      </c>
      <c r="FL28" s="17" t="n">
        <f aca="false">Daily_Composite!AD171</f>
        <v>-0.269</v>
      </c>
      <c r="FM28" s="17" t="n">
        <f aca="false">Daily_Composite!AD172</f>
        <v>0.022</v>
      </c>
      <c r="FN28" s="17" t="n">
        <f aca="false">Daily_Composite!AD173</f>
        <v>0.057</v>
      </c>
      <c r="FO28" s="17" t="n">
        <f aca="false">Daily_Composite!AD174</f>
        <v>0.036</v>
      </c>
      <c r="FP28" s="17" t="n">
        <f aca="false">Daily_Composite!AD175</f>
        <v>0.139</v>
      </c>
      <c r="FQ28" s="17" t="n">
        <f aca="false">Daily_Composite!AD176</f>
        <v>0.239</v>
      </c>
      <c r="FR28" s="17" t="n">
        <f aca="false">Daily_Composite!AD177</f>
        <v>0.214</v>
      </c>
      <c r="FS28" s="17" t="n">
        <f aca="false">Daily_Composite!AD178</f>
        <v>0.42</v>
      </c>
      <c r="FT28" s="17" t="n">
        <f aca="false">Daily_Composite!AD179</f>
        <v>0.074</v>
      </c>
      <c r="FU28" s="17" t="n">
        <f aca="false">Daily_Composite!AD180</f>
        <v>0.142</v>
      </c>
      <c r="FV28" s="17" t="n">
        <f aca="false">Daily_Composite!AD181</f>
        <v>-0.134</v>
      </c>
      <c r="FW28" s="17" t="n">
        <f aca="false">Daily_Composite!AD182</f>
        <v>0.102</v>
      </c>
      <c r="FX28" s="17" t="n">
        <f aca="false">Daily_Composite!AD183</f>
        <v>-0.148</v>
      </c>
      <c r="FY28" s="17" t="n">
        <f aca="false">Daily_Composite!AD184</f>
        <v>-0.093</v>
      </c>
      <c r="FZ28" s="17" t="n">
        <f aca="false">Daily_Composite!AD185</f>
        <v>-0.228</v>
      </c>
      <c r="GA28" s="17" t="n">
        <f aca="false">Daily_Composite!AD186</f>
        <v>0.086</v>
      </c>
      <c r="GB28" s="17" t="n">
        <f aca="false">Daily_Composite!AD187</f>
        <v>0.072</v>
      </c>
      <c r="GC28" s="17" t="n">
        <f aca="false">Daily_Composite!AD188</f>
        <v>-0.188</v>
      </c>
      <c r="GD28" s="17" t="n">
        <f aca="false">Daily_Composite!AD189</f>
        <v>0.227</v>
      </c>
      <c r="GE28" s="17" t="n">
        <f aca="false">Daily_Composite!AD190</f>
        <v>-0.053</v>
      </c>
      <c r="GF28" s="17" t="n">
        <f aca="false">Daily_Composite!AD191</f>
        <v>-0.335</v>
      </c>
      <c r="GG28" s="17" t="n">
        <f aca="false">Daily_Composite!AD192</f>
        <v>0.069</v>
      </c>
      <c r="GH28" s="17" t="n">
        <f aca="false">Daily_Composite!AD193</f>
        <v>-0.241</v>
      </c>
      <c r="GI28" s="17" t="n">
        <f aca="false">Daily_Composite!AD194</f>
        <v>-0.267</v>
      </c>
      <c r="GJ28" s="17" t="n">
        <f aca="false">Daily_Composite!AD195</f>
        <v>0.344</v>
      </c>
      <c r="GK28" s="17" t="n">
        <f aca="false">Daily_Composite!AD196</f>
        <v>0.194</v>
      </c>
      <c r="GL28" s="17" t="n">
        <f aca="false">Daily_Composite!AD197</f>
        <v>0.161</v>
      </c>
      <c r="GM28" s="17" t="n">
        <f aca="false">Daily_Composite!AD198</f>
        <v>0.126</v>
      </c>
      <c r="GN28" s="17" t="n">
        <f aca="false">Daily_Composite!AD199</f>
        <v>0.16</v>
      </c>
      <c r="GO28" s="17" t="n">
        <f aca="false">Daily_Composite!AD200</f>
        <v>-0.427</v>
      </c>
      <c r="GP28" s="17" t="n">
        <f aca="false">Daily_Composite!AD201</f>
        <v>-0.091</v>
      </c>
      <c r="GQ28" s="17" t="n">
        <f aca="false">Daily_Composite!AD202</f>
        <v>-0.228</v>
      </c>
      <c r="GR28" s="17" t="n">
        <f aca="false">Daily_Composite!AD203</f>
        <v>-0.127</v>
      </c>
      <c r="GS28" s="17" t="n">
        <f aca="false">Daily_Composite!AD204</f>
        <v>-0.168</v>
      </c>
      <c r="GT28" s="17" t="n">
        <f aca="false">Daily_Composite!AD205</f>
        <v>0.113</v>
      </c>
      <c r="GU28" s="17" t="n">
        <f aca="false">Daily_Composite!AD206</f>
        <v>-0.328</v>
      </c>
      <c r="GV28" s="17" t="n">
        <f aca="false">Daily_Composite!AD207</f>
        <v>-0.325</v>
      </c>
      <c r="GW28" s="17" t="n">
        <f aca="false">Daily_Composite!AD208</f>
        <v>-0.445</v>
      </c>
      <c r="GX28" s="17" t="n">
        <f aca="false">Daily_Composite!AD209</f>
        <v>-0.146</v>
      </c>
      <c r="GY28" s="17" t="n">
        <f aca="false">Daily_Composite!AD210</f>
        <v>-0.1</v>
      </c>
      <c r="GZ28" s="17" t="n">
        <f aca="false">Daily_Composite!AD211</f>
        <v>-0.341</v>
      </c>
      <c r="HA28" s="17" t="n">
        <f aca="false">Daily_Composite!AD212</f>
        <v>-0.33</v>
      </c>
      <c r="HB28" s="17" t="n">
        <f aca="false">Daily_Composite!AD213</f>
        <v>-0.633</v>
      </c>
      <c r="HC28" s="17" t="n">
        <f aca="false">Daily_Composite!AD214</f>
        <v>-0.177</v>
      </c>
      <c r="HD28" s="17" t="n">
        <f aca="false">Daily_Composite!AD215</f>
        <v>-0.605</v>
      </c>
      <c r="HE28" s="17" t="n">
        <f aca="false">Daily_Composite!AD216</f>
        <v>-0.17</v>
      </c>
      <c r="HF28" s="17" t="n">
        <f aca="false">Daily_Composite!AD217</f>
        <v>-0.175</v>
      </c>
      <c r="HG28" s="17" t="n">
        <f aca="false">Daily_Composite!AD218</f>
        <v>-0.706</v>
      </c>
      <c r="HH28" s="17" t="n">
        <f aca="false">Daily_Composite!AD219</f>
        <v>-0.597</v>
      </c>
      <c r="HI28" s="17" t="n">
        <f aca="false">Daily_Composite!AD220</f>
        <v>-0.527</v>
      </c>
      <c r="HJ28" s="17" t="n">
        <f aca="false">Daily_Composite!AD221</f>
        <v>-0.541</v>
      </c>
      <c r="HK28" s="17" t="n">
        <f aca="false">Daily_Composite!AD222</f>
        <v>-0.367</v>
      </c>
      <c r="HL28" s="17" t="n">
        <f aca="false">Daily_Composite!AD223</f>
        <v>-0.534</v>
      </c>
      <c r="HM28" s="17" t="n">
        <f aca="false">Daily_Composite!AD224</f>
        <v>-0.703</v>
      </c>
      <c r="HN28" s="17" t="n">
        <f aca="false">Daily_Composite!AD225</f>
        <v>-0.591</v>
      </c>
      <c r="HO28" s="17" t="n">
        <f aca="false">Daily_Composite!AD226</f>
        <v>-0.576</v>
      </c>
      <c r="HP28" s="17" t="n">
        <f aca="false">Daily_Composite!AD227</f>
        <v>-0.707</v>
      </c>
      <c r="HQ28" s="17" t="n">
        <f aca="false">Daily_Composite!AD228</f>
        <v>-0.445</v>
      </c>
      <c r="HR28" s="17" t="n">
        <f aca="false">Daily_Composite!AD229</f>
        <v>-0.392</v>
      </c>
      <c r="HS28" s="17" t="n">
        <f aca="false">Daily_Composite!AD230</f>
        <v>-0.378</v>
      </c>
      <c r="HT28" s="17" t="n">
        <f aca="false">Daily_Composite!AD231</f>
        <v>-0.666</v>
      </c>
      <c r="HU28" s="17" t="n">
        <f aca="false">Daily_Composite!AD232</f>
        <v>-0.393</v>
      </c>
      <c r="HV28" s="17" t="n">
        <f aca="false">Daily_Composite!AD233</f>
        <v>-0.687</v>
      </c>
      <c r="HW28" s="17" t="n">
        <f aca="false">Daily_Composite!AD234</f>
        <v>-0.411</v>
      </c>
      <c r="HX28" s="17" t="n">
        <f aca="false">Daily_Composite!AD235</f>
        <v>-0.474</v>
      </c>
      <c r="HY28" s="17" t="n">
        <f aca="false">Daily_Composite!AD236</f>
        <v>-0.619</v>
      </c>
      <c r="HZ28" s="17" t="n">
        <f aca="false">Daily_Composite!AD237</f>
        <v>-0.425</v>
      </c>
      <c r="IA28" s="17" t="n">
        <f aca="false">Daily_Composite!AD238</f>
        <v>-0.462</v>
      </c>
      <c r="IB28" s="17" t="n">
        <f aca="false">Daily_Composite!AD239</f>
        <v>-0.419</v>
      </c>
      <c r="IC28" s="17" t="n">
        <f aca="false">Daily_Composite!AD240</f>
        <v>-0.567</v>
      </c>
      <c r="ID28" s="17" t="n">
        <f aca="false">Daily_Composite!AD241</f>
        <v>-0.363</v>
      </c>
      <c r="IE28" s="17" t="n">
        <f aca="false">Daily_Composite!AD242</f>
        <v>-0.647</v>
      </c>
      <c r="IF28" s="17" t="n">
        <f aca="false">Daily_Composite!AD243</f>
        <v>-0.303</v>
      </c>
      <c r="IG28" s="17" t="n">
        <f aca="false">Daily_Composite!AD244</f>
        <v>-0.266</v>
      </c>
      <c r="IH28" s="17" t="n">
        <f aca="false">Daily_Composite!AD245</f>
        <v>-0.519</v>
      </c>
      <c r="II28" s="17" t="n">
        <f aca="false">Daily_Composite!AD246</f>
        <v>-0.483</v>
      </c>
      <c r="IJ28" s="17" t="n">
        <f aca="false">Daily_Composite!AD247</f>
        <v>-0.35</v>
      </c>
      <c r="IK28" s="17" t="n">
        <f aca="false">Daily_Composite!AD248</f>
        <v>-0.277</v>
      </c>
      <c r="IL28" s="17" t="n">
        <f aca="false">Daily_Composite!AD249</f>
        <v>-0.291</v>
      </c>
      <c r="IM28" s="17" t="n">
        <f aca="false">Daily_Composite!AD250</f>
        <v>-0.424</v>
      </c>
      <c r="IN28" s="17" t="n">
        <f aca="false">Daily_Composite!AD251</f>
        <v>-0.391</v>
      </c>
      <c r="IO28" s="17" t="n">
        <f aca="false">Daily_Composite!AD252</f>
        <v>-0.626</v>
      </c>
      <c r="IP28" s="17" t="n">
        <f aca="false">Daily_Composite!AD253</f>
        <v>-0.378</v>
      </c>
      <c r="IQ28" s="17" t="n">
        <f aca="false">Daily_Composite!AD254</f>
        <v>-0.221</v>
      </c>
      <c r="IR28" s="17" t="n">
        <f aca="false">Daily_Composite!AD255</f>
        <v>-0.216</v>
      </c>
      <c r="IS28" s="17" t="n">
        <f aca="false">Daily_Composite!AD256</f>
        <v>-0.099</v>
      </c>
      <c r="IT28" s="17" t="n">
        <f aca="false">Daily_Composite!AD257</f>
        <v>-0.091</v>
      </c>
      <c r="IU28" s="17" t="n">
        <f aca="false">Daily_Composite!AD258</f>
        <v>0.143</v>
      </c>
      <c r="IV28" s="17" t="n">
        <f aca="false">Daily_Composite!AD259</f>
        <v>0.191</v>
      </c>
      <c r="IW28" s="17" t="n">
        <f aca="false">Daily_Composite!AD260</f>
        <v>-0.562</v>
      </c>
      <c r="IX28" s="17" t="n">
        <f aca="false">Daily_Composite!AD261</f>
        <v>-0.18</v>
      </c>
      <c r="IY28" s="17" t="n">
        <f aca="false">Daily_Composite!AD262</f>
        <v>-0.076</v>
      </c>
      <c r="IZ28" s="17" t="n">
        <f aca="false">Daily_Composite!AD263</f>
        <v>0.148</v>
      </c>
      <c r="JA28" s="17" t="n">
        <f aca="false">Daily_Composite!AD264</f>
        <v>-0.051</v>
      </c>
      <c r="JB28" s="17" t="n">
        <f aca="false">Daily_Composite!AD265</f>
        <v>-0.201</v>
      </c>
      <c r="JC28" s="17" t="n">
        <f aca="false">Daily_Composite!AD266</f>
        <v>-0.394</v>
      </c>
      <c r="JD28" s="17" t="n">
        <f aca="false">Daily_Composite!AD267</f>
        <v>0.105</v>
      </c>
      <c r="JE28" s="17" t="n">
        <f aca="false">Daily_Composite!AD268</f>
        <v>0.085</v>
      </c>
      <c r="JF28" s="17" t="n">
        <f aca="false">Daily_Composite!AD269</f>
        <v>-0.463</v>
      </c>
      <c r="JG28" s="17" t="n">
        <f aca="false">Daily_Composite!AD270</f>
        <v>-0.229</v>
      </c>
      <c r="JH28" s="17" t="n">
        <f aca="false">Daily_Composite!AD271</f>
        <v>-0.158</v>
      </c>
      <c r="JI28" s="17" t="n">
        <f aca="false">Daily_Composite!AD272</f>
        <v>-0.452</v>
      </c>
      <c r="JJ28" s="17" t="n">
        <f aca="false">Daily_Composite!AD273</f>
        <v>-0.377</v>
      </c>
      <c r="JK28" s="17" t="n">
        <f aca="false">Daily_Composite!AD274</f>
        <v>-0.457</v>
      </c>
      <c r="JL28" s="17" t="n">
        <f aca="false">Daily_Composite!AD275</f>
        <v>-0.105</v>
      </c>
      <c r="JM28" s="17" t="n">
        <f aca="false">Daily_Composite!AD276</f>
        <v>-0.117</v>
      </c>
      <c r="JN28" s="17" t="n">
        <f aca="false">Daily_Composite!AD277</f>
        <v>-0.127</v>
      </c>
      <c r="JO28" s="17" t="n">
        <f aca="false">Daily_Composite!AD278</f>
        <v>-0.118</v>
      </c>
      <c r="JP28" s="17" t="n">
        <f aca="false">Daily_Composite!AD279</f>
        <v>-0.583</v>
      </c>
      <c r="JQ28" s="17" t="n">
        <f aca="false">Daily_Composite!AD280</f>
        <v>-0.453</v>
      </c>
      <c r="JR28" s="17" t="n">
        <f aca="false">Daily_Composite!AD281</f>
        <v>-0.434</v>
      </c>
      <c r="JS28" s="17" t="n">
        <f aca="false">Daily_Composite!AD282</f>
        <v>0.141</v>
      </c>
      <c r="JT28" s="17" t="n">
        <f aca="false">Daily_Composite!AD283</f>
        <v>-0.113</v>
      </c>
      <c r="JU28" s="17" t="n">
        <f aca="false">Daily_Composite!AD284</f>
        <v>-0.098</v>
      </c>
      <c r="JV28" s="17" t="n">
        <f aca="false">Daily_Composite!AD285</f>
        <v>-0.099</v>
      </c>
      <c r="JW28" s="17" t="n">
        <f aca="false">Daily_Composite!AD286</f>
        <v>0.114</v>
      </c>
      <c r="JX28" s="17" t="n">
        <f aca="false">Daily_Composite!AD287</f>
        <v>-0.37</v>
      </c>
      <c r="JY28" s="17" t="n">
        <f aca="false">Daily_Composite!AD288</f>
        <v>-0.159</v>
      </c>
      <c r="JZ28" s="17" t="n">
        <f aca="false">Daily_Composite!AD289</f>
        <v>-0.162</v>
      </c>
      <c r="KA28" s="17" t="n">
        <f aca="false">Daily_Composite!AD290</f>
        <v>0.114</v>
      </c>
      <c r="KB28" s="17" t="n">
        <f aca="false">Daily_Composite!AD291</f>
        <v>-0.29</v>
      </c>
      <c r="KC28" s="17" t="n">
        <f aca="false">Daily_Composite!AD292</f>
        <v>-0.47</v>
      </c>
      <c r="KD28" s="17" t="n">
        <f aca="false">Daily_Composite!AD293</f>
        <v>-0.495</v>
      </c>
      <c r="KE28" s="17" t="n">
        <f aca="false">Daily_Composite!AD294</f>
        <v>0.093</v>
      </c>
      <c r="KF28" s="17" t="n">
        <f aca="false">Daily_Composite!AD295</f>
        <v>0.072</v>
      </c>
      <c r="KG28" s="17" t="n">
        <f aca="false">Daily_Composite!AD296</f>
        <v>-0.393</v>
      </c>
      <c r="KH28" s="17" t="n">
        <f aca="false">Daily_Composite!AD297</f>
        <v>-0.688</v>
      </c>
      <c r="KI28" s="17" t="n">
        <f aca="false">Daily_Composite!AD298</f>
        <v>-0.282</v>
      </c>
      <c r="KJ28" s="17" t="n">
        <f aca="false">Daily_Composite!AD299</f>
        <v>-0.204</v>
      </c>
      <c r="KK28" s="17" t="n">
        <f aca="false">Daily_Composite!AD300</f>
        <v>-0.283</v>
      </c>
      <c r="KL28" s="17" t="n">
        <f aca="false">Daily_Composite!AD301</f>
        <v>-0.549</v>
      </c>
      <c r="KM28" s="17" t="n">
        <f aca="false">Daily_Composite!AD302</f>
        <v>-0.204</v>
      </c>
      <c r="KN28" s="17" t="n">
        <f aca="false">Daily_Composite!AD303</f>
        <v>-0.159</v>
      </c>
      <c r="KO28" s="17" t="n">
        <f aca="false">Daily_Composite!AD304</f>
        <v>-0.089</v>
      </c>
      <c r="KP28" s="17" t="n">
        <f aca="false">Daily_Composite!AD305</f>
        <v>-0.303</v>
      </c>
      <c r="KQ28" s="17" t="n">
        <f aca="false">Daily_Composite!AD306</f>
        <v>-0.319</v>
      </c>
      <c r="KR28" s="17" t="n">
        <f aca="false">Daily_Composite!AD307</f>
        <v>-0.516</v>
      </c>
      <c r="KS28" s="17" t="n">
        <f aca="false">Daily_Composite!AD308</f>
        <v>-0.266</v>
      </c>
      <c r="KT28" s="17" t="n">
        <f aca="false">Daily_Composite!AD309</f>
        <v>-0.004</v>
      </c>
      <c r="KU28" s="17" t="n">
        <f aca="false">Daily_Composite!AD310</f>
        <v>-0.224</v>
      </c>
      <c r="KV28" s="17" t="n">
        <f aca="false">Daily_Composite!AD311</f>
        <v>-0.125</v>
      </c>
      <c r="KW28" s="17" t="n">
        <f aca="false">Daily_Composite!AD312</f>
        <v>-0.123</v>
      </c>
      <c r="KX28" s="17" t="n">
        <f aca="false">Daily_Composite!AD313</f>
        <v>-0.029</v>
      </c>
      <c r="KY28" s="17" t="n">
        <f aca="false">Daily_Composite!AD314</f>
        <v>-0.015</v>
      </c>
      <c r="KZ28" s="17" t="n">
        <f aca="false">Daily_Composite!AD315</f>
        <v>-0.131</v>
      </c>
      <c r="LA28" s="17" t="n">
        <f aca="false">Daily_Composite!AD316</f>
        <v>-0.048</v>
      </c>
      <c r="LB28" s="17" t="n">
        <f aca="false">Daily_Composite!AD317</f>
        <v>-0.013</v>
      </c>
      <c r="LC28" s="17" t="n">
        <f aca="false">Daily_Composite!AD318</f>
        <v>0.283</v>
      </c>
      <c r="LD28" s="17" t="n">
        <f aca="false">Daily_Composite!AD319</f>
        <v>-0.108</v>
      </c>
      <c r="LE28" s="17" t="n">
        <f aca="false">Daily_Composite!AD320</f>
        <v>-0.121</v>
      </c>
      <c r="LF28" s="17" t="n">
        <f aca="false">Daily_Composite!AD321</f>
        <v>-0.094</v>
      </c>
      <c r="LG28" s="17" t="n">
        <f aca="false">Daily_Composite!AD322</f>
        <v>0.17</v>
      </c>
      <c r="LH28" s="17" t="n">
        <f aca="false">Daily_Composite!AD323</f>
        <v>0.138</v>
      </c>
      <c r="LI28" s="17" t="n">
        <f aca="false">Daily_Composite!AD324</f>
        <v>0.505</v>
      </c>
      <c r="LJ28" s="17" t="n">
        <f aca="false">Daily_Composite!AD325</f>
        <v>0.036</v>
      </c>
      <c r="LK28" s="17" t="n">
        <f aca="false">Daily_Composite!AD326</f>
        <v>0.042</v>
      </c>
      <c r="LL28" s="17" t="n">
        <f aca="false">Daily_Composite!AD327</f>
        <v>0.472</v>
      </c>
      <c r="LM28" s="17" t="n">
        <f aca="false">Daily_Composite!AD328</f>
        <v>0.078</v>
      </c>
      <c r="LN28" s="17" t="n">
        <f aca="false">Daily_Composite!AD329</f>
        <v>-0.01</v>
      </c>
      <c r="LO28" s="17" t="n">
        <f aca="false">Daily_Composite!AD330</f>
        <v>-0.077</v>
      </c>
      <c r="LP28" s="17" t="n">
        <f aca="false">Daily_Composite!AD331</f>
        <v>-0.16</v>
      </c>
      <c r="LQ28" s="17" t="n">
        <f aca="false">Daily_Composite!AD332</f>
        <v>0.045</v>
      </c>
      <c r="LR28" s="17" t="n">
        <f aca="false">Daily_Composite!AD333</f>
        <v>0.07</v>
      </c>
      <c r="LS28" s="17" t="n">
        <f aca="false">Daily_Composite!AD334</f>
        <v>-0.482</v>
      </c>
      <c r="LT28" s="17" t="n">
        <f aca="false">Daily_Composite!AD335</f>
        <v>-0.384</v>
      </c>
      <c r="LU28" s="17" t="n">
        <f aca="false">Daily_Composite!AD336</f>
        <v>-0.308</v>
      </c>
      <c r="LV28" s="17" t="n">
        <f aca="false">Daily_Composite!AD337</f>
        <v>0.152</v>
      </c>
      <c r="LW28" s="17" t="n">
        <f aca="false">Daily_Composite!AD338</f>
        <v>-0.37</v>
      </c>
      <c r="LX28" s="17" t="n">
        <f aca="false">Daily_Composite!AD339</f>
        <v>-0.432</v>
      </c>
      <c r="LY28" s="17" t="n">
        <f aca="false">Daily_Composite!AD340</f>
        <v>-0.48</v>
      </c>
      <c r="LZ28" s="17" t="n">
        <f aca="false">Daily_Composite!AD341</f>
        <v>-0.252</v>
      </c>
      <c r="MA28" s="17" t="n">
        <f aca="false">Daily_Composite!AD342</f>
        <v>-0.497</v>
      </c>
      <c r="MB28" s="17" t="n">
        <f aca="false">Daily_Composite!AD343</f>
        <v>-0.207</v>
      </c>
      <c r="MC28" s="17" t="n">
        <f aca="false">Daily_Composite!AD344</f>
        <v>-0.226</v>
      </c>
      <c r="MD28" s="17" t="n">
        <f aca="false">Daily_Composite!AD345</f>
        <v>-0.271</v>
      </c>
      <c r="ME28" s="17" t="n">
        <f aca="false">Daily_Composite!AD346</f>
        <v>-0.014</v>
      </c>
      <c r="MF28" s="17" t="n">
        <f aca="false">Daily_Composite!AD347</f>
        <v>-0.436</v>
      </c>
      <c r="MG28" s="17" t="n">
        <f aca="false">Daily_Composite!AD348</f>
        <v>-0.421</v>
      </c>
      <c r="MH28" s="17" t="n">
        <f aca="false">Daily_Composite!AD349</f>
        <v>-0.287</v>
      </c>
      <c r="MI28" s="17" t="n">
        <f aca="false">Daily_Composite!AD350</f>
        <v>-0.159</v>
      </c>
      <c r="MJ28" s="17" t="n">
        <f aca="false">Daily_Composite!AD351</f>
        <v>-0.33</v>
      </c>
      <c r="MK28" s="17" t="n">
        <f aca="false">Daily_Composite!AD352</f>
        <v>-0.083</v>
      </c>
      <c r="ML28" s="17" t="n">
        <f aca="false">Daily_Composite!AD353</f>
        <v>-0.07</v>
      </c>
      <c r="MM28" s="17" t="n">
        <f aca="false">Daily_Composite!AD354</f>
        <v>-0.319</v>
      </c>
      <c r="MN28" s="17" t="n">
        <f aca="false">Daily_Composite!AD355</f>
        <v>-0.217</v>
      </c>
      <c r="MO28" s="17" t="n">
        <f aca="false">Daily_Composite!AD356</f>
        <v>-0.169</v>
      </c>
      <c r="MP28" s="17" t="n">
        <f aca="false">Daily_Composite!AD357</f>
        <v>0.046</v>
      </c>
      <c r="MQ28" s="17" t="n">
        <f aca="false">Daily_Composite!AD358</f>
        <v>-0.053</v>
      </c>
      <c r="MR28" s="17" t="n">
        <f aca="false">Daily_Composite!AD359</f>
        <v>-0.144</v>
      </c>
      <c r="MS28" s="17" t="n">
        <f aca="false">Daily_Composite!AD360</f>
        <v>-0.026</v>
      </c>
      <c r="MT28" s="17" t="n">
        <f aca="false">Daily_Composite!AD361</f>
        <v>-0.415</v>
      </c>
      <c r="MU28" s="17" t="n">
        <f aca="false">Daily_Composite!AD362</f>
        <v>-0.23</v>
      </c>
      <c r="MV28" s="17" t="n">
        <f aca="false">Daily_Composite!AD363</f>
        <v>-0.057</v>
      </c>
      <c r="MW28" s="17" t="n">
        <f aca="false">Daily_Composite!AD364</f>
        <v>-0.21</v>
      </c>
      <c r="MX28" s="17" t="n">
        <f aca="false">Daily_Composite!AD365</f>
        <v>-0.226</v>
      </c>
      <c r="MY28" s="17" t="n">
        <f aca="false">Daily_Composite!AD366</f>
        <v>-0.103</v>
      </c>
      <c r="MZ28" s="17" t="n">
        <f aca="false">Daily_Composite!AD367</f>
        <v>-0.248</v>
      </c>
      <c r="NA28" s="17" t="n">
        <f aca="false">Daily_Composite!AD368</f>
        <v>-0.002</v>
      </c>
      <c r="NB28" s="17" t="n">
        <f aca="false">Daily_Composite!AD369</f>
        <v>0.164</v>
      </c>
    </row>
    <row r="29" customFormat="false" ht="15" hidden="false" customHeight="false" outlineLevel="0" collapsed="false">
      <c r="A29" s="6" t="s">
        <v>42</v>
      </c>
      <c r="B29" s="17" t="n">
        <f aca="false">Daily_Composite!AE5</f>
        <v>0.049</v>
      </c>
      <c r="C29" s="17" t="n">
        <f aca="false">Daily_Composite!AE6</f>
        <v>0.083</v>
      </c>
      <c r="D29" s="17" t="n">
        <f aca="false">Daily_Composite!AE7</f>
        <v>0.079</v>
      </c>
      <c r="E29" s="17" t="n">
        <f aca="false">Daily_Composite!AE8</f>
        <v>0.235</v>
      </c>
      <c r="F29" s="17" t="n">
        <f aca="false">Daily_Composite!AE9</f>
        <v>0.08</v>
      </c>
      <c r="G29" s="17" t="n">
        <f aca="false">Daily_Composite!AE10</f>
        <v>0.077</v>
      </c>
      <c r="H29" s="17" t="n">
        <f aca="false">Daily_Composite!AE11</f>
        <v>0.484</v>
      </c>
      <c r="I29" s="17" t="n">
        <f aca="false">Daily_Composite!AE12</f>
        <v>0.116</v>
      </c>
      <c r="J29" s="17" t="n">
        <f aca="false">Daily_Composite!AE13</f>
        <v>0.135</v>
      </c>
      <c r="K29" s="17" t="n">
        <f aca="false">Daily_Composite!AE14</f>
        <v>0.458</v>
      </c>
      <c r="L29" s="17" t="n">
        <f aca="false">Daily_Composite!AE15</f>
        <v>0.319</v>
      </c>
      <c r="M29" s="17" t="n">
        <f aca="false">Daily_Composite!AE16</f>
        <v>0.317</v>
      </c>
      <c r="N29" s="17" t="n">
        <f aca="false">Daily_Composite!AE17</f>
        <v>0.115</v>
      </c>
      <c r="O29" s="17" t="n">
        <f aca="false">Daily_Composite!AE18</f>
        <v>0.103</v>
      </c>
      <c r="P29" s="17" t="n">
        <f aca="false">Daily_Composite!AE19</f>
        <v>0.133</v>
      </c>
      <c r="Q29" s="17" t="n">
        <f aca="false">Daily_Composite!AE20</f>
        <v>0.306</v>
      </c>
      <c r="R29" s="17" t="n">
        <f aca="false">Daily_Composite!AE21</f>
        <v>0.43</v>
      </c>
      <c r="S29" s="17" t="n">
        <f aca="false">Daily_Composite!AE22</f>
        <v>0.137</v>
      </c>
      <c r="T29" s="17" t="n">
        <f aca="false">Daily_Composite!AE23</f>
        <v>0.05</v>
      </c>
      <c r="U29" s="17" t="n">
        <f aca="false">Daily_Composite!AE24</f>
        <v>0.036</v>
      </c>
      <c r="V29" s="17" t="n">
        <f aca="false">Daily_Composite!AE25</f>
        <v>0.049</v>
      </c>
      <c r="W29" s="17" t="n">
        <f aca="false">Daily_Composite!AE26</f>
        <v>0.009</v>
      </c>
      <c r="X29" s="17" t="n">
        <f aca="false">Daily_Composite!AE27</f>
        <v>-0.023</v>
      </c>
      <c r="Y29" s="17" t="n">
        <f aca="false">Daily_Composite!AE28</f>
        <v>-0.01</v>
      </c>
      <c r="Z29" s="17" t="n">
        <f aca="false">Daily_Composite!AE29</f>
        <v>-0.03</v>
      </c>
      <c r="AA29" s="17" t="n">
        <f aca="false">Daily_Composite!AE30</f>
        <v>0.345</v>
      </c>
      <c r="AB29" s="17" t="n">
        <f aca="false">Daily_Composite!AE31</f>
        <v>-0.06</v>
      </c>
      <c r="AC29" s="17" t="n">
        <f aca="false">Daily_Composite!AE32</f>
        <v>-0.051</v>
      </c>
      <c r="AD29" s="17" t="n">
        <f aca="false">Daily_Composite!AE33</f>
        <v>-0.012</v>
      </c>
      <c r="AE29" s="17" t="n">
        <f aca="false">Daily_Composite!AE34</f>
        <v>-0.013</v>
      </c>
      <c r="AF29" s="17" t="n">
        <f aca="false">Daily_Composite!AE35</f>
        <v>0.177</v>
      </c>
      <c r="AG29" s="17" t="n">
        <f aca="false">Daily_Composite!AE36</f>
        <v>0.072</v>
      </c>
      <c r="AH29" s="17" t="n">
        <f aca="false">Daily_Composite!AE37</f>
        <v>0.019</v>
      </c>
      <c r="AI29" s="17" t="n">
        <f aca="false">Daily_Composite!AE38</f>
        <v>0.398</v>
      </c>
      <c r="AJ29" s="17" t="n">
        <f aca="false">Daily_Composite!AE39</f>
        <v>0.034</v>
      </c>
      <c r="AK29" s="17" t="n">
        <f aca="false">Daily_Composite!AE40</f>
        <v>0.052</v>
      </c>
      <c r="AL29" s="17" t="n">
        <f aca="false">Daily_Composite!AE41</f>
        <v>0.072</v>
      </c>
      <c r="AM29" s="17" t="n">
        <f aca="false">Daily_Composite!AE42</f>
        <v>0.007</v>
      </c>
      <c r="AN29" s="17" t="n">
        <f aca="false">Daily_Composite!AE43</f>
        <v>0.025</v>
      </c>
      <c r="AO29" s="17" t="n">
        <f aca="false">Daily_Composite!AE44</f>
        <v>0.116</v>
      </c>
      <c r="AP29" s="17" t="n">
        <f aca="false">Daily_Composite!AE45</f>
        <v>0.116</v>
      </c>
      <c r="AQ29" s="17" t="n">
        <f aca="false">Daily_Composite!AE46</f>
        <v>0.078</v>
      </c>
      <c r="AR29" s="17" t="n">
        <f aca="false">Daily_Composite!AE47</f>
        <v>0.083</v>
      </c>
      <c r="AS29" s="17" t="n">
        <f aca="false">Daily_Composite!AE48</f>
        <v>-0.188</v>
      </c>
      <c r="AT29" s="17" t="n">
        <f aca="false">Daily_Composite!AE49</f>
        <v>0.101</v>
      </c>
      <c r="AU29" s="17" t="n">
        <f aca="false">Daily_Composite!AE50</f>
        <v>0.077</v>
      </c>
      <c r="AV29" s="17" t="n">
        <f aca="false">Daily_Composite!AE51</f>
        <v>0.049</v>
      </c>
      <c r="AW29" s="17" t="n">
        <f aca="false">Daily_Composite!AE52</f>
        <v>0.049</v>
      </c>
      <c r="AX29" s="17" t="n">
        <f aca="false">Daily_Composite!AE53</f>
        <v>0.052</v>
      </c>
      <c r="AY29" s="17" t="n">
        <f aca="false">Daily_Composite!AE54</f>
        <v>0.07</v>
      </c>
      <c r="AZ29" s="17" t="n">
        <f aca="false">Daily_Composite!AE55</f>
        <v>-0.104</v>
      </c>
      <c r="BA29" s="17" t="n">
        <f aca="false">Daily_Composite!AE56</f>
        <v>-0.08</v>
      </c>
      <c r="BB29" s="17" t="n">
        <f aca="false">Daily_Composite!AE57</f>
        <v>-0.069</v>
      </c>
      <c r="BC29" s="17" t="n">
        <f aca="false">Daily_Composite!AE58</f>
        <v>-0.49</v>
      </c>
      <c r="BD29" s="17" t="n">
        <f aca="false">Daily_Composite!AE59</f>
        <v>-0.105</v>
      </c>
      <c r="BE29" s="17" t="n">
        <f aca="false">Daily_Composite!AE60</f>
        <v>-0.108</v>
      </c>
      <c r="BF29" s="17" t="n">
        <f aca="false">Daily_Composite!AE61</f>
        <v>-0.047</v>
      </c>
      <c r="BG29" s="17" t="n">
        <f aca="false">Daily_Composite!AE62</f>
        <v>-0.046</v>
      </c>
      <c r="BH29" s="17" t="n">
        <f aca="false">Daily_Composite!AE63</f>
        <v>0.008</v>
      </c>
      <c r="BI29" s="17" t="n">
        <f aca="false">Daily_Composite!AE64</f>
        <v>0.09</v>
      </c>
      <c r="BJ29" s="17" t="n">
        <f aca="false">Daily_Composite!AE65</f>
        <v>0.001</v>
      </c>
      <c r="BK29" s="17" t="n">
        <f aca="false">Daily_Composite!AE66</f>
        <v>0.34</v>
      </c>
      <c r="BL29" s="17" t="n">
        <f aca="false">Daily_Composite!AE67</f>
        <v>-0.089</v>
      </c>
      <c r="BM29" s="17" t="n">
        <f aca="false">Daily_Composite!AE68</f>
        <v>-0.064</v>
      </c>
      <c r="BN29" s="17" t="n">
        <f aca="false">Daily_Composite!AE69</f>
        <v>0.276</v>
      </c>
      <c r="BO29" s="17" t="n">
        <f aca="false">Daily_Composite!AE70</f>
        <v>0.255</v>
      </c>
      <c r="BP29" s="17" t="n">
        <f aca="false">Daily_Composite!AE71</f>
        <v>-0.07</v>
      </c>
      <c r="BQ29" s="17" t="n">
        <f aca="false">Daily_Composite!AE72</f>
        <v>-0.056</v>
      </c>
      <c r="BR29" s="17" t="n">
        <f aca="false">Daily_Composite!AE73</f>
        <v>-0.054</v>
      </c>
      <c r="BS29" s="17" t="n">
        <f aca="false">Daily_Composite!AE74</f>
        <v>-0.003</v>
      </c>
      <c r="BT29" s="17" t="n">
        <f aca="false">Daily_Composite!AE75</f>
        <v>0.404</v>
      </c>
      <c r="BU29" s="17" t="n">
        <f aca="false">Daily_Composite!AE76</f>
        <v>-0.051</v>
      </c>
      <c r="BV29" s="17" t="n">
        <f aca="false">Daily_Composite!AE77</f>
        <v>-0.054</v>
      </c>
      <c r="BW29" s="17" t="n">
        <f aca="false">Daily_Composite!AE78</f>
        <v>-0.055</v>
      </c>
      <c r="BX29" s="17" t="n">
        <f aca="false">Daily_Composite!AE79</f>
        <v>-0.014</v>
      </c>
      <c r="BY29" s="17" t="n">
        <f aca="false">Daily_Composite!AE80</f>
        <v>-0.076</v>
      </c>
      <c r="BZ29" s="17" t="n">
        <f aca="false">Daily_Composite!AE81</f>
        <v>-0.051</v>
      </c>
      <c r="CA29" s="17" t="n">
        <f aca="false">Daily_Composite!AE82</f>
        <v>-0.047</v>
      </c>
      <c r="CB29" s="17" t="n">
        <f aca="false">Daily_Composite!AE83</f>
        <v>0.035</v>
      </c>
      <c r="CC29" s="17" t="n">
        <f aca="false">Daily_Composite!AE84</f>
        <v>0.038</v>
      </c>
      <c r="CD29" s="17" t="n">
        <f aca="false">Daily_Composite!AE85</f>
        <v>0.511</v>
      </c>
      <c r="CE29" s="17" t="n">
        <f aca="false">Daily_Composite!AE86</f>
        <v>0.09</v>
      </c>
      <c r="CF29" s="17" t="n">
        <f aca="false">Daily_Composite!AE87</f>
        <v>0.097</v>
      </c>
      <c r="CG29" s="17" t="n">
        <f aca="false">Daily_Composite!AE88</f>
        <v>0.059</v>
      </c>
      <c r="CH29" s="17" t="n">
        <f aca="false">Daily_Composite!AE89</f>
        <v>0.05</v>
      </c>
      <c r="CI29" s="17" t="n">
        <f aca="false">Daily_Composite!AE90</f>
        <v>0.411</v>
      </c>
      <c r="CJ29" s="17" t="n">
        <f aca="false">Daily_Composite!AE91</f>
        <v>0.439</v>
      </c>
      <c r="CK29" s="17" t="n">
        <f aca="false">Daily_Composite!AE92</f>
        <v>0.044</v>
      </c>
      <c r="CL29" s="17" t="n">
        <f aca="false">Daily_Composite!AE93</f>
        <v>0.225</v>
      </c>
      <c r="CM29" s="17" t="n">
        <f aca="false">Daily_Composite!AE94</f>
        <v>0.074</v>
      </c>
      <c r="CN29" s="17" t="n">
        <f aca="false">Daily_Composite!AE95</f>
        <v>0.074</v>
      </c>
      <c r="CO29" s="17" t="n">
        <f aca="false">Daily_Composite!AE96</f>
        <v>0.347</v>
      </c>
      <c r="CP29" s="17" t="n">
        <f aca="false">Daily_Composite!AE97</f>
        <v>0.332</v>
      </c>
      <c r="CQ29" s="17" t="n">
        <f aca="false">Daily_Composite!AE98</f>
        <v>-0.012</v>
      </c>
      <c r="CR29" s="17" t="n">
        <f aca="false">Daily_Composite!AE99</f>
        <v>0.031</v>
      </c>
      <c r="CS29" s="17" t="n">
        <f aca="false">Daily_Composite!AE100</f>
        <v>0.008</v>
      </c>
      <c r="CT29" s="17" t="n">
        <f aca="false">Daily_Composite!AE101</f>
        <v>0.008</v>
      </c>
      <c r="CU29" s="17" t="n">
        <f aca="false">Daily_Composite!AE102</f>
        <v>-0.41</v>
      </c>
      <c r="CV29" s="17" t="n">
        <f aca="false">Daily_Composite!AE103</f>
        <v>0.008</v>
      </c>
      <c r="CW29" s="17" t="n">
        <f aca="false">Daily_Composite!AE104</f>
        <v>0.01</v>
      </c>
      <c r="CX29" s="17" t="n">
        <f aca="false">Daily_Composite!AE105</f>
        <v>0.012</v>
      </c>
      <c r="CY29" s="17" t="n">
        <f aca="false">Daily_Composite!AE106</f>
        <v>0.042</v>
      </c>
      <c r="CZ29" s="17" t="n">
        <f aca="false">Daily_Composite!AE107</f>
        <v>0.016</v>
      </c>
      <c r="DA29" s="17" t="n">
        <f aca="false">Daily_Composite!AE108</f>
        <v>0.054</v>
      </c>
      <c r="DB29" s="17" t="n">
        <f aca="false">Daily_Composite!AE109</f>
        <v>0.051</v>
      </c>
      <c r="DC29" s="17" t="n">
        <f aca="false">Daily_Composite!AE110</f>
        <v>0.054</v>
      </c>
      <c r="DD29" s="17" t="n">
        <f aca="false">Daily_Composite!AE111</f>
        <v>0.069</v>
      </c>
      <c r="DE29" s="17" t="n">
        <f aca="false">Daily_Composite!AE112</f>
        <v>-0.396</v>
      </c>
      <c r="DF29" s="17" t="n">
        <f aca="false">Daily_Composite!AE113</f>
        <v>0.106</v>
      </c>
      <c r="DG29" s="17" t="n">
        <f aca="false">Daily_Composite!AE114</f>
        <v>0.119</v>
      </c>
      <c r="DH29" s="17" t="n">
        <f aca="false">Daily_Composite!AE115</f>
        <v>0.121</v>
      </c>
      <c r="DI29" s="17" t="n">
        <f aca="false">Daily_Composite!AE116</f>
        <v>-0</v>
      </c>
      <c r="DJ29" s="17" t="n">
        <f aca="false">Daily_Composite!AE117</f>
        <v>0.014</v>
      </c>
      <c r="DK29" s="17" t="n">
        <f aca="false">Daily_Composite!AE118</f>
        <v>-0.168</v>
      </c>
      <c r="DL29" s="17" t="n">
        <f aca="false">Daily_Composite!AE119</f>
        <v>0.063</v>
      </c>
      <c r="DM29" s="17" t="n">
        <f aca="false">Daily_Composite!AE120</f>
        <v>0.138</v>
      </c>
      <c r="DN29" s="17" t="n">
        <f aca="false">Daily_Composite!AE121</f>
        <v>-0.283</v>
      </c>
      <c r="DO29" s="17" t="n">
        <f aca="false">Daily_Composite!AE122</f>
        <v>0.112</v>
      </c>
      <c r="DP29" s="17" t="n">
        <f aca="false">Daily_Composite!AE123</f>
        <v>0.116</v>
      </c>
      <c r="DQ29" s="17" t="n">
        <f aca="false">Daily_Composite!AE124</f>
        <v>-0.05</v>
      </c>
      <c r="DR29" s="17" t="n">
        <f aca="false">Daily_Composite!AE125</f>
        <v>0.181</v>
      </c>
      <c r="DS29" s="17" t="n">
        <f aca="false">Daily_Composite!AE126</f>
        <v>0.152</v>
      </c>
      <c r="DT29" s="17" t="n">
        <f aca="false">Daily_Composite!AE127</f>
        <v>0.154</v>
      </c>
      <c r="DU29" s="17" t="n">
        <f aca="false">Daily_Composite!AE128</f>
        <v>0.078</v>
      </c>
      <c r="DV29" s="17" t="n">
        <f aca="false">Daily_Composite!AE129</f>
        <v>0.072</v>
      </c>
      <c r="DW29" s="17" t="n">
        <f aca="false">Daily_Composite!AE130</f>
        <v>0.58</v>
      </c>
      <c r="DX29" s="17" t="n">
        <f aca="false">Daily_Composite!AE131</f>
        <v>0.167</v>
      </c>
      <c r="DY29" s="17" t="n">
        <f aca="false">Daily_Composite!AE132</f>
        <v>0.123</v>
      </c>
      <c r="DZ29" s="17" t="n">
        <f aca="false">Daily_Composite!AE133</f>
        <v>0.099</v>
      </c>
      <c r="EA29" s="17" t="n">
        <f aca="false">Daily_Composite!AE134</f>
        <v>0.092</v>
      </c>
      <c r="EB29" s="17" t="n">
        <f aca="false">Daily_Composite!AE135</f>
        <v>0.083</v>
      </c>
      <c r="EC29" s="17" t="n">
        <f aca="false">Daily_Composite!AE136</f>
        <v>0.113</v>
      </c>
      <c r="ED29" s="17" t="n">
        <f aca="false">Daily_Composite!AE137</f>
        <v>0.124</v>
      </c>
      <c r="EE29" s="17" t="n">
        <f aca="false">Daily_Composite!AE138</f>
        <v>0.124</v>
      </c>
      <c r="EF29" s="17" t="n">
        <f aca="false">Daily_Composite!AE139</f>
        <v>0.494</v>
      </c>
      <c r="EG29" s="17" t="n">
        <f aca="false">Daily_Composite!AE140</f>
        <v>0.084</v>
      </c>
      <c r="EH29" s="17" t="n">
        <f aca="false">Daily_Composite!AE141</f>
        <v>0.094</v>
      </c>
      <c r="EI29" s="17" t="n">
        <f aca="false">Daily_Composite!AE142</f>
        <v>0.097</v>
      </c>
      <c r="EJ29" s="17" t="n">
        <f aca="false">Daily_Composite!AE143</f>
        <v>0.095</v>
      </c>
      <c r="EK29" s="17" t="n">
        <f aca="false">Daily_Composite!AE144</f>
        <v>0.056</v>
      </c>
      <c r="EL29" s="17" t="n">
        <f aca="false">Daily_Composite!AE145</f>
        <v>-0.171</v>
      </c>
      <c r="EM29" s="17" t="n">
        <f aca="false">Daily_Composite!AE146</f>
        <v>-0.122</v>
      </c>
      <c r="EN29" s="17" t="n">
        <f aca="false">Daily_Composite!AE147</f>
        <v>0.084</v>
      </c>
      <c r="EO29" s="17" t="n">
        <f aca="false">Daily_Composite!AE148</f>
        <v>-0.27</v>
      </c>
      <c r="EP29" s="17" t="n">
        <f aca="false">Daily_Composite!AE149</f>
        <v>0.067</v>
      </c>
      <c r="EQ29" s="17" t="n">
        <f aca="false">Daily_Composite!AE150</f>
        <v>0.092</v>
      </c>
      <c r="ER29" s="17" t="n">
        <f aca="false">Daily_Composite!AE151</f>
        <v>-0.011</v>
      </c>
      <c r="ES29" s="17" t="n">
        <f aca="false">Daily_Composite!AE152</f>
        <v>0.007</v>
      </c>
      <c r="ET29" s="17" t="n">
        <f aca="false">Daily_Composite!AE153</f>
        <v>0.128</v>
      </c>
      <c r="EU29" s="17" t="n">
        <f aca="false">Daily_Composite!AE154</f>
        <v>0.104</v>
      </c>
      <c r="EV29" s="17" t="n">
        <f aca="false">Daily_Composite!AE155</f>
        <v>0.132</v>
      </c>
      <c r="EW29" s="17" t="n">
        <f aca="false">Daily_Composite!AE156</f>
        <v>0.135</v>
      </c>
      <c r="EX29" s="17" t="n">
        <f aca="false">Daily_Composite!AE157</f>
        <v>0.269</v>
      </c>
      <c r="EY29" s="17" t="n">
        <f aca="false">Daily_Composite!AE158</f>
        <v>-0.084</v>
      </c>
      <c r="EZ29" s="17" t="n">
        <f aca="false">Daily_Composite!AE159</f>
        <v>-0.082</v>
      </c>
      <c r="FA29" s="17" t="n">
        <f aca="false">Daily_Composite!AE160</f>
        <v>-0.049</v>
      </c>
      <c r="FB29" s="17" t="n">
        <f aca="false">Daily_Composite!AE161</f>
        <v>-0.009</v>
      </c>
      <c r="FC29" s="17" t="n">
        <f aca="false">Daily_Composite!AE162</f>
        <v>0.031</v>
      </c>
      <c r="FD29" s="17" t="n">
        <f aca="false">Daily_Composite!AE163</f>
        <v>0.052</v>
      </c>
      <c r="FE29" s="17" t="n">
        <f aca="false">Daily_Composite!AE164</f>
        <v>0.066</v>
      </c>
      <c r="FF29" s="17" t="n">
        <f aca="false">Daily_Composite!AE165</f>
        <v>0.073</v>
      </c>
      <c r="FG29" s="17" t="n">
        <f aca="false">Daily_Composite!AE166</f>
        <v>0.112</v>
      </c>
      <c r="FH29" s="17" t="n">
        <f aca="false">Daily_Composite!AE167</f>
        <v>0.367</v>
      </c>
      <c r="FI29" s="17" t="n">
        <f aca="false">Daily_Composite!AE168</f>
        <v>0.141</v>
      </c>
      <c r="FJ29" s="17" t="n">
        <f aca="false">Daily_Composite!AE169</f>
        <v>0.099</v>
      </c>
      <c r="FK29" s="17" t="n">
        <f aca="false">Daily_Composite!AE170</f>
        <v>0.056</v>
      </c>
      <c r="FL29" s="17" t="n">
        <f aca="false">Daily_Composite!AE171</f>
        <v>0.039</v>
      </c>
      <c r="FM29" s="17" t="n">
        <f aca="false">Daily_Composite!AE172</f>
        <v>0.52</v>
      </c>
      <c r="FN29" s="17" t="n">
        <f aca="false">Daily_Composite!AE173</f>
        <v>0.426</v>
      </c>
      <c r="FO29" s="17" t="n">
        <f aca="false">Daily_Composite!AE174</f>
        <v>-0.037</v>
      </c>
      <c r="FP29" s="17" t="n">
        <f aca="false">Daily_Composite!AE175</f>
        <v>0.025</v>
      </c>
      <c r="FQ29" s="17" t="n">
        <f aca="false">Daily_Composite!AE176</f>
        <v>-0.08</v>
      </c>
      <c r="FR29" s="17" t="n">
        <f aca="false">Daily_Composite!AE177</f>
        <v>-0.083</v>
      </c>
      <c r="FS29" s="17" t="n">
        <f aca="false">Daily_Composite!AE178</f>
        <v>-0.014</v>
      </c>
      <c r="FT29" s="17" t="n">
        <f aca="false">Daily_Composite!AE179</f>
        <v>-0.11</v>
      </c>
      <c r="FU29" s="17" t="n">
        <f aca="false">Daily_Composite!AE180</f>
        <v>-0.187</v>
      </c>
      <c r="FV29" s="17" t="n">
        <f aca="false">Daily_Composite!AE181</f>
        <v>-0.127</v>
      </c>
      <c r="FW29" s="17" t="n">
        <f aca="false">Daily_Composite!AE182</f>
        <v>-0.14</v>
      </c>
      <c r="FX29" s="17" t="n">
        <f aca="false">Daily_Composite!AE183</f>
        <v>-0.117</v>
      </c>
      <c r="FY29" s="17" t="n">
        <f aca="false">Daily_Composite!AE184</f>
        <v>-0.211</v>
      </c>
      <c r="FZ29" s="17" t="n">
        <f aca="false">Daily_Composite!AE185</f>
        <v>-0.121</v>
      </c>
      <c r="GA29" s="17" t="n">
        <f aca="false">Daily_Composite!AE186</f>
        <v>-0.098</v>
      </c>
      <c r="GB29" s="17" t="n">
        <f aca="false">Daily_Composite!AE187</f>
        <v>-0.014</v>
      </c>
      <c r="GC29" s="17" t="n">
        <f aca="false">Daily_Composite!AE188</f>
        <v>0.034</v>
      </c>
      <c r="GD29" s="17" t="n">
        <f aca="false">Daily_Composite!AE189</f>
        <v>0.135</v>
      </c>
      <c r="GE29" s="17" t="n">
        <f aca="false">Daily_Composite!AE190</f>
        <v>0.133</v>
      </c>
      <c r="GF29" s="17" t="n">
        <f aca="false">Daily_Composite!AE191</f>
        <v>0.007</v>
      </c>
      <c r="GG29" s="17" t="n">
        <f aca="false">Daily_Composite!AE192</f>
        <v>-0.006</v>
      </c>
      <c r="GH29" s="17" t="n">
        <f aca="false">Daily_Composite!AE193</f>
        <v>0.129</v>
      </c>
      <c r="GI29" s="17" t="n">
        <f aca="false">Daily_Composite!AE194</f>
        <v>0.364</v>
      </c>
      <c r="GJ29" s="17" t="n">
        <f aca="false">Daily_Composite!AE195</f>
        <v>0.044</v>
      </c>
      <c r="GK29" s="17" t="n">
        <f aca="false">Daily_Composite!AE196</f>
        <v>0.075</v>
      </c>
      <c r="GL29" s="17" t="n">
        <f aca="false">Daily_Composite!AE197</f>
        <v>0.03</v>
      </c>
      <c r="GM29" s="17" t="n">
        <f aca="false">Daily_Composite!AE198</f>
        <v>0.032</v>
      </c>
      <c r="GN29" s="17" t="n">
        <f aca="false">Daily_Composite!AE199</f>
        <v>0.44</v>
      </c>
      <c r="GO29" s="17" t="n">
        <f aca="false">Daily_Composite!AE200</f>
        <v>0.447</v>
      </c>
      <c r="GP29" s="17" t="n">
        <f aca="false">Daily_Composite!AE201</f>
        <v>0.15</v>
      </c>
      <c r="GQ29" s="17" t="n">
        <f aca="false">Daily_Composite!AE202</f>
        <v>0.051</v>
      </c>
      <c r="GR29" s="17" t="n">
        <f aca="false">Daily_Composite!AE203</f>
        <v>0.524</v>
      </c>
      <c r="GS29" s="17" t="n">
        <f aca="false">Daily_Composite!AE204</f>
        <v>-0.021</v>
      </c>
      <c r="GT29" s="17" t="n">
        <f aca="false">Daily_Composite!AE205</f>
        <v>0.042</v>
      </c>
      <c r="GU29" s="17" t="n">
        <f aca="false">Daily_Composite!AE206</f>
        <v>0.324</v>
      </c>
      <c r="GV29" s="17" t="n">
        <f aca="false">Daily_Composite!AE207</f>
        <v>0.368</v>
      </c>
      <c r="GW29" s="17" t="n">
        <f aca="false">Daily_Composite!AE208</f>
        <v>0.118</v>
      </c>
      <c r="GX29" s="17" t="n">
        <f aca="false">Daily_Composite!AE209</f>
        <v>0.118</v>
      </c>
      <c r="GY29" s="17" t="n">
        <f aca="false">Daily_Composite!AE210</f>
        <v>0.018</v>
      </c>
      <c r="GZ29" s="17" t="n">
        <f aca="false">Daily_Composite!AE211</f>
        <v>0.008</v>
      </c>
      <c r="HA29" s="17" t="n">
        <f aca="false">Daily_Composite!AE212</f>
        <v>0.447</v>
      </c>
      <c r="HB29" s="17" t="n">
        <f aca="false">Daily_Composite!AE213</f>
        <v>-0.117</v>
      </c>
      <c r="HC29" s="17" t="n">
        <f aca="false">Daily_Composite!AE214</f>
        <v>-0.016</v>
      </c>
      <c r="HD29" s="17" t="n">
        <f aca="false">Daily_Composite!AE215</f>
        <v>0.099</v>
      </c>
      <c r="HE29" s="17" t="n">
        <f aca="false">Daily_Composite!AE216</f>
        <v>0.096</v>
      </c>
      <c r="HF29" s="17" t="n">
        <f aca="false">Daily_Composite!AE217</f>
        <v>0.074</v>
      </c>
      <c r="HG29" s="17" t="n">
        <f aca="false">Daily_Composite!AE218</f>
        <v>-0.066</v>
      </c>
      <c r="HH29" s="17" t="n">
        <f aca="false">Daily_Composite!AE219</f>
        <v>-0.041</v>
      </c>
      <c r="HI29" s="17" t="n">
        <f aca="false">Daily_Composite!AE220</f>
        <v>0.085</v>
      </c>
      <c r="HJ29" s="17" t="n">
        <f aca="false">Daily_Composite!AE221</f>
        <v>0.085</v>
      </c>
      <c r="HK29" s="17" t="n">
        <f aca="false">Daily_Composite!AE222</f>
        <v>-0.01</v>
      </c>
      <c r="HL29" s="17" t="n">
        <f aca="false">Daily_Composite!AE223</f>
        <v>-0.013</v>
      </c>
      <c r="HM29" s="17" t="n">
        <f aca="false">Daily_Composite!AE224</f>
        <v>-0.017</v>
      </c>
      <c r="HN29" s="17" t="n">
        <f aca="false">Daily_Composite!AE225</f>
        <v>-0.021</v>
      </c>
      <c r="HO29" s="17" t="n">
        <f aca="false">Daily_Composite!AE226</f>
        <v>-0.023</v>
      </c>
      <c r="HP29" s="17" t="n">
        <f aca="false">Daily_Composite!AE227</f>
        <v>-0.176</v>
      </c>
      <c r="HQ29" s="17" t="n">
        <f aca="false">Daily_Composite!AE228</f>
        <v>-0.103</v>
      </c>
      <c r="HR29" s="17" t="n">
        <f aca="false">Daily_Composite!AE229</f>
        <v>-0.034</v>
      </c>
      <c r="HS29" s="17" t="n">
        <f aca="false">Daily_Composite!AE230</f>
        <v>0.372</v>
      </c>
      <c r="HT29" s="17" t="n">
        <f aca="false">Daily_Composite!AE231</f>
        <v>-0.005</v>
      </c>
      <c r="HU29" s="17" t="n">
        <f aca="false">Daily_Composite!AE232</f>
        <v>0.034</v>
      </c>
      <c r="HV29" s="17" t="n">
        <f aca="false">Daily_Composite!AE233</f>
        <v>0.202</v>
      </c>
      <c r="HW29" s="17" t="n">
        <f aca="false">Daily_Composite!AE234</f>
        <v>0.136</v>
      </c>
      <c r="HX29" s="17" t="n">
        <f aca="false">Daily_Composite!AE235</f>
        <v>0.054</v>
      </c>
      <c r="HY29" s="17" t="n">
        <f aca="false">Daily_Composite!AE236</f>
        <v>0.103</v>
      </c>
      <c r="HZ29" s="17" t="n">
        <f aca="false">Daily_Composite!AE237</f>
        <v>0.201</v>
      </c>
      <c r="IA29" s="17" t="n">
        <f aca="false">Daily_Composite!AE238</f>
        <v>0.199</v>
      </c>
      <c r="IB29" s="17" t="n">
        <f aca="false">Daily_Composite!AE239</f>
        <v>0.637</v>
      </c>
      <c r="IC29" s="17" t="n">
        <f aca="false">Daily_Composite!AE240</f>
        <v>0.159</v>
      </c>
      <c r="ID29" s="17" t="n">
        <f aca="false">Daily_Composite!AE241</f>
        <v>0.161</v>
      </c>
      <c r="IE29" s="17" t="n">
        <f aca="false">Daily_Composite!AE242</f>
        <v>0.197</v>
      </c>
      <c r="IF29" s="17" t="n">
        <f aca="false">Daily_Composite!AE243</f>
        <v>0.185</v>
      </c>
      <c r="IG29" s="17" t="n">
        <f aca="false">Daily_Composite!AE244</f>
        <v>0.193</v>
      </c>
      <c r="IH29" s="17" t="n">
        <f aca="false">Daily_Composite!AE245</f>
        <v>0.164</v>
      </c>
      <c r="II29" s="17" t="n">
        <f aca="false">Daily_Composite!AE246</f>
        <v>0.19</v>
      </c>
      <c r="IJ29" s="17" t="n">
        <f aca="false">Daily_Composite!AE247</f>
        <v>0.188</v>
      </c>
      <c r="IK29" s="17" t="n">
        <f aca="false">Daily_Composite!AE248</f>
        <v>0.166</v>
      </c>
      <c r="IL29" s="17" t="n">
        <f aca="false">Daily_Composite!AE249</f>
        <v>0.63</v>
      </c>
      <c r="IM29" s="17" t="n">
        <f aca="false">Daily_Composite!AE250</f>
        <v>0.193</v>
      </c>
      <c r="IN29" s="17" t="n">
        <f aca="false">Daily_Composite!AE251</f>
        <v>0.199</v>
      </c>
      <c r="IO29" s="17" t="n">
        <f aca="false">Daily_Composite!AE252</f>
        <v>0.197</v>
      </c>
      <c r="IP29" s="17" t="n">
        <f aca="false">Daily_Composite!AE253</f>
        <v>0.195</v>
      </c>
      <c r="IQ29" s="17" t="n">
        <f aca="false">Daily_Composite!AE254</f>
        <v>0.499</v>
      </c>
      <c r="IR29" s="17" t="n">
        <f aca="false">Daily_Composite!AE255</f>
        <v>0.487</v>
      </c>
      <c r="IS29" s="17" t="n">
        <f aca="false">Daily_Composite!AE256</f>
        <v>0.192</v>
      </c>
      <c r="IT29" s="17" t="n">
        <f aca="false">Daily_Composite!AE257</f>
        <v>0.632</v>
      </c>
      <c r="IU29" s="17" t="n">
        <f aca="false">Daily_Composite!AE258</f>
        <v>0.194</v>
      </c>
      <c r="IV29" s="17" t="n">
        <f aca="false">Daily_Composite!AE259</f>
        <v>0.195</v>
      </c>
      <c r="IW29" s="17" t="n">
        <f aca="false">Daily_Composite!AE260</f>
        <v>0.435</v>
      </c>
      <c r="IX29" s="17" t="n">
        <f aca="false">Daily_Composite!AE261</f>
        <v>0.451</v>
      </c>
      <c r="IY29" s="17" t="n">
        <f aca="false">Daily_Composite!AE262</f>
        <v>0.16</v>
      </c>
      <c r="IZ29" s="17" t="n">
        <f aca="false">Daily_Composite!AE263</f>
        <v>0.198</v>
      </c>
      <c r="JA29" s="17" t="n">
        <f aca="false">Daily_Composite!AE264</f>
        <v>0.182</v>
      </c>
      <c r="JB29" s="17" t="n">
        <f aca="false">Daily_Composite!AE265</f>
        <v>0.159</v>
      </c>
      <c r="JC29" s="17" t="n">
        <f aca="false">Daily_Composite!AE266</f>
        <v>0.58</v>
      </c>
      <c r="JD29" s="17" t="n">
        <f aca="false">Daily_Composite!AE267</f>
        <v>0.096</v>
      </c>
      <c r="JE29" s="17" t="n">
        <f aca="false">Daily_Composite!AE268</f>
        <v>0.023</v>
      </c>
      <c r="JF29" s="17" t="n">
        <f aca="false">Daily_Composite!AE269</f>
        <v>0.029</v>
      </c>
      <c r="JG29" s="17" t="n">
        <f aca="false">Daily_Composite!AE270</f>
        <v>0.059</v>
      </c>
      <c r="JH29" s="17" t="n">
        <f aca="false">Daily_Composite!AE271</f>
        <v>0.028</v>
      </c>
      <c r="JI29" s="17" t="n">
        <f aca="false">Daily_Composite!AE272</f>
        <v>-0</v>
      </c>
      <c r="JJ29" s="17" t="n">
        <f aca="false">Daily_Composite!AE273</f>
        <v>-0.056</v>
      </c>
      <c r="JK29" s="17" t="n">
        <f aca="false">Daily_Composite!AE274</f>
        <v>-0.103</v>
      </c>
      <c r="JL29" s="17" t="n">
        <f aca="false">Daily_Composite!AE275</f>
        <v>-0.083</v>
      </c>
      <c r="JM29" s="17" t="n">
        <f aca="false">Daily_Composite!AE276</f>
        <v>0.31</v>
      </c>
      <c r="JN29" s="17" t="n">
        <f aca="false">Daily_Composite!AE277</f>
        <v>-0.083</v>
      </c>
      <c r="JO29" s="17" t="n">
        <f aca="false">Daily_Composite!AE278</f>
        <v>-0.089</v>
      </c>
      <c r="JP29" s="17" t="n">
        <f aca="false">Daily_Composite!AE279</f>
        <v>-0.095</v>
      </c>
      <c r="JQ29" s="17" t="n">
        <f aca="false">Daily_Composite!AE280</f>
        <v>-0.054</v>
      </c>
      <c r="JR29" s="17" t="n">
        <f aca="false">Daily_Composite!AE281</f>
        <v>-0.013</v>
      </c>
      <c r="JS29" s="17" t="n">
        <f aca="false">Daily_Composite!AE282</f>
        <v>0.387</v>
      </c>
      <c r="JT29" s="17" t="n">
        <f aca="false">Daily_Composite!AE283</f>
        <v>0.378</v>
      </c>
      <c r="JU29" s="17" t="n">
        <f aca="false">Daily_Composite!AE284</f>
        <v>0.059</v>
      </c>
      <c r="JV29" s="17" t="n">
        <f aca="false">Daily_Composite!AE285</f>
        <v>0.56</v>
      </c>
      <c r="JW29" s="17" t="n">
        <f aca="false">Daily_Composite!AE286</f>
        <v>0.171</v>
      </c>
      <c r="JX29" s="17" t="n">
        <f aca="false">Daily_Composite!AE287</f>
        <v>0.171</v>
      </c>
      <c r="JY29" s="17" t="n">
        <f aca="false">Daily_Composite!AE288</f>
        <v>0.415</v>
      </c>
      <c r="JZ29" s="17" t="n">
        <f aca="false">Daily_Composite!AE289</f>
        <v>0.37</v>
      </c>
      <c r="KA29" s="17" t="n">
        <f aca="false">Daily_Composite!AE290</f>
        <v>-0.024</v>
      </c>
      <c r="KB29" s="17" t="n">
        <f aca="false">Daily_Composite!AE291</f>
        <v>0.01</v>
      </c>
      <c r="KC29" s="17" t="n">
        <f aca="false">Daily_Composite!AE292</f>
        <v>-0.01</v>
      </c>
      <c r="KD29" s="17" t="n">
        <f aca="false">Daily_Composite!AE293</f>
        <v>0.6</v>
      </c>
      <c r="KE29" s="17" t="n">
        <f aca="false">Daily_Composite!AE294</f>
        <v>-0.03</v>
      </c>
      <c r="KF29" s="17" t="n">
        <f aca="false">Daily_Composite!AE295</f>
        <v>-0.087</v>
      </c>
      <c r="KG29" s="17" t="n">
        <f aca="false">Daily_Composite!AE296</f>
        <v>-0.18</v>
      </c>
      <c r="KH29" s="17" t="n">
        <f aca="false">Daily_Composite!AE297</f>
        <v>-0.114</v>
      </c>
      <c r="KI29" s="17" t="n">
        <f aca="false">Daily_Composite!AE298</f>
        <v>-0.077</v>
      </c>
      <c r="KJ29" s="17" t="n">
        <f aca="false">Daily_Composite!AE299</f>
        <v>-0.126</v>
      </c>
      <c r="KK29" s="17" t="n">
        <f aca="false">Daily_Composite!AE300</f>
        <v>-0.241</v>
      </c>
      <c r="KL29" s="17" t="n">
        <f aca="false">Daily_Composite!AE301</f>
        <v>-0.232</v>
      </c>
      <c r="KM29" s="17" t="n">
        <f aca="false">Daily_Composite!AE302</f>
        <v>-0.277</v>
      </c>
      <c r="KN29" s="17" t="n">
        <f aca="false">Daily_Composite!AE303</f>
        <v>0.351</v>
      </c>
      <c r="KO29" s="17" t="n">
        <f aca="false">Daily_Composite!AE304</f>
        <v>-0.304</v>
      </c>
      <c r="KP29" s="17" t="n">
        <f aca="false">Daily_Composite!AE305</f>
        <v>-0.222</v>
      </c>
      <c r="KQ29" s="17" t="n">
        <f aca="false">Daily_Composite!AE306</f>
        <v>-0.214</v>
      </c>
      <c r="KR29" s="17" t="n">
        <f aca="false">Daily_Composite!AE307</f>
        <v>-0.188</v>
      </c>
      <c r="KS29" s="17" t="n">
        <f aca="false">Daily_Composite!AE308</f>
        <v>-0.183</v>
      </c>
      <c r="KT29" s="17" t="n">
        <f aca="false">Daily_Composite!AE309</f>
        <v>0.194</v>
      </c>
      <c r="KU29" s="17" t="n">
        <f aca="false">Daily_Composite!AE310</f>
        <v>0.259</v>
      </c>
      <c r="KV29" s="17" t="n">
        <f aca="false">Daily_Composite!AE311</f>
        <v>-0.137</v>
      </c>
      <c r="KW29" s="17" t="n">
        <f aca="false">Daily_Composite!AE312</f>
        <v>0.373</v>
      </c>
      <c r="KX29" s="17" t="n">
        <f aca="false">Daily_Composite!AE313</f>
        <v>-0.05</v>
      </c>
      <c r="KY29" s="17" t="n">
        <f aca="false">Daily_Composite!AE314</f>
        <v>-0.048</v>
      </c>
      <c r="KZ29" s="17" t="n">
        <f aca="false">Daily_Composite!AE315</f>
        <v>-0.143</v>
      </c>
      <c r="LA29" s="17" t="n">
        <f aca="false">Daily_Composite!AE316</f>
        <v>-0.065</v>
      </c>
      <c r="LB29" s="17" t="n">
        <f aca="false">Daily_Composite!AE317</f>
        <v>-0.023</v>
      </c>
      <c r="LC29" s="17" t="n">
        <f aca="false">Daily_Composite!AE318</f>
        <v>-0.023</v>
      </c>
      <c r="LD29" s="17" t="n">
        <f aca="false">Daily_Composite!AE319</f>
        <v>-0.042</v>
      </c>
      <c r="LE29" s="17" t="n">
        <f aca="false">Daily_Composite!AE320</f>
        <v>-0.025</v>
      </c>
      <c r="LF29" s="17" t="n">
        <f aca="false">Daily_Composite!AE321</f>
        <v>0.371</v>
      </c>
      <c r="LG29" s="17" t="n">
        <f aca="false">Daily_Composite!AE322</f>
        <v>0.028</v>
      </c>
      <c r="LH29" s="17" t="n">
        <f aca="false">Daily_Composite!AE323</f>
        <v>0.116</v>
      </c>
      <c r="LI29" s="17" t="n">
        <f aca="false">Daily_Composite!AE324</f>
        <v>0.074</v>
      </c>
      <c r="LJ29" s="17" t="n">
        <f aca="false">Daily_Composite!AE325</f>
        <v>0.046</v>
      </c>
      <c r="LK29" s="17" t="n">
        <f aca="false">Daily_Composite!AE326</f>
        <v>0.054</v>
      </c>
      <c r="LL29" s="17" t="n">
        <f aca="false">Daily_Composite!AE327</f>
        <v>0.103</v>
      </c>
      <c r="LM29" s="17" t="n">
        <f aca="false">Daily_Composite!AE328</f>
        <v>0.133</v>
      </c>
      <c r="LN29" s="17" t="n">
        <f aca="false">Daily_Composite!AE329</f>
        <v>0.082</v>
      </c>
      <c r="LO29" s="17" t="n">
        <f aca="false">Daily_Composite!AE330</f>
        <v>0.05</v>
      </c>
      <c r="LP29" s="17" t="n">
        <f aca="false">Daily_Composite!AE331</f>
        <v>0.399</v>
      </c>
      <c r="LQ29" s="17" t="n">
        <f aca="false">Daily_Composite!AE332</f>
        <v>0.04</v>
      </c>
      <c r="LR29" s="17" t="n">
        <f aca="false">Daily_Composite!AE333</f>
        <v>0.076</v>
      </c>
      <c r="LS29" s="17" t="n">
        <f aca="false">Daily_Composite!AE334</f>
        <v>0.021</v>
      </c>
      <c r="LT29" s="17" t="n">
        <f aca="false">Daily_Composite!AE335</f>
        <v>-0.11</v>
      </c>
      <c r="LU29" s="17" t="n">
        <f aca="false">Daily_Composite!AE336</f>
        <v>-0.287</v>
      </c>
      <c r="LV29" s="17" t="n">
        <f aca="false">Daily_Composite!AE337</f>
        <v>-0.166</v>
      </c>
      <c r="LW29" s="17" t="n">
        <f aca="false">Daily_Composite!AE338</f>
        <v>-0.116</v>
      </c>
      <c r="LX29" s="17" t="n">
        <f aca="false">Daily_Composite!AE339</f>
        <v>-0.095</v>
      </c>
      <c r="LY29" s="17" t="n">
        <f aca="false">Daily_Composite!AE340</f>
        <v>-0.117</v>
      </c>
      <c r="LZ29" s="17" t="n">
        <f aca="false">Daily_Composite!AE341</f>
        <v>-0.077</v>
      </c>
      <c r="MA29" s="17" t="n">
        <f aca="false">Daily_Composite!AE342</f>
        <v>-0.163</v>
      </c>
      <c r="MB29" s="17" t="n">
        <f aca="false">Daily_Composite!AE343</f>
        <v>-0.145</v>
      </c>
      <c r="MC29" s="17" t="n">
        <f aca="false">Daily_Composite!AE344</f>
        <v>-0.074</v>
      </c>
      <c r="MD29" s="17" t="n">
        <f aca="false">Daily_Composite!AE345</f>
        <v>0.084</v>
      </c>
      <c r="ME29" s="17" t="n">
        <f aca="false">Daily_Composite!AE346</f>
        <v>0.119</v>
      </c>
      <c r="MF29" s="17" t="n">
        <f aca="false">Daily_Composite!AE347</f>
        <v>0.137</v>
      </c>
      <c r="MG29" s="17" t="n">
        <f aca="false">Daily_Composite!AE348</f>
        <v>0.578</v>
      </c>
      <c r="MH29" s="17" t="n">
        <f aca="false">Daily_Composite!AE349</f>
        <v>0.175</v>
      </c>
      <c r="MI29" s="17" t="n">
        <f aca="false">Daily_Composite!AE350</f>
        <v>0.223</v>
      </c>
      <c r="MJ29" s="17" t="n">
        <f aca="false">Daily_Composite!AE351</f>
        <v>0.265</v>
      </c>
      <c r="MK29" s="17" t="n">
        <f aca="false">Daily_Composite!AE352</f>
        <v>0.243</v>
      </c>
      <c r="ML29" s="17" t="n">
        <f aca="false">Daily_Composite!AE353</f>
        <v>0.216</v>
      </c>
      <c r="MM29" s="17" t="n">
        <f aca="false">Daily_Composite!AE354</f>
        <v>0.223</v>
      </c>
      <c r="MN29" s="17" t="n">
        <f aca="false">Daily_Composite!AE355</f>
        <v>0.207</v>
      </c>
      <c r="MO29" s="17" t="n">
        <f aca="false">Daily_Composite!AE356</f>
        <v>0.186</v>
      </c>
      <c r="MP29" s="17" t="n">
        <f aca="false">Daily_Composite!AE357</f>
        <v>0.154</v>
      </c>
      <c r="MQ29" s="17" t="n">
        <f aca="false">Daily_Composite!AE358</f>
        <v>0.573</v>
      </c>
      <c r="MR29" s="17" t="n">
        <f aca="false">Daily_Composite!AE359</f>
        <v>0.128</v>
      </c>
      <c r="MS29" s="17" t="n">
        <f aca="false">Daily_Composite!AE360</f>
        <v>0.135</v>
      </c>
      <c r="MT29" s="17" t="n">
        <f aca="false">Daily_Composite!AE361</f>
        <v>0.181</v>
      </c>
      <c r="MU29" s="17" t="n">
        <f aca="false">Daily_Composite!AE362</f>
        <v>0.165</v>
      </c>
      <c r="MV29" s="17" t="n">
        <f aca="false">Daily_Composite!AE363</f>
        <v>0.338</v>
      </c>
      <c r="MW29" s="17" t="n">
        <f aca="false">Daily_Composite!AE364</f>
        <v>0.459</v>
      </c>
      <c r="MX29" s="17" t="n">
        <f aca="false">Daily_Composite!AE365</f>
        <v>0.493</v>
      </c>
      <c r="MY29" s="17" t="n">
        <f aca="false">Daily_Composite!AE366</f>
        <v>0.13</v>
      </c>
      <c r="MZ29" s="17" t="n">
        <f aca="false">Daily_Composite!AE367</f>
        <v>0.652</v>
      </c>
      <c r="NA29" s="17" t="n">
        <f aca="false">Daily_Composite!AE368</f>
        <v>0.205</v>
      </c>
      <c r="NB29" s="17" t="n">
        <f aca="false">Daily_Composite!AE369</f>
        <v>0.197</v>
      </c>
    </row>
    <row r="30" customFormat="false" ht="15" hidden="false" customHeight="false" outlineLevel="0" collapsed="false">
      <c r="A30" s="6" t="s">
        <v>43</v>
      </c>
      <c r="B30" s="17" t="n">
        <f aca="false">Daily_Composite!AF5</f>
        <v>0.095</v>
      </c>
      <c r="C30" s="17" t="n">
        <f aca="false">Daily_Composite!AF6</f>
        <v>0.104</v>
      </c>
      <c r="D30" s="17" t="n">
        <f aca="false">Daily_Composite!AF7</f>
        <v>0.06</v>
      </c>
      <c r="E30" s="17" t="n">
        <f aca="false">Daily_Composite!AF8</f>
        <v>-0.062</v>
      </c>
      <c r="F30" s="17" t="n">
        <f aca="false">Daily_Composite!AF9</f>
        <v>0.05</v>
      </c>
      <c r="G30" s="17" t="n">
        <f aca="false">Daily_Composite!AF10</f>
        <v>-0.281</v>
      </c>
      <c r="H30" s="17" t="n">
        <f aca="false">Daily_Composite!AF11</f>
        <v>0.026</v>
      </c>
      <c r="I30" s="17" t="n">
        <f aca="false">Daily_Composite!AF12</f>
        <v>-0.505</v>
      </c>
      <c r="J30" s="17" t="n">
        <f aca="false">Daily_Composite!AF13</f>
        <v>0.061</v>
      </c>
      <c r="K30" s="17" t="n">
        <f aca="false">Daily_Composite!AF14</f>
        <v>0.041</v>
      </c>
      <c r="L30" s="17" t="n">
        <f aca="false">Daily_Composite!AF15</f>
        <v>0.073</v>
      </c>
      <c r="M30" s="17" t="n">
        <f aca="false">Daily_Composite!AF16</f>
        <v>-0.063</v>
      </c>
      <c r="N30" s="17" t="n">
        <f aca="false">Daily_Composite!AF17</f>
        <v>-0.301</v>
      </c>
      <c r="O30" s="17" t="n">
        <f aca="false">Daily_Composite!AF18</f>
        <v>0.108</v>
      </c>
      <c r="P30" s="17" t="n">
        <f aca="false">Daily_Composite!AF19</f>
        <v>0.122</v>
      </c>
      <c r="Q30" s="17" t="n">
        <f aca="false">Daily_Composite!AF20</f>
        <v>-0.018</v>
      </c>
      <c r="R30" s="17" t="n">
        <f aca="false">Daily_Composite!AF21</f>
        <v>0.055</v>
      </c>
      <c r="S30" s="17" t="n">
        <f aca="false">Daily_Composite!AF22</f>
        <v>-0.464</v>
      </c>
      <c r="T30" s="17" t="n">
        <f aca="false">Daily_Composite!AF23</f>
        <v>-0.192</v>
      </c>
      <c r="U30" s="17" t="n">
        <f aca="false">Daily_Composite!AF24</f>
        <v>-0.216</v>
      </c>
      <c r="V30" s="17" t="n">
        <f aca="false">Daily_Composite!AF25</f>
        <v>-0.21</v>
      </c>
      <c r="W30" s="17" t="n">
        <f aca="false">Daily_Composite!AF26</f>
        <v>-0.262</v>
      </c>
      <c r="X30" s="17" t="n">
        <f aca="false">Daily_Composite!AF27</f>
        <v>-0.578</v>
      </c>
      <c r="Y30" s="17" t="n">
        <f aca="false">Daily_Composite!AF28</f>
        <v>-0.477</v>
      </c>
      <c r="Z30" s="17" t="n">
        <f aca="false">Daily_Composite!AF29</f>
        <v>-0.535</v>
      </c>
      <c r="AA30" s="17" t="n">
        <f aca="false">Daily_Composite!AF30</f>
        <v>-0.149</v>
      </c>
      <c r="AB30" s="17" t="n">
        <f aca="false">Daily_Composite!AF31</f>
        <v>-0.505</v>
      </c>
      <c r="AC30" s="17" t="n">
        <f aca="false">Daily_Composite!AF32</f>
        <v>-0.27</v>
      </c>
      <c r="AD30" s="17" t="n">
        <f aca="false">Daily_Composite!AF33</f>
        <v>-0.258</v>
      </c>
      <c r="AE30" s="17" t="n">
        <f aca="false">Daily_Composite!AF34</f>
        <v>-0.227</v>
      </c>
      <c r="AF30" s="17" t="n">
        <f aca="false">Daily_Composite!AF35</f>
        <v>-0.074</v>
      </c>
      <c r="AG30" s="17" t="n">
        <f aca="false">Daily_Composite!AF36</f>
        <v>0.194</v>
      </c>
      <c r="AH30" s="17" t="n">
        <f aca="false">Daily_Composite!AF37</f>
        <v>0.003</v>
      </c>
      <c r="AI30" s="17" t="n">
        <f aca="false">Daily_Composite!AF38</f>
        <v>-0.007</v>
      </c>
      <c r="AJ30" s="17" t="n">
        <f aca="false">Daily_Composite!AF39</f>
        <v>0.008</v>
      </c>
      <c r="AK30" s="17" t="n">
        <f aca="false">Daily_Composite!AF40</f>
        <v>-0.092</v>
      </c>
      <c r="AL30" s="17" t="n">
        <f aca="false">Daily_Composite!AF41</f>
        <v>-0.089</v>
      </c>
      <c r="AM30" s="17" t="n">
        <f aca="false">Daily_Composite!AF42</f>
        <v>-0.009</v>
      </c>
      <c r="AN30" s="17" t="n">
        <f aca="false">Daily_Composite!AF43</f>
        <v>-0.152</v>
      </c>
      <c r="AO30" s="17" t="n">
        <f aca="false">Daily_Composite!AF44</f>
        <v>-0.258</v>
      </c>
      <c r="AP30" s="17" t="n">
        <f aca="false">Daily_Composite!AF45</f>
        <v>0.022</v>
      </c>
      <c r="AQ30" s="17" t="n">
        <f aca="false">Daily_Composite!AF46</f>
        <v>-0.022</v>
      </c>
      <c r="AR30" s="17" t="n">
        <f aca="false">Daily_Composite!AF47</f>
        <v>-0.441</v>
      </c>
      <c r="AS30" s="17" t="n">
        <f aca="false">Daily_Composite!AF48</f>
        <v>-0.134</v>
      </c>
      <c r="AT30" s="17" t="n">
        <f aca="false">Daily_Composite!AF49</f>
        <v>-0.423</v>
      </c>
      <c r="AU30" s="17" t="n">
        <f aca="false">Daily_Composite!AF50</f>
        <v>-0.083</v>
      </c>
      <c r="AV30" s="17" t="n">
        <f aca="false">Daily_Composite!AF51</f>
        <v>-0.232</v>
      </c>
      <c r="AW30" s="17" t="n">
        <f aca="false">Daily_Composite!AF52</f>
        <v>-0.273</v>
      </c>
      <c r="AX30" s="17" t="n">
        <f aca="false">Daily_Composite!AF53</f>
        <v>-0.305</v>
      </c>
      <c r="AY30" s="17" t="n">
        <f aca="false">Daily_Composite!AF54</f>
        <v>-0.343</v>
      </c>
      <c r="AZ30" s="17" t="n">
        <f aca="false">Daily_Composite!AF55</f>
        <v>-0.355</v>
      </c>
      <c r="BA30" s="17" t="n">
        <f aca="false">Daily_Composite!AF56</f>
        <v>-0.204</v>
      </c>
      <c r="BB30" s="17" t="n">
        <f aca="false">Daily_Composite!AF57</f>
        <v>-0.447</v>
      </c>
      <c r="BC30" s="17" t="n">
        <f aca="false">Daily_Composite!AF58</f>
        <v>-0.198</v>
      </c>
      <c r="BD30" s="17" t="n">
        <f aca="false">Daily_Composite!AF59</f>
        <v>0.173</v>
      </c>
      <c r="BE30" s="17" t="n">
        <f aca="false">Daily_Composite!AF60</f>
        <v>-0.046</v>
      </c>
      <c r="BF30" s="17" t="n">
        <f aca="false">Daily_Composite!AF61</f>
        <v>-0.086</v>
      </c>
      <c r="BG30" s="17" t="n">
        <f aca="false">Daily_Composite!AF62</f>
        <v>-0.139</v>
      </c>
      <c r="BH30" s="17" t="n">
        <f aca="false">Daily_Composite!AF63</f>
        <v>-0.162</v>
      </c>
      <c r="BI30" s="17" t="n">
        <f aca="false">Daily_Composite!AF64</f>
        <v>-0.205</v>
      </c>
      <c r="BJ30" s="17" t="n">
        <f aca="false">Daily_Composite!AF65</f>
        <v>-0.481</v>
      </c>
      <c r="BK30" s="17" t="n">
        <f aca="false">Daily_Composite!AF66</f>
        <v>-0.24</v>
      </c>
      <c r="BL30" s="17" t="n">
        <f aca="false">Daily_Composite!AF67</f>
        <v>-0.114</v>
      </c>
      <c r="BM30" s="17" t="n">
        <f aca="false">Daily_Composite!AF68</f>
        <v>-0.21</v>
      </c>
      <c r="BN30" s="17" t="n">
        <f aca="false">Daily_Composite!AF69</f>
        <v>-0.25</v>
      </c>
      <c r="BO30" s="17" t="n">
        <f aca="false">Daily_Composite!AF70</f>
        <v>-0.25</v>
      </c>
      <c r="BP30" s="17" t="n">
        <f aca="false">Daily_Composite!AF71</f>
        <v>-0.241</v>
      </c>
      <c r="BQ30" s="17" t="n">
        <f aca="false">Daily_Composite!AF72</f>
        <v>-0.205</v>
      </c>
      <c r="BR30" s="17" t="n">
        <f aca="false">Daily_Composite!AF73</f>
        <v>-0.204</v>
      </c>
      <c r="BS30" s="17" t="n">
        <f aca="false">Daily_Composite!AF74</f>
        <v>-0.458</v>
      </c>
      <c r="BT30" s="17" t="n">
        <f aca="false">Daily_Composite!AF75</f>
        <v>-0.258</v>
      </c>
      <c r="BU30" s="17" t="n">
        <f aca="false">Daily_Composite!AF76</f>
        <v>-0.331</v>
      </c>
      <c r="BV30" s="17" t="n">
        <f aca="false">Daily_Composite!AF77</f>
        <v>-0.164</v>
      </c>
      <c r="BW30" s="17" t="n">
        <f aca="false">Daily_Composite!AF78</f>
        <v>-0.138</v>
      </c>
      <c r="BX30" s="17" t="n">
        <f aca="false">Daily_Composite!AF79</f>
        <v>-0.143</v>
      </c>
      <c r="BY30" s="17" t="n">
        <f aca="false">Daily_Composite!AF80</f>
        <v>-0.015</v>
      </c>
      <c r="BZ30" s="17" t="n">
        <f aca="false">Daily_Composite!AF81</f>
        <v>-0.122</v>
      </c>
      <c r="CA30" s="17" t="n">
        <f aca="false">Daily_Composite!AF82</f>
        <v>0.189</v>
      </c>
      <c r="CB30" s="17" t="n">
        <f aca="false">Daily_Composite!AF83</f>
        <v>-0.146</v>
      </c>
      <c r="CC30" s="17" t="n">
        <f aca="false">Daily_Composite!AF84</f>
        <v>-0.431</v>
      </c>
      <c r="CD30" s="17" t="n">
        <f aca="false">Daily_Composite!AF85</f>
        <v>-0.194</v>
      </c>
      <c r="CE30" s="17" t="n">
        <f aca="false">Daily_Composite!AF86</f>
        <v>-0.029</v>
      </c>
      <c r="CF30" s="17" t="n">
        <f aca="false">Daily_Composite!AF87</f>
        <v>-0.046</v>
      </c>
      <c r="CG30" s="17" t="n">
        <f aca="false">Daily_Composite!AF88</f>
        <v>-0.122</v>
      </c>
      <c r="CH30" s="17" t="n">
        <f aca="false">Daily_Composite!AF89</f>
        <v>-0.126</v>
      </c>
      <c r="CI30" s="17" t="n">
        <f aca="false">Daily_Composite!AF90</f>
        <v>-0.102</v>
      </c>
      <c r="CJ30" s="17" t="n">
        <f aca="false">Daily_Composite!AF91</f>
        <v>-0.026</v>
      </c>
      <c r="CK30" s="17" t="n">
        <f aca="false">Daily_Composite!AF92</f>
        <v>-0.459</v>
      </c>
      <c r="CL30" s="17" t="n">
        <f aca="false">Daily_Composite!AF93</f>
        <v>-0.409</v>
      </c>
      <c r="CM30" s="17" t="n">
        <f aca="false">Daily_Composite!AF94</f>
        <v>0.127</v>
      </c>
      <c r="CN30" s="17" t="n">
        <f aca="false">Daily_Composite!AF95</f>
        <v>-0.523</v>
      </c>
      <c r="CO30" s="17" t="n">
        <f aca="false">Daily_Composite!AF96</f>
        <v>-0.509</v>
      </c>
      <c r="CP30" s="17" t="n">
        <f aca="false">Daily_Composite!AF97</f>
        <v>-0.53</v>
      </c>
      <c r="CQ30" s="17" t="n">
        <f aca="false">Daily_Composite!AF98</f>
        <v>-0.693</v>
      </c>
      <c r="CR30" s="17" t="n">
        <f aca="false">Daily_Composite!AF99</f>
        <v>-0.773</v>
      </c>
      <c r="CS30" s="17" t="n">
        <f aca="false">Daily_Composite!AF100</f>
        <v>-0.528</v>
      </c>
      <c r="CT30" s="17" t="n">
        <f aca="false">Daily_Composite!AF101</f>
        <v>-0.774</v>
      </c>
      <c r="CU30" s="17" t="n">
        <f aca="false">Daily_Composite!AF102</f>
        <v>-0.713</v>
      </c>
      <c r="CV30" s="17" t="n">
        <f aca="false">Daily_Composite!AF103</f>
        <v>-0.777</v>
      </c>
      <c r="CW30" s="17" t="n">
        <f aca="false">Daily_Composite!AF104</f>
        <v>-0.777</v>
      </c>
      <c r="CX30" s="17" t="n">
        <f aca="false">Daily_Composite!AF105</f>
        <v>-0.475</v>
      </c>
      <c r="CY30" s="17" t="n">
        <f aca="false">Daily_Composite!AF106</f>
        <v>-0.768</v>
      </c>
      <c r="CZ30" s="17" t="n">
        <f aca="false">Daily_Composite!AF107</f>
        <v>-0.768</v>
      </c>
      <c r="DA30" s="17" t="n">
        <f aca="false">Daily_Composite!AF108</f>
        <v>-0.764</v>
      </c>
      <c r="DB30" s="17" t="n">
        <f aca="false">Daily_Composite!AF109</f>
        <v>-0.784</v>
      </c>
      <c r="DC30" s="17" t="n">
        <f aca="false">Daily_Composite!AF110</f>
        <v>-0.76</v>
      </c>
      <c r="DD30" s="17" t="n">
        <f aca="false">Daily_Composite!AF111</f>
        <v>-0.774</v>
      </c>
      <c r="DE30" s="17" t="n">
        <f aca="false">Daily_Composite!AF112</f>
        <v>-0.479</v>
      </c>
      <c r="DF30" s="17" t="n">
        <f aca="false">Daily_Composite!AF113</f>
        <v>-0.767</v>
      </c>
      <c r="DG30" s="17" t="n">
        <f aca="false">Daily_Composite!AF114</f>
        <v>-0.568</v>
      </c>
      <c r="DH30" s="17" t="n">
        <f aca="false">Daily_Composite!AF115</f>
        <v>-0.588</v>
      </c>
      <c r="DI30" s="17" t="n">
        <f aca="false">Daily_Composite!AF116</f>
        <v>-0.555</v>
      </c>
      <c r="DJ30" s="17" t="n">
        <f aca="false">Daily_Composite!AF117</f>
        <v>-0.6</v>
      </c>
      <c r="DK30" s="17" t="n">
        <f aca="false">Daily_Composite!AF118</f>
        <v>-0.718</v>
      </c>
      <c r="DL30" s="17" t="n">
        <f aca="false">Daily_Composite!AF119</f>
        <v>-0.377</v>
      </c>
      <c r="DM30" s="17" t="n">
        <f aca="false">Daily_Composite!AF120</f>
        <v>-0.646</v>
      </c>
      <c r="DN30" s="17" t="n">
        <f aca="false">Daily_Composite!AF121</f>
        <v>-0.273</v>
      </c>
      <c r="DO30" s="17" t="n">
        <f aca="false">Daily_Composite!AF122</f>
        <v>-0.404</v>
      </c>
      <c r="DP30" s="17" t="n">
        <f aca="false">Daily_Composite!AF123</f>
        <v>-0.196</v>
      </c>
      <c r="DQ30" s="17" t="n">
        <f aca="false">Daily_Composite!AF124</f>
        <v>-0.193</v>
      </c>
      <c r="DR30" s="17" t="n">
        <f aca="false">Daily_Composite!AF125</f>
        <v>-0.164</v>
      </c>
      <c r="DS30" s="17" t="n">
        <f aca="false">Daily_Composite!AF126</f>
        <v>0.458</v>
      </c>
      <c r="DT30" s="17" t="n">
        <f aca="false">Daily_Composite!AF127</f>
        <v>-0.025</v>
      </c>
      <c r="DU30" s="17" t="n">
        <f aca="false">Daily_Composite!AF128</f>
        <v>-0.137</v>
      </c>
      <c r="DV30" s="17" t="n">
        <f aca="false">Daily_Composite!AF129</f>
        <v>-0.37</v>
      </c>
      <c r="DW30" s="17" t="n">
        <f aca="false">Daily_Composite!AF130</f>
        <v>-0.003</v>
      </c>
      <c r="DX30" s="17" t="n">
        <f aca="false">Daily_Composite!AF131</f>
        <v>0.472</v>
      </c>
      <c r="DY30" s="17" t="n">
        <f aca="false">Daily_Composite!AF132</f>
        <v>0.069</v>
      </c>
      <c r="DZ30" s="17" t="n">
        <f aca="false">Daily_Composite!AF133</f>
        <v>0.111</v>
      </c>
      <c r="EA30" s="17" t="n">
        <f aca="false">Daily_Composite!AF134</f>
        <v>0.081</v>
      </c>
      <c r="EB30" s="17" t="n">
        <f aca="false">Daily_Composite!AF135</f>
        <v>0.03</v>
      </c>
      <c r="EC30" s="17" t="n">
        <f aca="false">Daily_Composite!AF136</f>
        <v>0.319</v>
      </c>
      <c r="ED30" s="17" t="n">
        <f aca="false">Daily_Composite!AF137</f>
        <v>-0.143</v>
      </c>
      <c r="EE30" s="17" t="n">
        <f aca="false">Daily_Composite!AF138</f>
        <v>-0.474</v>
      </c>
      <c r="EF30" s="17" t="n">
        <f aca="false">Daily_Composite!AF139</f>
        <v>-0.182</v>
      </c>
      <c r="EG30" s="17" t="n">
        <f aca="false">Daily_Composite!AF140</f>
        <v>0.29</v>
      </c>
      <c r="EH30" s="17" t="n">
        <f aca="false">Daily_Composite!AF141</f>
        <v>-0.133</v>
      </c>
      <c r="EI30" s="17" t="n">
        <f aca="false">Daily_Composite!AF142</f>
        <v>-0.105</v>
      </c>
      <c r="EJ30" s="17" t="n">
        <f aca="false">Daily_Composite!AF143</f>
        <v>-0.101</v>
      </c>
      <c r="EK30" s="17" t="n">
        <f aca="false">Daily_Composite!AF144</f>
        <v>-0.285</v>
      </c>
      <c r="EL30" s="17" t="n">
        <f aca="false">Daily_Composite!AF145</f>
        <v>-0.259</v>
      </c>
      <c r="EM30" s="17" t="n">
        <f aca="false">Daily_Composite!AF146</f>
        <v>-0.177</v>
      </c>
      <c r="EN30" s="17" t="n">
        <f aca="false">Daily_Composite!AF147</f>
        <v>-0.589</v>
      </c>
      <c r="EO30" s="17" t="n">
        <f aca="false">Daily_Composite!AF148</f>
        <v>-0.223</v>
      </c>
      <c r="EP30" s="17" t="n">
        <f aca="false">Daily_Composite!AF149</f>
        <v>-0.108</v>
      </c>
      <c r="EQ30" s="17" t="n">
        <f aca="false">Daily_Composite!AF150</f>
        <v>-0.223</v>
      </c>
      <c r="ER30" s="17" t="n">
        <f aca="false">Daily_Composite!AF151</f>
        <v>-0.286</v>
      </c>
      <c r="ES30" s="17" t="n">
        <f aca="false">Daily_Composite!AF152</f>
        <v>-0.3</v>
      </c>
      <c r="ET30" s="17" t="n">
        <f aca="false">Daily_Composite!AF153</f>
        <v>-0.495</v>
      </c>
      <c r="EU30" s="17" t="n">
        <f aca="false">Daily_Composite!AF154</f>
        <v>-0.616</v>
      </c>
      <c r="EV30" s="17" t="n">
        <f aca="false">Daily_Composite!AF155</f>
        <v>-0.281</v>
      </c>
      <c r="EW30" s="17" t="n">
        <f aca="false">Daily_Composite!AF156</f>
        <v>-0.593</v>
      </c>
      <c r="EX30" s="17" t="n">
        <f aca="false">Daily_Composite!AF157</f>
        <v>-0.489</v>
      </c>
      <c r="EY30" s="17" t="n">
        <f aca="false">Daily_Composite!AF158</f>
        <v>-0.522</v>
      </c>
      <c r="EZ30" s="17" t="n">
        <f aca="false">Daily_Composite!AF159</f>
        <v>-0.018</v>
      </c>
      <c r="FA30" s="17" t="n">
        <f aca="false">Daily_Composite!AF160</f>
        <v>0.034</v>
      </c>
      <c r="FB30" s="17" t="n">
        <f aca="false">Daily_Composite!AF161</f>
        <v>-0.478</v>
      </c>
      <c r="FC30" s="17" t="n">
        <f aca="false">Daily_Composite!AF162</f>
        <v>-0.464</v>
      </c>
      <c r="FD30" s="17" t="n">
        <f aca="false">Daily_Composite!AF163</f>
        <v>-0.424</v>
      </c>
      <c r="FE30" s="17" t="n">
        <f aca="false">Daily_Composite!AF164</f>
        <v>-0.549</v>
      </c>
      <c r="FF30" s="17" t="n">
        <f aca="false">Daily_Composite!AF165</f>
        <v>0.001</v>
      </c>
      <c r="FG30" s="17" t="n">
        <f aca="false">Daily_Composite!AF166</f>
        <v>-0.533</v>
      </c>
      <c r="FH30" s="17" t="n">
        <f aca="false">Daily_Composite!AF167</f>
        <v>0.024</v>
      </c>
      <c r="FI30" s="17" t="n">
        <f aca="false">Daily_Composite!AF168</f>
        <v>-0.465</v>
      </c>
      <c r="FJ30" s="17" t="n">
        <f aca="false">Daily_Composite!AF169</f>
        <v>-0.22</v>
      </c>
      <c r="FK30" s="17" t="n">
        <f aca="false">Daily_Composite!AF170</f>
        <v>-0.332</v>
      </c>
      <c r="FL30" s="17" t="n">
        <f aca="false">Daily_Composite!AF171</f>
        <v>-0.347</v>
      </c>
      <c r="FM30" s="17" t="n">
        <f aca="false">Daily_Composite!AF172</f>
        <v>-0.185</v>
      </c>
      <c r="FN30" s="17" t="n">
        <f aca="false">Daily_Composite!AF173</f>
        <v>0.017</v>
      </c>
      <c r="FO30" s="17" t="n">
        <f aca="false">Daily_Composite!AF174</f>
        <v>-0.439</v>
      </c>
      <c r="FP30" s="17" t="n">
        <f aca="false">Daily_Composite!AF175</f>
        <v>0.054</v>
      </c>
      <c r="FQ30" s="17" t="n">
        <f aca="false">Daily_Composite!AF176</f>
        <v>0.013</v>
      </c>
      <c r="FR30" s="17" t="n">
        <f aca="false">Daily_Composite!AF177</f>
        <v>0.158</v>
      </c>
      <c r="FS30" s="17" t="n">
        <f aca="false">Daily_Composite!AF178</f>
        <v>0.074</v>
      </c>
      <c r="FT30" s="17" t="n">
        <f aca="false">Daily_Composite!AF179</f>
        <v>-0.033</v>
      </c>
      <c r="FU30" s="17" t="n">
        <f aca="false">Daily_Composite!AF180</f>
        <v>-0.093</v>
      </c>
      <c r="FV30" s="17" t="n">
        <f aca="false">Daily_Composite!AF181</f>
        <v>-0.34</v>
      </c>
      <c r="FW30" s="17" t="n">
        <f aca="false">Daily_Composite!AF182</f>
        <v>0.032</v>
      </c>
      <c r="FX30" s="17" t="n">
        <f aca="false">Daily_Composite!AF183</f>
        <v>-0.193</v>
      </c>
      <c r="FY30" s="17" t="n">
        <f aca="false">Daily_Composite!AF184</f>
        <v>-0.324</v>
      </c>
      <c r="FZ30" s="17" t="n">
        <f aca="false">Daily_Composite!AF185</f>
        <v>-0.389</v>
      </c>
      <c r="GA30" s="17" t="n">
        <f aca="false">Daily_Composite!AF186</f>
        <v>0.049</v>
      </c>
      <c r="GB30" s="17" t="n">
        <f aca="false">Daily_Composite!AF187</f>
        <v>0.044</v>
      </c>
      <c r="GC30" s="17" t="n">
        <f aca="false">Daily_Composite!AF188</f>
        <v>-0.402</v>
      </c>
      <c r="GD30" s="17" t="n">
        <f aca="false">Daily_Composite!AF189</f>
        <v>-0.436</v>
      </c>
      <c r="GE30" s="17" t="n">
        <f aca="false">Daily_Composite!AF190</f>
        <v>-0.318</v>
      </c>
      <c r="GF30" s="17" t="n">
        <f aca="false">Daily_Composite!AF191</f>
        <v>-0.478</v>
      </c>
      <c r="GG30" s="17" t="n">
        <f aca="false">Daily_Composite!AF192</f>
        <v>-0.236</v>
      </c>
      <c r="GH30" s="17" t="n">
        <f aca="false">Daily_Composite!AF193</f>
        <v>-0.316</v>
      </c>
      <c r="GI30" s="17" t="n">
        <f aca="false">Daily_Composite!AF194</f>
        <v>-0.094</v>
      </c>
      <c r="GJ30" s="17" t="n">
        <f aca="false">Daily_Composite!AF195</f>
        <v>0.18</v>
      </c>
      <c r="GK30" s="17" t="n">
        <f aca="false">Daily_Composite!AF196</f>
        <v>-0.155</v>
      </c>
      <c r="GL30" s="17" t="n">
        <f aca="false">Daily_Composite!AF197</f>
        <v>-0.172</v>
      </c>
      <c r="GM30" s="17" t="n">
        <f aca="false">Daily_Composite!AF198</f>
        <v>-0.233</v>
      </c>
      <c r="GN30" s="17" t="n">
        <f aca="false">Daily_Composite!AF199</f>
        <v>-0.193</v>
      </c>
      <c r="GO30" s="17" t="n">
        <f aca="false">Daily_Composite!AF200</f>
        <v>-0.537</v>
      </c>
      <c r="GP30" s="17" t="n">
        <f aca="false">Daily_Composite!AF201</f>
        <v>-0.146</v>
      </c>
      <c r="GQ30" s="17" t="n">
        <f aca="false">Daily_Composite!AF202</f>
        <v>-0.542</v>
      </c>
      <c r="GR30" s="17" t="n">
        <f aca="false">Daily_Composite!AF203</f>
        <v>-0.161</v>
      </c>
      <c r="GS30" s="17" t="n">
        <f aca="false">Daily_Composite!AF204</f>
        <v>-0.363</v>
      </c>
      <c r="GT30" s="17" t="n">
        <f aca="false">Daily_Composite!AF205</f>
        <v>-0.135</v>
      </c>
      <c r="GU30" s="17" t="n">
        <f aca="false">Daily_Composite!AF206</f>
        <v>-0.231</v>
      </c>
      <c r="GV30" s="17" t="n">
        <f aca="false">Daily_Composite!AF207</f>
        <v>-0.389</v>
      </c>
      <c r="GW30" s="17" t="n">
        <f aca="false">Daily_Composite!AF208</f>
        <v>-0.46</v>
      </c>
      <c r="GX30" s="17" t="n">
        <f aca="false">Daily_Composite!AF209</f>
        <v>-0.158</v>
      </c>
      <c r="GY30" s="17" t="n">
        <f aca="false">Daily_Composite!AF210</f>
        <v>-0.301</v>
      </c>
      <c r="GZ30" s="17" t="n">
        <f aca="false">Daily_Composite!AF211</f>
        <v>-0.511</v>
      </c>
      <c r="HA30" s="17" t="n">
        <f aca="false">Daily_Composite!AF212</f>
        <v>-0.463</v>
      </c>
      <c r="HB30" s="17" t="n">
        <f aca="false">Daily_Composite!AF213</f>
        <v>-0.631</v>
      </c>
      <c r="HC30" s="17" t="n">
        <f aca="false">Daily_Composite!AF214</f>
        <v>-0.219</v>
      </c>
      <c r="HD30" s="17" t="n">
        <f aca="false">Daily_Composite!AF215</f>
        <v>-0.629</v>
      </c>
      <c r="HE30" s="17" t="n">
        <f aca="false">Daily_Composite!AF216</f>
        <v>-0.642</v>
      </c>
      <c r="HF30" s="17" t="n">
        <f aca="false">Daily_Composite!AF217</f>
        <v>-0.648</v>
      </c>
      <c r="HG30" s="17" t="n">
        <f aca="false">Daily_Composite!AF218</f>
        <v>-0.69</v>
      </c>
      <c r="HH30" s="17" t="n">
        <f aca="false">Daily_Composite!AF219</f>
        <v>-0.558</v>
      </c>
      <c r="HI30" s="17" t="n">
        <f aca="false">Daily_Composite!AF220</f>
        <v>-0.675</v>
      </c>
      <c r="HJ30" s="17" t="n">
        <f aca="false">Daily_Composite!AF221</f>
        <v>-0.681</v>
      </c>
      <c r="HK30" s="17" t="n">
        <f aca="false">Daily_Composite!AF222</f>
        <v>-0.246</v>
      </c>
      <c r="HL30" s="17" t="n">
        <f aca="false">Daily_Composite!AF223</f>
        <v>-0.377</v>
      </c>
      <c r="HM30" s="17" t="n">
        <f aca="false">Daily_Composite!AF224</f>
        <v>-0.334</v>
      </c>
      <c r="HN30" s="17" t="n">
        <f aca="false">Daily_Composite!AF225</f>
        <v>-0.372</v>
      </c>
      <c r="HO30" s="17" t="n">
        <f aca="false">Daily_Composite!AF226</f>
        <v>-0.366</v>
      </c>
      <c r="HP30" s="17" t="n">
        <f aca="false">Daily_Composite!AF227</f>
        <v>-0.634</v>
      </c>
      <c r="HQ30" s="17" t="n">
        <f aca="false">Daily_Composite!AF228</f>
        <v>-0.191</v>
      </c>
      <c r="HR30" s="17" t="n">
        <f aca="false">Daily_Composite!AF229</f>
        <v>-0.441</v>
      </c>
      <c r="HS30" s="17" t="n">
        <f aca="false">Daily_Composite!AF230</f>
        <v>-0.205</v>
      </c>
      <c r="HT30" s="17" t="n">
        <f aca="false">Daily_Composite!AF231</f>
        <v>-0.572</v>
      </c>
      <c r="HU30" s="17" t="n">
        <f aca="false">Daily_Composite!AF232</f>
        <v>-0.188</v>
      </c>
      <c r="HV30" s="17" t="n">
        <f aca="false">Daily_Composite!AF233</f>
        <v>-0.184</v>
      </c>
      <c r="HW30" s="17" t="n">
        <f aca="false">Daily_Composite!AF234</f>
        <v>-0.184</v>
      </c>
      <c r="HX30" s="17" t="n">
        <f aca="false">Daily_Composite!AF235</f>
        <v>-0.355</v>
      </c>
      <c r="HY30" s="17" t="n">
        <f aca="false">Daily_Composite!AF236</f>
        <v>-0.5</v>
      </c>
      <c r="HZ30" s="17" t="n">
        <f aca="false">Daily_Composite!AF237</f>
        <v>-0.273</v>
      </c>
      <c r="IA30" s="17" t="n">
        <f aca="false">Daily_Composite!AF238</f>
        <v>-0.244</v>
      </c>
      <c r="IB30" s="17" t="n">
        <f aca="false">Daily_Composite!AF239</f>
        <v>-0.292</v>
      </c>
      <c r="IC30" s="17" t="n">
        <f aca="false">Daily_Composite!AF240</f>
        <v>-0.555</v>
      </c>
      <c r="ID30" s="17" t="n">
        <f aca="false">Daily_Composite!AF241</f>
        <v>-0.18</v>
      </c>
      <c r="IE30" s="17" t="n">
        <f aca="false">Daily_Composite!AF242</f>
        <v>-0.512</v>
      </c>
      <c r="IF30" s="17" t="n">
        <f aca="false">Daily_Composite!AF243</f>
        <v>-0.503</v>
      </c>
      <c r="IG30" s="17" t="n">
        <f aca="false">Daily_Composite!AF244</f>
        <v>-0.513</v>
      </c>
      <c r="IH30" s="17" t="n">
        <f aca="false">Daily_Composite!AF245</f>
        <v>-0.383</v>
      </c>
      <c r="II30" s="17" t="n">
        <f aca="false">Daily_Composite!AF246</f>
        <v>-0.303</v>
      </c>
      <c r="IJ30" s="17" t="n">
        <f aca="false">Daily_Composite!AF247</f>
        <v>-0.17</v>
      </c>
      <c r="IK30" s="17" t="n">
        <f aca="false">Daily_Composite!AF248</f>
        <v>-0.051</v>
      </c>
      <c r="IL30" s="17" t="n">
        <f aca="false">Daily_Composite!AF249</f>
        <v>-0.102</v>
      </c>
      <c r="IM30" s="17" t="n">
        <f aca="false">Daily_Composite!AF250</f>
        <v>-0.134</v>
      </c>
      <c r="IN30" s="17" t="n">
        <f aca="false">Daily_Composite!AF251</f>
        <v>-0.069</v>
      </c>
      <c r="IO30" s="17" t="n">
        <f aca="false">Daily_Composite!AF252</f>
        <v>-0.026</v>
      </c>
      <c r="IP30" s="17" t="n">
        <f aca="false">Daily_Composite!AF253</f>
        <v>-0.123</v>
      </c>
      <c r="IQ30" s="17" t="n">
        <f aca="false">Daily_Composite!AF254</f>
        <v>-0.085</v>
      </c>
      <c r="IR30" s="17" t="n">
        <f aca="false">Daily_Composite!AF255</f>
        <v>-0.176</v>
      </c>
      <c r="IS30" s="17" t="n">
        <f aca="false">Daily_Composite!AF256</f>
        <v>-0.604</v>
      </c>
      <c r="IT30" s="17" t="n">
        <f aca="false">Daily_Composite!AF257</f>
        <v>-0.203</v>
      </c>
      <c r="IU30" s="17" t="n">
        <f aca="false">Daily_Composite!AF258</f>
        <v>-0.288</v>
      </c>
      <c r="IV30" s="17" t="n">
        <f aca="false">Daily_Composite!AF259</f>
        <v>-0.196</v>
      </c>
      <c r="IW30" s="17" t="n">
        <f aca="false">Daily_Composite!AF260</f>
        <v>-0.192</v>
      </c>
      <c r="IX30" s="17" t="n">
        <f aca="false">Daily_Composite!AF261</f>
        <v>-0.195</v>
      </c>
      <c r="IY30" s="17" t="n">
        <f aca="false">Daily_Composite!AF262</f>
        <v>-0.338</v>
      </c>
      <c r="IZ30" s="17" t="n">
        <f aca="false">Daily_Composite!AF263</f>
        <v>-0.043</v>
      </c>
      <c r="JA30" s="17" t="n">
        <f aca="false">Daily_Composite!AF264</f>
        <v>-0.208</v>
      </c>
      <c r="JB30" s="17" t="n">
        <f aca="false">Daily_Composite!AF265</f>
        <v>-0.51</v>
      </c>
      <c r="JC30" s="17" t="n">
        <f aca="false">Daily_Composite!AF266</f>
        <v>-0.416</v>
      </c>
      <c r="JD30" s="17" t="n">
        <f aca="false">Daily_Composite!AF267</f>
        <v>-0.354</v>
      </c>
      <c r="JE30" s="17" t="n">
        <f aca="false">Daily_Composite!AF268</f>
        <v>-0.236</v>
      </c>
      <c r="JF30" s="17" t="n">
        <f aca="false">Daily_Composite!AF269</f>
        <v>-0.235</v>
      </c>
      <c r="JG30" s="17" t="n">
        <f aca="false">Daily_Composite!AF270</f>
        <v>-0.64</v>
      </c>
      <c r="JH30" s="17" t="n">
        <f aca="false">Daily_Composite!AF271</f>
        <v>-0.641</v>
      </c>
      <c r="JI30" s="17" t="n">
        <f aca="false">Daily_Composite!AF272</f>
        <v>-0.59</v>
      </c>
      <c r="JJ30" s="17" t="n">
        <f aca="false">Daily_Composite!AF273</f>
        <v>-0.538</v>
      </c>
      <c r="JK30" s="17" t="n">
        <f aca="false">Daily_Composite!AF274</f>
        <v>-0.52</v>
      </c>
      <c r="JL30" s="17" t="n">
        <f aca="false">Daily_Composite!AF275</f>
        <v>-0.519</v>
      </c>
      <c r="JM30" s="17" t="n">
        <f aca="false">Daily_Composite!AF276</f>
        <v>-0.212</v>
      </c>
      <c r="JN30" s="17" t="n">
        <f aca="false">Daily_Composite!AF277</f>
        <v>-0.406</v>
      </c>
      <c r="JO30" s="17" t="n">
        <f aca="false">Daily_Composite!AF278</f>
        <v>-0.335</v>
      </c>
      <c r="JP30" s="17" t="n">
        <f aca="false">Daily_Composite!AF279</f>
        <v>-0.218</v>
      </c>
      <c r="JQ30" s="17" t="n">
        <f aca="false">Daily_Composite!AF280</f>
        <v>-0.218</v>
      </c>
      <c r="JR30" s="17" t="n">
        <f aca="false">Daily_Composite!AF281</f>
        <v>-0.211</v>
      </c>
      <c r="JS30" s="17" t="n">
        <f aca="false">Daily_Composite!AF282</f>
        <v>0.223</v>
      </c>
      <c r="JT30" s="17" t="n">
        <f aca="false">Daily_Composite!AF283</f>
        <v>-0.135</v>
      </c>
      <c r="JU30" s="17" t="n">
        <f aca="false">Daily_Composite!AF284</f>
        <v>-0.484</v>
      </c>
      <c r="JV30" s="17" t="n">
        <f aca="false">Daily_Composite!AF285</f>
        <v>-0.163</v>
      </c>
      <c r="JW30" s="17" t="n">
        <f aca="false">Daily_Composite!AF286</f>
        <v>-0.134</v>
      </c>
      <c r="JX30" s="17" t="n">
        <f aca="false">Daily_Composite!AF287</f>
        <v>-0.15</v>
      </c>
      <c r="JY30" s="17" t="n">
        <f aca="false">Daily_Composite!AF288</f>
        <v>-0.151</v>
      </c>
      <c r="JZ30" s="17" t="n">
        <f aca="false">Daily_Composite!AF289</f>
        <v>-0.015</v>
      </c>
      <c r="KA30" s="17" t="n">
        <f aca="false">Daily_Composite!AF290</f>
        <v>0.234</v>
      </c>
      <c r="KB30" s="17" t="n">
        <f aca="false">Daily_Composite!AF291</f>
        <v>-0.175</v>
      </c>
      <c r="KC30" s="17" t="n">
        <f aca="false">Daily_Composite!AF292</f>
        <v>-0.438</v>
      </c>
      <c r="KD30" s="17" t="n">
        <f aca="false">Daily_Composite!AF293</f>
        <v>-0.14</v>
      </c>
      <c r="KE30" s="17" t="n">
        <f aca="false">Daily_Composite!AF294</f>
        <v>0.234</v>
      </c>
      <c r="KF30" s="17" t="n">
        <f aca="false">Daily_Composite!AF295</f>
        <v>0.3</v>
      </c>
      <c r="KG30" s="17" t="n">
        <f aca="false">Daily_Composite!AF296</f>
        <v>-0.036</v>
      </c>
      <c r="KH30" s="17" t="n">
        <f aca="false">Daily_Composite!AF297</f>
        <v>-0.465</v>
      </c>
      <c r="KI30" s="17" t="n">
        <f aca="false">Daily_Composite!AF298</f>
        <v>-0.555</v>
      </c>
      <c r="KJ30" s="17" t="n">
        <f aca="false">Daily_Composite!AF299</f>
        <v>-0.548</v>
      </c>
      <c r="KK30" s="17" t="n">
        <f aca="false">Daily_Composite!AF300</f>
        <v>-0.162</v>
      </c>
      <c r="KL30" s="17" t="n">
        <f aca="false">Daily_Composite!AF301</f>
        <v>-0.489</v>
      </c>
      <c r="KM30" s="17" t="n">
        <f aca="false">Daily_Composite!AF302</f>
        <v>-0.32</v>
      </c>
      <c r="KN30" s="17" t="n">
        <f aca="false">Daily_Composite!AF303</f>
        <v>-0.217</v>
      </c>
      <c r="KO30" s="17" t="n">
        <f aca="false">Daily_Composite!AF304</f>
        <v>-0.354</v>
      </c>
      <c r="KP30" s="17" t="n">
        <f aca="false">Daily_Composite!AF305</f>
        <v>-0.346</v>
      </c>
      <c r="KQ30" s="17" t="n">
        <f aca="false">Daily_Composite!AF306</f>
        <v>-0.36</v>
      </c>
      <c r="KR30" s="17" t="n">
        <f aca="false">Daily_Composite!AF307</f>
        <v>-0.348</v>
      </c>
      <c r="KS30" s="17" t="n">
        <f aca="false">Daily_Composite!AF308</f>
        <v>-0.359</v>
      </c>
      <c r="KT30" s="17" t="n">
        <f aca="false">Daily_Composite!AF309</f>
        <v>0.002</v>
      </c>
      <c r="KU30" s="17" t="n">
        <f aca="false">Daily_Composite!AF310</f>
        <v>-0.179</v>
      </c>
      <c r="KV30" s="17" t="n">
        <f aca="false">Daily_Composite!AF311</f>
        <v>-0.603</v>
      </c>
      <c r="KW30" s="17" t="n">
        <f aca="false">Daily_Composite!AF312</f>
        <v>-0.179</v>
      </c>
      <c r="KX30" s="17" t="n">
        <f aca="false">Daily_Composite!AF313</f>
        <v>-0.329</v>
      </c>
      <c r="KY30" s="17" t="n">
        <f aca="false">Daily_Composite!AF314</f>
        <v>-0.122</v>
      </c>
      <c r="KZ30" s="17" t="n">
        <f aca="false">Daily_Composite!AF315</f>
        <v>-0.146</v>
      </c>
      <c r="LA30" s="17" t="n">
        <f aca="false">Daily_Composite!AF316</f>
        <v>-0.143</v>
      </c>
      <c r="LB30" s="17" t="n">
        <f aca="false">Daily_Composite!AF317</f>
        <v>-0.242</v>
      </c>
      <c r="LC30" s="17" t="n">
        <f aca="false">Daily_Composite!AF318</f>
        <v>0.096</v>
      </c>
      <c r="LD30" s="17" t="n">
        <f aca="false">Daily_Composite!AF319</f>
        <v>-0.196</v>
      </c>
      <c r="LE30" s="17" t="n">
        <f aca="false">Daily_Composite!AF320</f>
        <v>-0.471</v>
      </c>
      <c r="LF30" s="17" t="n">
        <f aca="false">Daily_Composite!AF321</f>
        <v>0.073</v>
      </c>
      <c r="LG30" s="17" t="n">
        <f aca="false">Daily_Composite!AF322</f>
        <v>0.076</v>
      </c>
      <c r="LH30" s="17" t="n">
        <f aca="false">Daily_Composite!AF323</f>
        <v>0.152</v>
      </c>
      <c r="LI30" s="17" t="n">
        <f aca="false">Daily_Composite!AF324</f>
        <v>-0.315</v>
      </c>
      <c r="LJ30" s="17" t="n">
        <f aca="false">Daily_Composite!AF325</f>
        <v>-0.309</v>
      </c>
      <c r="LK30" s="17" t="n">
        <f aca="false">Daily_Composite!AF326</f>
        <v>-0.262</v>
      </c>
      <c r="LL30" s="17" t="n">
        <f aca="false">Daily_Composite!AF327</f>
        <v>0.328</v>
      </c>
      <c r="LM30" s="17" t="n">
        <f aca="false">Daily_Composite!AF328</f>
        <v>-0.023</v>
      </c>
      <c r="LN30" s="17" t="n">
        <f aca="false">Daily_Composite!AF329</f>
        <v>0.162</v>
      </c>
      <c r="LO30" s="17" t="n">
        <f aca="false">Daily_Composite!AF330</f>
        <v>-0.309</v>
      </c>
      <c r="LP30" s="17" t="n">
        <f aca="false">Daily_Composite!AF331</f>
        <v>0.166</v>
      </c>
      <c r="LQ30" s="17" t="n">
        <f aca="false">Daily_Composite!AF332</f>
        <v>0.137</v>
      </c>
      <c r="LR30" s="17" t="n">
        <f aca="false">Daily_Composite!AF333</f>
        <v>0.157</v>
      </c>
      <c r="LS30" s="17" t="n">
        <f aca="false">Daily_Composite!AF334</f>
        <v>0.137</v>
      </c>
      <c r="LT30" s="17" t="n">
        <f aca="false">Daily_Composite!AF335</f>
        <v>0.151</v>
      </c>
      <c r="LU30" s="17" t="n">
        <f aca="false">Daily_Composite!AF336</f>
        <v>0.192</v>
      </c>
      <c r="LV30" s="17" t="n">
        <f aca="false">Daily_Composite!AF337</f>
        <v>0.377</v>
      </c>
      <c r="LW30" s="17" t="n">
        <f aca="false">Daily_Composite!AF338</f>
        <v>0.207</v>
      </c>
      <c r="LX30" s="17" t="n">
        <f aca="false">Daily_Composite!AF339</f>
        <v>0.036</v>
      </c>
      <c r="LY30" s="17" t="n">
        <f aca="false">Daily_Composite!AF340</f>
        <v>0.107</v>
      </c>
      <c r="LZ30" s="17" t="n">
        <f aca="false">Daily_Composite!AF341</f>
        <v>0.209</v>
      </c>
      <c r="MA30" s="17" t="n">
        <f aca="false">Daily_Composite!AF342</f>
        <v>0.159</v>
      </c>
      <c r="MB30" s="17" t="n">
        <f aca="false">Daily_Composite!AF343</f>
        <v>0.169</v>
      </c>
      <c r="MC30" s="17" t="n">
        <f aca="false">Daily_Composite!AF344</f>
        <v>0.101</v>
      </c>
      <c r="MD30" s="17" t="n">
        <f aca="false">Daily_Composite!AF345</f>
        <v>0.034</v>
      </c>
      <c r="ME30" s="17" t="n">
        <f aca="false">Daily_Composite!AF346</f>
        <v>0.156</v>
      </c>
      <c r="MF30" s="17" t="n">
        <f aca="false">Daily_Composite!AF347</f>
        <v>0.386</v>
      </c>
      <c r="MG30" s="17" t="n">
        <f aca="false">Daily_Composite!AF348</f>
        <v>0.155</v>
      </c>
      <c r="MH30" s="17" t="n">
        <f aca="false">Daily_Composite!AF349</f>
        <v>0.177</v>
      </c>
      <c r="MI30" s="17" t="n">
        <f aca="false">Daily_Composite!AF350</f>
        <v>0.264</v>
      </c>
      <c r="MJ30" s="17" t="n">
        <f aca="false">Daily_Composite!AF351</f>
        <v>0.285</v>
      </c>
      <c r="MK30" s="17" t="n">
        <f aca="false">Daily_Composite!AF352</f>
        <v>0.075</v>
      </c>
      <c r="ML30" s="17" t="n">
        <f aca="false">Daily_Composite!AF353</f>
        <v>0.072</v>
      </c>
      <c r="MM30" s="17" t="n">
        <f aca="false">Daily_Composite!AF354</f>
        <v>0.181</v>
      </c>
      <c r="MN30" s="17" t="n">
        <f aca="false">Daily_Composite!AF355</f>
        <v>0.255</v>
      </c>
      <c r="MO30" s="17" t="n">
        <f aca="false">Daily_Composite!AF356</f>
        <v>0.171</v>
      </c>
      <c r="MP30" s="17" t="n">
        <f aca="false">Daily_Composite!AF357</f>
        <v>0.484</v>
      </c>
      <c r="MQ30" s="17" t="n">
        <f aca="false">Daily_Composite!AF358</f>
        <v>0.079</v>
      </c>
      <c r="MR30" s="17" t="n">
        <f aca="false">Daily_Composite!AF359</f>
        <v>0.164</v>
      </c>
      <c r="MS30" s="17" t="n">
        <f aca="false">Daily_Composite!AF360</f>
        <v>0.188</v>
      </c>
      <c r="MT30" s="17" t="n">
        <f aca="false">Daily_Composite!AF361</f>
        <v>0.19</v>
      </c>
      <c r="MU30" s="17" t="n">
        <f aca="false">Daily_Composite!AF362</f>
        <v>0.174</v>
      </c>
      <c r="MV30" s="17" t="n">
        <f aca="false">Daily_Composite!AF363</f>
        <v>0.036</v>
      </c>
      <c r="MW30" s="17" t="n">
        <f aca="false">Daily_Composite!AF364</f>
        <v>0.162</v>
      </c>
      <c r="MX30" s="17" t="n">
        <f aca="false">Daily_Composite!AF365</f>
        <v>0.086</v>
      </c>
      <c r="MY30" s="17" t="n">
        <f aca="false">Daily_Composite!AF366</f>
        <v>0.429</v>
      </c>
      <c r="MZ30" s="17" t="n">
        <f aca="false">Daily_Composite!AF367</f>
        <v>0.061</v>
      </c>
      <c r="NA30" s="17" t="n">
        <f aca="false">Daily_Composite!AF368</f>
        <v>0.154</v>
      </c>
      <c r="NB30" s="17" t="n">
        <f aca="false">Daily_Composite!AF369</f>
        <v>0.092</v>
      </c>
    </row>
    <row r="31" customFormat="false" ht="15" hidden="false" customHeight="false" outlineLevel="0" collapsed="false">
      <c r="A31" s="6" t="s">
        <v>44</v>
      </c>
      <c r="B31" s="17" t="n">
        <f aca="false">Daily_Composite!AG5</f>
        <v>0.133</v>
      </c>
      <c r="C31" s="17" t="n">
        <f aca="false">Daily_Composite!AG6</f>
        <v>0.054</v>
      </c>
      <c r="D31" s="17" t="n">
        <f aca="false">Daily_Composite!AG7</f>
        <v>0.012</v>
      </c>
      <c r="E31" s="17" t="n">
        <f aca="false">Daily_Composite!AG8</f>
        <v>0.058</v>
      </c>
      <c r="F31" s="17" t="n">
        <f aca="false">Daily_Composite!AG9</f>
        <v>-0.479</v>
      </c>
      <c r="G31" s="17" t="n">
        <f aca="false">Daily_Composite!AG10</f>
        <v>-0.279</v>
      </c>
      <c r="H31" s="17" t="n">
        <f aca="false">Daily_Composite!AG11</f>
        <v>-0.322</v>
      </c>
      <c r="I31" s="17" t="n">
        <f aca="false">Daily_Composite!AG12</f>
        <v>-0.068</v>
      </c>
      <c r="J31" s="17" t="n">
        <f aca="false">Daily_Composite!AG13</f>
        <v>-0.108</v>
      </c>
      <c r="K31" s="17" t="n">
        <f aca="false">Daily_Composite!AG14</f>
        <v>-0.198</v>
      </c>
      <c r="L31" s="17" t="n">
        <f aca="false">Daily_Composite!AG15</f>
        <v>-0.621</v>
      </c>
      <c r="M31" s="17" t="n">
        <f aca="false">Daily_Composite!AG16</f>
        <v>-0.23</v>
      </c>
      <c r="N31" s="17" t="n">
        <f aca="false">Daily_Composite!AG17</f>
        <v>-0.185</v>
      </c>
      <c r="O31" s="17" t="n">
        <f aca="false">Daily_Composite!AG18</f>
        <v>-0.565</v>
      </c>
      <c r="P31" s="17" t="n">
        <f aca="false">Daily_Composite!AG19</f>
        <v>-0.197</v>
      </c>
      <c r="Q31" s="17" t="n">
        <f aca="false">Daily_Composite!AG20</f>
        <v>-0.183</v>
      </c>
      <c r="R31" s="17" t="n">
        <f aca="false">Daily_Composite!AG21</f>
        <v>-0.167</v>
      </c>
      <c r="S31" s="17" t="n">
        <f aca="false">Daily_Composite!AG22</f>
        <v>-0.208</v>
      </c>
      <c r="T31" s="17" t="n">
        <f aca="false">Daily_Composite!AG23</f>
        <v>-0.381</v>
      </c>
      <c r="U31" s="17" t="n">
        <f aca="false">Daily_Composite!AG24</f>
        <v>-0.311</v>
      </c>
      <c r="V31" s="17" t="n">
        <f aca="false">Daily_Composite!AG25</f>
        <v>-0.379</v>
      </c>
      <c r="W31" s="17" t="n">
        <f aca="false">Daily_Composite!AG26</f>
        <v>-0.299</v>
      </c>
      <c r="X31" s="17" t="n">
        <f aca="false">Daily_Composite!AG27</f>
        <v>-0.253</v>
      </c>
      <c r="Y31" s="17" t="n">
        <f aca="false">Daily_Composite!AG28</f>
        <v>0.232</v>
      </c>
      <c r="Z31" s="17" t="n">
        <f aca="false">Daily_Composite!AG29</f>
        <v>-0.27</v>
      </c>
      <c r="AA31" s="17" t="n">
        <f aca="false">Daily_Composite!AG30</f>
        <v>-0.41</v>
      </c>
      <c r="AB31" s="17" t="n">
        <f aca="false">Daily_Composite!AG31</f>
        <v>-0.182</v>
      </c>
      <c r="AC31" s="17" t="n">
        <f aca="false">Daily_Composite!AG32</f>
        <v>-0.212</v>
      </c>
      <c r="AD31" s="17" t="n">
        <f aca="false">Daily_Composite!AG33</f>
        <v>-0.279</v>
      </c>
      <c r="AE31" s="17" t="n">
        <f aca="false">Daily_Composite!AG34</f>
        <v>-0.283</v>
      </c>
      <c r="AF31" s="17" t="n">
        <f aca="false">Daily_Composite!AG35</f>
        <v>-0.129</v>
      </c>
      <c r="AG31" s="17" t="n">
        <f aca="false">Daily_Composite!AG36</f>
        <v>-0.107</v>
      </c>
      <c r="AH31" s="17" t="n">
        <f aca="false">Daily_Composite!AG37</f>
        <v>0.336</v>
      </c>
      <c r="AI31" s="17" t="n">
        <f aca="false">Daily_Composite!AG38</f>
        <v>-0.148</v>
      </c>
      <c r="AJ31" s="17" t="n">
        <f aca="false">Daily_Composite!AG39</f>
        <v>0.018</v>
      </c>
      <c r="AK31" s="17" t="n">
        <f aca="false">Daily_Composite!AG40</f>
        <v>-0.044</v>
      </c>
      <c r="AL31" s="17" t="n">
        <f aca="false">Daily_Composite!AG41</f>
        <v>-0.067</v>
      </c>
      <c r="AM31" s="17" t="n">
        <f aca="false">Daily_Composite!AG42</f>
        <v>-0.454</v>
      </c>
      <c r="AN31" s="17" t="n">
        <f aca="false">Daily_Composite!AG43</f>
        <v>-0.068</v>
      </c>
      <c r="AO31" s="17" t="n">
        <f aca="false">Daily_Composite!AG44</f>
        <v>-0.072</v>
      </c>
      <c r="AP31" s="17" t="n">
        <f aca="false">Daily_Composite!AG45</f>
        <v>-0.037</v>
      </c>
      <c r="AQ31" s="17" t="n">
        <f aca="false">Daily_Composite!AG46</f>
        <v>0.44</v>
      </c>
      <c r="AR31" s="17" t="n">
        <f aca="false">Daily_Composite!AG47</f>
        <v>0.003</v>
      </c>
      <c r="AS31" s="17" t="n">
        <f aca="false">Daily_Composite!AG48</f>
        <v>0.019</v>
      </c>
      <c r="AT31" s="17" t="n">
        <f aca="false">Daily_Composite!AG49</f>
        <v>0.309</v>
      </c>
      <c r="AU31" s="17" t="n">
        <f aca="false">Daily_Composite!AG50</f>
        <v>0.24</v>
      </c>
      <c r="AV31" s="17" t="n">
        <f aca="false">Daily_Composite!AG51</f>
        <v>0.087</v>
      </c>
      <c r="AW31" s="17" t="n">
        <f aca="false">Daily_Composite!AG52</f>
        <v>-0.262</v>
      </c>
      <c r="AX31" s="17" t="n">
        <f aca="false">Daily_Composite!AG53</f>
        <v>-0.003</v>
      </c>
      <c r="AY31" s="17" t="n">
        <f aca="false">Daily_Composite!AG54</f>
        <v>0.063</v>
      </c>
      <c r="AZ31" s="17" t="n">
        <f aca="false">Daily_Composite!AG55</f>
        <v>0.043</v>
      </c>
      <c r="BA31" s="17" t="n">
        <f aca="false">Daily_Composite!AG56</f>
        <v>0.38</v>
      </c>
      <c r="BB31" s="17" t="n">
        <f aca="false">Daily_Composite!AG57</f>
        <v>0.057</v>
      </c>
      <c r="BC31" s="17" t="n">
        <f aca="false">Daily_Composite!AG58</f>
        <v>0.216</v>
      </c>
      <c r="BD31" s="17" t="n">
        <f aca="false">Daily_Composite!AG59</f>
        <v>-0.007</v>
      </c>
      <c r="BE31" s="17" t="n">
        <f aca="false">Daily_Composite!AG60</f>
        <v>-0.05</v>
      </c>
      <c r="BF31" s="17" t="n">
        <f aca="false">Daily_Composite!AG61</f>
        <v>-0.527</v>
      </c>
      <c r="BG31" s="17" t="n">
        <f aca="false">Daily_Composite!AG62</f>
        <v>-0.044</v>
      </c>
      <c r="BH31" s="17" t="n">
        <f aca="false">Daily_Composite!AG63</f>
        <v>0.003</v>
      </c>
      <c r="BI31" s="17" t="n">
        <f aca="false">Daily_Composite!AG64</f>
        <v>0.247</v>
      </c>
      <c r="BJ31" s="17" t="n">
        <f aca="false">Daily_Composite!AG65</f>
        <v>-0.433</v>
      </c>
      <c r="BK31" s="17" t="n">
        <f aca="false">Daily_Composite!AG66</f>
        <v>-0.419</v>
      </c>
      <c r="BL31" s="17" t="n">
        <f aca="false">Daily_Composite!AG67</f>
        <v>-0.022</v>
      </c>
      <c r="BM31" s="17" t="n">
        <f aca="false">Daily_Composite!AG68</f>
        <v>-0.07</v>
      </c>
      <c r="BN31" s="17" t="n">
        <f aca="false">Daily_Composite!AG69</f>
        <v>-0.321</v>
      </c>
      <c r="BO31" s="17" t="n">
        <f aca="false">Daily_Composite!AG70</f>
        <v>-0.639</v>
      </c>
      <c r="BP31" s="17" t="n">
        <f aca="false">Daily_Composite!AG71</f>
        <v>-0.135</v>
      </c>
      <c r="BQ31" s="17" t="n">
        <f aca="false">Daily_Composite!AG72</f>
        <v>-0.124</v>
      </c>
      <c r="BR31" s="17" t="n">
        <f aca="false">Daily_Composite!AG73</f>
        <v>0.112</v>
      </c>
      <c r="BS31" s="17" t="n">
        <f aca="false">Daily_Composite!AG74</f>
        <v>-0.127</v>
      </c>
      <c r="BT31" s="17" t="n">
        <f aca="false">Daily_Composite!AG75</f>
        <v>-0.044</v>
      </c>
      <c r="BU31" s="17" t="n">
        <f aca="false">Daily_Composite!AG76</f>
        <v>0.143</v>
      </c>
      <c r="BV31" s="17" t="n">
        <f aca="false">Daily_Composite!AG77</f>
        <v>0.121</v>
      </c>
      <c r="BW31" s="17" t="n">
        <f aca="false">Daily_Composite!AG78</f>
        <v>0.068</v>
      </c>
      <c r="BX31" s="17" t="n">
        <f aca="false">Daily_Composite!AG79</f>
        <v>-0.445</v>
      </c>
      <c r="BY31" s="17" t="n">
        <f aca="false">Daily_Composite!AG80</f>
        <v>-0.476</v>
      </c>
      <c r="BZ31" s="17" t="n">
        <f aca="false">Daily_Composite!AG81</f>
        <v>0.004</v>
      </c>
      <c r="CA31" s="17" t="n">
        <f aca="false">Daily_Composite!AG82</f>
        <v>-0.026</v>
      </c>
      <c r="CB31" s="17" t="n">
        <f aca="false">Daily_Composite!AG83</f>
        <v>0.338</v>
      </c>
      <c r="CC31" s="17" t="n">
        <f aca="false">Daily_Composite!AG84</f>
        <v>-0.211</v>
      </c>
      <c r="CD31" s="17" t="n">
        <f aca="false">Daily_Composite!AG85</f>
        <v>0.119</v>
      </c>
      <c r="CE31" s="17" t="n">
        <f aca="false">Daily_Composite!AG86</f>
        <v>-0.064</v>
      </c>
      <c r="CF31" s="17" t="n">
        <f aca="false">Daily_Composite!AG87</f>
        <v>-0.037</v>
      </c>
      <c r="CG31" s="17" t="n">
        <f aca="false">Daily_Composite!AG88</f>
        <v>-0.092</v>
      </c>
      <c r="CH31" s="17" t="n">
        <f aca="false">Daily_Composite!AG89</f>
        <v>-0.592</v>
      </c>
      <c r="CI31" s="17" t="n">
        <f aca="false">Daily_Composite!AG90</f>
        <v>-0.135</v>
      </c>
      <c r="CJ31" s="17" t="n">
        <f aca="false">Daily_Composite!AG91</f>
        <v>-0.169</v>
      </c>
      <c r="CK31" s="17" t="n">
        <f aca="false">Daily_Composite!AG92</f>
        <v>-0.1</v>
      </c>
      <c r="CL31" s="17" t="n">
        <f aca="false">Daily_Composite!AG93</f>
        <v>-0.47</v>
      </c>
      <c r="CM31" s="17" t="n">
        <f aca="false">Daily_Composite!AG94</f>
        <v>-0.16</v>
      </c>
      <c r="CN31" s="17" t="n">
        <f aca="false">Daily_Composite!AG95</f>
        <v>-0.292</v>
      </c>
      <c r="CO31" s="17" t="n">
        <f aca="false">Daily_Composite!AG96</f>
        <v>-0.32</v>
      </c>
      <c r="CP31" s="17" t="n">
        <f aca="false">Daily_Composite!AG97</f>
        <v>-0.686</v>
      </c>
      <c r="CQ31" s="17" t="n">
        <f aca="false">Daily_Composite!AG98</f>
        <v>-0.295</v>
      </c>
      <c r="CR31" s="17" t="n">
        <f aca="false">Daily_Composite!AG99</f>
        <v>-0.252</v>
      </c>
      <c r="CS31" s="17" t="n">
        <f aca="false">Daily_Composite!AG100</f>
        <v>-0.621</v>
      </c>
      <c r="CT31" s="17" t="n">
        <f aca="false">Daily_Composite!AG101</f>
        <v>-0.267</v>
      </c>
      <c r="CU31" s="17" t="n">
        <f aca="false">Daily_Composite!AG102</f>
        <v>-0.248</v>
      </c>
      <c r="CV31" s="17" t="n">
        <f aca="false">Daily_Composite!AG103</f>
        <v>-0.465</v>
      </c>
      <c r="CW31" s="17" t="n">
        <f aca="false">Daily_Composite!AG104</f>
        <v>-0.498</v>
      </c>
      <c r="CX31" s="17" t="n">
        <f aca="false">Daily_Composite!AG105</f>
        <v>-0.613</v>
      </c>
      <c r="CY31" s="17" t="n">
        <f aca="false">Daily_Composite!AG106</f>
        <v>-0.106</v>
      </c>
      <c r="CZ31" s="17" t="n">
        <f aca="false">Daily_Composite!AG107</f>
        <v>0.212</v>
      </c>
      <c r="DA31" s="17" t="n">
        <f aca="false">Daily_Composite!AG108</f>
        <v>-0.321</v>
      </c>
      <c r="DB31" s="17" t="n">
        <f aca="false">Daily_Composite!AG109</f>
        <v>-0.321</v>
      </c>
      <c r="DC31" s="17" t="n">
        <f aca="false">Daily_Composite!AG110</f>
        <v>-0.201</v>
      </c>
      <c r="DD31" s="17" t="n">
        <f aca="false">Daily_Composite!AG111</f>
        <v>0.042</v>
      </c>
      <c r="DE31" s="17" t="n">
        <f aca="false">Daily_Composite!AG112</f>
        <v>0.042</v>
      </c>
      <c r="DF31" s="17" t="n">
        <f aca="false">Daily_Composite!AG113</f>
        <v>-0.27</v>
      </c>
      <c r="DG31" s="17" t="n">
        <f aca="false">Daily_Composite!AG114</f>
        <v>-0.316</v>
      </c>
      <c r="DH31" s="17" t="n">
        <f aca="false">Daily_Composite!AG115</f>
        <v>-0.372</v>
      </c>
      <c r="DI31" s="17" t="n">
        <f aca="false">Daily_Composite!AG116</f>
        <v>-0.626</v>
      </c>
      <c r="DJ31" s="17" t="n">
        <f aca="false">Daily_Composite!AG117</f>
        <v>-0.357</v>
      </c>
      <c r="DK31" s="17" t="n">
        <f aca="false">Daily_Composite!AG118</f>
        <v>-0.32</v>
      </c>
      <c r="DL31" s="17" t="n">
        <f aca="false">Daily_Composite!AG119</f>
        <v>-0.603</v>
      </c>
      <c r="DM31" s="17" t="n">
        <f aca="false">Daily_Composite!AG120</f>
        <v>-0.279</v>
      </c>
      <c r="DN31" s="17" t="n">
        <f aca="false">Daily_Composite!AG121</f>
        <v>-0.318</v>
      </c>
      <c r="DO31" s="17" t="n">
        <f aca="false">Daily_Composite!AG122</f>
        <v>-0.256</v>
      </c>
      <c r="DP31" s="17" t="n">
        <f aca="false">Daily_Composite!AG123</f>
        <v>-0.258</v>
      </c>
      <c r="DQ31" s="17" t="n">
        <f aca="false">Daily_Composite!AG124</f>
        <v>-0.551</v>
      </c>
      <c r="DR31" s="17" t="n">
        <f aca="false">Daily_Composite!AG125</f>
        <v>-0.22</v>
      </c>
      <c r="DS31" s="17" t="n">
        <f aca="false">Daily_Composite!AG126</f>
        <v>-0.237</v>
      </c>
      <c r="DT31" s="17" t="n">
        <f aca="false">Daily_Composite!AG127</f>
        <v>-0.535</v>
      </c>
      <c r="DU31" s="17" t="n">
        <f aca="false">Daily_Composite!AG128</f>
        <v>-0.297</v>
      </c>
      <c r="DV31" s="17" t="n">
        <f aca="false">Daily_Composite!AG129</f>
        <v>-0.382</v>
      </c>
      <c r="DW31" s="17" t="n">
        <f aca="false">Daily_Composite!AG130</f>
        <v>-0.422</v>
      </c>
      <c r="DX31" s="17" t="n">
        <f aca="false">Daily_Composite!AG131</f>
        <v>-0.557</v>
      </c>
      <c r="DY31" s="17" t="n">
        <f aca="false">Daily_Composite!AG132</f>
        <v>-0.615</v>
      </c>
      <c r="DZ31" s="17" t="n">
        <f aca="false">Daily_Composite!AG133</f>
        <v>-0.232</v>
      </c>
      <c r="EA31" s="17" t="n">
        <f aca="false">Daily_Composite!AG134</f>
        <v>-0.656</v>
      </c>
      <c r="EB31" s="17" t="n">
        <f aca="false">Daily_Composite!AG135</f>
        <v>-0.207</v>
      </c>
      <c r="EC31" s="17" t="n">
        <f aca="false">Daily_Composite!AG136</f>
        <v>-0.195</v>
      </c>
      <c r="ED31" s="17" t="n">
        <f aca="false">Daily_Composite!AG137</f>
        <v>-0.633</v>
      </c>
      <c r="EE31" s="17" t="n">
        <f aca="false">Daily_Composite!AG138</f>
        <v>-0.388</v>
      </c>
      <c r="EF31" s="17" t="n">
        <f aca="false">Daily_Composite!AG139</f>
        <v>-0.435</v>
      </c>
      <c r="EG31" s="17" t="n">
        <f aca="false">Daily_Composite!AG140</f>
        <v>-0.183</v>
      </c>
      <c r="EH31" s="17" t="n">
        <f aca="false">Daily_Composite!AG141</f>
        <v>-0.187</v>
      </c>
      <c r="EI31" s="17" t="n">
        <f aca="false">Daily_Composite!AG142</f>
        <v>-0.178</v>
      </c>
      <c r="EJ31" s="17" t="n">
        <f aca="false">Daily_Composite!AG143</f>
        <v>-0.625</v>
      </c>
      <c r="EK31" s="17" t="n">
        <f aca="false">Daily_Composite!AG144</f>
        <v>-0.222</v>
      </c>
      <c r="EL31" s="17" t="n">
        <f aca="false">Daily_Composite!AG145</f>
        <v>-0.161</v>
      </c>
      <c r="EM31" s="17" t="n">
        <f aca="false">Daily_Composite!AG146</f>
        <v>-0.432</v>
      </c>
      <c r="EN31" s="17" t="n">
        <f aca="false">Daily_Composite!AG147</f>
        <v>0.013</v>
      </c>
      <c r="EO31" s="17" t="n">
        <f aca="false">Daily_Composite!AG148</f>
        <v>-0.179</v>
      </c>
      <c r="EP31" s="17" t="n">
        <f aca="false">Daily_Composite!AG149</f>
        <v>-0.104</v>
      </c>
      <c r="EQ31" s="17" t="n">
        <f aca="false">Daily_Composite!AG150</f>
        <v>-0.112</v>
      </c>
      <c r="ER31" s="17" t="n">
        <f aca="false">Daily_Composite!AG151</f>
        <v>-0.086</v>
      </c>
      <c r="ES31" s="17" t="n">
        <f aca="false">Daily_Composite!AG152</f>
        <v>-0.353</v>
      </c>
      <c r="ET31" s="17" t="n">
        <f aca="false">Daily_Composite!AG153</f>
        <v>-0.085</v>
      </c>
      <c r="EU31" s="17" t="n">
        <f aca="false">Daily_Composite!AG154</f>
        <v>-0.055</v>
      </c>
      <c r="EV31" s="17" t="n">
        <f aca="false">Daily_Composite!AG155</f>
        <v>0.24</v>
      </c>
      <c r="EW31" s="17" t="n">
        <f aca="false">Daily_Composite!AG156</f>
        <v>0.021</v>
      </c>
      <c r="EX31" s="17" t="n">
        <f aca="false">Daily_Composite!AG157</f>
        <v>0.035</v>
      </c>
      <c r="EY31" s="17" t="n">
        <f aca="false">Daily_Composite!AG158</f>
        <v>0.004</v>
      </c>
      <c r="EZ31" s="17" t="n">
        <f aca="false">Daily_Composite!AG159</f>
        <v>-0.165</v>
      </c>
      <c r="FA31" s="17" t="n">
        <f aca="false">Daily_Composite!AG160</f>
        <v>-0.116</v>
      </c>
      <c r="FB31" s="17" t="n">
        <f aca="false">Daily_Composite!AG161</f>
        <v>0.415</v>
      </c>
      <c r="FC31" s="17" t="n">
        <f aca="false">Daily_Composite!AG162</f>
        <v>-0.015</v>
      </c>
      <c r="FD31" s="17" t="n">
        <f aca="false">Daily_Composite!AG163</f>
        <v>0.092</v>
      </c>
      <c r="FE31" s="17" t="n">
        <f aca="false">Daily_Composite!AG164</f>
        <v>0.094</v>
      </c>
      <c r="FF31" s="17" t="n">
        <f aca="false">Daily_Composite!AG165</f>
        <v>0.476</v>
      </c>
      <c r="FG31" s="17" t="n">
        <f aca="false">Daily_Composite!AG166</f>
        <v>0.378</v>
      </c>
      <c r="FH31" s="17" t="n">
        <f aca="false">Daily_Composite!AG167</f>
        <v>0.372</v>
      </c>
      <c r="FI31" s="17" t="n">
        <f aca="false">Daily_Composite!AG168</f>
        <v>-0</v>
      </c>
      <c r="FJ31" s="17" t="n">
        <f aca="false">Daily_Composite!AG169</f>
        <v>-0.03</v>
      </c>
      <c r="FK31" s="17" t="n">
        <f aca="false">Daily_Composite!AG170</f>
        <v>-0.121</v>
      </c>
      <c r="FL31" s="17" t="n">
        <f aca="false">Daily_Composite!AG171</f>
        <v>-0.553</v>
      </c>
      <c r="FM31" s="17" t="n">
        <f aca="false">Daily_Composite!AG172</f>
        <v>-0.095</v>
      </c>
      <c r="FN31" s="17" t="n">
        <f aca="false">Daily_Composite!AG173</f>
        <v>0.056</v>
      </c>
      <c r="FO31" s="17" t="n">
        <f aca="false">Daily_Composite!AG174</f>
        <v>0.057</v>
      </c>
      <c r="FP31" s="17" t="n">
        <f aca="false">Daily_Composite!AG175</f>
        <v>0.024</v>
      </c>
      <c r="FQ31" s="17" t="n">
        <f aca="false">Daily_Composite!AG176</f>
        <v>-0.201</v>
      </c>
      <c r="FR31" s="17" t="n">
        <f aca="false">Daily_Composite!AG177</f>
        <v>-0.189</v>
      </c>
      <c r="FS31" s="17" t="n">
        <f aca="false">Daily_Composite!AG178</f>
        <v>-0.235</v>
      </c>
      <c r="FT31" s="17" t="n">
        <f aca="false">Daily_Composite!AG179</f>
        <v>-0.702</v>
      </c>
      <c r="FU31" s="17" t="n">
        <f aca="false">Daily_Composite!AG180</f>
        <v>-0.237</v>
      </c>
      <c r="FV31" s="17" t="n">
        <f aca="false">Daily_Composite!AG181</f>
        <v>-0.131</v>
      </c>
      <c r="FW31" s="17" t="n">
        <f aca="false">Daily_Composite!AG182</f>
        <v>-0.213</v>
      </c>
      <c r="FX31" s="17" t="n">
        <f aca="false">Daily_Composite!AG183</f>
        <v>-0.136</v>
      </c>
      <c r="FY31" s="17" t="n">
        <f aca="false">Daily_Composite!AG184</f>
        <v>-0.117</v>
      </c>
      <c r="FZ31" s="17" t="n">
        <f aca="false">Daily_Composite!AG185</f>
        <v>-0.023</v>
      </c>
      <c r="GA31" s="17" t="n">
        <f aca="false">Daily_Composite!AG186</f>
        <v>-0.409</v>
      </c>
      <c r="GB31" s="17" t="n">
        <f aca="false">Daily_Composite!AG187</f>
        <v>-0.552</v>
      </c>
      <c r="GC31" s="17" t="n">
        <f aca="false">Daily_Composite!AG188</f>
        <v>-0.318</v>
      </c>
      <c r="GD31" s="17" t="n">
        <f aca="false">Daily_Composite!AG189</f>
        <v>-0.438</v>
      </c>
      <c r="GE31" s="17" t="n">
        <f aca="false">Daily_Composite!AG190</f>
        <v>-0.255</v>
      </c>
      <c r="GF31" s="17" t="n">
        <f aca="false">Daily_Composite!AG191</f>
        <v>-0.256</v>
      </c>
      <c r="GG31" s="17" t="n">
        <f aca="false">Daily_Composite!AG192</f>
        <v>-0.68</v>
      </c>
      <c r="GH31" s="17" t="n">
        <f aca="false">Daily_Composite!AG193</f>
        <v>-0.443</v>
      </c>
      <c r="GI31" s="17" t="n">
        <f aca="false">Daily_Composite!AG194</f>
        <v>-0.437</v>
      </c>
      <c r="GJ31" s="17" t="n">
        <f aca="false">Daily_Composite!AG195</f>
        <v>-0.183</v>
      </c>
      <c r="GK31" s="17" t="n">
        <f aca="false">Daily_Composite!AG196</f>
        <v>-0.159</v>
      </c>
      <c r="GL31" s="17" t="n">
        <f aca="false">Daily_Composite!AG197</f>
        <v>-0.192</v>
      </c>
      <c r="GM31" s="17" t="n">
        <f aca="false">Daily_Composite!AG198</f>
        <v>-0.597</v>
      </c>
      <c r="GN31" s="17" t="n">
        <f aca="false">Daily_Composite!AG199</f>
        <v>-0.157</v>
      </c>
      <c r="GO31" s="17" t="n">
        <f aca="false">Daily_Composite!AG200</f>
        <v>-0.127</v>
      </c>
      <c r="GP31" s="17" t="n">
        <f aca="false">Daily_Composite!AG201</f>
        <v>-0.513</v>
      </c>
      <c r="GQ31" s="17" t="n">
        <f aca="false">Daily_Composite!AG202</f>
        <v>-0.138</v>
      </c>
      <c r="GR31" s="17" t="n">
        <f aca="false">Daily_Composite!AG203</f>
        <v>-0.328</v>
      </c>
      <c r="GS31" s="17" t="n">
        <f aca="false">Daily_Composite!AG204</f>
        <v>-0.143</v>
      </c>
      <c r="GT31" s="17" t="n">
        <f aca="false">Daily_Composite!AG205</f>
        <v>-0.116</v>
      </c>
      <c r="GU31" s="17" t="n">
        <f aca="false">Daily_Composite!AG206</f>
        <v>-0.5</v>
      </c>
      <c r="GV31" s="17" t="n">
        <f aca="false">Daily_Composite!AG207</f>
        <v>-0.168</v>
      </c>
      <c r="GW31" s="17" t="n">
        <f aca="false">Daily_Composite!AG208</f>
        <v>-0.14</v>
      </c>
      <c r="GX31" s="17" t="n">
        <f aca="false">Daily_Composite!AG209</f>
        <v>-0.561</v>
      </c>
      <c r="GY31" s="17" t="n">
        <f aca="false">Daily_Composite!AG210</f>
        <v>-0.365</v>
      </c>
      <c r="GZ31" s="17" t="n">
        <f aca="false">Daily_Composite!AG211</f>
        <v>-0.133</v>
      </c>
      <c r="HA31" s="17" t="n">
        <f aca="false">Daily_Composite!AG212</f>
        <v>-0.127</v>
      </c>
      <c r="HB31" s="17" t="n">
        <f aca="false">Daily_Composite!AG213</f>
        <v>-0.422</v>
      </c>
      <c r="HC31" s="17" t="n">
        <f aca="false">Daily_Composite!AG214</f>
        <v>-0.555</v>
      </c>
      <c r="HD31" s="17" t="n">
        <f aca="false">Daily_Composite!AG215</f>
        <v>-0.144</v>
      </c>
      <c r="HE31" s="17" t="n">
        <f aca="false">Daily_Composite!AG216</f>
        <v>0.008</v>
      </c>
      <c r="HF31" s="17" t="n">
        <f aca="false">Daily_Composite!AG217</f>
        <v>-0.168</v>
      </c>
      <c r="HG31" s="17" t="n">
        <f aca="false">Daily_Composite!AG218</f>
        <v>-0.171</v>
      </c>
      <c r="HH31" s="17" t="n">
        <f aca="false">Daily_Composite!AG219</f>
        <v>-0.56</v>
      </c>
      <c r="HI31" s="17" t="n">
        <f aca="false">Daily_Composite!AG220</f>
        <v>-0.134</v>
      </c>
      <c r="HJ31" s="17" t="n">
        <f aca="false">Daily_Composite!AG221</f>
        <v>-0.11</v>
      </c>
      <c r="HK31" s="17" t="n">
        <f aca="false">Daily_Composite!AG222</f>
        <v>-0.528</v>
      </c>
      <c r="HL31" s="17" t="n">
        <f aca="false">Daily_Composite!AG223</f>
        <v>-0.506</v>
      </c>
      <c r="HM31" s="17" t="n">
        <f aca="false">Daily_Composite!AG224</f>
        <v>-0.342</v>
      </c>
      <c r="HN31" s="17" t="n">
        <f aca="false">Daily_Composite!AG225</f>
        <v>-0.549</v>
      </c>
      <c r="HO31" s="17" t="n">
        <f aca="false">Daily_Composite!AG226</f>
        <v>-0.267</v>
      </c>
      <c r="HP31" s="17" t="n">
        <f aca="false">Daily_Composite!AG227</f>
        <v>-0.295</v>
      </c>
      <c r="HQ31" s="17" t="n">
        <f aca="false">Daily_Composite!AG228</f>
        <v>-0.586</v>
      </c>
      <c r="HR31" s="17" t="n">
        <f aca="false">Daily_Composite!AG229</f>
        <v>-0.01</v>
      </c>
      <c r="HS31" s="17" t="n">
        <f aca="false">Daily_Composite!AG230</f>
        <v>-0.18</v>
      </c>
      <c r="HT31" s="17" t="n">
        <f aca="false">Daily_Composite!AG231</f>
        <v>-0.284</v>
      </c>
      <c r="HU31" s="17" t="n">
        <f aca="false">Daily_Composite!AG232</f>
        <v>-0.276</v>
      </c>
      <c r="HV31" s="17" t="n">
        <f aca="false">Daily_Composite!AG233</f>
        <v>-0.136</v>
      </c>
      <c r="HW31" s="17" t="n">
        <f aca="false">Daily_Composite!AG234</f>
        <v>-0.368</v>
      </c>
      <c r="HX31" s="17" t="n">
        <f aca="false">Daily_Composite!AG235</f>
        <v>-0.28</v>
      </c>
      <c r="HY31" s="17" t="n">
        <f aca="false">Daily_Composite!AG236</f>
        <v>-0.308</v>
      </c>
      <c r="HZ31" s="17" t="n">
        <f aca="false">Daily_Composite!AG237</f>
        <v>-0.592</v>
      </c>
      <c r="IA31" s="17" t="n">
        <f aca="false">Daily_Composite!AG238</f>
        <v>-0.056</v>
      </c>
      <c r="IB31" s="17" t="n">
        <f aca="false">Daily_Composite!AG239</f>
        <v>-0.178</v>
      </c>
      <c r="IC31" s="17" t="n">
        <f aca="false">Daily_Composite!AG240</f>
        <v>-0.051</v>
      </c>
      <c r="ID31" s="17" t="n">
        <f aca="false">Daily_Composite!AG241</f>
        <v>0.049</v>
      </c>
      <c r="IE31" s="17" t="n">
        <f aca="false">Daily_Composite!AG242</f>
        <v>-0.283</v>
      </c>
      <c r="IF31" s="17" t="n">
        <f aca="false">Daily_Composite!AG243</f>
        <v>-0.579</v>
      </c>
      <c r="IG31" s="17" t="n">
        <f aca="false">Daily_Composite!AG244</f>
        <v>-0.336</v>
      </c>
      <c r="IH31" s="17" t="n">
        <f aca="false">Daily_Composite!AG245</f>
        <v>-0.236</v>
      </c>
      <c r="II31" s="17" t="n">
        <f aca="false">Daily_Composite!AG246</f>
        <v>-0.251</v>
      </c>
      <c r="IJ31" s="17" t="n">
        <f aca="false">Daily_Composite!AG247</f>
        <v>0.308</v>
      </c>
      <c r="IK31" s="17" t="n">
        <f aca="false">Daily_Composite!AG248</f>
        <v>0.124</v>
      </c>
      <c r="IL31" s="17" t="n">
        <f aca="false">Daily_Composite!AG249</f>
        <v>0.232</v>
      </c>
      <c r="IM31" s="17" t="n">
        <f aca="false">Daily_Composite!AG250</f>
        <v>-0.285</v>
      </c>
      <c r="IN31" s="17" t="n">
        <f aca="false">Daily_Composite!AG251</f>
        <v>-0.303</v>
      </c>
      <c r="IO31" s="17" t="n">
        <f aca="false">Daily_Composite!AG252</f>
        <v>-0.31</v>
      </c>
      <c r="IP31" s="17" t="n">
        <f aca="false">Daily_Composite!AG253</f>
        <v>-0.484</v>
      </c>
      <c r="IQ31" s="17" t="n">
        <f aca="false">Daily_Composite!AG254</f>
        <v>-0.274</v>
      </c>
      <c r="IR31" s="17" t="n">
        <f aca="false">Daily_Composite!AG255</f>
        <v>0.034</v>
      </c>
      <c r="IS31" s="17" t="n">
        <f aca="false">Daily_Composite!AG256</f>
        <v>-0.448</v>
      </c>
      <c r="IT31" s="17" t="n">
        <f aca="false">Daily_Composite!AG257</f>
        <v>-0.491</v>
      </c>
      <c r="IU31" s="17" t="n">
        <f aca="false">Daily_Composite!AG258</f>
        <v>-0.229</v>
      </c>
      <c r="IV31" s="17" t="n">
        <f aca="false">Daily_Composite!AG259</f>
        <v>-0.215</v>
      </c>
      <c r="IW31" s="17" t="n">
        <f aca="false">Daily_Composite!AG260</f>
        <v>-0.285</v>
      </c>
      <c r="IX31" s="17" t="n">
        <f aca="false">Daily_Composite!AG261</f>
        <v>-0.207</v>
      </c>
      <c r="IY31" s="17" t="n">
        <f aca="false">Daily_Composite!AG262</f>
        <v>-0.304</v>
      </c>
      <c r="IZ31" s="17" t="n">
        <f aca="false">Daily_Composite!AG263</f>
        <v>-0.287</v>
      </c>
      <c r="JA31" s="17" t="n">
        <f aca="false">Daily_Composite!AG264</f>
        <v>-0.308</v>
      </c>
      <c r="JB31" s="17" t="n">
        <f aca="false">Daily_Composite!AG265</f>
        <v>-0.295</v>
      </c>
      <c r="JC31" s="17" t="n">
        <f aca="false">Daily_Composite!AG266</f>
        <v>-0.328</v>
      </c>
      <c r="JD31" s="17" t="n">
        <f aca="false">Daily_Composite!AG267</f>
        <v>-0.154</v>
      </c>
      <c r="JE31" s="17" t="n">
        <f aca="false">Daily_Composite!AG268</f>
        <v>-0.301</v>
      </c>
      <c r="JF31" s="17" t="n">
        <f aca="false">Daily_Composite!AG269</f>
        <v>-0.347</v>
      </c>
      <c r="JG31" s="17" t="n">
        <f aca="false">Daily_Composite!AG270</f>
        <v>-0.398</v>
      </c>
      <c r="JH31" s="17" t="n">
        <f aca="false">Daily_Composite!AG271</f>
        <v>-0.627</v>
      </c>
      <c r="JI31" s="17" t="n">
        <f aca="false">Daily_Composite!AG272</f>
        <v>-0.299</v>
      </c>
      <c r="JJ31" s="17" t="n">
        <f aca="false">Daily_Composite!AG273</f>
        <v>-0.332</v>
      </c>
      <c r="JK31" s="17" t="n">
        <f aca="false">Daily_Composite!AG274</f>
        <v>0.069</v>
      </c>
      <c r="JL31" s="17" t="n">
        <f aca="false">Daily_Composite!AG275</f>
        <v>-0.022</v>
      </c>
      <c r="JM31" s="17" t="n">
        <f aca="false">Daily_Composite!AG276</f>
        <v>0.041</v>
      </c>
      <c r="JN31" s="17" t="n">
        <f aca="false">Daily_Composite!AG277</f>
        <v>-0.554</v>
      </c>
      <c r="JO31" s="17" t="n">
        <f aca="false">Daily_Composite!AG278</f>
        <v>-0.536</v>
      </c>
      <c r="JP31" s="17" t="n">
        <f aca="false">Daily_Composite!AG279</f>
        <v>-0.522</v>
      </c>
      <c r="JQ31" s="17" t="n">
        <f aca="false">Daily_Composite!AG280</f>
        <v>-0.392</v>
      </c>
      <c r="JR31" s="17" t="n">
        <f aca="false">Daily_Composite!AG281</f>
        <v>-0.372</v>
      </c>
      <c r="JS31" s="17" t="n">
        <f aca="false">Daily_Composite!AG282</f>
        <v>-0.361</v>
      </c>
      <c r="JT31" s="17" t="n">
        <f aca="false">Daily_Composite!AG283</f>
        <v>-0.402</v>
      </c>
      <c r="JU31" s="17" t="n">
        <f aca="false">Daily_Composite!AG284</f>
        <v>-0.369</v>
      </c>
      <c r="JV31" s="17" t="n">
        <f aca="false">Daily_Composite!AG285</f>
        <v>-0.444</v>
      </c>
      <c r="JW31" s="17" t="n">
        <f aca="false">Daily_Composite!AG286</f>
        <v>-0.267</v>
      </c>
      <c r="JX31" s="17" t="n">
        <f aca="false">Daily_Composite!AG287</f>
        <v>-0.28</v>
      </c>
      <c r="JY31" s="17" t="n">
        <f aca="false">Daily_Composite!AG288</f>
        <v>-0.072</v>
      </c>
      <c r="JZ31" s="17" t="n">
        <f aca="false">Daily_Composite!AG289</f>
        <v>-0.36</v>
      </c>
      <c r="KA31" s="17" t="n">
        <f aca="false">Daily_Composite!AG290</f>
        <v>-0.369</v>
      </c>
      <c r="KB31" s="17" t="n">
        <f aca="false">Daily_Composite!AG291</f>
        <v>-0.42</v>
      </c>
      <c r="KC31" s="17" t="n">
        <f aca="false">Daily_Composite!AG292</f>
        <v>-0.355</v>
      </c>
      <c r="KD31" s="17" t="n">
        <f aca="false">Daily_Composite!AG293</f>
        <v>-0.354</v>
      </c>
      <c r="KE31" s="17" t="n">
        <f aca="false">Daily_Composite!AG294</f>
        <v>-0.196</v>
      </c>
      <c r="KF31" s="17" t="n">
        <f aca="false">Daily_Composite!AG295</f>
        <v>-0.011</v>
      </c>
      <c r="KG31" s="17" t="n">
        <f aca="false">Daily_Composite!AG296</f>
        <v>-0.042</v>
      </c>
      <c r="KH31" s="17" t="n">
        <f aca="false">Daily_Composite!AG297</f>
        <v>-0.398</v>
      </c>
      <c r="KI31" s="17" t="n">
        <f aca="false">Daily_Composite!AG298</f>
        <v>-0.587</v>
      </c>
      <c r="KJ31" s="17" t="n">
        <f aca="false">Daily_Composite!AG299</f>
        <v>-0.341</v>
      </c>
      <c r="KK31" s="17" t="n">
        <f aca="false">Daily_Composite!AG300</f>
        <v>-0.202</v>
      </c>
      <c r="KL31" s="17" t="n">
        <f aca="false">Daily_Composite!AG301</f>
        <v>-0.17</v>
      </c>
      <c r="KM31" s="17" t="n">
        <f aca="false">Daily_Composite!AG302</f>
        <v>-0.236</v>
      </c>
      <c r="KN31" s="17" t="n">
        <f aca="false">Daily_Composite!AG303</f>
        <v>-0.009</v>
      </c>
      <c r="KO31" s="17" t="n">
        <f aca="false">Daily_Composite!AG304</f>
        <v>-0.271</v>
      </c>
      <c r="KP31" s="17" t="n">
        <f aca="false">Daily_Composite!AG305</f>
        <v>-0.233</v>
      </c>
      <c r="KQ31" s="17" t="n">
        <f aca="false">Daily_Composite!AG306</f>
        <v>-0.28</v>
      </c>
      <c r="KR31" s="17" t="n">
        <f aca="false">Daily_Composite!AG307</f>
        <v>-0.375</v>
      </c>
      <c r="KS31" s="17" t="n">
        <f aca="false">Daily_Composite!AG308</f>
        <v>-0.377</v>
      </c>
      <c r="KT31" s="17" t="n">
        <f aca="false">Daily_Composite!AG309</f>
        <v>-0.279</v>
      </c>
      <c r="KU31" s="17" t="n">
        <f aca="false">Daily_Composite!AG310</f>
        <v>-0.562</v>
      </c>
      <c r="KV31" s="17" t="n">
        <f aca="false">Daily_Composite!AG311</f>
        <v>-0.482</v>
      </c>
      <c r="KW31" s="17" t="n">
        <f aca="false">Daily_Composite!AG312</f>
        <v>-0.505</v>
      </c>
      <c r="KX31" s="17" t="n">
        <f aca="false">Daily_Composite!AG313</f>
        <v>-0.156</v>
      </c>
      <c r="KY31" s="17" t="n">
        <f aca="false">Daily_Composite!AG314</f>
        <v>-0.154</v>
      </c>
      <c r="KZ31" s="17" t="n">
        <f aca="false">Daily_Composite!AG315</f>
        <v>-0.254</v>
      </c>
      <c r="LA31" s="17" t="n">
        <f aca="false">Daily_Composite!AG316</f>
        <v>-0.353</v>
      </c>
      <c r="LB31" s="17" t="n">
        <f aca="false">Daily_Composite!AG317</f>
        <v>-0.263</v>
      </c>
      <c r="LC31" s="17" t="n">
        <f aca="false">Daily_Composite!AG318</f>
        <v>-0.254</v>
      </c>
      <c r="LD31" s="17" t="n">
        <f aca="false">Daily_Composite!AG319</f>
        <v>-0.078</v>
      </c>
      <c r="LE31" s="17" t="n">
        <f aca="false">Daily_Composite!AG320</f>
        <v>-0.227</v>
      </c>
      <c r="LF31" s="17" t="n">
        <f aca="false">Daily_Composite!AG321</f>
        <v>-0.105</v>
      </c>
      <c r="LG31" s="17" t="n">
        <f aca="false">Daily_Composite!AG322</f>
        <v>0.242</v>
      </c>
      <c r="LH31" s="17" t="n">
        <f aca="false">Daily_Composite!AG323</f>
        <v>0.332</v>
      </c>
      <c r="LI31" s="17" t="n">
        <f aca="false">Daily_Composite!AG324</f>
        <v>-0.098</v>
      </c>
      <c r="LJ31" s="17" t="n">
        <f aca="false">Daily_Composite!AG325</f>
        <v>-0.37</v>
      </c>
      <c r="LK31" s="17" t="n">
        <f aca="false">Daily_Composite!AG326</f>
        <v>-0.127</v>
      </c>
      <c r="LL31" s="17" t="n">
        <f aca="false">Daily_Composite!AG327</f>
        <v>0.008</v>
      </c>
      <c r="LM31" s="17" t="n">
        <f aca="false">Daily_Composite!AG328</f>
        <v>0.401</v>
      </c>
      <c r="LN31" s="17" t="n">
        <f aca="false">Daily_Composite!AG329</f>
        <v>0.09</v>
      </c>
      <c r="LO31" s="17" t="n">
        <f aca="false">Daily_Composite!AG330</f>
        <v>-0.2</v>
      </c>
      <c r="LP31" s="17" t="n">
        <f aca="false">Daily_Composite!AG331</f>
        <v>0.027</v>
      </c>
      <c r="LQ31" s="17" t="n">
        <f aca="false">Daily_Composite!AG332</f>
        <v>-0.069</v>
      </c>
      <c r="LR31" s="17" t="n">
        <f aca="false">Daily_Composite!AG333</f>
        <v>-0.055</v>
      </c>
      <c r="LS31" s="17" t="n">
        <f aca="false">Daily_Composite!AG334</f>
        <v>-0.08</v>
      </c>
      <c r="LT31" s="17" t="n">
        <f aca="false">Daily_Composite!AG335</f>
        <v>-0.291</v>
      </c>
      <c r="LU31" s="17" t="n">
        <f aca="false">Daily_Composite!AG336</f>
        <v>-0.163</v>
      </c>
      <c r="LV31" s="17" t="n">
        <f aca="false">Daily_Composite!AG337</f>
        <v>-0.167</v>
      </c>
      <c r="LW31" s="17" t="n">
        <f aca="false">Daily_Composite!AG338</f>
        <v>-0.327</v>
      </c>
      <c r="LX31" s="17" t="n">
        <f aca="false">Daily_Composite!AG339</f>
        <v>-0.347</v>
      </c>
      <c r="LY31" s="17" t="n">
        <f aca="false">Daily_Composite!AG340</f>
        <v>-0.065</v>
      </c>
      <c r="LZ31" s="17" t="n">
        <f aca="false">Daily_Composite!AG341</f>
        <v>0.016</v>
      </c>
      <c r="MA31" s="17" t="n">
        <f aca="false">Daily_Composite!AG342</f>
        <v>-0.055</v>
      </c>
      <c r="MB31" s="17" t="n">
        <f aca="false">Daily_Composite!AG343</f>
        <v>-0.205</v>
      </c>
      <c r="MC31" s="17" t="n">
        <f aca="false">Daily_Composite!AG344</f>
        <v>-0.024</v>
      </c>
      <c r="MD31" s="17" t="n">
        <f aca="false">Daily_Composite!AG345</f>
        <v>-0.03</v>
      </c>
      <c r="ME31" s="17" t="n">
        <f aca="false">Daily_Composite!AG346</f>
        <v>0.048</v>
      </c>
      <c r="MF31" s="17" t="n">
        <f aca="false">Daily_Composite!AG347</f>
        <v>0.002</v>
      </c>
      <c r="MG31" s="17" t="n">
        <f aca="false">Daily_Composite!AG348</f>
        <v>-0.026</v>
      </c>
      <c r="MH31" s="17" t="n">
        <f aca="false">Daily_Composite!AG349</f>
        <v>0.066</v>
      </c>
      <c r="MI31" s="17" t="n">
        <f aca="false">Daily_Composite!AG350</f>
        <v>0.338</v>
      </c>
      <c r="MJ31" s="17" t="n">
        <f aca="false">Daily_Composite!AG351</f>
        <v>0.289</v>
      </c>
      <c r="MK31" s="17" t="n">
        <f aca="false">Daily_Composite!AG352</f>
        <v>-0.449</v>
      </c>
      <c r="ML31" s="17" t="n">
        <f aca="false">Daily_Composite!AG353</f>
        <v>-0.298</v>
      </c>
      <c r="MM31" s="17" t="n">
        <f aca="false">Daily_Composite!AG354</f>
        <v>-0.003</v>
      </c>
      <c r="MN31" s="17" t="n">
        <f aca="false">Daily_Composite!AG355</f>
        <v>0.016</v>
      </c>
      <c r="MO31" s="17" t="n">
        <f aca="false">Daily_Composite!AG356</f>
        <v>0.419</v>
      </c>
      <c r="MP31" s="17" t="n">
        <f aca="false">Daily_Composite!AG357</f>
        <v>0.368</v>
      </c>
      <c r="MQ31" s="17" t="n">
        <f aca="false">Daily_Composite!AG358</f>
        <v>0.344</v>
      </c>
      <c r="MR31" s="17" t="n">
        <f aca="false">Daily_Composite!AG359</f>
        <v>-0.042</v>
      </c>
      <c r="MS31" s="17" t="n">
        <f aca="false">Daily_Composite!AG360</f>
        <v>-0.003</v>
      </c>
      <c r="MT31" s="17" t="n">
        <f aca="false">Daily_Composite!AG361</f>
        <v>-0.033</v>
      </c>
      <c r="MU31" s="17" t="n">
        <f aca="false">Daily_Composite!AG362</f>
        <v>0.02</v>
      </c>
      <c r="MV31" s="17" t="n">
        <f aca="false">Daily_Composite!AG363</f>
        <v>0.014</v>
      </c>
      <c r="MW31" s="17" t="n">
        <f aca="false">Daily_Composite!AG364</f>
        <v>0.005</v>
      </c>
      <c r="MX31" s="17" t="n">
        <f aca="false">Daily_Composite!AG365</f>
        <v>-0.006</v>
      </c>
      <c r="MY31" s="17" t="n">
        <f aca="false">Daily_Composite!AG366</f>
        <v>-0.211</v>
      </c>
      <c r="MZ31" s="17" t="n">
        <f aca="false">Daily_Composite!AG367</f>
        <v>-0.423</v>
      </c>
      <c r="NA31" s="17" t="n">
        <f aca="false">Daily_Composite!AG368</f>
        <v>0.028</v>
      </c>
      <c r="NB31" s="17" t="n">
        <f aca="false">Daily_Composite!AG369</f>
        <v>0.064</v>
      </c>
    </row>
    <row r="32" customFormat="false" ht="15" hidden="false" customHeight="false" outlineLevel="0" collapsed="false">
      <c r="A32" s="6" t="s">
        <v>45</v>
      </c>
      <c r="B32" s="17" t="n">
        <f aca="false">Daily_Composite!AH5</f>
        <v>-0.439</v>
      </c>
      <c r="C32" s="17" t="n">
        <f aca="false">Daily_Composite!AH6</f>
        <v>-0.003</v>
      </c>
      <c r="D32" s="17" t="n">
        <f aca="false">Daily_Composite!AH7</f>
        <v>-0.234</v>
      </c>
      <c r="E32" s="17" t="n">
        <f aca="false">Daily_Composite!AH8</f>
        <v>-0.048</v>
      </c>
      <c r="F32" s="17" t="n">
        <f aca="false">Daily_Composite!AH9</f>
        <v>0.025</v>
      </c>
      <c r="G32" s="17" t="n">
        <f aca="false">Daily_Composite!AH10</f>
        <v>0.031</v>
      </c>
      <c r="H32" s="17" t="n">
        <f aca="false">Daily_Composite!AH11</f>
        <v>0.029</v>
      </c>
      <c r="I32" s="17" t="n">
        <f aca="false">Daily_Composite!AH12</f>
        <v>0.093</v>
      </c>
      <c r="J32" s="17" t="n">
        <f aca="false">Daily_Composite!AH13</f>
        <v>0.188</v>
      </c>
      <c r="K32" s="17" t="n">
        <f aca="false">Daily_Composite!AH14</f>
        <v>0.175</v>
      </c>
      <c r="L32" s="17" t="n">
        <f aca="false">Daily_Composite!AH15</f>
        <v>0.234</v>
      </c>
      <c r="M32" s="17" t="n">
        <f aca="false">Daily_Composite!AH16</f>
        <v>0.222</v>
      </c>
      <c r="N32" s="17" t="n">
        <f aca="false">Daily_Composite!AH17</f>
        <v>0.38</v>
      </c>
      <c r="O32" s="17" t="n">
        <f aca="false">Daily_Composite!AH18</f>
        <v>0.387</v>
      </c>
      <c r="P32" s="17" t="n">
        <f aca="false">Daily_Composite!AH19</f>
        <v>0.238</v>
      </c>
      <c r="Q32" s="17" t="n">
        <f aca="false">Daily_Composite!AH20</f>
        <v>0.215</v>
      </c>
      <c r="R32" s="17" t="n">
        <f aca="false">Daily_Composite!AH21</f>
        <v>0.176</v>
      </c>
      <c r="S32" s="17" t="n">
        <f aca="false">Daily_Composite!AH22</f>
        <v>0.137</v>
      </c>
      <c r="T32" s="17" t="n">
        <f aca="false">Daily_Composite!AH23</f>
        <v>0.537</v>
      </c>
      <c r="U32" s="17" t="n">
        <f aca="false">Daily_Composite!AH24</f>
        <v>0.095</v>
      </c>
      <c r="V32" s="17" t="n">
        <f aca="false">Daily_Composite!AH25</f>
        <v>0.103</v>
      </c>
      <c r="W32" s="17" t="n">
        <f aca="false">Daily_Composite!AH26</f>
        <v>0.066</v>
      </c>
      <c r="X32" s="17" t="n">
        <f aca="false">Daily_Composite!AH27</f>
        <v>0.122</v>
      </c>
      <c r="Y32" s="17" t="n">
        <f aca="false">Daily_Composite!AH28</f>
        <v>0.147</v>
      </c>
      <c r="Z32" s="17" t="n">
        <f aca="false">Daily_Composite!AH29</f>
        <v>0.162</v>
      </c>
      <c r="AA32" s="17" t="n">
        <f aca="false">Daily_Composite!AH30</f>
        <v>0.084</v>
      </c>
      <c r="AB32" s="17" t="n">
        <f aca="false">Daily_Composite!AH31</f>
        <v>0.185</v>
      </c>
      <c r="AC32" s="17" t="n">
        <f aca="false">Daily_Composite!AH32</f>
        <v>0.445</v>
      </c>
      <c r="AD32" s="17" t="n">
        <f aca="false">Daily_Composite!AH33</f>
        <v>0.395</v>
      </c>
      <c r="AE32" s="17" t="n">
        <f aca="false">Daily_Composite!AH34</f>
        <v>0.409</v>
      </c>
      <c r="AF32" s="17" t="n">
        <f aca="false">Daily_Composite!AH35</f>
        <v>0.156</v>
      </c>
      <c r="AG32" s="17" t="n">
        <f aca="false">Daily_Composite!AH36</f>
        <v>0.162</v>
      </c>
      <c r="AH32" s="17" t="n">
        <f aca="false">Daily_Composite!AH37</f>
        <v>0.142</v>
      </c>
      <c r="AI32" s="17" t="n">
        <f aca="false">Daily_Composite!AH38</f>
        <v>0.131</v>
      </c>
      <c r="AJ32" s="17" t="n">
        <f aca="false">Daily_Composite!AH39</f>
        <v>0.141</v>
      </c>
      <c r="AK32" s="17" t="n">
        <f aca="false">Daily_Composite!AH40</f>
        <v>0.542</v>
      </c>
      <c r="AL32" s="17" t="n">
        <f aca="false">Daily_Composite!AH41</f>
        <v>0.103</v>
      </c>
      <c r="AM32" s="17" t="n">
        <f aca="false">Daily_Composite!AH42</f>
        <v>0.062</v>
      </c>
      <c r="AN32" s="17" t="n">
        <f aca="false">Daily_Composite!AH43</f>
        <v>0.062</v>
      </c>
      <c r="AO32" s="17" t="n">
        <f aca="false">Daily_Composite!AH44</f>
        <v>-0.193</v>
      </c>
      <c r="AP32" s="17" t="n">
        <f aca="false">Daily_Composite!AH45</f>
        <v>-0.125</v>
      </c>
      <c r="AQ32" s="17" t="n">
        <f aca="false">Daily_Composite!AH46</f>
        <v>0.061</v>
      </c>
      <c r="AR32" s="17" t="n">
        <f aca="false">Daily_Composite!AH47</f>
        <v>0.062</v>
      </c>
      <c r="AS32" s="17" t="n">
        <f aca="false">Daily_Composite!AH48</f>
        <v>0.063</v>
      </c>
      <c r="AT32" s="17" t="n">
        <f aca="false">Daily_Composite!AH49</f>
        <v>0.065</v>
      </c>
      <c r="AU32" s="17" t="n">
        <f aca="false">Daily_Composite!AH50</f>
        <v>0.066</v>
      </c>
      <c r="AV32" s="17" t="n">
        <f aca="false">Daily_Composite!AH51</f>
        <v>0.067</v>
      </c>
      <c r="AW32" s="17" t="n">
        <f aca="false">Daily_Composite!AH52</f>
        <v>0.067</v>
      </c>
      <c r="AX32" s="17" t="n">
        <f aca="false">Daily_Composite!AH53</f>
        <v>0.067</v>
      </c>
      <c r="AY32" s="17" t="n">
        <f aca="false">Daily_Composite!AH54</f>
        <v>0.052</v>
      </c>
      <c r="AZ32" s="17" t="n">
        <f aca="false">Daily_Composite!AH55</f>
        <v>0.046</v>
      </c>
      <c r="BA32" s="17" t="n">
        <f aca="false">Daily_Composite!AH56</f>
        <v>0.055</v>
      </c>
      <c r="BB32" s="17" t="n">
        <f aca="false">Daily_Composite!AH57</f>
        <v>0.046</v>
      </c>
      <c r="BC32" s="17" t="n">
        <f aca="false">Daily_Composite!AH58</f>
        <v>0.141</v>
      </c>
      <c r="BD32" s="17" t="n">
        <f aca="false">Daily_Composite!AH59</f>
        <v>0.057</v>
      </c>
      <c r="BE32" s="17" t="n">
        <f aca="false">Daily_Composite!AH60</f>
        <v>-0.358</v>
      </c>
      <c r="BF32" s="17" t="n">
        <f aca="false">Daily_Composite!AH61</f>
        <v>0.037</v>
      </c>
      <c r="BG32" s="17" t="n">
        <f aca="false">Daily_Composite!AH62</f>
        <v>0.026</v>
      </c>
      <c r="BH32" s="17" t="n">
        <f aca="false">Daily_Composite!AH63</f>
        <v>0.073</v>
      </c>
      <c r="BI32" s="17" t="n">
        <f aca="false">Daily_Composite!AH64</f>
        <v>0.05</v>
      </c>
      <c r="BJ32" s="17" t="n">
        <f aca="false">Daily_Composite!AH65</f>
        <v>0.075</v>
      </c>
      <c r="BK32" s="17" t="n">
        <f aca="false">Daily_Composite!AH66</f>
        <v>0.075</v>
      </c>
      <c r="BL32" s="17" t="n">
        <f aca="false">Daily_Composite!AH67</f>
        <v>0.075</v>
      </c>
      <c r="BM32" s="17" t="n">
        <f aca="false">Daily_Composite!AH68</f>
        <v>0.047</v>
      </c>
      <c r="BN32" s="17" t="n">
        <f aca="false">Daily_Composite!AH69</f>
        <v>0.019</v>
      </c>
      <c r="BO32" s="17" t="n">
        <f aca="false">Daily_Composite!AH70</f>
        <v>-0.01</v>
      </c>
      <c r="BP32" s="17" t="n">
        <f aca="false">Daily_Composite!AH71</f>
        <v>-0.281</v>
      </c>
      <c r="BQ32" s="17" t="n">
        <f aca="false">Daily_Composite!AH72</f>
        <v>-0.266</v>
      </c>
      <c r="BR32" s="17" t="n">
        <f aca="false">Daily_Composite!AH73</f>
        <v>-0.254</v>
      </c>
      <c r="BS32" s="17" t="n">
        <f aca="false">Daily_Composite!AH74</f>
        <v>-0.104</v>
      </c>
      <c r="BT32" s="17" t="n">
        <f aca="false">Daily_Composite!AH75</f>
        <v>-0.087</v>
      </c>
      <c r="BU32" s="17" t="n">
        <f aca="false">Daily_Composite!AH76</f>
        <v>-0.043</v>
      </c>
      <c r="BV32" s="17" t="n">
        <f aca="false">Daily_Composite!AH77</f>
        <v>-0.219</v>
      </c>
      <c r="BW32" s="17" t="n">
        <f aca="false">Daily_Composite!AH78</f>
        <v>0.023</v>
      </c>
      <c r="BX32" s="17" t="n">
        <f aca="false">Daily_Composite!AH79</f>
        <v>0.037</v>
      </c>
      <c r="BY32" s="17" t="n">
        <f aca="false">Daily_Composite!AH80</f>
        <v>0.046</v>
      </c>
      <c r="BZ32" s="17" t="n">
        <f aca="false">Daily_Composite!AH81</f>
        <v>0.04</v>
      </c>
      <c r="CA32" s="17" t="n">
        <f aca="false">Daily_Composite!AH82</f>
        <v>0.05</v>
      </c>
      <c r="CB32" s="17" t="n">
        <f aca="false">Daily_Composite!AH83</f>
        <v>0.052</v>
      </c>
      <c r="CC32" s="17" t="n">
        <f aca="false">Daily_Composite!AH84</f>
        <v>-0.012</v>
      </c>
      <c r="CD32" s="17" t="n">
        <f aca="false">Daily_Composite!AH85</f>
        <v>0.106</v>
      </c>
      <c r="CE32" s="17" t="n">
        <f aca="false">Daily_Composite!AH86</f>
        <v>0.056</v>
      </c>
      <c r="CF32" s="17" t="n">
        <f aca="false">Daily_Composite!AH87</f>
        <v>0.352</v>
      </c>
      <c r="CG32" s="17" t="n">
        <f aca="false">Daily_Composite!AH88</f>
        <v>-0.349</v>
      </c>
      <c r="CH32" s="17" t="n">
        <f aca="false">Daily_Composite!AH89</f>
        <v>-0.313</v>
      </c>
      <c r="CI32" s="17" t="n">
        <f aca="false">Daily_Composite!AH90</f>
        <v>0.056</v>
      </c>
      <c r="CJ32" s="17" t="n">
        <f aca="false">Daily_Composite!AH91</f>
        <v>0.058</v>
      </c>
      <c r="CK32" s="17" t="n">
        <f aca="false">Daily_Composite!AH92</f>
        <v>0.059</v>
      </c>
      <c r="CL32" s="17" t="n">
        <f aca="false">Daily_Composite!AH93</f>
        <v>0.036</v>
      </c>
      <c r="CM32" s="17" t="n">
        <f aca="false">Daily_Composite!AH94</f>
        <v>0.067</v>
      </c>
      <c r="CN32" s="17" t="n">
        <f aca="false">Daily_Composite!AH95</f>
        <v>-0.155</v>
      </c>
      <c r="CO32" s="17" t="n">
        <f aca="false">Daily_Composite!AH96</f>
        <v>0.047</v>
      </c>
      <c r="CP32" s="17" t="n">
        <f aca="false">Daily_Composite!AH97</f>
        <v>0.048</v>
      </c>
      <c r="CQ32" s="17" t="n">
        <f aca="false">Daily_Composite!AH98</f>
        <v>-0.186</v>
      </c>
      <c r="CR32" s="17" t="n">
        <f aca="false">Daily_Composite!AH99</f>
        <v>-0.132</v>
      </c>
      <c r="CS32" s="17" t="n">
        <f aca="false">Daily_Composite!AH100</f>
        <v>0.286</v>
      </c>
      <c r="CT32" s="17" t="n">
        <f aca="false">Daily_Composite!AH101</f>
        <v>0.082</v>
      </c>
      <c r="CU32" s="17" t="n">
        <f aca="false">Daily_Composite!AH102</f>
        <v>0.102</v>
      </c>
      <c r="CV32" s="17" t="n">
        <f aca="false">Daily_Composite!AH103</f>
        <v>0.064</v>
      </c>
      <c r="CW32" s="17" t="n">
        <f aca="false">Daily_Composite!AH104</f>
        <v>0.053</v>
      </c>
      <c r="CX32" s="17" t="n">
        <f aca="false">Daily_Composite!AH105</f>
        <v>-0.148</v>
      </c>
      <c r="CY32" s="17" t="n">
        <f aca="false">Daily_Composite!AH106</f>
        <v>0.082</v>
      </c>
      <c r="CZ32" s="17" t="n">
        <f aca="false">Daily_Composite!AH107</f>
        <v>0.08</v>
      </c>
      <c r="DA32" s="17" t="n">
        <f aca="false">Daily_Composite!AH108</f>
        <v>-0.092</v>
      </c>
      <c r="DB32" s="17" t="n">
        <f aca="false">Daily_Composite!AH109</f>
        <v>-0.092</v>
      </c>
      <c r="DC32" s="17" t="n">
        <f aca="false">Daily_Composite!AH110</f>
        <v>-0.088</v>
      </c>
      <c r="DD32" s="17" t="n">
        <f aca="false">Daily_Composite!AH111</f>
        <v>0.054</v>
      </c>
      <c r="DE32" s="17" t="n">
        <f aca="false">Daily_Composite!AH112</f>
        <v>0.037</v>
      </c>
      <c r="DF32" s="17" t="n">
        <f aca="false">Daily_Composite!AH113</f>
        <v>-0.078</v>
      </c>
      <c r="DG32" s="17" t="n">
        <f aca="false">Daily_Composite!AH114</f>
        <v>0.042</v>
      </c>
      <c r="DH32" s="17" t="n">
        <f aca="false">Daily_Composite!AH115</f>
        <v>0.147</v>
      </c>
      <c r="DI32" s="17" t="n">
        <f aca="false">Daily_Composite!AH116</f>
        <v>0.152</v>
      </c>
      <c r="DJ32" s="17" t="n">
        <f aca="false">Daily_Composite!AH117</f>
        <v>-0.027</v>
      </c>
      <c r="DK32" s="17" t="n">
        <f aca="false">Daily_Composite!AH118</f>
        <v>-0.096</v>
      </c>
      <c r="DL32" s="17" t="n">
        <f aca="false">Daily_Composite!AH119</f>
        <v>-0.098</v>
      </c>
      <c r="DM32" s="17" t="n">
        <f aca="false">Daily_Composite!AH120</f>
        <v>0.001</v>
      </c>
      <c r="DN32" s="17" t="n">
        <f aca="false">Daily_Composite!AH121</f>
        <v>-0.001</v>
      </c>
      <c r="DO32" s="17" t="n">
        <f aca="false">Daily_Composite!AH122</f>
        <v>-0.084</v>
      </c>
      <c r="DP32" s="17" t="n">
        <f aca="false">Daily_Composite!AH123</f>
        <v>-0.095</v>
      </c>
      <c r="DQ32" s="17" t="n">
        <f aca="false">Daily_Composite!AH124</f>
        <v>-0.121</v>
      </c>
      <c r="DR32" s="17" t="n">
        <f aca="false">Daily_Composite!AH125</f>
        <v>-0.117</v>
      </c>
      <c r="DS32" s="17" t="n">
        <f aca="false">Daily_Composite!AH126</f>
        <v>0.093</v>
      </c>
      <c r="DT32" s="17" t="n">
        <f aca="false">Daily_Composite!AH127</f>
        <v>0.158</v>
      </c>
      <c r="DU32" s="17" t="n">
        <f aca="false">Daily_Composite!AH128</f>
        <v>-0.123</v>
      </c>
      <c r="DV32" s="17" t="n">
        <f aca="false">Daily_Composite!AH129</f>
        <v>-0.132</v>
      </c>
      <c r="DW32" s="17" t="n">
        <f aca="false">Daily_Composite!AH130</f>
        <v>-0.121</v>
      </c>
      <c r="DX32" s="17" t="n">
        <f aca="false">Daily_Composite!AH131</f>
        <v>-0.082</v>
      </c>
      <c r="DY32" s="17" t="n">
        <f aca="false">Daily_Composite!AH132</f>
        <v>0.514</v>
      </c>
      <c r="DZ32" s="17" t="n">
        <f aca="false">Daily_Composite!AH133</f>
        <v>0.059</v>
      </c>
      <c r="EA32" s="17" t="n">
        <f aca="false">Daily_Composite!AH134</f>
        <v>0.058</v>
      </c>
      <c r="EB32" s="17" t="n">
        <f aca="false">Daily_Composite!AH135</f>
        <v>0.065</v>
      </c>
      <c r="EC32" s="17" t="n">
        <f aca="false">Daily_Composite!AH136</f>
        <v>0.083</v>
      </c>
      <c r="ED32" s="17" t="n">
        <f aca="false">Daily_Composite!AH137</f>
        <v>0.096</v>
      </c>
      <c r="EE32" s="17" t="n">
        <f aca="false">Daily_Composite!AH138</f>
        <v>0.154</v>
      </c>
      <c r="EF32" s="17" t="n">
        <f aca="false">Daily_Composite!AH139</f>
        <v>-0.005</v>
      </c>
      <c r="EG32" s="17" t="n">
        <f aca="false">Daily_Composite!AH140</f>
        <v>0.049</v>
      </c>
      <c r="EH32" s="17" t="n">
        <f aca="false">Daily_Composite!AH141</f>
        <v>0.028</v>
      </c>
      <c r="EI32" s="17" t="n">
        <f aca="false">Daily_Composite!AH142</f>
        <v>0.004</v>
      </c>
      <c r="EJ32" s="17" t="n">
        <f aca="false">Daily_Composite!AH143</f>
        <v>-0.005</v>
      </c>
      <c r="EK32" s="17" t="n">
        <f aca="false">Daily_Composite!AH144</f>
        <v>-0.229</v>
      </c>
      <c r="EL32" s="17" t="n">
        <f aca="false">Daily_Composite!AH145</f>
        <v>0.018</v>
      </c>
      <c r="EM32" s="17" t="n">
        <f aca="false">Daily_Composite!AH146</f>
        <v>0</v>
      </c>
      <c r="EN32" s="17" t="n">
        <f aca="false">Daily_Composite!AH147</f>
        <v>-0.01</v>
      </c>
      <c r="EO32" s="17" t="n">
        <f aca="false">Daily_Composite!AH148</f>
        <v>-0.01</v>
      </c>
      <c r="EP32" s="17" t="n">
        <f aca="false">Daily_Composite!AH149</f>
        <v>-0.001</v>
      </c>
      <c r="EQ32" s="17" t="n">
        <f aca="false">Daily_Composite!AH150</f>
        <v>-0</v>
      </c>
      <c r="ER32" s="17" t="n">
        <f aca="false">Daily_Composite!AH151</f>
        <v>0.054</v>
      </c>
      <c r="ES32" s="17" t="n">
        <f aca="false">Daily_Composite!AH152</f>
        <v>0.045</v>
      </c>
      <c r="ET32" s="17" t="n">
        <f aca="false">Daily_Composite!AH153</f>
        <v>-0.244</v>
      </c>
      <c r="EU32" s="17" t="n">
        <f aca="false">Daily_Composite!AH154</f>
        <v>-0.045</v>
      </c>
      <c r="EV32" s="17" t="n">
        <f aca="false">Daily_Composite!AH155</f>
        <v>-0.071</v>
      </c>
      <c r="EW32" s="17" t="n">
        <f aca="false">Daily_Composite!AH156</f>
        <v>0.077</v>
      </c>
      <c r="EX32" s="17" t="n">
        <f aca="false">Daily_Composite!AH157</f>
        <v>0.075</v>
      </c>
      <c r="EY32" s="17" t="n">
        <f aca="false">Daily_Composite!AH158</f>
        <v>-0.071</v>
      </c>
      <c r="EZ32" s="17" t="n">
        <f aca="false">Daily_Composite!AH159</f>
        <v>0.289</v>
      </c>
      <c r="FA32" s="17" t="n">
        <f aca="false">Daily_Composite!AH160</f>
        <v>-0.064</v>
      </c>
      <c r="FB32" s="17" t="n">
        <f aca="false">Daily_Composite!AH161</f>
        <v>-0.136</v>
      </c>
      <c r="FC32" s="17" t="n">
        <f aca="false">Daily_Composite!AH162</f>
        <v>-0.153</v>
      </c>
      <c r="FD32" s="17" t="n">
        <f aca="false">Daily_Composite!AH163</f>
        <v>-0.137</v>
      </c>
      <c r="FE32" s="17" t="n">
        <f aca="false">Daily_Composite!AH164</f>
        <v>-0.142</v>
      </c>
      <c r="FF32" s="17" t="n">
        <f aca="false">Daily_Composite!AH165</f>
        <v>-0.008</v>
      </c>
      <c r="FG32" s="17" t="n">
        <f aca="false">Daily_Composite!AH166</f>
        <v>-0.124</v>
      </c>
      <c r="FH32" s="17" t="n">
        <f aca="false">Daily_Composite!AH167</f>
        <v>-0.167</v>
      </c>
      <c r="FI32" s="17" t="n">
        <f aca="false">Daily_Composite!AH168</f>
        <v>-0.19</v>
      </c>
      <c r="FJ32" s="17" t="n">
        <f aca="false">Daily_Composite!AH169</f>
        <v>-0.369</v>
      </c>
      <c r="FK32" s="17" t="n">
        <f aca="false">Daily_Composite!AH170</f>
        <v>-0.36</v>
      </c>
      <c r="FL32" s="17" t="n">
        <f aca="false">Daily_Composite!AH171</f>
        <v>-0.369</v>
      </c>
      <c r="FM32" s="17" t="n">
        <f aca="false">Daily_Composite!AH172</f>
        <v>-0.219</v>
      </c>
      <c r="FN32" s="17" t="n">
        <f aca="false">Daily_Composite!AH173</f>
        <v>-0.216</v>
      </c>
      <c r="FO32" s="17" t="n">
        <f aca="false">Daily_Composite!AH174</f>
        <v>-0.264</v>
      </c>
      <c r="FP32" s="17" t="n">
        <f aca="false">Daily_Composite!AH175</f>
        <v>-0.268</v>
      </c>
      <c r="FQ32" s="17" t="n">
        <f aca="false">Daily_Composite!AH176</f>
        <v>-0.191</v>
      </c>
      <c r="FR32" s="17" t="n">
        <f aca="false">Daily_Composite!AH177</f>
        <v>0.39</v>
      </c>
      <c r="FS32" s="17" t="n">
        <f aca="false">Daily_Composite!AH178</f>
        <v>-0.204</v>
      </c>
      <c r="FT32" s="17" t="n">
        <f aca="false">Daily_Composite!AH179</f>
        <v>-0.132</v>
      </c>
      <c r="FU32" s="17" t="n">
        <f aca="false">Daily_Composite!AH180</f>
        <v>-0.129</v>
      </c>
      <c r="FV32" s="17" t="n">
        <f aca="false">Daily_Composite!AH181</f>
        <v>0.042</v>
      </c>
      <c r="FW32" s="17" t="n">
        <f aca="false">Daily_Composite!AH182</f>
        <v>-0.182</v>
      </c>
      <c r="FX32" s="17" t="n">
        <f aca="false">Daily_Composite!AH183</f>
        <v>-0.226</v>
      </c>
      <c r="FY32" s="17" t="n">
        <f aca="false">Daily_Composite!AH184</f>
        <v>-0.214</v>
      </c>
      <c r="FZ32" s="17" t="n">
        <f aca="false">Daily_Composite!AH185</f>
        <v>-0.132</v>
      </c>
      <c r="GA32" s="17" t="n">
        <f aca="false">Daily_Composite!AH186</f>
        <v>0.249</v>
      </c>
      <c r="GB32" s="17" t="n">
        <f aca="false">Daily_Composite!AH187</f>
        <v>0.235</v>
      </c>
      <c r="GC32" s="17" t="n">
        <f aca="false">Daily_Composite!AH188</f>
        <v>-0.197</v>
      </c>
      <c r="GD32" s="17" t="n">
        <f aca="false">Daily_Composite!AH189</f>
        <v>0.017</v>
      </c>
      <c r="GE32" s="17" t="n">
        <f aca="false">Daily_Composite!AH190</f>
        <v>0.023</v>
      </c>
      <c r="GF32" s="17" t="n">
        <f aca="false">Daily_Composite!AH191</f>
        <v>0.041</v>
      </c>
      <c r="GG32" s="17" t="n">
        <f aca="false">Daily_Composite!AH192</f>
        <v>0.042</v>
      </c>
      <c r="GH32" s="17" t="n">
        <f aca="false">Daily_Composite!AH193</f>
        <v>0.031</v>
      </c>
      <c r="GI32" s="17" t="n">
        <f aca="false">Daily_Composite!AH194</f>
        <v>0.018</v>
      </c>
      <c r="GJ32" s="17" t="n">
        <f aca="false">Daily_Composite!AH195</f>
        <v>-0.005</v>
      </c>
      <c r="GK32" s="17" t="n">
        <f aca="false">Daily_Composite!AH196</f>
        <v>0.433</v>
      </c>
      <c r="GL32" s="17" t="n">
        <f aca="false">Daily_Composite!AH197</f>
        <v>0.106</v>
      </c>
      <c r="GM32" s="17" t="n">
        <f aca="false">Daily_Composite!AH198</f>
        <v>0.109</v>
      </c>
      <c r="GN32" s="17" t="n">
        <f aca="false">Daily_Composite!AH199</f>
        <v>0.021</v>
      </c>
      <c r="GO32" s="17" t="n">
        <f aca="false">Daily_Composite!AH200</f>
        <v>-0.043</v>
      </c>
      <c r="GP32" s="17" t="n">
        <f aca="false">Daily_Composite!AH201</f>
        <v>-0.022</v>
      </c>
      <c r="GQ32" s="17" t="n">
        <f aca="false">Daily_Composite!AH202</f>
        <v>-0.052</v>
      </c>
      <c r="GR32" s="17" t="n">
        <f aca="false">Daily_Composite!AH203</f>
        <v>-0.086</v>
      </c>
      <c r="GS32" s="17" t="n">
        <f aca="false">Daily_Composite!AH204</f>
        <v>-0.134</v>
      </c>
      <c r="GT32" s="17" t="n">
        <f aca="false">Daily_Composite!AH205</f>
        <v>-0.155</v>
      </c>
      <c r="GU32" s="17" t="n">
        <f aca="false">Daily_Composite!AH206</f>
        <v>-0.153</v>
      </c>
      <c r="GV32" s="17" t="n">
        <f aca="false">Daily_Composite!AH207</f>
        <v>-0.152</v>
      </c>
      <c r="GW32" s="17" t="n">
        <f aca="false">Daily_Composite!AH208</f>
        <v>-0.521</v>
      </c>
      <c r="GX32" s="17" t="n">
        <f aca="false">Daily_Composite!AH209</f>
        <v>-0.516</v>
      </c>
      <c r="GY32" s="17" t="n">
        <f aca="false">Daily_Composite!AH210</f>
        <v>-0.132</v>
      </c>
      <c r="GZ32" s="17" t="n">
        <f aca="false">Daily_Composite!AH211</f>
        <v>-0.134</v>
      </c>
      <c r="HA32" s="17" t="n">
        <f aca="false">Daily_Composite!AH212</f>
        <v>-0.133</v>
      </c>
      <c r="HB32" s="17" t="n">
        <f aca="false">Daily_Composite!AH213</f>
        <v>-0.152</v>
      </c>
      <c r="HC32" s="17" t="n">
        <f aca="false">Daily_Composite!AH214</f>
        <v>-0.493</v>
      </c>
      <c r="HD32" s="17" t="n">
        <f aca="false">Daily_Composite!AH215</f>
        <v>-0.119</v>
      </c>
      <c r="HE32" s="17" t="n">
        <f aca="false">Daily_Composite!AH216</f>
        <v>-0.122</v>
      </c>
      <c r="HF32" s="17" t="n">
        <f aca="false">Daily_Composite!AH217</f>
        <v>-0.125</v>
      </c>
      <c r="HG32" s="17" t="n">
        <f aca="false">Daily_Composite!AH218</f>
        <v>-0.109</v>
      </c>
      <c r="HH32" s="17" t="n">
        <f aca="false">Daily_Composite!AH219</f>
        <v>-0.131</v>
      </c>
      <c r="HI32" s="17" t="n">
        <f aca="false">Daily_Composite!AH220</f>
        <v>-0.016</v>
      </c>
      <c r="HJ32" s="17" t="n">
        <f aca="false">Daily_Composite!AH221</f>
        <v>-0.064</v>
      </c>
      <c r="HK32" s="17" t="n">
        <f aca="false">Daily_Composite!AH222</f>
        <v>-0.135</v>
      </c>
      <c r="HL32" s="17" t="n">
        <f aca="false">Daily_Composite!AH223</f>
        <v>-0.571</v>
      </c>
      <c r="HM32" s="17" t="n">
        <f aca="false">Daily_Composite!AH224</f>
        <v>-0.205</v>
      </c>
      <c r="HN32" s="17" t="n">
        <f aca="false">Daily_Composite!AH225</f>
        <v>-0.653</v>
      </c>
      <c r="HO32" s="17" t="n">
        <f aca="false">Daily_Composite!AH226</f>
        <v>-0.629</v>
      </c>
      <c r="HP32" s="17" t="n">
        <f aca="false">Daily_Composite!AH227</f>
        <v>-0.256</v>
      </c>
      <c r="HQ32" s="17" t="n">
        <f aca="false">Daily_Composite!AH228</f>
        <v>-0.257</v>
      </c>
      <c r="HR32" s="17" t="n">
        <f aca="false">Daily_Composite!AH229</f>
        <v>-0.247</v>
      </c>
      <c r="HS32" s="17" t="n">
        <f aca="false">Daily_Composite!AH230</f>
        <v>-0.267</v>
      </c>
      <c r="HT32" s="17" t="n">
        <f aca="false">Daily_Composite!AH231</f>
        <v>-0.239</v>
      </c>
      <c r="HU32" s="17" t="n">
        <f aca="false">Daily_Composite!AH232</f>
        <v>-0.482</v>
      </c>
      <c r="HV32" s="17" t="n">
        <f aca="false">Daily_Composite!AH233</f>
        <v>-0.221</v>
      </c>
      <c r="HW32" s="17" t="n">
        <f aca="false">Daily_Composite!AH234</f>
        <v>-0.218</v>
      </c>
      <c r="HX32" s="17" t="n">
        <f aca="false">Daily_Composite!AH235</f>
        <v>-0.378</v>
      </c>
      <c r="HY32" s="17" t="n">
        <f aca="false">Daily_Composite!AH236</f>
        <v>-0.206</v>
      </c>
      <c r="HZ32" s="17" t="n">
        <f aca="false">Daily_Composite!AH237</f>
        <v>0.091</v>
      </c>
      <c r="IA32" s="17" t="n">
        <f aca="false">Daily_Composite!AH238</f>
        <v>-0.147</v>
      </c>
      <c r="IB32" s="17" t="n">
        <f aca="false">Daily_Composite!AH239</f>
        <v>-0.153</v>
      </c>
      <c r="IC32" s="17" t="n">
        <f aca="false">Daily_Composite!AH240</f>
        <v>-0.118</v>
      </c>
      <c r="ID32" s="17" t="n">
        <f aca="false">Daily_Composite!AH241</f>
        <v>0.093</v>
      </c>
      <c r="IE32" s="17" t="n">
        <f aca="false">Daily_Composite!AH242</f>
        <v>-0.118</v>
      </c>
      <c r="IF32" s="17" t="n">
        <f aca="false">Daily_Composite!AH243</f>
        <v>-0.118</v>
      </c>
      <c r="IG32" s="17" t="n">
        <f aca="false">Daily_Composite!AH244</f>
        <v>-0.151</v>
      </c>
      <c r="IH32" s="17" t="n">
        <f aca="false">Daily_Composite!AH245</f>
        <v>-0.124</v>
      </c>
      <c r="II32" s="17" t="n">
        <f aca="false">Daily_Composite!AH246</f>
        <v>-0.126</v>
      </c>
      <c r="IJ32" s="17" t="n">
        <f aca="false">Daily_Composite!AH247</f>
        <v>-0.129</v>
      </c>
      <c r="IK32" s="17" t="n">
        <f aca="false">Daily_Composite!AH248</f>
        <v>0.029</v>
      </c>
      <c r="IL32" s="17" t="n">
        <f aca="false">Daily_Composite!AH249</f>
        <v>0.102</v>
      </c>
      <c r="IM32" s="17" t="n">
        <f aca="false">Daily_Composite!AH250</f>
        <v>-0.115</v>
      </c>
      <c r="IN32" s="17" t="n">
        <f aca="false">Daily_Composite!AH251</f>
        <v>0.345</v>
      </c>
      <c r="IO32" s="17" t="n">
        <f aca="false">Daily_Composite!AH252</f>
        <v>0.068</v>
      </c>
      <c r="IP32" s="17" t="n">
        <f aca="false">Daily_Composite!AH253</f>
        <v>0.14</v>
      </c>
      <c r="IQ32" s="17" t="n">
        <f aca="false">Daily_Composite!AH254</f>
        <v>-0.129</v>
      </c>
      <c r="IR32" s="17" t="n">
        <f aca="false">Daily_Composite!AH255</f>
        <v>-0.125</v>
      </c>
      <c r="IS32" s="17" t="n">
        <f aca="false">Daily_Composite!AH256</f>
        <v>-0.095</v>
      </c>
      <c r="IT32" s="17" t="n">
        <f aca="false">Daily_Composite!AH257</f>
        <v>-0.116</v>
      </c>
      <c r="IU32" s="17" t="n">
        <f aca="false">Daily_Composite!AH258</f>
        <v>-0.099</v>
      </c>
      <c r="IV32" s="17" t="n">
        <f aca="false">Daily_Composite!AH259</f>
        <v>0.32</v>
      </c>
      <c r="IW32" s="17" t="n">
        <f aca="false">Daily_Composite!AH260</f>
        <v>-0.104</v>
      </c>
      <c r="IX32" s="17" t="n">
        <f aca="false">Daily_Composite!AH261</f>
        <v>-0.107</v>
      </c>
      <c r="IY32" s="17" t="n">
        <f aca="false">Daily_Composite!AH262</f>
        <v>0.045</v>
      </c>
      <c r="IZ32" s="17" t="n">
        <f aca="false">Daily_Composite!AH263</f>
        <v>-0.297</v>
      </c>
      <c r="JA32" s="17" t="n">
        <f aca="false">Daily_Composite!AH264</f>
        <v>-0.284</v>
      </c>
      <c r="JB32" s="17" t="n">
        <f aca="false">Daily_Composite!AH265</f>
        <v>-0.114</v>
      </c>
      <c r="JC32" s="17" t="n">
        <f aca="false">Daily_Composite!AH266</f>
        <v>-0.118</v>
      </c>
      <c r="JD32" s="17" t="n">
        <f aca="false">Daily_Composite!AH267</f>
        <v>-0.146</v>
      </c>
      <c r="JE32" s="17" t="n">
        <f aca="false">Daily_Composite!AH268</f>
        <v>0.282</v>
      </c>
      <c r="JF32" s="17" t="n">
        <f aca="false">Daily_Composite!AH269</f>
        <v>-0.119</v>
      </c>
      <c r="JG32" s="17" t="n">
        <f aca="false">Daily_Composite!AH270</f>
        <v>-0.086</v>
      </c>
      <c r="JH32" s="17" t="n">
        <f aca="false">Daily_Composite!AH271</f>
        <v>-0.117</v>
      </c>
      <c r="JI32" s="17" t="n">
        <f aca="false">Daily_Composite!AH272</f>
        <v>-0.08</v>
      </c>
      <c r="JJ32" s="17" t="n">
        <f aca="false">Daily_Composite!AH273</f>
        <v>-0.079</v>
      </c>
      <c r="JK32" s="17" t="n">
        <f aca="false">Daily_Composite!AH274</f>
        <v>-0.17</v>
      </c>
      <c r="JL32" s="17" t="n">
        <f aca="false">Daily_Composite!AH275</f>
        <v>-0.026</v>
      </c>
      <c r="JM32" s="17" t="n">
        <f aca="false">Daily_Composite!AH276</f>
        <v>0.086</v>
      </c>
      <c r="JN32" s="17" t="n">
        <f aca="false">Daily_Composite!AH277</f>
        <v>-0.152</v>
      </c>
      <c r="JO32" s="17" t="n">
        <f aca="false">Daily_Composite!AH278</f>
        <v>-0.503</v>
      </c>
      <c r="JP32" s="17" t="n">
        <f aca="false">Daily_Composite!AH279</f>
        <v>-0.206</v>
      </c>
      <c r="JQ32" s="17" t="n">
        <f aca="false">Daily_Composite!AH280</f>
        <v>-0.355</v>
      </c>
      <c r="JR32" s="17" t="n">
        <f aca="false">Daily_Composite!AH281</f>
        <v>-0.192</v>
      </c>
      <c r="JS32" s="17" t="n">
        <f aca="false">Daily_Composite!AH282</f>
        <v>-0.098</v>
      </c>
      <c r="JT32" s="17" t="n">
        <f aca="false">Daily_Composite!AH283</f>
        <v>-0.098</v>
      </c>
      <c r="JU32" s="17" t="n">
        <f aca="false">Daily_Composite!AH284</f>
        <v>-0.137</v>
      </c>
      <c r="JV32" s="17" t="n">
        <f aca="false">Daily_Composite!AH285</f>
        <v>-0.104</v>
      </c>
      <c r="JW32" s="17" t="n">
        <f aca="false">Daily_Composite!AH286</f>
        <v>0.2</v>
      </c>
      <c r="JX32" s="17" t="n">
        <f aca="false">Daily_Composite!AH287</f>
        <v>-0.099</v>
      </c>
      <c r="JY32" s="17" t="n">
        <f aca="false">Daily_Composite!AH288</f>
        <v>-0.098</v>
      </c>
      <c r="JZ32" s="17" t="n">
        <f aca="false">Daily_Composite!AH289</f>
        <v>-0.099</v>
      </c>
      <c r="KA32" s="17" t="n">
        <f aca="false">Daily_Composite!AH290</f>
        <v>0.161</v>
      </c>
      <c r="KB32" s="17" t="n">
        <f aca="false">Daily_Composite!AH291</f>
        <v>0.159</v>
      </c>
      <c r="KC32" s="17" t="n">
        <f aca="false">Daily_Composite!AH292</f>
        <v>-0.096</v>
      </c>
      <c r="KD32" s="17" t="n">
        <f aca="false">Daily_Composite!AH293</f>
        <v>-0.114</v>
      </c>
      <c r="KE32" s="17" t="n">
        <f aca="false">Daily_Composite!AH294</f>
        <v>-0.112</v>
      </c>
      <c r="KF32" s="17" t="n">
        <f aca="false">Daily_Composite!AH295</f>
        <v>-0.071</v>
      </c>
      <c r="KG32" s="17" t="n">
        <f aca="false">Daily_Composite!AH296</f>
        <v>-0.114</v>
      </c>
      <c r="KH32" s="17" t="n">
        <f aca="false">Daily_Composite!AH297</f>
        <v>-0.126</v>
      </c>
      <c r="KI32" s="17" t="n">
        <f aca="false">Daily_Composite!AH298</f>
        <v>-0.036</v>
      </c>
      <c r="KJ32" s="17" t="n">
        <f aca="false">Daily_Composite!AH299</f>
        <v>-0.068</v>
      </c>
      <c r="KK32" s="17" t="n">
        <f aca="false">Daily_Composite!AH300</f>
        <v>-0.084</v>
      </c>
      <c r="KL32" s="17" t="n">
        <f aca="false">Daily_Composite!AH301</f>
        <v>-0.072</v>
      </c>
      <c r="KM32" s="17" t="n">
        <f aca="false">Daily_Composite!AH302</f>
        <v>-0.044</v>
      </c>
      <c r="KN32" s="17" t="n">
        <f aca="false">Daily_Composite!AH303</f>
        <v>0.151</v>
      </c>
      <c r="KO32" s="17" t="n">
        <f aca="false">Daily_Composite!AH304</f>
        <v>-0.064</v>
      </c>
      <c r="KP32" s="17" t="n">
        <f aca="false">Daily_Composite!AH305</f>
        <v>-0.156</v>
      </c>
      <c r="KQ32" s="17" t="n">
        <f aca="false">Daily_Composite!AH306</f>
        <v>0.257</v>
      </c>
      <c r="KR32" s="17" t="n">
        <f aca="false">Daily_Composite!AH307</f>
        <v>-0.197</v>
      </c>
      <c r="KS32" s="17" t="n">
        <f aca="false">Daily_Composite!AH308</f>
        <v>-0.308</v>
      </c>
      <c r="KT32" s="17" t="n">
        <f aca="false">Daily_Composite!AH309</f>
        <v>-0.15</v>
      </c>
      <c r="KU32" s="17" t="n">
        <f aca="false">Daily_Composite!AH310</f>
        <v>-0.179</v>
      </c>
      <c r="KV32" s="17" t="n">
        <f aca="false">Daily_Composite!AH311</f>
        <v>-0.179</v>
      </c>
      <c r="KW32" s="17" t="n">
        <f aca="false">Daily_Composite!AH312</f>
        <v>-0.179</v>
      </c>
      <c r="KX32" s="17" t="n">
        <f aca="false">Daily_Composite!AH313</f>
        <v>-0.215</v>
      </c>
      <c r="KY32" s="17" t="n">
        <f aca="false">Daily_Composite!AH314</f>
        <v>-0.688</v>
      </c>
      <c r="KZ32" s="17" t="n">
        <f aca="false">Daily_Composite!AH315</f>
        <v>-0.235</v>
      </c>
      <c r="LA32" s="17" t="n">
        <f aca="false">Daily_Composite!AH316</f>
        <v>-0.232</v>
      </c>
      <c r="LB32" s="17" t="n">
        <f aca="false">Daily_Composite!AH317</f>
        <v>-0.52</v>
      </c>
      <c r="LC32" s="17" t="n">
        <f aca="false">Daily_Composite!AH318</f>
        <v>-0.506</v>
      </c>
      <c r="LD32" s="17" t="n">
        <f aca="false">Daily_Composite!AH319</f>
        <v>-0.158</v>
      </c>
      <c r="LE32" s="17" t="n">
        <f aca="false">Daily_Composite!AH320</f>
        <v>-0.059</v>
      </c>
      <c r="LF32" s="17" t="n">
        <f aca="false">Daily_Composite!AH321</f>
        <v>-0.23</v>
      </c>
      <c r="LG32" s="17" t="n">
        <f aca="false">Daily_Composite!AH322</f>
        <v>-0.201</v>
      </c>
      <c r="LH32" s="17" t="n">
        <f aca="false">Daily_Composite!AH323</f>
        <v>0.475</v>
      </c>
      <c r="LI32" s="17" t="n">
        <f aca="false">Daily_Composite!AH324</f>
        <v>-0.187</v>
      </c>
      <c r="LJ32" s="17" t="n">
        <f aca="false">Daily_Composite!AH325</f>
        <v>-0.16</v>
      </c>
      <c r="LK32" s="17" t="n">
        <f aca="false">Daily_Composite!AH326</f>
        <v>-0.16</v>
      </c>
      <c r="LL32" s="17" t="n">
        <f aca="false">Daily_Composite!AH327</f>
        <v>-0.161</v>
      </c>
      <c r="LM32" s="17" t="n">
        <f aca="false">Daily_Composite!AH328</f>
        <v>-0.142</v>
      </c>
      <c r="LN32" s="17" t="n">
        <f aca="false">Daily_Composite!AH329</f>
        <v>-0.404</v>
      </c>
      <c r="LO32" s="17" t="n">
        <f aca="false">Daily_Composite!AH330</f>
        <v>-0.419</v>
      </c>
      <c r="LP32" s="17" t="n">
        <f aca="false">Daily_Composite!AH331</f>
        <v>-0.329</v>
      </c>
      <c r="LQ32" s="17" t="n">
        <f aca="false">Daily_Composite!AH332</f>
        <v>-0.311</v>
      </c>
      <c r="LR32" s="17" t="n">
        <f aca="false">Daily_Composite!AH333</f>
        <v>-0.11</v>
      </c>
      <c r="LS32" s="17" t="n">
        <f aca="false">Daily_Composite!AH334</f>
        <v>-0.453</v>
      </c>
      <c r="LT32" s="17" t="n">
        <f aca="false">Daily_Composite!AH335</f>
        <v>-0.545</v>
      </c>
      <c r="LU32" s="17" t="n">
        <f aca="false">Daily_Composite!AH336</f>
        <v>-0.315</v>
      </c>
      <c r="LV32" s="17" t="n">
        <f aca="false">Daily_Composite!AH337</f>
        <v>-0.314</v>
      </c>
      <c r="LW32" s="17" t="n">
        <f aca="false">Daily_Composite!AH338</f>
        <v>-0.25</v>
      </c>
      <c r="LX32" s="17" t="n">
        <f aca="false">Daily_Composite!AH339</f>
        <v>-0.25</v>
      </c>
      <c r="LY32" s="17" t="n">
        <f aca="false">Daily_Composite!AH340</f>
        <v>-0.25</v>
      </c>
      <c r="LZ32" s="17" t="n">
        <f aca="false">Daily_Composite!AH341</f>
        <v>-0.468</v>
      </c>
      <c r="MA32" s="17" t="n">
        <f aca="false">Daily_Composite!AH342</f>
        <v>-0.242</v>
      </c>
      <c r="MB32" s="17" t="n">
        <f aca="false">Daily_Composite!AH343</f>
        <v>-0.231</v>
      </c>
      <c r="MC32" s="17" t="n">
        <f aca="false">Daily_Composite!AH344</f>
        <v>-0.218</v>
      </c>
      <c r="MD32" s="17" t="n">
        <f aca="false">Daily_Composite!AH345</f>
        <v>-0.327</v>
      </c>
      <c r="ME32" s="17" t="n">
        <f aca="false">Daily_Composite!AH346</f>
        <v>-0.352</v>
      </c>
      <c r="MF32" s="17" t="n">
        <f aca="false">Daily_Composite!AH347</f>
        <v>0.172</v>
      </c>
      <c r="MG32" s="17" t="n">
        <f aca="false">Daily_Composite!AH348</f>
        <v>0.172</v>
      </c>
      <c r="MH32" s="17" t="n">
        <f aca="false">Daily_Composite!AH349</f>
        <v>0.232</v>
      </c>
      <c r="MI32" s="17" t="n">
        <f aca="false">Daily_Composite!AH350</f>
        <v>0.543</v>
      </c>
      <c r="MJ32" s="17" t="n">
        <f aca="false">Daily_Composite!AH351</f>
        <v>0.362</v>
      </c>
      <c r="MK32" s="17" t="n">
        <f aca="false">Daily_Composite!AH352</f>
        <v>0.361</v>
      </c>
      <c r="ML32" s="17" t="n">
        <f aca="false">Daily_Composite!AH353</f>
        <v>0.359</v>
      </c>
      <c r="MM32" s="17" t="n">
        <f aca="false">Daily_Composite!AH354</f>
        <v>0.352</v>
      </c>
      <c r="MN32" s="17" t="n">
        <f aca="false">Daily_Composite!AH355</f>
        <v>0.101</v>
      </c>
      <c r="MO32" s="17" t="n">
        <f aca="false">Daily_Composite!AH356</f>
        <v>0.138</v>
      </c>
      <c r="MP32" s="17" t="n">
        <f aca="false">Daily_Composite!AH357</f>
        <v>0.337</v>
      </c>
      <c r="MQ32" s="17" t="n">
        <f aca="false">Daily_Composite!AH358</f>
        <v>0.266</v>
      </c>
      <c r="MR32" s="17" t="n">
        <f aca="false">Daily_Composite!AH359</f>
        <v>-0.023</v>
      </c>
      <c r="MS32" s="17" t="n">
        <f aca="false">Daily_Composite!AH360</f>
        <v>0.325</v>
      </c>
      <c r="MT32" s="17" t="n">
        <f aca="false">Daily_Composite!AH361</f>
        <v>-0.062</v>
      </c>
      <c r="MU32" s="17" t="n">
        <f aca="false">Daily_Composite!AH362</f>
        <v>-0.135</v>
      </c>
      <c r="MV32" s="17" t="n">
        <f aca="false">Daily_Composite!AH363</f>
        <v>-0.179</v>
      </c>
      <c r="MW32" s="17" t="n">
        <f aca="false">Daily_Composite!AH364</f>
        <v>-0.263</v>
      </c>
      <c r="MX32" s="17" t="n">
        <f aca="false">Daily_Composite!AH365</f>
        <v>-0.252</v>
      </c>
      <c r="MY32" s="17" t="n">
        <f aca="false">Daily_Composite!AH366</f>
        <v>-0.219</v>
      </c>
      <c r="MZ32" s="17" t="n">
        <f aca="false">Daily_Composite!AH367</f>
        <v>-0.215</v>
      </c>
      <c r="NA32" s="17" t="n">
        <f aca="false">Daily_Composite!AH368</f>
        <v>-0.218</v>
      </c>
      <c r="NB32" s="17" t="n">
        <f aca="false">Daily_Composite!AH369</f>
        <v>-0.547</v>
      </c>
    </row>
    <row r="33" customFormat="false" ht="15" hidden="false" customHeight="false" outlineLevel="0" collapsed="false">
      <c r="A33" s="6" t="s">
        <v>46</v>
      </c>
      <c r="B33" s="17" t="n">
        <f aca="false">Daily_Composite!AI5</f>
        <v>0.062</v>
      </c>
      <c r="C33" s="17" t="n">
        <f aca="false">Daily_Composite!AI6</f>
        <v>0.16</v>
      </c>
      <c r="D33" s="17" t="n">
        <f aca="false">Daily_Composite!AI7</f>
        <v>0.248</v>
      </c>
      <c r="E33" s="17" t="n">
        <f aca="false">Daily_Composite!AI8</f>
        <v>-0.02</v>
      </c>
      <c r="F33" s="17" t="n">
        <f aca="false">Daily_Composite!AI9</f>
        <v>0.046</v>
      </c>
      <c r="G33" s="17" t="n">
        <f aca="false">Daily_Composite!AI10</f>
        <v>0.001</v>
      </c>
      <c r="H33" s="17" t="n">
        <f aca="false">Daily_Composite!AI11</f>
        <v>0.446</v>
      </c>
      <c r="I33" s="17" t="n">
        <f aca="false">Daily_Composite!AI12</f>
        <v>-0.299</v>
      </c>
      <c r="J33" s="17" t="n">
        <f aca="false">Daily_Composite!AI13</f>
        <v>0.054</v>
      </c>
      <c r="K33" s="17" t="n">
        <f aca="false">Daily_Composite!AI14</f>
        <v>0.206</v>
      </c>
      <c r="L33" s="17" t="n">
        <f aca="false">Daily_Composite!AI15</f>
        <v>0.022</v>
      </c>
      <c r="M33" s="17" t="n">
        <f aca="false">Daily_Composite!AI16</f>
        <v>0.005</v>
      </c>
      <c r="N33" s="17" t="n">
        <f aca="false">Daily_Composite!AI17</f>
        <v>-0.293</v>
      </c>
      <c r="O33" s="17" t="n">
        <f aca="false">Daily_Composite!AI18</f>
        <v>-0.036</v>
      </c>
      <c r="P33" s="17" t="n">
        <f aca="false">Daily_Composite!AI19</f>
        <v>-0.009</v>
      </c>
      <c r="Q33" s="17" t="n">
        <f aca="false">Daily_Composite!AI20</f>
        <v>-0.018</v>
      </c>
      <c r="R33" s="17" t="n">
        <f aca="false">Daily_Composite!AI21</f>
        <v>0.48</v>
      </c>
      <c r="S33" s="17" t="n">
        <f aca="false">Daily_Composite!AI22</f>
        <v>-0.299</v>
      </c>
      <c r="T33" s="17" t="n">
        <f aca="false">Daily_Composite!AI23</f>
        <v>0.123</v>
      </c>
      <c r="U33" s="17" t="n">
        <f aca="false">Daily_Composite!AI24</f>
        <v>0.109</v>
      </c>
      <c r="V33" s="17" t="n">
        <f aca="false">Daily_Composite!AI25</f>
        <v>0.122</v>
      </c>
      <c r="W33" s="17" t="n">
        <f aca="false">Daily_Composite!AI26</f>
        <v>-0.019</v>
      </c>
      <c r="X33" s="17" t="n">
        <f aca="false">Daily_Composite!AI27</f>
        <v>-0.337</v>
      </c>
      <c r="Y33" s="17" t="n">
        <f aca="false">Daily_Composite!AI28</f>
        <v>-0.165</v>
      </c>
      <c r="Z33" s="17" t="n">
        <f aca="false">Daily_Composite!AI29</f>
        <v>0.071</v>
      </c>
      <c r="AA33" s="17" t="n">
        <f aca="false">Daily_Composite!AI30</f>
        <v>0.339</v>
      </c>
      <c r="AB33" s="17" t="n">
        <f aca="false">Daily_Composite!AI31</f>
        <v>-0.283</v>
      </c>
      <c r="AC33" s="17" t="n">
        <f aca="false">Daily_Composite!AI32</f>
        <v>-0.04</v>
      </c>
      <c r="AD33" s="17" t="n">
        <f aca="false">Daily_Composite!AI33</f>
        <v>0.08</v>
      </c>
      <c r="AE33" s="17" t="n">
        <f aca="false">Daily_Composite!AI34</f>
        <v>0.074</v>
      </c>
      <c r="AF33" s="17" t="n">
        <f aca="false">Daily_Composite!AI35</f>
        <v>0.416</v>
      </c>
      <c r="AG33" s="17" t="n">
        <f aca="false">Daily_Composite!AI36</f>
        <v>0.421</v>
      </c>
      <c r="AH33" s="17" t="n">
        <f aca="false">Daily_Composite!AI37</f>
        <v>0.103</v>
      </c>
      <c r="AI33" s="17" t="n">
        <f aca="false">Daily_Composite!AI38</f>
        <v>0.398</v>
      </c>
      <c r="AJ33" s="17" t="n">
        <f aca="false">Daily_Composite!AI39</f>
        <v>0.116</v>
      </c>
      <c r="AK33" s="17" t="n">
        <f aca="false">Daily_Composite!AI40</f>
        <v>0.166</v>
      </c>
      <c r="AL33" s="17" t="n">
        <f aca="false">Daily_Composite!AI41</f>
        <v>0.163</v>
      </c>
      <c r="AM33" s="17" t="n">
        <f aca="false">Daily_Composite!AI42</f>
        <v>0.111</v>
      </c>
      <c r="AN33" s="17" t="n">
        <f aca="false">Daily_Composite!AI43</f>
        <v>0.398</v>
      </c>
      <c r="AO33" s="17" t="n">
        <f aca="false">Daily_Composite!AI44</f>
        <v>0.065</v>
      </c>
      <c r="AP33" s="17" t="n">
        <f aca="false">Daily_Composite!AI45</f>
        <v>0.372</v>
      </c>
      <c r="AQ33" s="17" t="n">
        <f aca="false">Daily_Composite!AI46</f>
        <v>0.139</v>
      </c>
      <c r="AR33" s="17" t="n">
        <f aca="false">Daily_Composite!AI47</f>
        <v>0.132</v>
      </c>
      <c r="AS33" s="17" t="n">
        <f aca="false">Daily_Composite!AI48</f>
        <v>-0.068</v>
      </c>
      <c r="AT33" s="17" t="n">
        <f aca="false">Daily_Composite!AI49</f>
        <v>-0.321</v>
      </c>
      <c r="AU33" s="17" t="n">
        <f aca="false">Daily_Composite!AI50</f>
        <v>0.09</v>
      </c>
      <c r="AV33" s="17" t="n">
        <f aca="false">Daily_Composite!AI51</f>
        <v>0.047</v>
      </c>
      <c r="AW33" s="17" t="n">
        <f aca="false">Daily_Composite!AI52</f>
        <v>0.016</v>
      </c>
      <c r="AX33" s="17" t="n">
        <f aca="false">Daily_Composite!AI53</f>
        <v>0.292</v>
      </c>
      <c r="AY33" s="17" t="n">
        <f aca="false">Daily_Composite!AI54</f>
        <v>-0.09</v>
      </c>
      <c r="AZ33" s="17" t="n">
        <f aca="false">Daily_Composite!AI55</f>
        <v>-0.269</v>
      </c>
      <c r="BA33" s="17" t="n">
        <f aca="false">Daily_Composite!AI56</f>
        <v>-0.073</v>
      </c>
      <c r="BB33" s="17" t="n">
        <f aca="false">Daily_Composite!AI57</f>
        <v>-0.024</v>
      </c>
      <c r="BC33" s="17" t="n">
        <f aca="false">Daily_Composite!AI58</f>
        <v>-0.414</v>
      </c>
      <c r="BD33" s="17" t="n">
        <f aca="false">Daily_Composite!AI59</f>
        <v>0.085</v>
      </c>
      <c r="BE33" s="17" t="n">
        <f aca="false">Daily_Composite!AI60</f>
        <v>-0.149</v>
      </c>
      <c r="BF33" s="17" t="n">
        <f aca="false">Daily_Composite!AI61</f>
        <v>0.143</v>
      </c>
      <c r="BG33" s="17" t="n">
        <f aca="false">Daily_Composite!AI62</f>
        <v>0.37</v>
      </c>
      <c r="BH33" s="17" t="n">
        <f aca="false">Daily_Composite!AI63</f>
        <v>-0.05</v>
      </c>
      <c r="BI33" s="17" t="n">
        <f aca="false">Daily_Composite!AI64</f>
        <v>0.011</v>
      </c>
      <c r="BJ33" s="17" t="n">
        <f aca="false">Daily_Composite!AI65</f>
        <v>-0.091</v>
      </c>
      <c r="BK33" s="17" t="n">
        <f aca="false">Daily_Composite!AI66</f>
        <v>-0.027</v>
      </c>
      <c r="BL33" s="17" t="n">
        <f aca="false">Daily_Composite!AI67</f>
        <v>-0.04</v>
      </c>
      <c r="BM33" s="17" t="n">
        <f aca="false">Daily_Composite!AI68</f>
        <v>-0.017</v>
      </c>
      <c r="BN33" s="17" t="n">
        <f aca="false">Daily_Composite!AI69</f>
        <v>0.095</v>
      </c>
      <c r="BO33" s="17" t="n">
        <f aca="false">Daily_Composite!AI70</f>
        <v>-0.023</v>
      </c>
      <c r="BP33" s="17" t="n">
        <f aca="false">Daily_Composite!AI71</f>
        <v>-0.009</v>
      </c>
      <c r="BQ33" s="17" t="n">
        <f aca="false">Daily_Composite!AI72</f>
        <v>0.22</v>
      </c>
      <c r="BR33" s="17" t="n">
        <f aca="false">Daily_Composite!AI73</f>
        <v>-0.044</v>
      </c>
      <c r="BS33" s="17" t="n">
        <f aca="false">Daily_Composite!AI74</f>
        <v>-0</v>
      </c>
      <c r="BT33" s="17" t="n">
        <f aca="false">Daily_Composite!AI75</f>
        <v>0.357</v>
      </c>
      <c r="BU33" s="17" t="n">
        <f aca="false">Daily_Composite!AI76</f>
        <v>-0.272</v>
      </c>
      <c r="BV33" s="17" t="n">
        <f aca="false">Daily_Composite!AI77</f>
        <v>-0.107</v>
      </c>
      <c r="BW33" s="17" t="n">
        <f aca="false">Daily_Composite!AI78</f>
        <v>-0.088</v>
      </c>
      <c r="BX33" s="17" t="n">
        <f aca="false">Daily_Composite!AI79</f>
        <v>-0.189</v>
      </c>
      <c r="BY33" s="17" t="n">
        <f aca="false">Daily_Composite!AI80</f>
        <v>-0.252</v>
      </c>
      <c r="BZ33" s="17" t="n">
        <f aca="false">Daily_Composite!AI81</f>
        <v>0.389</v>
      </c>
      <c r="CA33" s="17" t="n">
        <f aca="false">Daily_Composite!AI82</f>
        <v>0.338</v>
      </c>
      <c r="CB33" s="17" t="n">
        <f aca="false">Daily_Composite!AI83</f>
        <v>0.108</v>
      </c>
      <c r="CC33" s="17" t="n">
        <f aca="false">Daily_Composite!AI84</f>
        <v>-0.045</v>
      </c>
      <c r="CD33" s="17" t="n">
        <f aca="false">Daily_Composite!AI85</f>
        <v>0.416</v>
      </c>
      <c r="CE33" s="17" t="n">
        <f aca="false">Daily_Composite!AI86</f>
        <v>0.293</v>
      </c>
      <c r="CF33" s="17" t="n">
        <f aca="false">Daily_Composite!AI87</f>
        <v>0.266</v>
      </c>
      <c r="CG33" s="17" t="n">
        <f aca="false">Daily_Composite!AI88</f>
        <v>0.15</v>
      </c>
      <c r="CH33" s="17" t="n">
        <f aca="false">Daily_Composite!AI89</f>
        <v>0.099</v>
      </c>
      <c r="CI33" s="17" t="n">
        <f aca="false">Daily_Composite!AI90</f>
        <v>0.413</v>
      </c>
      <c r="CJ33" s="17" t="n">
        <f aca="false">Daily_Composite!AI91</f>
        <v>0.387</v>
      </c>
      <c r="CK33" s="17" t="n">
        <f aca="false">Daily_Composite!AI92</f>
        <v>0.026</v>
      </c>
      <c r="CL33" s="17" t="n">
        <f aca="false">Daily_Composite!AI93</f>
        <v>0.058</v>
      </c>
      <c r="CM33" s="17" t="n">
        <f aca="false">Daily_Composite!AI94</f>
        <v>0.383</v>
      </c>
      <c r="CN33" s="17" t="n">
        <f aca="false">Daily_Composite!AI95</f>
        <v>-0.134</v>
      </c>
      <c r="CO33" s="17" t="n">
        <f aca="false">Daily_Composite!AI96</f>
        <v>-0.111</v>
      </c>
      <c r="CP33" s="17" t="n">
        <f aca="false">Daily_Composite!AI97</f>
        <v>-0.145</v>
      </c>
      <c r="CQ33" s="17" t="n">
        <f aca="false">Daily_Composite!AI98</f>
        <v>-0.504</v>
      </c>
      <c r="CR33" s="17" t="n">
        <f aca="false">Daily_Composite!AI99</f>
        <v>-0.566</v>
      </c>
      <c r="CS33" s="17" t="n">
        <f aca="false">Daily_Composite!AI100</f>
        <v>-0.336</v>
      </c>
      <c r="CT33" s="17" t="n">
        <f aca="false">Daily_Composite!AI101</f>
        <v>-0.049</v>
      </c>
      <c r="CU33" s="17" t="n">
        <f aca="false">Daily_Composite!AI102</f>
        <v>-0.524</v>
      </c>
      <c r="CV33" s="17" t="n">
        <f aca="false">Daily_Composite!AI103</f>
        <v>-0.543</v>
      </c>
      <c r="CW33" s="17" t="n">
        <f aca="false">Daily_Composite!AI104</f>
        <v>-0.539</v>
      </c>
      <c r="CX33" s="17" t="n">
        <f aca="false">Daily_Composite!AI105</f>
        <v>-0.285</v>
      </c>
      <c r="CY33" s="17" t="n">
        <f aca="false">Daily_Composite!AI106</f>
        <v>-0.287</v>
      </c>
      <c r="CZ33" s="17" t="n">
        <f aca="false">Daily_Composite!AI107</f>
        <v>-0.31</v>
      </c>
      <c r="DA33" s="17" t="n">
        <f aca="false">Daily_Composite!AI108</f>
        <v>-0.515</v>
      </c>
      <c r="DB33" s="17" t="n">
        <f aca="false">Daily_Composite!AI109</f>
        <v>-0.574</v>
      </c>
      <c r="DC33" s="17" t="n">
        <f aca="false">Daily_Composite!AI110</f>
        <v>-0.547</v>
      </c>
      <c r="DD33" s="17" t="n">
        <f aca="false">Daily_Composite!AI111</f>
        <v>-0.161</v>
      </c>
      <c r="DE33" s="17" t="n">
        <f aca="false">Daily_Composite!AI112</f>
        <v>-0.606</v>
      </c>
      <c r="DF33" s="17" t="n">
        <f aca="false">Daily_Composite!AI113</f>
        <v>-0.441</v>
      </c>
      <c r="DG33" s="17" t="n">
        <f aca="false">Daily_Composite!AI114</f>
        <v>-0.21</v>
      </c>
      <c r="DH33" s="17" t="n">
        <f aca="false">Daily_Composite!AI115</f>
        <v>-0.293</v>
      </c>
      <c r="DI33" s="17" t="n">
        <f aca="false">Daily_Composite!AI116</f>
        <v>-0.4</v>
      </c>
      <c r="DJ33" s="17" t="n">
        <f aca="false">Daily_Composite!AI117</f>
        <v>-0.523</v>
      </c>
      <c r="DK33" s="17" t="n">
        <f aca="false">Daily_Composite!AI118</f>
        <v>-0.642</v>
      </c>
      <c r="DL33" s="17" t="n">
        <f aca="false">Daily_Composite!AI119</f>
        <v>-0.217</v>
      </c>
      <c r="DM33" s="17" t="n">
        <f aca="false">Daily_Composite!AI120</f>
        <v>-0.064</v>
      </c>
      <c r="DN33" s="17" t="n">
        <f aca="false">Daily_Composite!AI121</f>
        <v>-0.475</v>
      </c>
      <c r="DO33" s="17" t="n">
        <f aca="false">Daily_Composite!AI122</f>
        <v>-0.145</v>
      </c>
      <c r="DP33" s="17" t="n">
        <f aca="false">Daily_Composite!AI123</f>
        <v>-0.006</v>
      </c>
      <c r="DQ33" s="17" t="n">
        <f aca="false">Daily_Composite!AI124</f>
        <v>-0.2</v>
      </c>
      <c r="DR33" s="17" t="n">
        <f aca="false">Daily_Composite!AI125</f>
        <v>0.393</v>
      </c>
      <c r="DS33" s="17" t="n">
        <f aca="false">Daily_Composite!AI126</f>
        <v>0.557</v>
      </c>
      <c r="DT33" s="17" t="n">
        <f aca="false">Daily_Composite!AI127</f>
        <v>0.22</v>
      </c>
      <c r="DU33" s="17" t="n">
        <f aca="false">Daily_Composite!AI128</f>
        <v>0.377</v>
      </c>
      <c r="DV33" s="17" t="n">
        <f aca="false">Daily_Composite!AI129</f>
        <v>0.379</v>
      </c>
      <c r="DW33" s="17" t="n">
        <f aca="false">Daily_Composite!AI130</f>
        <v>0.632</v>
      </c>
      <c r="DX33" s="17" t="n">
        <f aca="false">Daily_Composite!AI131</f>
        <v>0.557</v>
      </c>
      <c r="DY33" s="17" t="n">
        <f aca="false">Daily_Composite!AI132</f>
        <v>0.057</v>
      </c>
      <c r="DZ33" s="17" t="n">
        <f aca="false">Daily_Composite!AI133</f>
        <v>0.066</v>
      </c>
      <c r="EA33" s="17" t="n">
        <f aca="false">Daily_Composite!AI134</f>
        <v>0.047</v>
      </c>
      <c r="EB33" s="17" t="n">
        <f aca="false">Daily_Composite!AI135</f>
        <v>0.298</v>
      </c>
      <c r="EC33" s="17" t="n">
        <f aca="false">Daily_Composite!AI136</f>
        <v>0.452</v>
      </c>
      <c r="ED33" s="17" t="n">
        <f aca="false">Daily_Composite!AI137</f>
        <v>0.065</v>
      </c>
      <c r="EE33" s="17" t="n">
        <f aca="false">Daily_Composite!AI138</f>
        <v>-0.018</v>
      </c>
      <c r="EF33" s="17" t="n">
        <f aca="false">Daily_Composite!AI139</f>
        <v>0.353</v>
      </c>
      <c r="EG33" s="17" t="n">
        <f aca="false">Daily_Composite!AI140</f>
        <v>0.417</v>
      </c>
      <c r="EH33" s="17" t="n">
        <f aca="false">Daily_Composite!AI141</f>
        <v>0.042</v>
      </c>
      <c r="EI33" s="17" t="n">
        <f aca="false">Daily_Composite!AI142</f>
        <v>0.074</v>
      </c>
      <c r="EJ33" s="17" t="n">
        <f aca="false">Daily_Composite!AI143</f>
        <v>-0.046</v>
      </c>
      <c r="EK33" s="17" t="n">
        <f aca="false">Daily_Composite!AI144</f>
        <v>-0.45</v>
      </c>
      <c r="EL33" s="17" t="n">
        <f aca="false">Daily_Composite!AI145</f>
        <v>-0.035</v>
      </c>
      <c r="EM33" s="17" t="n">
        <f aca="false">Daily_Composite!AI146</f>
        <v>-0.058</v>
      </c>
      <c r="EN33" s="17" t="n">
        <f aca="false">Daily_Composite!AI147</f>
        <v>0.026</v>
      </c>
      <c r="EO33" s="17" t="n">
        <f aca="false">Daily_Composite!AI148</f>
        <v>-0.266</v>
      </c>
      <c r="EP33" s="17" t="n">
        <f aca="false">Daily_Composite!AI149</f>
        <v>0.289</v>
      </c>
      <c r="EQ33" s="17" t="n">
        <f aca="false">Daily_Composite!AI150</f>
        <v>0.111</v>
      </c>
      <c r="ER33" s="17" t="n">
        <f aca="false">Daily_Composite!AI151</f>
        <v>-0.181</v>
      </c>
      <c r="ES33" s="17" t="n">
        <f aca="false">Daily_Composite!AI152</f>
        <v>-0.162</v>
      </c>
      <c r="ET33" s="17" t="n">
        <f aca="false">Daily_Composite!AI153</f>
        <v>-0.301</v>
      </c>
      <c r="EU33" s="17" t="n">
        <f aca="false">Daily_Composite!AI154</f>
        <v>-0.335</v>
      </c>
      <c r="EV33" s="17" t="n">
        <f aca="false">Daily_Composite!AI155</f>
        <v>-0.043</v>
      </c>
      <c r="EW33" s="17" t="n">
        <f aca="false">Daily_Composite!AI156</f>
        <v>0.287</v>
      </c>
      <c r="EX33" s="17" t="n">
        <f aca="false">Daily_Composite!AI157</f>
        <v>0.299</v>
      </c>
      <c r="EY33" s="17" t="n">
        <f aca="false">Daily_Composite!AI158</f>
        <v>-0.328</v>
      </c>
      <c r="EZ33" s="17" t="n">
        <f aca="false">Daily_Composite!AI159</f>
        <v>-0.082</v>
      </c>
      <c r="FA33" s="17" t="n">
        <f aca="false">Daily_Composite!AI160</f>
        <v>-0.076</v>
      </c>
      <c r="FB33" s="17" t="n">
        <f aca="false">Daily_Composite!AI161</f>
        <v>-0.152</v>
      </c>
      <c r="FC33" s="17" t="n">
        <f aca="false">Daily_Composite!AI162</f>
        <v>0.367</v>
      </c>
      <c r="FD33" s="17" t="n">
        <f aca="false">Daily_Composite!AI163</f>
        <v>-0.372</v>
      </c>
      <c r="FE33" s="17" t="n">
        <f aca="false">Daily_Composite!AI164</f>
        <v>-0.431</v>
      </c>
      <c r="FF33" s="17" t="n">
        <f aca="false">Daily_Composite!AI165</f>
        <v>-0.062</v>
      </c>
      <c r="FG33" s="17" t="n">
        <f aca="false">Daily_Composite!AI166</f>
        <v>-0.058</v>
      </c>
      <c r="FH33" s="17" t="n">
        <f aca="false">Daily_Composite!AI167</f>
        <v>0.053</v>
      </c>
      <c r="FI33" s="17" t="n">
        <f aca="false">Daily_Composite!AI168</f>
        <v>-0.305</v>
      </c>
      <c r="FJ33" s="17" t="n">
        <f aca="false">Daily_Composite!AI169</f>
        <v>-0.019</v>
      </c>
      <c r="FK33" s="17" t="n">
        <f aca="false">Daily_Composite!AI170</f>
        <v>-0.128</v>
      </c>
      <c r="FL33" s="17" t="n">
        <f aca="false">Daily_Composite!AI171</f>
        <v>-0.16</v>
      </c>
      <c r="FM33" s="17" t="n">
        <f aca="false">Daily_Composite!AI172</f>
        <v>0.204</v>
      </c>
      <c r="FN33" s="17" t="n">
        <f aca="false">Daily_Composite!AI173</f>
        <v>0.12</v>
      </c>
      <c r="FO33" s="17" t="n">
        <f aca="false">Daily_Composite!AI174</f>
        <v>0.049</v>
      </c>
      <c r="FP33" s="17" t="n">
        <f aca="false">Daily_Composite!AI175</f>
        <v>0.015</v>
      </c>
      <c r="FQ33" s="17" t="n">
        <f aca="false">Daily_Composite!AI176</f>
        <v>-0.047</v>
      </c>
      <c r="FR33" s="17" t="n">
        <f aca="false">Daily_Composite!AI177</f>
        <v>-0.037</v>
      </c>
      <c r="FS33" s="17" t="n">
        <f aca="false">Daily_Composite!AI178</f>
        <v>-0.127</v>
      </c>
      <c r="FT33" s="17" t="n">
        <f aca="false">Daily_Composite!AI179</f>
        <v>-0.304</v>
      </c>
      <c r="FU33" s="17" t="n">
        <f aca="false">Daily_Composite!AI180</f>
        <v>-0.474</v>
      </c>
      <c r="FV33" s="17" t="n">
        <f aca="false">Daily_Composite!AI181</f>
        <v>-0.415</v>
      </c>
      <c r="FW33" s="17" t="n">
        <f aca="false">Daily_Composite!AI182</f>
        <v>-0.253</v>
      </c>
      <c r="FX33" s="17" t="n">
        <f aca="false">Daily_Composite!AI183</f>
        <v>-0.373</v>
      </c>
      <c r="FY33" s="17" t="n">
        <f aca="false">Daily_Composite!AI184</f>
        <v>-0.5</v>
      </c>
      <c r="FZ33" s="17" t="n">
        <f aca="false">Daily_Composite!AI185</f>
        <v>-0.459</v>
      </c>
      <c r="GA33" s="17" t="n">
        <f aca="false">Daily_Composite!AI186</f>
        <v>-0.225</v>
      </c>
      <c r="GB33" s="17" t="n">
        <f aca="false">Daily_Composite!AI187</f>
        <v>-0.134</v>
      </c>
      <c r="GC33" s="17" t="n">
        <f aca="false">Daily_Composite!AI188</f>
        <v>-0.18</v>
      </c>
      <c r="GD33" s="17" t="n">
        <f aca="false">Daily_Composite!AI189</f>
        <v>-0.091</v>
      </c>
      <c r="GE33" s="17" t="n">
        <f aca="false">Daily_Composite!AI190</f>
        <v>0.061</v>
      </c>
      <c r="GF33" s="17" t="n">
        <f aca="false">Daily_Composite!AI191</f>
        <v>-0.504</v>
      </c>
      <c r="GG33" s="17" t="n">
        <f aca="false">Daily_Composite!AI192</f>
        <v>-0.283</v>
      </c>
      <c r="GH33" s="17" t="n">
        <f aca="false">Daily_Composite!AI193</f>
        <v>-0.059</v>
      </c>
      <c r="GI33" s="17" t="n">
        <f aca="false">Daily_Composite!AI194</f>
        <v>-0.01</v>
      </c>
      <c r="GJ33" s="17" t="n">
        <f aca="false">Daily_Composite!AI195</f>
        <v>0.254</v>
      </c>
      <c r="GK33" s="17" t="n">
        <f aca="false">Daily_Composite!AI196</f>
        <v>-0.042</v>
      </c>
      <c r="GL33" s="17" t="n">
        <f aca="false">Daily_Composite!AI197</f>
        <v>-0.177</v>
      </c>
      <c r="GM33" s="17" t="n">
        <f aca="false">Daily_Composite!AI198</f>
        <v>-0.226</v>
      </c>
      <c r="GN33" s="17" t="n">
        <f aca="false">Daily_Composite!AI199</f>
        <v>0.008</v>
      </c>
      <c r="GO33" s="17" t="n">
        <f aca="false">Daily_Composite!AI200</f>
        <v>-0.166</v>
      </c>
      <c r="GP33" s="17" t="n">
        <f aca="false">Daily_Composite!AI201</f>
        <v>-0.006</v>
      </c>
      <c r="GQ33" s="17" t="n">
        <f aca="false">Daily_Composite!AI202</f>
        <v>-0.061</v>
      </c>
      <c r="GR33" s="17" t="n">
        <f aca="false">Daily_Composite!AI203</f>
        <v>0.433</v>
      </c>
      <c r="GS33" s="17" t="n">
        <f aca="false">Daily_Composite!AI204</f>
        <v>-0.183</v>
      </c>
      <c r="GT33" s="17" t="n">
        <f aca="false">Daily_Composite!AI205</f>
        <v>0.072</v>
      </c>
      <c r="GU33" s="17" t="n">
        <f aca="false">Daily_Composite!AI206</f>
        <v>0.065</v>
      </c>
      <c r="GV33" s="17" t="n">
        <f aca="false">Daily_Composite!AI207</f>
        <v>0.131</v>
      </c>
      <c r="GW33" s="17" t="n">
        <f aca="false">Daily_Composite!AI208</f>
        <v>0.085</v>
      </c>
      <c r="GX33" s="17" t="n">
        <f aca="false">Daily_Composite!AI209</f>
        <v>0.051</v>
      </c>
      <c r="GY33" s="17" t="n">
        <f aca="false">Daily_Composite!AI210</f>
        <v>0.009</v>
      </c>
      <c r="GZ33" s="17" t="n">
        <f aca="false">Daily_Composite!AI211</f>
        <v>-0.089</v>
      </c>
      <c r="HA33" s="17" t="n">
        <f aca="false">Daily_Composite!AI212</f>
        <v>0.096</v>
      </c>
      <c r="HB33" s="17" t="n">
        <f aca="false">Daily_Composite!AI213</f>
        <v>-0.612</v>
      </c>
      <c r="HC33" s="17" t="n">
        <f aca="false">Daily_Composite!AI214</f>
        <v>-0.331</v>
      </c>
      <c r="HD33" s="17" t="n">
        <f aca="false">Daily_Composite!AI215</f>
        <v>-0.103</v>
      </c>
      <c r="HE33" s="17" t="n">
        <f aca="false">Daily_Composite!AI216</f>
        <v>-0.108</v>
      </c>
      <c r="HF33" s="17" t="n">
        <f aca="false">Daily_Composite!AI217</f>
        <v>-0.203</v>
      </c>
      <c r="HG33" s="17" t="n">
        <f aca="false">Daily_Composite!AI218</f>
        <v>-0.705</v>
      </c>
      <c r="HH33" s="17" t="n">
        <f aca="false">Daily_Composite!AI219</f>
        <v>-0.562</v>
      </c>
      <c r="HI33" s="17" t="n">
        <f aca="false">Daily_Composite!AI220</f>
        <v>-0.105</v>
      </c>
      <c r="HJ33" s="17" t="n">
        <f aca="false">Daily_Composite!AI221</f>
        <v>-0.105</v>
      </c>
      <c r="HK33" s="17" t="n">
        <f aca="false">Daily_Composite!AI222</f>
        <v>-0.364</v>
      </c>
      <c r="HL33" s="17" t="n">
        <f aca="false">Daily_Composite!AI223</f>
        <v>-0.118</v>
      </c>
      <c r="HM33" s="17" t="n">
        <f aca="false">Daily_Composite!AI224</f>
        <v>-0.353</v>
      </c>
      <c r="HN33" s="17" t="n">
        <f aca="false">Daily_Composite!AI225</f>
        <v>-0.303</v>
      </c>
      <c r="HO33" s="17" t="n">
        <f aca="false">Daily_Composite!AI226</f>
        <v>-0.266</v>
      </c>
      <c r="HP33" s="17" t="n">
        <f aca="false">Daily_Composite!AI227</f>
        <v>-0.561</v>
      </c>
      <c r="HQ33" s="17" t="n">
        <f aca="false">Daily_Composite!AI228</f>
        <v>-0.263</v>
      </c>
      <c r="HR33" s="17" t="n">
        <f aca="false">Daily_Composite!AI229</f>
        <v>-0.105</v>
      </c>
      <c r="HS33" s="17" t="n">
        <f aca="false">Daily_Composite!AI230</f>
        <v>0.158</v>
      </c>
      <c r="HT33" s="17" t="n">
        <f aca="false">Daily_Composite!AI231</f>
        <v>-0.372</v>
      </c>
      <c r="HU33" s="17" t="n">
        <f aca="false">Daily_Composite!AI232</f>
        <v>-0.001</v>
      </c>
      <c r="HV33" s="17" t="n">
        <f aca="false">Daily_Composite!AI233</f>
        <v>-0.127</v>
      </c>
      <c r="HW33" s="17" t="n">
        <f aca="false">Daily_Composite!AI234</f>
        <v>-0.193</v>
      </c>
      <c r="HX33" s="17" t="n">
        <f aca="false">Daily_Composite!AI235</f>
        <v>-0.025</v>
      </c>
      <c r="HY33" s="17" t="n">
        <f aca="false">Daily_Composite!AI236</f>
        <v>-0.154</v>
      </c>
      <c r="HZ33" s="17" t="n">
        <f aca="false">Daily_Composite!AI237</f>
        <v>0.084</v>
      </c>
      <c r="IA33" s="17" t="n">
        <f aca="false">Daily_Composite!AI238</f>
        <v>0.117</v>
      </c>
      <c r="IB33" s="17" t="n">
        <f aca="false">Daily_Composite!AI239</f>
        <v>0.494</v>
      </c>
      <c r="IC33" s="17" t="n">
        <f aca="false">Daily_Composite!AI240</f>
        <v>-0.289</v>
      </c>
      <c r="ID33" s="17" t="n">
        <f aca="false">Daily_Composite!AI241</f>
        <v>0.066</v>
      </c>
      <c r="IE33" s="17" t="n">
        <f aca="false">Daily_Composite!AI242</f>
        <v>0.093</v>
      </c>
      <c r="IF33" s="17" t="n">
        <f aca="false">Daily_Composite!AI243</f>
        <v>0.067</v>
      </c>
      <c r="IG33" s="17" t="n">
        <f aca="false">Daily_Composite!AI244</f>
        <v>0.08</v>
      </c>
      <c r="IH33" s="17" t="n">
        <f aca="false">Daily_Composite!AI245</f>
        <v>0.357</v>
      </c>
      <c r="II33" s="17" t="n">
        <f aca="false">Daily_Composite!AI246</f>
        <v>0.182</v>
      </c>
      <c r="IJ33" s="17" t="n">
        <f aca="false">Daily_Composite!AI247</f>
        <v>0.202</v>
      </c>
      <c r="IK33" s="17" t="n">
        <f aca="false">Daily_Composite!AI248</f>
        <v>0.096</v>
      </c>
      <c r="IL33" s="17" t="n">
        <f aca="false">Daily_Composite!AI249</f>
        <v>0.523</v>
      </c>
      <c r="IM33" s="17" t="n">
        <f aca="false">Daily_Composite!AI250</f>
        <v>0.274</v>
      </c>
      <c r="IN33" s="17" t="n">
        <f aca="false">Daily_Composite!AI251</f>
        <v>0.352</v>
      </c>
      <c r="IO33" s="17" t="n">
        <f aca="false">Daily_Composite!AI252</f>
        <v>0.344</v>
      </c>
      <c r="IP33" s="17" t="n">
        <f aca="false">Daily_Composite!AI253</f>
        <v>0.271</v>
      </c>
      <c r="IQ33" s="17" t="n">
        <f aca="false">Daily_Composite!AI254</f>
        <v>0.416</v>
      </c>
      <c r="IR33" s="17" t="n">
        <f aca="false">Daily_Composite!AI255</f>
        <v>0.25</v>
      </c>
      <c r="IS33" s="17" t="n">
        <f aca="false">Daily_Composite!AI256</f>
        <v>0.066</v>
      </c>
      <c r="IT33" s="17" t="n">
        <f aca="false">Daily_Composite!AI257</f>
        <v>0.498</v>
      </c>
      <c r="IU33" s="17" t="n">
        <f aca="false">Daily_Composite!AI258</f>
        <v>0.061</v>
      </c>
      <c r="IV33" s="17" t="n">
        <f aca="false">Daily_Composite!AI259</f>
        <v>0.059</v>
      </c>
      <c r="IW33" s="17" t="n">
        <f aca="false">Daily_Composite!AI260</f>
        <v>0.213</v>
      </c>
      <c r="IX33" s="17" t="n">
        <f aca="false">Daily_Composite!AI261</f>
        <v>0.085</v>
      </c>
      <c r="IY33" s="17" t="n">
        <f aca="false">Daily_Composite!AI262</f>
        <v>-0.26</v>
      </c>
      <c r="IZ33" s="17" t="n">
        <f aca="false">Daily_Composite!AI263</f>
        <v>0.441</v>
      </c>
      <c r="JA33" s="17" t="n">
        <f aca="false">Daily_Composite!AI264</f>
        <v>0.049</v>
      </c>
      <c r="JB33" s="17" t="n">
        <f aca="false">Daily_Composite!AI265</f>
        <v>0.139</v>
      </c>
      <c r="JC33" s="17" t="n">
        <f aca="false">Daily_Composite!AI266</f>
        <v>0.445</v>
      </c>
      <c r="JD33" s="17" t="n">
        <f aca="false">Daily_Composite!AI267</f>
        <v>-0.009</v>
      </c>
      <c r="JE33" s="17" t="n">
        <f aca="false">Daily_Composite!AI268</f>
        <v>-0.054</v>
      </c>
      <c r="JF33" s="17" t="n">
        <f aca="false">Daily_Composite!AI269</f>
        <v>-0.066</v>
      </c>
      <c r="JG33" s="17" t="n">
        <f aca="false">Daily_Composite!AI270</f>
        <v>-0.007</v>
      </c>
      <c r="JH33" s="17" t="n">
        <f aca="false">Daily_Composite!AI271</f>
        <v>-0.067</v>
      </c>
      <c r="JI33" s="17" t="n">
        <f aca="false">Daily_Composite!AI272</f>
        <v>-0.454</v>
      </c>
      <c r="JJ33" s="17" t="n">
        <f aca="false">Daily_Composite!AI273</f>
        <v>-0.319</v>
      </c>
      <c r="JK33" s="17" t="n">
        <f aca="false">Daily_Composite!AI274</f>
        <v>-0.431</v>
      </c>
      <c r="JL33" s="17" t="n">
        <f aca="false">Daily_Composite!AI275</f>
        <v>-0.152</v>
      </c>
      <c r="JM33" s="17" t="n">
        <f aca="false">Daily_Composite!AI276</f>
        <v>0.183</v>
      </c>
      <c r="JN33" s="17" t="n">
        <f aca="false">Daily_Composite!AI277</f>
        <v>0.018</v>
      </c>
      <c r="JO33" s="17" t="n">
        <f aca="false">Daily_Composite!AI278</f>
        <v>0.047</v>
      </c>
      <c r="JP33" s="17" t="n">
        <f aca="false">Daily_Composite!AI279</f>
        <v>-0.228</v>
      </c>
      <c r="JQ33" s="17" t="n">
        <f aca="false">Daily_Composite!AI280</f>
        <v>-0.262</v>
      </c>
      <c r="JR33" s="17" t="n">
        <f aca="false">Daily_Composite!AI281</f>
        <v>-0.446</v>
      </c>
      <c r="JS33" s="17" t="n">
        <f aca="false">Daily_Composite!AI282</f>
        <v>0.366</v>
      </c>
      <c r="JT33" s="17" t="n">
        <f aca="false">Daily_Composite!AI283</f>
        <v>0.175</v>
      </c>
      <c r="JU33" s="17" t="n">
        <f aca="false">Daily_Composite!AI284</f>
        <v>-0.066</v>
      </c>
      <c r="JV33" s="17" t="n">
        <f aca="false">Daily_Composite!AI285</f>
        <v>0.43</v>
      </c>
      <c r="JW33" s="17" t="n">
        <f aca="false">Daily_Composite!AI286</f>
        <v>0.04</v>
      </c>
      <c r="JX33" s="17" t="n">
        <f aca="false">Daily_Composite!AI287</f>
        <v>0.047</v>
      </c>
      <c r="JY33" s="17" t="n">
        <f aca="false">Daily_Composite!AI288</f>
        <v>0.175</v>
      </c>
      <c r="JZ33" s="17" t="n">
        <f aca="false">Daily_Composite!AI289</f>
        <v>0.303</v>
      </c>
      <c r="KA33" s="17" t="n">
        <f aca="false">Daily_Composite!AI290</f>
        <v>0.485</v>
      </c>
      <c r="KB33" s="17" t="n">
        <f aca="false">Daily_Composite!AI291</f>
        <v>-0.102</v>
      </c>
      <c r="KC33" s="17" t="n">
        <f aca="false">Daily_Composite!AI292</f>
        <v>-0.227</v>
      </c>
      <c r="KD33" s="17" t="n">
        <f aca="false">Daily_Composite!AI293</f>
        <v>0.415</v>
      </c>
      <c r="KE33" s="17" t="n">
        <f aca="false">Daily_Composite!AI294</f>
        <v>0.233</v>
      </c>
      <c r="KF33" s="17" t="n">
        <f aca="false">Daily_Composite!AI295</f>
        <v>0.221</v>
      </c>
      <c r="KG33" s="17" t="n">
        <f aca="false">Daily_Composite!AI296</f>
        <v>-0.326</v>
      </c>
      <c r="KH33" s="17" t="n">
        <f aca="false">Daily_Composite!AI297</f>
        <v>-0.28</v>
      </c>
      <c r="KI33" s="17" t="n">
        <f aca="false">Daily_Composite!AI298</f>
        <v>-0.225</v>
      </c>
      <c r="KJ33" s="17" t="n">
        <f aca="false">Daily_Composite!AI299</f>
        <v>-0.267</v>
      </c>
      <c r="KK33" s="17" t="n">
        <f aca="false">Daily_Composite!AI300</f>
        <v>-0.151</v>
      </c>
      <c r="KL33" s="17" t="n">
        <f aca="false">Daily_Composite!AI301</f>
        <v>-0.469</v>
      </c>
      <c r="KM33" s="17" t="n">
        <f aca="false">Daily_Composite!AI302</f>
        <v>-0.356</v>
      </c>
      <c r="KN33" s="17" t="n">
        <f aca="false">Daily_Composite!AI303</f>
        <v>0.214</v>
      </c>
      <c r="KO33" s="17" t="n">
        <f aca="false">Daily_Composite!AI304</f>
        <v>-0.28</v>
      </c>
      <c r="KP33" s="17" t="n">
        <f aca="false">Daily_Composite!AI305</f>
        <v>-0.309</v>
      </c>
      <c r="KQ33" s="17" t="n">
        <f aca="false">Daily_Composite!AI306</f>
        <v>-0.165</v>
      </c>
      <c r="KR33" s="17" t="n">
        <f aca="false">Daily_Composite!AI307</f>
        <v>-0.279</v>
      </c>
      <c r="KS33" s="17" t="n">
        <f aca="false">Daily_Composite!AI308</f>
        <v>-0.473</v>
      </c>
      <c r="KT33" s="17" t="n">
        <f aca="false">Daily_Composite!AI309</f>
        <v>0.111</v>
      </c>
      <c r="KU33" s="17" t="n">
        <f aca="false">Daily_Composite!AI310</f>
        <v>-0.06</v>
      </c>
      <c r="KV33" s="17" t="n">
        <f aca="false">Daily_Composite!AI311</f>
        <v>-0.249</v>
      </c>
      <c r="KW33" s="17" t="n">
        <f aca="false">Daily_Composite!AI312</f>
        <v>0.117</v>
      </c>
      <c r="KX33" s="17" t="n">
        <f aca="false">Daily_Composite!AI313</f>
        <v>-0.066</v>
      </c>
      <c r="KY33" s="17" t="n">
        <f aca="false">Daily_Composite!AI314</f>
        <v>-0.059</v>
      </c>
      <c r="KZ33" s="17" t="n">
        <f aca="false">Daily_Composite!AI315</f>
        <v>-0.284</v>
      </c>
      <c r="LA33" s="17" t="n">
        <f aca="false">Daily_Composite!AI316</f>
        <v>-0.286</v>
      </c>
      <c r="LB33" s="17" t="n">
        <f aca="false">Daily_Composite!AI317</f>
        <v>0.038</v>
      </c>
      <c r="LC33" s="17" t="n">
        <f aca="false">Daily_Composite!AI318</f>
        <v>0.284</v>
      </c>
      <c r="LD33" s="17" t="n">
        <f aca="false">Daily_Composite!AI319</f>
        <v>-0.12</v>
      </c>
      <c r="LE33" s="17" t="n">
        <f aca="false">Daily_Composite!AI320</f>
        <v>-0.098</v>
      </c>
      <c r="LF33" s="17" t="n">
        <f aca="false">Daily_Composite!AI321</f>
        <v>0.153</v>
      </c>
      <c r="LG33" s="17" t="n">
        <f aca="false">Daily_Composite!AI322</f>
        <v>-0.065</v>
      </c>
      <c r="LH33" s="17" t="n">
        <f aca="false">Daily_Composite!AI323</f>
        <v>0.025</v>
      </c>
      <c r="LI33" s="17" t="n">
        <f aca="false">Daily_Composite!AI324</f>
        <v>0.01</v>
      </c>
      <c r="LJ33" s="17" t="n">
        <f aca="false">Daily_Composite!AI325</f>
        <v>-0.043</v>
      </c>
      <c r="LK33" s="17" t="n">
        <f aca="false">Daily_Composite!AI326</f>
        <v>-0.387</v>
      </c>
      <c r="LL33" s="17" t="n">
        <f aca="false">Daily_Composite!AI327</f>
        <v>0.42</v>
      </c>
      <c r="LM33" s="17" t="n">
        <f aca="false">Daily_Composite!AI328</f>
        <v>-0.004</v>
      </c>
      <c r="LN33" s="17" t="n">
        <f aca="false">Daily_Composite!AI329</f>
        <v>-0.015</v>
      </c>
      <c r="LO33" s="17" t="n">
        <f aca="false">Daily_Composite!AI330</f>
        <v>-0.047</v>
      </c>
      <c r="LP33" s="17" t="n">
        <f aca="false">Daily_Composite!AI331</f>
        <v>0.26</v>
      </c>
      <c r="LQ33" s="17" t="n">
        <f aca="false">Daily_Composite!AI332</f>
        <v>0.204</v>
      </c>
      <c r="LR33" s="17" t="n">
        <f aca="false">Daily_Composite!AI333</f>
        <v>0.231</v>
      </c>
      <c r="LS33" s="17" t="n">
        <f aca="false">Daily_Composite!AI334</f>
        <v>0.104</v>
      </c>
      <c r="LT33" s="17" t="n">
        <f aca="false">Daily_Composite!AI335</f>
        <v>-0.213</v>
      </c>
      <c r="LU33" s="17" t="n">
        <f aca="false">Daily_Composite!AI336</f>
        <v>-0.622</v>
      </c>
      <c r="LV33" s="17" t="n">
        <f aca="false">Daily_Composite!AI337</f>
        <v>0.083</v>
      </c>
      <c r="LW33" s="17" t="n">
        <f aca="false">Daily_Composite!AI338</f>
        <v>-0.202</v>
      </c>
      <c r="LX33" s="17" t="n">
        <f aca="false">Daily_Composite!AI339</f>
        <v>-0.22</v>
      </c>
      <c r="LY33" s="17" t="n">
        <f aca="false">Daily_Composite!AI340</f>
        <v>-0.245</v>
      </c>
      <c r="LZ33" s="17" t="n">
        <f aca="false">Daily_Composite!AI341</f>
        <v>-0.234</v>
      </c>
      <c r="MA33" s="17" t="n">
        <f aca="false">Daily_Composite!AI342</f>
        <v>-0.478</v>
      </c>
      <c r="MB33" s="17" t="n">
        <f aca="false">Daily_Composite!AI343</f>
        <v>-0.547</v>
      </c>
      <c r="MC33" s="17" t="n">
        <f aca="false">Daily_Composite!AI344</f>
        <v>-0.604</v>
      </c>
      <c r="MD33" s="17" t="n">
        <f aca="false">Daily_Composite!AI345</f>
        <v>-0.39</v>
      </c>
      <c r="ME33" s="17" t="n">
        <f aca="false">Daily_Composite!AI346</f>
        <v>-0.134</v>
      </c>
      <c r="MF33" s="17" t="n">
        <f aca="false">Daily_Composite!AI347</f>
        <v>-0.17</v>
      </c>
      <c r="MG33" s="17" t="n">
        <f aca="false">Daily_Composite!AI348</f>
        <v>0.046</v>
      </c>
      <c r="MH33" s="17" t="n">
        <f aca="false">Daily_Composite!AI349</f>
        <v>-0.019</v>
      </c>
      <c r="MI33" s="17" t="n">
        <f aca="false">Daily_Composite!AI350</f>
        <v>0.046</v>
      </c>
      <c r="MJ33" s="17" t="n">
        <f aca="false">Daily_Composite!AI351</f>
        <v>0.252</v>
      </c>
      <c r="MK33" s="17" t="n">
        <f aca="false">Daily_Composite!AI352</f>
        <v>0.246</v>
      </c>
      <c r="ML33" s="17" t="n">
        <f aca="false">Daily_Composite!AI353</f>
        <v>0.223</v>
      </c>
      <c r="MM33" s="17" t="n">
        <f aca="false">Daily_Composite!AI354</f>
        <v>-0.114</v>
      </c>
      <c r="MN33" s="17" t="n">
        <f aca="false">Daily_Composite!AI355</f>
        <v>-0.169</v>
      </c>
      <c r="MO33" s="17" t="n">
        <f aca="false">Daily_Composite!AI356</f>
        <v>-0.136</v>
      </c>
      <c r="MP33" s="17" t="n">
        <f aca="false">Daily_Composite!AI357</f>
        <v>0.029</v>
      </c>
      <c r="MQ33" s="17" t="n">
        <f aca="false">Daily_Composite!AI358</f>
        <v>0.513</v>
      </c>
      <c r="MR33" s="17" t="n">
        <f aca="false">Daily_Composite!AI359</f>
        <v>-0.112</v>
      </c>
      <c r="MS33" s="17" t="n">
        <f aca="false">Daily_Composite!AI360</f>
        <v>-0.071</v>
      </c>
      <c r="MT33" s="17" t="n">
        <f aca="false">Daily_Composite!AI361</f>
        <v>0.134</v>
      </c>
      <c r="MU33" s="17" t="n">
        <f aca="false">Daily_Composite!AI362</f>
        <v>0.08</v>
      </c>
      <c r="MV33" s="17" t="n">
        <f aca="false">Daily_Composite!AI363</f>
        <v>-0.048</v>
      </c>
      <c r="MW33" s="17" t="n">
        <f aca="false">Daily_Composite!AI364</f>
        <v>-0.013</v>
      </c>
      <c r="MX33" s="17" t="n">
        <f aca="false">Daily_Composite!AI365</f>
        <v>0.029</v>
      </c>
      <c r="MY33" s="17" t="n">
        <f aca="false">Daily_Composite!AI366</f>
        <v>-0.036</v>
      </c>
      <c r="MZ33" s="17" t="n">
        <f aca="false">Daily_Composite!AI367</f>
        <v>0.506</v>
      </c>
      <c r="NA33" s="17" t="n">
        <f aca="false">Daily_Composite!AI368</f>
        <v>0.018</v>
      </c>
      <c r="NB33" s="17" t="n">
        <f aca="false">Daily_Composite!AI369</f>
        <v>-0.001</v>
      </c>
    </row>
    <row r="34" customFormat="false" ht="15" hidden="false" customHeight="false" outlineLevel="0" collapsed="false">
      <c r="A34" s="6" t="s">
        <v>47</v>
      </c>
      <c r="B34" s="17" t="n">
        <f aca="false">Daily_Composite!AJ5</f>
        <v>-0.162</v>
      </c>
      <c r="C34" s="17" t="n">
        <f aca="false">Daily_Composite!AJ6</f>
        <v>0.327</v>
      </c>
      <c r="D34" s="17" t="n">
        <f aca="false">Daily_Composite!AJ7</f>
        <v>0.159</v>
      </c>
      <c r="E34" s="17" t="n">
        <f aca="false">Daily_Composite!AJ8</f>
        <v>0.029</v>
      </c>
      <c r="F34" s="17" t="n">
        <f aca="false">Daily_Composite!AJ9</f>
        <v>-0.388</v>
      </c>
      <c r="G34" s="17" t="n">
        <f aca="false">Daily_Composite!AJ10</f>
        <v>0</v>
      </c>
      <c r="H34" s="17" t="n">
        <f aca="false">Daily_Composite!AJ11</f>
        <v>0.334</v>
      </c>
      <c r="I34" s="17" t="n">
        <f aca="false">Daily_Composite!AJ12</f>
        <v>0.11</v>
      </c>
      <c r="J34" s="17" t="n">
        <f aca="false">Daily_Composite!AJ13</f>
        <v>0.264</v>
      </c>
      <c r="K34" s="17" t="n">
        <f aca="false">Daily_Composite!AJ14</f>
        <v>0.172</v>
      </c>
      <c r="L34" s="17" t="n">
        <f aca="false">Daily_Composite!AJ15</f>
        <v>0.135</v>
      </c>
      <c r="M34" s="17" t="n">
        <f aca="false">Daily_Composite!AJ16</f>
        <v>0.117</v>
      </c>
      <c r="N34" s="17" t="n">
        <f aca="false">Daily_Composite!AJ17</f>
        <v>-0.084</v>
      </c>
      <c r="O34" s="17" t="n">
        <f aca="false">Daily_Composite!AJ18</f>
        <v>-0.267</v>
      </c>
      <c r="P34" s="17" t="n">
        <f aca="false">Daily_Composite!AJ19</f>
        <v>0.167</v>
      </c>
      <c r="Q34" s="17" t="n">
        <f aca="false">Daily_Composite!AJ20</f>
        <v>0.252</v>
      </c>
      <c r="R34" s="17" t="n">
        <f aca="false">Daily_Composite!AJ21</f>
        <v>0.5</v>
      </c>
      <c r="S34" s="17" t="n">
        <f aca="false">Daily_Composite!AJ22</f>
        <v>0.515</v>
      </c>
      <c r="T34" s="17" t="n">
        <f aca="false">Daily_Composite!AJ23</f>
        <v>0.574</v>
      </c>
      <c r="U34" s="17" t="n">
        <f aca="false">Daily_Composite!AJ24</f>
        <v>0.01</v>
      </c>
      <c r="V34" s="17" t="n">
        <f aca="false">Daily_Composite!AJ25</f>
        <v>0.029</v>
      </c>
      <c r="W34" s="17" t="n">
        <f aca="false">Daily_Composite!AJ26</f>
        <v>-0.025</v>
      </c>
      <c r="X34" s="17" t="n">
        <f aca="false">Daily_Composite!AJ27</f>
        <v>0</v>
      </c>
      <c r="Y34" s="17" t="n">
        <f aca="false">Daily_Composite!AJ28</f>
        <v>0.562</v>
      </c>
      <c r="Z34" s="17" t="n">
        <f aca="false">Daily_Composite!AJ29</f>
        <v>0.105</v>
      </c>
      <c r="AA34" s="17" t="n">
        <f aca="false">Daily_Composite!AJ30</f>
        <v>0.267</v>
      </c>
      <c r="AB34" s="17" t="n">
        <f aca="false">Daily_Composite!AJ31</f>
        <v>0.05</v>
      </c>
      <c r="AC34" s="17" t="n">
        <f aca="false">Daily_Composite!AJ32</f>
        <v>0.193</v>
      </c>
      <c r="AD34" s="17" t="n">
        <f aca="false">Daily_Composite!AJ33</f>
        <v>0.042</v>
      </c>
      <c r="AE34" s="17" t="n">
        <f aca="false">Daily_Composite!AJ34</f>
        <v>0.049</v>
      </c>
      <c r="AF34" s="17" t="n">
        <f aca="false">Daily_Composite!AJ35</f>
        <v>0.156</v>
      </c>
      <c r="AG34" s="17" t="n">
        <f aca="false">Daily_Composite!AJ36</f>
        <v>0.255</v>
      </c>
      <c r="AH34" s="17" t="n">
        <f aca="false">Daily_Composite!AJ37</f>
        <v>0.566</v>
      </c>
      <c r="AI34" s="17" t="n">
        <f aca="false">Daily_Composite!AJ38</f>
        <v>0.536</v>
      </c>
      <c r="AJ34" s="17" t="n">
        <f aca="false">Daily_Composite!AJ39</f>
        <v>0.084</v>
      </c>
      <c r="AK34" s="17" t="n">
        <f aca="false">Daily_Composite!AJ40</f>
        <v>0.554</v>
      </c>
      <c r="AL34" s="17" t="n">
        <f aca="false">Daily_Composite!AJ41</f>
        <v>0.03</v>
      </c>
      <c r="AM34" s="17" t="n">
        <f aca="false">Daily_Composite!AJ42</f>
        <v>0.125</v>
      </c>
      <c r="AN34" s="17" t="n">
        <f aca="false">Daily_Composite!AJ43</f>
        <v>0.122</v>
      </c>
      <c r="AO34" s="17" t="n">
        <f aca="false">Daily_Composite!AJ44</f>
        <v>-0.028</v>
      </c>
      <c r="AP34" s="17" t="n">
        <f aca="false">Daily_Composite!AJ45</f>
        <v>0.033</v>
      </c>
      <c r="AQ34" s="17" t="n">
        <f aca="false">Daily_Composite!AJ46</f>
        <v>0.539</v>
      </c>
      <c r="AR34" s="17" t="n">
        <f aca="false">Daily_Composite!AJ47</f>
        <v>0.032</v>
      </c>
      <c r="AS34" s="17" t="n">
        <f aca="false">Daily_Composite!AJ48</f>
        <v>-0.045</v>
      </c>
      <c r="AT34" s="17" t="n">
        <f aca="false">Daily_Composite!AJ49</f>
        <v>0.453</v>
      </c>
      <c r="AU34" s="17" t="n">
        <f aca="false">Daily_Composite!AJ50</f>
        <v>0.405</v>
      </c>
      <c r="AV34" s="17" t="n">
        <f aca="false">Daily_Composite!AJ51</f>
        <v>0.119</v>
      </c>
      <c r="AW34" s="17" t="n">
        <f aca="false">Daily_Composite!AJ52</f>
        <v>0.053</v>
      </c>
      <c r="AX34" s="17" t="n">
        <f aca="false">Daily_Composite!AJ53</f>
        <v>0.047</v>
      </c>
      <c r="AY34" s="17" t="n">
        <f aca="false">Daily_Composite!AJ54</f>
        <v>0.03</v>
      </c>
      <c r="AZ34" s="17" t="n">
        <f aca="false">Daily_Composite!AJ55</f>
        <v>0.13</v>
      </c>
      <c r="BA34" s="17" t="n">
        <f aca="false">Daily_Composite!AJ56</f>
        <v>0.566</v>
      </c>
      <c r="BB34" s="17" t="n">
        <f aca="false">Daily_Composite!AJ57</f>
        <v>0.197</v>
      </c>
      <c r="BC34" s="17" t="n">
        <f aca="false">Daily_Composite!AJ58</f>
        <v>-0.235</v>
      </c>
      <c r="BD34" s="17" t="n">
        <f aca="false">Daily_Composite!AJ59</f>
        <v>0.149</v>
      </c>
      <c r="BE34" s="17" t="n">
        <f aca="false">Daily_Composite!AJ60</f>
        <v>-0.206</v>
      </c>
      <c r="BF34" s="17" t="n">
        <f aca="false">Daily_Composite!AJ61</f>
        <v>0.393</v>
      </c>
      <c r="BG34" s="17" t="n">
        <f aca="false">Daily_Composite!AJ62</f>
        <v>0.371</v>
      </c>
      <c r="BH34" s="17" t="n">
        <f aca="false">Daily_Composite!AJ63</f>
        <v>0.19</v>
      </c>
      <c r="BI34" s="17" t="n">
        <f aca="false">Daily_Composite!AJ64</f>
        <v>0.442</v>
      </c>
      <c r="BJ34" s="17" t="n">
        <f aca="false">Daily_Composite!AJ65</f>
        <v>0.158</v>
      </c>
      <c r="BK34" s="17" t="n">
        <f aca="false">Daily_Composite!AJ66</f>
        <v>0.404</v>
      </c>
      <c r="BL34" s="17" t="n">
        <f aca="false">Daily_Composite!AJ67</f>
        <v>0.148</v>
      </c>
      <c r="BM34" s="17" t="n">
        <f aca="false">Daily_Composite!AJ68</f>
        <v>0.422</v>
      </c>
      <c r="BN34" s="17" t="n">
        <f aca="false">Daily_Composite!AJ69</f>
        <v>0.266</v>
      </c>
      <c r="BO34" s="17" t="n">
        <f aca="false">Daily_Composite!AJ70</f>
        <v>0.257</v>
      </c>
      <c r="BP34" s="17" t="n">
        <f aca="false">Daily_Composite!AJ71</f>
        <v>0.168</v>
      </c>
      <c r="BQ34" s="17" t="n">
        <f aca="false">Daily_Composite!AJ72</f>
        <v>0.217</v>
      </c>
      <c r="BR34" s="17" t="n">
        <f aca="false">Daily_Composite!AJ73</f>
        <v>0.454</v>
      </c>
      <c r="BS34" s="17" t="n">
        <f aca="false">Daily_Composite!AJ74</f>
        <v>0.09</v>
      </c>
      <c r="BT34" s="17" t="n">
        <f aca="false">Daily_Composite!AJ75</f>
        <v>0.388</v>
      </c>
      <c r="BU34" s="17" t="n">
        <f aca="false">Daily_Composite!AJ76</f>
        <v>0.386</v>
      </c>
      <c r="BV34" s="17" t="n">
        <f aca="false">Daily_Composite!AJ77</f>
        <v>0.267</v>
      </c>
      <c r="BW34" s="17" t="n">
        <f aca="false">Daily_Composite!AJ78</f>
        <v>0.332</v>
      </c>
      <c r="BX34" s="17" t="n">
        <f aca="false">Daily_Composite!AJ79</f>
        <v>0.124</v>
      </c>
      <c r="BY34" s="17" t="n">
        <f aca="false">Daily_Composite!AJ80</f>
        <v>0.093</v>
      </c>
      <c r="BZ34" s="17" t="n">
        <f aca="false">Daily_Composite!AJ81</f>
        <v>0.13</v>
      </c>
      <c r="CA34" s="17" t="n">
        <f aca="false">Daily_Composite!AJ82</f>
        <v>0.113</v>
      </c>
      <c r="CB34" s="17" t="n">
        <f aca="false">Daily_Composite!AJ83</f>
        <v>0.53</v>
      </c>
      <c r="CC34" s="17" t="n">
        <f aca="false">Daily_Composite!AJ84</f>
        <v>0.126</v>
      </c>
      <c r="CD34" s="17" t="n">
        <f aca="false">Daily_Composite!AJ85</f>
        <v>0.501</v>
      </c>
      <c r="CE34" s="17" t="n">
        <f aca="false">Daily_Composite!AJ86</f>
        <v>0.072</v>
      </c>
      <c r="CF34" s="17" t="n">
        <f aca="false">Daily_Composite!AJ87</f>
        <v>0.485</v>
      </c>
      <c r="CG34" s="17" t="n">
        <f aca="false">Daily_Composite!AJ88</f>
        <v>-0.057</v>
      </c>
      <c r="CH34" s="17" t="n">
        <f aca="false">Daily_Composite!AJ89</f>
        <v>0.047</v>
      </c>
      <c r="CI34" s="17" t="n">
        <f aca="false">Daily_Composite!AJ90</f>
        <v>0.296</v>
      </c>
      <c r="CJ34" s="17" t="n">
        <f aca="false">Daily_Composite!AJ91</f>
        <v>0.342</v>
      </c>
      <c r="CK34" s="17" t="n">
        <f aca="false">Daily_Composite!AJ92</f>
        <v>0.041</v>
      </c>
      <c r="CL34" s="17" t="n">
        <f aca="false">Daily_Composite!AJ93</f>
        <v>-0.043</v>
      </c>
      <c r="CM34" s="17" t="n">
        <f aca="false">Daily_Composite!AJ94</f>
        <v>0.143</v>
      </c>
      <c r="CN34" s="17" t="n">
        <f aca="false">Daily_Composite!AJ95</f>
        <v>-0.077</v>
      </c>
      <c r="CO34" s="17" t="n">
        <f aca="false">Daily_Composite!AJ96</f>
        <v>-0.212</v>
      </c>
      <c r="CP34" s="17" t="n">
        <f aca="false">Daily_Composite!AJ97</f>
        <v>-0.242</v>
      </c>
      <c r="CQ34" s="17" t="n">
        <f aca="false">Daily_Composite!AJ98</f>
        <v>-0.372</v>
      </c>
      <c r="CR34" s="17" t="n">
        <f aca="false">Daily_Composite!AJ99</f>
        <v>-0.296</v>
      </c>
      <c r="CS34" s="17" t="n">
        <f aca="false">Daily_Composite!AJ100</f>
        <v>-0.378</v>
      </c>
      <c r="CT34" s="17" t="n">
        <f aca="false">Daily_Composite!AJ101</f>
        <v>-0.102</v>
      </c>
      <c r="CU34" s="17" t="n">
        <f aca="false">Daily_Composite!AJ102</f>
        <v>-0.404</v>
      </c>
      <c r="CV34" s="17" t="n">
        <f aca="false">Daily_Composite!AJ103</f>
        <v>-0.254</v>
      </c>
      <c r="CW34" s="17" t="n">
        <f aca="false">Daily_Composite!AJ104</f>
        <v>-0.353</v>
      </c>
      <c r="CX34" s="17" t="n">
        <f aca="false">Daily_Composite!AJ105</f>
        <v>-0.46</v>
      </c>
      <c r="CY34" s="17" t="n">
        <f aca="false">Daily_Composite!AJ106</f>
        <v>-0.051</v>
      </c>
      <c r="CZ34" s="17" t="n">
        <f aca="false">Daily_Composite!AJ107</f>
        <v>-0.094</v>
      </c>
      <c r="DA34" s="17" t="n">
        <f aca="false">Daily_Composite!AJ108</f>
        <v>-0.268</v>
      </c>
      <c r="DB34" s="17" t="n">
        <f aca="false">Daily_Composite!AJ109</f>
        <v>-0.201</v>
      </c>
      <c r="DC34" s="17" t="n">
        <f aca="false">Daily_Composite!AJ110</f>
        <v>-0.236</v>
      </c>
      <c r="DD34" s="17" t="n">
        <f aca="false">Daily_Composite!AJ111</f>
        <v>-0.193</v>
      </c>
      <c r="DE34" s="17" t="n">
        <f aca="false">Daily_Composite!AJ112</f>
        <v>-0.434</v>
      </c>
      <c r="DF34" s="17" t="n">
        <f aca="false">Daily_Composite!AJ113</f>
        <v>-0.16</v>
      </c>
      <c r="DG34" s="17" t="n">
        <f aca="false">Daily_Composite!AJ114</f>
        <v>-0.186</v>
      </c>
      <c r="DH34" s="17" t="n">
        <f aca="false">Daily_Composite!AJ115</f>
        <v>-0.22</v>
      </c>
      <c r="DI34" s="17" t="n">
        <f aca="false">Daily_Composite!AJ116</f>
        <v>-0.206</v>
      </c>
      <c r="DJ34" s="17" t="n">
        <f aca="false">Daily_Composite!AJ117</f>
        <v>-0.351</v>
      </c>
      <c r="DK34" s="17" t="n">
        <f aca="false">Daily_Composite!AJ118</f>
        <v>-0.373</v>
      </c>
      <c r="DL34" s="17" t="n">
        <f aca="false">Daily_Composite!AJ119</f>
        <v>-0.458</v>
      </c>
      <c r="DM34" s="17" t="n">
        <f aca="false">Daily_Composite!AJ120</f>
        <v>-0.028</v>
      </c>
      <c r="DN34" s="17" t="n">
        <f aca="false">Daily_Composite!AJ121</f>
        <v>-0.341</v>
      </c>
      <c r="DO34" s="17" t="n">
        <f aca="false">Daily_Composite!AJ122</f>
        <v>-0.118</v>
      </c>
      <c r="DP34" s="17" t="n">
        <f aca="false">Daily_Composite!AJ123</f>
        <v>-0.119</v>
      </c>
      <c r="DQ34" s="17" t="n">
        <f aca="false">Daily_Composite!AJ124</f>
        <v>-0.241</v>
      </c>
      <c r="DR34" s="17" t="n">
        <f aca="false">Daily_Composite!AJ125</f>
        <v>-0.225</v>
      </c>
      <c r="DS34" s="17" t="n">
        <f aca="false">Daily_Composite!AJ126</f>
        <v>-0.2</v>
      </c>
      <c r="DT34" s="17" t="n">
        <f aca="false">Daily_Composite!AJ127</f>
        <v>-0.374</v>
      </c>
      <c r="DU34" s="17" t="n">
        <f aca="false">Daily_Composite!AJ128</f>
        <v>-0.036</v>
      </c>
      <c r="DV34" s="17" t="n">
        <f aca="false">Daily_Composite!AJ129</f>
        <v>-0.075</v>
      </c>
      <c r="DW34" s="17" t="n">
        <f aca="false">Daily_Composite!AJ130</f>
        <v>0.487</v>
      </c>
      <c r="DX34" s="17" t="n">
        <f aca="false">Daily_Composite!AJ131</f>
        <v>-0.006</v>
      </c>
      <c r="DY34" s="17" t="n">
        <f aca="false">Daily_Composite!AJ132</f>
        <v>0.218</v>
      </c>
      <c r="DZ34" s="17" t="n">
        <f aca="false">Daily_Composite!AJ133</f>
        <v>0.047</v>
      </c>
      <c r="EA34" s="17" t="n">
        <f aca="false">Daily_Composite!AJ134</f>
        <v>0.037</v>
      </c>
      <c r="EB34" s="17" t="n">
        <f aca="false">Daily_Composite!AJ135</f>
        <v>0.04</v>
      </c>
      <c r="EC34" s="17" t="n">
        <f aca="false">Daily_Composite!AJ136</f>
        <v>0.067</v>
      </c>
      <c r="ED34" s="17" t="n">
        <f aca="false">Daily_Composite!AJ137</f>
        <v>-0.291</v>
      </c>
      <c r="EE34" s="17" t="n">
        <f aca="false">Daily_Composite!AJ138</f>
        <v>0.183</v>
      </c>
      <c r="EF34" s="17" t="n">
        <f aca="false">Daily_Composite!AJ139</f>
        <v>0.237</v>
      </c>
      <c r="EG34" s="17" t="n">
        <f aca="false">Daily_Composite!AJ140</f>
        <v>-0.061</v>
      </c>
      <c r="EH34" s="17" t="n">
        <f aca="false">Daily_Composite!AJ141</f>
        <v>-0.173</v>
      </c>
      <c r="EI34" s="17" t="n">
        <f aca="false">Daily_Composite!AJ142</f>
        <v>-0.095</v>
      </c>
      <c r="EJ34" s="17" t="n">
        <f aca="false">Daily_Composite!AJ143</f>
        <v>-0.219</v>
      </c>
      <c r="EK34" s="17" t="n">
        <f aca="false">Daily_Composite!AJ144</f>
        <v>-0.39</v>
      </c>
      <c r="EL34" s="17" t="n">
        <f aca="false">Daily_Composite!AJ145</f>
        <v>-0.265</v>
      </c>
      <c r="EM34" s="17" t="n">
        <f aca="false">Daily_Composite!AJ146</f>
        <v>-0.415</v>
      </c>
      <c r="EN34" s="17" t="n">
        <f aca="false">Daily_Composite!AJ147</f>
        <v>-0.044</v>
      </c>
      <c r="EO34" s="17" t="n">
        <f aca="false">Daily_Composite!AJ148</f>
        <v>-0.332</v>
      </c>
      <c r="EP34" s="17" t="n">
        <f aca="false">Daily_Composite!AJ149</f>
        <v>-0.029</v>
      </c>
      <c r="EQ34" s="17" t="n">
        <f aca="false">Daily_Composite!AJ150</f>
        <v>-0.207</v>
      </c>
      <c r="ER34" s="17" t="n">
        <f aca="false">Daily_Composite!AJ151</f>
        <v>-0.071</v>
      </c>
      <c r="ES34" s="17" t="n">
        <f aca="false">Daily_Composite!AJ152</f>
        <v>-0.063</v>
      </c>
      <c r="ET34" s="17" t="n">
        <f aca="false">Daily_Composite!AJ153</f>
        <v>-0.11</v>
      </c>
      <c r="EU34" s="17" t="n">
        <f aca="false">Daily_Composite!AJ154</f>
        <v>-0.115</v>
      </c>
      <c r="EV34" s="17" t="n">
        <f aca="false">Daily_Composite!AJ155</f>
        <v>0.106</v>
      </c>
      <c r="EW34" s="17" t="n">
        <f aca="false">Daily_Composite!AJ156</f>
        <v>0.156</v>
      </c>
      <c r="EX34" s="17" t="n">
        <f aca="false">Daily_Composite!AJ157</f>
        <v>0.408</v>
      </c>
      <c r="EY34" s="17" t="n">
        <f aca="false">Daily_Composite!AJ158</f>
        <v>0.03</v>
      </c>
      <c r="EZ34" s="17" t="n">
        <f aca="false">Daily_Composite!AJ159</f>
        <v>0.211</v>
      </c>
      <c r="FA34" s="17" t="n">
        <f aca="false">Daily_Composite!AJ160</f>
        <v>-0.07</v>
      </c>
      <c r="FB34" s="17" t="n">
        <f aca="false">Daily_Composite!AJ161</f>
        <v>-0.027</v>
      </c>
      <c r="FC34" s="17" t="n">
        <f aca="false">Daily_Composite!AJ162</f>
        <v>-0.038</v>
      </c>
      <c r="FD34" s="17" t="n">
        <f aca="false">Daily_Composite!AJ163</f>
        <v>-0.062</v>
      </c>
      <c r="FE34" s="17" t="n">
        <f aca="false">Daily_Composite!AJ164</f>
        <v>-0.049</v>
      </c>
      <c r="FF34" s="17" t="n">
        <f aca="false">Daily_Composite!AJ165</f>
        <v>0.486</v>
      </c>
      <c r="FG34" s="17" t="n">
        <f aca="false">Daily_Composite!AJ166</f>
        <v>0.082</v>
      </c>
      <c r="FH34" s="17" t="n">
        <f aca="false">Daily_Composite!AJ167</f>
        <v>0.128</v>
      </c>
      <c r="FI34" s="17" t="n">
        <f aca="false">Daily_Composite!AJ168</f>
        <v>-0.068</v>
      </c>
      <c r="FJ34" s="17" t="n">
        <f aca="false">Daily_Composite!AJ169</f>
        <v>0.036</v>
      </c>
      <c r="FK34" s="17" t="n">
        <f aca="false">Daily_Composite!AJ170</f>
        <v>0.054</v>
      </c>
      <c r="FL34" s="17" t="n">
        <f aca="false">Daily_Composite!AJ171</f>
        <v>0.02</v>
      </c>
      <c r="FM34" s="17" t="n">
        <f aca="false">Daily_Composite!AJ172</f>
        <v>0.011</v>
      </c>
      <c r="FN34" s="17" t="n">
        <f aca="false">Daily_Composite!AJ173</f>
        <v>0.003</v>
      </c>
      <c r="FO34" s="17" t="n">
        <f aca="false">Daily_Composite!AJ174</f>
        <v>-0.203</v>
      </c>
      <c r="FP34" s="17" t="n">
        <f aca="false">Daily_Composite!AJ175</f>
        <v>-0.143</v>
      </c>
      <c r="FQ34" s="17" t="n">
        <f aca="false">Daily_Composite!AJ176</f>
        <v>-0.174</v>
      </c>
      <c r="FR34" s="17" t="n">
        <f aca="false">Daily_Composite!AJ177</f>
        <v>0.361</v>
      </c>
      <c r="FS34" s="17" t="n">
        <f aca="false">Daily_Composite!AJ178</f>
        <v>-0.234</v>
      </c>
      <c r="FT34" s="17" t="n">
        <f aca="false">Daily_Composite!AJ179</f>
        <v>-0.189</v>
      </c>
      <c r="FU34" s="17" t="n">
        <f aca="false">Daily_Composite!AJ180</f>
        <v>-0.25</v>
      </c>
      <c r="FV34" s="17" t="n">
        <f aca="false">Daily_Composite!AJ181</f>
        <v>-0.207</v>
      </c>
      <c r="FW34" s="17" t="n">
        <f aca="false">Daily_Composite!AJ182</f>
        <v>-0.389</v>
      </c>
      <c r="FX34" s="17" t="n">
        <f aca="false">Daily_Composite!AJ183</f>
        <v>-0.249</v>
      </c>
      <c r="FY34" s="17" t="n">
        <f aca="false">Daily_Composite!AJ184</f>
        <v>-0.334</v>
      </c>
      <c r="FZ34" s="17" t="n">
        <f aca="false">Daily_Composite!AJ185</f>
        <v>0.076</v>
      </c>
      <c r="GA34" s="17" t="n">
        <f aca="false">Daily_Composite!AJ186</f>
        <v>0.155</v>
      </c>
      <c r="GB34" s="17" t="n">
        <f aca="false">Daily_Composite!AJ187</f>
        <v>0.059</v>
      </c>
      <c r="GC34" s="17" t="n">
        <f aca="false">Daily_Composite!AJ188</f>
        <v>-0.259</v>
      </c>
      <c r="GD34" s="17" t="n">
        <f aca="false">Daily_Composite!AJ189</f>
        <v>-0.046</v>
      </c>
      <c r="GE34" s="17" t="n">
        <f aca="false">Daily_Composite!AJ190</f>
        <v>-0.076</v>
      </c>
      <c r="GF34" s="17" t="n">
        <f aca="false">Daily_Composite!AJ191</f>
        <v>-0.133</v>
      </c>
      <c r="GG34" s="17" t="n">
        <f aca="false">Daily_Composite!AJ192</f>
        <v>-0.506</v>
      </c>
      <c r="GH34" s="17" t="n">
        <f aca="false">Daily_Composite!AJ193</f>
        <v>-0.163</v>
      </c>
      <c r="GI34" s="17" t="n">
        <f aca="false">Daily_Composite!AJ194</f>
        <v>-0.117</v>
      </c>
      <c r="GJ34" s="17" t="n">
        <f aca="false">Daily_Composite!AJ195</f>
        <v>-0.047</v>
      </c>
      <c r="GK34" s="17" t="n">
        <f aca="false">Daily_Composite!AJ196</f>
        <v>0.328</v>
      </c>
      <c r="GL34" s="17" t="n">
        <f aca="false">Daily_Composite!AJ197</f>
        <v>-0.19</v>
      </c>
      <c r="GM34" s="17" t="n">
        <f aca="false">Daily_Composite!AJ198</f>
        <v>-0.137</v>
      </c>
      <c r="GN34" s="17" t="n">
        <f aca="false">Daily_Composite!AJ199</f>
        <v>0.177</v>
      </c>
      <c r="GO34" s="17" t="n">
        <f aca="false">Daily_Composite!AJ200</f>
        <v>-0.01</v>
      </c>
      <c r="GP34" s="17" t="n">
        <f aca="false">Daily_Composite!AJ201</f>
        <v>-0.277</v>
      </c>
      <c r="GQ34" s="17" t="n">
        <f aca="false">Daily_Composite!AJ202</f>
        <v>0.008</v>
      </c>
      <c r="GR34" s="17" t="n">
        <f aca="false">Daily_Composite!AJ203</f>
        <v>0.412</v>
      </c>
      <c r="GS34" s="17" t="n">
        <f aca="false">Daily_Composite!AJ204</f>
        <v>-0.049</v>
      </c>
      <c r="GT34" s="17" t="n">
        <f aca="false">Daily_Composite!AJ205</f>
        <v>-0.015</v>
      </c>
      <c r="GU34" s="17" t="n">
        <f aca="false">Daily_Composite!AJ206</f>
        <v>-0.156</v>
      </c>
      <c r="GV34" s="17" t="n">
        <f aca="false">Daily_Composite!AJ207</f>
        <v>-0.082</v>
      </c>
      <c r="GW34" s="17" t="n">
        <f aca="false">Daily_Composite!AJ208</f>
        <v>-0.069</v>
      </c>
      <c r="GX34" s="17" t="n">
        <f aca="false">Daily_Composite!AJ209</f>
        <v>-0.446</v>
      </c>
      <c r="GY34" s="17" t="n">
        <f aca="false">Daily_Composite!AJ210</f>
        <v>-0.407</v>
      </c>
      <c r="GZ34" s="17" t="n">
        <f aca="false">Daily_Composite!AJ211</f>
        <v>-0.17</v>
      </c>
      <c r="HA34" s="17" t="n">
        <f aca="false">Daily_Composite!AJ212</f>
        <v>0.122</v>
      </c>
      <c r="HB34" s="17" t="n">
        <f aca="false">Daily_Composite!AJ213</f>
        <v>-0.323</v>
      </c>
      <c r="HC34" s="17" t="n">
        <f aca="false">Daily_Composite!AJ214</f>
        <v>-0.614</v>
      </c>
      <c r="HD34" s="17" t="n">
        <f aca="false">Daily_Composite!AJ215</f>
        <v>-0.071</v>
      </c>
      <c r="HE34" s="17" t="n">
        <f aca="false">Daily_Composite!AJ216</f>
        <v>-0.065</v>
      </c>
      <c r="HF34" s="17" t="n">
        <f aca="false">Daily_Composite!AJ217</f>
        <v>-0.08</v>
      </c>
      <c r="HG34" s="17" t="n">
        <f aca="false">Daily_Composite!AJ218</f>
        <v>-0.177</v>
      </c>
      <c r="HH34" s="17" t="n">
        <f aca="false">Daily_Composite!AJ219</f>
        <v>-0.502</v>
      </c>
      <c r="HI34" s="17" t="n">
        <f aca="false">Daily_Composite!AJ220</f>
        <v>-0.067</v>
      </c>
      <c r="HJ34" s="17" t="n">
        <f aca="false">Daily_Composite!AJ221</f>
        <v>-0.047</v>
      </c>
      <c r="HK34" s="17" t="n">
        <f aca="false">Daily_Composite!AJ222</f>
        <v>-0.175</v>
      </c>
      <c r="HL34" s="17" t="n">
        <f aca="false">Daily_Composite!AJ223</f>
        <v>-0.544</v>
      </c>
      <c r="HM34" s="17" t="n">
        <f aca="false">Daily_Composite!AJ224</f>
        <v>-0.214</v>
      </c>
      <c r="HN34" s="17" t="n">
        <f aca="false">Daily_Composite!AJ225</f>
        <v>-0.558</v>
      </c>
      <c r="HO34" s="17" t="n">
        <f aca="false">Daily_Composite!AJ226</f>
        <v>-0.547</v>
      </c>
      <c r="HP34" s="17" t="n">
        <f aca="false">Daily_Composite!AJ227</f>
        <v>-0.429</v>
      </c>
      <c r="HQ34" s="17" t="n">
        <f aca="false">Daily_Composite!AJ228</f>
        <v>-0.61</v>
      </c>
      <c r="HR34" s="17" t="n">
        <f aca="false">Daily_Composite!AJ229</f>
        <v>-0.213</v>
      </c>
      <c r="HS34" s="17" t="n">
        <f aca="false">Daily_Composite!AJ230</f>
        <v>0.149</v>
      </c>
      <c r="HT34" s="17" t="n">
        <f aca="false">Daily_Composite!AJ231</f>
        <v>-0.206</v>
      </c>
      <c r="HU34" s="17" t="n">
        <f aca="false">Daily_Composite!AJ232</f>
        <v>-0.407</v>
      </c>
      <c r="HV34" s="17" t="n">
        <f aca="false">Daily_Composite!AJ233</f>
        <v>-0.269</v>
      </c>
      <c r="HW34" s="17" t="n">
        <f aca="false">Daily_Composite!AJ234</f>
        <v>-0.312</v>
      </c>
      <c r="HX34" s="17" t="n">
        <f aca="false">Daily_Composite!AJ235</f>
        <v>-0.319</v>
      </c>
      <c r="HY34" s="17" t="n">
        <f aca="false">Daily_Composite!AJ236</f>
        <v>-0.158</v>
      </c>
      <c r="HZ34" s="17" t="n">
        <f aca="false">Daily_Composite!AJ237</f>
        <v>-0.157</v>
      </c>
      <c r="IA34" s="17" t="n">
        <f aca="false">Daily_Composite!AJ238</f>
        <v>0.039</v>
      </c>
      <c r="IB34" s="17" t="n">
        <f aca="false">Daily_Composite!AJ239</f>
        <v>0.459</v>
      </c>
      <c r="IC34" s="17" t="n">
        <f aca="false">Daily_Composite!AJ240</f>
        <v>0.265</v>
      </c>
      <c r="ID34" s="17" t="n">
        <f aca="false">Daily_Composite!AJ241</f>
        <v>0.356</v>
      </c>
      <c r="IE34" s="17" t="n">
        <f aca="false">Daily_Composite!AJ242</f>
        <v>0.135</v>
      </c>
      <c r="IF34" s="17" t="n">
        <f aca="false">Daily_Composite!AJ243</f>
        <v>0.101</v>
      </c>
      <c r="IG34" s="17" t="n">
        <f aca="false">Daily_Composite!AJ244</f>
        <v>0.105</v>
      </c>
      <c r="IH34" s="17" t="n">
        <f aca="false">Daily_Composite!AJ245</f>
        <v>0.089</v>
      </c>
      <c r="II34" s="17" t="n">
        <f aca="false">Daily_Composite!AJ246</f>
        <v>0.134</v>
      </c>
      <c r="IJ34" s="17" t="n">
        <f aca="false">Daily_Composite!AJ247</f>
        <v>0.628</v>
      </c>
      <c r="IK34" s="17" t="n">
        <f aca="false">Daily_Composite!AJ248</f>
        <v>0.528</v>
      </c>
      <c r="IL34" s="17" t="n">
        <f aca="false">Daily_Composite!AJ249</f>
        <v>0.635</v>
      </c>
      <c r="IM34" s="17" t="n">
        <f aca="false">Daily_Composite!AJ250</f>
        <v>0.248</v>
      </c>
      <c r="IN34" s="17" t="n">
        <f aca="false">Daily_Composite!AJ251</f>
        <v>0.631</v>
      </c>
      <c r="IO34" s="17" t="n">
        <f aca="false">Daily_Composite!AJ252</f>
        <v>0.465</v>
      </c>
      <c r="IP34" s="17" t="n">
        <f aca="false">Daily_Composite!AJ253</f>
        <v>0.502</v>
      </c>
      <c r="IQ34" s="17" t="n">
        <f aca="false">Daily_Composite!AJ254</f>
        <v>0.314</v>
      </c>
      <c r="IR34" s="17" t="n">
        <f aca="false">Daily_Composite!AJ255</f>
        <v>0.505</v>
      </c>
      <c r="IS34" s="17" t="n">
        <f aca="false">Daily_Composite!AJ256</f>
        <v>0.233</v>
      </c>
      <c r="IT34" s="17" t="n">
        <f aca="false">Daily_Composite!AJ257</f>
        <v>0.592</v>
      </c>
      <c r="IU34" s="17" t="n">
        <f aca="false">Daily_Composite!AJ258</f>
        <v>0.279</v>
      </c>
      <c r="IV34" s="17" t="n">
        <f aca="false">Daily_Composite!AJ259</f>
        <v>0.59</v>
      </c>
      <c r="IW34" s="17" t="n">
        <f aca="false">Daily_Composite!AJ260</f>
        <v>0.35</v>
      </c>
      <c r="IX34" s="17" t="n">
        <f aca="false">Daily_Composite!AJ261</f>
        <v>0.339</v>
      </c>
      <c r="IY34" s="17" t="n">
        <f aca="false">Daily_Composite!AJ262</f>
        <v>0.374</v>
      </c>
      <c r="IZ34" s="17" t="n">
        <f aca="false">Daily_Composite!AJ263</f>
        <v>0.231</v>
      </c>
      <c r="JA34" s="17" t="n">
        <f aca="false">Daily_Composite!AJ264</f>
        <v>0.264</v>
      </c>
      <c r="JB34" s="17" t="n">
        <f aca="false">Daily_Composite!AJ265</f>
        <v>0.252</v>
      </c>
      <c r="JC34" s="17" t="n">
        <f aca="false">Daily_Composite!AJ266</f>
        <v>0.593</v>
      </c>
      <c r="JD34" s="17" t="n">
        <f aca="false">Daily_Composite!AJ267</f>
        <v>0.374</v>
      </c>
      <c r="JE34" s="17" t="n">
        <f aca="false">Daily_Composite!AJ268</f>
        <v>0.491</v>
      </c>
      <c r="JF34" s="17" t="n">
        <f aca="false">Daily_Composite!AJ269</f>
        <v>0.244</v>
      </c>
      <c r="JG34" s="17" t="n">
        <f aca="false">Daily_Composite!AJ270</f>
        <v>0.15</v>
      </c>
      <c r="JH34" s="17" t="n">
        <f aca="false">Daily_Composite!AJ271</f>
        <v>0.062</v>
      </c>
      <c r="JI34" s="17" t="n">
        <f aca="false">Daily_Composite!AJ272</f>
        <v>0.129</v>
      </c>
      <c r="JJ34" s="17" t="n">
        <f aca="false">Daily_Composite!AJ273</f>
        <v>0.072</v>
      </c>
      <c r="JK34" s="17" t="n">
        <f aca="false">Daily_Composite!AJ274</f>
        <v>0.25</v>
      </c>
      <c r="JL34" s="17" t="n">
        <f aca="false">Daily_Composite!AJ275</f>
        <v>0.065</v>
      </c>
      <c r="JM34" s="17" t="n">
        <f aca="false">Daily_Composite!AJ276</f>
        <v>0.361</v>
      </c>
      <c r="JN34" s="17" t="n">
        <f aca="false">Daily_Composite!AJ277</f>
        <v>-0.051</v>
      </c>
      <c r="JO34" s="17" t="n">
        <f aca="false">Daily_Composite!AJ278</f>
        <v>-0.405</v>
      </c>
      <c r="JP34" s="17" t="n">
        <f aca="false">Daily_Composite!AJ279</f>
        <v>-0.056</v>
      </c>
      <c r="JQ34" s="17" t="n">
        <f aca="false">Daily_Composite!AJ280</f>
        <v>-0.205</v>
      </c>
      <c r="JR34" s="17" t="n">
        <f aca="false">Daily_Composite!AJ281</f>
        <v>0.001</v>
      </c>
      <c r="JS34" s="17" t="n">
        <f aca="false">Daily_Composite!AJ282</f>
        <v>0.332</v>
      </c>
      <c r="JT34" s="17" t="n">
        <f aca="false">Daily_Composite!AJ283</f>
        <v>0.326</v>
      </c>
      <c r="JU34" s="17" t="n">
        <f aca="false">Daily_Composite!AJ284</f>
        <v>0.057</v>
      </c>
      <c r="JV34" s="17" t="n">
        <f aca="false">Daily_Composite!AJ285</f>
        <v>0.531</v>
      </c>
      <c r="JW34" s="17" t="n">
        <f aca="false">Daily_Composite!AJ286</f>
        <v>0.539</v>
      </c>
      <c r="JX34" s="17" t="n">
        <f aca="false">Daily_Composite!AJ287</f>
        <v>0.225</v>
      </c>
      <c r="JY34" s="17" t="n">
        <f aca="false">Daily_Composite!AJ288</f>
        <v>0.378</v>
      </c>
      <c r="JZ34" s="17" t="n">
        <f aca="false">Daily_Composite!AJ289</f>
        <v>0.304</v>
      </c>
      <c r="KA34" s="17" t="n">
        <f aca="false">Daily_Composite!AJ290</f>
        <v>0.346</v>
      </c>
      <c r="KB34" s="17" t="n">
        <f aca="false">Daily_Composite!AJ291</f>
        <v>0.373</v>
      </c>
      <c r="KC34" s="17" t="n">
        <f aca="false">Daily_Composite!AJ292</f>
        <v>-0.019</v>
      </c>
      <c r="KD34" s="17" t="n">
        <f aca="false">Daily_Composite!AJ293</f>
        <v>0.515</v>
      </c>
      <c r="KE34" s="17" t="n">
        <f aca="false">Daily_Composite!AJ294</f>
        <v>0.258</v>
      </c>
      <c r="KF34" s="17" t="n">
        <f aca="false">Daily_Composite!AJ295</f>
        <v>0.383</v>
      </c>
      <c r="KG34" s="17" t="n">
        <f aca="false">Daily_Composite!AJ296</f>
        <v>-0.128</v>
      </c>
      <c r="KH34" s="17" t="n">
        <f aca="false">Daily_Composite!AJ297</f>
        <v>-0.224</v>
      </c>
      <c r="KI34" s="17" t="n">
        <f aca="false">Daily_Composite!AJ298</f>
        <v>-0.08</v>
      </c>
      <c r="KJ34" s="17" t="n">
        <f aca="false">Daily_Composite!AJ299</f>
        <v>-0.166</v>
      </c>
      <c r="KK34" s="17" t="n">
        <f aca="false">Daily_Composite!AJ300</f>
        <v>-0.186</v>
      </c>
      <c r="KL34" s="17" t="n">
        <f aca="false">Daily_Composite!AJ301</f>
        <v>-0.06</v>
      </c>
      <c r="KM34" s="17" t="n">
        <f aca="false">Daily_Composite!AJ302</f>
        <v>-0.127</v>
      </c>
      <c r="KN34" s="17" t="n">
        <f aca="false">Daily_Composite!AJ303</f>
        <v>0.356</v>
      </c>
      <c r="KO34" s="17" t="n">
        <f aca="false">Daily_Composite!AJ304</f>
        <v>-0.297</v>
      </c>
      <c r="KP34" s="17" t="n">
        <f aca="false">Daily_Composite!AJ305</f>
        <v>-0.165</v>
      </c>
      <c r="KQ34" s="17" t="n">
        <f aca="false">Daily_Composite!AJ306</f>
        <v>0.113</v>
      </c>
      <c r="KR34" s="17" t="n">
        <f aca="false">Daily_Composite!AJ307</f>
        <v>-0.265</v>
      </c>
      <c r="KS34" s="17" t="n">
        <f aca="false">Daily_Composite!AJ308</f>
        <v>-0.27</v>
      </c>
      <c r="KT34" s="17" t="n">
        <f aca="false">Daily_Composite!AJ309</f>
        <v>-0.168</v>
      </c>
      <c r="KU34" s="17" t="n">
        <f aca="false">Daily_Composite!AJ310</f>
        <v>-0.426</v>
      </c>
      <c r="KV34" s="17" t="n">
        <f aca="false">Daily_Composite!AJ311</f>
        <v>-0.133</v>
      </c>
      <c r="KW34" s="17" t="n">
        <f aca="false">Daily_Composite!AJ312</f>
        <v>0.258</v>
      </c>
      <c r="KX34" s="17" t="n">
        <f aca="false">Daily_Composite!AJ313</f>
        <v>0.014</v>
      </c>
      <c r="KY34" s="17" t="n">
        <f aca="false">Daily_Composite!AJ314</f>
        <v>-0.444</v>
      </c>
      <c r="KZ34" s="17" t="n">
        <f aca="false">Daily_Composite!AJ315</f>
        <v>-0.138</v>
      </c>
      <c r="LA34" s="17" t="n">
        <f aca="false">Daily_Composite!AJ316</f>
        <v>-0.104</v>
      </c>
      <c r="LB34" s="17" t="n">
        <f aca="false">Daily_Composite!AJ317</f>
        <v>-0.199</v>
      </c>
      <c r="LC34" s="17" t="n">
        <f aca="false">Daily_Composite!AJ318</f>
        <v>-0.167</v>
      </c>
      <c r="LD34" s="17" t="n">
        <f aca="false">Daily_Composite!AJ319</f>
        <v>0.055</v>
      </c>
      <c r="LE34" s="17" t="n">
        <f aca="false">Daily_Composite!AJ320</f>
        <v>0.106</v>
      </c>
      <c r="LF34" s="17" t="n">
        <f aca="false">Daily_Composite!AJ321</f>
        <v>0.192</v>
      </c>
      <c r="LG34" s="17" t="n">
        <f aca="false">Daily_Composite!AJ322</f>
        <v>0.156</v>
      </c>
      <c r="LH34" s="17" t="n">
        <f aca="false">Daily_Composite!AJ323</f>
        <v>0.64</v>
      </c>
      <c r="LI34" s="17" t="n">
        <f aca="false">Daily_Composite!AJ324</f>
        <v>0.04</v>
      </c>
      <c r="LJ34" s="17" t="n">
        <f aca="false">Daily_Composite!AJ325</f>
        <v>0.04</v>
      </c>
      <c r="LK34" s="17" t="n">
        <f aca="false">Daily_Composite!AJ326</f>
        <v>0.022</v>
      </c>
      <c r="LL34" s="17" t="n">
        <f aca="false">Daily_Composite!AJ327</f>
        <v>0.11</v>
      </c>
      <c r="LM34" s="17" t="n">
        <f aca="false">Daily_Composite!AJ328</f>
        <v>0.604</v>
      </c>
      <c r="LN34" s="17" t="n">
        <f aca="false">Daily_Composite!AJ329</f>
        <v>0.238</v>
      </c>
      <c r="LO34" s="17" t="n">
        <f aca="false">Daily_Composite!AJ330</f>
        <v>-0.133</v>
      </c>
      <c r="LP34" s="17" t="n">
        <f aca="false">Daily_Composite!AJ331</f>
        <v>0.026</v>
      </c>
      <c r="LQ34" s="17" t="n">
        <f aca="false">Daily_Composite!AJ332</f>
        <v>-0.17</v>
      </c>
      <c r="LR34" s="17" t="n">
        <f aca="false">Daily_Composite!AJ333</f>
        <v>0.173</v>
      </c>
      <c r="LS34" s="17" t="n">
        <f aca="false">Daily_Composite!AJ334</f>
        <v>-0.255</v>
      </c>
      <c r="LT34" s="17" t="n">
        <f aca="false">Daily_Composite!AJ335</f>
        <v>-0.496</v>
      </c>
      <c r="LU34" s="17" t="n">
        <f aca="false">Daily_Composite!AJ336</f>
        <v>-0.422</v>
      </c>
      <c r="LV34" s="17" t="n">
        <f aca="false">Daily_Composite!AJ337</f>
        <v>-0.424</v>
      </c>
      <c r="LW34" s="17" t="n">
        <f aca="false">Daily_Composite!AJ338</f>
        <v>-0.249</v>
      </c>
      <c r="LX34" s="17" t="n">
        <f aca="false">Daily_Composite!AJ339</f>
        <v>-0.242</v>
      </c>
      <c r="LY34" s="17" t="n">
        <f aca="false">Daily_Composite!AJ340</f>
        <v>-0.257</v>
      </c>
      <c r="LZ34" s="17" t="n">
        <f aca="false">Daily_Composite!AJ341</f>
        <v>-0.331</v>
      </c>
      <c r="MA34" s="17" t="n">
        <f aca="false">Daily_Composite!AJ342</f>
        <v>-0.379</v>
      </c>
      <c r="MB34" s="17" t="n">
        <f aca="false">Daily_Composite!AJ343</f>
        <v>-0.359</v>
      </c>
      <c r="MC34" s="17" t="n">
        <f aca="false">Daily_Composite!AJ344</f>
        <v>-0.301</v>
      </c>
      <c r="MD34" s="17" t="n">
        <f aca="false">Daily_Composite!AJ345</f>
        <v>-0.206</v>
      </c>
      <c r="ME34" s="17" t="n">
        <f aca="false">Daily_Composite!AJ346</f>
        <v>-0.194</v>
      </c>
      <c r="MF34" s="17" t="n">
        <f aca="false">Daily_Composite!AJ347</f>
        <v>0.211</v>
      </c>
      <c r="MG34" s="17" t="n">
        <f aca="false">Daily_Composite!AJ348</f>
        <v>0.571</v>
      </c>
      <c r="MH34" s="17" t="n">
        <f aca="false">Daily_Composite!AJ349</f>
        <v>0.472</v>
      </c>
      <c r="MI34" s="17" t="n">
        <f aca="false">Daily_Composite!AJ350</f>
        <v>0.708</v>
      </c>
      <c r="MJ34" s="17" t="n">
        <f aca="false">Daily_Composite!AJ351</f>
        <v>0.714</v>
      </c>
      <c r="MK34" s="17" t="n">
        <f aca="false">Daily_Composite!AJ352</f>
        <v>0.451</v>
      </c>
      <c r="ML34" s="17" t="n">
        <f aca="false">Daily_Composite!AJ353</f>
        <v>0.426</v>
      </c>
      <c r="MM34" s="17" t="n">
        <f aca="false">Daily_Composite!AJ354</f>
        <v>0.497</v>
      </c>
      <c r="MN34" s="17" t="n">
        <f aca="false">Daily_Composite!AJ355</f>
        <v>0.243</v>
      </c>
      <c r="MO34" s="17" t="n">
        <f aca="false">Daily_Composite!AJ356</f>
        <v>0.709</v>
      </c>
      <c r="MP34" s="17" t="n">
        <f aca="false">Daily_Composite!AJ357</f>
        <v>0.625</v>
      </c>
      <c r="MQ34" s="17" t="n">
        <f aca="false">Daily_Composite!AJ358</f>
        <v>0.659</v>
      </c>
      <c r="MR34" s="17" t="n">
        <f aca="false">Daily_Composite!AJ359</f>
        <v>0.069</v>
      </c>
      <c r="MS34" s="17" t="n">
        <f aca="false">Daily_Composite!AJ360</f>
        <v>0.51</v>
      </c>
      <c r="MT34" s="17" t="n">
        <f aca="false">Daily_Composite!AJ361</f>
        <v>0.272</v>
      </c>
      <c r="MU34" s="17" t="n">
        <f aca="false">Daily_Composite!AJ362</f>
        <v>0.21</v>
      </c>
      <c r="MV34" s="17" t="n">
        <f aca="false">Daily_Composite!AJ363</f>
        <v>0.063</v>
      </c>
      <c r="MW34" s="17" t="n">
        <f aca="false">Daily_Composite!AJ364</f>
        <v>-0.095</v>
      </c>
      <c r="MX34" s="17" t="n">
        <f aca="false">Daily_Composite!AJ365</f>
        <v>-0.04</v>
      </c>
      <c r="MY34" s="17" t="n">
        <f aca="false">Daily_Composite!AJ366</f>
        <v>0.079</v>
      </c>
      <c r="MZ34" s="17" t="n">
        <f aca="false">Daily_Composite!AJ367</f>
        <v>0.531</v>
      </c>
      <c r="NA34" s="17" t="n">
        <f aca="false">Daily_Composite!AJ368</f>
        <v>0.091</v>
      </c>
      <c r="NB34" s="17" t="n">
        <f aca="false">Daily_Composite!AJ369</f>
        <v>0.085</v>
      </c>
    </row>
    <row r="35" customFormat="false" ht="15" hidden="false" customHeight="false" outlineLevel="0" collapsed="false">
      <c r="A35" s="6" t="s">
        <v>48</v>
      </c>
      <c r="B35" s="17" t="n">
        <f aca="false">Daily_Composite!AK5</f>
        <v>-0.244</v>
      </c>
      <c r="C35" s="17" t="n">
        <f aca="false">Daily_Composite!AK6</f>
        <v>0.302</v>
      </c>
      <c r="D35" s="17" t="n">
        <f aca="false">Daily_Composite!AK7</f>
        <v>0.126</v>
      </c>
      <c r="E35" s="17" t="n">
        <f aca="false">Daily_Composite!AK8</f>
        <v>0.204</v>
      </c>
      <c r="F35" s="17" t="n">
        <f aca="false">Daily_Composite!AK9</f>
        <v>0.231</v>
      </c>
      <c r="G35" s="17" t="n">
        <f aca="false">Daily_Composite!AK10</f>
        <v>-0.029</v>
      </c>
      <c r="H35" s="17" t="n">
        <f aca="false">Daily_Composite!AK11</f>
        <v>0.127</v>
      </c>
      <c r="I35" s="17" t="n">
        <f aca="false">Daily_Composite!AK12</f>
        <v>0.158</v>
      </c>
      <c r="J35" s="17" t="n">
        <f aca="false">Daily_Composite!AK13</f>
        <v>0.407</v>
      </c>
      <c r="K35" s="17" t="n">
        <f aca="false">Daily_Composite!AK14</f>
        <v>0.443</v>
      </c>
      <c r="L35" s="17" t="n">
        <f aca="false">Daily_Composite!AK15</f>
        <v>0.424</v>
      </c>
      <c r="M35" s="17" t="n">
        <f aca="false">Daily_Composite!AK16</f>
        <v>0.387</v>
      </c>
      <c r="N35" s="17" t="n">
        <f aca="false">Daily_Composite!AK17</f>
        <v>0.134</v>
      </c>
      <c r="O35" s="17" t="n">
        <f aca="false">Daily_Composite!AK18</f>
        <v>0.158</v>
      </c>
      <c r="P35" s="17" t="n">
        <f aca="false">Daily_Composite!AK19</f>
        <v>0.223</v>
      </c>
      <c r="Q35" s="17" t="n">
        <f aca="false">Daily_Composite!AK20</f>
        <v>0.491</v>
      </c>
      <c r="R35" s="17" t="n">
        <f aca="false">Daily_Composite!AK21</f>
        <v>0.391</v>
      </c>
      <c r="S35" s="17" t="n">
        <f aca="false">Daily_Composite!AK22</f>
        <v>0.137</v>
      </c>
      <c r="T35" s="17" t="n">
        <f aca="false">Daily_Composite!AK23</f>
        <v>0.505</v>
      </c>
      <c r="U35" s="17" t="n">
        <f aca="false">Daily_Composite!AK24</f>
        <v>-0.059</v>
      </c>
      <c r="V35" s="17" t="n">
        <f aca="false">Daily_Composite!AK25</f>
        <v>-0.05</v>
      </c>
      <c r="W35" s="17" t="n">
        <f aca="false">Daily_Composite!AK26</f>
        <v>-0.084</v>
      </c>
      <c r="X35" s="17" t="n">
        <f aca="false">Daily_Composite!AK27</f>
        <v>-0.029</v>
      </c>
      <c r="Y35" s="17" t="n">
        <f aca="false">Daily_Composite!AK28</f>
        <v>-0.004</v>
      </c>
      <c r="Z35" s="17" t="n">
        <f aca="false">Daily_Composite!AK29</f>
        <v>-0.003</v>
      </c>
      <c r="AA35" s="17" t="n">
        <f aca="false">Daily_Composite!AK30</f>
        <v>0.191</v>
      </c>
      <c r="AB35" s="17" t="n">
        <f aca="false">Daily_Composite!AK31</f>
        <v>0.036</v>
      </c>
      <c r="AC35" s="17" t="n">
        <f aca="false">Daily_Composite!AK32</f>
        <v>0.25</v>
      </c>
      <c r="AD35" s="17" t="n">
        <f aca="false">Daily_Composite!AK33</f>
        <v>0.227</v>
      </c>
      <c r="AE35" s="17" t="n">
        <f aca="false">Daily_Composite!AK34</f>
        <v>0.243</v>
      </c>
      <c r="AF35" s="17" t="n">
        <f aca="false">Daily_Composite!AK35</f>
        <v>0.394</v>
      </c>
      <c r="AG35" s="17" t="n">
        <f aca="false">Daily_Composite!AK36</f>
        <v>0.407</v>
      </c>
      <c r="AH35" s="17" t="n">
        <f aca="false">Daily_Composite!AK37</f>
        <v>0.207</v>
      </c>
      <c r="AI35" s="17" t="n">
        <f aca="false">Daily_Composite!AK38</f>
        <v>0.437</v>
      </c>
      <c r="AJ35" s="17" t="n">
        <f aca="false">Daily_Composite!AK39</f>
        <v>0.205</v>
      </c>
      <c r="AK35" s="17" t="n">
        <f aca="false">Daily_Composite!AK40</f>
        <v>0.562</v>
      </c>
      <c r="AL35" s="17" t="n">
        <f aca="false">Daily_Composite!AK41</f>
        <v>0.19</v>
      </c>
      <c r="AM35" s="17" t="n">
        <f aca="false">Daily_Composite!AK42</f>
        <v>0.229</v>
      </c>
      <c r="AN35" s="17" t="n">
        <f aca="false">Daily_Composite!AK43</f>
        <v>0.222</v>
      </c>
      <c r="AO35" s="17" t="n">
        <f aca="false">Daily_Composite!AK44</f>
        <v>-0.033</v>
      </c>
      <c r="AP35" s="17" t="n">
        <f aca="false">Daily_Composite!AK45</f>
        <v>0.022</v>
      </c>
      <c r="AQ35" s="17" t="n">
        <f aca="false">Daily_Composite!AK46</f>
        <v>0.179</v>
      </c>
      <c r="AR35" s="17" t="n">
        <f aca="false">Daily_Composite!AK47</f>
        <v>0.185</v>
      </c>
      <c r="AS35" s="17" t="n">
        <f aca="false">Daily_Composite!AK48</f>
        <v>0.155</v>
      </c>
      <c r="AT35" s="17" t="n">
        <f aca="false">Daily_Composite!AK49</f>
        <v>0.16</v>
      </c>
      <c r="AU35" s="17" t="n">
        <f aca="false">Daily_Composite!AK50</f>
        <v>0.255</v>
      </c>
      <c r="AV35" s="17" t="n">
        <f aca="false">Daily_Composite!AK51</f>
        <v>0.156</v>
      </c>
      <c r="AW35" s="17" t="n">
        <f aca="false">Daily_Composite!AK52</f>
        <v>0.157</v>
      </c>
      <c r="AX35" s="17" t="n">
        <f aca="false">Daily_Composite!AK53</f>
        <v>0.158</v>
      </c>
      <c r="AY35" s="17" t="n">
        <f aca="false">Daily_Composite!AK54</f>
        <v>0.108</v>
      </c>
      <c r="AZ35" s="17" t="n">
        <f aca="false">Daily_Composite!AK55</f>
        <v>0.041</v>
      </c>
      <c r="BA35" s="17" t="n">
        <f aca="false">Daily_Composite!AK56</f>
        <v>0.063</v>
      </c>
      <c r="BB35" s="17" t="n">
        <f aca="false">Daily_Composite!AK57</f>
        <v>0.062</v>
      </c>
      <c r="BC35" s="17" t="n">
        <f aca="false">Daily_Composite!AK58</f>
        <v>-0.136</v>
      </c>
      <c r="BD35" s="17" t="n">
        <f aca="false">Daily_Composite!AK59</f>
        <v>0.048</v>
      </c>
      <c r="BE35" s="17" t="n">
        <f aca="false">Daily_Composite!AK60</f>
        <v>-0.356</v>
      </c>
      <c r="BF35" s="17" t="n">
        <f aca="false">Daily_Composite!AK61</f>
        <v>0.261</v>
      </c>
      <c r="BG35" s="17" t="n">
        <f aca="false">Daily_Composite!AK62</f>
        <v>0.257</v>
      </c>
      <c r="BH35" s="17" t="n">
        <f aca="false">Daily_Composite!AK63</f>
        <v>0.202</v>
      </c>
      <c r="BI35" s="17" t="n">
        <f aca="false">Daily_Composite!AK64</f>
        <v>0.15</v>
      </c>
      <c r="BJ35" s="17" t="n">
        <f aca="false">Daily_Composite!AK65</f>
        <v>0.128</v>
      </c>
      <c r="BK35" s="17" t="n">
        <f aca="false">Daily_Composite!AK66</f>
        <v>0.324</v>
      </c>
      <c r="BL35" s="17" t="n">
        <f aca="false">Daily_Composite!AK67</f>
        <v>0.128</v>
      </c>
      <c r="BM35" s="17" t="n">
        <f aca="false">Daily_Composite!AK68</f>
        <v>0.319</v>
      </c>
      <c r="BN35" s="17" t="n">
        <f aca="false">Daily_Composite!AK69</f>
        <v>0.181</v>
      </c>
      <c r="BO35" s="17" t="n">
        <f aca="false">Daily_Composite!AK70</f>
        <v>0.167</v>
      </c>
      <c r="BP35" s="17" t="n">
        <f aca="false">Daily_Composite!AK71</f>
        <v>0.128</v>
      </c>
      <c r="BQ35" s="17" t="n">
        <f aca="false">Daily_Composite!AK72</f>
        <v>0.188</v>
      </c>
      <c r="BR35" s="17" t="n">
        <f aca="false">Daily_Composite!AK73</f>
        <v>0.211</v>
      </c>
      <c r="BS35" s="17" t="n">
        <f aca="false">Daily_Composite!AK74</f>
        <v>0.086</v>
      </c>
      <c r="BT35" s="17" t="n">
        <f aca="false">Daily_Composite!AK75</f>
        <v>0.075</v>
      </c>
      <c r="BU35" s="17" t="n">
        <f aca="false">Daily_Composite!AK76</f>
        <v>0.097</v>
      </c>
      <c r="BV35" s="17" t="n">
        <f aca="false">Daily_Composite!AK77</f>
        <v>0.096</v>
      </c>
      <c r="BW35" s="17" t="n">
        <f aca="false">Daily_Composite!AK78</f>
        <v>0.084</v>
      </c>
      <c r="BX35" s="17" t="n">
        <f aca="false">Daily_Composite!AK79</f>
        <v>0.065</v>
      </c>
      <c r="BY35" s="17" t="n">
        <f aca="false">Daily_Composite!AK80</f>
        <v>0.075</v>
      </c>
      <c r="BZ35" s="17" t="n">
        <f aca="false">Daily_Composite!AK81</f>
        <v>0.068</v>
      </c>
      <c r="CA35" s="17" t="n">
        <f aca="false">Daily_Composite!AK82</f>
        <v>0.065</v>
      </c>
      <c r="CB35" s="17" t="n">
        <f aca="false">Daily_Composite!AK83</f>
        <v>0.07</v>
      </c>
      <c r="CC35" s="17" t="n">
        <f aca="false">Daily_Composite!AK84</f>
        <v>0.047</v>
      </c>
      <c r="CD35" s="17" t="n">
        <f aca="false">Daily_Composite!AK85</f>
        <v>0.292</v>
      </c>
      <c r="CE35" s="17" t="n">
        <f aca="false">Daily_Composite!AK86</f>
        <v>0.078</v>
      </c>
      <c r="CF35" s="17" t="n">
        <f aca="false">Daily_Composite!AK87</f>
        <v>0.502</v>
      </c>
      <c r="CG35" s="17" t="n">
        <f aca="false">Daily_Composite!AK88</f>
        <v>-0.132</v>
      </c>
      <c r="CH35" s="17" t="n">
        <f aca="false">Daily_Composite!AK89</f>
        <v>-0.052</v>
      </c>
      <c r="CI35" s="17" t="n">
        <f aca="false">Daily_Composite!AK90</f>
        <v>0.284</v>
      </c>
      <c r="CJ35" s="17" t="n">
        <f aca="false">Daily_Composite!AK91</f>
        <v>0.282</v>
      </c>
      <c r="CK35" s="17" t="n">
        <f aca="false">Daily_Composite!AK92</f>
        <v>0.077</v>
      </c>
      <c r="CL35" s="17" t="n">
        <f aca="false">Daily_Composite!AK93</f>
        <v>0.02</v>
      </c>
      <c r="CM35" s="17" t="n">
        <f aca="false">Daily_Composite!AK94</f>
        <v>0.084</v>
      </c>
      <c r="CN35" s="17" t="n">
        <f aca="false">Daily_Composite!AK95</f>
        <v>0.222</v>
      </c>
      <c r="CO35" s="17" t="n">
        <f aca="false">Daily_Composite!AK96</f>
        <v>0.222</v>
      </c>
      <c r="CP35" s="17" t="n">
        <f aca="false">Daily_Composite!AK97</f>
        <v>0.22</v>
      </c>
      <c r="CQ35" s="17" t="n">
        <f aca="false">Daily_Composite!AK98</f>
        <v>-0.256</v>
      </c>
      <c r="CR35" s="17" t="n">
        <f aca="false">Daily_Composite!AK99</f>
        <v>-0.113</v>
      </c>
      <c r="CS35" s="17" t="n">
        <f aca="false">Daily_Composite!AK100</f>
        <v>0.091</v>
      </c>
      <c r="CT35" s="17" t="n">
        <f aca="false">Daily_Composite!AK101</f>
        <v>0.102</v>
      </c>
      <c r="CU35" s="17" t="n">
        <f aca="false">Daily_Composite!AK102</f>
        <v>0.088</v>
      </c>
      <c r="CV35" s="17" t="n">
        <f aca="false">Daily_Composite!AK103</f>
        <v>0.085</v>
      </c>
      <c r="CW35" s="17" t="n">
        <f aca="false">Daily_Composite!AK104</f>
        <v>0.074</v>
      </c>
      <c r="CX35" s="17" t="n">
        <f aca="false">Daily_Composite!AK105</f>
        <v>-0.185</v>
      </c>
      <c r="CY35" s="17" t="n">
        <f aca="false">Daily_Composite!AK106</f>
        <v>0.106</v>
      </c>
      <c r="CZ35" s="17" t="n">
        <f aca="false">Daily_Composite!AK107</f>
        <v>0.105</v>
      </c>
      <c r="DA35" s="17" t="n">
        <f aca="false">Daily_Composite!AK108</f>
        <v>0.101</v>
      </c>
      <c r="DB35" s="17" t="n">
        <f aca="false">Daily_Composite!AK109</f>
        <v>0.1</v>
      </c>
      <c r="DC35" s="17" t="n">
        <f aca="false">Daily_Composite!AK110</f>
        <v>0.106</v>
      </c>
      <c r="DD35" s="17" t="n">
        <f aca="false">Daily_Composite!AK111</f>
        <v>0.112</v>
      </c>
      <c r="DE35" s="17" t="n">
        <f aca="false">Daily_Composite!AK112</f>
        <v>0.016</v>
      </c>
      <c r="DF35" s="17" t="n">
        <f aca="false">Daily_Composite!AK113</f>
        <v>0.123</v>
      </c>
      <c r="DG35" s="17" t="n">
        <f aca="false">Daily_Composite!AK114</f>
        <v>0.21</v>
      </c>
      <c r="DH35" s="17" t="n">
        <f aca="false">Daily_Composite!AK115</f>
        <v>0.203</v>
      </c>
      <c r="DI35" s="17" t="n">
        <f aca="false">Daily_Composite!AK116</f>
        <v>0.214</v>
      </c>
      <c r="DJ35" s="17" t="n">
        <f aca="false">Daily_Composite!AK117</f>
        <v>-0.015</v>
      </c>
      <c r="DK35" s="17" t="n">
        <f aca="false">Daily_Composite!AK118</f>
        <v>0.009</v>
      </c>
      <c r="DL35" s="17" t="n">
        <f aca="false">Daily_Composite!AK119</f>
        <v>0.081</v>
      </c>
      <c r="DM35" s="17" t="n">
        <f aca="false">Daily_Composite!AK120</f>
        <v>0.137</v>
      </c>
      <c r="DN35" s="17" t="n">
        <f aca="false">Daily_Composite!AK121</f>
        <v>0.248</v>
      </c>
      <c r="DO35" s="17" t="n">
        <f aca="false">Daily_Composite!AK122</f>
        <v>0.12</v>
      </c>
      <c r="DP35" s="17" t="n">
        <f aca="false">Daily_Composite!AK123</f>
        <v>0.108</v>
      </c>
      <c r="DQ35" s="17" t="n">
        <f aca="false">Daily_Composite!AK124</f>
        <v>0.226</v>
      </c>
      <c r="DR35" s="17" t="n">
        <f aca="false">Daily_Composite!AK125</f>
        <v>0.296</v>
      </c>
      <c r="DS35" s="17" t="n">
        <f aca="false">Daily_Composite!AK126</f>
        <v>0.297</v>
      </c>
      <c r="DT35" s="17" t="n">
        <f aca="false">Daily_Composite!AK127</f>
        <v>0.392</v>
      </c>
      <c r="DU35" s="17" t="n">
        <f aca="false">Daily_Composite!AK128</f>
        <v>0.066</v>
      </c>
      <c r="DV35" s="17" t="n">
        <f aca="false">Daily_Composite!AK129</f>
        <v>-0.024</v>
      </c>
      <c r="DW35" s="17" t="n">
        <f aca="false">Daily_Composite!AK130</f>
        <v>0.402</v>
      </c>
      <c r="DX35" s="17" t="n">
        <f aca="false">Daily_Composite!AK131</f>
        <v>0.126</v>
      </c>
      <c r="DY35" s="17" t="n">
        <f aca="false">Daily_Composite!AK132</f>
        <v>0.531</v>
      </c>
      <c r="DZ35" s="17" t="n">
        <f aca="false">Daily_Composite!AK133</f>
        <v>0.096</v>
      </c>
      <c r="EA35" s="17" t="n">
        <f aca="false">Daily_Composite!AK134</f>
        <v>0.094</v>
      </c>
      <c r="EB35" s="17" t="n">
        <f aca="false">Daily_Composite!AK135</f>
        <v>0.1</v>
      </c>
      <c r="EC35" s="17" t="n">
        <f aca="false">Daily_Composite!AK136</f>
        <v>0.118</v>
      </c>
      <c r="ED35" s="17" t="n">
        <f aca="false">Daily_Composite!AK137</f>
        <v>0.131</v>
      </c>
      <c r="EE35" s="17" t="n">
        <f aca="false">Daily_Composite!AK138</f>
        <v>0.119</v>
      </c>
      <c r="EF35" s="17" t="n">
        <f aca="false">Daily_Composite!AK139</f>
        <v>0.331</v>
      </c>
      <c r="EG35" s="17" t="n">
        <f aca="false">Daily_Composite!AK140</f>
        <v>0.098</v>
      </c>
      <c r="EH35" s="17" t="n">
        <f aca="false">Daily_Composite!AK141</f>
        <v>0.09</v>
      </c>
      <c r="EI35" s="17" t="n">
        <f aca="false">Daily_Composite!AK142</f>
        <v>0.064</v>
      </c>
      <c r="EJ35" s="17" t="n">
        <f aca="false">Daily_Composite!AK143</f>
        <v>0.059</v>
      </c>
      <c r="EK35" s="17" t="n">
        <f aca="false">Daily_Composite!AK144</f>
        <v>-0.204</v>
      </c>
      <c r="EL35" s="17" t="n">
        <f aca="false">Daily_Composite!AK145</f>
        <v>-0.069</v>
      </c>
      <c r="EM35" s="17" t="n">
        <f aca="false">Daily_Composite!AK146</f>
        <v>-0.011</v>
      </c>
      <c r="EN35" s="17" t="n">
        <f aca="false">Daily_Composite!AK147</f>
        <v>0.052</v>
      </c>
      <c r="EO35" s="17" t="n">
        <f aca="false">Daily_Composite!AK148</f>
        <v>-0.152</v>
      </c>
      <c r="EP35" s="17" t="n">
        <f aca="false">Daily_Composite!AK149</f>
        <v>0.064</v>
      </c>
      <c r="EQ35" s="17" t="n">
        <f aca="false">Daily_Composite!AK150</f>
        <v>-0.129</v>
      </c>
      <c r="ER35" s="17" t="n">
        <f aca="false">Daily_Composite!AK151</f>
        <v>0.211</v>
      </c>
      <c r="ES35" s="17" t="n">
        <f aca="false">Daily_Composite!AK152</f>
        <v>0.198</v>
      </c>
      <c r="ET35" s="17" t="n">
        <f aca="false">Daily_Composite!AK153</f>
        <v>-0.108</v>
      </c>
      <c r="EU35" s="17" t="n">
        <f aca="false">Daily_Composite!AK154</f>
        <v>-0.1</v>
      </c>
      <c r="EV35" s="17" t="n">
        <f aca="false">Daily_Composite!AK155</f>
        <v>-0.038</v>
      </c>
      <c r="EW35" s="17" t="n">
        <f aca="false">Daily_Composite!AK156</f>
        <v>0.125</v>
      </c>
      <c r="EX35" s="17" t="n">
        <f aca="false">Daily_Composite!AK157</f>
        <v>0.179</v>
      </c>
      <c r="EY35" s="17" t="n">
        <f aca="false">Daily_Composite!AK158</f>
        <v>0.035</v>
      </c>
      <c r="EZ35" s="17" t="n">
        <f aca="false">Daily_Composite!AK159</f>
        <v>0.36</v>
      </c>
      <c r="FA35" s="17" t="n">
        <f aca="false">Daily_Composite!AK160</f>
        <v>0.042</v>
      </c>
      <c r="FB35" s="17" t="n">
        <f aca="false">Daily_Composite!AK161</f>
        <v>-0.138</v>
      </c>
      <c r="FC35" s="17" t="n">
        <f aca="false">Daily_Composite!AK162</f>
        <v>-0.132</v>
      </c>
      <c r="FD35" s="17" t="n">
        <f aca="false">Daily_Composite!AK163</f>
        <v>0.031</v>
      </c>
      <c r="FE35" s="17" t="n">
        <f aca="false">Daily_Composite!AK164</f>
        <v>0.026</v>
      </c>
      <c r="FF35" s="17" t="n">
        <f aca="false">Daily_Composite!AK165</f>
        <v>0.062</v>
      </c>
      <c r="FG35" s="17" t="n">
        <f aca="false">Daily_Composite!AK166</f>
        <v>0.062</v>
      </c>
      <c r="FH35" s="17" t="n">
        <f aca="false">Daily_Composite!AK167</f>
        <v>0.036</v>
      </c>
      <c r="FI35" s="17" t="n">
        <f aca="false">Daily_Composite!AK168</f>
        <v>0.042</v>
      </c>
      <c r="FJ35" s="17" t="n">
        <f aca="false">Daily_Composite!AK169</f>
        <v>0.123</v>
      </c>
      <c r="FK35" s="17" t="n">
        <f aca="false">Daily_Composite!AK170</f>
        <v>0.172</v>
      </c>
      <c r="FL35" s="17" t="n">
        <f aca="false">Daily_Composite!AK171</f>
        <v>0.163</v>
      </c>
      <c r="FM35" s="17" t="n">
        <f aca="false">Daily_Composite!AK172</f>
        <v>0.118</v>
      </c>
      <c r="FN35" s="17" t="n">
        <f aca="false">Daily_Composite!AK173</f>
        <v>0.058</v>
      </c>
      <c r="FO35" s="17" t="n">
        <f aca="false">Daily_Composite!AK174</f>
        <v>-0.029</v>
      </c>
      <c r="FP35" s="17" t="n">
        <f aca="false">Daily_Composite!AK175</f>
        <v>-0.119</v>
      </c>
      <c r="FQ35" s="17" t="n">
        <f aca="false">Daily_Composite!AK176</f>
        <v>0.048</v>
      </c>
      <c r="FR35" s="17" t="n">
        <f aca="false">Daily_Composite!AK177</f>
        <v>0.561</v>
      </c>
      <c r="FS35" s="17" t="n">
        <f aca="false">Daily_Composite!AK178</f>
        <v>0.159</v>
      </c>
      <c r="FT35" s="17" t="n">
        <f aca="false">Daily_Composite!AK179</f>
        <v>0.207</v>
      </c>
      <c r="FU35" s="17" t="n">
        <f aca="false">Daily_Composite!AK180</f>
        <v>0.18</v>
      </c>
      <c r="FV35" s="17" t="n">
        <f aca="false">Daily_Composite!AK181</f>
        <v>0.144</v>
      </c>
      <c r="FW35" s="17" t="n">
        <f aca="false">Daily_Composite!AK182</f>
        <v>-0.164</v>
      </c>
      <c r="FX35" s="17" t="n">
        <f aca="false">Daily_Composite!AK183</f>
        <v>-0.042</v>
      </c>
      <c r="FY35" s="17" t="n">
        <f aca="false">Daily_Composite!AK184</f>
        <v>0.103</v>
      </c>
      <c r="FZ35" s="17" t="n">
        <f aca="false">Daily_Composite!AK185</f>
        <v>0.076</v>
      </c>
      <c r="GA35" s="17" t="n">
        <f aca="false">Daily_Composite!AK186</f>
        <v>0.465</v>
      </c>
      <c r="GB35" s="17" t="n">
        <f aca="false">Daily_Composite!AK187</f>
        <v>0.514</v>
      </c>
      <c r="GC35" s="17" t="n">
        <f aca="false">Daily_Composite!AK188</f>
        <v>-0.091</v>
      </c>
      <c r="GD35" s="17" t="n">
        <f aca="false">Daily_Composite!AK189</f>
        <v>0.187</v>
      </c>
      <c r="GE35" s="17" t="n">
        <f aca="false">Daily_Composite!AK190</f>
        <v>0.189</v>
      </c>
      <c r="GF35" s="17" t="n">
        <f aca="false">Daily_Composite!AK191</f>
        <v>0.202</v>
      </c>
      <c r="GG35" s="17" t="n">
        <f aca="false">Daily_Composite!AK192</f>
        <v>0.203</v>
      </c>
      <c r="GH35" s="17" t="n">
        <f aca="false">Daily_Composite!AK193</f>
        <v>0.173</v>
      </c>
      <c r="GI35" s="17" t="n">
        <f aca="false">Daily_Composite!AK194</f>
        <v>0.218</v>
      </c>
      <c r="GJ35" s="17" t="n">
        <f aca="false">Daily_Composite!AK195</f>
        <v>0.182</v>
      </c>
      <c r="GK35" s="17" t="n">
        <f aca="false">Daily_Composite!AK196</f>
        <v>0.577</v>
      </c>
      <c r="GL35" s="17" t="n">
        <f aca="false">Daily_Composite!AK197</f>
        <v>0.17</v>
      </c>
      <c r="GM35" s="17" t="n">
        <f aca="false">Daily_Composite!AK198</f>
        <v>0.186</v>
      </c>
      <c r="GN35" s="17" t="n">
        <f aca="false">Daily_Composite!AK199</f>
        <v>0.355</v>
      </c>
      <c r="GO35" s="17" t="n">
        <f aca="false">Daily_Composite!AK200</f>
        <v>0.071</v>
      </c>
      <c r="GP35" s="17" t="n">
        <f aca="false">Daily_Composite!AK201</f>
        <v>0.094</v>
      </c>
      <c r="GQ35" s="17" t="n">
        <f aca="false">Daily_Composite!AK202</f>
        <v>0.07</v>
      </c>
      <c r="GR35" s="17" t="n">
        <f aca="false">Daily_Composite!AK203</f>
        <v>0.003</v>
      </c>
      <c r="GS35" s="17" t="n">
        <f aca="false">Daily_Composite!AK204</f>
        <v>0.083</v>
      </c>
      <c r="GT35" s="17" t="n">
        <f aca="false">Daily_Composite!AK205</f>
        <v>0.107</v>
      </c>
      <c r="GU35" s="17" t="n">
        <f aca="false">Daily_Composite!AK206</f>
        <v>0.27</v>
      </c>
      <c r="GV35" s="17" t="n">
        <f aca="false">Daily_Composite!AK207</f>
        <v>0.249</v>
      </c>
      <c r="GW35" s="17" t="n">
        <f aca="false">Daily_Composite!AK208</f>
        <v>0.104</v>
      </c>
      <c r="GX35" s="17" t="n">
        <f aca="false">Daily_Composite!AK209</f>
        <v>0.056</v>
      </c>
      <c r="GY35" s="17" t="n">
        <f aca="false">Daily_Composite!AK210</f>
        <v>-0.024</v>
      </c>
      <c r="GZ35" s="17" t="n">
        <f aca="false">Daily_Composite!AK211</f>
        <v>-0.075</v>
      </c>
      <c r="HA35" s="17" t="n">
        <f aca="false">Daily_Composite!AK212</f>
        <v>-0.014</v>
      </c>
      <c r="HB35" s="17" t="n">
        <f aca="false">Daily_Composite!AK213</f>
        <v>-0.141</v>
      </c>
      <c r="HC35" s="17" t="n">
        <f aca="false">Daily_Composite!AK214</f>
        <v>-0.488</v>
      </c>
      <c r="HD35" s="17" t="n">
        <f aca="false">Daily_Composite!AK215</f>
        <v>-0.109</v>
      </c>
      <c r="HE35" s="17" t="n">
        <f aca="false">Daily_Composite!AK216</f>
        <v>-0.112</v>
      </c>
      <c r="HF35" s="17" t="n">
        <f aca="false">Daily_Composite!AK217</f>
        <v>-0.116</v>
      </c>
      <c r="HG35" s="17" t="n">
        <f aca="false">Daily_Composite!AK218</f>
        <v>-0.045</v>
      </c>
      <c r="HH35" s="17" t="n">
        <f aca="false">Daily_Composite!AK219</f>
        <v>-0.105</v>
      </c>
      <c r="HI35" s="17" t="n">
        <f aca="false">Daily_Composite!AK220</f>
        <v>-0.105</v>
      </c>
      <c r="HJ35" s="17" t="n">
        <f aca="false">Daily_Composite!AK221</f>
        <v>-0.105</v>
      </c>
      <c r="HK35" s="17" t="n">
        <f aca="false">Daily_Composite!AK222</f>
        <v>-0.26</v>
      </c>
      <c r="HL35" s="17" t="n">
        <f aca="false">Daily_Composite!AK223</f>
        <v>-0.532</v>
      </c>
      <c r="HM35" s="17" t="n">
        <f aca="false">Daily_Composite!AK224</f>
        <v>-0.144</v>
      </c>
      <c r="HN35" s="17" t="n">
        <f aca="false">Daily_Composite!AK225</f>
        <v>-0.469</v>
      </c>
      <c r="HO35" s="17" t="n">
        <f aca="false">Daily_Composite!AK226</f>
        <v>-0.448</v>
      </c>
      <c r="HP35" s="17" t="n">
        <f aca="false">Daily_Composite!AK227</f>
        <v>-0.258</v>
      </c>
      <c r="HQ35" s="17" t="n">
        <f aca="false">Daily_Composite!AK228</f>
        <v>-0.219</v>
      </c>
      <c r="HR35" s="17" t="n">
        <f aca="false">Daily_Composite!AK229</f>
        <v>-0.061</v>
      </c>
      <c r="HS35" s="17" t="n">
        <f aca="false">Daily_Composite!AK230</f>
        <v>-0.113</v>
      </c>
      <c r="HT35" s="17" t="n">
        <f aca="false">Daily_Composite!AK231</f>
        <v>-0.148</v>
      </c>
      <c r="HU35" s="17" t="n">
        <f aca="false">Daily_Composite!AK232</f>
        <v>-0.272</v>
      </c>
      <c r="HV35" s="17" t="n">
        <f aca="false">Daily_Composite!AK233</f>
        <v>0.092</v>
      </c>
      <c r="HW35" s="17" t="n">
        <f aca="false">Daily_Composite!AK234</f>
        <v>0.132</v>
      </c>
      <c r="HX35" s="17" t="n">
        <f aca="false">Daily_Composite!AK235</f>
        <v>-0.192</v>
      </c>
      <c r="HY35" s="17" t="n">
        <f aca="false">Daily_Composite!AK236</f>
        <v>0</v>
      </c>
      <c r="HZ35" s="17" t="n">
        <f aca="false">Daily_Composite!AK237</f>
        <v>0.388</v>
      </c>
      <c r="IA35" s="17" t="n">
        <f aca="false">Daily_Composite!AK238</f>
        <v>0.185</v>
      </c>
      <c r="IB35" s="17" t="n">
        <f aca="false">Daily_Composite!AK239</f>
        <v>0.265</v>
      </c>
      <c r="IC35" s="17" t="n">
        <f aca="false">Daily_Composite!AK240</f>
        <v>0.079</v>
      </c>
      <c r="ID35" s="17" t="n">
        <f aca="false">Daily_Composite!AK241</f>
        <v>0.303</v>
      </c>
      <c r="IE35" s="17" t="n">
        <f aca="false">Daily_Composite!AK242</f>
        <v>0.079</v>
      </c>
      <c r="IF35" s="17" t="n">
        <f aca="false">Daily_Composite!AK243</f>
        <v>0.074</v>
      </c>
      <c r="IG35" s="17" t="n">
        <f aca="false">Daily_Composite!AK244</f>
        <v>0.046</v>
      </c>
      <c r="IH35" s="17" t="n">
        <f aca="false">Daily_Composite!AK245</f>
        <v>0.077</v>
      </c>
      <c r="II35" s="17" t="n">
        <f aca="false">Daily_Composite!AK246</f>
        <v>0.079</v>
      </c>
      <c r="IJ35" s="17" t="n">
        <f aca="false">Daily_Composite!AK247</f>
        <v>0.081</v>
      </c>
      <c r="IK35" s="17" t="n">
        <f aca="false">Daily_Composite!AK248</f>
        <v>0.174</v>
      </c>
      <c r="IL35" s="17" t="n">
        <f aca="false">Daily_Composite!AK249</f>
        <v>0.423</v>
      </c>
      <c r="IM35" s="17" t="n">
        <f aca="false">Daily_Composite!AK250</f>
        <v>0.104</v>
      </c>
      <c r="IN35" s="17" t="n">
        <f aca="false">Daily_Composite!AK251</f>
        <v>0.575</v>
      </c>
      <c r="IO35" s="17" t="n">
        <f aca="false">Daily_Composite!AK252</f>
        <v>0.398</v>
      </c>
      <c r="IP35" s="17" t="n">
        <f aca="false">Daily_Composite!AK253</f>
        <v>0.455</v>
      </c>
      <c r="IQ35" s="17" t="n">
        <f aca="false">Daily_Composite!AK254</f>
        <v>0.316</v>
      </c>
      <c r="IR35" s="17" t="n">
        <f aca="false">Daily_Composite!AK255</f>
        <v>0.363</v>
      </c>
      <c r="IS35" s="17" t="n">
        <f aca="false">Daily_Composite!AK256</f>
        <v>-0.02</v>
      </c>
      <c r="IT35" s="17" t="n">
        <f aca="false">Daily_Composite!AK257</f>
        <v>0.382</v>
      </c>
      <c r="IU35" s="17" t="n">
        <f aca="false">Daily_Composite!AK258</f>
        <v>-0.025</v>
      </c>
      <c r="IV35" s="17" t="n">
        <f aca="false">Daily_Composite!AK259</f>
        <v>0.553</v>
      </c>
      <c r="IW35" s="17" t="n">
        <f aca="false">Daily_Composite!AK260</f>
        <v>0.386</v>
      </c>
      <c r="IX35" s="17" t="n">
        <f aca="false">Daily_Composite!AK261</f>
        <v>0.382</v>
      </c>
      <c r="IY35" s="17" t="n">
        <f aca="false">Daily_Composite!AK262</f>
        <v>0.28</v>
      </c>
      <c r="IZ35" s="17" t="n">
        <f aca="false">Daily_Composite!AK263</f>
        <v>0.06</v>
      </c>
      <c r="JA35" s="17" t="n">
        <f aca="false">Daily_Composite!AK264</f>
        <v>0.065</v>
      </c>
      <c r="JB35" s="17" t="n">
        <f aca="false">Daily_Composite!AK265</f>
        <v>-0.134</v>
      </c>
      <c r="JC35" s="17" t="n">
        <f aca="false">Daily_Composite!AK266</f>
        <v>0.212</v>
      </c>
      <c r="JD35" s="17" t="n">
        <f aca="false">Daily_Composite!AK267</f>
        <v>-0.251</v>
      </c>
      <c r="JE35" s="17" t="n">
        <f aca="false">Daily_Composite!AK268</f>
        <v>0.229</v>
      </c>
      <c r="JF35" s="17" t="n">
        <f aca="false">Daily_Composite!AK269</f>
        <v>-0.27</v>
      </c>
      <c r="JG35" s="17" t="n">
        <f aca="false">Daily_Composite!AK270</f>
        <v>-0.238</v>
      </c>
      <c r="JH35" s="17" t="n">
        <f aca="false">Daily_Composite!AK271</f>
        <v>-0.265</v>
      </c>
      <c r="JI35" s="17" t="n">
        <f aca="false">Daily_Composite!AK272</f>
        <v>-0.228</v>
      </c>
      <c r="JJ35" s="17" t="n">
        <f aca="false">Daily_Composite!AK273</f>
        <v>-0.225</v>
      </c>
      <c r="JK35" s="17" t="n">
        <f aca="false">Daily_Composite!AK274</f>
        <v>-0.307</v>
      </c>
      <c r="JL35" s="17" t="n">
        <f aca="false">Daily_Composite!AK275</f>
        <v>-0.298</v>
      </c>
      <c r="JM35" s="17" t="n">
        <f aca="false">Daily_Composite!AK276</f>
        <v>-0.224</v>
      </c>
      <c r="JN35" s="17" t="n">
        <f aca="false">Daily_Composite!AK277</f>
        <v>-0.4</v>
      </c>
      <c r="JO35" s="17" t="n">
        <f aca="false">Daily_Composite!AK278</f>
        <v>-0.544</v>
      </c>
      <c r="JP35" s="17" t="n">
        <f aca="false">Daily_Composite!AK279</f>
        <v>-0.316</v>
      </c>
      <c r="JQ35" s="17" t="n">
        <f aca="false">Daily_Composite!AK280</f>
        <v>-0.336</v>
      </c>
      <c r="JR35" s="17" t="n">
        <f aca="false">Daily_Composite!AK281</f>
        <v>-0.145</v>
      </c>
      <c r="JS35" s="17" t="n">
        <f aca="false">Daily_Composite!AK282</f>
        <v>0.338</v>
      </c>
      <c r="JT35" s="17" t="n">
        <f aca="false">Daily_Composite!AK283</f>
        <v>0.338</v>
      </c>
      <c r="JU35" s="17" t="n">
        <f aca="false">Daily_Composite!AK284</f>
        <v>-0.125</v>
      </c>
      <c r="JV35" s="17" t="n">
        <f aca="false">Daily_Composite!AK285</f>
        <v>0.263</v>
      </c>
      <c r="JW35" s="17" t="n">
        <f aca="false">Daily_Composite!AK286</f>
        <v>0.469</v>
      </c>
      <c r="JX35" s="17" t="n">
        <f aca="false">Daily_Composite!AK287</f>
        <v>0.004</v>
      </c>
      <c r="JY35" s="17" t="n">
        <f aca="false">Daily_Composite!AK288</f>
        <v>0.432</v>
      </c>
      <c r="JZ35" s="17" t="n">
        <f aca="false">Daily_Composite!AK289</f>
        <v>0.432</v>
      </c>
      <c r="KA35" s="17" t="n">
        <f aca="false">Daily_Composite!AK290</f>
        <v>0.432</v>
      </c>
      <c r="KB35" s="17" t="n">
        <f aca="false">Daily_Composite!AK291</f>
        <v>0.432</v>
      </c>
      <c r="KC35" s="17" t="n">
        <f aca="false">Daily_Composite!AK292</f>
        <v>0.008</v>
      </c>
      <c r="KD35" s="17" t="n">
        <f aca="false">Daily_Composite!AK293</f>
        <v>0.391</v>
      </c>
      <c r="KE35" s="17" t="n">
        <f aca="false">Daily_Composite!AK294</f>
        <v>-0.054</v>
      </c>
      <c r="KF35" s="17" t="n">
        <f aca="false">Daily_Composite!AK295</f>
        <v>-0.064</v>
      </c>
      <c r="KG35" s="17" t="n">
        <f aca="false">Daily_Composite!AK296</f>
        <v>-0.11</v>
      </c>
      <c r="KH35" s="17" t="n">
        <f aca="false">Daily_Composite!AK297</f>
        <v>-0.16</v>
      </c>
      <c r="KI35" s="17" t="n">
        <f aca="false">Daily_Composite!AK298</f>
        <v>-0.076</v>
      </c>
      <c r="KJ35" s="17" t="n">
        <f aca="false">Daily_Composite!AK299</f>
        <v>-0.153</v>
      </c>
      <c r="KK35" s="17" t="n">
        <f aca="false">Daily_Composite!AK300</f>
        <v>-0.215</v>
      </c>
      <c r="KL35" s="17" t="n">
        <f aca="false">Daily_Composite!AK301</f>
        <v>-0.204</v>
      </c>
      <c r="KM35" s="17" t="n">
        <f aca="false">Daily_Composite!AK302</f>
        <v>-0.177</v>
      </c>
      <c r="KN35" s="17" t="n">
        <f aca="false">Daily_Composite!AK303</f>
        <v>0.161</v>
      </c>
      <c r="KO35" s="17" t="n">
        <f aca="false">Daily_Composite!AK304</f>
        <v>-0.196</v>
      </c>
      <c r="KP35" s="17" t="n">
        <f aca="false">Daily_Composite!AK305</f>
        <v>-0.102</v>
      </c>
      <c r="KQ35" s="17" t="n">
        <f aca="false">Daily_Composite!AK306</f>
        <v>0.262</v>
      </c>
      <c r="KR35" s="17" t="n">
        <f aca="false">Daily_Composite!AK307</f>
        <v>-0.189</v>
      </c>
      <c r="KS35" s="17" t="n">
        <f aca="false">Daily_Composite!AK308</f>
        <v>-0.23</v>
      </c>
      <c r="KT35" s="17" t="n">
        <f aca="false">Daily_Composite!AK309</f>
        <v>0.024</v>
      </c>
      <c r="KU35" s="17" t="n">
        <f aca="false">Daily_Composite!AK310</f>
        <v>0.019</v>
      </c>
      <c r="KV35" s="17" t="n">
        <f aca="false">Daily_Composite!AK311</f>
        <v>-0.205</v>
      </c>
      <c r="KW35" s="17" t="n">
        <f aca="false">Daily_Composite!AK312</f>
        <v>0.012</v>
      </c>
      <c r="KX35" s="17" t="n">
        <f aca="false">Daily_Composite!AK313</f>
        <v>-0.212</v>
      </c>
      <c r="KY35" s="17" t="n">
        <f aca="false">Daily_Composite!AK314</f>
        <v>-0.53</v>
      </c>
      <c r="KZ35" s="17" t="n">
        <f aca="false">Daily_Composite!AK315</f>
        <v>-0.365</v>
      </c>
      <c r="LA35" s="17" t="n">
        <f aca="false">Daily_Composite!AK316</f>
        <v>-0.335</v>
      </c>
      <c r="LB35" s="17" t="n">
        <f aca="false">Daily_Composite!AK317</f>
        <v>-0.341</v>
      </c>
      <c r="LC35" s="17" t="n">
        <f aca="false">Daily_Composite!AK318</f>
        <v>-0.321</v>
      </c>
      <c r="LD35" s="17" t="n">
        <f aca="false">Daily_Composite!AK319</f>
        <v>-0.158</v>
      </c>
      <c r="LE35" s="17" t="n">
        <f aca="false">Daily_Composite!AK320</f>
        <v>-0.081</v>
      </c>
      <c r="LF35" s="17" t="n">
        <f aca="false">Daily_Composite!AK321</f>
        <v>-0.153</v>
      </c>
      <c r="LG35" s="17" t="n">
        <f aca="false">Daily_Composite!AK322</f>
        <v>-0.124</v>
      </c>
      <c r="LH35" s="17" t="n">
        <f aca="false">Daily_Composite!AK323</f>
        <v>0.535</v>
      </c>
      <c r="LI35" s="17" t="n">
        <f aca="false">Daily_Composite!AK324</f>
        <v>-0.135</v>
      </c>
      <c r="LJ35" s="17" t="n">
        <f aca="false">Daily_Composite!AK325</f>
        <v>-0.109</v>
      </c>
      <c r="LK35" s="17" t="n">
        <f aca="false">Daily_Composite!AK326</f>
        <v>-0.109</v>
      </c>
      <c r="LL35" s="17" t="n">
        <f aca="false">Daily_Composite!AK327</f>
        <v>-0.069</v>
      </c>
      <c r="LM35" s="17" t="n">
        <f aca="false">Daily_Composite!AK328</f>
        <v>-0.007</v>
      </c>
      <c r="LN35" s="17" t="n">
        <f aca="false">Daily_Composite!AK329</f>
        <v>-0.115</v>
      </c>
      <c r="LO35" s="17" t="n">
        <f aca="false">Daily_Composite!AK330</f>
        <v>-0.126</v>
      </c>
      <c r="LP35" s="17" t="n">
        <f aca="false">Daily_Composite!AK331</f>
        <v>-0.038</v>
      </c>
      <c r="LQ35" s="17" t="n">
        <f aca="false">Daily_Composite!AK332</f>
        <v>-0.166</v>
      </c>
      <c r="LR35" s="17" t="n">
        <f aca="false">Daily_Composite!AK333</f>
        <v>0.225</v>
      </c>
      <c r="LS35" s="17" t="n">
        <f aca="false">Daily_Composite!AK334</f>
        <v>-0.16</v>
      </c>
      <c r="LT35" s="17" t="n">
        <f aca="false">Daily_Composite!AK335</f>
        <v>-0.427</v>
      </c>
      <c r="LU35" s="17" t="n">
        <f aca="false">Daily_Composite!AK336</f>
        <v>-0.361</v>
      </c>
      <c r="LV35" s="17" t="n">
        <f aca="false">Daily_Composite!AK337</f>
        <v>-0.314</v>
      </c>
      <c r="LW35" s="17" t="n">
        <f aca="false">Daily_Composite!AK338</f>
        <v>-0.2</v>
      </c>
      <c r="LX35" s="17" t="n">
        <f aca="false">Daily_Composite!AK339</f>
        <v>-0.2</v>
      </c>
      <c r="LY35" s="17" t="n">
        <f aca="false">Daily_Composite!AK340</f>
        <v>-0.2</v>
      </c>
      <c r="LZ35" s="17" t="n">
        <f aca="false">Daily_Composite!AK341</f>
        <v>-0.352</v>
      </c>
      <c r="MA35" s="17" t="n">
        <f aca="false">Daily_Composite!AK342</f>
        <v>-0.191</v>
      </c>
      <c r="MB35" s="17" t="n">
        <f aca="false">Daily_Composite!AK343</f>
        <v>-0.171</v>
      </c>
      <c r="MC35" s="17" t="n">
        <f aca="false">Daily_Composite!AK344</f>
        <v>-0.139</v>
      </c>
      <c r="MD35" s="17" t="n">
        <f aca="false">Daily_Composite!AK345</f>
        <v>-0.144</v>
      </c>
      <c r="ME35" s="17" t="n">
        <f aca="false">Daily_Composite!AK346</f>
        <v>-0.146</v>
      </c>
      <c r="MF35" s="17" t="n">
        <f aca="false">Daily_Composite!AK347</f>
        <v>0.41</v>
      </c>
      <c r="MG35" s="17" t="n">
        <f aca="false">Daily_Composite!AK348</f>
        <v>0.623</v>
      </c>
      <c r="MH35" s="17" t="n">
        <f aca="false">Daily_Composite!AK349</f>
        <v>0.458</v>
      </c>
      <c r="MI35" s="17" t="n">
        <f aca="false">Daily_Composite!AK350</f>
        <v>0.762</v>
      </c>
      <c r="MJ35" s="17" t="n">
        <f aca="false">Daily_Composite!AK351</f>
        <v>0.576</v>
      </c>
      <c r="MK35" s="17" t="n">
        <f aca="false">Daily_Composite!AK352</f>
        <v>0.576</v>
      </c>
      <c r="ML35" s="17" t="n">
        <f aca="false">Daily_Composite!AK353</f>
        <v>0.575</v>
      </c>
      <c r="MM35" s="17" t="n">
        <f aca="false">Daily_Composite!AK354</f>
        <v>0.568</v>
      </c>
      <c r="MN35" s="17" t="n">
        <f aca="false">Daily_Composite!AK355</f>
        <v>0.303</v>
      </c>
      <c r="MO35" s="17" t="n">
        <f aca="false">Daily_Composite!AK356</f>
        <v>0.33</v>
      </c>
      <c r="MP35" s="17" t="n">
        <f aca="false">Daily_Composite!AK357</f>
        <v>0.307</v>
      </c>
      <c r="MQ35" s="17" t="n">
        <f aca="false">Daily_Composite!AK358</f>
        <v>0.588</v>
      </c>
      <c r="MR35" s="17" t="n">
        <f aca="false">Daily_Composite!AK359</f>
        <v>0.171</v>
      </c>
      <c r="MS35" s="17" t="n">
        <f aca="false">Daily_Composite!AK360</f>
        <v>0.544</v>
      </c>
      <c r="MT35" s="17" t="n">
        <f aca="false">Daily_Composite!AK361</f>
        <v>0.353</v>
      </c>
      <c r="MU35" s="17" t="n">
        <f aca="false">Daily_Composite!AK362</f>
        <v>0.31</v>
      </c>
      <c r="MV35" s="17" t="n">
        <f aca="false">Daily_Composite!AK363</f>
        <v>0.175</v>
      </c>
      <c r="MW35" s="17" t="n">
        <f aca="false">Daily_Composite!AK364</f>
        <v>0.021</v>
      </c>
      <c r="MX35" s="17" t="n">
        <f aca="false">Daily_Composite!AK365</f>
        <v>0.023</v>
      </c>
      <c r="MY35" s="17" t="n">
        <f aca="false">Daily_Composite!AK366</f>
        <v>-0.128</v>
      </c>
      <c r="MZ35" s="17" t="n">
        <f aca="false">Daily_Composite!AK367</f>
        <v>0.003</v>
      </c>
      <c r="NA35" s="17" t="n">
        <f aca="false">Daily_Composite!AK368</f>
        <v>0.013</v>
      </c>
      <c r="NB35" s="17" t="n">
        <f aca="false">Daily_Composite!AK369</f>
        <v>-0.065</v>
      </c>
    </row>
    <row r="36" customFormat="false" ht="15" hidden="false" customHeight="false" outlineLevel="0" collapsed="false">
      <c r="A36" s="6" t="s">
        <v>49</v>
      </c>
      <c r="B36" s="17" t="n">
        <f aca="false">Daily_Composite!AL5</f>
        <v>-0.116</v>
      </c>
      <c r="C36" s="17" t="n">
        <f aca="false">Daily_Composite!AL6</f>
        <v>-0.447</v>
      </c>
      <c r="D36" s="17" t="n">
        <f aca="false">Daily_Composite!AL7</f>
        <v>-0.163</v>
      </c>
      <c r="E36" s="17" t="n">
        <f aca="false">Daily_Composite!AL8</f>
        <v>-0.076</v>
      </c>
      <c r="F36" s="17" t="n">
        <f aca="false">Daily_Composite!AL9</f>
        <v>-0.077</v>
      </c>
      <c r="G36" s="17" t="n">
        <f aca="false">Daily_Composite!AL10</f>
        <v>-0.207</v>
      </c>
      <c r="H36" s="17" t="n">
        <f aca="false">Daily_Composite!AL11</f>
        <v>-0.207</v>
      </c>
      <c r="I36" s="17" t="n">
        <f aca="false">Daily_Composite!AL12</f>
        <v>-0.145</v>
      </c>
      <c r="J36" s="17" t="n">
        <f aca="false">Daily_Composite!AL13</f>
        <v>-0.145</v>
      </c>
      <c r="K36" s="17" t="n">
        <f aca="false">Daily_Composite!AL14</f>
        <v>-0.393</v>
      </c>
      <c r="L36" s="17" t="n">
        <f aca="false">Daily_Composite!AL15</f>
        <v>-0.145</v>
      </c>
      <c r="M36" s="17" t="n">
        <f aca="false">Daily_Composite!AL16</f>
        <v>-0.145</v>
      </c>
      <c r="N36" s="17" t="n">
        <f aca="false">Daily_Composite!AL17</f>
        <v>-0.145</v>
      </c>
      <c r="O36" s="17" t="n">
        <f aca="false">Daily_Composite!AL18</f>
        <v>-0.145</v>
      </c>
      <c r="P36" s="17" t="n">
        <f aca="false">Daily_Composite!AL19</f>
        <v>-0.145</v>
      </c>
      <c r="Q36" s="17" t="n">
        <f aca="false">Daily_Composite!AL20</f>
        <v>-0.179</v>
      </c>
      <c r="R36" s="17" t="n">
        <f aca="false">Daily_Composite!AL21</f>
        <v>0.228</v>
      </c>
      <c r="S36" s="17" t="n">
        <f aca="false">Daily_Composite!AL22</f>
        <v>-0.089</v>
      </c>
      <c r="T36" s="17" t="n">
        <f aca="false">Daily_Composite!AL23</f>
        <v>0.036</v>
      </c>
      <c r="U36" s="17" t="n">
        <f aca="false">Daily_Composite!AL24</f>
        <v>-0.068</v>
      </c>
      <c r="V36" s="17" t="n">
        <f aca="false">Daily_Composite!AL25</f>
        <v>0.079</v>
      </c>
      <c r="W36" s="17" t="n">
        <f aca="false">Daily_Composite!AL26</f>
        <v>0.056</v>
      </c>
      <c r="X36" s="17" t="n">
        <f aca="false">Daily_Composite!AL27</f>
        <v>-0.163</v>
      </c>
      <c r="Y36" s="17" t="n">
        <f aca="false">Daily_Composite!AL28</f>
        <v>-0.146</v>
      </c>
      <c r="Z36" s="17" t="n">
        <f aca="false">Daily_Composite!AL29</f>
        <v>0.104</v>
      </c>
      <c r="AA36" s="17" t="n">
        <f aca="false">Daily_Composite!AL30</f>
        <v>0.103</v>
      </c>
      <c r="AB36" s="17" t="n">
        <f aca="false">Daily_Composite!AL31</f>
        <v>0.167</v>
      </c>
      <c r="AC36" s="17" t="n">
        <f aca="false">Daily_Composite!AL32</f>
        <v>0.007</v>
      </c>
      <c r="AD36" s="17" t="n">
        <f aca="false">Daily_Composite!AL33</f>
        <v>0.507</v>
      </c>
      <c r="AE36" s="17" t="n">
        <f aca="false">Daily_Composite!AL34</f>
        <v>0.101</v>
      </c>
      <c r="AF36" s="17" t="n">
        <f aca="false">Daily_Composite!AL35</f>
        <v>0.1</v>
      </c>
      <c r="AG36" s="17" t="n">
        <f aca="false">Daily_Composite!AL36</f>
        <v>0.077</v>
      </c>
      <c r="AH36" s="17" t="n">
        <f aca="false">Daily_Composite!AL37</f>
        <v>0.054</v>
      </c>
      <c r="AI36" s="17" t="n">
        <f aca="false">Daily_Composite!AL38</f>
        <v>0.054</v>
      </c>
      <c r="AJ36" s="17" t="n">
        <f aca="false">Daily_Composite!AL39</f>
        <v>0.054</v>
      </c>
      <c r="AK36" s="17" t="n">
        <f aca="false">Daily_Composite!AL40</f>
        <v>0.033</v>
      </c>
      <c r="AL36" s="17" t="n">
        <f aca="false">Daily_Composite!AL41</f>
        <v>0.166</v>
      </c>
      <c r="AM36" s="17" t="n">
        <f aca="false">Daily_Composite!AL42</f>
        <v>-0.013</v>
      </c>
      <c r="AN36" s="17" t="n">
        <f aca="false">Daily_Composite!AL43</f>
        <v>-0.014</v>
      </c>
      <c r="AO36" s="17" t="n">
        <f aca="false">Daily_Composite!AL44</f>
        <v>-0.016</v>
      </c>
      <c r="AP36" s="17" t="n">
        <f aca="false">Daily_Composite!AL45</f>
        <v>-0.016</v>
      </c>
      <c r="AQ36" s="17" t="n">
        <f aca="false">Daily_Composite!AL46</f>
        <v>0.029</v>
      </c>
      <c r="AR36" s="17" t="n">
        <f aca="false">Daily_Composite!AL47</f>
        <v>0.021</v>
      </c>
      <c r="AS36" s="17" t="n">
        <f aca="false">Daily_Composite!AL48</f>
        <v>0.065</v>
      </c>
      <c r="AT36" s="17" t="n">
        <f aca="false">Daily_Composite!AL49</f>
        <v>-0.057</v>
      </c>
      <c r="AU36" s="17" t="n">
        <f aca="false">Daily_Composite!AL50</f>
        <v>-0.055</v>
      </c>
      <c r="AV36" s="17" t="n">
        <f aca="false">Daily_Composite!AL51</f>
        <v>0.29</v>
      </c>
      <c r="AW36" s="17" t="n">
        <f aca="false">Daily_Composite!AL52</f>
        <v>-0.084</v>
      </c>
      <c r="AX36" s="17" t="n">
        <f aca="false">Daily_Composite!AL53</f>
        <v>-0.096</v>
      </c>
      <c r="AY36" s="17" t="n">
        <f aca="false">Daily_Composite!AL54</f>
        <v>-0.334</v>
      </c>
      <c r="AZ36" s="17" t="n">
        <f aca="false">Daily_Composite!AL55</f>
        <v>-0.381</v>
      </c>
      <c r="BA36" s="17" t="n">
        <f aca="false">Daily_Composite!AL56</f>
        <v>-0.103</v>
      </c>
      <c r="BB36" s="17" t="n">
        <f aca="false">Daily_Composite!AL57</f>
        <v>-0.102</v>
      </c>
      <c r="BC36" s="17" t="n">
        <f aca="false">Daily_Composite!AL58</f>
        <v>-0.101</v>
      </c>
      <c r="BD36" s="17" t="n">
        <f aca="false">Daily_Composite!AL59</f>
        <v>-0.062</v>
      </c>
      <c r="BE36" s="17" t="n">
        <f aca="false">Daily_Composite!AL60</f>
        <v>-0.188</v>
      </c>
      <c r="BF36" s="17" t="n">
        <f aca="false">Daily_Composite!AL61</f>
        <v>-0.027</v>
      </c>
      <c r="BG36" s="17" t="n">
        <f aca="false">Daily_Composite!AL62</f>
        <v>-0.148</v>
      </c>
      <c r="BH36" s="17" t="n">
        <f aca="false">Daily_Composite!AL63</f>
        <v>-0.095</v>
      </c>
      <c r="BI36" s="17" t="n">
        <f aca="false">Daily_Composite!AL64</f>
        <v>-0.095</v>
      </c>
      <c r="BJ36" s="17" t="n">
        <f aca="false">Daily_Composite!AL65</f>
        <v>-0.252</v>
      </c>
      <c r="BK36" s="17" t="n">
        <f aca="false">Daily_Composite!AL66</f>
        <v>-0.288</v>
      </c>
      <c r="BL36" s="17" t="n">
        <f aca="false">Daily_Composite!AL67</f>
        <v>-0.094</v>
      </c>
      <c r="BM36" s="17" t="n">
        <f aca="false">Daily_Composite!AL68</f>
        <v>-0.097</v>
      </c>
      <c r="BN36" s="17" t="n">
        <f aca="false">Daily_Composite!AL69</f>
        <v>-0.119</v>
      </c>
      <c r="BO36" s="17" t="n">
        <f aca="false">Daily_Composite!AL70</f>
        <v>-0.221</v>
      </c>
      <c r="BP36" s="17" t="n">
        <f aca="false">Daily_Composite!AL71</f>
        <v>-0.205</v>
      </c>
      <c r="BQ36" s="17" t="n">
        <f aca="false">Daily_Composite!AL72</f>
        <v>-0.111</v>
      </c>
      <c r="BR36" s="17" t="n">
        <f aca="false">Daily_Composite!AL73</f>
        <v>-0.111</v>
      </c>
      <c r="BS36" s="17" t="n">
        <f aca="false">Daily_Composite!AL74</f>
        <v>-0.119</v>
      </c>
      <c r="BT36" s="17" t="n">
        <f aca="false">Daily_Composite!AL75</f>
        <v>-0.003</v>
      </c>
      <c r="BU36" s="17" t="n">
        <f aca="false">Daily_Composite!AL76</f>
        <v>-0.11</v>
      </c>
      <c r="BV36" s="17" t="n">
        <f aca="false">Daily_Composite!AL77</f>
        <v>-0.111</v>
      </c>
      <c r="BW36" s="17" t="n">
        <f aca="false">Daily_Composite!AL78</f>
        <v>0.339</v>
      </c>
      <c r="BX36" s="17" t="n">
        <f aca="false">Daily_Composite!AL79</f>
        <v>-0.289</v>
      </c>
      <c r="BY36" s="17" t="n">
        <f aca="false">Daily_Composite!AL80</f>
        <v>-0.178</v>
      </c>
      <c r="BZ36" s="17" t="n">
        <f aca="false">Daily_Composite!AL81</f>
        <v>-0.184</v>
      </c>
      <c r="CA36" s="17" t="n">
        <f aca="false">Daily_Composite!AL82</f>
        <v>-0.2</v>
      </c>
      <c r="CB36" s="17" t="n">
        <f aca="false">Daily_Composite!AL83</f>
        <v>-0.253</v>
      </c>
      <c r="CC36" s="17" t="n">
        <f aca="false">Daily_Composite!AL84</f>
        <v>-0.117</v>
      </c>
      <c r="CD36" s="17" t="n">
        <f aca="false">Daily_Composite!AL85</f>
        <v>-0.135</v>
      </c>
      <c r="CE36" s="17" t="n">
        <f aca="false">Daily_Composite!AL86</f>
        <v>0.107</v>
      </c>
      <c r="CF36" s="17" t="n">
        <f aca="false">Daily_Composite!AL87</f>
        <v>0.107</v>
      </c>
      <c r="CG36" s="17" t="n">
        <f aca="false">Daily_Composite!AL88</f>
        <v>-0.105</v>
      </c>
      <c r="CH36" s="17" t="n">
        <f aca="false">Daily_Composite!AL89</f>
        <v>-0.123</v>
      </c>
      <c r="CI36" s="17" t="n">
        <f aca="false">Daily_Composite!AL90</f>
        <v>-0.055</v>
      </c>
      <c r="CJ36" s="17" t="n">
        <f aca="false">Daily_Composite!AL91</f>
        <v>-0.058</v>
      </c>
      <c r="CK36" s="17" t="n">
        <f aca="false">Daily_Composite!AL92</f>
        <v>-0.147</v>
      </c>
      <c r="CL36" s="17" t="n">
        <f aca="false">Daily_Composite!AL93</f>
        <v>-0.169</v>
      </c>
      <c r="CM36" s="17" t="n">
        <f aca="false">Daily_Composite!AL94</f>
        <v>-0.262</v>
      </c>
      <c r="CN36" s="17" t="n">
        <f aca="false">Daily_Composite!AL95</f>
        <v>-0.349</v>
      </c>
      <c r="CO36" s="17" t="n">
        <f aca="false">Daily_Composite!AL96</f>
        <v>-0.132</v>
      </c>
      <c r="CP36" s="17" t="n">
        <f aca="false">Daily_Composite!AL97</f>
        <v>-0.288</v>
      </c>
      <c r="CQ36" s="17" t="n">
        <f aca="false">Daily_Composite!AL98</f>
        <v>-0.377</v>
      </c>
      <c r="CR36" s="17" t="n">
        <f aca="false">Daily_Composite!AL99</f>
        <v>-0.437</v>
      </c>
      <c r="CS36" s="17" t="n">
        <f aca="false">Daily_Composite!AL100</f>
        <v>-0.413</v>
      </c>
      <c r="CT36" s="17" t="n">
        <f aca="false">Daily_Composite!AL101</f>
        <v>-0.111</v>
      </c>
      <c r="CU36" s="17" t="n">
        <f aca="false">Daily_Composite!AL102</f>
        <v>-0.116</v>
      </c>
      <c r="CV36" s="17" t="n">
        <f aca="false">Daily_Composite!AL103</f>
        <v>-0.371</v>
      </c>
      <c r="CW36" s="17" t="n">
        <f aca="false">Daily_Composite!AL104</f>
        <v>-0.381</v>
      </c>
      <c r="CX36" s="17" t="n">
        <f aca="false">Daily_Composite!AL105</f>
        <v>-0.387</v>
      </c>
      <c r="CY36" s="17" t="n">
        <f aca="false">Daily_Composite!AL106</f>
        <v>-0.239</v>
      </c>
      <c r="CZ36" s="17" t="n">
        <f aca="false">Daily_Composite!AL107</f>
        <v>-0.597</v>
      </c>
      <c r="DA36" s="17" t="n">
        <f aca="false">Daily_Composite!AL108</f>
        <v>-0.616</v>
      </c>
      <c r="DB36" s="17" t="n">
        <f aca="false">Daily_Composite!AL109</f>
        <v>-0.615</v>
      </c>
      <c r="DC36" s="17" t="n">
        <f aca="false">Daily_Composite!AL110</f>
        <v>-0.608</v>
      </c>
      <c r="DD36" s="17" t="n">
        <f aca="false">Daily_Composite!AL111</f>
        <v>-0.269</v>
      </c>
      <c r="DE36" s="17" t="n">
        <f aca="false">Daily_Composite!AL112</f>
        <v>-0.287</v>
      </c>
      <c r="DF36" s="17" t="n">
        <f aca="false">Daily_Composite!AL113</f>
        <v>-0.117</v>
      </c>
      <c r="DG36" s="17" t="n">
        <f aca="false">Daily_Composite!AL114</f>
        <v>-0.427</v>
      </c>
      <c r="DH36" s="17" t="n">
        <f aca="false">Daily_Composite!AL115</f>
        <v>-0.053</v>
      </c>
      <c r="DI36" s="17" t="n">
        <f aca="false">Daily_Composite!AL116</f>
        <v>-0.366</v>
      </c>
      <c r="DJ36" s="17" t="n">
        <f aca="false">Daily_Composite!AL117</f>
        <v>-0.367</v>
      </c>
      <c r="DK36" s="17" t="n">
        <f aca="false">Daily_Composite!AL118</f>
        <v>-0.368</v>
      </c>
      <c r="DL36" s="17" t="n">
        <f aca="false">Daily_Composite!AL119</f>
        <v>-0.335</v>
      </c>
      <c r="DM36" s="17" t="n">
        <f aca="false">Daily_Composite!AL120</f>
        <v>-0.212</v>
      </c>
      <c r="DN36" s="17" t="n">
        <f aca="false">Daily_Composite!AL121</f>
        <v>-0.259</v>
      </c>
      <c r="DO36" s="17" t="n">
        <f aca="false">Daily_Composite!AL122</f>
        <v>-0.21</v>
      </c>
      <c r="DP36" s="17" t="n">
        <f aca="false">Daily_Composite!AL123</f>
        <v>0.259</v>
      </c>
      <c r="DQ36" s="17" t="n">
        <f aca="false">Daily_Composite!AL124</f>
        <v>-0.027</v>
      </c>
      <c r="DR36" s="17" t="n">
        <f aca="false">Daily_Composite!AL125</f>
        <v>-0.002</v>
      </c>
      <c r="DS36" s="17" t="n">
        <f aca="false">Daily_Composite!AL126</f>
        <v>-0.046</v>
      </c>
      <c r="DT36" s="17" t="n">
        <f aca="false">Daily_Composite!AL127</f>
        <v>-0.078</v>
      </c>
      <c r="DU36" s="17" t="n">
        <f aca="false">Daily_Composite!AL128</f>
        <v>0.203</v>
      </c>
      <c r="DV36" s="17" t="n">
        <f aca="false">Daily_Composite!AL129</f>
        <v>0.161</v>
      </c>
      <c r="DW36" s="17" t="n">
        <f aca="false">Daily_Composite!AL130</f>
        <v>0.077</v>
      </c>
      <c r="DX36" s="17" t="n">
        <f aca="false">Daily_Composite!AL131</f>
        <v>-0.108</v>
      </c>
      <c r="DY36" s="17" t="n">
        <f aca="false">Daily_Composite!AL132</f>
        <v>-0.146</v>
      </c>
      <c r="DZ36" s="17" t="n">
        <f aca="false">Daily_Composite!AL133</f>
        <v>0.147</v>
      </c>
      <c r="EA36" s="17" t="n">
        <f aca="false">Daily_Composite!AL134</f>
        <v>-0.214</v>
      </c>
      <c r="EB36" s="17" t="n">
        <f aca="false">Daily_Composite!AL135</f>
        <v>-0.253</v>
      </c>
      <c r="EC36" s="17" t="n">
        <f aca="false">Daily_Composite!AL136</f>
        <v>-0.419</v>
      </c>
      <c r="ED36" s="17" t="n">
        <f aca="false">Daily_Composite!AL137</f>
        <v>-0.419</v>
      </c>
      <c r="EE36" s="17" t="n">
        <f aca="false">Daily_Composite!AL138</f>
        <v>-0.201</v>
      </c>
      <c r="EF36" s="17" t="n">
        <f aca="false">Daily_Composite!AL139</f>
        <v>-0.162</v>
      </c>
      <c r="EG36" s="17" t="n">
        <f aca="false">Daily_Composite!AL140</f>
        <v>0.087</v>
      </c>
      <c r="EH36" s="17" t="n">
        <f aca="false">Daily_Composite!AL141</f>
        <v>-0.034</v>
      </c>
      <c r="EI36" s="17" t="n">
        <f aca="false">Daily_Composite!AL142</f>
        <v>0.244</v>
      </c>
      <c r="EJ36" s="17" t="n">
        <f aca="false">Daily_Composite!AL143</f>
        <v>-0.092</v>
      </c>
      <c r="EK36" s="17" t="n">
        <f aca="false">Daily_Composite!AL144</f>
        <v>-0.092</v>
      </c>
      <c r="EL36" s="17" t="n">
        <f aca="false">Daily_Composite!AL145</f>
        <v>-0.074</v>
      </c>
      <c r="EM36" s="17" t="n">
        <f aca="false">Daily_Composite!AL146</f>
        <v>-0.056</v>
      </c>
      <c r="EN36" s="17" t="n">
        <f aca="false">Daily_Composite!AL147</f>
        <v>-0.039</v>
      </c>
      <c r="EO36" s="17" t="n">
        <f aca="false">Daily_Composite!AL148</f>
        <v>-0.021</v>
      </c>
      <c r="EP36" s="17" t="n">
        <f aca="false">Daily_Composite!AL149</f>
        <v>0.068</v>
      </c>
      <c r="EQ36" s="17" t="n">
        <f aca="false">Daily_Composite!AL150</f>
        <v>0.068</v>
      </c>
      <c r="ER36" s="17" t="n">
        <f aca="false">Daily_Composite!AL151</f>
        <v>0.336</v>
      </c>
      <c r="ES36" s="17" t="n">
        <f aca="false">Daily_Composite!AL152</f>
        <v>-0.004</v>
      </c>
      <c r="ET36" s="17" t="n">
        <f aca="false">Daily_Composite!AL153</f>
        <v>-0.1</v>
      </c>
      <c r="EU36" s="17" t="n">
        <f aca="false">Daily_Composite!AL154</f>
        <v>-0.103</v>
      </c>
      <c r="EV36" s="17" t="n">
        <f aca="false">Daily_Composite!AL155</f>
        <v>-0.107</v>
      </c>
      <c r="EW36" s="17" t="n">
        <f aca="false">Daily_Composite!AL156</f>
        <v>0.212</v>
      </c>
      <c r="EX36" s="17" t="n">
        <f aca="false">Daily_Composite!AL157</f>
        <v>0.212</v>
      </c>
      <c r="EY36" s="17" t="n">
        <f aca="false">Daily_Composite!AL158</f>
        <v>0.094</v>
      </c>
      <c r="EZ36" s="17" t="n">
        <f aca="false">Daily_Composite!AL159</f>
        <v>0.09</v>
      </c>
      <c r="FA36" s="17" t="n">
        <f aca="false">Daily_Composite!AL160</f>
        <v>0.018</v>
      </c>
      <c r="FB36" s="17" t="n">
        <f aca="false">Daily_Composite!AL161</f>
        <v>-0.3</v>
      </c>
      <c r="FC36" s="17" t="n">
        <f aca="false">Daily_Composite!AL162</f>
        <v>-0.229</v>
      </c>
      <c r="FD36" s="17" t="n">
        <f aca="false">Daily_Composite!AL163</f>
        <v>-0.196</v>
      </c>
      <c r="FE36" s="17" t="n">
        <f aca="false">Daily_Composite!AL164</f>
        <v>-0.244</v>
      </c>
      <c r="FF36" s="17" t="n">
        <f aca="false">Daily_Composite!AL165</f>
        <v>0.047</v>
      </c>
      <c r="FG36" s="17" t="n">
        <f aca="false">Daily_Composite!AL166</f>
        <v>0.037</v>
      </c>
      <c r="FH36" s="17" t="n">
        <f aca="false">Daily_Composite!AL167</f>
        <v>0.035</v>
      </c>
      <c r="FI36" s="17" t="n">
        <f aca="false">Daily_Composite!AL168</f>
        <v>0.034</v>
      </c>
      <c r="FJ36" s="17" t="n">
        <f aca="false">Daily_Composite!AL169</f>
        <v>0.058</v>
      </c>
      <c r="FK36" s="17" t="n">
        <f aca="false">Daily_Composite!AL170</f>
        <v>-0.152</v>
      </c>
      <c r="FL36" s="17" t="n">
        <f aca="false">Daily_Composite!AL171</f>
        <v>-0.123</v>
      </c>
      <c r="FM36" s="17" t="n">
        <f aca="false">Daily_Composite!AL172</f>
        <v>0.094</v>
      </c>
      <c r="FN36" s="17" t="n">
        <f aca="false">Daily_Composite!AL173</f>
        <v>0.13</v>
      </c>
      <c r="FO36" s="17" t="n">
        <f aca="false">Daily_Composite!AL174</f>
        <v>0.156</v>
      </c>
      <c r="FP36" s="17" t="n">
        <f aca="false">Daily_Composite!AL175</f>
        <v>0.181</v>
      </c>
      <c r="FQ36" s="17" t="n">
        <f aca="false">Daily_Composite!AL176</f>
        <v>0.154</v>
      </c>
      <c r="FR36" s="17" t="n">
        <f aca="false">Daily_Composite!AL177</f>
        <v>0.115</v>
      </c>
      <c r="FS36" s="17" t="n">
        <f aca="false">Daily_Composite!AL178</f>
        <v>0.376</v>
      </c>
      <c r="FT36" s="17" t="n">
        <f aca="false">Daily_Composite!AL179</f>
        <v>0.015</v>
      </c>
      <c r="FU36" s="17" t="n">
        <f aca="false">Daily_Composite!AL180</f>
        <v>0.066</v>
      </c>
      <c r="FV36" s="17" t="n">
        <f aca="false">Daily_Composite!AL181</f>
        <v>0.027</v>
      </c>
      <c r="FW36" s="17" t="n">
        <f aca="false">Daily_Composite!AL182</f>
        <v>-0.012</v>
      </c>
      <c r="FX36" s="17" t="n">
        <f aca="false">Daily_Composite!AL183</f>
        <v>-0.19</v>
      </c>
      <c r="FY36" s="17" t="n">
        <f aca="false">Daily_Composite!AL184</f>
        <v>-0.096</v>
      </c>
      <c r="FZ36" s="17" t="n">
        <f aca="false">Daily_Composite!AL185</f>
        <v>-0.038</v>
      </c>
      <c r="GA36" s="17" t="n">
        <f aca="false">Daily_Composite!AL186</f>
        <v>-0.038</v>
      </c>
      <c r="GB36" s="17" t="n">
        <f aca="false">Daily_Composite!AL187</f>
        <v>-0.04</v>
      </c>
      <c r="GC36" s="17" t="n">
        <f aca="false">Daily_Composite!AL188</f>
        <v>-0.344</v>
      </c>
      <c r="GD36" s="17" t="n">
        <f aca="false">Daily_Composite!AL189</f>
        <v>-0.403</v>
      </c>
      <c r="GE36" s="17" t="n">
        <f aca="false">Daily_Composite!AL190</f>
        <v>-0.422</v>
      </c>
      <c r="GF36" s="17" t="n">
        <f aca="false">Daily_Composite!AL191</f>
        <v>-0.344</v>
      </c>
      <c r="GG36" s="17" t="n">
        <f aca="false">Daily_Composite!AL192</f>
        <v>-0.293</v>
      </c>
      <c r="GH36" s="17" t="n">
        <f aca="false">Daily_Composite!AL193</f>
        <v>-0.118</v>
      </c>
      <c r="GI36" s="17" t="n">
        <f aca="false">Daily_Composite!AL194</f>
        <v>-0.118</v>
      </c>
      <c r="GJ36" s="17" t="n">
        <f aca="false">Daily_Composite!AL195</f>
        <v>0.003</v>
      </c>
      <c r="GK36" s="17" t="n">
        <f aca="false">Daily_Composite!AL196</f>
        <v>-0.061</v>
      </c>
      <c r="GL36" s="17" t="n">
        <f aca="false">Daily_Composite!AL197</f>
        <v>-0.121</v>
      </c>
      <c r="GM36" s="17" t="n">
        <f aca="false">Daily_Composite!AL198</f>
        <v>-0.156</v>
      </c>
      <c r="GN36" s="17" t="n">
        <f aca="false">Daily_Composite!AL199</f>
        <v>-0.194</v>
      </c>
      <c r="GO36" s="17" t="n">
        <f aca="false">Daily_Composite!AL200</f>
        <v>-0.156</v>
      </c>
      <c r="GP36" s="17" t="n">
        <f aca="false">Daily_Composite!AL201</f>
        <v>-0.145</v>
      </c>
      <c r="GQ36" s="17" t="n">
        <f aca="false">Daily_Composite!AL202</f>
        <v>-0.133</v>
      </c>
      <c r="GR36" s="17" t="n">
        <f aca="false">Daily_Composite!AL203</f>
        <v>-0.123</v>
      </c>
      <c r="GS36" s="17" t="n">
        <f aca="false">Daily_Composite!AL204</f>
        <v>-0.113</v>
      </c>
      <c r="GT36" s="17" t="n">
        <f aca="false">Daily_Composite!AL205</f>
        <v>-0.082</v>
      </c>
      <c r="GU36" s="17" t="n">
        <f aca="false">Daily_Composite!AL206</f>
        <v>-0.102</v>
      </c>
      <c r="GV36" s="17" t="n">
        <f aca="false">Daily_Composite!AL207</f>
        <v>-0.102</v>
      </c>
      <c r="GW36" s="17" t="n">
        <f aca="false">Daily_Composite!AL208</f>
        <v>-0.104</v>
      </c>
      <c r="GX36" s="17" t="n">
        <f aca="false">Daily_Composite!AL209</f>
        <v>-0.105</v>
      </c>
      <c r="GY36" s="17" t="n">
        <f aca="false">Daily_Composite!AL210</f>
        <v>-0.004</v>
      </c>
      <c r="GZ36" s="17" t="n">
        <f aca="false">Daily_Composite!AL211</f>
        <v>-0.048</v>
      </c>
      <c r="HA36" s="17" t="n">
        <f aca="false">Daily_Composite!AL212</f>
        <v>-0.092</v>
      </c>
      <c r="HB36" s="17" t="n">
        <f aca="false">Daily_Composite!AL213</f>
        <v>-0.11</v>
      </c>
      <c r="HC36" s="17" t="n">
        <f aca="false">Daily_Composite!AL214</f>
        <v>-0.226</v>
      </c>
      <c r="HD36" s="17" t="n">
        <f aca="false">Daily_Composite!AL215</f>
        <v>-0.519</v>
      </c>
      <c r="HE36" s="17" t="n">
        <f aca="false">Daily_Composite!AL216</f>
        <v>-0.38</v>
      </c>
      <c r="HF36" s="17" t="n">
        <f aca="false">Daily_Composite!AL217</f>
        <v>-0.431</v>
      </c>
      <c r="HG36" s="17" t="n">
        <f aca="false">Daily_Composite!AL218</f>
        <v>-0.501</v>
      </c>
      <c r="HH36" s="17" t="n">
        <f aca="false">Daily_Composite!AL219</f>
        <v>-0.382</v>
      </c>
      <c r="HI36" s="17" t="n">
        <f aca="false">Daily_Composite!AL220</f>
        <v>-0.146</v>
      </c>
      <c r="HJ36" s="17" t="n">
        <f aca="false">Daily_Composite!AL221</f>
        <v>-0.146</v>
      </c>
      <c r="HK36" s="17" t="n">
        <f aca="false">Daily_Composite!AL222</f>
        <v>-0.035</v>
      </c>
      <c r="HL36" s="17" t="n">
        <f aca="false">Daily_Composite!AL223</f>
        <v>-0.148</v>
      </c>
      <c r="HM36" s="17" t="n">
        <f aca="false">Daily_Composite!AL224</f>
        <v>-0.595</v>
      </c>
      <c r="HN36" s="17" t="n">
        <f aca="false">Daily_Composite!AL225</f>
        <v>-0.156</v>
      </c>
      <c r="HO36" s="17" t="n">
        <f aca="false">Daily_Composite!AL226</f>
        <v>-0.157</v>
      </c>
      <c r="HP36" s="17" t="n">
        <f aca="false">Daily_Composite!AL227</f>
        <v>-0.157</v>
      </c>
      <c r="HQ36" s="17" t="n">
        <f aca="false">Daily_Composite!AL228</f>
        <v>-0.157</v>
      </c>
      <c r="HR36" s="17" t="n">
        <f aca="false">Daily_Composite!AL229</f>
        <v>-0.07</v>
      </c>
      <c r="HS36" s="17" t="n">
        <f aca="false">Daily_Composite!AL230</f>
        <v>-0.02</v>
      </c>
      <c r="HT36" s="17" t="n">
        <f aca="false">Daily_Composite!AL231</f>
        <v>-0.183</v>
      </c>
      <c r="HU36" s="17" t="n">
        <f aca="false">Daily_Composite!AL232</f>
        <v>-0.192</v>
      </c>
      <c r="HV36" s="17" t="n">
        <f aca="false">Daily_Composite!AL233</f>
        <v>-0.606</v>
      </c>
      <c r="HW36" s="17" t="n">
        <f aca="false">Daily_Composite!AL234</f>
        <v>-0.201</v>
      </c>
      <c r="HX36" s="17" t="n">
        <f aca="false">Daily_Composite!AL235</f>
        <v>-0.201</v>
      </c>
      <c r="HY36" s="17" t="n">
        <f aca="false">Daily_Composite!AL236</f>
        <v>-0.201</v>
      </c>
      <c r="HZ36" s="17" t="n">
        <f aca="false">Daily_Composite!AL237</f>
        <v>-0.202</v>
      </c>
      <c r="IA36" s="17" t="n">
        <f aca="false">Daily_Composite!AL238</f>
        <v>-0.169</v>
      </c>
      <c r="IB36" s="17" t="n">
        <f aca="false">Daily_Composite!AL239</f>
        <v>-0.071</v>
      </c>
      <c r="IC36" s="17" t="n">
        <f aca="false">Daily_Composite!AL240</f>
        <v>-0.111</v>
      </c>
      <c r="ID36" s="17" t="n">
        <f aca="false">Daily_Composite!AL241</f>
        <v>-0.204</v>
      </c>
      <c r="IE36" s="17" t="n">
        <f aca="false">Daily_Composite!AL242</f>
        <v>-0.654</v>
      </c>
      <c r="IF36" s="17" t="n">
        <f aca="false">Daily_Composite!AL243</f>
        <v>-0.312</v>
      </c>
      <c r="IG36" s="17" t="n">
        <f aca="false">Daily_Composite!AL244</f>
        <v>-0.324</v>
      </c>
      <c r="IH36" s="17" t="n">
        <f aca="false">Daily_Composite!AL245</f>
        <v>-0.459</v>
      </c>
      <c r="II36" s="17" t="n">
        <f aca="false">Daily_Composite!AL246</f>
        <v>-0.426</v>
      </c>
      <c r="IJ36" s="17" t="n">
        <f aca="false">Daily_Composite!AL247</f>
        <v>-0.427</v>
      </c>
      <c r="IK36" s="17" t="n">
        <f aca="false">Daily_Composite!AL248</f>
        <v>-0.208</v>
      </c>
      <c r="IL36" s="17" t="n">
        <f aca="false">Daily_Composite!AL249</f>
        <v>-0.208</v>
      </c>
      <c r="IM36" s="17" t="n">
        <f aca="false">Daily_Composite!AL250</f>
        <v>-0.05</v>
      </c>
      <c r="IN36" s="17" t="n">
        <f aca="false">Daily_Composite!AL251</f>
        <v>0.022</v>
      </c>
      <c r="IO36" s="17" t="n">
        <f aca="false">Daily_Composite!AL252</f>
        <v>-0.614</v>
      </c>
      <c r="IP36" s="17" t="n">
        <f aca="false">Daily_Composite!AL253</f>
        <v>-0.209</v>
      </c>
      <c r="IQ36" s="17" t="n">
        <f aca="false">Daily_Composite!AL254</f>
        <v>-0.21</v>
      </c>
      <c r="IR36" s="17" t="n">
        <f aca="false">Daily_Composite!AL255</f>
        <v>-0.21</v>
      </c>
      <c r="IS36" s="17" t="n">
        <f aca="false">Daily_Composite!AL256</f>
        <v>-0.21</v>
      </c>
      <c r="IT36" s="17" t="n">
        <f aca="false">Daily_Composite!AL257</f>
        <v>-0.21</v>
      </c>
      <c r="IU36" s="17" t="n">
        <f aca="false">Daily_Composite!AL258</f>
        <v>-0.026</v>
      </c>
      <c r="IV36" s="17" t="n">
        <f aca="false">Daily_Composite!AL259</f>
        <v>-0.024</v>
      </c>
      <c r="IW36" s="17" t="n">
        <f aca="false">Daily_Composite!AL260</f>
        <v>-0.614</v>
      </c>
      <c r="IX36" s="17" t="n">
        <f aca="false">Daily_Composite!AL261</f>
        <v>-0.21</v>
      </c>
      <c r="IY36" s="17" t="n">
        <f aca="false">Daily_Composite!AL262</f>
        <v>-0.21</v>
      </c>
      <c r="IZ36" s="17" t="n">
        <f aca="false">Daily_Composite!AL263</f>
        <v>-0.21</v>
      </c>
      <c r="JA36" s="17" t="n">
        <f aca="false">Daily_Composite!AL264</f>
        <v>-0.21</v>
      </c>
      <c r="JB36" s="17" t="n">
        <f aca="false">Daily_Composite!AL265</f>
        <v>-0.104</v>
      </c>
      <c r="JC36" s="17" t="n">
        <f aca="false">Daily_Composite!AL266</f>
        <v>-0.302</v>
      </c>
      <c r="JD36" s="17" t="n">
        <f aca="false">Daily_Composite!AL267</f>
        <v>-0.092</v>
      </c>
      <c r="JE36" s="17" t="n">
        <f aca="false">Daily_Composite!AL268</f>
        <v>-0.139</v>
      </c>
      <c r="JF36" s="17" t="n">
        <f aca="false">Daily_Composite!AL269</f>
        <v>-0.544</v>
      </c>
      <c r="JG36" s="17" t="n">
        <f aca="false">Daily_Composite!AL270</f>
        <v>-0.483</v>
      </c>
      <c r="JH36" s="17" t="n">
        <f aca="false">Daily_Composite!AL271</f>
        <v>-0.473</v>
      </c>
      <c r="JI36" s="17" t="n">
        <f aca="false">Daily_Composite!AL272</f>
        <v>-0.334</v>
      </c>
      <c r="JJ36" s="17" t="n">
        <f aca="false">Daily_Composite!AL273</f>
        <v>-0.294</v>
      </c>
      <c r="JK36" s="17" t="n">
        <f aca="false">Daily_Composite!AL274</f>
        <v>-0.377</v>
      </c>
      <c r="JL36" s="17" t="n">
        <f aca="false">Daily_Composite!AL275</f>
        <v>-0.202</v>
      </c>
      <c r="JM36" s="17" t="n">
        <f aca="false">Daily_Composite!AL276</f>
        <v>-0.202</v>
      </c>
      <c r="JN36" s="17" t="n">
        <f aca="false">Daily_Composite!AL277</f>
        <v>0.106</v>
      </c>
      <c r="JO36" s="17" t="n">
        <f aca="false">Daily_Composite!AL278</f>
        <v>0.087</v>
      </c>
      <c r="JP36" s="17" t="n">
        <f aca="false">Daily_Composite!AL279</f>
        <v>-0.598</v>
      </c>
      <c r="JQ36" s="17" t="n">
        <f aca="false">Daily_Composite!AL280</f>
        <v>-0.19</v>
      </c>
      <c r="JR36" s="17" t="n">
        <f aca="false">Daily_Composite!AL281</f>
        <v>-0.186</v>
      </c>
      <c r="JS36" s="17" t="n">
        <f aca="false">Daily_Composite!AL282</f>
        <v>-0.186</v>
      </c>
      <c r="JT36" s="17" t="n">
        <f aca="false">Daily_Composite!AL283</f>
        <v>-0.186</v>
      </c>
      <c r="JU36" s="17" t="n">
        <f aca="false">Daily_Composite!AL284</f>
        <v>-0.186</v>
      </c>
      <c r="JV36" s="17" t="n">
        <f aca="false">Daily_Composite!AL285</f>
        <v>-0.187</v>
      </c>
      <c r="JW36" s="17" t="n">
        <f aca="false">Daily_Composite!AL286</f>
        <v>0.006</v>
      </c>
      <c r="JX36" s="17" t="n">
        <f aca="false">Daily_Composite!AL287</f>
        <v>-0.51</v>
      </c>
      <c r="JY36" s="17" t="n">
        <f aca="false">Daily_Composite!AL288</f>
        <v>-0.188</v>
      </c>
      <c r="JZ36" s="17" t="n">
        <f aca="false">Daily_Composite!AL289</f>
        <v>-0.207</v>
      </c>
      <c r="KA36" s="17" t="n">
        <f aca="false">Daily_Composite!AL290</f>
        <v>-0.341</v>
      </c>
      <c r="KB36" s="17" t="n">
        <f aca="false">Daily_Composite!AL291</f>
        <v>-0.339</v>
      </c>
      <c r="KC36" s="17" t="n">
        <f aca="false">Daily_Composite!AL292</f>
        <v>-0.419</v>
      </c>
      <c r="KD36" s="17" t="n">
        <f aca="false">Daily_Composite!AL293</f>
        <v>-0.413</v>
      </c>
      <c r="KE36" s="17" t="n">
        <f aca="false">Daily_Composite!AL294</f>
        <v>-0.336</v>
      </c>
      <c r="KF36" s="17" t="n">
        <f aca="false">Daily_Composite!AL295</f>
        <v>-0.335</v>
      </c>
      <c r="KG36" s="17" t="n">
        <f aca="false">Daily_Composite!AL296</f>
        <v>-0.333</v>
      </c>
      <c r="KH36" s="17" t="n">
        <f aca="false">Daily_Composite!AL297</f>
        <v>-0.671</v>
      </c>
      <c r="KI36" s="17" t="n">
        <f aca="false">Daily_Composite!AL298</f>
        <v>-0.543</v>
      </c>
      <c r="KJ36" s="17" t="n">
        <f aca="false">Daily_Composite!AL299</f>
        <v>-0.514</v>
      </c>
      <c r="KK36" s="17" t="n">
        <f aca="false">Daily_Composite!AL300</f>
        <v>-0.581</v>
      </c>
      <c r="KL36" s="17" t="n">
        <f aca="false">Daily_Composite!AL301</f>
        <v>-0.58</v>
      </c>
      <c r="KM36" s="17" t="n">
        <f aca="false">Daily_Composite!AL302</f>
        <v>-0.192</v>
      </c>
      <c r="KN36" s="17" t="n">
        <f aca="false">Daily_Composite!AL303</f>
        <v>-0.147</v>
      </c>
      <c r="KO36" s="17" t="n">
        <f aca="false">Daily_Composite!AL304</f>
        <v>0.021</v>
      </c>
      <c r="KP36" s="17" t="n">
        <f aca="false">Daily_Composite!AL305</f>
        <v>-0.302</v>
      </c>
      <c r="KQ36" s="17" t="n">
        <f aca="false">Daily_Composite!AL306</f>
        <v>-0.173</v>
      </c>
      <c r="KR36" s="17" t="n">
        <f aca="false">Daily_Composite!AL307</f>
        <v>-0.461</v>
      </c>
      <c r="KS36" s="17" t="n">
        <f aca="false">Daily_Composite!AL308</f>
        <v>-0.184</v>
      </c>
      <c r="KT36" s="17" t="n">
        <f aca="false">Daily_Composite!AL309</f>
        <v>-0.18</v>
      </c>
      <c r="KU36" s="17" t="n">
        <f aca="false">Daily_Composite!AL310</f>
        <v>-0.177</v>
      </c>
      <c r="KV36" s="17" t="n">
        <f aca="false">Daily_Composite!AL311</f>
        <v>-0.177</v>
      </c>
      <c r="KW36" s="17" t="n">
        <f aca="false">Daily_Composite!AL312</f>
        <v>-0.177</v>
      </c>
      <c r="KX36" s="17" t="n">
        <f aca="false">Daily_Composite!AL313</f>
        <v>-0.079</v>
      </c>
      <c r="KY36" s="17" t="n">
        <f aca="false">Daily_Composite!AL314</f>
        <v>-0.072</v>
      </c>
      <c r="KZ36" s="17" t="n">
        <f aca="false">Daily_Composite!AL315</f>
        <v>-0.278</v>
      </c>
      <c r="LA36" s="17" t="n">
        <f aca="false">Daily_Composite!AL316</f>
        <v>-0.186</v>
      </c>
      <c r="LB36" s="17" t="n">
        <f aca="false">Daily_Composite!AL317</f>
        <v>-0.051</v>
      </c>
      <c r="LC36" s="17" t="n">
        <f aca="false">Daily_Composite!AL318</f>
        <v>-0.048</v>
      </c>
      <c r="LD36" s="17" t="n">
        <f aca="false">Daily_Composite!AL319</f>
        <v>-0.136</v>
      </c>
      <c r="LE36" s="17" t="n">
        <f aca="false">Daily_Composite!AL320</f>
        <v>-0.129</v>
      </c>
      <c r="LF36" s="17" t="n">
        <f aca="false">Daily_Composite!AL321</f>
        <v>-0.244</v>
      </c>
      <c r="LG36" s="17" t="n">
        <f aca="false">Daily_Composite!AL322</f>
        <v>-0.148</v>
      </c>
      <c r="LH36" s="17" t="n">
        <f aca="false">Daily_Composite!AL323</f>
        <v>-0.145</v>
      </c>
      <c r="LI36" s="17" t="n">
        <f aca="false">Daily_Composite!AL324</f>
        <v>0.102</v>
      </c>
      <c r="LJ36" s="17" t="n">
        <f aca="false">Daily_Composite!AL325</f>
        <v>-0.376</v>
      </c>
      <c r="LK36" s="17" t="n">
        <f aca="false">Daily_Composite!AL326</f>
        <v>-0.346</v>
      </c>
      <c r="LL36" s="17" t="n">
        <f aca="false">Daily_Composite!AL327</f>
        <v>-0.264</v>
      </c>
      <c r="LM36" s="17" t="n">
        <f aca="false">Daily_Composite!AL328</f>
        <v>-0.24</v>
      </c>
      <c r="LN36" s="17" t="n">
        <f aca="false">Daily_Composite!AL329</f>
        <v>-0.131</v>
      </c>
      <c r="LO36" s="17" t="n">
        <f aca="false">Daily_Composite!AL330</f>
        <v>-0.127</v>
      </c>
      <c r="LP36" s="17" t="n">
        <f aca="false">Daily_Composite!AL331</f>
        <v>-0.124</v>
      </c>
      <c r="LQ36" s="17" t="n">
        <f aca="false">Daily_Composite!AL332</f>
        <v>0.229</v>
      </c>
      <c r="LR36" s="17" t="n">
        <f aca="false">Daily_Composite!AL333</f>
        <v>0.236</v>
      </c>
      <c r="LS36" s="17" t="n">
        <f aca="false">Daily_Composite!AL334</f>
        <v>-0.463</v>
      </c>
      <c r="LT36" s="17" t="n">
        <f aca="false">Daily_Composite!AL335</f>
        <v>-0.217</v>
      </c>
      <c r="LU36" s="17" t="n">
        <f aca="false">Daily_Composite!AL336</f>
        <v>-0.262</v>
      </c>
      <c r="LV36" s="17" t="n">
        <f aca="false">Daily_Composite!AL337</f>
        <v>-0.087</v>
      </c>
      <c r="LW36" s="17" t="n">
        <f aca="false">Daily_Composite!AL338</f>
        <v>-0.126</v>
      </c>
      <c r="LX36" s="17" t="n">
        <f aca="false">Daily_Composite!AL339</f>
        <v>-0.217</v>
      </c>
      <c r="LY36" s="17" t="n">
        <f aca="false">Daily_Composite!AL340</f>
        <v>-0.221</v>
      </c>
      <c r="LZ36" s="17" t="n">
        <f aca="false">Daily_Composite!AL341</f>
        <v>-0.22</v>
      </c>
      <c r="MA36" s="17" t="n">
        <f aca="false">Daily_Composite!AL342</f>
        <v>-0.489</v>
      </c>
      <c r="MB36" s="17" t="n">
        <f aca="false">Daily_Composite!AL343</f>
        <v>-0.217</v>
      </c>
      <c r="MC36" s="17" t="n">
        <f aca="false">Daily_Composite!AL344</f>
        <v>-0.215</v>
      </c>
      <c r="MD36" s="17" t="n">
        <f aca="false">Daily_Composite!AL345</f>
        <v>-0.078</v>
      </c>
      <c r="ME36" s="17" t="n">
        <f aca="false">Daily_Composite!AL346</f>
        <v>-0.031</v>
      </c>
      <c r="MF36" s="17" t="n">
        <f aca="false">Daily_Composite!AL347</f>
        <v>-0.099</v>
      </c>
      <c r="MG36" s="17" t="n">
        <f aca="false">Daily_Composite!AL348</f>
        <v>-0.085</v>
      </c>
      <c r="MH36" s="17" t="n">
        <f aca="false">Daily_Composite!AL349</f>
        <v>0.023</v>
      </c>
      <c r="MI36" s="17" t="n">
        <f aca="false">Daily_Composite!AL350</f>
        <v>0.038</v>
      </c>
      <c r="MJ36" s="17" t="n">
        <f aca="false">Daily_Composite!AL351</f>
        <v>0.064</v>
      </c>
      <c r="MK36" s="17" t="n">
        <f aca="false">Daily_Composite!AL352</f>
        <v>0.146</v>
      </c>
      <c r="ML36" s="17" t="n">
        <f aca="false">Daily_Composite!AL353</f>
        <v>0.085</v>
      </c>
      <c r="MM36" s="17" t="n">
        <f aca="false">Daily_Composite!AL354</f>
        <v>-0.139</v>
      </c>
      <c r="MN36" s="17" t="n">
        <f aca="false">Daily_Composite!AL355</f>
        <v>-0.385</v>
      </c>
      <c r="MO36" s="17" t="n">
        <f aca="false">Daily_Composite!AL356</f>
        <v>-0.279</v>
      </c>
      <c r="MP36" s="17" t="n">
        <f aca="false">Daily_Composite!AL357</f>
        <v>0.019</v>
      </c>
      <c r="MQ36" s="17" t="n">
        <f aca="false">Daily_Composite!AL358</f>
        <v>-0.09</v>
      </c>
      <c r="MR36" s="17" t="n">
        <f aca="false">Daily_Composite!AL359</f>
        <v>-0.227</v>
      </c>
      <c r="MS36" s="17" t="n">
        <f aca="false">Daily_Composite!AL360</f>
        <v>-0.194</v>
      </c>
      <c r="MT36" s="17" t="n">
        <f aca="false">Daily_Composite!AL361</f>
        <v>-0.4</v>
      </c>
      <c r="MU36" s="17" t="n">
        <f aca="false">Daily_Composite!AL362</f>
        <v>-0.01</v>
      </c>
      <c r="MV36" s="17" t="n">
        <f aca="false">Daily_Composite!AL363</f>
        <v>-0.046</v>
      </c>
      <c r="MW36" s="17" t="n">
        <f aca="false">Daily_Composite!AL364</f>
        <v>-0.176</v>
      </c>
      <c r="MX36" s="17" t="n">
        <f aca="false">Daily_Composite!AL365</f>
        <v>-0.201</v>
      </c>
      <c r="MY36" s="17" t="n">
        <f aca="false">Daily_Composite!AL366</f>
        <v>-0.076</v>
      </c>
      <c r="MZ36" s="17" t="n">
        <f aca="false">Daily_Composite!AL367</f>
        <v>-0.226</v>
      </c>
      <c r="NA36" s="17" t="n">
        <f aca="false">Daily_Composite!AL368</f>
        <v>-0.226</v>
      </c>
      <c r="NB36" s="17" t="n">
        <f aca="false">Daily_Composite!AL369</f>
        <v>-0.252</v>
      </c>
    </row>
    <row r="37" customFormat="false" ht="15" hidden="false" customHeight="false" outlineLevel="0" collapsed="false">
      <c r="A37" s="6" t="s">
        <v>50</v>
      </c>
      <c r="B37" s="17" t="n">
        <f aca="false">Daily_Composite!AM5</f>
        <v>0.372</v>
      </c>
      <c r="C37" s="17" t="n">
        <f aca="false">Daily_Composite!AM6</f>
        <v>-0.059</v>
      </c>
      <c r="D37" s="17" t="n">
        <f aca="false">Daily_Composite!AM7</f>
        <v>0.358</v>
      </c>
      <c r="E37" s="17" t="n">
        <f aca="false">Daily_Composite!AM8</f>
        <v>0.362</v>
      </c>
      <c r="F37" s="17" t="n">
        <f aca="false">Daily_Composite!AM9</f>
        <v>-0.048</v>
      </c>
      <c r="G37" s="17" t="n">
        <f aca="false">Daily_Composite!AM10</f>
        <v>0.262</v>
      </c>
      <c r="H37" s="17" t="n">
        <f aca="false">Daily_Composite!AM11</f>
        <v>0.286</v>
      </c>
      <c r="I37" s="17" t="n">
        <f aca="false">Daily_Composite!AM12</f>
        <v>0.318</v>
      </c>
      <c r="J37" s="17" t="n">
        <f aca="false">Daily_Composite!AM13</f>
        <v>0.306</v>
      </c>
      <c r="K37" s="17" t="n">
        <f aca="false">Daily_Composite!AM14</f>
        <v>-0.003</v>
      </c>
      <c r="L37" s="17" t="n">
        <f aca="false">Daily_Composite!AM15</f>
        <v>0.312</v>
      </c>
      <c r="M37" s="17" t="n">
        <f aca="false">Daily_Composite!AM16</f>
        <v>0.325</v>
      </c>
      <c r="N37" s="17" t="n">
        <f aca="false">Daily_Composite!AM17</f>
        <v>0.349</v>
      </c>
      <c r="O37" s="17" t="n">
        <f aca="false">Daily_Composite!AM18</f>
        <v>-0.002</v>
      </c>
      <c r="P37" s="17" t="n">
        <f aca="false">Daily_Composite!AM19</f>
        <v>0.319</v>
      </c>
      <c r="Q37" s="17" t="n">
        <f aca="false">Daily_Composite!AM20</f>
        <v>0.327</v>
      </c>
      <c r="R37" s="17" t="n">
        <f aca="false">Daily_Composite!AM21</f>
        <v>0.351</v>
      </c>
      <c r="S37" s="17" t="n">
        <f aca="false">Daily_Composite!AM22</f>
        <v>0.298</v>
      </c>
      <c r="T37" s="17" t="n">
        <f aca="false">Daily_Composite!AM23</f>
        <v>0.24</v>
      </c>
      <c r="U37" s="17" t="n">
        <f aca="false">Daily_Composite!AM24</f>
        <v>0.08</v>
      </c>
      <c r="V37" s="17" t="n">
        <f aca="false">Daily_Composite!AM25</f>
        <v>0.201</v>
      </c>
      <c r="W37" s="17" t="n">
        <f aca="false">Daily_Composite!AM26</f>
        <v>0.237</v>
      </c>
      <c r="X37" s="17" t="n">
        <f aca="false">Daily_Composite!AM27</f>
        <v>0.28</v>
      </c>
      <c r="Y37" s="17" t="n">
        <f aca="false">Daily_Composite!AM28</f>
        <v>0.649</v>
      </c>
      <c r="Z37" s="17" t="n">
        <f aca="false">Daily_Composite!AM29</f>
        <v>0.282</v>
      </c>
      <c r="AA37" s="17" t="n">
        <f aca="false">Daily_Composite!AM30</f>
        <v>0.181</v>
      </c>
      <c r="AB37" s="17" t="n">
        <f aca="false">Daily_Composite!AM31</f>
        <v>0.343</v>
      </c>
      <c r="AC37" s="17" t="n">
        <f aca="false">Daily_Composite!AM32</f>
        <v>0.315</v>
      </c>
      <c r="AD37" s="17" t="n">
        <f aca="false">Daily_Composite!AM33</f>
        <v>0.748</v>
      </c>
      <c r="AE37" s="17" t="n">
        <f aca="false">Daily_Composite!AM34</f>
        <v>0.3</v>
      </c>
      <c r="AF37" s="17" t="n">
        <f aca="false">Daily_Composite!AM35</f>
        <v>0.256</v>
      </c>
      <c r="AG37" s="17" t="n">
        <f aca="false">Daily_Composite!AM36</f>
        <v>0.29</v>
      </c>
      <c r="AH37" s="17" t="n">
        <f aca="false">Daily_Composite!AM37</f>
        <v>0.735</v>
      </c>
      <c r="AI37" s="17" t="n">
        <f aca="false">Daily_Composite!AM38</f>
        <v>0.361</v>
      </c>
      <c r="AJ37" s="17" t="n">
        <f aca="false">Daily_Composite!AM39</f>
        <v>0.608</v>
      </c>
      <c r="AK37" s="17" t="n">
        <f aca="false">Daily_Composite!AM40</f>
        <v>0.604</v>
      </c>
      <c r="AL37" s="17" t="n">
        <f aca="false">Daily_Composite!AM41</f>
        <v>0.724</v>
      </c>
      <c r="AM37" s="17" t="n">
        <f aca="false">Daily_Composite!AM42</f>
        <v>0.373</v>
      </c>
      <c r="AN37" s="17" t="n">
        <f aca="false">Daily_Composite!AM43</f>
        <v>0.349</v>
      </c>
      <c r="AO37" s="17" t="n">
        <f aca="false">Daily_Composite!AM44</f>
        <v>0.333</v>
      </c>
      <c r="AP37" s="17" t="n">
        <f aca="false">Daily_Composite!AM45</f>
        <v>0.378</v>
      </c>
      <c r="AQ37" s="17" t="n">
        <f aca="false">Daily_Composite!AM46</f>
        <v>0.823</v>
      </c>
      <c r="AR37" s="17" t="n">
        <f aca="false">Daily_Composite!AM47</f>
        <v>0.408</v>
      </c>
      <c r="AS37" s="17" t="n">
        <f aca="false">Daily_Composite!AM48</f>
        <v>0.426</v>
      </c>
      <c r="AT37" s="17" t="n">
        <f aca="false">Daily_Composite!AM49</f>
        <v>0.554</v>
      </c>
      <c r="AU37" s="17" t="n">
        <f aca="false">Daily_Composite!AM50</f>
        <v>0.549</v>
      </c>
      <c r="AV37" s="17" t="n">
        <f aca="false">Daily_Composite!AM51</f>
        <v>0.789</v>
      </c>
      <c r="AW37" s="17" t="n">
        <f aca="false">Daily_Composite!AM52</f>
        <v>0.311</v>
      </c>
      <c r="AX37" s="17" t="n">
        <f aca="false">Daily_Composite!AM53</f>
        <v>0.293</v>
      </c>
      <c r="AY37" s="17" t="n">
        <f aca="false">Daily_Composite!AM54</f>
        <v>0.384</v>
      </c>
      <c r="AZ37" s="17" t="n">
        <f aca="false">Daily_Composite!AM55</f>
        <v>0.482</v>
      </c>
      <c r="BA37" s="17" t="n">
        <f aca="false">Daily_Composite!AM56</f>
        <v>0.803</v>
      </c>
      <c r="BB37" s="17" t="n">
        <f aca="false">Daily_Composite!AM57</f>
        <v>0.431</v>
      </c>
      <c r="BC37" s="17" t="n">
        <f aca="false">Daily_Composite!AM58</f>
        <v>0.515</v>
      </c>
      <c r="BD37" s="17" t="n">
        <f aca="false">Daily_Composite!AM59</f>
        <v>0.473</v>
      </c>
      <c r="BE37" s="17" t="n">
        <f aca="false">Daily_Composite!AM60</f>
        <v>0.437</v>
      </c>
      <c r="BF37" s="17" t="n">
        <f aca="false">Daily_Composite!AM61</f>
        <v>0.423</v>
      </c>
      <c r="BG37" s="17" t="n">
        <f aca="false">Daily_Composite!AM62</f>
        <v>0.437</v>
      </c>
      <c r="BH37" s="17" t="n">
        <f aca="false">Daily_Composite!AM63</f>
        <v>0.464</v>
      </c>
      <c r="BI37" s="17" t="n">
        <f aca="false">Daily_Composite!AM64</f>
        <v>0.734</v>
      </c>
      <c r="BJ37" s="17" t="n">
        <f aca="false">Daily_Composite!AM65</f>
        <v>0.39</v>
      </c>
      <c r="BK37" s="17" t="n">
        <f aca="false">Daily_Composite!AM66</f>
        <v>0.411</v>
      </c>
      <c r="BL37" s="17" t="n">
        <f aca="false">Daily_Composite!AM67</f>
        <v>0.689</v>
      </c>
      <c r="BM37" s="17" t="n">
        <f aca="false">Daily_Composite!AM68</f>
        <v>0.654</v>
      </c>
      <c r="BN37" s="17" t="n">
        <f aca="false">Daily_Composite!AM69</f>
        <v>0.409</v>
      </c>
      <c r="BO37" s="17" t="n">
        <f aca="false">Daily_Composite!AM70</f>
        <v>0.396</v>
      </c>
      <c r="BP37" s="17" t="n">
        <f aca="false">Daily_Composite!AM71</f>
        <v>0.41</v>
      </c>
      <c r="BQ37" s="17" t="n">
        <f aca="false">Daily_Composite!AM72</f>
        <v>0.401</v>
      </c>
      <c r="BR37" s="17" t="n">
        <f aca="false">Daily_Composite!AM73</f>
        <v>0.667</v>
      </c>
      <c r="BS37" s="17" t="n">
        <f aca="false">Daily_Composite!AM74</f>
        <v>0.42</v>
      </c>
      <c r="BT37" s="17" t="n">
        <f aca="false">Daily_Composite!AM75</f>
        <v>0.444</v>
      </c>
      <c r="BU37" s="17" t="n">
        <f aca="false">Daily_Composite!AM76</f>
        <v>0.573</v>
      </c>
      <c r="BV37" s="17" t="n">
        <f aca="false">Daily_Composite!AM77</f>
        <v>0.533</v>
      </c>
      <c r="BW37" s="17" t="n">
        <f aca="false">Daily_Composite!AM78</f>
        <v>0.841</v>
      </c>
      <c r="BX37" s="17" t="n">
        <f aca="false">Daily_Composite!AM79</f>
        <v>0.404</v>
      </c>
      <c r="BY37" s="17" t="n">
        <f aca="false">Daily_Composite!AM80</f>
        <v>0.426</v>
      </c>
      <c r="BZ37" s="17" t="n">
        <f aca="false">Daily_Composite!AM81</f>
        <v>0.492</v>
      </c>
      <c r="CA37" s="17" t="n">
        <f aca="false">Daily_Composite!AM82</f>
        <v>0.468</v>
      </c>
      <c r="CB37" s="17" t="n">
        <f aca="false">Daily_Composite!AM83</f>
        <v>0.757</v>
      </c>
      <c r="CC37" s="17" t="n">
        <f aca="false">Daily_Composite!AM84</f>
        <v>0.193</v>
      </c>
      <c r="CD37" s="17" t="n">
        <f aca="false">Daily_Composite!AM85</f>
        <v>0.303</v>
      </c>
      <c r="CE37" s="17" t="n">
        <f aca="false">Daily_Composite!AM86</f>
        <v>0.26</v>
      </c>
      <c r="CF37" s="17" t="n">
        <f aca="false">Daily_Composite!AM87</f>
        <v>0.293</v>
      </c>
      <c r="CG37" s="17" t="n">
        <f aca="false">Daily_Composite!AM88</f>
        <v>0.322</v>
      </c>
      <c r="CH37" s="17" t="n">
        <f aca="false">Daily_Composite!AM89</f>
        <v>0.291</v>
      </c>
      <c r="CI37" s="17" t="n">
        <f aca="false">Daily_Composite!AM90</f>
        <v>0.269</v>
      </c>
      <c r="CJ37" s="17" t="n">
        <f aca="false">Daily_Composite!AM91</f>
        <v>0.266</v>
      </c>
      <c r="CK37" s="17" t="n">
        <f aca="false">Daily_Composite!AM92</f>
        <v>0.299</v>
      </c>
      <c r="CL37" s="17" t="n">
        <f aca="false">Daily_Composite!AM93</f>
        <v>0.265</v>
      </c>
      <c r="CM37" s="17" t="n">
        <f aca="false">Daily_Composite!AM94</f>
        <v>0.564</v>
      </c>
      <c r="CN37" s="17" t="n">
        <f aca="false">Daily_Composite!AM95</f>
        <v>0.436</v>
      </c>
      <c r="CO37" s="17" t="n">
        <f aca="false">Daily_Composite!AM96</f>
        <v>0.35</v>
      </c>
      <c r="CP37" s="17" t="n">
        <f aca="false">Daily_Composite!AM97</f>
        <v>0.221</v>
      </c>
      <c r="CQ37" s="17" t="n">
        <f aca="false">Daily_Composite!AM98</f>
        <v>0.188</v>
      </c>
      <c r="CR37" s="17" t="n">
        <f aca="false">Daily_Composite!AM99</f>
        <v>0.167</v>
      </c>
      <c r="CS37" s="17" t="n">
        <f aca="false">Daily_Composite!AM100</f>
        <v>-0.063</v>
      </c>
      <c r="CT37" s="17" t="n">
        <f aca="false">Daily_Composite!AM101</f>
        <v>0.149</v>
      </c>
      <c r="CU37" s="17" t="n">
        <f aca="false">Daily_Composite!AM102</f>
        <v>0.168</v>
      </c>
      <c r="CV37" s="17" t="n">
        <f aca="false">Daily_Composite!AM103</f>
        <v>0.09</v>
      </c>
      <c r="CW37" s="17" t="n">
        <f aca="false">Daily_Composite!AM104</f>
        <v>0.062</v>
      </c>
      <c r="CX37" s="17" t="n">
        <f aca="false">Daily_Composite!AM105</f>
        <v>-0.114</v>
      </c>
      <c r="CY37" s="17" t="n">
        <f aca="false">Daily_Composite!AM106</f>
        <v>0.563</v>
      </c>
      <c r="CZ37" s="17" t="n">
        <f aca="false">Daily_Composite!AM107</f>
        <v>0.166</v>
      </c>
      <c r="DA37" s="17" t="n">
        <f aca="false">Daily_Composite!AM108</f>
        <v>0.072</v>
      </c>
      <c r="DB37" s="17" t="n">
        <f aca="false">Daily_Composite!AM109</f>
        <v>0.072</v>
      </c>
      <c r="DC37" s="17" t="n">
        <f aca="false">Daily_Composite!AM110</f>
        <v>0.233</v>
      </c>
      <c r="DD37" s="17" t="n">
        <f aca="false">Daily_Composite!AM111</f>
        <v>0.273</v>
      </c>
      <c r="DE37" s="17" t="n">
        <f aca="false">Daily_Composite!AM112</f>
        <v>0.302</v>
      </c>
      <c r="DF37" s="17" t="n">
        <f aca="false">Daily_Composite!AM113</f>
        <v>0.207</v>
      </c>
      <c r="DG37" s="17" t="n">
        <f aca="false">Daily_Composite!AM114</f>
        <v>0.236</v>
      </c>
      <c r="DH37" s="17" t="n">
        <f aca="false">Daily_Composite!AM115</f>
        <v>0.53</v>
      </c>
      <c r="DI37" s="17" t="n">
        <f aca="false">Daily_Composite!AM116</f>
        <v>0.218</v>
      </c>
      <c r="DJ37" s="17" t="n">
        <f aca="false">Daily_Composite!AM117</f>
        <v>0.192</v>
      </c>
      <c r="DK37" s="17" t="n">
        <f aca="false">Daily_Composite!AM118</f>
        <v>0.215</v>
      </c>
      <c r="DL37" s="17" t="n">
        <f aca="false">Daily_Composite!AM119</f>
        <v>-0.077</v>
      </c>
      <c r="DM37" s="17" t="n">
        <f aca="false">Daily_Composite!AM120</f>
        <v>0.296</v>
      </c>
      <c r="DN37" s="17" t="n">
        <f aca="false">Daily_Composite!AM121</f>
        <v>0.302</v>
      </c>
      <c r="DO37" s="17" t="n">
        <f aca="false">Daily_Composite!AM122</f>
        <v>0.206</v>
      </c>
      <c r="DP37" s="17" t="n">
        <f aca="false">Daily_Composite!AM123</f>
        <v>0.7</v>
      </c>
      <c r="DQ37" s="17" t="n">
        <f aca="false">Daily_Composite!AM124</f>
        <v>0.14</v>
      </c>
      <c r="DR37" s="17" t="n">
        <f aca="false">Daily_Composite!AM125</f>
        <v>0.15</v>
      </c>
      <c r="DS37" s="17" t="n">
        <f aca="false">Daily_Composite!AM126</f>
        <v>0.196</v>
      </c>
      <c r="DT37" s="17" t="n">
        <f aca="false">Daily_Composite!AM127</f>
        <v>-0.08</v>
      </c>
      <c r="DU37" s="17" t="n">
        <f aca="false">Daily_Composite!AM128</f>
        <v>0.165</v>
      </c>
      <c r="DV37" s="17" t="n">
        <f aca="false">Daily_Composite!AM129</f>
        <v>0.145</v>
      </c>
      <c r="DW37" s="17" t="n">
        <f aca="false">Daily_Composite!AM130</f>
        <v>0.154</v>
      </c>
      <c r="DX37" s="17" t="n">
        <f aca="false">Daily_Composite!AM131</f>
        <v>0.129</v>
      </c>
      <c r="DY37" s="17" t="n">
        <f aca="false">Daily_Composite!AM132</f>
        <v>0.105</v>
      </c>
      <c r="DZ37" s="17" t="n">
        <f aca="false">Daily_Composite!AM133</f>
        <v>0.548</v>
      </c>
      <c r="EA37" s="17" t="n">
        <f aca="false">Daily_Composite!AM134</f>
        <v>0.208</v>
      </c>
      <c r="EB37" s="17" t="n">
        <f aca="false">Daily_Composite!AM135</f>
        <v>0.254</v>
      </c>
      <c r="EC37" s="17" t="n">
        <f aca="false">Daily_Composite!AM136</f>
        <v>0.255</v>
      </c>
      <c r="ED37" s="17" t="n">
        <f aca="false">Daily_Composite!AM137</f>
        <v>-0.091</v>
      </c>
      <c r="EE37" s="17" t="n">
        <f aca="false">Daily_Composite!AM138</f>
        <v>0.283</v>
      </c>
      <c r="EF37" s="17" t="n">
        <f aca="false">Daily_Composite!AM139</f>
        <v>0.157</v>
      </c>
      <c r="EG37" s="17" t="n">
        <f aca="false">Daily_Composite!AM140</f>
        <v>0.197</v>
      </c>
      <c r="EH37" s="17" t="n">
        <f aca="false">Daily_Composite!AM141</f>
        <v>0.215</v>
      </c>
      <c r="EI37" s="17" t="n">
        <f aca="false">Daily_Composite!AM142</f>
        <v>0.521</v>
      </c>
      <c r="EJ37" s="17" t="n">
        <f aca="false">Daily_Composite!AM143</f>
        <v>0.114</v>
      </c>
      <c r="EK37" s="17" t="n">
        <f aca="false">Daily_Composite!AM144</f>
        <v>0.11</v>
      </c>
      <c r="EL37" s="17" t="n">
        <f aca="false">Daily_Composite!AM145</f>
        <v>0.184</v>
      </c>
      <c r="EM37" s="17" t="n">
        <f aca="false">Daily_Composite!AM146</f>
        <v>-0.015</v>
      </c>
      <c r="EN37" s="17" t="n">
        <f aca="false">Daily_Composite!AM147</f>
        <v>0.252</v>
      </c>
      <c r="EO37" s="17" t="n">
        <f aca="false">Daily_Composite!AM148</f>
        <v>0.258</v>
      </c>
      <c r="EP37" s="17" t="n">
        <f aca="false">Daily_Composite!AM149</f>
        <v>0.267</v>
      </c>
      <c r="EQ37" s="17" t="n">
        <f aca="false">Daily_Composite!AM150</f>
        <v>0.259</v>
      </c>
      <c r="ER37" s="17" t="n">
        <f aca="false">Daily_Composite!AM151</f>
        <v>0.629</v>
      </c>
      <c r="ES37" s="17" t="n">
        <f aca="false">Daily_Composite!AM152</f>
        <v>0.278</v>
      </c>
      <c r="ET37" s="17" t="n">
        <f aca="false">Daily_Composite!AM153</f>
        <v>0.243</v>
      </c>
      <c r="EU37" s="17" t="n">
        <f aca="false">Daily_Composite!AM154</f>
        <v>0.248</v>
      </c>
      <c r="EV37" s="17" t="n">
        <f aca="false">Daily_Composite!AM155</f>
        <v>0.429</v>
      </c>
      <c r="EW37" s="17" t="n">
        <f aca="false">Daily_Composite!AM156</f>
        <v>0.269</v>
      </c>
      <c r="EX37" s="17" t="n">
        <f aca="false">Daily_Composite!AM157</f>
        <v>0.29</v>
      </c>
      <c r="EY37" s="17" t="n">
        <f aca="false">Daily_Composite!AM158</f>
        <v>0.305</v>
      </c>
      <c r="EZ37" s="17" t="n">
        <f aca="false">Daily_Composite!AM159</f>
        <v>0.199</v>
      </c>
      <c r="FA37" s="17" t="n">
        <f aca="false">Daily_Composite!AM160</f>
        <v>0.176</v>
      </c>
      <c r="FB37" s="17" t="n">
        <f aca="false">Daily_Composite!AM161</f>
        <v>0.427</v>
      </c>
      <c r="FC37" s="17" t="n">
        <f aca="false">Daily_Composite!AM162</f>
        <v>0.425</v>
      </c>
      <c r="FD37" s="17" t="n">
        <f aca="false">Daily_Composite!AM163</f>
        <v>0.392</v>
      </c>
      <c r="FE37" s="17" t="n">
        <f aca="false">Daily_Composite!AM164</f>
        <v>0.396</v>
      </c>
      <c r="FF37" s="17" t="n">
        <f aca="false">Daily_Composite!AM165</f>
        <v>0.773</v>
      </c>
      <c r="FG37" s="17" t="n">
        <f aca="false">Daily_Composite!AM166</f>
        <v>0.452</v>
      </c>
      <c r="FH37" s="17" t="n">
        <f aca="false">Daily_Composite!AM167</f>
        <v>0.437</v>
      </c>
      <c r="FI37" s="17" t="n">
        <f aca="false">Daily_Composite!AM168</f>
        <v>0.355</v>
      </c>
      <c r="FJ37" s="17" t="n">
        <f aca="false">Daily_Composite!AM169</f>
        <v>0.364</v>
      </c>
      <c r="FK37" s="17" t="n">
        <f aca="false">Daily_Composite!AM170</f>
        <v>0.336</v>
      </c>
      <c r="FL37" s="17" t="n">
        <f aca="false">Daily_Composite!AM171</f>
        <v>0.345</v>
      </c>
      <c r="FM37" s="17" t="n">
        <f aca="false">Daily_Composite!AM172</f>
        <v>0.302</v>
      </c>
      <c r="FN37" s="17" t="n">
        <f aca="false">Daily_Composite!AM173</f>
        <v>0.423</v>
      </c>
      <c r="FO37" s="17" t="n">
        <f aca="false">Daily_Composite!AM174</f>
        <v>0.317</v>
      </c>
      <c r="FP37" s="17" t="n">
        <f aca="false">Daily_Composite!AM175</f>
        <v>0.299</v>
      </c>
      <c r="FQ37" s="17" t="n">
        <f aca="false">Daily_Composite!AM176</f>
        <v>0.367</v>
      </c>
      <c r="FR37" s="17" t="n">
        <f aca="false">Daily_Composite!AM177</f>
        <v>0.338</v>
      </c>
      <c r="FS37" s="17" t="n">
        <f aca="false">Daily_Composite!AM178</f>
        <v>0.596</v>
      </c>
      <c r="FT37" s="17" t="n">
        <f aca="false">Daily_Composite!AM179</f>
        <v>0.304</v>
      </c>
      <c r="FU37" s="17" t="n">
        <f aca="false">Daily_Composite!AM180</f>
        <v>0.273</v>
      </c>
      <c r="FV37" s="17" t="n">
        <f aca="false">Daily_Composite!AM181</f>
        <v>0.313</v>
      </c>
      <c r="FW37" s="17" t="n">
        <f aca="false">Daily_Composite!AM182</f>
        <v>0.271</v>
      </c>
      <c r="FX37" s="17" t="n">
        <f aca="false">Daily_Composite!AM183</f>
        <v>0.298</v>
      </c>
      <c r="FY37" s="17" t="n">
        <f aca="false">Daily_Composite!AM184</f>
        <v>0.308</v>
      </c>
      <c r="FZ37" s="17" t="n">
        <f aca="false">Daily_Composite!AM185</f>
        <v>0.443</v>
      </c>
      <c r="GA37" s="17" t="n">
        <f aca="false">Daily_Composite!AM186</f>
        <v>0.302</v>
      </c>
      <c r="GB37" s="17" t="n">
        <f aca="false">Daily_Composite!AM187</f>
        <v>0.147</v>
      </c>
      <c r="GC37" s="17" t="n">
        <f aca="false">Daily_Composite!AM188</f>
        <v>0.245</v>
      </c>
      <c r="GD37" s="17" t="n">
        <f aca="false">Daily_Composite!AM189</f>
        <v>0.249</v>
      </c>
      <c r="GE37" s="17" t="n">
        <f aca="false">Daily_Composite!AM190</f>
        <v>0.219</v>
      </c>
      <c r="GF37" s="17" t="n">
        <f aca="false">Daily_Composite!AM191</f>
        <v>0.12</v>
      </c>
      <c r="GG37" s="17" t="n">
        <f aca="false">Daily_Composite!AM192</f>
        <v>-0.183</v>
      </c>
      <c r="GH37" s="17" t="n">
        <f aca="false">Daily_Composite!AM193</f>
        <v>0.169</v>
      </c>
      <c r="GI37" s="17" t="n">
        <f aca="false">Daily_Composite!AM194</f>
        <v>0.215</v>
      </c>
      <c r="GJ37" s="17" t="n">
        <f aca="false">Daily_Composite!AM195</f>
        <v>0.205</v>
      </c>
      <c r="GK37" s="17" t="n">
        <f aca="false">Daily_Composite!AM196</f>
        <v>0.15</v>
      </c>
      <c r="GL37" s="17" t="n">
        <f aca="false">Daily_Composite!AM197</f>
        <v>0.144</v>
      </c>
      <c r="GM37" s="17" t="n">
        <f aca="false">Daily_Composite!AM198</f>
        <v>0.158</v>
      </c>
      <c r="GN37" s="17" t="n">
        <f aca="false">Daily_Composite!AM199</f>
        <v>0.159</v>
      </c>
      <c r="GO37" s="17" t="n">
        <f aca="false">Daily_Composite!AM200</f>
        <v>0.165</v>
      </c>
      <c r="GP37" s="17" t="n">
        <f aca="false">Daily_Composite!AM201</f>
        <v>-0.087</v>
      </c>
      <c r="GQ37" s="17" t="n">
        <f aca="false">Daily_Composite!AM202</f>
        <v>0.251</v>
      </c>
      <c r="GR37" s="17" t="n">
        <f aca="false">Daily_Composite!AM203</f>
        <v>0.294</v>
      </c>
      <c r="GS37" s="17" t="n">
        <f aca="false">Daily_Composite!AM204</f>
        <v>0.284</v>
      </c>
      <c r="GT37" s="17" t="n">
        <f aca="false">Daily_Composite!AM205</f>
        <v>0.456</v>
      </c>
      <c r="GU37" s="17" t="n">
        <f aca="false">Daily_Composite!AM206</f>
        <v>0.183</v>
      </c>
      <c r="GV37" s="17" t="n">
        <f aca="false">Daily_Composite!AM207</f>
        <v>0.185</v>
      </c>
      <c r="GW37" s="17" t="n">
        <f aca="false">Daily_Composite!AM208</f>
        <v>0.175</v>
      </c>
      <c r="GX37" s="17" t="n">
        <f aca="false">Daily_Composite!AM209</f>
        <v>-0.085</v>
      </c>
      <c r="GY37" s="17" t="n">
        <f aca="false">Daily_Composite!AM210</f>
        <v>-0.013</v>
      </c>
      <c r="GZ37" s="17" t="n">
        <f aca="false">Daily_Composite!AM211</f>
        <v>0.247</v>
      </c>
      <c r="HA37" s="17" t="n">
        <f aca="false">Daily_Composite!AM212</f>
        <v>0.333</v>
      </c>
      <c r="HB37" s="17" t="n">
        <f aca="false">Daily_Composite!AM213</f>
        <v>0.163</v>
      </c>
      <c r="HC37" s="17" t="n">
        <f aca="false">Daily_Composite!AM214</f>
        <v>0.049</v>
      </c>
      <c r="HD37" s="17" t="n">
        <f aca="false">Daily_Composite!AM215</f>
        <v>0.074</v>
      </c>
      <c r="HE37" s="17" t="n">
        <f aca="false">Daily_Composite!AM216</f>
        <v>0.342</v>
      </c>
      <c r="HF37" s="17" t="n">
        <f aca="false">Daily_Composite!AM217</f>
        <v>0.368</v>
      </c>
      <c r="HG37" s="17" t="n">
        <f aca="false">Daily_Composite!AM218</f>
        <v>0.204</v>
      </c>
      <c r="HH37" s="17" t="n">
        <f aca="false">Daily_Composite!AM219</f>
        <v>-0.011</v>
      </c>
      <c r="HI37" s="17" t="n">
        <f aca="false">Daily_Composite!AM220</f>
        <v>0.314</v>
      </c>
      <c r="HJ37" s="17" t="n">
        <f aca="false">Daily_Composite!AM221</f>
        <v>0.292</v>
      </c>
      <c r="HK37" s="17" t="n">
        <f aca="false">Daily_Composite!AM222</f>
        <v>0.325</v>
      </c>
      <c r="HL37" s="17" t="n">
        <f aca="false">Daily_Composite!AM223</f>
        <v>0.292</v>
      </c>
      <c r="HM37" s="17" t="n">
        <f aca="false">Daily_Composite!AM224</f>
        <v>-0</v>
      </c>
      <c r="HN37" s="17" t="n">
        <f aca="false">Daily_Composite!AM225</f>
        <v>0.306</v>
      </c>
      <c r="HO37" s="17" t="n">
        <f aca="false">Daily_Composite!AM226</f>
        <v>0.311</v>
      </c>
      <c r="HP37" s="17" t="n">
        <f aca="false">Daily_Composite!AM227</f>
        <v>0.28</v>
      </c>
      <c r="HQ37" s="17" t="n">
        <f aca="false">Daily_Composite!AM228</f>
        <v>-0.004</v>
      </c>
      <c r="HR37" s="17" t="n">
        <f aca="false">Daily_Composite!AM229</f>
        <v>0.307</v>
      </c>
      <c r="HS37" s="17" t="n">
        <f aca="false">Daily_Composite!AM230</f>
        <v>0.314</v>
      </c>
      <c r="HT37" s="17" t="n">
        <f aca="false">Daily_Composite!AM231</f>
        <v>0.386</v>
      </c>
      <c r="HU37" s="17" t="n">
        <f aca="false">Daily_Composite!AM232</f>
        <v>0.493</v>
      </c>
      <c r="HV37" s="17" t="n">
        <f aca="false">Daily_Composite!AM233</f>
        <v>-0.075</v>
      </c>
      <c r="HW37" s="17" t="n">
        <f aca="false">Daily_Composite!AM234</f>
        <v>0.286</v>
      </c>
      <c r="HX37" s="17" t="n">
        <f aca="false">Daily_Composite!AM235</f>
        <v>0.307</v>
      </c>
      <c r="HY37" s="17" t="n">
        <f aca="false">Daily_Composite!AM236</f>
        <v>0.269</v>
      </c>
      <c r="HZ37" s="17" t="n">
        <f aca="false">Daily_Composite!AM237</f>
        <v>-0.013</v>
      </c>
      <c r="IA37" s="17" t="n">
        <f aca="false">Daily_Composite!AM238</f>
        <v>0.297</v>
      </c>
      <c r="IB37" s="17" t="n">
        <f aca="false">Daily_Composite!AM239</f>
        <v>0.301</v>
      </c>
      <c r="IC37" s="17" t="n">
        <f aca="false">Daily_Composite!AM240</f>
        <v>0.446</v>
      </c>
      <c r="ID37" s="17" t="n">
        <f aca="false">Daily_Composite!AM241</f>
        <v>0.546</v>
      </c>
      <c r="IE37" s="17" t="n">
        <f aca="false">Daily_Composite!AM242</f>
        <v>-0.033</v>
      </c>
      <c r="IF37" s="17" t="n">
        <f aca="false">Daily_Composite!AM243</f>
        <v>0.305</v>
      </c>
      <c r="IG37" s="17" t="n">
        <f aca="false">Daily_Composite!AM244</f>
        <v>0.308</v>
      </c>
      <c r="IH37" s="17" t="n">
        <f aca="false">Daily_Composite!AM245</f>
        <v>0.301</v>
      </c>
      <c r="II37" s="17" t="n">
        <f aca="false">Daily_Composite!AM246</f>
        <v>0.293</v>
      </c>
      <c r="IJ37" s="17" t="n">
        <f aca="false">Daily_Composite!AM247</f>
        <v>0.772</v>
      </c>
      <c r="IK37" s="17" t="n">
        <f aca="false">Daily_Composite!AM248</f>
        <v>0.538</v>
      </c>
      <c r="IL37" s="17" t="n">
        <f aca="false">Daily_Composite!AM249</f>
        <v>0.631</v>
      </c>
      <c r="IM37" s="17" t="n">
        <f aca="false">Daily_Composite!AM250</f>
        <v>0.418</v>
      </c>
      <c r="IN37" s="17" t="n">
        <f aca="false">Daily_Composite!AM251</f>
        <v>0.338</v>
      </c>
      <c r="IO37" s="17" t="n">
        <f aca="false">Daily_Composite!AM252</f>
        <v>-0.084</v>
      </c>
      <c r="IP37" s="17" t="n">
        <f aca="false">Daily_Composite!AM253</f>
        <v>0.317</v>
      </c>
      <c r="IQ37" s="17" t="n">
        <f aca="false">Daily_Composite!AM254</f>
        <v>0.33</v>
      </c>
      <c r="IR37" s="17" t="n">
        <f aca="false">Daily_Composite!AM255</f>
        <v>0.578</v>
      </c>
      <c r="IS37" s="17" t="n">
        <f aca="false">Daily_Composite!AM256</f>
        <v>0.25</v>
      </c>
      <c r="IT37" s="17" t="n">
        <f aca="false">Daily_Composite!AM257</f>
        <v>0.248</v>
      </c>
      <c r="IU37" s="17" t="n">
        <f aca="false">Daily_Composite!AM258</f>
        <v>0.418</v>
      </c>
      <c r="IV37" s="17" t="n">
        <f aca="false">Daily_Composite!AM259</f>
        <v>0.488</v>
      </c>
      <c r="IW37" s="17" t="n">
        <f aca="false">Daily_Composite!AM260</f>
        <v>-0.156</v>
      </c>
      <c r="IX37" s="17" t="n">
        <f aca="false">Daily_Composite!AM261</f>
        <v>0.199</v>
      </c>
      <c r="IY37" s="17" t="n">
        <f aca="false">Daily_Composite!AM262</f>
        <v>0.229</v>
      </c>
      <c r="IZ37" s="17" t="n">
        <f aca="false">Daily_Composite!AM263</f>
        <v>0.251</v>
      </c>
      <c r="JA37" s="17" t="n">
        <f aca="false">Daily_Composite!AM264</f>
        <v>0.262</v>
      </c>
      <c r="JB37" s="17" t="n">
        <f aca="false">Daily_Composite!AM265</f>
        <v>0.248</v>
      </c>
      <c r="JC37" s="17" t="n">
        <f aca="false">Daily_Composite!AM266</f>
        <v>0.268</v>
      </c>
      <c r="JD37" s="17" t="n">
        <f aca="false">Daily_Composite!AM267</f>
        <v>0.349</v>
      </c>
      <c r="JE37" s="17" t="n">
        <f aca="false">Daily_Composite!AM268</f>
        <v>0.324</v>
      </c>
      <c r="JF37" s="17" t="n">
        <f aca="false">Daily_Composite!AM269</f>
        <v>-0.04</v>
      </c>
      <c r="JG37" s="17" t="n">
        <f aca="false">Daily_Composite!AM270</f>
        <v>0.361</v>
      </c>
      <c r="JH37" s="17" t="n">
        <f aca="false">Daily_Composite!AM271</f>
        <v>0.276</v>
      </c>
      <c r="JI37" s="17" t="n">
        <f aca="false">Daily_Composite!AM272</f>
        <v>0.189</v>
      </c>
      <c r="JJ37" s="17" t="n">
        <f aca="false">Daily_Composite!AM273</f>
        <v>0.207</v>
      </c>
      <c r="JK37" s="17" t="n">
        <f aca="false">Daily_Composite!AM274</f>
        <v>0.498</v>
      </c>
      <c r="JL37" s="17" t="n">
        <f aca="false">Daily_Composite!AM275</f>
        <v>0.369</v>
      </c>
      <c r="JM37" s="17" t="n">
        <f aca="false">Daily_Composite!AM276</f>
        <v>0.462</v>
      </c>
      <c r="JN37" s="17" t="n">
        <f aca="false">Daily_Composite!AM277</f>
        <v>0.164</v>
      </c>
      <c r="JO37" s="17" t="n">
        <f aca="false">Daily_Composite!AM278</f>
        <v>0.154</v>
      </c>
      <c r="JP37" s="17" t="n">
        <f aca="false">Daily_Composite!AM279</f>
        <v>-0.187</v>
      </c>
      <c r="JQ37" s="17" t="n">
        <f aca="false">Daily_Composite!AM280</f>
        <v>0.255</v>
      </c>
      <c r="JR37" s="17" t="n">
        <f aca="false">Daily_Composite!AM281</f>
        <v>0.217</v>
      </c>
      <c r="JS37" s="17" t="n">
        <f aca="false">Daily_Composite!AM282</f>
        <v>0.215</v>
      </c>
      <c r="JT37" s="17" t="n">
        <f aca="false">Daily_Composite!AM283</f>
        <v>0.215</v>
      </c>
      <c r="JU37" s="17" t="n">
        <f aca="false">Daily_Composite!AM284</f>
        <v>0.224</v>
      </c>
      <c r="JV37" s="17" t="n">
        <f aca="false">Daily_Composite!AM285</f>
        <v>0.215</v>
      </c>
      <c r="JW37" s="17" t="n">
        <f aca="false">Daily_Composite!AM286</f>
        <v>0.34</v>
      </c>
      <c r="JX37" s="17" t="n">
        <f aca="false">Daily_Composite!AM287</f>
        <v>-0.114</v>
      </c>
      <c r="JY37" s="17" t="n">
        <f aca="false">Daily_Composite!AM288</f>
        <v>0.165</v>
      </c>
      <c r="JZ37" s="17" t="n">
        <f aca="false">Daily_Composite!AM289</f>
        <v>0.184</v>
      </c>
      <c r="KA37" s="17" t="n">
        <f aca="false">Daily_Composite!AM290</f>
        <v>0.125</v>
      </c>
      <c r="KB37" s="17" t="n">
        <f aca="false">Daily_Composite!AM291</f>
        <v>0.139</v>
      </c>
      <c r="KC37" s="17" t="n">
        <f aca="false">Daily_Composite!AM292</f>
        <v>0.145</v>
      </c>
      <c r="KD37" s="17" t="n">
        <f aca="false">Daily_Composite!AM293</f>
        <v>0.091</v>
      </c>
      <c r="KE37" s="17" t="n">
        <f aca="false">Daily_Composite!AM294</f>
        <v>0.135</v>
      </c>
      <c r="KF37" s="17" t="n">
        <f aca="false">Daily_Composite!AM295</f>
        <v>0.212</v>
      </c>
      <c r="KG37" s="17" t="n">
        <f aca="false">Daily_Composite!AM296</f>
        <v>0.228</v>
      </c>
      <c r="KH37" s="17" t="n">
        <f aca="false">Daily_Composite!AM297</f>
        <v>-0.364</v>
      </c>
      <c r="KI37" s="17" t="n">
        <f aca="false">Daily_Composite!AM298</f>
        <v>0.03</v>
      </c>
      <c r="KJ37" s="17" t="n">
        <f aca="false">Daily_Composite!AM299</f>
        <v>0.016</v>
      </c>
      <c r="KK37" s="17" t="n">
        <f aca="false">Daily_Composite!AM300</f>
        <v>0.115</v>
      </c>
      <c r="KL37" s="17" t="n">
        <f aca="false">Daily_Composite!AM301</f>
        <v>0.094</v>
      </c>
      <c r="KM37" s="17" t="n">
        <f aca="false">Daily_Composite!AM302</f>
        <v>0.049</v>
      </c>
      <c r="KN37" s="17" t="n">
        <f aca="false">Daily_Composite!AM303</f>
        <v>0.258</v>
      </c>
      <c r="KO37" s="17" t="n">
        <f aca="false">Daily_Composite!AM304</f>
        <v>0.081</v>
      </c>
      <c r="KP37" s="17" t="n">
        <f aca="false">Daily_Composite!AM305</f>
        <v>0.116</v>
      </c>
      <c r="KQ37" s="17" t="n">
        <f aca="false">Daily_Composite!AM306</f>
        <v>0.065</v>
      </c>
      <c r="KR37" s="17" t="n">
        <f aca="false">Daily_Composite!AM307</f>
        <v>-0.172</v>
      </c>
      <c r="KS37" s="17" t="n">
        <f aca="false">Daily_Composite!AM308</f>
        <v>0.109</v>
      </c>
      <c r="KT37" s="17" t="n">
        <f aca="false">Daily_Composite!AM309</f>
        <v>0.105</v>
      </c>
      <c r="KU37" s="17" t="n">
        <f aca="false">Daily_Composite!AM310</f>
        <v>-0.227</v>
      </c>
      <c r="KV37" s="17" t="n">
        <f aca="false">Daily_Composite!AM311</f>
        <v>0.121</v>
      </c>
      <c r="KW37" s="17" t="n">
        <f aca="false">Daily_Composite!AM312</f>
        <v>0.145</v>
      </c>
      <c r="KX37" s="17" t="n">
        <f aca="false">Daily_Composite!AM313</f>
        <v>0.24</v>
      </c>
      <c r="KY37" s="17" t="n">
        <f aca="false">Daily_Composite!AM314</f>
        <v>0.237</v>
      </c>
      <c r="KZ37" s="17" t="n">
        <f aca="false">Daily_Composite!AM315</f>
        <v>0.092</v>
      </c>
      <c r="LA37" s="17" t="n">
        <f aca="false">Daily_Composite!AM316</f>
        <v>0.166</v>
      </c>
      <c r="LB37" s="17" t="n">
        <f aca="false">Daily_Composite!AM317</f>
        <v>0.118</v>
      </c>
      <c r="LC37" s="17" t="n">
        <f aca="false">Daily_Composite!AM318</f>
        <v>0.131</v>
      </c>
      <c r="LD37" s="17" t="n">
        <f aca="false">Daily_Composite!AM319</f>
        <v>0.221</v>
      </c>
      <c r="LE37" s="17" t="n">
        <f aca="false">Daily_Composite!AM320</f>
        <v>0.197</v>
      </c>
      <c r="LF37" s="17" t="n">
        <f aca="false">Daily_Composite!AM321</f>
        <v>0.149</v>
      </c>
      <c r="LG37" s="17" t="n">
        <f aca="false">Daily_Composite!AM322</f>
        <v>0.389</v>
      </c>
      <c r="LH37" s="17" t="n">
        <f aca="false">Daily_Composite!AM323</f>
        <v>0.56</v>
      </c>
      <c r="LI37" s="17" t="n">
        <f aca="false">Daily_Composite!AM324</f>
        <v>0.691</v>
      </c>
      <c r="LJ37" s="17" t="n">
        <f aca="false">Daily_Composite!AM325</f>
        <v>0.329</v>
      </c>
      <c r="LK37" s="17" t="n">
        <f aca="false">Daily_Composite!AM326</f>
        <v>0.303</v>
      </c>
      <c r="LL37" s="17" t="n">
        <f aca="false">Daily_Composite!AM327</f>
        <v>0.333</v>
      </c>
      <c r="LM37" s="17" t="n">
        <f aca="false">Daily_Composite!AM328</f>
        <v>0.65</v>
      </c>
      <c r="LN37" s="17" t="n">
        <f aca="false">Daily_Composite!AM329</f>
        <v>0.309</v>
      </c>
      <c r="LO37" s="17" t="n">
        <f aca="false">Daily_Composite!AM330</f>
        <v>0.008</v>
      </c>
      <c r="LP37" s="17" t="n">
        <f aca="false">Daily_Composite!AM331</f>
        <v>0.063</v>
      </c>
      <c r="LQ37" s="17" t="n">
        <f aca="false">Daily_Composite!AM332</f>
        <v>0.099</v>
      </c>
      <c r="LR37" s="17" t="n">
        <f aca="false">Daily_Composite!AM333</f>
        <v>0.096</v>
      </c>
      <c r="LS37" s="17" t="n">
        <f aca="false">Daily_Composite!AM334</f>
        <v>-0.232</v>
      </c>
      <c r="LT37" s="17" t="n">
        <f aca="false">Daily_Composite!AM335</f>
        <v>0.076</v>
      </c>
      <c r="LU37" s="17" t="n">
        <f aca="false">Daily_Composite!AM336</f>
        <v>0.111</v>
      </c>
      <c r="LV37" s="17" t="n">
        <f aca="false">Daily_Composite!AM337</f>
        <v>0.075</v>
      </c>
      <c r="LW37" s="17" t="n">
        <f aca="false">Daily_Composite!AM338</f>
        <v>0.074</v>
      </c>
      <c r="LX37" s="17" t="n">
        <f aca="false">Daily_Composite!AM339</f>
        <v>0.074</v>
      </c>
      <c r="LY37" s="17" t="n">
        <f aca="false">Daily_Composite!AM340</f>
        <v>0.083</v>
      </c>
      <c r="LZ37" s="17" t="n">
        <f aca="false">Daily_Composite!AM341</f>
        <v>0.249</v>
      </c>
      <c r="MA37" s="17" t="n">
        <f aca="false">Daily_Composite!AM342</f>
        <v>-0.228</v>
      </c>
      <c r="MB37" s="17" t="n">
        <f aca="false">Daily_Composite!AM343</f>
        <v>0.115</v>
      </c>
      <c r="MC37" s="17" t="n">
        <f aca="false">Daily_Composite!AM344</f>
        <v>0.089</v>
      </c>
      <c r="MD37" s="17" t="n">
        <f aca="false">Daily_Composite!AM345</f>
        <v>0.071</v>
      </c>
      <c r="ME37" s="17" t="n">
        <f aca="false">Daily_Composite!AM346</f>
        <v>0.071</v>
      </c>
      <c r="MF37" s="17" t="n">
        <f aca="false">Daily_Composite!AM347</f>
        <v>0.046</v>
      </c>
      <c r="MG37" s="17" t="n">
        <f aca="false">Daily_Composite!AM348</f>
        <v>0.023</v>
      </c>
      <c r="MH37" s="17" t="n">
        <f aca="false">Daily_Composite!AM349</f>
        <v>0.08</v>
      </c>
      <c r="MI37" s="17" t="n">
        <f aca="false">Daily_Composite!AM350</f>
        <v>0.292</v>
      </c>
      <c r="MJ37" s="17" t="n">
        <f aca="false">Daily_Composite!AM351</f>
        <v>0.007</v>
      </c>
      <c r="MK37" s="17" t="n">
        <f aca="false">Daily_Composite!AM352</f>
        <v>0.095</v>
      </c>
      <c r="ML37" s="17" t="n">
        <f aca="false">Daily_Composite!AM353</f>
        <v>0.107</v>
      </c>
      <c r="MM37" s="17" t="n">
        <f aca="false">Daily_Composite!AM354</f>
        <v>0.103</v>
      </c>
      <c r="MN37" s="17" t="n">
        <f aca="false">Daily_Composite!AM355</f>
        <v>0.112</v>
      </c>
      <c r="MO37" s="17" t="n">
        <f aca="false">Daily_Composite!AM356</f>
        <v>0.484</v>
      </c>
      <c r="MP37" s="17" t="n">
        <f aca="false">Daily_Composite!AM357</f>
        <v>0.327</v>
      </c>
      <c r="MQ37" s="17" t="n">
        <f aca="false">Daily_Composite!AM358</f>
        <v>0.322</v>
      </c>
      <c r="MR37" s="17" t="n">
        <f aca="false">Daily_Composite!AM359</f>
        <v>0.065</v>
      </c>
      <c r="MS37" s="17" t="n">
        <f aca="false">Daily_Composite!AM360</f>
        <v>0.091</v>
      </c>
      <c r="MT37" s="17" t="n">
        <f aca="false">Daily_Composite!AM361</f>
        <v>-0.331</v>
      </c>
      <c r="MU37" s="17" t="n">
        <f aca="false">Daily_Composite!AM362</f>
        <v>0.041</v>
      </c>
      <c r="MV37" s="17" t="n">
        <f aca="false">Daily_Composite!AM363</f>
        <v>0.082</v>
      </c>
      <c r="MW37" s="17" t="n">
        <f aca="false">Daily_Composite!AM364</f>
        <v>0.077</v>
      </c>
      <c r="MX37" s="17" t="n">
        <f aca="false">Daily_Composite!AM365</f>
        <v>0.051</v>
      </c>
      <c r="MY37" s="17" t="n">
        <f aca="false">Daily_Composite!AM366</f>
        <v>0.05</v>
      </c>
      <c r="MZ37" s="17" t="n">
        <f aca="false">Daily_Composite!AM367</f>
        <v>0.05</v>
      </c>
      <c r="NA37" s="17" t="n">
        <f aca="false">Daily_Composite!AM368</f>
        <v>0.28</v>
      </c>
      <c r="NB37" s="17" t="n">
        <f aca="false">Daily_Composite!AM369</f>
        <v>0.354</v>
      </c>
    </row>
    <row r="38" customFormat="false" ht="15" hidden="false" customHeight="false" outlineLevel="0" collapsed="false">
      <c r="A38" s="6" t="s">
        <v>51</v>
      </c>
      <c r="B38" s="17" t="n">
        <f aca="false">Daily_Composite!AN5</f>
        <v>-0.231</v>
      </c>
      <c r="C38" s="17" t="n">
        <f aca="false">Daily_Composite!AN6</f>
        <v>0.015</v>
      </c>
      <c r="D38" s="17" t="n">
        <f aca="false">Daily_Composite!AN7</f>
        <v>-0.177</v>
      </c>
      <c r="E38" s="17" t="n">
        <f aca="false">Daily_Composite!AN8</f>
        <v>-0.102</v>
      </c>
      <c r="F38" s="17" t="n">
        <f aca="false">Daily_Composite!AN9</f>
        <v>-0.1</v>
      </c>
      <c r="G38" s="17" t="n">
        <f aca="false">Daily_Composite!AN10</f>
        <v>-0.046</v>
      </c>
      <c r="H38" s="17" t="n">
        <f aca="false">Daily_Composite!AN11</f>
        <v>-0.007</v>
      </c>
      <c r="I38" s="17" t="n">
        <f aca="false">Daily_Composite!AN12</f>
        <v>-0.069</v>
      </c>
      <c r="J38" s="17" t="n">
        <f aca="false">Daily_Composite!AN13</f>
        <v>-0.08</v>
      </c>
      <c r="K38" s="17" t="n">
        <f aca="false">Daily_Composite!AN14</f>
        <v>-0.088</v>
      </c>
      <c r="L38" s="17" t="n">
        <f aca="false">Daily_Composite!AN15</f>
        <v>-0.441</v>
      </c>
      <c r="M38" s="17" t="n">
        <f aca="false">Daily_Composite!AN16</f>
        <v>-0.088</v>
      </c>
      <c r="N38" s="17" t="n">
        <f aca="false">Daily_Composite!AN17</f>
        <v>-0.276</v>
      </c>
      <c r="O38" s="17" t="n">
        <f aca="false">Daily_Composite!AN18</f>
        <v>-0.26</v>
      </c>
      <c r="P38" s="17" t="n">
        <f aca="false">Daily_Composite!AN19</f>
        <v>-0.039</v>
      </c>
      <c r="Q38" s="17" t="n">
        <f aca="false">Daily_Composite!AN20</f>
        <v>-0.018</v>
      </c>
      <c r="R38" s="17" t="n">
        <f aca="false">Daily_Composite!AN21</f>
        <v>0.038</v>
      </c>
      <c r="S38" s="17" t="n">
        <f aca="false">Daily_Composite!AN22</f>
        <v>-0.014</v>
      </c>
      <c r="T38" s="17" t="n">
        <f aca="false">Daily_Composite!AN23</f>
        <v>0.32</v>
      </c>
      <c r="U38" s="17" t="n">
        <f aca="false">Daily_Composite!AN24</f>
        <v>0.024</v>
      </c>
      <c r="V38" s="17" t="n">
        <f aca="false">Daily_Composite!AN25</f>
        <v>0.032</v>
      </c>
      <c r="W38" s="17" t="n">
        <f aca="false">Daily_Composite!AN26</f>
        <v>0.042</v>
      </c>
      <c r="X38" s="17" t="n">
        <f aca="false">Daily_Composite!AN27</f>
        <v>0.097</v>
      </c>
      <c r="Y38" s="17" t="n">
        <f aca="false">Daily_Composite!AN28</f>
        <v>0.141</v>
      </c>
      <c r="Z38" s="17" t="n">
        <f aca="false">Daily_Composite!AN29</f>
        <v>0.116</v>
      </c>
      <c r="AA38" s="17" t="n">
        <f aca="false">Daily_Composite!AN30</f>
        <v>0.098</v>
      </c>
      <c r="AB38" s="17" t="n">
        <f aca="false">Daily_Composite!AN31</f>
        <v>0.186</v>
      </c>
      <c r="AC38" s="17" t="n">
        <f aca="false">Daily_Composite!AN32</f>
        <v>0.237</v>
      </c>
      <c r="AD38" s="17" t="n">
        <f aca="false">Daily_Composite!AN33</f>
        <v>-0.047</v>
      </c>
      <c r="AE38" s="17" t="n">
        <f aca="false">Daily_Composite!AN34</f>
        <v>-0.016</v>
      </c>
      <c r="AF38" s="17" t="n">
        <f aca="false">Daily_Composite!AN35</f>
        <v>0.099</v>
      </c>
      <c r="AG38" s="17" t="n">
        <f aca="false">Daily_Composite!AN36</f>
        <v>0.13</v>
      </c>
      <c r="AH38" s="17" t="n">
        <f aca="false">Daily_Composite!AN37</f>
        <v>0.011</v>
      </c>
      <c r="AI38" s="17" t="n">
        <f aca="false">Daily_Composite!AN38</f>
        <v>-0.013</v>
      </c>
      <c r="AJ38" s="17" t="n">
        <f aca="false">Daily_Composite!AN39</f>
        <v>0.146</v>
      </c>
      <c r="AK38" s="17" t="n">
        <f aca="false">Daily_Composite!AN40</f>
        <v>0.383</v>
      </c>
      <c r="AL38" s="17" t="n">
        <f aca="false">Daily_Composite!AN41</f>
        <v>0.076</v>
      </c>
      <c r="AM38" s="17" t="n">
        <f aca="false">Daily_Composite!AN42</f>
        <v>-0.398</v>
      </c>
      <c r="AN38" s="17" t="n">
        <f aca="false">Daily_Composite!AN43</f>
        <v>-0.017</v>
      </c>
      <c r="AO38" s="17" t="n">
        <f aca="false">Daily_Composite!AN44</f>
        <v>-0.104</v>
      </c>
      <c r="AP38" s="17" t="n">
        <f aca="false">Daily_Composite!AN45</f>
        <v>-0.05</v>
      </c>
      <c r="AQ38" s="17" t="n">
        <f aca="false">Daily_Composite!AN46</f>
        <v>0.042</v>
      </c>
      <c r="AR38" s="17" t="n">
        <f aca="false">Daily_Composite!AN47</f>
        <v>0.019</v>
      </c>
      <c r="AS38" s="17" t="n">
        <f aca="false">Daily_Composite!AN48</f>
        <v>0.037</v>
      </c>
      <c r="AT38" s="17" t="n">
        <f aca="false">Daily_Composite!AN49</f>
        <v>0.011</v>
      </c>
      <c r="AU38" s="17" t="n">
        <f aca="false">Daily_Composite!AN50</f>
        <v>0.007</v>
      </c>
      <c r="AV38" s="17" t="n">
        <f aca="false">Daily_Composite!AN51</f>
        <v>-0.008</v>
      </c>
      <c r="AW38" s="17" t="n">
        <f aca="false">Daily_Composite!AN52</f>
        <v>-0.305</v>
      </c>
      <c r="AX38" s="17" t="n">
        <f aca="false">Daily_Composite!AN53</f>
        <v>-0.088</v>
      </c>
      <c r="AY38" s="17" t="n">
        <f aca="false">Daily_Composite!AN54</f>
        <v>0.036</v>
      </c>
      <c r="AZ38" s="17" t="n">
        <f aca="false">Daily_Composite!AN55</f>
        <v>0.043</v>
      </c>
      <c r="BA38" s="17" t="n">
        <f aca="false">Daily_Composite!AN56</f>
        <v>-0.017</v>
      </c>
      <c r="BB38" s="17" t="n">
        <f aca="false">Daily_Composite!AN57</f>
        <v>-0.018</v>
      </c>
      <c r="BC38" s="17" t="n">
        <f aca="false">Daily_Composite!AN58</f>
        <v>0.034</v>
      </c>
      <c r="BD38" s="17" t="n">
        <f aca="false">Daily_Composite!AN59</f>
        <v>0.05</v>
      </c>
      <c r="BE38" s="17" t="n">
        <f aca="false">Daily_Composite!AN60</f>
        <v>-0.284</v>
      </c>
      <c r="BF38" s="17" t="n">
        <f aca="false">Daily_Composite!AN61</f>
        <v>-0.399</v>
      </c>
      <c r="BG38" s="17" t="n">
        <f aca="false">Daily_Composite!AN62</f>
        <v>-0.049</v>
      </c>
      <c r="BH38" s="17" t="n">
        <f aca="false">Daily_Composite!AN63</f>
        <v>0.049</v>
      </c>
      <c r="BI38" s="17" t="n">
        <f aca="false">Daily_Composite!AN64</f>
        <v>0.011</v>
      </c>
      <c r="BJ38" s="17" t="n">
        <f aca="false">Daily_Composite!AN65</f>
        <v>-0.248</v>
      </c>
      <c r="BK38" s="17" t="n">
        <f aca="false">Daily_Composite!AN66</f>
        <v>-0.24</v>
      </c>
      <c r="BL38" s="17" t="n">
        <f aca="false">Daily_Composite!AN67</f>
        <v>0.055</v>
      </c>
      <c r="BM38" s="17" t="n">
        <f aca="false">Daily_Composite!AN68</f>
        <v>0.042</v>
      </c>
      <c r="BN38" s="17" t="n">
        <f aca="false">Daily_Composite!AN69</f>
        <v>-0.022</v>
      </c>
      <c r="BO38" s="17" t="n">
        <f aca="false">Daily_Composite!AN70</f>
        <v>-0.436</v>
      </c>
      <c r="BP38" s="17" t="n">
        <f aca="false">Daily_Composite!AN71</f>
        <v>-0.128</v>
      </c>
      <c r="BQ38" s="17" t="n">
        <f aca="false">Daily_Composite!AN72</f>
        <v>-0.059</v>
      </c>
      <c r="BR38" s="17" t="n">
        <f aca="false">Daily_Composite!AN73</f>
        <v>-0.041</v>
      </c>
      <c r="BS38" s="17" t="n">
        <f aca="false">Daily_Composite!AN74</f>
        <v>-0.107</v>
      </c>
      <c r="BT38" s="17" t="n">
        <f aca="false">Daily_Composite!AN75</f>
        <v>-0.085</v>
      </c>
      <c r="BU38" s="17" t="n">
        <f aca="false">Daily_Composite!AN76</f>
        <v>-0.061</v>
      </c>
      <c r="BV38" s="17" t="n">
        <f aca="false">Daily_Composite!AN77</f>
        <v>-0.046</v>
      </c>
      <c r="BW38" s="17" t="n">
        <f aca="false">Daily_Composite!AN78</f>
        <v>-0.033</v>
      </c>
      <c r="BX38" s="17" t="n">
        <f aca="false">Daily_Composite!AN79</f>
        <v>-0.328</v>
      </c>
      <c r="BY38" s="17" t="n">
        <f aca="false">Daily_Composite!AN80</f>
        <v>-0.375</v>
      </c>
      <c r="BZ38" s="17" t="n">
        <f aca="false">Daily_Composite!AN81</f>
        <v>0.029</v>
      </c>
      <c r="CA38" s="17" t="n">
        <f aca="false">Daily_Composite!AN82</f>
        <v>0.009</v>
      </c>
      <c r="CB38" s="17" t="n">
        <f aca="false">Daily_Composite!AN83</f>
        <v>-0.058</v>
      </c>
      <c r="CC38" s="17" t="n">
        <f aca="false">Daily_Composite!AN84</f>
        <v>-0.189</v>
      </c>
      <c r="CD38" s="17" t="n">
        <f aca="false">Daily_Composite!AN85</f>
        <v>-0.12</v>
      </c>
      <c r="CE38" s="17" t="n">
        <f aca="false">Daily_Composite!AN86</f>
        <v>-0.037</v>
      </c>
      <c r="CF38" s="17" t="n">
        <f aca="false">Daily_Composite!AN87</f>
        <v>0.283</v>
      </c>
      <c r="CG38" s="17" t="n">
        <f aca="false">Daily_Composite!AN88</f>
        <v>-0.32</v>
      </c>
      <c r="CH38" s="17" t="n">
        <f aca="false">Daily_Composite!AN89</f>
        <v>-0.507</v>
      </c>
      <c r="CI38" s="17" t="n">
        <f aca="false">Daily_Composite!AN90</f>
        <v>-0.075</v>
      </c>
      <c r="CJ38" s="17" t="n">
        <f aca="false">Daily_Composite!AN91</f>
        <v>-0.073</v>
      </c>
      <c r="CK38" s="17" t="n">
        <f aca="false">Daily_Composite!AN92</f>
        <v>-0.058</v>
      </c>
      <c r="CL38" s="17" t="n">
        <f aca="false">Daily_Composite!AN93</f>
        <v>-0.153</v>
      </c>
      <c r="CM38" s="17" t="n">
        <f aca="false">Daily_Composite!AN94</f>
        <v>-0.029</v>
      </c>
      <c r="CN38" s="17" t="n">
        <f aca="false">Daily_Composite!AN95</f>
        <v>-0.087</v>
      </c>
      <c r="CO38" s="17" t="n">
        <f aca="false">Daily_Composite!AN96</f>
        <v>-0.114</v>
      </c>
      <c r="CP38" s="17" t="n">
        <f aca="false">Daily_Composite!AN97</f>
        <v>-0.389</v>
      </c>
      <c r="CQ38" s="17" t="n">
        <f aca="false">Daily_Composite!AN98</f>
        <v>-0.166</v>
      </c>
      <c r="CR38" s="17" t="n">
        <f aca="false">Daily_Composite!AN99</f>
        <v>-0.08</v>
      </c>
      <c r="CS38" s="17" t="n">
        <f aca="false">Daily_Composite!AN100</f>
        <v>-0.029</v>
      </c>
      <c r="CT38" s="17" t="n">
        <f aca="false">Daily_Composite!AN101</f>
        <v>-0.047</v>
      </c>
      <c r="CU38" s="17" t="n">
        <f aca="false">Daily_Composite!AN102</f>
        <v>-0.028</v>
      </c>
      <c r="CV38" s="17" t="n">
        <f aca="false">Daily_Composite!AN103</f>
        <v>-0.065</v>
      </c>
      <c r="CW38" s="17" t="n">
        <f aca="false">Daily_Composite!AN104</f>
        <v>-0.086</v>
      </c>
      <c r="CX38" s="17" t="n">
        <f aca="false">Daily_Composite!AN105</f>
        <v>-0.185</v>
      </c>
      <c r="CY38" s="17" t="n">
        <f aca="false">Daily_Composite!AN106</f>
        <v>-0.021</v>
      </c>
      <c r="CZ38" s="17" t="n">
        <f aca="false">Daily_Composite!AN107</f>
        <v>0.261</v>
      </c>
      <c r="DA38" s="17" t="n">
        <f aca="false">Daily_Composite!AN108</f>
        <v>-0.057</v>
      </c>
      <c r="DB38" s="17" t="n">
        <f aca="false">Daily_Composite!AN109</f>
        <v>-0.058</v>
      </c>
      <c r="DC38" s="17" t="n">
        <f aca="false">Daily_Composite!AN110</f>
        <v>-0.054</v>
      </c>
      <c r="DD38" s="17" t="n">
        <f aca="false">Daily_Composite!AN111</f>
        <v>-0.056</v>
      </c>
      <c r="DE38" s="17" t="n">
        <f aca="false">Daily_Composite!AN112</f>
        <v>-0.06</v>
      </c>
      <c r="DF38" s="17" t="n">
        <f aca="false">Daily_Composite!AN113</f>
        <v>-0.032</v>
      </c>
      <c r="DG38" s="17" t="n">
        <f aca="false">Daily_Composite!AN114</f>
        <v>0.045</v>
      </c>
      <c r="DH38" s="17" t="n">
        <f aca="false">Daily_Composite!AN115</f>
        <v>-0.121</v>
      </c>
      <c r="DI38" s="17" t="n">
        <f aca="false">Daily_Composite!AN116</f>
        <v>-0.476</v>
      </c>
      <c r="DJ38" s="17" t="n">
        <f aca="false">Daily_Composite!AN117</f>
        <v>-0.264</v>
      </c>
      <c r="DK38" s="17" t="n">
        <f aca="false">Daily_Composite!AN118</f>
        <v>-0.057</v>
      </c>
      <c r="DL38" s="17" t="n">
        <f aca="false">Daily_Composite!AN119</f>
        <v>-0.065</v>
      </c>
      <c r="DM38" s="17" t="n">
        <f aca="false">Daily_Composite!AN120</f>
        <v>-0.102</v>
      </c>
      <c r="DN38" s="17" t="n">
        <f aca="false">Daily_Composite!AN121</f>
        <v>-0.043</v>
      </c>
      <c r="DO38" s="17" t="n">
        <f aca="false">Daily_Composite!AN122</f>
        <v>-0.007</v>
      </c>
      <c r="DP38" s="17" t="n">
        <f aca="false">Daily_Composite!AN123</f>
        <v>-0.029</v>
      </c>
      <c r="DQ38" s="17" t="n">
        <f aca="false">Daily_Composite!AN124</f>
        <v>-0.462</v>
      </c>
      <c r="DR38" s="17" t="n">
        <f aca="false">Daily_Composite!AN125</f>
        <v>-0.05</v>
      </c>
      <c r="DS38" s="17" t="n">
        <f aca="false">Daily_Composite!AN126</f>
        <v>-0.178</v>
      </c>
      <c r="DT38" s="17" t="n">
        <f aca="false">Daily_Composite!AN127</f>
        <v>-0.137</v>
      </c>
      <c r="DU38" s="17" t="n">
        <f aca="false">Daily_Composite!AN128</f>
        <v>-0.009</v>
      </c>
      <c r="DV38" s="17" t="n">
        <f aca="false">Daily_Composite!AN129</f>
        <v>-0.039</v>
      </c>
      <c r="DW38" s="17" t="n">
        <f aca="false">Daily_Composite!AN130</f>
        <v>-0.014</v>
      </c>
      <c r="DX38" s="17" t="n">
        <f aca="false">Daily_Composite!AN131</f>
        <v>-0.061</v>
      </c>
      <c r="DY38" s="17" t="n">
        <f aca="false">Daily_Composite!AN132</f>
        <v>0.195</v>
      </c>
      <c r="DZ38" s="17" t="n">
        <f aca="false">Daily_Composite!AN133</f>
        <v>-0.06</v>
      </c>
      <c r="EA38" s="17" t="n">
        <f aca="false">Daily_Composite!AN134</f>
        <v>-0.352</v>
      </c>
      <c r="EB38" s="17" t="n">
        <f aca="false">Daily_Composite!AN135</f>
        <v>-0.054</v>
      </c>
      <c r="EC38" s="17" t="n">
        <f aca="false">Daily_Composite!AN136</f>
        <v>-0.005</v>
      </c>
      <c r="ED38" s="17" t="n">
        <f aca="false">Daily_Composite!AN137</f>
        <v>0.015</v>
      </c>
      <c r="EE38" s="17" t="n">
        <f aca="false">Daily_Composite!AN138</f>
        <v>-0.045</v>
      </c>
      <c r="EF38" s="17" t="n">
        <f aca="false">Daily_Composite!AN139</f>
        <v>-0.063</v>
      </c>
      <c r="EG38" s="17" t="n">
        <f aca="false">Daily_Composite!AN140</f>
        <v>-0.035</v>
      </c>
      <c r="EH38" s="17" t="n">
        <f aca="false">Daily_Composite!AN141</f>
        <v>-0.09</v>
      </c>
      <c r="EI38" s="17" t="n">
        <f aca="false">Daily_Composite!AN142</f>
        <v>-0.091</v>
      </c>
      <c r="EJ38" s="17" t="n">
        <f aca="false">Daily_Composite!AN143</f>
        <v>-0.489</v>
      </c>
      <c r="EK38" s="17" t="n">
        <f aca="false">Daily_Composite!AN144</f>
        <v>-0.25</v>
      </c>
      <c r="EL38" s="17" t="n">
        <f aca="false">Daily_Composite!AN145</f>
        <v>-0.077</v>
      </c>
      <c r="EM38" s="17" t="n">
        <f aca="false">Daily_Composite!AN146</f>
        <v>-0.08</v>
      </c>
      <c r="EN38" s="17" t="n">
        <f aca="false">Daily_Composite!AN147</f>
        <v>-0.074</v>
      </c>
      <c r="EO38" s="17" t="n">
        <f aca="false">Daily_Composite!AN148</f>
        <v>-0.115</v>
      </c>
      <c r="EP38" s="17" t="n">
        <f aca="false">Daily_Composite!AN149</f>
        <v>-0.1</v>
      </c>
      <c r="EQ38" s="17" t="n">
        <f aca="false">Daily_Composite!AN150</f>
        <v>-0.09</v>
      </c>
      <c r="ER38" s="17" t="n">
        <f aca="false">Daily_Composite!AN151</f>
        <v>-0.056</v>
      </c>
      <c r="ES38" s="17" t="n">
        <f aca="false">Daily_Composite!AN152</f>
        <v>-0.351</v>
      </c>
      <c r="ET38" s="17" t="n">
        <f aca="false">Daily_Composite!AN153</f>
        <v>-0.264</v>
      </c>
      <c r="EU38" s="17" t="n">
        <f aca="false">Daily_Composite!AN154</f>
        <v>-0.247</v>
      </c>
      <c r="EV38" s="17" t="n">
        <f aca="false">Daily_Composite!AN155</f>
        <v>-0.268</v>
      </c>
      <c r="EW38" s="17" t="n">
        <f aca="false">Daily_Composite!AN156</f>
        <v>-0.015</v>
      </c>
      <c r="EX38" s="17" t="n">
        <f aca="false">Daily_Composite!AN157</f>
        <v>-0.035</v>
      </c>
      <c r="EY38" s="17" t="n">
        <f aca="false">Daily_Composite!AN158</f>
        <v>-0.224</v>
      </c>
      <c r="EZ38" s="17" t="n">
        <f aca="false">Daily_Composite!AN159</f>
        <v>0.066</v>
      </c>
      <c r="FA38" s="17" t="n">
        <f aca="false">Daily_Composite!AN160</f>
        <v>-0.228</v>
      </c>
      <c r="FB38" s="17" t="n">
        <f aca="false">Daily_Composite!AN161</f>
        <v>0.012</v>
      </c>
      <c r="FC38" s="17" t="n">
        <f aca="false">Daily_Composite!AN162</f>
        <v>-0.27</v>
      </c>
      <c r="FD38" s="17" t="n">
        <f aca="false">Daily_Composite!AN163</f>
        <v>-0.241</v>
      </c>
      <c r="FE38" s="17" t="n">
        <f aca="false">Daily_Composite!AN164</f>
        <v>-0.246</v>
      </c>
      <c r="FF38" s="17" t="n">
        <f aca="false">Daily_Composite!AN165</f>
        <v>-0.194</v>
      </c>
      <c r="FG38" s="17" t="n">
        <f aca="false">Daily_Composite!AN166</f>
        <v>-0.2</v>
      </c>
      <c r="FH38" s="17" t="n">
        <f aca="false">Daily_Composite!AN167</f>
        <v>-0.221</v>
      </c>
      <c r="FI38" s="17" t="n">
        <f aca="false">Daily_Composite!AN168</f>
        <v>-0.249</v>
      </c>
      <c r="FJ38" s="17" t="n">
        <f aca="false">Daily_Composite!AN169</f>
        <v>-0.253</v>
      </c>
      <c r="FK38" s="17" t="n">
        <f aca="false">Daily_Composite!AN170</f>
        <v>-0.243</v>
      </c>
      <c r="FL38" s="17" t="n">
        <f aca="false">Daily_Composite!AN171</f>
        <v>-0.532</v>
      </c>
      <c r="FM38" s="17" t="n">
        <f aca="false">Daily_Composite!AN172</f>
        <v>-0.277</v>
      </c>
      <c r="FN38" s="17" t="n">
        <f aca="false">Daily_Composite!AN173</f>
        <v>-0.238</v>
      </c>
      <c r="FO38" s="17" t="n">
        <f aca="false">Daily_Composite!AN174</f>
        <v>-0.266</v>
      </c>
      <c r="FP38" s="17" t="n">
        <f aca="false">Daily_Composite!AN175</f>
        <v>-0.258</v>
      </c>
      <c r="FQ38" s="17" t="n">
        <f aca="false">Daily_Composite!AN176</f>
        <v>-0.182</v>
      </c>
      <c r="FR38" s="17" t="n">
        <f aca="false">Daily_Composite!AN177</f>
        <v>0.244</v>
      </c>
      <c r="FS38" s="17" t="n">
        <f aca="false">Daily_Composite!AN178</f>
        <v>-0.254</v>
      </c>
      <c r="FT38" s="17" t="n">
        <f aca="false">Daily_Composite!AN179</f>
        <v>-0.521</v>
      </c>
      <c r="FU38" s="17" t="n">
        <f aca="false">Daily_Composite!AN180</f>
        <v>-0.203</v>
      </c>
      <c r="FV38" s="17" t="n">
        <f aca="false">Daily_Composite!AN181</f>
        <v>-0.353</v>
      </c>
      <c r="FW38" s="17" t="n">
        <f aca="false">Daily_Composite!AN182</f>
        <v>-0.395</v>
      </c>
      <c r="FX38" s="17" t="n">
        <f aca="false">Daily_Composite!AN183</f>
        <v>-0.287</v>
      </c>
      <c r="FY38" s="17" t="n">
        <f aca="false">Daily_Composite!AN184</f>
        <v>-0.277</v>
      </c>
      <c r="FZ38" s="17" t="n">
        <f aca="false">Daily_Composite!AN185</f>
        <v>-0.184</v>
      </c>
      <c r="GA38" s="17" t="n">
        <f aca="false">Daily_Composite!AN186</f>
        <v>0.151</v>
      </c>
      <c r="GB38" s="17" t="n">
        <f aca="false">Daily_Composite!AN187</f>
        <v>0.105</v>
      </c>
      <c r="GC38" s="17" t="n">
        <f aca="false">Daily_Composite!AN188</f>
        <v>-0.278</v>
      </c>
      <c r="GD38" s="17" t="n">
        <f aca="false">Daily_Composite!AN189</f>
        <v>-0.069</v>
      </c>
      <c r="GE38" s="17" t="n">
        <f aca="false">Daily_Composite!AN190</f>
        <v>-0.061</v>
      </c>
      <c r="GF38" s="17" t="n">
        <f aca="false">Daily_Composite!AN191</f>
        <v>-0.043</v>
      </c>
      <c r="GG38" s="17" t="n">
        <f aca="false">Daily_Composite!AN192</f>
        <v>-0.042</v>
      </c>
      <c r="GH38" s="17" t="n">
        <f aca="false">Daily_Composite!AN193</f>
        <v>-0.077</v>
      </c>
      <c r="GI38" s="17" t="n">
        <f aca="false">Daily_Composite!AN194</f>
        <v>-0.048</v>
      </c>
      <c r="GJ38" s="17" t="n">
        <f aca="false">Daily_Composite!AN195</f>
        <v>0.03</v>
      </c>
      <c r="GK38" s="17" t="n">
        <f aca="false">Daily_Composite!AN196</f>
        <v>0.417</v>
      </c>
      <c r="GL38" s="17" t="n">
        <f aca="false">Daily_Composite!AN197</f>
        <v>-0.038</v>
      </c>
      <c r="GM38" s="17" t="n">
        <f aca="false">Daily_Composite!AN198</f>
        <v>-0.398</v>
      </c>
      <c r="GN38" s="17" t="n">
        <f aca="false">Daily_Composite!AN199</f>
        <v>0.045</v>
      </c>
      <c r="GO38" s="17" t="n">
        <f aca="false">Daily_Composite!AN200</f>
        <v>-0.019</v>
      </c>
      <c r="GP38" s="17" t="n">
        <f aca="false">Daily_Composite!AN201</f>
        <v>-0.01</v>
      </c>
      <c r="GQ38" s="17" t="n">
        <f aca="false">Daily_Composite!AN202</f>
        <v>-0.071</v>
      </c>
      <c r="GR38" s="17" t="n">
        <f aca="false">Daily_Composite!AN203</f>
        <v>-0.105</v>
      </c>
      <c r="GS38" s="17" t="n">
        <f aca="false">Daily_Composite!AN204</f>
        <v>-0.079</v>
      </c>
      <c r="GT38" s="17" t="n">
        <f aca="false">Daily_Composite!AN205</f>
        <v>-0.049</v>
      </c>
      <c r="GU38" s="17" t="n">
        <f aca="false">Daily_Composite!AN206</f>
        <v>-0.36</v>
      </c>
      <c r="GV38" s="17" t="n">
        <f aca="false">Daily_Composite!AN207</f>
        <v>-0.12</v>
      </c>
      <c r="GW38" s="17" t="n">
        <f aca="false">Daily_Composite!AN208</f>
        <v>-0.136</v>
      </c>
      <c r="GX38" s="17" t="n">
        <f aca="false">Daily_Composite!AN209</f>
        <v>-0.168</v>
      </c>
      <c r="GY38" s="17" t="n">
        <f aca="false">Daily_Composite!AN210</f>
        <v>-0.048</v>
      </c>
      <c r="GZ38" s="17" t="n">
        <f aca="false">Daily_Composite!AN211</f>
        <v>-0.087</v>
      </c>
      <c r="HA38" s="17" t="n">
        <f aca="false">Daily_Composite!AN212</f>
        <v>-0.092</v>
      </c>
      <c r="HB38" s="17" t="n">
        <f aca="false">Daily_Composite!AN213</f>
        <v>-0.155</v>
      </c>
      <c r="HC38" s="17" t="n">
        <f aca="false">Daily_Composite!AN214</f>
        <v>-0.399</v>
      </c>
      <c r="HD38" s="17" t="n">
        <f aca="false">Daily_Composite!AN215</f>
        <v>-0.077</v>
      </c>
      <c r="HE38" s="17" t="n">
        <f aca="false">Daily_Composite!AN216</f>
        <v>0.109</v>
      </c>
      <c r="HF38" s="17" t="n">
        <f aca="false">Daily_Composite!AN217</f>
        <v>-0.085</v>
      </c>
      <c r="HG38" s="17" t="n">
        <f aca="false">Daily_Composite!AN218</f>
        <v>-0.081</v>
      </c>
      <c r="HH38" s="17" t="n">
        <f aca="false">Daily_Composite!AN219</f>
        <v>-0.09</v>
      </c>
      <c r="HI38" s="17" t="n">
        <f aca="false">Daily_Composite!AN220</f>
        <v>-0.093</v>
      </c>
      <c r="HJ38" s="17" t="n">
        <f aca="false">Daily_Composite!AN221</f>
        <v>-0.096</v>
      </c>
      <c r="HK38" s="17" t="n">
        <f aca="false">Daily_Composite!AN222</f>
        <v>-0.318</v>
      </c>
      <c r="HL38" s="17" t="n">
        <f aca="false">Daily_Composite!AN223</f>
        <v>-0.476</v>
      </c>
      <c r="HM38" s="17" t="n">
        <f aca="false">Daily_Composite!AN224</f>
        <v>-0.24</v>
      </c>
      <c r="HN38" s="17" t="n">
        <f aca="false">Daily_Composite!AN225</f>
        <v>-0.55</v>
      </c>
      <c r="HO38" s="17" t="n">
        <f aca="false">Daily_Composite!AN226</f>
        <v>-0.456</v>
      </c>
      <c r="HP38" s="17" t="n">
        <f aca="false">Daily_Composite!AN227</f>
        <v>-0.261</v>
      </c>
      <c r="HQ38" s="17" t="n">
        <f aca="false">Daily_Composite!AN228</f>
        <v>-0.259</v>
      </c>
      <c r="HR38" s="17" t="n">
        <f aca="false">Daily_Composite!AN229</f>
        <v>-0.16</v>
      </c>
      <c r="HS38" s="17" t="n">
        <f aca="false">Daily_Composite!AN230</f>
        <v>-0.153</v>
      </c>
      <c r="HT38" s="17" t="n">
        <f aca="false">Daily_Composite!AN231</f>
        <v>-0.243</v>
      </c>
      <c r="HU38" s="17" t="n">
        <f aca="false">Daily_Composite!AN232</f>
        <v>-0.38</v>
      </c>
      <c r="HV38" s="17" t="n">
        <f aca="false">Daily_Composite!AN233</f>
        <v>-0.182</v>
      </c>
      <c r="HW38" s="17" t="n">
        <f aca="false">Daily_Composite!AN234</f>
        <v>-0.325</v>
      </c>
      <c r="HX38" s="17" t="n">
        <f aca="false">Daily_Composite!AN235</f>
        <v>-0.295</v>
      </c>
      <c r="HY38" s="17" t="n">
        <f aca="false">Daily_Composite!AN236</f>
        <v>-0.157</v>
      </c>
      <c r="HZ38" s="17" t="n">
        <f aca="false">Daily_Composite!AN237</f>
        <v>-0.076</v>
      </c>
      <c r="IA38" s="17" t="n">
        <f aca="false">Daily_Composite!AN238</f>
        <v>0.005</v>
      </c>
      <c r="IB38" s="17" t="n">
        <f aca="false">Daily_Composite!AN239</f>
        <v>-0.019</v>
      </c>
      <c r="IC38" s="17" t="n">
        <f aca="false">Daily_Composite!AN240</f>
        <v>-0.023</v>
      </c>
      <c r="ID38" s="17" t="n">
        <f aca="false">Daily_Composite!AN241</f>
        <v>-0.033</v>
      </c>
      <c r="IE38" s="17" t="n">
        <f aca="false">Daily_Composite!AN242</f>
        <v>-0.096</v>
      </c>
      <c r="IF38" s="17" t="n">
        <f aca="false">Daily_Composite!AN243</f>
        <v>-0.368</v>
      </c>
      <c r="IG38" s="17" t="n">
        <f aca="false">Daily_Composite!AN244</f>
        <v>-0.189</v>
      </c>
      <c r="IH38" s="17" t="n">
        <f aca="false">Daily_Composite!AN245</f>
        <v>-0.036</v>
      </c>
      <c r="II38" s="17" t="n">
        <f aca="false">Daily_Composite!AN246</f>
        <v>-0.056</v>
      </c>
      <c r="IJ38" s="17" t="n">
        <f aca="false">Daily_Composite!AN247</f>
        <v>-0.136</v>
      </c>
      <c r="IK38" s="17" t="n">
        <f aca="false">Daily_Composite!AN248</f>
        <v>-0.186</v>
      </c>
      <c r="IL38" s="17" t="n">
        <f aca="false">Daily_Composite!AN249</f>
        <v>-0.167</v>
      </c>
      <c r="IM38" s="17" t="n">
        <f aca="false">Daily_Composite!AN250</f>
        <v>-0.152</v>
      </c>
      <c r="IN38" s="17" t="n">
        <f aca="false">Daily_Composite!AN251</f>
        <v>0.357</v>
      </c>
      <c r="IO38" s="17" t="n">
        <f aca="false">Daily_Composite!AN252</f>
        <v>-0.263</v>
      </c>
      <c r="IP38" s="17" t="n">
        <f aca="false">Daily_Composite!AN253</f>
        <v>-0.35</v>
      </c>
      <c r="IQ38" s="17" t="n">
        <f aca="false">Daily_Composite!AN254</f>
        <v>-0.161</v>
      </c>
      <c r="IR38" s="17" t="n">
        <f aca="false">Daily_Composite!AN255</f>
        <v>-0.146</v>
      </c>
      <c r="IS38" s="17" t="n">
        <f aca="false">Daily_Composite!AN256</f>
        <v>-0.158</v>
      </c>
      <c r="IT38" s="17" t="n">
        <f aca="false">Daily_Composite!AN257</f>
        <v>-0.213</v>
      </c>
      <c r="IU38" s="17" t="n">
        <f aca="false">Daily_Composite!AN258</f>
        <v>0.058</v>
      </c>
      <c r="IV38" s="17" t="n">
        <f aca="false">Daily_Composite!AN259</f>
        <v>0.412</v>
      </c>
      <c r="IW38" s="17" t="n">
        <f aca="false">Daily_Composite!AN260</f>
        <v>-0.003</v>
      </c>
      <c r="IX38" s="17" t="n">
        <f aca="false">Daily_Composite!AN261</f>
        <v>-0.035</v>
      </c>
      <c r="IY38" s="17" t="n">
        <f aca="false">Daily_Composite!AN262</f>
        <v>-0.045</v>
      </c>
      <c r="IZ38" s="17" t="n">
        <f aca="false">Daily_Composite!AN263</f>
        <v>-0.158</v>
      </c>
      <c r="JA38" s="17" t="n">
        <f aca="false">Daily_Composite!AN264</f>
        <v>-0.2</v>
      </c>
      <c r="JB38" s="17" t="n">
        <f aca="false">Daily_Composite!AN265</f>
        <v>-0.005</v>
      </c>
      <c r="JC38" s="17" t="n">
        <f aca="false">Daily_Composite!AN266</f>
        <v>-0.053</v>
      </c>
      <c r="JD38" s="17" t="n">
        <f aca="false">Daily_Composite!AN267</f>
        <v>-0.096</v>
      </c>
      <c r="JE38" s="17" t="n">
        <f aca="false">Daily_Composite!AN268</f>
        <v>0.235</v>
      </c>
      <c r="JF38" s="17" t="n">
        <f aca="false">Daily_Composite!AN269</f>
        <v>-0.102</v>
      </c>
      <c r="JG38" s="17" t="n">
        <f aca="false">Daily_Composite!AN270</f>
        <v>-0.116</v>
      </c>
      <c r="JH38" s="17" t="n">
        <f aca="false">Daily_Composite!AN271</f>
        <v>-0.438</v>
      </c>
      <c r="JI38" s="17" t="n">
        <f aca="false">Daily_Composite!AN272</f>
        <v>-0.073</v>
      </c>
      <c r="JJ38" s="17" t="n">
        <f aca="false">Daily_Composite!AN273</f>
        <v>-0.092</v>
      </c>
      <c r="JK38" s="17" t="n">
        <f aca="false">Daily_Composite!AN274</f>
        <v>-0.225</v>
      </c>
      <c r="JL38" s="17" t="n">
        <f aca="false">Daily_Composite!AN275</f>
        <v>-0.21</v>
      </c>
      <c r="JM38" s="17" t="n">
        <f aca="false">Daily_Composite!AN276</f>
        <v>-0.212</v>
      </c>
      <c r="JN38" s="17" t="n">
        <f aca="false">Daily_Composite!AN277</f>
        <v>-0.238</v>
      </c>
      <c r="JO38" s="17" t="n">
        <f aca="false">Daily_Composite!AN278</f>
        <v>-0.554</v>
      </c>
      <c r="JP38" s="17" t="n">
        <f aca="false">Daily_Composite!AN279</f>
        <v>-0.247</v>
      </c>
      <c r="JQ38" s="17" t="n">
        <f aca="false">Daily_Composite!AN280</f>
        <v>-0.388</v>
      </c>
      <c r="JR38" s="17" t="n">
        <f aca="false">Daily_Composite!AN281</f>
        <v>-0.201</v>
      </c>
      <c r="JS38" s="17" t="n">
        <f aca="false">Daily_Composite!AN282</f>
        <v>-0.132</v>
      </c>
      <c r="JT38" s="17" t="n">
        <f aca="false">Daily_Composite!AN283</f>
        <v>-0.123</v>
      </c>
      <c r="JU38" s="17" t="n">
        <f aca="false">Daily_Composite!AN284</f>
        <v>-0.142</v>
      </c>
      <c r="JV38" s="17" t="n">
        <f aca="false">Daily_Composite!AN285</f>
        <v>-0.144</v>
      </c>
      <c r="JW38" s="17" t="n">
        <f aca="false">Daily_Composite!AN286</f>
        <v>-0.02</v>
      </c>
      <c r="JX38" s="17" t="n">
        <f aca="false">Daily_Composite!AN287</f>
        <v>-0.071</v>
      </c>
      <c r="JY38" s="17" t="n">
        <f aca="false">Daily_Composite!AN288</f>
        <v>-0.067</v>
      </c>
      <c r="JZ38" s="17" t="n">
        <f aca="false">Daily_Composite!AN289</f>
        <v>-0.119</v>
      </c>
      <c r="KA38" s="17" t="n">
        <f aca="false">Daily_Composite!AN290</f>
        <v>-0.189</v>
      </c>
      <c r="KB38" s="17" t="n">
        <f aca="false">Daily_Composite!AN291</f>
        <v>-0.167</v>
      </c>
      <c r="KC38" s="17" t="n">
        <f aca="false">Daily_Composite!AN292</f>
        <v>-0.108</v>
      </c>
      <c r="KD38" s="17" t="n">
        <f aca="false">Daily_Composite!AN293</f>
        <v>-0.12</v>
      </c>
      <c r="KE38" s="17" t="n">
        <f aca="false">Daily_Composite!AN294</f>
        <v>-0.101</v>
      </c>
      <c r="KF38" s="17" t="n">
        <f aca="false">Daily_Composite!AN295</f>
        <v>-0.064</v>
      </c>
      <c r="KG38" s="17" t="n">
        <f aca="false">Daily_Composite!AN296</f>
        <v>-0.165</v>
      </c>
      <c r="KH38" s="17" t="n">
        <f aca="false">Daily_Composite!AN297</f>
        <v>-0.144</v>
      </c>
      <c r="KI38" s="17" t="n">
        <f aca="false">Daily_Composite!AN298</f>
        <v>-0.177</v>
      </c>
      <c r="KJ38" s="17" t="n">
        <f aca="false">Daily_Composite!AN299</f>
        <v>-0.027</v>
      </c>
      <c r="KK38" s="17" t="n">
        <f aca="false">Daily_Composite!AN300</f>
        <v>0.046</v>
      </c>
      <c r="KL38" s="17" t="n">
        <f aca="false">Daily_Composite!AN301</f>
        <v>0.053</v>
      </c>
      <c r="KM38" s="17" t="n">
        <f aca="false">Daily_Composite!AN302</f>
        <v>0.029</v>
      </c>
      <c r="KN38" s="17" t="n">
        <f aca="false">Daily_Composite!AN303</f>
        <v>0.026</v>
      </c>
      <c r="KO38" s="17" t="n">
        <f aca="false">Daily_Composite!AN304</f>
        <v>0.016</v>
      </c>
      <c r="KP38" s="17" t="n">
        <f aca="false">Daily_Composite!AN305</f>
        <v>-0.023</v>
      </c>
      <c r="KQ38" s="17" t="n">
        <f aca="false">Daily_Composite!AN306</f>
        <v>0.249</v>
      </c>
      <c r="KR38" s="17" t="n">
        <f aca="false">Daily_Composite!AN307</f>
        <v>-0.207</v>
      </c>
      <c r="KS38" s="17" t="n">
        <f aca="false">Daily_Composite!AN308</f>
        <v>-0.185</v>
      </c>
      <c r="KT38" s="17" t="n">
        <f aca="false">Daily_Composite!AN309</f>
        <v>-0.009</v>
      </c>
      <c r="KU38" s="17" t="n">
        <f aca="false">Daily_Composite!AN310</f>
        <v>-0.026</v>
      </c>
      <c r="KV38" s="17" t="n">
        <f aca="false">Daily_Composite!AN311</f>
        <v>-0.216</v>
      </c>
      <c r="KW38" s="17" t="n">
        <f aca="false">Daily_Composite!AN312</f>
        <v>-0.234</v>
      </c>
      <c r="KX38" s="17" t="n">
        <f aca="false">Daily_Composite!AN313</f>
        <v>0.036</v>
      </c>
      <c r="KY38" s="17" t="n">
        <f aca="false">Daily_Composite!AN314</f>
        <v>-0.404</v>
      </c>
      <c r="KZ38" s="17" t="n">
        <f aca="false">Daily_Composite!AN315</f>
        <v>-0.061</v>
      </c>
      <c r="LA38" s="17" t="n">
        <f aca="false">Daily_Composite!AN316</f>
        <v>-0.272</v>
      </c>
      <c r="LB38" s="17" t="n">
        <f aca="false">Daily_Composite!AN317</f>
        <v>-0.313</v>
      </c>
      <c r="LC38" s="17" t="n">
        <f aca="false">Daily_Composite!AN318</f>
        <v>-0.274</v>
      </c>
      <c r="LD38" s="17" t="n">
        <f aca="false">Daily_Composite!AN319</f>
        <v>-0.036</v>
      </c>
      <c r="LE38" s="17" t="n">
        <f aca="false">Daily_Composite!AN320</f>
        <v>-0.011</v>
      </c>
      <c r="LF38" s="17" t="n">
        <f aca="false">Daily_Composite!AN321</f>
        <v>-0.279</v>
      </c>
      <c r="LG38" s="17" t="n">
        <f aca="false">Daily_Composite!AN322</f>
        <v>-0.196</v>
      </c>
      <c r="LH38" s="17" t="n">
        <f aca="false">Daily_Composite!AN323</f>
        <v>0.247</v>
      </c>
      <c r="LI38" s="17" t="n">
        <f aca="false">Daily_Composite!AN324</f>
        <v>-0.225</v>
      </c>
      <c r="LJ38" s="17" t="n">
        <f aca="false">Daily_Composite!AN325</f>
        <v>-0.395</v>
      </c>
      <c r="LK38" s="17" t="n">
        <f aca="false">Daily_Composite!AN326</f>
        <v>-0.203</v>
      </c>
      <c r="LL38" s="17" t="n">
        <f aca="false">Daily_Composite!AN327</f>
        <v>-0.071</v>
      </c>
      <c r="LM38" s="17" t="n">
        <f aca="false">Daily_Composite!AN328</f>
        <v>-0.05</v>
      </c>
      <c r="LN38" s="17" t="n">
        <f aca="false">Daily_Composite!AN329</f>
        <v>-0.21</v>
      </c>
      <c r="LO38" s="17" t="n">
        <f aca="false">Daily_Composite!AN330</f>
        <v>-0.224</v>
      </c>
      <c r="LP38" s="17" t="n">
        <f aca="false">Daily_Composite!AN331</f>
        <v>-0.241</v>
      </c>
      <c r="LQ38" s="17" t="n">
        <f aca="false">Daily_Composite!AN332</f>
        <v>-0.273</v>
      </c>
      <c r="LR38" s="17" t="n">
        <f aca="false">Daily_Composite!AN333</f>
        <v>-0.237</v>
      </c>
      <c r="LS38" s="17" t="n">
        <f aca="false">Daily_Composite!AN334</f>
        <v>-0.445</v>
      </c>
      <c r="LT38" s="17" t="n">
        <f aca="false">Daily_Composite!AN335</f>
        <v>-0.5</v>
      </c>
      <c r="LU38" s="17" t="n">
        <f aca="false">Daily_Composite!AN336</f>
        <v>-0.303</v>
      </c>
      <c r="LV38" s="17" t="n">
        <f aca="false">Daily_Composite!AN337</f>
        <v>-0.283</v>
      </c>
      <c r="LW38" s="17" t="n">
        <f aca="false">Daily_Composite!AN338</f>
        <v>-0.388</v>
      </c>
      <c r="LX38" s="17" t="n">
        <f aca="false">Daily_Composite!AN339</f>
        <v>-0.425</v>
      </c>
      <c r="LY38" s="17" t="n">
        <f aca="false">Daily_Composite!AN340</f>
        <v>-0.217</v>
      </c>
      <c r="LZ38" s="17" t="n">
        <f aca="false">Daily_Composite!AN341</f>
        <v>-0.394</v>
      </c>
      <c r="MA38" s="17" t="n">
        <f aca="false">Daily_Composite!AN342</f>
        <v>-0.206</v>
      </c>
      <c r="MB38" s="17" t="n">
        <f aca="false">Daily_Composite!AN343</f>
        <v>-0.376</v>
      </c>
      <c r="MC38" s="17" t="n">
        <f aca="false">Daily_Composite!AN344</f>
        <v>-0.196</v>
      </c>
      <c r="MD38" s="17" t="n">
        <f aca="false">Daily_Composite!AN345</f>
        <v>-0.293</v>
      </c>
      <c r="ME38" s="17" t="n">
        <f aca="false">Daily_Composite!AN346</f>
        <v>-0.311</v>
      </c>
      <c r="MF38" s="17" t="n">
        <f aca="false">Daily_Composite!AN347</f>
        <v>-0.016</v>
      </c>
      <c r="MG38" s="17" t="n">
        <f aca="false">Daily_Composite!AN348</f>
        <v>-0.061</v>
      </c>
      <c r="MH38" s="17" t="n">
        <f aca="false">Daily_Composite!AN349</f>
        <v>0.084</v>
      </c>
      <c r="MI38" s="17" t="n">
        <f aca="false">Daily_Composite!AN350</f>
        <v>0.495</v>
      </c>
      <c r="MJ38" s="17" t="n">
        <f aca="false">Daily_Composite!AN351</f>
        <v>0.24</v>
      </c>
      <c r="MK38" s="17" t="n">
        <f aca="false">Daily_Composite!AN352</f>
        <v>-0.207</v>
      </c>
      <c r="ML38" s="17" t="n">
        <f aca="false">Daily_Composite!AN353</f>
        <v>-0.039</v>
      </c>
      <c r="MM38" s="17" t="n">
        <f aca="false">Daily_Composite!AN354</f>
        <v>0.332</v>
      </c>
      <c r="MN38" s="17" t="n">
        <f aca="false">Daily_Composite!AN355</f>
        <v>0.126</v>
      </c>
      <c r="MO38" s="17" t="n">
        <f aca="false">Daily_Composite!AN356</f>
        <v>0.138</v>
      </c>
      <c r="MP38" s="17" t="n">
        <f aca="false">Daily_Composite!AN357</f>
        <v>0.11</v>
      </c>
      <c r="MQ38" s="17" t="n">
        <f aca="false">Daily_Composite!AN358</f>
        <v>0.045</v>
      </c>
      <c r="MR38" s="17" t="n">
        <f aca="false">Daily_Composite!AN359</f>
        <v>-0.046</v>
      </c>
      <c r="MS38" s="17" t="n">
        <f aca="false">Daily_Composite!AN360</f>
        <v>0.217</v>
      </c>
      <c r="MT38" s="17" t="n">
        <f aca="false">Daily_Composite!AN361</f>
        <v>-0.295</v>
      </c>
      <c r="MU38" s="17" t="n">
        <f aca="false">Daily_Composite!AN362</f>
        <v>-0.287</v>
      </c>
      <c r="MV38" s="17" t="n">
        <f aca="false">Daily_Composite!AN363</f>
        <v>-0.092</v>
      </c>
      <c r="MW38" s="17" t="n">
        <f aca="false">Daily_Composite!AN364</f>
        <v>-0.17</v>
      </c>
      <c r="MX38" s="17" t="n">
        <f aca="false">Daily_Composite!AN365</f>
        <v>-0.173</v>
      </c>
      <c r="MY38" s="17" t="n">
        <f aca="false">Daily_Composite!AN366</f>
        <v>-0.233</v>
      </c>
      <c r="MZ38" s="17" t="n">
        <f aca="false">Daily_Composite!AN367</f>
        <v>-0.382</v>
      </c>
      <c r="NA38" s="17" t="n">
        <f aca="false">Daily_Composite!AN368</f>
        <v>-0.105</v>
      </c>
      <c r="NB38" s="17" t="n">
        <f aca="false">Daily_Composite!AN369</f>
        <v>-0.301</v>
      </c>
    </row>
    <row r="39" customFormat="false" ht="15" hidden="false" customHeight="false" outlineLevel="0" collapsed="false">
      <c r="A39" s="6" t="s">
        <v>52</v>
      </c>
      <c r="B39" s="17" t="n">
        <f aca="false">Daily_Composite!AO5</f>
        <v>0.017</v>
      </c>
      <c r="C39" s="17" t="n">
        <f aca="false">Daily_Composite!AO6</f>
        <v>-0.091</v>
      </c>
      <c r="D39" s="17" t="n">
        <f aca="false">Daily_Composite!AO7</f>
        <v>-0.03</v>
      </c>
      <c r="E39" s="17" t="n">
        <f aca="false">Daily_Composite!AO8</f>
        <v>0.014</v>
      </c>
      <c r="F39" s="17" t="n">
        <f aca="false">Daily_Composite!AO9</f>
        <v>-0.054</v>
      </c>
      <c r="G39" s="17" t="n">
        <f aca="false">Daily_Composite!AO10</f>
        <v>-0.341</v>
      </c>
      <c r="H39" s="17" t="n">
        <f aca="false">Daily_Composite!AO11</f>
        <v>-0.092</v>
      </c>
      <c r="I39" s="17" t="n">
        <f aca="false">Daily_Composite!AO12</f>
        <v>-0.524</v>
      </c>
      <c r="J39" s="17" t="n">
        <f aca="false">Daily_Composite!AO13</f>
        <v>-0.139</v>
      </c>
      <c r="K39" s="17" t="n">
        <f aca="false">Daily_Composite!AO14</f>
        <v>-0.203</v>
      </c>
      <c r="L39" s="17" t="n">
        <f aca="false">Daily_Composite!AO15</f>
        <v>-0.536</v>
      </c>
      <c r="M39" s="17" t="n">
        <f aca="false">Daily_Composite!AO16</f>
        <v>-0.186</v>
      </c>
      <c r="N39" s="17" t="n">
        <f aca="false">Daily_Composite!AO17</f>
        <v>-0.103</v>
      </c>
      <c r="O39" s="17" t="n">
        <f aca="false">Daily_Composite!AO18</f>
        <v>-0.096</v>
      </c>
      <c r="P39" s="17" t="n">
        <f aca="false">Daily_Composite!AO19</f>
        <v>-0.032</v>
      </c>
      <c r="Q39" s="17" t="n">
        <f aca="false">Daily_Composite!AO20</f>
        <v>-0.121</v>
      </c>
      <c r="R39" s="17" t="n">
        <f aca="false">Daily_Composite!AO21</f>
        <v>0.282</v>
      </c>
      <c r="S39" s="17" t="n">
        <f aca="false">Daily_Composite!AO22</f>
        <v>-0.445</v>
      </c>
      <c r="T39" s="17" t="n">
        <f aca="false">Daily_Composite!AO23</f>
        <v>-0.133</v>
      </c>
      <c r="U39" s="17" t="n">
        <f aca="false">Daily_Composite!AO24</f>
        <v>-0.055</v>
      </c>
      <c r="V39" s="17" t="n">
        <f aca="false">Daily_Composite!AO25</f>
        <v>-0.05</v>
      </c>
      <c r="W39" s="17" t="n">
        <f aca="false">Daily_Composite!AO26</f>
        <v>-0.188</v>
      </c>
      <c r="X39" s="17" t="n">
        <f aca="false">Daily_Composite!AO27</f>
        <v>-0.253</v>
      </c>
      <c r="Y39" s="17" t="n">
        <f aca="false">Daily_Composite!AO28</f>
        <v>-0.243</v>
      </c>
      <c r="Z39" s="17" t="n">
        <f aca="false">Daily_Composite!AO29</f>
        <v>-0.402</v>
      </c>
      <c r="AA39" s="17" t="n">
        <f aca="false">Daily_Composite!AO30</f>
        <v>-0.2</v>
      </c>
      <c r="AB39" s="17" t="n">
        <f aca="false">Daily_Composite!AO31</f>
        <v>-0.372</v>
      </c>
      <c r="AC39" s="17" t="n">
        <f aca="false">Daily_Composite!AO32</f>
        <v>-0.114</v>
      </c>
      <c r="AD39" s="17" t="n">
        <f aca="false">Daily_Composite!AO33</f>
        <v>-0.054</v>
      </c>
      <c r="AE39" s="17" t="n">
        <f aca="false">Daily_Composite!AO34</f>
        <v>-0.04</v>
      </c>
      <c r="AF39" s="17" t="n">
        <f aca="false">Daily_Composite!AO35</f>
        <v>0.228</v>
      </c>
      <c r="AG39" s="17" t="n">
        <f aca="false">Daily_Composite!AO36</f>
        <v>-0.085</v>
      </c>
      <c r="AH39" s="17" t="n">
        <f aca="false">Daily_Composite!AO37</f>
        <v>-0.152</v>
      </c>
      <c r="AI39" s="17" t="n">
        <f aca="false">Daily_Composite!AO38</f>
        <v>-0.163</v>
      </c>
      <c r="AJ39" s="17" t="n">
        <f aca="false">Daily_Composite!AO39</f>
        <v>-0.056</v>
      </c>
      <c r="AK39" s="17" t="n">
        <f aca="false">Daily_Composite!AO40</f>
        <v>-0.108</v>
      </c>
      <c r="AL39" s="17" t="n">
        <f aca="false">Daily_Composite!AO41</f>
        <v>-0.137</v>
      </c>
      <c r="AM39" s="17" t="n">
        <f aca="false">Daily_Composite!AO42</f>
        <v>-0.542</v>
      </c>
      <c r="AN39" s="17" t="n">
        <f aca="false">Daily_Composite!AO43</f>
        <v>0.166</v>
      </c>
      <c r="AO39" s="17" t="n">
        <f aca="false">Daily_Composite!AO44</f>
        <v>-0.203</v>
      </c>
      <c r="AP39" s="17" t="n">
        <f aca="false">Daily_Composite!AO45</f>
        <v>-0.158</v>
      </c>
      <c r="AQ39" s="17" t="n">
        <f aca="false">Daily_Composite!AO46</f>
        <v>0.006</v>
      </c>
      <c r="AR39" s="17" t="n">
        <f aca="false">Daily_Composite!AO47</f>
        <v>-0.506</v>
      </c>
      <c r="AS39" s="17" t="n">
        <f aca="false">Daily_Composite!AO48</f>
        <v>-0.039</v>
      </c>
      <c r="AT39" s="17" t="n">
        <f aca="false">Daily_Composite!AO49</f>
        <v>-0.555</v>
      </c>
      <c r="AU39" s="17" t="n">
        <f aca="false">Daily_Composite!AO50</f>
        <v>-0.188</v>
      </c>
      <c r="AV39" s="17" t="n">
        <f aca="false">Daily_Composite!AO51</f>
        <v>-0.31</v>
      </c>
      <c r="AW39" s="17" t="n">
        <f aca="false">Daily_Composite!AO52</f>
        <v>-0.543</v>
      </c>
      <c r="AX39" s="17" t="n">
        <f aca="false">Daily_Composite!AO53</f>
        <v>-0.099</v>
      </c>
      <c r="AY39" s="17" t="n">
        <f aca="false">Daily_Composite!AO54</f>
        <v>-0.484</v>
      </c>
      <c r="AZ39" s="17" t="n">
        <f aca="false">Daily_Composite!AO55</f>
        <v>-0.51</v>
      </c>
      <c r="BA39" s="17" t="n">
        <f aca="false">Daily_Composite!AO56</f>
        <v>-0.392</v>
      </c>
      <c r="BB39" s="17" t="n">
        <f aca="false">Daily_Composite!AO57</f>
        <v>-0.61</v>
      </c>
      <c r="BC39" s="17" t="n">
        <f aca="false">Daily_Composite!AO58</f>
        <v>-0.253</v>
      </c>
      <c r="BD39" s="17" t="n">
        <f aca="false">Daily_Composite!AO59</f>
        <v>0.035</v>
      </c>
      <c r="BE39" s="17" t="n">
        <f aca="false">Daily_Composite!AO60</f>
        <v>-0.287</v>
      </c>
      <c r="BF39" s="17" t="n">
        <f aca="false">Daily_Composite!AO61</f>
        <v>-0.581</v>
      </c>
      <c r="BG39" s="17" t="n">
        <f aca="false">Daily_Composite!AO62</f>
        <v>0.171</v>
      </c>
      <c r="BH39" s="17" t="n">
        <f aca="false">Daily_Composite!AO63</f>
        <v>-0.311</v>
      </c>
      <c r="BI39" s="17" t="n">
        <f aca="false">Daily_Composite!AO64</f>
        <v>-0.294</v>
      </c>
      <c r="BJ39" s="17" t="n">
        <f aca="false">Daily_Composite!AO65</f>
        <v>-0.639</v>
      </c>
      <c r="BK39" s="17" t="n">
        <f aca="false">Daily_Composite!AO66</f>
        <v>-0.529</v>
      </c>
      <c r="BL39" s="17" t="n">
        <f aca="false">Daily_Composite!AO67</f>
        <v>-0.253</v>
      </c>
      <c r="BM39" s="17" t="n">
        <f aca="false">Daily_Composite!AO68</f>
        <v>-0.283</v>
      </c>
      <c r="BN39" s="17" t="n">
        <f aca="false">Daily_Composite!AO69</f>
        <v>-0.39</v>
      </c>
      <c r="BO39" s="17" t="n">
        <f aca="false">Daily_Composite!AO70</f>
        <v>-0.632</v>
      </c>
      <c r="BP39" s="17" t="n">
        <f aca="false">Daily_Composite!AO71</f>
        <v>-0.219</v>
      </c>
      <c r="BQ39" s="17" t="n">
        <f aca="false">Daily_Composite!AO72</f>
        <v>-0.355</v>
      </c>
      <c r="BR39" s="17" t="n">
        <f aca="false">Daily_Composite!AO73</f>
        <v>-0.353</v>
      </c>
      <c r="BS39" s="17" t="n">
        <f aca="false">Daily_Composite!AO74</f>
        <v>-0.629</v>
      </c>
      <c r="BT39" s="17" t="n">
        <f aca="false">Daily_Composite!AO75</f>
        <v>-0.262</v>
      </c>
      <c r="BU39" s="17" t="n">
        <f aca="false">Daily_Composite!AO76</f>
        <v>-0.507</v>
      </c>
      <c r="BV39" s="17" t="n">
        <f aca="false">Daily_Composite!AO77</f>
        <v>-0.349</v>
      </c>
      <c r="BW39" s="17" t="n">
        <f aca="false">Daily_Composite!AO78</f>
        <v>-0.301</v>
      </c>
      <c r="BX39" s="17" t="n">
        <f aca="false">Daily_Composite!AO79</f>
        <v>-0.529</v>
      </c>
      <c r="BY39" s="17" t="n">
        <f aca="false">Daily_Composite!AO80</f>
        <v>-0.531</v>
      </c>
      <c r="BZ39" s="17" t="n">
        <f aca="false">Daily_Composite!AO81</f>
        <v>0.076</v>
      </c>
      <c r="CA39" s="17" t="n">
        <f aca="false">Daily_Composite!AO82</f>
        <v>-0.479</v>
      </c>
      <c r="CB39" s="17" t="n">
        <f aca="false">Daily_Composite!AO83</f>
        <v>-0.532</v>
      </c>
      <c r="CC39" s="17" t="n">
        <f aca="false">Daily_Composite!AO84</f>
        <v>-0.727</v>
      </c>
      <c r="CD39" s="17" t="n">
        <f aca="false">Daily_Composite!AO85</f>
        <v>-0.385</v>
      </c>
      <c r="CE39" s="17" t="n">
        <f aca="false">Daily_Composite!AO86</f>
        <v>-0.084</v>
      </c>
      <c r="CF39" s="17" t="n">
        <f aca="false">Daily_Composite!AO87</f>
        <v>-0.123</v>
      </c>
      <c r="CG39" s="17" t="n">
        <f aca="false">Daily_Composite!AO88</f>
        <v>-0.464</v>
      </c>
      <c r="CH39" s="17" t="n">
        <f aca="false">Daily_Composite!AO89</f>
        <v>-0.736</v>
      </c>
      <c r="CI39" s="17" t="n">
        <f aca="false">Daily_Composite!AO90</f>
        <v>-0.099</v>
      </c>
      <c r="CJ39" s="17" t="n">
        <f aca="false">Daily_Composite!AO91</f>
        <v>-0.395</v>
      </c>
      <c r="CK39" s="17" t="n">
        <f aca="false">Daily_Composite!AO92</f>
        <v>-0.55</v>
      </c>
      <c r="CL39" s="17" t="n">
        <f aca="false">Daily_Composite!AO93</f>
        <v>-0.55</v>
      </c>
      <c r="CM39" s="17" t="n">
        <f aca="false">Daily_Composite!AO94</f>
        <v>-0.027</v>
      </c>
      <c r="CN39" s="17" t="n">
        <f aca="false">Daily_Composite!AO95</f>
        <v>-0.617</v>
      </c>
      <c r="CO39" s="17" t="n">
        <f aca="false">Daily_Composite!AO96</f>
        <v>-0.566</v>
      </c>
      <c r="CP39" s="17" t="n">
        <f aca="false">Daily_Composite!AO97</f>
        <v>-0.764</v>
      </c>
      <c r="CQ39" s="17" t="n">
        <f aca="false">Daily_Composite!AO98</f>
        <v>-0.757</v>
      </c>
      <c r="CR39" s="17" t="n">
        <f aca="false">Daily_Composite!AO99</f>
        <v>-0.629</v>
      </c>
      <c r="CS39" s="17" t="n">
        <f aca="false">Daily_Composite!AO100</f>
        <v>-0.63</v>
      </c>
      <c r="CT39" s="17" t="n">
        <f aca="false">Daily_Composite!AO101</f>
        <v>-0.738</v>
      </c>
      <c r="CU39" s="17" t="n">
        <f aca="false">Daily_Composite!AO102</f>
        <v>-0.324</v>
      </c>
      <c r="CV39" s="17" t="n">
        <f aca="false">Daily_Composite!AO103</f>
        <v>-0.827</v>
      </c>
      <c r="CW39" s="17" t="n">
        <f aca="false">Daily_Composite!AO104</f>
        <v>-0.829</v>
      </c>
      <c r="CX39" s="17" t="n">
        <f aca="false">Daily_Composite!AO105</f>
        <v>-0.593</v>
      </c>
      <c r="CY39" s="17" t="n">
        <f aca="false">Daily_Composite!AO106</f>
        <v>-0.757</v>
      </c>
      <c r="CZ39" s="17" t="n">
        <f aca="false">Daily_Composite!AO107</f>
        <v>-0.54</v>
      </c>
      <c r="DA39" s="17" t="n">
        <f aca="false">Daily_Composite!AO108</f>
        <v>-0.772</v>
      </c>
      <c r="DB39" s="17" t="n">
        <f aca="false">Daily_Composite!AO109</f>
        <v>-0.784</v>
      </c>
      <c r="DC39" s="17" t="n">
        <f aca="false">Daily_Composite!AO110</f>
        <v>-0.788</v>
      </c>
      <c r="DD39" s="17" t="n">
        <f aca="false">Daily_Composite!AO111</f>
        <v>-0.814</v>
      </c>
      <c r="DE39" s="17" t="n">
        <f aca="false">Daily_Composite!AO112</f>
        <v>-0.501</v>
      </c>
      <c r="DF39" s="17" t="n">
        <f aca="false">Daily_Composite!AO113</f>
        <v>-0.776</v>
      </c>
      <c r="DG39" s="17" t="n">
        <f aca="false">Daily_Composite!AO114</f>
        <v>-0.628</v>
      </c>
      <c r="DH39" s="17" t="n">
        <f aca="false">Daily_Composite!AO115</f>
        <v>-0.623</v>
      </c>
      <c r="DI39" s="17" t="n">
        <f aca="false">Daily_Composite!AO116</f>
        <v>-0.848</v>
      </c>
      <c r="DJ39" s="17" t="n">
        <f aca="false">Daily_Composite!AO117</f>
        <v>-0.691</v>
      </c>
      <c r="DK39" s="17" t="n">
        <f aca="false">Daily_Composite!AO118</f>
        <v>-0.41</v>
      </c>
      <c r="DL39" s="17" t="n">
        <f aca="false">Daily_Composite!AO119</f>
        <v>-0.555</v>
      </c>
      <c r="DM39" s="17" t="n">
        <f aca="false">Daily_Composite!AO120</f>
        <v>-0.768</v>
      </c>
      <c r="DN39" s="17" t="n">
        <f aca="false">Daily_Composite!AO121</f>
        <v>-0.408</v>
      </c>
      <c r="DO39" s="17" t="n">
        <f aca="false">Daily_Composite!AO122</f>
        <v>-0.502</v>
      </c>
      <c r="DP39" s="17" t="n">
        <f aca="false">Daily_Composite!AO123</f>
        <v>-0.38</v>
      </c>
      <c r="DQ39" s="17" t="n">
        <f aca="false">Daily_Composite!AO124</f>
        <v>-0.66</v>
      </c>
      <c r="DR39" s="17" t="n">
        <f aca="false">Daily_Composite!AO125</f>
        <v>-0.044</v>
      </c>
      <c r="DS39" s="17" t="n">
        <f aca="false">Daily_Composite!AO126</f>
        <v>-0.246</v>
      </c>
      <c r="DT39" s="17" t="n">
        <f aca="false">Daily_Composite!AO127</f>
        <v>-0.266</v>
      </c>
      <c r="DU39" s="17" t="n">
        <f aca="false">Daily_Composite!AO128</f>
        <v>-0.337</v>
      </c>
      <c r="DV39" s="17" t="n">
        <f aca="false">Daily_Composite!AO129</f>
        <v>-0.553</v>
      </c>
      <c r="DW39" s="17" t="n">
        <f aca="false">Daily_Composite!AO130</f>
        <v>-0.088</v>
      </c>
      <c r="DX39" s="17" t="n">
        <f aca="false">Daily_Composite!AO131</f>
        <v>0.114</v>
      </c>
      <c r="DY39" s="17" t="n">
        <f aca="false">Daily_Composite!AO132</f>
        <v>-0.287</v>
      </c>
      <c r="DZ39" s="17" t="n">
        <f aca="false">Daily_Composite!AO133</f>
        <v>-0.226</v>
      </c>
      <c r="EA39" s="17" t="n">
        <f aca="false">Daily_Composite!AO134</f>
        <v>-0.501</v>
      </c>
      <c r="EB39" s="17" t="n">
        <f aca="false">Daily_Composite!AO135</f>
        <v>0.086</v>
      </c>
      <c r="EC39" s="17" t="n">
        <f aca="false">Daily_Composite!AO136</f>
        <v>-0.515</v>
      </c>
      <c r="ED39" s="17" t="n">
        <f aca="false">Daily_Composite!AO137</f>
        <v>-0.502</v>
      </c>
      <c r="EE39" s="17" t="n">
        <f aca="false">Daily_Composite!AO138</f>
        <v>-0.684</v>
      </c>
      <c r="EF39" s="17" t="n">
        <f aca="false">Daily_Composite!AO139</f>
        <v>-0.449</v>
      </c>
      <c r="EG39" s="17" t="n">
        <f aca="false">Daily_Composite!AO140</f>
        <v>0.163</v>
      </c>
      <c r="EH39" s="17" t="n">
        <f aca="false">Daily_Composite!AO141</f>
        <v>-0.224</v>
      </c>
      <c r="EI39" s="17" t="n">
        <f aca="false">Daily_Composite!AO142</f>
        <v>-0.2</v>
      </c>
      <c r="EJ39" s="17" t="n">
        <f aca="false">Daily_Composite!AO143</f>
        <v>-0.687</v>
      </c>
      <c r="EK39" s="17" t="n">
        <f aca="false">Daily_Composite!AO144</f>
        <v>-0.671</v>
      </c>
      <c r="EL39" s="17" t="n">
        <f aca="false">Daily_Composite!AO145</f>
        <v>-0.336</v>
      </c>
      <c r="EM39" s="17" t="n">
        <f aca="false">Daily_Composite!AO146</f>
        <v>-0.286</v>
      </c>
      <c r="EN39" s="17" t="n">
        <f aca="false">Daily_Composite!AO147</f>
        <v>-0.627</v>
      </c>
      <c r="EO39" s="17" t="n">
        <f aca="false">Daily_Composite!AO148</f>
        <v>-0.268</v>
      </c>
      <c r="EP39" s="17" t="n">
        <f aca="false">Daily_Composite!AO149</f>
        <v>-0.003</v>
      </c>
      <c r="EQ39" s="17" t="n">
        <f aca="false">Daily_Composite!AO150</f>
        <v>-0.211</v>
      </c>
      <c r="ER39" s="17" t="n">
        <f aca="false">Daily_Composite!AO151</f>
        <v>-0.35</v>
      </c>
      <c r="ES39" s="17" t="n">
        <f aca="false">Daily_Composite!AO152</f>
        <v>-0.572</v>
      </c>
      <c r="ET39" s="17" t="n">
        <f aca="false">Daily_Composite!AO153</f>
        <v>-0.622</v>
      </c>
      <c r="EU39" s="17" t="n">
        <f aca="false">Daily_Composite!AO154</f>
        <v>-0.428</v>
      </c>
      <c r="EV39" s="17" t="n">
        <f aca="false">Daily_Composite!AO155</f>
        <v>-0.42</v>
      </c>
      <c r="EW39" s="17" t="n">
        <f aca="false">Daily_Composite!AO156</f>
        <v>-0.522</v>
      </c>
      <c r="EX39" s="17" t="n">
        <f aca="false">Daily_Composite!AO157</f>
        <v>-0.056</v>
      </c>
      <c r="EY39" s="17" t="n">
        <f aca="false">Daily_Composite!AO158</f>
        <v>-0.546</v>
      </c>
      <c r="EZ39" s="17" t="n">
        <f aca="false">Daily_Composite!AO159</f>
        <v>-0.277</v>
      </c>
      <c r="FA39" s="17" t="n">
        <f aca="false">Daily_Composite!AO160</f>
        <v>-0.232</v>
      </c>
      <c r="FB39" s="17" t="n">
        <f aca="false">Daily_Composite!AO161</f>
        <v>-0.212</v>
      </c>
      <c r="FC39" s="17" t="n">
        <f aca="false">Daily_Composite!AO162</f>
        <v>-0.072</v>
      </c>
      <c r="FD39" s="17" t="n">
        <f aca="false">Daily_Composite!AO163</f>
        <v>-0.586</v>
      </c>
      <c r="FE39" s="17" t="n">
        <f aca="false">Daily_Composite!AO164</f>
        <v>-0.539</v>
      </c>
      <c r="FF39" s="17" t="n">
        <f aca="false">Daily_Composite!AO165</f>
        <v>-0.16</v>
      </c>
      <c r="FG39" s="17" t="n">
        <f aca="false">Daily_Composite!AO166</f>
        <v>-0.664</v>
      </c>
      <c r="FH39" s="17" t="n">
        <f aca="false">Daily_Composite!AO167</f>
        <v>-0.218</v>
      </c>
      <c r="FI39" s="17" t="n">
        <f aca="false">Daily_Composite!AO168</f>
        <v>-0.623</v>
      </c>
      <c r="FJ39" s="17" t="n">
        <f aca="false">Daily_Composite!AO169</f>
        <v>-0.297</v>
      </c>
      <c r="FK39" s="17" t="n">
        <f aca="false">Daily_Composite!AO170</f>
        <v>-0.327</v>
      </c>
      <c r="FL39" s="17" t="n">
        <f aca="false">Daily_Composite!AO171</f>
        <v>-0.676</v>
      </c>
      <c r="FM39" s="17" t="n">
        <f aca="false">Daily_Composite!AO172</f>
        <v>-0.257</v>
      </c>
      <c r="FN39" s="17" t="n">
        <f aca="false">Daily_Composite!AO173</f>
        <v>-0.256</v>
      </c>
      <c r="FO39" s="17" t="n">
        <f aca="false">Daily_Composite!AO174</f>
        <v>-0.523</v>
      </c>
      <c r="FP39" s="17" t="n">
        <f aca="false">Daily_Composite!AO175</f>
        <v>-0.194</v>
      </c>
      <c r="FQ39" s="17" t="n">
        <f aca="false">Daily_Composite!AO176</f>
        <v>-0.243</v>
      </c>
      <c r="FR39" s="17" t="n">
        <f aca="false">Daily_Composite!AO177</f>
        <v>-0.157</v>
      </c>
      <c r="FS39" s="17" t="n">
        <f aca="false">Daily_Composite!AO178</f>
        <v>-0.312</v>
      </c>
      <c r="FT39" s="17" t="n">
        <f aca="false">Daily_Composite!AO179</f>
        <v>-0.691</v>
      </c>
      <c r="FU39" s="17" t="n">
        <f aca="false">Daily_Composite!AO180</f>
        <v>-0.719</v>
      </c>
      <c r="FV39" s="17" t="n">
        <f aca="false">Daily_Composite!AO181</f>
        <v>-0.293</v>
      </c>
      <c r="FW39" s="17" t="n">
        <f aca="false">Daily_Composite!AO182</f>
        <v>-0.319</v>
      </c>
      <c r="FX39" s="17" t="n">
        <f aca="false">Daily_Composite!AO183</f>
        <v>-0.294</v>
      </c>
      <c r="FY39" s="17" t="n">
        <f aca="false">Daily_Composite!AO184</f>
        <v>-0.272</v>
      </c>
      <c r="FZ39" s="17" t="n">
        <f aca="false">Daily_Composite!AO185</f>
        <v>-0.614</v>
      </c>
      <c r="GA39" s="17" t="n">
        <f aca="false">Daily_Composite!AO186</f>
        <v>-0.349</v>
      </c>
      <c r="GB39" s="17" t="n">
        <f aca="false">Daily_Composite!AO187</f>
        <v>-0.377</v>
      </c>
      <c r="GC39" s="17" t="n">
        <f aca="false">Daily_Composite!AO188</f>
        <v>-0.566</v>
      </c>
      <c r="GD39" s="17" t="n">
        <f aca="false">Daily_Composite!AO189</f>
        <v>-0.668</v>
      </c>
      <c r="GE39" s="17" t="n">
        <f aca="false">Daily_Composite!AO190</f>
        <v>-0.356</v>
      </c>
      <c r="GF39" s="17" t="n">
        <f aca="false">Daily_Composite!AO191</f>
        <v>-0.593</v>
      </c>
      <c r="GG39" s="17" t="n">
        <f aca="false">Daily_Composite!AO192</f>
        <v>-0.55</v>
      </c>
      <c r="GH39" s="17" t="n">
        <f aca="false">Daily_Composite!AO193</f>
        <v>-0.559</v>
      </c>
      <c r="GI39" s="17" t="n">
        <f aca="false">Daily_Composite!AO194</f>
        <v>-0.416</v>
      </c>
      <c r="GJ39" s="17" t="n">
        <f aca="false">Daily_Composite!AO195</f>
        <v>0.054</v>
      </c>
      <c r="GK39" s="17" t="n">
        <f aca="false">Daily_Composite!AO196</f>
        <v>-0.255</v>
      </c>
      <c r="GL39" s="17" t="n">
        <f aca="false">Daily_Composite!AO197</f>
        <v>-0.344</v>
      </c>
      <c r="GM39" s="17" t="n">
        <f aca="false">Daily_Composite!AO198</f>
        <v>-0.662</v>
      </c>
      <c r="GN39" s="17" t="n">
        <f aca="false">Daily_Composite!AO199</f>
        <v>-0.475</v>
      </c>
      <c r="GO39" s="17" t="n">
        <f aca="false">Daily_Composite!AO200</f>
        <v>-0.323</v>
      </c>
      <c r="GP39" s="17" t="n">
        <f aca="false">Daily_Composite!AO201</f>
        <v>-0.313</v>
      </c>
      <c r="GQ39" s="17" t="n">
        <f aca="false">Daily_Composite!AO202</f>
        <v>-0.528</v>
      </c>
      <c r="GR39" s="17" t="n">
        <f aca="false">Daily_Composite!AO203</f>
        <v>-0.356</v>
      </c>
      <c r="GS39" s="17" t="n">
        <f aca="false">Daily_Composite!AO204</f>
        <v>-0.4</v>
      </c>
      <c r="GT39" s="17" t="n">
        <f aca="false">Daily_Composite!AO205</f>
        <v>-0.216</v>
      </c>
      <c r="GU39" s="17" t="n">
        <f aca="false">Daily_Composite!AO206</f>
        <v>-0.554</v>
      </c>
      <c r="GV39" s="17" t="n">
        <f aca="false">Daily_Composite!AO207</f>
        <v>-0.353</v>
      </c>
      <c r="GW39" s="17" t="n">
        <f aca="false">Daily_Composite!AO208</f>
        <v>-0.242</v>
      </c>
      <c r="GX39" s="17" t="n">
        <f aca="false">Daily_Composite!AO209</f>
        <v>-0.228</v>
      </c>
      <c r="GY39" s="17" t="n">
        <f aca="false">Daily_Composite!AO210</f>
        <v>-0.086</v>
      </c>
      <c r="GZ39" s="17" t="n">
        <f aca="false">Daily_Composite!AO211</f>
        <v>-0.351</v>
      </c>
      <c r="HA39" s="17" t="n">
        <f aca="false">Daily_Composite!AO212</f>
        <v>-0.216</v>
      </c>
      <c r="HB39" s="17" t="n">
        <f aca="false">Daily_Composite!AO213</f>
        <v>-0.555</v>
      </c>
      <c r="HC39" s="17" t="n">
        <f aca="false">Daily_Composite!AO214</f>
        <v>-0.224</v>
      </c>
      <c r="HD39" s="17" t="n">
        <f aca="false">Daily_Composite!AO215</f>
        <v>-0.424</v>
      </c>
      <c r="HE39" s="17" t="n">
        <f aca="false">Daily_Composite!AO216</f>
        <v>-0.257</v>
      </c>
      <c r="HF39" s="17" t="n">
        <f aca="false">Daily_Composite!AO217</f>
        <v>-0.44</v>
      </c>
      <c r="HG39" s="17" t="n">
        <f aca="false">Daily_Composite!AO218</f>
        <v>-0.448</v>
      </c>
      <c r="HH39" s="17" t="n">
        <f aca="false">Daily_Composite!AO219</f>
        <v>-0.395</v>
      </c>
      <c r="HI39" s="17" t="n">
        <f aca="false">Daily_Composite!AO220</f>
        <v>-0.528</v>
      </c>
      <c r="HJ39" s="17" t="n">
        <f aca="false">Daily_Composite!AO221</f>
        <v>-0.549</v>
      </c>
      <c r="HK39" s="17" t="n">
        <f aca="false">Daily_Composite!AO222</f>
        <v>-0.377</v>
      </c>
      <c r="HL39" s="17" t="n">
        <f aca="false">Daily_Composite!AO223</f>
        <v>-0.251</v>
      </c>
      <c r="HM39" s="17" t="n">
        <f aca="false">Daily_Composite!AO224</f>
        <v>-0.405</v>
      </c>
      <c r="HN39" s="17" t="n">
        <f aca="false">Daily_Composite!AO225</f>
        <v>-0.371</v>
      </c>
      <c r="HO39" s="17" t="n">
        <f aca="false">Daily_Composite!AO226</f>
        <v>-0.177</v>
      </c>
      <c r="HP39" s="17" t="n">
        <f aca="false">Daily_Composite!AO227</f>
        <v>-0.206</v>
      </c>
      <c r="HQ39" s="17" t="n">
        <f aca="false">Daily_Composite!AO228</f>
        <v>-0.204</v>
      </c>
      <c r="HR39" s="17" t="n">
        <f aca="false">Daily_Composite!AO229</f>
        <v>-0.12</v>
      </c>
      <c r="HS39" s="17" t="n">
        <f aca="false">Daily_Composite!AO230</f>
        <v>-0.112</v>
      </c>
      <c r="HT39" s="17" t="n">
        <f aca="false">Daily_Composite!AO231</f>
        <v>-0.475</v>
      </c>
      <c r="HU39" s="17" t="n">
        <f aca="false">Daily_Composite!AO232</f>
        <v>-0.143</v>
      </c>
      <c r="HV39" s="17" t="n">
        <f aca="false">Daily_Composite!AO233</f>
        <v>-0.199</v>
      </c>
      <c r="HW39" s="17" t="n">
        <f aca="false">Daily_Composite!AO234</f>
        <v>-0.356</v>
      </c>
      <c r="HX39" s="17" t="n">
        <f aca="false">Daily_Composite!AO235</f>
        <v>-0.211</v>
      </c>
      <c r="HY39" s="17" t="n">
        <f aca="false">Daily_Composite!AO236</f>
        <v>-0.247</v>
      </c>
      <c r="HZ39" s="17" t="n">
        <f aca="false">Daily_Composite!AO237</f>
        <v>-0.283</v>
      </c>
      <c r="IA39" s="17" t="n">
        <f aca="false">Daily_Composite!AO238</f>
        <v>-0.05</v>
      </c>
      <c r="IB39" s="17" t="n">
        <f aca="false">Daily_Composite!AO239</f>
        <v>-0.078</v>
      </c>
      <c r="IC39" s="17" t="n">
        <f aca="false">Daily_Composite!AO240</f>
        <v>-0.457</v>
      </c>
      <c r="ID39" s="17" t="n">
        <f aca="false">Daily_Composite!AO241</f>
        <v>-0.131</v>
      </c>
      <c r="IE39" s="17" t="n">
        <f aca="false">Daily_Composite!AO242</f>
        <v>-0.424</v>
      </c>
      <c r="IF39" s="17" t="n">
        <f aca="false">Daily_Composite!AO243</f>
        <v>-0.547</v>
      </c>
      <c r="IG39" s="17" t="n">
        <f aca="false">Daily_Composite!AO244</f>
        <v>-0.467</v>
      </c>
      <c r="IH39" s="17" t="n">
        <f aca="false">Daily_Composite!AO245</f>
        <v>-0.027</v>
      </c>
      <c r="II39" s="17" t="n">
        <f aca="false">Daily_Composite!AO246</f>
        <v>-0.359</v>
      </c>
      <c r="IJ39" s="17" t="n">
        <f aca="false">Daily_Composite!AO247</f>
        <v>-0.427</v>
      </c>
      <c r="IK39" s="17" t="n">
        <f aca="false">Daily_Composite!AO248</f>
        <v>-0.144</v>
      </c>
      <c r="IL39" s="17" t="n">
        <f aca="false">Daily_Composite!AO249</f>
        <v>-0.04</v>
      </c>
      <c r="IM39" s="17" t="n">
        <f aca="false">Daily_Composite!AO250</f>
        <v>-0.16</v>
      </c>
      <c r="IN39" s="17" t="n">
        <f aca="false">Daily_Composite!AO251</f>
        <v>-0.033</v>
      </c>
      <c r="IO39" s="17" t="n">
        <f aca="false">Daily_Composite!AO252</f>
        <v>-0.289</v>
      </c>
      <c r="IP39" s="17" t="n">
        <f aca="false">Daily_Composite!AO253</f>
        <v>-0.485</v>
      </c>
      <c r="IQ39" s="17" t="n">
        <f aca="false">Daily_Composite!AO254</f>
        <v>-0.032</v>
      </c>
      <c r="IR39" s="17" t="n">
        <f aca="false">Daily_Composite!AO255</f>
        <v>-0.283</v>
      </c>
      <c r="IS39" s="17" t="n">
        <f aca="false">Daily_Composite!AO256</f>
        <v>-0.576</v>
      </c>
      <c r="IT39" s="17" t="n">
        <f aca="false">Daily_Composite!AO257</f>
        <v>-0.415</v>
      </c>
      <c r="IU39" s="17" t="n">
        <f aca="false">Daily_Composite!AO258</f>
        <v>-0.166</v>
      </c>
      <c r="IV39" s="17" t="n">
        <f aca="false">Daily_Composite!AO259</f>
        <v>-0.166</v>
      </c>
      <c r="IW39" s="17" t="n">
        <f aca="false">Daily_Composite!AO260</f>
        <v>-0.198</v>
      </c>
      <c r="IX39" s="17" t="n">
        <f aca="false">Daily_Composite!AO261</f>
        <v>-0.246</v>
      </c>
      <c r="IY39" s="17" t="n">
        <f aca="false">Daily_Composite!AO262</f>
        <v>-0.494</v>
      </c>
      <c r="IZ39" s="17" t="n">
        <f aca="false">Daily_Composite!AO263</f>
        <v>-0.225</v>
      </c>
      <c r="JA39" s="17" t="n">
        <f aca="false">Daily_Composite!AO264</f>
        <v>-0.235</v>
      </c>
      <c r="JB39" s="17" t="n">
        <f aca="false">Daily_Composite!AO265</f>
        <v>-0.419</v>
      </c>
      <c r="JC39" s="17" t="n">
        <f aca="false">Daily_Composite!AO266</f>
        <v>-0.471</v>
      </c>
      <c r="JD39" s="17" t="n">
        <f aca="false">Daily_Composite!AO267</f>
        <v>-0.31</v>
      </c>
      <c r="JE39" s="17" t="n">
        <f aca="false">Daily_Composite!AO268</f>
        <v>-0.302</v>
      </c>
      <c r="JF39" s="17" t="n">
        <f aca="false">Daily_Composite!AO269</f>
        <v>-0.326</v>
      </c>
      <c r="JG39" s="17" t="n">
        <f aca="false">Daily_Composite!AO270</f>
        <v>-0.642</v>
      </c>
      <c r="JH39" s="17" t="n">
        <f aca="false">Daily_Composite!AO271</f>
        <v>-0.741</v>
      </c>
      <c r="JI39" s="17" t="n">
        <f aca="false">Daily_Composite!AO272</f>
        <v>-0.705</v>
      </c>
      <c r="JJ39" s="17" t="n">
        <f aca="false">Daily_Composite!AO273</f>
        <v>-0.564</v>
      </c>
      <c r="JK39" s="17" t="n">
        <f aca="false">Daily_Composite!AO274</f>
        <v>-0.635</v>
      </c>
      <c r="JL39" s="17" t="n">
        <f aca="false">Daily_Composite!AO275</f>
        <v>-0.537</v>
      </c>
      <c r="JM39" s="17" t="n">
        <f aca="false">Daily_Composite!AO276</f>
        <v>-0.118</v>
      </c>
      <c r="JN39" s="17" t="n">
        <f aca="false">Daily_Composite!AO277</f>
        <v>-0.223</v>
      </c>
      <c r="JO39" s="17" t="n">
        <f aca="false">Daily_Composite!AO278</f>
        <v>-0.167</v>
      </c>
      <c r="JP39" s="17" t="n">
        <f aca="false">Daily_Composite!AO279</f>
        <v>-0.369</v>
      </c>
      <c r="JQ39" s="17" t="n">
        <f aca="false">Daily_Composite!AO280</f>
        <v>-0.345</v>
      </c>
      <c r="JR39" s="17" t="n">
        <f aca="false">Daily_Composite!AO281</f>
        <v>-0.617</v>
      </c>
      <c r="JS39" s="17" t="n">
        <f aca="false">Daily_Composite!AO282</f>
        <v>-0.321</v>
      </c>
      <c r="JT39" s="17" t="n">
        <f aca="false">Daily_Composite!AO283</f>
        <v>-0.334</v>
      </c>
      <c r="JU39" s="17" t="n">
        <f aca="false">Daily_Composite!AO284</f>
        <v>-0.608</v>
      </c>
      <c r="JV39" s="17" t="n">
        <f aca="false">Daily_Composite!AO285</f>
        <v>-0.37</v>
      </c>
      <c r="JW39" s="17" t="n">
        <f aca="false">Daily_Composite!AO286</f>
        <v>-0.277</v>
      </c>
      <c r="JX39" s="17" t="n">
        <f aca="false">Daily_Composite!AO287</f>
        <v>-0.287</v>
      </c>
      <c r="JY39" s="17" t="n">
        <f aca="false">Daily_Composite!AO288</f>
        <v>-0.25</v>
      </c>
      <c r="JZ39" s="17" t="n">
        <f aca="false">Daily_Composite!AO289</f>
        <v>-0.19</v>
      </c>
      <c r="KA39" s="17" t="n">
        <f aca="false">Daily_Composite!AO290</f>
        <v>-0.424</v>
      </c>
      <c r="KB39" s="17" t="n">
        <f aca="false">Daily_Composite!AO291</f>
        <v>-0.403</v>
      </c>
      <c r="KC39" s="17" t="n">
        <f aca="false">Daily_Composite!AO292</f>
        <v>-0.667</v>
      </c>
      <c r="KD39" s="17" t="n">
        <f aca="false">Daily_Composite!AO293</f>
        <v>-0.378</v>
      </c>
      <c r="KE39" s="17" t="n">
        <f aca="false">Daily_Composite!AO294</f>
        <v>0.094</v>
      </c>
      <c r="KF39" s="17" t="n">
        <f aca="false">Daily_Composite!AO295</f>
        <v>0.169</v>
      </c>
      <c r="KG39" s="17" t="n">
        <f aca="false">Daily_Composite!AO296</f>
        <v>-0.095</v>
      </c>
      <c r="KH39" s="17" t="n">
        <f aca="false">Daily_Composite!AO297</f>
        <v>-0.504</v>
      </c>
      <c r="KI39" s="17" t="n">
        <f aca="false">Daily_Composite!AO298</f>
        <v>-0.61</v>
      </c>
      <c r="KJ39" s="17" t="n">
        <f aca="false">Daily_Composite!AO299</f>
        <v>-0.521</v>
      </c>
      <c r="KK39" s="17" t="n">
        <f aca="false">Daily_Composite!AO300</f>
        <v>-0.458</v>
      </c>
      <c r="KL39" s="17" t="n">
        <f aca="false">Daily_Composite!AO301</f>
        <v>-0.464</v>
      </c>
      <c r="KM39" s="17" t="n">
        <f aca="false">Daily_Composite!AO302</f>
        <v>-0.307</v>
      </c>
      <c r="KN39" s="17" t="n">
        <f aca="false">Daily_Composite!AO303</f>
        <v>0.014</v>
      </c>
      <c r="KO39" s="17" t="n">
        <f aca="false">Daily_Composite!AO304</f>
        <v>-0.086</v>
      </c>
      <c r="KP39" s="17" t="n">
        <f aca="false">Daily_Composite!AO305</f>
        <v>-0.202</v>
      </c>
      <c r="KQ39" s="17" t="n">
        <f aca="false">Daily_Composite!AO306</f>
        <v>-0.087</v>
      </c>
      <c r="KR39" s="17" t="n">
        <f aca="false">Daily_Composite!AO307</f>
        <v>-0.241</v>
      </c>
      <c r="KS39" s="17" t="n">
        <f aca="false">Daily_Composite!AO308</f>
        <v>-0.469</v>
      </c>
      <c r="KT39" s="17" t="n">
        <f aca="false">Daily_Composite!AO309</f>
        <v>-0.226</v>
      </c>
      <c r="KU39" s="17" t="n">
        <f aca="false">Daily_Composite!AO310</f>
        <v>-0.225</v>
      </c>
      <c r="KV39" s="17" t="n">
        <f aca="false">Daily_Composite!AO311</f>
        <v>-0.616</v>
      </c>
      <c r="KW39" s="17" t="n">
        <f aca="false">Daily_Composite!AO312</f>
        <v>-0.44</v>
      </c>
      <c r="KX39" s="17" t="n">
        <f aca="false">Daily_Composite!AO313</f>
        <v>-0.175</v>
      </c>
      <c r="KY39" s="17" t="n">
        <f aca="false">Daily_Composite!AO314</f>
        <v>-0.132</v>
      </c>
      <c r="KZ39" s="17" t="n">
        <f aca="false">Daily_Composite!AO315</f>
        <v>-0.223</v>
      </c>
      <c r="LA39" s="17" t="n">
        <f aca="false">Daily_Composite!AO316</f>
        <v>-0.416</v>
      </c>
      <c r="LB39" s="17" t="n">
        <f aca="false">Daily_Composite!AO317</f>
        <v>-0.243</v>
      </c>
      <c r="LC39" s="17" t="n">
        <f aca="false">Daily_Composite!AO318</f>
        <v>-0.244</v>
      </c>
      <c r="LD39" s="17" t="n">
        <f aca="false">Daily_Composite!AO319</f>
        <v>-0.276</v>
      </c>
      <c r="LE39" s="17" t="n">
        <f aca="false">Daily_Composite!AO320</f>
        <v>-0.5</v>
      </c>
      <c r="LF39" s="17" t="n">
        <f aca="false">Daily_Composite!AO321</f>
        <v>-0.045</v>
      </c>
      <c r="LG39" s="17" t="n">
        <f aca="false">Daily_Composite!AO322</f>
        <v>0.098</v>
      </c>
      <c r="LH39" s="17" t="n">
        <f aca="false">Daily_Composite!AO323</f>
        <v>0.096</v>
      </c>
      <c r="LI39" s="17" t="n">
        <f aca="false">Daily_Composite!AO324</f>
        <v>-0.278</v>
      </c>
      <c r="LJ39" s="17" t="n">
        <f aca="false">Daily_Composite!AO325</f>
        <v>-0.49</v>
      </c>
      <c r="LK39" s="17" t="n">
        <f aca="false">Daily_Composite!AO326</f>
        <v>-0.539</v>
      </c>
      <c r="LL39" s="17" t="n">
        <f aca="false">Daily_Composite!AO327</f>
        <v>-0.057</v>
      </c>
      <c r="LM39" s="17" t="n">
        <f aca="false">Daily_Composite!AO328</f>
        <v>-0.029</v>
      </c>
      <c r="LN39" s="17" t="n">
        <f aca="false">Daily_Composite!AO329</f>
        <v>-0.088</v>
      </c>
      <c r="LO39" s="17" t="n">
        <f aca="false">Daily_Composite!AO330</f>
        <v>-0.442</v>
      </c>
      <c r="LP39" s="17" t="n">
        <f aca="false">Daily_Composite!AO331</f>
        <v>0.131</v>
      </c>
      <c r="LQ39" s="17" t="n">
        <f aca="false">Daily_Composite!AO332</f>
        <v>0.276</v>
      </c>
      <c r="LR39" s="17" t="n">
        <f aca="false">Daily_Composite!AO333</f>
        <v>0.287</v>
      </c>
      <c r="LS39" s="17" t="n">
        <f aca="false">Daily_Composite!AO334</f>
        <v>0.121</v>
      </c>
      <c r="LT39" s="17" t="n">
        <f aca="false">Daily_Composite!AO335</f>
        <v>-0.044</v>
      </c>
      <c r="LU39" s="17" t="n">
        <f aca="false">Daily_Composite!AO336</f>
        <v>-0.398</v>
      </c>
      <c r="LV39" s="17" t="n">
        <f aca="false">Daily_Composite!AO337</f>
        <v>0.144</v>
      </c>
      <c r="LW39" s="17" t="n">
        <f aca="false">Daily_Composite!AO338</f>
        <v>-0.016</v>
      </c>
      <c r="LX39" s="17" t="n">
        <f aca="false">Daily_Composite!AO339</f>
        <v>-0.129</v>
      </c>
      <c r="LY39" s="17" t="n">
        <f aca="false">Daily_Composite!AO340</f>
        <v>0.113</v>
      </c>
      <c r="LZ39" s="17" t="n">
        <f aca="false">Daily_Composite!AO341</f>
        <v>0.171</v>
      </c>
      <c r="MA39" s="17" t="n">
        <f aca="false">Daily_Composite!AO342</f>
        <v>0.105</v>
      </c>
      <c r="MB39" s="17" t="n">
        <f aca="false">Daily_Composite!AO343</f>
        <v>-0.093</v>
      </c>
      <c r="MC39" s="17" t="n">
        <f aca="false">Daily_Composite!AO344</f>
        <v>-0.38</v>
      </c>
      <c r="MD39" s="17" t="n">
        <f aca="false">Daily_Composite!AO345</f>
        <v>0.122</v>
      </c>
      <c r="ME39" s="17" t="n">
        <f aca="false">Daily_Composite!AO346</f>
        <v>0.133</v>
      </c>
      <c r="MF39" s="17" t="n">
        <f aca="false">Daily_Composite!AO347</f>
        <v>0.357</v>
      </c>
      <c r="MG39" s="17" t="n">
        <f aca="false">Daily_Composite!AO348</f>
        <v>0.006</v>
      </c>
      <c r="MH39" s="17" t="n">
        <f aca="false">Daily_Composite!AO349</f>
        <v>0.155</v>
      </c>
      <c r="MI39" s="17" t="n">
        <f aca="false">Daily_Composite!AO350</f>
        <v>0.223</v>
      </c>
      <c r="MJ39" s="17" t="n">
        <f aca="false">Daily_Composite!AO351</f>
        <v>0.253</v>
      </c>
      <c r="MK39" s="17" t="n">
        <f aca="false">Daily_Composite!AO352</f>
        <v>-0.379</v>
      </c>
      <c r="ML39" s="17" t="n">
        <f aca="false">Daily_Composite!AO353</f>
        <v>-0.254</v>
      </c>
      <c r="MM39" s="17" t="n">
        <f aca="false">Daily_Composite!AO354</f>
        <v>0.023</v>
      </c>
      <c r="MN39" s="17" t="n">
        <f aca="false">Daily_Composite!AO355</f>
        <v>-0.212</v>
      </c>
      <c r="MO39" s="17" t="n">
        <f aca="false">Daily_Composite!AO356</f>
        <v>-0.187</v>
      </c>
      <c r="MP39" s="17" t="n">
        <f aca="false">Daily_Composite!AO357</f>
        <v>0.424</v>
      </c>
      <c r="MQ39" s="17" t="n">
        <f aca="false">Daily_Composite!AO358</f>
        <v>0.144</v>
      </c>
      <c r="MR39" s="17" t="n">
        <f aca="false">Daily_Composite!AO359</f>
        <v>-0.282</v>
      </c>
      <c r="MS39" s="17" t="n">
        <f aca="false">Daily_Composite!AO360</f>
        <v>-0.229</v>
      </c>
      <c r="MT39" s="17" t="n">
        <f aca="false">Daily_Composite!AO361</f>
        <v>-0.222</v>
      </c>
      <c r="MU39" s="17" t="n">
        <f aca="false">Daily_Composite!AO362</f>
        <v>-0.192</v>
      </c>
      <c r="MV39" s="17" t="n">
        <f aca="false">Daily_Composite!AO363</f>
        <v>-0.247</v>
      </c>
      <c r="MW39" s="17" t="n">
        <f aca="false">Daily_Composite!AO364</f>
        <v>-0.214</v>
      </c>
      <c r="MX39" s="17" t="n">
        <f aca="false">Daily_Composite!AO365</f>
        <v>-0.255</v>
      </c>
      <c r="MY39" s="17" t="n">
        <f aca="false">Daily_Composite!AO366</f>
        <v>0.096</v>
      </c>
      <c r="MZ39" s="17" t="n">
        <f aca="false">Daily_Composite!AO367</f>
        <v>-0.482</v>
      </c>
      <c r="NA39" s="17" t="n">
        <f aca="false">Daily_Composite!AO368</f>
        <v>-0.258</v>
      </c>
      <c r="NB39" s="17" t="n">
        <f aca="false">Daily_Composite!AO369</f>
        <v>-0.273</v>
      </c>
    </row>
    <row r="40" customFormat="false" ht="15" hidden="false" customHeight="false" outlineLevel="0" collapsed="false">
      <c r="A40" s="6" t="s">
        <v>53</v>
      </c>
      <c r="B40" s="17" t="n">
        <f aca="false">Daily_Composite!AP5</f>
        <v>0.126</v>
      </c>
      <c r="C40" s="17" t="n">
        <f aca="false">Daily_Composite!AP6</f>
        <v>0.065</v>
      </c>
      <c r="D40" s="17" t="n">
        <f aca="false">Daily_Composite!AP7</f>
        <v>0.018</v>
      </c>
      <c r="E40" s="17" t="n">
        <f aca="false">Daily_Composite!AP8</f>
        <v>0.059</v>
      </c>
      <c r="F40" s="17" t="n">
        <f aca="false">Daily_Composite!AP9</f>
        <v>0.026</v>
      </c>
      <c r="G40" s="17" t="n">
        <f aca="false">Daily_Composite!AP10</f>
        <v>-0.165</v>
      </c>
      <c r="H40" s="17" t="n">
        <f aca="false">Daily_Composite!AP11</f>
        <v>0.084</v>
      </c>
      <c r="I40" s="17" t="n">
        <f aca="false">Daily_Composite!AP12</f>
        <v>-0.456</v>
      </c>
      <c r="J40" s="17" t="n">
        <f aca="false">Daily_Composite!AP13</f>
        <v>0.012</v>
      </c>
      <c r="K40" s="17" t="n">
        <f aca="false">Daily_Composite!AP14</f>
        <v>-0.051</v>
      </c>
      <c r="L40" s="17" t="n">
        <f aca="false">Daily_Composite!AP15</f>
        <v>-0.472</v>
      </c>
      <c r="M40" s="17" t="n">
        <f aca="false">Daily_Composite!AP16</f>
        <v>-0.032</v>
      </c>
      <c r="N40" s="17" t="n">
        <f aca="false">Daily_Composite!AP17</f>
        <v>0.048</v>
      </c>
      <c r="O40" s="17" t="n">
        <f aca="false">Daily_Composite!AP18</f>
        <v>0.055</v>
      </c>
      <c r="P40" s="17" t="n">
        <f aca="false">Daily_Composite!AP19</f>
        <v>0.113</v>
      </c>
      <c r="Q40" s="17" t="n">
        <f aca="false">Daily_Composite!AP20</f>
        <v>0.013</v>
      </c>
      <c r="R40" s="17" t="n">
        <f aca="false">Daily_Composite!AP21</f>
        <v>0.09</v>
      </c>
      <c r="S40" s="17" t="n">
        <f aca="false">Daily_Composite!AP22</f>
        <v>-0.423</v>
      </c>
      <c r="T40" s="17" t="n">
        <f aca="false">Daily_Composite!AP23</f>
        <v>-0.2</v>
      </c>
      <c r="U40" s="17" t="n">
        <f aca="false">Daily_Composite!AP24</f>
        <v>-0.122</v>
      </c>
      <c r="V40" s="17" t="n">
        <f aca="false">Daily_Composite!AP25</f>
        <v>-0.116</v>
      </c>
      <c r="W40" s="17" t="n">
        <f aca="false">Daily_Composite!AP26</f>
        <v>-0.157</v>
      </c>
      <c r="X40" s="17" t="n">
        <f aca="false">Daily_Composite!AP27</f>
        <v>-0.362</v>
      </c>
      <c r="Y40" s="17" t="n">
        <f aca="false">Daily_Composite!AP28</f>
        <v>-0.34</v>
      </c>
      <c r="Z40" s="17" t="n">
        <f aca="false">Daily_Composite!AP29</f>
        <v>-0.482</v>
      </c>
      <c r="AA40" s="17" t="n">
        <f aca="false">Daily_Composite!AP30</f>
        <v>-0.275</v>
      </c>
      <c r="AB40" s="17" t="n">
        <f aca="false">Daily_Composite!AP31</f>
        <v>-0.486</v>
      </c>
      <c r="AC40" s="17" t="n">
        <f aca="false">Daily_Composite!AP32</f>
        <v>-0.095</v>
      </c>
      <c r="AD40" s="17" t="n">
        <f aca="false">Daily_Composite!AP33</f>
        <v>-0.125</v>
      </c>
      <c r="AE40" s="17" t="n">
        <f aca="false">Daily_Composite!AP34</f>
        <v>-0.107</v>
      </c>
      <c r="AF40" s="17" t="n">
        <f aca="false">Daily_Composite!AP35</f>
        <v>-0.182</v>
      </c>
      <c r="AG40" s="17" t="n">
        <f aca="false">Daily_Composite!AP36</f>
        <v>-0.165</v>
      </c>
      <c r="AH40" s="17" t="n">
        <f aca="false">Daily_Composite!AP37</f>
        <v>-0.196</v>
      </c>
      <c r="AI40" s="17" t="n">
        <f aca="false">Daily_Composite!AP38</f>
        <v>-0.219</v>
      </c>
      <c r="AJ40" s="17" t="n">
        <f aca="false">Daily_Composite!AP39</f>
        <v>-0.125</v>
      </c>
      <c r="AK40" s="17" t="n">
        <f aca="false">Daily_Composite!AP40</f>
        <v>-0.158</v>
      </c>
      <c r="AL40" s="17" t="n">
        <f aca="false">Daily_Composite!AP41</f>
        <v>-0.167</v>
      </c>
      <c r="AM40" s="17" t="n">
        <f aca="false">Daily_Composite!AP42</f>
        <v>-0.509</v>
      </c>
      <c r="AN40" s="17" t="n">
        <f aca="false">Daily_Composite!AP43</f>
        <v>-0.129</v>
      </c>
      <c r="AO40" s="17" t="n">
        <f aca="false">Daily_Composite!AP44</f>
        <v>-0.194</v>
      </c>
      <c r="AP40" s="17" t="n">
        <f aca="false">Daily_Composite!AP45</f>
        <v>-0.159</v>
      </c>
      <c r="AQ40" s="17" t="n">
        <f aca="false">Daily_Composite!AP46</f>
        <v>-0.037</v>
      </c>
      <c r="AR40" s="17" t="n">
        <f aca="false">Daily_Composite!AP47</f>
        <v>-0.498</v>
      </c>
      <c r="AS40" s="17" t="n">
        <f aca="false">Daily_Composite!AP48</f>
        <v>-0.123</v>
      </c>
      <c r="AT40" s="17" t="n">
        <f aca="false">Daily_Composite!AP49</f>
        <v>-0.516</v>
      </c>
      <c r="AU40" s="17" t="n">
        <f aca="false">Daily_Composite!AP50</f>
        <v>-0.188</v>
      </c>
      <c r="AV40" s="17" t="n">
        <f aca="false">Daily_Composite!AP51</f>
        <v>-0.286</v>
      </c>
      <c r="AW40" s="17" t="n">
        <f aca="false">Daily_Composite!AP52</f>
        <v>-0.482</v>
      </c>
      <c r="AX40" s="17" t="n">
        <f aca="false">Daily_Composite!AP53</f>
        <v>-0.32</v>
      </c>
      <c r="AY40" s="17" t="n">
        <f aca="false">Daily_Composite!AP54</f>
        <v>-0.463</v>
      </c>
      <c r="AZ40" s="17" t="n">
        <f aca="false">Daily_Composite!AP55</f>
        <v>-0.505</v>
      </c>
      <c r="BA40" s="17" t="n">
        <f aca="false">Daily_Composite!AP56</f>
        <v>-0.367</v>
      </c>
      <c r="BB40" s="17" t="n">
        <f aca="false">Daily_Composite!AP57</f>
        <v>-0.583</v>
      </c>
      <c r="BC40" s="17" t="n">
        <f aca="false">Daily_Composite!AP58</f>
        <v>-0.26</v>
      </c>
      <c r="BD40" s="17" t="n">
        <f aca="false">Daily_Composite!AP59</f>
        <v>-0.013</v>
      </c>
      <c r="BE40" s="17" t="n">
        <f aca="false">Daily_Composite!AP60</f>
        <v>-0.213</v>
      </c>
      <c r="BF40" s="17" t="n">
        <f aca="false">Daily_Composite!AP61</f>
        <v>-0.563</v>
      </c>
      <c r="BG40" s="17" t="n">
        <f aca="false">Daily_Composite!AP62</f>
        <v>-0.278</v>
      </c>
      <c r="BH40" s="17" t="n">
        <f aca="false">Daily_Composite!AP63</f>
        <v>-0.296</v>
      </c>
      <c r="BI40" s="17" t="n">
        <f aca="false">Daily_Composite!AP64</f>
        <v>-0.308</v>
      </c>
      <c r="BJ40" s="17" t="n">
        <f aca="false">Daily_Composite!AP65</f>
        <v>-0.612</v>
      </c>
      <c r="BK40" s="17" t="n">
        <f aca="false">Daily_Composite!AP66</f>
        <v>-0.517</v>
      </c>
      <c r="BL40" s="17" t="n">
        <f aca="false">Daily_Composite!AP67</f>
        <v>-0.269</v>
      </c>
      <c r="BM40" s="17" t="n">
        <f aca="false">Daily_Composite!AP68</f>
        <v>-0.296</v>
      </c>
      <c r="BN40" s="17" t="n">
        <f aca="false">Daily_Composite!AP69</f>
        <v>-0.383</v>
      </c>
      <c r="BO40" s="17" t="n">
        <f aca="false">Daily_Composite!AP70</f>
        <v>-0.598</v>
      </c>
      <c r="BP40" s="17" t="n">
        <f aca="false">Daily_Composite!AP71</f>
        <v>-0.35</v>
      </c>
      <c r="BQ40" s="17" t="n">
        <f aca="false">Daily_Composite!AP72</f>
        <v>-0.334</v>
      </c>
      <c r="BR40" s="17" t="n">
        <f aca="false">Daily_Composite!AP73</f>
        <v>-0.334</v>
      </c>
      <c r="BS40" s="17" t="n">
        <f aca="false">Daily_Composite!AP74</f>
        <v>-0.585</v>
      </c>
      <c r="BT40" s="17" t="n">
        <f aca="false">Daily_Composite!AP75</f>
        <v>-0.334</v>
      </c>
      <c r="BU40" s="17" t="n">
        <f aca="false">Daily_Composite!AP76</f>
        <v>-0.461</v>
      </c>
      <c r="BV40" s="17" t="n">
        <f aca="false">Daily_Composite!AP77</f>
        <v>-0.275</v>
      </c>
      <c r="BW40" s="17" t="n">
        <f aca="false">Daily_Composite!AP78</f>
        <v>-0.247</v>
      </c>
      <c r="BX40" s="17" t="n">
        <f aca="false">Daily_Composite!AP79</f>
        <v>-0.453</v>
      </c>
      <c r="BY40" s="17" t="n">
        <f aca="false">Daily_Composite!AP80</f>
        <v>-0.455</v>
      </c>
      <c r="BZ40" s="17" t="n">
        <f aca="false">Daily_Composite!AP81</f>
        <v>-0.402</v>
      </c>
      <c r="CA40" s="17" t="n">
        <f aca="false">Daily_Composite!AP82</f>
        <v>-0.437</v>
      </c>
      <c r="CB40" s="17" t="n">
        <f aca="false">Daily_Composite!AP83</f>
        <v>-0.463</v>
      </c>
      <c r="CC40" s="17" t="n">
        <f aca="false">Daily_Composite!AP84</f>
        <v>-0.638</v>
      </c>
      <c r="CD40" s="17" t="n">
        <f aca="false">Daily_Composite!AP85</f>
        <v>-0.357</v>
      </c>
      <c r="CE40" s="17" t="n">
        <f aca="false">Daily_Composite!AP86</f>
        <v>-0.28</v>
      </c>
      <c r="CF40" s="17" t="n">
        <f aca="false">Daily_Composite!AP87</f>
        <v>-0.325</v>
      </c>
      <c r="CG40" s="17" t="n">
        <f aca="false">Daily_Composite!AP88</f>
        <v>-0.402</v>
      </c>
      <c r="CH40" s="17" t="n">
        <f aca="false">Daily_Composite!AP89</f>
        <v>-0.665</v>
      </c>
      <c r="CI40" s="17" t="n">
        <f aca="false">Daily_Composite!AP90</f>
        <v>-0.333</v>
      </c>
      <c r="CJ40" s="17" t="n">
        <f aca="false">Daily_Composite!AP91</f>
        <v>-0.347</v>
      </c>
      <c r="CK40" s="17" t="n">
        <f aca="false">Daily_Composite!AP92</f>
        <v>-0.566</v>
      </c>
      <c r="CL40" s="17" t="n">
        <f aca="false">Daily_Composite!AP93</f>
        <v>-0.54</v>
      </c>
      <c r="CM40" s="17" t="n">
        <f aca="false">Daily_Composite!AP94</f>
        <v>-0.025</v>
      </c>
      <c r="CN40" s="17" t="n">
        <f aca="false">Daily_Composite!AP95</f>
        <v>-0.608</v>
      </c>
      <c r="CO40" s="17" t="n">
        <f aca="false">Daily_Composite!AP96</f>
        <v>-0.605</v>
      </c>
      <c r="CP40" s="17" t="n">
        <f aca="false">Daily_Composite!AP97</f>
        <v>-0.764</v>
      </c>
      <c r="CQ40" s="17" t="n">
        <f aca="false">Daily_Composite!AP98</f>
        <v>-0.547</v>
      </c>
      <c r="CR40" s="17" t="n">
        <f aca="false">Daily_Composite!AP99</f>
        <v>-0.586</v>
      </c>
      <c r="CS40" s="17" t="n">
        <f aca="false">Daily_Composite!AP100</f>
        <v>-0.589</v>
      </c>
      <c r="CT40" s="17" t="n">
        <f aca="false">Daily_Composite!AP101</f>
        <v>-0.801</v>
      </c>
      <c r="CU40" s="17" t="n">
        <f aca="false">Daily_Composite!AP102</f>
        <v>-0.514</v>
      </c>
      <c r="CV40" s="17" t="n">
        <f aca="false">Daily_Composite!AP103</f>
        <v>-0.804</v>
      </c>
      <c r="CW40" s="17" t="n">
        <f aca="false">Daily_Composite!AP104</f>
        <v>-0.811</v>
      </c>
      <c r="CX40" s="17" t="n">
        <f aca="false">Daily_Composite!AP105</f>
        <v>-0.569</v>
      </c>
      <c r="CY40" s="17" t="n">
        <f aca="false">Daily_Composite!AP106</f>
        <v>-0.724</v>
      </c>
      <c r="CZ40" s="17" t="n">
        <f aca="false">Daily_Composite!AP107</f>
        <v>-0.49</v>
      </c>
      <c r="DA40" s="17" t="n">
        <f aca="false">Daily_Composite!AP108</f>
        <v>-0.774</v>
      </c>
      <c r="DB40" s="17" t="n">
        <f aca="false">Daily_Composite!AP109</f>
        <v>-0.768</v>
      </c>
      <c r="DC40" s="17" t="n">
        <f aca="false">Daily_Composite!AP110</f>
        <v>-0.769</v>
      </c>
      <c r="DD40" s="17" t="n">
        <f aca="false">Daily_Composite!AP111</f>
        <v>-0.789</v>
      </c>
      <c r="DE40" s="17" t="n">
        <f aca="false">Daily_Composite!AP112</f>
        <v>-0.474</v>
      </c>
      <c r="DF40" s="17" t="n">
        <f aca="false">Daily_Composite!AP113</f>
        <v>-0.825</v>
      </c>
      <c r="DG40" s="17" t="n">
        <f aca="false">Daily_Composite!AP114</f>
        <v>-0.573</v>
      </c>
      <c r="DH40" s="17" t="n">
        <f aca="false">Daily_Composite!AP115</f>
        <v>-0.607</v>
      </c>
      <c r="DI40" s="17" t="n">
        <f aca="false">Daily_Composite!AP116</f>
        <v>-0.835</v>
      </c>
      <c r="DJ40" s="17" t="n">
        <f aca="false">Daily_Composite!AP117</f>
        <v>-0.598</v>
      </c>
      <c r="DK40" s="17" t="n">
        <f aca="false">Daily_Composite!AP118</f>
        <v>-0.396</v>
      </c>
      <c r="DL40" s="17" t="n">
        <f aca="false">Daily_Composite!AP119</f>
        <v>-0.541</v>
      </c>
      <c r="DM40" s="17" t="n">
        <f aca="false">Daily_Composite!AP120</f>
        <v>-0.751</v>
      </c>
      <c r="DN40" s="17" t="n">
        <f aca="false">Daily_Composite!AP121</f>
        <v>-0.39</v>
      </c>
      <c r="DO40" s="17" t="n">
        <f aca="false">Daily_Composite!AP122</f>
        <v>-0.509</v>
      </c>
      <c r="DP40" s="17" t="n">
        <f aca="false">Daily_Composite!AP123</f>
        <v>-0.385</v>
      </c>
      <c r="DQ40" s="17" t="n">
        <f aca="false">Daily_Composite!AP124</f>
        <v>-0.64</v>
      </c>
      <c r="DR40" s="17" t="n">
        <f aca="false">Daily_Composite!AP125</f>
        <v>-0.365</v>
      </c>
      <c r="DS40" s="17" t="n">
        <f aca="false">Daily_Composite!AP126</f>
        <v>-0.241</v>
      </c>
      <c r="DT40" s="17" t="n">
        <f aca="false">Daily_Composite!AP127</f>
        <v>-0.278</v>
      </c>
      <c r="DU40" s="17" t="n">
        <f aca="false">Daily_Composite!AP128</f>
        <v>-0.501</v>
      </c>
      <c r="DV40" s="17" t="n">
        <f aca="false">Daily_Composite!AP129</f>
        <v>-0.599</v>
      </c>
      <c r="DW40" s="17" t="n">
        <f aca="false">Daily_Composite!AP130</f>
        <v>-0.352</v>
      </c>
      <c r="DX40" s="17" t="n">
        <f aca="false">Daily_Composite!AP131</f>
        <v>0.097</v>
      </c>
      <c r="DY40" s="17" t="n">
        <f aca="false">Daily_Composite!AP132</f>
        <v>-0.159</v>
      </c>
      <c r="DZ40" s="17" t="n">
        <f aca="false">Daily_Composite!AP133</f>
        <v>-0.152</v>
      </c>
      <c r="EA40" s="17" t="n">
        <f aca="false">Daily_Composite!AP134</f>
        <v>-0.453</v>
      </c>
      <c r="EB40" s="17" t="n">
        <f aca="false">Daily_Composite!AP135</f>
        <v>-0.15</v>
      </c>
      <c r="EC40" s="17" t="n">
        <f aca="false">Daily_Composite!AP136</f>
        <v>-0.481</v>
      </c>
      <c r="ED40" s="17" t="n">
        <f aca="false">Daily_Composite!AP137</f>
        <v>-0.469</v>
      </c>
      <c r="EE40" s="17" t="n">
        <f aca="false">Daily_Composite!AP138</f>
        <v>-0.651</v>
      </c>
      <c r="EF40" s="17" t="n">
        <f aca="false">Daily_Composite!AP139</f>
        <v>-0.395</v>
      </c>
      <c r="EG40" s="17" t="n">
        <f aca="false">Daily_Composite!AP140</f>
        <v>0.12</v>
      </c>
      <c r="EH40" s="17" t="n">
        <f aca="false">Daily_Composite!AP141</f>
        <v>-0.301</v>
      </c>
      <c r="EI40" s="17" t="n">
        <f aca="false">Daily_Composite!AP142</f>
        <v>-0.275</v>
      </c>
      <c r="EJ40" s="17" t="n">
        <f aca="false">Daily_Composite!AP143</f>
        <v>-0.648</v>
      </c>
      <c r="EK40" s="17" t="n">
        <f aca="false">Daily_Composite!AP144</f>
        <v>-0.351</v>
      </c>
      <c r="EL40" s="17" t="n">
        <f aca="false">Daily_Composite!AP145</f>
        <v>-0.3</v>
      </c>
      <c r="EM40" s="17" t="n">
        <f aca="false">Daily_Composite!AP146</f>
        <v>-0.25</v>
      </c>
      <c r="EN40" s="17" t="n">
        <f aca="false">Daily_Composite!AP147</f>
        <v>-0.609</v>
      </c>
      <c r="EO40" s="17" t="n">
        <f aca="false">Daily_Composite!AP148</f>
        <v>-0.265</v>
      </c>
      <c r="EP40" s="17" t="n">
        <f aca="false">Daily_Composite!AP149</f>
        <v>-0.038</v>
      </c>
      <c r="EQ40" s="17" t="n">
        <f aca="false">Daily_Composite!AP150</f>
        <v>-0.24</v>
      </c>
      <c r="ER40" s="17" t="n">
        <f aca="false">Daily_Composite!AP151</f>
        <v>-0.312</v>
      </c>
      <c r="ES40" s="17" t="n">
        <f aca="false">Daily_Composite!AP152</f>
        <v>-0.543</v>
      </c>
      <c r="ET40" s="17" t="n">
        <f aca="false">Daily_Composite!AP153</f>
        <v>-0.309</v>
      </c>
      <c r="EU40" s="17" t="n">
        <f aca="false">Daily_Composite!AP154</f>
        <v>-0.312</v>
      </c>
      <c r="EV40" s="17" t="n">
        <f aca="false">Daily_Composite!AP155</f>
        <v>-0.3</v>
      </c>
      <c r="EW40" s="17" t="n">
        <f aca="false">Daily_Composite!AP156</f>
        <v>-0.591</v>
      </c>
      <c r="EX40" s="17" t="n">
        <f aca="false">Daily_Composite!AP157</f>
        <v>-0.281</v>
      </c>
      <c r="EY40" s="17" t="n">
        <f aca="false">Daily_Composite!AP158</f>
        <v>-0.52</v>
      </c>
      <c r="EZ40" s="17" t="n">
        <f aca="false">Daily_Composite!AP159</f>
        <v>-0.232</v>
      </c>
      <c r="FA40" s="17" t="n">
        <f aca="false">Daily_Composite!AP160</f>
        <v>-0.203</v>
      </c>
      <c r="FB40" s="17" t="n">
        <f aca="false">Daily_Composite!AP161</f>
        <v>-0.215</v>
      </c>
      <c r="FC40" s="17" t="n">
        <f aca="false">Daily_Composite!AP162</f>
        <v>-0.497</v>
      </c>
      <c r="FD40" s="17" t="n">
        <f aca="false">Daily_Composite!AP163</f>
        <v>-0.486</v>
      </c>
      <c r="FE40" s="17" t="n">
        <f aca="false">Daily_Composite!AP164</f>
        <v>-0.522</v>
      </c>
      <c r="FF40" s="17" t="n">
        <f aca="false">Daily_Composite!AP165</f>
        <v>-0.143</v>
      </c>
      <c r="FG40" s="17" t="n">
        <f aca="false">Daily_Composite!AP166</f>
        <v>-0.652</v>
      </c>
      <c r="FH40" s="17" t="n">
        <f aca="false">Daily_Composite!AP167</f>
        <v>-0.235</v>
      </c>
      <c r="FI40" s="17" t="n">
        <f aca="false">Daily_Composite!AP168</f>
        <v>-0.612</v>
      </c>
      <c r="FJ40" s="17" t="n">
        <f aca="false">Daily_Composite!AP169</f>
        <v>-0.312</v>
      </c>
      <c r="FK40" s="17" t="n">
        <f aca="false">Daily_Composite!AP170</f>
        <v>-0.363</v>
      </c>
      <c r="FL40" s="17" t="n">
        <f aca="false">Daily_Composite!AP171</f>
        <v>-0.713</v>
      </c>
      <c r="FM40" s="17" t="n">
        <f aca="false">Daily_Composite!AP172</f>
        <v>-0.313</v>
      </c>
      <c r="FN40" s="17" t="n">
        <f aca="false">Daily_Composite!AP173</f>
        <v>-0.314</v>
      </c>
      <c r="FO40" s="17" t="n">
        <f aca="false">Daily_Composite!AP174</f>
        <v>-0.604</v>
      </c>
      <c r="FP40" s="17" t="n">
        <f aca="false">Daily_Composite!AP175</f>
        <v>-0.301</v>
      </c>
      <c r="FQ40" s="17" t="n">
        <f aca="false">Daily_Composite!AP176</f>
        <v>-0.276</v>
      </c>
      <c r="FR40" s="17" t="n">
        <f aca="false">Daily_Composite!AP177</f>
        <v>-0.152</v>
      </c>
      <c r="FS40" s="17" t="n">
        <f aca="false">Daily_Composite!AP178</f>
        <v>-0.287</v>
      </c>
      <c r="FT40" s="17" t="n">
        <f aca="false">Daily_Composite!AP179</f>
        <v>-0.679</v>
      </c>
      <c r="FU40" s="17" t="n">
        <f aca="false">Daily_Composite!AP180</f>
        <v>-0.29</v>
      </c>
      <c r="FV40" s="17" t="n">
        <f aca="false">Daily_Composite!AP181</f>
        <v>-0.183</v>
      </c>
      <c r="FW40" s="17" t="n">
        <f aca="false">Daily_Composite!AP182</f>
        <v>-0.179</v>
      </c>
      <c r="FX40" s="17" t="n">
        <f aca="false">Daily_Composite!AP183</f>
        <v>-0.136</v>
      </c>
      <c r="FY40" s="17" t="n">
        <f aca="false">Daily_Composite!AP184</f>
        <v>-0.223</v>
      </c>
      <c r="FZ40" s="17" t="n">
        <f aca="false">Daily_Composite!AP185</f>
        <v>-0.494</v>
      </c>
      <c r="GA40" s="17" t="n">
        <f aca="false">Daily_Composite!AP186</f>
        <v>-0.204</v>
      </c>
      <c r="GB40" s="17" t="n">
        <f aca="false">Daily_Composite!AP187</f>
        <v>-0.232</v>
      </c>
      <c r="GC40" s="17" t="n">
        <f aca="false">Daily_Composite!AP188</f>
        <v>-0.426</v>
      </c>
      <c r="GD40" s="17" t="n">
        <f aca="false">Daily_Composite!AP189</f>
        <v>-0.454</v>
      </c>
      <c r="GE40" s="17" t="n">
        <f aca="false">Daily_Composite!AP190</f>
        <v>-0.468</v>
      </c>
      <c r="GF40" s="17" t="n">
        <f aca="false">Daily_Composite!AP191</f>
        <v>-0.417</v>
      </c>
      <c r="GG40" s="17" t="n">
        <f aca="false">Daily_Composite!AP192</f>
        <v>-0.363</v>
      </c>
      <c r="GH40" s="17" t="n">
        <f aca="false">Daily_Composite!AP193</f>
        <v>-0.355</v>
      </c>
      <c r="GI40" s="17" t="n">
        <f aca="false">Daily_Composite!AP194</f>
        <v>-0.188</v>
      </c>
      <c r="GJ40" s="17" t="n">
        <f aca="false">Daily_Composite!AP195</f>
        <v>0.143</v>
      </c>
      <c r="GK40" s="17" t="n">
        <f aca="false">Daily_Composite!AP196</f>
        <v>-0.076</v>
      </c>
      <c r="GL40" s="17" t="n">
        <f aca="false">Daily_Composite!AP197</f>
        <v>-0.107</v>
      </c>
      <c r="GM40" s="17" t="n">
        <f aca="false">Daily_Composite!AP198</f>
        <v>-0.491</v>
      </c>
      <c r="GN40" s="17" t="n">
        <f aca="false">Daily_Composite!AP199</f>
        <v>-0.069</v>
      </c>
      <c r="GO40" s="17" t="n">
        <f aca="false">Daily_Composite!AP200</f>
        <v>-0.108</v>
      </c>
      <c r="GP40" s="17" t="n">
        <f aca="false">Daily_Composite!AP201</f>
        <v>-0.108</v>
      </c>
      <c r="GQ40" s="17" t="n">
        <f aca="false">Daily_Composite!AP202</f>
        <v>-0.348</v>
      </c>
      <c r="GR40" s="17" t="n">
        <f aca="false">Daily_Composite!AP203</f>
        <v>-0.162</v>
      </c>
      <c r="GS40" s="17" t="n">
        <f aca="false">Daily_Composite!AP204</f>
        <v>-0.27</v>
      </c>
      <c r="GT40" s="17" t="n">
        <f aca="false">Daily_Composite!AP205</f>
        <v>-0.076</v>
      </c>
      <c r="GU40" s="17" t="n">
        <f aca="false">Daily_Composite!AP206</f>
        <v>-0.444</v>
      </c>
      <c r="GV40" s="17" t="n">
        <f aca="false">Daily_Composite!AP207</f>
        <v>-0.216</v>
      </c>
      <c r="GW40" s="17" t="n">
        <f aca="false">Daily_Composite!AP208</f>
        <v>-0.102</v>
      </c>
      <c r="GX40" s="17" t="n">
        <f aca="false">Daily_Composite!AP209</f>
        <v>-0.088</v>
      </c>
      <c r="GY40" s="17" t="n">
        <f aca="false">Daily_Composite!AP210</f>
        <v>-0.052</v>
      </c>
      <c r="GZ40" s="17" t="n">
        <f aca="false">Daily_Composite!AP211</f>
        <v>-0.272</v>
      </c>
      <c r="HA40" s="17" t="n">
        <f aca="false">Daily_Composite!AP212</f>
        <v>-0.097</v>
      </c>
      <c r="HB40" s="17" t="n">
        <f aca="false">Daily_Composite!AP213</f>
        <v>-0.477</v>
      </c>
      <c r="HC40" s="17" t="n">
        <f aca="false">Daily_Composite!AP214</f>
        <v>-0.128</v>
      </c>
      <c r="HD40" s="17" t="n">
        <f aca="false">Daily_Composite!AP215</f>
        <v>-0.329</v>
      </c>
      <c r="HE40" s="17" t="n">
        <f aca="false">Daily_Composite!AP216</f>
        <v>-0.157</v>
      </c>
      <c r="HF40" s="17" t="n">
        <f aca="false">Daily_Composite!AP217</f>
        <v>-0.342</v>
      </c>
      <c r="HG40" s="17" t="n">
        <f aca="false">Daily_Composite!AP218</f>
        <v>-0.367</v>
      </c>
      <c r="HH40" s="17" t="n">
        <f aca="false">Daily_Composite!AP219</f>
        <v>-0.302</v>
      </c>
      <c r="HI40" s="17" t="n">
        <f aca="false">Daily_Composite!AP220</f>
        <v>-0.427</v>
      </c>
      <c r="HJ40" s="17" t="n">
        <f aca="false">Daily_Composite!AP221</f>
        <v>-0.448</v>
      </c>
      <c r="HK40" s="17" t="n">
        <f aca="false">Daily_Composite!AP222</f>
        <v>-0.284</v>
      </c>
      <c r="HL40" s="17" t="n">
        <f aca="false">Daily_Composite!AP223</f>
        <v>-0.198</v>
      </c>
      <c r="HM40" s="17" t="n">
        <f aca="false">Daily_Composite!AP224</f>
        <v>-0.134</v>
      </c>
      <c r="HN40" s="17" t="n">
        <f aca="false">Daily_Composite!AP225</f>
        <v>-0.296</v>
      </c>
      <c r="HO40" s="17" t="n">
        <f aca="false">Daily_Composite!AP226</f>
        <v>-0.101</v>
      </c>
      <c r="HP40" s="17" t="n">
        <f aca="false">Daily_Composite!AP227</f>
        <v>-0.131</v>
      </c>
      <c r="HQ40" s="17" t="n">
        <f aca="false">Daily_Composite!AP228</f>
        <v>-0.129</v>
      </c>
      <c r="HR40" s="17" t="n">
        <f aca="false">Daily_Composite!AP229</f>
        <v>-0.044</v>
      </c>
      <c r="HS40" s="17" t="n">
        <f aca="false">Daily_Composite!AP230</f>
        <v>-0.036</v>
      </c>
      <c r="HT40" s="17" t="n">
        <f aca="false">Daily_Composite!AP231</f>
        <v>-0.401</v>
      </c>
      <c r="HU40" s="17" t="n">
        <f aca="false">Daily_Composite!AP232</f>
        <v>-0.104</v>
      </c>
      <c r="HV40" s="17" t="n">
        <f aca="false">Daily_Composite!AP233</f>
        <v>-0.125</v>
      </c>
      <c r="HW40" s="17" t="n">
        <f aca="false">Daily_Composite!AP234</f>
        <v>-0.282</v>
      </c>
      <c r="HX40" s="17" t="n">
        <f aca="false">Daily_Composite!AP235</f>
        <v>-0.137</v>
      </c>
      <c r="HY40" s="17" t="n">
        <f aca="false">Daily_Composite!AP236</f>
        <v>-0.174</v>
      </c>
      <c r="HZ40" s="17" t="n">
        <f aca="false">Daily_Composite!AP237</f>
        <v>-0.209</v>
      </c>
      <c r="IA40" s="17" t="n">
        <f aca="false">Daily_Composite!AP238</f>
        <v>-0.008</v>
      </c>
      <c r="IB40" s="17" t="n">
        <f aca="false">Daily_Composite!AP239</f>
        <v>-0.043</v>
      </c>
      <c r="IC40" s="17" t="n">
        <f aca="false">Daily_Composite!AP240</f>
        <v>-0.379</v>
      </c>
      <c r="ID40" s="17" t="n">
        <f aca="false">Daily_Composite!AP241</f>
        <v>-0.077</v>
      </c>
      <c r="IE40" s="17" t="n">
        <f aca="false">Daily_Composite!AP242</f>
        <v>-0.354</v>
      </c>
      <c r="IF40" s="17" t="n">
        <f aca="false">Daily_Composite!AP243</f>
        <v>-0.469</v>
      </c>
      <c r="IG40" s="17" t="n">
        <f aca="false">Daily_Composite!AP244</f>
        <v>-0.385</v>
      </c>
      <c r="IH40" s="17" t="n">
        <f aca="false">Daily_Composite!AP245</f>
        <v>-0.313</v>
      </c>
      <c r="II40" s="17" t="n">
        <f aca="false">Daily_Composite!AP246</f>
        <v>-0.298</v>
      </c>
      <c r="IJ40" s="17" t="n">
        <f aca="false">Daily_Composite!AP247</f>
        <v>-0.35</v>
      </c>
      <c r="IK40" s="17" t="n">
        <f aca="false">Daily_Composite!AP248</f>
        <v>-0.078</v>
      </c>
      <c r="IL40" s="17" t="n">
        <f aca="false">Daily_Composite!AP249</f>
        <v>0.03</v>
      </c>
      <c r="IM40" s="17" t="n">
        <f aca="false">Daily_Composite!AP250</f>
        <v>-0.239</v>
      </c>
      <c r="IN40" s="17" t="n">
        <f aca="false">Daily_Composite!AP251</f>
        <v>-0.22</v>
      </c>
      <c r="IO40" s="17" t="n">
        <f aca="false">Daily_Composite!AP252</f>
        <v>-0.228</v>
      </c>
      <c r="IP40" s="17" t="n">
        <f aca="false">Daily_Composite!AP253</f>
        <v>-0.398</v>
      </c>
      <c r="IQ40" s="17" t="n">
        <f aca="false">Daily_Composite!AP254</f>
        <v>-0.214</v>
      </c>
      <c r="IR40" s="17" t="n">
        <f aca="false">Daily_Composite!AP255</f>
        <v>-0.203</v>
      </c>
      <c r="IS40" s="17" t="n">
        <f aca="false">Daily_Composite!AP256</f>
        <v>-0.473</v>
      </c>
      <c r="IT40" s="17" t="n">
        <f aca="false">Daily_Composite!AP257</f>
        <v>-0.302</v>
      </c>
      <c r="IU40" s="17" t="n">
        <f aca="false">Daily_Composite!AP258</f>
        <v>-0.046</v>
      </c>
      <c r="IV40" s="17" t="n">
        <f aca="false">Daily_Composite!AP259</f>
        <v>-0.046</v>
      </c>
      <c r="IW40" s="17" t="n">
        <f aca="false">Daily_Composite!AP260</f>
        <v>-0.081</v>
      </c>
      <c r="IX40" s="17" t="n">
        <f aca="false">Daily_Composite!AP261</f>
        <v>-0.105</v>
      </c>
      <c r="IY40" s="17" t="n">
        <f aca="false">Daily_Composite!AP262</f>
        <v>-0.126</v>
      </c>
      <c r="IZ40" s="17" t="n">
        <f aca="false">Daily_Composite!AP263</f>
        <v>-0.108</v>
      </c>
      <c r="JA40" s="17" t="n">
        <f aca="false">Daily_Composite!AP264</f>
        <v>-0.115</v>
      </c>
      <c r="JB40" s="17" t="n">
        <f aca="false">Daily_Composite!AP265</f>
        <v>-0.384</v>
      </c>
      <c r="JC40" s="17" t="n">
        <f aca="false">Daily_Composite!AP266</f>
        <v>-0.276</v>
      </c>
      <c r="JD40" s="17" t="n">
        <f aca="false">Daily_Composite!AP267</f>
        <v>-0.191</v>
      </c>
      <c r="JE40" s="17" t="n">
        <f aca="false">Daily_Composite!AP268</f>
        <v>-0.2</v>
      </c>
      <c r="JF40" s="17" t="n">
        <f aca="false">Daily_Composite!AP269</f>
        <v>-0.207</v>
      </c>
      <c r="JG40" s="17" t="n">
        <f aca="false">Daily_Composite!AP270</f>
        <v>-0.549</v>
      </c>
      <c r="JH40" s="17" t="n">
        <f aca="false">Daily_Composite!AP271</f>
        <v>-0.642</v>
      </c>
      <c r="JI40" s="17" t="n">
        <f aca="false">Daily_Composite!AP272</f>
        <v>-0.46</v>
      </c>
      <c r="JJ40" s="17" t="n">
        <f aca="false">Daily_Composite!AP273</f>
        <v>-0.451</v>
      </c>
      <c r="JK40" s="17" t="n">
        <f aca="false">Daily_Composite!AP274</f>
        <v>-0.525</v>
      </c>
      <c r="JL40" s="17" t="n">
        <f aca="false">Daily_Composite!AP275</f>
        <v>-0.448</v>
      </c>
      <c r="JM40" s="17" t="n">
        <f aca="false">Daily_Composite!AP276</f>
        <v>-0.031</v>
      </c>
      <c r="JN40" s="17" t="n">
        <f aca="false">Daily_Composite!AP277</f>
        <v>-0.351</v>
      </c>
      <c r="JO40" s="17" t="n">
        <f aca="false">Daily_Composite!AP278</f>
        <v>-0.29</v>
      </c>
      <c r="JP40" s="17" t="n">
        <f aca="false">Daily_Composite!AP279</f>
        <v>-0.248</v>
      </c>
      <c r="JQ40" s="17" t="n">
        <f aca="false">Daily_Composite!AP280</f>
        <v>-0.25</v>
      </c>
      <c r="JR40" s="17" t="n">
        <f aca="false">Daily_Composite!AP281</f>
        <v>-0.217</v>
      </c>
      <c r="JS40" s="17" t="n">
        <f aca="false">Daily_Composite!AP282</f>
        <v>-0.218</v>
      </c>
      <c r="JT40" s="17" t="n">
        <f aca="false">Daily_Composite!AP283</f>
        <v>-0.209</v>
      </c>
      <c r="JU40" s="17" t="n">
        <f aca="false">Daily_Composite!AP284</f>
        <v>-0.496</v>
      </c>
      <c r="JV40" s="17" t="n">
        <f aca="false">Daily_Composite!AP285</f>
        <v>-0.245</v>
      </c>
      <c r="JW40" s="17" t="n">
        <f aca="false">Daily_Composite!AP286</f>
        <v>-0.149</v>
      </c>
      <c r="JX40" s="17" t="n">
        <f aca="false">Daily_Composite!AP287</f>
        <v>-0.158</v>
      </c>
      <c r="JY40" s="17" t="n">
        <f aca="false">Daily_Composite!AP288</f>
        <v>-0.113</v>
      </c>
      <c r="JZ40" s="17" t="n">
        <f aca="false">Daily_Composite!AP289</f>
        <v>-0.208</v>
      </c>
      <c r="KA40" s="17" t="n">
        <f aca="false">Daily_Composite!AP290</f>
        <v>-0.241</v>
      </c>
      <c r="KB40" s="17" t="n">
        <f aca="false">Daily_Composite!AP291</f>
        <v>-0.232</v>
      </c>
      <c r="KC40" s="17" t="n">
        <f aca="false">Daily_Composite!AP292</f>
        <v>-0.514</v>
      </c>
      <c r="KD40" s="17" t="n">
        <f aca="false">Daily_Composite!AP293</f>
        <v>-0.166</v>
      </c>
      <c r="KE40" s="17" t="n">
        <f aca="false">Daily_Composite!AP294</f>
        <v>0.205</v>
      </c>
      <c r="KF40" s="17" t="n">
        <f aca="false">Daily_Composite!AP295</f>
        <v>0.275</v>
      </c>
      <c r="KG40" s="17" t="n">
        <f aca="false">Daily_Composite!AP296</f>
        <v>0.008</v>
      </c>
      <c r="KH40" s="17" t="n">
        <f aca="false">Daily_Composite!AP297</f>
        <v>-0.39</v>
      </c>
      <c r="KI40" s="17" t="n">
        <f aca="false">Daily_Composite!AP298</f>
        <v>-0.511</v>
      </c>
      <c r="KJ40" s="17" t="n">
        <f aca="false">Daily_Composite!AP299</f>
        <v>-0.407</v>
      </c>
      <c r="KK40" s="17" t="n">
        <f aca="false">Daily_Composite!AP300</f>
        <v>-0.341</v>
      </c>
      <c r="KL40" s="17" t="n">
        <f aca="false">Daily_Composite!AP301</f>
        <v>-0.345</v>
      </c>
      <c r="KM40" s="17" t="n">
        <f aca="false">Daily_Composite!AP302</f>
        <v>-0.201</v>
      </c>
      <c r="KN40" s="17" t="n">
        <f aca="false">Daily_Composite!AP303</f>
        <v>0.12</v>
      </c>
      <c r="KO40" s="17" t="n">
        <f aca="false">Daily_Composite!AP304</f>
        <v>-0.091</v>
      </c>
      <c r="KP40" s="17" t="n">
        <f aca="false">Daily_Composite!AP305</f>
        <v>-0.086</v>
      </c>
      <c r="KQ40" s="17" t="n">
        <f aca="false">Daily_Composite!AP306</f>
        <v>-0.106</v>
      </c>
      <c r="KR40" s="17" t="n">
        <f aca="false">Daily_Composite!AP307</f>
        <v>-0.093</v>
      </c>
      <c r="KS40" s="17" t="n">
        <f aca="false">Daily_Composite!AP308</f>
        <v>-0.128</v>
      </c>
      <c r="KT40" s="17" t="n">
        <f aca="false">Daily_Composite!AP309</f>
        <v>-0.105</v>
      </c>
      <c r="KU40" s="17" t="n">
        <f aca="false">Daily_Composite!AP310</f>
        <v>-0.117</v>
      </c>
      <c r="KV40" s="17" t="n">
        <f aca="false">Daily_Composite!AP311</f>
        <v>-0.512</v>
      </c>
      <c r="KW40" s="17" t="n">
        <f aca="false">Daily_Composite!AP312</f>
        <v>-0.314</v>
      </c>
      <c r="KX40" s="17" t="n">
        <f aca="false">Daily_Composite!AP313</f>
        <v>-0.042</v>
      </c>
      <c r="KY40" s="17" t="n">
        <f aca="false">Daily_Composite!AP314</f>
        <v>-0.003</v>
      </c>
      <c r="KZ40" s="17" t="n">
        <f aca="false">Daily_Composite!AP315</f>
        <v>-0.099</v>
      </c>
      <c r="LA40" s="17" t="n">
        <f aca="false">Daily_Composite!AP316</f>
        <v>-0.307</v>
      </c>
      <c r="LB40" s="17" t="n">
        <f aca="false">Daily_Composite!AP317</f>
        <v>-0.12</v>
      </c>
      <c r="LC40" s="17" t="n">
        <f aca="false">Daily_Composite!AP318</f>
        <v>-0.111</v>
      </c>
      <c r="LD40" s="17" t="n">
        <f aca="false">Daily_Composite!AP319</f>
        <v>-0.07</v>
      </c>
      <c r="LE40" s="17" t="n">
        <f aca="false">Daily_Composite!AP320</f>
        <v>-0.354</v>
      </c>
      <c r="LF40" s="17" t="n">
        <f aca="false">Daily_Composite!AP321</f>
        <v>0.206</v>
      </c>
      <c r="LG40" s="17" t="n">
        <f aca="false">Daily_Composite!AP322</f>
        <v>0.206</v>
      </c>
      <c r="LH40" s="17" t="n">
        <f aca="false">Daily_Composite!AP323</f>
        <v>0.203</v>
      </c>
      <c r="LI40" s="17" t="n">
        <f aca="false">Daily_Composite!AP324</f>
        <v>-0.19</v>
      </c>
      <c r="LJ40" s="17" t="n">
        <f aca="false">Daily_Composite!AP325</f>
        <v>-0.393</v>
      </c>
      <c r="LK40" s="17" t="n">
        <f aca="false">Daily_Composite!AP326</f>
        <v>-0.117</v>
      </c>
      <c r="LL40" s="17" t="n">
        <f aca="false">Daily_Composite!AP327</f>
        <v>0.031</v>
      </c>
      <c r="LM40" s="17" t="n">
        <f aca="false">Daily_Composite!AP328</f>
        <v>0.056</v>
      </c>
      <c r="LN40" s="17" t="n">
        <f aca="false">Daily_Composite!AP329</f>
        <v>0.013</v>
      </c>
      <c r="LO40" s="17" t="n">
        <f aca="false">Daily_Composite!AP330</f>
        <v>-0.357</v>
      </c>
      <c r="LP40" s="17" t="n">
        <f aca="false">Daily_Composite!AP331</f>
        <v>0.2</v>
      </c>
      <c r="LQ40" s="17" t="n">
        <f aca="false">Daily_Composite!AP332</f>
        <v>0.187</v>
      </c>
      <c r="LR40" s="17" t="n">
        <f aca="false">Daily_Composite!AP333</f>
        <v>0.209</v>
      </c>
      <c r="LS40" s="17" t="n">
        <f aca="false">Daily_Composite!AP334</f>
        <v>0.206</v>
      </c>
      <c r="LT40" s="17" t="n">
        <f aca="false">Daily_Composite!AP335</f>
        <v>0.064</v>
      </c>
      <c r="LU40" s="17" t="n">
        <f aca="false">Daily_Composite!AP336</f>
        <v>0.207</v>
      </c>
      <c r="LV40" s="17" t="n">
        <f aca="false">Daily_Composite!AP337</f>
        <v>0.225</v>
      </c>
      <c r="LW40" s="17" t="n">
        <f aca="false">Daily_Composite!AP338</f>
        <v>0.053</v>
      </c>
      <c r="LX40" s="17" t="n">
        <f aca="false">Daily_Composite!AP339</f>
        <v>-0.023</v>
      </c>
      <c r="LY40" s="17" t="n">
        <f aca="false">Daily_Composite!AP340</f>
        <v>0.207</v>
      </c>
      <c r="LZ40" s="17" t="n">
        <f aca="false">Daily_Composite!AP341</f>
        <v>0.256</v>
      </c>
      <c r="MA40" s="17" t="n">
        <f aca="false">Daily_Composite!AP342</f>
        <v>0.191</v>
      </c>
      <c r="MB40" s="17" t="n">
        <f aca="false">Daily_Composite!AP343</f>
        <v>-0.002</v>
      </c>
      <c r="MC40" s="17" t="n">
        <f aca="false">Daily_Composite!AP344</f>
        <v>0.2</v>
      </c>
      <c r="MD40" s="17" t="n">
        <f aca="false">Daily_Composite!AP345</f>
        <v>0.152</v>
      </c>
      <c r="ME40" s="17" t="n">
        <f aca="false">Daily_Composite!AP346</f>
        <v>0.168</v>
      </c>
      <c r="MF40" s="17" t="n">
        <f aca="false">Daily_Composite!AP347</f>
        <v>0.425</v>
      </c>
      <c r="MG40" s="17" t="n">
        <f aca="false">Daily_Composite!AP348</f>
        <v>0.208</v>
      </c>
      <c r="MH40" s="17" t="n">
        <f aca="false">Daily_Composite!AP349</f>
        <v>0.2</v>
      </c>
      <c r="MI40" s="17" t="n">
        <f aca="false">Daily_Composite!AP350</f>
        <v>0.252</v>
      </c>
      <c r="MJ40" s="17" t="n">
        <f aca="false">Daily_Composite!AP351</f>
        <v>0.238</v>
      </c>
      <c r="MK40" s="17" t="n">
        <f aca="false">Daily_Composite!AP352</f>
        <v>-0.395</v>
      </c>
      <c r="ML40" s="17" t="n">
        <f aca="false">Daily_Composite!AP353</f>
        <v>-0.27</v>
      </c>
      <c r="MM40" s="17" t="n">
        <f aca="false">Daily_Composite!AP354</f>
        <v>0.007</v>
      </c>
      <c r="MN40" s="17" t="n">
        <f aca="false">Daily_Composite!AP355</f>
        <v>-0.074</v>
      </c>
      <c r="MO40" s="17" t="n">
        <f aca="false">Daily_Composite!AP356</f>
        <v>-0.067</v>
      </c>
      <c r="MP40" s="17" t="n">
        <f aca="false">Daily_Composite!AP357</f>
        <v>0.42</v>
      </c>
      <c r="MQ40" s="17" t="n">
        <f aca="false">Daily_Composite!AP358</f>
        <v>0.206</v>
      </c>
      <c r="MR40" s="17" t="n">
        <f aca="false">Daily_Composite!AP359</f>
        <v>-0.05</v>
      </c>
      <c r="MS40" s="17" t="n">
        <f aca="false">Daily_Composite!AP360</f>
        <v>-0.028</v>
      </c>
      <c r="MT40" s="17" t="n">
        <f aca="false">Daily_Composite!AP361</f>
        <v>-0.052</v>
      </c>
      <c r="MU40" s="17" t="n">
        <f aca="false">Daily_Composite!AP362</f>
        <v>-0.018</v>
      </c>
      <c r="MV40" s="17" t="n">
        <f aca="false">Daily_Composite!AP363</f>
        <v>-0.047</v>
      </c>
      <c r="MW40" s="17" t="n">
        <f aca="false">Daily_Composite!AP364</f>
        <v>-0.013</v>
      </c>
      <c r="MX40" s="17" t="n">
        <f aca="false">Daily_Composite!AP365</f>
        <v>-0.03</v>
      </c>
      <c r="MY40" s="17" t="n">
        <f aca="false">Daily_Composite!AP366</f>
        <v>0.278</v>
      </c>
      <c r="MZ40" s="17" t="n">
        <f aca="false">Daily_Composite!AP367</f>
        <v>-0.315</v>
      </c>
      <c r="NA40" s="17" t="n">
        <f aca="false">Daily_Composite!AP368</f>
        <v>-0.004</v>
      </c>
      <c r="NB40" s="17" t="n">
        <f aca="false">Daily_Composite!AP369</f>
        <v>0.009</v>
      </c>
    </row>
    <row r="41" customFormat="false" ht="15" hidden="false" customHeight="false" outlineLevel="0" collapsed="false">
      <c r="A41" s="6" t="s">
        <v>54</v>
      </c>
      <c r="B41" s="17" t="n">
        <f aca="false">Daily_Composite!AQ5</f>
        <v>-0.357</v>
      </c>
      <c r="C41" s="17" t="n">
        <f aca="false">Daily_Composite!AQ6</f>
        <v>-0.462</v>
      </c>
      <c r="D41" s="17" t="n">
        <f aca="false">Daily_Composite!AQ7</f>
        <v>-0.163</v>
      </c>
      <c r="E41" s="17" t="n">
        <f aca="false">Daily_Composite!AQ8</f>
        <v>-0.097</v>
      </c>
      <c r="F41" s="17" t="n">
        <f aca="false">Daily_Composite!AQ9</f>
        <v>-0.395</v>
      </c>
      <c r="G41" s="17" t="n">
        <f aca="false">Daily_Composite!AQ10</f>
        <v>-0.209</v>
      </c>
      <c r="H41" s="17" t="n">
        <f aca="false">Daily_Composite!AQ11</f>
        <v>-0.202</v>
      </c>
      <c r="I41" s="17" t="n">
        <f aca="false">Daily_Composite!AQ12</f>
        <v>-0.132</v>
      </c>
      <c r="J41" s="17" t="n">
        <f aca="false">Daily_Composite!AQ13</f>
        <v>-0.139</v>
      </c>
      <c r="K41" s="17" t="n">
        <f aca="false">Daily_Composite!AQ14</f>
        <v>-0.338</v>
      </c>
      <c r="L41" s="17" t="n">
        <f aca="false">Daily_Composite!AQ15</f>
        <v>-0.057</v>
      </c>
      <c r="M41" s="17" t="n">
        <f aca="false">Daily_Composite!AQ16</f>
        <v>-0.068</v>
      </c>
      <c r="N41" s="17" t="n">
        <f aca="false">Daily_Composite!AQ17</f>
        <v>-0.248</v>
      </c>
      <c r="O41" s="17" t="n">
        <f aca="false">Daily_Composite!AQ18</f>
        <v>-0.396</v>
      </c>
      <c r="P41" s="17" t="n">
        <f aca="false">Daily_Composite!AQ19</f>
        <v>-0.055</v>
      </c>
      <c r="Q41" s="17" t="n">
        <f aca="false">Daily_Composite!AQ20</f>
        <v>-0.008</v>
      </c>
      <c r="R41" s="17" t="n">
        <f aca="false">Daily_Composite!AQ21</f>
        <v>0.356</v>
      </c>
      <c r="S41" s="17" t="n">
        <f aca="false">Daily_Composite!AQ22</f>
        <v>0.011</v>
      </c>
      <c r="T41" s="17" t="n">
        <f aca="false">Daily_Composite!AQ23</f>
        <v>0.494</v>
      </c>
      <c r="U41" s="17" t="n">
        <f aca="false">Daily_Composite!AQ24</f>
        <v>0.038</v>
      </c>
      <c r="V41" s="17" t="n">
        <f aca="false">Daily_Composite!AQ25</f>
        <v>0.195</v>
      </c>
      <c r="W41" s="17" t="n">
        <f aca="false">Daily_Composite!AQ26</f>
        <v>0.132</v>
      </c>
      <c r="X41" s="17" t="n">
        <f aca="false">Daily_Composite!AQ27</f>
        <v>0.355</v>
      </c>
      <c r="Y41" s="17" t="n">
        <f aca="false">Daily_Composite!AQ28</f>
        <v>0.659</v>
      </c>
      <c r="Z41" s="17" t="n">
        <f aca="false">Daily_Composite!AQ29</f>
        <v>0.355</v>
      </c>
      <c r="AA41" s="17" t="n">
        <f aca="false">Daily_Composite!AQ30</f>
        <v>0.345</v>
      </c>
      <c r="AB41" s="17" t="n">
        <f aca="false">Daily_Composite!AQ31</f>
        <v>0.458</v>
      </c>
      <c r="AC41" s="17" t="n">
        <f aca="false">Daily_Composite!AQ32</f>
        <v>0.326</v>
      </c>
      <c r="AD41" s="17" t="n">
        <f aca="false">Daily_Composite!AQ33</f>
        <v>0.672</v>
      </c>
      <c r="AE41" s="17" t="n">
        <f aca="false">Daily_Composite!AQ34</f>
        <v>0.228</v>
      </c>
      <c r="AF41" s="17" t="n">
        <f aca="false">Daily_Composite!AQ35</f>
        <v>0.684</v>
      </c>
      <c r="AG41" s="17" t="n">
        <f aca="false">Daily_Composite!AQ36</f>
        <v>0.407</v>
      </c>
      <c r="AH41" s="17" t="n">
        <f aca="false">Daily_Composite!AQ37</f>
        <v>0.699</v>
      </c>
      <c r="AI41" s="17" t="n">
        <f aca="false">Daily_Composite!AQ38</f>
        <v>0.391</v>
      </c>
      <c r="AJ41" s="17" t="n">
        <f aca="false">Daily_Composite!AQ39</f>
        <v>0.63</v>
      </c>
      <c r="AK41" s="17" t="n">
        <f aca="false">Daily_Composite!AQ40</f>
        <v>0.727</v>
      </c>
      <c r="AL41" s="17" t="n">
        <f aca="false">Daily_Composite!AQ41</f>
        <v>0.649</v>
      </c>
      <c r="AM41" s="17" t="n">
        <f aca="false">Daily_Composite!AQ42</f>
        <v>0.246</v>
      </c>
      <c r="AN41" s="17" t="n">
        <f aca="false">Daily_Composite!AQ43</f>
        <v>0.539</v>
      </c>
      <c r="AO41" s="17" t="n">
        <f aca="false">Daily_Composite!AQ44</f>
        <v>0.146</v>
      </c>
      <c r="AP41" s="17" t="n">
        <f aca="false">Daily_Composite!AQ45</f>
        <v>0.192</v>
      </c>
      <c r="AQ41" s="17" t="n">
        <f aca="false">Daily_Composite!AQ46</f>
        <v>0.658</v>
      </c>
      <c r="AR41" s="17" t="n">
        <f aca="false">Daily_Composite!AQ47</f>
        <v>0.31</v>
      </c>
      <c r="AS41" s="17" t="n">
        <f aca="false">Daily_Composite!AQ48</f>
        <v>0.373</v>
      </c>
      <c r="AT41" s="17" t="n">
        <f aca="false">Daily_Composite!AQ49</f>
        <v>0.243</v>
      </c>
      <c r="AU41" s="17" t="n">
        <f aca="false">Daily_Composite!AQ50</f>
        <v>0.273</v>
      </c>
      <c r="AV41" s="17" t="n">
        <f aca="false">Daily_Composite!AQ51</f>
        <v>0.584</v>
      </c>
      <c r="AW41" s="17" t="n">
        <f aca="false">Daily_Composite!AQ52</f>
        <v>0.277</v>
      </c>
      <c r="AX41" s="17" t="n">
        <f aca="false">Daily_Composite!AQ53</f>
        <v>0.527</v>
      </c>
      <c r="AY41" s="17" t="n">
        <f aca="false">Daily_Composite!AQ54</f>
        <v>0.251</v>
      </c>
      <c r="AZ41" s="17" t="n">
        <f aca="false">Daily_Composite!AQ55</f>
        <v>0.231</v>
      </c>
      <c r="BA41" s="17" t="n">
        <f aca="false">Daily_Composite!AQ56</f>
        <v>0.623</v>
      </c>
      <c r="BB41" s="17" t="n">
        <f aca="false">Daily_Composite!AQ57</f>
        <v>0.281</v>
      </c>
      <c r="BC41" s="17" t="n">
        <f aca="false">Daily_Composite!AQ58</f>
        <v>0.298</v>
      </c>
      <c r="BD41" s="17" t="n">
        <f aca="false">Daily_Composite!AQ59</f>
        <v>0.327</v>
      </c>
      <c r="BE41" s="17" t="n">
        <f aca="false">Daily_Composite!AQ60</f>
        <v>-0.113</v>
      </c>
      <c r="BF41" s="17" t="n">
        <f aca="false">Daily_Composite!AQ61</f>
        <v>0.239</v>
      </c>
      <c r="BG41" s="17" t="n">
        <f aca="false">Daily_Composite!AQ62</f>
        <v>0.607</v>
      </c>
      <c r="BH41" s="17" t="n">
        <f aca="false">Daily_Composite!AQ63</f>
        <v>0.277</v>
      </c>
      <c r="BI41" s="17" t="n">
        <f aca="false">Daily_Composite!AQ64</f>
        <v>0.569</v>
      </c>
      <c r="BJ41" s="17" t="n">
        <f aca="false">Daily_Composite!AQ65</f>
        <v>0.275</v>
      </c>
      <c r="BK41" s="17" t="n">
        <f aca="false">Daily_Composite!AQ66</f>
        <v>0.271</v>
      </c>
      <c r="BL41" s="17" t="n">
        <f aca="false">Daily_Composite!AQ67</f>
        <v>0.542</v>
      </c>
      <c r="BM41" s="17" t="n">
        <f aca="false">Daily_Composite!AQ68</f>
        <v>0.507</v>
      </c>
      <c r="BN41" s="17" t="n">
        <f aca="false">Daily_Composite!AQ69</f>
        <v>0.256</v>
      </c>
      <c r="BO41" s="17" t="n">
        <f aca="false">Daily_Composite!AQ70</f>
        <v>0.206</v>
      </c>
      <c r="BP41" s="17" t="n">
        <f aca="false">Daily_Composite!AQ71</f>
        <v>0.285</v>
      </c>
      <c r="BQ41" s="17" t="n">
        <f aca="false">Daily_Composite!AQ72</f>
        <v>0.175</v>
      </c>
      <c r="BR41" s="17" t="n">
        <f aca="false">Daily_Composite!AQ73</f>
        <v>0.441</v>
      </c>
      <c r="BS41" s="17" t="n">
        <f aca="false">Daily_Composite!AQ74</f>
        <v>0.146</v>
      </c>
      <c r="BT41" s="17" t="n">
        <f aca="false">Daily_Composite!AQ75</f>
        <v>0.238</v>
      </c>
      <c r="BU41" s="17" t="n">
        <f aca="false">Daily_Composite!AQ76</f>
        <v>0.178</v>
      </c>
      <c r="BV41" s="17" t="n">
        <f aca="false">Daily_Composite!AQ77</f>
        <v>0.126</v>
      </c>
      <c r="BW41" s="17" t="n">
        <f aca="false">Daily_Composite!AQ78</f>
        <v>0.501</v>
      </c>
      <c r="BX41" s="17" t="n">
        <f aca="false">Daily_Composite!AQ79</f>
        <v>0.101</v>
      </c>
      <c r="BY41" s="17" t="n">
        <f aca="false">Daily_Composite!AQ80</f>
        <v>0.108</v>
      </c>
      <c r="BZ41" s="17" t="n">
        <f aca="false">Daily_Composite!AQ81</f>
        <v>0.475</v>
      </c>
      <c r="CA41" s="17" t="n">
        <f aca="false">Daily_Composite!AQ82</f>
        <v>0.082</v>
      </c>
      <c r="CB41" s="17" t="n">
        <f aca="false">Daily_Composite!AQ83</f>
        <v>0.457</v>
      </c>
      <c r="CC41" s="17" t="n">
        <f aca="false">Daily_Composite!AQ84</f>
        <v>0.008</v>
      </c>
      <c r="CD41" s="17" t="n">
        <f aca="false">Daily_Composite!AQ85</f>
        <v>0.048</v>
      </c>
      <c r="CE41" s="17" t="n">
        <f aca="false">Daily_Composite!AQ86</f>
        <v>0.294</v>
      </c>
      <c r="CF41" s="17" t="n">
        <f aca="false">Daily_Composite!AQ87</f>
        <v>0.486</v>
      </c>
      <c r="CG41" s="17" t="n">
        <f aca="false">Daily_Composite!AQ88</f>
        <v>-0.156</v>
      </c>
      <c r="CH41" s="17" t="n">
        <f aca="false">Daily_Composite!AQ89</f>
        <v>-0.04</v>
      </c>
      <c r="CI41" s="17" t="n">
        <f aca="false">Daily_Composite!AQ90</f>
        <v>0.293</v>
      </c>
      <c r="CJ41" s="17" t="n">
        <f aca="false">Daily_Composite!AQ91</f>
        <v>0.009</v>
      </c>
      <c r="CK41" s="17" t="n">
        <f aca="false">Daily_Composite!AQ92</f>
        <v>0.061</v>
      </c>
      <c r="CL41" s="17" t="n">
        <f aca="false">Daily_Composite!AQ93</f>
        <v>0.022</v>
      </c>
      <c r="CM41" s="17" t="n">
        <f aca="false">Daily_Composite!AQ94</f>
        <v>0.303</v>
      </c>
      <c r="CN41" s="17" t="n">
        <f aca="false">Daily_Composite!AQ95</f>
        <v>0.248</v>
      </c>
      <c r="CO41" s="17" t="n">
        <f aca="false">Daily_Composite!AQ96</f>
        <v>0.15</v>
      </c>
      <c r="CP41" s="17" t="n">
        <f aca="false">Daily_Composite!AQ97</f>
        <v>0.031</v>
      </c>
      <c r="CQ41" s="17" t="n">
        <f aca="false">Daily_Composite!AQ98</f>
        <v>-0.347</v>
      </c>
      <c r="CR41" s="17" t="n">
        <f aca="false">Daily_Composite!AQ99</f>
        <v>-0.047</v>
      </c>
      <c r="CS41" s="17" t="n">
        <f aca="false">Daily_Composite!AQ100</f>
        <v>-0.289</v>
      </c>
      <c r="CT41" s="17" t="n">
        <f aca="false">Daily_Composite!AQ101</f>
        <v>0.207</v>
      </c>
      <c r="CU41" s="17" t="n">
        <f aca="false">Daily_Composite!AQ102</f>
        <v>0.223</v>
      </c>
      <c r="CV41" s="17" t="n">
        <f aca="false">Daily_Composite!AQ103</f>
        <v>-0.072</v>
      </c>
      <c r="CW41" s="17" t="n">
        <f aca="false">Daily_Composite!AQ104</f>
        <v>-0.077</v>
      </c>
      <c r="CX41" s="17" t="n">
        <f aca="false">Daily_Composite!AQ105</f>
        <v>-0.164</v>
      </c>
      <c r="CY41" s="17" t="n">
        <f aca="false">Daily_Composite!AQ106</f>
        <v>0.307</v>
      </c>
      <c r="CZ41" s="17" t="n">
        <f aca="false">Daily_Composite!AQ107</f>
        <v>-0.047</v>
      </c>
      <c r="DA41" s="17" t="n">
        <f aca="false">Daily_Composite!AQ108</f>
        <v>0.008</v>
      </c>
      <c r="DB41" s="17" t="n">
        <f aca="false">Daily_Composite!AQ109</f>
        <v>-0.05</v>
      </c>
      <c r="DC41" s="17" t="n">
        <f aca="false">Daily_Composite!AQ110</f>
        <v>0.118</v>
      </c>
      <c r="DD41" s="17" t="n">
        <f aca="false">Daily_Composite!AQ111</f>
        <v>-0.001</v>
      </c>
      <c r="DE41" s="17" t="n">
        <f aca="false">Daily_Composite!AQ112</f>
        <v>0.067</v>
      </c>
      <c r="DF41" s="17" t="n">
        <f aca="false">Daily_Composite!AQ113</f>
        <v>0.333</v>
      </c>
      <c r="DG41" s="17" t="n">
        <f aca="false">Daily_Composite!AQ114</f>
        <v>0.229</v>
      </c>
      <c r="DH41" s="17" t="n">
        <f aca="false">Daily_Composite!AQ115</f>
        <v>0.435</v>
      </c>
      <c r="DI41" s="17" t="n">
        <f aca="false">Daily_Composite!AQ116</f>
        <v>0.165</v>
      </c>
      <c r="DJ41" s="17" t="n">
        <f aca="false">Daily_Composite!AQ117</f>
        <v>-0.11</v>
      </c>
      <c r="DK41" s="17" t="n">
        <f aca="false">Daily_Composite!AQ118</f>
        <v>0.186</v>
      </c>
      <c r="DL41" s="17" t="n">
        <f aca="false">Daily_Composite!AQ119</f>
        <v>-0.239</v>
      </c>
      <c r="DM41" s="17" t="n">
        <f aca="false">Daily_Composite!AQ120</f>
        <v>0.215</v>
      </c>
      <c r="DN41" s="17" t="n">
        <f aca="false">Daily_Composite!AQ121</f>
        <v>0.211</v>
      </c>
      <c r="DO41" s="17" t="n">
        <f aca="false">Daily_Composite!AQ122</f>
        <v>0.237</v>
      </c>
      <c r="DP41" s="17" t="n">
        <f aca="false">Daily_Composite!AQ123</f>
        <v>0.569</v>
      </c>
      <c r="DQ41" s="17" t="n">
        <f aca="false">Daily_Composite!AQ124</f>
        <v>0.177</v>
      </c>
      <c r="DR41" s="17" t="n">
        <f aca="false">Daily_Composite!AQ125</f>
        <v>0.479</v>
      </c>
      <c r="DS41" s="17" t="n">
        <f aca="false">Daily_Composite!AQ126</f>
        <v>0.023</v>
      </c>
      <c r="DT41" s="17" t="n">
        <f aca="false">Daily_Composite!AQ127</f>
        <v>-0.294</v>
      </c>
      <c r="DU41" s="17" t="n">
        <f aca="false">Daily_Composite!AQ128</f>
        <v>0.403</v>
      </c>
      <c r="DV41" s="17" t="n">
        <f aca="false">Daily_Composite!AQ129</f>
        <v>0.4</v>
      </c>
      <c r="DW41" s="17" t="n">
        <f aca="false">Daily_Composite!AQ130</f>
        <v>0.418</v>
      </c>
      <c r="DX41" s="17" t="n">
        <f aca="false">Daily_Composite!AQ131</f>
        <v>0.192</v>
      </c>
      <c r="DY41" s="17" t="n">
        <f aca="false">Daily_Composite!AQ132</f>
        <v>0.299</v>
      </c>
      <c r="DZ41" s="17" t="n">
        <f aca="false">Daily_Composite!AQ133</f>
        <v>0.362</v>
      </c>
      <c r="EA41" s="17" t="n">
        <f aca="false">Daily_Composite!AQ134</f>
        <v>0.048</v>
      </c>
      <c r="EB41" s="17" t="n">
        <f aca="false">Daily_Composite!AQ135</f>
        <v>0.352</v>
      </c>
      <c r="EC41" s="17" t="n">
        <f aca="false">Daily_Composite!AQ136</f>
        <v>0.098</v>
      </c>
      <c r="ED41" s="17" t="n">
        <f aca="false">Daily_Composite!AQ137</f>
        <v>-0.329</v>
      </c>
      <c r="EE41" s="17" t="n">
        <f aca="false">Daily_Composite!AQ138</f>
        <v>0.028</v>
      </c>
      <c r="EF41" s="17" t="n">
        <f aca="false">Daily_Composite!AQ139</f>
        <v>0.017</v>
      </c>
      <c r="EG41" s="17" t="n">
        <f aca="false">Daily_Composite!AQ140</f>
        <v>0.266</v>
      </c>
      <c r="EH41" s="17" t="n">
        <f aca="false">Daily_Composite!AQ141</f>
        <v>0.118</v>
      </c>
      <c r="EI41" s="17" t="n">
        <f aca="false">Daily_Composite!AQ142</f>
        <v>0.362</v>
      </c>
      <c r="EJ41" s="17" t="n">
        <f aca="false">Daily_Composite!AQ143</f>
        <v>0.001</v>
      </c>
      <c r="EK41" s="17" t="n">
        <f aca="false">Daily_Composite!AQ144</f>
        <v>-0.371</v>
      </c>
      <c r="EL41" s="17" t="n">
        <f aca="false">Daily_Composite!AQ145</f>
        <v>-0.017</v>
      </c>
      <c r="EM41" s="17" t="n">
        <f aca="false">Daily_Composite!AQ146</f>
        <v>-0.269</v>
      </c>
      <c r="EN41" s="17" t="n">
        <f aca="false">Daily_Composite!AQ147</f>
        <v>-0.007</v>
      </c>
      <c r="EO41" s="17" t="n">
        <f aca="false">Daily_Composite!AQ148</f>
        <v>-0.012</v>
      </c>
      <c r="EP41" s="17" t="n">
        <f aca="false">Daily_Composite!AQ149</f>
        <v>0.078</v>
      </c>
      <c r="EQ41" s="17" t="n">
        <f aca="false">Daily_Composite!AQ150</f>
        <v>0.077</v>
      </c>
      <c r="ER41" s="17" t="n">
        <f aca="false">Daily_Composite!AQ151</f>
        <v>0.378</v>
      </c>
      <c r="ES41" s="17" t="n">
        <f aca="false">Daily_Composite!AQ152</f>
        <v>0.032</v>
      </c>
      <c r="ET41" s="17" t="n">
        <f aca="false">Daily_Composite!AQ153</f>
        <v>-0.418</v>
      </c>
      <c r="EU41" s="17" t="n">
        <f aca="false">Daily_Composite!AQ154</f>
        <v>-0.247</v>
      </c>
      <c r="EV41" s="17" t="n">
        <f aca="false">Daily_Composite!AQ155</f>
        <v>-0.134</v>
      </c>
      <c r="EW41" s="17" t="n">
        <f aca="false">Daily_Composite!AQ156</f>
        <v>0.274</v>
      </c>
      <c r="EX41" s="17" t="n">
        <f aca="false">Daily_Composite!AQ157</f>
        <v>0.272</v>
      </c>
      <c r="EY41" s="17" t="n">
        <f aca="false">Daily_Composite!AQ158</f>
        <v>-0.127</v>
      </c>
      <c r="EZ41" s="17" t="n">
        <f aca="false">Daily_Composite!AQ159</f>
        <v>0.154</v>
      </c>
      <c r="FA41" s="17" t="n">
        <f aca="false">Daily_Composite!AQ160</f>
        <v>-0.172</v>
      </c>
      <c r="FB41" s="17" t="n">
        <f aca="false">Daily_Composite!AQ161</f>
        <v>-0.158</v>
      </c>
      <c r="FC41" s="17" t="n">
        <f aca="false">Daily_Composite!AQ162</f>
        <v>0.28</v>
      </c>
      <c r="FD41" s="17" t="n">
        <f aca="false">Daily_Composite!AQ163</f>
        <v>-0.254</v>
      </c>
      <c r="FE41" s="17" t="n">
        <f aca="false">Daily_Composite!AQ164</f>
        <v>-0.148</v>
      </c>
      <c r="FF41" s="17" t="n">
        <f aca="false">Daily_Composite!AQ165</f>
        <v>0.311</v>
      </c>
      <c r="FG41" s="17" t="n">
        <f aca="false">Daily_Composite!AQ166</f>
        <v>-0.088</v>
      </c>
      <c r="FH41" s="17" t="n">
        <f aca="false">Daily_Composite!AQ167</f>
        <v>-0.082</v>
      </c>
      <c r="FI41" s="17" t="n">
        <f aca="false">Daily_Composite!AQ168</f>
        <v>-0.151</v>
      </c>
      <c r="FJ41" s="17" t="n">
        <f aca="false">Daily_Composite!AQ169</f>
        <v>-0.116</v>
      </c>
      <c r="FK41" s="17" t="n">
        <f aca="false">Daily_Composite!AQ170</f>
        <v>-0.047</v>
      </c>
      <c r="FL41" s="17" t="n">
        <f aca="false">Daily_Composite!AQ171</f>
        <v>-0.045</v>
      </c>
      <c r="FM41" s="17" t="n">
        <f aca="false">Daily_Composite!AQ172</f>
        <v>-0.052</v>
      </c>
      <c r="FN41" s="17" t="n">
        <f aca="false">Daily_Composite!AQ173</f>
        <v>0.047</v>
      </c>
      <c r="FO41" s="17" t="n">
        <f aca="false">Daily_Composite!AQ174</f>
        <v>-0.054</v>
      </c>
      <c r="FP41" s="17" t="n">
        <f aca="false">Daily_Composite!AQ175</f>
        <v>-0.026</v>
      </c>
      <c r="FQ41" s="17" t="n">
        <f aca="false">Daily_Composite!AQ176</f>
        <v>0.086</v>
      </c>
      <c r="FR41" s="17" t="n">
        <f aca="false">Daily_Composite!AQ177</f>
        <v>0.395</v>
      </c>
      <c r="FS41" s="17" t="n">
        <f aca="false">Daily_Composite!AQ178</f>
        <v>0.256</v>
      </c>
      <c r="FT41" s="17" t="n">
        <f aca="false">Daily_Composite!AQ179</f>
        <v>-0.022</v>
      </c>
      <c r="FU41" s="17" t="n">
        <f aca="false">Daily_Composite!AQ180</f>
        <v>-0.461</v>
      </c>
      <c r="FV41" s="17" t="n">
        <f aca="false">Daily_Composite!AQ181</f>
        <v>-0.364</v>
      </c>
      <c r="FW41" s="17" t="n">
        <f aca="false">Daily_Composite!AQ182</f>
        <v>-0.478</v>
      </c>
      <c r="FX41" s="17" t="n">
        <f aca="false">Daily_Composite!AQ183</f>
        <v>-0.379</v>
      </c>
      <c r="FY41" s="17" t="n">
        <f aca="false">Daily_Composite!AQ184</f>
        <v>-0.289</v>
      </c>
      <c r="FZ41" s="17" t="n">
        <f aca="false">Daily_Composite!AQ185</f>
        <v>-0.251</v>
      </c>
      <c r="GA41" s="17" t="n">
        <f aca="false">Daily_Composite!AQ186</f>
        <v>0.066</v>
      </c>
      <c r="GB41" s="17" t="n">
        <f aca="false">Daily_Composite!AQ187</f>
        <v>0.024</v>
      </c>
      <c r="GC41" s="17" t="n">
        <f aca="false">Daily_Composite!AQ188</f>
        <v>-0.39</v>
      </c>
      <c r="GD41" s="17" t="n">
        <f aca="false">Daily_Composite!AQ189</f>
        <v>-0.299</v>
      </c>
      <c r="GE41" s="17" t="n">
        <f aca="false">Daily_Composite!AQ190</f>
        <v>0.079</v>
      </c>
      <c r="GF41" s="17" t="n">
        <f aca="false">Daily_Composite!AQ191</f>
        <v>-0.233</v>
      </c>
      <c r="GG41" s="17" t="n">
        <f aca="false">Daily_Composite!AQ192</f>
        <v>-0.566</v>
      </c>
      <c r="GH41" s="17" t="n">
        <f aca="false">Daily_Composite!AQ193</f>
        <v>-0.281</v>
      </c>
      <c r="GI41" s="17" t="n">
        <f aca="false">Daily_Composite!AQ194</f>
        <v>-0.267</v>
      </c>
      <c r="GJ41" s="17" t="n">
        <f aca="false">Daily_Composite!AQ195</f>
        <v>-0.064</v>
      </c>
      <c r="GK41" s="17" t="n">
        <f aca="false">Daily_Composite!AQ196</f>
        <v>0.256</v>
      </c>
      <c r="GL41" s="17" t="n">
        <f aca="false">Daily_Composite!AQ197</f>
        <v>-0.292</v>
      </c>
      <c r="GM41" s="17" t="n">
        <f aca="false">Daily_Composite!AQ198</f>
        <v>-0.313</v>
      </c>
      <c r="GN41" s="17" t="n">
        <f aca="false">Daily_Composite!AQ199</f>
        <v>-0.405</v>
      </c>
      <c r="GO41" s="17" t="n">
        <f aca="false">Daily_Composite!AQ200</f>
        <v>-0.298</v>
      </c>
      <c r="GP41" s="17" t="n">
        <f aca="false">Daily_Composite!AQ201</f>
        <v>-0.535</v>
      </c>
      <c r="GQ41" s="17" t="n">
        <f aca="false">Daily_Composite!AQ202</f>
        <v>-0.301</v>
      </c>
      <c r="GR41" s="17" t="n">
        <f aca="false">Daily_Composite!AQ203</f>
        <v>-0.279</v>
      </c>
      <c r="GS41" s="17" t="n">
        <f aca="false">Daily_Composite!AQ204</f>
        <v>-0.146</v>
      </c>
      <c r="GT41" s="17" t="n">
        <f aca="false">Daily_Composite!AQ205</f>
        <v>0.023</v>
      </c>
      <c r="GU41" s="17" t="n">
        <f aca="false">Daily_Composite!AQ206</f>
        <v>-0.251</v>
      </c>
      <c r="GV41" s="17" t="n">
        <f aca="false">Daily_Composite!AQ207</f>
        <v>-0.268</v>
      </c>
      <c r="GW41" s="17" t="n">
        <f aca="false">Daily_Composite!AQ208</f>
        <v>-0.314</v>
      </c>
      <c r="GX41" s="17" t="n">
        <f aca="false">Daily_Composite!AQ209</f>
        <v>-0.583</v>
      </c>
      <c r="GY41" s="17" t="n">
        <f aca="false">Daily_Composite!AQ210</f>
        <v>-0.421</v>
      </c>
      <c r="GZ41" s="17" t="n">
        <f aca="false">Daily_Composite!AQ211</f>
        <v>-0.164</v>
      </c>
      <c r="HA41" s="17" t="n">
        <f aca="false">Daily_Composite!AQ212</f>
        <v>-0.21</v>
      </c>
      <c r="HB41" s="17" t="n">
        <f aca="false">Daily_Composite!AQ213</f>
        <v>-0.207</v>
      </c>
      <c r="HC41" s="17" t="n">
        <f aca="false">Daily_Composite!AQ214</f>
        <v>-0.459</v>
      </c>
      <c r="HD41" s="17" t="n">
        <f aca="false">Daily_Composite!AQ215</f>
        <v>-0.43</v>
      </c>
      <c r="HE41" s="17" t="n">
        <f aca="false">Daily_Composite!AQ216</f>
        <v>-0.187</v>
      </c>
      <c r="HF41" s="17" t="n">
        <f aca="false">Daily_Composite!AQ217</f>
        <v>-0.188</v>
      </c>
      <c r="HG41" s="17" t="n">
        <f aca="false">Daily_Composite!AQ218</f>
        <v>-0.183</v>
      </c>
      <c r="HH41" s="17" t="n">
        <f aca="false">Daily_Composite!AQ219</f>
        <v>-0.491</v>
      </c>
      <c r="HI41" s="17" t="n">
        <f aca="false">Daily_Composite!AQ220</f>
        <v>-0.236</v>
      </c>
      <c r="HJ41" s="17" t="n">
        <f aca="false">Daily_Composite!AQ221</f>
        <v>-0.238</v>
      </c>
      <c r="HK41" s="17" t="n">
        <f aca="false">Daily_Composite!AQ222</f>
        <v>-0.239</v>
      </c>
      <c r="HL41" s="17" t="n">
        <f aca="false">Daily_Composite!AQ223</f>
        <v>-0.487</v>
      </c>
      <c r="HM41" s="17" t="n">
        <f aca="false">Daily_Composite!AQ224</f>
        <v>-0.654</v>
      </c>
      <c r="HN41" s="17" t="n">
        <f aca="false">Daily_Composite!AQ225</f>
        <v>-0.518</v>
      </c>
      <c r="HO41" s="17" t="n">
        <f aca="false">Daily_Composite!AQ226</f>
        <v>-0.517</v>
      </c>
      <c r="HP41" s="17" t="n">
        <f aca="false">Daily_Composite!AQ227</f>
        <v>-0.299</v>
      </c>
      <c r="HQ41" s="17" t="n">
        <f aca="false">Daily_Composite!AQ228</f>
        <v>-0.594</v>
      </c>
      <c r="HR41" s="17" t="n">
        <f aca="false">Daily_Composite!AQ229</f>
        <v>-0.285</v>
      </c>
      <c r="HS41" s="17" t="n">
        <f aca="false">Daily_Composite!AQ230</f>
        <v>-0.3</v>
      </c>
      <c r="HT41" s="17" t="n">
        <f aca="false">Daily_Composite!AQ231</f>
        <v>-0.088</v>
      </c>
      <c r="HU41" s="17" t="n">
        <f aca="false">Daily_Composite!AQ232</f>
        <v>-0.252</v>
      </c>
      <c r="HV41" s="17" t="n">
        <f aca="false">Daily_Composite!AQ233</f>
        <v>-0.569</v>
      </c>
      <c r="HW41" s="17" t="n">
        <f aca="false">Daily_Composite!AQ234</f>
        <v>-0.215</v>
      </c>
      <c r="HX41" s="17" t="n">
        <f aca="false">Daily_Composite!AQ235</f>
        <v>-0.354</v>
      </c>
      <c r="HY41" s="17" t="n">
        <f aca="false">Daily_Composite!AQ236</f>
        <v>-0.206</v>
      </c>
      <c r="HZ41" s="17" t="n">
        <f aca="false">Daily_Composite!AQ237</f>
        <v>-0.432</v>
      </c>
      <c r="IA41" s="17" t="n">
        <f aca="false">Daily_Composite!AQ238</f>
        <v>-0.099</v>
      </c>
      <c r="IB41" s="17" t="n">
        <f aca="false">Daily_Composite!AQ239</f>
        <v>-0.117</v>
      </c>
      <c r="IC41" s="17" t="n">
        <f aca="false">Daily_Composite!AQ240</f>
        <v>-0.089</v>
      </c>
      <c r="ID41" s="17" t="n">
        <f aca="false">Daily_Composite!AQ241</f>
        <v>-0.069</v>
      </c>
      <c r="IE41" s="17" t="n">
        <f aca="false">Daily_Composite!AQ242</f>
        <v>-0.458</v>
      </c>
      <c r="IF41" s="17" t="n">
        <f aca="false">Daily_Composite!AQ243</f>
        <v>-0.118</v>
      </c>
      <c r="IG41" s="17" t="n">
        <f aca="false">Daily_Composite!AQ244</f>
        <v>-0.143</v>
      </c>
      <c r="IH41" s="17" t="n">
        <f aca="false">Daily_Composite!AQ245</f>
        <v>0.262</v>
      </c>
      <c r="II41" s="17" t="n">
        <f aca="false">Daily_Composite!AQ246</f>
        <v>-0.047</v>
      </c>
      <c r="IJ41" s="17" t="n">
        <f aca="false">Daily_Composite!AQ247</f>
        <v>0.335</v>
      </c>
      <c r="IK41" s="17" t="n">
        <f aca="false">Daily_Composite!AQ248</f>
        <v>-0.075</v>
      </c>
      <c r="IL41" s="17" t="n">
        <f aca="false">Daily_Composite!AQ249</f>
        <v>-0.078</v>
      </c>
      <c r="IM41" s="17" t="n">
        <f aca="false">Daily_Composite!AQ250</f>
        <v>0.063</v>
      </c>
      <c r="IN41" s="17" t="n">
        <f aca="false">Daily_Composite!AQ251</f>
        <v>0.366</v>
      </c>
      <c r="IO41" s="17" t="n">
        <f aca="false">Daily_Composite!AQ252</f>
        <v>-0.546</v>
      </c>
      <c r="IP41" s="17" t="n">
        <f aca="false">Daily_Composite!AQ253</f>
        <v>-0.16</v>
      </c>
      <c r="IQ41" s="17" t="n">
        <f aca="false">Daily_Composite!AQ254</f>
        <v>0.104</v>
      </c>
      <c r="IR41" s="17" t="n">
        <f aca="false">Daily_Composite!AQ255</f>
        <v>0.128</v>
      </c>
      <c r="IS41" s="17" t="n">
        <f aca="false">Daily_Composite!AQ256</f>
        <v>-0.15</v>
      </c>
      <c r="IT41" s="17" t="n">
        <f aca="false">Daily_Composite!AQ257</f>
        <v>-0.174</v>
      </c>
      <c r="IU41" s="17" t="n">
        <f aca="false">Daily_Composite!AQ258</f>
        <v>-0.015</v>
      </c>
      <c r="IV41" s="17" t="n">
        <f aca="false">Daily_Composite!AQ259</f>
        <v>0.303</v>
      </c>
      <c r="IW41" s="17" t="n">
        <f aca="false">Daily_Composite!AQ260</f>
        <v>-0.535</v>
      </c>
      <c r="IX41" s="17" t="n">
        <f aca="false">Daily_Composite!AQ261</f>
        <v>-0.127</v>
      </c>
      <c r="IY41" s="17" t="n">
        <f aca="false">Daily_Composite!AQ262</f>
        <v>-0.456</v>
      </c>
      <c r="IZ41" s="17" t="n">
        <f aca="false">Daily_Composite!AQ263</f>
        <v>-0.326</v>
      </c>
      <c r="JA41" s="17" t="n">
        <f aca="false">Daily_Composite!AQ264</f>
        <v>-0.346</v>
      </c>
      <c r="JB41" s="17" t="n">
        <f aca="false">Daily_Composite!AQ265</f>
        <v>-0.045</v>
      </c>
      <c r="JC41" s="17" t="n">
        <f aca="false">Daily_Composite!AQ266</f>
        <v>-0.223</v>
      </c>
      <c r="JD41" s="17" t="n">
        <f aca="false">Daily_Composite!AQ267</f>
        <v>-0.101</v>
      </c>
      <c r="JE41" s="17" t="n">
        <f aca="false">Daily_Composite!AQ268</f>
        <v>0.257</v>
      </c>
      <c r="JF41" s="17" t="n">
        <f aca="false">Daily_Composite!AQ269</f>
        <v>-0.431</v>
      </c>
      <c r="JG41" s="17" t="n">
        <f aca="false">Daily_Composite!AQ270</f>
        <v>0.025</v>
      </c>
      <c r="JH41" s="17" t="n">
        <f aca="false">Daily_Composite!AQ271</f>
        <v>-0.115</v>
      </c>
      <c r="JI41" s="17" t="n">
        <f aca="false">Daily_Composite!AQ272</f>
        <v>-0.406</v>
      </c>
      <c r="JJ41" s="17" t="n">
        <f aca="false">Daily_Composite!AQ273</f>
        <v>-0.178</v>
      </c>
      <c r="JK41" s="17" t="n">
        <f aca="false">Daily_Composite!AQ274</f>
        <v>0.046</v>
      </c>
      <c r="JL41" s="17" t="n">
        <f aca="false">Daily_Composite!AQ275</f>
        <v>-0.176</v>
      </c>
      <c r="JM41" s="17" t="n">
        <f aca="false">Daily_Composite!AQ276</f>
        <v>-0.169</v>
      </c>
      <c r="JN41" s="17" t="n">
        <f aca="false">Daily_Composite!AQ277</f>
        <v>-0.025</v>
      </c>
      <c r="JO41" s="17" t="n">
        <f aca="false">Daily_Composite!AQ278</f>
        <v>-0.425</v>
      </c>
      <c r="JP41" s="17" t="n">
        <f aca="false">Daily_Composite!AQ279</f>
        <v>-0.566</v>
      </c>
      <c r="JQ41" s="17" t="n">
        <f aca="false">Daily_Composite!AQ280</f>
        <v>-0.337</v>
      </c>
      <c r="JR41" s="17" t="n">
        <f aca="false">Daily_Composite!AQ281</f>
        <v>-0.483</v>
      </c>
      <c r="JS41" s="17" t="n">
        <f aca="false">Daily_Composite!AQ282</f>
        <v>-0.147</v>
      </c>
      <c r="JT41" s="17" t="n">
        <f aca="false">Daily_Composite!AQ283</f>
        <v>-0.168</v>
      </c>
      <c r="JU41" s="17" t="n">
        <f aca="false">Daily_Composite!AQ284</f>
        <v>-0.197</v>
      </c>
      <c r="JV41" s="17" t="n">
        <f aca="false">Daily_Composite!AQ285</f>
        <v>-0.172</v>
      </c>
      <c r="JW41" s="17" t="n">
        <f aca="false">Daily_Composite!AQ286</f>
        <v>-0.017</v>
      </c>
      <c r="JX41" s="17" t="n">
        <f aca="false">Daily_Composite!AQ287</f>
        <v>-0.488</v>
      </c>
      <c r="JY41" s="17" t="n">
        <f aca="false">Daily_Composite!AQ288</f>
        <v>-0.13</v>
      </c>
      <c r="JZ41" s="17" t="n">
        <f aca="false">Daily_Composite!AQ289</f>
        <v>-0.042</v>
      </c>
      <c r="KA41" s="17" t="n">
        <f aca="false">Daily_Composite!AQ290</f>
        <v>-0.188</v>
      </c>
      <c r="KB41" s="17" t="n">
        <f aca="false">Daily_Composite!AQ291</f>
        <v>-0.188</v>
      </c>
      <c r="KC41" s="17" t="n">
        <f aca="false">Daily_Composite!AQ292</f>
        <v>-0.31</v>
      </c>
      <c r="KD41" s="17" t="n">
        <f aca="false">Daily_Composite!AQ293</f>
        <v>-0.358</v>
      </c>
      <c r="KE41" s="17" t="n">
        <f aca="false">Daily_Composite!AQ294</f>
        <v>-0.259</v>
      </c>
      <c r="KF41" s="17" t="n">
        <f aca="false">Daily_Composite!AQ295</f>
        <v>-0.272</v>
      </c>
      <c r="KG41" s="17" t="n">
        <f aca="false">Daily_Composite!AQ296</f>
        <v>-0.401</v>
      </c>
      <c r="KH41" s="17" t="n">
        <f aca="false">Daily_Composite!AQ297</f>
        <v>-0.665</v>
      </c>
      <c r="KI41" s="17" t="n">
        <f aca="false">Daily_Composite!AQ298</f>
        <v>-0.21</v>
      </c>
      <c r="KJ41" s="17" t="n">
        <f aca="false">Daily_Composite!AQ299</f>
        <v>-0.242</v>
      </c>
      <c r="KK41" s="17" t="n">
        <f aca="false">Daily_Composite!AQ300</f>
        <v>-0.217</v>
      </c>
      <c r="KL41" s="17" t="n">
        <f aca="false">Daily_Composite!AQ301</f>
        <v>-0.22</v>
      </c>
      <c r="KM41" s="17" t="n">
        <f aca="false">Daily_Composite!AQ302</f>
        <v>-0.184</v>
      </c>
      <c r="KN41" s="17" t="n">
        <f aca="false">Daily_Composite!AQ303</f>
        <v>-0.181</v>
      </c>
      <c r="KO41" s="17" t="n">
        <f aca="false">Daily_Composite!AQ304</f>
        <v>-0.064</v>
      </c>
      <c r="KP41" s="17" t="n">
        <f aca="false">Daily_Composite!AQ305</f>
        <v>-0.232</v>
      </c>
      <c r="KQ41" s="17" t="n">
        <f aca="false">Daily_Composite!AQ306</f>
        <v>0.148</v>
      </c>
      <c r="KR41" s="17" t="n">
        <f aca="false">Daily_Composite!AQ307</f>
        <v>-0.562</v>
      </c>
      <c r="KS41" s="17" t="n">
        <f aca="false">Daily_Composite!AQ308</f>
        <v>-0.505</v>
      </c>
      <c r="KT41" s="17" t="n">
        <f aca="false">Daily_Composite!AQ309</f>
        <v>-0.17</v>
      </c>
      <c r="KU41" s="17" t="n">
        <f aca="false">Daily_Composite!AQ310</f>
        <v>-0.501</v>
      </c>
      <c r="KV41" s="17" t="n">
        <f aca="false">Daily_Composite!AQ311</f>
        <v>-0.174</v>
      </c>
      <c r="KW41" s="17" t="n">
        <f aca="false">Daily_Composite!AQ312</f>
        <v>-0.172</v>
      </c>
      <c r="KX41" s="17" t="n">
        <f aca="false">Daily_Composite!AQ313</f>
        <v>-0.125</v>
      </c>
      <c r="KY41" s="17" t="n">
        <f aca="false">Daily_Composite!AQ314</f>
        <v>-0.52</v>
      </c>
      <c r="KZ41" s="17" t="n">
        <f aca="false">Daily_Composite!AQ315</f>
        <v>-0.243</v>
      </c>
      <c r="LA41" s="17" t="n">
        <f aca="false">Daily_Composite!AQ316</f>
        <v>-0.165</v>
      </c>
      <c r="LB41" s="17" t="n">
        <f aca="false">Daily_Composite!AQ317</f>
        <v>-0.291</v>
      </c>
      <c r="LC41" s="17" t="n">
        <f aca="false">Daily_Composite!AQ318</f>
        <v>-0.285</v>
      </c>
      <c r="LD41" s="17" t="n">
        <f aca="false">Daily_Composite!AQ319</f>
        <v>-0.189</v>
      </c>
      <c r="LE41" s="17" t="n">
        <f aca="false">Daily_Composite!AQ320</f>
        <v>-0.179</v>
      </c>
      <c r="LF41" s="17" t="n">
        <f aca="false">Daily_Composite!AQ321</f>
        <v>-0.322</v>
      </c>
      <c r="LG41" s="17" t="n">
        <f aca="false">Daily_Composite!AQ322</f>
        <v>-0.227</v>
      </c>
      <c r="LH41" s="17" t="n">
        <f aca="false">Daily_Composite!AQ323</f>
        <v>0.286</v>
      </c>
      <c r="LI41" s="17" t="n">
        <f aca="false">Daily_Composite!AQ324</f>
        <v>0.37</v>
      </c>
      <c r="LJ41" s="17" t="n">
        <f aca="false">Daily_Composite!AQ325</f>
        <v>-0.122</v>
      </c>
      <c r="LK41" s="17" t="n">
        <f aca="false">Daily_Composite!AQ326</f>
        <v>-0.393</v>
      </c>
      <c r="LL41" s="17" t="n">
        <f aca="false">Daily_Composite!AQ327</f>
        <v>-0.063</v>
      </c>
      <c r="LM41" s="17" t="n">
        <f aca="false">Daily_Composite!AQ328</f>
        <v>0.375</v>
      </c>
      <c r="LN41" s="17" t="n">
        <f aca="false">Daily_Composite!AQ329</f>
        <v>0.039</v>
      </c>
      <c r="LO41" s="17" t="n">
        <f aca="false">Daily_Composite!AQ330</f>
        <v>-0.26</v>
      </c>
      <c r="LP41" s="17" t="n">
        <f aca="false">Daily_Composite!AQ331</f>
        <v>-0.347</v>
      </c>
      <c r="LQ41" s="17" t="n">
        <f aca="false">Daily_Composite!AQ332</f>
        <v>-0.128</v>
      </c>
      <c r="LR41" s="17" t="n">
        <f aca="false">Daily_Composite!AQ333</f>
        <v>-0.102</v>
      </c>
      <c r="LS41" s="17" t="n">
        <f aca="false">Daily_Composite!AQ334</f>
        <v>-0.599</v>
      </c>
      <c r="LT41" s="17" t="n">
        <f aca="false">Daily_Composite!AQ335</f>
        <v>-0.512</v>
      </c>
      <c r="LU41" s="17" t="n">
        <f aca="false">Daily_Composite!AQ336</f>
        <v>-0.595</v>
      </c>
      <c r="LV41" s="17" t="n">
        <f aca="false">Daily_Composite!AQ337</f>
        <v>-0.38</v>
      </c>
      <c r="LW41" s="17" t="n">
        <f aca="false">Daily_Composite!AQ338</f>
        <v>-0.306</v>
      </c>
      <c r="LX41" s="17" t="n">
        <f aca="false">Daily_Composite!AQ339</f>
        <v>-0.337</v>
      </c>
      <c r="LY41" s="17" t="n">
        <f aca="false">Daily_Composite!AQ340</f>
        <v>-0.334</v>
      </c>
      <c r="LZ41" s="17" t="n">
        <f aca="false">Daily_Composite!AQ341</f>
        <v>-0.42</v>
      </c>
      <c r="MA41" s="17" t="n">
        <f aca="false">Daily_Composite!AQ342</f>
        <v>-0.527</v>
      </c>
      <c r="MB41" s="17" t="n">
        <f aca="false">Daily_Composite!AQ343</f>
        <v>-0.277</v>
      </c>
      <c r="MC41" s="17" t="n">
        <f aca="false">Daily_Composite!AQ344</f>
        <v>-0.536</v>
      </c>
      <c r="MD41" s="17" t="n">
        <f aca="false">Daily_Composite!AQ345</f>
        <v>-0.314</v>
      </c>
      <c r="ME41" s="17" t="n">
        <f aca="false">Daily_Composite!AQ346</f>
        <v>-0.341</v>
      </c>
      <c r="MF41" s="17" t="n">
        <f aca="false">Daily_Composite!AQ347</f>
        <v>-0.148</v>
      </c>
      <c r="MG41" s="17" t="n">
        <f aca="false">Daily_Composite!AQ348</f>
        <v>-0.14</v>
      </c>
      <c r="MH41" s="17" t="n">
        <f aca="false">Daily_Composite!AQ349</f>
        <v>0.023</v>
      </c>
      <c r="MI41" s="17" t="n">
        <f aca="false">Daily_Composite!AQ350</f>
        <v>0.492</v>
      </c>
      <c r="MJ41" s="17" t="n">
        <f aca="false">Daily_Composite!AQ351</f>
        <v>-0.009</v>
      </c>
      <c r="MK41" s="17" t="n">
        <f aca="false">Daily_Composite!AQ352</f>
        <v>0.261</v>
      </c>
      <c r="ML41" s="17" t="n">
        <f aca="false">Daily_Composite!AQ353</f>
        <v>0.27</v>
      </c>
      <c r="MM41" s="17" t="n">
        <f aca="false">Daily_Composite!AQ354</f>
        <v>0.324</v>
      </c>
      <c r="MN41" s="17" t="n">
        <f aca="false">Daily_Composite!AQ355</f>
        <v>-0.05</v>
      </c>
      <c r="MO41" s="17" t="n">
        <f aca="false">Daily_Composite!AQ356</f>
        <v>0.426</v>
      </c>
      <c r="MP41" s="17" t="n">
        <f aca="false">Daily_Composite!AQ357</f>
        <v>0.058</v>
      </c>
      <c r="MQ41" s="17" t="n">
        <f aca="false">Daily_Composite!AQ358</f>
        <v>0.009</v>
      </c>
      <c r="MR41" s="17" t="n">
        <f aca="false">Daily_Composite!AQ359</f>
        <v>-0.238</v>
      </c>
      <c r="MS41" s="17" t="n">
        <f aca="false">Daily_Composite!AQ360</f>
        <v>0.068</v>
      </c>
      <c r="MT41" s="17" t="n">
        <f aca="false">Daily_Composite!AQ361</f>
        <v>-0.488</v>
      </c>
      <c r="MU41" s="17" t="n">
        <f aca="false">Daily_Composite!AQ362</f>
        <v>-0.396</v>
      </c>
      <c r="MV41" s="17" t="n">
        <f aca="false">Daily_Composite!AQ363</f>
        <v>-0.265</v>
      </c>
      <c r="MW41" s="17" t="n">
        <f aca="false">Daily_Composite!AQ364</f>
        <v>-0.327</v>
      </c>
      <c r="MX41" s="17" t="n">
        <f aca="false">Daily_Composite!AQ365</f>
        <v>-0.354</v>
      </c>
      <c r="MY41" s="17" t="n">
        <f aca="false">Daily_Composite!AQ366</f>
        <v>-0.339</v>
      </c>
      <c r="MZ41" s="17" t="n">
        <f aca="false">Daily_Composite!AQ367</f>
        <v>-0.344</v>
      </c>
      <c r="NA41" s="17" t="n">
        <f aca="false">Daily_Composite!AQ368</f>
        <v>-0.14</v>
      </c>
      <c r="NB41" s="17" t="n">
        <f aca="false">Daily_Composite!AQ369</f>
        <v>-0.3</v>
      </c>
    </row>
    <row r="42" customFormat="false" ht="15" hidden="false" customHeight="false" outlineLevel="0" collapsed="false">
      <c r="A42" s="6" t="s">
        <v>55</v>
      </c>
      <c r="B42" s="17" t="n">
        <f aca="false">Daily_Composite!AR5</f>
        <v>0.077</v>
      </c>
      <c r="C42" s="17" t="n">
        <f aca="false">Daily_Composite!AR6</f>
        <v>-0.003</v>
      </c>
      <c r="D42" s="17" t="n">
        <f aca="false">Daily_Composite!AR7</f>
        <v>-0.046</v>
      </c>
      <c r="E42" s="17" t="n">
        <f aca="false">Daily_Composite!AR8</f>
        <v>-0.024</v>
      </c>
      <c r="F42" s="17" t="n">
        <f aca="false">Daily_Composite!AR9</f>
        <v>-0.056</v>
      </c>
      <c r="G42" s="17" t="n">
        <f aca="false">Daily_Composite!AR10</f>
        <v>-0.008</v>
      </c>
      <c r="H42" s="17" t="n">
        <f aca="false">Daily_Composite!AR11</f>
        <v>0.033</v>
      </c>
      <c r="I42" s="17" t="n">
        <f aca="false">Daily_Composite!AR12</f>
        <v>-0.056</v>
      </c>
      <c r="J42" s="17" t="n">
        <f aca="false">Daily_Composite!AR13</f>
        <v>-0.056</v>
      </c>
      <c r="K42" s="17" t="n">
        <f aca="false">Daily_Composite!AR14</f>
        <v>-0.088</v>
      </c>
      <c r="L42" s="17" t="n">
        <f aca="false">Daily_Composite!AR15</f>
        <v>-0.468</v>
      </c>
      <c r="M42" s="17" t="n">
        <f aca="false">Daily_Composite!AR16</f>
        <v>-0.096</v>
      </c>
      <c r="N42" s="17" t="n">
        <f aca="false">Daily_Composite!AR17</f>
        <v>-0.042</v>
      </c>
      <c r="O42" s="17" t="n">
        <f aca="false">Daily_Composite!AR18</f>
        <v>-0.028</v>
      </c>
      <c r="P42" s="17" t="n">
        <f aca="false">Daily_Composite!AR19</f>
        <v>-0.056</v>
      </c>
      <c r="Q42" s="17" t="n">
        <f aca="false">Daily_Composite!AR20</f>
        <v>-0.051</v>
      </c>
      <c r="R42" s="17" t="n">
        <f aca="false">Daily_Composite!AR21</f>
        <v>0.004</v>
      </c>
      <c r="S42" s="17" t="n">
        <f aca="false">Daily_Composite!AR22</f>
        <v>-0.049</v>
      </c>
      <c r="T42" s="17" t="n">
        <f aca="false">Daily_Composite!AR23</f>
        <v>-0.024</v>
      </c>
      <c r="U42" s="17" t="n">
        <f aca="false">Daily_Composite!AR24</f>
        <v>-0.014</v>
      </c>
      <c r="V42" s="17" t="n">
        <f aca="false">Daily_Composite!AR25</f>
        <v>-0.014</v>
      </c>
      <c r="W42" s="17" t="n">
        <f aca="false">Daily_Composite!AR26</f>
        <v>-0.015</v>
      </c>
      <c r="X42" s="17" t="n">
        <f aca="false">Daily_Composite!AR27</f>
        <v>-0.016</v>
      </c>
      <c r="Y42" s="17" t="n">
        <f aca="false">Daily_Composite!AR28</f>
        <v>0.003</v>
      </c>
      <c r="Z42" s="17" t="n">
        <f aca="false">Daily_Composite!AR29</f>
        <v>-0.023</v>
      </c>
      <c r="AA42" s="17" t="n">
        <f aca="false">Daily_Composite!AR30</f>
        <v>-0.056</v>
      </c>
      <c r="AB42" s="17" t="n">
        <f aca="false">Daily_Composite!AR31</f>
        <v>0.009</v>
      </c>
      <c r="AC42" s="17" t="n">
        <f aca="false">Daily_Composite!AR32</f>
        <v>0.002</v>
      </c>
      <c r="AD42" s="17" t="n">
        <f aca="false">Daily_Composite!AR33</f>
        <v>-0.012</v>
      </c>
      <c r="AE42" s="17" t="n">
        <f aca="false">Daily_Composite!AR34</f>
        <v>-0.001</v>
      </c>
      <c r="AF42" s="17" t="n">
        <f aca="false">Daily_Composite!AR35</f>
        <v>-0.049</v>
      </c>
      <c r="AG42" s="17" t="n">
        <f aca="false">Daily_Composite!AR36</f>
        <v>-0.025</v>
      </c>
      <c r="AH42" s="17" t="n">
        <f aca="false">Daily_Composite!AR37</f>
        <v>-0.123</v>
      </c>
      <c r="AI42" s="17" t="n">
        <f aca="false">Daily_Composite!AR38</f>
        <v>-0.136</v>
      </c>
      <c r="AJ42" s="17" t="n">
        <f aca="false">Daily_Composite!AR39</f>
        <v>0.012</v>
      </c>
      <c r="AK42" s="17" t="n">
        <f aca="false">Daily_Composite!AR40</f>
        <v>0.003</v>
      </c>
      <c r="AL42" s="17" t="n">
        <f aca="false">Daily_Composite!AR41</f>
        <v>-0.018</v>
      </c>
      <c r="AM42" s="17" t="n">
        <f aca="false">Daily_Composite!AR42</f>
        <v>-0.451</v>
      </c>
      <c r="AN42" s="17" t="n">
        <f aca="false">Daily_Composite!AR43</f>
        <v>-0.069</v>
      </c>
      <c r="AO42" s="17" t="n">
        <f aca="false">Daily_Composite!AR44</f>
        <v>-0.055</v>
      </c>
      <c r="AP42" s="17" t="n">
        <f aca="false">Daily_Composite!AR45</f>
        <v>-0.036</v>
      </c>
      <c r="AQ42" s="17" t="n">
        <f aca="false">Daily_Composite!AR46</f>
        <v>-0.009</v>
      </c>
      <c r="AR42" s="17" t="n">
        <f aca="false">Daily_Composite!AR47</f>
        <v>-0.032</v>
      </c>
      <c r="AS42" s="17" t="n">
        <f aca="false">Daily_Composite!AR48</f>
        <v>-0.015</v>
      </c>
      <c r="AT42" s="17" t="n">
        <f aca="false">Daily_Composite!AR49</f>
        <v>-0.041</v>
      </c>
      <c r="AU42" s="17" t="n">
        <f aca="false">Daily_Composite!AR50</f>
        <v>-0.046</v>
      </c>
      <c r="AV42" s="17" t="n">
        <f aca="false">Daily_Composite!AR51</f>
        <v>-0.061</v>
      </c>
      <c r="AW42" s="17" t="n">
        <f aca="false">Daily_Composite!AR52</f>
        <v>-0.358</v>
      </c>
      <c r="AX42" s="17" t="n">
        <f aca="false">Daily_Composite!AR53</f>
        <v>-0.141</v>
      </c>
      <c r="AY42" s="17" t="n">
        <f aca="false">Daily_Composite!AR54</f>
        <v>-0.001</v>
      </c>
      <c r="AZ42" s="17" t="n">
        <f aca="false">Daily_Composite!AR55</f>
        <v>0.013</v>
      </c>
      <c r="BA42" s="17" t="n">
        <f aca="false">Daily_Composite!AR56</f>
        <v>-0.07</v>
      </c>
      <c r="BB42" s="17" t="n">
        <f aca="false">Daily_Composite!AR57</f>
        <v>-0.071</v>
      </c>
      <c r="BC42" s="17" t="n">
        <f aca="false">Daily_Composite!AR58</f>
        <v>-0.019</v>
      </c>
      <c r="BD42" s="17" t="n">
        <f aca="false">Daily_Composite!AR59</f>
        <v>0.011</v>
      </c>
      <c r="BE42" s="17" t="n">
        <f aca="false">Daily_Composite!AR60</f>
        <v>-0.018</v>
      </c>
      <c r="BF42" s="17" t="n">
        <f aca="false">Daily_Composite!AR61</f>
        <v>-0.439</v>
      </c>
      <c r="BG42" s="17" t="n">
        <f aca="false">Daily_Composite!AR62</f>
        <v>-0.055</v>
      </c>
      <c r="BH42" s="17" t="n">
        <f aca="false">Daily_Composite!AR63</f>
        <v>-0.003</v>
      </c>
      <c r="BI42" s="17" t="n">
        <f aca="false">Daily_Composite!AR64</f>
        <v>-0.017</v>
      </c>
      <c r="BJ42" s="17" t="n">
        <f aca="false">Daily_Composite!AR65</f>
        <v>-0.301</v>
      </c>
      <c r="BK42" s="17" t="n">
        <f aca="false">Daily_Composite!AR66</f>
        <v>-0.292</v>
      </c>
      <c r="BL42" s="17" t="n">
        <f aca="false">Daily_Composite!AR67</f>
        <v>0.003</v>
      </c>
      <c r="BM42" s="17" t="n">
        <f aca="false">Daily_Composite!AR68</f>
        <v>-0.005</v>
      </c>
      <c r="BN42" s="17" t="n">
        <f aca="false">Daily_Composite!AR69</f>
        <v>-0.064</v>
      </c>
      <c r="BO42" s="17" t="n">
        <f aca="false">Daily_Composite!AR70</f>
        <v>-0.473</v>
      </c>
      <c r="BP42" s="17" t="n">
        <f aca="false">Daily_Composite!AR71</f>
        <v>-0.075</v>
      </c>
      <c r="BQ42" s="17" t="n">
        <f aca="false">Daily_Composite!AR72</f>
        <v>-0.059</v>
      </c>
      <c r="BR42" s="17" t="n">
        <f aca="false">Daily_Composite!AR73</f>
        <v>-0.059</v>
      </c>
      <c r="BS42" s="17" t="n">
        <f aca="false">Daily_Composite!AR74</f>
        <v>-0.084</v>
      </c>
      <c r="BT42" s="17" t="n">
        <f aca="false">Daily_Composite!AR75</f>
        <v>-0.062</v>
      </c>
      <c r="BU42" s="17" t="n">
        <f aca="false">Daily_Composite!AR76</f>
        <v>-0.057</v>
      </c>
      <c r="BV42" s="17" t="n">
        <f aca="false">Daily_Composite!AR77</f>
        <v>-0.042</v>
      </c>
      <c r="BW42" s="17" t="n">
        <f aca="false">Daily_Composite!AR78</f>
        <v>-0.043</v>
      </c>
      <c r="BX42" s="17" t="n">
        <f aca="false">Daily_Composite!AR79</f>
        <v>-0.343</v>
      </c>
      <c r="BY42" s="17" t="n">
        <f aca="false">Daily_Composite!AR80</f>
        <v>-0.397</v>
      </c>
      <c r="BZ42" s="17" t="n">
        <f aca="false">Daily_Composite!AR81</f>
        <v>0.015</v>
      </c>
      <c r="CA42" s="17" t="n">
        <f aca="false">Daily_Composite!AR82</f>
        <v>-0.005</v>
      </c>
      <c r="CB42" s="17" t="n">
        <f aca="false">Daily_Composite!AR83</f>
        <v>-0.073</v>
      </c>
      <c r="CC42" s="17" t="n">
        <f aca="false">Daily_Composite!AR84</f>
        <v>-0.181</v>
      </c>
      <c r="CD42" s="17" t="n">
        <f aca="false">Daily_Composite!AR85</f>
        <v>-0.138</v>
      </c>
      <c r="CE42" s="17" t="n">
        <f aca="false">Daily_Composite!AR86</f>
        <v>-0.055</v>
      </c>
      <c r="CF42" s="17" t="n">
        <f aca="false">Daily_Composite!AR87</f>
        <v>-0.045</v>
      </c>
      <c r="CG42" s="17" t="n">
        <f aca="false">Daily_Composite!AR88</f>
        <v>-0.1</v>
      </c>
      <c r="CH42" s="17" t="n">
        <f aca="false">Daily_Composite!AR89</f>
        <v>-0.502</v>
      </c>
      <c r="CI42" s="17" t="n">
        <f aca="false">Daily_Composite!AR90</f>
        <v>-0.087</v>
      </c>
      <c r="CJ42" s="17" t="n">
        <f aca="false">Daily_Composite!AR91</f>
        <v>-0.084</v>
      </c>
      <c r="CK42" s="17" t="n">
        <f aca="false">Daily_Composite!AR92</f>
        <v>-0.068</v>
      </c>
      <c r="CL42" s="17" t="n">
        <f aca="false">Daily_Composite!AR93</f>
        <v>-0.138</v>
      </c>
      <c r="CM42" s="17" t="n">
        <f aca="false">Daily_Composite!AR94</f>
        <v>-0.045</v>
      </c>
      <c r="CN42" s="17" t="n">
        <f aca="false">Daily_Composite!AR95</f>
        <v>-0.082</v>
      </c>
      <c r="CO42" s="17" t="n">
        <f aca="false">Daily_Composite!AR96</f>
        <v>-0.111</v>
      </c>
      <c r="CP42" s="17" t="n">
        <f aca="false">Daily_Composite!AR97</f>
        <v>-0.398</v>
      </c>
      <c r="CQ42" s="17" t="n">
        <f aca="false">Daily_Composite!AR98</f>
        <v>-0.104</v>
      </c>
      <c r="CR42" s="17" t="n">
        <f aca="false">Daily_Composite!AR99</f>
        <v>-0.079</v>
      </c>
      <c r="CS42" s="17" t="n">
        <f aca="false">Daily_Composite!AR100</f>
        <v>-0.079</v>
      </c>
      <c r="CT42" s="17" t="n">
        <f aca="false">Daily_Composite!AR101</f>
        <v>-0.079</v>
      </c>
      <c r="CU42" s="17" t="n">
        <f aca="false">Daily_Composite!AR102</f>
        <v>-0.079</v>
      </c>
      <c r="CV42" s="17" t="n">
        <f aca="false">Daily_Composite!AR103</f>
        <v>-0.079</v>
      </c>
      <c r="CW42" s="17" t="n">
        <f aca="false">Daily_Composite!AR104</f>
        <v>-0.088</v>
      </c>
      <c r="CX42" s="17" t="n">
        <f aca="false">Daily_Composite!AR105</f>
        <v>-0.109</v>
      </c>
      <c r="CY42" s="17" t="n">
        <f aca="false">Daily_Composite!AR106</f>
        <v>-0.053</v>
      </c>
      <c r="CZ42" s="17" t="n">
        <f aca="false">Daily_Composite!AR107</f>
        <v>0.234</v>
      </c>
      <c r="DA42" s="17" t="n">
        <f aca="false">Daily_Composite!AR108</f>
        <v>-0.081</v>
      </c>
      <c r="DB42" s="17" t="n">
        <f aca="false">Daily_Composite!AR109</f>
        <v>-0.081</v>
      </c>
      <c r="DC42" s="17" t="n">
        <f aca="false">Daily_Composite!AR110</f>
        <v>-0.082</v>
      </c>
      <c r="DD42" s="17" t="n">
        <f aca="false">Daily_Composite!AR111</f>
        <v>-0.088</v>
      </c>
      <c r="DE42" s="17" t="n">
        <f aca="false">Daily_Composite!AR112</f>
        <v>-0.096</v>
      </c>
      <c r="DF42" s="17" t="n">
        <f aca="false">Daily_Composite!AR113</f>
        <v>-0.071</v>
      </c>
      <c r="DG42" s="17" t="n">
        <f aca="false">Daily_Composite!AR114</f>
        <v>-0.088</v>
      </c>
      <c r="DH42" s="17" t="n">
        <f aca="false">Daily_Composite!AR115</f>
        <v>-0.129</v>
      </c>
      <c r="DI42" s="17" t="n">
        <f aca="false">Daily_Composite!AR116</f>
        <v>-0.497</v>
      </c>
      <c r="DJ42" s="17" t="n">
        <f aca="false">Daily_Composite!AR117</f>
        <v>-0.118</v>
      </c>
      <c r="DK42" s="17" t="n">
        <f aca="false">Daily_Composite!AR118</f>
        <v>-0.078</v>
      </c>
      <c r="DL42" s="17" t="n">
        <f aca="false">Daily_Composite!AR119</f>
        <v>-0.083</v>
      </c>
      <c r="DM42" s="17" t="n">
        <f aca="false">Daily_Composite!AR120</f>
        <v>-0.155</v>
      </c>
      <c r="DN42" s="17" t="n">
        <f aca="false">Daily_Composite!AR121</f>
        <v>-0.096</v>
      </c>
      <c r="DO42" s="17" t="n">
        <f aca="false">Daily_Composite!AR122</f>
        <v>-0.043</v>
      </c>
      <c r="DP42" s="17" t="n">
        <f aca="false">Daily_Composite!AR123</f>
        <v>-0.052</v>
      </c>
      <c r="DQ42" s="17" t="n">
        <f aca="false">Daily_Composite!AR124</f>
        <v>-0.493</v>
      </c>
      <c r="DR42" s="17" t="n">
        <f aca="false">Daily_Composite!AR125</f>
        <v>-0.101</v>
      </c>
      <c r="DS42" s="17" t="n">
        <f aca="false">Daily_Composite!AR126</f>
        <v>-0.052</v>
      </c>
      <c r="DT42" s="17" t="n">
        <f aca="false">Daily_Composite!AR127</f>
        <v>-0.061</v>
      </c>
      <c r="DU42" s="17" t="n">
        <f aca="false">Daily_Composite!AR128</f>
        <v>-0.056</v>
      </c>
      <c r="DV42" s="17" t="n">
        <f aca="false">Daily_Composite!AR129</f>
        <v>-0.075</v>
      </c>
      <c r="DW42" s="17" t="n">
        <f aca="false">Daily_Composite!AR130</f>
        <v>-0.064</v>
      </c>
      <c r="DX42" s="17" t="n">
        <f aca="false">Daily_Composite!AR131</f>
        <v>-0.104</v>
      </c>
      <c r="DY42" s="17" t="n">
        <f aca="false">Daily_Composite!AR132</f>
        <v>-0.092</v>
      </c>
      <c r="DZ42" s="17" t="n">
        <f aca="false">Daily_Composite!AR133</f>
        <v>-0.075</v>
      </c>
      <c r="EA42" s="17" t="n">
        <f aca="false">Daily_Composite!AR134</f>
        <v>-0.37</v>
      </c>
      <c r="EB42" s="17" t="n">
        <f aca="false">Daily_Composite!AR135</f>
        <v>-0.077</v>
      </c>
      <c r="EC42" s="17" t="n">
        <f aca="false">Daily_Composite!AR136</f>
        <v>-0.046</v>
      </c>
      <c r="ED42" s="17" t="n">
        <f aca="false">Daily_Composite!AR137</f>
        <v>-0.038</v>
      </c>
      <c r="EE42" s="17" t="n">
        <f aca="false">Daily_Composite!AR138</f>
        <v>-0.087</v>
      </c>
      <c r="EF42" s="17" t="n">
        <f aca="false">Daily_Composite!AR139</f>
        <v>-0.085</v>
      </c>
      <c r="EG42" s="17" t="n">
        <f aca="false">Daily_Composite!AR140</f>
        <v>-0.057</v>
      </c>
      <c r="EH42" s="17" t="n">
        <f aca="false">Daily_Composite!AR141</f>
        <v>-0.079</v>
      </c>
      <c r="EI42" s="17" t="n">
        <f aca="false">Daily_Composite!AR142</f>
        <v>-0.079</v>
      </c>
      <c r="EJ42" s="17" t="n">
        <f aca="false">Daily_Composite!AR143</f>
        <v>-0.495</v>
      </c>
      <c r="EK42" s="17" t="n">
        <f aca="false">Daily_Composite!AR144</f>
        <v>-0.172</v>
      </c>
      <c r="EL42" s="17" t="n">
        <f aca="false">Daily_Composite!AR145</f>
        <v>-0.079</v>
      </c>
      <c r="EM42" s="17" t="n">
        <f aca="false">Daily_Composite!AR146</f>
        <v>-0.065</v>
      </c>
      <c r="EN42" s="17" t="n">
        <f aca="false">Daily_Composite!AR147</f>
        <v>-0.049</v>
      </c>
      <c r="EO42" s="17" t="n">
        <f aca="false">Daily_Composite!AR148</f>
        <v>-0.09</v>
      </c>
      <c r="EP42" s="17" t="n">
        <f aca="false">Daily_Composite!AR149</f>
        <v>-0.084</v>
      </c>
      <c r="EQ42" s="17" t="n">
        <f aca="false">Daily_Composite!AR150</f>
        <v>-0.084</v>
      </c>
      <c r="ER42" s="17" t="n">
        <f aca="false">Daily_Composite!AR151</f>
        <v>-0.094</v>
      </c>
      <c r="ES42" s="17" t="n">
        <f aca="false">Daily_Composite!AR152</f>
        <v>-0.377</v>
      </c>
      <c r="ET42" s="17" t="n">
        <f aca="false">Daily_Composite!AR153</f>
        <v>-0.102</v>
      </c>
      <c r="EU42" s="17" t="n">
        <f aca="false">Daily_Composite!AR154</f>
        <v>-0.086</v>
      </c>
      <c r="EV42" s="17" t="n">
        <f aca="false">Daily_Composite!AR155</f>
        <v>-0.079</v>
      </c>
      <c r="EW42" s="17" t="n">
        <f aca="false">Daily_Composite!AR156</f>
        <v>-0.047</v>
      </c>
      <c r="EX42" s="17" t="n">
        <f aca="false">Daily_Composite!AR157</f>
        <v>-0.065</v>
      </c>
      <c r="EY42" s="17" t="n">
        <f aca="false">Daily_Composite!AR158</f>
        <v>-0.11</v>
      </c>
      <c r="EZ42" s="17" t="n">
        <f aca="false">Daily_Composite!AR159</f>
        <v>-0.116</v>
      </c>
      <c r="FA42" s="17" t="n">
        <f aca="false">Daily_Composite!AR160</f>
        <v>-0.111</v>
      </c>
      <c r="FB42" s="17" t="n">
        <f aca="false">Daily_Composite!AR161</f>
        <v>0.179</v>
      </c>
      <c r="FC42" s="17" t="n">
        <f aca="false">Daily_Composite!AR162</f>
        <v>-0.086</v>
      </c>
      <c r="FD42" s="17" t="n">
        <f aca="false">Daily_Composite!AR163</f>
        <v>-0.087</v>
      </c>
      <c r="FE42" s="17" t="n">
        <f aca="false">Daily_Composite!AR164</f>
        <v>-0.087</v>
      </c>
      <c r="FF42" s="17" t="n">
        <f aca="false">Daily_Composite!AR165</f>
        <v>-0.066</v>
      </c>
      <c r="FG42" s="17" t="n">
        <f aca="false">Daily_Composite!AR166</f>
        <v>-0.061</v>
      </c>
      <c r="FH42" s="17" t="n">
        <f aca="false">Daily_Composite!AR167</f>
        <v>-0.061</v>
      </c>
      <c r="FI42" s="17" t="n">
        <f aca="false">Daily_Composite!AR168</f>
        <v>-0.09</v>
      </c>
      <c r="FJ42" s="17" t="n">
        <f aca="false">Daily_Composite!AR169</f>
        <v>-0.092</v>
      </c>
      <c r="FK42" s="17" t="n">
        <f aca="false">Daily_Composite!AR170</f>
        <v>-0.139</v>
      </c>
      <c r="FL42" s="17" t="n">
        <f aca="false">Daily_Composite!AR171</f>
        <v>-0.513</v>
      </c>
      <c r="FM42" s="17" t="n">
        <f aca="false">Daily_Composite!AR172</f>
        <v>-0.118</v>
      </c>
      <c r="FN42" s="17" t="n">
        <f aca="false">Daily_Composite!AR173</f>
        <v>-0.093</v>
      </c>
      <c r="FO42" s="17" t="n">
        <f aca="false">Daily_Composite!AR174</f>
        <v>-0.089</v>
      </c>
      <c r="FP42" s="17" t="n">
        <f aca="false">Daily_Composite!AR175</f>
        <v>-0.094</v>
      </c>
      <c r="FQ42" s="17" t="n">
        <f aca="false">Daily_Composite!AR176</f>
        <v>-0.093</v>
      </c>
      <c r="FR42" s="17" t="n">
        <f aca="false">Daily_Composite!AR177</f>
        <v>-0.095</v>
      </c>
      <c r="FS42" s="17" t="n">
        <f aca="false">Daily_Composite!AR178</f>
        <v>-0.137</v>
      </c>
      <c r="FT42" s="17" t="n">
        <f aca="false">Daily_Composite!AR179</f>
        <v>-0.515</v>
      </c>
      <c r="FU42" s="17" t="n">
        <f aca="false">Daily_Composite!AR180</f>
        <v>-0.145</v>
      </c>
      <c r="FV42" s="17" t="n">
        <f aca="false">Daily_Composite!AR181</f>
        <v>-0.061</v>
      </c>
      <c r="FW42" s="17" t="n">
        <f aca="false">Daily_Composite!AR182</f>
        <v>-0.071</v>
      </c>
      <c r="FX42" s="17" t="n">
        <f aca="false">Daily_Composite!AR183</f>
        <v>-0.096</v>
      </c>
      <c r="FY42" s="17" t="n">
        <f aca="false">Daily_Composite!AR184</f>
        <v>-0.096</v>
      </c>
      <c r="FZ42" s="17" t="n">
        <f aca="false">Daily_Composite!AR185</f>
        <v>-0.086</v>
      </c>
      <c r="GA42" s="17" t="n">
        <f aca="false">Daily_Composite!AR186</f>
        <v>-0.103</v>
      </c>
      <c r="GB42" s="17" t="n">
        <f aca="false">Daily_Composite!AR187</f>
        <v>-0.121</v>
      </c>
      <c r="GC42" s="17" t="n">
        <f aca="false">Daily_Composite!AR188</f>
        <v>-0.102</v>
      </c>
      <c r="GD42" s="17" t="n">
        <f aca="false">Daily_Composite!AR189</f>
        <v>-0.104</v>
      </c>
      <c r="GE42" s="17" t="n">
        <f aca="false">Daily_Composite!AR190</f>
        <v>-0.099</v>
      </c>
      <c r="GF42" s="17" t="n">
        <f aca="false">Daily_Composite!AR191</f>
        <v>-0.098</v>
      </c>
      <c r="GG42" s="17" t="n">
        <f aca="false">Daily_Composite!AR192</f>
        <v>-0.098</v>
      </c>
      <c r="GH42" s="17" t="n">
        <f aca="false">Daily_Composite!AR193</f>
        <v>-0.103</v>
      </c>
      <c r="GI42" s="17" t="n">
        <f aca="false">Daily_Composite!AR194</f>
        <v>-0.103</v>
      </c>
      <c r="GJ42" s="17" t="n">
        <f aca="false">Daily_Composite!AR195</f>
        <v>-0.062</v>
      </c>
      <c r="GK42" s="17" t="n">
        <f aca="false">Daily_Composite!AR196</f>
        <v>-0.051</v>
      </c>
      <c r="GL42" s="17" t="n">
        <f aca="false">Daily_Composite!AR197</f>
        <v>-0.101</v>
      </c>
      <c r="GM42" s="17" t="n">
        <f aca="false">Daily_Composite!AR198</f>
        <v>-0.494</v>
      </c>
      <c r="GN42" s="17" t="n">
        <f aca="false">Daily_Composite!AR199</f>
        <v>-0.084</v>
      </c>
      <c r="GO42" s="17" t="n">
        <f aca="false">Daily_Composite!AR200</f>
        <v>-0.084</v>
      </c>
      <c r="GP42" s="17" t="n">
        <f aca="false">Daily_Composite!AR201</f>
        <v>-0.082</v>
      </c>
      <c r="GQ42" s="17" t="n">
        <f aca="false">Daily_Composite!AR202</f>
        <v>-0.098</v>
      </c>
      <c r="GR42" s="17" t="n">
        <f aca="false">Daily_Composite!AR203</f>
        <v>-0.123</v>
      </c>
      <c r="GS42" s="17" t="n">
        <f aca="false">Daily_Composite!AR204</f>
        <v>-0.074</v>
      </c>
      <c r="GT42" s="17" t="n">
        <f aca="false">Daily_Composite!AR205</f>
        <v>-0.045</v>
      </c>
      <c r="GU42" s="17" t="n">
        <f aca="false">Daily_Composite!AR206</f>
        <v>-0.368</v>
      </c>
      <c r="GV42" s="17" t="n">
        <f aca="false">Daily_Composite!AR207</f>
        <v>-0.119</v>
      </c>
      <c r="GW42" s="17" t="n">
        <f aca="false">Daily_Composite!AR208</f>
        <v>-0.069</v>
      </c>
      <c r="GX42" s="17" t="n">
        <f aca="false">Daily_Composite!AR209</f>
        <v>-0.066</v>
      </c>
      <c r="GY42" s="17" t="n">
        <f aca="false">Daily_Composite!AR210</f>
        <v>-0.016</v>
      </c>
      <c r="GZ42" s="17" t="n">
        <f aca="false">Daily_Composite!AR211</f>
        <v>-0.04</v>
      </c>
      <c r="HA42" s="17" t="n">
        <f aca="false">Daily_Composite!AR212</f>
        <v>-0.033</v>
      </c>
      <c r="HB42" s="17" t="n">
        <f aca="false">Daily_Composite!AR213</f>
        <v>-0.078</v>
      </c>
      <c r="HC42" s="17" t="n">
        <f aca="false">Daily_Composite!AR214</f>
        <v>-0.089</v>
      </c>
      <c r="HD42" s="17" t="n">
        <f aca="false">Daily_Composite!AR215</f>
        <v>-0.038</v>
      </c>
      <c r="HE42" s="17" t="n">
        <f aca="false">Daily_Composite!AR216</f>
        <v>0.147</v>
      </c>
      <c r="HF42" s="17" t="n">
        <f aca="false">Daily_Composite!AR217</f>
        <v>-0.049</v>
      </c>
      <c r="HG42" s="17" t="n">
        <f aca="false">Daily_Composite!AR218</f>
        <v>-0.051</v>
      </c>
      <c r="HH42" s="17" t="n">
        <f aca="false">Daily_Composite!AR219</f>
        <v>-0.05</v>
      </c>
      <c r="HI42" s="17" t="n">
        <f aca="false">Daily_Composite!AR220</f>
        <v>-0.053</v>
      </c>
      <c r="HJ42" s="17" t="n">
        <f aca="false">Daily_Composite!AR221</f>
        <v>-0.056</v>
      </c>
      <c r="HK42" s="17" t="n">
        <f aca="false">Daily_Composite!AR222</f>
        <v>-0.27</v>
      </c>
      <c r="HL42" s="17" t="n">
        <f aca="false">Daily_Composite!AR223</f>
        <v>-0.207</v>
      </c>
      <c r="HM42" s="17" t="n">
        <f aca="false">Daily_Composite!AR224</f>
        <v>-0.161</v>
      </c>
      <c r="HN42" s="17" t="n">
        <f aca="false">Daily_Composite!AR225</f>
        <v>-0.324</v>
      </c>
      <c r="HO42" s="17" t="n">
        <f aca="false">Daily_Composite!AR226</f>
        <v>-0.129</v>
      </c>
      <c r="HP42" s="17" t="n">
        <f aca="false">Daily_Composite!AR227</f>
        <v>-0.159</v>
      </c>
      <c r="HQ42" s="17" t="n">
        <f aca="false">Daily_Composite!AR228</f>
        <v>-0.157</v>
      </c>
      <c r="HR42" s="17" t="n">
        <f aca="false">Daily_Composite!AR229</f>
        <v>-0.072</v>
      </c>
      <c r="HS42" s="17" t="n">
        <f aca="false">Daily_Composite!AR230</f>
        <v>-0.052</v>
      </c>
      <c r="HT42" s="17" t="n">
        <f aca="false">Daily_Composite!AR231</f>
        <v>-0.181</v>
      </c>
      <c r="HU42" s="17" t="n">
        <f aca="false">Daily_Composite!AR232</f>
        <v>-0.133</v>
      </c>
      <c r="HV42" s="17" t="n">
        <f aca="false">Daily_Composite!AR233</f>
        <v>-0.155</v>
      </c>
      <c r="HW42" s="17" t="n">
        <f aca="false">Daily_Composite!AR234</f>
        <v>-0.312</v>
      </c>
      <c r="HX42" s="17" t="n">
        <f aca="false">Daily_Composite!AR235</f>
        <v>-0.145</v>
      </c>
      <c r="HY42" s="17" t="n">
        <f aca="false">Daily_Composite!AR236</f>
        <v>-0.158</v>
      </c>
      <c r="HZ42" s="17" t="n">
        <f aca="false">Daily_Composite!AR237</f>
        <v>-0.149</v>
      </c>
      <c r="IA42" s="17" t="n">
        <f aca="false">Daily_Composite!AR238</f>
        <v>-0.036</v>
      </c>
      <c r="IB42" s="17" t="n">
        <f aca="false">Daily_Composite!AR239</f>
        <v>-0.052</v>
      </c>
      <c r="IC42" s="17" t="n">
        <f aca="false">Daily_Composite!AR240</f>
        <v>-0.09</v>
      </c>
      <c r="ID42" s="17" t="n">
        <f aca="false">Daily_Composite!AR241</f>
        <v>-0.1</v>
      </c>
      <c r="IE42" s="17" t="n">
        <f aca="false">Daily_Composite!AR242</f>
        <v>-0.162</v>
      </c>
      <c r="IF42" s="17" t="n">
        <f aca="false">Daily_Composite!AR243</f>
        <v>-0.433</v>
      </c>
      <c r="IG42" s="17" t="n">
        <f aca="false">Daily_Composite!AR244</f>
        <v>-0.225</v>
      </c>
      <c r="IH42" s="17" t="n">
        <f aca="false">Daily_Composite!AR245</f>
        <v>-0.092</v>
      </c>
      <c r="II42" s="17" t="n">
        <f aca="false">Daily_Composite!AR246</f>
        <v>-0.108</v>
      </c>
      <c r="IJ42" s="17" t="n">
        <f aca="false">Daily_Composite!AR247</f>
        <v>-0.183</v>
      </c>
      <c r="IK42" s="17" t="n">
        <f aca="false">Daily_Composite!AR248</f>
        <v>-0.233</v>
      </c>
      <c r="IL42" s="17" t="n">
        <f aca="false">Daily_Composite!AR249</f>
        <v>-0.214</v>
      </c>
      <c r="IM42" s="17" t="n">
        <f aca="false">Daily_Composite!AR250</f>
        <v>-0.21</v>
      </c>
      <c r="IN42" s="17" t="n">
        <f aca="false">Daily_Composite!AR251</f>
        <v>-0.208</v>
      </c>
      <c r="IO42" s="17" t="n">
        <f aca="false">Daily_Composite!AR252</f>
        <v>-0.222</v>
      </c>
      <c r="IP42" s="17" t="n">
        <f aca="false">Daily_Composite!AR253</f>
        <v>-0.388</v>
      </c>
      <c r="IQ42" s="17" t="n">
        <f aca="false">Daily_Composite!AR254</f>
        <v>-0.201</v>
      </c>
      <c r="IR42" s="17" t="n">
        <f aca="false">Daily_Composite!AR255</f>
        <v>-0.19</v>
      </c>
      <c r="IS42" s="17" t="n">
        <f aca="false">Daily_Composite!AR256</f>
        <v>-0.227</v>
      </c>
      <c r="IT42" s="17" t="n">
        <f aca="false">Daily_Composite!AR257</f>
        <v>-0.261</v>
      </c>
      <c r="IU42" s="17" t="n">
        <f aca="false">Daily_Composite!AR258</f>
        <v>-0.01</v>
      </c>
      <c r="IV42" s="17" t="n">
        <f aca="false">Daily_Composite!AR259</f>
        <v>0.007</v>
      </c>
      <c r="IW42" s="17" t="n">
        <f aca="false">Daily_Composite!AR260</f>
        <v>-0.067</v>
      </c>
      <c r="IX42" s="17" t="n">
        <f aca="false">Daily_Composite!AR261</f>
        <v>-0.096</v>
      </c>
      <c r="IY42" s="17" t="n">
        <f aca="false">Daily_Composite!AR262</f>
        <v>-0.069</v>
      </c>
      <c r="IZ42" s="17" t="n">
        <f aca="false">Daily_Composite!AR263</f>
        <v>-0.038</v>
      </c>
      <c r="JA42" s="17" t="n">
        <f aca="false">Daily_Composite!AR264</f>
        <v>-0.044</v>
      </c>
      <c r="JB42" s="17" t="n">
        <f aca="false">Daily_Composite!AR265</f>
        <v>-0.06</v>
      </c>
      <c r="JC42" s="17" t="n">
        <f aca="false">Daily_Composite!AR266</f>
        <v>-0.106</v>
      </c>
      <c r="JD42" s="17" t="n">
        <f aca="false">Daily_Composite!AR267</f>
        <v>-0.122</v>
      </c>
      <c r="JE42" s="17" t="n">
        <f aca="false">Daily_Composite!AR268</f>
        <v>-0.143</v>
      </c>
      <c r="JF42" s="17" t="n">
        <f aca="false">Daily_Composite!AR269</f>
        <v>-0.15</v>
      </c>
      <c r="JG42" s="17" t="n">
        <f aca="false">Daily_Composite!AR270</f>
        <v>-0.197</v>
      </c>
      <c r="JH42" s="17" t="n">
        <f aca="false">Daily_Composite!AR271</f>
        <v>-0.48</v>
      </c>
      <c r="JI42" s="17" t="n">
        <f aca="false">Daily_Composite!AR272</f>
        <v>-0.152</v>
      </c>
      <c r="JJ42" s="17" t="n">
        <f aca="false">Daily_Composite!AR273</f>
        <v>-0.168</v>
      </c>
      <c r="JK42" s="17" t="n">
        <f aca="false">Daily_Composite!AR274</f>
        <v>-0.206</v>
      </c>
      <c r="JL42" s="17" t="n">
        <f aca="false">Daily_Composite!AR275</f>
        <v>-0.191</v>
      </c>
      <c r="JM42" s="17" t="n">
        <f aca="false">Daily_Composite!AR276</f>
        <v>-0.204</v>
      </c>
      <c r="JN42" s="17" t="n">
        <f aca="false">Daily_Composite!AR277</f>
        <v>-0.23</v>
      </c>
      <c r="JO42" s="17" t="n">
        <f aca="false">Daily_Composite!AR278</f>
        <v>-0.208</v>
      </c>
      <c r="JP42" s="17" t="n">
        <f aca="false">Daily_Composite!AR279</f>
        <v>-0.205</v>
      </c>
      <c r="JQ42" s="17" t="n">
        <f aca="false">Daily_Composite!AR280</f>
        <v>-0.186</v>
      </c>
      <c r="JR42" s="17" t="n">
        <f aca="false">Daily_Composite!AR281</f>
        <v>-0.154</v>
      </c>
      <c r="JS42" s="17" t="n">
        <f aca="false">Daily_Composite!AR282</f>
        <v>-0.156</v>
      </c>
      <c r="JT42" s="17" t="n">
        <f aca="false">Daily_Composite!AR283</f>
        <v>-0.147</v>
      </c>
      <c r="JU42" s="17" t="n">
        <f aca="false">Daily_Composite!AR284</f>
        <v>-0.127</v>
      </c>
      <c r="JV42" s="17" t="n">
        <f aca="false">Daily_Composite!AR285</f>
        <v>-0.163</v>
      </c>
      <c r="JW42" s="17" t="n">
        <f aca="false">Daily_Composite!AR286</f>
        <v>-0.103</v>
      </c>
      <c r="JX42" s="17" t="n">
        <f aca="false">Daily_Composite!AR287</f>
        <v>-0.095</v>
      </c>
      <c r="JY42" s="17" t="n">
        <f aca="false">Daily_Composite!AR288</f>
        <v>-0.092</v>
      </c>
      <c r="JZ42" s="17" t="n">
        <f aca="false">Daily_Composite!AR289</f>
        <v>-0.144</v>
      </c>
      <c r="KA42" s="17" t="n">
        <f aca="false">Daily_Composite!AR290</f>
        <v>-0.213</v>
      </c>
      <c r="KB42" s="17" t="n">
        <f aca="false">Daily_Composite!AR291</f>
        <v>-0.191</v>
      </c>
      <c r="KC42" s="17" t="n">
        <f aca="false">Daily_Composite!AR292</f>
        <v>-0.132</v>
      </c>
      <c r="KD42" s="17" t="n">
        <f aca="false">Daily_Composite!AR293</f>
        <v>-0.122</v>
      </c>
      <c r="KE42" s="17" t="n">
        <f aca="false">Daily_Composite!AR294</f>
        <v>-0.1</v>
      </c>
      <c r="KF42" s="17" t="n">
        <f aca="false">Daily_Composite!AR295</f>
        <v>-0.101</v>
      </c>
      <c r="KG42" s="17" t="n">
        <f aca="false">Daily_Composite!AR296</f>
        <v>-0.06</v>
      </c>
      <c r="KH42" s="17" t="n">
        <f aca="false">Daily_Composite!AR297</f>
        <v>-0.122</v>
      </c>
      <c r="KI42" s="17" t="n">
        <f aca="false">Daily_Composite!AR298</f>
        <v>-0.242</v>
      </c>
      <c r="KJ42" s="17" t="n">
        <f aca="false">Daily_Composite!AR299</f>
        <v>-0.059</v>
      </c>
      <c r="KK42" s="17" t="n">
        <f aca="false">Daily_Composite!AR300</f>
        <v>0.035</v>
      </c>
      <c r="KL42" s="17" t="n">
        <f aca="false">Daily_Composite!AR301</f>
        <v>0.035</v>
      </c>
      <c r="KM42" s="17" t="n">
        <f aca="false">Daily_Composite!AR302</f>
        <v>-0.013</v>
      </c>
      <c r="KN42" s="17" t="n">
        <f aca="false">Daily_Composite!AR303</f>
        <v>-0.013</v>
      </c>
      <c r="KO42" s="17" t="n">
        <f aca="false">Daily_Composite!AR304</f>
        <v>-0.001</v>
      </c>
      <c r="KP42" s="17" t="n">
        <f aca="false">Daily_Composite!AR305</f>
        <v>0.004</v>
      </c>
      <c r="KQ42" s="17" t="n">
        <f aca="false">Daily_Composite!AR306</f>
        <v>-0.013</v>
      </c>
      <c r="KR42" s="17" t="n">
        <f aca="false">Daily_Composite!AR307</f>
        <v>-0.039</v>
      </c>
      <c r="KS42" s="17" t="n">
        <f aca="false">Daily_Composite!AR308</f>
        <v>-0.039</v>
      </c>
      <c r="KT42" s="17" t="n">
        <f aca="false">Daily_Composite!AR309</f>
        <v>-0.02</v>
      </c>
      <c r="KU42" s="17" t="n">
        <f aca="false">Daily_Composite!AR310</f>
        <v>-0.035</v>
      </c>
      <c r="KV42" s="17" t="n">
        <f aca="false">Daily_Composite!AR311</f>
        <v>-0.226</v>
      </c>
      <c r="KW42" s="17" t="n">
        <f aca="false">Daily_Composite!AR312</f>
        <v>-0.245</v>
      </c>
      <c r="KX42" s="17" t="n">
        <f aca="false">Daily_Composite!AR313</f>
        <v>0.035</v>
      </c>
      <c r="KY42" s="17" t="n">
        <f aca="false">Daily_Composite!AR314</f>
        <v>0.036</v>
      </c>
      <c r="KZ42" s="17" t="n">
        <f aca="false">Daily_Composite!AR315</f>
        <v>-0.037</v>
      </c>
      <c r="LA42" s="17" t="n">
        <f aca="false">Daily_Composite!AR316</f>
        <v>-0.257</v>
      </c>
      <c r="LB42" s="17" t="n">
        <f aca="false">Daily_Composite!AR317</f>
        <v>-0.114</v>
      </c>
      <c r="LC42" s="17" t="n">
        <f aca="false">Daily_Composite!AR318</f>
        <v>-0.091</v>
      </c>
      <c r="LD42" s="17" t="n">
        <f aca="false">Daily_Composite!AR319</f>
        <v>-0.011</v>
      </c>
      <c r="LE42" s="17" t="n">
        <f aca="false">Daily_Composite!AR320</f>
        <v>-0.012</v>
      </c>
      <c r="LF42" s="17" t="n">
        <f aca="false">Daily_Composite!AR321</f>
        <v>-0.099</v>
      </c>
      <c r="LG42" s="17" t="n">
        <f aca="false">Daily_Composite!AR322</f>
        <v>0.008</v>
      </c>
      <c r="LH42" s="17" t="n">
        <f aca="false">Daily_Composite!AR323</f>
        <v>-0.002</v>
      </c>
      <c r="LI42" s="17" t="n">
        <f aca="false">Daily_Composite!AR324</f>
        <v>-0.059</v>
      </c>
      <c r="LJ42" s="17" t="n">
        <f aca="false">Daily_Composite!AR325</f>
        <v>-0.322</v>
      </c>
      <c r="LK42" s="17" t="n">
        <f aca="false">Daily_Composite!AR326</f>
        <v>-0.063</v>
      </c>
      <c r="LL42" s="17" t="n">
        <f aca="false">Daily_Composite!AR327</f>
        <v>0.032</v>
      </c>
      <c r="LM42" s="17" t="n">
        <f aca="false">Daily_Composite!AR328</f>
        <v>0.032</v>
      </c>
      <c r="LN42" s="17" t="n">
        <f aca="false">Daily_Composite!AR329</f>
        <v>-0.017</v>
      </c>
      <c r="LO42" s="17" t="n">
        <f aca="false">Daily_Composite!AR330</f>
        <v>-0.017</v>
      </c>
      <c r="LP42" s="17" t="n">
        <f aca="false">Daily_Composite!AR331</f>
        <v>0.005</v>
      </c>
      <c r="LQ42" s="17" t="n">
        <f aca="false">Daily_Composite!AR332</f>
        <v>-0.026</v>
      </c>
      <c r="LR42" s="17" t="n">
        <f aca="false">Daily_Composite!AR333</f>
        <v>0.003</v>
      </c>
      <c r="LS42" s="17" t="n">
        <f aca="false">Daily_Composite!AR334</f>
        <v>-0.018</v>
      </c>
      <c r="LT42" s="17" t="n">
        <f aca="false">Daily_Composite!AR335</f>
        <v>-0.203</v>
      </c>
      <c r="LU42" s="17" t="n">
        <f aca="false">Daily_Composite!AR336</f>
        <v>-0.05</v>
      </c>
      <c r="LV42" s="17" t="n">
        <f aca="false">Daily_Composite!AR337</f>
        <v>-0.023</v>
      </c>
      <c r="LW42" s="17" t="n">
        <f aca="false">Daily_Composite!AR338</f>
        <v>-0.216</v>
      </c>
      <c r="LX42" s="17" t="n">
        <f aca="false">Daily_Composite!AR339</f>
        <v>-0.265</v>
      </c>
      <c r="LY42" s="17" t="n">
        <f aca="false">Daily_Composite!AR340</f>
        <v>-0.017</v>
      </c>
      <c r="LZ42" s="17" t="n">
        <f aca="false">Daily_Composite!AR341</f>
        <v>0.02</v>
      </c>
      <c r="MA42" s="17" t="n">
        <f aca="false">Daily_Composite!AR342</f>
        <v>-0.007</v>
      </c>
      <c r="MB42" s="17" t="n">
        <f aca="false">Daily_Composite!AR343</f>
        <v>-0.221</v>
      </c>
      <c r="MC42" s="17" t="n">
        <f aca="false">Daily_Composite!AR344</f>
        <v>-0.016</v>
      </c>
      <c r="MD42" s="17" t="n">
        <f aca="false">Daily_Composite!AR345</f>
        <v>-0.049</v>
      </c>
      <c r="ME42" s="17" t="n">
        <f aca="false">Daily_Composite!AR346</f>
        <v>-0.04</v>
      </c>
      <c r="MF42" s="17" t="n">
        <f aca="false">Daily_Composite!AR347</f>
        <v>-0.061</v>
      </c>
      <c r="MG42" s="17" t="n">
        <f aca="false">Daily_Composite!AR348</f>
        <v>-0.101</v>
      </c>
      <c r="MH42" s="17" t="n">
        <f aca="false">Daily_Composite!AR349</f>
        <v>-0.021</v>
      </c>
      <c r="MI42" s="17" t="n">
        <f aca="false">Daily_Composite!AR350</f>
        <v>0.008</v>
      </c>
      <c r="MJ42" s="17" t="n">
        <f aca="false">Daily_Composite!AR351</f>
        <v>-0.014</v>
      </c>
      <c r="MK42" s="17" t="n">
        <f aca="false">Daily_Composite!AR352</f>
        <v>-0.399</v>
      </c>
      <c r="ML42" s="17" t="n">
        <f aca="false">Daily_Composite!AR353</f>
        <v>-0.274</v>
      </c>
      <c r="MM42" s="17" t="n">
        <f aca="false">Daily_Composite!AR354</f>
        <v>0.023</v>
      </c>
      <c r="MN42" s="17" t="n">
        <f aca="false">Daily_Composite!AR355</f>
        <v>0.013</v>
      </c>
      <c r="MO42" s="17" t="n">
        <f aca="false">Daily_Composite!AR356</f>
        <v>0.011</v>
      </c>
      <c r="MP42" s="17" t="n">
        <f aca="false">Daily_Composite!AR357</f>
        <v>0.007</v>
      </c>
      <c r="MQ42" s="17" t="n">
        <f aca="false">Daily_Composite!AR358</f>
        <v>-0.011</v>
      </c>
      <c r="MR42" s="17" t="n">
        <f aca="false">Daily_Composite!AR359</f>
        <v>-0.036</v>
      </c>
      <c r="MS42" s="17" t="n">
        <f aca="false">Daily_Composite!AR360</f>
        <v>-0.023</v>
      </c>
      <c r="MT42" s="17" t="n">
        <f aca="false">Daily_Composite!AR361</f>
        <v>-0.032</v>
      </c>
      <c r="MU42" s="17" t="n">
        <f aca="false">Daily_Composite!AR362</f>
        <v>0.002</v>
      </c>
      <c r="MV42" s="17" t="n">
        <f aca="false">Daily_Composite!AR363</f>
        <v>0.003</v>
      </c>
      <c r="MW42" s="17" t="n">
        <f aca="false">Daily_Composite!AR364</f>
        <v>-0.007</v>
      </c>
      <c r="MX42" s="17" t="n">
        <f aca="false">Daily_Composite!AR365</f>
        <v>-0.026</v>
      </c>
      <c r="MY42" s="17" t="n">
        <f aca="false">Daily_Composite!AR366</f>
        <v>-0.126</v>
      </c>
      <c r="MZ42" s="17" t="n">
        <f aca="false">Daily_Composite!AR367</f>
        <v>-0.283</v>
      </c>
      <c r="NA42" s="17" t="n">
        <f aca="false">Daily_Composite!AR368</f>
        <v>0.003</v>
      </c>
      <c r="NB42" s="17" t="n">
        <f aca="false">Daily_Composite!AR369</f>
        <v>0.011</v>
      </c>
    </row>
    <row r="43" customFormat="false" ht="15" hidden="false" customHeight="false" outlineLevel="0" collapsed="false">
      <c r="A43" s="6" t="s">
        <v>56</v>
      </c>
      <c r="B43" s="17" t="n">
        <f aca="false">Daily_Composite!AS5</f>
        <v>-0.019</v>
      </c>
      <c r="C43" s="17" t="n">
        <f aca="false">Daily_Composite!AS6</f>
        <v>-0.049</v>
      </c>
      <c r="D43" s="17" t="n">
        <f aca="false">Daily_Composite!AS7</f>
        <v>0.054</v>
      </c>
      <c r="E43" s="17" t="n">
        <f aca="false">Daily_Composite!AS8</f>
        <v>-0.106</v>
      </c>
      <c r="F43" s="17" t="n">
        <f aca="false">Daily_Composite!AS9</f>
        <v>0.04</v>
      </c>
      <c r="G43" s="17" t="n">
        <f aca="false">Daily_Composite!AS10</f>
        <v>-0.283</v>
      </c>
      <c r="H43" s="17" t="n">
        <f aca="false">Daily_Composite!AS11</f>
        <v>-0.087</v>
      </c>
      <c r="I43" s="17" t="n">
        <f aca="false">Daily_Composite!AS12</f>
        <v>-0.43</v>
      </c>
      <c r="J43" s="17" t="n">
        <f aca="false">Daily_Composite!AS13</f>
        <v>-0.044</v>
      </c>
      <c r="K43" s="17" t="n">
        <f aca="false">Daily_Composite!AS14</f>
        <v>-0.078</v>
      </c>
      <c r="L43" s="17" t="n">
        <f aca="false">Daily_Composite!AS15</f>
        <v>-0.059</v>
      </c>
      <c r="M43" s="17" t="n">
        <f aca="false">Daily_Composite!AS16</f>
        <v>-0.05</v>
      </c>
      <c r="N43" s="17" t="n">
        <f aca="false">Daily_Composite!AS17</f>
        <v>-0.336</v>
      </c>
      <c r="O43" s="17" t="n">
        <f aca="false">Daily_Composite!AS18</f>
        <v>-0.028</v>
      </c>
      <c r="P43" s="17" t="n">
        <f aca="false">Daily_Composite!AS19</f>
        <v>0.065</v>
      </c>
      <c r="Q43" s="17" t="n">
        <f aca="false">Daily_Composite!AS20</f>
        <v>-0.026</v>
      </c>
      <c r="R43" s="17" t="n">
        <f aca="false">Daily_Composite!AS21</f>
        <v>0.336</v>
      </c>
      <c r="S43" s="17" t="n">
        <f aca="false">Daily_Composite!AS22</f>
        <v>-0.379</v>
      </c>
      <c r="T43" s="17" t="n">
        <f aca="false">Daily_Composite!AS23</f>
        <v>-0.055</v>
      </c>
      <c r="U43" s="17" t="n">
        <f aca="false">Daily_Composite!AS24</f>
        <v>0.014</v>
      </c>
      <c r="V43" s="17" t="n">
        <f aca="false">Daily_Composite!AS25</f>
        <v>0.019</v>
      </c>
      <c r="W43" s="17" t="n">
        <f aca="false">Daily_Composite!AS26</f>
        <v>-0.113</v>
      </c>
      <c r="X43" s="17" t="n">
        <f aca="false">Daily_Composite!AS27</f>
        <v>-0.376</v>
      </c>
      <c r="Y43" s="17" t="n">
        <f aca="false">Daily_Composite!AS28</f>
        <v>-0.176</v>
      </c>
      <c r="Z43" s="17" t="n">
        <f aca="false">Daily_Composite!AS29</f>
        <v>-0.316</v>
      </c>
      <c r="AA43" s="17" t="n">
        <f aca="false">Daily_Composite!AS30</f>
        <v>0.003</v>
      </c>
      <c r="AB43" s="17" t="n">
        <f aca="false">Daily_Composite!AS31</f>
        <v>-0.287</v>
      </c>
      <c r="AC43" s="17" t="n">
        <f aca="false">Daily_Composite!AS32</f>
        <v>-0.037</v>
      </c>
      <c r="AD43" s="17" t="n">
        <f aca="false">Daily_Composite!AS33</f>
        <v>0.043</v>
      </c>
      <c r="AE43" s="17" t="n">
        <f aca="false">Daily_Composite!AS34</f>
        <v>0.053</v>
      </c>
      <c r="AF43" s="17" t="n">
        <f aca="false">Daily_Composite!AS35</f>
        <v>0.368</v>
      </c>
      <c r="AG43" s="17" t="n">
        <f aca="false">Daily_Composite!AS36</f>
        <v>0.267</v>
      </c>
      <c r="AH43" s="17" t="n">
        <f aca="false">Daily_Composite!AS37</f>
        <v>0.065</v>
      </c>
      <c r="AI43" s="17" t="n">
        <f aca="false">Daily_Composite!AS38</f>
        <v>0.067</v>
      </c>
      <c r="AJ43" s="17" t="n">
        <f aca="false">Daily_Composite!AS39</f>
        <v>0.024</v>
      </c>
      <c r="AK43" s="17" t="n">
        <f aca="false">Daily_Composite!AS40</f>
        <v>-0.025</v>
      </c>
      <c r="AL43" s="17" t="n">
        <f aca="false">Daily_Composite!AS41</f>
        <v>-0.041</v>
      </c>
      <c r="AM43" s="17" t="n">
        <f aca="false">Daily_Composite!AS42</f>
        <v>-0.009</v>
      </c>
      <c r="AN43" s="17" t="n">
        <f aca="false">Daily_Composite!AS43</f>
        <v>0.287</v>
      </c>
      <c r="AO43" s="17" t="n">
        <f aca="false">Daily_Composite!AS44</f>
        <v>-0.193</v>
      </c>
      <c r="AP43" s="17" t="n">
        <f aca="false">Daily_Composite!AS45</f>
        <v>0.079</v>
      </c>
      <c r="AQ43" s="17" t="n">
        <f aca="false">Daily_Composite!AS46</f>
        <v>0.076</v>
      </c>
      <c r="AR43" s="17" t="n">
        <f aca="false">Daily_Composite!AS47</f>
        <v>-0.411</v>
      </c>
      <c r="AS43" s="17" t="n">
        <f aca="false">Daily_Composite!AS48</f>
        <v>0.037</v>
      </c>
      <c r="AT43" s="17" t="n">
        <f aca="false">Daily_Composite!AS49</f>
        <v>-0.457</v>
      </c>
      <c r="AU43" s="17" t="n">
        <f aca="false">Daily_Composite!AS50</f>
        <v>-0.083</v>
      </c>
      <c r="AV43" s="17" t="n">
        <f aca="false">Daily_Composite!AS51</f>
        <v>-0.191</v>
      </c>
      <c r="AW43" s="17" t="n">
        <f aca="false">Daily_Composite!AS52</f>
        <v>-0.257</v>
      </c>
      <c r="AX43" s="17" t="n">
        <f aca="false">Daily_Composite!AS53</f>
        <v>0.037</v>
      </c>
      <c r="AY43" s="17" t="n">
        <f aca="false">Daily_Composite!AS54</f>
        <v>-0.405</v>
      </c>
      <c r="AZ43" s="17" t="n">
        <f aca="false">Daily_Composite!AS55</f>
        <v>-0.415</v>
      </c>
      <c r="BA43" s="17" t="n">
        <f aca="false">Daily_Composite!AS56</f>
        <v>-0.251</v>
      </c>
      <c r="BB43" s="17" t="n">
        <f aca="false">Daily_Composite!AS57</f>
        <v>-0.494</v>
      </c>
      <c r="BC43" s="17" t="n">
        <f aca="false">Daily_Composite!AS58</f>
        <v>-0.225</v>
      </c>
      <c r="BD43" s="17" t="n">
        <f aca="false">Daily_Composite!AS59</f>
        <v>0.101</v>
      </c>
      <c r="BE43" s="17" t="n">
        <f aca="false">Daily_Composite!AS60</f>
        <v>-0.196</v>
      </c>
      <c r="BF43" s="17" t="n">
        <f aca="false">Daily_Composite!AS61</f>
        <v>-0.139</v>
      </c>
      <c r="BG43" s="17" t="n">
        <f aca="false">Daily_Composite!AS62</f>
        <v>0.293</v>
      </c>
      <c r="BH43" s="17" t="n">
        <f aca="false">Daily_Composite!AS63</f>
        <v>-0.231</v>
      </c>
      <c r="BI43" s="17" t="n">
        <f aca="false">Daily_Composite!AS64</f>
        <v>-0.203</v>
      </c>
      <c r="BJ43" s="17" t="n">
        <f aca="false">Daily_Composite!AS65</f>
        <v>-0.496</v>
      </c>
      <c r="BK43" s="17" t="n">
        <f aca="false">Daily_Composite!AS66</f>
        <v>-0.242</v>
      </c>
      <c r="BL43" s="17" t="n">
        <f aca="false">Daily_Composite!AS67</f>
        <v>-0.182</v>
      </c>
      <c r="BM43" s="17" t="n">
        <f aca="false">Daily_Composite!AS68</f>
        <v>-0.206</v>
      </c>
      <c r="BN43" s="17" t="n">
        <f aca="false">Daily_Composite!AS69</f>
        <v>-0.263</v>
      </c>
      <c r="BO43" s="17" t="n">
        <f aca="false">Daily_Composite!AS70</f>
        <v>-0.286</v>
      </c>
      <c r="BP43" s="17" t="n">
        <f aca="false">Daily_Composite!AS71</f>
        <v>-0.081</v>
      </c>
      <c r="BQ43" s="17" t="n">
        <f aca="false">Daily_Composite!AS72</f>
        <v>-0.236</v>
      </c>
      <c r="BR43" s="17" t="n">
        <f aca="false">Daily_Composite!AS73</f>
        <v>-0.234</v>
      </c>
      <c r="BS43" s="17" t="n">
        <f aca="false">Daily_Composite!AS74</f>
        <v>-0.506</v>
      </c>
      <c r="BT43" s="17" t="n">
        <f aca="false">Daily_Composite!AS75</f>
        <v>-0.144</v>
      </c>
      <c r="BU43" s="17" t="n">
        <f aca="false">Daily_Composite!AS76</f>
        <v>-0.394</v>
      </c>
      <c r="BV43" s="17" t="n">
        <f aca="false">Daily_Composite!AS77</f>
        <v>-0.254</v>
      </c>
      <c r="BW43" s="17" t="n">
        <f aca="false">Daily_Composite!AS78</f>
        <v>-0.211</v>
      </c>
      <c r="BX43" s="17" t="n">
        <f aca="false">Daily_Composite!AS79</f>
        <v>-0.184</v>
      </c>
      <c r="BY43" s="17" t="n">
        <f aca="false">Daily_Composite!AS80</f>
        <v>-0.107</v>
      </c>
      <c r="BZ43" s="17" t="n">
        <f aca="false">Daily_Composite!AS81</f>
        <v>0.16</v>
      </c>
      <c r="CA43" s="17" t="n">
        <f aca="false">Daily_Composite!AS82</f>
        <v>-0.068</v>
      </c>
      <c r="CB43" s="17" t="n">
        <f aca="false">Daily_Composite!AS83</f>
        <v>-0.416</v>
      </c>
      <c r="CC43" s="17" t="n">
        <f aca="false">Daily_Composite!AS84</f>
        <v>-0.608</v>
      </c>
      <c r="CD43" s="17" t="n">
        <f aca="false">Daily_Composite!AS85</f>
        <v>-0.365</v>
      </c>
      <c r="CE43" s="17" t="n">
        <f aca="false">Daily_Composite!AS86</f>
        <v>0.024</v>
      </c>
      <c r="CF43" s="17" t="n">
        <f aca="false">Daily_Composite!AS87</f>
        <v>-0.026</v>
      </c>
      <c r="CG43" s="17" t="n">
        <f aca="false">Daily_Composite!AS88</f>
        <v>-0.317</v>
      </c>
      <c r="CH43" s="17" t="n">
        <f aca="false">Daily_Composite!AS89</f>
        <v>-0.282</v>
      </c>
      <c r="CI43" s="17" t="n">
        <f aca="false">Daily_Composite!AS90</f>
        <v>0.039</v>
      </c>
      <c r="CJ43" s="17" t="n">
        <f aca="false">Daily_Composite!AS91</f>
        <v>-0.183</v>
      </c>
      <c r="CK43" s="17" t="n">
        <f aca="false">Daily_Composite!AS92</f>
        <v>-0.468</v>
      </c>
      <c r="CL43" s="17" t="n">
        <f aca="false">Daily_Composite!AS93</f>
        <v>-0.373</v>
      </c>
      <c r="CM43" s="17" t="n">
        <f aca="false">Daily_Composite!AS94</f>
        <v>0.078</v>
      </c>
      <c r="CN43" s="17" t="n">
        <f aca="false">Daily_Composite!AS95</f>
        <v>-0.489</v>
      </c>
      <c r="CO43" s="17" t="n">
        <f aca="false">Daily_Composite!AS96</f>
        <v>-0.489</v>
      </c>
      <c r="CP43" s="17" t="n">
        <f aca="false">Daily_Composite!AS97</f>
        <v>-0.501</v>
      </c>
      <c r="CQ43" s="17" t="n">
        <f aca="false">Daily_Composite!AS98</f>
        <v>-0.653</v>
      </c>
      <c r="CR43" s="17" t="n">
        <f aca="false">Daily_Composite!AS99</f>
        <v>-0.711</v>
      </c>
      <c r="CS43" s="17" t="n">
        <f aca="false">Daily_Composite!AS100</f>
        <v>-0.512</v>
      </c>
      <c r="CT43" s="17" t="n">
        <f aca="false">Daily_Composite!AS101</f>
        <v>-0.646</v>
      </c>
      <c r="CU43" s="17" t="n">
        <f aca="false">Daily_Composite!AS102</f>
        <v>-0.205</v>
      </c>
      <c r="CV43" s="17" t="n">
        <f aca="false">Daily_Composite!AS103</f>
        <v>-0.71</v>
      </c>
      <c r="CW43" s="17" t="n">
        <f aca="false">Daily_Composite!AS104</f>
        <v>-0.711</v>
      </c>
      <c r="CX43" s="17" t="n">
        <f aca="false">Daily_Composite!AS105</f>
        <v>-0.453</v>
      </c>
      <c r="CY43" s="17" t="n">
        <f aca="false">Daily_Composite!AS106</f>
        <v>-0.651</v>
      </c>
      <c r="CZ43" s="17" t="n">
        <f aca="false">Daily_Composite!AS107</f>
        <v>-0.653</v>
      </c>
      <c r="DA43" s="17" t="n">
        <f aca="false">Daily_Composite!AS108</f>
        <v>-0.637</v>
      </c>
      <c r="DB43" s="17" t="n">
        <f aca="false">Daily_Composite!AS109</f>
        <v>-0.741</v>
      </c>
      <c r="DC43" s="17" t="n">
        <f aca="false">Daily_Composite!AS110</f>
        <v>-0.654</v>
      </c>
      <c r="DD43" s="17" t="n">
        <f aca="false">Daily_Composite!AS111</f>
        <v>-0.721</v>
      </c>
      <c r="DE43" s="17" t="n">
        <f aca="false">Daily_Composite!AS112</f>
        <v>-0.476</v>
      </c>
      <c r="DF43" s="17" t="n">
        <f aca="false">Daily_Composite!AS113</f>
        <v>-0.647</v>
      </c>
      <c r="DG43" s="17" t="n">
        <f aca="false">Daily_Composite!AS114</f>
        <v>-0.471</v>
      </c>
      <c r="DH43" s="17" t="n">
        <f aca="false">Daily_Composite!AS115</f>
        <v>-0.428</v>
      </c>
      <c r="DI43" s="17" t="n">
        <f aca="false">Daily_Composite!AS116</f>
        <v>-0.409</v>
      </c>
      <c r="DJ43" s="17" t="n">
        <f aca="false">Daily_Composite!AS117</f>
        <v>-0.516</v>
      </c>
      <c r="DK43" s="17" t="n">
        <f aca="false">Daily_Composite!AS118</f>
        <v>-0.663</v>
      </c>
      <c r="DL43" s="17" t="n">
        <f aca="false">Daily_Composite!AS119</f>
        <v>-0.391</v>
      </c>
      <c r="DM43" s="17" t="n">
        <f aca="false">Daily_Composite!AS120</f>
        <v>-0.65</v>
      </c>
      <c r="DN43" s="17" t="n">
        <f aca="false">Daily_Composite!AS121</f>
        <v>-0.329</v>
      </c>
      <c r="DO43" s="17" t="n">
        <f aca="false">Daily_Composite!AS122</f>
        <v>-0.364</v>
      </c>
      <c r="DP43" s="17" t="n">
        <f aca="false">Daily_Composite!AS123</f>
        <v>-0.228</v>
      </c>
      <c r="DQ43" s="17" t="n">
        <f aca="false">Daily_Composite!AS124</f>
        <v>-0.27</v>
      </c>
      <c r="DR43" s="17" t="n">
        <f aca="false">Daily_Composite!AS125</f>
        <v>0.156</v>
      </c>
      <c r="DS43" s="17" t="n">
        <f aca="false">Daily_Composite!AS126</f>
        <v>0.271</v>
      </c>
      <c r="DT43" s="17" t="n">
        <f aca="false">Daily_Composite!AS127</f>
        <v>-0.105</v>
      </c>
      <c r="DU43" s="17" t="n">
        <f aca="false">Daily_Composite!AS128</f>
        <v>-0.134</v>
      </c>
      <c r="DV43" s="17" t="n">
        <f aca="false">Daily_Composite!AS129</f>
        <v>-0.42</v>
      </c>
      <c r="DW43" s="17" t="n">
        <f aca="false">Daily_Composite!AS130</f>
        <v>0.068</v>
      </c>
      <c r="DX43" s="17" t="n">
        <f aca="false">Daily_Composite!AS131</f>
        <v>0.289</v>
      </c>
      <c r="DY43" s="17" t="n">
        <f aca="false">Daily_Composite!AS132</f>
        <v>-0.159</v>
      </c>
      <c r="DZ43" s="17" t="n">
        <f aca="false">Daily_Composite!AS133</f>
        <v>-0.115</v>
      </c>
      <c r="EA43" s="17" t="n">
        <f aca="false">Daily_Composite!AS134</f>
        <v>-0.094</v>
      </c>
      <c r="EB43" s="17" t="n">
        <f aca="false">Daily_Composite!AS135</f>
        <v>0.192</v>
      </c>
      <c r="EC43" s="17" t="n">
        <f aca="false">Daily_Composite!AS136</f>
        <v>0.076</v>
      </c>
      <c r="ED43" s="17" t="n">
        <f aca="false">Daily_Composite!AS137</f>
        <v>-0.423</v>
      </c>
      <c r="EE43" s="17" t="n">
        <f aca="false">Daily_Composite!AS138</f>
        <v>-0.593</v>
      </c>
      <c r="EF43" s="17" t="n">
        <f aca="false">Daily_Composite!AS139</f>
        <v>-0.273</v>
      </c>
      <c r="EG43" s="17" t="n">
        <f aca="false">Daily_Composite!AS140</f>
        <v>0.279</v>
      </c>
      <c r="EH43" s="17" t="n">
        <f aca="false">Daily_Composite!AS141</f>
        <v>-0.098</v>
      </c>
      <c r="EI43" s="17" t="n">
        <f aca="false">Daily_Composite!AS142</f>
        <v>-0.064</v>
      </c>
      <c r="EJ43" s="17" t="n">
        <f aca="false">Daily_Composite!AS143</f>
        <v>-0.222</v>
      </c>
      <c r="EK43" s="17" t="n">
        <f aca="false">Daily_Composite!AS144</f>
        <v>-0.518</v>
      </c>
      <c r="EL43" s="17" t="n">
        <f aca="false">Daily_Composite!AS145</f>
        <v>-0.2</v>
      </c>
      <c r="EM43" s="17" t="n">
        <f aca="false">Daily_Composite!AS146</f>
        <v>-0.162</v>
      </c>
      <c r="EN43" s="17" t="n">
        <f aca="false">Daily_Composite!AS147</f>
        <v>-0.496</v>
      </c>
      <c r="EO43" s="17" t="n">
        <f aca="false">Daily_Composite!AS148</f>
        <v>-0.116</v>
      </c>
      <c r="EP43" s="17" t="n">
        <f aca="false">Daily_Composite!AS149</f>
        <v>0.143</v>
      </c>
      <c r="EQ43" s="17" t="n">
        <f aca="false">Daily_Composite!AS150</f>
        <v>-0.064</v>
      </c>
      <c r="ER43" s="17" t="n">
        <f aca="false">Daily_Composite!AS151</f>
        <v>-0.195</v>
      </c>
      <c r="ES43" s="17" t="n">
        <f aca="false">Daily_Composite!AS152</f>
        <v>-0.206</v>
      </c>
      <c r="ET43" s="17" t="n">
        <f aca="false">Daily_Composite!AS153</f>
        <v>-0.466</v>
      </c>
      <c r="EU43" s="17" t="n">
        <f aca="false">Daily_Composite!AS154</f>
        <v>-0.469</v>
      </c>
      <c r="EV43" s="17" t="n">
        <f aca="false">Daily_Composite!AS155</f>
        <v>-0.291</v>
      </c>
      <c r="EW43" s="17" t="n">
        <f aca="false">Daily_Composite!AS156</f>
        <v>-0.415</v>
      </c>
      <c r="EX43" s="17" t="n">
        <f aca="false">Daily_Composite!AS157</f>
        <v>0.052</v>
      </c>
      <c r="EY43" s="17" t="n">
        <f aca="false">Daily_Composite!AS158</f>
        <v>-0.407</v>
      </c>
      <c r="EZ43" s="17" t="n">
        <f aca="false">Daily_Composite!AS159</f>
        <v>-0.128</v>
      </c>
      <c r="FA43" s="17" t="n">
        <f aca="false">Daily_Composite!AS160</f>
        <v>-0.092</v>
      </c>
      <c r="FB43" s="17" t="n">
        <f aca="false">Daily_Composite!AS161</f>
        <v>-0.355</v>
      </c>
      <c r="FC43" s="17" t="n">
        <f aca="false">Daily_Composite!AS162</f>
        <v>0.054</v>
      </c>
      <c r="FD43" s="17" t="n">
        <f aca="false">Daily_Composite!AS163</f>
        <v>-0.451</v>
      </c>
      <c r="FE43" s="17" t="n">
        <f aca="false">Daily_Composite!AS164</f>
        <v>-0.572</v>
      </c>
      <c r="FF43" s="17" t="n">
        <f aca="false">Daily_Composite!AS165</f>
        <v>-0.149</v>
      </c>
      <c r="FG43" s="17" t="n">
        <f aca="false">Daily_Composite!AS166</f>
        <v>-0.529</v>
      </c>
      <c r="FH43" s="17" t="n">
        <f aca="false">Daily_Composite!AS167</f>
        <v>-0.093</v>
      </c>
      <c r="FI43" s="17" t="n">
        <f aca="false">Daily_Composite!AS168</f>
        <v>-0.449</v>
      </c>
      <c r="FJ43" s="17" t="n">
        <f aca="false">Daily_Composite!AS169</f>
        <v>-0.119</v>
      </c>
      <c r="FK43" s="17" t="n">
        <f aca="false">Daily_Composite!AS170</f>
        <v>-0.081</v>
      </c>
      <c r="FL43" s="17" t="n">
        <f aca="false">Daily_Composite!AS171</f>
        <v>-0.076</v>
      </c>
      <c r="FM43" s="17" t="n">
        <f aca="false">Daily_Composite!AS172</f>
        <v>-0.058</v>
      </c>
      <c r="FN43" s="17" t="n">
        <f aca="false">Daily_Composite!AS173</f>
        <v>-0.037</v>
      </c>
      <c r="FO43" s="17" t="n">
        <f aca="false">Daily_Composite!AS174</f>
        <v>-0.287</v>
      </c>
      <c r="FP43" s="17" t="n">
        <f aca="false">Daily_Composite!AS175</f>
        <v>0.066</v>
      </c>
      <c r="FQ43" s="17" t="n">
        <f aca="false">Daily_Composite!AS176</f>
        <v>0.016</v>
      </c>
      <c r="FR43" s="17" t="n">
        <f aca="false">Daily_Composite!AS177</f>
        <v>0.088</v>
      </c>
      <c r="FS43" s="17" t="n">
        <f aca="false">Daily_Composite!AS178</f>
        <v>-0.025</v>
      </c>
      <c r="FT43" s="17" t="n">
        <f aca="false">Daily_Composite!AS179</f>
        <v>-0.037</v>
      </c>
      <c r="FU43" s="17" t="n">
        <f aca="false">Daily_Composite!AS180</f>
        <v>-0.481</v>
      </c>
      <c r="FV43" s="17" t="n">
        <f aca="false">Daily_Composite!AS181</f>
        <v>-0.434</v>
      </c>
      <c r="FW43" s="17" t="n">
        <f aca="false">Daily_Composite!AS182</f>
        <v>-0.167</v>
      </c>
      <c r="FX43" s="17" t="n">
        <f aca="false">Daily_Composite!AS183</f>
        <v>-0.119</v>
      </c>
      <c r="FY43" s="17" t="n">
        <f aca="false">Daily_Composite!AS184</f>
        <v>-0.099</v>
      </c>
      <c r="FZ43" s="17" t="n">
        <f aca="false">Daily_Composite!AS185</f>
        <v>-0.446</v>
      </c>
      <c r="GA43" s="17" t="n">
        <f aca="false">Daily_Composite!AS186</f>
        <v>-0.17</v>
      </c>
      <c r="GB43" s="17" t="n">
        <f aca="false">Daily_Composite!AS187</f>
        <v>-0.181</v>
      </c>
      <c r="GC43" s="17" t="n">
        <f aca="false">Daily_Composite!AS188</f>
        <v>-0.39</v>
      </c>
      <c r="GD43" s="17" t="n">
        <f aca="false">Daily_Composite!AS189</f>
        <v>-0.415</v>
      </c>
      <c r="GE43" s="17" t="n">
        <f aca="false">Daily_Composite!AS190</f>
        <v>-0.065</v>
      </c>
      <c r="GF43" s="17" t="n">
        <f aca="false">Daily_Composite!AS191</f>
        <v>-0.535</v>
      </c>
      <c r="GG43" s="17" t="n">
        <f aca="false">Daily_Composite!AS192</f>
        <v>-0.277</v>
      </c>
      <c r="GH43" s="17" t="n">
        <f aca="false">Daily_Composite!AS193</f>
        <v>-0.3</v>
      </c>
      <c r="GI43" s="17" t="n">
        <f aca="false">Daily_Composite!AS194</f>
        <v>-0.156</v>
      </c>
      <c r="GJ43" s="17" t="n">
        <f aca="false">Daily_Composite!AS195</f>
        <v>0.241</v>
      </c>
      <c r="GK43" s="17" t="n">
        <f aca="false">Daily_Composite!AS196</f>
        <v>-0.055</v>
      </c>
      <c r="GL43" s="17" t="n">
        <f aca="false">Daily_Composite!AS197</f>
        <v>-0.113</v>
      </c>
      <c r="GM43" s="17" t="n">
        <f aca="false">Daily_Composite!AS198</f>
        <v>-0.131</v>
      </c>
      <c r="GN43" s="17" t="n">
        <f aca="false">Daily_Composite!AS199</f>
        <v>-0.307</v>
      </c>
      <c r="GO43" s="17" t="n">
        <f aca="false">Daily_Composite!AS200</f>
        <v>-0.473</v>
      </c>
      <c r="GP43" s="17" t="n">
        <f aca="false">Daily_Composite!AS201</f>
        <v>-0.168</v>
      </c>
      <c r="GQ43" s="17" t="n">
        <f aca="false">Daily_Composite!AS202</f>
        <v>-0.409</v>
      </c>
      <c r="GR43" s="17" t="n">
        <f aca="false">Daily_Composite!AS203</f>
        <v>-0.183</v>
      </c>
      <c r="GS43" s="17" t="n">
        <f aca="false">Daily_Composite!AS204</f>
        <v>-0.262</v>
      </c>
      <c r="GT43" s="17" t="n">
        <f aca="false">Daily_Composite!AS205</f>
        <v>-0.095</v>
      </c>
      <c r="GU43" s="17" t="n">
        <f aca="false">Daily_Composite!AS206</f>
        <v>-0.195</v>
      </c>
      <c r="GV43" s="17" t="n">
        <f aca="false">Daily_Composite!AS207</f>
        <v>-0.168</v>
      </c>
      <c r="GW43" s="17" t="n">
        <f aca="false">Daily_Composite!AS208</f>
        <v>-0.338</v>
      </c>
      <c r="GX43" s="17" t="n">
        <f aca="false">Daily_Composite!AS209</f>
        <v>-0.085</v>
      </c>
      <c r="GY43" s="17" t="n">
        <f aca="false">Daily_Composite!AS210</f>
        <v>0.007</v>
      </c>
      <c r="GZ43" s="17" t="n">
        <f aca="false">Daily_Composite!AS211</f>
        <v>-0.235</v>
      </c>
      <c r="HA43" s="17" t="n">
        <f aca="false">Daily_Composite!AS212</f>
        <v>-0.103</v>
      </c>
      <c r="HB43" s="17" t="n">
        <f aca="false">Daily_Composite!AS213</f>
        <v>-0.457</v>
      </c>
      <c r="HC43" s="17" t="n">
        <f aca="false">Daily_Composite!AS214</f>
        <v>-0.096</v>
      </c>
      <c r="HD43" s="17" t="n">
        <f aca="false">Daily_Composite!AS215</f>
        <v>-0.345</v>
      </c>
      <c r="HE43" s="17" t="n">
        <f aca="false">Daily_Composite!AS216</f>
        <v>-0.347</v>
      </c>
      <c r="HF43" s="17" t="n">
        <f aca="false">Daily_Composite!AS217</f>
        <v>-0.356</v>
      </c>
      <c r="HG43" s="17" t="n">
        <f aca="false">Daily_Composite!AS218</f>
        <v>-0.559</v>
      </c>
      <c r="HH43" s="17" t="n">
        <f aca="false">Daily_Composite!AS219</f>
        <v>-0.333</v>
      </c>
      <c r="HI43" s="17" t="n">
        <f aca="false">Daily_Composite!AS220</f>
        <v>-0.511</v>
      </c>
      <c r="HJ43" s="17" t="n">
        <f aca="false">Daily_Composite!AS221</f>
        <v>-0.511</v>
      </c>
      <c r="HK43" s="17" t="n">
        <f aca="false">Daily_Composite!AS222</f>
        <v>-0.14</v>
      </c>
      <c r="HL43" s="17" t="n">
        <f aca="false">Daily_Composite!AS223</f>
        <v>-0.063</v>
      </c>
      <c r="HM43" s="17" t="n">
        <f aca="false">Daily_Composite!AS224</f>
        <v>-0.307</v>
      </c>
      <c r="HN43" s="17" t="n">
        <f aca="false">Daily_Composite!AS225</f>
        <v>-0.082</v>
      </c>
      <c r="HO43" s="17" t="n">
        <f aca="false">Daily_Composite!AS226</f>
        <v>-0.082</v>
      </c>
      <c r="HP43" s="17" t="n">
        <f aca="false">Daily_Composite!AS227</f>
        <v>-0.485</v>
      </c>
      <c r="HQ43" s="17" t="n">
        <f aca="false">Daily_Composite!AS228</f>
        <v>-0.082</v>
      </c>
      <c r="HR43" s="17" t="n">
        <f aca="false">Daily_Composite!AS229</f>
        <v>-0.083</v>
      </c>
      <c r="HS43" s="17" t="n">
        <f aca="false">Daily_Composite!AS230</f>
        <v>-0.094</v>
      </c>
      <c r="HT43" s="17" t="n">
        <f aca="false">Daily_Composite!AS231</f>
        <v>-0.417</v>
      </c>
      <c r="HU43" s="17" t="n">
        <f aca="false">Daily_Composite!AS232</f>
        <v>-0.048</v>
      </c>
      <c r="HV43" s="17" t="n">
        <f aca="false">Daily_Composite!AS233</f>
        <v>-0.084</v>
      </c>
      <c r="HW43" s="17" t="n">
        <f aca="false">Daily_Composite!AS234</f>
        <v>-0.084</v>
      </c>
      <c r="HX43" s="17" t="n">
        <f aca="false">Daily_Composite!AS235</f>
        <v>-0.108</v>
      </c>
      <c r="HY43" s="17" t="n">
        <f aca="false">Daily_Composite!AS236</f>
        <v>-0.319</v>
      </c>
      <c r="HZ43" s="17" t="n">
        <f aca="false">Daily_Composite!AS237</f>
        <v>-0.186</v>
      </c>
      <c r="IA43" s="17" t="n">
        <f aca="false">Daily_Composite!AS238</f>
        <v>-0.056</v>
      </c>
      <c r="IB43" s="17" t="n">
        <f aca="false">Daily_Composite!AS239</f>
        <v>-0.066</v>
      </c>
      <c r="IC43" s="17" t="n">
        <f aca="false">Daily_Composite!AS240</f>
        <v>-0.436</v>
      </c>
      <c r="ID43" s="17" t="n">
        <f aca="false">Daily_Composite!AS241</f>
        <v>-0.07</v>
      </c>
      <c r="IE43" s="17" t="n">
        <f aca="false">Daily_Composite!AS242</f>
        <v>-0.346</v>
      </c>
      <c r="IF43" s="17" t="n">
        <f aca="false">Daily_Composite!AS243</f>
        <v>-0.311</v>
      </c>
      <c r="IG43" s="17" t="n">
        <f aca="false">Daily_Composite!AS244</f>
        <v>-0.349</v>
      </c>
      <c r="IH43" s="17" t="n">
        <f aca="false">Daily_Composite!AS245</f>
        <v>0.032</v>
      </c>
      <c r="II43" s="17" t="n">
        <f aca="false">Daily_Composite!AS246</f>
        <v>-0.248</v>
      </c>
      <c r="IJ43" s="17" t="n">
        <f aca="false">Daily_Composite!AS247</f>
        <v>-0.308</v>
      </c>
      <c r="IK43" s="17" t="n">
        <f aca="false">Daily_Composite!AS248</f>
        <v>-0.084</v>
      </c>
      <c r="IL43" s="17" t="n">
        <f aca="false">Daily_Composite!AS249</f>
        <v>-0.088</v>
      </c>
      <c r="IM43" s="17" t="n">
        <f aca="false">Daily_Composite!AS250</f>
        <v>0.038</v>
      </c>
      <c r="IN43" s="17" t="n">
        <f aca="false">Daily_Composite!AS251</f>
        <v>0.146</v>
      </c>
      <c r="IO43" s="17" t="n">
        <f aca="false">Daily_Composite!AS252</f>
        <v>-0.072</v>
      </c>
      <c r="IP43" s="17" t="n">
        <f aca="false">Daily_Composite!AS253</f>
        <v>-0.091</v>
      </c>
      <c r="IQ43" s="17" t="n">
        <f aca="false">Daily_Composite!AS254</f>
        <v>0.148</v>
      </c>
      <c r="IR43" s="17" t="n">
        <f aca="false">Daily_Composite!AS255</f>
        <v>-0.093</v>
      </c>
      <c r="IS43" s="17" t="n">
        <f aca="false">Daily_Composite!AS256</f>
        <v>-0.486</v>
      </c>
      <c r="IT43" s="17" t="n">
        <f aca="false">Daily_Composite!AS257</f>
        <v>-0.169</v>
      </c>
      <c r="IU43" s="17" t="n">
        <f aca="false">Daily_Composite!AS258</f>
        <v>-0.156</v>
      </c>
      <c r="IV43" s="17" t="n">
        <f aca="false">Daily_Composite!AS259</f>
        <v>-0.172</v>
      </c>
      <c r="IW43" s="17" t="n">
        <f aca="false">Daily_Composite!AS260</f>
        <v>-0.168</v>
      </c>
      <c r="IX43" s="17" t="n">
        <f aca="false">Daily_Composite!AS261</f>
        <v>-0.197</v>
      </c>
      <c r="IY43" s="17" t="n">
        <f aca="false">Daily_Composite!AS262</f>
        <v>-0.453</v>
      </c>
      <c r="IZ43" s="17" t="n">
        <f aca="false">Daily_Composite!AS263</f>
        <v>0.091</v>
      </c>
      <c r="JA43" s="17" t="n">
        <f aca="false">Daily_Composite!AS264</f>
        <v>-0.191</v>
      </c>
      <c r="JB43" s="17" t="n">
        <f aca="false">Daily_Composite!AS265</f>
        <v>-0.355</v>
      </c>
      <c r="JC43" s="17" t="n">
        <f aca="false">Daily_Composite!AS266</f>
        <v>-0.366</v>
      </c>
      <c r="JD43" s="17" t="n">
        <f aca="false">Daily_Composite!AS267</f>
        <v>-0.19</v>
      </c>
      <c r="JE43" s="17" t="n">
        <f aca="false">Daily_Composite!AS268</f>
        <v>-0.161</v>
      </c>
      <c r="JF43" s="17" t="n">
        <f aca="false">Daily_Composite!AS269</f>
        <v>-0.177</v>
      </c>
      <c r="JG43" s="17" t="n">
        <f aca="false">Daily_Composite!AS270</f>
        <v>-0.461</v>
      </c>
      <c r="JH43" s="17" t="n">
        <f aca="false">Daily_Composite!AS271</f>
        <v>-0.425</v>
      </c>
      <c r="JI43" s="17" t="n">
        <f aca="false">Daily_Composite!AS272</f>
        <v>-0.528</v>
      </c>
      <c r="JJ43" s="17" t="n">
        <f aca="false">Daily_Composite!AS273</f>
        <v>-0.349</v>
      </c>
      <c r="JK43" s="17" t="n">
        <f aca="false">Daily_Composite!AS274</f>
        <v>-0.422</v>
      </c>
      <c r="JL43" s="17" t="n">
        <f aca="false">Daily_Composite!AS275</f>
        <v>-0.435</v>
      </c>
      <c r="JM43" s="17" t="n">
        <f aca="false">Daily_Composite!AS276</f>
        <v>-0.142</v>
      </c>
      <c r="JN43" s="17" t="n">
        <f aca="false">Daily_Composite!AS277</f>
        <v>0.01</v>
      </c>
      <c r="JO43" s="17" t="n">
        <f aca="false">Daily_Composite!AS278</f>
        <v>0.048</v>
      </c>
      <c r="JP43" s="17" t="n">
        <f aca="false">Daily_Composite!AS279</f>
        <v>-0.154</v>
      </c>
      <c r="JQ43" s="17" t="n">
        <f aca="false">Daily_Composite!AS280</f>
        <v>-0.148</v>
      </c>
      <c r="JR43" s="17" t="n">
        <f aca="false">Daily_Composite!AS281</f>
        <v>-0.456</v>
      </c>
      <c r="JS43" s="17" t="n">
        <f aca="false">Daily_Composite!AS282</f>
        <v>0.176</v>
      </c>
      <c r="JT43" s="17" t="n">
        <f aca="false">Daily_Composite!AS283</f>
        <v>-0.177</v>
      </c>
      <c r="JU43" s="17" t="n">
        <f aca="false">Daily_Composite!AS284</f>
        <v>-0.471</v>
      </c>
      <c r="JV43" s="17" t="n">
        <f aca="false">Daily_Composite!AS285</f>
        <v>-0.199</v>
      </c>
      <c r="JW43" s="17" t="n">
        <f aca="false">Daily_Composite!AS286</f>
        <v>-0.163</v>
      </c>
      <c r="JX43" s="17" t="n">
        <f aca="false">Daily_Composite!AS287</f>
        <v>-0.179</v>
      </c>
      <c r="JY43" s="17" t="n">
        <f aca="false">Daily_Composite!AS288</f>
        <v>-0.187</v>
      </c>
      <c r="JZ43" s="17" t="n">
        <f aca="false">Daily_Composite!AS289</f>
        <v>-0.034</v>
      </c>
      <c r="KA43" s="17" t="n">
        <f aca="false">Daily_Composite!AS290</f>
        <v>0.164</v>
      </c>
      <c r="KB43" s="17" t="n">
        <f aca="false">Daily_Composite!AS291</f>
        <v>-0.246</v>
      </c>
      <c r="KC43" s="17" t="n">
        <f aca="false">Daily_Composite!AS292</f>
        <v>-0.526</v>
      </c>
      <c r="KD43" s="17" t="n">
        <f aca="false">Daily_Composite!AS293</f>
        <v>-0.252</v>
      </c>
      <c r="KE43" s="17" t="n">
        <f aca="false">Daily_Composite!AS294</f>
        <v>0.205</v>
      </c>
      <c r="KF43" s="17" t="n">
        <f aca="false">Daily_Composite!AS295</f>
        <v>0.269</v>
      </c>
      <c r="KG43" s="17" t="n">
        <f aca="false">Daily_Composite!AS296</f>
        <v>-0.036</v>
      </c>
      <c r="KH43" s="17" t="n">
        <f aca="false">Daily_Composite!AS297</f>
        <v>-0.396</v>
      </c>
      <c r="KI43" s="17" t="n">
        <f aca="false">Daily_Composite!AS298</f>
        <v>-0.453</v>
      </c>
      <c r="KJ43" s="17" t="n">
        <f aca="false">Daily_Composite!AS299</f>
        <v>-0.467</v>
      </c>
      <c r="KK43" s="17" t="n">
        <f aca="false">Daily_Composite!AS300</f>
        <v>-0.17</v>
      </c>
      <c r="KL43" s="17" t="n">
        <f aca="false">Daily_Composite!AS301</f>
        <v>-0.465</v>
      </c>
      <c r="KM43" s="17" t="n">
        <f aca="false">Daily_Composite!AS302</f>
        <v>-0.274</v>
      </c>
      <c r="KN43" s="17" t="n">
        <f aca="false">Daily_Composite!AS303</f>
        <v>-0.149</v>
      </c>
      <c r="KO43" s="17" t="n">
        <f aca="false">Daily_Composite!AS304</f>
        <v>-0.06</v>
      </c>
      <c r="KP43" s="17" t="n">
        <f aca="false">Daily_Composite!AS305</f>
        <v>-0.182</v>
      </c>
      <c r="KQ43" s="17" t="n">
        <f aca="false">Daily_Composite!AS306</f>
        <v>-0.045</v>
      </c>
      <c r="KR43" s="17" t="n">
        <f aca="false">Daily_Composite!AS307</f>
        <v>-0.174</v>
      </c>
      <c r="KS43" s="17" t="n">
        <f aca="false">Daily_Composite!AS308</f>
        <v>-0.413</v>
      </c>
      <c r="KT43" s="17" t="n">
        <f aca="false">Daily_Composite!AS309</f>
        <v>0.107</v>
      </c>
      <c r="KU43" s="17" t="n">
        <f aca="false">Daily_Composite!AS310</f>
        <v>-0.174</v>
      </c>
      <c r="KV43" s="17" t="n">
        <f aca="false">Daily_Composite!AS311</f>
        <v>-0.547</v>
      </c>
      <c r="KW43" s="17" t="n">
        <f aca="false">Daily_Composite!AS312</f>
        <v>-0.203</v>
      </c>
      <c r="KX43" s="17" t="n">
        <f aca="false">Daily_Composite!AS313</f>
        <v>-0.2</v>
      </c>
      <c r="KY43" s="17" t="n">
        <f aca="false">Daily_Composite!AS314</f>
        <v>-0.162</v>
      </c>
      <c r="KZ43" s="17" t="n">
        <f aca="false">Daily_Composite!AS315</f>
        <v>-0.185</v>
      </c>
      <c r="LA43" s="17" t="n">
        <f aca="false">Daily_Composite!AS316</f>
        <v>-0.181</v>
      </c>
      <c r="LB43" s="17" t="n">
        <f aca="false">Daily_Composite!AS317</f>
        <v>-0.195</v>
      </c>
      <c r="LC43" s="17" t="n">
        <f aca="false">Daily_Composite!AS318</f>
        <v>0.122</v>
      </c>
      <c r="LD43" s="17" t="n">
        <f aca="false">Daily_Composite!AS319</f>
        <v>-0.264</v>
      </c>
      <c r="LE43" s="17" t="n">
        <f aca="false">Daily_Composite!AS320</f>
        <v>-0.483</v>
      </c>
      <c r="LF43" s="17" t="n">
        <f aca="false">Daily_Composite!AS321</f>
        <v>-0.001</v>
      </c>
      <c r="LG43" s="17" t="n">
        <f aca="false">Daily_Composite!AS322</f>
        <v>0.113</v>
      </c>
      <c r="LH43" s="17" t="n">
        <f aca="false">Daily_Composite!AS323</f>
        <v>0.126</v>
      </c>
      <c r="LI43" s="17" t="n">
        <f aca="false">Daily_Composite!AS324</f>
        <v>-0.193</v>
      </c>
      <c r="LJ43" s="17" t="n">
        <f aca="false">Daily_Composite!AS325</f>
        <v>-0.177</v>
      </c>
      <c r="LK43" s="17" t="n">
        <f aca="false">Daily_Composite!AS326</f>
        <v>-0.478</v>
      </c>
      <c r="LL43" s="17" t="n">
        <f aca="false">Daily_Composite!AS327</f>
        <v>0.323</v>
      </c>
      <c r="LM43" s="17" t="n">
        <f aca="false">Daily_Composite!AS328</f>
        <v>-0.036</v>
      </c>
      <c r="LN43" s="17" t="n">
        <f aca="false">Daily_Composite!AS329</f>
        <v>0.14</v>
      </c>
      <c r="LO43" s="17" t="n">
        <f aca="false">Daily_Composite!AS330</f>
        <v>-0.256</v>
      </c>
      <c r="LP43" s="17" t="n">
        <f aca="false">Daily_Composite!AS331</f>
        <v>0.163</v>
      </c>
      <c r="LQ43" s="17" t="n">
        <f aca="false">Daily_Composite!AS332</f>
        <v>0.305</v>
      </c>
      <c r="LR43" s="17" t="n">
        <f aca="false">Daily_Composite!AS333</f>
        <v>0.305</v>
      </c>
      <c r="LS43" s="17" t="n">
        <f aca="false">Daily_Composite!AS334</f>
        <v>0.15</v>
      </c>
      <c r="LT43" s="17" t="n">
        <f aca="false">Daily_Composite!AS335</f>
        <v>0.162</v>
      </c>
      <c r="LU43" s="17" t="n">
        <f aca="false">Daily_Composite!AS336</f>
        <v>-0.337</v>
      </c>
      <c r="LV43" s="17" t="n">
        <f aca="false">Daily_Composite!AS337</f>
        <v>0.371</v>
      </c>
      <c r="LW43" s="17" t="n">
        <f aca="false">Daily_Composite!AS338</f>
        <v>0.205</v>
      </c>
      <c r="LX43" s="17" t="n">
        <f aca="false">Daily_Composite!AS339</f>
        <v>0.166</v>
      </c>
      <c r="LY43" s="17" t="n">
        <f aca="false">Daily_Composite!AS340</f>
        <v>0.155</v>
      </c>
      <c r="LZ43" s="17" t="n">
        <f aca="false">Daily_Composite!AS341</f>
        <v>0.181</v>
      </c>
      <c r="MA43" s="17" t="n">
        <f aca="false">Daily_Composite!AS342</f>
        <v>0.128</v>
      </c>
      <c r="MB43" s="17" t="n">
        <f aca="false">Daily_Composite!AS343</f>
        <v>0.138</v>
      </c>
      <c r="MC43" s="17" t="n">
        <f aca="false">Daily_Composite!AS344</f>
        <v>-0.36</v>
      </c>
      <c r="MD43" s="17" t="n">
        <f aca="false">Daily_Composite!AS345</f>
        <v>0.128</v>
      </c>
      <c r="ME43" s="17" t="n">
        <f aca="false">Daily_Composite!AS346</f>
        <v>0.166</v>
      </c>
      <c r="MF43" s="17" t="n">
        <f aca="false">Daily_Composite!AS347</f>
        <v>0.371</v>
      </c>
      <c r="MG43" s="17" t="n">
        <f aca="false">Daily_Composite!AS348</f>
        <v>0.038</v>
      </c>
      <c r="MH43" s="17" t="n">
        <f aca="false">Daily_Composite!AS349</f>
        <v>0.171</v>
      </c>
      <c r="MI43" s="17" t="n">
        <f aca="false">Daily_Composite!AS350</f>
        <v>0.216</v>
      </c>
      <c r="MJ43" s="17" t="n">
        <f aca="false">Daily_Composite!AS351</f>
        <v>0.261</v>
      </c>
      <c r="MK43" s="17" t="n">
        <f aca="false">Daily_Composite!AS352</f>
        <v>0.031</v>
      </c>
      <c r="ML43" s="17" t="n">
        <f aca="false">Daily_Composite!AS353</f>
        <v>0.017</v>
      </c>
      <c r="MM43" s="17" t="n">
        <f aca="false">Daily_Composite!AS354</f>
        <v>-0.008</v>
      </c>
      <c r="MN43" s="17" t="n">
        <f aca="false">Daily_Composite!AS355</f>
        <v>-0.082</v>
      </c>
      <c r="MO43" s="17" t="n">
        <f aca="false">Daily_Composite!AS356</f>
        <v>-0.186</v>
      </c>
      <c r="MP43" s="17" t="n">
        <f aca="false">Daily_Composite!AS357</f>
        <v>0.402</v>
      </c>
      <c r="MQ43" s="17" t="n">
        <f aca="false">Daily_Composite!AS358</f>
        <v>-0.036</v>
      </c>
      <c r="MR43" s="17" t="n">
        <f aca="false">Daily_Composite!AS359</f>
        <v>-0.204</v>
      </c>
      <c r="MS43" s="17" t="n">
        <f aca="false">Daily_Composite!AS360</f>
        <v>-0.162</v>
      </c>
      <c r="MT43" s="17" t="n">
        <f aca="false">Daily_Composite!AS361</f>
        <v>-0.146</v>
      </c>
      <c r="MU43" s="17" t="n">
        <f aca="false">Daily_Composite!AS362</f>
        <v>-0.145</v>
      </c>
      <c r="MV43" s="17" t="n">
        <f aca="false">Daily_Composite!AS363</f>
        <v>-0.195</v>
      </c>
      <c r="MW43" s="17" t="n">
        <f aca="false">Daily_Composite!AS364</f>
        <v>-0.16</v>
      </c>
      <c r="MX43" s="17" t="n">
        <f aca="false">Daily_Composite!AS365</f>
        <v>-0.186</v>
      </c>
      <c r="MY43" s="17" t="n">
        <f aca="false">Daily_Composite!AS366</f>
        <v>0.242</v>
      </c>
      <c r="MZ43" s="17" t="n">
        <f aca="false">Daily_Composite!AS367</f>
        <v>-0.234</v>
      </c>
      <c r="NA43" s="17" t="n">
        <f aca="false">Daily_Composite!AS368</f>
        <v>-0.216</v>
      </c>
      <c r="NB43" s="17" t="n">
        <f aca="false">Daily_Composite!AS369</f>
        <v>-0.239</v>
      </c>
    </row>
    <row r="44" customFormat="false" ht="15" hidden="false" customHeight="false" outlineLevel="0" collapsed="false">
      <c r="A44" s="6" t="s">
        <v>57</v>
      </c>
      <c r="B44" s="17" t="n">
        <f aca="false">Daily_Composite!AT5</f>
        <v>0.029</v>
      </c>
      <c r="C44" s="17" t="n">
        <f aca="false">Daily_Composite!AT6</f>
        <v>-0.362</v>
      </c>
      <c r="D44" s="17" t="n">
        <f aca="false">Daily_Composite!AT7</f>
        <v>0.076</v>
      </c>
      <c r="E44" s="17" t="n">
        <f aca="false">Daily_Composite!AT8</f>
        <v>-0.084</v>
      </c>
      <c r="F44" s="17" t="n">
        <f aca="false">Daily_Composite!AT9</f>
        <v>-0.371</v>
      </c>
      <c r="G44" s="17" t="n">
        <f aca="false">Daily_Composite!AT10</f>
        <v>0.017</v>
      </c>
      <c r="H44" s="17" t="n">
        <f aca="false">Daily_Composite!AT11</f>
        <v>0.311</v>
      </c>
      <c r="I44" s="17" t="n">
        <f aca="false">Daily_Composite!AT12</f>
        <v>0.107</v>
      </c>
      <c r="J44" s="17" t="n">
        <f aca="false">Daily_Composite!AT13</f>
        <v>0.119</v>
      </c>
      <c r="K44" s="17" t="n">
        <f aca="false">Daily_Composite!AT14</f>
        <v>-0.231</v>
      </c>
      <c r="L44" s="17" t="n">
        <f aca="false">Daily_Composite!AT15</f>
        <v>0.04</v>
      </c>
      <c r="M44" s="17" t="n">
        <f aca="false">Daily_Composite!AT16</f>
        <v>0.054</v>
      </c>
      <c r="N44" s="17" t="n">
        <f aca="false">Daily_Composite!AT17</f>
        <v>0.084</v>
      </c>
      <c r="O44" s="17" t="n">
        <f aca="false">Daily_Composite!AT18</f>
        <v>-0.246</v>
      </c>
      <c r="P44" s="17" t="n">
        <f aca="false">Daily_Composite!AT19</f>
        <v>0.109</v>
      </c>
      <c r="Q44" s="17" t="n">
        <f aca="false">Daily_Composite!AT20</f>
        <v>0.052</v>
      </c>
      <c r="R44" s="17" t="n">
        <f aca="false">Daily_Composite!AT21</f>
        <v>0.274</v>
      </c>
      <c r="S44" s="17" t="n">
        <f aca="false">Daily_Composite!AT22</f>
        <v>0.159</v>
      </c>
      <c r="T44" s="17" t="n">
        <f aca="false">Daily_Composite!AT23</f>
        <v>0.074</v>
      </c>
      <c r="U44" s="17" t="n">
        <f aca="false">Daily_Composite!AT24</f>
        <v>-0.107</v>
      </c>
      <c r="V44" s="17" t="n">
        <f aca="false">Daily_Composite!AT25</f>
        <v>0.032</v>
      </c>
      <c r="W44" s="17" t="n">
        <f aca="false">Daily_Composite!AT26</f>
        <v>-0.005</v>
      </c>
      <c r="X44" s="17" t="n">
        <f aca="false">Daily_Composite!AT27</f>
        <v>-0.009</v>
      </c>
      <c r="Y44" s="17" t="n">
        <f aca="false">Daily_Composite!AT28</f>
        <v>0.392</v>
      </c>
      <c r="Z44" s="17" t="n">
        <f aca="false">Daily_Composite!AT29</f>
        <v>-0.003</v>
      </c>
      <c r="AA44" s="17" t="n">
        <f aca="false">Daily_Composite!AT30</f>
        <v>0.189</v>
      </c>
      <c r="AB44" s="17" t="n">
        <f aca="false">Daily_Composite!AT31</f>
        <v>0.066</v>
      </c>
      <c r="AC44" s="17" t="n">
        <f aca="false">Daily_Composite!AT32</f>
        <v>0.048</v>
      </c>
      <c r="AD44" s="17" t="n">
        <f aca="false">Daily_Composite!AT33</f>
        <v>0.516</v>
      </c>
      <c r="AE44" s="17" t="n">
        <f aca="false">Daily_Composite!AT34</f>
        <v>0.067</v>
      </c>
      <c r="AF44" s="17" t="n">
        <f aca="false">Daily_Composite!AT35</f>
        <v>0.047</v>
      </c>
      <c r="AG44" s="17" t="n">
        <f aca="false">Daily_Composite!AT36</f>
        <v>0.116</v>
      </c>
      <c r="AH44" s="17" t="n">
        <f aca="false">Daily_Composite!AT37</f>
        <v>0.536</v>
      </c>
      <c r="AI44" s="17" t="n">
        <f aca="false">Daily_Composite!AT38</f>
        <v>0.465</v>
      </c>
      <c r="AJ44" s="17" t="n">
        <f aca="false">Daily_Composite!AT39</f>
        <v>0.462</v>
      </c>
      <c r="AK44" s="17" t="n">
        <f aca="false">Daily_Composite!AT40</f>
        <v>0.411</v>
      </c>
      <c r="AL44" s="17" t="n">
        <f aca="false">Daily_Composite!AT41</f>
        <v>0.517</v>
      </c>
      <c r="AM44" s="17" t="n">
        <f aca="false">Daily_Composite!AT42</f>
        <v>0.085</v>
      </c>
      <c r="AN44" s="17" t="n">
        <f aca="false">Daily_Composite!AT43</f>
        <v>0.082</v>
      </c>
      <c r="AO44" s="17" t="n">
        <f aca="false">Daily_Composite!AT44</f>
        <v>0.123</v>
      </c>
      <c r="AP44" s="17" t="n">
        <f aca="false">Daily_Composite!AT45</f>
        <v>0.14</v>
      </c>
      <c r="AQ44" s="17" t="n">
        <f aca="false">Daily_Composite!AT46</f>
        <v>0.556</v>
      </c>
      <c r="AR44" s="17" t="n">
        <f aca="false">Daily_Composite!AT47</f>
        <v>0.111</v>
      </c>
      <c r="AS44" s="17" t="n">
        <f aca="false">Daily_Composite!AT48</f>
        <v>-0.11</v>
      </c>
      <c r="AT44" s="17" t="n">
        <f aca="false">Daily_Composite!AT49</f>
        <v>0.308</v>
      </c>
      <c r="AU44" s="17" t="n">
        <f aca="false">Daily_Composite!AT50</f>
        <v>0.3</v>
      </c>
      <c r="AV44" s="17" t="n">
        <f aca="false">Daily_Composite!AT51</f>
        <v>0.557</v>
      </c>
      <c r="AW44" s="17" t="n">
        <f aca="false">Daily_Composite!AT52</f>
        <v>0.154</v>
      </c>
      <c r="AX44" s="17" t="n">
        <f aca="false">Daily_Composite!AT53</f>
        <v>0.148</v>
      </c>
      <c r="AY44" s="17" t="n">
        <f aca="false">Daily_Composite!AT54</f>
        <v>0.165</v>
      </c>
      <c r="AZ44" s="17" t="n">
        <f aca="false">Daily_Composite!AT55</f>
        <v>0.205</v>
      </c>
      <c r="BA44" s="17" t="n">
        <f aca="false">Daily_Composite!AT56</f>
        <v>0.582</v>
      </c>
      <c r="BB44" s="17" t="n">
        <f aca="false">Daily_Composite!AT57</f>
        <v>0.172</v>
      </c>
      <c r="BC44" s="17" t="n">
        <f aca="false">Daily_Composite!AT58</f>
        <v>-0.245</v>
      </c>
      <c r="BD44" s="17" t="n">
        <f aca="false">Daily_Composite!AT59</f>
        <v>0.169</v>
      </c>
      <c r="BE44" s="17" t="n">
        <f aca="false">Daily_Composite!AT60</f>
        <v>0.151</v>
      </c>
      <c r="BF44" s="17" t="n">
        <f aca="false">Daily_Composite!AT61</f>
        <v>0.195</v>
      </c>
      <c r="BG44" s="17" t="n">
        <f aca="false">Daily_Composite!AT62</f>
        <v>0.187</v>
      </c>
      <c r="BH44" s="17" t="n">
        <f aca="false">Daily_Composite!AT63</f>
        <v>-0.001</v>
      </c>
      <c r="BI44" s="17" t="n">
        <f aca="false">Daily_Composite!AT64</f>
        <v>0.345</v>
      </c>
      <c r="BJ44" s="17" t="n">
        <f aca="false">Daily_Composite!AT65</f>
        <v>0.15</v>
      </c>
      <c r="BK44" s="17" t="n">
        <f aca="false">Daily_Composite!AT66</f>
        <v>0.218</v>
      </c>
      <c r="BL44" s="17" t="n">
        <f aca="false">Daily_Composite!AT67</f>
        <v>0.397</v>
      </c>
      <c r="BM44" s="17" t="n">
        <f aca="false">Daily_Composite!AT68</f>
        <v>0.409</v>
      </c>
      <c r="BN44" s="17" t="n">
        <f aca="false">Daily_Composite!AT69</f>
        <v>0.093</v>
      </c>
      <c r="BO44" s="17" t="n">
        <f aca="false">Daily_Composite!AT70</f>
        <v>0.078</v>
      </c>
      <c r="BP44" s="17" t="n">
        <f aca="false">Daily_Composite!AT71</f>
        <v>0.136</v>
      </c>
      <c r="BQ44" s="17" t="n">
        <f aca="false">Daily_Composite!AT72</f>
        <v>0.129</v>
      </c>
      <c r="BR44" s="17" t="n">
        <f aca="false">Daily_Composite!AT73</f>
        <v>0.4</v>
      </c>
      <c r="BS44" s="17" t="n">
        <f aca="false">Daily_Composite!AT74</f>
        <v>0.156</v>
      </c>
      <c r="BT44" s="17" t="n">
        <f aca="false">Daily_Composite!AT75</f>
        <v>0.353</v>
      </c>
      <c r="BU44" s="17" t="n">
        <f aca="false">Daily_Composite!AT76</f>
        <v>0.274</v>
      </c>
      <c r="BV44" s="17" t="n">
        <f aca="false">Daily_Composite!AT77</f>
        <v>0.218</v>
      </c>
      <c r="BW44" s="17" t="n">
        <f aca="false">Daily_Composite!AT78</f>
        <v>0.555</v>
      </c>
      <c r="BX44" s="17" t="n">
        <f aca="false">Daily_Composite!AT79</f>
        <v>0.154</v>
      </c>
      <c r="BY44" s="17" t="n">
        <f aca="false">Daily_Composite!AT80</f>
        <v>0.114</v>
      </c>
      <c r="BZ44" s="17" t="n">
        <f aca="false">Daily_Composite!AT81</f>
        <v>0.158</v>
      </c>
      <c r="CA44" s="17" t="n">
        <f aca="false">Daily_Composite!AT82</f>
        <v>0.145</v>
      </c>
      <c r="CB44" s="17" t="n">
        <f aca="false">Daily_Composite!AT83</f>
        <v>0.52</v>
      </c>
      <c r="CC44" s="17" t="n">
        <f aca="false">Daily_Composite!AT84</f>
        <v>0.093</v>
      </c>
      <c r="CD44" s="17" t="n">
        <f aca="false">Daily_Composite!AT85</f>
        <v>0.49</v>
      </c>
      <c r="CE44" s="17" t="n">
        <f aca="false">Daily_Composite!AT86</f>
        <v>0.15</v>
      </c>
      <c r="CF44" s="17" t="n">
        <f aca="false">Daily_Composite!AT87</f>
        <v>0.167</v>
      </c>
      <c r="CG44" s="17" t="n">
        <f aca="false">Daily_Composite!AT88</f>
        <v>0.17</v>
      </c>
      <c r="CH44" s="17" t="n">
        <f aca="false">Daily_Composite!AT89</f>
        <v>0.126</v>
      </c>
      <c r="CI44" s="17" t="n">
        <f aca="false">Daily_Composite!AT90</f>
        <v>0.106</v>
      </c>
      <c r="CJ44" s="17" t="n">
        <f aca="false">Daily_Composite!AT91</f>
        <v>0.157</v>
      </c>
      <c r="CK44" s="17" t="n">
        <f aca="false">Daily_Composite!AT92</f>
        <v>0.073</v>
      </c>
      <c r="CL44" s="17" t="n">
        <f aca="false">Daily_Composite!AT93</f>
        <v>-0.016</v>
      </c>
      <c r="CM44" s="17" t="n">
        <f aca="false">Daily_Composite!AT94</f>
        <v>0.347</v>
      </c>
      <c r="CN44" s="17" t="n">
        <f aca="false">Daily_Composite!AT95</f>
        <v>0.229</v>
      </c>
      <c r="CO44" s="17" t="n">
        <f aca="false">Daily_Composite!AT96</f>
        <v>-0</v>
      </c>
      <c r="CP44" s="17" t="n">
        <f aca="false">Daily_Composite!AT97</f>
        <v>-0.17</v>
      </c>
      <c r="CQ44" s="17" t="n">
        <f aca="false">Daily_Composite!AT98</f>
        <v>-0.108</v>
      </c>
      <c r="CR44" s="17" t="n">
        <f aca="false">Daily_Composite!AT99</f>
        <v>-0.098</v>
      </c>
      <c r="CS44" s="17" t="n">
        <f aca="false">Daily_Composite!AT100</f>
        <v>-0.394</v>
      </c>
      <c r="CT44" s="17" t="n">
        <f aca="false">Daily_Composite!AT101</f>
        <v>-0.148</v>
      </c>
      <c r="CU44" s="17" t="n">
        <f aca="false">Daily_Composite!AT102</f>
        <v>-0.456</v>
      </c>
      <c r="CV44" s="17" t="n">
        <f aca="false">Daily_Composite!AT103</f>
        <v>-0.213</v>
      </c>
      <c r="CW44" s="17" t="n">
        <f aca="false">Daily_Composite!AT104</f>
        <v>-0.244</v>
      </c>
      <c r="CX44" s="17" t="n">
        <f aca="false">Daily_Composite!AT105</f>
        <v>-0.448</v>
      </c>
      <c r="CY44" s="17" t="n">
        <f aca="false">Daily_Composite!AT106</f>
        <v>0.225</v>
      </c>
      <c r="CZ44" s="17" t="n">
        <f aca="false">Daily_Composite!AT107</f>
        <v>-0.17</v>
      </c>
      <c r="DA44" s="17" t="n">
        <f aca="false">Daily_Composite!AT108</f>
        <v>-0.346</v>
      </c>
      <c r="DB44" s="17" t="n">
        <f aca="false">Daily_Composite!AT109</f>
        <v>-0.348</v>
      </c>
      <c r="DC44" s="17" t="n">
        <f aca="false">Daily_Composite!AT110</f>
        <v>-0.185</v>
      </c>
      <c r="DD44" s="17" t="n">
        <f aca="false">Daily_Composite!AT111</f>
        <v>-0.127</v>
      </c>
      <c r="DE44" s="17" t="n">
        <f aca="false">Daily_Composite!AT112</f>
        <v>-0.439</v>
      </c>
      <c r="DF44" s="17" t="n">
        <f aca="false">Daily_Composite!AT113</f>
        <v>-0.142</v>
      </c>
      <c r="DG44" s="17" t="n">
        <f aca="false">Daily_Composite!AT114</f>
        <v>-0.13</v>
      </c>
      <c r="DH44" s="17" t="n">
        <f aca="false">Daily_Composite!AT115</f>
        <v>0.163</v>
      </c>
      <c r="DI44" s="17" t="n">
        <f aca="false">Daily_Composite!AT116</f>
        <v>-0.147</v>
      </c>
      <c r="DJ44" s="17" t="n">
        <f aca="false">Daily_Composite!AT117</f>
        <v>-0.159</v>
      </c>
      <c r="DK44" s="17" t="n">
        <f aca="false">Daily_Composite!AT118</f>
        <v>-0.248</v>
      </c>
      <c r="DL44" s="17" t="n">
        <f aca="false">Daily_Composite!AT119</f>
        <v>-0.394</v>
      </c>
      <c r="DM44" s="17" t="n">
        <f aca="false">Daily_Composite!AT120</f>
        <v>-0.029</v>
      </c>
      <c r="DN44" s="17" t="n">
        <f aca="false">Daily_Composite!AT121</f>
        <v>-0.34</v>
      </c>
      <c r="DO44" s="17" t="n">
        <f aca="false">Daily_Composite!AT122</f>
        <v>-0.136</v>
      </c>
      <c r="DP44" s="17" t="n">
        <f aca="false">Daily_Composite!AT123</f>
        <v>0.379</v>
      </c>
      <c r="DQ44" s="17" t="n">
        <f aca="false">Daily_Composite!AT124</f>
        <v>-0.206</v>
      </c>
      <c r="DR44" s="17" t="n">
        <f aca="false">Daily_Composite!AT125</f>
        <v>-0.21</v>
      </c>
      <c r="DS44" s="17" t="n">
        <f aca="false">Daily_Composite!AT126</f>
        <v>-0.105</v>
      </c>
      <c r="DT44" s="17" t="n">
        <f aca="false">Daily_Composite!AT127</f>
        <v>-0.363</v>
      </c>
      <c r="DU44" s="17" t="n">
        <f aca="false">Daily_Composite!AT128</f>
        <v>-0.121</v>
      </c>
      <c r="DV44" s="17" t="n">
        <f aca="false">Daily_Composite!AT129</f>
        <v>-0.145</v>
      </c>
      <c r="DW44" s="17" t="n">
        <f aca="false">Daily_Composite!AT130</f>
        <v>0.378</v>
      </c>
      <c r="DX44" s="17" t="n">
        <f aca="false">Daily_Composite!AT131</f>
        <v>-0.143</v>
      </c>
      <c r="DY44" s="17" t="n">
        <f aca="false">Daily_Composite!AT132</f>
        <v>-0.117</v>
      </c>
      <c r="DZ44" s="17" t="n">
        <f aca="false">Daily_Composite!AT133</f>
        <v>0.339</v>
      </c>
      <c r="EA44" s="17" t="n">
        <f aca="false">Daily_Composite!AT134</f>
        <v>-0.001</v>
      </c>
      <c r="EB44" s="17" t="n">
        <f aca="false">Daily_Composite!AT135</f>
        <v>-0.005</v>
      </c>
      <c r="EC44" s="17" t="n">
        <f aca="false">Daily_Composite!AT136</f>
        <v>0.005</v>
      </c>
      <c r="ED44" s="17" t="n">
        <f aca="false">Daily_Composite!AT137</f>
        <v>-0.372</v>
      </c>
      <c r="EE44" s="17" t="n">
        <f aca="false">Daily_Composite!AT138</f>
        <v>0.07</v>
      </c>
      <c r="EF44" s="17" t="n">
        <f aca="false">Daily_Composite!AT139</f>
        <v>0.192</v>
      </c>
      <c r="EG44" s="17" t="n">
        <f aca="false">Daily_Composite!AT140</f>
        <v>-0.068</v>
      </c>
      <c r="EH44" s="17" t="n">
        <f aca="false">Daily_Composite!AT141</f>
        <v>-0.054</v>
      </c>
      <c r="EI44" s="17" t="n">
        <f aca="false">Daily_Composite!AT142</f>
        <v>0.24</v>
      </c>
      <c r="EJ44" s="17" t="n">
        <f aca="false">Daily_Composite!AT143</f>
        <v>-0.061</v>
      </c>
      <c r="EK44" s="17" t="n">
        <f aca="false">Daily_Composite!AT144</f>
        <v>-0.083</v>
      </c>
      <c r="EL44" s="17" t="n">
        <f aca="false">Daily_Composite!AT145</f>
        <v>-0.068</v>
      </c>
      <c r="EM44" s="17" t="n">
        <f aca="false">Daily_Composite!AT146</f>
        <v>-0.374</v>
      </c>
      <c r="EN44" s="17" t="n">
        <f aca="false">Daily_Composite!AT147</f>
        <v>-0.055</v>
      </c>
      <c r="EO44" s="17" t="n">
        <f aca="false">Daily_Composite!AT148</f>
        <v>-0.31</v>
      </c>
      <c r="EP44" s="17" t="n">
        <f aca="false">Daily_Composite!AT149</f>
        <v>-0.062</v>
      </c>
      <c r="EQ44" s="17" t="n">
        <f aca="false">Daily_Composite!AT150</f>
        <v>-0.045</v>
      </c>
      <c r="ER44" s="17" t="n">
        <f aca="false">Daily_Composite!AT151</f>
        <v>0.173</v>
      </c>
      <c r="ES44" s="17" t="n">
        <f aca="false">Daily_Composite!AT152</f>
        <v>-0.197</v>
      </c>
      <c r="ET44" s="17" t="n">
        <f aca="false">Daily_Composite!AT153</f>
        <v>-0.015</v>
      </c>
      <c r="EU44" s="17" t="n">
        <f aca="false">Daily_Composite!AT154</f>
        <v>-0.032</v>
      </c>
      <c r="EV44" s="17" t="n">
        <f aca="false">Daily_Composite!AT155</f>
        <v>0.161</v>
      </c>
      <c r="EW44" s="17" t="n">
        <f aca="false">Daily_Composite!AT156</f>
        <v>0.024</v>
      </c>
      <c r="EX44" s="17" t="n">
        <f aca="false">Daily_Composite!AT157</f>
        <v>0.155</v>
      </c>
      <c r="EY44" s="17" t="n">
        <f aca="false">Daily_Composite!AT158</f>
        <v>-0.03</v>
      </c>
      <c r="EZ44" s="17" t="n">
        <f aca="false">Daily_Composite!AT159</f>
        <v>-0.143</v>
      </c>
      <c r="FA44" s="17" t="n">
        <f aca="false">Daily_Composite!AT160</f>
        <v>-0.189</v>
      </c>
      <c r="FB44" s="17" t="n">
        <f aca="false">Daily_Composite!AT161</f>
        <v>0.055</v>
      </c>
      <c r="FC44" s="17" t="n">
        <f aca="false">Daily_Composite!AT162</f>
        <v>0.04</v>
      </c>
      <c r="FD44" s="17" t="n">
        <f aca="false">Daily_Composite!AT163</f>
        <v>-0.026</v>
      </c>
      <c r="FE44" s="17" t="n">
        <f aca="false">Daily_Composite!AT164</f>
        <v>-0.006</v>
      </c>
      <c r="FF44" s="17" t="n">
        <f aca="false">Daily_Composite!AT165</f>
        <v>0.379</v>
      </c>
      <c r="FG44" s="17" t="n">
        <f aca="false">Daily_Composite!AT166</f>
        <v>0.012</v>
      </c>
      <c r="FH44" s="17" t="n">
        <f aca="false">Daily_Composite!AT167</f>
        <v>0.038</v>
      </c>
      <c r="FI44" s="17" t="n">
        <f aca="false">Daily_Composite!AT168</f>
        <v>-0.017</v>
      </c>
      <c r="FJ44" s="17" t="n">
        <f aca="false">Daily_Composite!AT169</f>
        <v>-0.021</v>
      </c>
      <c r="FK44" s="17" t="n">
        <f aca="false">Daily_Composite!AT170</f>
        <v>-0.049</v>
      </c>
      <c r="FL44" s="17" t="n">
        <f aca="false">Daily_Composite!AT171</f>
        <v>-0.063</v>
      </c>
      <c r="FM44" s="17" t="n">
        <f aca="false">Daily_Composite!AT172</f>
        <v>-0.021</v>
      </c>
      <c r="FN44" s="17" t="n">
        <f aca="false">Daily_Composite!AT173</f>
        <v>0.014</v>
      </c>
      <c r="FO44" s="17" t="n">
        <f aca="false">Daily_Composite!AT174</f>
        <v>-0.061</v>
      </c>
      <c r="FP44" s="17" t="n">
        <f aca="false">Daily_Composite!AT175</f>
        <v>-0.028</v>
      </c>
      <c r="FQ44" s="17" t="n">
        <f aca="false">Daily_Composite!AT176</f>
        <v>-0.038</v>
      </c>
      <c r="FR44" s="17" t="n">
        <f aca="false">Daily_Composite!AT177</f>
        <v>-0.059</v>
      </c>
      <c r="FS44" s="17" t="n">
        <f aca="false">Daily_Composite!AT178</f>
        <v>0.143</v>
      </c>
      <c r="FT44" s="17" t="n">
        <f aca="false">Daily_Composite!AT179</f>
        <v>-0.206</v>
      </c>
      <c r="FU44" s="17" t="n">
        <f aca="false">Daily_Composite!AT180</f>
        <v>-0.23</v>
      </c>
      <c r="FV44" s="17" t="n">
        <f aca="false">Daily_Composite!AT181</f>
        <v>-0.124</v>
      </c>
      <c r="FW44" s="17" t="n">
        <f aca="false">Daily_Composite!AT182</f>
        <v>-0.144</v>
      </c>
      <c r="FX44" s="17" t="n">
        <f aca="false">Daily_Composite!AT183</f>
        <v>-0.095</v>
      </c>
      <c r="FY44" s="17" t="n">
        <f aca="false">Daily_Composite!AT184</f>
        <v>-0.336</v>
      </c>
      <c r="FZ44" s="17" t="n">
        <f aca="false">Daily_Composite!AT185</f>
        <v>0.023</v>
      </c>
      <c r="GA44" s="17" t="n">
        <f aca="false">Daily_Composite!AT186</f>
        <v>-0.097</v>
      </c>
      <c r="GB44" s="17" t="n">
        <f aca="false">Daily_Composite!AT187</f>
        <v>-0.218</v>
      </c>
      <c r="GC44" s="17" t="n">
        <f aca="false">Daily_Composite!AT188</f>
        <v>-0.101</v>
      </c>
      <c r="GD44" s="17" t="n">
        <f aca="false">Daily_Composite!AT189</f>
        <v>-0.096</v>
      </c>
      <c r="GE44" s="17" t="n">
        <f aca="false">Daily_Composite!AT190</f>
        <v>-0.124</v>
      </c>
      <c r="GF44" s="17" t="n">
        <f aca="false">Daily_Composite!AT191</f>
        <v>-0.2</v>
      </c>
      <c r="GG44" s="17" t="n">
        <f aca="false">Daily_Composite!AT192</f>
        <v>-0.556</v>
      </c>
      <c r="GH44" s="17" t="n">
        <f aca="false">Daily_Composite!AT193</f>
        <v>-0.081</v>
      </c>
      <c r="GI44" s="17" t="n">
        <f aca="false">Daily_Composite!AT194</f>
        <v>-0.103</v>
      </c>
      <c r="GJ44" s="17" t="n">
        <f aca="false">Daily_Composite!AT195</f>
        <v>-0.142</v>
      </c>
      <c r="GK44" s="17" t="n">
        <f aca="false">Daily_Composite!AT196</f>
        <v>-0.149</v>
      </c>
      <c r="GL44" s="17" t="n">
        <f aca="false">Daily_Composite!AT197</f>
        <v>-0.182</v>
      </c>
      <c r="GM44" s="17" t="n">
        <f aca="false">Daily_Composite!AT198</f>
        <v>-0.161</v>
      </c>
      <c r="GN44" s="17" t="n">
        <f aca="false">Daily_Composite!AT199</f>
        <v>0.011</v>
      </c>
      <c r="GO44" s="17" t="n">
        <f aca="false">Daily_Composite!AT200</f>
        <v>0.04</v>
      </c>
      <c r="GP44" s="17" t="n">
        <f aca="false">Daily_Composite!AT201</f>
        <v>-0.352</v>
      </c>
      <c r="GQ44" s="17" t="n">
        <f aca="false">Daily_Composite!AT202</f>
        <v>-0.073</v>
      </c>
      <c r="GR44" s="17" t="n">
        <f aca="false">Daily_Composite!AT203</f>
        <v>0.343</v>
      </c>
      <c r="GS44" s="17" t="n">
        <f aca="false">Daily_Composite!AT204</f>
        <v>0.026</v>
      </c>
      <c r="GT44" s="17" t="n">
        <f aca="false">Daily_Composite!AT205</f>
        <v>0.196</v>
      </c>
      <c r="GU44" s="17" t="n">
        <f aca="false">Daily_Composite!AT206</f>
        <v>-0.209</v>
      </c>
      <c r="GV44" s="17" t="n">
        <f aca="false">Daily_Composite!AT207</f>
        <v>-0.12</v>
      </c>
      <c r="GW44" s="17" t="n">
        <f aca="false">Daily_Composite!AT208</f>
        <v>0.03</v>
      </c>
      <c r="GX44" s="17" t="n">
        <f aca="false">Daily_Composite!AT209</f>
        <v>-0.355</v>
      </c>
      <c r="GY44" s="17" t="n">
        <f aca="false">Daily_Composite!AT210</f>
        <v>-0.312</v>
      </c>
      <c r="GZ44" s="17" t="n">
        <f aca="false">Daily_Composite!AT211</f>
        <v>0.001</v>
      </c>
      <c r="HA44" s="17" t="n">
        <f aca="false">Daily_Composite!AT212</f>
        <v>0.319</v>
      </c>
      <c r="HB44" s="17" t="n">
        <f aca="false">Daily_Composite!AT213</f>
        <v>-0.122</v>
      </c>
      <c r="HC44" s="17" t="n">
        <f aca="false">Daily_Composite!AT214</f>
        <v>-0.208</v>
      </c>
      <c r="HD44" s="17" t="n">
        <f aca="false">Daily_Composite!AT215</f>
        <v>-0.149</v>
      </c>
      <c r="HE44" s="17" t="n">
        <f aca="false">Daily_Composite!AT216</f>
        <v>0.132</v>
      </c>
      <c r="HF44" s="17" t="n">
        <f aca="false">Daily_Composite!AT217</f>
        <v>0.118</v>
      </c>
      <c r="HG44" s="17" t="n">
        <f aca="false">Daily_Composite!AT218</f>
        <v>0.007</v>
      </c>
      <c r="HH44" s="17" t="n">
        <f aca="false">Daily_Composite!AT219</f>
        <v>-0.255</v>
      </c>
      <c r="HI44" s="17" t="n">
        <f aca="false">Daily_Composite!AT220</f>
        <v>0.214</v>
      </c>
      <c r="HJ44" s="17" t="n">
        <f aca="false">Daily_Composite!AT221</f>
        <v>0.194</v>
      </c>
      <c r="HK44" s="17" t="n">
        <f aca="false">Daily_Composite!AT222</f>
        <v>0.056</v>
      </c>
      <c r="HL44" s="17" t="n">
        <f aca="false">Daily_Composite!AT223</f>
        <v>0.026</v>
      </c>
      <c r="HM44" s="17" t="n">
        <f aca="false">Daily_Composite!AT224</f>
        <v>-0.303</v>
      </c>
      <c r="HN44" s="17" t="n">
        <f aca="false">Daily_Composite!AT225</f>
        <v>0.018</v>
      </c>
      <c r="HO44" s="17" t="n">
        <f aca="false">Daily_Composite!AT226</f>
        <v>0.018</v>
      </c>
      <c r="HP44" s="17" t="n">
        <f aca="false">Daily_Composite!AT227</f>
        <v>-0.043</v>
      </c>
      <c r="HQ44" s="17" t="n">
        <f aca="false">Daily_Composite!AT228</f>
        <v>-0.318</v>
      </c>
      <c r="HR44" s="17" t="n">
        <f aca="false">Daily_Composite!AT229</f>
        <v>0.046</v>
      </c>
      <c r="HS44" s="17" t="n">
        <f aca="false">Daily_Composite!AT230</f>
        <v>0.375</v>
      </c>
      <c r="HT44" s="17" t="n">
        <f aca="false">Daily_Composite!AT231</f>
        <v>0.143</v>
      </c>
      <c r="HU44" s="17" t="n">
        <f aca="false">Daily_Composite!AT232</f>
        <v>0.249</v>
      </c>
      <c r="HV44" s="17" t="n">
        <f aca="false">Daily_Composite!AT233</f>
        <v>-0.359</v>
      </c>
      <c r="HW44" s="17" t="n">
        <f aca="false">Daily_Composite!AT234</f>
        <v>-0.101</v>
      </c>
      <c r="HX44" s="17" t="n">
        <f aca="false">Daily_Composite!AT235</f>
        <v>0.041</v>
      </c>
      <c r="HY44" s="17" t="n">
        <f aca="false">Daily_Composite!AT236</f>
        <v>0.032</v>
      </c>
      <c r="HZ44" s="17" t="n">
        <f aca="false">Daily_Composite!AT237</f>
        <v>-0.236</v>
      </c>
      <c r="IA44" s="17" t="n">
        <f aca="false">Daily_Composite!AT238</f>
        <v>0.09</v>
      </c>
      <c r="IB44" s="17" t="n">
        <f aca="false">Daily_Composite!AT239</f>
        <v>0.438</v>
      </c>
      <c r="IC44" s="17" t="n">
        <f aca="false">Daily_Composite!AT240</f>
        <v>0.189</v>
      </c>
      <c r="ID44" s="17" t="n">
        <f aca="false">Daily_Composite!AT241</f>
        <v>0.294</v>
      </c>
      <c r="IE44" s="17" t="n">
        <f aca="false">Daily_Composite!AT242</f>
        <v>-0.251</v>
      </c>
      <c r="IF44" s="17" t="n">
        <f aca="false">Daily_Composite!AT243</f>
        <v>0.118</v>
      </c>
      <c r="IG44" s="17" t="n">
        <f aca="false">Daily_Composite!AT244</f>
        <v>0.145</v>
      </c>
      <c r="IH44" s="17" t="n">
        <f aca="false">Daily_Composite!AT245</f>
        <v>0.094</v>
      </c>
      <c r="II44" s="17" t="n">
        <f aca="false">Daily_Composite!AT246</f>
        <v>0.134</v>
      </c>
      <c r="IJ44" s="17" t="n">
        <f aca="false">Daily_Composite!AT247</f>
        <v>0.569</v>
      </c>
      <c r="IK44" s="17" t="n">
        <f aca="false">Daily_Composite!AT248</f>
        <v>0.332</v>
      </c>
      <c r="IL44" s="17" t="n">
        <f aca="false">Daily_Composite!AT249</f>
        <v>0.595</v>
      </c>
      <c r="IM44" s="17" t="n">
        <f aca="false">Daily_Composite!AT250</f>
        <v>0.213</v>
      </c>
      <c r="IN44" s="17" t="n">
        <f aca="false">Daily_Composite!AT251</f>
        <v>0.18</v>
      </c>
      <c r="IO44" s="17" t="n">
        <f aca="false">Daily_Composite!AT252</f>
        <v>-0.283</v>
      </c>
      <c r="IP44" s="17" t="n">
        <f aca="false">Daily_Composite!AT253</f>
        <v>0.146</v>
      </c>
      <c r="IQ44" s="17" t="n">
        <f aca="false">Daily_Composite!AT254</f>
        <v>0.054</v>
      </c>
      <c r="IR44" s="17" t="n">
        <f aca="false">Daily_Composite!AT255</f>
        <v>0.303</v>
      </c>
      <c r="IS44" s="17" t="n">
        <f aca="false">Daily_Composite!AT256</f>
        <v>0.129</v>
      </c>
      <c r="IT44" s="17" t="n">
        <f aca="false">Daily_Composite!AT257</f>
        <v>0.485</v>
      </c>
      <c r="IU44" s="17" t="n">
        <f aca="false">Daily_Composite!AT258</f>
        <v>0.29</v>
      </c>
      <c r="IV44" s="17" t="n">
        <f aca="false">Daily_Composite!AT259</f>
        <v>0.33</v>
      </c>
      <c r="IW44" s="17" t="n">
        <f aca="false">Daily_Composite!AT260</f>
        <v>-0.376</v>
      </c>
      <c r="IX44" s="17" t="n">
        <f aca="false">Daily_Composite!AT261</f>
        <v>-0.032</v>
      </c>
      <c r="IY44" s="17" t="n">
        <f aca="false">Daily_Composite!AT262</f>
        <v>0.097</v>
      </c>
      <c r="IZ44" s="17" t="n">
        <f aca="false">Daily_Composite!AT263</f>
        <v>0.126</v>
      </c>
      <c r="JA44" s="17" t="n">
        <f aca="false">Daily_Composite!AT264</f>
        <v>0.148</v>
      </c>
      <c r="JB44" s="17" t="n">
        <f aca="false">Daily_Composite!AT265</f>
        <v>0.172</v>
      </c>
      <c r="JC44" s="17" t="n">
        <f aca="false">Daily_Composite!AT266</f>
        <v>0.549</v>
      </c>
      <c r="JD44" s="17" t="n">
        <f aca="false">Daily_Composite!AT267</f>
        <v>0.284</v>
      </c>
      <c r="JE44" s="17" t="n">
        <f aca="false">Daily_Composite!AT268</f>
        <v>0.228</v>
      </c>
      <c r="JF44" s="17" t="n">
        <f aca="false">Daily_Composite!AT269</f>
        <v>-0.137</v>
      </c>
      <c r="JG44" s="17" t="n">
        <f aca="false">Daily_Composite!AT270</f>
        <v>0.269</v>
      </c>
      <c r="JH44" s="17" t="n">
        <f aca="false">Daily_Composite!AT271</f>
        <v>0.167</v>
      </c>
      <c r="JI44" s="17" t="n">
        <f aca="false">Daily_Composite!AT272</f>
        <v>0.085</v>
      </c>
      <c r="JJ44" s="17" t="n">
        <f aca="false">Daily_Composite!AT273</f>
        <v>0.029</v>
      </c>
      <c r="JK44" s="17" t="n">
        <f aca="false">Daily_Composite!AT274</f>
        <v>0.307</v>
      </c>
      <c r="JL44" s="17" t="n">
        <f aca="false">Daily_Composite!AT275</f>
        <v>0.193</v>
      </c>
      <c r="JM44" s="17" t="n">
        <f aca="false">Daily_Composite!AT276</f>
        <v>0.459</v>
      </c>
      <c r="JN44" s="17" t="n">
        <f aca="false">Daily_Composite!AT277</f>
        <v>-0.002</v>
      </c>
      <c r="JO44" s="17" t="n">
        <f aca="false">Daily_Composite!AT278</f>
        <v>-0.019</v>
      </c>
      <c r="JP44" s="17" t="n">
        <f aca="false">Daily_Composite!AT279</f>
        <v>-0.402</v>
      </c>
      <c r="JQ44" s="17" t="n">
        <f aca="false">Daily_Composite!AT280</f>
        <v>0.029</v>
      </c>
      <c r="JR44" s="17" t="n">
        <f aca="false">Daily_Composite!AT281</f>
        <v>0.019</v>
      </c>
      <c r="JS44" s="17" t="n">
        <f aca="false">Daily_Composite!AT282</f>
        <v>-0.001</v>
      </c>
      <c r="JT44" s="17" t="n">
        <f aca="false">Daily_Composite!AT283</f>
        <v>-0.02</v>
      </c>
      <c r="JU44" s="17" t="n">
        <f aca="false">Daily_Composite!AT284</f>
        <v>0.042</v>
      </c>
      <c r="JV44" s="17" t="n">
        <f aca="false">Daily_Composite!AT285</f>
        <v>0.408</v>
      </c>
      <c r="JW44" s="17" t="n">
        <f aca="false">Daily_Composite!AT286</f>
        <v>0.181</v>
      </c>
      <c r="JX44" s="17" t="n">
        <f aca="false">Daily_Composite!AT287</f>
        <v>-0.324</v>
      </c>
      <c r="JY44" s="17" t="n">
        <f aca="false">Daily_Composite!AT288</f>
        <v>-0.118</v>
      </c>
      <c r="JZ44" s="17" t="n">
        <f aca="false">Daily_Composite!AT289</f>
        <v>-0.195</v>
      </c>
      <c r="KA44" s="17" t="n">
        <f aca="false">Daily_Composite!AT290</f>
        <v>-0.153</v>
      </c>
      <c r="KB44" s="17" t="n">
        <f aca="false">Daily_Composite!AT291</f>
        <v>-0.12</v>
      </c>
      <c r="KC44" s="17" t="n">
        <f aca="false">Daily_Composite!AT292</f>
        <v>-0.152</v>
      </c>
      <c r="KD44" s="17" t="n">
        <f aca="false">Daily_Composite!AT293</f>
        <v>0.287</v>
      </c>
      <c r="KE44" s="17" t="n">
        <f aca="false">Daily_Composite!AT294</f>
        <v>-0.165</v>
      </c>
      <c r="KF44" s="17" t="n">
        <f aca="false">Daily_Composite!AT295</f>
        <v>-0.039</v>
      </c>
      <c r="KG44" s="17" t="n">
        <f aca="false">Daily_Composite!AT296</f>
        <v>-0.057</v>
      </c>
      <c r="KH44" s="17" t="n">
        <f aca="false">Daily_Composite!AT297</f>
        <v>-0.55</v>
      </c>
      <c r="KI44" s="17" t="n">
        <f aca="false">Daily_Composite!AT298</f>
        <v>-0.177</v>
      </c>
      <c r="KJ44" s="17" t="n">
        <f aca="false">Daily_Composite!AT299</f>
        <v>-0.191</v>
      </c>
      <c r="KK44" s="17" t="n">
        <f aca="false">Daily_Composite!AT300</f>
        <v>-0.188</v>
      </c>
      <c r="KL44" s="17" t="n">
        <f aca="false">Daily_Composite!AT301</f>
        <v>-0.196</v>
      </c>
      <c r="KM44" s="17" t="n">
        <f aca="false">Daily_Composite!AT302</f>
        <v>-0.25</v>
      </c>
      <c r="KN44" s="17" t="n">
        <f aca="false">Daily_Composite!AT303</f>
        <v>0.325</v>
      </c>
      <c r="KO44" s="17" t="n">
        <f aca="false">Daily_Composite!AT304</f>
        <v>-0.27</v>
      </c>
      <c r="KP44" s="17" t="n">
        <f aca="false">Daily_Composite!AT305</f>
        <v>-0.159</v>
      </c>
      <c r="KQ44" s="17" t="n">
        <f aca="false">Daily_Composite!AT306</f>
        <v>-0.179</v>
      </c>
      <c r="KR44" s="17" t="n">
        <f aca="false">Daily_Composite!AT307</f>
        <v>-0.365</v>
      </c>
      <c r="KS44" s="17" t="n">
        <f aca="false">Daily_Composite!AT308</f>
        <v>-0.125</v>
      </c>
      <c r="KT44" s="17" t="n">
        <f aca="false">Daily_Composite!AT309</f>
        <v>-0.162</v>
      </c>
      <c r="KU44" s="17" t="n">
        <f aca="false">Daily_Composite!AT310</f>
        <v>-0.377</v>
      </c>
      <c r="KV44" s="17" t="n">
        <f aca="false">Daily_Composite!AT311</f>
        <v>-0.055</v>
      </c>
      <c r="KW44" s="17" t="n">
        <f aca="false">Daily_Composite!AT312</f>
        <v>0.281</v>
      </c>
      <c r="KX44" s="17" t="n">
        <f aca="false">Daily_Composite!AT313</f>
        <v>0.111</v>
      </c>
      <c r="KY44" s="17" t="n">
        <f aca="false">Daily_Composite!AT314</f>
        <v>0.112</v>
      </c>
      <c r="KZ44" s="17" t="n">
        <f aca="false">Daily_Composite!AT315</f>
        <v>0.009</v>
      </c>
      <c r="LA44" s="17" t="n">
        <f aca="false">Daily_Composite!AT316</f>
        <v>0.088</v>
      </c>
      <c r="LB44" s="17" t="n">
        <f aca="false">Daily_Composite!AT317</f>
        <v>0.103</v>
      </c>
      <c r="LC44" s="17" t="n">
        <f aca="false">Daily_Composite!AT318</f>
        <v>0.104</v>
      </c>
      <c r="LD44" s="17" t="n">
        <f aca="false">Daily_Composite!AT319</f>
        <v>0.143</v>
      </c>
      <c r="LE44" s="17" t="n">
        <f aca="false">Daily_Composite!AT320</f>
        <v>0.139</v>
      </c>
      <c r="LF44" s="17" t="n">
        <f aca="false">Daily_Composite!AT321</f>
        <v>0.391</v>
      </c>
      <c r="LG44" s="17" t="n">
        <f aca="false">Daily_Composite!AT322</f>
        <v>0.329</v>
      </c>
      <c r="LH44" s="17" t="n">
        <f aca="false">Daily_Composite!AT323</f>
        <v>0.504</v>
      </c>
      <c r="LI44" s="17" t="n">
        <f aca="false">Daily_Composite!AT324</f>
        <v>0.638</v>
      </c>
      <c r="LJ44" s="17" t="n">
        <f aca="false">Daily_Composite!AT325</f>
        <v>0.248</v>
      </c>
      <c r="LK44" s="17" t="n">
        <f aca="false">Daily_Composite!AT326</f>
        <v>0.232</v>
      </c>
      <c r="LL44" s="17" t="n">
        <f aca="false">Daily_Composite!AT327</f>
        <v>0.258</v>
      </c>
      <c r="LM44" s="17" t="n">
        <f aca="false">Daily_Composite!AT328</f>
        <v>0.578</v>
      </c>
      <c r="LN44" s="17" t="n">
        <f aca="false">Daily_Composite!AT329</f>
        <v>0.217</v>
      </c>
      <c r="LO44" s="17" t="n">
        <f aca="false">Daily_Composite!AT330</f>
        <v>-0.137</v>
      </c>
      <c r="LP44" s="17" t="n">
        <f aca="false">Daily_Composite!AT331</f>
        <v>0.126</v>
      </c>
      <c r="LQ44" s="17" t="n">
        <f aca="false">Daily_Composite!AT332</f>
        <v>0.019</v>
      </c>
      <c r="LR44" s="17" t="n">
        <f aca="false">Daily_Composite!AT333</f>
        <v>0.041</v>
      </c>
      <c r="LS44" s="17" t="n">
        <f aca="false">Daily_Composite!AT334</f>
        <v>-0.351</v>
      </c>
      <c r="LT44" s="17" t="n">
        <f aca="false">Daily_Composite!AT335</f>
        <v>-0.087</v>
      </c>
      <c r="LU44" s="17" t="n">
        <f aca="false">Daily_Composite!AT336</f>
        <v>-0.157</v>
      </c>
      <c r="LV44" s="17" t="n">
        <f aca="false">Daily_Composite!AT337</f>
        <v>-0.22</v>
      </c>
      <c r="LW44" s="17" t="n">
        <f aca="false">Daily_Composite!AT338</f>
        <v>-0.086</v>
      </c>
      <c r="LX44" s="17" t="n">
        <f aca="false">Daily_Composite!AT339</f>
        <v>-0.065</v>
      </c>
      <c r="LY44" s="17" t="n">
        <f aca="false">Daily_Composite!AT340</f>
        <v>-0.077</v>
      </c>
      <c r="LZ44" s="17" t="n">
        <f aca="false">Daily_Composite!AT341</f>
        <v>0.098</v>
      </c>
      <c r="MA44" s="17" t="n">
        <f aca="false">Daily_Composite!AT342</f>
        <v>-0.46</v>
      </c>
      <c r="MB44" s="17" t="n">
        <f aca="false">Daily_Composite!AT343</f>
        <v>-0.25</v>
      </c>
      <c r="MC44" s="17" t="n">
        <f aca="false">Daily_Composite!AT344</f>
        <v>-0.21</v>
      </c>
      <c r="MD44" s="17" t="n">
        <f aca="false">Daily_Composite!AT345</f>
        <v>-0.052</v>
      </c>
      <c r="ME44" s="17" t="n">
        <f aca="false">Daily_Composite!AT346</f>
        <v>-0.017</v>
      </c>
      <c r="MF44" s="17" t="n">
        <f aca="false">Daily_Composite!AT347</f>
        <v>0.001</v>
      </c>
      <c r="MG44" s="17" t="n">
        <f aca="false">Daily_Composite!AT348</f>
        <v>0.28</v>
      </c>
      <c r="MH44" s="17" t="n">
        <f aca="false">Daily_Composite!AT349</f>
        <v>-0.002</v>
      </c>
      <c r="MI44" s="17" t="n">
        <f aca="false">Daily_Composite!AT350</f>
        <v>0.19</v>
      </c>
      <c r="MJ44" s="17" t="n">
        <f aca="false">Daily_Composite!AT351</f>
        <v>-0.044</v>
      </c>
      <c r="MK44" s="17" t="n">
        <f aca="false">Daily_Composite!AT352</f>
        <v>0.03</v>
      </c>
      <c r="ML44" s="17" t="n">
        <f aca="false">Daily_Composite!AT353</f>
        <v>0.003</v>
      </c>
      <c r="MM44" s="17" t="n">
        <f aca="false">Daily_Composite!AT354</f>
        <v>0.019</v>
      </c>
      <c r="MN44" s="17" t="n">
        <f aca="false">Daily_Composite!AT355</f>
        <v>0.051</v>
      </c>
      <c r="MO44" s="17" t="n">
        <f aca="false">Daily_Composite!AT356</f>
        <v>0.406</v>
      </c>
      <c r="MP44" s="17" t="n">
        <f aca="false">Daily_Composite!AT357</f>
        <v>0.257</v>
      </c>
      <c r="MQ44" s="17" t="n">
        <f aca="false">Daily_Composite!AT358</f>
        <v>0.492</v>
      </c>
      <c r="MR44" s="17" t="n">
        <f aca="false">Daily_Composite!AT359</f>
        <v>0.049</v>
      </c>
      <c r="MS44" s="17" t="n">
        <f aca="false">Daily_Composite!AT360</f>
        <v>0.081</v>
      </c>
      <c r="MT44" s="17" t="n">
        <f aca="false">Daily_Composite!AT361</f>
        <v>-0.33</v>
      </c>
      <c r="MU44" s="17" t="n">
        <f aca="false">Daily_Composite!AT362</f>
        <v>0.127</v>
      </c>
      <c r="MV44" s="17" t="n">
        <f aca="false">Daily_Composite!AT363</f>
        <v>-0.014</v>
      </c>
      <c r="MW44" s="17" t="n">
        <f aca="false">Daily_Composite!AT364</f>
        <v>-0.047</v>
      </c>
      <c r="MX44" s="17" t="n">
        <f aca="false">Daily_Composite!AT365</f>
        <v>0.003</v>
      </c>
      <c r="MY44" s="17" t="n">
        <f aca="false">Daily_Composite!AT366</f>
        <v>0.119</v>
      </c>
      <c r="MZ44" s="17" t="n">
        <f aca="false">Daily_Composite!AT367</f>
        <v>0.524</v>
      </c>
      <c r="NA44" s="17" t="n">
        <f aca="false">Daily_Composite!AT368</f>
        <v>0.345</v>
      </c>
      <c r="NB44" s="17" t="n">
        <f aca="false">Daily_Composite!AT369</f>
        <v>0.403</v>
      </c>
    </row>
    <row r="45" customFormat="false" ht="15" hidden="false" customHeight="false" outlineLevel="0" collapsed="false">
      <c r="A45" s="6" t="s">
        <v>58</v>
      </c>
      <c r="B45" s="17" t="n">
        <f aca="false">Daily_Composite!AU5</f>
        <v>-0.016</v>
      </c>
      <c r="C45" s="17" t="n">
        <f aca="false">Daily_Composite!AU6</f>
        <v>0.023</v>
      </c>
      <c r="D45" s="17" t="n">
        <f aca="false">Daily_Composite!AU7</f>
        <v>0.024</v>
      </c>
      <c r="E45" s="17" t="n">
        <f aca="false">Daily_Composite!AU8</f>
        <v>-0.138</v>
      </c>
      <c r="F45" s="17" t="n">
        <f aca="false">Daily_Composite!AU9</f>
        <v>-0.089</v>
      </c>
      <c r="G45" s="17" t="n">
        <f aca="false">Daily_Composite!AU10</f>
        <v>0.031</v>
      </c>
      <c r="H45" s="17" t="n">
        <f aca="false">Daily_Composite!AU11</f>
        <v>0.299</v>
      </c>
      <c r="I45" s="17" t="n">
        <f aca="false">Daily_Composite!AU12</f>
        <v>0.071</v>
      </c>
      <c r="J45" s="17" t="n">
        <f aca="false">Daily_Composite!AU13</f>
        <v>0.091</v>
      </c>
      <c r="K45" s="17" t="n">
        <f aca="false">Daily_Composite!AU14</f>
        <v>0.06</v>
      </c>
      <c r="L45" s="17" t="n">
        <f aca="false">Daily_Composite!AU15</f>
        <v>0.032</v>
      </c>
      <c r="M45" s="17" t="n">
        <f aca="false">Daily_Composite!AU16</f>
        <v>0.03</v>
      </c>
      <c r="N45" s="17" t="n">
        <f aca="false">Daily_Composite!AU17</f>
        <v>0.07</v>
      </c>
      <c r="O45" s="17" t="n">
        <f aca="false">Daily_Composite!AU18</f>
        <v>0.058</v>
      </c>
      <c r="P45" s="17" t="n">
        <f aca="false">Daily_Composite!AU19</f>
        <v>0.088</v>
      </c>
      <c r="Q45" s="17" t="n">
        <f aca="false">Daily_Composite!AU20</f>
        <v>0.024</v>
      </c>
      <c r="R45" s="17" t="n">
        <f aca="false">Daily_Composite!AU21</f>
        <v>0.212</v>
      </c>
      <c r="S45" s="17" t="n">
        <f aca="false">Daily_Composite!AU22</f>
        <v>0.092</v>
      </c>
      <c r="T45" s="17" t="n">
        <f aca="false">Daily_Composite!AU23</f>
        <v>0.095</v>
      </c>
      <c r="U45" s="17" t="n">
        <f aca="false">Daily_Composite!AU24</f>
        <v>0.082</v>
      </c>
      <c r="V45" s="17" t="n">
        <f aca="false">Daily_Composite!AU25</f>
        <v>0.094</v>
      </c>
      <c r="W45" s="17" t="n">
        <f aca="false">Daily_Composite!AU26</f>
        <v>0.053</v>
      </c>
      <c r="X45" s="17" t="n">
        <f aca="false">Daily_Composite!AU27</f>
        <v>0.013</v>
      </c>
      <c r="Y45" s="17" t="n">
        <f aca="false">Daily_Composite!AU28</f>
        <v>0.026</v>
      </c>
      <c r="Z45" s="17" t="n">
        <f aca="false">Daily_Composite!AU29</f>
        <v>0.013</v>
      </c>
      <c r="AA45" s="17" t="n">
        <f aca="false">Daily_Composite!AU30</f>
        <v>0.254</v>
      </c>
      <c r="AB45" s="17" t="n">
        <f aca="false">Daily_Composite!AU31</f>
        <v>-0.019</v>
      </c>
      <c r="AC45" s="17" t="n">
        <f aca="false">Daily_Composite!AU32</f>
        <v>-0.011</v>
      </c>
      <c r="AD45" s="17" t="n">
        <f aca="false">Daily_Composite!AU33</f>
        <v>0.028</v>
      </c>
      <c r="AE45" s="17" t="n">
        <f aca="false">Daily_Composite!AU34</f>
        <v>0.027</v>
      </c>
      <c r="AF45" s="17" t="n">
        <f aca="false">Daily_Composite!AU35</f>
        <v>-0.036</v>
      </c>
      <c r="AG45" s="17" t="n">
        <f aca="false">Daily_Composite!AU36</f>
        <v>0.039</v>
      </c>
      <c r="AH45" s="17" t="n">
        <f aca="false">Daily_Composite!AU37</f>
        <v>0.01</v>
      </c>
      <c r="AI45" s="17" t="n">
        <f aca="false">Daily_Composite!AU38</f>
        <v>0.285</v>
      </c>
      <c r="AJ45" s="17" t="n">
        <f aca="false">Daily_Composite!AU39</f>
        <v>0.024</v>
      </c>
      <c r="AK45" s="17" t="n">
        <f aca="false">Daily_Composite!AU40</f>
        <v>0.024</v>
      </c>
      <c r="AL45" s="17" t="n">
        <f aca="false">Daily_Composite!AU41</f>
        <v>0.023</v>
      </c>
      <c r="AM45" s="17" t="n">
        <f aca="false">Daily_Composite!AU42</f>
        <v>-0.062</v>
      </c>
      <c r="AN45" s="17" t="n">
        <f aca="false">Daily_Composite!AU43</f>
        <v>-0.062</v>
      </c>
      <c r="AO45" s="17" t="n">
        <f aca="false">Daily_Composite!AU44</f>
        <v>0</v>
      </c>
      <c r="AP45" s="17" t="n">
        <f aca="false">Daily_Composite!AU45</f>
        <v>0</v>
      </c>
      <c r="AQ45" s="17" t="n">
        <f aca="false">Daily_Composite!AU46</f>
        <v>-0.038</v>
      </c>
      <c r="AR45" s="17" t="n">
        <f aca="false">Daily_Composite!AU47</f>
        <v>-0.039</v>
      </c>
      <c r="AS45" s="17" t="n">
        <f aca="false">Daily_Composite!AU48</f>
        <v>-0.266</v>
      </c>
      <c r="AT45" s="17" t="n">
        <f aca="false">Daily_Composite!AU49</f>
        <v>0</v>
      </c>
      <c r="AU45" s="17" t="n">
        <f aca="false">Daily_Composite!AU50</f>
        <v>0</v>
      </c>
      <c r="AV45" s="17" t="n">
        <f aca="false">Daily_Composite!AU51</f>
        <v>0</v>
      </c>
      <c r="AW45" s="17" t="n">
        <f aca="false">Daily_Composite!AU52</f>
        <v>0</v>
      </c>
      <c r="AX45" s="17" t="n">
        <f aca="false">Daily_Composite!AU53</f>
        <v>0.003</v>
      </c>
      <c r="AY45" s="17" t="n">
        <f aca="false">Daily_Composite!AU54</f>
        <v>0.004</v>
      </c>
      <c r="AZ45" s="17" t="n">
        <f aca="false">Daily_Composite!AU55</f>
        <v>-0.029</v>
      </c>
      <c r="BA45" s="17" t="n">
        <f aca="false">Daily_Composite!AU56</f>
        <v>-0.028</v>
      </c>
      <c r="BB45" s="17" t="n">
        <f aca="false">Daily_Composite!AU57</f>
        <v>-0.017</v>
      </c>
      <c r="BC45" s="17" t="n">
        <f aca="false">Daily_Composite!AU58</f>
        <v>-0.42</v>
      </c>
      <c r="BD45" s="17" t="n">
        <f aca="false">Daily_Composite!AU59</f>
        <v>-0.023</v>
      </c>
      <c r="BE45" s="17" t="n">
        <f aca="false">Daily_Composite!AU60</f>
        <v>-0.025</v>
      </c>
      <c r="BF45" s="17" t="n">
        <f aca="false">Daily_Composite!AU61</f>
        <v>0.036</v>
      </c>
      <c r="BG45" s="17" t="n">
        <f aca="false">Daily_Composite!AU62</f>
        <v>0.036</v>
      </c>
      <c r="BH45" s="17" t="n">
        <f aca="false">Daily_Composite!AU63</f>
        <v>-0.142</v>
      </c>
      <c r="BI45" s="17" t="n">
        <f aca="false">Daily_Composite!AU64</f>
        <v>-0.14</v>
      </c>
      <c r="BJ45" s="17" t="n">
        <f aca="false">Daily_Composite!AU65</f>
        <v>0.037</v>
      </c>
      <c r="BK45" s="17" t="n">
        <f aca="false">Daily_Composite!AU66</f>
        <v>0.085</v>
      </c>
      <c r="BL45" s="17" t="n">
        <f aca="false">Daily_Composite!AU67</f>
        <v>-0.009</v>
      </c>
      <c r="BM45" s="17" t="n">
        <f aca="false">Daily_Composite!AU68</f>
        <v>0.017</v>
      </c>
      <c r="BN45" s="17" t="n">
        <f aca="false">Daily_Composite!AU69</f>
        <v>-0.048</v>
      </c>
      <c r="BO45" s="17" t="n">
        <f aca="false">Daily_Composite!AU70</f>
        <v>-0.051</v>
      </c>
      <c r="BP45" s="17" t="n">
        <f aca="false">Daily_Composite!AU71</f>
        <v>0.003</v>
      </c>
      <c r="BQ45" s="17" t="n">
        <f aca="false">Daily_Composite!AU72</f>
        <v>0.014</v>
      </c>
      <c r="BR45" s="17" t="n">
        <f aca="false">Daily_Composite!AU73</f>
        <v>0.016</v>
      </c>
      <c r="BS45" s="17" t="n">
        <f aca="false">Daily_Composite!AU74</f>
        <v>0.019</v>
      </c>
      <c r="BT45" s="17" t="n">
        <f aca="false">Daily_Composite!AU75</f>
        <v>0.193</v>
      </c>
      <c r="BU45" s="17" t="n">
        <f aca="false">Daily_Composite!AU76</f>
        <v>0.011</v>
      </c>
      <c r="BV45" s="17" t="n">
        <f aca="false">Daily_Composite!AU77</f>
        <v>0.004</v>
      </c>
      <c r="BW45" s="17" t="n">
        <f aca="false">Daily_Composite!AU78</f>
        <v>-0.001</v>
      </c>
      <c r="BX45" s="17" t="n">
        <f aca="false">Daily_Composite!AU79</f>
        <v>0.037</v>
      </c>
      <c r="BY45" s="17" t="n">
        <f aca="false">Daily_Composite!AU80</f>
        <v>-0.026</v>
      </c>
      <c r="BZ45" s="17" t="n">
        <f aca="false">Daily_Composite!AU81</f>
        <v>0</v>
      </c>
      <c r="CA45" s="17" t="n">
        <f aca="false">Daily_Composite!AU82</f>
        <v>0</v>
      </c>
      <c r="CB45" s="17" t="n">
        <f aca="false">Daily_Composite!AU83</f>
        <v>0</v>
      </c>
      <c r="CC45" s="17" t="n">
        <f aca="false">Daily_Composite!AU84</f>
        <v>0</v>
      </c>
      <c r="CD45" s="17" t="n">
        <f aca="false">Daily_Composite!AU85</f>
        <v>0.337</v>
      </c>
      <c r="CE45" s="17" t="n">
        <f aca="false">Daily_Composite!AU86</f>
        <v>0.034</v>
      </c>
      <c r="CF45" s="17" t="n">
        <f aca="false">Daily_Composite!AU87</f>
        <v>0.033</v>
      </c>
      <c r="CG45" s="17" t="n">
        <f aca="false">Daily_Composite!AU88</f>
        <v>0.018</v>
      </c>
      <c r="CH45" s="17" t="n">
        <f aca="false">Daily_Composite!AU89</f>
        <v>0.008</v>
      </c>
      <c r="CI45" s="17" t="n">
        <f aca="false">Daily_Composite!AU90</f>
        <v>0.003</v>
      </c>
      <c r="CJ45" s="17" t="n">
        <f aca="false">Daily_Composite!AU91</f>
        <v>0.069</v>
      </c>
      <c r="CK45" s="17" t="n">
        <f aca="false">Daily_Composite!AU92</f>
        <v>0.001</v>
      </c>
      <c r="CL45" s="17" t="n">
        <f aca="false">Daily_Composite!AU93</f>
        <v>-0.047</v>
      </c>
      <c r="CM45" s="17" t="n">
        <f aca="false">Daily_Composite!AU94</f>
        <v>0.03</v>
      </c>
      <c r="CN45" s="17" t="n">
        <f aca="false">Daily_Composite!AU95</f>
        <v>0.03</v>
      </c>
      <c r="CO45" s="17" t="n">
        <f aca="false">Daily_Composite!AU96</f>
        <v>-0.111</v>
      </c>
      <c r="CP45" s="17" t="n">
        <f aca="false">Daily_Composite!AU97</f>
        <v>-0.13</v>
      </c>
      <c r="CQ45" s="17" t="n">
        <f aca="false">Daily_Composite!AU98</f>
        <v>-0.048</v>
      </c>
      <c r="CR45" s="17" t="n">
        <f aca="false">Daily_Composite!AU99</f>
        <v>-0.008</v>
      </c>
      <c r="CS45" s="17" t="n">
        <f aca="false">Daily_Composite!AU100</f>
        <v>-0.033</v>
      </c>
      <c r="CT45" s="17" t="n">
        <f aca="false">Daily_Composite!AU101</f>
        <v>-0.034</v>
      </c>
      <c r="CU45" s="17" t="n">
        <f aca="false">Daily_Composite!AU102</f>
        <v>-0.367</v>
      </c>
      <c r="CV45" s="17" t="n">
        <f aca="false">Daily_Composite!AU103</f>
        <v>-0.036</v>
      </c>
      <c r="CW45" s="17" t="n">
        <f aca="false">Daily_Composite!AU104</f>
        <v>-0.037</v>
      </c>
      <c r="CX45" s="17" t="n">
        <f aca="false">Daily_Composite!AU105</f>
        <v>-0.038</v>
      </c>
      <c r="CY45" s="17" t="n">
        <f aca="false">Daily_Composite!AU106</f>
        <v>-0.011</v>
      </c>
      <c r="CZ45" s="17" t="n">
        <f aca="false">Daily_Composite!AU107</f>
        <v>-0.039</v>
      </c>
      <c r="DA45" s="17" t="n">
        <f aca="false">Daily_Composite!AU108</f>
        <v>-0.045</v>
      </c>
      <c r="DB45" s="17" t="n">
        <f aca="false">Daily_Composite!AU109</f>
        <v>-0.048</v>
      </c>
      <c r="DC45" s="17" t="n">
        <f aca="false">Daily_Composite!AU110</f>
        <v>-0.048</v>
      </c>
      <c r="DD45" s="17" t="n">
        <f aca="false">Daily_Composite!AU111</f>
        <v>-0.039</v>
      </c>
      <c r="DE45" s="17" t="n">
        <f aca="false">Daily_Composite!AU112</f>
        <v>-0.409</v>
      </c>
      <c r="DF45" s="17" t="n">
        <f aca="false">Daily_Composite!AU113</f>
        <v>-0.013</v>
      </c>
      <c r="DG45" s="17" t="n">
        <f aca="false">Daily_Composite!AU114</f>
        <v>-0.006</v>
      </c>
      <c r="DH45" s="17" t="n">
        <f aca="false">Daily_Composite!AU115</f>
        <v>-0.005</v>
      </c>
      <c r="DI45" s="17" t="n">
        <f aca="false">Daily_Composite!AU116</f>
        <v>-0.004</v>
      </c>
      <c r="DJ45" s="17" t="n">
        <f aca="false">Daily_Composite!AU117</f>
        <v>-0.018</v>
      </c>
      <c r="DK45" s="17" t="n">
        <f aca="false">Daily_Composite!AU118</f>
        <v>-0.149</v>
      </c>
      <c r="DL45" s="17" t="n">
        <f aca="false">Daily_Composite!AU119</f>
        <v>-0.074</v>
      </c>
      <c r="DM45" s="17" t="n">
        <f aca="false">Daily_Composite!AU120</f>
        <v>0</v>
      </c>
      <c r="DN45" s="17" t="n">
        <f aca="false">Daily_Composite!AU121</f>
        <v>-0.396</v>
      </c>
      <c r="DO45" s="17" t="n">
        <f aca="false">Daily_Composite!AU122</f>
        <v>-0.029</v>
      </c>
      <c r="DP45" s="17" t="n">
        <f aca="false">Daily_Composite!AU123</f>
        <v>-0.026</v>
      </c>
      <c r="DQ45" s="17" t="n">
        <f aca="false">Daily_Composite!AU124</f>
        <v>-0.084</v>
      </c>
      <c r="DR45" s="17" t="n">
        <f aca="false">Daily_Composite!AU125</f>
        <v>-0.084</v>
      </c>
      <c r="DS45" s="17" t="n">
        <f aca="false">Daily_Composite!AU126</f>
        <v>0.006</v>
      </c>
      <c r="DT45" s="17" t="n">
        <f aca="false">Daily_Composite!AU127</f>
        <v>0.011</v>
      </c>
      <c r="DU45" s="17" t="n">
        <f aca="false">Daily_Composite!AU128</f>
        <v>0.024</v>
      </c>
      <c r="DV45" s="17" t="n">
        <f aca="false">Daily_Composite!AU129</f>
        <v>0.019</v>
      </c>
      <c r="DW45" s="17" t="n">
        <f aca="false">Daily_Composite!AU130</f>
        <v>0.413</v>
      </c>
      <c r="DX45" s="17" t="n">
        <f aca="false">Daily_Composite!AU131</f>
        <v>0.027</v>
      </c>
      <c r="DY45" s="17" t="n">
        <f aca="false">Daily_Composite!AU132</f>
        <v>0.028</v>
      </c>
      <c r="DZ45" s="17" t="n">
        <f aca="false">Daily_Composite!AU133</f>
        <v>0.004</v>
      </c>
      <c r="EA45" s="17" t="n">
        <f aca="false">Daily_Composite!AU134</f>
        <v>-0.002</v>
      </c>
      <c r="EB45" s="17" t="n">
        <f aca="false">Daily_Composite!AU135</f>
        <v>-0.01</v>
      </c>
      <c r="EC45" s="17" t="n">
        <f aca="false">Daily_Composite!AU136</f>
        <v>0.02</v>
      </c>
      <c r="ED45" s="17" t="n">
        <f aca="false">Daily_Composite!AU137</f>
        <v>0.031</v>
      </c>
      <c r="EE45" s="17" t="n">
        <f aca="false">Daily_Composite!AU138</f>
        <v>0.031</v>
      </c>
      <c r="EF45" s="17" t="n">
        <f aca="false">Daily_Composite!AU139</f>
        <v>0.281</v>
      </c>
      <c r="EG45" s="17" t="n">
        <f aca="false">Daily_Composite!AU140</f>
        <v>-0.008</v>
      </c>
      <c r="EH45" s="17" t="n">
        <f aca="false">Daily_Composite!AU141</f>
        <v>0.003</v>
      </c>
      <c r="EI45" s="17" t="n">
        <f aca="false">Daily_Composite!AU142</f>
        <v>0.004</v>
      </c>
      <c r="EJ45" s="17" t="n">
        <f aca="false">Daily_Composite!AU143</f>
        <v>0.002</v>
      </c>
      <c r="EK45" s="17" t="n">
        <f aca="false">Daily_Composite!AU144</f>
        <v>-0.037</v>
      </c>
      <c r="EL45" s="17" t="n">
        <f aca="false">Daily_Composite!AU145</f>
        <v>-0.004</v>
      </c>
      <c r="EM45" s="17" t="n">
        <f aca="false">Daily_Composite!AU146</f>
        <v>-0.098</v>
      </c>
      <c r="EN45" s="17" t="n">
        <f aca="false">Daily_Composite!AU147</f>
        <v>-0.021</v>
      </c>
      <c r="EO45" s="17" t="n">
        <f aca="false">Daily_Composite!AU148</f>
        <v>-0.287</v>
      </c>
      <c r="EP45" s="17" t="n">
        <f aca="false">Daily_Composite!AU149</f>
        <v>-0.048</v>
      </c>
      <c r="EQ45" s="17" t="n">
        <f aca="false">Daily_Composite!AU150</f>
        <v>-0.023</v>
      </c>
      <c r="ER45" s="17" t="n">
        <f aca="false">Daily_Composite!AU151</f>
        <v>-0.193</v>
      </c>
      <c r="ES45" s="17" t="n">
        <f aca="false">Daily_Composite!AU152</f>
        <v>-0.174</v>
      </c>
      <c r="ET45" s="17" t="n">
        <f aca="false">Daily_Composite!AU153</f>
        <v>0.008</v>
      </c>
      <c r="EU45" s="17" t="n">
        <f aca="false">Daily_Composite!AU154</f>
        <v>-0.019</v>
      </c>
      <c r="EV45" s="17" t="n">
        <f aca="false">Daily_Composite!AU155</f>
        <v>0.005</v>
      </c>
      <c r="EW45" s="17" t="n">
        <f aca="false">Daily_Composite!AU156</f>
        <v>0.005</v>
      </c>
      <c r="EX45" s="17" t="n">
        <f aca="false">Daily_Composite!AU157</f>
        <v>0.107</v>
      </c>
      <c r="EY45" s="17" t="n">
        <f aca="false">Daily_Composite!AU158</f>
        <v>0.004</v>
      </c>
      <c r="EZ45" s="17" t="n">
        <f aca="false">Daily_Composite!AU159</f>
        <v>0.003</v>
      </c>
      <c r="FA45" s="17" t="n">
        <f aca="false">Daily_Composite!AU160</f>
        <v>0</v>
      </c>
      <c r="FB45" s="17" t="n">
        <f aca="false">Daily_Composite!AU161</f>
        <v>0</v>
      </c>
      <c r="FC45" s="17" t="n">
        <f aca="false">Daily_Composite!AU162</f>
        <v>0</v>
      </c>
      <c r="FD45" s="17" t="n">
        <f aca="false">Daily_Composite!AU163</f>
        <v>-0.027</v>
      </c>
      <c r="FE45" s="17" t="n">
        <f aca="false">Daily_Composite!AU164</f>
        <v>-0.009</v>
      </c>
      <c r="FF45" s="17" t="n">
        <f aca="false">Daily_Composite!AU165</f>
        <v>0</v>
      </c>
      <c r="FG45" s="17" t="n">
        <f aca="false">Daily_Composite!AU166</f>
        <v>-0.006</v>
      </c>
      <c r="FH45" s="17" t="n">
        <f aca="false">Daily_Composite!AU167</f>
        <v>0.039</v>
      </c>
      <c r="FI45" s="17" t="n">
        <f aca="false">Daily_Composite!AU168</f>
        <v>0.027</v>
      </c>
      <c r="FJ45" s="17" t="n">
        <f aca="false">Daily_Composite!AU169</f>
        <v>0.028</v>
      </c>
      <c r="FK45" s="17" t="n">
        <f aca="false">Daily_Composite!AU170</f>
        <v>0.028</v>
      </c>
      <c r="FL45" s="17" t="n">
        <f aca="false">Daily_Composite!AU171</f>
        <v>0.007</v>
      </c>
      <c r="FM45" s="17" t="n">
        <f aca="false">Daily_Composite!AU172</f>
        <v>0.066</v>
      </c>
      <c r="FN45" s="17" t="n">
        <f aca="false">Daily_Composite!AU173</f>
        <v>0.001</v>
      </c>
      <c r="FO45" s="17" t="n">
        <f aca="false">Daily_Composite!AU174</f>
        <v>0.03</v>
      </c>
      <c r="FP45" s="17" t="n">
        <f aca="false">Daily_Composite!AU175</f>
        <v>0.075</v>
      </c>
      <c r="FQ45" s="17" t="n">
        <f aca="false">Daily_Composite!AU176</f>
        <v>0.028</v>
      </c>
      <c r="FR45" s="17" t="n">
        <f aca="false">Daily_Composite!AU177</f>
        <v>0.028</v>
      </c>
      <c r="FS45" s="17" t="n">
        <f aca="false">Daily_Composite!AU178</f>
        <v>-0.066</v>
      </c>
      <c r="FT45" s="17" t="n">
        <f aca="false">Daily_Composite!AU179</f>
        <v>-0.089</v>
      </c>
      <c r="FU45" s="17" t="n">
        <f aca="false">Daily_Composite!AU180</f>
        <v>-0.099</v>
      </c>
      <c r="FV45" s="17" t="n">
        <f aca="false">Daily_Composite!AU181</f>
        <v>-0.003</v>
      </c>
      <c r="FW45" s="17" t="n">
        <f aca="false">Daily_Composite!AU182</f>
        <v>-0.016</v>
      </c>
      <c r="FX45" s="17" t="n">
        <f aca="false">Daily_Composite!AU183</f>
        <v>0.012</v>
      </c>
      <c r="FY45" s="17" t="n">
        <f aca="false">Daily_Composite!AU184</f>
        <v>-0.236</v>
      </c>
      <c r="FZ45" s="17" t="n">
        <f aca="false">Daily_Composite!AU185</f>
        <v>0</v>
      </c>
      <c r="GA45" s="17" t="n">
        <f aca="false">Daily_Composite!AU186</f>
        <v>0.016</v>
      </c>
      <c r="GB45" s="17" t="n">
        <f aca="false">Daily_Composite!AU187</f>
        <v>0.038</v>
      </c>
      <c r="GC45" s="17" t="n">
        <f aca="false">Daily_Composite!AU188</f>
        <v>0.039</v>
      </c>
      <c r="GD45" s="17" t="n">
        <f aca="false">Daily_Composite!AU189</f>
        <v>0.04</v>
      </c>
      <c r="GE45" s="17" t="n">
        <f aca="false">Daily_Composite!AU190</f>
        <v>0.039</v>
      </c>
      <c r="GF45" s="17" t="n">
        <f aca="false">Daily_Composite!AU191</f>
        <v>-0.032</v>
      </c>
      <c r="GG45" s="17" t="n">
        <f aca="false">Daily_Composite!AU192</f>
        <v>-0.059</v>
      </c>
      <c r="GH45" s="17" t="n">
        <f aca="false">Daily_Composite!AU193</f>
        <v>0.036</v>
      </c>
      <c r="GI45" s="17" t="n">
        <f aca="false">Daily_Composite!AU194</f>
        <v>0.033</v>
      </c>
      <c r="GJ45" s="17" t="n">
        <f aca="false">Daily_Composite!AU195</f>
        <v>0.01</v>
      </c>
      <c r="GK45" s="17" t="n">
        <f aca="false">Daily_Composite!AU196</f>
        <v>0</v>
      </c>
      <c r="GL45" s="17" t="n">
        <f aca="false">Daily_Composite!AU197</f>
        <v>-0.039</v>
      </c>
      <c r="GM45" s="17" t="n">
        <f aca="false">Daily_Composite!AU198</f>
        <v>-0.031</v>
      </c>
      <c r="GN45" s="17" t="n">
        <f aca="false">Daily_Composite!AU199</f>
        <v>0.139</v>
      </c>
      <c r="GO45" s="17" t="n">
        <f aca="false">Daily_Composite!AU200</f>
        <v>0.139</v>
      </c>
      <c r="GP45" s="17" t="n">
        <f aca="false">Daily_Composite!AU201</f>
        <v>0.093</v>
      </c>
      <c r="GQ45" s="17" t="n">
        <f aca="false">Daily_Composite!AU202</f>
        <v>0</v>
      </c>
      <c r="GR45" s="17" t="n">
        <f aca="false">Daily_Composite!AU203</f>
        <v>0.405</v>
      </c>
      <c r="GS45" s="17" t="n">
        <f aca="false">Daily_Composite!AU204</f>
        <v>0</v>
      </c>
      <c r="GT45" s="17" t="n">
        <f aca="false">Daily_Composite!AU205</f>
        <v>0.028</v>
      </c>
      <c r="GU45" s="17" t="n">
        <f aca="false">Daily_Composite!AU206</f>
        <v>-0.131</v>
      </c>
      <c r="GV45" s="17" t="n">
        <f aca="false">Daily_Composite!AU207</f>
        <v>-0.06</v>
      </c>
      <c r="GW45" s="17" t="n">
        <f aca="false">Daily_Composite!AU208</f>
        <v>0.094</v>
      </c>
      <c r="GX45" s="17" t="n">
        <f aca="false">Daily_Composite!AU209</f>
        <v>0.101</v>
      </c>
      <c r="GY45" s="17" t="n">
        <f aca="false">Daily_Composite!AU210</f>
        <v>0.008</v>
      </c>
      <c r="GZ45" s="17" t="n">
        <f aca="false">Daily_Composite!AU211</f>
        <v>0.004</v>
      </c>
      <c r="HA45" s="17" t="n">
        <f aca="false">Daily_Composite!AU212</f>
        <v>0.295</v>
      </c>
      <c r="HB45" s="17" t="n">
        <f aca="false">Daily_Composite!AU213</f>
        <v>-0.069</v>
      </c>
      <c r="HC45" s="17" t="n">
        <f aca="false">Daily_Composite!AU214</f>
        <v>-0.013</v>
      </c>
      <c r="HD45" s="17" t="n">
        <f aca="false">Daily_Composite!AU215</f>
        <v>0.105</v>
      </c>
      <c r="HE45" s="17" t="n">
        <f aca="false">Daily_Composite!AU216</f>
        <v>0.105</v>
      </c>
      <c r="HF45" s="17" t="n">
        <f aca="false">Daily_Composite!AU217</f>
        <v>0.087</v>
      </c>
      <c r="HG45" s="17" t="n">
        <f aca="false">Daily_Composite!AU218</f>
        <v>0.016</v>
      </c>
      <c r="HH45" s="17" t="n">
        <f aca="false">Daily_Composite!AU219</f>
        <v>0.044</v>
      </c>
      <c r="HI45" s="17" t="n">
        <f aca="false">Daily_Composite!AU220</f>
        <v>0.113</v>
      </c>
      <c r="HJ45" s="17" t="n">
        <f aca="false">Daily_Composite!AU221</f>
        <v>0.113</v>
      </c>
      <c r="HK45" s="17" t="n">
        <f aca="false">Daily_Composite!AU222</f>
        <v>0.025</v>
      </c>
      <c r="HL45" s="17" t="n">
        <f aca="false">Daily_Composite!AU223</f>
        <v>0.029</v>
      </c>
      <c r="HM45" s="17" t="n">
        <f aca="false">Daily_Composite!AU224</f>
        <v>0.032</v>
      </c>
      <c r="HN45" s="17" t="n">
        <f aca="false">Daily_Composite!AU225</f>
        <v>0.032</v>
      </c>
      <c r="HO45" s="17" t="n">
        <f aca="false">Daily_Composite!AU226</f>
        <v>0.034</v>
      </c>
      <c r="HP45" s="17" t="n">
        <f aca="false">Daily_Composite!AU227</f>
        <v>-0.028</v>
      </c>
      <c r="HQ45" s="17" t="n">
        <f aca="false">Daily_Composite!AU228</f>
        <v>-0.026</v>
      </c>
      <c r="HR45" s="17" t="n">
        <f aca="false">Daily_Composite!AU229</f>
        <v>0.034</v>
      </c>
      <c r="HS45" s="17" t="n">
        <f aca="false">Daily_Composite!AU230</f>
        <v>0.358</v>
      </c>
      <c r="HT45" s="17" t="n">
        <f aca="false">Daily_Composite!AU231</f>
        <v>0.046</v>
      </c>
      <c r="HU45" s="17" t="n">
        <f aca="false">Daily_Composite!AU232</f>
        <v>0.056</v>
      </c>
      <c r="HV45" s="17" t="n">
        <f aca="false">Daily_Composite!AU233</f>
        <v>0.003</v>
      </c>
      <c r="HW45" s="17" t="n">
        <f aca="false">Daily_Composite!AU234</f>
        <v>-0.079</v>
      </c>
      <c r="HX45" s="17" t="n">
        <f aca="false">Daily_Composite!AU235</f>
        <v>0.048</v>
      </c>
      <c r="HY45" s="17" t="n">
        <f aca="false">Daily_Composite!AU236</f>
        <v>0.058</v>
      </c>
      <c r="HZ45" s="17" t="n">
        <f aca="false">Daily_Composite!AU237</f>
        <v>0.117</v>
      </c>
      <c r="IA45" s="17" t="n">
        <f aca="false">Daily_Composite!AU238</f>
        <v>0.119</v>
      </c>
      <c r="IB45" s="17" t="n">
        <f aca="false">Daily_Composite!AU239</f>
        <v>0.44</v>
      </c>
      <c r="IC45" s="17" t="n">
        <f aca="false">Daily_Composite!AU240</f>
        <v>0.087</v>
      </c>
      <c r="ID45" s="17" t="n">
        <f aca="false">Daily_Composite!AU241</f>
        <v>0.088</v>
      </c>
      <c r="IE45" s="17" t="n">
        <f aca="false">Daily_Composite!AU242</f>
        <v>0.125</v>
      </c>
      <c r="IF45" s="17" t="n">
        <f aca="false">Daily_Composite!AU243</f>
        <v>0.114</v>
      </c>
      <c r="IG45" s="17" t="n">
        <f aca="false">Daily_Composite!AU244</f>
        <v>0.129</v>
      </c>
      <c r="IH45" s="17" t="n">
        <f aca="false">Daily_Composite!AU245</f>
        <v>0.107</v>
      </c>
      <c r="II45" s="17" t="n">
        <f aca="false">Daily_Composite!AU246</f>
        <v>0.14</v>
      </c>
      <c r="IJ45" s="17" t="n">
        <f aca="false">Daily_Composite!AU247</f>
        <v>0.145</v>
      </c>
      <c r="IK45" s="17" t="n">
        <f aca="false">Daily_Composite!AU248</f>
        <v>0.124</v>
      </c>
      <c r="IL45" s="17" t="n">
        <f aca="false">Daily_Composite!AU249</f>
        <v>0.486</v>
      </c>
      <c r="IM45" s="17" t="n">
        <f aca="false">Daily_Composite!AU250</f>
        <v>0.152</v>
      </c>
      <c r="IN45" s="17" t="n">
        <f aca="false">Daily_Composite!AU251</f>
        <v>0.152</v>
      </c>
      <c r="IO45" s="17" t="n">
        <f aca="false">Daily_Composite!AU252</f>
        <v>0.144</v>
      </c>
      <c r="IP45" s="17" t="n">
        <f aca="false">Daily_Composite!AU253</f>
        <v>0.135</v>
      </c>
      <c r="IQ45" s="17" t="n">
        <f aca="false">Daily_Composite!AU254</f>
        <v>0.053</v>
      </c>
      <c r="IR45" s="17" t="n">
        <f aca="false">Daily_Composite!AU255</f>
        <v>0.031</v>
      </c>
      <c r="IS45" s="17" t="n">
        <f aca="false">Daily_Composite!AU256</f>
        <v>0.127</v>
      </c>
      <c r="IT45" s="17" t="n">
        <f aca="false">Daily_Composite!AU257</f>
        <v>0.497</v>
      </c>
      <c r="IU45" s="17" t="n">
        <f aca="false">Daily_Composite!AU258</f>
        <v>0.127</v>
      </c>
      <c r="IV45" s="17" t="n">
        <f aca="false">Daily_Composite!AU259</f>
        <v>0.126</v>
      </c>
      <c r="IW45" s="17" t="n">
        <f aca="false">Daily_Composite!AU260</f>
        <v>-0.06</v>
      </c>
      <c r="IX45" s="17" t="n">
        <f aca="false">Daily_Composite!AU261</f>
        <v>-0.04</v>
      </c>
      <c r="IY45" s="17" t="n">
        <f aca="false">Daily_Composite!AU262</f>
        <v>0.088</v>
      </c>
      <c r="IZ45" s="17" t="n">
        <f aca="false">Daily_Composite!AU263</f>
        <v>0.117</v>
      </c>
      <c r="JA45" s="17" t="n">
        <f aca="false">Daily_Composite!AU264</f>
        <v>0.137</v>
      </c>
      <c r="JB45" s="17" t="n">
        <f aca="false">Daily_Composite!AU265</f>
        <v>0.16</v>
      </c>
      <c r="JC45" s="17" t="n">
        <f aca="false">Daily_Composite!AU266</f>
        <v>0.551</v>
      </c>
      <c r="JD45" s="17" t="n">
        <f aca="false">Daily_Composite!AU267</f>
        <v>0.172</v>
      </c>
      <c r="JE45" s="17" t="n">
        <f aca="false">Daily_Composite!AU268</f>
        <v>0.141</v>
      </c>
      <c r="JF45" s="17" t="n">
        <f aca="false">Daily_Composite!AU269</f>
        <v>0.146</v>
      </c>
      <c r="JG45" s="17" t="n">
        <f aca="false">Daily_Composite!AU270</f>
        <v>0.177</v>
      </c>
      <c r="JH45" s="17" t="n">
        <f aca="false">Daily_Composite!AU271</f>
        <v>0.147</v>
      </c>
      <c r="JI45" s="17" t="n">
        <f aca="false">Daily_Composite!AU272</f>
        <v>0.12</v>
      </c>
      <c r="JJ45" s="17" t="n">
        <f aca="false">Daily_Composite!AU273</f>
        <v>0.066</v>
      </c>
      <c r="JK45" s="17" t="n">
        <f aca="false">Daily_Composite!AU274</f>
        <v>0.02</v>
      </c>
      <c r="JL45" s="17" t="n">
        <f aca="false">Daily_Composite!AU275</f>
        <v>0.035</v>
      </c>
      <c r="JM45" s="17" t="n">
        <f aca="false">Daily_Composite!AU276</f>
        <v>0.332</v>
      </c>
      <c r="JN45" s="17" t="n">
        <f aca="false">Daily_Composite!AU277</f>
        <v>0.035</v>
      </c>
      <c r="JO45" s="17" t="n">
        <f aca="false">Daily_Composite!AU278</f>
        <v>0.024</v>
      </c>
      <c r="JP45" s="17" t="n">
        <f aca="false">Daily_Composite!AU279</f>
        <v>0.014</v>
      </c>
      <c r="JQ45" s="17" t="n">
        <f aca="false">Daily_Composite!AU280</f>
        <v>0.001</v>
      </c>
      <c r="JR45" s="17" t="n">
        <f aca="false">Daily_Composite!AU281</f>
        <v>-0.011</v>
      </c>
      <c r="JS45" s="17" t="n">
        <f aca="false">Daily_Composite!AU282</f>
        <v>-0.032</v>
      </c>
      <c r="JT45" s="17" t="n">
        <f aca="false">Daily_Composite!AU283</f>
        <v>-0.051</v>
      </c>
      <c r="JU45" s="17" t="n">
        <f aca="false">Daily_Composite!AU284</f>
        <v>0.012</v>
      </c>
      <c r="JV45" s="17" t="n">
        <f aca="false">Daily_Composite!AU285</f>
        <v>0.392</v>
      </c>
      <c r="JW45" s="17" t="n">
        <f aca="false">Daily_Composite!AU286</f>
        <v>0.027</v>
      </c>
      <c r="JX45" s="17" t="n">
        <f aca="false">Daily_Composite!AU287</f>
        <v>0.028</v>
      </c>
      <c r="JY45" s="17" t="n">
        <f aca="false">Daily_Composite!AU288</f>
        <v>-0.153</v>
      </c>
      <c r="JZ45" s="17" t="n">
        <f aca="false">Daily_Composite!AU289</f>
        <v>-0.209</v>
      </c>
      <c r="KA45" s="17" t="n">
        <f aca="false">Daily_Composite!AU290</f>
        <v>-0.167</v>
      </c>
      <c r="KB45" s="17" t="n">
        <f aca="false">Daily_Composite!AU291</f>
        <v>-0.133</v>
      </c>
      <c r="KC45" s="17" t="n">
        <f aca="false">Daily_Composite!AU292</f>
        <v>-0.134</v>
      </c>
      <c r="KD45" s="17" t="n">
        <f aca="false">Daily_Composite!AU293</f>
        <v>0.336</v>
      </c>
      <c r="KE45" s="17" t="n">
        <f aca="false">Daily_Composite!AU294</f>
        <v>-0.134</v>
      </c>
      <c r="KF45" s="17" t="n">
        <f aca="false">Daily_Composite!AU295</f>
        <v>-0.133</v>
      </c>
      <c r="KG45" s="17" t="n">
        <f aca="false">Daily_Composite!AU296</f>
        <v>-0.178</v>
      </c>
      <c r="KH45" s="17" t="n">
        <f aca="false">Daily_Composite!AU297</f>
        <v>-0.112</v>
      </c>
      <c r="KI45" s="17" t="n">
        <f aca="false">Daily_Composite!AU298</f>
        <v>-0.075</v>
      </c>
      <c r="KJ45" s="17" t="n">
        <f aca="false">Daily_Composite!AU299</f>
        <v>-0.075</v>
      </c>
      <c r="KK45" s="17" t="n">
        <f aca="false">Daily_Composite!AU300</f>
        <v>-0.142</v>
      </c>
      <c r="KL45" s="17" t="n">
        <f aca="false">Daily_Composite!AU301</f>
        <v>-0.133</v>
      </c>
      <c r="KM45" s="17" t="n">
        <f aca="false">Daily_Composite!AU302</f>
        <v>-0.177</v>
      </c>
      <c r="KN45" s="17" t="n">
        <f aca="false">Daily_Composite!AU303</f>
        <v>0.258</v>
      </c>
      <c r="KO45" s="17" t="n">
        <f aca="false">Daily_Composite!AU304</f>
        <v>-0.205</v>
      </c>
      <c r="KP45" s="17" t="n">
        <f aca="false">Daily_Composite!AU305</f>
        <v>-0.123</v>
      </c>
      <c r="KQ45" s="17" t="n">
        <f aca="false">Daily_Composite!AU306</f>
        <v>-0.114</v>
      </c>
      <c r="KR45" s="17" t="n">
        <f aca="false">Daily_Composite!AU307</f>
        <v>-0.088</v>
      </c>
      <c r="KS45" s="17" t="n">
        <f aca="false">Daily_Composite!AU308</f>
        <v>-0.085</v>
      </c>
      <c r="KT45" s="17" t="n">
        <f aca="false">Daily_Composite!AU309</f>
        <v>-0.138</v>
      </c>
      <c r="KU45" s="17" t="n">
        <f aca="false">Daily_Composite!AU310</f>
        <v>-0.044</v>
      </c>
      <c r="KV45" s="17" t="n">
        <f aca="false">Daily_Composite!AU311</f>
        <v>-0.043</v>
      </c>
      <c r="KW45" s="17" t="n">
        <f aca="false">Daily_Composite!AU312</f>
        <v>0.269</v>
      </c>
      <c r="KX45" s="17" t="n">
        <f aca="false">Daily_Composite!AU313</f>
        <v>0.042</v>
      </c>
      <c r="KY45" s="17" t="n">
        <f aca="false">Daily_Composite!AU314</f>
        <v>0.042</v>
      </c>
      <c r="KZ45" s="17" t="n">
        <f aca="false">Daily_Composite!AU315</f>
        <v>0.058</v>
      </c>
      <c r="LA45" s="17" t="n">
        <f aca="false">Daily_Composite!AU316</f>
        <v>0.062</v>
      </c>
      <c r="LB45" s="17" t="n">
        <f aca="false">Daily_Composite!AU317</f>
        <v>0.06</v>
      </c>
      <c r="LC45" s="17" t="n">
        <f aca="false">Daily_Composite!AU318</f>
        <v>0.06</v>
      </c>
      <c r="LD45" s="17" t="n">
        <f aca="false">Daily_Composite!AU319</f>
        <v>0.06</v>
      </c>
      <c r="LE45" s="17" t="n">
        <f aca="false">Daily_Composite!AU320</f>
        <v>0.08</v>
      </c>
      <c r="LF45" s="17" t="n">
        <f aca="false">Daily_Composite!AU321</f>
        <v>0.317</v>
      </c>
      <c r="LG45" s="17" t="n">
        <f aca="false">Daily_Composite!AU322</f>
        <v>0.096</v>
      </c>
      <c r="LH45" s="17" t="n">
        <f aca="false">Daily_Composite!AU323</f>
        <v>0.145</v>
      </c>
      <c r="LI45" s="17" t="n">
        <f aca="false">Daily_Composite!AU324</f>
        <v>0.145</v>
      </c>
      <c r="LJ45" s="17" t="n">
        <f aca="false">Daily_Composite!AU325</f>
        <v>0.116</v>
      </c>
      <c r="LK45" s="17" t="n">
        <f aca="false">Daily_Composite!AU326</f>
        <v>0.125</v>
      </c>
      <c r="LL45" s="17" t="n">
        <f aca="false">Daily_Composite!AU327</f>
        <v>0.131</v>
      </c>
      <c r="LM45" s="17" t="n">
        <f aca="false">Daily_Composite!AU328</f>
        <v>0.117</v>
      </c>
      <c r="LN45" s="17" t="n">
        <f aca="false">Daily_Composite!AU329</f>
        <v>0.054</v>
      </c>
      <c r="LO45" s="17" t="n">
        <f aca="false">Daily_Composite!AU330</f>
        <v>0.009</v>
      </c>
      <c r="LP45" s="17" t="n">
        <f aca="false">Daily_Composite!AU331</f>
        <v>0.143</v>
      </c>
      <c r="LQ45" s="17" t="n">
        <f aca="false">Daily_Composite!AU332</f>
        <v>-0.012</v>
      </c>
      <c r="LR45" s="17" t="n">
        <f aca="false">Daily_Composite!AU333</f>
        <v>0.024</v>
      </c>
      <c r="LS45" s="17" t="n">
        <f aca="false">Daily_Composite!AU334</f>
        <v>0.001</v>
      </c>
      <c r="LT45" s="17" t="n">
        <f aca="false">Daily_Composite!AU335</f>
        <v>-0.097</v>
      </c>
      <c r="LU45" s="17" t="n">
        <f aca="false">Daily_Composite!AU336</f>
        <v>-0.167</v>
      </c>
      <c r="LV45" s="17" t="n">
        <f aca="false">Daily_Composite!AU337</f>
        <v>-0.231</v>
      </c>
      <c r="LW45" s="17" t="n">
        <f aca="false">Daily_Composite!AU338</f>
        <v>-0.097</v>
      </c>
      <c r="LX45" s="17" t="n">
        <f aca="false">Daily_Composite!AU339</f>
        <v>-0.076</v>
      </c>
      <c r="LY45" s="17" t="n">
        <f aca="false">Daily_Composite!AU340</f>
        <v>-0.097</v>
      </c>
      <c r="LZ45" s="17" t="n">
        <f aca="false">Daily_Composite!AU341</f>
        <v>-0.087</v>
      </c>
      <c r="MA45" s="17" t="n">
        <f aca="false">Daily_Composite!AU342</f>
        <v>-0.253</v>
      </c>
      <c r="MB45" s="17" t="n">
        <f aca="false">Daily_Composite!AU343</f>
        <v>-0.262</v>
      </c>
      <c r="MC45" s="17" t="n">
        <f aca="false">Daily_Composite!AU344</f>
        <v>-0.223</v>
      </c>
      <c r="MD45" s="17" t="n">
        <f aca="false">Daily_Composite!AU345</f>
        <v>-0.065</v>
      </c>
      <c r="ME45" s="17" t="n">
        <f aca="false">Daily_Composite!AU346</f>
        <v>-0.029</v>
      </c>
      <c r="MF45" s="17" t="n">
        <f aca="false">Daily_Composite!AU347</f>
        <v>-0.011</v>
      </c>
      <c r="MG45" s="17" t="n">
        <f aca="false">Daily_Composite!AU348</f>
        <v>0.269</v>
      </c>
      <c r="MH45" s="17" t="n">
        <f aca="false">Daily_Composite!AU349</f>
        <v>-0.009</v>
      </c>
      <c r="MI45" s="17" t="n">
        <f aca="false">Daily_Composite!AU350</f>
        <v>-0.008</v>
      </c>
      <c r="MJ45" s="17" t="n">
        <f aca="false">Daily_Composite!AU351</f>
        <v>0.019</v>
      </c>
      <c r="MK45" s="17" t="n">
        <f aca="false">Daily_Composite!AU352</f>
        <v>0.021</v>
      </c>
      <c r="ML45" s="17" t="n">
        <f aca="false">Daily_Composite!AU353</f>
        <v>-0.005</v>
      </c>
      <c r="MM45" s="17" t="n">
        <f aca="false">Daily_Composite!AU354</f>
        <v>0.001</v>
      </c>
      <c r="MN45" s="17" t="n">
        <f aca="false">Daily_Composite!AU355</f>
        <v>0.007</v>
      </c>
      <c r="MO45" s="17" t="n">
        <f aca="false">Daily_Composite!AU356</f>
        <v>0.026</v>
      </c>
      <c r="MP45" s="17" t="n">
        <f aca="false">Daily_Composite!AU357</f>
        <v>0.027</v>
      </c>
      <c r="MQ45" s="17" t="n">
        <f aca="false">Daily_Composite!AU358</f>
        <v>0.436</v>
      </c>
      <c r="MR45" s="17" t="n">
        <f aca="false">Daily_Composite!AU359</f>
        <v>0.044</v>
      </c>
      <c r="MS45" s="17" t="n">
        <f aca="false">Daily_Composite!AU360</f>
        <v>0.05</v>
      </c>
      <c r="MT45" s="17" t="n">
        <f aca="false">Daily_Composite!AU361</f>
        <v>0.097</v>
      </c>
      <c r="MU45" s="17" t="n">
        <f aca="false">Daily_Composite!AU362</f>
        <v>0.123</v>
      </c>
      <c r="MV45" s="17" t="n">
        <f aca="false">Daily_Composite!AU363</f>
        <v>-0.018</v>
      </c>
      <c r="MW45" s="17" t="n">
        <f aca="false">Daily_Composite!AU364</f>
        <v>-0.051</v>
      </c>
      <c r="MX45" s="17" t="n">
        <f aca="false">Daily_Composite!AU365</f>
        <v>-0.001</v>
      </c>
      <c r="MY45" s="17" t="n">
        <f aca="false">Daily_Composite!AU366</f>
        <v>0.116</v>
      </c>
      <c r="MZ45" s="17" t="n">
        <f aca="false">Daily_Composite!AU367</f>
        <v>0.52</v>
      </c>
      <c r="NA45" s="17" t="n">
        <f aca="false">Daily_Composite!AU368</f>
        <v>0.116</v>
      </c>
      <c r="NB45" s="17" t="n">
        <f aca="false">Daily_Composite!AU369</f>
        <v>0.105</v>
      </c>
    </row>
    <row r="46" customFormat="false" ht="15" hidden="false" customHeight="false" outlineLevel="0" collapsed="false">
      <c r="A46" s="6" t="s">
        <v>59</v>
      </c>
      <c r="B46" s="17" t="n">
        <f aca="false">Daily_Composite!AV5</f>
        <v>-0.301</v>
      </c>
      <c r="C46" s="17" t="n">
        <f aca="false">Daily_Composite!AV6</f>
        <v>0.016</v>
      </c>
      <c r="D46" s="17" t="n">
        <f aca="false">Daily_Composite!AV7</f>
        <v>-0.136</v>
      </c>
      <c r="E46" s="17" t="n">
        <f aca="false">Daily_Composite!AV8</f>
        <v>-0.081</v>
      </c>
      <c r="F46" s="17" t="n">
        <f aca="false">Daily_Composite!AV9</f>
        <v>-0.046</v>
      </c>
      <c r="G46" s="17" t="n">
        <f aca="false">Daily_Composite!AV10</f>
        <v>-0.04</v>
      </c>
      <c r="H46" s="17" t="n">
        <f aca="false">Daily_Composite!AV11</f>
        <v>-0.042</v>
      </c>
      <c r="I46" s="17" t="n">
        <f aca="false">Daily_Composite!AV12</f>
        <v>-0.014</v>
      </c>
      <c r="J46" s="17" t="n">
        <f aca="false">Daily_Composite!AV13</f>
        <v>-0.024</v>
      </c>
      <c r="K46" s="17" t="n">
        <f aca="false">Daily_Composite!AV14</f>
        <v>-0</v>
      </c>
      <c r="L46" s="17" t="n">
        <f aca="false">Daily_Composite!AV15</f>
        <v>0.027</v>
      </c>
      <c r="M46" s="17" t="n">
        <f aca="false">Daily_Composite!AV16</f>
        <v>0.008</v>
      </c>
      <c r="N46" s="17" t="n">
        <f aca="false">Daily_Composite!AV17</f>
        <v>-0.232</v>
      </c>
      <c r="O46" s="17" t="n">
        <f aca="false">Daily_Composite!AV18</f>
        <v>-0.227</v>
      </c>
      <c r="P46" s="17" t="n">
        <f aca="false">Daily_Composite!AV19</f>
        <v>0.017</v>
      </c>
      <c r="Q46" s="17" t="n">
        <f aca="false">Daily_Composite!AV20</f>
        <v>0.033</v>
      </c>
      <c r="R46" s="17" t="n">
        <f aca="false">Daily_Composite!AV21</f>
        <v>0.034</v>
      </c>
      <c r="S46" s="17" t="n">
        <f aca="false">Daily_Composite!AV22</f>
        <v>0.035</v>
      </c>
      <c r="T46" s="17" t="n">
        <f aca="false">Daily_Composite!AV23</f>
        <v>0.34</v>
      </c>
      <c r="U46" s="17" t="n">
        <f aca="false">Daily_Composite!AV24</f>
        <v>0.038</v>
      </c>
      <c r="V46" s="17" t="n">
        <f aca="false">Daily_Composite!AV25</f>
        <v>0.046</v>
      </c>
      <c r="W46" s="17" t="n">
        <f aca="false">Daily_Composite!AV26</f>
        <v>0.057</v>
      </c>
      <c r="X46" s="17" t="n">
        <f aca="false">Daily_Composite!AV27</f>
        <v>0.113</v>
      </c>
      <c r="Y46" s="17" t="n">
        <f aca="false">Daily_Composite!AV28</f>
        <v>0.139</v>
      </c>
      <c r="Z46" s="17" t="n">
        <f aca="false">Daily_Composite!AV29</f>
        <v>0.139</v>
      </c>
      <c r="AA46" s="17" t="n">
        <f aca="false">Daily_Composite!AV30</f>
        <v>0.154</v>
      </c>
      <c r="AB46" s="17" t="n">
        <f aca="false">Daily_Composite!AV31</f>
        <v>0.177</v>
      </c>
      <c r="AC46" s="17" t="n">
        <f aca="false">Daily_Composite!AV32</f>
        <v>0.235</v>
      </c>
      <c r="AD46" s="17" t="n">
        <f aca="false">Daily_Composite!AV33</f>
        <v>-0.034</v>
      </c>
      <c r="AE46" s="17" t="n">
        <f aca="false">Daily_Composite!AV34</f>
        <v>-0.012</v>
      </c>
      <c r="AF46" s="17" t="n">
        <f aca="false">Daily_Composite!AV35</f>
        <v>0.149</v>
      </c>
      <c r="AG46" s="17" t="n">
        <f aca="false">Daily_Composite!AV36</f>
        <v>0.155</v>
      </c>
      <c r="AH46" s="17" t="n">
        <f aca="false">Daily_Composite!AV37</f>
        <v>0.135</v>
      </c>
      <c r="AI46" s="17" t="n">
        <f aca="false">Daily_Composite!AV38</f>
        <v>0.124</v>
      </c>
      <c r="AJ46" s="17" t="n">
        <f aca="false">Daily_Composite!AV39</f>
        <v>0.134</v>
      </c>
      <c r="AK46" s="17" t="n">
        <f aca="false">Daily_Composite!AV40</f>
        <v>0.393</v>
      </c>
      <c r="AL46" s="17" t="n">
        <f aca="false">Daily_Composite!AV41</f>
        <v>0.095</v>
      </c>
      <c r="AM46" s="17" t="n">
        <f aca="false">Daily_Composite!AV42</f>
        <v>0.053</v>
      </c>
      <c r="AN46" s="17" t="n">
        <f aca="false">Daily_Composite!AV43</f>
        <v>0.052</v>
      </c>
      <c r="AO46" s="17" t="n">
        <f aca="false">Daily_Composite!AV44</f>
        <v>-0.05</v>
      </c>
      <c r="AP46" s="17" t="n">
        <f aca="false">Daily_Composite!AV45</f>
        <v>-0.014</v>
      </c>
      <c r="AQ46" s="17" t="n">
        <f aca="false">Daily_Composite!AV46</f>
        <v>0.051</v>
      </c>
      <c r="AR46" s="17" t="n">
        <f aca="false">Daily_Composite!AV47</f>
        <v>0.052</v>
      </c>
      <c r="AS46" s="17" t="n">
        <f aca="false">Daily_Composite!AV48</f>
        <v>0.052</v>
      </c>
      <c r="AT46" s="17" t="n">
        <f aca="false">Daily_Composite!AV49</f>
        <v>0.052</v>
      </c>
      <c r="AU46" s="17" t="n">
        <f aca="false">Daily_Composite!AV50</f>
        <v>0.053</v>
      </c>
      <c r="AV46" s="17" t="n">
        <f aca="false">Daily_Composite!AV51</f>
        <v>0.053</v>
      </c>
      <c r="AW46" s="17" t="n">
        <f aca="false">Daily_Composite!AV52</f>
        <v>0.053</v>
      </c>
      <c r="AX46" s="17" t="n">
        <f aca="false">Daily_Composite!AV53</f>
        <v>0.053</v>
      </c>
      <c r="AY46" s="17" t="n">
        <f aca="false">Daily_Composite!AV54</f>
        <v>0.038</v>
      </c>
      <c r="AZ46" s="17" t="n">
        <f aca="false">Daily_Composite!AV55</f>
        <v>0.031</v>
      </c>
      <c r="BA46" s="17" t="n">
        <f aca="false">Daily_Composite!AV56</f>
        <v>0.054</v>
      </c>
      <c r="BB46" s="17" t="n">
        <f aca="false">Daily_Composite!AV57</f>
        <v>0.053</v>
      </c>
      <c r="BC46" s="17" t="n">
        <f aca="false">Daily_Composite!AV58</f>
        <v>0.053</v>
      </c>
      <c r="BD46" s="17" t="n">
        <f aca="false">Daily_Composite!AV59</f>
        <v>0.04</v>
      </c>
      <c r="BE46" s="17" t="n">
        <f aca="false">Daily_Composite!AV60</f>
        <v>-0.259</v>
      </c>
      <c r="BF46" s="17" t="n">
        <f aca="false">Daily_Composite!AV61</f>
        <v>0.019</v>
      </c>
      <c r="BG46" s="17" t="n">
        <f aca="false">Daily_Composite!AV62</f>
        <v>0.007</v>
      </c>
      <c r="BH46" s="17" t="n">
        <f aca="false">Daily_Composite!AV63</f>
        <v>0.053</v>
      </c>
      <c r="BI46" s="17" t="n">
        <f aca="false">Daily_Composite!AV64</f>
        <v>0.029</v>
      </c>
      <c r="BJ46" s="17" t="n">
        <f aca="false">Daily_Composite!AV65</f>
        <v>0.054</v>
      </c>
      <c r="BK46" s="17" t="n">
        <f aca="false">Daily_Composite!AV66</f>
        <v>0.054</v>
      </c>
      <c r="BL46" s="17" t="n">
        <f aca="false">Daily_Composite!AV67</f>
        <v>0.054</v>
      </c>
      <c r="BM46" s="17" t="n">
        <f aca="false">Daily_Composite!AV68</f>
        <v>0.048</v>
      </c>
      <c r="BN46" s="17" t="n">
        <f aca="false">Daily_Composite!AV69</f>
        <v>0.043</v>
      </c>
      <c r="BO46" s="17" t="n">
        <f aca="false">Daily_Composite!AV70</f>
        <v>0.038</v>
      </c>
      <c r="BP46" s="17" t="n">
        <f aca="false">Daily_Composite!AV71</f>
        <v>-0.051</v>
      </c>
      <c r="BQ46" s="17" t="n">
        <f aca="false">Daily_Composite!AV72</f>
        <v>0.002</v>
      </c>
      <c r="BR46" s="17" t="n">
        <f aca="false">Daily_Composite!AV73</f>
        <v>0.02</v>
      </c>
      <c r="BS46" s="17" t="n">
        <f aca="false">Daily_Composite!AV74</f>
        <v>-0.021</v>
      </c>
      <c r="BT46" s="17" t="n">
        <f aca="false">Daily_Composite!AV75</f>
        <v>-0.02</v>
      </c>
      <c r="BU46" s="17" t="n">
        <f aca="false">Daily_Composite!AV76</f>
        <v>-0</v>
      </c>
      <c r="BV46" s="17" t="n">
        <f aca="false">Daily_Composite!AV77</f>
        <v>-0.001</v>
      </c>
      <c r="BW46" s="17" t="n">
        <f aca="false">Daily_Composite!AV78</f>
        <v>0.014</v>
      </c>
      <c r="BX46" s="17" t="n">
        <f aca="false">Daily_Composite!AV79</f>
        <v>0.016</v>
      </c>
      <c r="BY46" s="17" t="n">
        <f aca="false">Daily_Composite!AV80</f>
        <v>0.025</v>
      </c>
      <c r="BZ46" s="17" t="n">
        <f aca="false">Daily_Composite!AV81</f>
        <v>0.018</v>
      </c>
      <c r="CA46" s="17" t="n">
        <f aca="false">Daily_Composite!AV82</f>
        <v>0.019</v>
      </c>
      <c r="CB46" s="17" t="n">
        <f aca="false">Daily_Composite!AV83</f>
        <v>0.02</v>
      </c>
      <c r="CC46" s="17" t="n">
        <f aca="false">Daily_Composite!AV84</f>
        <v>-0.005</v>
      </c>
      <c r="CD46" s="17" t="n">
        <f aca="false">Daily_Composite!AV85</f>
        <v>0.023</v>
      </c>
      <c r="CE46" s="17" t="n">
        <f aca="false">Daily_Composite!AV86</f>
        <v>0.023</v>
      </c>
      <c r="CF46" s="17" t="n">
        <f aca="false">Daily_Composite!AV87</f>
        <v>0.349</v>
      </c>
      <c r="CG46" s="17" t="n">
        <f aca="false">Daily_Composite!AV88</f>
        <v>-0.22</v>
      </c>
      <c r="CH46" s="17" t="n">
        <f aca="false">Daily_Composite!AV89</f>
        <v>-0.082</v>
      </c>
      <c r="CI46" s="17" t="n">
        <f aca="false">Daily_Composite!AV90</f>
        <v>0.017</v>
      </c>
      <c r="CJ46" s="17" t="n">
        <f aca="false">Daily_Composite!AV91</f>
        <v>0.016</v>
      </c>
      <c r="CK46" s="17" t="n">
        <f aca="false">Daily_Composite!AV92</f>
        <v>0.016</v>
      </c>
      <c r="CL46" s="17" t="n">
        <f aca="false">Daily_Composite!AV93</f>
        <v>-0.01</v>
      </c>
      <c r="CM46" s="17" t="n">
        <f aca="false">Daily_Composite!AV94</f>
        <v>0.021</v>
      </c>
      <c r="CN46" s="17" t="n">
        <f aca="false">Daily_Composite!AV95</f>
        <v>0</v>
      </c>
      <c r="CO46" s="17" t="n">
        <f aca="false">Daily_Composite!AV96</f>
        <v>0.001</v>
      </c>
      <c r="CP46" s="17" t="n">
        <f aca="false">Daily_Composite!AV97</f>
        <v>0.002</v>
      </c>
      <c r="CQ46" s="17" t="n">
        <f aca="false">Daily_Composite!AV98</f>
        <v>-0.058</v>
      </c>
      <c r="CR46" s="17" t="n">
        <f aca="false">Daily_Composite!AV99</f>
        <v>0.004</v>
      </c>
      <c r="CS46" s="17" t="n">
        <f aca="false">Daily_Composite!AV100</f>
        <v>0.055</v>
      </c>
      <c r="CT46" s="17" t="n">
        <f aca="false">Daily_Composite!AV101</f>
        <v>0.036</v>
      </c>
      <c r="CU46" s="17" t="n">
        <f aca="false">Daily_Composite!AV102</f>
        <v>0.056</v>
      </c>
      <c r="CV46" s="17" t="n">
        <f aca="false">Daily_Composite!AV103</f>
        <v>0.019</v>
      </c>
      <c r="CW46" s="17" t="n">
        <f aca="false">Daily_Composite!AV104</f>
        <v>0.007</v>
      </c>
      <c r="CX46" s="17" t="n">
        <f aca="false">Daily_Composite!AV105</f>
        <v>-0.073</v>
      </c>
      <c r="CY46" s="17" t="n">
        <f aca="false">Daily_Composite!AV106</f>
        <v>0.037</v>
      </c>
      <c r="CZ46" s="17" t="n">
        <f aca="false">Daily_Composite!AV107</f>
        <v>0.034</v>
      </c>
      <c r="DA46" s="17" t="n">
        <f aca="false">Daily_Composite!AV108</f>
        <v>0.03</v>
      </c>
      <c r="DB46" s="17" t="n">
        <f aca="false">Daily_Composite!AV109</f>
        <v>0.029</v>
      </c>
      <c r="DC46" s="17" t="n">
        <f aca="false">Daily_Composite!AV110</f>
        <v>0.034</v>
      </c>
      <c r="DD46" s="17" t="n">
        <f aca="false">Daily_Composite!AV111</f>
        <v>0.038</v>
      </c>
      <c r="DE46" s="17" t="n">
        <f aca="false">Daily_Composite!AV112</f>
        <v>0.041</v>
      </c>
      <c r="DF46" s="17" t="n">
        <f aca="false">Daily_Composite!AV113</f>
        <v>0.045</v>
      </c>
      <c r="DG46" s="17" t="n">
        <f aca="false">Daily_Composite!AV114</f>
        <v>0.138</v>
      </c>
      <c r="DH46" s="17" t="n">
        <f aca="false">Daily_Composite!AV115</f>
        <v>0.014</v>
      </c>
      <c r="DI46" s="17" t="n">
        <f aca="false">Daily_Composite!AV116</f>
        <v>0.024</v>
      </c>
      <c r="DJ46" s="17" t="n">
        <f aca="false">Daily_Composite!AV117</f>
        <v>-0.145</v>
      </c>
      <c r="DK46" s="17" t="n">
        <f aca="false">Daily_Composite!AV118</f>
        <v>0.026</v>
      </c>
      <c r="DL46" s="17" t="n">
        <f aca="false">Daily_Composite!AV119</f>
        <v>0.023</v>
      </c>
      <c r="DM46" s="17" t="n">
        <f aca="false">Daily_Composite!AV120</f>
        <v>0.059</v>
      </c>
      <c r="DN46" s="17" t="n">
        <f aca="false">Daily_Composite!AV121</f>
        <v>0.058</v>
      </c>
      <c r="DO46" s="17" t="n">
        <f aca="false">Daily_Composite!AV122</f>
        <v>0.041</v>
      </c>
      <c r="DP46" s="17" t="n">
        <f aca="false">Daily_Composite!AV123</f>
        <v>0.028</v>
      </c>
      <c r="DQ46" s="17" t="n">
        <f aca="false">Daily_Composite!AV124</f>
        <v>0.051</v>
      </c>
      <c r="DR46" s="17" t="n">
        <f aca="false">Daily_Composite!AV125</f>
        <v>0.056</v>
      </c>
      <c r="DS46" s="17" t="n">
        <f aca="false">Daily_Composite!AV126</f>
        <v>-0.12</v>
      </c>
      <c r="DT46" s="17" t="n">
        <f aca="false">Daily_Composite!AV127</f>
        <v>-0.072</v>
      </c>
      <c r="DU46" s="17" t="n">
        <f aca="false">Daily_Composite!AV128</f>
        <v>0.051</v>
      </c>
      <c r="DV46" s="17" t="n">
        <f aca="false">Daily_Composite!AV129</f>
        <v>0.04</v>
      </c>
      <c r="DW46" s="17" t="n">
        <f aca="false">Daily_Composite!AV130</f>
        <v>0.054</v>
      </c>
      <c r="DX46" s="17" t="n">
        <f aca="false">Daily_Composite!AV131</f>
        <v>0.047</v>
      </c>
      <c r="DY46" s="17" t="n">
        <f aca="false">Daily_Composite!AV132</f>
        <v>0.286</v>
      </c>
      <c r="DZ46" s="17" t="n">
        <f aca="false">Daily_Composite!AV133</f>
        <v>0.019</v>
      </c>
      <c r="EA46" s="17" t="n">
        <f aca="false">Daily_Composite!AV134</f>
        <v>0.019</v>
      </c>
      <c r="EB46" s="17" t="n">
        <f aca="false">Daily_Composite!AV135</f>
        <v>0.026</v>
      </c>
      <c r="EC46" s="17" t="n">
        <f aca="false">Daily_Composite!AV136</f>
        <v>0.044</v>
      </c>
      <c r="ED46" s="17" t="n">
        <f aca="false">Daily_Composite!AV137</f>
        <v>0.057</v>
      </c>
      <c r="EE46" s="17" t="n">
        <f aca="false">Daily_Composite!AV138</f>
        <v>0.046</v>
      </c>
      <c r="EF46" s="17" t="n">
        <f aca="false">Daily_Composite!AV139</f>
        <v>0.026</v>
      </c>
      <c r="EG46" s="17" t="n">
        <f aca="false">Daily_Composite!AV140</f>
        <v>0.026</v>
      </c>
      <c r="EH46" s="17" t="n">
        <f aca="false">Daily_Composite!AV141</f>
        <v>-0.007</v>
      </c>
      <c r="EI46" s="17" t="n">
        <f aca="false">Daily_Composite!AV142</f>
        <v>-0.008</v>
      </c>
      <c r="EJ46" s="17" t="n">
        <f aca="false">Daily_Composite!AV143</f>
        <v>-0.033</v>
      </c>
      <c r="EK46" s="17" t="n">
        <f aca="false">Daily_Composite!AV144</f>
        <v>-0.083</v>
      </c>
      <c r="EL46" s="17" t="n">
        <f aca="false">Daily_Composite!AV145</f>
        <v>0.006</v>
      </c>
      <c r="EM46" s="17" t="n">
        <f aca="false">Daily_Composite!AV146</f>
        <v>-0.011</v>
      </c>
      <c r="EN46" s="17" t="n">
        <f aca="false">Daily_Composite!AV147</f>
        <v>-0.021</v>
      </c>
      <c r="EO46" s="17" t="n">
        <f aca="false">Daily_Composite!AV148</f>
        <v>-0.021</v>
      </c>
      <c r="EP46" s="17" t="n">
        <f aca="false">Daily_Composite!AV149</f>
        <v>-0.012</v>
      </c>
      <c r="EQ46" s="17" t="n">
        <f aca="false">Daily_Composite!AV150</f>
        <v>-0.002</v>
      </c>
      <c r="ER46" s="17" t="n">
        <f aca="false">Daily_Composite!AV151</f>
        <v>0.043</v>
      </c>
      <c r="ES46" s="17" t="n">
        <f aca="false">Daily_Composite!AV152</f>
        <v>0.033</v>
      </c>
      <c r="ET46" s="17" t="n">
        <f aca="false">Daily_Composite!AV153</f>
        <v>-0.16</v>
      </c>
      <c r="EU46" s="17" t="n">
        <f aca="false">Daily_Composite!AV154</f>
        <v>-0.157</v>
      </c>
      <c r="EV46" s="17" t="n">
        <f aca="false">Daily_Composite!AV155</f>
        <v>-0.183</v>
      </c>
      <c r="EW46" s="17" t="n">
        <f aca="false">Daily_Composite!AV156</f>
        <v>0.036</v>
      </c>
      <c r="EX46" s="17" t="n">
        <f aca="false">Daily_Composite!AV157</f>
        <v>0.034</v>
      </c>
      <c r="EY46" s="17" t="n">
        <f aca="false">Daily_Composite!AV158</f>
        <v>-0.112</v>
      </c>
      <c r="EZ46" s="17" t="n">
        <f aca="false">Daily_Composite!AV159</f>
        <v>0.183</v>
      </c>
      <c r="FA46" s="17" t="n">
        <f aca="false">Daily_Composite!AV160</f>
        <v>-0.115</v>
      </c>
      <c r="FB46" s="17" t="n">
        <f aca="false">Daily_Composite!AV161</f>
        <v>-0.179</v>
      </c>
      <c r="FC46" s="17" t="n">
        <f aca="false">Daily_Composite!AV162</f>
        <v>-0.18</v>
      </c>
      <c r="FD46" s="17" t="n">
        <f aca="false">Daily_Composite!AV163</f>
        <v>-0.15</v>
      </c>
      <c r="FE46" s="17" t="n">
        <f aca="false">Daily_Composite!AV164</f>
        <v>-0.155</v>
      </c>
      <c r="FF46" s="17" t="n">
        <f aca="false">Daily_Composite!AV165</f>
        <v>-0.122</v>
      </c>
      <c r="FG46" s="17" t="n">
        <f aca="false">Daily_Composite!AV166</f>
        <v>-0.132</v>
      </c>
      <c r="FH46" s="17" t="n">
        <f aca="false">Daily_Composite!AV167</f>
        <v>-0.154</v>
      </c>
      <c r="FI46" s="17" t="n">
        <f aca="false">Daily_Composite!AV168</f>
        <v>-0.155</v>
      </c>
      <c r="FJ46" s="17" t="n">
        <f aca="false">Daily_Composite!AV169</f>
        <v>-0.157</v>
      </c>
      <c r="FK46" s="17" t="n">
        <f aca="false">Daily_Composite!AV170</f>
        <v>-0.104</v>
      </c>
      <c r="FL46" s="17" t="n">
        <f aca="false">Daily_Composite!AV171</f>
        <v>-0.114</v>
      </c>
      <c r="FM46" s="17" t="n">
        <f aca="false">Daily_Composite!AV172</f>
        <v>-0.159</v>
      </c>
      <c r="FN46" s="17" t="n">
        <f aca="false">Daily_Composite!AV173</f>
        <v>-0.141</v>
      </c>
      <c r="FO46" s="17" t="n">
        <f aca="false">Daily_Composite!AV174</f>
        <v>-0.173</v>
      </c>
      <c r="FP46" s="17" t="n">
        <f aca="false">Daily_Composite!AV175</f>
        <v>-0.16</v>
      </c>
      <c r="FQ46" s="17" t="n">
        <f aca="false">Daily_Composite!AV176</f>
        <v>-0.086</v>
      </c>
      <c r="FR46" s="17" t="n">
        <f aca="false">Daily_Composite!AV177</f>
        <v>0.343</v>
      </c>
      <c r="FS46" s="17" t="n">
        <f aca="false">Daily_Composite!AV178</f>
        <v>-0.117</v>
      </c>
      <c r="FT46" s="17" t="n">
        <f aca="false">Daily_Composite!AV179</f>
        <v>-0.046</v>
      </c>
      <c r="FU46" s="17" t="n">
        <f aca="false">Daily_Composite!AV180</f>
        <v>-0.058</v>
      </c>
      <c r="FV46" s="17" t="n">
        <f aca="false">Daily_Composite!AV181</f>
        <v>-0.28</v>
      </c>
      <c r="FW46" s="17" t="n">
        <f aca="false">Daily_Composite!AV182</f>
        <v>-0.314</v>
      </c>
      <c r="FX46" s="17" t="n">
        <f aca="false">Daily_Composite!AV183</f>
        <v>-0.194</v>
      </c>
      <c r="FY46" s="17" t="n">
        <f aca="false">Daily_Composite!AV184</f>
        <v>-0.185</v>
      </c>
      <c r="FZ46" s="17" t="n">
        <f aca="false">Daily_Composite!AV185</f>
        <v>-0.103</v>
      </c>
      <c r="GA46" s="17" t="n">
        <f aca="false">Daily_Composite!AV186</f>
        <v>0.249</v>
      </c>
      <c r="GB46" s="17" t="n">
        <f aca="false">Daily_Composite!AV187</f>
        <v>0.216</v>
      </c>
      <c r="GC46" s="17" t="n">
        <f aca="false">Daily_Composite!AV188</f>
        <v>-0.186</v>
      </c>
      <c r="GD46" s="17" t="n">
        <f aca="false">Daily_Composite!AV189</f>
        <v>0.024</v>
      </c>
      <c r="GE46" s="17" t="n">
        <f aca="false">Daily_Composite!AV190</f>
        <v>0.025</v>
      </c>
      <c r="GF46" s="17" t="n">
        <f aca="false">Daily_Composite!AV191</f>
        <v>0.04</v>
      </c>
      <c r="GG46" s="17" t="n">
        <f aca="false">Daily_Composite!AV192</f>
        <v>0.041</v>
      </c>
      <c r="GH46" s="17" t="n">
        <f aca="false">Daily_Composite!AV193</f>
        <v>0.011</v>
      </c>
      <c r="GI46" s="17" t="n">
        <f aca="false">Daily_Composite!AV194</f>
        <v>0.037</v>
      </c>
      <c r="GJ46" s="17" t="n">
        <f aca="false">Daily_Composite!AV195</f>
        <v>0.074</v>
      </c>
      <c r="GK46" s="17" t="n">
        <f aca="false">Daily_Composite!AV196</f>
        <v>0.473</v>
      </c>
      <c r="GL46" s="17" t="n">
        <f aca="false">Daily_Composite!AV197</f>
        <v>0.04</v>
      </c>
      <c r="GM46" s="17" t="n">
        <f aca="false">Daily_Composite!AV198</f>
        <v>0.041</v>
      </c>
      <c r="GN46" s="17" t="n">
        <f aca="false">Daily_Composite!AV199</f>
        <v>0.103</v>
      </c>
      <c r="GO46" s="17" t="n">
        <f aca="false">Daily_Composite!AV200</f>
        <v>0.039</v>
      </c>
      <c r="GP46" s="17" t="n">
        <f aca="false">Daily_Composite!AV201</f>
        <v>0.045</v>
      </c>
      <c r="GQ46" s="17" t="n">
        <f aca="false">Daily_Composite!AV202</f>
        <v>-0.003</v>
      </c>
      <c r="GR46" s="17" t="n">
        <f aca="false">Daily_Composite!AV203</f>
        <v>-0.014</v>
      </c>
      <c r="GS46" s="17" t="n">
        <f aca="false">Daily_Composite!AV204</f>
        <v>-0.04</v>
      </c>
      <c r="GT46" s="17" t="n">
        <f aca="false">Daily_Composite!AV205</f>
        <v>-0.04</v>
      </c>
      <c r="GU46" s="17" t="n">
        <f aca="false">Daily_Composite!AV206</f>
        <v>-0.039</v>
      </c>
      <c r="GV46" s="17" t="n">
        <f aca="false">Daily_Composite!AV207</f>
        <v>-0.037</v>
      </c>
      <c r="GW46" s="17" t="n">
        <f aca="false">Daily_Composite!AV208</f>
        <v>-0.105</v>
      </c>
      <c r="GX46" s="17" t="n">
        <f aca="false">Daily_Composite!AV209</f>
        <v>-0.141</v>
      </c>
      <c r="GY46" s="17" t="n">
        <f aca="false">Daily_Composite!AV210</f>
        <v>-0.073</v>
      </c>
      <c r="GZ46" s="17" t="n">
        <f aca="false">Daily_Composite!AV211</f>
        <v>-0.09</v>
      </c>
      <c r="HA46" s="17" t="n">
        <f aca="false">Daily_Composite!AV212</f>
        <v>-0.104</v>
      </c>
      <c r="HB46" s="17" t="n">
        <f aca="false">Daily_Composite!AV213</f>
        <v>-0.122</v>
      </c>
      <c r="HC46" s="17" t="n">
        <f aca="false">Daily_Composite!AV214</f>
        <v>-0.365</v>
      </c>
      <c r="HD46" s="17" t="n">
        <f aca="false">Daily_Composite!AV215</f>
        <v>-0.086</v>
      </c>
      <c r="HE46" s="17" t="n">
        <f aca="false">Daily_Composite!AV216</f>
        <v>-0.087</v>
      </c>
      <c r="HF46" s="17" t="n">
        <f aca="false">Daily_Composite!AV217</f>
        <v>-0.087</v>
      </c>
      <c r="HG46" s="17" t="n">
        <f aca="false">Daily_Composite!AV218</f>
        <v>-0.083</v>
      </c>
      <c r="HH46" s="17" t="n">
        <f aca="false">Daily_Composite!AV219</f>
        <v>-0.094</v>
      </c>
      <c r="HI46" s="17" t="n">
        <f aca="false">Daily_Composite!AV220</f>
        <v>-0.094</v>
      </c>
      <c r="HJ46" s="17" t="n">
        <f aca="false">Daily_Composite!AV221</f>
        <v>-0.094</v>
      </c>
      <c r="HK46" s="17" t="n">
        <f aca="false">Daily_Composite!AV222</f>
        <v>-0.104</v>
      </c>
      <c r="HL46" s="17" t="n">
        <f aca="false">Daily_Composite!AV223</f>
        <v>-0.392</v>
      </c>
      <c r="HM46" s="17" t="n">
        <f aca="false">Daily_Composite!AV224</f>
        <v>-0.139</v>
      </c>
      <c r="HN46" s="17" t="n">
        <f aca="false">Daily_Composite!AV225</f>
        <v>-0.419</v>
      </c>
      <c r="HO46" s="17" t="n">
        <f aca="false">Daily_Composite!AV226</f>
        <v>-0.421</v>
      </c>
      <c r="HP46" s="17" t="n">
        <f aca="false">Daily_Composite!AV227</f>
        <v>-0.166</v>
      </c>
      <c r="HQ46" s="17" t="n">
        <f aca="false">Daily_Composite!AV228</f>
        <v>-0.167</v>
      </c>
      <c r="HR46" s="17" t="n">
        <f aca="false">Daily_Composite!AV229</f>
        <v>-0.151</v>
      </c>
      <c r="HS46" s="17" t="n">
        <f aca="false">Daily_Composite!AV230</f>
        <v>-0.166</v>
      </c>
      <c r="HT46" s="17" t="n">
        <f aca="false">Daily_Composite!AV231</f>
        <v>-0.131</v>
      </c>
      <c r="HU46" s="17" t="n">
        <f aca="false">Daily_Composite!AV232</f>
        <v>-0.347</v>
      </c>
      <c r="HV46" s="17" t="n">
        <f aca="false">Daily_Composite!AV233</f>
        <v>-0.099</v>
      </c>
      <c r="HW46" s="17" t="n">
        <f aca="false">Daily_Composite!AV234</f>
        <v>-0.095</v>
      </c>
      <c r="HX46" s="17" t="n">
        <f aca="false">Daily_Composite!AV235</f>
        <v>-0.24</v>
      </c>
      <c r="HY46" s="17" t="n">
        <f aca="false">Daily_Composite!AV236</f>
        <v>-0.07</v>
      </c>
      <c r="HZ46" s="17" t="n">
        <f aca="false">Daily_Composite!AV237</f>
        <v>0.005</v>
      </c>
      <c r="IA46" s="17" t="n">
        <f aca="false">Daily_Composite!AV238</f>
        <v>-0.025</v>
      </c>
      <c r="IB46" s="17" t="n">
        <f aca="false">Daily_Composite!AV239</f>
        <v>-0.033</v>
      </c>
      <c r="IC46" s="17" t="n">
        <f aca="false">Daily_Composite!AV240</f>
        <v>0.001</v>
      </c>
      <c r="ID46" s="17" t="n">
        <f aca="false">Daily_Composite!AV241</f>
        <v>0.001</v>
      </c>
      <c r="IE46" s="17" t="n">
        <f aca="false">Daily_Composite!AV242</f>
        <v>0.001</v>
      </c>
      <c r="IF46" s="17" t="n">
        <f aca="false">Daily_Composite!AV243</f>
        <v>-0</v>
      </c>
      <c r="IG46" s="17" t="n">
        <f aca="false">Daily_Composite!AV244</f>
        <v>-0.034</v>
      </c>
      <c r="IH46" s="17" t="n">
        <f aca="false">Daily_Composite!AV245</f>
        <v>-0.008</v>
      </c>
      <c r="II46" s="17" t="n">
        <f aca="false">Daily_Composite!AV246</f>
        <v>-0.011</v>
      </c>
      <c r="IJ46" s="17" t="n">
        <f aca="false">Daily_Composite!AV247</f>
        <v>-0.015</v>
      </c>
      <c r="IK46" s="17" t="n">
        <f aca="false">Daily_Composite!AV248</f>
        <v>-0.015</v>
      </c>
      <c r="IL46" s="17" t="n">
        <f aca="false">Daily_Composite!AV249</f>
        <v>-0.015</v>
      </c>
      <c r="IM46" s="17" t="n">
        <f aca="false">Daily_Composite!AV250</f>
        <v>-0.002</v>
      </c>
      <c r="IN46" s="17" t="n">
        <f aca="false">Daily_Composite!AV251</f>
        <v>0.399</v>
      </c>
      <c r="IO46" s="17" t="n">
        <f aca="false">Daily_Composite!AV252</f>
        <v>-0.126</v>
      </c>
      <c r="IP46" s="17" t="n">
        <f aca="false">Daily_Composite!AV253</f>
        <v>-0.024</v>
      </c>
      <c r="IQ46" s="17" t="n">
        <f aca="false">Daily_Composite!AV254</f>
        <v>-0.019</v>
      </c>
      <c r="IR46" s="17" t="n">
        <f aca="false">Daily_Composite!AV255</f>
        <v>-0.015</v>
      </c>
      <c r="IS46" s="17" t="n">
        <f aca="false">Daily_Composite!AV256</f>
        <v>0.015</v>
      </c>
      <c r="IT46" s="17" t="n">
        <f aca="false">Daily_Composite!AV257</f>
        <v>-0.007</v>
      </c>
      <c r="IU46" s="17" t="n">
        <f aca="false">Daily_Composite!AV258</f>
        <v>0.012</v>
      </c>
      <c r="IV46" s="17" t="n">
        <f aca="false">Daily_Composite!AV259</f>
        <v>0.366</v>
      </c>
      <c r="IW46" s="17" t="n">
        <f aca="false">Daily_Composite!AV260</f>
        <v>0.008</v>
      </c>
      <c r="IX46" s="17" t="n">
        <f aca="false">Daily_Composite!AV261</f>
        <v>0.007</v>
      </c>
      <c r="IY46" s="17" t="n">
        <f aca="false">Daily_Composite!AV262</f>
        <v>-0.031</v>
      </c>
      <c r="IZ46" s="17" t="n">
        <f aca="false">Daily_Composite!AV263</f>
        <v>-0.177</v>
      </c>
      <c r="JA46" s="17" t="n">
        <f aca="false">Daily_Composite!AV264</f>
        <v>-0.209</v>
      </c>
      <c r="JB46" s="17" t="n">
        <f aca="false">Daily_Composite!AV265</f>
        <v>0.002</v>
      </c>
      <c r="JC46" s="17" t="n">
        <f aca="false">Daily_Composite!AV266</f>
        <v>-0</v>
      </c>
      <c r="JD46" s="17" t="n">
        <f aca="false">Daily_Composite!AV267</f>
        <v>-0.027</v>
      </c>
      <c r="JE46" s="17" t="n">
        <f aca="false">Daily_Composite!AV268</f>
        <v>0.34</v>
      </c>
      <c r="JF46" s="17" t="n">
        <f aca="false">Daily_Composite!AV269</f>
        <v>-0.003</v>
      </c>
      <c r="JG46" s="17" t="n">
        <f aca="false">Daily_Composite!AV270</f>
        <v>0.03</v>
      </c>
      <c r="JH46" s="17" t="n">
        <f aca="false">Daily_Composite!AV271</f>
        <v>-0.004</v>
      </c>
      <c r="JI46" s="17" t="n">
        <f aca="false">Daily_Composite!AV272</f>
        <v>0.03</v>
      </c>
      <c r="JJ46" s="17" t="n">
        <f aca="false">Daily_Composite!AV273</f>
        <v>0.028</v>
      </c>
      <c r="JK46" s="17" t="n">
        <f aca="false">Daily_Composite!AV274</f>
        <v>-0.067</v>
      </c>
      <c r="JL46" s="17" t="n">
        <f aca="false">Daily_Composite!AV275</f>
        <v>-0.067</v>
      </c>
      <c r="JM46" s="17" t="n">
        <f aca="false">Daily_Composite!AV276</f>
        <v>-0.056</v>
      </c>
      <c r="JN46" s="17" t="n">
        <f aca="false">Daily_Composite!AV277</f>
        <v>-0.056</v>
      </c>
      <c r="JO46" s="17" t="n">
        <f aca="false">Daily_Composite!AV278</f>
        <v>-0.396</v>
      </c>
      <c r="JP46" s="17" t="n">
        <f aca="false">Daily_Composite!AV279</f>
        <v>-0.089</v>
      </c>
      <c r="JQ46" s="17" t="n">
        <f aca="false">Daily_Composite!AV280</f>
        <v>-0.252</v>
      </c>
      <c r="JR46" s="17" t="n">
        <f aca="false">Daily_Composite!AV281</f>
        <v>-0.093</v>
      </c>
      <c r="JS46" s="17" t="n">
        <f aca="false">Daily_Composite!AV282</f>
        <v>-0.021</v>
      </c>
      <c r="JT46" s="17" t="n">
        <f aca="false">Daily_Composite!AV283</f>
        <v>-0.021</v>
      </c>
      <c r="JU46" s="17" t="n">
        <f aca="false">Daily_Composite!AV284</f>
        <v>-0.06</v>
      </c>
      <c r="JV46" s="17" t="n">
        <f aca="false">Daily_Composite!AV285</f>
        <v>-0.026</v>
      </c>
      <c r="JW46" s="17" t="n">
        <f aca="false">Daily_Composite!AV286</f>
        <v>0.038</v>
      </c>
      <c r="JX46" s="17" t="n">
        <f aca="false">Daily_Composite!AV287</f>
        <v>-0.021</v>
      </c>
      <c r="JY46" s="17" t="n">
        <f aca="false">Daily_Composite!AV288</f>
        <v>-0.02</v>
      </c>
      <c r="JZ46" s="17" t="n">
        <f aca="false">Daily_Composite!AV289</f>
        <v>-0.02</v>
      </c>
      <c r="KA46" s="17" t="n">
        <f aca="false">Daily_Composite!AV290</f>
        <v>-0.02</v>
      </c>
      <c r="KB46" s="17" t="n">
        <f aca="false">Daily_Composite!AV291</f>
        <v>-0.02</v>
      </c>
      <c r="KC46" s="17" t="n">
        <f aca="false">Daily_Composite!AV292</f>
        <v>-0.021</v>
      </c>
      <c r="KD46" s="17" t="n">
        <f aca="false">Daily_Composite!AV293</f>
        <v>-0.043</v>
      </c>
      <c r="KE46" s="17" t="n">
        <f aca="false">Daily_Composite!AV294</f>
        <v>-0.045</v>
      </c>
      <c r="KF46" s="17" t="n">
        <f aca="false">Daily_Composite!AV295</f>
        <v>-0.008</v>
      </c>
      <c r="KG46" s="17" t="n">
        <f aca="false">Daily_Composite!AV296</f>
        <v>-0.149</v>
      </c>
      <c r="KH46" s="17" t="n">
        <f aca="false">Daily_Composite!AV297</f>
        <v>-0.067</v>
      </c>
      <c r="KI46" s="17" t="n">
        <f aca="false">Daily_Composite!AV298</f>
        <v>0.024</v>
      </c>
      <c r="KJ46" s="17" t="n">
        <f aca="false">Daily_Composite!AV299</f>
        <v>-0.013</v>
      </c>
      <c r="KK46" s="17" t="n">
        <f aca="false">Daily_Composite!AV300</f>
        <v>-0.034</v>
      </c>
      <c r="KL46" s="17" t="n">
        <f aca="false">Daily_Composite!AV301</f>
        <v>-0.026</v>
      </c>
      <c r="KM46" s="17" t="n">
        <f aca="false">Daily_Composite!AV302</f>
        <v>-0.003</v>
      </c>
      <c r="KN46" s="17" t="n">
        <f aca="false">Daily_Composite!AV303</f>
        <v>-0.006</v>
      </c>
      <c r="KO46" s="17" t="n">
        <f aca="false">Daily_Composite!AV304</f>
        <v>-0.027</v>
      </c>
      <c r="KP46" s="17" t="n">
        <f aca="false">Daily_Composite!AV305</f>
        <v>-0.072</v>
      </c>
      <c r="KQ46" s="17" t="n">
        <f aca="false">Daily_Composite!AV306</f>
        <v>0.217</v>
      </c>
      <c r="KR46" s="17" t="n">
        <f aca="false">Daily_Composite!AV307</f>
        <v>-0.217</v>
      </c>
      <c r="KS46" s="17" t="n">
        <f aca="false">Daily_Composite!AV308</f>
        <v>-0.192</v>
      </c>
      <c r="KT46" s="17" t="n">
        <f aca="false">Daily_Composite!AV309</f>
        <v>-0.032</v>
      </c>
      <c r="KU46" s="17" t="n">
        <f aca="false">Daily_Composite!AV310</f>
        <v>-0.032</v>
      </c>
      <c r="KV46" s="17" t="n">
        <f aca="false">Daily_Composite!AV311</f>
        <v>-0.032</v>
      </c>
      <c r="KW46" s="17" t="n">
        <f aca="false">Daily_Composite!AV312</f>
        <v>-0.032</v>
      </c>
      <c r="KX46" s="17" t="n">
        <f aca="false">Daily_Composite!AV313</f>
        <v>-0.039</v>
      </c>
      <c r="KY46" s="17" t="n">
        <f aca="false">Daily_Composite!AV314</f>
        <v>-0.447</v>
      </c>
      <c r="KZ46" s="17" t="n">
        <f aca="false">Daily_Composite!AV315</f>
        <v>-0.063</v>
      </c>
      <c r="LA46" s="17" t="n">
        <f aca="false">Daily_Composite!AV316</f>
        <v>-0.062</v>
      </c>
      <c r="LB46" s="17" t="n">
        <f aca="false">Daily_Composite!AV317</f>
        <v>-0.266</v>
      </c>
      <c r="LC46" s="17" t="n">
        <f aca="false">Daily_Composite!AV318</f>
        <v>-0.238</v>
      </c>
      <c r="LD46" s="17" t="n">
        <f aca="false">Daily_Composite!AV319</f>
        <v>-0.06</v>
      </c>
      <c r="LE46" s="17" t="n">
        <f aca="false">Daily_Composite!AV320</f>
        <v>-0.033</v>
      </c>
      <c r="LF46" s="17" t="n">
        <f aca="false">Daily_Composite!AV321</f>
        <v>-0.233</v>
      </c>
      <c r="LG46" s="17" t="n">
        <f aca="false">Daily_Composite!AV322</f>
        <v>-0.233</v>
      </c>
      <c r="LH46" s="17" t="n">
        <f aca="false">Daily_Composite!AV323</f>
        <v>0.221</v>
      </c>
      <c r="LI46" s="17" t="n">
        <f aca="false">Daily_Composite!AV324</f>
        <v>-0.203</v>
      </c>
      <c r="LJ46" s="17" t="n">
        <f aca="false">Daily_Composite!AV325</f>
        <v>-0.176</v>
      </c>
      <c r="LK46" s="17" t="n">
        <f aca="false">Daily_Composite!AV326</f>
        <v>-0.176</v>
      </c>
      <c r="LL46" s="17" t="n">
        <f aca="false">Daily_Composite!AV327</f>
        <v>-0.131</v>
      </c>
      <c r="LM46" s="17" t="n">
        <f aca="false">Daily_Composite!AV328</f>
        <v>-0.109</v>
      </c>
      <c r="LN46" s="17" t="n">
        <f aca="false">Daily_Composite!AV329</f>
        <v>-0.22</v>
      </c>
      <c r="LO46" s="17" t="n">
        <f aca="false">Daily_Composite!AV330</f>
        <v>-0.232</v>
      </c>
      <c r="LP46" s="17" t="n">
        <f aca="false">Daily_Composite!AV331</f>
        <v>-0.267</v>
      </c>
      <c r="LQ46" s="17" t="n">
        <f aca="false">Daily_Composite!AV332</f>
        <v>-0.274</v>
      </c>
      <c r="LR46" s="17" t="n">
        <f aca="false">Daily_Composite!AV333</f>
        <v>-0.262</v>
      </c>
      <c r="LS46" s="17" t="n">
        <f aca="false">Daily_Composite!AV334</f>
        <v>-0.451</v>
      </c>
      <c r="LT46" s="17" t="n">
        <f aca="false">Daily_Composite!AV335</f>
        <v>-0.422</v>
      </c>
      <c r="LU46" s="17" t="n">
        <f aca="false">Daily_Composite!AV336</f>
        <v>-0.279</v>
      </c>
      <c r="LV46" s="17" t="n">
        <f aca="false">Daily_Composite!AV337</f>
        <v>-0.281</v>
      </c>
      <c r="LW46" s="17" t="n">
        <f aca="false">Daily_Composite!AV338</f>
        <v>-0.219</v>
      </c>
      <c r="LX46" s="17" t="n">
        <f aca="false">Daily_Composite!AV339</f>
        <v>-0.219</v>
      </c>
      <c r="LY46" s="17" t="n">
        <f aca="false">Daily_Composite!AV340</f>
        <v>-0.219</v>
      </c>
      <c r="LZ46" s="17" t="n">
        <f aca="false">Daily_Composite!AV341</f>
        <v>-0.417</v>
      </c>
      <c r="MA46" s="17" t="n">
        <f aca="false">Daily_Composite!AV342</f>
        <v>-0.215</v>
      </c>
      <c r="MB46" s="17" t="n">
        <f aca="false">Daily_Composite!AV343</f>
        <v>-0.205</v>
      </c>
      <c r="MC46" s="17" t="n">
        <f aca="false">Daily_Composite!AV344</f>
        <v>-0.195</v>
      </c>
      <c r="MD46" s="17" t="n">
        <f aca="false">Daily_Composite!AV345</f>
        <v>-0.265</v>
      </c>
      <c r="ME46" s="17" t="n">
        <f aca="false">Daily_Composite!AV346</f>
        <v>-0.291</v>
      </c>
      <c r="MF46" s="17" t="n">
        <f aca="false">Daily_Composite!AV347</f>
        <v>0.032</v>
      </c>
      <c r="MG46" s="17" t="n">
        <f aca="false">Daily_Composite!AV348</f>
        <v>0.028</v>
      </c>
      <c r="MH46" s="17" t="n">
        <f aca="false">Daily_Composite!AV349</f>
        <v>0.094</v>
      </c>
      <c r="MI46" s="17" t="n">
        <f aca="false">Daily_Composite!AV350</f>
        <v>0.497</v>
      </c>
      <c r="MJ46" s="17" t="n">
        <f aca="false">Daily_Composite!AV351</f>
        <v>0.246</v>
      </c>
      <c r="MK46" s="17" t="n">
        <f aca="false">Daily_Composite!AV352</f>
        <v>0.247</v>
      </c>
      <c r="ML46" s="17" t="n">
        <f aca="false">Daily_Composite!AV353</f>
        <v>0.245</v>
      </c>
      <c r="MM46" s="17" t="n">
        <f aca="false">Daily_Composite!AV354</f>
        <v>0.309</v>
      </c>
      <c r="MN46" s="17" t="n">
        <f aca="false">Daily_Composite!AV355</f>
        <v>0.106</v>
      </c>
      <c r="MO46" s="17" t="n">
        <f aca="false">Daily_Composite!AV356</f>
        <v>0.122</v>
      </c>
      <c r="MP46" s="17" t="n">
        <f aca="false">Daily_Composite!AV357</f>
        <v>0.099</v>
      </c>
      <c r="MQ46" s="17" t="n">
        <f aca="false">Daily_Composite!AV358</f>
        <v>0.053</v>
      </c>
      <c r="MR46" s="17" t="n">
        <f aca="false">Daily_Composite!AV359</f>
        <v>-0.012</v>
      </c>
      <c r="MS46" s="17" t="n">
        <f aca="false">Daily_Composite!AV360</f>
        <v>0.238</v>
      </c>
      <c r="MT46" s="17" t="n">
        <f aca="false">Daily_Composite!AV361</f>
        <v>-0.267</v>
      </c>
      <c r="MU46" s="17" t="n">
        <f aca="false">Daily_Composite!AV362</f>
        <v>-0.286</v>
      </c>
      <c r="MV46" s="17" t="n">
        <f aca="false">Daily_Composite!AV363</f>
        <v>-0.095</v>
      </c>
      <c r="MW46" s="17" t="n">
        <f aca="false">Daily_Composite!AV364</f>
        <v>-0.163</v>
      </c>
      <c r="MX46" s="17" t="n">
        <f aca="false">Daily_Composite!AV365</f>
        <v>-0.148</v>
      </c>
      <c r="MY46" s="17" t="n">
        <f aca="false">Daily_Composite!AV366</f>
        <v>-0.109</v>
      </c>
      <c r="MZ46" s="17" t="n">
        <f aca="false">Daily_Composite!AV367</f>
        <v>-0.106</v>
      </c>
      <c r="NA46" s="17" t="n">
        <f aca="false">Daily_Composite!AV368</f>
        <v>-0.109</v>
      </c>
      <c r="NB46" s="17" t="n">
        <f aca="false">Daily_Composite!AV369</f>
        <v>-0.303</v>
      </c>
    </row>
  </sheetData>
  <conditionalFormatting sqref="B5:NB46">
    <cfRule type="expression" priority="2" aboveAverage="0" equalAverage="0" bottom="0" percent="0" rank="0" text="" dxfId="3">
      <formula>AND(ISNUMBER(B5),B5&gt;Settings!$C$4)</formula>
    </cfRule>
    <cfRule type="expression" priority="3" aboveAverage="0" equalAverage="0" bottom="0" percent="0" rank="0" text="" dxfId="4">
      <formula>AND(ISNUMBER(B5),B5&lt;-Settings!$C$4)</formula>
    </cfRule>
    <cfRule type="expression" priority="4" aboveAverage="0" equalAverage="0" bottom="0" percent="0" rank="0" text="" dxfId="5">
      <formula>AND(ISNUMBER(B5),ABS(B5)&lt;=Settings!$C$4)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0" min="2" style="0" width="9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  <c r="B2" s="18" t="n">
        <v>46326</v>
      </c>
      <c r="E2" s="18" t="n">
        <v>46356</v>
      </c>
      <c r="H2" s="18" t="n">
        <v>46387</v>
      </c>
      <c r="K2" s="18" t="n">
        <v>46418</v>
      </c>
      <c r="N2" s="18" t="n">
        <v>46446</v>
      </c>
      <c r="Q2" s="18" t="n">
        <v>46477</v>
      </c>
      <c r="T2" s="18" t="n">
        <v>46507</v>
      </c>
      <c r="W2" s="18" t="n">
        <v>46538</v>
      </c>
      <c r="Z2" s="18" t="n">
        <v>46568</v>
      </c>
      <c r="AC2" s="18" t="n">
        <v>46599</v>
      </c>
      <c r="AF2" s="18" t="n">
        <v>46630</v>
      </c>
      <c r="AI2" s="18" t="n">
        <v>46660</v>
      </c>
      <c r="AL2" s="18" t="n">
        <v>46686</v>
      </c>
    </row>
    <row r="3" customFormat="false" ht="15" hidden="false" customHeight="false" outlineLevel="0" collapsed="false">
      <c r="A3" s="2" t="s">
        <v>120</v>
      </c>
      <c r="B3" s="18" t="n">
        <v>46322</v>
      </c>
      <c r="E3" s="18" t="n">
        <v>46327</v>
      </c>
      <c r="H3" s="18" t="n">
        <v>46357</v>
      </c>
      <c r="K3" s="18" t="n">
        <v>46388</v>
      </c>
      <c r="N3" s="18" t="n">
        <v>46419</v>
      </c>
      <c r="Q3" s="18" t="n">
        <v>46447</v>
      </c>
      <c r="T3" s="18" t="n">
        <v>46478</v>
      </c>
      <c r="W3" s="18" t="n">
        <v>46508</v>
      </c>
      <c r="Z3" s="18" t="n">
        <v>46539</v>
      </c>
      <c r="AC3" s="18" t="n">
        <v>46569</v>
      </c>
      <c r="AF3" s="18" t="n">
        <v>46600</v>
      </c>
      <c r="AI3" s="18" t="n">
        <v>46631</v>
      </c>
      <c r="AL3" s="18" t="n">
        <v>46661</v>
      </c>
    </row>
    <row r="4" customFormat="false" ht="26.85" hidden="false" customHeight="false" outlineLevel="0" collapsed="false">
      <c r="A4" s="5" t="s">
        <v>9</v>
      </c>
      <c r="B4" s="5" t="s">
        <v>121</v>
      </c>
      <c r="C4" s="5" t="s">
        <v>122</v>
      </c>
      <c r="D4" s="5" t="s">
        <v>123</v>
      </c>
      <c r="E4" s="5" t="s">
        <v>124</v>
      </c>
      <c r="F4" s="5" t="s">
        <v>122</v>
      </c>
      <c r="G4" s="5" t="s">
        <v>123</v>
      </c>
      <c r="H4" s="5" t="s">
        <v>125</v>
      </c>
      <c r="I4" s="5" t="s">
        <v>122</v>
      </c>
      <c r="J4" s="5" t="s">
        <v>123</v>
      </c>
      <c r="K4" s="5" t="s">
        <v>126</v>
      </c>
      <c r="L4" s="5" t="s">
        <v>122</v>
      </c>
      <c r="M4" s="5" t="s">
        <v>123</v>
      </c>
      <c r="N4" s="5" t="s">
        <v>127</v>
      </c>
      <c r="O4" s="5" t="s">
        <v>122</v>
      </c>
      <c r="P4" s="5" t="s">
        <v>123</v>
      </c>
      <c r="Q4" s="5" t="s">
        <v>128</v>
      </c>
      <c r="R4" s="5" t="s">
        <v>122</v>
      </c>
      <c r="S4" s="5" t="s">
        <v>123</v>
      </c>
      <c r="T4" s="5" t="s">
        <v>129</v>
      </c>
      <c r="U4" s="5" t="s">
        <v>122</v>
      </c>
      <c r="V4" s="5" t="s">
        <v>123</v>
      </c>
      <c r="W4" s="5" t="s">
        <v>130</v>
      </c>
      <c r="X4" s="5" t="s">
        <v>122</v>
      </c>
      <c r="Y4" s="5" t="s">
        <v>123</v>
      </c>
      <c r="Z4" s="5" t="s">
        <v>131</v>
      </c>
      <c r="AA4" s="5" t="s">
        <v>122</v>
      </c>
      <c r="AB4" s="5" t="s">
        <v>123</v>
      </c>
      <c r="AC4" s="5" t="s">
        <v>132</v>
      </c>
      <c r="AD4" s="5" t="s">
        <v>122</v>
      </c>
      <c r="AE4" s="5" t="s">
        <v>123</v>
      </c>
      <c r="AF4" s="5" t="s">
        <v>133</v>
      </c>
      <c r="AG4" s="5" t="s">
        <v>122</v>
      </c>
      <c r="AH4" s="5" t="s">
        <v>123</v>
      </c>
      <c r="AI4" s="5" t="s">
        <v>134</v>
      </c>
      <c r="AJ4" s="5" t="s">
        <v>122</v>
      </c>
      <c r="AK4" s="5" t="s">
        <v>123</v>
      </c>
      <c r="AL4" s="5" t="s">
        <v>135</v>
      </c>
      <c r="AM4" s="5" t="s">
        <v>122</v>
      </c>
      <c r="AN4" s="5" t="s">
        <v>123</v>
      </c>
    </row>
    <row r="5" customFormat="false" ht="15" hidden="false" customHeight="false" outlineLevel="0" collapsed="false">
      <c r="A5" s="6" t="s">
        <v>18</v>
      </c>
      <c r="B5" s="7" t="n">
        <f aca="false">IFERROR(AVERAGEIFS(Daily_Composite!$G$5:$G$369,Daily_Composite!$A$5:$A$369,"&gt;="&amp;B$3,Daily_Composite!$A$5:$A$369,"&lt;="&amp;B$2,Daily_Composite!$B$5:$B$369,1),"")</f>
        <v>-0.0485</v>
      </c>
      <c r="C5" s="8" t="n">
        <f aca="false">IFERROR(COUNTIFS(Daily_Composite!$A$5:$A$369,"&gt;="&amp;B$3,Daily_Composite!$A$5:$A$369,"&lt;="&amp;B$2,Daily_Composite!$B$5:$B$369,1,Daily_Composite!$G$5:$G$369,"&gt;"&amp;Settings!$C$4)/COUNTIFS(Daily_Composite!$A$5:$A$369,"&gt;="&amp;B$3,Daily_Composite!$A$5:$A$369,"&lt;="&amp;B$2,Daily_Composite!$B$5:$B$369,1),"")</f>
        <v>0</v>
      </c>
      <c r="D5" s="8" t="n">
        <f aca="false">IFERROR(COUNTIFS(Daily_Composite!$A$5:$A$369,"&gt;="&amp;B$3,Daily_Composite!$A$5:$A$369,"&lt;="&amp;B$2,Daily_Composite!$B$5:$B$369,1,Daily_Composite!$G$5:$G$369,"&lt;"&amp;-Settings!$C$4)/COUNTIFS(Daily_Composite!$A$5:$A$369,"&gt;="&amp;B$3,Daily_Composite!$A$5:$A$369,"&lt;="&amp;B$2,Daily_Composite!$B$5:$B$369,1),"")</f>
        <v>0.25</v>
      </c>
      <c r="E5" s="7" t="n">
        <f aca="false">IFERROR(AVERAGEIFS(Daily_Composite!$G$5:$G$369,Daily_Composite!$A$5:$A$369,"&gt;="&amp;E$3,Daily_Composite!$A$5:$A$369,"&lt;="&amp;E$2,Daily_Composite!$B$5:$B$369,1),"")</f>
        <v>0.110809523809524</v>
      </c>
      <c r="F5" s="8" t="n">
        <f aca="false">IFERROR(COUNTIFS(Daily_Composite!$A$5:$A$369,"&gt;="&amp;E$3,Daily_Composite!$A$5:$A$369,"&lt;="&amp;E$2,Daily_Composite!$B$5:$B$369,1,Daily_Composite!$G$5:$G$369,"&gt;"&amp;Settings!$C$4)/COUNTIFS(Daily_Composite!$A$5:$A$369,"&gt;="&amp;E$3,Daily_Composite!$A$5:$A$369,"&lt;="&amp;E$2,Daily_Composite!$B$5:$B$369,1),"")</f>
        <v>0.476190476190476</v>
      </c>
      <c r="G5" s="8" t="n">
        <f aca="false">IFERROR(COUNTIFS(Daily_Composite!$A$5:$A$369,"&gt;="&amp;E$3,Daily_Composite!$A$5:$A$369,"&lt;="&amp;E$2,Daily_Composite!$B$5:$B$369,1,Daily_Composite!$G$5:$G$369,"&lt;"&amp;-Settings!$C$4)/COUNTIFS(Daily_Composite!$A$5:$A$369,"&gt;="&amp;E$3,Daily_Composite!$A$5:$A$369,"&lt;="&amp;E$2,Daily_Composite!$B$5:$B$369,1),"")</f>
        <v>0.142857142857143</v>
      </c>
      <c r="H5" s="7" t="n">
        <f aca="false">IFERROR(AVERAGEIFS(Daily_Composite!$G$5:$G$369,Daily_Composite!$A$5:$A$369,"&gt;="&amp;H$3,Daily_Composite!$A$5:$A$369,"&lt;="&amp;H$2,Daily_Composite!$B$5:$B$369,1),"")</f>
        <v>0.130695652173913</v>
      </c>
      <c r="I5" s="8" t="n">
        <f aca="false">IFERROR(COUNTIFS(Daily_Composite!$A$5:$A$369,"&gt;="&amp;H$3,Daily_Composite!$A$5:$A$369,"&lt;="&amp;H$2,Daily_Composite!$B$5:$B$369,1,Daily_Composite!$G$5:$G$369,"&gt;"&amp;Settings!$C$4)/COUNTIFS(Daily_Composite!$A$5:$A$369,"&gt;="&amp;H$3,Daily_Composite!$A$5:$A$369,"&lt;="&amp;H$2,Daily_Composite!$B$5:$B$369,1),"")</f>
        <v>0.391304347826087</v>
      </c>
      <c r="J5" s="8" t="n">
        <f aca="false">IFERROR(COUNTIFS(Daily_Composite!$A$5:$A$369,"&gt;="&amp;H$3,Daily_Composite!$A$5:$A$369,"&lt;="&amp;H$2,Daily_Composite!$B$5:$B$369,1,Daily_Composite!$G$5:$G$369,"&lt;"&amp;-Settings!$C$4)/COUNTIFS(Daily_Composite!$A$5:$A$369,"&gt;="&amp;H$3,Daily_Composite!$A$5:$A$369,"&lt;="&amp;H$2,Daily_Composite!$B$5:$B$369,1),"")</f>
        <v>0.0434782608695652</v>
      </c>
      <c r="K5" s="7" t="n">
        <f aca="false">IFERROR(AVERAGEIFS(Daily_Composite!$G$5:$G$369,Daily_Composite!$A$5:$A$369,"&gt;="&amp;K$3,Daily_Composite!$A$5:$A$369,"&lt;="&amp;K$2,Daily_Composite!$B$5:$B$369,1),"")</f>
        <v>-0.0954285714285714</v>
      </c>
      <c r="L5" s="8" t="n">
        <f aca="false">IFERROR(COUNTIFS(Daily_Composite!$A$5:$A$369,"&gt;="&amp;K$3,Daily_Composite!$A$5:$A$369,"&lt;="&amp;K$2,Daily_Composite!$B$5:$B$369,1,Daily_Composite!$G$5:$G$369,"&gt;"&amp;Settings!$C$4)/COUNTIFS(Daily_Composite!$A$5:$A$369,"&gt;="&amp;K$3,Daily_Composite!$A$5:$A$369,"&lt;="&amp;K$2,Daily_Composite!$B$5:$B$369,1),"")</f>
        <v>0.285714285714286</v>
      </c>
      <c r="M5" s="8" t="n">
        <f aca="false">IFERROR(COUNTIFS(Daily_Composite!$A$5:$A$369,"&gt;="&amp;K$3,Daily_Composite!$A$5:$A$369,"&lt;="&amp;K$2,Daily_Composite!$B$5:$B$369,1,Daily_Composite!$G$5:$G$369,"&lt;"&amp;-Settings!$C$4)/COUNTIFS(Daily_Composite!$A$5:$A$369,"&gt;="&amp;K$3,Daily_Composite!$A$5:$A$369,"&lt;="&amp;K$2,Daily_Composite!$B$5:$B$369,1),"")</f>
        <v>0.428571428571429</v>
      </c>
      <c r="N5" s="7" t="n">
        <f aca="false">IFERROR(AVERAGEIFS(Daily_Composite!$G$5:$G$369,Daily_Composite!$A$5:$A$369,"&gt;="&amp;N$3,Daily_Composite!$A$5:$A$369,"&lt;="&amp;N$2,Daily_Composite!$B$5:$B$369,1),"")</f>
        <v>-0.4926</v>
      </c>
      <c r="O5" s="8" t="n">
        <f aca="false">IFERROR(COUNTIFS(Daily_Composite!$A$5:$A$369,"&gt;="&amp;N$3,Daily_Composite!$A$5:$A$369,"&lt;="&amp;N$2,Daily_Composite!$B$5:$B$369,1,Daily_Composite!$G$5:$G$369,"&gt;"&amp;Settings!$C$4)/COUNTIFS(Daily_Composite!$A$5:$A$369,"&gt;="&amp;N$3,Daily_Composite!$A$5:$A$369,"&lt;="&amp;N$2,Daily_Composite!$B$5:$B$369,1),"")</f>
        <v>0</v>
      </c>
      <c r="P5" s="8" t="n">
        <f aca="false">IFERROR(COUNTIFS(Daily_Composite!$A$5:$A$369,"&gt;="&amp;N$3,Daily_Composite!$A$5:$A$369,"&lt;="&amp;N$2,Daily_Composite!$B$5:$B$369,1,Daily_Composite!$G$5:$G$369,"&lt;"&amp;-Settings!$C$4)/COUNTIFS(Daily_Composite!$A$5:$A$369,"&gt;="&amp;N$3,Daily_Composite!$A$5:$A$369,"&lt;="&amp;N$2,Daily_Composite!$B$5:$B$369,1),"")</f>
        <v>0.9</v>
      </c>
      <c r="Q5" s="7" t="n">
        <f aca="false">IFERROR(AVERAGEIFS(Daily_Composite!$G$5:$G$369,Daily_Composite!$A$5:$A$369,"&gt;="&amp;Q$3,Daily_Composite!$A$5:$A$369,"&lt;="&amp;Q$2,Daily_Composite!$B$5:$B$369,1),"")</f>
        <v>-0.149608695652174</v>
      </c>
      <c r="R5" s="8" t="n">
        <f aca="false">IFERROR(COUNTIFS(Daily_Composite!$A$5:$A$369,"&gt;="&amp;Q$3,Daily_Composite!$A$5:$A$369,"&lt;="&amp;Q$2,Daily_Composite!$B$5:$B$369,1,Daily_Composite!$G$5:$G$369,"&gt;"&amp;Settings!$C$4)/COUNTIFS(Daily_Composite!$A$5:$A$369,"&gt;="&amp;Q$3,Daily_Composite!$A$5:$A$369,"&lt;="&amp;Q$2,Daily_Composite!$B$5:$B$369,1),"")</f>
        <v>0.130434782608696</v>
      </c>
      <c r="S5" s="8" t="n">
        <f aca="false">IFERROR(COUNTIFS(Daily_Composite!$A$5:$A$369,"&gt;="&amp;Q$3,Daily_Composite!$A$5:$A$369,"&lt;="&amp;Q$2,Daily_Composite!$B$5:$B$369,1,Daily_Composite!$G$5:$G$369,"&lt;"&amp;-Settings!$C$4)/COUNTIFS(Daily_Composite!$A$5:$A$369,"&gt;="&amp;Q$3,Daily_Composite!$A$5:$A$369,"&lt;="&amp;Q$2,Daily_Composite!$B$5:$B$369,1),"")</f>
        <v>0.521739130434783</v>
      </c>
      <c r="T5" s="7" t="n">
        <f aca="false">IFERROR(AVERAGEIFS(Daily_Composite!$G$5:$G$369,Daily_Composite!$A$5:$A$369,"&gt;="&amp;T$3,Daily_Composite!$A$5:$A$369,"&lt;="&amp;T$2,Daily_Composite!$B$5:$B$369,1),"")</f>
        <v>-0.189727272727273</v>
      </c>
      <c r="U5" s="8" t="n">
        <f aca="false">IFERROR(COUNTIFS(Daily_Composite!$A$5:$A$369,"&gt;="&amp;T$3,Daily_Composite!$A$5:$A$369,"&lt;="&amp;T$2,Daily_Composite!$B$5:$B$369,1,Daily_Composite!$G$5:$G$369,"&gt;"&amp;Settings!$C$4)/COUNTIFS(Daily_Composite!$A$5:$A$369,"&gt;="&amp;T$3,Daily_Composite!$A$5:$A$369,"&lt;="&amp;T$2,Daily_Composite!$B$5:$B$369,1),"")</f>
        <v>0.0454545454545455</v>
      </c>
      <c r="V5" s="8" t="n">
        <f aca="false">IFERROR(COUNTIFS(Daily_Composite!$A$5:$A$369,"&gt;="&amp;T$3,Daily_Composite!$A$5:$A$369,"&lt;="&amp;T$2,Daily_Composite!$B$5:$B$369,1,Daily_Composite!$G$5:$G$369,"&lt;"&amp;-Settings!$C$4)/COUNTIFS(Daily_Composite!$A$5:$A$369,"&gt;="&amp;T$3,Daily_Composite!$A$5:$A$369,"&lt;="&amp;T$2,Daily_Composite!$B$5:$B$369,1),"")</f>
        <v>0.5</v>
      </c>
      <c r="W5" s="7" t="n">
        <f aca="false">IFERROR(AVERAGEIFS(Daily_Composite!$G$5:$G$369,Daily_Composite!$A$5:$A$369,"&gt;="&amp;W$3,Daily_Composite!$A$5:$A$369,"&lt;="&amp;W$2,Daily_Composite!$B$5:$B$369,1),"")</f>
        <v>-0.336095238095238</v>
      </c>
      <c r="X5" s="8" t="n">
        <f aca="false">IFERROR(COUNTIFS(Daily_Composite!$A$5:$A$369,"&gt;="&amp;W$3,Daily_Composite!$A$5:$A$369,"&lt;="&amp;W$2,Daily_Composite!$B$5:$B$369,1,Daily_Composite!$G$5:$G$369,"&gt;"&amp;Settings!$C$4)/COUNTIFS(Daily_Composite!$A$5:$A$369,"&gt;="&amp;W$3,Daily_Composite!$A$5:$A$369,"&lt;="&amp;W$2,Daily_Composite!$B$5:$B$369,1),"")</f>
        <v>0</v>
      </c>
      <c r="Y5" s="8" t="n">
        <f aca="false">IFERROR(COUNTIFS(Daily_Composite!$A$5:$A$369,"&gt;="&amp;W$3,Daily_Composite!$A$5:$A$369,"&lt;="&amp;W$2,Daily_Composite!$B$5:$B$369,1,Daily_Composite!$G$5:$G$369,"&lt;"&amp;-Settings!$C$4)/COUNTIFS(Daily_Composite!$A$5:$A$369,"&gt;="&amp;W$3,Daily_Composite!$A$5:$A$369,"&lt;="&amp;W$2,Daily_Composite!$B$5:$B$369,1),"")</f>
        <v>0.857142857142857</v>
      </c>
      <c r="Z5" s="7" t="n">
        <f aca="false">IFERROR(AVERAGEIFS(Daily_Composite!$G$5:$G$369,Daily_Composite!$A$5:$A$369,"&gt;="&amp;Z$3,Daily_Composite!$A$5:$A$369,"&lt;="&amp;Z$2,Daily_Composite!$B$5:$B$369,1),"")</f>
        <v>-0.2855</v>
      </c>
      <c r="AA5" s="8" t="n">
        <f aca="false">IFERROR(COUNTIFS(Daily_Composite!$A$5:$A$369,"&gt;="&amp;Z$3,Daily_Composite!$A$5:$A$369,"&lt;="&amp;Z$2,Daily_Composite!$B$5:$B$369,1,Daily_Composite!$G$5:$G$369,"&gt;"&amp;Settings!$C$4)/COUNTIFS(Daily_Composite!$A$5:$A$369,"&gt;="&amp;Z$3,Daily_Composite!$A$5:$A$369,"&lt;="&amp;Z$2,Daily_Composite!$B$5:$B$369,1),"")</f>
        <v>0.136363636363636</v>
      </c>
      <c r="AB5" s="8" t="n">
        <f aca="false">IFERROR(COUNTIFS(Daily_Composite!$A$5:$A$369,"&gt;="&amp;Z$3,Daily_Composite!$A$5:$A$369,"&lt;="&amp;Z$2,Daily_Composite!$B$5:$B$369,1,Daily_Composite!$G$5:$G$369,"&lt;"&amp;-Settings!$C$4)/COUNTIFS(Daily_Composite!$A$5:$A$369,"&gt;="&amp;Z$3,Daily_Composite!$A$5:$A$369,"&lt;="&amp;Z$2,Daily_Composite!$B$5:$B$369,1),"")</f>
        <v>0.727272727272727</v>
      </c>
      <c r="AC5" s="7" t="n">
        <f aca="false">IFERROR(AVERAGEIFS(Daily_Composite!$G$5:$G$369,Daily_Composite!$A$5:$A$369,"&gt;="&amp;AC$3,Daily_Composite!$A$5:$A$369,"&lt;="&amp;AC$2,Daily_Composite!$B$5:$B$369,1),"")</f>
        <v>-0.0439090909090909</v>
      </c>
      <c r="AD5" s="8" t="n">
        <f aca="false">IFERROR(COUNTIFS(Daily_Composite!$A$5:$A$369,"&gt;="&amp;AC$3,Daily_Composite!$A$5:$A$369,"&lt;="&amp;AC$2,Daily_Composite!$B$5:$B$369,1,Daily_Composite!$G$5:$G$369,"&gt;"&amp;Settings!$C$4)/COUNTIFS(Daily_Composite!$A$5:$A$369,"&gt;="&amp;AC$3,Daily_Composite!$A$5:$A$369,"&lt;="&amp;AC$2,Daily_Composite!$B$5:$B$369,1),"")</f>
        <v>0.227272727272727</v>
      </c>
      <c r="AE5" s="8" t="n">
        <f aca="false">IFERROR(COUNTIFS(Daily_Composite!$A$5:$A$369,"&gt;="&amp;AC$3,Daily_Composite!$A$5:$A$369,"&lt;="&amp;AC$2,Daily_Composite!$B$5:$B$369,1,Daily_Composite!$G$5:$G$369,"&lt;"&amp;-Settings!$C$4)/COUNTIFS(Daily_Composite!$A$5:$A$369,"&gt;="&amp;AC$3,Daily_Composite!$A$5:$A$369,"&lt;="&amp;AC$2,Daily_Composite!$B$5:$B$369,1),"")</f>
        <v>0.363636363636364</v>
      </c>
      <c r="AF5" s="7" t="n">
        <f aca="false">IFERROR(AVERAGEIFS(Daily_Composite!$G$5:$G$369,Daily_Composite!$A$5:$A$369,"&gt;="&amp;AF$3,Daily_Composite!$A$5:$A$369,"&lt;="&amp;AF$2,Daily_Composite!$B$5:$B$369,1),"")</f>
        <v>-0.121636363636364</v>
      </c>
      <c r="AG5" s="8" t="n">
        <f aca="false">IFERROR(COUNTIFS(Daily_Composite!$A$5:$A$369,"&gt;="&amp;AF$3,Daily_Composite!$A$5:$A$369,"&lt;="&amp;AF$2,Daily_Composite!$B$5:$B$369,1,Daily_Composite!$G$5:$G$369,"&gt;"&amp;Settings!$C$4)/COUNTIFS(Daily_Composite!$A$5:$A$369,"&gt;="&amp;AF$3,Daily_Composite!$A$5:$A$369,"&lt;="&amp;AF$2,Daily_Composite!$B$5:$B$369,1),"")</f>
        <v>0.227272727272727</v>
      </c>
      <c r="AH5" s="8" t="n">
        <f aca="false">IFERROR(COUNTIFS(Daily_Composite!$A$5:$A$369,"&gt;="&amp;AF$3,Daily_Composite!$A$5:$A$369,"&lt;="&amp;AF$2,Daily_Composite!$B$5:$B$369,1,Daily_Composite!$G$5:$G$369,"&lt;"&amp;-Settings!$C$4)/COUNTIFS(Daily_Composite!$A$5:$A$369,"&gt;="&amp;AF$3,Daily_Composite!$A$5:$A$369,"&lt;="&amp;AF$2,Daily_Composite!$B$5:$B$369,1),"")</f>
        <v>0.5</v>
      </c>
      <c r="AI5" s="7" t="n">
        <f aca="false">IFERROR(AVERAGEIFS(Daily_Composite!$G$5:$G$369,Daily_Composite!$A$5:$A$369,"&gt;="&amp;AI$3,Daily_Composite!$A$5:$A$369,"&lt;="&amp;AI$2,Daily_Composite!$B$5:$B$369,1),"")</f>
        <v>-0.154681818181818</v>
      </c>
      <c r="AJ5" s="8" t="n">
        <f aca="false">IFERROR(COUNTIFS(Daily_Composite!$A$5:$A$369,"&gt;="&amp;AI$3,Daily_Composite!$A$5:$A$369,"&lt;="&amp;AI$2,Daily_Composite!$B$5:$B$369,1,Daily_Composite!$G$5:$G$369,"&gt;"&amp;Settings!$C$4)/COUNTIFS(Daily_Composite!$A$5:$A$369,"&gt;="&amp;AI$3,Daily_Composite!$A$5:$A$369,"&lt;="&amp;AI$2,Daily_Composite!$B$5:$B$369,1),"")</f>
        <v>0.227272727272727</v>
      </c>
      <c r="AK5" s="8" t="n">
        <f aca="false">IFERROR(COUNTIFS(Daily_Composite!$A$5:$A$369,"&gt;="&amp;AI$3,Daily_Composite!$A$5:$A$369,"&lt;="&amp;AI$2,Daily_Composite!$B$5:$B$369,1,Daily_Composite!$G$5:$G$369,"&lt;"&amp;-Settings!$C$4)/COUNTIFS(Daily_Composite!$A$5:$A$369,"&gt;="&amp;AI$3,Daily_Composite!$A$5:$A$369,"&lt;="&amp;AI$2,Daily_Composite!$B$5:$B$369,1),"")</f>
        <v>0.590909090909091</v>
      </c>
      <c r="AL5" s="7" t="n">
        <f aca="false">IFERROR(AVERAGEIFS(Daily_Composite!$G$5:$G$369,Daily_Composite!$A$5:$A$369,"&gt;="&amp;AL$3,Daily_Composite!$A$5:$A$369,"&lt;="&amp;AL$2,Daily_Composite!$B$5:$B$369,1),"")</f>
        <v>0.222111111111111</v>
      </c>
      <c r="AM5" s="8" t="n">
        <f aca="false">IFERROR(COUNTIFS(Daily_Composite!$A$5:$A$369,"&gt;="&amp;AL$3,Daily_Composite!$A$5:$A$369,"&lt;="&amp;AL$2,Daily_Composite!$B$5:$B$369,1,Daily_Composite!$G$5:$G$369,"&gt;"&amp;Settings!$C$4)/COUNTIFS(Daily_Composite!$A$5:$A$369,"&gt;="&amp;AL$3,Daily_Composite!$A$5:$A$369,"&lt;="&amp;AL$2,Daily_Composite!$B$5:$B$369,1),"")</f>
        <v>0.5</v>
      </c>
      <c r="AN5" s="8" t="n">
        <f aca="false">IFERROR(COUNTIFS(Daily_Composite!$A$5:$A$369,"&gt;="&amp;AL$3,Daily_Composite!$A$5:$A$369,"&lt;="&amp;AL$2,Daily_Composite!$B$5:$B$369,1,Daily_Composite!$G$5:$G$369,"&lt;"&amp;-Settings!$C$4)/COUNTIFS(Daily_Composite!$A$5:$A$369,"&gt;="&amp;AL$3,Daily_Composite!$A$5:$A$369,"&lt;="&amp;AL$2,Daily_Composite!$B$5:$B$369,1),"")</f>
        <v>0.0555555555555556</v>
      </c>
    </row>
    <row r="6" customFormat="false" ht="15" hidden="false" customHeight="false" outlineLevel="0" collapsed="false">
      <c r="A6" s="6" t="s">
        <v>19</v>
      </c>
      <c r="B6" s="7" t="n">
        <f aca="false">IFERROR(AVERAGEIFS(Daily_Composite!$H$5:$H$369,Daily_Composite!$A$5:$A$369,"&gt;="&amp;B$3,Daily_Composite!$A$5:$A$369,"&lt;="&amp;B$2,Daily_Composite!$B$5:$B$369,1),"")</f>
        <v>0.0655</v>
      </c>
      <c r="C6" s="8" t="n">
        <f aca="false">IFERROR(COUNTIFS(Daily_Composite!$A$5:$A$369,"&gt;="&amp;B$3,Daily_Composite!$A$5:$A$369,"&lt;="&amp;B$2,Daily_Composite!$B$5:$B$369,1,Daily_Composite!$H$5:$H$369,"&gt;"&amp;Settings!$C$4)/COUNTIFS(Daily_Composite!$A$5:$A$369,"&gt;="&amp;B$3,Daily_Composite!$A$5:$A$369,"&lt;="&amp;B$2,Daily_Composite!$B$5:$B$369,1),"")</f>
        <v>0.25</v>
      </c>
      <c r="D6" s="8" t="n">
        <f aca="false">IFERROR(COUNTIFS(Daily_Composite!$A$5:$A$369,"&gt;="&amp;B$3,Daily_Composite!$A$5:$A$369,"&lt;="&amp;B$2,Daily_Composite!$B$5:$B$369,1,Daily_Composite!$H$5:$H$369,"&lt;"&amp;-Settings!$C$4)/COUNTIFS(Daily_Composite!$A$5:$A$369,"&gt;="&amp;B$3,Daily_Composite!$A$5:$A$369,"&lt;="&amp;B$2,Daily_Composite!$B$5:$B$369,1),"")</f>
        <v>0.25</v>
      </c>
      <c r="E6" s="7" t="n">
        <f aca="false">IFERROR(AVERAGEIFS(Daily_Composite!$H$5:$H$369,Daily_Composite!$A$5:$A$369,"&gt;="&amp;E$3,Daily_Composite!$A$5:$A$369,"&lt;="&amp;E$2,Daily_Composite!$B$5:$B$369,1),"")</f>
        <v>0.137095238095238</v>
      </c>
      <c r="F6" s="8" t="n">
        <f aca="false">IFERROR(COUNTIFS(Daily_Composite!$A$5:$A$369,"&gt;="&amp;E$3,Daily_Composite!$A$5:$A$369,"&lt;="&amp;E$2,Daily_Composite!$B$5:$B$369,1,Daily_Composite!$H$5:$H$369,"&gt;"&amp;Settings!$C$4)/COUNTIFS(Daily_Composite!$A$5:$A$369,"&gt;="&amp;E$3,Daily_Composite!$A$5:$A$369,"&lt;="&amp;E$2,Daily_Composite!$B$5:$B$369,1),"")</f>
        <v>0.476190476190476</v>
      </c>
      <c r="G6" s="8" t="n">
        <f aca="false">IFERROR(COUNTIFS(Daily_Composite!$A$5:$A$369,"&gt;="&amp;E$3,Daily_Composite!$A$5:$A$369,"&lt;="&amp;E$2,Daily_Composite!$B$5:$B$369,1,Daily_Composite!$H$5:$H$369,"&lt;"&amp;-Settings!$C$4)/COUNTIFS(Daily_Composite!$A$5:$A$369,"&gt;="&amp;E$3,Daily_Composite!$A$5:$A$369,"&lt;="&amp;E$2,Daily_Composite!$B$5:$B$369,1),"")</f>
        <v>0.142857142857143</v>
      </c>
      <c r="H6" s="7" t="n">
        <f aca="false">IFERROR(AVERAGEIFS(Daily_Composite!$H$5:$H$369,Daily_Composite!$A$5:$A$369,"&gt;="&amp;H$3,Daily_Composite!$A$5:$A$369,"&lt;="&amp;H$2,Daily_Composite!$B$5:$B$369,1),"")</f>
        <v>-0.229434782608696</v>
      </c>
      <c r="I6" s="8" t="n">
        <f aca="false">IFERROR(COUNTIFS(Daily_Composite!$A$5:$A$369,"&gt;="&amp;H$3,Daily_Composite!$A$5:$A$369,"&lt;="&amp;H$2,Daily_Composite!$B$5:$B$369,1,Daily_Composite!$H$5:$H$369,"&gt;"&amp;Settings!$C$4)/COUNTIFS(Daily_Composite!$A$5:$A$369,"&gt;="&amp;H$3,Daily_Composite!$A$5:$A$369,"&lt;="&amp;H$2,Daily_Composite!$B$5:$B$369,1),"")</f>
        <v>0.130434782608696</v>
      </c>
      <c r="J6" s="8" t="n">
        <f aca="false">IFERROR(COUNTIFS(Daily_Composite!$A$5:$A$369,"&gt;="&amp;H$3,Daily_Composite!$A$5:$A$369,"&lt;="&amp;H$2,Daily_Composite!$B$5:$B$369,1,Daily_Composite!$H$5:$H$369,"&lt;"&amp;-Settings!$C$4)/COUNTIFS(Daily_Composite!$A$5:$A$369,"&gt;="&amp;H$3,Daily_Composite!$A$5:$A$369,"&lt;="&amp;H$2,Daily_Composite!$B$5:$B$369,1),"")</f>
        <v>0.652173913043478</v>
      </c>
      <c r="K6" s="7" t="n">
        <f aca="false">IFERROR(AVERAGEIFS(Daily_Composite!$H$5:$H$369,Daily_Composite!$A$5:$A$369,"&gt;="&amp;K$3,Daily_Composite!$A$5:$A$369,"&lt;="&amp;K$2,Daily_Composite!$B$5:$B$369,1),"")</f>
        <v>-0.371285714285714</v>
      </c>
      <c r="L6" s="8" t="n">
        <f aca="false">IFERROR(COUNTIFS(Daily_Composite!$A$5:$A$369,"&gt;="&amp;K$3,Daily_Composite!$A$5:$A$369,"&lt;="&amp;K$2,Daily_Composite!$B$5:$B$369,1,Daily_Composite!$H$5:$H$369,"&gt;"&amp;Settings!$C$4)/COUNTIFS(Daily_Composite!$A$5:$A$369,"&gt;="&amp;K$3,Daily_Composite!$A$5:$A$369,"&lt;="&amp;K$2,Daily_Composite!$B$5:$B$369,1),"")</f>
        <v>0.0476190476190476</v>
      </c>
      <c r="M6" s="8" t="n">
        <f aca="false">IFERROR(COUNTIFS(Daily_Composite!$A$5:$A$369,"&gt;="&amp;K$3,Daily_Composite!$A$5:$A$369,"&lt;="&amp;K$2,Daily_Composite!$B$5:$B$369,1,Daily_Composite!$H$5:$H$369,"&lt;"&amp;-Settings!$C$4)/COUNTIFS(Daily_Composite!$A$5:$A$369,"&gt;="&amp;K$3,Daily_Composite!$A$5:$A$369,"&lt;="&amp;K$2,Daily_Composite!$B$5:$B$369,1),"")</f>
        <v>0.761904761904762</v>
      </c>
      <c r="N6" s="7" t="n">
        <f aca="false">IFERROR(AVERAGEIFS(Daily_Composite!$H$5:$H$369,Daily_Composite!$A$5:$A$369,"&gt;="&amp;N$3,Daily_Composite!$A$5:$A$369,"&lt;="&amp;N$2,Daily_Composite!$B$5:$B$369,1),"")</f>
        <v>-0.61595</v>
      </c>
      <c r="O6" s="8" t="n">
        <f aca="false">IFERROR(COUNTIFS(Daily_Composite!$A$5:$A$369,"&gt;="&amp;N$3,Daily_Composite!$A$5:$A$369,"&lt;="&amp;N$2,Daily_Composite!$B$5:$B$369,1,Daily_Composite!$H$5:$H$369,"&gt;"&amp;Settings!$C$4)/COUNTIFS(Daily_Composite!$A$5:$A$369,"&gt;="&amp;N$3,Daily_Composite!$A$5:$A$369,"&lt;="&amp;N$2,Daily_Composite!$B$5:$B$369,1),"")</f>
        <v>0</v>
      </c>
      <c r="P6" s="8" t="n">
        <f aca="false">IFERROR(COUNTIFS(Daily_Composite!$A$5:$A$369,"&gt;="&amp;N$3,Daily_Composite!$A$5:$A$369,"&lt;="&amp;N$2,Daily_Composite!$B$5:$B$369,1,Daily_Composite!$H$5:$H$369,"&lt;"&amp;-Settings!$C$4)/COUNTIFS(Daily_Composite!$A$5:$A$369,"&gt;="&amp;N$3,Daily_Composite!$A$5:$A$369,"&lt;="&amp;N$2,Daily_Composite!$B$5:$B$369,1),"")</f>
        <v>0.95</v>
      </c>
      <c r="Q6" s="7" t="n">
        <f aca="false">IFERROR(AVERAGEIFS(Daily_Composite!$H$5:$H$369,Daily_Composite!$A$5:$A$369,"&gt;="&amp;Q$3,Daily_Composite!$A$5:$A$369,"&lt;="&amp;Q$2,Daily_Composite!$B$5:$B$369,1),"")</f>
        <v>-0.341086956521739</v>
      </c>
      <c r="R6" s="8" t="n">
        <f aca="false">IFERROR(COUNTIFS(Daily_Composite!$A$5:$A$369,"&gt;="&amp;Q$3,Daily_Composite!$A$5:$A$369,"&lt;="&amp;Q$2,Daily_Composite!$B$5:$B$369,1,Daily_Composite!$H$5:$H$369,"&gt;"&amp;Settings!$C$4)/COUNTIFS(Daily_Composite!$A$5:$A$369,"&gt;="&amp;Q$3,Daily_Composite!$A$5:$A$369,"&lt;="&amp;Q$2,Daily_Composite!$B$5:$B$369,1),"")</f>
        <v>0.0869565217391304</v>
      </c>
      <c r="S6" s="8" t="n">
        <f aca="false">IFERROR(COUNTIFS(Daily_Composite!$A$5:$A$369,"&gt;="&amp;Q$3,Daily_Composite!$A$5:$A$369,"&lt;="&amp;Q$2,Daily_Composite!$B$5:$B$369,1,Daily_Composite!$H$5:$H$369,"&lt;"&amp;-Settings!$C$4)/COUNTIFS(Daily_Composite!$A$5:$A$369,"&gt;="&amp;Q$3,Daily_Composite!$A$5:$A$369,"&lt;="&amp;Q$2,Daily_Composite!$B$5:$B$369,1),"")</f>
        <v>0.782608695652174</v>
      </c>
      <c r="T6" s="7" t="n">
        <f aca="false">IFERROR(AVERAGEIFS(Daily_Composite!$H$5:$H$369,Daily_Composite!$A$5:$A$369,"&gt;="&amp;T$3,Daily_Composite!$A$5:$A$369,"&lt;="&amp;T$2,Daily_Composite!$B$5:$B$369,1),"")</f>
        <v>-0.287318181818182</v>
      </c>
      <c r="U6" s="8" t="n">
        <f aca="false">IFERROR(COUNTIFS(Daily_Composite!$A$5:$A$369,"&gt;="&amp;T$3,Daily_Composite!$A$5:$A$369,"&lt;="&amp;T$2,Daily_Composite!$B$5:$B$369,1,Daily_Composite!$H$5:$H$369,"&gt;"&amp;Settings!$C$4)/COUNTIFS(Daily_Composite!$A$5:$A$369,"&gt;="&amp;T$3,Daily_Composite!$A$5:$A$369,"&lt;="&amp;T$2,Daily_Composite!$B$5:$B$369,1),"")</f>
        <v>0.0909090909090909</v>
      </c>
      <c r="V6" s="8" t="n">
        <f aca="false">IFERROR(COUNTIFS(Daily_Composite!$A$5:$A$369,"&gt;="&amp;T$3,Daily_Composite!$A$5:$A$369,"&lt;="&amp;T$2,Daily_Composite!$B$5:$B$369,1,Daily_Composite!$H$5:$H$369,"&lt;"&amp;-Settings!$C$4)/COUNTIFS(Daily_Composite!$A$5:$A$369,"&gt;="&amp;T$3,Daily_Composite!$A$5:$A$369,"&lt;="&amp;T$2,Daily_Composite!$B$5:$B$369,1),"")</f>
        <v>0.818181818181818</v>
      </c>
      <c r="W6" s="7" t="n">
        <f aca="false">IFERROR(AVERAGEIFS(Daily_Composite!$H$5:$H$369,Daily_Composite!$A$5:$A$369,"&gt;="&amp;W$3,Daily_Composite!$A$5:$A$369,"&lt;="&amp;W$2,Daily_Composite!$B$5:$B$369,1),"")</f>
        <v>-0.231619047619048</v>
      </c>
      <c r="X6" s="8" t="n">
        <f aca="false">IFERROR(COUNTIFS(Daily_Composite!$A$5:$A$369,"&gt;="&amp;W$3,Daily_Composite!$A$5:$A$369,"&lt;="&amp;W$2,Daily_Composite!$B$5:$B$369,1,Daily_Composite!$H$5:$H$369,"&gt;"&amp;Settings!$C$4)/COUNTIFS(Daily_Composite!$A$5:$A$369,"&gt;="&amp;W$3,Daily_Composite!$A$5:$A$369,"&lt;="&amp;W$2,Daily_Composite!$B$5:$B$369,1),"")</f>
        <v>0.0952380952380952</v>
      </c>
      <c r="Y6" s="8" t="n">
        <f aca="false">IFERROR(COUNTIFS(Daily_Composite!$A$5:$A$369,"&gt;="&amp;W$3,Daily_Composite!$A$5:$A$369,"&lt;="&amp;W$2,Daily_Composite!$B$5:$B$369,1,Daily_Composite!$H$5:$H$369,"&lt;"&amp;-Settings!$C$4)/COUNTIFS(Daily_Composite!$A$5:$A$369,"&gt;="&amp;W$3,Daily_Composite!$A$5:$A$369,"&lt;="&amp;W$2,Daily_Composite!$B$5:$B$369,1),"")</f>
        <v>0.571428571428571</v>
      </c>
      <c r="Z6" s="7" t="n">
        <f aca="false">IFERROR(AVERAGEIFS(Daily_Composite!$H$5:$H$369,Daily_Composite!$A$5:$A$369,"&gt;="&amp;Z$3,Daily_Composite!$A$5:$A$369,"&lt;="&amp;Z$2,Daily_Composite!$B$5:$B$369,1),"")</f>
        <v>-0.141</v>
      </c>
      <c r="AA6" s="8" t="n">
        <f aca="false">IFERROR(COUNTIFS(Daily_Composite!$A$5:$A$369,"&gt;="&amp;Z$3,Daily_Composite!$A$5:$A$369,"&lt;="&amp;Z$2,Daily_Composite!$B$5:$B$369,1,Daily_Composite!$H$5:$H$369,"&gt;"&amp;Settings!$C$4)/COUNTIFS(Daily_Composite!$A$5:$A$369,"&gt;="&amp;Z$3,Daily_Composite!$A$5:$A$369,"&lt;="&amp;Z$2,Daily_Composite!$B$5:$B$369,1),"")</f>
        <v>0.181818181818182</v>
      </c>
      <c r="AB6" s="8" t="n">
        <f aca="false">IFERROR(COUNTIFS(Daily_Composite!$A$5:$A$369,"&gt;="&amp;Z$3,Daily_Composite!$A$5:$A$369,"&lt;="&amp;Z$2,Daily_Composite!$B$5:$B$369,1,Daily_Composite!$H$5:$H$369,"&lt;"&amp;-Settings!$C$4)/COUNTIFS(Daily_Composite!$A$5:$A$369,"&gt;="&amp;Z$3,Daily_Composite!$A$5:$A$369,"&lt;="&amp;Z$2,Daily_Composite!$B$5:$B$369,1),"")</f>
        <v>0.590909090909091</v>
      </c>
      <c r="AC6" s="7" t="n">
        <f aca="false">IFERROR(AVERAGEIFS(Daily_Composite!$H$5:$H$369,Daily_Composite!$A$5:$A$369,"&gt;="&amp;AC$3,Daily_Composite!$A$5:$A$369,"&lt;="&amp;AC$2,Daily_Composite!$B$5:$B$369,1),"")</f>
        <v>-0.118272727272727</v>
      </c>
      <c r="AD6" s="8" t="n">
        <f aca="false">IFERROR(COUNTIFS(Daily_Composite!$A$5:$A$369,"&gt;="&amp;AC$3,Daily_Composite!$A$5:$A$369,"&lt;="&amp;AC$2,Daily_Composite!$B$5:$B$369,1,Daily_Composite!$H$5:$H$369,"&gt;"&amp;Settings!$C$4)/COUNTIFS(Daily_Composite!$A$5:$A$369,"&gt;="&amp;AC$3,Daily_Composite!$A$5:$A$369,"&lt;="&amp;AC$2,Daily_Composite!$B$5:$B$369,1),"")</f>
        <v>0.181818181818182</v>
      </c>
      <c r="AE6" s="8" t="n">
        <f aca="false">IFERROR(COUNTIFS(Daily_Composite!$A$5:$A$369,"&gt;="&amp;AC$3,Daily_Composite!$A$5:$A$369,"&lt;="&amp;AC$2,Daily_Composite!$B$5:$B$369,1,Daily_Composite!$H$5:$H$369,"&lt;"&amp;-Settings!$C$4)/COUNTIFS(Daily_Composite!$A$5:$A$369,"&gt;="&amp;AC$3,Daily_Composite!$A$5:$A$369,"&lt;="&amp;AC$2,Daily_Composite!$B$5:$B$369,1),"")</f>
        <v>0.5</v>
      </c>
      <c r="AF6" s="7" t="n">
        <f aca="false">IFERROR(AVERAGEIFS(Daily_Composite!$H$5:$H$369,Daily_Composite!$A$5:$A$369,"&gt;="&amp;AF$3,Daily_Composite!$A$5:$A$369,"&lt;="&amp;AF$2,Daily_Composite!$B$5:$B$369,1),"")</f>
        <v>-0.158227272727273</v>
      </c>
      <c r="AG6" s="8" t="n">
        <f aca="false">IFERROR(COUNTIFS(Daily_Composite!$A$5:$A$369,"&gt;="&amp;AF$3,Daily_Composite!$A$5:$A$369,"&lt;="&amp;AF$2,Daily_Composite!$B$5:$B$369,1,Daily_Composite!$H$5:$H$369,"&gt;"&amp;Settings!$C$4)/COUNTIFS(Daily_Composite!$A$5:$A$369,"&gt;="&amp;AF$3,Daily_Composite!$A$5:$A$369,"&lt;="&amp;AF$2,Daily_Composite!$B$5:$B$369,1),"")</f>
        <v>0.136363636363636</v>
      </c>
      <c r="AH6" s="8" t="n">
        <f aca="false">IFERROR(COUNTIFS(Daily_Composite!$A$5:$A$369,"&gt;="&amp;AF$3,Daily_Composite!$A$5:$A$369,"&lt;="&amp;AF$2,Daily_Composite!$B$5:$B$369,1,Daily_Composite!$H$5:$H$369,"&lt;"&amp;-Settings!$C$4)/COUNTIFS(Daily_Composite!$A$5:$A$369,"&gt;="&amp;AF$3,Daily_Composite!$A$5:$A$369,"&lt;="&amp;AF$2,Daily_Composite!$B$5:$B$369,1),"")</f>
        <v>0.545454545454545</v>
      </c>
      <c r="AI6" s="7" t="n">
        <f aca="false">IFERROR(AVERAGEIFS(Daily_Composite!$H$5:$H$369,Daily_Composite!$A$5:$A$369,"&gt;="&amp;AI$3,Daily_Composite!$A$5:$A$369,"&lt;="&amp;AI$2,Daily_Composite!$B$5:$B$369,1),"")</f>
        <v>-0.0590454545454545</v>
      </c>
      <c r="AJ6" s="8" t="n">
        <f aca="false">IFERROR(COUNTIFS(Daily_Composite!$A$5:$A$369,"&gt;="&amp;AI$3,Daily_Composite!$A$5:$A$369,"&lt;="&amp;AI$2,Daily_Composite!$B$5:$B$369,1,Daily_Composite!$H$5:$H$369,"&gt;"&amp;Settings!$C$4)/COUNTIFS(Daily_Composite!$A$5:$A$369,"&gt;="&amp;AI$3,Daily_Composite!$A$5:$A$369,"&lt;="&amp;AI$2,Daily_Composite!$B$5:$B$369,1),"")</f>
        <v>0.318181818181818</v>
      </c>
      <c r="AK6" s="8" t="n">
        <f aca="false">IFERROR(COUNTIFS(Daily_Composite!$A$5:$A$369,"&gt;="&amp;AI$3,Daily_Composite!$A$5:$A$369,"&lt;="&amp;AI$2,Daily_Composite!$B$5:$B$369,1,Daily_Composite!$H$5:$H$369,"&lt;"&amp;-Settings!$C$4)/COUNTIFS(Daily_Composite!$A$5:$A$369,"&gt;="&amp;AI$3,Daily_Composite!$A$5:$A$369,"&lt;="&amp;AI$2,Daily_Composite!$B$5:$B$369,1),"")</f>
        <v>0.363636363636364</v>
      </c>
      <c r="AL6" s="7" t="n">
        <f aca="false">IFERROR(AVERAGEIFS(Daily_Composite!$H$5:$H$369,Daily_Composite!$A$5:$A$369,"&gt;="&amp;AL$3,Daily_Composite!$A$5:$A$369,"&lt;="&amp;AL$2,Daily_Composite!$B$5:$B$369,1),"")</f>
        <v>0.432333333333333</v>
      </c>
      <c r="AM6" s="8" t="n">
        <f aca="false">IFERROR(COUNTIFS(Daily_Composite!$A$5:$A$369,"&gt;="&amp;AL$3,Daily_Composite!$A$5:$A$369,"&lt;="&amp;AL$2,Daily_Composite!$B$5:$B$369,1,Daily_Composite!$H$5:$H$369,"&gt;"&amp;Settings!$C$4)/COUNTIFS(Daily_Composite!$A$5:$A$369,"&gt;="&amp;AL$3,Daily_Composite!$A$5:$A$369,"&lt;="&amp;AL$2,Daily_Composite!$B$5:$B$369,1),"")</f>
        <v>0.666666666666667</v>
      </c>
      <c r="AN6" s="8" t="n">
        <f aca="false">IFERROR(COUNTIFS(Daily_Composite!$A$5:$A$369,"&gt;="&amp;AL$3,Daily_Composite!$A$5:$A$369,"&lt;="&amp;AL$2,Daily_Composite!$B$5:$B$369,1,Daily_Composite!$H$5:$H$369,"&lt;"&amp;-Settings!$C$4)/COUNTIFS(Daily_Composite!$A$5:$A$369,"&gt;="&amp;AL$3,Daily_Composite!$A$5:$A$369,"&lt;="&amp;AL$2,Daily_Composite!$B$5:$B$369,1),"")</f>
        <v>0</v>
      </c>
    </row>
    <row r="7" customFormat="false" ht="15" hidden="false" customHeight="false" outlineLevel="0" collapsed="false">
      <c r="A7" s="6" t="s">
        <v>20</v>
      </c>
      <c r="B7" s="7" t="n">
        <f aca="false">IFERROR(AVERAGEIFS(Daily_Composite!$I$5:$I$369,Daily_Composite!$A$5:$A$369,"&gt;="&amp;B$3,Daily_Composite!$A$5:$A$369,"&lt;="&amp;B$2,Daily_Composite!$B$5:$B$369,1),"")</f>
        <v>0.0015</v>
      </c>
      <c r="C7" s="8" t="n">
        <f aca="false">IFERROR(COUNTIFS(Daily_Composite!$A$5:$A$369,"&gt;="&amp;B$3,Daily_Composite!$A$5:$A$369,"&lt;="&amp;B$2,Daily_Composite!$B$5:$B$369,1,Daily_Composite!$I$5:$I$369,"&gt;"&amp;Settings!$C$4)/COUNTIFS(Daily_Composite!$A$5:$A$369,"&gt;="&amp;B$3,Daily_Composite!$A$5:$A$369,"&lt;="&amp;B$2,Daily_Composite!$B$5:$B$369,1),"")</f>
        <v>0</v>
      </c>
      <c r="D7" s="8" t="n">
        <f aca="false">IFERROR(COUNTIFS(Daily_Composite!$A$5:$A$369,"&gt;="&amp;B$3,Daily_Composite!$A$5:$A$369,"&lt;="&amp;B$2,Daily_Composite!$B$5:$B$369,1,Daily_Composite!$I$5:$I$369,"&lt;"&amp;-Settings!$C$4)/COUNTIFS(Daily_Composite!$A$5:$A$369,"&gt;="&amp;B$3,Daily_Composite!$A$5:$A$369,"&lt;="&amp;B$2,Daily_Composite!$B$5:$B$369,1),"")</f>
        <v>0</v>
      </c>
      <c r="E7" s="7" t="n">
        <f aca="false">IFERROR(AVERAGEIFS(Daily_Composite!$I$5:$I$369,Daily_Composite!$A$5:$A$369,"&gt;="&amp;E$3,Daily_Composite!$A$5:$A$369,"&lt;="&amp;E$2,Daily_Composite!$B$5:$B$369,1),"")</f>
        <v>-0.00947619047619048</v>
      </c>
      <c r="F7" s="8" t="n">
        <f aca="false">IFERROR(COUNTIFS(Daily_Composite!$A$5:$A$369,"&gt;="&amp;E$3,Daily_Composite!$A$5:$A$369,"&lt;="&amp;E$2,Daily_Composite!$B$5:$B$369,1,Daily_Composite!$I$5:$I$369,"&gt;"&amp;Settings!$C$4)/COUNTIFS(Daily_Composite!$A$5:$A$369,"&gt;="&amp;E$3,Daily_Composite!$A$5:$A$369,"&lt;="&amp;E$2,Daily_Composite!$B$5:$B$369,1),"")</f>
        <v>0.19047619047619</v>
      </c>
      <c r="G7" s="8" t="n">
        <f aca="false">IFERROR(COUNTIFS(Daily_Composite!$A$5:$A$369,"&gt;="&amp;E$3,Daily_Composite!$A$5:$A$369,"&lt;="&amp;E$2,Daily_Composite!$B$5:$B$369,1,Daily_Composite!$I$5:$I$369,"&lt;"&amp;-Settings!$C$4)/COUNTIFS(Daily_Composite!$A$5:$A$369,"&gt;="&amp;E$3,Daily_Composite!$A$5:$A$369,"&lt;="&amp;E$2,Daily_Composite!$B$5:$B$369,1),"")</f>
        <v>0.238095238095238</v>
      </c>
      <c r="H7" s="7" t="n">
        <f aca="false">IFERROR(AVERAGEIFS(Daily_Composite!$I$5:$I$369,Daily_Composite!$A$5:$A$369,"&gt;="&amp;H$3,Daily_Composite!$A$5:$A$369,"&lt;="&amp;H$2,Daily_Composite!$B$5:$B$369,1),"")</f>
        <v>0.171</v>
      </c>
      <c r="I7" s="8" t="n">
        <f aca="false">IFERROR(COUNTIFS(Daily_Composite!$A$5:$A$369,"&gt;="&amp;H$3,Daily_Composite!$A$5:$A$369,"&lt;="&amp;H$2,Daily_Composite!$B$5:$B$369,1,Daily_Composite!$I$5:$I$369,"&gt;"&amp;Settings!$C$4)/COUNTIFS(Daily_Composite!$A$5:$A$369,"&gt;="&amp;H$3,Daily_Composite!$A$5:$A$369,"&lt;="&amp;H$2,Daily_Composite!$B$5:$B$369,1),"")</f>
        <v>0.478260869565217</v>
      </c>
      <c r="J7" s="8" t="n">
        <f aca="false">IFERROR(COUNTIFS(Daily_Composite!$A$5:$A$369,"&gt;="&amp;H$3,Daily_Composite!$A$5:$A$369,"&lt;="&amp;H$2,Daily_Composite!$B$5:$B$369,1,Daily_Composite!$I$5:$I$369,"&lt;"&amp;-Settings!$C$4)/COUNTIFS(Daily_Composite!$A$5:$A$369,"&gt;="&amp;H$3,Daily_Composite!$A$5:$A$369,"&lt;="&amp;H$2,Daily_Composite!$B$5:$B$369,1),"")</f>
        <v>0.0434782608695652</v>
      </c>
      <c r="K7" s="7" t="n">
        <f aca="false">IFERROR(AVERAGEIFS(Daily_Composite!$I$5:$I$369,Daily_Composite!$A$5:$A$369,"&gt;="&amp;K$3,Daily_Composite!$A$5:$A$369,"&lt;="&amp;K$2,Daily_Composite!$B$5:$B$369,1),"")</f>
        <v>0.0344285714285714</v>
      </c>
      <c r="L7" s="8" t="n">
        <f aca="false">IFERROR(COUNTIFS(Daily_Composite!$A$5:$A$369,"&gt;="&amp;K$3,Daily_Composite!$A$5:$A$369,"&lt;="&amp;K$2,Daily_Composite!$B$5:$B$369,1,Daily_Composite!$I$5:$I$369,"&gt;"&amp;Settings!$C$4)/COUNTIFS(Daily_Composite!$A$5:$A$369,"&gt;="&amp;K$3,Daily_Composite!$A$5:$A$369,"&lt;="&amp;K$2,Daily_Composite!$B$5:$B$369,1),"")</f>
        <v>0.19047619047619</v>
      </c>
      <c r="M7" s="8" t="n">
        <f aca="false">IFERROR(COUNTIFS(Daily_Composite!$A$5:$A$369,"&gt;="&amp;K$3,Daily_Composite!$A$5:$A$369,"&lt;="&amp;K$2,Daily_Composite!$B$5:$B$369,1,Daily_Composite!$I$5:$I$369,"&lt;"&amp;-Settings!$C$4)/COUNTIFS(Daily_Composite!$A$5:$A$369,"&gt;="&amp;K$3,Daily_Composite!$A$5:$A$369,"&lt;="&amp;K$2,Daily_Composite!$B$5:$B$369,1),"")</f>
        <v>0.0476190476190476</v>
      </c>
      <c r="N7" s="7" t="n">
        <f aca="false">IFERROR(AVERAGEIFS(Daily_Composite!$I$5:$I$369,Daily_Composite!$A$5:$A$369,"&gt;="&amp;N$3,Daily_Composite!$A$5:$A$369,"&lt;="&amp;N$2,Daily_Composite!$B$5:$B$369,1),"")</f>
        <v>-0.0898</v>
      </c>
      <c r="O7" s="8" t="n">
        <f aca="false">IFERROR(COUNTIFS(Daily_Composite!$A$5:$A$369,"&gt;="&amp;N$3,Daily_Composite!$A$5:$A$369,"&lt;="&amp;N$2,Daily_Composite!$B$5:$B$369,1,Daily_Composite!$I$5:$I$369,"&gt;"&amp;Settings!$C$4)/COUNTIFS(Daily_Composite!$A$5:$A$369,"&gt;="&amp;N$3,Daily_Composite!$A$5:$A$369,"&lt;="&amp;N$2,Daily_Composite!$B$5:$B$369,1),"")</f>
        <v>0.05</v>
      </c>
      <c r="P7" s="8" t="n">
        <f aca="false">IFERROR(COUNTIFS(Daily_Composite!$A$5:$A$369,"&gt;="&amp;N$3,Daily_Composite!$A$5:$A$369,"&lt;="&amp;N$2,Daily_Composite!$B$5:$B$369,1,Daily_Composite!$I$5:$I$369,"&lt;"&amp;-Settings!$C$4)/COUNTIFS(Daily_Composite!$A$5:$A$369,"&gt;="&amp;N$3,Daily_Composite!$A$5:$A$369,"&lt;="&amp;N$2,Daily_Composite!$B$5:$B$369,1),"")</f>
        <v>0.3</v>
      </c>
      <c r="Q7" s="7" t="n">
        <f aca="false">IFERROR(AVERAGEIFS(Daily_Composite!$I$5:$I$369,Daily_Composite!$A$5:$A$369,"&gt;="&amp;Q$3,Daily_Composite!$A$5:$A$369,"&lt;="&amp;Q$2,Daily_Composite!$B$5:$B$369,1),"")</f>
        <v>0.0159130434782609</v>
      </c>
      <c r="R7" s="8" t="n">
        <f aca="false">IFERROR(COUNTIFS(Daily_Composite!$A$5:$A$369,"&gt;="&amp;Q$3,Daily_Composite!$A$5:$A$369,"&lt;="&amp;Q$2,Daily_Composite!$B$5:$B$369,1,Daily_Composite!$I$5:$I$369,"&gt;"&amp;Settings!$C$4)/COUNTIFS(Daily_Composite!$A$5:$A$369,"&gt;="&amp;Q$3,Daily_Composite!$A$5:$A$369,"&lt;="&amp;Q$2,Daily_Composite!$B$5:$B$369,1),"")</f>
        <v>0.173913043478261</v>
      </c>
      <c r="S7" s="8" t="n">
        <f aca="false">IFERROR(COUNTIFS(Daily_Composite!$A$5:$A$369,"&gt;="&amp;Q$3,Daily_Composite!$A$5:$A$369,"&lt;="&amp;Q$2,Daily_Composite!$B$5:$B$369,1,Daily_Composite!$I$5:$I$369,"&lt;"&amp;-Settings!$C$4)/COUNTIFS(Daily_Composite!$A$5:$A$369,"&gt;="&amp;Q$3,Daily_Composite!$A$5:$A$369,"&lt;="&amp;Q$2,Daily_Composite!$B$5:$B$369,1),"")</f>
        <v>0.130434782608696</v>
      </c>
      <c r="T7" s="7" t="n">
        <f aca="false">IFERROR(AVERAGEIFS(Daily_Composite!$I$5:$I$369,Daily_Composite!$A$5:$A$369,"&gt;="&amp;T$3,Daily_Composite!$A$5:$A$369,"&lt;="&amp;T$2,Daily_Composite!$B$5:$B$369,1),"")</f>
        <v>-0.144772727272727</v>
      </c>
      <c r="U7" s="8" t="n">
        <f aca="false">IFERROR(COUNTIFS(Daily_Composite!$A$5:$A$369,"&gt;="&amp;T$3,Daily_Composite!$A$5:$A$369,"&lt;="&amp;T$2,Daily_Composite!$B$5:$B$369,1,Daily_Composite!$I$5:$I$369,"&gt;"&amp;Settings!$C$4)/COUNTIFS(Daily_Composite!$A$5:$A$369,"&gt;="&amp;T$3,Daily_Composite!$A$5:$A$369,"&lt;="&amp;T$2,Daily_Composite!$B$5:$B$369,1),"")</f>
        <v>0.0909090909090909</v>
      </c>
      <c r="V7" s="8" t="n">
        <f aca="false">IFERROR(COUNTIFS(Daily_Composite!$A$5:$A$369,"&gt;="&amp;T$3,Daily_Composite!$A$5:$A$369,"&lt;="&amp;T$2,Daily_Composite!$B$5:$B$369,1,Daily_Composite!$I$5:$I$369,"&lt;"&amp;-Settings!$C$4)/COUNTIFS(Daily_Composite!$A$5:$A$369,"&gt;="&amp;T$3,Daily_Composite!$A$5:$A$369,"&lt;="&amp;T$2,Daily_Composite!$B$5:$B$369,1),"")</f>
        <v>0.454545454545455</v>
      </c>
      <c r="W7" s="7" t="n">
        <f aca="false">IFERROR(AVERAGEIFS(Daily_Composite!$I$5:$I$369,Daily_Composite!$A$5:$A$369,"&gt;="&amp;W$3,Daily_Composite!$A$5:$A$369,"&lt;="&amp;W$2,Daily_Composite!$B$5:$B$369,1),"")</f>
        <v>-0.134238095238095</v>
      </c>
      <c r="X7" s="8" t="n">
        <f aca="false">IFERROR(COUNTIFS(Daily_Composite!$A$5:$A$369,"&gt;="&amp;W$3,Daily_Composite!$A$5:$A$369,"&lt;="&amp;W$2,Daily_Composite!$B$5:$B$369,1,Daily_Composite!$I$5:$I$369,"&gt;"&amp;Settings!$C$4)/COUNTIFS(Daily_Composite!$A$5:$A$369,"&gt;="&amp;W$3,Daily_Composite!$A$5:$A$369,"&lt;="&amp;W$2,Daily_Composite!$B$5:$B$369,1),"")</f>
        <v>0.0476190476190476</v>
      </c>
      <c r="Y7" s="8" t="n">
        <f aca="false">IFERROR(COUNTIFS(Daily_Composite!$A$5:$A$369,"&gt;="&amp;W$3,Daily_Composite!$A$5:$A$369,"&lt;="&amp;W$2,Daily_Composite!$B$5:$B$369,1,Daily_Composite!$I$5:$I$369,"&lt;"&amp;-Settings!$C$4)/COUNTIFS(Daily_Composite!$A$5:$A$369,"&gt;="&amp;W$3,Daily_Composite!$A$5:$A$369,"&lt;="&amp;W$2,Daily_Composite!$B$5:$B$369,1),"")</f>
        <v>0.523809523809524</v>
      </c>
      <c r="Z7" s="7" t="n">
        <f aca="false">IFERROR(AVERAGEIFS(Daily_Composite!$I$5:$I$369,Daily_Composite!$A$5:$A$369,"&gt;="&amp;Z$3,Daily_Composite!$A$5:$A$369,"&lt;="&amp;Z$2,Daily_Composite!$B$5:$B$369,1),"")</f>
        <v>-0.210772727272727</v>
      </c>
      <c r="AA7" s="8" t="n">
        <f aca="false">IFERROR(COUNTIFS(Daily_Composite!$A$5:$A$369,"&gt;="&amp;Z$3,Daily_Composite!$A$5:$A$369,"&lt;="&amp;Z$2,Daily_Composite!$B$5:$B$369,1,Daily_Composite!$I$5:$I$369,"&gt;"&amp;Settings!$C$4)/COUNTIFS(Daily_Composite!$A$5:$A$369,"&gt;="&amp;Z$3,Daily_Composite!$A$5:$A$369,"&lt;="&amp;Z$2,Daily_Composite!$B$5:$B$369,1),"")</f>
        <v>0.0909090909090909</v>
      </c>
      <c r="AB7" s="8" t="n">
        <f aca="false">IFERROR(COUNTIFS(Daily_Composite!$A$5:$A$369,"&gt;="&amp;Z$3,Daily_Composite!$A$5:$A$369,"&lt;="&amp;Z$2,Daily_Composite!$B$5:$B$369,1,Daily_Composite!$I$5:$I$369,"&lt;"&amp;-Settings!$C$4)/COUNTIFS(Daily_Composite!$A$5:$A$369,"&gt;="&amp;Z$3,Daily_Composite!$A$5:$A$369,"&lt;="&amp;Z$2,Daily_Composite!$B$5:$B$369,1),"")</f>
        <v>0.681818181818182</v>
      </c>
      <c r="AC7" s="7" t="n">
        <f aca="false">IFERROR(AVERAGEIFS(Daily_Composite!$I$5:$I$369,Daily_Composite!$A$5:$A$369,"&gt;="&amp;AC$3,Daily_Composite!$A$5:$A$369,"&lt;="&amp;AC$2,Daily_Composite!$B$5:$B$369,1),"")</f>
        <v>-0.242681818181818</v>
      </c>
      <c r="AD7" s="8" t="n">
        <f aca="false">IFERROR(COUNTIFS(Daily_Composite!$A$5:$A$369,"&gt;="&amp;AC$3,Daily_Composite!$A$5:$A$369,"&lt;="&amp;AC$2,Daily_Composite!$B$5:$B$369,1,Daily_Composite!$I$5:$I$369,"&gt;"&amp;Settings!$C$4)/COUNTIFS(Daily_Composite!$A$5:$A$369,"&gt;="&amp;AC$3,Daily_Composite!$A$5:$A$369,"&lt;="&amp;AC$2,Daily_Composite!$B$5:$B$369,1),"")</f>
        <v>0</v>
      </c>
      <c r="AE7" s="8" t="n">
        <f aca="false">IFERROR(COUNTIFS(Daily_Composite!$A$5:$A$369,"&gt;="&amp;AC$3,Daily_Composite!$A$5:$A$369,"&lt;="&amp;AC$2,Daily_Composite!$B$5:$B$369,1,Daily_Composite!$I$5:$I$369,"&lt;"&amp;-Settings!$C$4)/COUNTIFS(Daily_Composite!$A$5:$A$369,"&gt;="&amp;AC$3,Daily_Composite!$A$5:$A$369,"&lt;="&amp;AC$2,Daily_Composite!$B$5:$B$369,1),"")</f>
        <v>0.681818181818182</v>
      </c>
      <c r="AF7" s="7" t="n">
        <f aca="false">IFERROR(AVERAGEIFS(Daily_Composite!$I$5:$I$369,Daily_Composite!$A$5:$A$369,"&gt;="&amp;AF$3,Daily_Composite!$A$5:$A$369,"&lt;="&amp;AF$2,Daily_Composite!$B$5:$B$369,1),"")</f>
        <v>-0.227681818181818</v>
      </c>
      <c r="AG7" s="8" t="n">
        <f aca="false">IFERROR(COUNTIFS(Daily_Composite!$A$5:$A$369,"&gt;="&amp;AF$3,Daily_Composite!$A$5:$A$369,"&lt;="&amp;AF$2,Daily_Composite!$B$5:$B$369,1,Daily_Composite!$I$5:$I$369,"&gt;"&amp;Settings!$C$4)/COUNTIFS(Daily_Composite!$A$5:$A$369,"&gt;="&amp;AF$3,Daily_Composite!$A$5:$A$369,"&lt;="&amp;AF$2,Daily_Composite!$B$5:$B$369,1),"")</f>
        <v>0.0909090909090909</v>
      </c>
      <c r="AH7" s="8" t="n">
        <f aca="false">IFERROR(COUNTIFS(Daily_Composite!$A$5:$A$369,"&gt;="&amp;AF$3,Daily_Composite!$A$5:$A$369,"&lt;="&amp;AF$2,Daily_Composite!$B$5:$B$369,1,Daily_Composite!$I$5:$I$369,"&lt;"&amp;-Settings!$C$4)/COUNTIFS(Daily_Composite!$A$5:$A$369,"&gt;="&amp;AF$3,Daily_Composite!$A$5:$A$369,"&lt;="&amp;AF$2,Daily_Composite!$B$5:$B$369,1),"")</f>
        <v>0.863636363636364</v>
      </c>
      <c r="AI7" s="7" t="n">
        <f aca="false">IFERROR(AVERAGEIFS(Daily_Composite!$I$5:$I$369,Daily_Composite!$A$5:$A$369,"&gt;="&amp;AI$3,Daily_Composite!$A$5:$A$369,"&lt;="&amp;AI$2,Daily_Composite!$B$5:$B$369,1),"")</f>
        <v>-0.228045454545455</v>
      </c>
      <c r="AJ7" s="8" t="n">
        <f aca="false">IFERROR(COUNTIFS(Daily_Composite!$A$5:$A$369,"&gt;="&amp;AI$3,Daily_Composite!$A$5:$A$369,"&lt;="&amp;AI$2,Daily_Composite!$B$5:$B$369,1,Daily_Composite!$I$5:$I$369,"&gt;"&amp;Settings!$C$4)/COUNTIFS(Daily_Composite!$A$5:$A$369,"&gt;="&amp;AI$3,Daily_Composite!$A$5:$A$369,"&lt;="&amp;AI$2,Daily_Composite!$B$5:$B$369,1),"")</f>
        <v>0</v>
      </c>
      <c r="AK7" s="8" t="n">
        <f aca="false">IFERROR(COUNTIFS(Daily_Composite!$A$5:$A$369,"&gt;="&amp;AI$3,Daily_Composite!$A$5:$A$369,"&lt;="&amp;AI$2,Daily_Composite!$B$5:$B$369,1,Daily_Composite!$I$5:$I$369,"&lt;"&amp;-Settings!$C$4)/COUNTIFS(Daily_Composite!$A$5:$A$369,"&gt;="&amp;AI$3,Daily_Composite!$A$5:$A$369,"&lt;="&amp;AI$2,Daily_Composite!$B$5:$B$369,1),"")</f>
        <v>0.5</v>
      </c>
      <c r="AL7" s="7" t="n">
        <f aca="false">IFERROR(AVERAGEIFS(Daily_Composite!$I$5:$I$369,Daily_Composite!$A$5:$A$369,"&gt;="&amp;AL$3,Daily_Composite!$A$5:$A$369,"&lt;="&amp;AL$2,Daily_Composite!$B$5:$B$369,1),"")</f>
        <v>-0.167055555555556</v>
      </c>
      <c r="AM7" s="8" t="n">
        <f aca="false">IFERROR(COUNTIFS(Daily_Composite!$A$5:$A$369,"&gt;="&amp;AL$3,Daily_Composite!$A$5:$A$369,"&lt;="&amp;AL$2,Daily_Composite!$B$5:$B$369,1,Daily_Composite!$I$5:$I$369,"&gt;"&amp;Settings!$C$4)/COUNTIFS(Daily_Composite!$A$5:$A$369,"&gt;="&amp;AL$3,Daily_Composite!$A$5:$A$369,"&lt;="&amp;AL$2,Daily_Composite!$B$5:$B$369,1),"")</f>
        <v>0</v>
      </c>
      <c r="AN7" s="8" t="n">
        <f aca="false">IFERROR(COUNTIFS(Daily_Composite!$A$5:$A$369,"&gt;="&amp;AL$3,Daily_Composite!$A$5:$A$369,"&lt;="&amp;AL$2,Daily_Composite!$B$5:$B$369,1,Daily_Composite!$I$5:$I$369,"&lt;"&amp;-Settings!$C$4)/COUNTIFS(Daily_Composite!$A$5:$A$369,"&gt;="&amp;AL$3,Daily_Composite!$A$5:$A$369,"&lt;="&amp;AL$2,Daily_Composite!$B$5:$B$369,1),"")</f>
        <v>0.388888888888889</v>
      </c>
    </row>
    <row r="8" customFormat="false" ht="15" hidden="false" customHeight="false" outlineLevel="0" collapsed="false">
      <c r="A8" s="6" t="s">
        <v>21</v>
      </c>
      <c r="B8" s="7" t="n">
        <f aca="false">IFERROR(AVERAGEIFS(Daily_Composite!$J$5:$J$369,Daily_Composite!$A$5:$A$369,"&gt;="&amp;B$3,Daily_Composite!$A$5:$A$369,"&lt;="&amp;B$2,Daily_Composite!$B$5:$B$369,1),"")</f>
        <v>0.122</v>
      </c>
      <c r="C8" s="8" t="n">
        <f aca="false">IFERROR(COUNTIFS(Daily_Composite!$A$5:$A$369,"&gt;="&amp;B$3,Daily_Composite!$A$5:$A$369,"&lt;="&amp;B$2,Daily_Composite!$B$5:$B$369,1,Daily_Composite!$J$5:$J$369,"&gt;"&amp;Settings!$C$4)/COUNTIFS(Daily_Composite!$A$5:$A$369,"&gt;="&amp;B$3,Daily_Composite!$A$5:$A$369,"&lt;="&amp;B$2,Daily_Composite!$B$5:$B$369,1),"")</f>
        <v>0.25</v>
      </c>
      <c r="D8" s="8" t="n">
        <f aca="false">IFERROR(COUNTIFS(Daily_Composite!$A$5:$A$369,"&gt;="&amp;B$3,Daily_Composite!$A$5:$A$369,"&lt;="&amp;B$2,Daily_Composite!$B$5:$B$369,1,Daily_Composite!$J$5:$J$369,"&lt;"&amp;-Settings!$C$4)/COUNTIFS(Daily_Composite!$A$5:$A$369,"&gt;="&amp;B$3,Daily_Composite!$A$5:$A$369,"&lt;="&amp;B$2,Daily_Composite!$B$5:$B$369,1),"")</f>
        <v>0</v>
      </c>
      <c r="E8" s="7" t="n">
        <f aca="false">IFERROR(AVERAGEIFS(Daily_Composite!$J$5:$J$369,Daily_Composite!$A$5:$A$369,"&gt;="&amp;E$3,Daily_Composite!$A$5:$A$369,"&lt;="&amp;E$2,Daily_Composite!$B$5:$B$369,1),"")</f>
        <v>0.0391904761904762</v>
      </c>
      <c r="F8" s="8" t="n">
        <f aca="false">IFERROR(COUNTIFS(Daily_Composite!$A$5:$A$369,"&gt;="&amp;E$3,Daily_Composite!$A$5:$A$369,"&lt;="&amp;E$2,Daily_Composite!$B$5:$B$369,1,Daily_Composite!$J$5:$J$369,"&gt;"&amp;Settings!$C$4)/COUNTIFS(Daily_Composite!$A$5:$A$369,"&gt;="&amp;E$3,Daily_Composite!$A$5:$A$369,"&lt;="&amp;E$2,Daily_Composite!$B$5:$B$369,1),"")</f>
        <v>0.238095238095238</v>
      </c>
      <c r="G8" s="8" t="n">
        <f aca="false">IFERROR(COUNTIFS(Daily_Composite!$A$5:$A$369,"&gt;="&amp;E$3,Daily_Composite!$A$5:$A$369,"&lt;="&amp;E$2,Daily_Composite!$B$5:$B$369,1,Daily_Composite!$J$5:$J$369,"&lt;"&amp;-Settings!$C$4)/COUNTIFS(Daily_Composite!$A$5:$A$369,"&gt;="&amp;E$3,Daily_Composite!$A$5:$A$369,"&lt;="&amp;E$2,Daily_Composite!$B$5:$B$369,1),"")</f>
        <v>0.285714285714286</v>
      </c>
      <c r="H8" s="7" t="n">
        <f aca="false">IFERROR(AVERAGEIFS(Daily_Composite!$J$5:$J$369,Daily_Composite!$A$5:$A$369,"&gt;="&amp;H$3,Daily_Composite!$A$5:$A$369,"&lt;="&amp;H$2,Daily_Composite!$B$5:$B$369,1),"")</f>
        <v>0.0556086956521739</v>
      </c>
      <c r="I8" s="8" t="n">
        <f aca="false">IFERROR(COUNTIFS(Daily_Composite!$A$5:$A$369,"&gt;="&amp;H$3,Daily_Composite!$A$5:$A$369,"&lt;="&amp;H$2,Daily_Composite!$B$5:$B$369,1,Daily_Composite!$J$5:$J$369,"&gt;"&amp;Settings!$C$4)/COUNTIFS(Daily_Composite!$A$5:$A$369,"&gt;="&amp;H$3,Daily_Composite!$A$5:$A$369,"&lt;="&amp;H$2,Daily_Composite!$B$5:$B$369,1),"")</f>
        <v>0.304347826086957</v>
      </c>
      <c r="J8" s="8" t="n">
        <f aca="false">IFERROR(COUNTIFS(Daily_Composite!$A$5:$A$369,"&gt;="&amp;H$3,Daily_Composite!$A$5:$A$369,"&lt;="&amp;H$2,Daily_Composite!$B$5:$B$369,1,Daily_Composite!$J$5:$J$369,"&lt;"&amp;-Settings!$C$4)/COUNTIFS(Daily_Composite!$A$5:$A$369,"&gt;="&amp;H$3,Daily_Composite!$A$5:$A$369,"&lt;="&amp;H$2,Daily_Composite!$B$5:$B$369,1),"")</f>
        <v>0.0434782608695652</v>
      </c>
      <c r="K8" s="7" t="n">
        <f aca="false">IFERROR(AVERAGEIFS(Daily_Composite!$J$5:$J$369,Daily_Composite!$A$5:$A$369,"&gt;="&amp;K$3,Daily_Composite!$A$5:$A$369,"&lt;="&amp;K$2,Daily_Composite!$B$5:$B$369,1),"")</f>
        <v>0.119714285714286</v>
      </c>
      <c r="L8" s="8" t="n">
        <f aca="false">IFERROR(COUNTIFS(Daily_Composite!$A$5:$A$369,"&gt;="&amp;K$3,Daily_Composite!$A$5:$A$369,"&lt;="&amp;K$2,Daily_Composite!$B$5:$B$369,1,Daily_Composite!$J$5:$J$369,"&gt;"&amp;Settings!$C$4)/COUNTIFS(Daily_Composite!$A$5:$A$369,"&gt;="&amp;K$3,Daily_Composite!$A$5:$A$369,"&lt;="&amp;K$2,Daily_Composite!$B$5:$B$369,1),"")</f>
        <v>0.380952380952381</v>
      </c>
      <c r="M8" s="8" t="n">
        <f aca="false">IFERROR(COUNTIFS(Daily_Composite!$A$5:$A$369,"&gt;="&amp;K$3,Daily_Composite!$A$5:$A$369,"&lt;="&amp;K$2,Daily_Composite!$B$5:$B$369,1,Daily_Composite!$J$5:$J$369,"&lt;"&amp;-Settings!$C$4)/COUNTIFS(Daily_Composite!$A$5:$A$369,"&gt;="&amp;K$3,Daily_Composite!$A$5:$A$369,"&lt;="&amp;K$2,Daily_Composite!$B$5:$B$369,1),"")</f>
        <v>0.0952380952380952</v>
      </c>
      <c r="N8" s="7" t="n">
        <f aca="false">IFERROR(AVERAGEIFS(Daily_Composite!$J$5:$J$369,Daily_Composite!$A$5:$A$369,"&gt;="&amp;N$3,Daily_Composite!$A$5:$A$369,"&lt;="&amp;N$2,Daily_Composite!$B$5:$B$369,1),"")</f>
        <v>-0.14175</v>
      </c>
      <c r="O8" s="8" t="n">
        <f aca="false">IFERROR(COUNTIFS(Daily_Composite!$A$5:$A$369,"&gt;="&amp;N$3,Daily_Composite!$A$5:$A$369,"&lt;="&amp;N$2,Daily_Composite!$B$5:$B$369,1,Daily_Composite!$J$5:$J$369,"&gt;"&amp;Settings!$C$4)/COUNTIFS(Daily_Composite!$A$5:$A$369,"&gt;="&amp;N$3,Daily_Composite!$A$5:$A$369,"&lt;="&amp;N$2,Daily_Composite!$B$5:$B$369,1),"")</f>
        <v>0.15</v>
      </c>
      <c r="P8" s="8" t="n">
        <f aca="false">IFERROR(COUNTIFS(Daily_Composite!$A$5:$A$369,"&gt;="&amp;N$3,Daily_Composite!$A$5:$A$369,"&lt;="&amp;N$2,Daily_Composite!$B$5:$B$369,1,Daily_Composite!$J$5:$J$369,"&lt;"&amp;-Settings!$C$4)/COUNTIFS(Daily_Composite!$A$5:$A$369,"&gt;="&amp;N$3,Daily_Composite!$A$5:$A$369,"&lt;="&amp;N$2,Daily_Composite!$B$5:$B$369,1),"")</f>
        <v>0.55</v>
      </c>
      <c r="Q8" s="7" t="n">
        <f aca="false">IFERROR(AVERAGEIFS(Daily_Composite!$J$5:$J$369,Daily_Composite!$A$5:$A$369,"&gt;="&amp;Q$3,Daily_Composite!$A$5:$A$369,"&lt;="&amp;Q$2,Daily_Composite!$B$5:$B$369,1),"")</f>
        <v>0.142347826086957</v>
      </c>
      <c r="R8" s="8" t="n">
        <f aca="false">IFERROR(COUNTIFS(Daily_Composite!$A$5:$A$369,"&gt;="&amp;Q$3,Daily_Composite!$A$5:$A$369,"&lt;="&amp;Q$2,Daily_Composite!$B$5:$B$369,1,Daily_Composite!$J$5:$J$369,"&gt;"&amp;Settings!$C$4)/COUNTIFS(Daily_Composite!$A$5:$A$369,"&gt;="&amp;Q$3,Daily_Composite!$A$5:$A$369,"&lt;="&amp;Q$2,Daily_Composite!$B$5:$B$369,1),"")</f>
        <v>0.347826086956522</v>
      </c>
      <c r="S8" s="8" t="n">
        <f aca="false">IFERROR(COUNTIFS(Daily_Composite!$A$5:$A$369,"&gt;="&amp;Q$3,Daily_Composite!$A$5:$A$369,"&lt;="&amp;Q$2,Daily_Composite!$B$5:$B$369,1,Daily_Composite!$J$5:$J$369,"&lt;"&amp;-Settings!$C$4)/COUNTIFS(Daily_Composite!$A$5:$A$369,"&gt;="&amp;Q$3,Daily_Composite!$A$5:$A$369,"&lt;="&amp;Q$2,Daily_Composite!$B$5:$B$369,1),"")</f>
        <v>0.0434782608695652</v>
      </c>
      <c r="T8" s="7" t="n">
        <f aca="false">IFERROR(AVERAGEIFS(Daily_Composite!$J$5:$J$369,Daily_Composite!$A$5:$A$369,"&gt;="&amp;T$3,Daily_Composite!$A$5:$A$369,"&lt;="&amp;T$2,Daily_Composite!$B$5:$B$369,1),"")</f>
        <v>0.218318181818182</v>
      </c>
      <c r="U8" s="8" t="n">
        <f aca="false">IFERROR(COUNTIFS(Daily_Composite!$A$5:$A$369,"&gt;="&amp;T$3,Daily_Composite!$A$5:$A$369,"&lt;="&amp;T$2,Daily_Composite!$B$5:$B$369,1,Daily_Composite!$J$5:$J$369,"&gt;"&amp;Settings!$C$4)/COUNTIFS(Daily_Composite!$A$5:$A$369,"&gt;="&amp;T$3,Daily_Composite!$A$5:$A$369,"&lt;="&amp;T$2,Daily_Composite!$B$5:$B$369,1),"")</f>
        <v>0.636363636363636</v>
      </c>
      <c r="V8" s="8" t="n">
        <f aca="false">IFERROR(COUNTIFS(Daily_Composite!$A$5:$A$369,"&gt;="&amp;T$3,Daily_Composite!$A$5:$A$369,"&lt;="&amp;T$2,Daily_Composite!$B$5:$B$369,1,Daily_Composite!$J$5:$J$369,"&lt;"&amp;-Settings!$C$4)/COUNTIFS(Daily_Composite!$A$5:$A$369,"&gt;="&amp;T$3,Daily_Composite!$A$5:$A$369,"&lt;="&amp;T$2,Daily_Composite!$B$5:$B$369,1),"")</f>
        <v>0</v>
      </c>
      <c r="W8" s="7" t="n">
        <f aca="false">IFERROR(AVERAGEIFS(Daily_Composite!$J$5:$J$369,Daily_Composite!$A$5:$A$369,"&gt;="&amp;W$3,Daily_Composite!$A$5:$A$369,"&lt;="&amp;W$2,Daily_Composite!$B$5:$B$369,1),"")</f>
        <v>0.0848571428571429</v>
      </c>
      <c r="X8" s="8" t="n">
        <f aca="false">IFERROR(COUNTIFS(Daily_Composite!$A$5:$A$369,"&gt;="&amp;W$3,Daily_Composite!$A$5:$A$369,"&lt;="&amp;W$2,Daily_Composite!$B$5:$B$369,1,Daily_Composite!$J$5:$J$369,"&gt;"&amp;Settings!$C$4)/COUNTIFS(Daily_Composite!$A$5:$A$369,"&gt;="&amp;W$3,Daily_Composite!$A$5:$A$369,"&lt;="&amp;W$2,Daily_Composite!$B$5:$B$369,1),"")</f>
        <v>0.19047619047619</v>
      </c>
      <c r="Y8" s="8" t="n">
        <f aca="false">IFERROR(COUNTIFS(Daily_Composite!$A$5:$A$369,"&gt;="&amp;W$3,Daily_Composite!$A$5:$A$369,"&lt;="&amp;W$2,Daily_Composite!$B$5:$B$369,1,Daily_Composite!$J$5:$J$369,"&lt;"&amp;-Settings!$C$4)/COUNTIFS(Daily_Composite!$A$5:$A$369,"&gt;="&amp;W$3,Daily_Composite!$A$5:$A$369,"&lt;="&amp;W$2,Daily_Composite!$B$5:$B$369,1),"")</f>
        <v>0.0476190476190476</v>
      </c>
      <c r="Z8" s="7" t="n">
        <f aca="false">IFERROR(AVERAGEIFS(Daily_Composite!$J$5:$J$369,Daily_Composite!$A$5:$A$369,"&gt;="&amp;Z$3,Daily_Composite!$A$5:$A$369,"&lt;="&amp;Z$2,Daily_Composite!$B$5:$B$369,1),"")</f>
        <v>0.136636363636364</v>
      </c>
      <c r="AA8" s="8" t="n">
        <f aca="false">IFERROR(COUNTIFS(Daily_Composite!$A$5:$A$369,"&gt;="&amp;Z$3,Daily_Composite!$A$5:$A$369,"&lt;="&amp;Z$2,Daily_Composite!$B$5:$B$369,1,Daily_Composite!$J$5:$J$369,"&gt;"&amp;Settings!$C$4)/COUNTIFS(Daily_Composite!$A$5:$A$369,"&gt;="&amp;Z$3,Daily_Composite!$A$5:$A$369,"&lt;="&amp;Z$2,Daily_Composite!$B$5:$B$369,1),"")</f>
        <v>0.545454545454545</v>
      </c>
      <c r="AB8" s="8" t="n">
        <f aca="false">IFERROR(COUNTIFS(Daily_Composite!$A$5:$A$369,"&gt;="&amp;Z$3,Daily_Composite!$A$5:$A$369,"&lt;="&amp;Z$2,Daily_Composite!$B$5:$B$369,1,Daily_Composite!$J$5:$J$369,"&lt;"&amp;-Settings!$C$4)/COUNTIFS(Daily_Composite!$A$5:$A$369,"&gt;="&amp;Z$3,Daily_Composite!$A$5:$A$369,"&lt;="&amp;Z$2,Daily_Composite!$B$5:$B$369,1),"")</f>
        <v>0.0909090909090909</v>
      </c>
      <c r="AC8" s="7" t="n">
        <f aca="false">IFERROR(AVERAGEIFS(Daily_Composite!$J$5:$J$369,Daily_Composite!$A$5:$A$369,"&gt;="&amp;AC$3,Daily_Composite!$A$5:$A$369,"&lt;="&amp;AC$2,Daily_Composite!$B$5:$B$369,1),"")</f>
        <v>-0.0453181818181818</v>
      </c>
      <c r="AD8" s="8" t="n">
        <f aca="false">IFERROR(COUNTIFS(Daily_Composite!$A$5:$A$369,"&gt;="&amp;AC$3,Daily_Composite!$A$5:$A$369,"&lt;="&amp;AC$2,Daily_Composite!$B$5:$B$369,1,Daily_Composite!$J$5:$J$369,"&gt;"&amp;Settings!$C$4)/COUNTIFS(Daily_Composite!$A$5:$A$369,"&gt;="&amp;AC$3,Daily_Composite!$A$5:$A$369,"&lt;="&amp;AC$2,Daily_Composite!$B$5:$B$369,1),"")</f>
        <v>0.227272727272727</v>
      </c>
      <c r="AE8" s="8" t="n">
        <f aca="false">IFERROR(COUNTIFS(Daily_Composite!$A$5:$A$369,"&gt;="&amp;AC$3,Daily_Composite!$A$5:$A$369,"&lt;="&amp;AC$2,Daily_Composite!$B$5:$B$369,1,Daily_Composite!$J$5:$J$369,"&lt;"&amp;-Settings!$C$4)/COUNTIFS(Daily_Composite!$A$5:$A$369,"&gt;="&amp;AC$3,Daily_Composite!$A$5:$A$369,"&lt;="&amp;AC$2,Daily_Composite!$B$5:$B$369,1),"")</f>
        <v>0.363636363636364</v>
      </c>
      <c r="AF8" s="7" t="n">
        <f aca="false">IFERROR(AVERAGEIFS(Daily_Composite!$J$5:$J$369,Daily_Composite!$A$5:$A$369,"&gt;="&amp;AF$3,Daily_Composite!$A$5:$A$369,"&lt;="&amp;AF$2,Daily_Composite!$B$5:$B$369,1),"")</f>
        <v>-0.153590909090909</v>
      </c>
      <c r="AG8" s="8" t="n">
        <f aca="false">IFERROR(COUNTIFS(Daily_Composite!$A$5:$A$369,"&gt;="&amp;AF$3,Daily_Composite!$A$5:$A$369,"&lt;="&amp;AF$2,Daily_Composite!$B$5:$B$369,1,Daily_Composite!$J$5:$J$369,"&gt;"&amp;Settings!$C$4)/COUNTIFS(Daily_Composite!$A$5:$A$369,"&gt;="&amp;AF$3,Daily_Composite!$A$5:$A$369,"&lt;="&amp;AF$2,Daily_Composite!$B$5:$B$369,1),"")</f>
        <v>0.136363636363636</v>
      </c>
      <c r="AH8" s="8" t="n">
        <f aca="false">IFERROR(COUNTIFS(Daily_Composite!$A$5:$A$369,"&gt;="&amp;AF$3,Daily_Composite!$A$5:$A$369,"&lt;="&amp;AF$2,Daily_Composite!$B$5:$B$369,1,Daily_Composite!$J$5:$J$369,"&lt;"&amp;-Settings!$C$4)/COUNTIFS(Daily_Composite!$A$5:$A$369,"&gt;="&amp;AF$3,Daily_Composite!$A$5:$A$369,"&lt;="&amp;AF$2,Daily_Composite!$B$5:$B$369,1),"")</f>
        <v>0.590909090909091</v>
      </c>
      <c r="AI8" s="7" t="n">
        <f aca="false">IFERROR(AVERAGEIFS(Daily_Composite!$J$5:$J$369,Daily_Composite!$A$5:$A$369,"&gt;="&amp;AI$3,Daily_Composite!$A$5:$A$369,"&lt;="&amp;AI$2,Daily_Composite!$B$5:$B$369,1),"")</f>
        <v>-0.134954545454545</v>
      </c>
      <c r="AJ8" s="8" t="n">
        <f aca="false">IFERROR(COUNTIFS(Daily_Composite!$A$5:$A$369,"&gt;="&amp;AI$3,Daily_Composite!$A$5:$A$369,"&lt;="&amp;AI$2,Daily_Composite!$B$5:$B$369,1,Daily_Composite!$J$5:$J$369,"&gt;"&amp;Settings!$C$4)/COUNTIFS(Daily_Composite!$A$5:$A$369,"&gt;="&amp;AI$3,Daily_Composite!$A$5:$A$369,"&lt;="&amp;AI$2,Daily_Composite!$B$5:$B$369,1),"")</f>
        <v>0.0454545454545455</v>
      </c>
      <c r="AK8" s="8" t="n">
        <f aca="false">IFERROR(COUNTIFS(Daily_Composite!$A$5:$A$369,"&gt;="&amp;AI$3,Daily_Composite!$A$5:$A$369,"&lt;="&amp;AI$2,Daily_Composite!$B$5:$B$369,1,Daily_Composite!$J$5:$J$369,"&lt;"&amp;-Settings!$C$4)/COUNTIFS(Daily_Composite!$A$5:$A$369,"&gt;="&amp;AI$3,Daily_Composite!$A$5:$A$369,"&lt;="&amp;AI$2,Daily_Composite!$B$5:$B$369,1),"")</f>
        <v>0.363636363636364</v>
      </c>
      <c r="AL8" s="7" t="n">
        <f aca="false">IFERROR(AVERAGEIFS(Daily_Composite!$J$5:$J$369,Daily_Composite!$A$5:$A$369,"&gt;="&amp;AL$3,Daily_Composite!$A$5:$A$369,"&lt;="&amp;AL$2,Daily_Composite!$B$5:$B$369,1),"")</f>
        <v>0.0972777777777778</v>
      </c>
      <c r="AM8" s="8" t="n">
        <f aca="false">IFERROR(COUNTIFS(Daily_Composite!$A$5:$A$369,"&gt;="&amp;AL$3,Daily_Composite!$A$5:$A$369,"&lt;="&amp;AL$2,Daily_Composite!$B$5:$B$369,1,Daily_Composite!$J$5:$J$369,"&gt;"&amp;Settings!$C$4)/COUNTIFS(Daily_Composite!$A$5:$A$369,"&gt;="&amp;AL$3,Daily_Composite!$A$5:$A$369,"&lt;="&amp;AL$2,Daily_Composite!$B$5:$B$369,1),"")</f>
        <v>0.5</v>
      </c>
      <c r="AN8" s="8" t="n">
        <f aca="false">IFERROR(COUNTIFS(Daily_Composite!$A$5:$A$369,"&gt;="&amp;AL$3,Daily_Composite!$A$5:$A$369,"&lt;="&amp;AL$2,Daily_Composite!$B$5:$B$369,1,Daily_Composite!$J$5:$J$369,"&lt;"&amp;-Settings!$C$4)/COUNTIFS(Daily_Composite!$A$5:$A$369,"&gt;="&amp;AL$3,Daily_Composite!$A$5:$A$369,"&lt;="&amp;AL$2,Daily_Composite!$B$5:$B$369,1),"")</f>
        <v>0.111111111111111</v>
      </c>
    </row>
    <row r="9" customFormat="false" ht="15" hidden="false" customHeight="false" outlineLevel="0" collapsed="false">
      <c r="A9" s="6" t="s">
        <v>22</v>
      </c>
      <c r="B9" s="7" t="n">
        <f aca="false">IFERROR(AVERAGEIFS(Daily_Composite!$K$5:$K$369,Daily_Composite!$A$5:$A$369,"&gt;="&amp;B$3,Daily_Composite!$A$5:$A$369,"&lt;="&amp;B$2,Daily_Composite!$B$5:$B$369,1),"")</f>
        <v>-0.069</v>
      </c>
      <c r="C9" s="8" t="n">
        <f aca="false">IFERROR(COUNTIFS(Daily_Composite!$A$5:$A$369,"&gt;="&amp;B$3,Daily_Composite!$A$5:$A$369,"&lt;="&amp;B$2,Daily_Composite!$B$5:$B$369,1,Daily_Composite!$K$5:$K$369,"&gt;"&amp;Settings!$C$4)/COUNTIFS(Daily_Composite!$A$5:$A$369,"&gt;="&amp;B$3,Daily_Composite!$A$5:$A$369,"&lt;="&amp;B$2,Daily_Composite!$B$5:$B$369,1),"")</f>
        <v>0.25</v>
      </c>
      <c r="D9" s="8" t="n">
        <f aca="false">IFERROR(COUNTIFS(Daily_Composite!$A$5:$A$369,"&gt;="&amp;B$3,Daily_Composite!$A$5:$A$369,"&lt;="&amp;B$2,Daily_Composite!$B$5:$B$369,1,Daily_Composite!$K$5:$K$369,"&lt;"&amp;-Settings!$C$4)/COUNTIFS(Daily_Composite!$A$5:$A$369,"&gt;="&amp;B$3,Daily_Composite!$A$5:$A$369,"&lt;="&amp;B$2,Daily_Composite!$B$5:$B$369,1),"")</f>
        <v>0.25</v>
      </c>
      <c r="E9" s="7" t="n">
        <f aca="false">IFERROR(AVERAGEIFS(Daily_Composite!$K$5:$K$369,Daily_Composite!$A$5:$A$369,"&gt;="&amp;E$3,Daily_Composite!$A$5:$A$369,"&lt;="&amp;E$2,Daily_Composite!$B$5:$B$369,1),"")</f>
        <v>0.203047619047619</v>
      </c>
      <c r="F9" s="8" t="n">
        <f aca="false">IFERROR(COUNTIFS(Daily_Composite!$A$5:$A$369,"&gt;="&amp;E$3,Daily_Composite!$A$5:$A$369,"&lt;="&amp;E$2,Daily_Composite!$B$5:$B$369,1,Daily_Composite!$K$5:$K$369,"&gt;"&amp;Settings!$C$4)/COUNTIFS(Daily_Composite!$A$5:$A$369,"&gt;="&amp;E$3,Daily_Composite!$A$5:$A$369,"&lt;="&amp;E$2,Daily_Composite!$B$5:$B$369,1),"")</f>
        <v>0.571428571428571</v>
      </c>
      <c r="G9" s="8" t="n">
        <f aca="false">IFERROR(COUNTIFS(Daily_Composite!$A$5:$A$369,"&gt;="&amp;E$3,Daily_Composite!$A$5:$A$369,"&lt;="&amp;E$2,Daily_Composite!$B$5:$B$369,1,Daily_Composite!$K$5:$K$369,"&lt;"&amp;-Settings!$C$4)/COUNTIFS(Daily_Composite!$A$5:$A$369,"&gt;="&amp;E$3,Daily_Composite!$A$5:$A$369,"&lt;="&amp;E$2,Daily_Composite!$B$5:$B$369,1),"")</f>
        <v>0.0476190476190476</v>
      </c>
      <c r="H9" s="7" t="n">
        <f aca="false">IFERROR(AVERAGEIFS(Daily_Composite!$K$5:$K$369,Daily_Composite!$A$5:$A$369,"&gt;="&amp;H$3,Daily_Composite!$A$5:$A$369,"&lt;="&amp;H$2,Daily_Composite!$B$5:$B$369,1),"")</f>
        <v>0.19504347826087</v>
      </c>
      <c r="I9" s="8" t="n">
        <f aca="false">IFERROR(COUNTIFS(Daily_Composite!$A$5:$A$369,"&gt;="&amp;H$3,Daily_Composite!$A$5:$A$369,"&lt;="&amp;H$2,Daily_Composite!$B$5:$B$369,1,Daily_Composite!$K$5:$K$369,"&gt;"&amp;Settings!$C$4)/COUNTIFS(Daily_Composite!$A$5:$A$369,"&gt;="&amp;H$3,Daily_Composite!$A$5:$A$369,"&lt;="&amp;H$2,Daily_Composite!$B$5:$B$369,1),"")</f>
        <v>0.478260869565217</v>
      </c>
      <c r="J9" s="8" t="n">
        <f aca="false">IFERROR(COUNTIFS(Daily_Composite!$A$5:$A$369,"&gt;="&amp;H$3,Daily_Composite!$A$5:$A$369,"&lt;="&amp;H$2,Daily_Composite!$B$5:$B$369,1,Daily_Composite!$K$5:$K$369,"&lt;"&amp;-Settings!$C$4)/COUNTIFS(Daily_Composite!$A$5:$A$369,"&gt;="&amp;H$3,Daily_Composite!$A$5:$A$369,"&lt;="&amp;H$2,Daily_Composite!$B$5:$B$369,1),"")</f>
        <v>0.0434782608695652</v>
      </c>
      <c r="K9" s="7" t="n">
        <f aca="false">IFERROR(AVERAGEIFS(Daily_Composite!$K$5:$K$369,Daily_Composite!$A$5:$A$369,"&gt;="&amp;K$3,Daily_Composite!$A$5:$A$369,"&lt;="&amp;K$2,Daily_Composite!$B$5:$B$369,1),"")</f>
        <v>-0.0178095238095238</v>
      </c>
      <c r="L9" s="8" t="n">
        <f aca="false">IFERROR(COUNTIFS(Daily_Composite!$A$5:$A$369,"&gt;="&amp;K$3,Daily_Composite!$A$5:$A$369,"&lt;="&amp;K$2,Daily_Composite!$B$5:$B$369,1,Daily_Composite!$K$5:$K$369,"&gt;"&amp;Settings!$C$4)/COUNTIFS(Daily_Composite!$A$5:$A$369,"&gt;="&amp;K$3,Daily_Composite!$A$5:$A$369,"&lt;="&amp;K$2,Daily_Composite!$B$5:$B$369,1),"")</f>
        <v>0.19047619047619</v>
      </c>
      <c r="M9" s="8" t="n">
        <f aca="false">IFERROR(COUNTIFS(Daily_Composite!$A$5:$A$369,"&gt;="&amp;K$3,Daily_Composite!$A$5:$A$369,"&lt;="&amp;K$2,Daily_Composite!$B$5:$B$369,1,Daily_Composite!$K$5:$K$369,"&lt;"&amp;-Settings!$C$4)/COUNTIFS(Daily_Composite!$A$5:$A$369,"&gt;="&amp;K$3,Daily_Composite!$A$5:$A$369,"&lt;="&amp;K$2,Daily_Composite!$B$5:$B$369,1),"")</f>
        <v>0.333333333333333</v>
      </c>
      <c r="N9" s="7" t="n">
        <f aca="false">IFERROR(AVERAGEIFS(Daily_Composite!$K$5:$K$369,Daily_Composite!$A$5:$A$369,"&gt;="&amp;N$3,Daily_Composite!$A$5:$A$369,"&lt;="&amp;N$2,Daily_Composite!$B$5:$B$369,1),"")</f>
        <v>-0.2964</v>
      </c>
      <c r="O9" s="8" t="n">
        <f aca="false">IFERROR(COUNTIFS(Daily_Composite!$A$5:$A$369,"&gt;="&amp;N$3,Daily_Composite!$A$5:$A$369,"&lt;="&amp;N$2,Daily_Composite!$B$5:$B$369,1,Daily_Composite!$K$5:$K$369,"&gt;"&amp;Settings!$C$4)/COUNTIFS(Daily_Composite!$A$5:$A$369,"&gt;="&amp;N$3,Daily_Composite!$A$5:$A$369,"&lt;="&amp;N$2,Daily_Composite!$B$5:$B$369,1),"")</f>
        <v>0</v>
      </c>
      <c r="P9" s="8" t="n">
        <f aca="false">IFERROR(COUNTIFS(Daily_Composite!$A$5:$A$369,"&gt;="&amp;N$3,Daily_Composite!$A$5:$A$369,"&lt;="&amp;N$2,Daily_Composite!$B$5:$B$369,1,Daily_Composite!$K$5:$K$369,"&lt;"&amp;-Settings!$C$4)/COUNTIFS(Daily_Composite!$A$5:$A$369,"&gt;="&amp;N$3,Daily_Composite!$A$5:$A$369,"&lt;="&amp;N$2,Daily_Composite!$B$5:$B$369,1),"")</f>
        <v>0.75</v>
      </c>
      <c r="Q9" s="7" t="n">
        <f aca="false">IFERROR(AVERAGEIFS(Daily_Composite!$K$5:$K$369,Daily_Composite!$A$5:$A$369,"&gt;="&amp;Q$3,Daily_Composite!$A$5:$A$369,"&lt;="&amp;Q$2,Daily_Composite!$B$5:$B$369,1),"")</f>
        <v>-0.0839565217391304</v>
      </c>
      <c r="R9" s="8" t="n">
        <f aca="false">IFERROR(COUNTIFS(Daily_Composite!$A$5:$A$369,"&gt;="&amp;Q$3,Daily_Composite!$A$5:$A$369,"&lt;="&amp;Q$2,Daily_Composite!$B$5:$B$369,1,Daily_Composite!$K$5:$K$369,"&gt;"&amp;Settings!$C$4)/COUNTIFS(Daily_Composite!$A$5:$A$369,"&gt;="&amp;Q$3,Daily_Composite!$A$5:$A$369,"&lt;="&amp;Q$2,Daily_Composite!$B$5:$B$369,1),"")</f>
        <v>0.130434782608696</v>
      </c>
      <c r="S9" s="8" t="n">
        <f aca="false">IFERROR(COUNTIFS(Daily_Composite!$A$5:$A$369,"&gt;="&amp;Q$3,Daily_Composite!$A$5:$A$369,"&lt;="&amp;Q$2,Daily_Composite!$B$5:$B$369,1,Daily_Composite!$K$5:$K$369,"&lt;"&amp;-Settings!$C$4)/COUNTIFS(Daily_Composite!$A$5:$A$369,"&gt;="&amp;Q$3,Daily_Composite!$A$5:$A$369,"&lt;="&amp;Q$2,Daily_Composite!$B$5:$B$369,1),"")</f>
        <v>0.260869565217391</v>
      </c>
      <c r="T9" s="7" t="n">
        <f aca="false">IFERROR(AVERAGEIFS(Daily_Composite!$K$5:$K$369,Daily_Composite!$A$5:$A$369,"&gt;="&amp;T$3,Daily_Composite!$A$5:$A$369,"&lt;="&amp;T$2,Daily_Composite!$B$5:$B$369,1),"")</f>
        <v>-0.0497272727272727</v>
      </c>
      <c r="U9" s="8" t="n">
        <f aca="false">IFERROR(COUNTIFS(Daily_Composite!$A$5:$A$369,"&gt;="&amp;T$3,Daily_Composite!$A$5:$A$369,"&lt;="&amp;T$2,Daily_Composite!$B$5:$B$369,1,Daily_Composite!$K$5:$K$369,"&gt;"&amp;Settings!$C$4)/COUNTIFS(Daily_Composite!$A$5:$A$369,"&gt;="&amp;T$3,Daily_Composite!$A$5:$A$369,"&lt;="&amp;T$2,Daily_Composite!$B$5:$B$369,1),"")</f>
        <v>0.136363636363636</v>
      </c>
      <c r="V9" s="8" t="n">
        <f aca="false">IFERROR(COUNTIFS(Daily_Composite!$A$5:$A$369,"&gt;="&amp;T$3,Daily_Composite!$A$5:$A$369,"&lt;="&amp;T$2,Daily_Composite!$B$5:$B$369,1,Daily_Composite!$K$5:$K$369,"&lt;"&amp;-Settings!$C$4)/COUNTIFS(Daily_Composite!$A$5:$A$369,"&gt;="&amp;T$3,Daily_Composite!$A$5:$A$369,"&lt;="&amp;T$2,Daily_Composite!$B$5:$B$369,1),"")</f>
        <v>0.272727272727273</v>
      </c>
      <c r="W9" s="7" t="n">
        <f aca="false">IFERROR(AVERAGEIFS(Daily_Composite!$K$5:$K$369,Daily_Composite!$A$5:$A$369,"&gt;="&amp;W$3,Daily_Composite!$A$5:$A$369,"&lt;="&amp;W$2,Daily_Composite!$B$5:$B$369,1),"")</f>
        <v>-0.225428571428571</v>
      </c>
      <c r="X9" s="8" t="n">
        <f aca="false">IFERROR(COUNTIFS(Daily_Composite!$A$5:$A$369,"&gt;="&amp;W$3,Daily_Composite!$A$5:$A$369,"&lt;="&amp;W$2,Daily_Composite!$B$5:$B$369,1,Daily_Composite!$K$5:$K$369,"&gt;"&amp;Settings!$C$4)/COUNTIFS(Daily_Composite!$A$5:$A$369,"&gt;="&amp;W$3,Daily_Composite!$A$5:$A$369,"&lt;="&amp;W$2,Daily_Composite!$B$5:$B$369,1),"")</f>
        <v>0.0952380952380952</v>
      </c>
      <c r="Y9" s="8" t="n">
        <f aca="false">IFERROR(COUNTIFS(Daily_Composite!$A$5:$A$369,"&gt;="&amp;W$3,Daily_Composite!$A$5:$A$369,"&lt;="&amp;W$2,Daily_Composite!$B$5:$B$369,1,Daily_Composite!$K$5:$K$369,"&lt;"&amp;-Settings!$C$4)/COUNTIFS(Daily_Composite!$A$5:$A$369,"&gt;="&amp;W$3,Daily_Composite!$A$5:$A$369,"&lt;="&amp;W$2,Daily_Composite!$B$5:$B$369,1),"")</f>
        <v>0.619047619047619</v>
      </c>
      <c r="Z9" s="7" t="n">
        <f aca="false">IFERROR(AVERAGEIFS(Daily_Composite!$K$5:$K$369,Daily_Composite!$A$5:$A$369,"&gt;="&amp;Z$3,Daily_Composite!$A$5:$A$369,"&lt;="&amp;Z$2,Daily_Composite!$B$5:$B$369,1),"")</f>
        <v>-0.140681818181818</v>
      </c>
      <c r="AA9" s="8" t="n">
        <f aca="false">IFERROR(COUNTIFS(Daily_Composite!$A$5:$A$369,"&gt;="&amp;Z$3,Daily_Composite!$A$5:$A$369,"&lt;="&amp;Z$2,Daily_Composite!$B$5:$B$369,1,Daily_Composite!$K$5:$K$369,"&gt;"&amp;Settings!$C$4)/COUNTIFS(Daily_Composite!$A$5:$A$369,"&gt;="&amp;Z$3,Daily_Composite!$A$5:$A$369,"&lt;="&amp;Z$2,Daily_Composite!$B$5:$B$369,1),"")</f>
        <v>0.181818181818182</v>
      </c>
      <c r="AB9" s="8" t="n">
        <f aca="false">IFERROR(COUNTIFS(Daily_Composite!$A$5:$A$369,"&gt;="&amp;Z$3,Daily_Composite!$A$5:$A$369,"&lt;="&amp;Z$2,Daily_Composite!$B$5:$B$369,1,Daily_Composite!$K$5:$K$369,"&lt;"&amp;-Settings!$C$4)/COUNTIFS(Daily_Composite!$A$5:$A$369,"&gt;="&amp;Z$3,Daily_Composite!$A$5:$A$369,"&lt;="&amp;Z$2,Daily_Composite!$B$5:$B$369,1),"")</f>
        <v>0.545454545454545</v>
      </c>
      <c r="AC9" s="7" t="n">
        <f aca="false">IFERROR(AVERAGEIFS(Daily_Composite!$K$5:$K$369,Daily_Composite!$A$5:$A$369,"&gt;="&amp;AC$3,Daily_Composite!$A$5:$A$369,"&lt;="&amp;AC$2,Daily_Composite!$B$5:$B$369,1),"")</f>
        <v>0.247272727272727</v>
      </c>
      <c r="AD9" s="8" t="n">
        <f aca="false">IFERROR(COUNTIFS(Daily_Composite!$A$5:$A$369,"&gt;="&amp;AC$3,Daily_Composite!$A$5:$A$369,"&lt;="&amp;AC$2,Daily_Composite!$B$5:$B$369,1,Daily_Composite!$K$5:$K$369,"&gt;"&amp;Settings!$C$4)/COUNTIFS(Daily_Composite!$A$5:$A$369,"&gt;="&amp;AC$3,Daily_Composite!$A$5:$A$369,"&lt;="&amp;AC$2,Daily_Composite!$B$5:$B$369,1),"")</f>
        <v>0.772727272727273</v>
      </c>
      <c r="AE9" s="8" t="n">
        <f aca="false">IFERROR(COUNTIFS(Daily_Composite!$A$5:$A$369,"&gt;="&amp;AC$3,Daily_Composite!$A$5:$A$369,"&lt;="&amp;AC$2,Daily_Composite!$B$5:$B$369,1,Daily_Composite!$K$5:$K$369,"&lt;"&amp;-Settings!$C$4)/COUNTIFS(Daily_Composite!$A$5:$A$369,"&gt;="&amp;AC$3,Daily_Composite!$A$5:$A$369,"&lt;="&amp;AC$2,Daily_Composite!$B$5:$B$369,1),"")</f>
        <v>0.0909090909090909</v>
      </c>
      <c r="AF9" s="7" t="n">
        <f aca="false">IFERROR(AVERAGEIFS(Daily_Composite!$K$5:$K$369,Daily_Composite!$A$5:$A$369,"&gt;="&amp;AF$3,Daily_Composite!$A$5:$A$369,"&lt;="&amp;AF$2,Daily_Composite!$B$5:$B$369,1),"")</f>
        <v>0.105318181818182</v>
      </c>
      <c r="AG9" s="8" t="n">
        <f aca="false">IFERROR(COUNTIFS(Daily_Composite!$A$5:$A$369,"&gt;="&amp;AF$3,Daily_Composite!$A$5:$A$369,"&lt;="&amp;AF$2,Daily_Composite!$B$5:$B$369,1,Daily_Composite!$K$5:$K$369,"&gt;"&amp;Settings!$C$4)/COUNTIFS(Daily_Composite!$A$5:$A$369,"&gt;="&amp;AF$3,Daily_Composite!$A$5:$A$369,"&lt;="&amp;AF$2,Daily_Composite!$B$5:$B$369,1),"")</f>
        <v>0.5</v>
      </c>
      <c r="AH9" s="8" t="n">
        <f aca="false">IFERROR(COUNTIFS(Daily_Composite!$A$5:$A$369,"&gt;="&amp;AF$3,Daily_Composite!$A$5:$A$369,"&lt;="&amp;AF$2,Daily_Composite!$B$5:$B$369,1,Daily_Composite!$K$5:$K$369,"&lt;"&amp;-Settings!$C$4)/COUNTIFS(Daily_Composite!$A$5:$A$369,"&gt;="&amp;AF$3,Daily_Composite!$A$5:$A$369,"&lt;="&amp;AF$2,Daily_Composite!$B$5:$B$369,1),"")</f>
        <v>0.181818181818182</v>
      </c>
      <c r="AI9" s="7" t="n">
        <f aca="false">IFERROR(AVERAGEIFS(Daily_Composite!$K$5:$K$369,Daily_Composite!$A$5:$A$369,"&gt;="&amp;AI$3,Daily_Composite!$A$5:$A$369,"&lt;="&amp;AI$2,Daily_Composite!$B$5:$B$369,1),"")</f>
        <v>-0.0111363636363636</v>
      </c>
      <c r="AJ9" s="8" t="n">
        <f aca="false">IFERROR(COUNTIFS(Daily_Composite!$A$5:$A$369,"&gt;="&amp;AI$3,Daily_Composite!$A$5:$A$369,"&lt;="&amp;AI$2,Daily_Composite!$B$5:$B$369,1,Daily_Composite!$K$5:$K$369,"&gt;"&amp;Settings!$C$4)/COUNTIFS(Daily_Composite!$A$5:$A$369,"&gt;="&amp;AI$3,Daily_Composite!$A$5:$A$369,"&lt;="&amp;AI$2,Daily_Composite!$B$5:$B$369,1),"")</f>
        <v>0.363636363636364</v>
      </c>
      <c r="AK9" s="8" t="n">
        <f aca="false">IFERROR(COUNTIFS(Daily_Composite!$A$5:$A$369,"&gt;="&amp;AI$3,Daily_Composite!$A$5:$A$369,"&lt;="&amp;AI$2,Daily_Composite!$B$5:$B$369,1,Daily_Composite!$K$5:$K$369,"&lt;"&amp;-Settings!$C$4)/COUNTIFS(Daily_Composite!$A$5:$A$369,"&gt;="&amp;AI$3,Daily_Composite!$A$5:$A$369,"&lt;="&amp;AI$2,Daily_Composite!$B$5:$B$369,1),"")</f>
        <v>0.409090909090909</v>
      </c>
      <c r="AL9" s="7" t="n">
        <f aca="false">IFERROR(AVERAGEIFS(Daily_Composite!$K$5:$K$369,Daily_Composite!$A$5:$A$369,"&gt;="&amp;AL$3,Daily_Composite!$A$5:$A$369,"&lt;="&amp;AL$2,Daily_Composite!$B$5:$B$369,1),"")</f>
        <v>0.358</v>
      </c>
      <c r="AM9" s="8" t="n">
        <f aca="false">IFERROR(COUNTIFS(Daily_Composite!$A$5:$A$369,"&gt;="&amp;AL$3,Daily_Composite!$A$5:$A$369,"&lt;="&amp;AL$2,Daily_Composite!$B$5:$B$369,1,Daily_Composite!$K$5:$K$369,"&gt;"&amp;Settings!$C$4)/COUNTIFS(Daily_Composite!$A$5:$A$369,"&gt;="&amp;AL$3,Daily_Composite!$A$5:$A$369,"&lt;="&amp;AL$2,Daily_Composite!$B$5:$B$369,1),"")</f>
        <v>0.666666666666667</v>
      </c>
      <c r="AN9" s="8" t="n">
        <f aca="false">IFERROR(COUNTIFS(Daily_Composite!$A$5:$A$369,"&gt;="&amp;AL$3,Daily_Composite!$A$5:$A$369,"&lt;="&amp;AL$2,Daily_Composite!$B$5:$B$369,1,Daily_Composite!$K$5:$K$369,"&lt;"&amp;-Settings!$C$4)/COUNTIFS(Daily_Composite!$A$5:$A$369,"&gt;="&amp;AL$3,Daily_Composite!$A$5:$A$369,"&lt;="&amp;AL$2,Daily_Composite!$B$5:$B$369,1),"")</f>
        <v>0.0555555555555556</v>
      </c>
    </row>
    <row r="10" customFormat="false" ht="15" hidden="false" customHeight="false" outlineLevel="0" collapsed="false">
      <c r="A10" s="6" t="s">
        <v>23</v>
      </c>
      <c r="B10" s="7" t="n">
        <f aca="false">IFERROR(AVERAGEIFS(Daily_Composite!$L$5:$L$369,Daily_Composite!$A$5:$A$369,"&gt;="&amp;B$3,Daily_Composite!$A$5:$A$369,"&lt;="&amp;B$2,Daily_Composite!$B$5:$B$369,1),"")</f>
        <v>0.009</v>
      </c>
      <c r="C10" s="8" t="n">
        <f aca="false">IFERROR(COUNTIFS(Daily_Composite!$A$5:$A$369,"&gt;="&amp;B$3,Daily_Composite!$A$5:$A$369,"&lt;="&amp;B$2,Daily_Composite!$B$5:$B$369,1,Daily_Composite!$L$5:$L$369,"&gt;"&amp;Settings!$C$4)/COUNTIFS(Daily_Composite!$A$5:$A$369,"&gt;="&amp;B$3,Daily_Composite!$A$5:$A$369,"&lt;="&amp;B$2,Daily_Composite!$B$5:$B$369,1),"")</f>
        <v>0</v>
      </c>
      <c r="D10" s="8" t="n">
        <f aca="false">IFERROR(COUNTIFS(Daily_Composite!$A$5:$A$369,"&gt;="&amp;B$3,Daily_Composite!$A$5:$A$369,"&lt;="&amp;B$2,Daily_Composite!$B$5:$B$369,1,Daily_Composite!$L$5:$L$369,"&lt;"&amp;-Settings!$C$4)/COUNTIFS(Daily_Composite!$A$5:$A$369,"&gt;="&amp;B$3,Daily_Composite!$A$5:$A$369,"&lt;="&amp;B$2,Daily_Composite!$B$5:$B$369,1),"")</f>
        <v>0</v>
      </c>
      <c r="E10" s="7" t="n">
        <f aca="false">IFERROR(AVERAGEIFS(Daily_Composite!$L$5:$L$369,Daily_Composite!$A$5:$A$369,"&gt;="&amp;E$3,Daily_Composite!$A$5:$A$369,"&lt;="&amp;E$2,Daily_Composite!$B$5:$B$369,1),"")</f>
        <v>0.0523809523809524</v>
      </c>
      <c r="F10" s="8" t="n">
        <f aca="false">IFERROR(COUNTIFS(Daily_Composite!$A$5:$A$369,"&gt;="&amp;E$3,Daily_Composite!$A$5:$A$369,"&lt;="&amp;E$2,Daily_Composite!$B$5:$B$369,1,Daily_Composite!$L$5:$L$369,"&gt;"&amp;Settings!$C$4)/COUNTIFS(Daily_Composite!$A$5:$A$369,"&gt;="&amp;E$3,Daily_Composite!$A$5:$A$369,"&lt;="&amp;E$2,Daily_Composite!$B$5:$B$369,1),"")</f>
        <v>0.380952380952381</v>
      </c>
      <c r="G10" s="8" t="n">
        <f aca="false">IFERROR(COUNTIFS(Daily_Composite!$A$5:$A$369,"&gt;="&amp;E$3,Daily_Composite!$A$5:$A$369,"&lt;="&amp;E$2,Daily_Composite!$B$5:$B$369,1,Daily_Composite!$L$5:$L$369,"&lt;"&amp;-Settings!$C$4)/COUNTIFS(Daily_Composite!$A$5:$A$369,"&gt;="&amp;E$3,Daily_Composite!$A$5:$A$369,"&lt;="&amp;E$2,Daily_Composite!$B$5:$B$369,1),"")</f>
        <v>0.380952380952381</v>
      </c>
      <c r="H10" s="7" t="n">
        <f aca="false">IFERROR(AVERAGEIFS(Daily_Composite!$L$5:$L$369,Daily_Composite!$A$5:$A$369,"&gt;="&amp;H$3,Daily_Composite!$A$5:$A$369,"&lt;="&amp;H$2,Daily_Composite!$B$5:$B$369,1),"")</f>
        <v>0.160521739130435</v>
      </c>
      <c r="I10" s="8" t="n">
        <f aca="false">IFERROR(COUNTIFS(Daily_Composite!$A$5:$A$369,"&gt;="&amp;H$3,Daily_Composite!$A$5:$A$369,"&lt;="&amp;H$2,Daily_Composite!$B$5:$B$369,1,Daily_Composite!$L$5:$L$369,"&gt;"&amp;Settings!$C$4)/COUNTIFS(Daily_Composite!$A$5:$A$369,"&gt;="&amp;H$3,Daily_Composite!$A$5:$A$369,"&lt;="&amp;H$2,Daily_Composite!$B$5:$B$369,1),"")</f>
        <v>0.391304347826087</v>
      </c>
      <c r="J10" s="8" t="n">
        <f aca="false">IFERROR(COUNTIFS(Daily_Composite!$A$5:$A$369,"&gt;="&amp;H$3,Daily_Composite!$A$5:$A$369,"&lt;="&amp;H$2,Daily_Composite!$B$5:$B$369,1,Daily_Composite!$L$5:$L$369,"&lt;"&amp;-Settings!$C$4)/COUNTIFS(Daily_Composite!$A$5:$A$369,"&gt;="&amp;H$3,Daily_Composite!$A$5:$A$369,"&lt;="&amp;H$2,Daily_Composite!$B$5:$B$369,1),"")</f>
        <v>0</v>
      </c>
      <c r="K10" s="7" t="n">
        <f aca="false">IFERROR(AVERAGEIFS(Daily_Composite!$L$5:$L$369,Daily_Composite!$A$5:$A$369,"&gt;="&amp;K$3,Daily_Composite!$A$5:$A$369,"&lt;="&amp;K$2,Daily_Composite!$B$5:$B$369,1),"")</f>
        <v>0.085952380952381</v>
      </c>
      <c r="L10" s="8" t="n">
        <f aca="false">IFERROR(COUNTIFS(Daily_Composite!$A$5:$A$369,"&gt;="&amp;K$3,Daily_Composite!$A$5:$A$369,"&lt;="&amp;K$2,Daily_Composite!$B$5:$B$369,1,Daily_Composite!$L$5:$L$369,"&gt;"&amp;Settings!$C$4)/COUNTIFS(Daily_Composite!$A$5:$A$369,"&gt;="&amp;K$3,Daily_Composite!$A$5:$A$369,"&lt;="&amp;K$2,Daily_Composite!$B$5:$B$369,1),"")</f>
        <v>0.285714285714286</v>
      </c>
      <c r="M10" s="8" t="n">
        <f aca="false">IFERROR(COUNTIFS(Daily_Composite!$A$5:$A$369,"&gt;="&amp;K$3,Daily_Composite!$A$5:$A$369,"&lt;="&amp;K$2,Daily_Composite!$B$5:$B$369,1,Daily_Composite!$L$5:$L$369,"&lt;"&amp;-Settings!$C$4)/COUNTIFS(Daily_Composite!$A$5:$A$369,"&gt;="&amp;K$3,Daily_Composite!$A$5:$A$369,"&lt;="&amp;K$2,Daily_Composite!$B$5:$B$369,1),"")</f>
        <v>0.0476190476190476</v>
      </c>
      <c r="N10" s="7" t="n">
        <f aca="false">IFERROR(AVERAGEIFS(Daily_Composite!$L$5:$L$369,Daily_Composite!$A$5:$A$369,"&gt;="&amp;N$3,Daily_Composite!$A$5:$A$369,"&lt;="&amp;N$2,Daily_Composite!$B$5:$B$369,1),"")</f>
        <v>-0.01615</v>
      </c>
      <c r="O10" s="8" t="n">
        <f aca="false">IFERROR(COUNTIFS(Daily_Composite!$A$5:$A$369,"&gt;="&amp;N$3,Daily_Composite!$A$5:$A$369,"&lt;="&amp;N$2,Daily_Composite!$B$5:$B$369,1,Daily_Composite!$L$5:$L$369,"&gt;"&amp;Settings!$C$4)/COUNTIFS(Daily_Composite!$A$5:$A$369,"&gt;="&amp;N$3,Daily_Composite!$A$5:$A$369,"&lt;="&amp;N$2,Daily_Composite!$B$5:$B$369,1),"")</f>
        <v>0.05</v>
      </c>
      <c r="P10" s="8" t="n">
        <f aca="false">IFERROR(COUNTIFS(Daily_Composite!$A$5:$A$369,"&gt;="&amp;N$3,Daily_Composite!$A$5:$A$369,"&lt;="&amp;N$2,Daily_Composite!$B$5:$B$369,1,Daily_Composite!$L$5:$L$369,"&lt;"&amp;-Settings!$C$4)/COUNTIFS(Daily_Composite!$A$5:$A$369,"&gt;="&amp;N$3,Daily_Composite!$A$5:$A$369,"&lt;="&amp;N$2,Daily_Composite!$B$5:$B$369,1),"")</f>
        <v>0.2</v>
      </c>
      <c r="Q10" s="7" t="n">
        <f aca="false">IFERROR(AVERAGEIFS(Daily_Composite!$L$5:$L$369,Daily_Composite!$A$5:$A$369,"&gt;="&amp;Q$3,Daily_Composite!$A$5:$A$369,"&lt;="&amp;Q$2,Daily_Composite!$B$5:$B$369,1),"")</f>
        <v>0.0890434782608696</v>
      </c>
      <c r="R10" s="8" t="n">
        <f aca="false">IFERROR(COUNTIFS(Daily_Composite!$A$5:$A$369,"&gt;="&amp;Q$3,Daily_Composite!$A$5:$A$369,"&lt;="&amp;Q$2,Daily_Composite!$B$5:$B$369,1,Daily_Composite!$L$5:$L$369,"&gt;"&amp;Settings!$C$4)/COUNTIFS(Daily_Composite!$A$5:$A$369,"&gt;="&amp;Q$3,Daily_Composite!$A$5:$A$369,"&lt;="&amp;Q$2,Daily_Composite!$B$5:$B$369,1),"")</f>
        <v>0.391304347826087</v>
      </c>
      <c r="S10" s="8" t="n">
        <f aca="false">IFERROR(COUNTIFS(Daily_Composite!$A$5:$A$369,"&gt;="&amp;Q$3,Daily_Composite!$A$5:$A$369,"&lt;="&amp;Q$2,Daily_Composite!$B$5:$B$369,1,Daily_Composite!$L$5:$L$369,"&lt;"&amp;-Settings!$C$4)/COUNTIFS(Daily_Composite!$A$5:$A$369,"&gt;="&amp;Q$3,Daily_Composite!$A$5:$A$369,"&lt;="&amp;Q$2,Daily_Composite!$B$5:$B$369,1),"")</f>
        <v>0.0869565217391304</v>
      </c>
      <c r="T10" s="7" t="n">
        <f aca="false">IFERROR(AVERAGEIFS(Daily_Composite!$L$5:$L$369,Daily_Composite!$A$5:$A$369,"&gt;="&amp;T$3,Daily_Composite!$A$5:$A$369,"&lt;="&amp;T$2,Daily_Composite!$B$5:$B$369,1),"")</f>
        <v>-0.0217727272727273</v>
      </c>
      <c r="U10" s="8" t="n">
        <f aca="false">IFERROR(COUNTIFS(Daily_Composite!$A$5:$A$369,"&gt;="&amp;T$3,Daily_Composite!$A$5:$A$369,"&lt;="&amp;T$2,Daily_Composite!$B$5:$B$369,1,Daily_Composite!$L$5:$L$369,"&gt;"&amp;Settings!$C$4)/COUNTIFS(Daily_Composite!$A$5:$A$369,"&gt;="&amp;T$3,Daily_Composite!$A$5:$A$369,"&lt;="&amp;T$2,Daily_Composite!$B$5:$B$369,1),"")</f>
        <v>0.181818181818182</v>
      </c>
      <c r="V10" s="8" t="n">
        <f aca="false">IFERROR(COUNTIFS(Daily_Composite!$A$5:$A$369,"&gt;="&amp;T$3,Daily_Composite!$A$5:$A$369,"&lt;="&amp;T$2,Daily_Composite!$B$5:$B$369,1,Daily_Composite!$L$5:$L$369,"&lt;"&amp;-Settings!$C$4)/COUNTIFS(Daily_Composite!$A$5:$A$369,"&gt;="&amp;T$3,Daily_Composite!$A$5:$A$369,"&lt;="&amp;T$2,Daily_Composite!$B$5:$B$369,1),"")</f>
        <v>0.318181818181818</v>
      </c>
      <c r="W10" s="7" t="n">
        <f aca="false">IFERROR(AVERAGEIFS(Daily_Composite!$L$5:$L$369,Daily_Composite!$A$5:$A$369,"&gt;="&amp;W$3,Daily_Composite!$A$5:$A$369,"&lt;="&amp;W$2,Daily_Composite!$B$5:$B$369,1),"")</f>
        <v>-0.0879047619047619</v>
      </c>
      <c r="X10" s="8" t="n">
        <f aca="false">IFERROR(COUNTIFS(Daily_Composite!$A$5:$A$369,"&gt;="&amp;W$3,Daily_Composite!$A$5:$A$369,"&lt;="&amp;W$2,Daily_Composite!$B$5:$B$369,1,Daily_Composite!$L$5:$L$369,"&gt;"&amp;Settings!$C$4)/COUNTIFS(Daily_Composite!$A$5:$A$369,"&gt;="&amp;W$3,Daily_Composite!$A$5:$A$369,"&lt;="&amp;W$2,Daily_Composite!$B$5:$B$369,1),"")</f>
        <v>0.0476190476190476</v>
      </c>
      <c r="Y10" s="8" t="n">
        <f aca="false">IFERROR(COUNTIFS(Daily_Composite!$A$5:$A$369,"&gt;="&amp;W$3,Daily_Composite!$A$5:$A$369,"&lt;="&amp;W$2,Daily_Composite!$B$5:$B$369,1,Daily_Composite!$L$5:$L$369,"&lt;"&amp;-Settings!$C$4)/COUNTIFS(Daily_Composite!$A$5:$A$369,"&gt;="&amp;W$3,Daily_Composite!$A$5:$A$369,"&lt;="&amp;W$2,Daily_Composite!$B$5:$B$369,1),"")</f>
        <v>0.238095238095238</v>
      </c>
      <c r="Z10" s="7" t="n">
        <f aca="false">IFERROR(AVERAGEIFS(Daily_Composite!$L$5:$L$369,Daily_Composite!$A$5:$A$369,"&gt;="&amp;Z$3,Daily_Composite!$A$5:$A$369,"&lt;="&amp;Z$2,Daily_Composite!$B$5:$B$369,1),"")</f>
        <v>-0.153954545454545</v>
      </c>
      <c r="AA10" s="8" t="n">
        <f aca="false">IFERROR(COUNTIFS(Daily_Composite!$A$5:$A$369,"&gt;="&amp;Z$3,Daily_Composite!$A$5:$A$369,"&lt;="&amp;Z$2,Daily_Composite!$B$5:$B$369,1,Daily_Composite!$L$5:$L$369,"&gt;"&amp;Settings!$C$4)/COUNTIFS(Daily_Composite!$A$5:$A$369,"&gt;="&amp;Z$3,Daily_Composite!$A$5:$A$369,"&lt;="&amp;Z$2,Daily_Composite!$B$5:$B$369,1),"")</f>
        <v>0.0909090909090909</v>
      </c>
      <c r="AB10" s="8" t="n">
        <f aca="false">IFERROR(COUNTIFS(Daily_Composite!$A$5:$A$369,"&gt;="&amp;Z$3,Daily_Composite!$A$5:$A$369,"&lt;="&amp;Z$2,Daily_Composite!$B$5:$B$369,1,Daily_Composite!$L$5:$L$369,"&lt;"&amp;-Settings!$C$4)/COUNTIFS(Daily_Composite!$A$5:$A$369,"&gt;="&amp;Z$3,Daily_Composite!$A$5:$A$369,"&lt;="&amp;Z$2,Daily_Composite!$B$5:$B$369,1),"")</f>
        <v>0.727272727272727</v>
      </c>
      <c r="AC10" s="7" t="n">
        <f aca="false">IFERROR(AVERAGEIFS(Daily_Composite!$L$5:$L$369,Daily_Composite!$A$5:$A$369,"&gt;="&amp;AC$3,Daily_Composite!$A$5:$A$369,"&lt;="&amp;AC$2,Daily_Composite!$B$5:$B$369,1),"")</f>
        <v>-0.173</v>
      </c>
      <c r="AD10" s="8" t="n">
        <f aca="false">IFERROR(COUNTIFS(Daily_Composite!$A$5:$A$369,"&gt;="&amp;AC$3,Daily_Composite!$A$5:$A$369,"&lt;="&amp;AC$2,Daily_Composite!$B$5:$B$369,1,Daily_Composite!$L$5:$L$369,"&gt;"&amp;Settings!$C$4)/COUNTIFS(Daily_Composite!$A$5:$A$369,"&gt;="&amp;AC$3,Daily_Composite!$A$5:$A$369,"&lt;="&amp;AC$2,Daily_Composite!$B$5:$B$369,1),"")</f>
        <v>0</v>
      </c>
      <c r="AE10" s="8" t="n">
        <f aca="false">IFERROR(COUNTIFS(Daily_Composite!$A$5:$A$369,"&gt;="&amp;AC$3,Daily_Composite!$A$5:$A$369,"&lt;="&amp;AC$2,Daily_Composite!$B$5:$B$369,1,Daily_Composite!$L$5:$L$369,"&lt;"&amp;-Settings!$C$4)/COUNTIFS(Daily_Composite!$A$5:$A$369,"&gt;="&amp;AC$3,Daily_Composite!$A$5:$A$369,"&lt;="&amp;AC$2,Daily_Composite!$B$5:$B$369,1),"")</f>
        <v>0.363636363636364</v>
      </c>
      <c r="AF10" s="7" t="n">
        <f aca="false">IFERROR(AVERAGEIFS(Daily_Composite!$L$5:$L$369,Daily_Composite!$A$5:$A$369,"&gt;="&amp;AF$3,Daily_Composite!$A$5:$A$369,"&lt;="&amp;AF$2,Daily_Composite!$B$5:$B$369,1),"")</f>
        <v>-0.289272727272727</v>
      </c>
      <c r="AG10" s="8" t="n">
        <f aca="false">IFERROR(COUNTIFS(Daily_Composite!$A$5:$A$369,"&gt;="&amp;AF$3,Daily_Composite!$A$5:$A$369,"&lt;="&amp;AF$2,Daily_Composite!$B$5:$B$369,1,Daily_Composite!$L$5:$L$369,"&gt;"&amp;Settings!$C$4)/COUNTIFS(Daily_Composite!$A$5:$A$369,"&gt;="&amp;AF$3,Daily_Composite!$A$5:$A$369,"&lt;="&amp;AF$2,Daily_Composite!$B$5:$B$369,1),"")</f>
        <v>0</v>
      </c>
      <c r="AH10" s="8" t="n">
        <f aca="false">IFERROR(COUNTIFS(Daily_Composite!$A$5:$A$369,"&gt;="&amp;AF$3,Daily_Composite!$A$5:$A$369,"&lt;="&amp;AF$2,Daily_Composite!$B$5:$B$369,1,Daily_Composite!$L$5:$L$369,"&lt;"&amp;-Settings!$C$4)/COUNTIFS(Daily_Composite!$A$5:$A$369,"&gt;="&amp;AF$3,Daily_Composite!$A$5:$A$369,"&lt;="&amp;AF$2,Daily_Composite!$B$5:$B$369,1),"")</f>
        <v>0.818181818181818</v>
      </c>
      <c r="AI10" s="7" t="n">
        <f aca="false">IFERROR(AVERAGEIFS(Daily_Composite!$L$5:$L$369,Daily_Composite!$A$5:$A$369,"&gt;="&amp;AI$3,Daily_Composite!$A$5:$A$369,"&lt;="&amp;AI$2,Daily_Composite!$B$5:$B$369,1),"")</f>
        <v>-0.229</v>
      </c>
      <c r="AJ10" s="8" t="n">
        <f aca="false">IFERROR(COUNTIFS(Daily_Composite!$A$5:$A$369,"&gt;="&amp;AI$3,Daily_Composite!$A$5:$A$369,"&lt;="&amp;AI$2,Daily_Composite!$B$5:$B$369,1,Daily_Composite!$L$5:$L$369,"&gt;"&amp;Settings!$C$4)/COUNTIFS(Daily_Composite!$A$5:$A$369,"&gt;="&amp;AI$3,Daily_Composite!$A$5:$A$369,"&lt;="&amp;AI$2,Daily_Composite!$B$5:$B$369,1),"")</f>
        <v>0.0454545454545455</v>
      </c>
      <c r="AK10" s="8" t="n">
        <f aca="false">IFERROR(COUNTIFS(Daily_Composite!$A$5:$A$369,"&gt;="&amp;AI$3,Daily_Composite!$A$5:$A$369,"&lt;="&amp;AI$2,Daily_Composite!$B$5:$B$369,1,Daily_Composite!$L$5:$L$369,"&lt;"&amp;-Settings!$C$4)/COUNTIFS(Daily_Composite!$A$5:$A$369,"&gt;="&amp;AI$3,Daily_Composite!$A$5:$A$369,"&lt;="&amp;AI$2,Daily_Composite!$B$5:$B$369,1),"")</f>
        <v>0.636363636363636</v>
      </c>
      <c r="AL10" s="7" t="n">
        <f aca="false">IFERROR(AVERAGEIFS(Daily_Composite!$L$5:$L$369,Daily_Composite!$A$5:$A$369,"&gt;="&amp;AL$3,Daily_Composite!$A$5:$A$369,"&lt;="&amp;AL$2,Daily_Composite!$B$5:$B$369,1),"")</f>
        <v>-0.137777777777778</v>
      </c>
      <c r="AM10" s="8" t="n">
        <f aca="false">IFERROR(COUNTIFS(Daily_Composite!$A$5:$A$369,"&gt;="&amp;AL$3,Daily_Composite!$A$5:$A$369,"&lt;="&amp;AL$2,Daily_Composite!$B$5:$B$369,1,Daily_Composite!$L$5:$L$369,"&gt;"&amp;Settings!$C$4)/COUNTIFS(Daily_Composite!$A$5:$A$369,"&gt;="&amp;AL$3,Daily_Composite!$A$5:$A$369,"&lt;="&amp;AL$2,Daily_Composite!$B$5:$B$369,1),"")</f>
        <v>0</v>
      </c>
      <c r="AN10" s="8" t="n">
        <f aca="false">IFERROR(COUNTIFS(Daily_Composite!$A$5:$A$369,"&gt;="&amp;AL$3,Daily_Composite!$A$5:$A$369,"&lt;="&amp;AL$2,Daily_Composite!$B$5:$B$369,1,Daily_Composite!$L$5:$L$369,"&lt;"&amp;-Settings!$C$4)/COUNTIFS(Daily_Composite!$A$5:$A$369,"&gt;="&amp;AL$3,Daily_Composite!$A$5:$A$369,"&lt;="&amp;AL$2,Daily_Composite!$B$5:$B$369,1),"")</f>
        <v>0.388888888888889</v>
      </c>
    </row>
    <row r="11" customFormat="false" ht="15" hidden="false" customHeight="false" outlineLevel="0" collapsed="false">
      <c r="A11" s="6" t="s">
        <v>24</v>
      </c>
      <c r="B11" s="7" t="n">
        <f aca="false">IFERROR(AVERAGEIFS(Daily_Composite!$M$5:$M$369,Daily_Composite!$A$5:$A$369,"&gt;="&amp;B$3,Daily_Composite!$A$5:$A$369,"&lt;="&amp;B$2,Daily_Composite!$B$5:$B$369,1),"")</f>
        <v>0.01925</v>
      </c>
      <c r="C11" s="8" t="n">
        <f aca="false">IFERROR(COUNTIFS(Daily_Composite!$A$5:$A$369,"&gt;="&amp;B$3,Daily_Composite!$A$5:$A$369,"&lt;="&amp;B$2,Daily_Composite!$B$5:$B$369,1,Daily_Composite!$M$5:$M$369,"&gt;"&amp;Settings!$C$4)/COUNTIFS(Daily_Composite!$A$5:$A$369,"&gt;="&amp;B$3,Daily_Composite!$A$5:$A$369,"&lt;="&amp;B$2,Daily_Composite!$B$5:$B$369,1),"")</f>
        <v>0</v>
      </c>
      <c r="D11" s="8" t="n">
        <f aca="false">IFERROR(COUNTIFS(Daily_Composite!$A$5:$A$369,"&gt;="&amp;B$3,Daily_Composite!$A$5:$A$369,"&lt;="&amp;B$2,Daily_Composite!$B$5:$B$369,1,Daily_Composite!$M$5:$M$369,"&lt;"&amp;-Settings!$C$4)/COUNTIFS(Daily_Composite!$A$5:$A$369,"&gt;="&amp;B$3,Daily_Composite!$A$5:$A$369,"&lt;="&amp;B$2,Daily_Composite!$B$5:$B$369,1),"")</f>
        <v>0</v>
      </c>
      <c r="E11" s="7" t="n">
        <f aca="false">IFERROR(AVERAGEIFS(Daily_Composite!$M$5:$M$369,Daily_Composite!$A$5:$A$369,"&gt;="&amp;E$3,Daily_Composite!$A$5:$A$369,"&lt;="&amp;E$2,Daily_Composite!$B$5:$B$369,1),"")</f>
        <v>-0.0415238095238095</v>
      </c>
      <c r="F11" s="8" t="n">
        <f aca="false">IFERROR(COUNTIFS(Daily_Composite!$A$5:$A$369,"&gt;="&amp;E$3,Daily_Composite!$A$5:$A$369,"&lt;="&amp;E$2,Daily_Composite!$B$5:$B$369,1,Daily_Composite!$M$5:$M$369,"&gt;"&amp;Settings!$C$4)/COUNTIFS(Daily_Composite!$A$5:$A$369,"&gt;="&amp;E$3,Daily_Composite!$A$5:$A$369,"&lt;="&amp;E$2,Daily_Composite!$B$5:$B$369,1),"")</f>
        <v>0.142857142857143</v>
      </c>
      <c r="G11" s="8" t="n">
        <f aca="false">IFERROR(COUNTIFS(Daily_Composite!$A$5:$A$369,"&gt;="&amp;E$3,Daily_Composite!$A$5:$A$369,"&lt;="&amp;E$2,Daily_Composite!$B$5:$B$369,1,Daily_Composite!$M$5:$M$369,"&lt;"&amp;-Settings!$C$4)/COUNTIFS(Daily_Composite!$A$5:$A$369,"&gt;="&amp;E$3,Daily_Composite!$A$5:$A$369,"&lt;="&amp;E$2,Daily_Composite!$B$5:$B$369,1),"")</f>
        <v>0.238095238095238</v>
      </c>
      <c r="H11" s="7" t="n">
        <f aca="false">IFERROR(AVERAGEIFS(Daily_Composite!$M$5:$M$369,Daily_Composite!$A$5:$A$369,"&gt;="&amp;H$3,Daily_Composite!$A$5:$A$369,"&lt;="&amp;H$2,Daily_Composite!$B$5:$B$369,1),"")</f>
        <v>-0.110913043478261</v>
      </c>
      <c r="I11" s="8" t="n">
        <f aca="false">IFERROR(COUNTIFS(Daily_Composite!$A$5:$A$369,"&gt;="&amp;H$3,Daily_Composite!$A$5:$A$369,"&lt;="&amp;H$2,Daily_Composite!$B$5:$B$369,1,Daily_Composite!$M$5:$M$369,"&gt;"&amp;Settings!$C$4)/COUNTIFS(Daily_Composite!$A$5:$A$369,"&gt;="&amp;H$3,Daily_Composite!$A$5:$A$369,"&lt;="&amp;H$2,Daily_Composite!$B$5:$B$369,1),"")</f>
        <v>0.0869565217391304</v>
      </c>
      <c r="J11" s="8" t="n">
        <f aca="false">IFERROR(COUNTIFS(Daily_Composite!$A$5:$A$369,"&gt;="&amp;H$3,Daily_Composite!$A$5:$A$369,"&lt;="&amp;H$2,Daily_Composite!$B$5:$B$369,1,Daily_Composite!$M$5:$M$369,"&lt;"&amp;-Settings!$C$4)/COUNTIFS(Daily_Composite!$A$5:$A$369,"&gt;="&amp;H$3,Daily_Composite!$A$5:$A$369,"&lt;="&amp;H$2,Daily_Composite!$B$5:$B$369,1),"")</f>
        <v>0.478260869565217</v>
      </c>
      <c r="K11" s="7" t="n">
        <f aca="false">IFERROR(AVERAGEIFS(Daily_Composite!$M$5:$M$369,Daily_Composite!$A$5:$A$369,"&gt;="&amp;K$3,Daily_Composite!$A$5:$A$369,"&lt;="&amp;K$2,Daily_Composite!$B$5:$B$369,1),"")</f>
        <v>-0.283619047619048</v>
      </c>
      <c r="L11" s="8" t="n">
        <f aca="false">IFERROR(COUNTIFS(Daily_Composite!$A$5:$A$369,"&gt;="&amp;K$3,Daily_Composite!$A$5:$A$369,"&lt;="&amp;K$2,Daily_Composite!$B$5:$B$369,1,Daily_Composite!$M$5:$M$369,"&gt;"&amp;Settings!$C$4)/COUNTIFS(Daily_Composite!$A$5:$A$369,"&gt;="&amp;K$3,Daily_Composite!$A$5:$A$369,"&lt;="&amp;K$2,Daily_Composite!$B$5:$B$369,1),"")</f>
        <v>0.0476190476190476</v>
      </c>
      <c r="M11" s="8" t="n">
        <f aca="false">IFERROR(COUNTIFS(Daily_Composite!$A$5:$A$369,"&gt;="&amp;K$3,Daily_Composite!$A$5:$A$369,"&lt;="&amp;K$2,Daily_Composite!$B$5:$B$369,1,Daily_Composite!$M$5:$M$369,"&lt;"&amp;-Settings!$C$4)/COUNTIFS(Daily_Composite!$A$5:$A$369,"&gt;="&amp;K$3,Daily_Composite!$A$5:$A$369,"&lt;="&amp;K$2,Daily_Composite!$B$5:$B$369,1),"")</f>
        <v>0.761904761904762</v>
      </c>
      <c r="N11" s="7" t="n">
        <f aca="false">IFERROR(AVERAGEIFS(Daily_Composite!$M$5:$M$369,Daily_Composite!$A$5:$A$369,"&gt;="&amp;N$3,Daily_Composite!$A$5:$A$369,"&lt;="&amp;N$2,Daily_Composite!$B$5:$B$369,1),"")</f>
        <v>-0.39265</v>
      </c>
      <c r="O11" s="8" t="n">
        <f aca="false">IFERROR(COUNTIFS(Daily_Composite!$A$5:$A$369,"&gt;="&amp;N$3,Daily_Composite!$A$5:$A$369,"&lt;="&amp;N$2,Daily_Composite!$B$5:$B$369,1,Daily_Composite!$M$5:$M$369,"&gt;"&amp;Settings!$C$4)/COUNTIFS(Daily_Composite!$A$5:$A$369,"&gt;="&amp;N$3,Daily_Composite!$A$5:$A$369,"&lt;="&amp;N$2,Daily_Composite!$B$5:$B$369,1),"")</f>
        <v>0.1</v>
      </c>
      <c r="P11" s="8" t="n">
        <f aca="false">IFERROR(COUNTIFS(Daily_Composite!$A$5:$A$369,"&gt;="&amp;N$3,Daily_Composite!$A$5:$A$369,"&lt;="&amp;N$2,Daily_Composite!$B$5:$B$369,1,Daily_Composite!$M$5:$M$369,"&lt;"&amp;-Settings!$C$4)/COUNTIFS(Daily_Composite!$A$5:$A$369,"&gt;="&amp;N$3,Daily_Composite!$A$5:$A$369,"&lt;="&amp;N$2,Daily_Composite!$B$5:$B$369,1),"")</f>
        <v>0.75</v>
      </c>
      <c r="Q11" s="7" t="n">
        <f aca="false">IFERROR(AVERAGEIFS(Daily_Composite!$M$5:$M$369,Daily_Composite!$A$5:$A$369,"&gt;="&amp;Q$3,Daily_Composite!$A$5:$A$369,"&lt;="&amp;Q$2,Daily_Composite!$B$5:$B$369,1),"")</f>
        <v>-0.238652173913043</v>
      </c>
      <c r="R11" s="8" t="n">
        <f aca="false">IFERROR(COUNTIFS(Daily_Composite!$A$5:$A$369,"&gt;="&amp;Q$3,Daily_Composite!$A$5:$A$369,"&lt;="&amp;Q$2,Daily_Composite!$B$5:$B$369,1,Daily_Composite!$M$5:$M$369,"&gt;"&amp;Settings!$C$4)/COUNTIFS(Daily_Composite!$A$5:$A$369,"&gt;="&amp;Q$3,Daily_Composite!$A$5:$A$369,"&lt;="&amp;Q$2,Daily_Composite!$B$5:$B$369,1),"")</f>
        <v>0.0434782608695652</v>
      </c>
      <c r="S11" s="8" t="n">
        <f aca="false">IFERROR(COUNTIFS(Daily_Composite!$A$5:$A$369,"&gt;="&amp;Q$3,Daily_Composite!$A$5:$A$369,"&lt;="&amp;Q$2,Daily_Composite!$B$5:$B$369,1,Daily_Composite!$M$5:$M$369,"&lt;"&amp;-Settings!$C$4)/COUNTIFS(Daily_Composite!$A$5:$A$369,"&gt;="&amp;Q$3,Daily_Composite!$A$5:$A$369,"&lt;="&amp;Q$2,Daily_Composite!$B$5:$B$369,1),"")</f>
        <v>0.652173913043478</v>
      </c>
      <c r="T11" s="7" t="n">
        <f aca="false">IFERROR(AVERAGEIFS(Daily_Composite!$M$5:$M$369,Daily_Composite!$A$5:$A$369,"&gt;="&amp;T$3,Daily_Composite!$A$5:$A$369,"&lt;="&amp;T$2,Daily_Composite!$B$5:$B$369,1),"")</f>
        <v>-0.261727272727273</v>
      </c>
      <c r="U11" s="8" t="n">
        <f aca="false">IFERROR(COUNTIFS(Daily_Composite!$A$5:$A$369,"&gt;="&amp;T$3,Daily_Composite!$A$5:$A$369,"&lt;="&amp;T$2,Daily_Composite!$B$5:$B$369,1,Daily_Composite!$M$5:$M$369,"&gt;"&amp;Settings!$C$4)/COUNTIFS(Daily_Composite!$A$5:$A$369,"&gt;="&amp;T$3,Daily_Composite!$A$5:$A$369,"&lt;="&amp;T$2,Daily_Composite!$B$5:$B$369,1),"")</f>
        <v>0</v>
      </c>
      <c r="V11" s="8" t="n">
        <f aca="false">IFERROR(COUNTIFS(Daily_Composite!$A$5:$A$369,"&gt;="&amp;T$3,Daily_Composite!$A$5:$A$369,"&lt;="&amp;T$2,Daily_Composite!$B$5:$B$369,1,Daily_Composite!$M$5:$M$369,"&lt;"&amp;-Settings!$C$4)/COUNTIFS(Daily_Composite!$A$5:$A$369,"&gt;="&amp;T$3,Daily_Composite!$A$5:$A$369,"&lt;="&amp;T$2,Daily_Composite!$B$5:$B$369,1),"")</f>
        <v>0.681818181818182</v>
      </c>
      <c r="W11" s="7" t="n">
        <f aca="false">IFERROR(AVERAGEIFS(Daily_Composite!$M$5:$M$369,Daily_Composite!$A$5:$A$369,"&gt;="&amp;W$3,Daily_Composite!$A$5:$A$369,"&lt;="&amp;W$2,Daily_Composite!$B$5:$B$369,1),"")</f>
        <v>-0.41852380952381</v>
      </c>
      <c r="X11" s="8" t="n">
        <f aca="false">IFERROR(COUNTIFS(Daily_Composite!$A$5:$A$369,"&gt;="&amp;W$3,Daily_Composite!$A$5:$A$369,"&lt;="&amp;W$2,Daily_Composite!$B$5:$B$369,1,Daily_Composite!$M$5:$M$369,"&gt;"&amp;Settings!$C$4)/COUNTIFS(Daily_Composite!$A$5:$A$369,"&gt;="&amp;W$3,Daily_Composite!$A$5:$A$369,"&lt;="&amp;W$2,Daily_Composite!$B$5:$B$369,1),"")</f>
        <v>0</v>
      </c>
      <c r="Y11" s="8" t="n">
        <f aca="false">IFERROR(COUNTIFS(Daily_Composite!$A$5:$A$369,"&gt;="&amp;W$3,Daily_Composite!$A$5:$A$369,"&lt;="&amp;W$2,Daily_Composite!$B$5:$B$369,1,Daily_Composite!$M$5:$M$369,"&lt;"&amp;-Settings!$C$4)/COUNTIFS(Daily_Composite!$A$5:$A$369,"&gt;="&amp;W$3,Daily_Composite!$A$5:$A$369,"&lt;="&amp;W$2,Daily_Composite!$B$5:$B$369,1),"")</f>
        <v>0.952380952380952</v>
      </c>
      <c r="Z11" s="7" t="n">
        <f aca="false">IFERROR(AVERAGEIFS(Daily_Composite!$M$5:$M$369,Daily_Composite!$A$5:$A$369,"&gt;="&amp;Z$3,Daily_Composite!$A$5:$A$369,"&lt;="&amp;Z$2,Daily_Composite!$B$5:$B$369,1),"")</f>
        <v>-0.2205</v>
      </c>
      <c r="AA11" s="8" t="n">
        <f aca="false">IFERROR(COUNTIFS(Daily_Composite!$A$5:$A$369,"&gt;="&amp;Z$3,Daily_Composite!$A$5:$A$369,"&lt;="&amp;Z$2,Daily_Composite!$B$5:$B$369,1,Daily_Composite!$M$5:$M$369,"&gt;"&amp;Settings!$C$4)/COUNTIFS(Daily_Composite!$A$5:$A$369,"&gt;="&amp;Z$3,Daily_Composite!$A$5:$A$369,"&lt;="&amp;Z$2,Daily_Composite!$B$5:$B$369,1),"")</f>
        <v>0.0454545454545455</v>
      </c>
      <c r="AB11" s="8" t="n">
        <f aca="false">IFERROR(COUNTIFS(Daily_Composite!$A$5:$A$369,"&gt;="&amp;Z$3,Daily_Composite!$A$5:$A$369,"&lt;="&amp;Z$2,Daily_Composite!$B$5:$B$369,1,Daily_Composite!$M$5:$M$369,"&lt;"&amp;-Settings!$C$4)/COUNTIFS(Daily_Composite!$A$5:$A$369,"&gt;="&amp;Z$3,Daily_Composite!$A$5:$A$369,"&lt;="&amp;Z$2,Daily_Composite!$B$5:$B$369,1),"")</f>
        <v>0.636363636363636</v>
      </c>
      <c r="AC11" s="7" t="n">
        <f aca="false">IFERROR(AVERAGEIFS(Daily_Composite!$M$5:$M$369,Daily_Composite!$A$5:$A$369,"&gt;="&amp;AC$3,Daily_Composite!$A$5:$A$369,"&lt;="&amp;AC$2,Daily_Composite!$B$5:$B$369,1),"")</f>
        <v>-0.374272727272727</v>
      </c>
      <c r="AD11" s="8" t="n">
        <f aca="false">IFERROR(COUNTIFS(Daily_Composite!$A$5:$A$369,"&gt;="&amp;AC$3,Daily_Composite!$A$5:$A$369,"&lt;="&amp;AC$2,Daily_Composite!$B$5:$B$369,1,Daily_Composite!$M$5:$M$369,"&gt;"&amp;Settings!$C$4)/COUNTIFS(Daily_Composite!$A$5:$A$369,"&gt;="&amp;AC$3,Daily_Composite!$A$5:$A$369,"&lt;="&amp;AC$2,Daily_Composite!$B$5:$B$369,1),"")</f>
        <v>0</v>
      </c>
      <c r="AE11" s="8" t="n">
        <f aca="false">IFERROR(COUNTIFS(Daily_Composite!$A$5:$A$369,"&gt;="&amp;AC$3,Daily_Composite!$A$5:$A$369,"&lt;="&amp;AC$2,Daily_Composite!$B$5:$B$369,1,Daily_Composite!$M$5:$M$369,"&lt;"&amp;-Settings!$C$4)/COUNTIFS(Daily_Composite!$A$5:$A$369,"&gt;="&amp;AC$3,Daily_Composite!$A$5:$A$369,"&lt;="&amp;AC$2,Daily_Composite!$B$5:$B$369,1),"")</f>
        <v>0.863636363636364</v>
      </c>
      <c r="AF11" s="7" t="n">
        <f aca="false">IFERROR(AVERAGEIFS(Daily_Composite!$M$5:$M$369,Daily_Composite!$A$5:$A$369,"&gt;="&amp;AF$3,Daily_Composite!$A$5:$A$369,"&lt;="&amp;AF$2,Daily_Composite!$B$5:$B$369,1),"")</f>
        <v>-0.339863636363636</v>
      </c>
      <c r="AG11" s="8" t="n">
        <f aca="false">IFERROR(COUNTIFS(Daily_Composite!$A$5:$A$369,"&gt;="&amp;AF$3,Daily_Composite!$A$5:$A$369,"&lt;="&amp;AF$2,Daily_Composite!$B$5:$B$369,1,Daily_Composite!$M$5:$M$369,"&gt;"&amp;Settings!$C$4)/COUNTIFS(Daily_Composite!$A$5:$A$369,"&gt;="&amp;AF$3,Daily_Composite!$A$5:$A$369,"&lt;="&amp;AF$2,Daily_Composite!$B$5:$B$369,1),"")</f>
        <v>0</v>
      </c>
      <c r="AH11" s="8" t="n">
        <f aca="false">IFERROR(COUNTIFS(Daily_Composite!$A$5:$A$369,"&gt;="&amp;AF$3,Daily_Composite!$A$5:$A$369,"&lt;="&amp;AF$2,Daily_Composite!$B$5:$B$369,1,Daily_Composite!$M$5:$M$369,"&lt;"&amp;-Settings!$C$4)/COUNTIFS(Daily_Composite!$A$5:$A$369,"&gt;="&amp;AF$3,Daily_Composite!$A$5:$A$369,"&lt;="&amp;AF$2,Daily_Composite!$B$5:$B$369,1),"")</f>
        <v>0.909090909090909</v>
      </c>
      <c r="AI11" s="7" t="n">
        <f aca="false">IFERROR(AVERAGEIFS(Daily_Composite!$M$5:$M$369,Daily_Composite!$A$5:$A$369,"&gt;="&amp;AI$3,Daily_Composite!$A$5:$A$369,"&lt;="&amp;AI$2,Daily_Composite!$B$5:$B$369,1),"")</f>
        <v>-0.0642727272727273</v>
      </c>
      <c r="AJ11" s="8" t="n">
        <f aca="false">IFERROR(COUNTIFS(Daily_Composite!$A$5:$A$369,"&gt;="&amp;AI$3,Daily_Composite!$A$5:$A$369,"&lt;="&amp;AI$2,Daily_Composite!$B$5:$B$369,1,Daily_Composite!$M$5:$M$369,"&gt;"&amp;Settings!$C$4)/COUNTIFS(Daily_Composite!$A$5:$A$369,"&gt;="&amp;AI$3,Daily_Composite!$A$5:$A$369,"&lt;="&amp;AI$2,Daily_Composite!$B$5:$B$369,1),"")</f>
        <v>0.136363636363636</v>
      </c>
      <c r="AK11" s="8" t="n">
        <f aca="false">IFERROR(COUNTIFS(Daily_Composite!$A$5:$A$369,"&gt;="&amp;AI$3,Daily_Composite!$A$5:$A$369,"&lt;="&amp;AI$2,Daily_Composite!$B$5:$B$369,1,Daily_Composite!$M$5:$M$369,"&lt;"&amp;-Settings!$C$4)/COUNTIFS(Daily_Composite!$A$5:$A$369,"&gt;="&amp;AI$3,Daily_Composite!$A$5:$A$369,"&lt;="&amp;AI$2,Daily_Composite!$B$5:$B$369,1),"")</f>
        <v>0.363636363636364</v>
      </c>
      <c r="AL11" s="7" t="n">
        <f aca="false">IFERROR(AVERAGEIFS(Daily_Composite!$M$5:$M$369,Daily_Composite!$A$5:$A$369,"&gt;="&amp;AL$3,Daily_Composite!$A$5:$A$369,"&lt;="&amp;AL$2,Daily_Composite!$B$5:$B$369,1),"")</f>
        <v>0.0833333333333333</v>
      </c>
      <c r="AM11" s="8" t="n">
        <f aca="false">IFERROR(COUNTIFS(Daily_Composite!$A$5:$A$369,"&gt;="&amp;AL$3,Daily_Composite!$A$5:$A$369,"&lt;="&amp;AL$2,Daily_Composite!$B$5:$B$369,1,Daily_Composite!$M$5:$M$369,"&gt;"&amp;Settings!$C$4)/COUNTIFS(Daily_Composite!$A$5:$A$369,"&gt;="&amp;AL$3,Daily_Composite!$A$5:$A$369,"&lt;="&amp;AL$2,Daily_Composite!$B$5:$B$369,1),"")</f>
        <v>0.388888888888889</v>
      </c>
      <c r="AN11" s="8" t="n">
        <f aca="false">IFERROR(COUNTIFS(Daily_Composite!$A$5:$A$369,"&gt;="&amp;AL$3,Daily_Composite!$A$5:$A$369,"&lt;="&amp;AL$2,Daily_Composite!$B$5:$B$369,1,Daily_Composite!$M$5:$M$369,"&lt;"&amp;-Settings!$C$4)/COUNTIFS(Daily_Composite!$A$5:$A$369,"&gt;="&amp;AL$3,Daily_Composite!$A$5:$A$369,"&lt;="&amp;AL$2,Daily_Composite!$B$5:$B$369,1),"")</f>
        <v>0.111111111111111</v>
      </c>
    </row>
    <row r="12" customFormat="false" ht="15" hidden="false" customHeight="false" outlineLevel="0" collapsed="false">
      <c r="A12" s="6" t="s">
        <v>25</v>
      </c>
      <c r="B12" s="7" t="n">
        <f aca="false">IFERROR(AVERAGEIFS(Daily_Composite!$N$5:$N$369,Daily_Composite!$A$5:$A$369,"&gt;="&amp;B$3,Daily_Composite!$A$5:$A$369,"&lt;="&amp;B$2,Daily_Composite!$B$5:$B$369,1),"")</f>
        <v>-0.029</v>
      </c>
      <c r="C12" s="8" t="n">
        <f aca="false">IFERROR(COUNTIFS(Daily_Composite!$A$5:$A$369,"&gt;="&amp;B$3,Daily_Composite!$A$5:$A$369,"&lt;="&amp;B$2,Daily_Composite!$B$5:$B$369,1,Daily_Composite!$N$5:$N$369,"&gt;"&amp;Settings!$C$4)/COUNTIFS(Daily_Composite!$A$5:$A$369,"&gt;="&amp;B$3,Daily_Composite!$A$5:$A$369,"&lt;="&amp;B$2,Daily_Composite!$B$5:$B$369,1),"")</f>
        <v>0</v>
      </c>
      <c r="D12" s="8" t="n">
        <f aca="false">IFERROR(COUNTIFS(Daily_Composite!$A$5:$A$369,"&gt;="&amp;B$3,Daily_Composite!$A$5:$A$369,"&lt;="&amp;B$2,Daily_Composite!$B$5:$B$369,1,Daily_Composite!$N$5:$N$369,"&lt;"&amp;-Settings!$C$4)/COUNTIFS(Daily_Composite!$A$5:$A$369,"&gt;="&amp;B$3,Daily_Composite!$A$5:$A$369,"&lt;="&amp;B$2,Daily_Composite!$B$5:$B$369,1),"")</f>
        <v>0</v>
      </c>
      <c r="E12" s="7" t="n">
        <f aca="false">IFERROR(AVERAGEIFS(Daily_Composite!$N$5:$N$369,Daily_Composite!$A$5:$A$369,"&gt;="&amp;E$3,Daily_Composite!$A$5:$A$369,"&lt;="&amp;E$2,Daily_Composite!$B$5:$B$369,1),"")</f>
        <v>-0.171571428571429</v>
      </c>
      <c r="F12" s="8" t="n">
        <f aca="false">IFERROR(COUNTIFS(Daily_Composite!$A$5:$A$369,"&gt;="&amp;E$3,Daily_Composite!$A$5:$A$369,"&lt;="&amp;E$2,Daily_Composite!$B$5:$B$369,1,Daily_Composite!$N$5:$N$369,"&gt;"&amp;Settings!$C$4)/COUNTIFS(Daily_Composite!$A$5:$A$369,"&gt;="&amp;E$3,Daily_Composite!$A$5:$A$369,"&lt;="&amp;E$2,Daily_Composite!$B$5:$B$369,1),"")</f>
        <v>0.0952380952380952</v>
      </c>
      <c r="G12" s="8" t="n">
        <f aca="false">IFERROR(COUNTIFS(Daily_Composite!$A$5:$A$369,"&gt;="&amp;E$3,Daily_Composite!$A$5:$A$369,"&lt;="&amp;E$2,Daily_Composite!$B$5:$B$369,1,Daily_Composite!$N$5:$N$369,"&lt;"&amp;-Settings!$C$4)/COUNTIFS(Daily_Composite!$A$5:$A$369,"&gt;="&amp;E$3,Daily_Composite!$A$5:$A$369,"&lt;="&amp;E$2,Daily_Composite!$B$5:$B$369,1),"")</f>
        <v>0.571428571428571</v>
      </c>
      <c r="H12" s="7" t="n">
        <f aca="false">IFERROR(AVERAGEIFS(Daily_Composite!$N$5:$N$369,Daily_Composite!$A$5:$A$369,"&gt;="&amp;H$3,Daily_Composite!$A$5:$A$369,"&lt;="&amp;H$2,Daily_Composite!$B$5:$B$369,1),"")</f>
        <v>-0.231304347826087</v>
      </c>
      <c r="I12" s="8" t="n">
        <f aca="false">IFERROR(COUNTIFS(Daily_Composite!$A$5:$A$369,"&gt;="&amp;H$3,Daily_Composite!$A$5:$A$369,"&lt;="&amp;H$2,Daily_Composite!$B$5:$B$369,1,Daily_Composite!$N$5:$N$369,"&gt;"&amp;Settings!$C$4)/COUNTIFS(Daily_Composite!$A$5:$A$369,"&gt;="&amp;H$3,Daily_Composite!$A$5:$A$369,"&lt;="&amp;H$2,Daily_Composite!$B$5:$B$369,1),"")</f>
        <v>0.130434782608696</v>
      </c>
      <c r="J12" s="8" t="n">
        <f aca="false">IFERROR(COUNTIFS(Daily_Composite!$A$5:$A$369,"&gt;="&amp;H$3,Daily_Composite!$A$5:$A$369,"&lt;="&amp;H$2,Daily_Composite!$B$5:$B$369,1,Daily_Composite!$N$5:$N$369,"&lt;"&amp;-Settings!$C$4)/COUNTIFS(Daily_Composite!$A$5:$A$369,"&gt;="&amp;H$3,Daily_Composite!$A$5:$A$369,"&lt;="&amp;H$2,Daily_Composite!$B$5:$B$369,1),"")</f>
        <v>0.608695652173913</v>
      </c>
      <c r="K12" s="7" t="n">
        <f aca="false">IFERROR(AVERAGEIFS(Daily_Composite!$N$5:$N$369,Daily_Composite!$A$5:$A$369,"&gt;="&amp;K$3,Daily_Composite!$A$5:$A$369,"&lt;="&amp;K$2,Daily_Composite!$B$5:$B$369,1),"")</f>
        <v>-0.418714285714286</v>
      </c>
      <c r="L12" s="8" t="n">
        <f aca="false">IFERROR(COUNTIFS(Daily_Composite!$A$5:$A$369,"&gt;="&amp;K$3,Daily_Composite!$A$5:$A$369,"&lt;="&amp;K$2,Daily_Composite!$B$5:$B$369,1,Daily_Composite!$N$5:$N$369,"&gt;"&amp;Settings!$C$4)/COUNTIFS(Daily_Composite!$A$5:$A$369,"&gt;="&amp;K$3,Daily_Composite!$A$5:$A$369,"&lt;="&amp;K$2,Daily_Composite!$B$5:$B$369,1),"")</f>
        <v>0.0476190476190476</v>
      </c>
      <c r="M12" s="8" t="n">
        <f aca="false">IFERROR(COUNTIFS(Daily_Composite!$A$5:$A$369,"&gt;="&amp;K$3,Daily_Composite!$A$5:$A$369,"&lt;="&amp;K$2,Daily_Composite!$B$5:$B$369,1,Daily_Composite!$N$5:$N$369,"&lt;"&amp;-Settings!$C$4)/COUNTIFS(Daily_Composite!$A$5:$A$369,"&gt;="&amp;K$3,Daily_Composite!$A$5:$A$369,"&lt;="&amp;K$2,Daily_Composite!$B$5:$B$369,1),"")</f>
        <v>0.904761904761905</v>
      </c>
      <c r="N12" s="7" t="n">
        <f aca="false">IFERROR(AVERAGEIFS(Daily_Composite!$N$5:$N$369,Daily_Composite!$A$5:$A$369,"&gt;="&amp;N$3,Daily_Composite!$A$5:$A$369,"&lt;="&amp;N$2,Daily_Composite!$B$5:$B$369,1),"")</f>
        <v>-0.62515</v>
      </c>
      <c r="O12" s="8" t="n">
        <f aca="false">IFERROR(COUNTIFS(Daily_Composite!$A$5:$A$369,"&gt;="&amp;N$3,Daily_Composite!$A$5:$A$369,"&lt;="&amp;N$2,Daily_Composite!$B$5:$B$369,1,Daily_Composite!$N$5:$N$369,"&gt;"&amp;Settings!$C$4)/COUNTIFS(Daily_Composite!$A$5:$A$369,"&gt;="&amp;N$3,Daily_Composite!$A$5:$A$369,"&lt;="&amp;N$2,Daily_Composite!$B$5:$B$369,1),"")</f>
        <v>0</v>
      </c>
      <c r="P12" s="8" t="n">
        <f aca="false">IFERROR(COUNTIFS(Daily_Composite!$A$5:$A$369,"&gt;="&amp;N$3,Daily_Composite!$A$5:$A$369,"&lt;="&amp;N$2,Daily_Composite!$B$5:$B$369,1,Daily_Composite!$N$5:$N$369,"&lt;"&amp;-Settings!$C$4)/COUNTIFS(Daily_Composite!$A$5:$A$369,"&gt;="&amp;N$3,Daily_Composite!$A$5:$A$369,"&lt;="&amp;N$2,Daily_Composite!$B$5:$B$369,1),"")</f>
        <v>0.95</v>
      </c>
      <c r="Q12" s="7" t="n">
        <f aca="false">IFERROR(AVERAGEIFS(Daily_Composite!$N$5:$N$369,Daily_Composite!$A$5:$A$369,"&gt;="&amp;Q$3,Daily_Composite!$A$5:$A$369,"&lt;="&amp;Q$2,Daily_Composite!$B$5:$B$369,1),"")</f>
        <v>-0.326782608695652</v>
      </c>
      <c r="R12" s="8" t="n">
        <f aca="false">IFERROR(COUNTIFS(Daily_Composite!$A$5:$A$369,"&gt;="&amp;Q$3,Daily_Composite!$A$5:$A$369,"&lt;="&amp;Q$2,Daily_Composite!$B$5:$B$369,1,Daily_Composite!$N$5:$N$369,"&gt;"&amp;Settings!$C$4)/COUNTIFS(Daily_Composite!$A$5:$A$369,"&gt;="&amp;Q$3,Daily_Composite!$A$5:$A$369,"&lt;="&amp;Q$2,Daily_Composite!$B$5:$B$369,1),"")</f>
        <v>0.0869565217391304</v>
      </c>
      <c r="S12" s="8" t="n">
        <f aca="false">IFERROR(COUNTIFS(Daily_Composite!$A$5:$A$369,"&gt;="&amp;Q$3,Daily_Composite!$A$5:$A$369,"&lt;="&amp;Q$2,Daily_Composite!$B$5:$B$369,1,Daily_Composite!$N$5:$N$369,"&lt;"&amp;-Settings!$C$4)/COUNTIFS(Daily_Composite!$A$5:$A$369,"&gt;="&amp;Q$3,Daily_Composite!$A$5:$A$369,"&lt;="&amp;Q$2,Daily_Composite!$B$5:$B$369,1),"")</f>
        <v>0.826086956521739</v>
      </c>
      <c r="T12" s="7" t="n">
        <f aca="false">IFERROR(AVERAGEIFS(Daily_Composite!$N$5:$N$369,Daily_Composite!$A$5:$A$369,"&gt;="&amp;T$3,Daily_Composite!$A$5:$A$369,"&lt;="&amp;T$2,Daily_Composite!$B$5:$B$369,1),"")</f>
        <v>-0.301545454545455</v>
      </c>
      <c r="U12" s="8" t="n">
        <f aca="false">IFERROR(COUNTIFS(Daily_Composite!$A$5:$A$369,"&gt;="&amp;T$3,Daily_Composite!$A$5:$A$369,"&lt;="&amp;T$2,Daily_Composite!$B$5:$B$369,1,Daily_Composite!$N$5:$N$369,"&gt;"&amp;Settings!$C$4)/COUNTIFS(Daily_Composite!$A$5:$A$369,"&gt;="&amp;T$3,Daily_Composite!$A$5:$A$369,"&lt;="&amp;T$2,Daily_Composite!$B$5:$B$369,1),"")</f>
        <v>0</v>
      </c>
      <c r="V12" s="8" t="n">
        <f aca="false">IFERROR(COUNTIFS(Daily_Composite!$A$5:$A$369,"&gt;="&amp;T$3,Daily_Composite!$A$5:$A$369,"&lt;="&amp;T$2,Daily_Composite!$B$5:$B$369,1,Daily_Composite!$N$5:$N$369,"&lt;"&amp;-Settings!$C$4)/COUNTIFS(Daily_Composite!$A$5:$A$369,"&gt;="&amp;T$3,Daily_Composite!$A$5:$A$369,"&lt;="&amp;T$2,Daily_Composite!$B$5:$B$369,1),"")</f>
        <v>0.681818181818182</v>
      </c>
      <c r="W12" s="7" t="n">
        <f aca="false">IFERROR(AVERAGEIFS(Daily_Composite!$N$5:$N$369,Daily_Composite!$A$5:$A$369,"&gt;="&amp;W$3,Daily_Composite!$A$5:$A$369,"&lt;="&amp;W$2,Daily_Composite!$B$5:$B$369,1),"")</f>
        <v>-0.413428571428571</v>
      </c>
      <c r="X12" s="8" t="n">
        <f aca="false">IFERROR(COUNTIFS(Daily_Composite!$A$5:$A$369,"&gt;="&amp;W$3,Daily_Composite!$A$5:$A$369,"&lt;="&amp;W$2,Daily_Composite!$B$5:$B$369,1,Daily_Composite!$N$5:$N$369,"&gt;"&amp;Settings!$C$4)/COUNTIFS(Daily_Composite!$A$5:$A$369,"&gt;="&amp;W$3,Daily_Composite!$A$5:$A$369,"&lt;="&amp;W$2,Daily_Composite!$B$5:$B$369,1),"")</f>
        <v>0</v>
      </c>
      <c r="Y12" s="8" t="n">
        <f aca="false">IFERROR(COUNTIFS(Daily_Composite!$A$5:$A$369,"&gt;="&amp;W$3,Daily_Composite!$A$5:$A$369,"&lt;="&amp;W$2,Daily_Composite!$B$5:$B$369,1,Daily_Composite!$N$5:$N$369,"&lt;"&amp;-Settings!$C$4)/COUNTIFS(Daily_Composite!$A$5:$A$369,"&gt;="&amp;W$3,Daily_Composite!$A$5:$A$369,"&lt;="&amp;W$2,Daily_Composite!$B$5:$B$369,1),"")</f>
        <v>0.904761904761905</v>
      </c>
      <c r="Z12" s="7" t="n">
        <f aca="false">IFERROR(AVERAGEIFS(Daily_Composite!$N$5:$N$369,Daily_Composite!$A$5:$A$369,"&gt;="&amp;Z$3,Daily_Composite!$A$5:$A$369,"&lt;="&amp;Z$2,Daily_Composite!$B$5:$B$369,1),"")</f>
        <v>-0.442136363636364</v>
      </c>
      <c r="AA12" s="8" t="n">
        <f aca="false">IFERROR(COUNTIFS(Daily_Composite!$A$5:$A$369,"&gt;="&amp;Z$3,Daily_Composite!$A$5:$A$369,"&lt;="&amp;Z$2,Daily_Composite!$B$5:$B$369,1,Daily_Composite!$N$5:$N$369,"&gt;"&amp;Settings!$C$4)/COUNTIFS(Daily_Composite!$A$5:$A$369,"&gt;="&amp;Z$3,Daily_Composite!$A$5:$A$369,"&lt;="&amp;Z$2,Daily_Composite!$B$5:$B$369,1),"")</f>
        <v>0</v>
      </c>
      <c r="AB12" s="8" t="n">
        <f aca="false">IFERROR(COUNTIFS(Daily_Composite!$A$5:$A$369,"&gt;="&amp;Z$3,Daily_Composite!$A$5:$A$369,"&lt;="&amp;Z$2,Daily_Composite!$B$5:$B$369,1,Daily_Composite!$N$5:$N$369,"&lt;"&amp;-Settings!$C$4)/COUNTIFS(Daily_Composite!$A$5:$A$369,"&gt;="&amp;Z$3,Daily_Composite!$A$5:$A$369,"&lt;="&amp;Z$2,Daily_Composite!$B$5:$B$369,1),"")</f>
        <v>0.863636363636364</v>
      </c>
      <c r="AC12" s="7" t="n">
        <f aca="false">IFERROR(AVERAGEIFS(Daily_Composite!$N$5:$N$369,Daily_Composite!$A$5:$A$369,"&gt;="&amp;AC$3,Daily_Composite!$A$5:$A$369,"&lt;="&amp;AC$2,Daily_Composite!$B$5:$B$369,1),"")</f>
        <v>-0.501227272727273</v>
      </c>
      <c r="AD12" s="8" t="n">
        <f aca="false">IFERROR(COUNTIFS(Daily_Composite!$A$5:$A$369,"&gt;="&amp;AC$3,Daily_Composite!$A$5:$A$369,"&lt;="&amp;AC$2,Daily_Composite!$B$5:$B$369,1,Daily_Composite!$N$5:$N$369,"&gt;"&amp;Settings!$C$4)/COUNTIFS(Daily_Composite!$A$5:$A$369,"&gt;="&amp;AC$3,Daily_Composite!$A$5:$A$369,"&lt;="&amp;AC$2,Daily_Composite!$B$5:$B$369,1),"")</f>
        <v>0</v>
      </c>
      <c r="AE12" s="8" t="n">
        <f aca="false">IFERROR(COUNTIFS(Daily_Composite!$A$5:$A$369,"&gt;="&amp;AC$3,Daily_Composite!$A$5:$A$369,"&lt;="&amp;AC$2,Daily_Composite!$B$5:$B$369,1,Daily_Composite!$N$5:$N$369,"&lt;"&amp;-Settings!$C$4)/COUNTIFS(Daily_Composite!$A$5:$A$369,"&gt;="&amp;AC$3,Daily_Composite!$A$5:$A$369,"&lt;="&amp;AC$2,Daily_Composite!$B$5:$B$369,1),"")</f>
        <v>0.909090909090909</v>
      </c>
      <c r="AF12" s="7" t="n">
        <f aca="false">IFERROR(AVERAGEIFS(Daily_Composite!$N$5:$N$369,Daily_Composite!$A$5:$A$369,"&gt;="&amp;AF$3,Daily_Composite!$A$5:$A$369,"&lt;="&amp;AF$2,Daily_Composite!$B$5:$B$369,1),"")</f>
        <v>-0.405545454545455</v>
      </c>
      <c r="AG12" s="8" t="n">
        <f aca="false">IFERROR(COUNTIFS(Daily_Composite!$A$5:$A$369,"&gt;="&amp;AF$3,Daily_Composite!$A$5:$A$369,"&lt;="&amp;AF$2,Daily_Composite!$B$5:$B$369,1,Daily_Composite!$N$5:$N$369,"&gt;"&amp;Settings!$C$4)/COUNTIFS(Daily_Composite!$A$5:$A$369,"&gt;="&amp;AF$3,Daily_Composite!$A$5:$A$369,"&lt;="&amp;AF$2,Daily_Composite!$B$5:$B$369,1),"")</f>
        <v>0</v>
      </c>
      <c r="AH12" s="8" t="n">
        <f aca="false">IFERROR(COUNTIFS(Daily_Composite!$A$5:$A$369,"&gt;="&amp;AF$3,Daily_Composite!$A$5:$A$369,"&lt;="&amp;AF$2,Daily_Composite!$B$5:$B$369,1,Daily_Composite!$N$5:$N$369,"&lt;"&amp;-Settings!$C$4)/COUNTIFS(Daily_Composite!$A$5:$A$369,"&gt;="&amp;AF$3,Daily_Composite!$A$5:$A$369,"&lt;="&amp;AF$2,Daily_Composite!$B$5:$B$369,1),"")</f>
        <v>0.909090909090909</v>
      </c>
      <c r="AI12" s="7" t="n">
        <f aca="false">IFERROR(AVERAGEIFS(Daily_Composite!$N$5:$N$369,Daily_Composite!$A$5:$A$369,"&gt;="&amp;AI$3,Daily_Composite!$A$5:$A$369,"&lt;="&amp;AI$2,Daily_Composite!$B$5:$B$369,1),"")</f>
        <v>-0.189772727272727</v>
      </c>
      <c r="AJ12" s="8" t="n">
        <f aca="false">IFERROR(COUNTIFS(Daily_Composite!$A$5:$A$369,"&gt;="&amp;AI$3,Daily_Composite!$A$5:$A$369,"&lt;="&amp;AI$2,Daily_Composite!$B$5:$B$369,1,Daily_Composite!$N$5:$N$369,"&gt;"&amp;Settings!$C$4)/COUNTIFS(Daily_Composite!$A$5:$A$369,"&gt;="&amp;AI$3,Daily_Composite!$A$5:$A$369,"&lt;="&amp;AI$2,Daily_Composite!$B$5:$B$369,1),"")</f>
        <v>0.0454545454545455</v>
      </c>
      <c r="AK12" s="8" t="n">
        <f aca="false">IFERROR(COUNTIFS(Daily_Composite!$A$5:$A$369,"&gt;="&amp;AI$3,Daily_Composite!$A$5:$A$369,"&lt;="&amp;AI$2,Daily_Composite!$B$5:$B$369,1,Daily_Composite!$N$5:$N$369,"&lt;"&amp;-Settings!$C$4)/COUNTIFS(Daily_Composite!$A$5:$A$369,"&gt;="&amp;AI$3,Daily_Composite!$A$5:$A$369,"&lt;="&amp;AI$2,Daily_Composite!$B$5:$B$369,1),"")</f>
        <v>0.5</v>
      </c>
      <c r="AL12" s="7" t="n">
        <f aca="false">IFERROR(AVERAGEIFS(Daily_Composite!$N$5:$N$369,Daily_Composite!$A$5:$A$369,"&gt;="&amp;AL$3,Daily_Composite!$A$5:$A$369,"&lt;="&amp;AL$2,Daily_Composite!$B$5:$B$369,1),"")</f>
        <v>0.000333333333333334</v>
      </c>
      <c r="AM12" s="8" t="n">
        <f aca="false">IFERROR(COUNTIFS(Daily_Composite!$A$5:$A$369,"&gt;="&amp;AL$3,Daily_Composite!$A$5:$A$369,"&lt;="&amp;AL$2,Daily_Composite!$B$5:$B$369,1,Daily_Composite!$N$5:$N$369,"&gt;"&amp;Settings!$C$4)/COUNTIFS(Daily_Composite!$A$5:$A$369,"&gt;="&amp;AL$3,Daily_Composite!$A$5:$A$369,"&lt;="&amp;AL$2,Daily_Composite!$B$5:$B$369,1),"")</f>
        <v>0.333333333333333</v>
      </c>
      <c r="AN12" s="8" t="n">
        <f aca="false">IFERROR(COUNTIFS(Daily_Composite!$A$5:$A$369,"&gt;="&amp;AL$3,Daily_Composite!$A$5:$A$369,"&lt;="&amp;AL$2,Daily_Composite!$B$5:$B$369,1,Daily_Composite!$N$5:$N$369,"&lt;"&amp;-Settings!$C$4)/COUNTIFS(Daily_Composite!$A$5:$A$369,"&gt;="&amp;AL$3,Daily_Composite!$A$5:$A$369,"&lt;="&amp;AL$2,Daily_Composite!$B$5:$B$369,1),"")</f>
        <v>0.277777777777778</v>
      </c>
    </row>
    <row r="13" customFormat="false" ht="15" hidden="false" customHeight="false" outlineLevel="0" collapsed="false">
      <c r="A13" s="6" t="s">
        <v>26</v>
      </c>
      <c r="B13" s="7" t="n">
        <f aca="false">IFERROR(AVERAGEIFS(Daily_Composite!$O$5:$O$369,Daily_Composite!$A$5:$A$369,"&gt;="&amp;B$3,Daily_Composite!$A$5:$A$369,"&lt;="&amp;B$2,Daily_Composite!$B$5:$B$369,1),"")</f>
        <v>0.0305</v>
      </c>
      <c r="C13" s="8" t="n">
        <f aca="false">IFERROR(COUNTIFS(Daily_Composite!$A$5:$A$369,"&gt;="&amp;B$3,Daily_Composite!$A$5:$A$369,"&lt;="&amp;B$2,Daily_Composite!$B$5:$B$369,1,Daily_Composite!$O$5:$O$369,"&gt;"&amp;Settings!$C$4)/COUNTIFS(Daily_Composite!$A$5:$A$369,"&gt;="&amp;B$3,Daily_Composite!$A$5:$A$369,"&lt;="&amp;B$2,Daily_Composite!$B$5:$B$369,1),"")</f>
        <v>0</v>
      </c>
      <c r="D13" s="8" t="n">
        <f aca="false">IFERROR(COUNTIFS(Daily_Composite!$A$5:$A$369,"&gt;="&amp;B$3,Daily_Composite!$A$5:$A$369,"&lt;="&amp;B$2,Daily_Composite!$B$5:$B$369,1,Daily_Composite!$O$5:$O$369,"&lt;"&amp;-Settings!$C$4)/COUNTIFS(Daily_Composite!$A$5:$A$369,"&gt;="&amp;B$3,Daily_Composite!$A$5:$A$369,"&lt;="&amp;B$2,Daily_Composite!$B$5:$B$369,1),"")</f>
        <v>0</v>
      </c>
      <c r="E13" s="7" t="n">
        <f aca="false">IFERROR(AVERAGEIFS(Daily_Composite!$O$5:$O$369,Daily_Composite!$A$5:$A$369,"&gt;="&amp;E$3,Daily_Composite!$A$5:$A$369,"&lt;="&amp;E$2,Daily_Composite!$B$5:$B$369,1),"")</f>
        <v>-0.13952380952381</v>
      </c>
      <c r="F13" s="8" t="n">
        <f aca="false">IFERROR(COUNTIFS(Daily_Composite!$A$5:$A$369,"&gt;="&amp;E$3,Daily_Composite!$A$5:$A$369,"&lt;="&amp;E$2,Daily_Composite!$B$5:$B$369,1,Daily_Composite!$O$5:$O$369,"&gt;"&amp;Settings!$C$4)/COUNTIFS(Daily_Composite!$A$5:$A$369,"&gt;="&amp;E$3,Daily_Composite!$A$5:$A$369,"&lt;="&amp;E$2,Daily_Composite!$B$5:$B$369,1),"")</f>
        <v>0.0476190476190476</v>
      </c>
      <c r="G13" s="8" t="n">
        <f aca="false">IFERROR(COUNTIFS(Daily_Composite!$A$5:$A$369,"&gt;="&amp;E$3,Daily_Composite!$A$5:$A$369,"&lt;="&amp;E$2,Daily_Composite!$B$5:$B$369,1,Daily_Composite!$O$5:$O$369,"&lt;"&amp;-Settings!$C$4)/COUNTIFS(Daily_Composite!$A$5:$A$369,"&gt;="&amp;E$3,Daily_Composite!$A$5:$A$369,"&lt;="&amp;E$2,Daily_Composite!$B$5:$B$369,1),"")</f>
        <v>0.333333333333333</v>
      </c>
      <c r="H13" s="7" t="n">
        <f aca="false">IFERROR(AVERAGEIFS(Daily_Composite!$O$5:$O$369,Daily_Composite!$A$5:$A$369,"&gt;="&amp;H$3,Daily_Composite!$A$5:$A$369,"&lt;="&amp;H$2,Daily_Composite!$B$5:$B$369,1),"")</f>
        <v>0.0458695652173913</v>
      </c>
      <c r="I13" s="8" t="n">
        <f aca="false">IFERROR(COUNTIFS(Daily_Composite!$A$5:$A$369,"&gt;="&amp;H$3,Daily_Composite!$A$5:$A$369,"&lt;="&amp;H$2,Daily_Composite!$B$5:$B$369,1,Daily_Composite!$O$5:$O$369,"&gt;"&amp;Settings!$C$4)/COUNTIFS(Daily_Composite!$A$5:$A$369,"&gt;="&amp;H$3,Daily_Composite!$A$5:$A$369,"&lt;="&amp;H$2,Daily_Composite!$B$5:$B$369,1),"")</f>
        <v>0.260869565217391</v>
      </c>
      <c r="J13" s="8" t="n">
        <f aca="false">IFERROR(COUNTIFS(Daily_Composite!$A$5:$A$369,"&gt;="&amp;H$3,Daily_Composite!$A$5:$A$369,"&lt;="&amp;H$2,Daily_Composite!$B$5:$B$369,1,Daily_Composite!$O$5:$O$369,"&lt;"&amp;-Settings!$C$4)/COUNTIFS(Daily_Composite!$A$5:$A$369,"&gt;="&amp;H$3,Daily_Composite!$A$5:$A$369,"&lt;="&amp;H$2,Daily_Composite!$B$5:$B$369,1),"")</f>
        <v>0.130434782608696</v>
      </c>
      <c r="K13" s="7" t="n">
        <f aca="false">IFERROR(AVERAGEIFS(Daily_Composite!$O$5:$O$369,Daily_Composite!$A$5:$A$369,"&gt;="&amp;K$3,Daily_Composite!$A$5:$A$369,"&lt;="&amp;K$2,Daily_Composite!$B$5:$B$369,1),"")</f>
        <v>-0.124095238095238</v>
      </c>
      <c r="L13" s="8" t="n">
        <f aca="false">IFERROR(COUNTIFS(Daily_Composite!$A$5:$A$369,"&gt;="&amp;K$3,Daily_Composite!$A$5:$A$369,"&lt;="&amp;K$2,Daily_Composite!$B$5:$B$369,1,Daily_Composite!$O$5:$O$369,"&gt;"&amp;Settings!$C$4)/COUNTIFS(Daily_Composite!$A$5:$A$369,"&gt;="&amp;K$3,Daily_Composite!$A$5:$A$369,"&lt;="&amp;K$2,Daily_Composite!$B$5:$B$369,1),"")</f>
        <v>0.238095238095238</v>
      </c>
      <c r="M13" s="8" t="n">
        <f aca="false">IFERROR(COUNTIFS(Daily_Composite!$A$5:$A$369,"&gt;="&amp;K$3,Daily_Composite!$A$5:$A$369,"&lt;="&amp;K$2,Daily_Composite!$B$5:$B$369,1,Daily_Composite!$O$5:$O$369,"&lt;"&amp;-Settings!$C$4)/COUNTIFS(Daily_Composite!$A$5:$A$369,"&gt;="&amp;K$3,Daily_Composite!$A$5:$A$369,"&lt;="&amp;K$2,Daily_Composite!$B$5:$B$369,1),"")</f>
        <v>0.476190476190476</v>
      </c>
      <c r="N13" s="7" t="n">
        <f aca="false">IFERROR(AVERAGEIFS(Daily_Composite!$O$5:$O$369,Daily_Composite!$A$5:$A$369,"&gt;="&amp;N$3,Daily_Composite!$A$5:$A$369,"&lt;="&amp;N$2,Daily_Composite!$B$5:$B$369,1),"")</f>
        <v>-0.3131</v>
      </c>
      <c r="O13" s="8" t="n">
        <f aca="false">IFERROR(COUNTIFS(Daily_Composite!$A$5:$A$369,"&gt;="&amp;N$3,Daily_Composite!$A$5:$A$369,"&lt;="&amp;N$2,Daily_Composite!$B$5:$B$369,1,Daily_Composite!$O$5:$O$369,"&gt;"&amp;Settings!$C$4)/COUNTIFS(Daily_Composite!$A$5:$A$369,"&gt;="&amp;N$3,Daily_Composite!$A$5:$A$369,"&lt;="&amp;N$2,Daily_Composite!$B$5:$B$369,1),"")</f>
        <v>0</v>
      </c>
      <c r="P13" s="8" t="n">
        <f aca="false">IFERROR(COUNTIFS(Daily_Composite!$A$5:$A$369,"&gt;="&amp;N$3,Daily_Composite!$A$5:$A$369,"&lt;="&amp;N$2,Daily_Composite!$B$5:$B$369,1,Daily_Composite!$O$5:$O$369,"&lt;"&amp;-Settings!$C$4)/COUNTIFS(Daily_Composite!$A$5:$A$369,"&gt;="&amp;N$3,Daily_Composite!$A$5:$A$369,"&lt;="&amp;N$2,Daily_Composite!$B$5:$B$369,1),"")</f>
        <v>0.85</v>
      </c>
      <c r="Q13" s="7" t="n">
        <f aca="false">IFERROR(AVERAGEIFS(Daily_Composite!$O$5:$O$369,Daily_Composite!$A$5:$A$369,"&gt;="&amp;Q$3,Daily_Composite!$A$5:$A$369,"&lt;="&amp;Q$2,Daily_Composite!$B$5:$B$369,1),"")</f>
        <v>-0.280913043478261</v>
      </c>
      <c r="R13" s="8" t="n">
        <f aca="false">IFERROR(COUNTIFS(Daily_Composite!$A$5:$A$369,"&gt;="&amp;Q$3,Daily_Composite!$A$5:$A$369,"&lt;="&amp;Q$2,Daily_Composite!$B$5:$B$369,1,Daily_Composite!$O$5:$O$369,"&gt;"&amp;Settings!$C$4)/COUNTIFS(Daily_Composite!$A$5:$A$369,"&gt;="&amp;Q$3,Daily_Composite!$A$5:$A$369,"&lt;="&amp;Q$2,Daily_Composite!$B$5:$B$369,1),"")</f>
        <v>0.0434782608695652</v>
      </c>
      <c r="S13" s="8" t="n">
        <f aca="false">IFERROR(COUNTIFS(Daily_Composite!$A$5:$A$369,"&gt;="&amp;Q$3,Daily_Composite!$A$5:$A$369,"&lt;="&amp;Q$2,Daily_Composite!$B$5:$B$369,1,Daily_Composite!$O$5:$O$369,"&lt;"&amp;-Settings!$C$4)/COUNTIFS(Daily_Composite!$A$5:$A$369,"&gt;="&amp;Q$3,Daily_Composite!$A$5:$A$369,"&lt;="&amp;Q$2,Daily_Composite!$B$5:$B$369,1),"")</f>
        <v>0.695652173913044</v>
      </c>
      <c r="T13" s="7" t="n">
        <f aca="false">IFERROR(AVERAGEIFS(Daily_Composite!$O$5:$O$369,Daily_Composite!$A$5:$A$369,"&gt;="&amp;T$3,Daily_Composite!$A$5:$A$369,"&lt;="&amp;T$2,Daily_Composite!$B$5:$B$369,1),"")</f>
        <v>-0.0465909090909091</v>
      </c>
      <c r="U13" s="8" t="n">
        <f aca="false">IFERROR(COUNTIFS(Daily_Composite!$A$5:$A$369,"&gt;="&amp;T$3,Daily_Composite!$A$5:$A$369,"&lt;="&amp;T$2,Daily_Composite!$B$5:$B$369,1,Daily_Composite!$O$5:$O$369,"&gt;"&amp;Settings!$C$4)/COUNTIFS(Daily_Composite!$A$5:$A$369,"&gt;="&amp;T$3,Daily_Composite!$A$5:$A$369,"&lt;="&amp;T$2,Daily_Composite!$B$5:$B$369,1),"")</f>
        <v>0.181818181818182</v>
      </c>
      <c r="V13" s="8" t="n">
        <f aca="false">IFERROR(COUNTIFS(Daily_Composite!$A$5:$A$369,"&gt;="&amp;T$3,Daily_Composite!$A$5:$A$369,"&lt;="&amp;T$2,Daily_Composite!$B$5:$B$369,1,Daily_Composite!$O$5:$O$369,"&lt;"&amp;-Settings!$C$4)/COUNTIFS(Daily_Composite!$A$5:$A$369,"&gt;="&amp;T$3,Daily_Composite!$A$5:$A$369,"&lt;="&amp;T$2,Daily_Composite!$B$5:$B$369,1),"")</f>
        <v>0.363636363636364</v>
      </c>
      <c r="W13" s="7" t="n">
        <f aca="false">IFERROR(AVERAGEIFS(Daily_Composite!$O$5:$O$369,Daily_Composite!$A$5:$A$369,"&gt;="&amp;W$3,Daily_Composite!$A$5:$A$369,"&lt;="&amp;W$2,Daily_Composite!$B$5:$B$369,1),"")</f>
        <v>-0.279952380952381</v>
      </c>
      <c r="X13" s="8" t="n">
        <f aca="false">IFERROR(COUNTIFS(Daily_Composite!$A$5:$A$369,"&gt;="&amp;W$3,Daily_Composite!$A$5:$A$369,"&lt;="&amp;W$2,Daily_Composite!$B$5:$B$369,1,Daily_Composite!$O$5:$O$369,"&gt;"&amp;Settings!$C$4)/COUNTIFS(Daily_Composite!$A$5:$A$369,"&gt;="&amp;W$3,Daily_Composite!$A$5:$A$369,"&lt;="&amp;W$2,Daily_Composite!$B$5:$B$369,1),"")</f>
        <v>0</v>
      </c>
      <c r="Y13" s="8" t="n">
        <f aca="false">IFERROR(COUNTIFS(Daily_Composite!$A$5:$A$369,"&gt;="&amp;W$3,Daily_Composite!$A$5:$A$369,"&lt;="&amp;W$2,Daily_Composite!$B$5:$B$369,1,Daily_Composite!$O$5:$O$369,"&lt;"&amp;-Settings!$C$4)/COUNTIFS(Daily_Composite!$A$5:$A$369,"&gt;="&amp;W$3,Daily_Composite!$A$5:$A$369,"&lt;="&amp;W$2,Daily_Composite!$B$5:$B$369,1),"")</f>
        <v>0.904761904761905</v>
      </c>
      <c r="Z13" s="7" t="n">
        <f aca="false">IFERROR(AVERAGEIFS(Daily_Composite!$O$5:$O$369,Daily_Composite!$A$5:$A$369,"&gt;="&amp;Z$3,Daily_Composite!$A$5:$A$369,"&lt;="&amp;Z$2,Daily_Composite!$B$5:$B$369,1),"")</f>
        <v>-0.183045454545455</v>
      </c>
      <c r="AA13" s="8" t="n">
        <f aca="false">IFERROR(COUNTIFS(Daily_Composite!$A$5:$A$369,"&gt;="&amp;Z$3,Daily_Composite!$A$5:$A$369,"&lt;="&amp;Z$2,Daily_Composite!$B$5:$B$369,1,Daily_Composite!$O$5:$O$369,"&gt;"&amp;Settings!$C$4)/COUNTIFS(Daily_Composite!$A$5:$A$369,"&gt;="&amp;Z$3,Daily_Composite!$A$5:$A$369,"&lt;="&amp;Z$2,Daily_Composite!$B$5:$B$369,1),"")</f>
        <v>0.0454545454545455</v>
      </c>
      <c r="AB13" s="8" t="n">
        <f aca="false">IFERROR(COUNTIFS(Daily_Composite!$A$5:$A$369,"&gt;="&amp;Z$3,Daily_Composite!$A$5:$A$369,"&lt;="&amp;Z$2,Daily_Composite!$B$5:$B$369,1,Daily_Composite!$O$5:$O$369,"&lt;"&amp;-Settings!$C$4)/COUNTIFS(Daily_Composite!$A$5:$A$369,"&gt;="&amp;Z$3,Daily_Composite!$A$5:$A$369,"&lt;="&amp;Z$2,Daily_Composite!$B$5:$B$369,1),"")</f>
        <v>0.636363636363636</v>
      </c>
      <c r="AC13" s="7" t="n">
        <f aca="false">IFERROR(AVERAGEIFS(Daily_Composite!$O$5:$O$369,Daily_Composite!$A$5:$A$369,"&gt;="&amp;AC$3,Daily_Composite!$A$5:$A$369,"&lt;="&amp;AC$2,Daily_Composite!$B$5:$B$369,1),"")</f>
        <v>-0.0743636363636364</v>
      </c>
      <c r="AD13" s="8" t="n">
        <f aca="false">IFERROR(COUNTIFS(Daily_Composite!$A$5:$A$369,"&gt;="&amp;AC$3,Daily_Composite!$A$5:$A$369,"&lt;="&amp;AC$2,Daily_Composite!$B$5:$B$369,1,Daily_Composite!$O$5:$O$369,"&gt;"&amp;Settings!$C$4)/COUNTIFS(Daily_Composite!$A$5:$A$369,"&gt;="&amp;AC$3,Daily_Composite!$A$5:$A$369,"&lt;="&amp;AC$2,Daily_Composite!$B$5:$B$369,1),"")</f>
        <v>0.0909090909090909</v>
      </c>
      <c r="AE13" s="8" t="n">
        <f aca="false">IFERROR(COUNTIFS(Daily_Composite!$A$5:$A$369,"&gt;="&amp;AC$3,Daily_Composite!$A$5:$A$369,"&lt;="&amp;AC$2,Daily_Composite!$B$5:$B$369,1,Daily_Composite!$O$5:$O$369,"&lt;"&amp;-Settings!$C$4)/COUNTIFS(Daily_Composite!$A$5:$A$369,"&gt;="&amp;AC$3,Daily_Composite!$A$5:$A$369,"&lt;="&amp;AC$2,Daily_Composite!$B$5:$B$369,1),"")</f>
        <v>0.181818181818182</v>
      </c>
      <c r="AF13" s="7" t="n">
        <f aca="false">IFERROR(AVERAGEIFS(Daily_Composite!$O$5:$O$369,Daily_Composite!$A$5:$A$369,"&gt;="&amp;AF$3,Daily_Composite!$A$5:$A$369,"&lt;="&amp;AF$2,Daily_Composite!$B$5:$B$369,1),"")</f>
        <v>-0.1215</v>
      </c>
      <c r="AG13" s="8" t="n">
        <f aca="false">IFERROR(COUNTIFS(Daily_Composite!$A$5:$A$369,"&gt;="&amp;AF$3,Daily_Composite!$A$5:$A$369,"&lt;="&amp;AF$2,Daily_Composite!$B$5:$B$369,1,Daily_Composite!$O$5:$O$369,"&gt;"&amp;Settings!$C$4)/COUNTIFS(Daily_Composite!$A$5:$A$369,"&gt;="&amp;AF$3,Daily_Composite!$A$5:$A$369,"&lt;="&amp;AF$2,Daily_Composite!$B$5:$B$369,1),"")</f>
        <v>0.0454545454545455</v>
      </c>
      <c r="AH13" s="8" t="n">
        <f aca="false">IFERROR(COUNTIFS(Daily_Composite!$A$5:$A$369,"&gt;="&amp;AF$3,Daily_Composite!$A$5:$A$369,"&lt;="&amp;AF$2,Daily_Composite!$B$5:$B$369,1,Daily_Composite!$O$5:$O$369,"&lt;"&amp;-Settings!$C$4)/COUNTIFS(Daily_Composite!$A$5:$A$369,"&gt;="&amp;AF$3,Daily_Composite!$A$5:$A$369,"&lt;="&amp;AF$2,Daily_Composite!$B$5:$B$369,1),"")</f>
        <v>0.409090909090909</v>
      </c>
      <c r="AI13" s="7" t="n">
        <f aca="false">IFERROR(AVERAGEIFS(Daily_Composite!$O$5:$O$369,Daily_Composite!$A$5:$A$369,"&gt;="&amp;AI$3,Daily_Composite!$A$5:$A$369,"&lt;="&amp;AI$2,Daily_Composite!$B$5:$B$369,1),"")</f>
        <v>-0.0119090909090909</v>
      </c>
      <c r="AJ13" s="8" t="n">
        <f aca="false">IFERROR(COUNTIFS(Daily_Composite!$A$5:$A$369,"&gt;="&amp;AI$3,Daily_Composite!$A$5:$A$369,"&lt;="&amp;AI$2,Daily_Composite!$B$5:$B$369,1,Daily_Composite!$O$5:$O$369,"&gt;"&amp;Settings!$C$4)/COUNTIFS(Daily_Composite!$A$5:$A$369,"&gt;="&amp;AI$3,Daily_Composite!$A$5:$A$369,"&lt;="&amp;AI$2,Daily_Composite!$B$5:$B$369,1),"")</f>
        <v>0.136363636363636</v>
      </c>
      <c r="AK13" s="8" t="n">
        <f aca="false">IFERROR(COUNTIFS(Daily_Composite!$A$5:$A$369,"&gt;="&amp;AI$3,Daily_Composite!$A$5:$A$369,"&lt;="&amp;AI$2,Daily_Composite!$B$5:$B$369,1,Daily_Composite!$O$5:$O$369,"&lt;"&amp;-Settings!$C$4)/COUNTIFS(Daily_Composite!$A$5:$A$369,"&gt;="&amp;AI$3,Daily_Composite!$A$5:$A$369,"&lt;="&amp;AI$2,Daily_Composite!$B$5:$B$369,1),"")</f>
        <v>0.181818181818182</v>
      </c>
      <c r="AL13" s="7" t="n">
        <f aca="false">IFERROR(AVERAGEIFS(Daily_Composite!$O$5:$O$369,Daily_Composite!$A$5:$A$369,"&gt;="&amp;AL$3,Daily_Composite!$A$5:$A$369,"&lt;="&amp;AL$2,Daily_Composite!$B$5:$B$369,1),"")</f>
        <v>0.108555555555556</v>
      </c>
      <c r="AM13" s="8" t="n">
        <f aca="false">IFERROR(COUNTIFS(Daily_Composite!$A$5:$A$369,"&gt;="&amp;AL$3,Daily_Composite!$A$5:$A$369,"&lt;="&amp;AL$2,Daily_Composite!$B$5:$B$369,1,Daily_Composite!$O$5:$O$369,"&gt;"&amp;Settings!$C$4)/COUNTIFS(Daily_Composite!$A$5:$A$369,"&gt;="&amp;AL$3,Daily_Composite!$A$5:$A$369,"&lt;="&amp;AL$2,Daily_Composite!$B$5:$B$369,1),"")</f>
        <v>0.277777777777778</v>
      </c>
      <c r="AN13" s="8" t="n">
        <f aca="false">IFERROR(COUNTIFS(Daily_Composite!$A$5:$A$369,"&gt;="&amp;AL$3,Daily_Composite!$A$5:$A$369,"&lt;="&amp;AL$2,Daily_Composite!$B$5:$B$369,1,Daily_Composite!$O$5:$O$369,"&lt;"&amp;-Settings!$C$4)/COUNTIFS(Daily_Composite!$A$5:$A$369,"&gt;="&amp;AL$3,Daily_Composite!$A$5:$A$369,"&lt;="&amp;AL$2,Daily_Composite!$B$5:$B$369,1),"")</f>
        <v>0</v>
      </c>
    </row>
    <row r="14" customFormat="false" ht="15" hidden="false" customHeight="false" outlineLevel="0" collapsed="false">
      <c r="A14" s="6" t="s">
        <v>27</v>
      </c>
      <c r="B14" s="7" t="n">
        <f aca="false">IFERROR(AVERAGEIFS(Daily_Composite!$P$5:$P$369,Daily_Composite!$A$5:$A$369,"&gt;="&amp;B$3,Daily_Composite!$A$5:$A$369,"&lt;="&amp;B$2,Daily_Composite!$B$5:$B$369,1),"")</f>
        <v>-0.06025</v>
      </c>
      <c r="C14" s="8" t="n">
        <f aca="false">IFERROR(COUNTIFS(Daily_Composite!$A$5:$A$369,"&gt;="&amp;B$3,Daily_Composite!$A$5:$A$369,"&lt;="&amp;B$2,Daily_Composite!$B$5:$B$369,1,Daily_Composite!$P$5:$P$369,"&gt;"&amp;Settings!$C$4)/COUNTIFS(Daily_Composite!$A$5:$A$369,"&gt;="&amp;B$3,Daily_Composite!$A$5:$A$369,"&lt;="&amp;B$2,Daily_Composite!$B$5:$B$369,1),"")</f>
        <v>0.25</v>
      </c>
      <c r="D14" s="8" t="n">
        <f aca="false">IFERROR(COUNTIFS(Daily_Composite!$A$5:$A$369,"&gt;="&amp;B$3,Daily_Composite!$A$5:$A$369,"&lt;="&amp;B$2,Daily_Composite!$B$5:$B$369,1,Daily_Composite!$P$5:$P$369,"&lt;"&amp;-Settings!$C$4)/COUNTIFS(Daily_Composite!$A$5:$A$369,"&gt;="&amp;B$3,Daily_Composite!$A$5:$A$369,"&lt;="&amp;B$2,Daily_Composite!$B$5:$B$369,1),"")</f>
        <v>0.25</v>
      </c>
      <c r="E14" s="7" t="n">
        <f aca="false">IFERROR(AVERAGEIFS(Daily_Composite!$P$5:$P$369,Daily_Composite!$A$5:$A$369,"&gt;="&amp;E$3,Daily_Composite!$A$5:$A$369,"&lt;="&amp;E$2,Daily_Composite!$B$5:$B$369,1),"")</f>
        <v>0.0490952380952381</v>
      </c>
      <c r="F14" s="8" t="n">
        <f aca="false">IFERROR(COUNTIFS(Daily_Composite!$A$5:$A$369,"&gt;="&amp;E$3,Daily_Composite!$A$5:$A$369,"&lt;="&amp;E$2,Daily_Composite!$B$5:$B$369,1,Daily_Composite!$P$5:$P$369,"&gt;"&amp;Settings!$C$4)/COUNTIFS(Daily_Composite!$A$5:$A$369,"&gt;="&amp;E$3,Daily_Composite!$A$5:$A$369,"&lt;="&amp;E$2,Daily_Composite!$B$5:$B$369,1),"")</f>
        <v>0.238095238095238</v>
      </c>
      <c r="G14" s="8" t="n">
        <f aca="false">IFERROR(COUNTIFS(Daily_Composite!$A$5:$A$369,"&gt;="&amp;E$3,Daily_Composite!$A$5:$A$369,"&lt;="&amp;E$2,Daily_Composite!$B$5:$B$369,1,Daily_Composite!$P$5:$P$369,"&lt;"&amp;-Settings!$C$4)/COUNTIFS(Daily_Composite!$A$5:$A$369,"&gt;="&amp;E$3,Daily_Composite!$A$5:$A$369,"&lt;="&amp;E$2,Daily_Composite!$B$5:$B$369,1),"")</f>
        <v>0.0952380952380952</v>
      </c>
      <c r="H14" s="7" t="n">
        <f aca="false">IFERROR(AVERAGEIFS(Daily_Composite!$P$5:$P$369,Daily_Composite!$A$5:$A$369,"&gt;="&amp;H$3,Daily_Composite!$A$5:$A$369,"&lt;="&amp;H$2,Daily_Composite!$B$5:$B$369,1),"")</f>
        <v>-0.033</v>
      </c>
      <c r="I14" s="8" t="n">
        <f aca="false">IFERROR(COUNTIFS(Daily_Composite!$A$5:$A$369,"&gt;="&amp;H$3,Daily_Composite!$A$5:$A$369,"&lt;="&amp;H$2,Daily_Composite!$B$5:$B$369,1,Daily_Composite!$P$5:$P$369,"&gt;"&amp;Settings!$C$4)/COUNTIFS(Daily_Composite!$A$5:$A$369,"&gt;="&amp;H$3,Daily_Composite!$A$5:$A$369,"&lt;="&amp;H$2,Daily_Composite!$B$5:$B$369,1),"")</f>
        <v>0.0869565217391304</v>
      </c>
      <c r="J14" s="8" t="n">
        <f aca="false">IFERROR(COUNTIFS(Daily_Composite!$A$5:$A$369,"&gt;="&amp;H$3,Daily_Composite!$A$5:$A$369,"&lt;="&amp;H$2,Daily_Composite!$B$5:$B$369,1,Daily_Composite!$P$5:$P$369,"&lt;"&amp;-Settings!$C$4)/COUNTIFS(Daily_Composite!$A$5:$A$369,"&gt;="&amp;H$3,Daily_Composite!$A$5:$A$369,"&lt;="&amp;H$2,Daily_Composite!$B$5:$B$369,1),"")</f>
        <v>0.391304347826087</v>
      </c>
      <c r="K14" s="7" t="n">
        <f aca="false">IFERROR(AVERAGEIFS(Daily_Composite!$P$5:$P$369,Daily_Composite!$A$5:$A$369,"&gt;="&amp;K$3,Daily_Composite!$A$5:$A$369,"&lt;="&amp;K$2,Daily_Composite!$B$5:$B$369,1),"")</f>
        <v>0.0801428571428571</v>
      </c>
      <c r="L14" s="8" t="n">
        <f aca="false">IFERROR(COUNTIFS(Daily_Composite!$A$5:$A$369,"&gt;="&amp;K$3,Daily_Composite!$A$5:$A$369,"&lt;="&amp;K$2,Daily_Composite!$B$5:$B$369,1,Daily_Composite!$P$5:$P$369,"&gt;"&amp;Settings!$C$4)/COUNTIFS(Daily_Composite!$A$5:$A$369,"&gt;="&amp;K$3,Daily_Composite!$A$5:$A$369,"&lt;="&amp;K$2,Daily_Composite!$B$5:$B$369,1),"")</f>
        <v>0.285714285714286</v>
      </c>
      <c r="M14" s="8" t="n">
        <f aca="false">IFERROR(COUNTIFS(Daily_Composite!$A$5:$A$369,"&gt;="&amp;K$3,Daily_Composite!$A$5:$A$369,"&lt;="&amp;K$2,Daily_Composite!$B$5:$B$369,1,Daily_Composite!$P$5:$P$369,"&lt;"&amp;-Settings!$C$4)/COUNTIFS(Daily_Composite!$A$5:$A$369,"&gt;="&amp;K$3,Daily_Composite!$A$5:$A$369,"&lt;="&amp;K$2,Daily_Composite!$B$5:$B$369,1),"")</f>
        <v>0.333333333333333</v>
      </c>
      <c r="N14" s="7" t="n">
        <f aca="false">IFERROR(AVERAGEIFS(Daily_Composite!$P$5:$P$369,Daily_Composite!$A$5:$A$369,"&gt;="&amp;N$3,Daily_Composite!$A$5:$A$369,"&lt;="&amp;N$2,Daily_Composite!$B$5:$B$369,1),"")</f>
        <v>-0.104</v>
      </c>
      <c r="O14" s="8" t="n">
        <f aca="false">IFERROR(COUNTIFS(Daily_Composite!$A$5:$A$369,"&gt;="&amp;N$3,Daily_Composite!$A$5:$A$369,"&lt;="&amp;N$2,Daily_Composite!$B$5:$B$369,1,Daily_Composite!$P$5:$P$369,"&gt;"&amp;Settings!$C$4)/COUNTIFS(Daily_Composite!$A$5:$A$369,"&gt;="&amp;N$3,Daily_Composite!$A$5:$A$369,"&lt;="&amp;N$2,Daily_Composite!$B$5:$B$369,1),"")</f>
        <v>0</v>
      </c>
      <c r="P14" s="8" t="n">
        <f aca="false">IFERROR(COUNTIFS(Daily_Composite!$A$5:$A$369,"&gt;="&amp;N$3,Daily_Composite!$A$5:$A$369,"&lt;="&amp;N$2,Daily_Composite!$B$5:$B$369,1,Daily_Composite!$P$5:$P$369,"&lt;"&amp;-Settings!$C$4)/COUNTIFS(Daily_Composite!$A$5:$A$369,"&gt;="&amp;N$3,Daily_Composite!$A$5:$A$369,"&lt;="&amp;N$2,Daily_Composite!$B$5:$B$369,1),"")</f>
        <v>0.15</v>
      </c>
      <c r="Q14" s="7" t="n">
        <f aca="false">IFERROR(AVERAGEIFS(Daily_Composite!$P$5:$P$369,Daily_Composite!$A$5:$A$369,"&gt;="&amp;Q$3,Daily_Composite!$A$5:$A$369,"&lt;="&amp;Q$2,Daily_Composite!$B$5:$B$369,1),"")</f>
        <v>0.0830869565217391</v>
      </c>
      <c r="R14" s="8" t="n">
        <f aca="false">IFERROR(COUNTIFS(Daily_Composite!$A$5:$A$369,"&gt;="&amp;Q$3,Daily_Composite!$A$5:$A$369,"&lt;="&amp;Q$2,Daily_Composite!$B$5:$B$369,1,Daily_Composite!$P$5:$P$369,"&gt;"&amp;Settings!$C$4)/COUNTIFS(Daily_Composite!$A$5:$A$369,"&gt;="&amp;Q$3,Daily_Composite!$A$5:$A$369,"&lt;="&amp;Q$2,Daily_Composite!$B$5:$B$369,1),"")</f>
        <v>0.217391304347826</v>
      </c>
      <c r="S14" s="8" t="n">
        <f aca="false">IFERROR(COUNTIFS(Daily_Composite!$A$5:$A$369,"&gt;="&amp;Q$3,Daily_Composite!$A$5:$A$369,"&lt;="&amp;Q$2,Daily_Composite!$B$5:$B$369,1,Daily_Composite!$P$5:$P$369,"&lt;"&amp;-Settings!$C$4)/COUNTIFS(Daily_Composite!$A$5:$A$369,"&gt;="&amp;Q$3,Daily_Composite!$A$5:$A$369,"&lt;="&amp;Q$2,Daily_Composite!$B$5:$B$369,1),"")</f>
        <v>0.0869565217391304</v>
      </c>
      <c r="T14" s="7" t="n">
        <f aca="false">IFERROR(AVERAGEIFS(Daily_Composite!$P$5:$P$369,Daily_Composite!$A$5:$A$369,"&gt;="&amp;T$3,Daily_Composite!$A$5:$A$369,"&lt;="&amp;T$2,Daily_Composite!$B$5:$B$369,1),"")</f>
        <v>0.2355</v>
      </c>
      <c r="U14" s="8" t="n">
        <f aca="false">IFERROR(COUNTIFS(Daily_Composite!$A$5:$A$369,"&gt;="&amp;T$3,Daily_Composite!$A$5:$A$369,"&lt;="&amp;T$2,Daily_Composite!$B$5:$B$369,1,Daily_Composite!$P$5:$P$369,"&gt;"&amp;Settings!$C$4)/COUNTIFS(Daily_Composite!$A$5:$A$369,"&gt;="&amp;T$3,Daily_Composite!$A$5:$A$369,"&lt;="&amp;T$2,Daily_Composite!$B$5:$B$369,1),"")</f>
        <v>0.5</v>
      </c>
      <c r="V14" s="8" t="n">
        <f aca="false">IFERROR(COUNTIFS(Daily_Composite!$A$5:$A$369,"&gt;="&amp;T$3,Daily_Composite!$A$5:$A$369,"&lt;="&amp;T$2,Daily_Composite!$B$5:$B$369,1,Daily_Composite!$P$5:$P$369,"&lt;"&amp;-Settings!$C$4)/COUNTIFS(Daily_Composite!$A$5:$A$369,"&gt;="&amp;T$3,Daily_Composite!$A$5:$A$369,"&lt;="&amp;T$2,Daily_Composite!$B$5:$B$369,1),"")</f>
        <v>0</v>
      </c>
      <c r="W14" s="7" t="n">
        <f aca="false">IFERROR(AVERAGEIFS(Daily_Composite!$P$5:$P$369,Daily_Composite!$A$5:$A$369,"&gt;="&amp;W$3,Daily_Composite!$A$5:$A$369,"&lt;="&amp;W$2,Daily_Composite!$B$5:$B$369,1),"")</f>
        <v>0.0991428571428571</v>
      </c>
      <c r="X14" s="8" t="n">
        <f aca="false">IFERROR(COUNTIFS(Daily_Composite!$A$5:$A$369,"&gt;="&amp;W$3,Daily_Composite!$A$5:$A$369,"&lt;="&amp;W$2,Daily_Composite!$B$5:$B$369,1,Daily_Composite!$P$5:$P$369,"&gt;"&amp;Settings!$C$4)/COUNTIFS(Daily_Composite!$A$5:$A$369,"&gt;="&amp;W$3,Daily_Composite!$A$5:$A$369,"&lt;="&amp;W$2,Daily_Composite!$B$5:$B$369,1),"")</f>
        <v>0.19047619047619</v>
      </c>
      <c r="Y14" s="8" t="n">
        <f aca="false">IFERROR(COUNTIFS(Daily_Composite!$A$5:$A$369,"&gt;="&amp;W$3,Daily_Composite!$A$5:$A$369,"&lt;="&amp;W$2,Daily_Composite!$B$5:$B$369,1,Daily_Composite!$P$5:$P$369,"&lt;"&amp;-Settings!$C$4)/COUNTIFS(Daily_Composite!$A$5:$A$369,"&gt;="&amp;W$3,Daily_Composite!$A$5:$A$369,"&lt;="&amp;W$2,Daily_Composite!$B$5:$B$369,1),"")</f>
        <v>0</v>
      </c>
      <c r="Z14" s="7" t="n">
        <f aca="false">IFERROR(AVERAGEIFS(Daily_Composite!$P$5:$P$369,Daily_Composite!$A$5:$A$369,"&gt;="&amp;Z$3,Daily_Composite!$A$5:$A$369,"&lt;="&amp;Z$2,Daily_Composite!$B$5:$B$369,1),"")</f>
        <v>0.108818181818182</v>
      </c>
      <c r="AA14" s="8" t="n">
        <f aca="false">IFERROR(COUNTIFS(Daily_Composite!$A$5:$A$369,"&gt;="&amp;Z$3,Daily_Composite!$A$5:$A$369,"&lt;="&amp;Z$2,Daily_Composite!$B$5:$B$369,1,Daily_Composite!$P$5:$P$369,"&gt;"&amp;Settings!$C$4)/COUNTIFS(Daily_Composite!$A$5:$A$369,"&gt;="&amp;Z$3,Daily_Composite!$A$5:$A$369,"&lt;="&amp;Z$2,Daily_Composite!$B$5:$B$369,1),"")</f>
        <v>0.318181818181818</v>
      </c>
      <c r="AB14" s="8" t="n">
        <f aca="false">IFERROR(COUNTIFS(Daily_Composite!$A$5:$A$369,"&gt;="&amp;Z$3,Daily_Composite!$A$5:$A$369,"&lt;="&amp;Z$2,Daily_Composite!$B$5:$B$369,1,Daily_Composite!$P$5:$P$369,"&lt;"&amp;-Settings!$C$4)/COUNTIFS(Daily_Composite!$A$5:$A$369,"&gt;="&amp;Z$3,Daily_Composite!$A$5:$A$369,"&lt;="&amp;Z$2,Daily_Composite!$B$5:$B$369,1),"")</f>
        <v>0</v>
      </c>
      <c r="AC14" s="7" t="n">
        <f aca="false">IFERROR(AVERAGEIFS(Daily_Composite!$P$5:$P$369,Daily_Composite!$A$5:$A$369,"&gt;="&amp;AC$3,Daily_Composite!$A$5:$A$369,"&lt;="&amp;AC$2,Daily_Composite!$B$5:$B$369,1),"")</f>
        <v>0.0738181818181818</v>
      </c>
      <c r="AD14" s="8" t="n">
        <f aca="false">IFERROR(COUNTIFS(Daily_Composite!$A$5:$A$369,"&gt;="&amp;AC$3,Daily_Composite!$A$5:$A$369,"&lt;="&amp;AC$2,Daily_Composite!$B$5:$B$369,1,Daily_Composite!$P$5:$P$369,"&gt;"&amp;Settings!$C$4)/COUNTIFS(Daily_Composite!$A$5:$A$369,"&gt;="&amp;AC$3,Daily_Composite!$A$5:$A$369,"&lt;="&amp;AC$2,Daily_Composite!$B$5:$B$369,1),"")</f>
        <v>0.409090909090909</v>
      </c>
      <c r="AE14" s="8" t="n">
        <f aca="false">IFERROR(COUNTIFS(Daily_Composite!$A$5:$A$369,"&gt;="&amp;AC$3,Daily_Composite!$A$5:$A$369,"&lt;="&amp;AC$2,Daily_Composite!$B$5:$B$369,1,Daily_Composite!$P$5:$P$369,"&lt;"&amp;-Settings!$C$4)/COUNTIFS(Daily_Composite!$A$5:$A$369,"&gt;="&amp;AC$3,Daily_Composite!$A$5:$A$369,"&lt;="&amp;AC$2,Daily_Composite!$B$5:$B$369,1),"")</f>
        <v>0</v>
      </c>
      <c r="AF14" s="7" t="n">
        <f aca="false">IFERROR(AVERAGEIFS(Daily_Composite!$P$5:$P$369,Daily_Composite!$A$5:$A$369,"&gt;="&amp;AF$3,Daily_Composite!$A$5:$A$369,"&lt;="&amp;AF$2,Daily_Composite!$B$5:$B$369,1),"")</f>
        <v>0.168181818181818</v>
      </c>
      <c r="AG14" s="8" t="n">
        <f aca="false">IFERROR(COUNTIFS(Daily_Composite!$A$5:$A$369,"&gt;="&amp;AF$3,Daily_Composite!$A$5:$A$369,"&lt;="&amp;AF$2,Daily_Composite!$B$5:$B$369,1,Daily_Composite!$P$5:$P$369,"&gt;"&amp;Settings!$C$4)/COUNTIFS(Daily_Composite!$A$5:$A$369,"&gt;="&amp;AF$3,Daily_Composite!$A$5:$A$369,"&lt;="&amp;AF$2,Daily_Composite!$B$5:$B$369,1),"")</f>
        <v>0.454545454545455</v>
      </c>
      <c r="AH14" s="8" t="n">
        <f aca="false">IFERROR(COUNTIFS(Daily_Composite!$A$5:$A$369,"&gt;="&amp;AF$3,Daily_Composite!$A$5:$A$369,"&lt;="&amp;AF$2,Daily_Composite!$B$5:$B$369,1,Daily_Composite!$P$5:$P$369,"&lt;"&amp;-Settings!$C$4)/COUNTIFS(Daily_Composite!$A$5:$A$369,"&gt;="&amp;AF$3,Daily_Composite!$A$5:$A$369,"&lt;="&amp;AF$2,Daily_Composite!$B$5:$B$369,1),"")</f>
        <v>0</v>
      </c>
      <c r="AI14" s="7" t="n">
        <f aca="false">IFERROR(AVERAGEIFS(Daily_Composite!$P$5:$P$369,Daily_Composite!$A$5:$A$369,"&gt;="&amp;AI$3,Daily_Composite!$A$5:$A$369,"&lt;="&amp;AI$2,Daily_Composite!$B$5:$B$369,1),"")</f>
        <v>0.0130454545454545</v>
      </c>
      <c r="AJ14" s="8" t="n">
        <f aca="false">IFERROR(COUNTIFS(Daily_Composite!$A$5:$A$369,"&gt;="&amp;AI$3,Daily_Composite!$A$5:$A$369,"&lt;="&amp;AI$2,Daily_Composite!$B$5:$B$369,1,Daily_Composite!$P$5:$P$369,"&gt;"&amp;Settings!$C$4)/COUNTIFS(Daily_Composite!$A$5:$A$369,"&gt;="&amp;AI$3,Daily_Composite!$A$5:$A$369,"&lt;="&amp;AI$2,Daily_Composite!$B$5:$B$369,1),"")</f>
        <v>0.0454545454545455</v>
      </c>
      <c r="AK14" s="8" t="n">
        <f aca="false">IFERROR(COUNTIFS(Daily_Composite!$A$5:$A$369,"&gt;="&amp;AI$3,Daily_Composite!$A$5:$A$369,"&lt;="&amp;AI$2,Daily_Composite!$B$5:$B$369,1,Daily_Composite!$P$5:$P$369,"&lt;"&amp;-Settings!$C$4)/COUNTIFS(Daily_Composite!$A$5:$A$369,"&gt;="&amp;AI$3,Daily_Composite!$A$5:$A$369,"&lt;="&amp;AI$2,Daily_Composite!$B$5:$B$369,1),"")</f>
        <v>0.0454545454545455</v>
      </c>
      <c r="AL14" s="7" t="n">
        <f aca="false">IFERROR(AVERAGEIFS(Daily_Composite!$P$5:$P$369,Daily_Composite!$A$5:$A$369,"&gt;="&amp;AL$3,Daily_Composite!$A$5:$A$369,"&lt;="&amp;AL$2,Daily_Composite!$B$5:$B$369,1),"")</f>
        <v>0.228277777777778</v>
      </c>
      <c r="AM14" s="8" t="n">
        <f aca="false">IFERROR(COUNTIFS(Daily_Composite!$A$5:$A$369,"&gt;="&amp;AL$3,Daily_Composite!$A$5:$A$369,"&lt;="&amp;AL$2,Daily_Composite!$B$5:$B$369,1,Daily_Composite!$P$5:$P$369,"&gt;"&amp;Settings!$C$4)/COUNTIFS(Daily_Composite!$A$5:$A$369,"&gt;="&amp;AL$3,Daily_Composite!$A$5:$A$369,"&lt;="&amp;AL$2,Daily_Composite!$B$5:$B$369,1),"")</f>
        <v>0.666666666666667</v>
      </c>
      <c r="AN14" s="8" t="n">
        <f aca="false">IFERROR(COUNTIFS(Daily_Composite!$A$5:$A$369,"&gt;="&amp;AL$3,Daily_Composite!$A$5:$A$369,"&lt;="&amp;AL$2,Daily_Composite!$B$5:$B$369,1,Daily_Composite!$P$5:$P$369,"&lt;"&amp;-Settings!$C$4)/COUNTIFS(Daily_Composite!$A$5:$A$369,"&gt;="&amp;AL$3,Daily_Composite!$A$5:$A$369,"&lt;="&amp;AL$2,Daily_Composite!$B$5:$B$369,1),"")</f>
        <v>0</v>
      </c>
    </row>
    <row r="15" customFormat="false" ht="15" hidden="false" customHeight="false" outlineLevel="0" collapsed="false">
      <c r="A15" s="6" t="s">
        <v>28</v>
      </c>
      <c r="B15" s="7" t="n">
        <f aca="false">IFERROR(AVERAGEIFS(Daily_Composite!$Q$5:$Q$369,Daily_Composite!$A$5:$A$369,"&gt;="&amp;B$3,Daily_Composite!$A$5:$A$369,"&lt;="&amp;B$2,Daily_Composite!$B$5:$B$369,1),"")</f>
        <v>-0.19625</v>
      </c>
      <c r="C15" s="8" t="n">
        <f aca="false">IFERROR(COUNTIFS(Daily_Composite!$A$5:$A$369,"&gt;="&amp;B$3,Daily_Composite!$A$5:$A$369,"&lt;="&amp;B$2,Daily_Composite!$B$5:$B$369,1,Daily_Composite!$Q$5:$Q$369,"&gt;"&amp;Settings!$C$4)/COUNTIFS(Daily_Composite!$A$5:$A$369,"&gt;="&amp;B$3,Daily_Composite!$A$5:$A$369,"&lt;="&amp;B$2,Daily_Composite!$B$5:$B$369,1),"")</f>
        <v>0</v>
      </c>
      <c r="D15" s="8" t="n">
        <f aca="false">IFERROR(COUNTIFS(Daily_Composite!$A$5:$A$369,"&gt;="&amp;B$3,Daily_Composite!$A$5:$A$369,"&lt;="&amp;B$2,Daily_Composite!$B$5:$B$369,1,Daily_Composite!$Q$5:$Q$369,"&lt;"&amp;-Settings!$C$4)/COUNTIFS(Daily_Composite!$A$5:$A$369,"&gt;="&amp;B$3,Daily_Composite!$A$5:$A$369,"&lt;="&amp;B$2,Daily_Composite!$B$5:$B$369,1),"")</f>
        <v>0.75</v>
      </c>
      <c r="E15" s="7" t="n">
        <f aca="false">IFERROR(AVERAGEIFS(Daily_Composite!$Q$5:$Q$369,Daily_Composite!$A$5:$A$369,"&gt;="&amp;E$3,Daily_Composite!$A$5:$A$369,"&lt;="&amp;E$2,Daily_Composite!$B$5:$B$369,1),"")</f>
        <v>0.210142857142857</v>
      </c>
      <c r="F15" s="8" t="n">
        <f aca="false">IFERROR(COUNTIFS(Daily_Composite!$A$5:$A$369,"&gt;="&amp;E$3,Daily_Composite!$A$5:$A$369,"&lt;="&amp;E$2,Daily_Composite!$B$5:$B$369,1,Daily_Composite!$Q$5:$Q$369,"&gt;"&amp;Settings!$C$4)/COUNTIFS(Daily_Composite!$A$5:$A$369,"&gt;="&amp;E$3,Daily_Composite!$A$5:$A$369,"&lt;="&amp;E$2,Daily_Composite!$B$5:$B$369,1),"")</f>
        <v>0.666666666666667</v>
      </c>
      <c r="G15" s="8" t="n">
        <f aca="false">IFERROR(COUNTIFS(Daily_Composite!$A$5:$A$369,"&gt;="&amp;E$3,Daily_Composite!$A$5:$A$369,"&lt;="&amp;E$2,Daily_Composite!$B$5:$B$369,1,Daily_Composite!$Q$5:$Q$369,"&lt;"&amp;-Settings!$C$4)/COUNTIFS(Daily_Composite!$A$5:$A$369,"&gt;="&amp;E$3,Daily_Composite!$A$5:$A$369,"&lt;="&amp;E$2,Daily_Composite!$B$5:$B$369,1),"")</f>
        <v>0.0476190476190476</v>
      </c>
      <c r="H15" s="7" t="n">
        <f aca="false">IFERROR(AVERAGEIFS(Daily_Composite!$Q$5:$Q$369,Daily_Composite!$A$5:$A$369,"&gt;="&amp;H$3,Daily_Composite!$A$5:$A$369,"&lt;="&amp;H$2,Daily_Composite!$B$5:$B$369,1),"")</f>
        <v>-0.0615652173913043</v>
      </c>
      <c r="I15" s="8" t="n">
        <f aca="false">IFERROR(COUNTIFS(Daily_Composite!$A$5:$A$369,"&gt;="&amp;H$3,Daily_Composite!$A$5:$A$369,"&lt;="&amp;H$2,Daily_Composite!$B$5:$B$369,1,Daily_Composite!$Q$5:$Q$369,"&gt;"&amp;Settings!$C$4)/COUNTIFS(Daily_Composite!$A$5:$A$369,"&gt;="&amp;H$3,Daily_Composite!$A$5:$A$369,"&lt;="&amp;H$2,Daily_Composite!$B$5:$B$369,1),"")</f>
        <v>0.0434782608695652</v>
      </c>
      <c r="J15" s="8" t="n">
        <f aca="false">IFERROR(COUNTIFS(Daily_Composite!$A$5:$A$369,"&gt;="&amp;H$3,Daily_Composite!$A$5:$A$369,"&lt;="&amp;H$2,Daily_Composite!$B$5:$B$369,1,Daily_Composite!$Q$5:$Q$369,"&lt;"&amp;-Settings!$C$4)/COUNTIFS(Daily_Composite!$A$5:$A$369,"&gt;="&amp;H$3,Daily_Composite!$A$5:$A$369,"&lt;="&amp;H$2,Daily_Composite!$B$5:$B$369,1),"")</f>
        <v>0.217391304347826</v>
      </c>
      <c r="K15" s="7" t="n">
        <f aca="false">IFERROR(AVERAGEIFS(Daily_Composite!$Q$5:$Q$369,Daily_Composite!$A$5:$A$369,"&gt;="&amp;K$3,Daily_Composite!$A$5:$A$369,"&lt;="&amp;K$2,Daily_Composite!$B$5:$B$369,1),"")</f>
        <v>-0.148285714285714</v>
      </c>
      <c r="L15" s="8" t="n">
        <f aca="false">IFERROR(COUNTIFS(Daily_Composite!$A$5:$A$369,"&gt;="&amp;K$3,Daily_Composite!$A$5:$A$369,"&lt;="&amp;K$2,Daily_Composite!$B$5:$B$369,1,Daily_Composite!$Q$5:$Q$369,"&gt;"&amp;Settings!$C$4)/COUNTIFS(Daily_Composite!$A$5:$A$369,"&gt;="&amp;K$3,Daily_Composite!$A$5:$A$369,"&lt;="&amp;K$2,Daily_Composite!$B$5:$B$369,1),"")</f>
        <v>0.0476190476190476</v>
      </c>
      <c r="M15" s="8" t="n">
        <f aca="false">IFERROR(COUNTIFS(Daily_Composite!$A$5:$A$369,"&gt;="&amp;K$3,Daily_Composite!$A$5:$A$369,"&lt;="&amp;K$2,Daily_Composite!$B$5:$B$369,1,Daily_Composite!$Q$5:$Q$369,"&lt;"&amp;-Settings!$C$4)/COUNTIFS(Daily_Composite!$A$5:$A$369,"&gt;="&amp;K$3,Daily_Composite!$A$5:$A$369,"&lt;="&amp;K$2,Daily_Composite!$B$5:$B$369,1),"")</f>
        <v>0.476190476190476</v>
      </c>
      <c r="N15" s="7" t="n">
        <f aca="false">IFERROR(AVERAGEIFS(Daily_Composite!$Q$5:$Q$369,Daily_Composite!$A$5:$A$369,"&gt;="&amp;N$3,Daily_Composite!$A$5:$A$369,"&lt;="&amp;N$2,Daily_Composite!$B$5:$B$369,1),"")</f>
        <v>-0.1114</v>
      </c>
      <c r="O15" s="8" t="n">
        <f aca="false">IFERROR(COUNTIFS(Daily_Composite!$A$5:$A$369,"&gt;="&amp;N$3,Daily_Composite!$A$5:$A$369,"&lt;="&amp;N$2,Daily_Composite!$B$5:$B$369,1,Daily_Composite!$Q$5:$Q$369,"&gt;"&amp;Settings!$C$4)/COUNTIFS(Daily_Composite!$A$5:$A$369,"&gt;="&amp;N$3,Daily_Composite!$A$5:$A$369,"&lt;="&amp;N$2,Daily_Composite!$B$5:$B$369,1),"")</f>
        <v>0.1</v>
      </c>
      <c r="P15" s="8" t="n">
        <f aca="false">IFERROR(COUNTIFS(Daily_Composite!$A$5:$A$369,"&gt;="&amp;N$3,Daily_Composite!$A$5:$A$369,"&lt;="&amp;N$2,Daily_Composite!$B$5:$B$369,1,Daily_Composite!$Q$5:$Q$369,"&lt;"&amp;-Settings!$C$4)/COUNTIFS(Daily_Composite!$A$5:$A$369,"&gt;="&amp;N$3,Daily_Composite!$A$5:$A$369,"&lt;="&amp;N$2,Daily_Composite!$B$5:$B$369,1),"")</f>
        <v>0.3</v>
      </c>
      <c r="Q15" s="7" t="n">
        <f aca="false">IFERROR(AVERAGEIFS(Daily_Composite!$Q$5:$Q$369,Daily_Composite!$A$5:$A$369,"&gt;="&amp;Q$3,Daily_Composite!$A$5:$A$369,"&lt;="&amp;Q$2,Daily_Composite!$B$5:$B$369,1),"")</f>
        <v>-0.0687391304347826</v>
      </c>
      <c r="R15" s="8" t="n">
        <f aca="false">IFERROR(COUNTIFS(Daily_Composite!$A$5:$A$369,"&gt;="&amp;Q$3,Daily_Composite!$A$5:$A$369,"&lt;="&amp;Q$2,Daily_Composite!$B$5:$B$369,1,Daily_Composite!$Q$5:$Q$369,"&gt;"&amp;Settings!$C$4)/COUNTIFS(Daily_Composite!$A$5:$A$369,"&gt;="&amp;Q$3,Daily_Composite!$A$5:$A$369,"&lt;="&amp;Q$2,Daily_Composite!$B$5:$B$369,1),"")</f>
        <v>0.173913043478261</v>
      </c>
      <c r="S15" s="8" t="n">
        <f aca="false">IFERROR(COUNTIFS(Daily_Composite!$A$5:$A$369,"&gt;="&amp;Q$3,Daily_Composite!$A$5:$A$369,"&lt;="&amp;Q$2,Daily_Composite!$B$5:$B$369,1,Daily_Composite!$Q$5:$Q$369,"&lt;"&amp;-Settings!$C$4)/COUNTIFS(Daily_Composite!$A$5:$A$369,"&gt;="&amp;Q$3,Daily_Composite!$A$5:$A$369,"&lt;="&amp;Q$2,Daily_Composite!$B$5:$B$369,1),"")</f>
        <v>0.347826086956522</v>
      </c>
      <c r="T15" s="7" t="n">
        <f aca="false">IFERROR(AVERAGEIFS(Daily_Composite!$Q$5:$Q$369,Daily_Composite!$A$5:$A$369,"&gt;="&amp;T$3,Daily_Composite!$A$5:$A$369,"&lt;="&amp;T$2,Daily_Composite!$B$5:$B$369,1),"")</f>
        <v>-0.137818181818182</v>
      </c>
      <c r="U15" s="8" t="n">
        <f aca="false">IFERROR(COUNTIFS(Daily_Composite!$A$5:$A$369,"&gt;="&amp;T$3,Daily_Composite!$A$5:$A$369,"&lt;="&amp;T$2,Daily_Composite!$B$5:$B$369,1,Daily_Composite!$Q$5:$Q$369,"&gt;"&amp;Settings!$C$4)/COUNTIFS(Daily_Composite!$A$5:$A$369,"&gt;="&amp;T$3,Daily_Composite!$A$5:$A$369,"&lt;="&amp;T$2,Daily_Composite!$B$5:$B$369,1),"")</f>
        <v>0.0909090909090909</v>
      </c>
      <c r="V15" s="8" t="n">
        <f aca="false">IFERROR(COUNTIFS(Daily_Composite!$A$5:$A$369,"&gt;="&amp;T$3,Daily_Composite!$A$5:$A$369,"&lt;="&amp;T$2,Daily_Composite!$B$5:$B$369,1,Daily_Composite!$Q$5:$Q$369,"&lt;"&amp;-Settings!$C$4)/COUNTIFS(Daily_Composite!$A$5:$A$369,"&gt;="&amp;T$3,Daily_Composite!$A$5:$A$369,"&lt;="&amp;T$2,Daily_Composite!$B$5:$B$369,1),"")</f>
        <v>0.681818181818182</v>
      </c>
      <c r="W15" s="7" t="n">
        <f aca="false">IFERROR(AVERAGEIFS(Daily_Composite!$Q$5:$Q$369,Daily_Composite!$A$5:$A$369,"&gt;="&amp;W$3,Daily_Composite!$A$5:$A$369,"&lt;="&amp;W$2,Daily_Composite!$B$5:$B$369,1),"")</f>
        <v>-0.123714285714286</v>
      </c>
      <c r="X15" s="8" t="n">
        <f aca="false">IFERROR(COUNTIFS(Daily_Composite!$A$5:$A$369,"&gt;="&amp;W$3,Daily_Composite!$A$5:$A$369,"&lt;="&amp;W$2,Daily_Composite!$B$5:$B$369,1,Daily_Composite!$Q$5:$Q$369,"&gt;"&amp;Settings!$C$4)/COUNTIFS(Daily_Composite!$A$5:$A$369,"&gt;="&amp;W$3,Daily_Composite!$A$5:$A$369,"&lt;="&amp;W$2,Daily_Composite!$B$5:$B$369,1),"")</f>
        <v>0.0952380952380952</v>
      </c>
      <c r="Y15" s="8" t="n">
        <f aca="false">IFERROR(COUNTIFS(Daily_Composite!$A$5:$A$369,"&gt;="&amp;W$3,Daily_Composite!$A$5:$A$369,"&lt;="&amp;W$2,Daily_Composite!$B$5:$B$369,1,Daily_Composite!$Q$5:$Q$369,"&lt;"&amp;-Settings!$C$4)/COUNTIFS(Daily_Composite!$A$5:$A$369,"&gt;="&amp;W$3,Daily_Composite!$A$5:$A$369,"&lt;="&amp;W$2,Daily_Composite!$B$5:$B$369,1),"")</f>
        <v>0.380952380952381</v>
      </c>
      <c r="Z15" s="7" t="n">
        <f aca="false">IFERROR(AVERAGEIFS(Daily_Composite!$Q$5:$Q$369,Daily_Composite!$A$5:$A$369,"&gt;="&amp;Z$3,Daily_Composite!$A$5:$A$369,"&lt;="&amp;Z$2,Daily_Composite!$B$5:$B$369,1),"")</f>
        <v>-0.229818181818182</v>
      </c>
      <c r="AA15" s="8" t="n">
        <f aca="false">IFERROR(COUNTIFS(Daily_Composite!$A$5:$A$369,"&gt;="&amp;Z$3,Daily_Composite!$A$5:$A$369,"&lt;="&amp;Z$2,Daily_Composite!$B$5:$B$369,1,Daily_Composite!$Q$5:$Q$369,"&gt;"&amp;Settings!$C$4)/COUNTIFS(Daily_Composite!$A$5:$A$369,"&gt;="&amp;Z$3,Daily_Composite!$A$5:$A$369,"&lt;="&amp;Z$2,Daily_Composite!$B$5:$B$369,1),"")</f>
        <v>0.136363636363636</v>
      </c>
      <c r="AB15" s="8" t="n">
        <f aca="false">IFERROR(COUNTIFS(Daily_Composite!$A$5:$A$369,"&gt;="&amp;Z$3,Daily_Composite!$A$5:$A$369,"&lt;="&amp;Z$2,Daily_Composite!$B$5:$B$369,1,Daily_Composite!$Q$5:$Q$369,"&lt;"&amp;-Settings!$C$4)/COUNTIFS(Daily_Composite!$A$5:$A$369,"&gt;="&amp;Z$3,Daily_Composite!$A$5:$A$369,"&lt;="&amp;Z$2,Daily_Composite!$B$5:$B$369,1),"")</f>
        <v>0.636363636363636</v>
      </c>
      <c r="AC15" s="7" t="n">
        <f aca="false">IFERROR(AVERAGEIFS(Daily_Composite!$Q$5:$Q$369,Daily_Composite!$A$5:$A$369,"&gt;="&amp;AC$3,Daily_Composite!$A$5:$A$369,"&lt;="&amp;AC$2,Daily_Composite!$B$5:$B$369,1),"")</f>
        <v>-0.171954545454545</v>
      </c>
      <c r="AD15" s="8" t="n">
        <f aca="false">IFERROR(COUNTIFS(Daily_Composite!$A$5:$A$369,"&gt;="&amp;AC$3,Daily_Composite!$A$5:$A$369,"&lt;="&amp;AC$2,Daily_Composite!$B$5:$B$369,1,Daily_Composite!$Q$5:$Q$369,"&gt;"&amp;Settings!$C$4)/COUNTIFS(Daily_Composite!$A$5:$A$369,"&gt;="&amp;AC$3,Daily_Composite!$A$5:$A$369,"&lt;="&amp;AC$2,Daily_Composite!$B$5:$B$369,1),"")</f>
        <v>0.136363636363636</v>
      </c>
      <c r="AE15" s="8" t="n">
        <f aca="false">IFERROR(COUNTIFS(Daily_Composite!$A$5:$A$369,"&gt;="&amp;AC$3,Daily_Composite!$A$5:$A$369,"&lt;="&amp;AC$2,Daily_Composite!$B$5:$B$369,1,Daily_Composite!$Q$5:$Q$369,"&lt;"&amp;-Settings!$C$4)/COUNTIFS(Daily_Composite!$A$5:$A$369,"&gt;="&amp;AC$3,Daily_Composite!$A$5:$A$369,"&lt;="&amp;AC$2,Daily_Composite!$B$5:$B$369,1),"")</f>
        <v>0.590909090909091</v>
      </c>
      <c r="AF15" s="7" t="n">
        <f aca="false">IFERROR(AVERAGEIFS(Daily_Composite!$Q$5:$Q$369,Daily_Composite!$A$5:$A$369,"&gt;="&amp;AF$3,Daily_Composite!$A$5:$A$369,"&lt;="&amp;AF$2,Daily_Composite!$B$5:$B$369,1),"")</f>
        <v>-0.181772727272727</v>
      </c>
      <c r="AG15" s="8" t="n">
        <f aca="false">IFERROR(COUNTIFS(Daily_Composite!$A$5:$A$369,"&gt;="&amp;AF$3,Daily_Composite!$A$5:$A$369,"&lt;="&amp;AF$2,Daily_Composite!$B$5:$B$369,1,Daily_Composite!$Q$5:$Q$369,"&gt;"&amp;Settings!$C$4)/COUNTIFS(Daily_Composite!$A$5:$A$369,"&gt;="&amp;AF$3,Daily_Composite!$A$5:$A$369,"&lt;="&amp;AF$2,Daily_Composite!$B$5:$B$369,1),"")</f>
        <v>0.0909090909090909</v>
      </c>
      <c r="AH15" s="8" t="n">
        <f aca="false">IFERROR(COUNTIFS(Daily_Composite!$A$5:$A$369,"&gt;="&amp;AF$3,Daily_Composite!$A$5:$A$369,"&lt;="&amp;AF$2,Daily_Composite!$B$5:$B$369,1,Daily_Composite!$Q$5:$Q$369,"&lt;"&amp;-Settings!$C$4)/COUNTIFS(Daily_Composite!$A$5:$A$369,"&gt;="&amp;AF$3,Daily_Composite!$A$5:$A$369,"&lt;="&amp;AF$2,Daily_Composite!$B$5:$B$369,1),"")</f>
        <v>0.727272727272727</v>
      </c>
      <c r="AI15" s="7" t="n">
        <f aca="false">IFERROR(AVERAGEIFS(Daily_Composite!$Q$5:$Q$369,Daily_Composite!$A$5:$A$369,"&gt;="&amp;AI$3,Daily_Composite!$A$5:$A$369,"&lt;="&amp;AI$2,Daily_Composite!$B$5:$B$369,1),"")</f>
        <v>-0.257590909090909</v>
      </c>
      <c r="AJ15" s="8" t="n">
        <f aca="false">IFERROR(COUNTIFS(Daily_Composite!$A$5:$A$369,"&gt;="&amp;AI$3,Daily_Composite!$A$5:$A$369,"&lt;="&amp;AI$2,Daily_Composite!$B$5:$B$369,1,Daily_Composite!$Q$5:$Q$369,"&gt;"&amp;Settings!$C$4)/COUNTIFS(Daily_Composite!$A$5:$A$369,"&gt;="&amp;AI$3,Daily_Composite!$A$5:$A$369,"&lt;="&amp;AI$2,Daily_Composite!$B$5:$B$369,1),"")</f>
        <v>0.0454545454545455</v>
      </c>
      <c r="AK15" s="8" t="n">
        <f aca="false">IFERROR(COUNTIFS(Daily_Composite!$A$5:$A$369,"&gt;="&amp;AI$3,Daily_Composite!$A$5:$A$369,"&lt;="&amp;AI$2,Daily_Composite!$B$5:$B$369,1,Daily_Composite!$Q$5:$Q$369,"&lt;"&amp;-Settings!$C$4)/COUNTIFS(Daily_Composite!$A$5:$A$369,"&gt;="&amp;AI$3,Daily_Composite!$A$5:$A$369,"&lt;="&amp;AI$2,Daily_Composite!$B$5:$B$369,1),"")</f>
        <v>0.590909090909091</v>
      </c>
      <c r="AL15" s="7" t="n">
        <f aca="false">IFERROR(AVERAGEIFS(Daily_Composite!$Q$5:$Q$369,Daily_Composite!$A$5:$A$369,"&gt;="&amp;AL$3,Daily_Composite!$A$5:$A$369,"&lt;="&amp;AL$2,Daily_Composite!$B$5:$B$369,1),"")</f>
        <v>0.0177777777777778</v>
      </c>
      <c r="AM15" s="8" t="n">
        <f aca="false">IFERROR(COUNTIFS(Daily_Composite!$A$5:$A$369,"&gt;="&amp;AL$3,Daily_Composite!$A$5:$A$369,"&lt;="&amp;AL$2,Daily_Composite!$B$5:$B$369,1,Daily_Composite!$Q$5:$Q$369,"&gt;"&amp;Settings!$C$4)/COUNTIFS(Daily_Composite!$A$5:$A$369,"&gt;="&amp;AL$3,Daily_Composite!$A$5:$A$369,"&lt;="&amp;AL$2,Daily_Composite!$B$5:$B$369,1),"")</f>
        <v>0.388888888888889</v>
      </c>
      <c r="AN15" s="8" t="n">
        <f aca="false">IFERROR(COUNTIFS(Daily_Composite!$A$5:$A$369,"&gt;="&amp;AL$3,Daily_Composite!$A$5:$A$369,"&lt;="&amp;AL$2,Daily_Composite!$B$5:$B$369,1,Daily_Composite!$Q$5:$Q$369,"&lt;"&amp;-Settings!$C$4)/COUNTIFS(Daily_Composite!$A$5:$A$369,"&gt;="&amp;AL$3,Daily_Composite!$A$5:$A$369,"&lt;="&amp;AL$2,Daily_Composite!$B$5:$B$369,1),"")</f>
        <v>0.277777777777778</v>
      </c>
    </row>
    <row r="16" customFormat="false" ht="15" hidden="false" customHeight="false" outlineLevel="0" collapsed="false">
      <c r="A16" s="6" t="s">
        <v>29</v>
      </c>
      <c r="B16" s="7" t="n">
        <f aca="false">IFERROR(AVERAGEIFS(Daily_Composite!$R$5:$R$369,Daily_Composite!$A$5:$A$369,"&gt;="&amp;B$3,Daily_Composite!$A$5:$A$369,"&lt;="&amp;B$2,Daily_Composite!$B$5:$B$369,1),"")</f>
        <v>-0.17725</v>
      </c>
      <c r="C16" s="8" t="n">
        <f aca="false">IFERROR(COUNTIFS(Daily_Composite!$A$5:$A$369,"&gt;="&amp;B$3,Daily_Composite!$A$5:$A$369,"&lt;="&amp;B$2,Daily_Composite!$B$5:$B$369,1,Daily_Composite!$R$5:$R$369,"&gt;"&amp;Settings!$C$4)/COUNTIFS(Daily_Composite!$A$5:$A$369,"&gt;="&amp;B$3,Daily_Composite!$A$5:$A$369,"&lt;="&amp;B$2,Daily_Composite!$B$5:$B$369,1),"")</f>
        <v>0</v>
      </c>
      <c r="D16" s="8" t="n">
        <f aca="false">IFERROR(COUNTIFS(Daily_Composite!$A$5:$A$369,"&gt;="&amp;B$3,Daily_Composite!$A$5:$A$369,"&lt;="&amp;B$2,Daily_Composite!$B$5:$B$369,1,Daily_Composite!$R$5:$R$369,"&lt;"&amp;-Settings!$C$4)/COUNTIFS(Daily_Composite!$A$5:$A$369,"&gt;="&amp;B$3,Daily_Composite!$A$5:$A$369,"&lt;="&amp;B$2,Daily_Composite!$B$5:$B$369,1),"")</f>
        <v>0.75</v>
      </c>
      <c r="E16" s="7" t="n">
        <f aca="false">IFERROR(AVERAGEIFS(Daily_Composite!$R$5:$R$369,Daily_Composite!$A$5:$A$369,"&gt;="&amp;E$3,Daily_Composite!$A$5:$A$369,"&lt;="&amp;E$2,Daily_Composite!$B$5:$B$369,1),"")</f>
        <v>-0.22452380952381</v>
      </c>
      <c r="F16" s="8" t="n">
        <f aca="false">IFERROR(COUNTIFS(Daily_Composite!$A$5:$A$369,"&gt;="&amp;E$3,Daily_Composite!$A$5:$A$369,"&lt;="&amp;E$2,Daily_Composite!$B$5:$B$369,1,Daily_Composite!$R$5:$R$369,"&gt;"&amp;Settings!$C$4)/COUNTIFS(Daily_Composite!$A$5:$A$369,"&gt;="&amp;E$3,Daily_Composite!$A$5:$A$369,"&lt;="&amp;E$2,Daily_Composite!$B$5:$B$369,1),"")</f>
        <v>0</v>
      </c>
      <c r="G16" s="8" t="n">
        <f aca="false">IFERROR(COUNTIFS(Daily_Composite!$A$5:$A$369,"&gt;="&amp;E$3,Daily_Composite!$A$5:$A$369,"&lt;="&amp;E$2,Daily_Composite!$B$5:$B$369,1,Daily_Composite!$R$5:$R$369,"&lt;"&amp;-Settings!$C$4)/COUNTIFS(Daily_Composite!$A$5:$A$369,"&gt;="&amp;E$3,Daily_Composite!$A$5:$A$369,"&lt;="&amp;E$2,Daily_Composite!$B$5:$B$369,1),"")</f>
        <v>0.80952380952381</v>
      </c>
      <c r="H16" s="7" t="n">
        <f aca="false">IFERROR(AVERAGEIFS(Daily_Composite!$R$5:$R$369,Daily_Composite!$A$5:$A$369,"&gt;="&amp;H$3,Daily_Composite!$A$5:$A$369,"&lt;="&amp;H$2,Daily_Composite!$B$5:$B$369,1),"")</f>
        <v>0.0431739130434783</v>
      </c>
      <c r="I16" s="8" t="n">
        <f aca="false">IFERROR(COUNTIFS(Daily_Composite!$A$5:$A$369,"&gt;="&amp;H$3,Daily_Composite!$A$5:$A$369,"&lt;="&amp;H$2,Daily_Composite!$B$5:$B$369,1,Daily_Composite!$R$5:$R$369,"&gt;"&amp;Settings!$C$4)/COUNTIFS(Daily_Composite!$A$5:$A$369,"&gt;="&amp;H$3,Daily_Composite!$A$5:$A$369,"&lt;="&amp;H$2,Daily_Composite!$B$5:$B$369,1),"")</f>
        <v>0.217391304347826</v>
      </c>
      <c r="J16" s="8" t="n">
        <f aca="false">IFERROR(COUNTIFS(Daily_Composite!$A$5:$A$369,"&gt;="&amp;H$3,Daily_Composite!$A$5:$A$369,"&lt;="&amp;H$2,Daily_Composite!$B$5:$B$369,1,Daily_Composite!$R$5:$R$369,"&lt;"&amp;-Settings!$C$4)/COUNTIFS(Daily_Composite!$A$5:$A$369,"&gt;="&amp;H$3,Daily_Composite!$A$5:$A$369,"&lt;="&amp;H$2,Daily_Composite!$B$5:$B$369,1),"")</f>
        <v>0.130434782608696</v>
      </c>
      <c r="K16" s="7" t="n">
        <f aca="false">IFERROR(AVERAGEIFS(Daily_Composite!$R$5:$R$369,Daily_Composite!$A$5:$A$369,"&gt;="&amp;K$3,Daily_Composite!$A$5:$A$369,"&lt;="&amp;K$2,Daily_Composite!$B$5:$B$369,1),"")</f>
        <v>0.0557142857142857</v>
      </c>
      <c r="L16" s="8" t="n">
        <f aca="false">IFERROR(COUNTIFS(Daily_Composite!$A$5:$A$369,"&gt;="&amp;K$3,Daily_Composite!$A$5:$A$369,"&lt;="&amp;K$2,Daily_Composite!$B$5:$B$369,1,Daily_Composite!$R$5:$R$369,"&gt;"&amp;Settings!$C$4)/COUNTIFS(Daily_Composite!$A$5:$A$369,"&gt;="&amp;K$3,Daily_Composite!$A$5:$A$369,"&lt;="&amp;K$2,Daily_Composite!$B$5:$B$369,1),"")</f>
        <v>0.238095238095238</v>
      </c>
      <c r="M16" s="8" t="n">
        <f aca="false">IFERROR(COUNTIFS(Daily_Composite!$A$5:$A$369,"&gt;="&amp;K$3,Daily_Composite!$A$5:$A$369,"&lt;="&amp;K$2,Daily_Composite!$B$5:$B$369,1,Daily_Composite!$R$5:$R$369,"&lt;"&amp;-Settings!$C$4)/COUNTIFS(Daily_Composite!$A$5:$A$369,"&gt;="&amp;K$3,Daily_Composite!$A$5:$A$369,"&lt;="&amp;K$2,Daily_Composite!$B$5:$B$369,1),"")</f>
        <v>0</v>
      </c>
      <c r="N16" s="7" t="n">
        <f aca="false">IFERROR(AVERAGEIFS(Daily_Composite!$R$5:$R$369,Daily_Composite!$A$5:$A$369,"&gt;="&amp;N$3,Daily_Composite!$A$5:$A$369,"&lt;="&amp;N$2,Daily_Composite!$B$5:$B$369,1),"")</f>
        <v>-0.22255</v>
      </c>
      <c r="O16" s="8" t="n">
        <f aca="false">IFERROR(COUNTIFS(Daily_Composite!$A$5:$A$369,"&gt;="&amp;N$3,Daily_Composite!$A$5:$A$369,"&lt;="&amp;N$2,Daily_Composite!$B$5:$B$369,1,Daily_Composite!$R$5:$R$369,"&gt;"&amp;Settings!$C$4)/COUNTIFS(Daily_Composite!$A$5:$A$369,"&gt;="&amp;N$3,Daily_Composite!$A$5:$A$369,"&lt;="&amp;N$2,Daily_Composite!$B$5:$B$369,1),"")</f>
        <v>0</v>
      </c>
      <c r="P16" s="8" t="n">
        <f aca="false">IFERROR(COUNTIFS(Daily_Composite!$A$5:$A$369,"&gt;="&amp;N$3,Daily_Composite!$A$5:$A$369,"&lt;="&amp;N$2,Daily_Composite!$B$5:$B$369,1,Daily_Composite!$R$5:$R$369,"&lt;"&amp;-Settings!$C$4)/COUNTIFS(Daily_Composite!$A$5:$A$369,"&gt;="&amp;N$3,Daily_Composite!$A$5:$A$369,"&lt;="&amp;N$2,Daily_Composite!$B$5:$B$369,1),"")</f>
        <v>0.75</v>
      </c>
      <c r="Q16" s="7" t="n">
        <f aca="false">IFERROR(AVERAGEIFS(Daily_Composite!$R$5:$R$369,Daily_Composite!$A$5:$A$369,"&gt;="&amp;Q$3,Daily_Composite!$A$5:$A$369,"&lt;="&amp;Q$2,Daily_Composite!$B$5:$B$369,1),"")</f>
        <v>-0.166304347826087</v>
      </c>
      <c r="R16" s="8" t="n">
        <f aca="false">IFERROR(COUNTIFS(Daily_Composite!$A$5:$A$369,"&gt;="&amp;Q$3,Daily_Composite!$A$5:$A$369,"&lt;="&amp;Q$2,Daily_Composite!$B$5:$B$369,1,Daily_Composite!$R$5:$R$369,"&gt;"&amp;Settings!$C$4)/COUNTIFS(Daily_Composite!$A$5:$A$369,"&gt;="&amp;Q$3,Daily_Composite!$A$5:$A$369,"&lt;="&amp;Q$2,Daily_Composite!$B$5:$B$369,1),"")</f>
        <v>0.0869565217391304</v>
      </c>
      <c r="S16" s="8" t="n">
        <f aca="false">IFERROR(COUNTIFS(Daily_Composite!$A$5:$A$369,"&gt;="&amp;Q$3,Daily_Composite!$A$5:$A$369,"&lt;="&amp;Q$2,Daily_Composite!$B$5:$B$369,1,Daily_Composite!$R$5:$R$369,"&lt;"&amp;-Settings!$C$4)/COUNTIFS(Daily_Composite!$A$5:$A$369,"&gt;="&amp;Q$3,Daily_Composite!$A$5:$A$369,"&lt;="&amp;Q$2,Daily_Composite!$B$5:$B$369,1),"")</f>
        <v>0.478260869565217</v>
      </c>
      <c r="T16" s="7" t="n">
        <f aca="false">IFERROR(AVERAGEIFS(Daily_Composite!$R$5:$R$369,Daily_Composite!$A$5:$A$369,"&gt;="&amp;T$3,Daily_Composite!$A$5:$A$369,"&lt;="&amp;T$2,Daily_Composite!$B$5:$B$369,1),"")</f>
        <v>0.0428636363636364</v>
      </c>
      <c r="U16" s="8" t="n">
        <f aca="false">IFERROR(COUNTIFS(Daily_Composite!$A$5:$A$369,"&gt;="&amp;T$3,Daily_Composite!$A$5:$A$369,"&lt;="&amp;T$2,Daily_Composite!$B$5:$B$369,1,Daily_Composite!$R$5:$R$369,"&gt;"&amp;Settings!$C$4)/COUNTIFS(Daily_Composite!$A$5:$A$369,"&gt;="&amp;T$3,Daily_Composite!$A$5:$A$369,"&lt;="&amp;T$2,Daily_Composite!$B$5:$B$369,1),"")</f>
        <v>0.272727272727273</v>
      </c>
      <c r="V16" s="8" t="n">
        <f aca="false">IFERROR(COUNTIFS(Daily_Composite!$A$5:$A$369,"&gt;="&amp;T$3,Daily_Composite!$A$5:$A$369,"&lt;="&amp;T$2,Daily_Composite!$B$5:$B$369,1,Daily_Composite!$R$5:$R$369,"&lt;"&amp;-Settings!$C$4)/COUNTIFS(Daily_Composite!$A$5:$A$369,"&gt;="&amp;T$3,Daily_Composite!$A$5:$A$369,"&lt;="&amp;T$2,Daily_Composite!$B$5:$B$369,1),"")</f>
        <v>0.136363636363636</v>
      </c>
      <c r="W16" s="7" t="n">
        <f aca="false">IFERROR(AVERAGEIFS(Daily_Composite!$R$5:$R$369,Daily_Composite!$A$5:$A$369,"&gt;="&amp;W$3,Daily_Composite!$A$5:$A$369,"&lt;="&amp;W$2,Daily_Composite!$B$5:$B$369,1),"")</f>
        <v>-0.164809523809524</v>
      </c>
      <c r="X16" s="8" t="n">
        <f aca="false">IFERROR(COUNTIFS(Daily_Composite!$A$5:$A$369,"&gt;="&amp;W$3,Daily_Composite!$A$5:$A$369,"&lt;="&amp;W$2,Daily_Composite!$B$5:$B$369,1,Daily_Composite!$R$5:$R$369,"&gt;"&amp;Settings!$C$4)/COUNTIFS(Daily_Composite!$A$5:$A$369,"&gt;="&amp;W$3,Daily_Composite!$A$5:$A$369,"&lt;="&amp;W$2,Daily_Composite!$B$5:$B$369,1),"")</f>
        <v>0</v>
      </c>
      <c r="Y16" s="8" t="n">
        <f aca="false">IFERROR(COUNTIFS(Daily_Composite!$A$5:$A$369,"&gt;="&amp;W$3,Daily_Composite!$A$5:$A$369,"&lt;="&amp;W$2,Daily_Composite!$B$5:$B$369,1,Daily_Composite!$R$5:$R$369,"&lt;"&amp;-Settings!$C$4)/COUNTIFS(Daily_Composite!$A$5:$A$369,"&gt;="&amp;W$3,Daily_Composite!$A$5:$A$369,"&lt;="&amp;W$2,Daily_Composite!$B$5:$B$369,1),"")</f>
        <v>0.428571428571429</v>
      </c>
      <c r="Z16" s="7" t="n">
        <f aca="false">IFERROR(AVERAGEIFS(Daily_Composite!$R$5:$R$369,Daily_Composite!$A$5:$A$369,"&gt;="&amp;Z$3,Daily_Composite!$A$5:$A$369,"&lt;="&amp;Z$2,Daily_Composite!$B$5:$B$369,1),"")</f>
        <v>0.00263636363636363</v>
      </c>
      <c r="AA16" s="8" t="n">
        <f aca="false">IFERROR(COUNTIFS(Daily_Composite!$A$5:$A$369,"&gt;="&amp;Z$3,Daily_Composite!$A$5:$A$369,"&lt;="&amp;Z$2,Daily_Composite!$B$5:$B$369,1,Daily_Composite!$R$5:$R$369,"&gt;"&amp;Settings!$C$4)/COUNTIFS(Daily_Composite!$A$5:$A$369,"&gt;="&amp;Z$3,Daily_Composite!$A$5:$A$369,"&lt;="&amp;Z$2,Daily_Composite!$B$5:$B$369,1),"")</f>
        <v>0.181818181818182</v>
      </c>
      <c r="AB16" s="8" t="n">
        <f aca="false">IFERROR(COUNTIFS(Daily_Composite!$A$5:$A$369,"&gt;="&amp;Z$3,Daily_Composite!$A$5:$A$369,"&lt;="&amp;Z$2,Daily_Composite!$B$5:$B$369,1,Daily_Composite!$R$5:$R$369,"&lt;"&amp;-Settings!$C$4)/COUNTIFS(Daily_Composite!$A$5:$A$369,"&gt;="&amp;Z$3,Daily_Composite!$A$5:$A$369,"&lt;="&amp;Z$2,Daily_Composite!$B$5:$B$369,1),"")</f>
        <v>0.136363636363636</v>
      </c>
      <c r="AC16" s="7" t="n">
        <f aca="false">IFERROR(AVERAGEIFS(Daily_Composite!$R$5:$R$369,Daily_Composite!$A$5:$A$369,"&gt;="&amp;AC$3,Daily_Composite!$A$5:$A$369,"&lt;="&amp;AC$2,Daily_Composite!$B$5:$B$369,1),"")</f>
        <v>-0.0985454545454546</v>
      </c>
      <c r="AD16" s="8" t="n">
        <f aca="false">IFERROR(COUNTIFS(Daily_Composite!$A$5:$A$369,"&gt;="&amp;AC$3,Daily_Composite!$A$5:$A$369,"&lt;="&amp;AC$2,Daily_Composite!$B$5:$B$369,1,Daily_Composite!$R$5:$R$369,"&gt;"&amp;Settings!$C$4)/COUNTIFS(Daily_Composite!$A$5:$A$369,"&gt;="&amp;AC$3,Daily_Composite!$A$5:$A$369,"&lt;="&amp;AC$2,Daily_Composite!$B$5:$B$369,1),"")</f>
        <v>0.136363636363636</v>
      </c>
      <c r="AE16" s="8" t="n">
        <f aca="false">IFERROR(COUNTIFS(Daily_Composite!$A$5:$A$369,"&gt;="&amp;AC$3,Daily_Composite!$A$5:$A$369,"&lt;="&amp;AC$2,Daily_Composite!$B$5:$B$369,1,Daily_Composite!$R$5:$R$369,"&lt;"&amp;-Settings!$C$4)/COUNTIFS(Daily_Composite!$A$5:$A$369,"&gt;="&amp;AC$3,Daily_Composite!$A$5:$A$369,"&lt;="&amp;AC$2,Daily_Composite!$B$5:$B$369,1),"")</f>
        <v>0.272727272727273</v>
      </c>
      <c r="AF16" s="7" t="n">
        <f aca="false">IFERROR(AVERAGEIFS(Daily_Composite!$R$5:$R$369,Daily_Composite!$A$5:$A$369,"&gt;="&amp;AF$3,Daily_Composite!$A$5:$A$369,"&lt;="&amp;AF$2,Daily_Composite!$B$5:$B$369,1),"")</f>
        <v>-0.279318181818182</v>
      </c>
      <c r="AG16" s="8" t="n">
        <f aca="false">IFERROR(COUNTIFS(Daily_Composite!$A$5:$A$369,"&gt;="&amp;AF$3,Daily_Composite!$A$5:$A$369,"&lt;="&amp;AF$2,Daily_Composite!$B$5:$B$369,1,Daily_Composite!$R$5:$R$369,"&gt;"&amp;Settings!$C$4)/COUNTIFS(Daily_Composite!$A$5:$A$369,"&gt;="&amp;AF$3,Daily_Composite!$A$5:$A$369,"&lt;="&amp;AF$2,Daily_Composite!$B$5:$B$369,1),"")</f>
        <v>0</v>
      </c>
      <c r="AH16" s="8" t="n">
        <f aca="false">IFERROR(COUNTIFS(Daily_Composite!$A$5:$A$369,"&gt;="&amp;AF$3,Daily_Composite!$A$5:$A$369,"&lt;="&amp;AF$2,Daily_Composite!$B$5:$B$369,1,Daily_Composite!$R$5:$R$369,"&lt;"&amp;-Settings!$C$4)/COUNTIFS(Daily_Composite!$A$5:$A$369,"&gt;="&amp;AF$3,Daily_Composite!$A$5:$A$369,"&lt;="&amp;AF$2,Daily_Composite!$B$5:$B$369,1),"")</f>
        <v>0.909090909090909</v>
      </c>
      <c r="AI16" s="7" t="n">
        <f aca="false">IFERROR(AVERAGEIFS(Daily_Composite!$R$5:$R$369,Daily_Composite!$A$5:$A$369,"&gt;="&amp;AI$3,Daily_Composite!$A$5:$A$369,"&lt;="&amp;AI$2,Daily_Composite!$B$5:$B$369,1),"")</f>
        <v>-0.0847272727272727</v>
      </c>
      <c r="AJ16" s="8" t="n">
        <f aca="false">IFERROR(COUNTIFS(Daily_Composite!$A$5:$A$369,"&gt;="&amp;AI$3,Daily_Composite!$A$5:$A$369,"&lt;="&amp;AI$2,Daily_Composite!$B$5:$B$369,1,Daily_Composite!$R$5:$R$369,"&gt;"&amp;Settings!$C$4)/COUNTIFS(Daily_Composite!$A$5:$A$369,"&gt;="&amp;AI$3,Daily_Composite!$A$5:$A$369,"&lt;="&amp;AI$2,Daily_Composite!$B$5:$B$369,1),"")</f>
        <v>0.227272727272727</v>
      </c>
      <c r="AK16" s="8" t="n">
        <f aca="false">IFERROR(COUNTIFS(Daily_Composite!$A$5:$A$369,"&gt;="&amp;AI$3,Daily_Composite!$A$5:$A$369,"&lt;="&amp;AI$2,Daily_Composite!$B$5:$B$369,1,Daily_Composite!$R$5:$R$369,"&lt;"&amp;-Settings!$C$4)/COUNTIFS(Daily_Composite!$A$5:$A$369,"&gt;="&amp;AI$3,Daily_Composite!$A$5:$A$369,"&lt;="&amp;AI$2,Daily_Composite!$B$5:$B$369,1),"")</f>
        <v>0.5</v>
      </c>
      <c r="AL16" s="7" t="n">
        <f aca="false">IFERROR(AVERAGEIFS(Daily_Composite!$R$5:$R$369,Daily_Composite!$A$5:$A$369,"&gt;="&amp;AL$3,Daily_Composite!$A$5:$A$369,"&lt;="&amp;AL$2,Daily_Composite!$B$5:$B$369,1),"")</f>
        <v>-0.0380555555555556</v>
      </c>
      <c r="AM16" s="8" t="n">
        <f aca="false">IFERROR(COUNTIFS(Daily_Composite!$A$5:$A$369,"&gt;="&amp;AL$3,Daily_Composite!$A$5:$A$369,"&lt;="&amp;AL$2,Daily_Composite!$B$5:$B$369,1,Daily_Composite!$R$5:$R$369,"&gt;"&amp;Settings!$C$4)/COUNTIFS(Daily_Composite!$A$5:$A$369,"&gt;="&amp;AL$3,Daily_Composite!$A$5:$A$369,"&lt;="&amp;AL$2,Daily_Composite!$B$5:$B$369,1),"")</f>
        <v>0.277777777777778</v>
      </c>
      <c r="AN16" s="8" t="n">
        <f aca="false">IFERROR(COUNTIFS(Daily_Composite!$A$5:$A$369,"&gt;="&amp;AL$3,Daily_Composite!$A$5:$A$369,"&lt;="&amp;AL$2,Daily_Composite!$B$5:$B$369,1,Daily_Composite!$R$5:$R$369,"&lt;"&amp;-Settings!$C$4)/COUNTIFS(Daily_Composite!$A$5:$A$369,"&gt;="&amp;AL$3,Daily_Composite!$A$5:$A$369,"&lt;="&amp;AL$2,Daily_Composite!$B$5:$B$369,1),"")</f>
        <v>0.444444444444444</v>
      </c>
    </row>
    <row r="17" customFormat="false" ht="15" hidden="false" customHeight="false" outlineLevel="0" collapsed="false">
      <c r="A17" s="6" t="s">
        <v>30</v>
      </c>
      <c r="B17" s="7" t="n">
        <f aca="false">IFERROR(AVERAGEIFS(Daily_Composite!$S$5:$S$369,Daily_Composite!$A$5:$A$369,"&gt;="&amp;B$3,Daily_Composite!$A$5:$A$369,"&lt;="&amp;B$2,Daily_Composite!$B$5:$B$369,1),"")</f>
        <v>0.09275</v>
      </c>
      <c r="C17" s="8" t="n">
        <f aca="false">IFERROR(COUNTIFS(Daily_Composite!$A$5:$A$369,"&gt;="&amp;B$3,Daily_Composite!$A$5:$A$369,"&lt;="&amp;B$2,Daily_Composite!$B$5:$B$369,1,Daily_Composite!$S$5:$S$369,"&gt;"&amp;Settings!$C$4)/COUNTIFS(Daily_Composite!$A$5:$A$369,"&gt;="&amp;B$3,Daily_Composite!$A$5:$A$369,"&lt;="&amp;B$2,Daily_Composite!$B$5:$B$369,1),"")</f>
        <v>0.5</v>
      </c>
      <c r="D17" s="8" t="n">
        <f aca="false">IFERROR(COUNTIFS(Daily_Composite!$A$5:$A$369,"&gt;="&amp;B$3,Daily_Composite!$A$5:$A$369,"&lt;="&amp;B$2,Daily_Composite!$B$5:$B$369,1,Daily_Composite!$S$5:$S$369,"&lt;"&amp;-Settings!$C$4)/COUNTIFS(Daily_Composite!$A$5:$A$369,"&gt;="&amp;B$3,Daily_Composite!$A$5:$A$369,"&lt;="&amp;B$2,Daily_Composite!$B$5:$B$369,1),"")</f>
        <v>0</v>
      </c>
      <c r="E17" s="7" t="n">
        <f aca="false">IFERROR(AVERAGEIFS(Daily_Composite!$S$5:$S$369,Daily_Composite!$A$5:$A$369,"&gt;="&amp;E$3,Daily_Composite!$A$5:$A$369,"&lt;="&amp;E$2,Daily_Composite!$B$5:$B$369,1),"")</f>
        <v>0.176238095238095</v>
      </c>
      <c r="F17" s="8" t="n">
        <f aca="false">IFERROR(COUNTIFS(Daily_Composite!$A$5:$A$369,"&gt;="&amp;E$3,Daily_Composite!$A$5:$A$369,"&lt;="&amp;E$2,Daily_Composite!$B$5:$B$369,1,Daily_Composite!$S$5:$S$369,"&gt;"&amp;Settings!$C$4)/COUNTIFS(Daily_Composite!$A$5:$A$369,"&gt;="&amp;E$3,Daily_Composite!$A$5:$A$369,"&lt;="&amp;E$2,Daily_Composite!$B$5:$B$369,1),"")</f>
        <v>0.619047619047619</v>
      </c>
      <c r="G17" s="8" t="n">
        <f aca="false">IFERROR(COUNTIFS(Daily_Composite!$A$5:$A$369,"&gt;="&amp;E$3,Daily_Composite!$A$5:$A$369,"&lt;="&amp;E$2,Daily_Composite!$B$5:$B$369,1,Daily_Composite!$S$5:$S$369,"&lt;"&amp;-Settings!$C$4)/COUNTIFS(Daily_Composite!$A$5:$A$369,"&gt;="&amp;E$3,Daily_Composite!$A$5:$A$369,"&lt;="&amp;E$2,Daily_Composite!$B$5:$B$369,1),"")</f>
        <v>0.0952380952380952</v>
      </c>
      <c r="H17" s="7" t="n">
        <f aca="false">IFERROR(AVERAGEIFS(Daily_Composite!$S$5:$S$369,Daily_Composite!$A$5:$A$369,"&gt;="&amp;H$3,Daily_Composite!$A$5:$A$369,"&lt;="&amp;H$2,Daily_Composite!$B$5:$B$369,1),"")</f>
        <v>0.156217391304348</v>
      </c>
      <c r="I17" s="8" t="n">
        <f aca="false">IFERROR(COUNTIFS(Daily_Composite!$A$5:$A$369,"&gt;="&amp;H$3,Daily_Composite!$A$5:$A$369,"&lt;="&amp;H$2,Daily_Composite!$B$5:$B$369,1,Daily_Composite!$S$5:$S$369,"&gt;"&amp;Settings!$C$4)/COUNTIFS(Daily_Composite!$A$5:$A$369,"&gt;="&amp;H$3,Daily_Composite!$A$5:$A$369,"&lt;="&amp;H$2,Daily_Composite!$B$5:$B$369,1),"")</f>
        <v>0.478260869565217</v>
      </c>
      <c r="J17" s="8" t="n">
        <f aca="false">IFERROR(COUNTIFS(Daily_Composite!$A$5:$A$369,"&gt;="&amp;H$3,Daily_Composite!$A$5:$A$369,"&lt;="&amp;H$2,Daily_Composite!$B$5:$B$369,1,Daily_Composite!$S$5:$S$369,"&lt;"&amp;-Settings!$C$4)/COUNTIFS(Daily_Composite!$A$5:$A$369,"&gt;="&amp;H$3,Daily_Composite!$A$5:$A$369,"&lt;="&amp;H$2,Daily_Composite!$B$5:$B$369,1),"")</f>
        <v>0.217391304347826</v>
      </c>
      <c r="K17" s="7" t="n">
        <f aca="false">IFERROR(AVERAGEIFS(Daily_Composite!$S$5:$S$369,Daily_Composite!$A$5:$A$369,"&gt;="&amp;K$3,Daily_Composite!$A$5:$A$369,"&lt;="&amp;K$2,Daily_Composite!$B$5:$B$369,1),"")</f>
        <v>-0.0784761904761905</v>
      </c>
      <c r="L17" s="8" t="n">
        <f aca="false">IFERROR(COUNTIFS(Daily_Composite!$A$5:$A$369,"&gt;="&amp;K$3,Daily_Composite!$A$5:$A$369,"&lt;="&amp;K$2,Daily_Composite!$B$5:$B$369,1,Daily_Composite!$S$5:$S$369,"&gt;"&amp;Settings!$C$4)/COUNTIFS(Daily_Composite!$A$5:$A$369,"&gt;="&amp;K$3,Daily_Composite!$A$5:$A$369,"&lt;="&amp;K$2,Daily_Composite!$B$5:$B$369,1),"")</f>
        <v>0.333333333333333</v>
      </c>
      <c r="M17" s="8" t="n">
        <f aca="false">IFERROR(COUNTIFS(Daily_Composite!$A$5:$A$369,"&gt;="&amp;K$3,Daily_Composite!$A$5:$A$369,"&lt;="&amp;K$2,Daily_Composite!$B$5:$B$369,1,Daily_Composite!$S$5:$S$369,"&lt;"&amp;-Settings!$C$4)/COUNTIFS(Daily_Composite!$A$5:$A$369,"&gt;="&amp;K$3,Daily_Composite!$A$5:$A$369,"&lt;="&amp;K$2,Daily_Composite!$B$5:$B$369,1),"")</f>
        <v>0.428571428571429</v>
      </c>
      <c r="N17" s="7" t="n">
        <f aca="false">IFERROR(AVERAGEIFS(Daily_Composite!$S$5:$S$369,Daily_Composite!$A$5:$A$369,"&gt;="&amp;N$3,Daily_Composite!$A$5:$A$369,"&lt;="&amp;N$2,Daily_Composite!$B$5:$B$369,1),"")</f>
        <v>-0.549</v>
      </c>
      <c r="O17" s="8" t="n">
        <f aca="false">IFERROR(COUNTIFS(Daily_Composite!$A$5:$A$369,"&gt;="&amp;N$3,Daily_Composite!$A$5:$A$369,"&lt;="&amp;N$2,Daily_Composite!$B$5:$B$369,1,Daily_Composite!$S$5:$S$369,"&gt;"&amp;Settings!$C$4)/COUNTIFS(Daily_Composite!$A$5:$A$369,"&gt;="&amp;N$3,Daily_Composite!$A$5:$A$369,"&lt;="&amp;N$2,Daily_Composite!$B$5:$B$369,1),"")</f>
        <v>0</v>
      </c>
      <c r="P17" s="8" t="n">
        <f aca="false">IFERROR(COUNTIFS(Daily_Composite!$A$5:$A$369,"&gt;="&amp;N$3,Daily_Composite!$A$5:$A$369,"&lt;="&amp;N$2,Daily_Composite!$B$5:$B$369,1,Daily_Composite!$S$5:$S$369,"&lt;"&amp;-Settings!$C$4)/COUNTIFS(Daily_Composite!$A$5:$A$369,"&gt;="&amp;N$3,Daily_Composite!$A$5:$A$369,"&lt;="&amp;N$2,Daily_Composite!$B$5:$B$369,1),"")</f>
        <v>1</v>
      </c>
      <c r="Q17" s="7" t="n">
        <f aca="false">IFERROR(AVERAGEIFS(Daily_Composite!$S$5:$S$369,Daily_Composite!$A$5:$A$369,"&gt;="&amp;Q$3,Daily_Composite!$A$5:$A$369,"&lt;="&amp;Q$2,Daily_Composite!$B$5:$B$369,1),"")</f>
        <v>-0.257695652173913</v>
      </c>
      <c r="R17" s="8" t="n">
        <f aca="false">IFERROR(COUNTIFS(Daily_Composite!$A$5:$A$369,"&gt;="&amp;Q$3,Daily_Composite!$A$5:$A$369,"&lt;="&amp;Q$2,Daily_Composite!$B$5:$B$369,1,Daily_Composite!$S$5:$S$369,"&gt;"&amp;Settings!$C$4)/COUNTIFS(Daily_Composite!$A$5:$A$369,"&gt;="&amp;Q$3,Daily_Composite!$A$5:$A$369,"&lt;="&amp;Q$2,Daily_Composite!$B$5:$B$369,1),"")</f>
        <v>0.0434782608695652</v>
      </c>
      <c r="S17" s="8" t="n">
        <f aca="false">IFERROR(COUNTIFS(Daily_Composite!$A$5:$A$369,"&gt;="&amp;Q$3,Daily_Composite!$A$5:$A$369,"&lt;="&amp;Q$2,Daily_Composite!$B$5:$B$369,1,Daily_Composite!$S$5:$S$369,"&lt;"&amp;-Settings!$C$4)/COUNTIFS(Daily_Composite!$A$5:$A$369,"&gt;="&amp;Q$3,Daily_Composite!$A$5:$A$369,"&lt;="&amp;Q$2,Daily_Composite!$B$5:$B$369,1),"")</f>
        <v>0.695652173913044</v>
      </c>
      <c r="T17" s="7" t="n">
        <f aca="false">IFERROR(AVERAGEIFS(Daily_Composite!$S$5:$S$369,Daily_Composite!$A$5:$A$369,"&gt;="&amp;T$3,Daily_Composite!$A$5:$A$369,"&lt;="&amp;T$2,Daily_Composite!$B$5:$B$369,1),"")</f>
        <v>-0.211272727272727</v>
      </c>
      <c r="U17" s="8" t="n">
        <f aca="false">IFERROR(COUNTIFS(Daily_Composite!$A$5:$A$369,"&gt;="&amp;T$3,Daily_Composite!$A$5:$A$369,"&lt;="&amp;T$2,Daily_Composite!$B$5:$B$369,1,Daily_Composite!$S$5:$S$369,"&gt;"&amp;Settings!$C$4)/COUNTIFS(Daily_Composite!$A$5:$A$369,"&gt;="&amp;T$3,Daily_Composite!$A$5:$A$369,"&lt;="&amp;T$2,Daily_Composite!$B$5:$B$369,1),"")</f>
        <v>0.0454545454545455</v>
      </c>
      <c r="V17" s="8" t="n">
        <f aca="false">IFERROR(COUNTIFS(Daily_Composite!$A$5:$A$369,"&gt;="&amp;T$3,Daily_Composite!$A$5:$A$369,"&lt;="&amp;T$2,Daily_Composite!$B$5:$B$369,1,Daily_Composite!$S$5:$S$369,"&lt;"&amp;-Settings!$C$4)/COUNTIFS(Daily_Composite!$A$5:$A$369,"&gt;="&amp;T$3,Daily_Composite!$A$5:$A$369,"&lt;="&amp;T$2,Daily_Composite!$B$5:$B$369,1),"")</f>
        <v>0.636363636363636</v>
      </c>
      <c r="W17" s="7" t="n">
        <f aca="false">IFERROR(AVERAGEIFS(Daily_Composite!$S$5:$S$369,Daily_Composite!$A$5:$A$369,"&gt;="&amp;W$3,Daily_Composite!$A$5:$A$369,"&lt;="&amp;W$2,Daily_Composite!$B$5:$B$369,1),"")</f>
        <v>-0.282904761904762</v>
      </c>
      <c r="X17" s="8" t="n">
        <f aca="false">IFERROR(COUNTIFS(Daily_Composite!$A$5:$A$369,"&gt;="&amp;W$3,Daily_Composite!$A$5:$A$369,"&lt;="&amp;W$2,Daily_Composite!$B$5:$B$369,1,Daily_Composite!$S$5:$S$369,"&gt;"&amp;Settings!$C$4)/COUNTIFS(Daily_Composite!$A$5:$A$369,"&gt;="&amp;W$3,Daily_Composite!$A$5:$A$369,"&lt;="&amp;W$2,Daily_Composite!$B$5:$B$369,1),"")</f>
        <v>0.0476190476190476</v>
      </c>
      <c r="Y17" s="8" t="n">
        <f aca="false">IFERROR(COUNTIFS(Daily_Composite!$A$5:$A$369,"&gt;="&amp;W$3,Daily_Composite!$A$5:$A$369,"&lt;="&amp;W$2,Daily_Composite!$B$5:$B$369,1,Daily_Composite!$S$5:$S$369,"&lt;"&amp;-Settings!$C$4)/COUNTIFS(Daily_Composite!$A$5:$A$369,"&gt;="&amp;W$3,Daily_Composite!$A$5:$A$369,"&lt;="&amp;W$2,Daily_Composite!$B$5:$B$369,1),"")</f>
        <v>0.80952380952381</v>
      </c>
      <c r="Z17" s="7" t="n">
        <f aca="false">IFERROR(AVERAGEIFS(Daily_Composite!$S$5:$S$369,Daily_Composite!$A$5:$A$369,"&gt;="&amp;Z$3,Daily_Composite!$A$5:$A$369,"&lt;="&amp;Z$2,Daily_Composite!$B$5:$B$369,1),"")</f>
        <v>-0.188454545454545</v>
      </c>
      <c r="AA17" s="8" t="n">
        <f aca="false">IFERROR(COUNTIFS(Daily_Composite!$A$5:$A$369,"&gt;="&amp;Z$3,Daily_Composite!$A$5:$A$369,"&lt;="&amp;Z$2,Daily_Composite!$B$5:$B$369,1,Daily_Composite!$S$5:$S$369,"&gt;"&amp;Settings!$C$4)/COUNTIFS(Daily_Composite!$A$5:$A$369,"&gt;="&amp;Z$3,Daily_Composite!$A$5:$A$369,"&lt;="&amp;Z$2,Daily_Composite!$B$5:$B$369,1),"")</f>
        <v>0.136363636363636</v>
      </c>
      <c r="AB17" s="8" t="n">
        <f aca="false">IFERROR(COUNTIFS(Daily_Composite!$A$5:$A$369,"&gt;="&amp;Z$3,Daily_Composite!$A$5:$A$369,"&lt;="&amp;Z$2,Daily_Composite!$B$5:$B$369,1,Daily_Composite!$S$5:$S$369,"&lt;"&amp;-Settings!$C$4)/COUNTIFS(Daily_Composite!$A$5:$A$369,"&gt;="&amp;Z$3,Daily_Composite!$A$5:$A$369,"&lt;="&amp;Z$2,Daily_Composite!$B$5:$B$369,1),"")</f>
        <v>0.636363636363636</v>
      </c>
      <c r="AC17" s="7" t="n">
        <f aca="false">IFERROR(AVERAGEIFS(Daily_Composite!$S$5:$S$369,Daily_Composite!$A$5:$A$369,"&gt;="&amp;AC$3,Daily_Composite!$A$5:$A$369,"&lt;="&amp;AC$2,Daily_Composite!$B$5:$B$369,1),"")</f>
        <v>-0.00936363636363636</v>
      </c>
      <c r="AD17" s="8" t="n">
        <f aca="false">IFERROR(COUNTIFS(Daily_Composite!$A$5:$A$369,"&gt;="&amp;AC$3,Daily_Composite!$A$5:$A$369,"&lt;="&amp;AC$2,Daily_Composite!$B$5:$B$369,1,Daily_Composite!$S$5:$S$369,"&gt;"&amp;Settings!$C$4)/COUNTIFS(Daily_Composite!$A$5:$A$369,"&gt;="&amp;AC$3,Daily_Composite!$A$5:$A$369,"&lt;="&amp;AC$2,Daily_Composite!$B$5:$B$369,1),"")</f>
        <v>0.363636363636364</v>
      </c>
      <c r="AE17" s="8" t="n">
        <f aca="false">IFERROR(COUNTIFS(Daily_Composite!$A$5:$A$369,"&gt;="&amp;AC$3,Daily_Composite!$A$5:$A$369,"&lt;="&amp;AC$2,Daily_Composite!$B$5:$B$369,1,Daily_Composite!$S$5:$S$369,"&lt;"&amp;-Settings!$C$4)/COUNTIFS(Daily_Composite!$A$5:$A$369,"&gt;="&amp;AC$3,Daily_Composite!$A$5:$A$369,"&lt;="&amp;AC$2,Daily_Composite!$B$5:$B$369,1),"")</f>
        <v>0.409090909090909</v>
      </c>
      <c r="AF17" s="7" t="n">
        <f aca="false">IFERROR(AVERAGEIFS(Daily_Composite!$S$5:$S$369,Daily_Composite!$A$5:$A$369,"&gt;="&amp;AF$3,Daily_Composite!$A$5:$A$369,"&lt;="&amp;AF$2,Daily_Composite!$B$5:$B$369,1),"")</f>
        <v>-0.0207272727272727</v>
      </c>
      <c r="AG17" s="8" t="n">
        <f aca="false">IFERROR(COUNTIFS(Daily_Composite!$A$5:$A$369,"&gt;="&amp;AF$3,Daily_Composite!$A$5:$A$369,"&lt;="&amp;AF$2,Daily_Composite!$B$5:$B$369,1,Daily_Composite!$S$5:$S$369,"&gt;"&amp;Settings!$C$4)/COUNTIFS(Daily_Composite!$A$5:$A$369,"&gt;="&amp;AF$3,Daily_Composite!$A$5:$A$369,"&lt;="&amp;AF$2,Daily_Composite!$B$5:$B$369,1),"")</f>
        <v>0.272727272727273</v>
      </c>
      <c r="AH17" s="8" t="n">
        <f aca="false">IFERROR(COUNTIFS(Daily_Composite!$A$5:$A$369,"&gt;="&amp;AF$3,Daily_Composite!$A$5:$A$369,"&lt;="&amp;AF$2,Daily_Composite!$B$5:$B$369,1,Daily_Composite!$S$5:$S$369,"&lt;"&amp;-Settings!$C$4)/COUNTIFS(Daily_Composite!$A$5:$A$369,"&gt;="&amp;AF$3,Daily_Composite!$A$5:$A$369,"&lt;="&amp;AF$2,Daily_Composite!$B$5:$B$369,1),"")</f>
        <v>0.363636363636364</v>
      </c>
      <c r="AI17" s="7" t="n">
        <f aca="false">IFERROR(AVERAGEIFS(Daily_Composite!$S$5:$S$369,Daily_Composite!$A$5:$A$369,"&gt;="&amp;AI$3,Daily_Composite!$A$5:$A$369,"&lt;="&amp;AI$2,Daily_Composite!$B$5:$B$369,1),"")</f>
        <v>-0.131454545454545</v>
      </c>
      <c r="AJ17" s="8" t="n">
        <f aca="false">IFERROR(COUNTIFS(Daily_Composite!$A$5:$A$369,"&gt;="&amp;AI$3,Daily_Composite!$A$5:$A$369,"&lt;="&amp;AI$2,Daily_Composite!$B$5:$B$369,1,Daily_Composite!$S$5:$S$369,"&gt;"&amp;Settings!$C$4)/COUNTIFS(Daily_Composite!$A$5:$A$369,"&gt;="&amp;AI$3,Daily_Composite!$A$5:$A$369,"&lt;="&amp;AI$2,Daily_Composite!$B$5:$B$369,1),"")</f>
        <v>0.136363636363636</v>
      </c>
      <c r="AK17" s="8" t="n">
        <f aca="false">IFERROR(COUNTIFS(Daily_Composite!$A$5:$A$369,"&gt;="&amp;AI$3,Daily_Composite!$A$5:$A$369,"&lt;="&amp;AI$2,Daily_Composite!$B$5:$B$369,1,Daily_Composite!$S$5:$S$369,"&lt;"&amp;-Settings!$C$4)/COUNTIFS(Daily_Composite!$A$5:$A$369,"&gt;="&amp;AI$3,Daily_Composite!$A$5:$A$369,"&lt;="&amp;AI$2,Daily_Composite!$B$5:$B$369,1),"")</f>
        <v>0.545454545454545</v>
      </c>
      <c r="AL17" s="7" t="n">
        <f aca="false">IFERROR(AVERAGEIFS(Daily_Composite!$S$5:$S$369,Daily_Composite!$A$5:$A$369,"&gt;="&amp;AL$3,Daily_Composite!$A$5:$A$369,"&lt;="&amp;AL$2,Daily_Composite!$B$5:$B$369,1),"")</f>
        <v>0.2645</v>
      </c>
      <c r="AM17" s="8" t="n">
        <f aca="false">IFERROR(COUNTIFS(Daily_Composite!$A$5:$A$369,"&gt;="&amp;AL$3,Daily_Composite!$A$5:$A$369,"&lt;="&amp;AL$2,Daily_Composite!$B$5:$B$369,1,Daily_Composite!$S$5:$S$369,"&gt;"&amp;Settings!$C$4)/COUNTIFS(Daily_Composite!$A$5:$A$369,"&gt;="&amp;AL$3,Daily_Composite!$A$5:$A$369,"&lt;="&amp;AL$2,Daily_Composite!$B$5:$B$369,1),"")</f>
        <v>0.555555555555556</v>
      </c>
      <c r="AN17" s="8" t="n">
        <f aca="false">IFERROR(COUNTIFS(Daily_Composite!$A$5:$A$369,"&gt;="&amp;AL$3,Daily_Composite!$A$5:$A$369,"&lt;="&amp;AL$2,Daily_Composite!$B$5:$B$369,1,Daily_Composite!$S$5:$S$369,"&lt;"&amp;-Settings!$C$4)/COUNTIFS(Daily_Composite!$A$5:$A$369,"&gt;="&amp;AL$3,Daily_Composite!$A$5:$A$369,"&lt;="&amp;AL$2,Daily_Composite!$B$5:$B$369,1),"")</f>
        <v>0.0555555555555556</v>
      </c>
    </row>
    <row r="18" customFormat="false" ht="15" hidden="false" customHeight="false" outlineLevel="0" collapsed="false">
      <c r="A18" s="6" t="s">
        <v>31</v>
      </c>
      <c r="B18" s="7" t="n">
        <f aca="false">IFERROR(AVERAGEIFS(Daily_Composite!$T$5:$T$369,Daily_Composite!$A$5:$A$369,"&gt;="&amp;B$3,Daily_Composite!$A$5:$A$369,"&lt;="&amp;B$2,Daily_Composite!$B$5:$B$369,1),"")</f>
        <v>-0.038</v>
      </c>
      <c r="C18" s="8" t="n">
        <f aca="false">IFERROR(COUNTIFS(Daily_Composite!$A$5:$A$369,"&gt;="&amp;B$3,Daily_Composite!$A$5:$A$369,"&lt;="&amp;B$2,Daily_Composite!$B$5:$B$369,1,Daily_Composite!$T$5:$T$369,"&gt;"&amp;Settings!$C$4)/COUNTIFS(Daily_Composite!$A$5:$A$369,"&gt;="&amp;B$3,Daily_Composite!$A$5:$A$369,"&lt;="&amp;B$2,Daily_Composite!$B$5:$B$369,1),"")</f>
        <v>0.25</v>
      </c>
      <c r="D18" s="8" t="n">
        <f aca="false">IFERROR(COUNTIFS(Daily_Composite!$A$5:$A$369,"&gt;="&amp;B$3,Daily_Composite!$A$5:$A$369,"&lt;="&amp;B$2,Daily_Composite!$B$5:$B$369,1,Daily_Composite!$T$5:$T$369,"&lt;"&amp;-Settings!$C$4)/COUNTIFS(Daily_Composite!$A$5:$A$369,"&gt;="&amp;B$3,Daily_Composite!$A$5:$A$369,"&lt;="&amp;B$2,Daily_Composite!$B$5:$B$369,1),"")</f>
        <v>0.25</v>
      </c>
      <c r="E18" s="7" t="n">
        <f aca="false">IFERROR(AVERAGEIFS(Daily_Composite!$T$5:$T$369,Daily_Composite!$A$5:$A$369,"&gt;="&amp;E$3,Daily_Composite!$A$5:$A$369,"&lt;="&amp;E$2,Daily_Composite!$B$5:$B$369,1),"")</f>
        <v>0.168238095238095</v>
      </c>
      <c r="F18" s="8" t="n">
        <f aca="false">IFERROR(COUNTIFS(Daily_Composite!$A$5:$A$369,"&gt;="&amp;E$3,Daily_Composite!$A$5:$A$369,"&lt;="&amp;E$2,Daily_Composite!$B$5:$B$369,1,Daily_Composite!$T$5:$T$369,"&gt;"&amp;Settings!$C$4)/COUNTIFS(Daily_Composite!$A$5:$A$369,"&gt;="&amp;E$3,Daily_Composite!$A$5:$A$369,"&lt;="&amp;E$2,Daily_Composite!$B$5:$B$369,1),"")</f>
        <v>0.571428571428571</v>
      </c>
      <c r="G18" s="8" t="n">
        <f aca="false">IFERROR(COUNTIFS(Daily_Composite!$A$5:$A$369,"&gt;="&amp;E$3,Daily_Composite!$A$5:$A$369,"&lt;="&amp;E$2,Daily_Composite!$B$5:$B$369,1,Daily_Composite!$T$5:$T$369,"&lt;"&amp;-Settings!$C$4)/COUNTIFS(Daily_Composite!$A$5:$A$369,"&gt;="&amp;E$3,Daily_Composite!$A$5:$A$369,"&lt;="&amp;E$2,Daily_Composite!$B$5:$B$369,1),"")</f>
        <v>0.142857142857143</v>
      </c>
      <c r="H18" s="7" t="n">
        <f aca="false">IFERROR(AVERAGEIFS(Daily_Composite!$T$5:$T$369,Daily_Composite!$A$5:$A$369,"&gt;="&amp;H$3,Daily_Composite!$A$5:$A$369,"&lt;="&amp;H$2,Daily_Composite!$B$5:$B$369,1),"")</f>
        <v>0.255304347826087</v>
      </c>
      <c r="I18" s="8" t="n">
        <f aca="false">IFERROR(COUNTIFS(Daily_Composite!$A$5:$A$369,"&gt;="&amp;H$3,Daily_Composite!$A$5:$A$369,"&lt;="&amp;H$2,Daily_Composite!$B$5:$B$369,1,Daily_Composite!$T$5:$T$369,"&gt;"&amp;Settings!$C$4)/COUNTIFS(Daily_Composite!$A$5:$A$369,"&gt;="&amp;H$3,Daily_Composite!$A$5:$A$369,"&lt;="&amp;H$2,Daily_Composite!$B$5:$B$369,1),"")</f>
        <v>0.739130434782609</v>
      </c>
      <c r="J18" s="8" t="n">
        <f aca="false">IFERROR(COUNTIFS(Daily_Composite!$A$5:$A$369,"&gt;="&amp;H$3,Daily_Composite!$A$5:$A$369,"&lt;="&amp;H$2,Daily_Composite!$B$5:$B$369,1,Daily_Composite!$T$5:$T$369,"&lt;"&amp;-Settings!$C$4)/COUNTIFS(Daily_Composite!$A$5:$A$369,"&gt;="&amp;H$3,Daily_Composite!$A$5:$A$369,"&lt;="&amp;H$2,Daily_Composite!$B$5:$B$369,1),"")</f>
        <v>0.130434782608696</v>
      </c>
      <c r="K18" s="7" t="n">
        <f aca="false">IFERROR(AVERAGEIFS(Daily_Composite!$T$5:$T$369,Daily_Composite!$A$5:$A$369,"&gt;="&amp;K$3,Daily_Composite!$A$5:$A$369,"&lt;="&amp;K$2,Daily_Composite!$B$5:$B$369,1),"")</f>
        <v>0.0475714285714286</v>
      </c>
      <c r="L18" s="8" t="n">
        <f aca="false">IFERROR(COUNTIFS(Daily_Composite!$A$5:$A$369,"&gt;="&amp;K$3,Daily_Composite!$A$5:$A$369,"&lt;="&amp;K$2,Daily_Composite!$B$5:$B$369,1,Daily_Composite!$T$5:$T$369,"&gt;"&amp;Settings!$C$4)/COUNTIFS(Daily_Composite!$A$5:$A$369,"&gt;="&amp;K$3,Daily_Composite!$A$5:$A$369,"&lt;="&amp;K$2,Daily_Composite!$B$5:$B$369,1),"")</f>
        <v>0.428571428571429</v>
      </c>
      <c r="M18" s="8" t="n">
        <f aca="false">IFERROR(COUNTIFS(Daily_Composite!$A$5:$A$369,"&gt;="&amp;K$3,Daily_Composite!$A$5:$A$369,"&lt;="&amp;K$2,Daily_Composite!$B$5:$B$369,1,Daily_Composite!$T$5:$T$369,"&lt;"&amp;-Settings!$C$4)/COUNTIFS(Daily_Composite!$A$5:$A$369,"&gt;="&amp;K$3,Daily_Composite!$A$5:$A$369,"&lt;="&amp;K$2,Daily_Composite!$B$5:$B$369,1),"")</f>
        <v>0.285714285714286</v>
      </c>
      <c r="N18" s="7" t="n">
        <f aca="false">IFERROR(AVERAGEIFS(Daily_Composite!$T$5:$T$369,Daily_Composite!$A$5:$A$369,"&gt;="&amp;N$3,Daily_Composite!$A$5:$A$369,"&lt;="&amp;N$2,Daily_Composite!$B$5:$B$369,1),"")</f>
        <v>-0.20595</v>
      </c>
      <c r="O18" s="8" t="n">
        <f aca="false">IFERROR(COUNTIFS(Daily_Composite!$A$5:$A$369,"&gt;="&amp;N$3,Daily_Composite!$A$5:$A$369,"&lt;="&amp;N$2,Daily_Composite!$B$5:$B$369,1,Daily_Composite!$T$5:$T$369,"&gt;"&amp;Settings!$C$4)/COUNTIFS(Daily_Composite!$A$5:$A$369,"&gt;="&amp;N$3,Daily_Composite!$A$5:$A$369,"&lt;="&amp;N$2,Daily_Composite!$B$5:$B$369,1),"")</f>
        <v>0.1</v>
      </c>
      <c r="P18" s="8" t="n">
        <f aca="false">IFERROR(COUNTIFS(Daily_Composite!$A$5:$A$369,"&gt;="&amp;N$3,Daily_Composite!$A$5:$A$369,"&lt;="&amp;N$2,Daily_Composite!$B$5:$B$369,1,Daily_Composite!$T$5:$T$369,"&lt;"&amp;-Settings!$C$4)/COUNTIFS(Daily_Composite!$A$5:$A$369,"&gt;="&amp;N$3,Daily_Composite!$A$5:$A$369,"&lt;="&amp;N$2,Daily_Composite!$B$5:$B$369,1),"")</f>
        <v>0.65</v>
      </c>
      <c r="Q18" s="7" t="n">
        <f aca="false">IFERROR(AVERAGEIFS(Daily_Composite!$T$5:$T$369,Daily_Composite!$A$5:$A$369,"&gt;="&amp;Q$3,Daily_Composite!$A$5:$A$369,"&lt;="&amp;Q$2,Daily_Composite!$B$5:$B$369,1),"")</f>
        <v>-0.137565217391304</v>
      </c>
      <c r="R18" s="8" t="n">
        <f aca="false">IFERROR(COUNTIFS(Daily_Composite!$A$5:$A$369,"&gt;="&amp;Q$3,Daily_Composite!$A$5:$A$369,"&lt;="&amp;Q$2,Daily_Composite!$B$5:$B$369,1,Daily_Composite!$T$5:$T$369,"&gt;"&amp;Settings!$C$4)/COUNTIFS(Daily_Composite!$A$5:$A$369,"&gt;="&amp;Q$3,Daily_Composite!$A$5:$A$369,"&lt;="&amp;Q$2,Daily_Composite!$B$5:$B$369,1),"")</f>
        <v>0.173913043478261</v>
      </c>
      <c r="S18" s="8" t="n">
        <f aca="false">IFERROR(COUNTIFS(Daily_Composite!$A$5:$A$369,"&gt;="&amp;Q$3,Daily_Composite!$A$5:$A$369,"&lt;="&amp;Q$2,Daily_Composite!$B$5:$B$369,1,Daily_Composite!$T$5:$T$369,"&lt;"&amp;-Settings!$C$4)/COUNTIFS(Daily_Composite!$A$5:$A$369,"&gt;="&amp;Q$3,Daily_Composite!$A$5:$A$369,"&lt;="&amp;Q$2,Daily_Composite!$B$5:$B$369,1),"")</f>
        <v>0.565217391304348</v>
      </c>
      <c r="T18" s="7" t="n">
        <f aca="false">IFERROR(AVERAGEIFS(Daily_Composite!$T$5:$T$369,Daily_Composite!$A$5:$A$369,"&gt;="&amp;T$3,Daily_Composite!$A$5:$A$369,"&lt;="&amp;T$2,Daily_Composite!$B$5:$B$369,1),"")</f>
        <v>-0.147090909090909</v>
      </c>
      <c r="U18" s="8" t="n">
        <f aca="false">IFERROR(COUNTIFS(Daily_Composite!$A$5:$A$369,"&gt;="&amp;T$3,Daily_Composite!$A$5:$A$369,"&lt;="&amp;T$2,Daily_Composite!$B$5:$B$369,1,Daily_Composite!$T$5:$T$369,"&gt;"&amp;Settings!$C$4)/COUNTIFS(Daily_Composite!$A$5:$A$369,"&gt;="&amp;T$3,Daily_Composite!$A$5:$A$369,"&lt;="&amp;T$2,Daily_Composite!$B$5:$B$369,1),"")</f>
        <v>0.136363636363636</v>
      </c>
      <c r="V18" s="8" t="n">
        <f aca="false">IFERROR(COUNTIFS(Daily_Composite!$A$5:$A$369,"&gt;="&amp;T$3,Daily_Composite!$A$5:$A$369,"&lt;="&amp;T$2,Daily_Composite!$B$5:$B$369,1,Daily_Composite!$T$5:$T$369,"&lt;"&amp;-Settings!$C$4)/COUNTIFS(Daily_Composite!$A$5:$A$369,"&gt;="&amp;T$3,Daily_Composite!$A$5:$A$369,"&lt;="&amp;T$2,Daily_Composite!$B$5:$B$369,1),"")</f>
        <v>0.636363636363636</v>
      </c>
      <c r="W18" s="7" t="n">
        <f aca="false">IFERROR(AVERAGEIFS(Daily_Composite!$T$5:$T$369,Daily_Composite!$A$5:$A$369,"&gt;="&amp;W$3,Daily_Composite!$A$5:$A$369,"&lt;="&amp;W$2,Daily_Composite!$B$5:$B$369,1),"")</f>
        <v>-0.332333333333333</v>
      </c>
      <c r="X18" s="8" t="n">
        <f aca="false">IFERROR(COUNTIFS(Daily_Composite!$A$5:$A$369,"&gt;="&amp;W$3,Daily_Composite!$A$5:$A$369,"&lt;="&amp;W$2,Daily_Composite!$B$5:$B$369,1,Daily_Composite!$T$5:$T$369,"&gt;"&amp;Settings!$C$4)/COUNTIFS(Daily_Composite!$A$5:$A$369,"&gt;="&amp;W$3,Daily_Composite!$A$5:$A$369,"&lt;="&amp;W$2,Daily_Composite!$B$5:$B$369,1),"")</f>
        <v>0.0476190476190476</v>
      </c>
      <c r="Y18" s="8" t="n">
        <f aca="false">IFERROR(COUNTIFS(Daily_Composite!$A$5:$A$369,"&gt;="&amp;W$3,Daily_Composite!$A$5:$A$369,"&lt;="&amp;W$2,Daily_Composite!$B$5:$B$369,1,Daily_Composite!$T$5:$T$369,"&lt;"&amp;-Settings!$C$4)/COUNTIFS(Daily_Composite!$A$5:$A$369,"&gt;="&amp;W$3,Daily_Composite!$A$5:$A$369,"&lt;="&amp;W$2,Daily_Composite!$B$5:$B$369,1),"")</f>
        <v>0.80952380952381</v>
      </c>
      <c r="Z18" s="7" t="n">
        <f aca="false">IFERROR(AVERAGEIFS(Daily_Composite!$T$5:$T$369,Daily_Composite!$A$5:$A$369,"&gt;="&amp;Z$3,Daily_Composite!$A$5:$A$369,"&lt;="&amp;Z$2,Daily_Composite!$B$5:$B$369,1),"")</f>
        <v>-0.295409090909091</v>
      </c>
      <c r="AA18" s="8" t="n">
        <f aca="false">IFERROR(COUNTIFS(Daily_Composite!$A$5:$A$369,"&gt;="&amp;Z$3,Daily_Composite!$A$5:$A$369,"&lt;="&amp;Z$2,Daily_Composite!$B$5:$B$369,1,Daily_Composite!$T$5:$T$369,"&gt;"&amp;Settings!$C$4)/COUNTIFS(Daily_Composite!$A$5:$A$369,"&gt;="&amp;Z$3,Daily_Composite!$A$5:$A$369,"&lt;="&amp;Z$2,Daily_Composite!$B$5:$B$369,1),"")</f>
        <v>0.136363636363636</v>
      </c>
      <c r="AB18" s="8" t="n">
        <f aca="false">IFERROR(COUNTIFS(Daily_Composite!$A$5:$A$369,"&gt;="&amp;Z$3,Daily_Composite!$A$5:$A$369,"&lt;="&amp;Z$2,Daily_Composite!$B$5:$B$369,1,Daily_Composite!$T$5:$T$369,"&lt;"&amp;-Settings!$C$4)/COUNTIFS(Daily_Composite!$A$5:$A$369,"&gt;="&amp;Z$3,Daily_Composite!$A$5:$A$369,"&lt;="&amp;Z$2,Daily_Composite!$B$5:$B$369,1),"")</f>
        <v>0.727272727272727</v>
      </c>
      <c r="AC18" s="7" t="n">
        <f aca="false">IFERROR(AVERAGEIFS(Daily_Composite!$T$5:$T$369,Daily_Composite!$A$5:$A$369,"&gt;="&amp;AC$3,Daily_Composite!$A$5:$A$369,"&lt;="&amp;AC$2,Daily_Composite!$B$5:$B$369,1),"")</f>
        <v>-0.216454545454545</v>
      </c>
      <c r="AD18" s="8" t="n">
        <f aca="false">IFERROR(COUNTIFS(Daily_Composite!$A$5:$A$369,"&gt;="&amp;AC$3,Daily_Composite!$A$5:$A$369,"&lt;="&amp;AC$2,Daily_Composite!$B$5:$B$369,1,Daily_Composite!$T$5:$T$369,"&gt;"&amp;Settings!$C$4)/COUNTIFS(Daily_Composite!$A$5:$A$369,"&gt;="&amp;AC$3,Daily_Composite!$A$5:$A$369,"&lt;="&amp;AC$2,Daily_Composite!$B$5:$B$369,1),"")</f>
        <v>0.136363636363636</v>
      </c>
      <c r="AE18" s="8" t="n">
        <f aca="false">IFERROR(COUNTIFS(Daily_Composite!$A$5:$A$369,"&gt;="&amp;AC$3,Daily_Composite!$A$5:$A$369,"&lt;="&amp;AC$2,Daily_Composite!$B$5:$B$369,1,Daily_Composite!$T$5:$T$369,"&lt;"&amp;-Settings!$C$4)/COUNTIFS(Daily_Composite!$A$5:$A$369,"&gt;="&amp;AC$3,Daily_Composite!$A$5:$A$369,"&lt;="&amp;AC$2,Daily_Composite!$B$5:$B$369,1),"")</f>
        <v>0.636363636363636</v>
      </c>
      <c r="AF18" s="7" t="n">
        <f aca="false">IFERROR(AVERAGEIFS(Daily_Composite!$T$5:$T$369,Daily_Composite!$A$5:$A$369,"&gt;="&amp;AF$3,Daily_Composite!$A$5:$A$369,"&lt;="&amp;AF$2,Daily_Composite!$B$5:$B$369,1),"")</f>
        <v>-0.123272727272727</v>
      </c>
      <c r="AG18" s="8" t="n">
        <f aca="false">IFERROR(COUNTIFS(Daily_Composite!$A$5:$A$369,"&gt;="&amp;AF$3,Daily_Composite!$A$5:$A$369,"&lt;="&amp;AF$2,Daily_Composite!$B$5:$B$369,1,Daily_Composite!$T$5:$T$369,"&gt;"&amp;Settings!$C$4)/COUNTIFS(Daily_Composite!$A$5:$A$369,"&gt;="&amp;AF$3,Daily_Composite!$A$5:$A$369,"&lt;="&amp;AF$2,Daily_Composite!$B$5:$B$369,1),"")</f>
        <v>0.136363636363636</v>
      </c>
      <c r="AH18" s="8" t="n">
        <f aca="false">IFERROR(COUNTIFS(Daily_Composite!$A$5:$A$369,"&gt;="&amp;AF$3,Daily_Composite!$A$5:$A$369,"&lt;="&amp;AF$2,Daily_Composite!$B$5:$B$369,1,Daily_Composite!$T$5:$T$369,"&lt;"&amp;-Settings!$C$4)/COUNTIFS(Daily_Composite!$A$5:$A$369,"&gt;="&amp;AF$3,Daily_Composite!$A$5:$A$369,"&lt;="&amp;AF$2,Daily_Composite!$B$5:$B$369,1),"")</f>
        <v>0.409090909090909</v>
      </c>
      <c r="AI18" s="7" t="n">
        <f aca="false">IFERROR(AVERAGEIFS(Daily_Composite!$T$5:$T$369,Daily_Composite!$A$5:$A$369,"&gt;="&amp;AI$3,Daily_Composite!$A$5:$A$369,"&lt;="&amp;AI$2,Daily_Composite!$B$5:$B$369,1),"")</f>
        <v>-0.228454545454545</v>
      </c>
      <c r="AJ18" s="8" t="n">
        <f aca="false">IFERROR(COUNTIFS(Daily_Composite!$A$5:$A$369,"&gt;="&amp;AI$3,Daily_Composite!$A$5:$A$369,"&lt;="&amp;AI$2,Daily_Composite!$B$5:$B$369,1,Daily_Composite!$T$5:$T$369,"&gt;"&amp;Settings!$C$4)/COUNTIFS(Daily_Composite!$A$5:$A$369,"&gt;="&amp;AI$3,Daily_Composite!$A$5:$A$369,"&lt;="&amp;AI$2,Daily_Composite!$B$5:$B$369,1),"")</f>
        <v>0.0909090909090909</v>
      </c>
      <c r="AK18" s="8" t="n">
        <f aca="false">IFERROR(COUNTIFS(Daily_Composite!$A$5:$A$369,"&gt;="&amp;AI$3,Daily_Composite!$A$5:$A$369,"&lt;="&amp;AI$2,Daily_Composite!$B$5:$B$369,1,Daily_Composite!$T$5:$T$369,"&lt;"&amp;-Settings!$C$4)/COUNTIFS(Daily_Composite!$A$5:$A$369,"&gt;="&amp;AI$3,Daily_Composite!$A$5:$A$369,"&lt;="&amp;AI$2,Daily_Composite!$B$5:$B$369,1),"")</f>
        <v>0.636363636363636</v>
      </c>
      <c r="AL18" s="7" t="n">
        <f aca="false">IFERROR(AVERAGEIFS(Daily_Composite!$T$5:$T$369,Daily_Composite!$A$5:$A$369,"&gt;="&amp;AL$3,Daily_Composite!$A$5:$A$369,"&lt;="&amp;AL$2,Daily_Composite!$B$5:$B$369,1),"")</f>
        <v>0.0522222222222222</v>
      </c>
      <c r="AM18" s="8" t="n">
        <f aca="false">IFERROR(COUNTIFS(Daily_Composite!$A$5:$A$369,"&gt;="&amp;AL$3,Daily_Composite!$A$5:$A$369,"&lt;="&amp;AL$2,Daily_Composite!$B$5:$B$369,1,Daily_Composite!$T$5:$T$369,"&gt;"&amp;Settings!$C$4)/COUNTIFS(Daily_Composite!$A$5:$A$369,"&gt;="&amp;AL$3,Daily_Composite!$A$5:$A$369,"&lt;="&amp;AL$2,Daily_Composite!$B$5:$B$369,1),"")</f>
        <v>0.444444444444444</v>
      </c>
      <c r="AN18" s="8" t="n">
        <f aca="false">IFERROR(COUNTIFS(Daily_Composite!$A$5:$A$369,"&gt;="&amp;AL$3,Daily_Composite!$A$5:$A$369,"&lt;="&amp;AL$2,Daily_Composite!$B$5:$B$369,1,Daily_Composite!$T$5:$T$369,"&lt;"&amp;-Settings!$C$4)/COUNTIFS(Daily_Composite!$A$5:$A$369,"&gt;="&amp;AL$3,Daily_Composite!$A$5:$A$369,"&lt;="&amp;AL$2,Daily_Composite!$B$5:$B$369,1),"")</f>
        <v>0.388888888888889</v>
      </c>
    </row>
    <row r="19" customFormat="false" ht="15" hidden="false" customHeight="false" outlineLevel="0" collapsed="false">
      <c r="A19" s="6" t="s">
        <v>32</v>
      </c>
      <c r="B19" s="7" t="n">
        <f aca="false">IFERROR(AVERAGEIFS(Daily_Composite!$U$5:$U$369,Daily_Composite!$A$5:$A$369,"&gt;="&amp;B$3,Daily_Composite!$A$5:$A$369,"&lt;="&amp;B$2,Daily_Composite!$B$5:$B$369,1),"")</f>
        <v>-0.135</v>
      </c>
      <c r="C19" s="8" t="n">
        <f aca="false">IFERROR(COUNTIFS(Daily_Composite!$A$5:$A$369,"&gt;="&amp;B$3,Daily_Composite!$A$5:$A$369,"&lt;="&amp;B$2,Daily_Composite!$B$5:$B$369,1,Daily_Composite!$U$5:$U$369,"&gt;"&amp;Settings!$C$4)/COUNTIFS(Daily_Composite!$A$5:$A$369,"&gt;="&amp;B$3,Daily_Composite!$A$5:$A$369,"&lt;="&amp;B$2,Daily_Composite!$B$5:$B$369,1),"")</f>
        <v>0</v>
      </c>
      <c r="D19" s="8" t="n">
        <f aca="false">IFERROR(COUNTIFS(Daily_Composite!$A$5:$A$369,"&gt;="&amp;B$3,Daily_Composite!$A$5:$A$369,"&lt;="&amp;B$2,Daily_Composite!$B$5:$B$369,1,Daily_Composite!$U$5:$U$369,"&lt;"&amp;-Settings!$C$4)/COUNTIFS(Daily_Composite!$A$5:$A$369,"&gt;="&amp;B$3,Daily_Composite!$A$5:$A$369,"&lt;="&amp;B$2,Daily_Composite!$B$5:$B$369,1),"")</f>
        <v>0.25</v>
      </c>
      <c r="E19" s="7" t="n">
        <f aca="false">IFERROR(AVERAGEIFS(Daily_Composite!$U$5:$U$369,Daily_Composite!$A$5:$A$369,"&gt;="&amp;E$3,Daily_Composite!$A$5:$A$369,"&lt;="&amp;E$2,Daily_Composite!$B$5:$B$369,1),"")</f>
        <v>-0.00257142857142857</v>
      </c>
      <c r="F19" s="8" t="n">
        <f aca="false">IFERROR(COUNTIFS(Daily_Composite!$A$5:$A$369,"&gt;="&amp;E$3,Daily_Composite!$A$5:$A$369,"&lt;="&amp;E$2,Daily_Composite!$B$5:$B$369,1,Daily_Composite!$U$5:$U$369,"&gt;"&amp;Settings!$C$4)/COUNTIFS(Daily_Composite!$A$5:$A$369,"&gt;="&amp;E$3,Daily_Composite!$A$5:$A$369,"&lt;="&amp;E$2,Daily_Composite!$B$5:$B$369,1),"")</f>
        <v>0.19047619047619</v>
      </c>
      <c r="G19" s="8" t="n">
        <f aca="false">IFERROR(COUNTIFS(Daily_Composite!$A$5:$A$369,"&gt;="&amp;E$3,Daily_Composite!$A$5:$A$369,"&lt;="&amp;E$2,Daily_Composite!$B$5:$B$369,1,Daily_Composite!$U$5:$U$369,"&lt;"&amp;-Settings!$C$4)/COUNTIFS(Daily_Composite!$A$5:$A$369,"&gt;="&amp;E$3,Daily_Composite!$A$5:$A$369,"&lt;="&amp;E$2,Daily_Composite!$B$5:$B$369,1),"")</f>
        <v>0.285714285714286</v>
      </c>
      <c r="H19" s="7" t="n">
        <f aca="false">IFERROR(AVERAGEIFS(Daily_Composite!$U$5:$U$369,Daily_Composite!$A$5:$A$369,"&gt;="&amp;H$3,Daily_Composite!$A$5:$A$369,"&lt;="&amp;H$2,Daily_Composite!$B$5:$B$369,1),"")</f>
        <v>0.246869565217391</v>
      </c>
      <c r="I19" s="8" t="n">
        <f aca="false">IFERROR(COUNTIFS(Daily_Composite!$A$5:$A$369,"&gt;="&amp;H$3,Daily_Composite!$A$5:$A$369,"&lt;="&amp;H$2,Daily_Composite!$B$5:$B$369,1,Daily_Composite!$U$5:$U$369,"&gt;"&amp;Settings!$C$4)/COUNTIFS(Daily_Composite!$A$5:$A$369,"&gt;="&amp;H$3,Daily_Composite!$A$5:$A$369,"&lt;="&amp;H$2,Daily_Composite!$B$5:$B$369,1),"")</f>
        <v>0.652173913043478</v>
      </c>
      <c r="J19" s="8" t="n">
        <f aca="false">IFERROR(COUNTIFS(Daily_Composite!$A$5:$A$369,"&gt;="&amp;H$3,Daily_Composite!$A$5:$A$369,"&lt;="&amp;H$2,Daily_Composite!$B$5:$B$369,1,Daily_Composite!$U$5:$U$369,"&lt;"&amp;-Settings!$C$4)/COUNTIFS(Daily_Composite!$A$5:$A$369,"&gt;="&amp;H$3,Daily_Composite!$A$5:$A$369,"&lt;="&amp;H$2,Daily_Composite!$B$5:$B$369,1),"")</f>
        <v>0</v>
      </c>
      <c r="K19" s="7" t="n">
        <f aca="false">IFERROR(AVERAGEIFS(Daily_Composite!$U$5:$U$369,Daily_Composite!$A$5:$A$369,"&gt;="&amp;K$3,Daily_Composite!$A$5:$A$369,"&lt;="&amp;K$2,Daily_Composite!$B$5:$B$369,1),"")</f>
        <v>0.140809523809524</v>
      </c>
      <c r="L19" s="8" t="n">
        <f aca="false">IFERROR(COUNTIFS(Daily_Composite!$A$5:$A$369,"&gt;="&amp;K$3,Daily_Composite!$A$5:$A$369,"&lt;="&amp;K$2,Daily_Composite!$B$5:$B$369,1,Daily_Composite!$U$5:$U$369,"&gt;"&amp;Settings!$C$4)/COUNTIFS(Daily_Composite!$A$5:$A$369,"&gt;="&amp;K$3,Daily_Composite!$A$5:$A$369,"&lt;="&amp;K$2,Daily_Composite!$B$5:$B$369,1),"")</f>
        <v>0.428571428571429</v>
      </c>
      <c r="M19" s="8" t="n">
        <f aca="false">IFERROR(COUNTIFS(Daily_Composite!$A$5:$A$369,"&gt;="&amp;K$3,Daily_Composite!$A$5:$A$369,"&lt;="&amp;K$2,Daily_Composite!$B$5:$B$369,1,Daily_Composite!$U$5:$U$369,"&lt;"&amp;-Settings!$C$4)/COUNTIFS(Daily_Composite!$A$5:$A$369,"&gt;="&amp;K$3,Daily_Composite!$A$5:$A$369,"&lt;="&amp;K$2,Daily_Composite!$B$5:$B$369,1),"")</f>
        <v>0.0476190476190476</v>
      </c>
      <c r="N19" s="7" t="n">
        <f aca="false">IFERROR(AVERAGEIFS(Daily_Composite!$U$5:$U$369,Daily_Composite!$A$5:$A$369,"&gt;="&amp;N$3,Daily_Composite!$A$5:$A$369,"&lt;="&amp;N$2,Daily_Composite!$B$5:$B$369,1),"")</f>
        <v>-0.00465</v>
      </c>
      <c r="O19" s="8" t="n">
        <f aca="false">IFERROR(COUNTIFS(Daily_Composite!$A$5:$A$369,"&gt;="&amp;N$3,Daily_Composite!$A$5:$A$369,"&lt;="&amp;N$2,Daily_Composite!$B$5:$B$369,1,Daily_Composite!$U$5:$U$369,"&gt;"&amp;Settings!$C$4)/COUNTIFS(Daily_Composite!$A$5:$A$369,"&gt;="&amp;N$3,Daily_Composite!$A$5:$A$369,"&lt;="&amp;N$2,Daily_Composite!$B$5:$B$369,1),"")</f>
        <v>0.35</v>
      </c>
      <c r="P19" s="8" t="n">
        <f aca="false">IFERROR(COUNTIFS(Daily_Composite!$A$5:$A$369,"&gt;="&amp;N$3,Daily_Composite!$A$5:$A$369,"&lt;="&amp;N$2,Daily_Composite!$B$5:$B$369,1,Daily_Composite!$U$5:$U$369,"&lt;"&amp;-Settings!$C$4)/COUNTIFS(Daily_Composite!$A$5:$A$369,"&gt;="&amp;N$3,Daily_Composite!$A$5:$A$369,"&lt;="&amp;N$2,Daily_Composite!$B$5:$B$369,1),"")</f>
        <v>0.35</v>
      </c>
      <c r="Q19" s="7" t="n">
        <f aca="false">IFERROR(AVERAGEIFS(Daily_Composite!$U$5:$U$369,Daily_Composite!$A$5:$A$369,"&gt;="&amp;Q$3,Daily_Composite!$A$5:$A$369,"&lt;="&amp;Q$2,Daily_Composite!$B$5:$B$369,1),"")</f>
        <v>-0.0338695652173913</v>
      </c>
      <c r="R19" s="8" t="n">
        <f aca="false">IFERROR(COUNTIFS(Daily_Composite!$A$5:$A$369,"&gt;="&amp;Q$3,Daily_Composite!$A$5:$A$369,"&lt;="&amp;Q$2,Daily_Composite!$B$5:$B$369,1,Daily_Composite!$U$5:$U$369,"&gt;"&amp;Settings!$C$4)/COUNTIFS(Daily_Composite!$A$5:$A$369,"&gt;="&amp;Q$3,Daily_Composite!$A$5:$A$369,"&lt;="&amp;Q$2,Daily_Composite!$B$5:$B$369,1),"")</f>
        <v>0.173913043478261</v>
      </c>
      <c r="S19" s="8" t="n">
        <f aca="false">IFERROR(COUNTIFS(Daily_Composite!$A$5:$A$369,"&gt;="&amp;Q$3,Daily_Composite!$A$5:$A$369,"&lt;="&amp;Q$2,Daily_Composite!$B$5:$B$369,1,Daily_Composite!$U$5:$U$369,"&lt;"&amp;-Settings!$C$4)/COUNTIFS(Daily_Composite!$A$5:$A$369,"&gt;="&amp;Q$3,Daily_Composite!$A$5:$A$369,"&lt;="&amp;Q$2,Daily_Composite!$B$5:$B$369,1),"")</f>
        <v>0.260869565217391</v>
      </c>
      <c r="T19" s="7" t="n">
        <f aca="false">IFERROR(AVERAGEIFS(Daily_Composite!$U$5:$U$369,Daily_Composite!$A$5:$A$369,"&gt;="&amp;T$3,Daily_Composite!$A$5:$A$369,"&lt;="&amp;T$2,Daily_Composite!$B$5:$B$369,1),"")</f>
        <v>-0.137727272727273</v>
      </c>
      <c r="U19" s="8" t="n">
        <f aca="false">IFERROR(COUNTIFS(Daily_Composite!$A$5:$A$369,"&gt;="&amp;T$3,Daily_Composite!$A$5:$A$369,"&lt;="&amp;T$2,Daily_Composite!$B$5:$B$369,1,Daily_Composite!$U$5:$U$369,"&gt;"&amp;Settings!$C$4)/COUNTIFS(Daily_Composite!$A$5:$A$369,"&gt;="&amp;T$3,Daily_Composite!$A$5:$A$369,"&lt;="&amp;T$2,Daily_Composite!$B$5:$B$369,1),"")</f>
        <v>0.0454545454545455</v>
      </c>
      <c r="V19" s="8" t="n">
        <f aca="false">IFERROR(COUNTIFS(Daily_Composite!$A$5:$A$369,"&gt;="&amp;T$3,Daily_Composite!$A$5:$A$369,"&lt;="&amp;T$2,Daily_Composite!$B$5:$B$369,1,Daily_Composite!$U$5:$U$369,"&lt;"&amp;-Settings!$C$4)/COUNTIFS(Daily_Composite!$A$5:$A$369,"&gt;="&amp;T$3,Daily_Composite!$A$5:$A$369,"&lt;="&amp;T$2,Daily_Composite!$B$5:$B$369,1),"")</f>
        <v>0.318181818181818</v>
      </c>
      <c r="W19" s="7" t="n">
        <f aca="false">IFERROR(AVERAGEIFS(Daily_Composite!$U$5:$U$369,Daily_Composite!$A$5:$A$369,"&gt;="&amp;W$3,Daily_Composite!$A$5:$A$369,"&lt;="&amp;W$2,Daily_Composite!$B$5:$B$369,1),"")</f>
        <v>-0.273904761904762</v>
      </c>
      <c r="X19" s="8" t="n">
        <f aca="false">IFERROR(COUNTIFS(Daily_Composite!$A$5:$A$369,"&gt;="&amp;W$3,Daily_Composite!$A$5:$A$369,"&lt;="&amp;W$2,Daily_Composite!$B$5:$B$369,1,Daily_Composite!$U$5:$U$369,"&gt;"&amp;Settings!$C$4)/COUNTIFS(Daily_Composite!$A$5:$A$369,"&gt;="&amp;W$3,Daily_Composite!$A$5:$A$369,"&lt;="&amp;W$2,Daily_Composite!$B$5:$B$369,1),"")</f>
        <v>0.0476190476190476</v>
      </c>
      <c r="Y19" s="8" t="n">
        <f aca="false">IFERROR(COUNTIFS(Daily_Composite!$A$5:$A$369,"&gt;="&amp;W$3,Daily_Composite!$A$5:$A$369,"&lt;="&amp;W$2,Daily_Composite!$B$5:$B$369,1,Daily_Composite!$U$5:$U$369,"&lt;"&amp;-Settings!$C$4)/COUNTIFS(Daily_Composite!$A$5:$A$369,"&gt;="&amp;W$3,Daily_Composite!$A$5:$A$369,"&lt;="&amp;W$2,Daily_Composite!$B$5:$B$369,1),"")</f>
        <v>0.904761904761905</v>
      </c>
      <c r="Z19" s="7" t="n">
        <f aca="false">IFERROR(AVERAGEIFS(Daily_Composite!$U$5:$U$369,Daily_Composite!$A$5:$A$369,"&gt;="&amp;Z$3,Daily_Composite!$A$5:$A$369,"&lt;="&amp;Z$2,Daily_Composite!$B$5:$B$369,1),"")</f>
        <v>-0.265545454545455</v>
      </c>
      <c r="AA19" s="8" t="n">
        <f aca="false">IFERROR(COUNTIFS(Daily_Composite!$A$5:$A$369,"&gt;="&amp;Z$3,Daily_Composite!$A$5:$A$369,"&lt;="&amp;Z$2,Daily_Composite!$B$5:$B$369,1,Daily_Composite!$U$5:$U$369,"&gt;"&amp;Settings!$C$4)/COUNTIFS(Daily_Composite!$A$5:$A$369,"&gt;="&amp;Z$3,Daily_Composite!$A$5:$A$369,"&lt;="&amp;Z$2,Daily_Composite!$B$5:$B$369,1),"")</f>
        <v>0.0909090909090909</v>
      </c>
      <c r="AB19" s="8" t="n">
        <f aca="false">IFERROR(COUNTIFS(Daily_Composite!$A$5:$A$369,"&gt;="&amp;Z$3,Daily_Composite!$A$5:$A$369,"&lt;="&amp;Z$2,Daily_Composite!$B$5:$B$369,1,Daily_Composite!$U$5:$U$369,"&lt;"&amp;-Settings!$C$4)/COUNTIFS(Daily_Composite!$A$5:$A$369,"&gt;="&amp;Z$3,Daily_Composite!$A$5:$A$369,"&lt;="&amp;Z$2,Daily_Composite!$B$5:$B$369,1),"")</f>
        <v>0.727272727272727</v>
      </c>
      <c r="AC19" s="7" t="n">
        <f aca="false">IFERROR(AVERAGEIFS(Daily_Composite!$U$5:$U$369,Daily_Composite!$A$5:$A$369,"&gt;="&amp;AC$3,Daily_Composite!$A$5:$A$369,"&lt;="&amp;AC$2,Daily_Composite!$B$5:$B$369,1),"")</f>
        <v>-0.248409090909091</v>
      </c>
      <c r="AD19" s="8" t="n">
        <f aca="false">IFERROR(COUNTIFS(Daily_Composite!$A$5:$A$369,"&gt;="&amp;AC$3,Daily_Composite!$A$5:$A$369,"&lt;="&amp;AC$2,Daily_Composite!$B$5:$B$369,1,Daily_Composite!$U$5:$U$369,"&gt;"&amp;Settings!$C$4)/COUNTIFS(Daily_Composite!$A$5:$A$369,"&gt;="&amp;AC$3,Daily_Composite!$A$5:$A$369,"&lt;="&amp;AC$2,Daily_Composite!$B$5:$B$369,1),"")</f>
        <v>0.0454545454545455</v>
      </c>
      <c r="AE19" s="8" t="n">
        <f aca="false">IFERROR(COUNTIFS(Daily_Composite!$A$5:$A$369,"&gt;="&amp;AC$3,Daily_Composite!$A$5:$A$369,"&lt;="&amp;AC$2,Daily_Composite!$B$5:$B$369,1,Daily_Composite!$U$5:$U$369,"&lt;"&amp;-Settings!$C$4)/COUNTIFS(Daily_Composite!$A$5:$A$369,"&gt;="&amp;AC$3,Daily_Composite!$A$5:$A$369,"&lt;="&amp;AC$2,Daily_Composite!$B$5:$B$369,1),"")</f>
        <v>0.772727272727273</v>
      </c>
      <c r="AF19" s="7" t="n">
        <f aca="false">IFERROR(AVERAGEIFS(Daily_Composite!$U$5:$U$369,Daily_Composite!$A$5:$A$369,"&gt;="&amp;AF$3,Daily_Composite!$A$5:$A$369,"&lt;="&amp;AF$2,Daily_Composite!$B$5:$B$369,1),"")</f>
        <v>-0.218454545454545</v>
      </c>
      <c r="AG19" s="8" t="n">
        <f aca="false">IFERROR(COUNTIFS(Daily_Composite!$A$5:$A$369,"&gt;="&amp;AF$3,Daily_Composite!$A$5:$A$369,"&lt;="&amp;AF$2,Daily_Composite!$B$5:$B$369,1,Daily_Composite!$U$5:$U$369,"&gt;"&amp;Settings!$C$4)/COUNTIFS(Daily_Composite!$A$5:$A$369,"&gt;="&amp;AF$3,Daily_Composite!$A$5:$A$369,"&lt;="&amp;AF$2,Daily_Composite!$B$5:$B$369,1),"")</f>
        <v>0</v>
      </c>
      <c r="AH19" s="8" t="n">
        <f aca="false">IFERROR(COUNTIFS(Daily_Composite!$A$5:$A$369,"&gt;="&amp;AF$3,Daily_Composite!$A$5:$A$369,"&lt;="&amp;AF$2,Daily_Composite!$B$5:$B$369,1,Daily_Composite!$U$5:$U$369,"&lt;"&amp;-Settings!$C$4)/COUNTIFS(Daily_Composite!$A$5:$A$369,"&gt;="&amp;AF$3,Daily_Composite!$A$5:$A$369,"&lt;="&amp;AF$2,Daily_Composite!$B$5:$B$369,1),"")</f>
        <v>0.681818181818182</v>
      </c>
      <c r="AI19" s="7" t="n">
        <f aca="false">IFERROR(AVERAGEIFS(Daily_Composite!$U$5:$U$369,Daily_Composite!$A$5:$A$369,"&gt;="&amp;AI$3,Daily_Composite!$A$5:$A$369,"&lt;="&amp;AI$2,Daily_Composite!$B$5:$B$369,1),"")</f>
        <v>-0.372454545454546</v>
      </c>
      <c r="AJ19" s="8" t="n">
        <f aca="false">IFERROR(COUNTIFS(Daily_Composite!$A$5:$A$369,"&gt;="&amp;AI$3,Daily_Composite!$A$5:$A$369,"&lt;="&amp;AI$2,Daily_Composite!$B$5:$B$369,1,Daily_Composite!$U$5:$U$369,"&gt;"&amp;Settings!$C$4)/COUNTIFS(Daily_Composite!$A$5:$A$369,"&gt;="&amp;AI$3,Daily_Composite!$A$5:$A$369,"&lt;="&amp;AI$2,Daily_Composite!$B$5:$B$369,1),"")</f>
        <v>0</v>
      </c>
      <c r="AK19" s="8" t="n">
        <f aca="false">IFERROR(COUNTIFS(Daily_Composite!$A$5:$A$369,"&gt;="&amp;AI$3,Daily_Composite!$A$5:$A$369,"&lt;="&amp;AI$2,Daily_Composite!$B$5:$B$369,1,Daily_Composite!$U$5:$U$369,"&lt;"&amp;-Settings!$C$4)/COUNTIFS(Daily_Composite!$A$5:$A$369,"&gt;="&amp;AI$3,Daily_Composite!$A$5:$A$369,"&lt;="&amp;AI$2,Daily_Composite!$B$5:$B$369,1),"")</f>
        <v>0.863636363636364</v>
      </c>
      <c r="AL19" s="7" t="n">
        <f aca="false">IFERROR(AVERAGEIFS(Daily_Composite!$U$5:$U$369,Daily_Composite!$A$5:$A$369,"&gt;="&amp;AL$3,Daily_Composite!$A$5:$A$369,"&lt;="&amp;AL$2,Daily_Composite!$B$5:$B$369,1),"")</f>
        <v>-0.129111111111111</v>
      </c>
      <c r="AM19" s="8" t="n">
        <f aca="false">IFERROR(COUNTIFS(Daily_Composite!$A$5:$A$369,"&gt;="&amp;AL$3,Daily_Composite!$A$5:$A$369,"&lt;="&amp;AL$2,Daily_Composite!$B$5:$B$369,1,Daily_Composite!$U$5:$U$369,"&gt;"&amp;Settings!$C$4)/COUNTIFS(Daily_Composite!$A$5:$A$369,"&gt;="&amp;AL$3,Daily_Composite!$A$5:$A$369,"&lt;="&amp;AL$2,Daily_Composite!$B$5:$B$369,1),"")</f>
        <v>0.222222222222222</v>
      </c>
      <c r="AN19" s="8" t="n">
        <f aca="false">IFERROR(COUNTIFS(Daily_Composite!$A$5:$A$369,"&gt;="&amp;AL$3,Daily_Composite!$A$5:$A$369,"&lt;="&amp;AL$2,Daily_Composite!$B$5:$B$369,1,Daily_Composite!$U$5:$U$369,"&lt;"&amp;-Settings!$C$4)/COUNTIFS(Daily_Composite!$A$5:$A$369,"&gt;="&amp;AL$3,Daily_Composite!$A$5:$A$369,"&lt;="&amp;AL$2,Daily_Composite!$B$5:$B$369,1),"")</f>
        <v>0.555555555555556</v>
      </c>
    </row>
    <row r="20" customFormat="false" ht="15" hidden="false" customHeight="false" outlineLevel="0" collapsed="false">
      <c r="A20" s="6" t="s">
        <v>33</v>
      </c>
      <c r="B20" s="7" t="n">
        <f aca="false">IFERROR(AVERAGEIFS(Daily_Composite!$V$5:$V$369,Daily_Composite!$A$5:$A$369,"&gt;="&amp;B$3,Daily_Composite!$A$5:$A$369,"&lt;="&amp;B$2,Daily_Composite!$B$5:$B$369,1),"")</f>
        <v>-0.08925</v>
      </c>
      <c r="C20" s="8" t="n">
        <f aca="false">IFERROR(COUNTIFS(Daily_Composite!$A$5:$A$369,"&gt;="&amp;B$3,Daily_Composite!$A$5:$A$369,"&lt;="&amp;B$2,Daily_Composite!$B$5:$B$369,1,Daily_Composite!$V$5:$V$369,"&gt;"&amp;Settings!$C$4)/COUNTIFS(Daily_Composite!$A$5:$A$369,"&gt;="&amp;B$3,Daily_Composite!$A$5:$A$369,"&lt;="&amp;B$2,Daily_Composite!$B$5:$B$369,1),"")</f>
        <v>0</v>
      </c>
      <c r="D20" s="8" t="n">
        <f aca="false">IFERROR(COUNTIFS(Daily_Composite!$A$5:$A$369,"&gt;="&amp;B$3,Daily_Composite!$A$5:$A$369,"&lt;="&amp;B$2,Daily_Composite!$B$5:$B$369,1,Daily_Composite!$V$5:$V$369,"&lt;"&amp;-Settings!$C$4)/COUNTIFS(Daily_Composite!$A$5:$A$369,"&gt;="&amp;B$3,Daily_Composite!$A$5:$A$369,"&lt;="&amp;B$2,Daily_Composite!$B$5:$B$369,1),"")</f>
        <v>0.25</v>
      </c>
      <c r="E20" s="7" t="n">
        <f aca="false">IFERROR(AVERAGEIFS(Daily_Composite!$V$5:$V$369,Daily_Composite!$A$5:$A$369,"&gt;="&amp;E$3,Daily_Composite!$A$5:$A$369,"&lt;="&amp;E$2,Daily_Composite!$B$5:$B$369,1),"")</f>
        <v>0.251619047619048</v>
      </c>
      <c r="F20" s="8" t="n">
        <f aca="false">IFERROR(COUNTIFS(Daily_Composite!$A$5:$A$369,"&gt;="&amp;E$3,Daily_Composite!$A$5:$A$369,"&lt;="&amp;E$2,Daily_Composite!$B$5:$B$369,1,Daily_Composite!$V$5:$V$369,"&gt;"&amp;Settings!$C$4)/COUNTIFS(Daily_Composite!$A$5:$A$369,"&gt;="&amp;E$3,Daily_Composite!$A$5:$A$369,"&lt;="&amp;E$2,Daily_Composite!$B$5:$B$369,1),"")</f>
        <v>0.761904761904762</v>
      </c>
      <c r="G20" s="8" t="n">
        <f aca="false">IFERROR(COUNTIFS(Daily_Composite!$A$5:$A$369,"&gt;="&amp;E$3,Daily_Composite!$A$5:$A$369,"&lt;="&amp;E$2,Daily_Composite!$B$5:$B$369,1,Daily_Composite!$V$5:$V$369,"&lt;"&amp;-Settings!$C$4)/COUNTIFS(Daily_Composite!$A$5:$A$369,"&gt;="&amp;E$3,Daily_Composite!$A$5:$A$369,"&lt;="&amp;E$2,Daily_Composite!$B$5:$B$369,1),"")</f>
        <v>0</v>
      </c>
      <c r="H20" s="7" t="n">
        <f aca="false">IFERROR(AVERAGEIFS(Daily_Composite!$V$5:$V$369,Daily_Composite!$A$5:$A$369,"&gt;="&amp;H$3,Daily_Composite!$A$5:$A$369,"&lt;="&amp;H$2,Daily_Composite!$B$5:$B$369,1),"")</f>
        <v>0.105652173913043</v>
      </c>
      <c r="I20" s="8" t="n">
        <f aca="false">IFERROR(COUNTIFS(Daily_Composite!$A$5:$A$369,"&gt;="&amp;H$3,Daily_Composite!$A$5:$A$369,"&lt;="&amp;H$2,Daily_Composite!$B$5:$B$369,1,Daily_Composite!$V$5:$V$369,"&gt;"&amp;Settings!$C$4)/COUNTIFS(Daily_Composite!$A$5:$A$369,"&gt;="&amp;H$3,Daily_Composite!$A$5:$A$369,"&lt;="&amp;H$2,Daily_Composite!$B$5:$B$369,1),"")</f>
        <v>0.0869565217391304</v>
      </c>
      <c r="J20" s="8" t="n">
        <f aca="false">IFERROR(COUNTIFS(Daily_Composite!$A$5:$A$369,"&gt;="&amp;H$3,Daily_Composite!$A$5:$A$369,"&lt;="&amp;H$2,Daily_Composite!$B$5:$B$369,1,Daily_Composite!$V$5:$V$369,"&lt;"&amp;-Settings!$C$4)/COUNTIFS(Daily_Composite!$A$5:$A$369,"&gt;="&amp;H$3,Daily_Composite!$A$5:$A$369,"&lt;="&amp;H$2,Daily_Composite!$B$5:$B$369,1),"")</f>
        <v>0.0434782608695652</v>
      </c>
      <c r="K20" s="7" t="n">
        <f aca="false">IFERROR(AVERAGEIFS(Daily_Composite!$V$5:$V$369,Daily_Composite!$A$5:$A$369,"&gt;="&amp;K$3,Daily_Composite!$A$5:$A$369,"&lt;="&amp;K$2,Daily_Composite!$B$5:$B$369,1),"")</f>
        <v>-0.017047619047619</v>
      </c>
      <c r="L20" s="8" t="n">
        <f aca="false">IFERROR(COUNTIFS(Daily_Composite!$A$5:$A$369,"&gt;="&amp;K$3,Daily_Composite!$A$5:$A$369,"&lt;="&amp;K$2,Daily_Composite!$B$5:$B$369,1,Daily_Composite!$V$5:$V$369,"&gt;"&amp;Settings!$C$4)/COUNTIFS(Daily_Composite!$A$5:$A$369,"&gt;="&amp;K$3,Daily_Composite!$A$5:$A$369,"&lt;="&amp;K$2,Daily_Composite!$B$5:$B$369,1),"")</f>
        <v>0</v>
      </c>
      <c r="M20" s="8" t="n">
        <f aca="false">IFERROR(COUNTIFS(Daily_Composite!$A$5:$A$369,"&gt;="&amp;K$3,Daily_Composite!$A$5:$A$369,"&lt;="&amp;K$2,Daily_Composite!$B$5:$B$369,1,Daily_Composite!$V$5:$V$369,"&lt;"&amp;-Settings!$C$4)/COUNTIFS(Daily_Composite!$A$5:$A$369,"&gt;="&amp;K$3,Daily_Composite!$A$5:$A$369,"&lt;="&amp;K$2,Daily_Composite!$B$5:$B$369,1),"")</f>
        <v>0.238095238095238</v>
      </c>
      <c r="N20" s="7" t="n">
        <f aca="false">IFERROR(AVERAGEIFS(Daily_Composite!$V$5:$V$369,Daily_Composite!$A$5:$A$369,"&gt;="&amp;N$3,Daily_Composite!$A$5:$A$369,"&lt;="&amp;N$2,Daily_Composite!$B$5:$B$369,1),"")</f>
        <v>0.15115</v>
      </c>
      <c r="O20" s="8" t="n">
        <f aca="false">IFERROR(COUNTIFS(Daily_Composite!$A$5:$A$369,"&gt;="&amp;N$3,Daily_Composite!$A$5:$A$369,"&lt;="&amp;N$2,Daily_Composite!$B$5:$B$369,1,Daily_Composite!$V$5:$V$369,"&gt;"&amp;Settings!$C$4)/COUNTIFS(Daily_Composite!$A$5:$A$369,"&gt;="&amp;N$3,Daily_Composite!$A$5:$A$369,"&lt;="&amp;N$2,Daily_Composite!$B$5:$B$369,1),"")</f>
        <v>0.5</v>
      </c>
      <c r="P20" s="8" t="n">
        <f aca="false">IFERROR(COUNTIFS(Daily_Composite!$A$5:$A$369,"&gt;="&amp;N$3,Daily_Composite!$A$5:$A$369,"&lt;="&amp;N$2,Daily_Composite!$B$5:$B$369,1,Daily_Composite!$V$5:$V$369,"&lt;"&amp;-Settings!$C$4)/COUNTIFS(Daily_Composite!$A$5:$A$369,"&gt;="&amp;N$3,Daily_Composite!$A$5:$A$369,"&lt;="&amp;N$2,Daily_Composite!$B$5:$B$369,1),"")</f>
        <v>0.05</v>
      </c>
      <c r="Q20" s="7" t="n">
        <f aca="false">IFERROR(AVERAGEIFS(Daily_Composite!$V$5:$V$369,Daily_Composite!$A$5:$A$369,"&gt;="&amp;Q$3,Daily_Composite!$A$5:$A$369,"&lt;="&amp;Q$2,Daily_Composite!$B$5:$B$369,1),"")</f>
        <v>0.00704347826086957</v>
      </c>
      <c r="R20" s="8" t="n">
        <f aca="false">IFERROR(COUNTIFS(Daily_Composite!$A$5:$A$369,"&gt;="&amp;Q$3,Daily_Composite!$A$5:$A$369,"&lt;="&amp;Q$2,Daily_Composite!$B$5:$B$369,1,Daily_Composite!$V$5:$V$369,"&gt;"&amp;Settings!$C$4)/COUNTIFS(Daily_Composite!$A$5:$A$369,"&gt;="&amp;Q$3,Daily_Composite!$A$5:$A$369,"&lt;="&amp;Q$2,Daily_Composite!$B$5:$B$369,1),"")</f>
        <v>0.0869565217391304</v>
      </c>
      <c r="S20" s="8" t="n">
        <f aca="false">IFERROR(COUNTIFS(Daily_Composite!$A$5:$A$369,"&gt;="&amp;Q$3,Daily_Composite!$A$5:$A$369,"&lt;="&amp;Q$2,Daily_Composite!$B$5:$B$369,1,Daily_Composite!$V$5:$V$369,"&lt;"&amp;-Settings!$C$4)/COUNTIFS(Daily_Composite!$A$5:$A$369,"&gt;="&amp;Q$3,Daily_Composite!$A$5:$A$369,"&lt;="&amp;Q$2,Daily_Composite!$B$5:$B$369,1),"")</f>
        <v>0.0869565217391304</v>
      </c>
      <c r="T20" s="7" t="n">
        <f aca="false">IFERROR(AVERAGEIFS(Daily_Composite!$V$5:$V$369,Daily_Composite!$A$5:$A$369,"&gt;="&amp;T$3,Daily_Composite!$A$5:$A$369,"&lt;="&amp;T$2,Daily_Composite!$B$5:$B$369,1),"")</f>
        <v>-0.0285</v>
      </c>
      <c r="U20" s="8" t="n">
        <f aca="false">IFERROR(COUNTIFS(Daily_Composite!$A$5:$A$369,"&gt;="&amp;T$3,Daily_Composite!$A$5:$A$369,"&lt;="&amp;T$2,Daily_Composite!$B$5:$B$369,1,Daily_Composite!$V$5:$V$369,"&gt;"&amp;Settings!$C$4)/COUNTIFS(Daily_Composite!$A$5:$A$369,"&gt;="&amp;T$3,Daily_Composite!$A$5:$A$369,"&lt;="&amp;T$2,Daily_Composite!$B$5:$B$369,1),"")</f>
        <v>0.136363636363636</v>
      </c>
      <c r="V20" s="8" t="n">
        <f aca="false">IFERROR(COUNTIFS(Daily_Composite!$A$5:$A$369,"&gt;="&amp;T$3,Daily_Composite!$A$5:$A$369,"&lt;="&amp;T$2,Daily_Composite!$B$5:$B$369,1,Daily_Composite!$V$5:$V$369,"&lt;"&amp;-Settings!$C$4)/COUNTIFS(Daily_Composite!$A$5:$A$369,"&gt;="&amp;T$3,Daily_Composite!$A$5:$A$369,"&lt;="&amp;T$2,Daily_Composite!$B$5:$B$369,1),"")</f>
        <v>0.0454545454545455</v>
      </c>
      <c r="W20" s="7" t="n">
        <f aca="false">IFERROR(AVERAGEIFS(Daily_Composite!$V$5:$V$369,Daily_Composite!$A$5:$A$369,"&gt;="&amp;W$3,Daily_Composite!$A$5:$A$369,"&lt;="&amp;W$2,Daily_Composite!$B$5:$B$369,1),"")</f>
        <v>-0.19147619047619</v>
      </c>
      <c r="X20" s="8" t="n">
        <f aca="false">IFERROR(COUNTIFS(Daily_Composite!$A$5:$A$369,"&gt;="&amp;W$3,Daily_Composite!$A$5:$A$369,"&lt;="&amp;W$2,Daily_Composite!$B$5:$B$369,1,Daily_Composite!$V$5:$V$369,"&gt;"&amp;Settings!$C$4)/COUNTIFS(Daily_Composite!$A$5:$A$369,"&gt;="&amp;W$3,Daily_Composite!$A$5:$A$369,"&lt;="&amp;W$2,Daily_Composite!$B$5:$B$369,1),"")</f>
        <v>0.0476190476190476</v>
      </c>
      <c r="Y20" s="8" t="n">
        <f aca="false">IFERROR(COUNTIFS(Daily_Composite!$A$5:$A$369,"&gt;="&amp;W$3,Daily_Composite!$A$5:$A$369,"&lt;="&amp;W$2,Daily_Composite!$B$5:$B$369,1,Daily_Composite!$V$5:$V$369,"&lt;"&amp;-Settings!$C$4)/COUNTIFS(Daily_Composite!$A$5:$A$369,"&gt;="&amp;W$3,Daily_Composite!$A$5:$A$369,"&lt;="&amp;W$2,Daily_Composite!$B$5:$B$369,1),"")</f>
        <v>0.619047619047619</v>
      </c>
      <c r="Z20" s="7" t="n">
        <f aca="false">IFERROR(AVERAGEIFS(Daily_Composite!$V$5:$V$369,Daily_Composite!$A$5:$A$369,"&gt;="&amp;Z$3,Daily_Composite!$A$5:$A$369,"&lt;="&amp;Z$2,Daily_Composite!$B$5:$B$369,1),"")</f>
        <v>-0.2125</v>
      </c>
      <c r="AA20" s="8" t="n">
        <f aca="false">IFERROR(COUNTIFS(Daily_Composite!$A$5:$A$369,"&gt;="&amp;Z$3,Daily_Composite!$A$5:$A$369,"&lt;="&amp;Z$2,Daily_Composite!$B$5:$B$369,1,Daily_Composite!$V$5:$V$369,"&gt;"&amp;Settings!$C$4)/COUNTIFS(Daily_Composite!$A$5:$A$369,"&gt;="&amp;Z$3,Daily_Composite!$A$5:$A$369,"&lt;="&amp;Z$2,Daily_Composite!$B$5:$B$369,1),"")</f>
        <v>0.0454545454545455</v>
      </c>
      <c r="AB20" s="8" t="n">
        <f aca="false">IFERROR(COUNTIFS(Daily_Composite!$A$5:$A$369,"&gt;="&amp;Z$3,Daily_Composite!$A$5:$A$369,"&lt;="&amp;Z$2,Daily_Composite!$B$5:$B$369,1,Daily_Composite!$V$5:$V$369,"&lt;"&amp;-Settings!$C$4)/COUNTIFS(Daily_Composite!$A$5:$A$369,"&gt;="&amp;Z$3,Daily_Composite!$A$5:$A$369,"&lt;="&amp;Z$2,Daily_Composite!$B$5:$B$369,1),"")</f>
        <v>0.636363636363636</v>
      </c>
      <c r="AC20" s="7" t="n">
        <f aca="false">IFERROR(AVERAGEIFS(Daily_Composite!$V$5:$V$369,Daily_Composite!$A$5:$A$369,"&gt;="&amp;AC$3,Daily_Composite!$A$5:$A$369,"&lt;="&amp;AC$2,Daily_Composite!$B$5:$B$369,1),"")</f>
        <v>-0.179454545454545</v>
      </c>
      <c r="AD20" s="8" t="n">
        <f aca="false">IFERROR(COUNTIFS(Daily_Composite!$A$5:$A$369,"&gt;="&amp;AC$3,Daily_Composite!$A$5:$A$369,"&lt;="&amp;AC$2,Daily_Composite!$B$5:$B$369,1,Daily_Composite!$V$5:$V$369,"&gt;"&amp;Settings!$C$4)/COUNTIFS(Daily_Composite!$A$5:$A$369,"&gt;="&amp;AC$3,Daily_Composite!$A$5:$A$369,"&lt;="&amp;AC$2,Daily_Composite!$B$5:$B$369,1),"")</f>
        <v>0.0454545454545455</v>
      </c>
      <c r="AE20" s="8" t="n">
        <f aca="false">IFERROR(COUNTIFS(Daily_Composite!$A$5:$A$369,"&gt;="&amp;AC$3,Daily_Composite!$A$5:$A$369,"&lt;="&amp;AC$2,Daily_Composite!$B$5:$B$369,1,Daily_Composite!$V$5:$V$369,"&lt;"&amp;-Settings!$C$4)/COUNTIFS(Daily_Composite!$A$5:$A$369,"&gt;="&amp;AC$3,Daily_Composite!$A$5:$A$369,"&lt;="&amp;AC$2,Daily_Composite!$B$5:$B$369,1),"")</f>
        <v>0.772727272727273</v>
      </c>
      <c r="AF20" s="7" t="n">
        <f aca="false">IFERROR(AVERAGEIFS(Daily_Composite!$V$5:$V$369,Daily_Composite!$A$5:$A$369,"&gt;="&amp;AF$3,Daily_Composite!$A$5:$A$369,"&lt;="&amp;AF$2,Daily_Composite!$B$5:$B$369,1),"")</f>
        <v>-0.0295</v>
      </c>
      <c r="AG20" s="8" t="n">
        <f aca="false">IFERROR(COUNTIFS(Daily_Composite!$A$5:$A$369,"&gt;="&amp;AF$3,Daily_Composite!$A$5:$A$369,"&lt;="&amp;AF$2,Daily_Composite!$B$5:$B$369,1,Daily_Composite!$V$5:$V$369,"&gt;"&amp;Settings!$C$4)/COUNTIFS(Daily_Composite!$A$5:$A$369,"&gt;="&amp;AF$3,Daily_Composite!$A$5:$A$369,"&lt;="&amp;AF$2,Daily_Composite!$B$5:$B$369,1),"")</f>
        <v>0.136363636363636</v>
      </c>
      <c r="AH20" s="8" t="n">
        <f aca="false">IFERROR(COUNTIFS(Daily_Composite!$A$5:$A$369,"&gt;="&amp;AF$3,Daily_Composite!$A$5:$A$369,"&lt;="&amp;AF$2,Daily_Composite!$B$5:$B$369,1,Daily_Composite!$V$5:$V$369,"&lt;"&amp;-Settings!$C$4)/COUNTIFS(Daily_Composite!$A$5:$A$369,"&gt;="&amp;AF$3,Daily_Composite!$A$5:$A$369,"&lt;="&amp;AF$2,Daily_Composite!$B$5:$B$369,1),"")</f>
        <v>0.0909090909090909</v>
      </c>
      <c r="AI20" s="7" t="n">
        <f aca="false">IFERROR(AVERAGEIFS(Daily_Composite!$V$5:$V$369,Daily_Composite!$A$5:$A$369,"&gt;="&amp;AI$3,Daily_Composite!$A$5:$A$369,"&lt;="&amp;AI$2,Daily_Composite!$B$5:$B$369,1),"")</f>
        <v>-0.218409090909091</v>
      </c>
      <c r="AJ20" s="8" t="n">
        <f aca="false">IFERROR(COUNTIFS(Daily_Composite!$A$5:$A$369,"&gt;="&amp;AI$3,Daily_Composite!$A$5:$A$369,"&lt;="&amp;AI$2,Daily_Composite!$B$5:$B$369,1,Daily_Composite!$V$5:$V$369,"&gt;"&amp;Settings!$C$4)/COUNTIFS(Daily_Composite!$A$5:$A$369,"&gt;="&amp;AI$3,Daily_Composite!$A$5:$A$369,"&lt;="&amp;AI$2,Daily_Composite!$B$5:$B$369,1),"")</f>
        <v>0.0454545454545455</v>
      </c>
      <c r="AK20" s="8" t="n">
        <f aca="false">IFERROR(COUNTIFS(Daily_Composite!$A$5:$A$369,"&gt;="&amp;AI$3,Daily_Composite!$A$5:$A$369,"&lt;="&amp;AI$2,Daily_Composite!$B$5:$B$369,1,Daily_Composite!$V$5:$V$369,"&lt;"&amp;-Settings!$C$4)/COUNTIFS(Daily_Composite!$A$5:$A$369,"&gt;="&amp;AI$3,Daily_Composite!$A$5:$A$369,"&lt;="&amp;AI$2,Daily_Composite!$B$5:$B$369,1),"")</f>
        <v>0.727272727272727</v>
      </c>
      <c r="AL20" s="7" t="n">
        <f aca="false">IFERROR(AVERAGEIFS(Daily_Composite!$V$5:$V$369,Daily_Composite!$A$5:$A$369,"&gt;="&amp;AL$3,Daily_Composite!$A$5:$A$369,"&lt;="&amp;AL$2,Daily_Composite!$B$5:$B$369,1),"")</f>
        <v>0.0402222222222222</v>
      </c>
      <c r="AM20" s="8" t="n">
        <f aca="false">IFERROR(COUNTIFS(Daily_Composite!$A$5:$A$369,"&gt;="&amp;AL$3,Daily_Composite!$A$5:$A$369,"&lt;="&amp;AL$2,Daily_Composite!$B$5:$B$369,1,Daily_Composite!$V$5:$V$369,"&gt;"&amp;Settings!$C$4)/COUNTIFS(Daily_Composite!$A$5:$A$369,"&gt;="&amp;AL$3,Daily_Composite!$A$5:$A$369,"&lt;="&amp;AL$2,Daily_Composite!$B$5:$B$369,1),"")</f>
        <v>0.444444444444444</v>
      </c>
      <c r="AN20" s="8" t="n">
        <f aca="false">IFERROR(COUNTIFS(Daily_Composite!$A$5:$A$369,"&gt;="&amp;AL$3,Daily_Composite!$A$5:$A$369,"&lt;="&amp;AL$2,Daily_Composite!$B$5:$B$369,1,Daily_Composite!$V$5:$V$369,"&lt;"&amp;-Settings!$C$4)/COUNTIFS(Daily_Composite!$A$5:$A$369,"&gt;="&amp;AL$3,Daily_Composite!$A$5:$A$369,"&lt;="&amp;AL$2,Daily_Composite!$B$5:$B$369,1),"")</f>
        <v>0.277777777777778</v>
      </c>
    </row>
    <row r="21" customFormat="false" ht="15" hidden="false" customHeight="false" outlineLevel="0" collapsed="false">
      <c r="A21" s="6" t="s">
        <v>34</v>
      </c>
      <c r="B21" s="7" t="n">
        <f aca="false">IFERROR(AVERAGEIFS(Daily_Composite!$W$5:$W$369,Daily_Composite!$A$5:$A$369,"&gt;="&amp;B$3,Daily_Composite!$A$5:$A$369,"&lt;="&amp;B$2,Daily_Composite!$B$5:$B$369,1),"")</f>
        <v>-0.0285</v>
      </c>
      <c r="C21" s="8" t="n">
        <f aca="false">IFERROR(COUNTIFS(Daily_Composite!$A$5:$A$369,"&gt;="&amp;B$3,Daily_Composite!$A$5:$A$369,"&lt;="&amp;B$2,Daily_Composite!$B$5:$B$369,1,Daily_Composite!$W$5:$W$369,"&gt;"&amp;Settings!$C$4)/COUNTIFS(Daily_Composite!$A$5:$A$369,"&gt;="&amp;B$3,Daily_Composite!$A$5:$A$369,"&lt;="&amp;B$2,Daily_Composite!$B$5:$B$369,1),"")</f>
        <v>0</v>
      </c>
      <c r="D21" s="8" t="n">
        <f aca="false">IFERROR(COUNTIFS(Daily_Composite!$A$5:$A$369,"&gt;="&amp;B$3,Daily_Composite!$A$5:$A$369,"&lt;="&amp;B$2,Daily_Composite!$B$5:$B$369,1,Daily_Composite!$W$5:$W$369,"&lt;"&amp;-Settings!$C$4)/COUNTIFS(Daily_Composite!$A$5:$A$369,"&gt;="&amp;B$3,Daily_Composite!$A$5:$A$369,"&lt;="&amp;B$2,Daily_Composite!$B$5:$B$369,1),"")</f>
        <v>0</v>
      </c>
      <c r="E21" s="7" t="n">
        <f aca="false">IFERROR(AVERAGEIFS(Daily_Composite!$W$5:$W$369,Daily_Composite!$A$5:$A$369,"&gt;="&amp;E$3,Daily_Composite!$A$5:$A$369,"&lt;="&amp;E$2,Daily_Composite!$B$5:$B$369,1),"")</f>
        <v>-0.124380952380952</v>
      </c>
      <c r="F21" s="8" t="n">
        <f aca="false">IFERROR(COUNTIFS(Daily_Composite!$A$5:$A$369,"&gt;="&amp;E$3,Daily_Composite!$A$5:$A$369,"&lt;="&amp;E$2,Daily_Composite!$B$5:$B$369,1,Daily_Composite!$W$5:$W$369,"&gt;"&amp;Settings!$C$4)/COUNTIFS(Daily_Composite!$A$5:$A$369,"&gt;="&amp;E$3,Daily_Composite!$A$5:$A$369,"&lt;="&amp;E$2,Daily_Composite!$B$5:$B$369,1),"")</f>
        <v>0.142857142857143</v>
      </c>
      <c r="G21" s="8" t="n">
        <f aca="false">IFERROR(COUNTIFS(Daily_Composite!$A$5:$A$369,"&gt;="&amp;E$3,Daily_Composite!$A$5:$A$369,"&lt;="&amp;E$2,Daily_Composite!$B$5:$B$369,1,Daily_Composite!$W$5:$W$369,"&lt;"&amp;-Settings!$C$4)/COUNTIFS(Daily_Composite!$A$5:$A$369,"&gt;="&amp;E$3,Daily_Composite!$A$5:$A$369,"&lt;="&amp;E$2,Daily_Composite!$B$5:$B$369,1),"")</f>
        <v>0.380952380952381</v>
      </c>
      <c r="H21" s="7" t="n">
        <f aca="false">IFERROR(AVERAGEIFS(Daily_Composite!$W$5:$W$369,Daily_Composite!$A$5:$A$369,"&gt;="&amp;H$3,Daily_Composite!$A$5:$A$369,"&lt;="&amp;H$2,Daily_Composite!$B$5:$B$369,1),"")</f>
        <v>-0.128652173913043</v>
      </c>
      <c r="I21" s="8" t="n">
        <f aca="false">IFERROR(COUNTIFS(Daily_Composite!$A$5:$A$369,"&gt;="&amp;H$3,Daily_Composite!$A$5:$A$369,"&lt;="&amp;H$2,Daily_Composite!$B$5:$B$369,1,Daily_Composite!$W$5:$W$369,"&gt;"&amp;Settings!$C$4)/COUNTIFS(Daily_Composite!$A$5:$A$369,"&gt;="&amp;H$3,Daily_Composite!$A$5:$A$369,"&lt;="&amp;H$2,Daily_Composite!$B$5:$B$369,1),"")</f>
        <v>0.0869565217391304</v>
      </c>
      <c r="J21" s="8" t="n">
        <f aca="false">IFERROR(COUNTIFS(Daily_Composite!$A$5:$A$369,"&gt;="&amp;H$3,Daily_Composite!$A$5:$A$369,"&lt;="&amp;H$2,Daily_Composite!$B$5:$B$369,1,Daily_Composite!$W$5:$W$369,"&lt;"&amp;-Settings!$C$4)/COUNTIFS(Daily_Composite!$A$5:$A$369,"&gt;="&amp;H$3,Daily_Composite!$A$5:$A$369,"&lt;="&amp;H$2,Daily_Composite!$B$5:$B$369,1),"")</f>
        <v>0.434782608695652</v>
      </c>
      <c r="K21" s="7" t="n">
        <f aca="false">IFERROR(AVERAGEIFS(Daily_Composite!$W$5:$W$369,Daily_Composite!$A$5:$A$369,"&gt;="&amp;K$3,Daily_Composite!$A$5:$A$369,"&lt;="&amp;K$2,Daily_Composite!$B$5:$B$369,1),"")</f>
        <v>-0.276</v>
      </c>
      <c r="L21" s="8" t="n">
        <f aca="false">IFERROR(COUNTIFS(Daily_Composite!$A$5:$A$369,"&gt;="&amp;K$3,Daily_Composite!$A$5:$A$369,"&lt;="&amp;K$2,Daily_Composite!$B$5:$B$369,1,Daily_Composite!$W$5:$W$369,"&gt;"&amp;Settings!$C$4)/COUNTIFS(Daily_Composite!$A$5:$A$369,"&gt;="&amp;K$3,Daily_Composite!$A$5:$A$369,"&lt;="&amp;K$2,Daily_Composite!$B$5:$B$369,1),"")</f>
        <v>0.0476190476190476</v>
      </c>
      <c r="M21" s="8" t="n">
        <f aca="false">IFERROR(COUNTIFS(Daily_Composite!$A$5:$A$369,"&gt;="&amp;K$3,Daily_Composite!$A$5:$A$369,"&lt;="&amp;K$2,Daily_Composite!$B$5:$B$369,1,Daily_Composite!$W$5:$W$369,"&lt;"&amp;-Settings!$C$4)/COUNTIFS(Daily_Composite!$A$5:$A$369,"&gt;="&amp;K$3,Daily_Composite!$A$5:$A$369,"&lt;="&amp;K$2,Daily_Composite!$B$5:$B$369,1),"")</f>
        <v>0.761904761904762</v>
      </c>
      <c r="N21" s="7" t="n">
        <f aca="false">IFERROR(AVERAGEIFS(Daily_Composite!$W$5:$W$369,Daily_Composite!$A$5:$A$369,"&gt;="&amp;N$3,Daily_Composite!$A$5:$A$369,"&lt;="&amp;N$2,Daily_Composite!$B$5:$B$369,1),"")</f>
        <v>-0.48345</v>
      </c>
      <c r="O21" s="8" t="n">
        <f aca="false">IFERROR(COUNTIFS(Daily_Composite!$A$5:$A$369,"&gt;="&amp;N$3,Daily_Composite!$A$5:$A$369,"&lt;="&amp;N$2,Daily_Composite!$B$5:$B$369,1,Daily_Composite!$W$5:$W$369,"&gt;"&amp;Settings!$C$4)/COUNTIFS(Daily_Composite!$A$5:$A$369,"&gt;="&amp;N$3,Daily_Composite!$A$5:$A$369,"&lt;="&amp;N$2,Daily_Composite!$B$5:$B$369,1),"")</f>
        <v>0.1</v>
      </c>
      <c r="P21" s="8" t="n">
        <f aca="false">IFERROR(COUNTIFS(Daily_Composite!$A$5:$A$369,"&gt;="&amp;N$3,Daily_Composite!$A$5:$A$369,"&lt;="&amp;N$2,Daily_Composite!$B$5:$B$369,1,Daily_Composite!$W$5:$W$369,"&lt;"&amp;-Settings!$C$4)/COUNTIFS(Daily_Composite!$A$5:$A$369,"&gt;="&amp;N$3,Daily_Composite!$A$5:$A$369,"&lt;="&amp;N$2,Daily_Composite!$B$5:$B$369,1),"")</f>
        <v>0.85</v>
      </c>
      <c r="Q21" s="7" t="n">
        <f aca="false">IFERROR(AVERAGEIFS(Daily_Composite!$W$5:$W$369,Daily_Composite!$A$5:$A$369,"&gt;="&amp;Q$3,Daily_Composite!$A$5:$A$369,"&lt;="&amp;Q$2,Daily_Composite!$B$5:$B$369,1),"")</f>
        <v>-0.18904347826087</v>
      </c>
      <c r="R21" s="8" t="n">
        <f aca="false">IFERROR(COUNTIFS(Daily_Composite!$A$5:$A$369,"&gt;="&amp;Q$3,Daily_Composite!$A$5:$A$369,"&lt;="&amp;Q$2,Daily_Composite!$B$5:$B$369,1,Daily_Composite!$W$5:$W$369,"&gt;"&amp;Settings!$C$4)/COUNTIFS(Daily_Composite!$A$5:$A$369,"&gt;="&amp;Q$3,Daily_Composite!$A$5:$A$369,"&lt;="&amp;Q$2,Daily_Composite!$B$5:$B$369,1),"")</f>
        <v>0.130434782608696</v>
      </c>
      <c r="S21" s="8" t="n">
        <f aca="false">IFERROR(COUNTIFS(Daily_Composite!$A$5:$A$369,"&gt;="&amp;Q$3,Daily_Composite!$A$5:$A$369,"&lt;="&amp;Q$2,Daily_Composite!$B$5:$B$369,1,Daily_Composite!$W$5:$W$369,"&lt;"&amp;-Settings!$C$4)/COUNTIFS(Daily_Composite!$A$5:$A$369,"&gt;="&amp;Q$3,Daily_Composite!$A$5:$A$369,"&lt;="&amp;Q$2,Daily_Composite!$B$5:$B$369,1),"")</f>
        <v>0.608695652173913</v>
      </c>
      <c r="T21" s="7" t="n">
        <f aca="false">IFERROR(AVERAGEIFS(Daily_Composite!$W$5:$W$369,Daily_Composite!$A$5:$A$369,"&gt;="&amp;T$3,Daily_Composite!$A$5:$A$369,"&lt;="&amp;T$2,Daily_Composite!$B$5:$B$369,1),"")</f>
        <v>-0.212818181818182</v>
      </c>
      <c r="U21" s="8" t="n">
        <f aca="false">IFERROR(COUNTIFS(Daily_Composite!$A$5:$A$369,"&gt;="&amp;T$3,Daily_Composite!$A$5:$A$369,"&lt;="&amp;T$2,Daily_Composite!$B$5:$B$369,1,Daily_Composite!$W$5:$W$369,"&gt;"&amp;Settings!$C$4)/COUNTIFS(Daily_Composite!$A$5:$A$369,"&gt;="&amp;T$3,Daily_Composite!$A$5:$A$369,"&lt;="&amp;T$2,Daily_Composite!$B$5:$B$369,1),"")</f>
        <v>0.0454545454545455</v>
      </c>
      <c r="V21" s="8" t="n">
        <f aca="false">IFERROR(COUNTIFS(Daily_Composite!$A$5:$A$369,"&gt;="&amp;T$3,Daily_Composite!$A$5:$A$369,"&lt;="&amp;T$2,Daily_Composite!$B$5:$B$369,1,Daily_Composite!$W$5:$W$369,"&lt;"&amp;-Settings!$C$4)/COUNTIFS(Daily_Composite!$A$5:$A$369,"&gt;="&amp;T$3,Daily_Composite!$A$5:$A$369,"&lt;="&amp;T$2,Daily_Composite!$B$5:$B$369,1),"")</f>
        <v>0.454545454545455</v>
      </c>
      <c r="W21" s="7" t="n">
        <f aca="false">IFERROR(AVERAGEIFS(Daily_Composite!$W$5:$W$369,Daily_Composite!$A$5:$A$369,"&gt;="&amp;W$3,Daily_Composite!$A$5:$A$369,"&lt;="&amp;W$2,Daily_Composite!$B$5:$B$369,1),"")</f>
        <v>-0.419571428571429</v>
      </c>
      <c r="X21" s="8" t="n">
        <f aca="false">IFERROR(COUNTIFS(Daily_Composite!$A$5:$A$369,"&gt;="&amp;W$3,Daily_Composite!$A$5:$A$369,"&lt;="&amp;W$2,Daily_Composite!$B$5:$B$369,1,Daily_Composite!$W$5:$W$369,"&gt;"&amp;Settings!$C$4)/COUNTIFS(Daily_Composite!$A$5:$A$369,"&gt;="&amp;W$3,Daily_Composite!$A$5:$A$369,"&lt;="&amp;W$2,Daily_Composite!$B$5:$B$369,1),"")</f>
        <v>0.0476190476190476</v>
      </c>
      <c r="Y21" s="8" t="n">
        <f aca="false">IFERROR(COUNTIFS(Daily_Composite!$A$5:$A$369,"&gt;="&amp;W$3,Daily_Composite!$A$5:$A$369,"&lt;="&amp;W$2,Daily_Composite!$B$5:$B$369,1,Daily_Composite!$W$5:$W$369,"&lt;"&amp;-Settings!$C$4)/COUNTIFS(Daily_Composite!$A$5:$A$369,"&gt;="&amp;W$3,Daily_Composite!$A$5:$A$369,"&lt;="&amp;W$2,Daily_Composite!$B$5:$B$369,1),"")</f>
        <v>0.952380952380952</v>
      </c>
      <c r="Z21" s="7" t="n">
        <f aca="false">IFERROR(AVERAGEIFS(Daily_Composite!$W$5:$W$369,Daily_Composite!$A$5:$A$369,"&gt;="&amp;Z$3,Daily_Composite!$A$5:$A$369,"&lt;="&amp;Z$2,Daily_Composite!$B$5:$B$369,1),"")</f>
        <v>-0.332727272727273</v>
      </c>
      <c r="AA21" s="8" t="n">
        <f aca="false">IFERROR(COUNTIFS(Daily_Composite!$A$5:$A$369,"&gt;="&amp;Z$3,Daily_Composite!$A$5:$A$369,"&lt;="&amp;Z$2,Daily_Composite!$B$5:$B$369,1,Daily_Composite!$W$5:$W$369,"&gt;"&amp;Settings!$C$4)/COUNTIFS(Daily_Composite!$A$5:$A$369,"&gt;="&amp;Z$3,Daily_Composite!$A$5:$A$369,"&lt;="&amp;Z$2,Daily_Composite!$B$5:$B$369,1),"")</f>
        <v>0</v>
      </c>
      <c r="AB21" s="8" t="n">
        <f aca="false">IFERROR(COUNTIFS(Daily_Composite!$A$5:$A$369,"&gt;="&amp;Z$3,Daily_Composite!$A$5:$A$369,"&lt;="&amp;Z$2,Daily_Composite!$B$5:$B$369,1,Daily_Composite!$W$5:$W$369,"&lt;"&amp;-Settings!$C$4)/COUNTIFS(Daily_Composite!$A$5:$A$369,"&gt;="&amp;Z$3,Daily_Composite!$A$5:$A$369,"&lt;="&amp;Z$2,Daily_Composite!$B$5:$B$369,1),"")</f>
        <v>0.818181818181818</v>
      </c>
      <c r="AC21" s="7" t="n">
        <f aca="false">IFERROR(AVERAGEIFS(Daily_Composite!$W$5:$W$369,Daily_Composite!$A$5:$A$369,"&gt;="&amp;AC$3,Daily_Composite!$A$5:$A$369,"&lt;="&amp;AC$2,Daily_Composite!$B$5:$B$369,1),"")</f>
        <v>-0.397909090909091</v>
      </c>
      <c r="AD21" s="8" t="n">
        <f aca="false">IFERROR(COUNTIFS(Daily_Composite!$A$5:$A$369,"&gt;="&amp;AC$3,Daily_Composite!$A$5:$A$369,"&lt;="&amp;AC$2,Daily_Composite!$B$5:$B$369,1,Daily_Composite!$W$5:$W$369,"&gt;"&amp;Settings!$C$4)/COUNTIFS(Daily_Composite!$A$5:$A$369,"&gt;="&amp;AC$3,Daily_Composite!$A$5:$A$369,"&lt;="&amp;AC$2,Daily_Composite!$B$5:$B$369,1),"")</f>
        <v>0</v>
      </c>
      <c r="AE21" s="8" t="n">
        <f aca="false">IFERROR(COUNTIFS(Daily_Composite!$A$5:$A$369,"&gt;="&amp;AC$3,Daily_Composite!$A$5:$A$369,"&lt;="&amp;AC$2,Daily_Composite!$B$5:$B$369,1,Daily_Composite!$W$5:$W$369,"&lt;"&amp;-Settings!$C$4)/COUNTIFS(Daily_Composite!$A$5:$A$369,"&gt;="&amp;AC$3,Daily_Composite!$A$5:$A$369,"&lt;="&amp;AC$2,Daily_Composite!$B$5:$B$369,1),"")</f>
        <v>0.909090909090909</v>
      </c>
      <c r="AF21" s="7" t="n">
        <f aca="false">IFERROR(AVERAGEIFS(Daily_Composite!$W$5:$W$369,Daily_Composite!$A$5:$A$369,"&gt;="&amp;AF$3,Daily_Composite!$A$5:$A$369,"&lt;="&amp;AF$2,Daily_Composite!$B$5:$B$369,1),"")</f>
        <v>-0.329090909090909</v>
      </c>
      <c r="AG21" s="8" t="n">
        <f aca="false">IFERROR(COUNTIFS(Daily_Composite!$A$5:$A$369,"&gt;="&amp;AF$3,Daily_Composite!$A$5:$A$369,"&lt;="&amp;AF$2,Daily_Composite!$B$5:$B$369,1,Daily_Composite!$W$5:$W$369,"&gt;"&amp;Settings!$C$4)/COUNTIFS(Daily_Composite!$A$5:$A$369,"&gt;="&amp;AF$3,Daily_Composite!$A$5:$A$369,"&lt;="&amp;AF$2,Daily_Composite!$B$5:$B$369,1),"")</f>
        <v>0.0909090909090909</v>
      </c>
      <c r="AH21" s="8" t="n">
        <f aca="false">IFERROR(COUNTIFS(Daily_Composite!$A$5:$A$369,"&gt;="&amp;AF$3,Daily_Composite!$A$5:$A$369,"&lt;="&amp;AF$2,Daily_Composite!$B$5:$B$369,1,Daily_Composite!$W$5:$W$369,"&lt;"&amp;-Settings!$C$4)/COUNTIFS(Daily_Composite!$A$5:$A$369,"&gt;="&amp;AF$3,Daily_Composite!$A$5:$A$369,"&lt;="&amp;AF$2,Daily_Composite!$B$5:$B$369,1),"")</f>
        <v>0.863636363636364</v>
      </c>
      <c r="AI21" s="7" t="n">
        <f aca="false">IFERROR(AVERAGEIFS(Daily_Composite!$W$5:$W$369,Daily_Composite!$A$5:$A$369,"&gt;="&amp;AI$3,Daily_Composite!$A$5:$A$369,"&lt;="&amp;AI$2,Daily_Composite!$B$5:$B$369,1),"")</f>
        <v>-0.0718636363636364</v>
      </c>
      <c r="AJ21" s="8" t="n">
        <f aca="false">IFERROR(COUNTIFS(Daily_Composite!$A$5:$A$369,"&gt;="&amp;AI$3,Daily_Composite!$A$5:$A$369,"&lt;="&amp;AI$2,Daily_Composite!$B$5:$B$369,1,Daily_Composite!$W$5:$W$369,"&gt;"&amp;Settings!$C$4)/COUNTIFS(Daily_Composite!$A$5:$A$369,"&gt;="&amp;AI$3,Daily_Composite!$A$5:$A$369,"&lt;="&amp;AI$2,Daily_Composite!$B$5:$B$369,1),"")</f>
        <v>0.136363636363636</v>
      </c>
      <c r="AK21" s="8" t="n">
        <f aca="false">IFERROR(COUNTIFS(Daily_Composite!$A$5:$A$369,"&gt;="&amp;AI$3,Daily_Composite!$A$5:$A$369,"&lt;="&amp;AI$2,Daily_Composite!$B$5:$B$369,1,Daily_Composite!$W$5:$W$369,"&lt;"&amp;-Settings!$C$4)/COUNTIFS(Daily_Composite!$A$5:$A$369,"&gt;="&amp;AI$3,Daily_Composite!$A$5:$A$369,"&lt;="&amp;AI$2,Daily_Composite!$B$5:$B$369,1),"")</f>
        <v>0.363636363636364</v>
      </c>
      <c r="AL21" s="7" t="n">
        <f aca="false">IFERROR(AVERAGEIFS(Daily_Composite!$W$5:$W$369,Daily_Composite!$A$5:$A$369,"&gt;="&amp;AL$3,Daily_Composite!$A$5:$A$369,"&lt;="&amp;AL$2,Daily_Composite!$B$5:$B$369,1),"")</f>
        <v>0.0536666666666667</v>
      </c>
      <c r="AM21" s="8" t="n">
        <f aca="false">IFERROR(COUNTIFS(Daily_Composite!$A$5:$A$369,"&gt;="&amp;AL$3,Daily_Composite!$A$5:$A$369,"&lt;="&amp;AL$2,Daily_Composite!$B$5:$B$369,1,Daily_Composite!$W$5:$W$369,"&gt;"&amp;Settings!$C$4)/COUNTIFS(Daily_Composite!$A$5:$A$369,"&gt;="&amp;AL$3,Daily_Composite!$A$5:$A$369,"&lt;="&amp;AL$2,Daily_Composite!$B$5:$B$369,1),"")</f>
        <v>0.277777777777778</v>
      </c>
      <c r="AN21" s="8" t="n">
        <f aca="false">IFERROR(COUNTIFS(Daily_Composite!$A$5:$A$369,"&gt;="&amp;AL$3,Daily_Composite!$A$5:$A$369,"&lt;="&amp;AL$2,Daily_Composite!$B$5:$B$369,1,Daily_Composite!$W$5:$W$369,"&lt;"&amp;-Settings!$C$4)/COUNTIFS(Daily_Composite!$A$5:$A$369,"&gt;="&amp;AL$3,Daily_Composite!$A$5:$A$369,"&lt;="&amp;AL$2,Daily_Composite!$B$5:$B$369,1),"")</f>
        <v>0.111111111111111</v>
      </c>
    </row>
    <row r="22" customFormat="false" ht="15" hidden="false" customHeight="false" outlineLevel="0" collapsed="false">
      <c r="A22" s="6" t="s">
        <v>35</v>
      </c>
      <c r="B22" s="7" t="n">
        <f aca="false">IFERROR(AVERAGEIFS(Daily_Composite!$X$5:$X$369,Daily_Composite!$A$5:$A$369,"&gt;="&amp;B$3,Daily_Composite!$A$5:$A$369,"&lt;="&amp;B$2,Daily_Composite!$B$5:$B$369,1),"")</f>
        <v>0.0725</v>
      </c>
      <c r="C22" s="8" t="n">
        <f aca="false">IFERROR(COUNTIFS(Daily_Composite!$A$5:$A$369,"&gt;="&amp;B$3,Daily_Composite!$A$5:$A$369,"&lt;="&amp;B$2,Daily_Composite!$B$5:$B$369,1,Daily_Composite!$X$5:$X$369,"&gt;"&amp;Settings!$C$4)/COUNTIFS(Daily_Composite!$A$5:$A$369,"&gt;="&amp;B$3,Daily_Composite!$A$5:$A$369,"&lt;="&amp;B$2,Daily_Composite!$B$5:$B$369,1),"")</f>
        <v>0</v>
      </c>
      <c r="D22" s="8" t="n">
        <f aca="false">IFERROR(COUNTIFS(Daily_Composite!$A$5:$A$369,"&gt;="&amp;B$3,Daily_Composite!$A$5:$A$369,"&lt;="&amp;B$2,Daily_Composite!$B$5:$B$369,1,Daily_Composite!$X$5:$X$369,"&lt;"&amp;-Settings!$C$4)/COUNTIFS(Daily_Composite!$A$5:$A$369,"&gt;="&amp;B$3,Daily_Composite!$A$5:$A$369,"&lt;="&amp;B$2,Daily_Composite!$B$5:$B$369,1),"")</f>
        <v>0</v>
      </c>
      <c r="E22" s="7" t="n">
        <f aca="false">IFERROR(AVERAGEIFS(Daily_Composite!$X$5:$X$369,Daily_Composite!$A$5:$A$369,"&gt;="&amp;E$3,Daily_Composite!$A$5:$A$369,"&lt;="&amp;E$2,Daily_Composite!$B$5:$B$369,1),"")</f>
        <v>0.0431428571428571</v>
      </c>
      <c r="F22" s="8" t="n">
        <f aca="false">IFERROR(COUNTIFS(Daily_Composite!$A$5:$A$369,"&gt;="&amp;E$3,Daily_Composite!$A$5:$A$369,"&lt;="&amp;E$2,Daily_Composite!$B$5:$B$369,1,Daily_Composite!$X$5:$X$369,"&gt;"&amp;Settings!$C$4)/COUNTIFS(Daily_Composite!$A$5:$A$369,"&gt;="&amp;E$3,Daily_Composite!$A$5:$A$369,"&lt;="&amp;E$2,Daily_Composite!$B$5:$B$369,1),"")</f>
        <v>0.238095238095238</v>
      </c>
      <c r="G22" s="8" t="n">
        <f aca="false">IFERROR(COUNTIFS(Daily_Composite!$A$5:$A$369,"&gt;="&amp;E$3,Daily_Composite!$A$5:$A$369,"&lt;="&amp;E$2,Daily_Composite!$B$5:$B$369,1,Daily_Composite!$X$5:$X$369,"&lt;"&amp;-Settings!$C$4)/COUNTIFS(Daily_Composite!$A$5:$A$369,"&gt;="&amp;E$3,Daily_Composite!$A$5:$A$369,"&lt;="&amp;E$2,Daily_Composite!$B$5:$B$369,1),"")</f>
        <v>0.19047619047619</v>
      </c>
      <c r="H22" s="7" t="n">
        <f aca="false">IFERROR(AVERAGEIFS(Daily_Composite!$X$5:$X$369,Daily_Composite!$A$5:$A$369,"&gt;="&amp;H$3,Daily_Composite!$A$5:$A$369,"&lt;="&amp;H$2,Daily_Composite!$B$5:$B$369,1),"")</f>
        <v>-0.0332608695652174</v>
      </c>
      <c r="I22" s="8" t="n">
        <f aca="false">IFERROR(COUNTIFS(Daily_Composite!$A$5:$A$369,"&gt;="&amp;H$3,Daily_Composite!$A$5:$A$369,"&lt;="&amp;H$2,Daily_Composite!$B$5:$B$369,1,Daily_Composite!$X$5:$X$369,"&gt;"&amp;Settings!$C$4)/COUNTIFS(Daily_Composite!$A$5:$A$369,"&gt;="&amp;H$3,Daily_Composite!$A$5:$A$369,"&lt;="&amp;H$2,Daily_Composite!$B$5:$B$369,1),"")</f>
        <v>0</v>
      </c>
      <c r="J22" s="8" t="n">
        <f aca="false">IFERROR(COUNTIFS(Daily_Composite!$A$5:$A$369,"&gt;="&amp;H$3,Daily_Composite!$A$5:$A$369,"&lt;="&amp;H$2,Daily_Composite!$B$5:$B$369,1,Daily_Composite!$X$5:$X$369,"&lt;"&amp;-Settings!$C$4)/COUNTIFS(Daily_Composite!$A$5:$A$369,"&gt;="&amp;H$3,Daily_Composite!$A$5:$A$369,"&lt;="&amp;H$2,Daily_Composite!$B$5:$B$369,1),"")</f>
        <v>0.173913043478261</v>
      </c>
      <c r="K22" s="7" t="n">
        <f aca="false">IFERROR(AVERAGEIFS(Daily_Composite!$X$5:$X$369,Daily_Composite!$A$5:$A$369,"&gt;="&amp;K$3,Daily_Composite!$A$5:$A$369,"&lt;="&amp;K$2,Daily_Composite!$B$5:$B$369,1),"")</f>
        <v>0.00380952380952381</v>
      </c>
      <c r="L22" s="8" t="n">
        <f aca="false">IFERROR(COUNTIFS(Daily_Composite!$A$5:$A$369,"&gt;="&amp;K$3,Daily_Composite!$A$5:$A$369,"&lt;="&amp;K$2,Daily_Composite!$B$5:$B$369,1,Daily_Composite!$X$5:$X$369,"&gt;"&amp;Settings!$C$4)/COUNTIFS(Daily_Composite!$A$5:$A$369,"&gt;="&amp;K$3,Daily_Composite!$A$5:$A$369,"&lt;="&amp;K$2,Daily_Composite!$B$5:$B$369,1),"")</f>
        <v>0.238095238095238</v>
      </c>
      <c r="M22" s="8" t="n">
        <f aca="false">IFERROR(COUNTIFS(Daily_Composite!$A$5:$A$369,"&gt;="&amp;K$3,Daily_Composite!$A$5:$A$369,"&lt;="&amp;K$2,Daily_Composite!$B$5:$B$369,1,Daily_Composite!$X$5:$X$369,"&lt;"&amp;-Settings!$C$4)/COUNTIFS(Daily_Composite!$A$5:$A$369,"&gt;="&amp;K$3,Daily_Composite!$A$5:$A$369,"&lt;="&amp;K$2,Daily_Composite!$B$5:$B$369,1),"")</f>
        <v>0.333333333333333</v>
      </c>
      <c r="N22" s="7" t="n">
        <f aca="false">IFERROR(AVERAGEIFS(Daily_Composite!$X$5:$X$369,Daily_Composite!$A$5:$A$369,"&gt;="&amp;N$3,Daily_Composite!$A$5:$A$369,"&lt;="&amp;N$2,Daily_Composite!$B$5:$B$369,1),"")</f>
        <v>-0.3281</v>
      </c>
      <c r="O22" s="8" t="n">
        <f aca="false">IFERROR(COUNTIFS(Daily_Composite!$A$5:$A$369,"&gt;="&amp;N$3,Daily_Composite!$A$5:$A$369,"&lt;="&amp;N$2,Daily_Composite!$B$5:$B$369,1,Daily_Composite!$X$5:$X$369,"&gt;"&amp;Settings!$C$4)/COUNTIFS(Daily_Composite!$A$5:$A$369,"&gt;="&amp;N$3,Daily_Composite!$A$5:$A$369,"&lt;="&amp;N$2,Daily_Composite!$B$5:$B$369,1),"")</f>
        <v>0</v>
      </c>
      <c r="P22" s="8" t="n">
        <f aca="false">IFERROR(COUNTIFS(Daily_Composite!$A$5:$A$369,"&gt;="&amp;N$3,Daily_Composite!$A$5:$A$369,"&lt;="&amp;N$2,Daily_Composite!$B$5:$B$369,1,Daily_Composite!$X$5:$X$369,"&lt;"&amp;-Settings!$C$4)/COUNTIFS(Daily_Composite!$A$5:$A$369,"&gt;="&amp;N$3,Daily_Composite!$A$5:$A$369,"&lt;="&amp;N$2,Daily_Composite!$B$5:$B$369,1),"")</f>
        <v>0.7</v>
      </c>
      <c r="Q22" s="7" t="n">
        <f aca="false">IFERROR(AVERAGEIFS(Daily_Composite!$X$5:$X$369,Daily_Composite!$A$5:$A$369,"&gt;="&amp;Q$3,Daily_Composite!$A$5:$A$369,"&lt;="&amp;Q$2,Daily_Composite!$B$5:$B$369,1),"")</f>
        <v>-0.019695652173913</v>
      </c>
      <c r="R22" s="8" t="n">
        <f aca="false">IFERROR(COUNTIFS(Daily_Composite!$A$5:$A$369,"&gt;="&amp;Q$3,Daily_Composite!$A$5:$A$369,"&lt;="&amp;Q$2,Daily_Composite!$B$5:$B$369,1,Daily_Composite!$X$5:$X$369,"&gt;"&amp;Settings!$C$4)/COUNTIFS(Daily_Composite!$A$5:$A$369,"&gt;="&amp;Q$3,Daily_Composite!$A$5:$A$369,"&lt;="&amp;Q$2,Daily_Composite!$B$5:$B$369,1),"")</f>
        <v>0.173913043478261</v>
      </c>
      <c r="S22" s="8" t="n">
        <f aca="false">IFERROR(COUNTIFS(Daily_Composite!$A$5:$A$369,"&gt;="&amp;Q$3,Daily_Composite!$A$5:$A$369,"&lt;="&amp;Q$2,Daily_Composite!$B$5:$B$369,1,Daily_Composite!$X$5:$X$369,"&lt;"&amp;-Settings!$C$4)/COUNTIFS(Daily_Composite!$A$5:$A$369,"&gt;="&amp;Q$3,Daily_Composite!$A$5:$A$369,"&lt;="&amp;Q$2,Daily_Composite!$B$5:$B$369,1),"")</f>
        <v>0.217391304347826</v>
      </c>
      <c r="T22" s="7" t="n">
        <f aca="false">IFERROR(AVERAGEIFS(Daily_Composite!$X$5:$X$369,Daily_Composite!$A$5:$A$369,"&gt;="&amp;T$3,Daily_Composite!$A$5:$A$369,"&lt;="&amp;T$2,Daily_Composite!$B$5:$B$369,1),"")</f>
        <v>-0.125136363636364</v>
      </c>
      <c r="U22" s="8" t="n">
        <f aca="false">IFERROR(COUNTIFS(Daily_Composite!$A$5:$A$369,"&gt;="&amp;T$3,Daily_Composite!$A$5:$A$369,"&lt;="&amp;T$2,Daily_Composite!$B$5:$B$369,1,Daily_Composite!$X$5:$X$369,"&gt;"&amp;Settings!$C$4)/COUNTIFS(Daily_Composite!$A$5:$A$369,"&gt;="&amp;T$3,Daily_Composite!$A$5:$A$369,"&lt;="&amp;T$2,Daily_Composite!$B$5:$B$369,1),"")</f>
        <v>0</v>
      </c>
      <c r="V22" s="8" t="n">
        <f aca="false">IFERROR(COUNTIFS(Daily_Composite!$A$5:$A$369,"&gt;="&amp;T$3,Daily_Composite!$A$5:$A$369,"&lt;="&amp;T$2,Daily_Composite!$B$5:$B$369,1,Daily_Composite!$X$5:$X$369,"&lt;"&amp;-Settings!$C$4)/COUNTIFS(Daily_Composite!$A$5:$A$369,"&gt;="&amp;T$3,Daily_Composite!$A$5:$A$369,"&lt;="&amp;T$2,Daily_Composite!$B$5:$B$369,1),"")</f>
        <v>0.454545454545455</v>
      </c>
      <c r="W22" s="7" t="n">
        <f aca="false">IFERROR(AVERAGEIFS(Daily_Composite!$X$5:$X$369,Daily_Composite!$A$5:$A$369,"&gt;="&amp;W$3,Daily_Composite!$A$5:$A$369,"&lt;="&amp;W$2,Daily_Composite!$B$5:$B$369,1),"")</f>
        <v>0.0647142857142857</v>
      </c>
      <c r="X22" s="8" t="n">
        <f aca="false">IFERROR(COUNTIFS(Daily_Composite!$A$5:$A$369,"&gt;="&amp;W$3,Daily_Composite!$A$5:$A$369,"&lt;="&amp;W$2,Daily_Composite!$B$5:$B$369,1,Daily_Composite!$X$5:$X$369,"&gt;"&amp;Settings!$C$4)/COUNTIFS(Daily_Composite!$A$5:$A$369,"&gt;="&amp;W$3,Daily_Composite!$A$5:$A$369,"&lt;="&amp;W$2,Daily_Composite!$B$5:$B$369,1),"")</f>
        <v>0.19047619047619</v>
      </c>
      <c r="Y22" s="8" t="n">
        <f aca="false">IFERROR(COUNTIFS(Daily_Composite!$A$5:$A$369,"&gt;="&amp;W$3,Daily_Composite!$A$5:$A$369,"&lt;="&amp;W$2,Daily_Composite!$B$5:$B$369,1,Daily_Composite!$X$5:$X$369,"&lt;"&amp;-Settings!$C$4)/COUNTIFS(Daily_Composite!$A$5:$A$369,"&gt;="&amp;W$3,Daily_Composite!$A$5:$A$369,"&lt;="&amp;W$2,Daily_Composite!$B$5:$B$369,1),"")</f>
        <v>0.0476190476190476</v>
      </c>
      <c r="Z22" s="7" t="n">
        <f aca="false">IFERROR(AVERAGEIFS(Daily_Composite!$X$5:$X$369,Daily_Composite!$A$5:$A$369,"&gt;="&amp;Z$3,Daily_Composite!$A$5:$A$369,"&lt;="&amp;Z$2,Daily_Composite!$B$5:$B$369,1),"")</f>
        <v>0.110454545454545</v>
      </c>
      <c r="AA22" s="8" t="n">
        <f aca="false">IFERROR(COUNTIFS(Daily_Composite!$A$5:$A$369,"&gt;="&amp;Z$3,Daily_Composite!$A$5:$A$369,"&lt;="&amp;Z$2,Daily_Composite!$B$5:$B$369,1,Daily_Composite!$X$5:$X$369,"&gt;"&amp;Settings!$C$4)/COUNTIFS(Daily_Composite!$A$5:$A$369,"&gt;="&amp;Z$3,Daily_Composite!$A$5:$A$369,"&lt;="&amp;Z$2,Daily_Composite!$B$5:$B$369,1),"")</f>
        <v>0.409090909090909</v>
      </c>
      <c r="AB22" s="8" t="n">
        <f aca="false">IFERROR(COUNTIFS(Daily_Composite!$A$5:$A$369,"&gt;="&amp;Z$3,Daily_Composite!$A$5:$A$369,"&lt;="&amp;Z$2,Daily_Composite!$B$5:$B$369,1,Daily_Composite!$X$5:$X$369,"&lt;"&amp;-Settings!$C$4)/COUNTIFS(Daily_Composite!$A$5:$A$369,"&gt;="&amp;Z$3,Daily_Composite!$A$5:$A$369,"&lt;="&amp;Z$2,Daily_Composite!$B$5:$B$369,1),"")</f>
        <v>0.136363636363636</v>
      </c>
      <c r="AC22" s="7" t="n">
        <f aca="false">IFERROR(AVERAGEIFS(Daily_Composite!$X$5:$X$369,Daily_Composite!$A$5:$A$369,"&gt;="&amp;AC$3,Daily_Composite!$A$5:$A$369,"&lt;="&amp;AC$2,Daily_Composite!$B$5:$B$369,1),"")</f>
        <v>0.198</v>
      </c>
      <c r="AD22" s="8" t="n">
        <f aca="false">IFERROR(COUNTIFS(Daily_Composite!$A$5:$A$369,"&gt;="&amp;AC$3,Daily_Composite!$A$5:$A$369,"&lt;="&amp;AC$2,Daily_Composite!$B$5:$B$369,1,Daily_Composite!$X$5:$X$369,"&gt;"&amp;Settings!$C$4)/COUNTIFS(Daily_Composite!$A$5:$A$369,"&gt;="&amp;AC$3,Daily_Composite!$A$5:$A$369,"&lt;="&amp;AC$2,Daily_Composite!$B$5:$B$369,1),"")</f>
        <v>0.545454545454545</v>
      </c>
      <c r="AE22" s="8" t="n">
        <f aca="false">IFERROR(COUNTIFS(Daily_Composite!$A$5:$A$369,"&gt;="&amp;AC$3,Daily_Composite!$A$5:$A$369,"&lt;="&amp;AC$2,Daily_Composite!$B$5:$B$369,1,Daily_Composite!$X$5:$X$369,"&lt;"&amp;-Settings!$C$4)/COUNTIFS(Daily_Composite!$A$5:$A$369,"&gt;="&amp;AC$3,Daily_Composite!$A$5:$A$369,"&lt;="&amp;AC$2,Daily_Composite!$B$5:$B$369,1),"")</f>
        <v>0.136363636363636</v>
      </c>
      <c r="AF22" s="7" t="n">
        <f aca="false">IFERROR(AVERAGEIFS(Daily_Composite!$X$5:$X$369,Daily_Composite!$A$5:$A$369,"&gt;="&amp;AF$3,Daily_Composite!$A$5:$A$369,"&lt;="&amp;AF$2,Daily_Composite!$B$5:$B$369,1),"")</f>
        <v>0.148136363636364</v>
      </c>
      <c r="AG22" s="8" t="n">
        <f aca="false">IFERROR(COUNTIFS(Daily_Composite!$A$5:$A$369,"&gt;="&amp;AF$3,Daily_Composite!$A$5:$A$369,"&lt;="&amp;AF$2,Daily_Composite!$B$5:$B$369,1,Daily_Composite!$X$5:$X$369,"&gt;"&amp;Settings!$C$4)/COUNTIFS(Daily_Composite!$A$5:$A$369,"&gt;="&amp;AF$3,Daily_Composite!$A$5:$A$369,"&lt;="&amp;AF$2,Daily_Composite!$B$5:$B$369,1),"")</f>
        <v>0.409090909090909</v>
      </c>
      <c r="AH22" s="8" t="n">
        <f aca="false">IFERROR(COUNTIFS(Daily_Composite!$A$5:$A$369,"&gt;="&amp;AF$3,Daily_Composite!$A$5:$A$369,"&lt;="&amp;AF$2,Daily_Composite!$B$5:$B$369,1,Daily_Composite!$X$5:$X$369,"&lt;"&amp;-Settings!$C$4)/COUNTIFS(Daily_Composite!$A$5:$A$369,"&gt;="&amp;AF$3,Daily_Composite!$A$5:$A$369,"&lt;="&amp;AF$2,Daily_Composite!$B$5:$B$369,1),"")</f>
        <v>0.0909090909090909</v>
      </c>
      <c r="AI22" s="7" t="n">
        <f aca="false">IFERROR(AVERAGEIFS(Daily_Composite!$X$5:$X$369,Daily_Composite!$A$5:$A$369,"&gt;="&amp;AI$3,Daily_Composite!$A$5:$A$369,"&lt;="&amp;AI$2,Daily_Composite!$B$5:$B$369,1),"")</f>
        <v>-0.0243636363636364</v>
      </c>
      <c r="AJ22" s="8" t="n">
        <f aca="false">IFERROR(COUNTIFS(Daily_Composite!$A$5:$A$369,"&gt;="&amp;AI$3,Daily_Composite!$A$5:$A$369,"&lt;="&amp;AI$2,Daily_Composite!$B$5:$B$369,1,Daily_Composite!$X$5:$X$369,"&gt;"&amp;Settings!$C$4)/COUNTIFS(Daily_Composite!$A$5:$A$369,"&gt;="&amp;AI$3,Daily_Composite!$A$5:$A$369,"&lt;="&amp;AI$2,Daily_Composite!$B$5:$B$369,1),"")</f>
        <v>0.0909090909090909</v>
      </c>
      <c r="AK22" s="8" t="n">
        <f aca="false">IFERROR(COUNTIFS(Daily_Composite!$A$5:$A$369,"&gt;="&amp;AI$3,Daily_Composite!$A$5:$A$369,"&lt;="&amp;AI$2,Daily_Composite!$B$5:$B$369,1,Daily_Composite!$X$5:$X$369,"&lt;"&amp;-Settings!$C$4)/COUNTIFS(Daily_Composite!$A$5:$A$369,"&gt;="&amp;AI$3,Daily_Composite!$A$5:$A$369,"&lt;="&amp;AI$2,Daily_Composite!$B$5:$B$369,1),"")</f>
        <v>0.227272727272727</v>
      </c>
      <c r="AL22" s="7" t="n">
        <f aca="false">IFERROR(AVERAGEIFS(Daily_Composite!$X$5:$X$369,Daily_Composite!$A$5:$A$369,"&gt;="&amp;AL$3,Daily_Composite!$A$5:$A$369,"&lt;="&amp;AL$2,Daily_Composite!$B$5:$B$369,1),"")</f>
        <v>0.182722222222222</v>
      </c>
      <c r="AM22" s="8" t="n">
        <f aca="false">IFERROR(COUNTIFS(Daily_Composite!$A$5:$A$369,"&gt;="&amp;AL$3,Daily_Composite!$A$5:$A$369,"&lt;="&amp;AL$2,Daily_Composite!$B$5:$B$369,1,Daily_Composite!$X$5:$X$369,"&gt;"&amp;Settings!$C$4)/COUNTIFS(Daily_Composite!$A$5:$A$369,"&gt;="&amp;AL$3,Daily_Composite!$A$5:$A$369,"&lt;="&amp;AL$2,Daily_Composite!$B$5:$B$369,1),"")</f>
        <v>0.722222222222222</v>
      </c>
      <c r="AN22" s="8" t="n">
        <f aca="false">IFERROR(COUNTIFS(Daily_Composite!$A$5:$A$369,"&gt;="&amp;AL$3,Daily_Composite!$A$5:$A$369,"&lt;="&amp;AL$2,Daily_Composite!$B$5:$B$369,1,Daily_Composite!$X$5:$X$369,"&lt;"&amp;-Settings!$C$4)/COUNTIFS(Daily_Composite!$A$5:$A$369,"&gt;="&amp;AL$3,Daily_Composite!$A$5:$A$369,"&lt;="&amp;AL$2,Daily_Composite!$B$5:$B$369,1),"")</f>
        <v>0</v>
      </c>
    </row>
    <row r="23" customFormat="false" ht="15" hidden="false" customHeight="false" outlineLevel="0" collapsed="false">
      <c r="A23" s="6" t="s">
        <v>36</v>
      </c>
      <c r="B23" s="7" t="n">
        <f aca="false">IFERROR(AVERAGEIFS(Daily_Composite!$Y$5:$Y$369,Daily_Composite!$A$5:$A$369,"&gt;="&amp;B$3,Daily_Composite!$A$5:$A$369,"&lt;="&amp;B$2,Daily_Composite!$B$5:$B$369,1),"")</f>
        <v>0.027</v>
      </c>
      <c r="C23" s="8" t="n">
        <f aca="false">IFERROR(COUNTIFS(Daily_Composite!$A$5:$A$369,"&gt;="&amp;B$3,Daily_Composite!$A$5:$A$369,"&lt;="&amp;B$2,Daily_Composite!$B$5:$B$369,1,Daily_Composite!$Y$5:$Y$369,"&gt;"&amp;Settings!$C$4)/COUNTIFS(Daily_Composite!$A$5:$A$369,"&gt;="&amp;B$3,Daily_Composite!$A$5:$A$369,"&lt;="&amp;B$2,Daily_Composite!$B$5:$B$369,1),"")</f>
        <v>0</v>
      </c>
      <c r="D23" s="8" t="n">
        <f aca="false">IFERROR(COUNTIFS(Daily_Composite!$A$5:$A$369,"&gt;="&amp;B$3,Daily_Composite!$A$5:$A$369,"&lt;="&amp;B$2,Daily_Composite!$B$5:$B$369,1,Daily_Composite!$Y$5:$Y$369,"&lt;"&amp;-Settings!$C$4)/COUNTIFS(Daily_Composite!$A$5:$A$369,"&gt;="&amp;B$3,Daily_Composite!$A$5:$A$369,"&lt;="&amp;B$2,Daily_Composite!$B$5:$B$369,1),"")</f>
        <v>0</v>
      </c>
      <c r="E23" s="7" t="n">
        <f aca="false">IFERROR(AVERAGEIFS(Daily_Composite!$Y$5:$Y$369,Daily_Composite!$A$5:$A$369,"&gt;="&amp;E$3,Daily_Composite!$A$5:$A$369,"&lt;="&amp;E$2,Daily_Composite!$B$5:$B$369,1),"")</f>
        <v>-0.251</v>
      </c>
      <c r="F23" s="8" t="n">
        <f aca="false">IFERROR(COUNTIFS(Daily_Composite!$A$5:$A$369,"&gt;="&amp;E$3,Daily_Composite!$A$5:$A$369,"&lt;="&amp;E$2,Daily_Composite!$B$5:$B$369,1,Daily_Composite!$Y$5:$Y$369,"&gt;"&amp;Settings!$C$4)/COUNTIFS(Daily_Composite!$A$5:$A$369,"&gt;="&amp;E$3,Daily_Composite!$A$5:$A$369,"&lt;="&amp;E$2,Daily_Composite!$B$5:$B$369,1),"")</f>
        <v>0</v>
      </c>
      <c r="G23" s="8" t="n">
        <f aca="false">IFERROR(COUNTIFS(Daily_Composite!$A$5:$A$369,"&gt;="&amp;E$3,Daily_Composite!$A$5:$A$369,"&lt;="&amp;E$2,Daily_Composite!$B$5:$B$369,1,Daily_Composite!$Y$5:$Y$369,"&lt;"&amp;-Settings!$C$4)/COUNTIFS(Daily_Composite!$A$5:$A$369,"&gt;="&amp;E$3,Daily_Composite!$A$5:$A$369,"&lt;="&amp;E$2,Daily_Composite!$B$5:$B$369,1),"")</f>
        <v>0.619047619047619</v>
      </c>
      <c r="H23" s="7" t="n">
        <f aca="false">IFERROR(AVERAGEIFS(Daily_Composite!$Y$5:$Y$369,Daily_Composite!$A$5:$A$369,"&gt;="&amp;H$3,Daily_Composite!$A$5:$A$369,"&lt;="&amp;H$2,Daily_Composite!$B$5:$B$369,1),"")</f>
        <v>-0.305869565217391</v>
      </c>
      <c r="I23" s="8" t="n">
        <f aca="false">IFERROR(COUNTIFS(Daily_Composite!$A$5:$A$369,"&gt;="&amp;H$3,Daily_Composite!$A$5:$A$369,"&lt;="&amp;H$2,Daily_Composite!$B$5:$B$369,1,Daily_Composite!$Y$5:$Y$369,"&gt;"&amp;Settings!$C$4)/COUNTIFS(Daily_Composite!$A$5:$A$369,"&gt;="&amp;H$3,Daily_Composite!$A$5:$A$369,"&lt;="&amp;H$2,Daily_Composite!$B$5:$B$369,1),"")</f>
        <v>0</v>
      </c>
      <c r="J23" s="8" t="n">
        <f aca="false">IFERROR(COUNTIFS(Daily_Composite!$A$5:$A$369,"&gt;="&amp;H$3,Daily_Composite!$A$5:$A$369,"&lt;="&amp;H$2,Daily_Composite!$B$5:$B$369,1,Daily_Composite!$Y$5:$Y$369,"&lt;"&amp;-Settings!$C$4)/COUNTIFS(Daily_Composite!$A$5:$A$369,"&gt;="&amp;H$3,Daily_Composite!$A$5:$A$369,"&lt;="&amp;H$2,Daily_Composite!$B$5:$B$369,1),"")</f>
        <v>0.956521739130435</v>
      </c>
      <c r="K23" s="7" t="n">
        <f aca="false">IFERROR(AVERAGEIFS(Daily_Composite!$Y$5:$Y$369,Daily_Composite!$A$5:$A$369,"&gt;="&amp;K$3,Daily_Composite!$A$5:$A$369,"&lt;="&amp;K$2,Daily_Composite!$B$5:$B$369,1),"")</f>
        <v>-0.216428571428571</v>
      </c>
      <c r="L23" s="8" t="n">
        <f aca="false">IFERROR(COUNTIFS(Daily_Composite!$A$5:$A$369,"&gt;="&amp;K$3,Daily_Composite!$A$5:$A$369,"&lt;="&amp;K$2,Daily_Composite!$B$5:$B$369,1,Daily_Composite!$Y$5:$Y$369,"&gt;"&amp;Settings!$C$4)/COUNTIFS(Daily_Composite!$A$5:$A$369,"&gt;="&amp;K$3,Daily_Composite!$A$5:$A$369,"&lt;="&amp;K$2,Daily_Composite!$B$5:$B$369,1),"")</f>
        <v>0</v>
      </c>
      <c r="M23" s="8" t="n">
        <f aca="false">IFERROR(COUNTIFS(Daily_Composite!$A$5:$A$369,"&gt;="&amp;K$3,Daily_Composite!$A$5:$A$369,"&lt;="&amp;K$2,Daily_Composite!$B$5:$B$369,1,Daily_Composite!$Y$5:$Y$369,"&lt;"&amp;-Settings!$C$4)/COUNTIFS(Daily_Composite!$A$5:$A$369,"&gt;="&amp;K$3,Daily_Composite!$A$5:$A$369,"&lt;="&amp;K$2,Daily_Composite!$B$5:$B$369,1),"")</f>
        <v>0.571428571428571</v>
      </c>
      <c r="N23" s="7" t="n">
        <f aca="false">IFERROR(AVERAGEIFS(Daily_Composite!$Y$5:$Y$369,Daily_Composite!$A$5:$A$369,"&gt;="&amp;N$3,Daily_Composite!$A$5:$A$369,"&lt;="&amp;N$2,Daily_Composite!$B$5:$B$369,1),"")</f>
        <v>-0.37655</v>
      </c>
      <c r="O23" s="8" t="n">
        <f aca="false">IFERROR(COUNTIFS(Daily_Composite!$A$5:$A$369,"&gt;="&amp;N$3,Daily_Composite!$A$5:$A$369,"&lt;="&amp;N$2,Daily_Composite!$B$5:$B$369,1,Daily_Composite!$Y$5:$Y$369,"&gt;"&amp;Settings!$C$4)/COUNTIFS(Daily_Composite!$A$5:$A$369,"&gt;="&amp;N$3,Daily_Composite!$A$5:$A$369,"&lt;="&amp;N$2,Daily_Composite!$B$5:$B$369,1),"")</f>
        <v>0</v>
      </c>
      <c r="P23" s="8" t="n">
        <f aca="false">IFERROR(COUNTIFS(Daily_Composite!$A$5:$A$369,"&gt;="&amp;N$3,Daily_Composite!$A$5:$A$369,"&lt;="&amp;N$2,Daily_Composite!$B$5:$B$369,1,Daily_Composite!$Y$5:$Y$369,"&lt;"&amp;-Settings!$C$4)/COUNTIFS(Daily_Composite!$A$5:$A$369,"&gt;="&amp;N$3,Daily_Composite!$A$5:$A$369,"&lt;="&amp;N$2,Daily_Composite!$B$5:$B$369,1),"")</f>
        <v>0.7</v>
      </c>
      <c r="Q23" s="7" t="n">
        <f aca="false">IFERROR(AVERAGEIFS(Daily_Composite!$Y$5:$Y$369,Daily_Composite!$A$5:$A$369,"&gt;="&amp;Q$3,Daily_Composite!$A$5:$A$369,"&lt;="&amp;Q$2,Daily_Composite!$B$5:$B$369,1),"")</f>
        <v>-0.187304347826087</v>
      </c>
      <c r="R23" s="8" t="n">
        <f aca="false">IFERROR(COUNTIFS(Daily_Composite!$A$5:$A$369,"&gt;="&amp;Q$3,Daily_Composite!$A$5:$A$369,"&lt;="&amp;Q$2,Daily_Composite!$B$5:$B$369,1,Daily_Composite!$Y$5:$Y$369,"&gt;"&amp;Settings!$C$4)/COUNTIFS(Daily_Composite!$A$5:$A$369,"&gt;="&amp;Q$3,Daily_Composite!$A$5:$A$369,"&lt;="&amp;Q$2,Daily_Composite!$B$5:$B$369,1),"")</f>
        <v>0.0869565217391304</v>
      </c>
      <c r="S23" s="8" t="n">
        <f aca="false">IFERROR(COUNTIFS(Daily_Composite!$A$5:$A$369,"&gt;="&amp;Q$3,Daily_Composite!$A$5:$A$369,"&lt;="&amp;Q$2,Daily_Composite!$B$5:$B$369,1,Daily_Composite!$Y$5:$Y$369,"&lt;"&amp;-Settings!$C$4)/COUNTIFS(Daily_Composite!$A$5:$A$369,"&gt;="&amp;Q$3,Daily_Composite!$A$5:$A$369,"&lt;="&amp;Q$2,Daily_Composite!$B$5:$B$369,1),"")</f>
        <v>0.695652173913044</v>
      </c>
      <c r="T23" s="7" t="n">
        <f aca="false">IFERROR(AVERAGEIFS(Daily_Composite!$Y$5:$Y$369,Daily_Composite!$A$5:$A$369,"&gt;="&amp;T$3,Daily_Composite!$A$5:$A$369,"&lt;="&amp;T$2,Daily_Composite!$B$5:$B$369,1),"")</f>
        <v>-0.130909090909091</v>
      </c>
      <c r="U23" s="8" t="n">
        <f aca="false">IFERROR(COUNTIFS(Daily_Composite!$A$5:$A$369,"&gt;="&amp;T$3,Daily_Composite!$A$5:$A$369,"&lt;="&amp;T$2,Daily_Composite!$B$5:$B$369,1,Daily_Composite!$Y$5:$Y$369,"&gt;"&amp;Settings!$C$4)/COUNTIFS(Daily_Composite!$A$5:$A$369,"&gt;="&amp;T$3,Daily_Composite!$A$5:$A$369,"&lt;="&amp;T$2,Daily_Composite!$B$5:$B$369,1),"")</f>
        <v>0</v>
      </c>
      <c r="V23" s="8" t="n">
        <f aca="false">IFERROR(COUNTIFS(Daily_Composite!$A$5:$A$369,"&gt;="&amp;T$3,Daily_Composite!$A$5:$A$369,"&lt;="&amp;T$2,Daily_Composite!$B$5:$B$369,1,Daily_Composite!$Y$5:$Y$369,"&lt;"&amp;-Settings!$C$4)/COUNTIFS(Daily_Composite!$A$5:$A$369,"&gt;="&amp;T$3,Daily_Composite!$A$5:$A$369,"&lt;="&amp;T$2,Daily_Composite!$B$5:$B$369,1),"")</f>
        <v>0.363636363636364</v>
      </c>
      <c r="W23" s="7" t="n">
        <f aca="false">IFERROR(AVERAGEIFS(Daily_Composite!$Y$5:$Y$369,Daily_Composite!$A$5:$A$369,"&gt;="&amp;W$3,Daily_Composite!$A$5:$A$369,"&lt;="&amp;W$2,Daily_Composite!$B$5:$B$369,1),"")</f>
        <v>-0.272952380952381</v>
      </c>
      <c r="X23" s="8" t="n">
        <f aca="false">IFERROR(COUNTIFS(Daily_Composite!$A$5:$A$369,"&gt;="&amp;W$3,Daily_Composite!$A$5:$A$369,"&lt;="&amp;W$2,Daily_Composite!$B$5:$B$369,1,Daily_Composite!$Y$5:$Y$369,"&gt;"&amp;Settings!$C$4)/COUNTIFS(Daily_Composite!$A$5:$A$369,"&gt;="&amp;W$3,Daily_Composite!$A$5:$A$369,"&lt;="&amp;W$2,Daily_Composite!$B$5:$B$369,1),"")</f>
        <v>0.0476190476190476</v>
      </c>
      <c r="Y23" s="8" t="n">
        <f aca="false">IFERROR(COUNTIFS(Daily_Composite!$A$5:$A$369,"&gt;="&amp;W$3,Daily_Composite!$A$5:$A$369,"&lt;="&amp;W$2,Daily_Composite!$B$5:$B$369,1,Daily_Composite!$Y$5:$Y$369,"&lt;"&amp;-Settings!$C$4)/COUNTIFS(Daily_Composite!$A$5:$A$369,"&gt;="&amp;W$3,Daily_Composite!$A$5:$A$369,"&lt;="&amp;W$2,Daily_Composite!$B$5:$B$369,1),"")</f>
        <v>0.714285714285714</v>
      </c>
      <c r="Z23" s="7" t="n">
        <f aca="false">IFERROR(AVERAGEIFS(Daily_Composite!$Y$5:$Y$369,Daily_Composite!$A$5:$A$369,"&gt;="&amp;Z$3,Daily_Composite!$A$5:$A$369,"&lt;="&amp;Z$2,Daily_Composite!$B$5:$B$369,1),"")</f>
        <v>-0.292227272727273</v>
      </c>
      <c r="AA23" s="8" t="n">
        <f aca="false">IFERROR(COUNTIFS(Daily_Composite!$A$5:$A$369,"&gt;="&amp;Z$3,Daily_Composite!$A$5:$A$369,"&lt;="&amp;Z$2,Daily_Composite!$B$5:$B$369,1,Daily_Composite!$Y$5:$Y$369,"&gt;"&amp;Settings!$C$4)/COUNTIFS(Daily_Composite!$A$5:$A$369,"&gt;="&amp;Z$3,Daily_Composite!$A$5:$A$369,"&lt;="&amp;Z$2,Daily_Composite!$B$5:$B$369,1),"")</f>
        <v>0</v>
      </c>
      <c r="AB23" s="8" t="n">
        <f aca="false">IFERROR(COUNTIFS(Daily_Composite!$A$5:$A$369,"&gt;="&amp;Z$3,Daily_Composite!$A$5:$A$369,"&lt;="&amp;Z$2,Daily_Composite!$B$5:$B$369,1,Daily_Composite!$Y$5:$Y$369,"&lt;"&amp;-Settings!$C$4)/COUNTIFS(Daily_Composite!$A$5:$A$369,"&gt;="&amp;Z$3,Daily_Composite!$A$5:$A$369,"&lt;="&amp;Z$2,Daily_Composite!$B$5:$B$369,1),"")</f>
        <v>0.772727272727273</v>
      </c>
      <c r="AC23" s="7" t="n">
        <f aca="false">IFERROR(AVERAGEIFS(Daily_Composite!$Y$5:$Y$369,Daily_Composite!$A$5:$A$369,"&gt;="&amp;AC$3,Daily_Composite!$A$5:$A$369,"&lt;="&amp;AC$2,Daily_Composite!$B$5:$B$369,1),"")</f>
        <v>-0.401863636363636</v>
      </c>
      <c r="AD23" s="8" t="n">
        <f aca="false">IFERROR(COUNTIFS(Daily_Composite!$A$5:$A$369,"&gt;="&amp;AC$3,Daily_Composite!$A$5:$A$369,"&lt;="&amp;AC$2,Daily_Composite!$B$5:$B$369,1,Daily_Composite!$Y$5:$Y$369,"&gt;"&amp;Settings!$C$4)/COUNTIFS(Daily_Composite!$A$5:$A$369,"&gt;="&amp;AC$3,Daily_Composite!$A$5:$A$369,"&lt;="&amp;AC$2,Daily_Composite!$B$5:$B$369,1),"")</f>
        <v>0</v>
      </c>
      <c r="AE23" s="8" t="n">
        <f aca="false">IFERROR(COUNTIFS(Daily_Composite!$A$5:$A$369,"&gt;="&amp;AC$3,Daily_Composite!$A$5:$A$369,"&lt;="&amp;AC$2,Daily_Composite!$B$5:$B$369,1,Daily_Composite!$Y$5:$Y$369,"&lt;"&amp;-Settings!$C$4)/COUNTIFS(Daily_Composite!$A$5:$A$369,"&gt;="&amp;AC$3,Daily_Composite!$A$5:$A$369,"&lt;="&amp;AC$2,Daily_Composite!$B$5:$B$369,1),"")</f>
        <v>0.909090909090909</v>
      </c>
      <c r="AF23" s="7" t="n">
        <f aca="false">IFERROR(AVERAGEIFS(Daily_Composite!$Y$5:$Y$369,Daily_Composite!$A$5:$A$369,"&gt;="&amp;AF$3,Daily_Composite!$A$5:$A$369,"&lt;="&amp;AF$2,Daily_Composite!$B$5:$B$369,1),"")</f>
        <v>-0.227818181818182</v>
      </c>
      <c r="AG23" s="8" t="n">
        <f aca="false">IFERROR(COUNTIFS(Daily_Composite!$A$5:$A$369,"&gt;="&amp;AF$3,Daily_Composite!$A$5:$A$369,"&lt;="&amp;AF$2,Daily_Composite!$B$5:$B$369,1,Daily_Composite!$Y$5:$Y$369,"&gt;"&amp;Settings!$C$4)/COUNTIFS(Daily_Composite!$A$5:$A$369,"&gt;="&amp;AF$3,Daily_Composite!$A$5:$A$369,"&lt;="&amp;AF$2,Daily_Composite!$B$5:$B$369,1),"")</f>
        <v>0.0909090909090909</v>
      </c>
      <c r="AH23" s="8" t="n">
        <f aca="false">IFERROR(COUNTIFS(Daily_Composite!$A$5:$A$369,"&gt;="&amp;AF$3,Daily_Composite!$A$5:$A$369,"&lt;="&amp;AF$2,Daily_Composite!$B$5:$B$369,1,Daily_Composite!$Y$5:$Y$369,"&lt;"&amp;-Settings!$C$4)/COUNTIFS(Daily_Composite!$A$5:$A$369,"&gt;="&amp;AF$3,Daily_Composite!$A$5:$A$369,"&lt;="&amp;AF$2,Daily_Composite!$B$5:$B$369,1),"")</f>
        <v>0.590909090909091</v>
      </c>
      <c r="AI23" s="7" t="n">
        <f aca="false">IFERROR(AVERAGEIFS(Daily_Composite!$Y$5:$Y$369,Daily_Composite!$A$5:$A$369,"&gt;="&amp;AI$3,Daily_Composite!$A$5:$A$369,"&lt;="&amp;AI$2,Daily_Composite!$B$5:$B$369,1),"")</f>
        <v>-0.202545454545455</v>
      </c>
      <c r="AJ23" s="8" t="n">
        <f aca="false">IFERROR(COUNTIFS(Daily_Composite!$A$5:$A$369,"&gt;="&amp;AI$3,Daily_Composite!$A$5:$A$369,"&lt;="&amp;AI$2,Daily_Composite!$B$5:$B$369,1,Daily_Composite!$Y$5:$Y$369,"&gt;"&amp;Settings!$C$4)/COUNTIFS(Daily_Composite!$A$5:$A$369,"&gt;="&amp;AI$3,Daily_Composite!$A$5:$A$369,"&lt;="&amp;AI$2,Daily_Composite!$B$5:$B$369,1),"")</f>
        <v>0</v>
      </c>
      <c r="AK23" s="8" t="n">
        <f aca="false">IFERROR(COUNTIFS(Daily_Composite!$A$5:$A$369,"&gt;="&amp;AI$3,Daily_Composite!$A$5:$A$369,"&lt;="&amp;AI$2,Daily_Composite!$B$5:$B$369,1,Daily_Composite!$Y$5:$Y$369,"&lt;"&amp;-Settings!$C$4)/COUNTIFS(Daily_Composite!$A$5:$A$369,"&gt;="&amp;AI$3,Daily_Composite!$A$5:$A$369,"&lt;="&amp;AI$2,Daily_Composite!$B$5:$B$369,1),"")</f>
        <v>0.5</v>
      </c>
      <c r="AL23" s="7" t="n">
        <f aca="false">IFERROR(AVERAGEIFS(Daily_Composite!$Y$5:$Y$369,Daily_Composite!$A$5:$A$369,"&gt;="&amp;AL$3,Daily_Composite!$A$5:$A$369,"&lt;="&amp;AL$2,Daily_Composite!$B$5:$B$369,1),"")</f>
        <v>0.0671666666666667</v>
      </c>
      <c r="AM23" s="8" t="n">
        <f aca="false">IFERROR(COUNTIFS(Daily_Composite!$A$5:$A$369,"&gt;="&amp;AL$3,Daily_Composite!$A$5:$A$369,"&lt;="&amp;AL$2,Daily_Composite!$B$5:$B$369,1,Daily_Composite!$Y$5:$Y$369,"&gt;"&amp;Settings!$C$4)/COUNTIFS(Daily_Composite!$A$5:$A$369,"&gt;="&amp;AL$3,Daily_Composite!$A$5:$A$369,"&lt;="&amp;AL$2,Daily_Composite!$B$5:$B$369,1),"")</f>
        <v>0.111111111111111</v>
      </c>
      <c r="AN23" s="8" t="n">
        <f aca="false">IFERROR(COUNTIFS(Daily_Composite!$A$5:$A$369,"&gt;="&amp;AL$3,Daily_Composite!$A$5:$A$369,"&lt;="&amp;AL$2,Daily_Composite!$B$5:$B$369,1,Daily_Composite!$Y$5:$Y$369,"&lt;"&amp;-Settings!$C$4)/COUNTIFS(Daily_Composite!$A$5:$A$369,"&gt;="&amp;AL$3,Daily_Composite!$A$5:$A$369,"&lt;="&amp;AL$2,Daily_Composite!$B$5:$B$369,1),"")</f>
        <v>0</v>
      </c>
    </row>
    <row r="24" customFormat="false" ht="15" hidden="false" customHeight="false" outlineLevel="0" collapsed="false">
      <c r="A24" s="6" t="s">
        <v>37</v>
      </c>
      <c r="B24" s="7" t="n">
        <f aca="false">IFERROR(AVERAGEIFS(Daily_Composite!$Z$5:$Z$369,Daily_Composite!$A$5:$A$369,"&gt;="&amp;B$3,Daily_Composite!$A$5:$A$369,"&lt;="&amp;B$2,Daily_Composite!$B$5:$B$369,1),"")</f>
        <v>-0.3075</v>
      </c>
      <c r="C24" s="8" t="n">
        <f aca="false">IFERROR(COUNTIFS(Daily_Composite!$A$5:$A$369,"&gt;="&amp;B$3,Daily_Composite!$A$5:$A$369,"&lt;="&amp;B$2,Daily_Composite!$B$5:$B$369,1,Daily_Composite!$Z$5:$Z$369,"&gt;"&amp;Settings!$C$4)/COUNTIFS(Daily_Composite!$A$5:$A$369,"&gt;="&amp;B$3,Daily_Composite!$A$5:$A$369,"&lt;="&amp;B$2,Daily_Composite!$B$5:$B$369,1),"")</f>
        <v>0</v>
      </c>
      <c r="D24" s="8" t="n">
        <f aca="false">IFERROR(COUNTIFS(Daily_Composite!$A$5:$A$369,"&gt;="&amp;B$3,Daily_Composite!$A$5:$A$369,"&lt;="&amp;B$2,Daily_Composite!$B$5:$B$369,1,Daily_Composite!$Z$5:$Z$369,"&lt;"&amp;-Settings!$C$4)/COUNTIFS(Daily_Composite!$A$5:$A$369,"&gt;="&amp;B$3,Daily_Composite!$A$5:$A$369,"&lt;="&amp;B$2,Daily_Composite!$B$5:$B$369,1),"")</f>
        <v>1</v>
      </c>
      <c r="E24" s="7" t="n">
        <f aca="false">IFERROR(AVERAGEIFS(Daily_Composite!$Z$5:$Z$369,Daily_Composite!$A$5:$A$369,"&gt;="&amp;E$3,Daily_Composite!$A$5:$A$369,"&lt;="&amp;E$2,Daily_Composite!$B$5:$B$369,1),"")</f>
        <v>0.265428571428571</v>
      </c>
      <c r="F24" s="8" t="n">
        <f aca="false">IFERROR(COUNTIFS(Daily_Composite!$A$5:$A$369,"&gt;="&amp;E$3,Daily_Composite!$A$5:$A$369,"&lt;="&amp;E$2,Daily_Composite!$B$5:$B$369,1,Daily_Composite!$Z$5:$Z$369,"&gt;"&amp;Settings!$C$4)/COUNTIFS(Daily_Composite!$A$5:$A$369,"&gt;="&amp;E$3,Daily_Composite!$A$5:$A$369,"&lt;="&amp;E$2,Daily_Composite!$B$5:$B$369,1),"")</f>
        <v>0.666666666666667</v>
      </c>
      <c r="G24" s="8" t="n">
        <f aca="false">IFERROR(COUNTIFS(Daily_Composite!$A$5:$A$369,"&gt;="&amp;E$3,Daily_Composite!$A$5:$A$369,"&lt;="&amp;E$2,Daily_Composite!$B$5:$B$369,1,Daily_Composite!$Z$5:$Z$369,"&lt;"&amp;-Settings!$C$4)/COUNTIFS(Daily_Composite!$A$5:$A$369,"&gt;="&amp;E$3,Daily_Composite!$A$5:$A$369,"&lt;="&amp;E$2,Daily_Composite!$B$5:$B$369,1),"")</f>
        <v>0</v>
      </c>
      <c r="H24" s="7" t="n">
        <f aca="false">IFERROR(AVERAGEIFS(Daily_Composite!$Z$5:$Z$369,Daily_Composite!$A$5:$A$369,"&gt;="&amp;H$3,Daily_Composite!$A$5:$A$369,"&lt;="&amp;H$2,Daily_Composite!$B$5:$B$369,1),"")</f>
        <v>0.193869565217391</v>
      </c>
      <c r="I24" s="8" t="n">
        <f aca="false">IFERROR(COUNTIFS(Daily_Composite!$A$5:$A$369,"&gt;="&amp;H$3,Daily_Composite!$A$5:$A$369,"&lt;="&amp;H$2,Daily_Composite!$B$5:$B$369,1,Daily_Composite!$Z$5:$Z$369,"&gt;"&amp;Settings!$C$4)/COUNTIFS(Daily_Composite!$A$5:$A$369,"&gt;="&amp;H$3,Daily_Composite!$A$5:$A$369,"&lt;="&amp;H$2,Daily_Composite!$B$5:$B$369,1),"")</f>
        <v>0.565217391304348</v>
      </c>
      <c r="J24" s="8" t="n">
        <f aca="false">IFERROR(COUNTIFS(Daily_Composite!$A$5:$A$369,"&gt;="&amp;H$3,Daily_Composite!$A$5:$A$369,"&lt;="&amp;H$2,Daily_Composite!$B$5:$B$369,1,Daily_Composite!$Z$5:$Z$369,"&lt;"&amp;-Settings!$C$4)/COUNTIFS(Daily_Composite!$A$5:$A$369,"&gt;="&amp;H$3,Daily_Composite!$A$5:$A$369,"&lt;="&amp;H$2,Daily_Composite!$B$5:$B$369,1),"")</f>
        <v>0.0434782608695652</v>
      </c>
      <c r="K24" s="7" t="n">
        <f aca="false">IFERROR(AVERAGEIFS(Daily_Composite!$Z$5:$Z$369,Daily_Composite!$A$5:$A$369,"&gt;="&amp;K$3,Daily_Composite!$A$5:$A$369,"&lt;="&amp;K$2,Daily_Composite!$B$5:$B$369,1),"")</f>
        <v>0.0442380952380952</v>
      </c>
      <c r="L24" s="8" t="n">
        <f aca="false">IFERROR(COUNTIFS(Daily_Composite!$A$5:$A$369,"&gt;="&amp;K$3,Daily_Composite!$A$5:$A$369,"&lt;="&amp;K$2,Daily_Composite!$B$5:$B$369,1,Daily_Composite!$Z$5:$Z$369,"&gt;"&amp;Settings!$C$4)/COUNTIFS(Daily_Composite!$A$5:$A$369,"&gt;="&amp;K$3,Daily_Composite!$A$5:$A$369,"&lt;="&amp;K$2,Daily_Composite!$B$5:$B$369,1),"")</f>
        <v>0.285714285714286</v>
      </c>
      <c r="M24" s="8" t="n">
        <f aca="false">IFERROR(COUNTIFS(Daily_Composite!$A$5:$A$369,"&gt;="&amp;K$3,Daily_Composite!$A$5:$A$369,"&lt;="&amp;K$2,Daily_Composite!$B$5:$B$369,1,Daily_Composite!$Z$5:$Z$369,"&lt;"&amp;-Settings!$C$4)/COUNTIFS(Daily_Composite!$A$5:$A$369,"&gt;="&amp;K$3,Daily_Composite!$A$5:$A$369,"&lt;="&amp;K$2,Daily_Composite!$B$5:$B$369,1),"")</f>
        <v>0.0952380952380952</v>
      </c>
      <c r="N24" s="7" t="n">
        <f aca="false">IFERROR(AVERAGEIFS(Daily_Composite!$Z$5:$Z$369,Daily_Composite!$A$5:$A$369,"&gt;="&amp;N$3,Daily_Composite!$A$5:$A$369,"&lt;="&amp;N$2,Daily_Composite!$B$5:$B$369,1),"")</f>
        <v>0.0285</v>
      </c>
      <c r="O24" s="8" t="n">
        <f aca="false">IFERROR(COUNTIFS(Daily_Composite!$A$5:$A$369,"&gt;="&amp;N$3,Daily_Composite!$A$5:$A$369,"&lt;="&amp;N$2,Daily_Composite!$B$5:$B$369,1,Daily_Composite!$Z$5:$Z$369,"&gt;"&amp;Settings!$C$4)/COUNTIFS(Daily_Composite!$A$5:$A$369,"&gt;="&amp;N$3,Daily_Composite!$A$5:$A$369,"&lt;="&amp;N$2,Daily_Composite!$B$5:$B$369,1),"")</f>
        <v>0.25</v>
      </c>
      <c r="P24" s="8" t="n">
        <f aca="false">IFERROR(COUNTIFS(Daily_Composite!$A$5:$A$369,"&gt;="&amp;N$3,Daily_Composite!$A$5:$A$369,"&lt;="&amp;N$2,Daily_Composite!$B$5:$B$369,1,Daily_Composite!$Z$5:$Z$369,"&lt;"&amp;-Settings!$C$4)/COUNTIFS(Daily_Composite!$A$5:$A$369,"&gt;="&amp;N$3,Daily_Composite!$A$5:$A$369,"&lt;="&amp;N$2,Daily_Composite!$B$5:$B$369,1),"")</f>
        <v>0.25</v>
      </c>
      <c r="Q24" s="7" t="n">
        <f aca="false">IFERROR(AVERAGEIFS(Daily_Composite!$Z$5:$Z$369,Daily_Composite!$A$5:$A$369,"&gt;="&amp;Q$3,Daily_Composite!$A$5:$A$369,"&lt;="&amp;Q$2,Daily_Composite!$B$5:$B$369,1),"")</f>
        <v>0.00169565217391304</v>
      </c>
      <c r="R24" s="8" t="n">
        <f aca="false">IFERROR(COUNTIFS(Daily_Composite!$A$5:$A$369,"&gt;="&amp;Q$3,Daily_Composite!$A$5:$A$369,"&lt;="&amp;Q$2,Daily_Composite!$B$5:$B$369,1,Daily_Composite!$Z$5:$Z$369,"&gt;"&amp;Settings!$C$4)/COUNTIFS(Daily_Composite!$A$5:$A$369,"&gt;="&amp;Q$3,Daily_Composite!$A$5:$A$369,"&lt;="&amp;Q$2,Daily_Composite!$B$5:$B$369,1),"")</f>
        <v>0.217391304347826</v>
      </c>
      <c r="S24" s="8" t="n">
        <f aca="false">IFERROR(COUNTIFS(Daily_Composite!$A$5:$A$369,"&gt;="&amp;Q$3,Daily_Composite!$A$5:$A$369,"&lt;="&amp;Q$2,Daily_Composite!$B$5:$B$369,1,Daily_Composite!$Z$5:$Z$369,"&lt;"&amp;-Settings!$C$4)/COUNTIFS(Daily_Composite!$A$5:$A$369,"&gt;="&amp;Q$3,Daily_Composite!$A$5:$A$369,"&lt;="&amp;Q$2,Daily_Composite!$B$5:$B$369,1),"")</f>
        <v>0.391304347826087</v>
      </c>
      <c r="T24" s="7" t="n">
        <f aca="false">IFERROR(AVERAGEIFS(Daily_Composite!$Z$5:$Z$369,Daily_Composite!$A$5:$A$369,"&gt;="&amp;T$3,Daily_Composite!$A$5:$A$369,"&lt;="&amp;T$2,Daily_Composite!$B$5:$B$369,1),"")</f>
        <v>-0.254454545454545</v>
      </c>
      <c r="U24" s="8" t="n">
        <f aca="false">IFERROR(COUNTIFS(Daily_Composite!$A$5:$A$369,"&gt;="&amp;T$3,Daily_Composite!$A$5:$A$369,"&lt;="&amp;T$2,Daily_Composite!$B$5:$B$369,1,Daily_Composite!$Z$5:$Z$369,"&gt;"&amp;Settings!$C$4)/COUNTIFS(Daily_Composite!$A$5:$A$369,"&gt;="&amp;T$3,Daily_Composite!$A$5:$A$369,"&lt;="&amp;T$2,Daily_Composite!$B$5:$B$369,1),"")</f>
        <v>0</v>
      </c>
      <c r="V24" s="8" t="n">
        <f aca="false">IFERROR(COUNTIFS(Daily_Composite!$A$5:$A$369,"&gt;="&amp;T$3,Daily_Composite!$A$5:$A$369,"&lt;="&amp;T$2,Daily_Composite!$B$5:$B$369,1,Daily_Composite!$Z$5:$Z$369,"&lt;"&amp;-Settings!$C$4)/COUNTIFS(Daily_Composite!$A$5:$A$369,"&gt;="&amp;T$3,Daily_Composite!$A$5:$A$369,"&lt;="&amp;T$2,Daily_Composite!$B$5:$B$369,1),"")</f>
        <v>0.772727272727273</v>
      </c>
      <c r="W24" s="7" t="n">
        <f aca="false">IFERROR(AVERAGEIFS(Daily_Composite!$Z$5:$Z$369,Daily_Composite!$A$5:$A$369,"&gt;="&amp;W$3,Daily_Composite!$A$5:$A$369,"&lt;="&amp;W$2,Daily_Composite!$B$5:$B$369,1),"")</f>
        <v>-0.248190476190476</v>
      </c>
      <c r="X24" s="8" t="n">
        <f aca="false">IFERROR(COUNTIFS(Daily_Composite!$A$5:$A$369,"&gt;="&amp;W$3,Daily_Composite!$A$5:$A$369,"&lt;="&amp;W$2,Daily_Composite!$B$5:$B$369,1,Daily_Composite!$Z$5:$Z$369,"&gt;"&amp;Settings!$C$4)/COUNTIFS(Daily_Composite!$A$5:$A$369,"&gt;="&amp;W$3,Daily_Composite!$A$5:$A$369,"&lt;="&amp;W$2,Daily_Composite!$B$5:$B$369,1),"")</f>
        <v>0.0476190476190476</v>
      </c>
      <c r="Y24" s="8" t="n">
        <f aca="false">IFERROR(COUNTIFS(Daily_Composite!$A$5:$A$369,"&gt;="&amp;W$3,Daily_Composite!$A$5:$A$369,"&lt;="&amp;W$2,Daily_Composite!$B$5:$B$369,1,Daily_Composite!$Z$5:$Z$369,"&lt;"&amp;-Settings!$C$4)/COUNTIFS(Daily_Composite!$A$5:$A$369,"&gt;="&amp;W$3,Daily_Composite!$A$5:$A$369,"&lt;="&amp;W$2,Daily_Composite!$B$5:$B$369,1),"")</f>
        <v>0.761904761904762</v>
      </c>
      <c r="Z24" s="7" t="n">
        <f aca="false">IFERROR(AVERAGEIFS(Daily_Composite!$Z$5:$Z$369,Daily_Composite!$A$5:$A$369,"&gt;="&amp;Z$3,Daily_Composite!$A$5:$A$369,"&lt;="&amp;Z$2,Daily_Composite!$B$5:$B$369,1),"")</f>
        <v>-0.175136363636364</v>
      </c>
      <c r="AA24" s="8" t="n">
        <f aca="false">IFERROR(COUNTIFS(Daily_Composite!$A$5:$A$369,"&gt;="&amp;Z$3,Daily_Composite!$A$5:$A$369,"&lt;="&amp;Z$2,Daily_Composite!$B$5:$B$369,1,Daily_Composite!$Z$5:$Z$369,"&gt;"&amp;Settings!$C$4)/COUNTIFS(Daily_Composite!$A$5:$A$369,"&gt;="&amp;Z$3,Daily_Composite!$A$5:$A$369,"&lt;="&amp;Z$2,Daily_Composite!$B$5:$B$369,1),"")</f>
        <v>0.181818181818182</v>
      </c>
      <c r="AB24" s="8" t="n">
        <f aca="false">IFERROR(COUNTIFS(Daily_Composite!$A$5:$A$369,"&gt;="&amp;Z$3,Daily_Composite!$A$5:$A$369,"&lt;="&amp;Z$2,Daily_Composite!$B$5:$B$369,1,Daily_Composite!$Z$5:$Z$369,"&lt;"&amp;-Settings!$C$4)/COUNTIFS(Daily_Composite!$A$5:$A$369,"&gt;="&amp;Z$3,Daily_Composite!$A$5:$A$369,"&lt;="&amp;Z$2,Daily_Composite!$B$5:$B$369,1),"")</f>
        <v>0.545454545454545</v>
      </c>
      <c r="AC24" s="7" t="n">
        <f aca="false">IFERROR(AVERAGEIFS(Daily_Composite!$Z$5:$Z$369,Daily_Composite!$A$5:$A$369,"&gt;="&amp;AC$3,Daily_Composite!$A$5:$A$369,"&lt;="&amp;AC$2,Daily_Composite!$B$5:$B$369,1),"")</f>
        <v>-0.0118636363636364</v>
      </c>
      <c r="AD24" s="8" t="n">
        <f aca="false">IFERROR(COUNTIFS(Daily_Composite!$A$5:$A$369,"&gt;="&amp;AC$3,Daily_Composite!$A$5:$A$369,"&lt;="&amp;AC$2,Daily_Composite!$B$5:$B$369,1,Daily_Composite!$Z$5:$Z$369,"&gt;"&amp;Settings!$C$4)/COUNTIFS(Daily_Composite!$A$5:$A$369,"&gt;="&amp;AC$3,Daily_Composite!$A$5:$A$369,"&lt;="&amp;AC$2,Daily_Composite!$B$5:$B$369,1),"")</f>
        <v>0.318181818181818</v>
      </c>
      <c r="AE24" s="8" t="n">
        <f aca="false">IFERROR(COUNTIFS(Daily_Composite!$A$5:$A$369,"&gt;="&amp;AC$3,Daily_Composite!$A$5:$A$369,"&lt;="&amp;AC$2,Daily_Composite!$B$5:$B$369,1,Daily_Composite!$Z$5:$Z$369,"&lt;"&amp;-Settings!$C$4)/COUNTIFS(Daily_Composite!$A$5:$A$369,"&gt;="&amp;AC$3,Daily_Composite!$A$5:$A$369,"&lt;="&amp;AC$2,Daily_Composite!$B$5:$B$369,1),"")</f>
        <v>0.363636363636364</v>
      </c>
      <c r="AF24" s="7" t="n">
        <f aca="false">IFERROR(AVERAGEIFS(Daily_Composite!$Z$5:$Z$369,Daily_Composite!$A$5:$A$369,"&gt;="&amp;AF$3,Daily_Composite!$A$5:$A$369,"&lt;="&amp;AF$2,Daily_Composite!$B$5:$B$369,1),"")</f>
        <v>-0.0251363636363636</v>
      </c>
      <c r="AG24" s="8" t="n">
        <f aca="false">IFERROR(COUNTIFS(Daily_Composite!$A$5:$A$369,"&gt;="&amp;AF$3,Daily_Composite!$A$5:$A$369,"&lt;="&amp;AF$2,Daily_Composite!$B$5:$B$369,1,Daily_Composite!$Z$5:$Z$369,"&gt;"&amp;Settings!$C$4)/COUNTIFS(Daily_Composite!$A$5:$A$369,"&gt;="&amp;AF$3,Daily_Composite!$A$5:$A$369,"&lt;="&amp;AF$2,Daily_Composite!$B$5:$B$369,1),"")</f>
        <v>0.181818181818182</v>
      </c>
      <c r="AH24" s="8" t="n">
        <f aca="false">IFERROR(COUNTIFS(Daily_Composite!$A$5:$A$369,"&gt;="&amp;AF$3,Daily_Composite!$A$5:$A$369,"&lt;="&amp;AF$2,Daily_Composite!$B$5:$B$369,1,Daily_Composite!$Z$5:$Z$369,"&lt;"&amp;-Settings!$C$4)/COUNTIFS(Daily_Composite!$A$5:$A$369,"&gt;="&amp;AF$3,Daily_Composite!$A$5:$A$369,"&lt;="&amp;AF$2,Daily_Composite!$B$5:$B$369,1),"")</f>
        <v>0.363636363636364</v>
      </c>
      <c r="AI24" s="7" t="n">
        <f aca="false">IFERROR(AVERAGEIFS(Daily_Composite!$Z$5:$Z$369,Daily_Composite!$A$5:$A$369,"&gt;="&amp;AI$3,Daily_Composite!$A$5:$A$369,"&lt;="&amp;AI$2,Daily_Composite!$B$5:$B$369,1),"")</f>
        <v>-0.106863636363636</v>
      </c>
      <c r="AJ24" s="8" t="n">
        <f aca="false">IFERROR(COUNTIFS(Daily_Composite!$A$5:$A$369,"&gt;="&amp;AI$3,Daily_Composite!$A$5:$A$369,"&lt;="&amp;AI$2,Daily_Composite!$B$5:$B$369,1,Daily_Composite!$Z$5:$Z$369,"&gt;"&amp;Settings!$C$4)/COUNTIFS(Daily_Composite!$A$5:$A$369,"&gt;="&amp;AI$3,Daily_Composite!$A$5:$A$369,"&lt;="&amp;AI$2,Daily_Composite!$B$5:$B$369,1),"")</f>
        <v>0.181818181818182</v>
      </c>
      <c r="AK24" s="8" t="n">
        <f aca="false">IFERROR(COUNTIFS(Daily_Composite!$A$5:$A$369,"&gt;="&amp;AI$3,Daily_Composite!$A$5:$A$369,"&lt;="&amp;AI$2,Daily_Composite!$B$5:$B$369,1,Daily_Composite!$Z$5:$Z$369,"&lt;"&amp;-Settings!$C$4)/COUNTIFS(Daily_Composite!$A$5:$A$369,"&gt;="&amp;AI$3,Daily_Composite!$A$5:$A$369,"&lt;="&amp;AI$2,Daily_Composite!$B$5:$B$369,1),"")</f>
        <v>0.409090909090909</v>
      </c>
      <c r="AL24" s="7" t="n">
        <f aca="false">IFERROR(AVERAGEIFS(Daily_Composite!$Z$5:$Z$369,Daily_Composite!$A$5:$A$369,"&gt;="&amp;AL$3,Daily_Composite!$A$5:$A$369,"&lt;="&amp;AL$2,Daily_Composite!$B$5:$B$369,1),"")</f>
        <v>0.176166666666667</v>
      </c>
      <c r="AM24" s="8" t="n">
        <f aca="false">IFERROR(COUNTIFS(Daily_Composite!$A$5:$A$369,"&gt;="&amp;AL$3,Daily_Composite!$A$5:$A$369,"&lt;="&amp;AL$2,Daily_Composite!$B$5:$B$369,1,Daily_Composite!$Z$5:$Z$369,"&gt;"&amp;Settings!$C$4)/COUNTIFS(Daily_Composite!$A$5:$A$369,"&gt;="&amp;AL$3,Daily_Composite!$A$5:$A$369,"&lt;="&amp;AL$2,Daily_Composite!$B$5:$B$369,1),"")</f>
        <v>0.611111111111111</v>
      </c>
      <c r="AN24" s="8" t="n">
        <f aca="false">IFERROR(COUNTIFS(Daily_Composite!$A$5:$A$369,"&gt;="&amp;AL$3,Daily_Composite!$A$5:$A$369,"&lt;="&amp;AL$2,Daily_Composite!$B$5:$B$369,1,Daily_Composite!$Z$5:$Z$369,"&lt;"&amp;-Settings!$C$4)/COUNTIFS(Daily_Composite!$A$5:$A$369,"&gt;="&amp;AL$3,Daily_Composite!$A$5:$A$369,"&lt;="&amp;AL$2,Daily_Composite!$B$5:$B$369,1),"")</f>
        <v>0.222222222222222</v>
      </c>
    </row>
    <row r="25" customFormat="false" ht="15" hidden="false" customHeight="false" outlineLevel="0" collapsed="false">
      <c r="A25" s="6" t="s">
        <v>38</v>
      </c>
      <c r="B25" s="7" t="n">
        <f aca="false">IFERROR(AVERAGEIFS(Daily_Composite!$AA$5:$AA$369,Daily_Composite!$A$5:$A$369,"&gt;="&amp;B$3,Daily_Composite!$A$5:$A$369,"&lt;="&amp;B$2,Daily_Composite!$B$5:$B$369,1),"")</f>
        <v>-0.0905</v>
      </c>
      <c r="C25" s="8" t="n">
        <f aca="false">IFERROR(COUNTIFS(Daily_Composite!$A$5:$A$369,"&gt;="&amp;B$3,Daily_Composite!$A$5:$A$369,"&lt;="&amp;B$2,Daily_Composite!$B$5:$B$369,1,Daily_Composite!$AA$5:$AA$369,"&gt;"&amp;Settings!$C$4)/COUNTIFS(Daily_Composite!$A$5:$A$369,"&gt;="&amp;B$3,Daily_Composite!$A$5:$A$369,"&lt;="&amp;B$2,Daily_Composite!$B$5:$B$369,1),"")</f>
        <v>0</v>
      </c>
      <c r="D25" s="8" t="n">
        <f aca="false">IFERROR(COUNTIFS(Daily_Composite!$A$5:$A$369,"&gt;="&amp;B$3,Daily_Composite!$A$5:$A$369,"&lt;="&amp;B$2,Daily_Composite!$B$5:$B$369,1,Daily_Composite!$AA$5:$AA$369,"&lt;"&amp;-Settings!$C$4)/COUNTIFS(Daily_Composite!$A$5:$A$369,"&gt;="&amp;B$3,Daily_Composite!$A$5:$A$369,"&lt;="&amp;B$2,Daily_Composite!$B$5:$B$369,1),"")</f>
        <v>0.25</v>
      </c>
      <c r="E25" s="7" t="n">
        <f aca="false">IFERROR(AVERAGEIFS(Daily_Composite!$AA$5:$AA$369,Daily_Composite!$A$5:$A$369,"&gt;="&amp;E$3,Daily_Composite!$A$5:$A$369,"&lt;="&amp;E$2,Daily_Composite!$B$5:$B$369,1),"")</f>
        <v>-0.0415714285714286</v>
      </c>
      <c r="F25" s="8" t="n">
        <f aca="false">IFERROR(COUNTIFS(Daily_Composite!$A$5:$A$369,"&gt;="&amp;E$3,Daily_Composite!$A$5:$A$369,"&lt;="&amp;E$2,Daily_Composite!$B$5:$B$369,1,Daily_Composite!$AA$5:$AA$369,"&gt;"&amp;Settings!$C$4)/COUNTIFS(Daily_Composite!$A$5:$A$369,"&gt;="&amp;E$3,Daily_Composite!$A$5:$A$369,"&lt;="&amp;E$2,Daily_Composite!$B$5:$B$369,1),"")</f>
        <v>0.19047619047619</v>
      </c>
      <c r="G25" s="8" t="n">
        <f aca="false">IFERROR(COUNTIFS(Daily_Composite!$A$5:$A$369,"&gt;="&amp;E$3,Daily_Composite!$A$5:$A$369,"&lt;="&amp;E$2,Daily_Composite!$B$5:$B$369,1,Daily_Composite!$AA$5:$AA$369,"&lt;"&amp;-Settings!$C$4)/COUNTIFS(Daily_Composite!$A$5:$A$369,"&gt;="&amp;E$3,Daily_Composite!$A$5:$A$369,"&lt;="&amp;E$2,Daily_Composite!$B$5:$B$369,1),"")</f>
        <v>0.333333333333333</v>
      </c>
      <c r="H25" s="7" t="n">
        <f aca="false">IFERROR(AVERAGEIFS(Daily_Composite!$AA$5:$AA$369,Daily_Composite!$A$5:$A$369,"&gt;="&amp;H$3,Daily_Composite!$A$5:$A$369,"&lt;="&amp;H$2,Daily_Composite!$B$5:$B$369,1),"")</f>
        <v>-0.079</v>
      </c>
      <c r="I25" s="8" t="n">
        <f aca="false">IFERROR(COUNTIFS(Daily_Composite!$A$5:$A$369,"&gt;="&amp;H$3,Daily_Composite!$A$5:$A$369,"&lt;="&amp;H$2,Daily_Composite!$B$5:$B$369,1,Daily_Composite!$AA$5:$AA$369,"&gt;"&amp;Settings!$C$4)/COUNTIFS(Daily_Composite!$A$5:$A$369,"&gt;="&amp;H$3,Daily_Composite!$A$5:$A$369,"&lt;="&amp;H$2,Daily_Composite!$B$5:$B$369,1),"")</f>
        <v>0.173913043478261</v>
      </c>
      <c r="J25" s="8" t="n">
        <f aca="false">IFERROR(COUNTIFS(Daily_Composite!$A$5:$A$369,"&gt;="&amp;H$3,Daily_Composite!$A$5:$A$369,"&lt;="&amp;H$2,Daily_Composite!$B$5:$B$369,1,Daily_Composite!$AA$5:$AA$369,"&lt;"&amp;-Settings!$C$4)/COUNTIFS(Daily_Composite!$A$5:$A$369,"&gt;="&amp;H$3,Daily_Composite!$A$5:$A$369,"&lt;="&amp;H$2,Daily_Composite!$B$5:$B$369,1),"")</f>
        <v>0.304347826086957</v>
      </c>
      <c r="K25" s="7" t="n">
        <f aca="false">IFERROR(AVERAGEIFS(Daily_Composite!$AA$5:$AA$369,Daily_Composite!$A$5:$A$369,"&gt;="&amp;K$3,Daily_Composite!$A$5:$A$369,"&lt;="&amp;K$2,Daily_Composite!$B$5:$B$369,1),"")</f>
        <v>-0.268</v>
      </c>
      <c r="L25" s="8" t="n">
        <f aca="false">IFERROR(COUNTIFS(Daily_Composite!$A$5:$A$369,"&gt;="&amp;K$3,Daily_Composite!$A$5:$A$369,"&lt;="&amp;K$2,Daily_Composite!$B$5:$B$369,1,Daily_Composite!$AA$5:$AA$369,"&gt;"&amp;Settings!$C$4)/COUNTIFS(Daily_Composite!$A$5:$A$369,"&gt;="&amp;K$3,Daily_Composite!$A$5:$A$369,"&lt;="&amp;K$2,Daily_Composite!$B$5:$B$369,1),"")</f>
        <v>0.0952380952380952</v>
      </c>
      <c r="M25" s="8" t="n">
        <f aca="false">IFERROR(COUNTIFS(Daily_Composite!$A$5:$A$369,"&gt;="&amp;K$3,Daily_Composite!$A$5:$A$369,"&lt;="&amp;K$2,Daily_Composite!$B$5:$B$369,1,Daily_Composite!$AA$5:$AA$369,"&lt;"&amp;-Settings!$C$4)/COUNTIFS(Daily_Composite!$A$5:$A$369,"&gt;="&amp;K$3,Daily_Composite!$A$5:$A$369,"&lt;="&amp;K$2,Daily_Composite!$B$5:$B$369,1),"")</f>
        <v>0.619047619047619</v>
      </c>
      <c r="N25" s="7" t="n">
        <f aca="false">IFERROR(AVERAGEIFS(Daily_Composite!$AA$5:$AA$369,Daily_Composite!$A$5:$A$369,"&gt;="&amp;N$3,Daily_Composite!$A$5:$A$369,"&lt;="&amp;N$2,Daily_Composite!$B$5:$B$369,1),"")</f>
        <v>-0.4651</v>
      </c>
      <c r="O25" s="8" t="n">
        <f aca="false">IFERROR(COUNTIFS(Daily_Composite!$A$5:$A$369,"&gt;="&amp;N$3,Daily_Composite!$A$5:$A$369,"&lt;="&amp;N$2,Daily_Composite!$B$5:$B$369,1,Daily_Composite!$AA$5:$AA$369,"&gt;"&amp;Settings!$C$4)/COUNTIFS(Daily_Composite!$A$5:$A$369,"&gt;="&amp;N$3,Daily_Composite!$A$5:$A$369,"&lt;="&amp;N$2,Daily_Composite!$B$5:$B$369,1),"")</f>
        <v>0.05</v>
      </c>
      <c r="P25" s="8" t="n">
        <f aca="false">IFERROR(COUNTIFS(Daily_Composite!$A$5:$A$369,"&gt;="&amp;N$3,Daily_Composite!$A$5:$A$369,"&lt;="&amp;N$2,Daily_Composite!$B$5:$B$369,1,Daily_Composite!$AA$5:$AA$369,"&lt;"&amp;-Settings!$C$4)/COUNTIFS(Daily_Composite!$A$5:$A$369,"&gt;="&amp;N$3,Daily_Composite!$A$5:$A$369,"&lt;="&amp;N$2,Daily_Composite!$B$5:$B$369,1),"")</f>
        <v>0.85</v>
      </c>
      <c r="Q25" s="7" t="n">
        <f aca="false">IFERROR(AVERAGEIFS(Daily_Composite!$AA$5:$AA$369,Daily_Composite!$A$5:$A$369,"&gt;="&amp;Q$3,Daily_Composite!$A$5:$A$369,"&lt;="&amp;Q$2,Daily_Composite!$B$5:$B$369,1),"")</f>
        <v>-0.210217391304348</v>
      </c>
      <c r="R25" s="8" t="n">
        <f aca="false">IFERROR(COUNTIFS(Daily_Composite!$A$5:$A$369,"&gt;="&amp;Q$3,Daily_Composite!$A$5:$A$369,"&lt;="&amp;Q$2,Daily_Composite!$B$5:$B$369,1,Daily_Composite!$AA$5:$AA$369,"&gt;"&amp;Settings!$C$4)/COUNTIFS(Daily_Composite!$A$5:$A$369,"&gt;="&amp;Q$3,Daily_Composite!$A$5:$A$369,"&lt;="&amp;Q$2,Daily_Composite!$B$5:$B$369,1),"")</f>
        <v>0.130434782608696</v>
      </c>
      <c r="S25" s="8" t="n">
        <f aca="false">IFERROR(COUNTIFS(Daily_Composite!$A$5:$A$369,"&gt;="&amp;Q$3,Daily_Composite!$A$5:$A$369,"&lt;="&amp;Q$2,Daily_Composite!$B$5:$B$369,1,Daily_Composite!$AA$5:$AA$369,"&lt;"&amp;-Settings!$C$4)/COUNTIFS(Daily_Composite!$A$5:$A$369,"&gt;="&amp;Q$3,Daily_Composite!$A$5:$A$369,"&lt;="&amp;Q$2,Daily_Composite!$B$5:$B$369,1),"")</f>
        <v>0.608695652173913</v>
      </c>
      <c r="T25" s="7" t="n">
        <f aca="false">IFERROR(AVERAGEIFS(Daily_Composite!$AA$5:$AA$369,Daily_Composite!$A$5:$A$369,"&gt;="&amp;T$3,Daily_Composite!$A$5:$A$369,"&lt;="&amp;T$2,Daily_Composite!$B$5:$B$369,1),"")</f>
        <v>-0.221727272727273</v>
      </c>
      <c r="U25" s="8" t="n">
        <f aca="false">IFERROR(COUNTIFS(Daily_Composite!$A$5:$A$369,"&gt;="&amp;T$3,Daily_Composite!$A$5:$A$369,"&lt;="&amp;T$2,Daily_Composite!$B$5:$B$369,1,Daily_Composite!$AA$5:$AA$369,"&gt;"&amp;Settings!$C$4)/COUNTIFS(Daily_Composite!$A$5:$A$369,"&gt;="&amp;T$3,Daily_Composite!$A$5:$A$369,"&lt;="&amp;T$2,Daily_Composite!$B$5:$B$369,1),"")</f>
        <v>0</v>
      </c>
      <c r="V25" s="8" t="n">
        <f aca="false">IFERROR(COUNTIFS(Daily_Composite!$A$5:$A$369,"&gt;="&amp;T$3,Daily_Composite!$A$5:$A$369,"&lt;="&amp;T$2,Daily_Composite!$B$5:$B$369,1,Daily_Composite!$AA$5:$AA$369,"&lt;"&amp;-Settings!$C$4)/COUNTIFS(Daily_Composite!$A$5:$A$369,"&gt;="&amp;T$3,Daily_Composite!$A$5:$A$369,"&lt;="&amp;T$2,Daily_Composite!$B$5:$B$369,1),"")</f>
        <v>0.636363636363636</v>
      </c>
      <c r="W25" s="7" t="n">
        <f aca="false">IFERROR(AVERAGEIFS(Daily_Composite!$AA$5:$AA$369,Daily_Composite!$A$5:$A$369,"&gt;="&amp;W$3,Daily_Composite!$A$5:$A$369,"&lt;="&amp;W$2,Daily_Composite!$B$5:$B$369,1),"")</f>
        <v>-0.32852380952381</v>
      </c>
      <c r="X25" s="8" t="n">
        <f aca="false">IFERROR(COUNTIFS(Daily_Composite!$A$5:$A$369,"&gt;="&amp;W$3,Daily_Composite!$A$5:$A$369,"&lt;="&amp;W$2,Daily_Composite!$B$5:$B$369,1,Daily_Composite!$AA$5:$AA$369,"&gt;"&amp;Settings!$C$4)/COUNTIFS(Daily_Composite!$A$5:$A$369,"&gt;="&amp;W$3,Daily_Composite!$A$5:$A$369,"&lt;="&amp;W$2,Daily_Composite!$B$5:$B$369,1),"")</f>
        <v>0.0476190476190476</v>
      </c>
      <c r="Y25" s="8" t="n">
        <f aca="false">IFERROR(COUNTIFS(Daily_Composite!$A$5:$A$369,"&gt;="&amp;W$3,Daily_Composite!$A$5:$A$369,"&lt;="&amp;W$2,Daily_Composite!$B$5:$B$369,1,Daily_Composite!$AA$5:$AA$369,"&lt;"&amp;-Settings!$C$4)/COUNTIFS(Daily_Composite!$A$5:$A$369,"&gt;="&amp;W$3,Daily_Composite!$A$5:$A$369,"&lt;="&amp;W$2,Daily_Composite!$B$5:$B$369,1),"")</f>
        <v>0.80952380952381</v>
      </c>
      <c r="Z25" s="7" t="n">
        <f aca="false">IFERROR(AVERAGEIFS(Daily_Composite!$AA$5:$AA$369,Daily_Composite!$A$5:$A$369,"&gt;="&amp;Z$3,Daily_Composite!$A$5:$A$369,"&lt;="&amp;Z$2,Daily_Composite!$B$5:$B$369,1),"")</f>
        <v>-0.389</v>
      </c>
      <c r="AA25" s="8" t="n">
        <f aca="false">IFERROR(COUNTIFS(Daily_Composite!$A$5:$A$369,"&gt;="&amp;Z$3,Daily_Composite!$A$5:$A$369,"&lt;="&amp;Z$2,Daily_Composite!$B$5:$B$369,1,Daily_Composite!$AA$5:$AA$369,"&gt;"&amp;Settings!$C$4)/COUNTIFS(Daily_Composite!$A$5:$A$369,"&gt;="&amp;Z$3,Daily_Composite!$A$5:$A$369,"&lt;="&amp;Z$2,Daily_Composite!$B$5:$B$369,1),"")</f>
        <v>0</v>
      </c>
      <c r="AB25" s="8" t="n">
        <f aca="false">IFERROR(COUNTIFS(Daily_Composite!$A$5:$A$369,"&gt;="&amp;Z$3,Daily_Composite!$A$5:$A$369,"&lt;="&amp;Z$2,Daily_Composite!$B$5:$B$369,1,Daily_Composite!$AA$5:$AA$369,"&lt;"&amp;-Settings!$C$4)/COUNTIFS(Daily_Composite!$A$5:$A$369,"&gt;="&amp;Z$3,Daily_Composite!$A$5:$A$369,"&lt;="&amp;Z$2,Daily_Composite!$B$5:$B$369,1),"")</f>
        <v>0.863636363636364</v>
      </c>
      <c r="AC25" s="7" t="n">
        <f aca="false">IFERROR(AVERAGEIFS(Daily_Composite!$AA$5:$AA$369,Daily_Composite!$A$5:$A$369,"&gt;="&amp;AC$3,Daily_Composite!$A$5:$A$369,"&lt;="&amp;AC$2,Daily_Composite!$B$5:$B$369,1),"")</f>
        <v>-0.434181818181818</v>
      </c>
      <c r="AD25" s="8" t="n">
        <f aca="false">IFERROR(COUNTIFS(Daily_Composite!$A$5:$A$369,"&gt;="&amp;AC$3,Daily_Composite!$A$5:$A$369,"&lt;="&amp;AC$2,Daily_Composite!$B$5:$B$369,1,Daily_Composite!$AA$5:$AA$369,"&gt;"&amp;Settings!$C$4)/COUNTIFS(Daily_Composite!$A$5:$A$369,"&gt;="&amp;AC$3,Daily_Composite!$A$5:$A$369,"&lt;="&amp;AC$2,Daily_Composite!$B$5:$B$369,1),"")</f>
        <v>0</v>
      </c>
      <c r="AE25" s="8" t="n">
        <f aca="false">IFERROR(COUNTIFS(Daily_Composite!$A$5:$A$369,"&gt;="&amp;AC$3,Daily_Composite!$A$5:$A$369,"&lt;="&amp;AC$2,Daily_Composite!$B$5:$B$369,1,Daily_Composite!$AA$5:$AA$369,"&lt;"&amp;-Settings!$C$4)/COUNTIFS(Daily_Composite!$A$5:$A$369,"&gt;="&amp;AC$3,Daily_Composite!$A$5:$A$369,"&lt;="&amp;AC$2,Daily_Composite!$B$5:$B$369,1),"")</f>
        <v>0.954545454545455</v>
      </c>
      <c r="AF25" s="7" t="n">
        <f aca="false">IFERROR(AVERAGEIFS(Daily_Composite!$AA$5:$AA$369,Daily_Composite!$A$5:$A$369,"&gt;="&amp;AF$3,Daily_Composite!$A$5:$A$369,"&lt;="&amp;AF$2,Daily_Composite!$B$5:$B$369,1),"")</f>
        <v>-0.325363636363636</v>
      </c>
      <c r="AG25" s="8" t="n">
        <f aca="false">IFERROR(COUNTIFS(Daily_Composite!$A$5:$A$369,"&gt;="&amp;AF$3,Daily_Composite!$A$5:$A$369,"&lt;="&amp;AF$2,Daily_Composite!$B$5:$B$369,1,Daily_Composite!$AA$5:$AA$369,"&gt;"&amp;Settings!$C$4)/COUNTIFS(Daily_Composite!$A$5:$A$369,"&gt;="&amp;AF$3,Daily_Composite!$A$5:$A$369,"&lt;="&amp;AF$2,Daily_Composite!$B$5:$B$369,1),"")</f>
        <v>0.0454545454545455</v>
      </c>
      <c r="AH25" s="8" t="n">
        <f aca="false">IFERROR(COUNTIFS(Daily_Composite!$A$5:$A$369,"&gt;="&amp;AF$3,Daily_Composite!$A$5:$A$369,"&lt;="&amp;AF$2,Daily_Composite!$B$5:$B$369,1,Daily_Composite!$AA$5:$AA$369,"&lt;"&amp;-Settings!$C$4)/COUNTIFS(Daily_Composite!$A$5:$A$369,"&gt;="&amp;AF$3,Daily_Composite!$A$5:$A$369,"&lt;="&amp;AF$2,Daily_Composite!$B$5:$B$369,1),"")</f>
        <v>0.863636363636364</v>
      </c>
      <c r="AI25" s="7" t="n">
        <f aca="false">IFERROR(AVERAGEIFS(Daily_Composite!$AA$5:$AA$369,Daily_Composite!$A$5:$A$369,"&gt;="&amp;AI$3,Daily_Composite!$A$5:$A$369,"&lt;="&amp;AI$2,Daily_Composite!$B$5:$B$369,1),"")</f>
        <v>-0.117863636363636</v>
      </c>
      <c r="AJ25" s="8" t="n">
        <f aca="false">IFERROR(COUNTIFS(Daily_Composite!$A$5:$A$369,"&gt;="&amp;AI$3,Daily_Composite!$A$5:$A$369,"&lt;="&amp;AI$2,Daily_Composite!$B$5:$B$369,1,Daily_Composite!$AA$5:$AA$369,"&gt;"&amp;Settings!$C$4)/COUNTIFS(Daily_Composite!$A$5:$A$369,"&gt;="&amp;AI$3,Daily_Composite!$A$5:$A$369,"&lt;="&amp;AI$2,Daily_Composite!$B$5:$B$369,1),"")</f>
        <v>0.136363636363636</v>
      </c>
      <c r="AK25" s="8" t="n">
        <f aca="false">IFERROR(COUNTIFS(Daily_Composite!$A$5:$A$369,"&gt;="&amp;AI$3,Daily_Composite!$A$5:$A$369,"&lt;="&amp;AI$2,Daily_Composite!$B$5:$B$369,1,Daily_Composite!$AA$5:$AA$369,"&lt;"&amp;-Settings!$C$4)/COUNTIFS(Daily_Composite!$A$5:$A$369,"&gt;="&amp;AI$3,Daily_Composite!$A$5:$A$369,"&lt;="&amp;AI$2,Daily_Composite!$B$5:$B$369,1),"")</f>
        <v>0.454545454545455</v>
      </c>
      <c r="AL25" s="7" t="n">
        <f aca="false">IFERROR(AVERAGEIFS(Daily_Composite!$AA$5:$AA$369,Daily_Composite!$A$5:$A$369,"&gt;="&amp;AL$3,Daily_Composite!$A$5:$A$369,"&lt;="&amp;AL$2,Daily_Composite!$B$5:$B$369,1),"")</f>
        <v>-0.00788888888888889</v>
      </c>
      <c r="AM25" s="8" t="n">
        <f aca="false">IFERROR(COUNTIFS(Daily_Composite!$A$5:$A$369,"&gt;="&amp;AL$3,Daily_Composite!$A$5:$A$369,"&lt;="&amp;AL$2,Daily_Composite!$B$5:$B$369,1,Daily_Composite!$AA$5:$AA$369,"&gt;"&amp;Settings!$C$4)/COUNTIFS(Daily_Composite!$A$5:$A$369,"&gt;="&amp;AL$3,Daily_Composite!$A$5:$A$369,"&lt;="&amp;AL$2,Daily_Composite!$B$5:$B$369,1),"")</f>
        <v>0.277777777777778</v>
      </c>
      <c r="AN25" s="8" t="n">
        <f aca="false">IFERROR(COUNTIFS(Daily_Composite!$A$5:$A$369,"&gt;="&amp;AL$3,Daily_Composite!$A$5:$A$369,"&lt;="&amp;AL$2,Daily_Composite!$B$5:$B$369,1,Daily_Composite!$AA$5:$AA$369,"&lt;"&amp;-Settings!$C$4)/COUNTIFS(Daily_Composite!$A$5:$A$369,"&gt;="&amp;AL$3,Daily_Composite!$A$5:$A$369,"&lt;="&amp;AL$2,Daily_Composite!$B$5:$B$369,1),"")</f>
        <v>0.277777777777778</v>
      </c>
    </row>
    <row r="26" customFormat="false" ht="15" hidden="false" customHeight="false" outlineLevel="0" collapsed="false">
      <c r="A26" s="6" t="s">
        <v>39</v>
      </c>
      <c r="B26" s="7" t="n">
        <f aca="false">IFERROR(AVERAGEIFS(Daily_Composite!$AB$5:$AB$369,Daily_Composite!$A$5:$A$369,"&gt;="&amp;B$3,Daily_Composite!$A$5:$A$369,"&lt;="&amp;B$2,Daily_Composite!$B$5:$B$369,1),"")</f>
        <v>-0.1005</v>
      </c>
      <c r="C26" s="8" t="n">
        <f aca="false">IFERROR(COUNTIFS(Daily_Composite!$A$5:$A$369,"&gt;="&amp;B$3,Daily_Composite!$A$5:$A$369,"&lt;="&amp;B$2,Daily_Composite!$B$5:$B$369,1,Daily_Composite!$AB$5:$AB$369,"&gt;"&amp;Settings!$C$4)/COUNTIFS(Daily_Composite!$A$5:$A$369,"&gt;="&amp;B$3,Daily_Composite!$A$5:$A$369,"&lt;="&amp;B$2,Daily_Composite!$B$5:$B$369,1),"")</f>
        <v>0</v>
      </c>
      <c r="D26" s="8" t="n">
        <f aca="false">IFERROR(COUNTIFS(Daily_Composite!$A$5:$A$369,"&gt;="&amp;B$3,Daily_Composite!$A$5:$A$369,"&lt;="&amp;B$2,Daily_Composite!$B$5:$B$369,1,Daily_Composite!$AB$5:$AB$369,"&lt;"&amp;-Settings!$C$4)/COUNTIFS(Daily_Composite!$A$5:$A$369,"&gt;="&amp;B$3,Daily_Composite!$A$5:$A$369,"&lt;="&amp;B$2,Daily_Composite!$B$5:$B$369,1),"")</f>
        <v>0.5</v>
      </c>
      <c r="E26" s="7" t="n">
        <f aca="false">IFERROR(AVERAGEIFS(Daily_Composite!$AB$5:$AB$369,Daily_Composite!$A$5:$A$369,"&gt;="&amp;E$3,Daily_Composite!$A$5:$A$369,"&lt;="&amp;E$2,Daily_Composite!$B$5:$B$369,1),"")</f>
        <v>0.187952380952381</v>
      </c>
      <c r="F26" s="8" t="n">
        <f aca="false">IFERROR(COUNTIFS(Daily_Composite!$A$5:$A$369,"&gt;="&amp;E$3,Daily_Composite!$A$5:$A$369,"&lt;="&amp;E$2,Daily_Composite!$B$5:$B$369,1,Daily_Composite!$AB$5:$AB$369,"&gt;"&amp;Settings!$C$4)/COUNTIFS(Daily_Composite!$A$5:$A$369,"&gt;="&amp;E$3,Daily_Composite!$A$5:$A$369,"&lt;="&amp;E$2,Daily_Composite!$B$5:$B$369,1),"")</f>
        <v>0.476190476190476</v>
      </c>
      <c r="G26" s="8" t="n">
        <f aca="false">IFERROR(COUNTIFS(Daily_Composite!$A$5:$A$369,"&gt;="&amp;E$3,Daily_Composite!$A$5:$A$369,"&lt;="&amp;E$2,Daily_Composite!$B$5:$B$369,1,Daily_Composite!$AB$5:$AB$369,"&lt;"&amp;-Settings!$C$4)/COUNTIFS(Daily_Composite!$A$5:$A$369,"&gt;="&amp;E$3,Daily_Composite!$A$5:$A$369,"&lt;="&amp;E$2,Daily_Composite!$B$5:$B$369,1),"")</f>
        <v>0</v>
      </c>
      <c r="H26" s="7" t="n">
        <f aca="false">IFERROR(AVERAGEIFS(Daily_Composite!$AB$5:$AB$369,Daily_Composite!$A$5:$A$369,"&gt;="&amp;H$3,Daily_Composite!$A$5:$A$369,"&lt;="&amp;H$2,Daily_Composite!$B$5:$B$369,1),"")</f>
        <v>0.0633913043478261</v>
      </c>
      <c r="I26" s="8" t="n">
        <f aca="false">IFERROR(COUNTIFS(Daily_Composite!$A$5:$A$369,"&gt;="&amp;H$3,Daily_Composite!$A$5:$A$369,"&lt;="&amp;H$2,Daily_Composite!$B$5:$B$369,1,Daily_Composite!$AB$5:$AB$369,"&gt;"&amp;Settings!$C$4)/COUNTIFS(Daily_Composite!$A$5:$A$369,"&gt;="&amp;H$3,Daily_Composite!$A$5:$A$369,"&lt;="&amp;H$2,Daily_Composite!$B$5:$B$369,1),"")</f>
        <v>0.0434782608695652</v>
      </c>
      <c r="J26" s="8" t="n">
        <f aca="false">IFERROR(COUNTIFS(Daily_Composite!$A$5:$A$369,"&gt;="&amp;H$3,Daily_Composite!$A$5:$A$369,"&lt;="&amp;H$2,Daily_Composite!$B$5:$B$369,1,Daily_Composite!$AB$5:$AB$369,"&lt;"&amp;-Settings!$C$4)/COUNTIFS(Daily_Composite!$A$5:$A$369,"&gt;="&amp;H$3,Daily_Composite!$A$5:$A$369,"&lt;="&amp;H$2,Daily_Composite!$B$5:$B$369,1),"")</f>
        <v>0.0434782608695652</v>
      </c>
      <c r="K26" s="7" t="n">
        <f aca="false">IFERROR(AVERAGEIFS(Daily_Composite!$AB$5:$AB$369,Daily_Composite!$A$5:$A$369,"&gt;="&amp;K$3,Daily_Composite!$A$5:$A$369,"&lt;="&amp;K$2,Daily_Composite!$B$5:$B$369,1),"")</f>
        <v>-0.049</v>
      </c>
      <c r="L26" s="8" t="n">
        <f aca="false">IFERROR(COUNTIFS(Daily_Composite!$A$5:$A$369,"&gt;="&amp;K$3,Daily_Composite!$A$5:$A$369,"&lt;="&amp;K$2,Daily_Composite!$B$5:$B$369,1,Daily_Composite!$AB$5:$AB$369,"&gt;"&amp;Settings!$C$4)/COUNTIFS(Daily_Composite!$A$5:$A$369,"&gt;="&amp;K$3,Daily_Composite!$A$5:$A$369,"&lt;="&amp;K$2,Daily_Composite!$B$5:$B$369,1),"")</f>
        <v>0</v>
      </c>
      <c r="M26" s="8" t="n">
        <f aca="false">IFERROR(COUNTIFS(Daily_Composite!$A$5:$A$369,"&gt;="&amp;K$3,Daily_Composite!$A$5:$A$369,"&lt;="&amp;K$2,Daily_Composite!$B$5:$B$369,1,Daily_Composite!$AB$5:$AB$369,"&lt;"&amp;-Settings!$C$4)/COUNTIFS(Daily_Composite!$A$5:$A$369,"&gt;="&amp;K$3,Daily_Composite!$A$5:$A$369,"&lt;="&amp;K$2,Daily_Composite!$B$5:$B$369,1),"")</f>
        <v>0.238095238095238</v>
      </c>
      <c r="N26" s="7" t="n">
        <f aca="false">IFERROR(AVERAGEIFS(Daily_Composite!$AB$5:$AB$369,Daily_Composite!$A$5:$A$369,"&gt;="&amp;N$3,Daily_Composite!$A$5:$A$369,"&lt;="&amp;N$2,Daily_Composite!$B$5:$B$369,1),"")</f>
        <v>0.092</v>
      </c>
      <c r="O26" s="8" t="n">
        <f aca="false">IFERROR(COUNTIFS(Daily_Composite!$A$5:$A$369,"&gt;="&amp;N$3,Daily_Composite!$A$5:$A$369,"&lt;="&amp;N$2,Daily_Composite!$B$5:$B$369,1,Daily_Composite!$AB$5:$AB$369,"&gt;"&amp;Settings!$C$4)/COUNTIFS(Daily_Composite!$A$5:$A$369,"&gt;="&amp;N$3,Daily_Composite!$A$5:$A$369,"&lt;="&amp;N$2,Daily_Composite!$B$5:$B$369,1),"")</f>
        <v>0.15</v>
      </c>
      <c r="P26" s="8" t="n">
        <f aca="false">IFERROR(COUNTIFS(Daily_Composite!$A$5:$A$369,"&gt;="&amp;N$3,Daily_Composite!$A$5:$A$369,"&lt;="&amp;N$2,Daily_Composite!$B$5:$B$369,1,Daily_Composite!$AB$5:$AB$369,"&lt;"&amp;-Settings!$C$4)/COUNTIFS(Daily_Composite!$A$5:$A$369,"&gt;="&amp;N$3,Daily_Composite!$A$5:$A$369,"&lt;="&amp;N$2,Daily_Composite!$B$5:$B$369,1),"")</f>
        <v>0</v>
      </c>
      <c r="Q26" s="7" t="n">
        <f aca="false">IFERROR(AVERAGEIFS(Daily_Composite!$AB$5:$AB$369,Daily_Composite!$A$5:$A$369,"&gt;="&amp;Q$3,Daily_Composite!$A$5:$A$369,"&lt;="&amp;Q$2,Daily_Composite!$B$5:$B$369,1),"")</f>
        <v>0.0291304347826087</v>
      </c>
      <c r="R26" s="8" t="n">
        <f aca="false">IFERROR(COUNTIFS(Daily_Composite!$A$5:$A$369,"&gt;="&amp;Q$3,Daily_Composite!$A$5:$A$369,"&lt;="&amp;Q$2,Daily_Composite!$B$5:$B$369,1,Daily_Composite!$AB$5:$AB$369,"&gt;"&amp;Settings!$C$4)/COUNTIFS(Daily_Composite!$A$5:$A$369,"&gt;="&amp;Q$3,Daily_Composite!$A$5:$A$369,"&lt;="&amp;Q$2,Daily_Composite!$B$5:$B$369,1),"")</f>
        <v>0.0434782608695652</v>
      </c>
      <c r="S26" s="8" t="n">
        <f aca="false">IFERROR(COUNTIFS(Daily_Composite!$A$5:$A$369,"&gt;="&amp;Q$3,Daily_Composite!$A$5:$A$369,"&lt;="&amp;Q$2,Daily_Composite!$B$5:$B$369,1,Daily_Composite!$AB$5:$AB$369,"&lt;"&amp;-Settings!$C$4)/COUNTIFS(Daily_Composite!$A$5:$A$369,"&gt;="&amp;Q$3,Daily_Composite!$A$5:$A$369,"&lt;="&amp;Q$2,Daily_Composite!$B$5:$B$369,1),"")</f>
        <v>0.0869565217391304</v>
      </c>
      <c r="T26" s="7" t="n">
        <f aca="false">IFERROR(AVERAGEIFS(Daily_Composite!$AB$5:$AB$369,Daily_Composite!$A$5:$A$369,"&gt;="&amp;T$3,Daily_Composite!$A$5:$A$369,"&lt;="&amp;T$2,Daily_Composite!$B$5:$B$369,1),"")</f>
        <v>-0.0827272727272727</v>
      </c>
      <c r="U26" s="8" t="n">
        <f aca="false">IFERROR(COUNTIFS(Daily_Composite!$A$5:$A$369,"&gt;="&amp;T$3,Daily_Composite!$A$5:$A$369,"&lt;="&amp;T$2,Daily_Composite!$B$5:$B$369,1,Daily_Composite!$AB$5:$AB$369,"&gt;"&amp;Settings!$C$4)/COUNTIFS(Daily_Composite!$A$5:$A$369,"&gt;="&amp;T$3,Daily_Composite!$A$5:$A$369,"&lt;="&amp;T$2,Daily_Composite!$B$5:$B$369,1),"")</f>
        <v>0</v>
      </c>
      <c r="V26" s="8" t="n">
        <f aca="false">IFERROR(COUNTIFS(Daily_Composite!$A$5:$A$369,"&gt;="&amp;T$3,Daily_Composite!$A$5:$A$369,"&lt;="&amp;T$2,Daily_Composite!$B$5:$B$369,1,Daily_Composite!$AB$5:$AB$369,"&lt;"&amp;-Settings!$C$4)/COUNTIFS(Daily_Composite!$A$5:$A$369,"&gt;="&amp;T$3,Daily_Composite!$A$5:$A$369,"&lt;="&amp;T$2,Daily_Composite!$B$5:$B$369,1),"")</f>
        <v>0.0909090909090909</v>
      </c>
      <c r="W26" s="7" t="n">
        <f aca="false">IFERROR(AVERAGEIFS(Daily_Composite!$AB$5:$AB$369,Daily_Composite!$A$5:$A$369,"&gt;="&amp;W$3,Daily_Composite!$A$5:$A$369,"&lt;="&amp;W$2,Daily_Composite!$B$5:$B$369,1),"")</f>
        <v>-0.115619047619048</v>
      </c>
      <c r="X26" s="8" t="n">
        <f aca="false">IFERROR(COUNTIFS(Daily_Composite!$A$5:$A$369,"&gt;="&amp;W$3,Daily_Composite!$A$5:$A$369,"&lt;="&amp;W$2,Daily_Composite!$B$5:$B$369,1,Daily_Composite!$AB$5:$AB$369,"&gt;"&amp;Settings!$C$4)/COUNTIFS(Daily_Composite!$A$5:$A$369,"&gt;="&amp;W$3,Daily_Composite!$A$5:$A$369,"&lt;="&amp;W$2,Daily_Composite!$B$5:$B$369,1),"")</f>
        <v>0</v>
      </c>
      <c r="Y26" s="8" t="n">
        <f aca="false">IFERROR(COUNTIFS(Daily_Composite!$A$5:$A$369,"&gt;="&amp;W$3,Daily_Composite!$A$5:$A$369,"&lt;="&amp;W$2,Daily_Composite!$B$5:$B$369,1,Daily_Composite!$AB$5:$AB$369,"&lt;"&amp;-Settings!$C$4)/COUNTIFS(Daily_Composite!$A$5:$A$369,"&gt;="&amp;W$3,Daily_Composite!$A$5:$A$369,"&lt;="&amp;W$2,Daily_Composite!$B$5:$B$369,1),"")</f>
        <v>0.285714285714286</v>
      </c>
      <c r="Z26" s="7" t="n">
        <f aca="false">IFERROR(AVERAGEIFS(Daily_Composite!$AB$5:$AB$369,Daily_Composite!$A$5:$A$369,"&gt;="&amp;Z$3,Daily_Composite!$A$5:$A$369,"&lt;="&amp;Z$2,Daily_Composite!$B$5:$B$369,1),"")</f>
        <v>-0.203363636363636</v>
      </c>
      <c r="AA26" s="8" t="n">
        <f aca="false">IFERROR(COUNTIFS(Daily_Composite!$A$5:$A$369,"&gt;="&amp;Z$3,Daily_Composite!$A$5:$A$369,"&lt;="&amp;Z$2,Daily_Composite!$B$5:$B$369,1,Daily_Composite!$AB$5:$AB$369,"&gt;"&amp;Settings!$C$4)/COUNTIFS(Daily_Composite!$A$5:$A$369,"&gt;="&amp;Z$3,Daily_Composite!$A$5:$A$369,"&lt;="&amp;Z$2,Daily_Composite!$B$5:$B$369,1),"")</f>
        <v>0</v>
      </c>
      <c r="AB26" s="8" t="n">
        <f aca="false">IFERROR(COUNTIFS(Daily_Composite!$A$5:$A$369,"&gt;="&amp;Z$3,Daily_Composite!$A$5:$A$369,"&lt;="&amp;Z$2,Daily_Composite!$B$5:$B$369,1,Daily_Composite!$AB$5:$AB$369,"&lt;"&amp;-Settings!$C$4)/COUNTIFS(Daily_Composite!$A$5:$A$369,"&gt;="&amp;Z$3,Daily_Composite!$A$5:$A$369,"&lt;="&amp;Z$2,Daily_Composite!$B$5:$B$369,1),"")</f>
        <v>0.590909090909091</v>
      </c>
      <c r="AC26" s="7" t="n">
        <f aca="false">IFERROR(AVERAGEIFS(Daily_Composite!$AB$5:$AB$369,Daily_Composite!$A$5:$A$369,"&gt;="&amp;AC$3,Daily_Composite!$A$5:$A$369,"&lt;="&amp;AC$2,Daily_Composite!$B$5:$B$369,1),"")</f>
        <v>-0.144772727272727</v>
      </c>
      <c r="AD26" s="8" t="n">
        <f aca="false">IFERROR(COUNTIFS(Daily_Composite!$A$5:$A$369,"&gt;="&amp;AC$3,Daily_Composite!$A$5:$A$369,"&lt;="&amp;AC$2,Daily_Composite!$B$5:$B$369,1,Daily_Composite!$AB$5:$AB$369,"&gt;"&amp;Settings!$C$4)/COUNTIFS(Daily_Composite!$A$5:$A$369,"&gt;="&amp;AC$3,Daily_Composite!$A$5:$A$369,"&lt;="&amp;AC$2,Daily_Composite!$B$5:$B$369,1),"")</f>
        <v>0</v>
      </c>
      <c r="AE26" s="8" t="n">
        <f aca="false">IFERROR(COUNTIFS(Daily_Composite!$A$5:$A$369,"&gt;="&amp;AC$3,Daily_Composite!$A$5:$A$369,"&lt;="&amp;AC$2,Daily_Composite!$B$5:$B$369,1,Daily_Composite!$AB$5:$AB$369,"&lt;"&amp;-Settings!$C$4)/COUNTIFS(Daily_Composite!$A$5:$A$369,"&gt;="&amp;AC$3,Daily_Composite!$A$5:$A$369,"&lt;="&amp;AC$2,Daily_Composite!$B$5:$B$369,1),"")</f>
        <v>0.590909090909091</v>
      </c>
      <c r="AF26" s="7" t="n">
        <f aca="false">IFERROR(AVERAGEIFS(Daily_Composite!$AB$5:$AB$369,Daily_Composite!$A$5:$A$369,"&gt;="&amp;AF$3,Daily_Composite!$A$5:$A$369,"&lt;="&amp;AF$2,Daily_Composite!$B$5:$B$369,1),"")</f>
        <v>-0.0921363636363636</v>
      </c>
      <c r="AG26" s="8" t="n">
        <f aca="false">IFERROR(COUNTIFS(Daily_Composite!$A$5:$A$369,"&gt;="&amp;AF$3,Daily_Composite!$A$5:$A$369,"&lt;="&amp;AF$2,Daily_Composite!$B$5:$B$369,1,Daily_Composite!$AB$5:$AB$369,"&gt;"&amp;Settings!$C$4)/COUNTIFS(Daily_Composite!$A$5:$A$369,"&gt;="&amp;AF$3,Daily_Composite!$A$5:$A$369,"&lt;="&amp;AF$2,Daily_Composite!$B$5:$B$369,1),"")</f>
        <v>0.0909090909090909</v>
      </c>
      <c r="AH26" s="8" t="n">
        <f aca="false">IFERROR(COUNTIFS(Daily_Composite!$A$5:$A$369,"&gt;="&amp;AF$3,Daily_Composite!$A$5:$A$369,"&lt;="&amp;AF$2,Daily_Composite!$B$5:$B$369,1,Daily_Composite!$AB$5:$AB$369,"&lt;"&amp;-Settings!$C$4)/COUNTIFS(Daily_Composite!$A$5:$A$369,"&gt;="&amp;AF$3,Daily_Composite!$A$5:$A$369,"&lt;="&amp;AF$2,Daily_Composite!$B$5:$B$369,1),"")</f>
        <v>0.227272727272727</v>
      </c>
      <c r="AI26" s="7" t="n">
        <f aca="false">IFERROR(AVERAGEIFS(Daily_Composite!$AB$5:$AB$369,Daily_Composite!$A$5:$A$369,"&gt;="&amp;AI$3,Daily_Composite!$A$5:$A$369,"&lt;="&amp;AI$2,Daily_Composite!$B$5:$B$369,1),"")</f>
        <v>-0.219545454545455</v>
      </c>
      <c r="AJ26" s="8" t="n">
        <f aca="false">IFERROR(COUNTIFS(Daily_Composite!$A$5:$A$369,"&gt;="&amp;AI$3,Daily_Composite!$A$5:$A$369,"&lt;="&amp;AI$2,Daily_Composite!$B$5:$B$369,1,Daily_Composite!$AB$5:$AB$369,"&gt;"&amp;Settings!$C$4)/COUNTIFS(Daily_Composite!$A$5:$A$369,"&gt;="&amp;AI$3,Daily_Composite!$A$5:$A$369,"&lt;="&amp;AI$2,Daily_Composite!$B$5:$B$369,1),"")</f>
        <v>0.0454545454545455</v>
      </c>
      <c r="AK26" s="8" t="n">
        <f aca="false">IFERROR(COUNTIFS(Daily_Composite!$A$5:$A$369,"&gt;="&amp;AI$3,Daily_Composite!$A$5:$A$369,"&lt;="&amp;AI$2,Daily_Composite!$B$5:$B$369,1,Daily_Composite!$AB$5:$AB$369,"&lt;"&amp;-Settings!$C$4)/COUNTIFS(Daily_Composite!$A$5:$A$369,"&gt;="&amp;AI$3,Daily_Composite!$A$5:$A$369,"&lt;="&amp;AI$2,Daily_Composite!$B$5:$B$369,1),"")</f>
        <v>0.818181818181818</v>
      </c>
      <c r="AL26" s="7" t="n">
        <f aca="false">IFERROR(AVERAGEIFS(Daily_Composite!$AB$5:$AB$369,Daily_Composite!$A$5:$A$369,"&gt;="&amp;AL$3,Daily_Composite!$A$5:$A$369,"&lt;="&amp;AL$2,Daily_Composite!$B$5:$B$369,1),"")</f>
        <v>-0.0271666666666667</v>
      </c>
      <c r="AM26" s="8" t="n">
        <f aca="false">IFERROR(COUNTIFS(Daily_Composite!$A$5:$A$369,"&gt;="&amp;AL$3,Daily_Composite!$A$5:$A$369,"&lt;="&amp;AL$2,Daily_Composite!$B$5:$B$369,1,Daily_Composite!$AB$5:$AB$369,"&gt;"&amp;Settings!$C$4)/COUNTIFS(Daily_Composite!$A$5:$A$369,"&gt;="&amp;AL$3,Daily_Composite!$A$5:$A$369,"&lt;="&amp;AL$2,Daily_Composite!$B$5:$B$369,1),"")</f>
        <v>0.166666666666667</v>
      </c>
      <c r="AN26" s="8" t="n">
        <f aca="false">IFERROR(COUNTIFS(Daily_Composite!$A$5:$A$369,"&gt;="&amp;AL$3,Daily_Composite!$A$5:$A$369,"&lt;="&amp;AL$2,Daily_Composite!$B$5:$B$369,1,Daily_Composite!$AB$5:$AB$369,"&lt;"&amp;-Settings!$C$4)/COUNTIFS(Daily_Composite!$A$5:$A$369,"&gt;="&amp;AL$3,Daily_Composite!$A$5:$A$369,"&lt;="&amp;AL$2,Daily_Composite!$B$5:$B$369,1),"")</f>
        <v>0.333333333333333</v>
      </c>
    </row>
    <row r="27" customFormat="false" ht="15" hidden="false" customHeight="false" outlineLevel="0" collapsed="false">
      <c r="A27" s="6" t="s">
        <v>40</v>
      </c>
      <c r="B27" s="7" t="n">
        <f aca="false">IFERROR(AVERAGEIFS(Daily_Composite!$AC$5:$AC$369,Daily_Composite!$A$5:$A$369,"&gt;="&amp;B$3,Daily_Composite!$A$5:$A$369,"&lt;="&amp;B$2,Daily_Composite!$B$5:$B$369,1),"")</f>
        <v>-0.1175</v>
      </c>
      <c r="C27" s="8" t="n">
        <f aca="false">IFERROR(COUNTIFS(Daily_Composite!$A$5:$A$369,"&gt;="&amp;B$3,Daily_Composite!$A$5:$A$369,"&lt;="&amp;B$2,Daily_Composite!$B$5:$B$369,1,Daily_Composite!$AC$5:$AC$369,"&gt;"&amp;Settings!$C$4)/COUNTIFS(Daily_Composite!$A$5:$A$369,"&gt;="&amp;B$3,Daily_Composite!$A$5:$A$369,"&lt;="&amp;B$2,Daily_Composite!$B$5:$B$369,1),"")</f>
        <v>0</v>
      </c>
      <c r="D27" s="8" t="n">
        <f aca="false">IFERROR(COUNTIFS(Daily_Composite!$A$5:$A$369,"&gt;="&amp;B$3,Daily_Composite!$A$5:$A$369,"&lt;="&amp;B$2,Daily_Composite!$B$5:$B$369,1,Daily_Composite!$AC$5:$AC$369,"&lt;"&amp;-Settings!$C$4)/COUNTIFS(Daily_Composite!$A$5:$A$369,"&gt;="&amp;B$3,Daily_Composite!$A$5:$A$369,"&lt;="&amp;B$2,Daily_Composite!$B$5:$B$369,1),"")</f>
        <v>0.25</v>
      </c>
      <c r="E27" s="7" t="n">
        <f aca="false">IFERROR(AVERAGEIFS(Daily_Composite!$AC$5:$AC$369,Daily_Composite!$A$5:$A$369,"&gt;="&amp;E$3,Daily_Composite!$A$5:$A$369,"&lt;="&amp;E$2,Daily_Composite!$B$5:$B$369,1),"")</f>
        <v>-0.101809523809524</v>
      </c>
      <c r="F27" s="8" t="n">
        <f aca="false">IFERROR(COUNTIFS(Daily_Composite!$A$5:$A$369,"&gt;="&amp;E$3,Daily_Composite!$A$5:$A$369,"&lt;="&amp;E$2,Daily_Composite!$B$5:$B$369,1,Daily_Composite!$AC$5:$AC$369,"&gt;"&amp;Settings!$C$4)/COUNTIFS(Daily_Composite!$A$5:$A$369,"&gt;="&amp;E$3,Daily_Composite!$A$5:$A$369,"&lt;="&amp;E$2,Daily_Composite!$B$5:$B$369,1),"")</f>
        <v>0.0476190476190476</v>
      </c>
      <c r="G27" s="8" t="n">
        <f aca="false">IFERROR(COUNTIFS(Daily_Composite!$A$5:$A$369,"&gt;="&amp;E$3,Daily_Composite!$A$5:$A$369,"&lt;="&amp;E$2,Daily_Composite!$B$5:$B$369,1,Daily_Composite!$AC$5:$AC$369,"&lt;"&amp;-Settings!$C$4)/COUNTIFS(Daily_Composite!$A$5:$A$369,"&gt;="&amp;E$3,Daily_Composite!$A$5:$A$369,"&lt;="&amp;E$2,Daily_Composite!$B$5:$B$369,1),"")</f>
        <v>0.380952380952381</v>
      </c>
      <c r="H27" s="7" t="n">
        <f aca="false">IFERROR(AVERAGEIFS(Daily_Composite!$AC$5:$AC$369,Daily_Composite!$A$5:$A$369,"&gt;="&amp;H$3,Daily_Composite!$A$5:$A$369,"&lt;="&amp;H$2,Daily_Composite!$B$5:$B$369,1),"")</f>
        <v>0.147347826086957</v>
      </c>
      <c r="I27" s="8" t="n">
        <f aca="false">IFERROR(COUNTIFS(Daily_Composite!$A$5:$A$369,"&gt;="&amp;H$3,Daily_Composite!$A$5:$A$369,"&lt;="&amp;H$2,Daily_Composite!$B$5:$B$369,1,Daily_Composite!$AC$5:$AC$369,"&gt;"&amp;Settings!$C$4)/COUNTIFS(Daily_Composite!$A$5:$A$369,"&gt;="&amp;H$3,Daily_Composite!$A$5:$A$369,"&lt;="&amp;H$2,Daily_Composite!$B$5:$B$369,1),"")</f>
        <v>0.565217391304348</v>
      </c>
      <c r="J27" s="8" t="n">
        <f aca="false">IFERROR(COUNTIFS(Daily_Composite!$A$5:$A$369,"&gt;="&amp;H$3,Daily_Composite!$A$5:$A$369,"&lt;="&amp;H$2,Daily_Composite!$B$5:$B$369,1,Daily_Composite!$AC$5:$AC$369,"&lt;"&amp;-Settings!$C$4)/COUNTIFS(Daily_Composite!$A$5:$A$369,"&gt;="&amp;H$3,Daily_Composite!$A$5:$A$369,"&lt;="&amp;H$2,Daily_Composite!$B$5:$B$369,1),"")</f>
        <v>0.0434782608695652</v>
      </c>
      <c r="K27" s="7" t="n">
        <f aca="false">IFERROR(AVERAGEIFS(Daily_Composite!$AC$5:$AC$369,Daily_Composite!$A$5:$A$369,"&gt;="&amp;K$3,Daily_Composite!$A$5:$A$369,"&lt;="&amp;K$2,Daily_Composite!$B$5:$B$369,1),"")</f>
        <v>0.0951428571428571</v>
      </c>
      <c r="L27" s="8" t="n">
        <f aca="false">IFERROR(COUNTIFS(Daily_Composite!$A$5:$A$369,"&gt;="&amp;K$3,Daily_Composite!$A$5:$A$369,"&lt;="&amp;K$2,Daily_Composite!$B$5:$B$369,1,Daily_Composite!$AC$5:$AC$369,"&gt;"&amp;Settings!$C$4)/COUNTIFS(Daily_Composite!$A$5:$A$369,"&gt;="&amp;K$3,Daily_Composite!$A$5:$A$369,"&lt;="&amp;K$2,Daily_Composite!$B$5:$B$369,1),"")</f>
        <v>0.380952380952381</v>
      </c>
      <c r="M27" s="8" t="n">
        <f aca="false">IFERROR(COUNTIFS(Daily_Composite!$A$5:$A$369,"&gt;="&amp;K$3,Daily_Composite!$A$5:$A$369,"&lt;="&amp;K$2,Daily_Composite!$B$5:$B$369,1,Daily_Composite!$AC$5:$AC$369,"&lt;"&amp;-Settings!$C$4)/COUNTIFS(Daily_Composite!$A$5:$A$369,"&gt;="&amp;K$3,Daily_Composite!$A$5:$A$369,"&lt;="&amp;K$2,Daily_Composite!$B$5:$B$369,1),"")</f>
        <v>0.0476190476190476</v>
      </c>
      <c r="N27" s="7" t="n">
        <f aca="false">IFERROR(AVERAGEIFS(Daily_Composite!$AC$5:$AC$369,Daily_Composite!$A$5:$A$369,"&gt;="&amp;N$3,Daily_Composite!$A$5:$A$369,"&lt;="&amp;N$2,Daily_Composite!$B$5:$B$369,1),"")</f>
        <v>-0.16455</v>
      </c>
      <c r="O27" s="8" t="n">
        <f aca="false">IFERROR(COUNTIFS(Daily_Composite!$A$5:$A$369,"&gt;="&amp;N$3,Daily_Composite!$A$5:$A$369,"&lt;="&amp;N$2,Daily_Composite!$B$5:$B$369,1,Daily_Composite!$AC$5:$AC$369,"&gt;"&amp;Settings!$C$4)/COUNTIFS(Daily_Composite!$A$5:$A$369,"&gt;="&amp;N$3,Daily_Composite!$A$5:$A$369,"&lt;="&amp;N$2,Daily_Composite!$B$5:$B$369,1),"")</f>
        <v>0.05</v>
      </c>
      <c r="P27" s="8" t="n">
        <f aca="false">IFERROR(COUNTIFS(Daily_Composite!$A$5:$A$369,"&gt;="&amp;N$3,Daily_Composite!$A$5:$A$369,"&lt;="&amp;N$2,Daily_Composite!$B$5:$B$369,1,Daily_Composite!$AC$5:$AC$369,"&lt;"&amp;-Settings!$C$4)/COUNTIFS(Daily_Composite!$A$5:$A$369,"&gt;="&amp;N$3,Daily_Composite!$A$5:$A$369,"&lt;="&amp;N$2,Daily_Composite!$B$5:$B$369,1),"")</f>
        <v>0.5</v>
      </c>
      <c r="Q27" s="7" t="n">
        <f aca="false">IFERROR(AVERAGEIFS(Daily_Composite!$AC$5:$AC$369,Daily_Composite!$A$5:$A$369,"&gt;="&amp;Q$3,Daily_Composite!$A$5:$A$369,"&lt;="&amp;Q$2,Daily_Composite!$B$5:$B$369,1),"")</f>
        <v>-0.014695652173913</v>
      </c>
      <c r="R27" s="8" t="n">
        <f aca="false">IFERROR(COUNTIFS(Daily_Composite!$A$5:$A$369,"&gt;="&amp;Q$3,Daily_Composite!$A$5:$A$369,"&lt;="&amp;Q$2,Daily_Composite!$B$5:$B$369,1,Daily_Composite!$AC$5:$AC$369,"&gt;"&amp;Settings!$C$4)/COUNTIFS(Daily_Composite!$A$5:$A$369,"&gt;="&amp;Q$3,Daily_Composite!$A$5:$A$369,"&lt;="&amp;Q$2,Daily_Composite!$B$5:$B$369,1),"")</f>
        <v>0.173913043478261</v>
      </c>
      <c r="S27" s="8" t="n">
        <f aca="false">IFERROR(COUNTIFS(Daily_Composite!$A$5:$A$369,"&gt;="&amp;Q$3,Daily_Composite!$A$5:$A$369,"&lt;="&amp;Q$2,Daily_Composite!$B$5:$B$369,1,Daily_Composite!$AC$5:$AC$369,"&lt;"&amp;-Settings!$C$4)/COUNTIFS(Daily_Composite!$A$5:$A$369,"&gt;="&amp;Q$3,Daily_Composite!$A$5:$A$369,"&lt;="&amp;Q$2,Daily_Composite!$B$5:$B$369,1),"")</f>
        <v>0.130434782608696</v>
      </c>
      <c r="T27" s="7" t="n">
        <f aca="false">IFERROR(AVERAGEIFS(Daily_Composite!$AC$5:$AC$369,Daily_Composite!$A$5:$A$369,"&gt;="&amp;T$3,Daily_Composite!$A$5:$A$369,"&lt;="&amp;T$2,Daily_Composite!$B$5:$B$369,1),"")</f>
        <v>-0.127136363636364</v>
      </c>
      <c r="U27" s="8" t="n">
        <f aca="false">IFERROR(COUNTIFS(Daily_Composite!$A$5:$A$369,"&gt;="&amp;T$3,Daily_Composite!$A$5:$A$369,"&lt;="&amp;T$2,Daily_Composite!$B$5:$B$369,1,Daily_Composite!$AC$5:$AC$369,"&gt;"&amp;Settings!$C$4)/COUNTIFS(Daily_Composite!$A$5:$A$369,"&gt;="&amp;T$3,Daily_Composite!$A$5:$A$369,"&lt;="&amp;T$2,Daily_Composite!$B$5:$B$369,1),"")</f>
        <v>0.0454545454545455</v>
      </c>
      <c r="V27" s="8" t="n">
        <f aca="false">IFERROR(COUNTIFS(Daily_Composite!$A$5:$A$369,"&gt;="&amp;T$3,Daily_Composite!$A$5:$A$369,"&lt;="&amp;T$2,Daily_Composite!$B$5:$B$369,1,Daily_Composite!$AC$5:$AC$369,"&lt;"&amp;-Settings!$C$4)/COUNTIFS(Daily_Composite!$A$5:$A$369,"&gt;="&amp;T$3,Daily_Composite!$A$5:$A$369,"&lt;="&amp;T$2,Daily_Composite!$B$5:$B$369,1),"")</f>
        <v>0.5</v>
      </c>
      <c r="W27" s="7" t="n">
        <f aca="false">IFERROR(AVERAGEIFS(Daily_Composite!$AC$5:$AC$369,Daily_Composite!$A$5:$A$369,"&gt;="&amp;W$3,Daily_Composite!$A$5:$A$369,"&lt;="&amp;W$2,Daily_Composite!$B$5:$B$369,1),"")</f>
        <v>-0.156619047619048</v>
      </c>
      <c r="X27" s="8" t="n">
        <f aca="false">IFERROR(COUNTIFS(Daily_Composite!$A$5:$A$369,"&gt;="&amp;W$3,Daily_Composite!$A$5:$A$369,"&lt;="&amp;W$2,Daily_Composite!$B$5:$B$369,1,Daily_Composite!$AC$5:$AC$369,"&gt;"&amp;Settings!$C$4)/COUNTIFS(Daily_Composite!$A$5:$A$369,"&gt;="&amp;W$3,Daily_Composite!$A$5:$A$369,"&lt;="&amp;W$2,Daily_Composite!$B$5:$B$369,1),"")</f>
        <v>0</v>
      </c>
      <c r="Y27" s="8" t="n">
        <f aca="false">IFERROR(COUNTIFS(Daily_Composite!$A$5:$A$369,"&gt;="&amp;W$3,Daily_Composite!$A$5:$A$369,"&lt;="&amp;W$2,Daily_Composite!$B$5:$B$369,1,Daily_Composite!$AC$5:$AC$369,"&lt;"&amp;-Settings!$C$4)/COUNTIFS(Daily_Composite!$A$5:$A$369,"&gt;="&amp;W$3,Daily_Composite!$A$5:$A$369,"&lt;="&amp;W$2,Daily_Composite!$B$5:$B$369,1),"")</f>
        <v>0.476190476190476</v>
      </c>
      <c r="Z27" s="7" t="n">
        <f aca="false">IFERROR(AVERAGEIFS(Daily_Composite!$AC$5:$AC$369,Daily_Composite!$A$5:$A$369,"&gt;="&amp;Z$3,Daily_Composite!$A$5:$A$369,"&lt;="&amp;Z$2,Daily_Composite!$B$5:$B$369,1),"")</f>
        <v>-0.172727272727273</v>
      </c>
      <c r="AA27" s="8" t="n">
        <f aca="false">IFERROR(COUNTIFS(Daily_Composite!$A$5:$A$369,"&gt;="&amp;Z$3,Daily_Composite!$A$5:$A$369,"&lt;="&amp;Z$2,Daily_Composite!$B$5:$B$369,1,Daily_Composite!$AC$5:$AC$369,"&gt;"&amp;Settings!$C$4)/COUNTIFS(Daily_Composite!$A$5:$A$369,"&gt;="&amp;Z$3,Daily_Composite!$A$5:$A$369,"&lt;="&amp;Z$2,Daily_Composite!$B$5:$B$369,1),"")</f>
        <v>0.0454545454545455</v>
      </c>
      <c r="AB27" s="8" t="n">
        <f aca="false">IFERROR(COUNTIFS(Daily_Composite!$A$5:$A$369,"&gt;="&amp;Z$3,Daily_Composite!$A$5:$A$369,"&lt;="&amp;Z$2,Daily_Composite!$B$5:$B$369,1,Daily_Composite!$AC$5:$AC$369,"&lt;"&amp;-Settings!$C$4)/COUNTIFS(Daily_Composite!$A$5:$A$369,"&gt;="&amp;Z$3,Daily_Composite!$A$5:$A$369,"&lt;="&amp;Z$2,Daily_Composite!$B$5:$B$369,1),"")</f>
        <v>0.772727272727273</v>
      </c>
      <c r="AC27" s="7" t="n">
        <f aca="false">IFERROR(AVERAGEIFS(Daily_Composite!$AC$5:$AC$369,Daily_Composite!$A$5:$A$369,"&gt;="&amp;AC$3,Daily_Composite!$A$5:$A$369,"&lt;="&amp;AC$2,Daily_Composite!$B$5:$B$369,1),"")</f>
        <v>-0.166363636363636</v>
      </c>
      <c r="AD27" s="8" t="n">
        <f aca="false">IFERROR(COUNTIFS(Daily_Composite!$A$5:$A$369,"&gt;="&amp;AC$3,Daily_Composite!$A$5:$A$369,"&lt;="&amp;AC$2,Daily_Composite!$B$5:$B$369,1,Daily_Composite!$AC$5:$AC$369,"&gt;"&amp;Settings!$C$4)/COUNTIFS(Daily_Composite!$A$5:$A$369,"&gt;="&amp;AC$3,Daily_Composite!$A$5:$A$369,"&lt;="&amp;AC$2,Daily_Composite!$B$5:$B$369,1),"")</f>
        <v>0</v>
      </c>
      <c r="AE27" s="8" t="n">
        <f aca="false">IFERROR(COUNTIFS(Daily_Composite!$A$5:$A$369,"&gt;="&amp;AC$3,Daily_Composite!$A$5:$A$369,"&lt;="&amp;AC$2,Daily_Composite!$B$5:$B$369,1,Daily_Composite!$AC$5:$AC$369,"&lt;"&amp;-Settings!$C$4)/COUNTIFS(Daily_Composite!$A$5:$A$369,"&gt;="&amp;AC$3,Daily_Composite!$A$5:$A$369,"&lt;="&amp;AC$2,Daily_Composite!$B$5:$B$369,1),"")</f>
        <v>0.545454545454545</v>
      </c>
      <c r="AF27" s="7" t="n">
        <f aca="false">IFERROR(AVERAGEIFS(Daily_Composite!$AC$5:$AC$369,Daily_Composite!$A$5:$A$369,"&gt;="&amp;AF$3,Daily_Composite!$A$5:$A$369,"&lt;="&amp;AF$2,Daily_Composite!$B$5:$B$369,1),"")</f>
        <v>-0.218772727272727</v>
      </c>
      <c r="AG27" s="8" t="n">
        <f aca="false">IFERROR(COUNTIFS(Daily_Composite!$A$5:$A$369,"&gt;="&amp;AF$3,Daily_Composite!$A$5:$A$369,"&lt;="&amp;AF$2,Daily_Composite!$B$5:$B$369,1,Daily_Composite!$AC$5:$AC$369,"&gt;"&amp;Settings!$C$4)/COUNTIFS(Daily_Composite!$A$5:$A$369,"&gt;="&amp;AF$3,Daily_Composite!$A$5:$A$369,"&lt;="&amp;AF$2,Daily_Composite!$B$5:$B$369,1),"")</f>
        <v>0.0454545454545455</v>
      </c>
      <c r="AH27" s="8" t="n">
        <f aca="false">IFERROR(COUNTIFS(Daily_Composite!$A$5:$A$369,"&gt;="&amp;AF$3,Daily_Composite!$A$5:$A$369,"&lt;="&amp;AF$2,Daily_Composite!$B$5:$B$369,1,Daily_Composite!$AC$5:$AC$369,"&lt;"&amp;-Settings!$C$4)/COUNTIFS(Daily_Composite!$A$5:$A$369,"&gt;="&amp;AF$3,Daily_Composite!$A$5:$A$369,"&lt;="&amp;AF$2,Daily_Composite!$B$5:$B$369,1),"")</f>
        <v>0.681818181818182</v>
      </c>
      <c r="AI27" s="7" t="n">
        <f aca="false">IFERROR(AVERAGEIFS(Daily_Composite!$AC$5:$AC$369,Daily_Composite!$A$5:$A$369,"&gt;="&amp;AI$3,Daily_Composite!$A$5:$A$369,"&lt;="&amp;AI$2,Daily_Composite!$B$5:$B$369,1),"")</f>
        <v>-0.251590909090909</v>
      </c>
      <c r="AJ27" s="8" t="n">
        <f aca="false">IFERROR(COUNTIFS(Daily_Composite!$A$5:$A$369,"&gt;="&amp;AI$3,Daily_Composite!$A$5:$A$369,"&lt;="&amp;AI$2,Daily_Composite!$B$5:$B$369,1,Daily_Composite!$AC$5:$AC$369,"&gt;"&amp;Settings!$C$4)/COUNTIFS(Daily_Composite!$A$5:$A$369,"&gt;="&amp;AI$3,Daily_Composite!$A$5:$A$369,"&lt;="&amp;AI$2,Daily_Composite!$B$5:$B$369,1),"")</f>
        <v>0</v>
      </c>
      <c r="AK27" s="8" t="n">
        <f aca="false">IFERROR(COUNTIFS(Daily_Composite!$A$5:$A$369,"&gt;="&amp;AI$3,Daily_Composite!$A$5:$A$369,"&lt;="&amp;AI$2,Daily_Composite!$B$5:$B$369,1,Daily_Composite!$AC$5:$AC$369,"&lt;"&amp;-Settings!$C$4)/COUNTIFS(Daily_Composite!$A$5:$A$369,"&gt;="&amp;AI$3,Daily_Composite!$A$5:$A$369,"&lt;="&amp;AI$2,Daily_Composite!$B$5:$B$369,1),"")</f>
        <v>0.954545454545455</v>
      </c>
      <c r="AL27" s="7" t="n">
        <f aca="false">IFERROR(AVERAGEIFS(Daily_Composite!$AC$5:$AC$369,Daily_Composite!$A$5:$A$369,"&gt;="&amp;AL$3,Daily_Composite!$A$5:$A$369,"&lt;="&amp;AL$2,Daily_Composite!$B$5:$B$369,1),"")</f>
        <v>-0.1475</v>
      </c>
      <c r="AM27" s="8" t="n">
        <f aca="false">IFERROR(COUNTIFS(Daily_Composite!$A$5:$A$369,"&gt;="&amp;AL$3,Daily_Composite!$A$5:$A$369,"&lt;="&amp;AL$2,Daily_Composite!$B$5:$B$369,1,Daily_Composite!$AC$5:$AC$369,"&gt;"&amp;Settings!$C$4)/COUNTIFS(Daily_Composite!$A$5:$A$369,"&gt;="&amp;AL$3,Daily_Composite!$A$5:$A$369,"&lt;="&amp;AL$2,Daily_Composite!$B$5:$B$369,1),"")</f>
        <v>0.111111111111111</v>
      </c>
      <c r="AN27" s="8" t="n">
        <f aca="false">IFERROR(COUNTIFS(Daily_Composite!$A$5:$A$369,"&gt;="&amp;AL$3,Daily_Composite!$A$5:$A$369,"&lt;="&amp;AL$2,Daily_Composite!$B$5:$B$369,1,Daily_Composite!$AC$5:$AC$369,"&lt;"&amp;-Settings!$C$4)/COUNTIFS(Daily_Composite!$A$5:$A$369,"&gt;="&amp;AL$3,Daily_Composite!$A$5:$A$369,"&lt;="&amp;AL$2,Daily_Composite!$B$5:$B$369,1),"")</f>
        <v>0.666666666666667</v>
      </c>
    </row>
    <row r="28" customFormat="false" ht="15" hidden="false" customHeight="false" outlineLevel="0" collapsed="false">
      <c r="A28" s="6" t="s">
        <v>41</v>
      </c>
      <c r="B28" s="7" t="n">
        <f aca="false">IFERROR(AVERAGEIFS(Daily_Composite!$AD$5:$AD$369,Daily_Composite!$A$5:$A$369,"&gt;="&amp;B$3,Daily_Composite!$A$5:$A$369,"&lt;="&amp;B$2,Daily_Composite!$B$5:$B$369,1),"")</f>
        <v>-0.22925</v>
      </c>
      <c r="C28" s="8" t="n">
        <f aca="false">IFERROR(COUNTIFS(Daily_Composite!$A$5:$A$369,"&gt;="&amp;B$3,Daily_Composite!$A$5:$A$369,"&lt;="&amp;B$2,Daily_Composite!$B$5:$B$369,1,Daily_Composite!$AD$5:$AD$369,"&gt;"&amp;Settings!$C$4)/COUNTIFS(Daily_Composite!$A$5:$A$369,"&gt;="&amp;B$3,Daily_Composite!$A$5:$A$369,"&lt;="&amp;B$2,Daily_Composite!$B$5:$B$369,1),"")</f>
        <v>0</v>
      </c>
      <c r="D28" s="8" t="n">
        <f aca="false">IFERROR(COUNTIFS(Daily_Composite!$A$5:$A$369,"&gt;="&amp;B$3,Daily_Composite!$A$5:$A$369,"&lt;="&amp;B$2,Daily_Composite!$B$5:$B$369,1,Daily_Composite!$AD$5:$AD$369,"&lt;"&amp;-Settings!$C$4)/COUNTIFS(Daily_Composite!$A$5:$A$369,"&gt;="&amp;B$3,Daily_Composite!$A$5:$A$369,"&lt;="&amp;B$2,Daily_Composite!$B$5:$B$369,1),"")</f>
        <v>0.75</v>
      </c>
      <c r="E28" s="7" t="n">
        <f aca="false">IFERROR(AVERAGEIFS(Daily_Composite!$AD$5:$AD$369,Daily_Composite!$A$5:$A$369,"&gt;="&amp;E$3,Daily_Composite!$A$5:$A$369,"&lt;="&amp;E$2,Daily_Composite!$B$5:$B$369,1),"")</f>
        <v>0.05</v>
      </c>
      <c r="F28" s="8" t="n">
        <f aca="false">IFERROR(COUNTIFS(Daily_Composite!$A$5:$A$369,"&gt;="&amp;E$3,Daily_Composite!$A$5:$A$369,"&lt;="&amp;E$2,Daily_Composite!$B$5:$B$369,1,Daily_Composite!$AD$5:$AD$369,"&gt;"&amp;Settings!$C$4)/COUNTIFS(Daily_Composite!$A$5:$A$369,"&gt;="&amp;E$3,Daily_Composite!$A$5:$A$369,"&lt;="&amp;E$2,Daily_Composite!$B$5:$B$369,1),"")</f>
        <v>0.476190476190476</v>
      </c>
      <c r="G28" s="8" t="n">
        <f aca="false">IFERROR(COUNTIFS(Daily_Composite!$A$5:$A$369,"&gt;="&amp;E$3,Daily_Composite!$A$5:$A$369,"&lt;="&amp;E$2,Daily_Composite!$B$5:$B$369,1,Daily_Composite!$AD$5:$AD$369,"&lt;"&amp;-Settings!$C$4)/COUNTIFS(Daily_Composite!$A$5:$A$369,"&gt;="&amp;E$3,Daily_Composite!$A$5:$A$369,"&lt;="&amp;E$2,Daily_Composite!$B$5:$B$369,1),"")</f>
        <v>0.380952380952381</v>
      </c>
      <c r="H28" s="7" t="n">
        <f aca="false">IFERROR(AVERAGEIFS(Daily_Composite!$AD$5:$AD$369,Daily_Composite!$A$5:$A$369,"&gt;="&amp;H$3,Daily_Composite!$A$5:$A$369,"&lt;="&amp;H$2,Daily_Composite!$B$5:$B$369,1),"")</f>
        <v>0.27904347826087</v>
      </c>
      <c r="I28" s="8" t="n">
        <f aca="false">IFERROR(COUNTIFS(Daily_Composite!$A$5:$A$369,"&gt;="&amp;H$3,Daily_Composite!$A$5:$A$369,"&lt;="&amp;H$2,Daily_Composite!$B$5:$B$369,1,Daily_Composite!$AD$5:$AD$369,"&gt;"&amp;Settings!$C$4)/COUNTIFS(Daily_Composite!$A$5:$A$369,"&gt;="&amp;H$3,Daily_Composite!$A$5:$A$369,"&lt;="&amp;H$2,Daily_Composite!$B$5:$B$369,1),"")</f>
        <v>0.782608695652174</v>
      </c>
      <c r="J28" s="8" t="n">
        <f aca="false">IFERROR(COUNTIFS(Daily_Composite!$A$5:$A$369,"&gt;="&amp;H$3,Daily_Composite!$A$5:$A$369,"&lt;="&amp;H$2,Daily_Composite!$B$5:$B$369,1,Daily_Composite!$AD$5:$AD$369,"&lt;"&amp;-Settings!$C$4)/COUNTIFS(Daily_Composite!$A$5:$A$369,"&gt;="&amp;H$3,Daily_Composite!$A$5:$A$369,"&lt;="&amp;H$2,Daily_Composite!$B$5:$B$369,1),"")</f>
        <v>0.0434782608695652</v>
      </c>
      <c r="K28" s="7" t="n">
        <f aca="false">IFERROR(AVERAGEIFS(Daily_Composite!$AD$5:$AD$369,Daily_Composite!$A$5:$A$369,"&gt;="&amp;K$3,Daily_Composite!$A$5:$A$369,"&lt;="&amp;K$2,Daily_Composite!$B$5:$B$369,1),"")</f>
        <v>0.139952380952381</v>
      </c>
      <c r="L28" s="8" t="n">
        <f aca="false">IFERROR(COUNTIFS(Daily_Composite!$A$5:$A$369,"&gt;="&amp;K$3,Daily_Composite!$A$5:$A$369,"&lt;="&amp;K$2,Daily_Composite!$B$5:$B$369,1,Daily_Composite!$AD$5:$AD$369,"&gt;"&amp;Settings!$C$4)/COUNTIFS(Daily_Composite!$A$5:$A$369,"&gt;="&amp;K$3,Daily_Composite!$A$5:$A$369,"&lt;="&amp;K$2,Daily_Composite!$B$5:$B$369,1),"")</f>
        <v>0.476190476190476</v>
      </c>
      <c r="M28" s="8" t="n">
        <f aca="false">IFERROR(COUNTIFS(Daily_Composite!$A$5:$A$369,"&gt;="&amp;K$3,Daily_Composite!$A$5:$A$369,"&lt;="&amp;K$2,Daily_Composite!$B$5:$B$369,1,Daily_Composite!$AD$5:$AD$369,"&lt;"&amp;-Settings!$C$4)/COUNTIFS(Daily_Composite!$A$5:$A$369,"&gt;="&amp;K$3,Daily_Composite!$A$5:$A$369,"&lt;="&amp;K$2,Daily_Composite!$B$5:$B$369,1),"")</f>
        <v>0.0476190476190476</v>
      </c>
      <c r="N28" s="7" t="n">
        <f aca="false">IFERROR(AVERAGEIFS(Daily_Composite!$AD$5:$AD$369,Daily_Composite!$A$5:$A$369,"&gt;="&amp;N$3,Daily_Composite!$A$5:$A$369,"&lt;="&amp;N$2,Daily_Composite!$B$5:$B$369,1),"")</f>
        <v>-0.1163</v>
      </c>
      <c r="O28" s="8" t="n">
        <f aca="false">IFERROR(COUNTIFS(Daily_Composite!$A$5:$A$369,"&gt;="&amp;N$3,Daily_Composite!$A$5:$A$369,"&lt;="&amp;N$2,Daily_Composite!$B$5:$B$369,1,Daily_Composite!$AD$5:$AD$369,"&gt;"&amp;Settings!$C$4)/COUNTIFS(Daily_Composite!$A$5:$A$369,"&gt;="&amp;N$3,Daily_Composite!$A$5:$A$369,"&lt;="&amp;N$2,Daily_Composite!$B$5:$B$369,1),"")</f>
        <v>0.25</v>
      </c>
      <c r="P28" s="8" t="n">
        <f aca="false">IFERROR(COUNTIFS(Daily_Composite!$A$5:$A$369,"&gt;="&amp;N$3,Daily_Composite!$A$5:$A$369,"&lt;="&amp;N$2,Daily_Composite!$B$5:$B$369,1,Daily_Composite!$AD$5:$AD$369,"&lt;"&amp;-Settings!$C$4)/COUNTIFS(Daily_Composite!$A$5:$A$369,"&gt;="&amp;N$3,Daily_Composite!$A$5:$A$369,"&lt;="&amp;N$2,Daily_Composite!$B$5:$B$369,1),"")</f>
        <v>0.4</v>
      </c>
      <c r="Q28" s="7" t="n">
        <f aca="false">IFERROR(AVERAGEIFS(Daily_Composite!$AD$5:$AD$369,Daily_Composite!$A$5:$A$369,"&gt;="&amp;Q$3,Daily_Composite!$A$5:$A$369,"&lt;="&amp;Q$2,Daily_Composite!$B$5:$B$369,1),"")</f>
        <v>0.162913043478261</v>
      </c>
      <c r="R28" s="8" t="n">
        <f aca="false">IFERROR(COUNTIFS(Daily_Composite!$A$5:$A$369,"&gt;="&amp;Q$3,Daily_Composite!$A$5:$A$369,"&lt;="&amp;Q$2,Daily_Composite!$B$5:$B$369,1,Daily_Composite!$AD$5:$AD$369,"&gt;"&amp;Settings!$C$4)/COUNTIFS(Daily_Composite!$A$5:$A$369,"&gt;="&amp;Q$3,Daily_Composite!$A$5:$A$369,"&lt;="&amp;Q$2,Daily_Composite!$B$5:$B$369,1),"")</f>
        <v>0.478260869565217</v>
      </c>
      <c r="S28" s="8" t="n">
        <f aca="false">IFERROR(COUNTIFS(Daily_Composite!$A$5:$A$369,"&gt;="&amp;Q$3,Daily_Composite!$A$5:$A$369,"&lt;="&amp;Q$2,Daily_Composite!$B$5:$B$369,1,Daily_Composite!$AD$5:$AD$369,"&lt;"&amp;-Settings!$C$4)/COUNTIFS(Daily_Composite!$A$5:$A$369,"&gt;="&amp;Q$3,Daily_Composite!$A$5:$A$369,"&lt;="&amp;Q$2,Daily_Composite!$B$5:$B$369,1),"")</f>
        <v>0.0869565217391304</v>
      </c>
      <c r="T28" s="7" t="n">
        <f aca="false">IFERROR(AVERAGEIFS(Daily_Composite!$AD$5:$AD$369,Daily_Composite!$A$5:$A$369,"&gt;="&amp;T$3,Daily_Composite!$A$5:$A$369,"&lt;="&amp;T$2,Daily_Composite!$B$5:$B$369,1),"")</f>
        <v>0.0769090909090909</v>
      </c>
      <c r="U28" s="8" t="n">
        <f aca="false">IFERROR(COUNTIFS(Daily_Composite!$A$5:$A$369,"&gt;="&amp;T$3,Daily_Composite!$A$5:$A$369,"&lt;="&amp;T$2,Daily_Composite!$B$5:$B$369,1,Daily_Composite!$AD$5:$AD$369,"&gt;"&amp;Settings!$C$4)/COUNTIFS(Daily_Composite!$A$5:$A$369,"&gt;="&amp;T$3,Daily_Composite!$A$5:$A$369,"&lt;="&amp;T$2,Daily_Composite!$B$5:$B$369,1),"")</f>
        <v>0.227272727272727</v>
      </c>
      <c r="V28" s="8" t="n">
        <f aca="false">IFERROR(COUNTIFS(Daily_Composite!$A$5:$A$369,"&gt;="&amp;T$3,Daily_Composite!$A$5:$A$369,"&lt;="&amp;T$2,Daily_Composite!$B$5:$B$369,1,Daily_Composite!$AD$5:$AD$369,"&lt;"&amp;-Settings!$C$4)/COUNTIFS(Daily_Composite!$A$5:$A$369,"&gt;="&amp;T$3,Daily_Composite!$A$5:$A$369,"&lt;="&amp;T$2,Daily_Composite!$B$5:$B$369,1),"")</f>
        <v>0.0909090909090909</v>
      </c>
      <c r="W28" s="7" t="n">
        <f aca="false">IFERROR(AVERAGEIFS(Daily_Composite!$AD$5:$AD$369,Daily_Composite!$A$5:$A$369,"&gt;="&amp;W$3,Daily_Composite!$A$5:$A$369,"&lt;="&amp;W$2,Daily_Composite!$B$5:$B$369,1),"")</f>
        <v>-0.218142857142857</v>
      </c>
      <c r="X28" s="8" t="n">
        <f aca="false">IFERROR(COUNTIFS(Daily_Composite!$A$5:$A$369,"&gt;="&amp;W$3,Daily_Composite!$A$5:$A$369,"&lt;="&amp;W$2,Daily_Composite!$B$5:$B$369,1,Daily_Composite!$AD$5:$AD$369,"&gt;"&amp;Settings!$C$4)/COUNTIFS(Daily_Composite!$A$5:$A$369,"&gt;="&amp;W$3,Daily_Composite!$A$5:$A$369,"&lt;="&amp;W$2,Daily_Composite!$B$5:$B$369,1),"")</f>
        <v>0.142857142857143</v>
      </c>
      <c r="Y28" s="8" t="n">
        <f aca="false">IFERROR(COUNTIFS(Daily_Composite!$A$5:$A$369,"&gt;="&amp;W$3,Daily_Composite!$A$5:$A$369,"&lt;="&amp;W$2,Daily_Composite!$B$5:$B$369,1,Daily_Composite!$AD$5:$AD$369,"&lt;"&amp;-Settings!$C$4)/COUNTIFS(Daily_Composite!$A$5:$A$369,"&gt;="&amp;W$3,Daily_Composite!$A$5:$A$369,"&lt;="&amp;W$2,Daily_Composite!$B$5:$B$369,1),"")</f>
        <v>0.666666666666667</v>
      </c>
      <c r="Z28" s="7" t="n">
        <f aca="false">IFERROR(AVERAGEIFS(Daily_Composite!$AD$5:$AD$369,Daily_Composite!$A$5:$A$369,"&gt;="&amp;Z$3,Daily_Composite!$A$5:$A$369,"&lt;="&amp;Z$2,Daily_Composite!$B$5:$B$369,1),"")</f>
        <v>-0.463272727272727</v>
      </c>
      <c r="AA28" s="8" t="n">
        <f aca="false">IFERROR(COUNTIFS(Daily_Composite!$A$5:$A$369,"&gt;="&amp;Z$3,Daily_Composite!$A$5:$A$369,"&lt;="&amp;Z$2,Daily_Composite!$B$5:$B$369,1,Daily_Composite!$AD$5:$AD$369,"&gt;"&amp;Settings!$C$4)/COUNTIFS(Daily_Composite!$A$5:$A$369,"&gt;="&amp;Z$3,Daily_Composite!$A$5:$A$369,"&lt;="&amp;Z$2,Daily_Composite!$B$5:$B$369,1),"")</f>
        <v>0</v>
      </c>
      <c r="AB28" s="8" t="n">
        <f aca="false">IFERROR(COUNTIFS(Daily_Composite!$A$5:$A$369,"&gt;="&amp;Z$3,Daily_Composite!$A$5:$A$369,"&lt;="&amp;Z$2,Daily_Composite!$B$5:$B$369,1,Daily_Composite!$AD$5:$AD$369,"&lt;"&amp;-Settings!$C$4)/COUNTIFS(Daily_Composite!$A$5:$A$369,"&gt;="&amp;Z$3,Daily_Composite!$A$5:$A$369,"&lt;="&amp;Z$2,Daily_Composite!$B$5:$B$369,1),"")</f>
        <v>1</v>
      </c>
      <c r="AC28" s="7" t="n">
        <f aca="false">IFERROR(AVERAGEIFS(Daily_Composite!$AD$5:$AD$369,Daily_Composite!$A$5:$A$369,"&gt;="&amp;AC$3,Daily_Composite!$A$5:$A$369,"&lt;="&amp;AC$2,Daily_Composite!$B$5:$B$369,1),"")</f>
        <v>-0.2365</v>
      </c>
      <c r="AD28" s="8" t="n">
        <f aca="false">IFERROR(COUNTIFS(Daily_Composite!$A$5:$A$369,"&gt;="&amp;AC$3,Daily_Composite!$A$5:$A$369,"&lt;="&amp;AC$2,Daily_Composite!$B$5:$B$369,1,Daily_Composite!$AD$5:$AD$369,"&gt;"&amp;Settings!$C$4)/COUNTIFS(Daily_Composite!$A$5:$A$369,"&gt;="&amp;AC$3,Daily_Composite!$A$5:$A$369,"&lt;="&amp;AC$2,Daily_Composite!$B$5:$B$369,1),"")</f>
        <v>0.0454545454545455</v>
      </c>
      <c r="AE28" s="8" t="n">
        <f aca="false">IFERROR(COUNTIFS(Daily_Composite!$A$5:$A$369,"&gt;="&amp;AC$3,Daily_Composite!$A$5:$A$369,"&lt;="&amp;AC$2,Daily_Composite!$B$5:$B$369,1,Daily_Composite!$AD$5:$AD$369,"&lt;"&amp;-Settings!$C$4)/COUNTIFS(Daily_Composite!$A$5:$A$369,"&gt;="&amp;AC$3,Daily_Composite!$A$5:$A$369,"&lt;="&amp;AC$2,Daily_Composite!$B$5:$B$369,1),"")</f>
        <v>0.590909090909091</v>
      </c>
      <c r="AF28" s="7" t="n">
        <f aca="false">IFERROR(AVERAGEIFS(Daily_Composite!$AD$5:$AD$369,Daily_Composite!$A$5:$A$369,"&gt;="&amp;AF$3,Daily_Composite!$A$5:$A$369,"&lt;="&amp;AF$2,Daily_Composite!$B$5:$B$369,1),"")</f>
        <v>-0.217454545454545</v>
      </c>
      <c r="AG28" s="8" t="n">
        <f aca="false">IFERROR(COUNTIFS(Daily_Composite!$A$5:$A$369,"&gt;="&amp;AF$3,Daily_Composite!$A$5:$A$369,"&lt;="&amp;AF$2,Daily_Composite!$B$5:$B$369,1,Daily_Composite!$AD$5:$AD$369,"&gt;"&amp;Settings!$C$4)/COUNTIFS(Daily_Composite!$A$5:$A$369,"&gt;="&amp;AF$3,Daily_Composite!$A$5:$A$369,"&lt;="&amp;AF$2,Daily_Composite!$B$5:$B$369,1),"")</f>
        <v>0</v>
      </c>
      <c r="AH28" s="8" t="n">
        <f aca="false">IFERROR(COUNTIFS(Daily_Composite!$A$5:$A$369,"&gt;="&amp;AF$3,Daily_Composite!$A$5:$A$369,"&lt;="&amp;AF$2,Daily_Composite!$B$5:$B$369,1,Daily_Composite!$AD$5:$AD$369,"&lt;"&amp;-Settings!$C$4)/COUNTIFS(Daily_Composite!$A$5:$A$369,"&gt;="&amp;AF$3,Daily_Composite!$A$5:$A$369,"&lt;="&amp;AF$2,Daily_Composite!$B$5:$B$369,1),"")</f>
        <v>0.636363636363636</v>
      </c>
      <c r="AI28" s="7" t="n">
        <f aca="false">IFERROR(AVERAGEIFS(Daily_Composite!$AD$5:$AD$369,Daily_Composite!$A$5:$A$369,"&gt;="&amp;AI$3,Daily_Composite!$A$5:$A$369,"&lt;="&amp;AI$2,Daily_Composite!$B$5:$B$369,1),"")</f>
        <v>-0.0950909090909091</v>
      </c>
      <c r="AJ28" s="8" t="n">
        <f aca="false">IFERROR(COUNTIFS(Daily_Composite!$A$5:$A$369,"&gt;="&amp;AI$3,Daily_Composite!$A$5:$A$369,"&lt;="&amp;AI$2,Daily_Composite!$B$5:$B$369,1,Daily_Composite!$AD$5:$AD$369,"&gt;"&amp;Settings!$C$4)/COUNTIFS(Daily_Composite!$A$5:$A$369,"&gt;="&amp;AI$3,Daily_Composite!$A$5:$A$369,"&lt;="&amp;AI$2,Daily_Composite!$B$5:$B$369,1),"")</f>
        <v>0.136363636363636</v>
      </c>
      <c r="AK28" s="8" t="n">
        <f aca="false">IFERROR(COUNTIFS(Daily_Composite!$A$5:$A$369,"&gt;="&amp;AI$3,Daily_Composite!$A$5:$A$369,"&lt;="&amp;AI$2,Daily_Composite!$B$5:$B$369,1,Daily_Composite!$AD$5:$AD$369,"&lt;"&amp;-Settings!$C$4)/COUNTIFS(Daily_Composite!$A$5:$A$369,"&gt;="&amp;AI$3,Daily_Composite!$A$5:$A$369,"&lt;="&amp;AI$2,Daily_Composite!$B$5:$B$369,1),"")</f>
        <v>0.318181818181818</v>
      </c>
      <c r="AL28" s="7" t="n">
        <f aca="false">IFERROR(AVERAGEIFS(Daily_Composite!$AD$5:$AD$369,Daily_Composite!$A$5:$A$369,"&gt;="&amp;AL$3,Daily_Composite!$A$5:$A$369,"&lt;="&amp;AL$2,Daily_Composite!$B$5:$B$369,1),"")</f>
        <v>-0.197055555555556</v>
      </c>
      <c r="AM28" s="8" t="n">
        <f aca="false">IFERROR(COUNTIFS(Daily_Composite!$A$5:$A$369,"&gt;="&amp;AL$3,Daily_Composite!$A$5:$A$369,"&lt;="&amp;AL$2,Daily_Composite!$B$5:$B$369,1,Daily_Composite!$AD$5:$AD$369,"&gt;"&amp;Settings!$C$4)/COUNTIFS(Daily_Composite!$A$5:$A$369,"&gt;="&amp;AL$3,Daily_Composite!$A$5:$A$369,"&lt;="&amp;AL$2,Daily_Composite!$B$5:$B$369,1),"")</f>
        <v>0.0555555555555556</v>
      </c>
      <c r="AN28" s="8" t="n">
        <f aca="false">IFERROR(COUNTIFS(Daily_Composite!$A$5:$A$369,"&gt;="&amp;AL$3,Daily_Composite!$A$5:$A$369,"&lt;="&amp;AL$2,Daily_Composite!$B$5:$B$369,1,Daily_Composite!$AD$5:$AD$369,"&lt;"&amp;-Settings!$C$4)/COUNTIFS(Daily_Composite!$A$5:$A$369,"&gt;="&amp;AL$3,Daily_Composite!$A$5:$A$369,"&lt;="&amp;AL$2,Daily_Composite!$B$5:$B$369,1),"")</f>
        <v>0.722222222222222</v>
      </c>
    </row>
    <row r="29" customFormat="false" ht="15" hidden="false" customHeight="false" outlineLevel="0" collapsed="false">
      <c r="A29" s="6" t="s">
        <v>42</v>
      </c>
      <c r="B29" s="7" t="n">
        <f aca="false">IFERROR(AVERAGEIFS(Daily_Composite!$AE$5:$AE$369,Daily_Composite!$A$5:$A$369,"&gt;="&amp;B$3,Daily_Composite!$A$5:$A$369,"&lt;="&amp;B$2,Daily_Composite!$B$5:$B$369,1),"")</f>
        <v>0.1115</v>
      </c>
      <c r="C29" s="8" t="n">
        <f aca="false">IFERROR(COUNTIFS(Daily_Composite!$A$5:$A$369,"&gt;="&amp;B$3,Daily_Composite!$A$5:$A$369,"&lt;="&amp;B$2,Daily_Composite!$B$5:$B$369,1,Daily_Composite!$AE$5:$AE$369,"&gt;"&amp;Settings!$C$4)/COUNTIFS(Daily_Composite!$A$5:$A$369,"&gt;="&amp;B$3,Daily_Composite!$A$5:$A$369,"&lt;="&amp;B$2,Daily_Composite!$B$5:$B$369,1),"")</f>
        <v>0.25</v>
      </c>
      <c r="D29" s="8" t="n">
        <f aca="false">IFERROR(COUNTIFS(Daily_Composite!$A$5:$A$369,"&gt;="&amp;B$3,Daily_Composite!$A$5:$A$369,"&lt;="&amp;B$2,Daily_Composite!$B$5:$B$369,1,Daily_Composite!$AE$5:$AE$369,"&lt;"&amp;-Settings!$C$4)/COUNTIFS(Daily_Composite!$A$5:$A$369,"&gt;="&amp;B$3,Daily_Composite!$A$5:$A$369,"&lt;="&amp;B$2,Daily_Composite!$B$5:$B$369,1),"")</f>
        <v>0</v>
      </c>
      <c r="E29" s="7" t="n">
        <f aca="false">IFERROR(AVERAGEIFS(Daily_Composite!$AE$5:$AE$369,Daily_Composite!$A$5:$A$369,"&gt;="&amp;E$3,Daily_Composite!$A$5:$A$369,"&lt;="&amp;E$2,Daily_Composite!$B$5:$B$369,1),"")</f>
        <v>0.134428571428571</v>
      </c>
      <c r="F29" s="8" t="n">
        <f aca="false">IFERROR(COUNTIFS(Daily_Composite!$A$5:$A$369,"&gt;="&amp;E$3,Daily_Composite!$A$5:$A$369,"&lt;="&amp;E$2,Daily_Composite!$B$5:$B$369,1,Daily_Composite!$AE$5:$AE$369,"&gt;"&amp;Settings!$C$4)/COUNTIFS(Daily_Composite!$A$5:$A$369,"&gt;="&amp;E$3,Daily_Composite!$A$5:$A$369,"&lt;="&amp;E$2,Daily_Composite!$B$5:$B$369,1),"")</f>
        <v>0.285714285714286</v>
      </c>
      <c r="G29" s="8" t="n">
        <f aca="false">IFERROR(COUNTIFS(Daily_Composite!$A$5:$A$369,"&gt;="&amp;E$3,Daily_Composite!$A$5:$A$369,"&lt;="&amp;E$2,Daily_Composite!$B$5:$B$369,1,Daily_Composite!$AE$5:$AE$369,"&lt;"&amp;-Settings!$C$4)/COUNTIFS(Daily_Composite!$A$5:$A$369,"&gt;="&amp;E$3,Daily_Composite!$A$5:$A$369,"&lt;="&amp;E$2,Daily_Composite!$B$5:$B$369,1),"")</f>
        <v>0</v>
      </c>
      <c r="H29" s="7" t="n">
        <f aca="false">IFERROR(AVERAGEIFS(Daily_Composite!$AE$5:$AE$369,Daily_Composite!$A$5:$A$369,"&gt;="&amp;H$3,Daily_Composite!$A$5:$A$369,"&lt;="&amp;H$2,Daily_Composite!$B$5:$B$369,1),"")</f>
        <v>0.0196086956521739</v>
      </c>
      <c r="I29" s="8" t="n">
        <f aca="false">IFERROR(COUNTIFS(Daily_Composite!$A$5:$A$369,"&gt;="&amp;H$3,Daily_Composite!$A$5:$A$369,"&lt;="&amp;H$2,Daily_Composite!$B$5:$B$369,1,Daily_Composite!$AE$5:$AE$369,"&gt;"&amp;Settings!$C$4)/COUNTIFS(Daily_Composite!$A$5:$A$369,"&gt;="&amp;H$3,Daily_Composite!$A$5:$A$369,"&lt;="&amp;H$2,Daily_Composite!$B$5:$B$369,1),"")</f>
        <v>0.0869565217391304</v>
      </c>
      <c r="J29" s="8" t="n">
        <f aca="false">IFERROR(COUNTIFS(Daily_Composite!$A$5:$A$369,"&gt;="&amp;H$3,Daily_Composite!$A$5:$A$369,"&lt;="&amp;H$2,Daily_Composite!$B$5:$B$369,1,Daily_Composite!$AE$5:$AE$369,"&lt;"&amp;-Settings!$C$4)/COUNTIFS(Daily_Composite!$A$5:$A$369,"&gt;="&amp;H$3,Daily_Composite!$A$5:$A$369,"&lt;="&amp;H$2,Daily_Composite!$B$5:$B$369,1),"")</f>
        <v>0.0434782608695652</v>
      </c>
      <c r="K29" s="7" t="n">
        <f aca="false">IFERROR(AVERAGEIFS(Daily_Composite!$AE$5:$AE$369,Daily_Composite!$A$5:$A$369,"&gt;="&amp;K$3,Daily_Composite!$A$5:$A$369,"&lt;="&amp;K$2,Daily_Composite!$B$5:$B$369,1),"")</f>
        <v>0.115809523809524</v>
      </c>
      <c r="L29" s="8" t="n">
        <f aca="false">IFERROR(COUNTIFS(Daily_Composite!$A$5:$A$369,"&gt;="&amp;K$3,Daily_Composite!$A$5:$A$369,"&lt;="&amp;K$2,Daily_Composite!$B$5:$B$369,1,Daily_Composite!$AE$5:$AE$369,"&gt;"&amp;Settings!$C$4)/COUNTIFS(Daily_Composite!$A$5:$A$369,"&gt;="&amp;K$3,Daily_Composite!$A$5:$A$369,"&lt;="&amp;K$2,Daily_Composite!$B$5:$B$369,1),"")</f>
        <v>0.285714285714286</v>
      </c>
      <c r="M29" s="8" t="n">
        <f aca="false">IFERROR(COUNTIFS(Daily_Composite!$A$5:$A$369,"&gt;="&amp;K$3,Daily_Composite!$A$5:$A$369,"&lt;="&amp;K$2,Daily_Composite!$B$5:$B$369,1,Daily_Composite!$AE$5:$AE$369,"&lt;"&amp;-Settings!$C$4)/COUNTIFS(Daily_Composite!$A$5:$A$369,"&gt;="&amp;K$3,Daily_Composite!$A$5:$A$369,"&lt;="&amp;K$2,Daily_Composite!$B$5:$B$369,1),"")</f>
        <v>0</v>
      </c>
      <c r="N29" s="7" t="n">
        <f aca="false">IFERROR(AVERAGEIFS(Daily_Composite!$AE$5:$AE$369,Daily_Composite!$A$5:$A$369,"&gt;="&amp;N$3,Daily_Composite!$A$5:$A$369,"&lt;="&amp;N$2,Daily_Composite!$B$5:$B$369,1),"")</f>
        <v>0.0073</v>
      </c>
      <c r="O29" s="8" t="n">
        <f aca="false">IFERROR(COUNTIFS(Daily_Composite!$A$5:$A$369,"&gt;="&amp;N$3,Daily_Composite!$A$5:$A$369,"&lt;="&amp;N$2,Daily_Composite!$B$5:$B$369,1,Daily_Composite!$AE$5:$AE$369,"&gt;"&amp;Settings!$C$4)/COUNTIFS(Daily_Composite!$A$5:$A$369,"&gt;="&amp;N$3,Daily_Composite!$A$5:$A$369,"&lt;="&amp;N$2,Daily_Composite!$B$5:$B$369,1),"")</f>
        <v>0.15</v>
      </c>
      <c r="P29" s="8" t="n">
        <f aca="false">IFERROR(COUNTIFS(Daily_Composite!$A$5:$A$369,"&gt;="&amp;N$3,Daily_Composite!$A$5:$A$369,"&lt;="&amp;N$2,Daily_Composite!$B$5:$B$369,1,Daily_Composite!$AE$5:$AE$369,"&lt;"&amp;-Settings!$C$4)/COUNTIFS(Daily_Composite!$A$5:$A$369,"&gt;="&amp;N$3,Daily_Composite!$A$5:$A$369,"&lt;="&amp;N$2,Daily_Composite!$B$5:$B$369,1),"")</f>
        <v>0.15</v>
      </c>
      <c r="Q29" s="7" t="n">
        <f aca="false">IFERROR(AVERAGEIFS(Daily_Composite!$AE$5:$AE$369,Daily_Composite!$A$5:$A$369,"&gt;="&amp;Q$3,Daily_Composite!$A$5:$A$369,"&lt;="&amp;Q$2,Daily_Composite!$B$5:$B$369,1),"")</f>
        <v>0.0740434782608696</v>
      </c>
      <c r="R29" s="8" t="n">
        <f aca="false">IFERROR(COUNTIFS(Daily_Composite!$A$5:$A$369,"&gt;="&amp;Q$3,Daily_Composite!$A$5:$A$369,"&lt;="&amp;Q$2,Daily_Composite!$B$5:$B$369,1,Daily_Composite!$AE$5:$AE$369,"&gt;"&amp;Settings!$C$4)/COUNTIFS(Daily_Composite!$A$5:$A$369,"&gt;="&amp;Q$3,Daily_Composite!$A$5:$A$369,"&lt;="&amp;Q$2,Daily_Composite!$B$5:$B$369,1),"")</f>
        <v>0.130434782608696</v>
      </c>
      <c r="S29" s="8" t="n">
        <f aca="false">IFERROR(COUNTIFS(Daily_Composite!$A$5:$A$369,"&gt;="&amp;Q$3,Daily_Composite!$A$5:$A$369,"&lt;="&amp;Q$2,Daily_Composite!$B$5:$B$369,1,Daily_Composite!$AE$5:$AE$369,"&lt;"&amp;-Settings!$C$4)/COUNTIFS(Daily_Composite!$A$5:$A$369,"&gt;="&amp;Q$3,Daily_Composite!$A$5:$A$369,"&lt;="&amp;Q$2,Daily_Composite!$B$5:$B$369,1),"")</f>
        <v>0.0869565217391304</v>
      </c>
      <c r="T29" s="7" t="n">
        <f aca="false">IFERROR(AVERAGEIFS(Daily_Composite!$AE$5:$AE$369,Daily_Composite!$A$5:$A$369,"&gt;="&amp;T$3,Daily_Composite!$A$5:$A$369,"&lt;="&amp;T$2,Daily_Composite!$B$5:$B$369,1),"")</f>
        <v>0.0535</v>
      </c>
      <c r="U29" s="8" t="n">
        <f aca="false">IFERROR(COUNTIFS(Daily_Composite!$A$5:$A$369,"&gt;="&amp;T$3,Daily_Composite!$A$5:$A$369,"&lt;="&amp;T$2,Daily_Composite!$B$5:$B$369,1,Daily_Composite!$AE$5:$AE$369,"&gt;"&amp;Settings!$C$4)/COUNTIFS(Daily_Composite!$A$5:$A$369,"&gt;="&amp;T$3,Daily_Composite!$A$5:$A$369,"&lt;="&amp;T$2,Daily_Composite!$B$5:$B$369,1),"")</f>
        <v>0.136363636363636</v>
      </c>
      <c r="V29" s="8" t="n">
        <f aca="false">IFERROR(COUNTIFS(Daily_Composite!$A$5:$A$369,"&gt;="&amp;T$3,Daily_Composite!$A$5:$A$369,"&lt;="&amp;T$2,Daily_Composite!$B$5:$B$369,1,Daily_Composite!$AE$5:$AE$369,"&lt;"&amp;-Settings!$C$4)/COUNTIFS(Daily_Composite!$A$5:$A$369,"&gt;="&amp;T$3,Daily_Composite!$A$5:$A$369,"&lt;="&amp;T$2,Daily_Composite!$B$5:$B$369,1),"")</f>
        <v>0.0454545454545455</v>
      </c>
      <c r="W29" s="7" t="n">
        <f aca="false">IFERROR(AVERAGEIFS(Daily_Composite!$AE$5:$AE$369,Daily_Composite!$A$5:$A$369,"&gt;="&amp;W$3,Daily_Composite!$A$5:$A$369,"&lt;="&amp;W$2,Daily_Composite!$B$5:$B$369,1),"")</f>
        <v>0.128333333333333</v>
      </c>
      <c r="X29" s="8" t="n">
        <f aca="false">IFERROR(COUNTIFS(Daily_Composite!$A$5:$A$369,"&gt;="&amp;W$3,Daily_Composite!$A$5:$A$369,"&lt;="&amp;W$2,Daily_Composite!$B$5:$B$369,1,Daily_Composite!$AE$5:$AE$369,"&gt;"&amp;Settings!$C$4)/COUNTIFS(Daily_Composite!$A$5:$A$369,"&gt;="&amp;W$3,Daily_Composite!$A$5:$A$369,"&lt;="&amp;W$2,Daily_Composite!$B$5:$B$369,1),"")</f>
        <v>0.19047619047619</v>
      </c>
      <c r="Y29" s="8" t="n">
        <f aca="false">IFERROR(COUNTIFS(Daily_Composite!$A$5:$A$369,"&gt;="&amp;W$3,Daily_Composite!$A$5:$A$369,"&lt;="&amp;W$2,Daily_Composite!$B$5:$B$369,1,Daily_Composite!$AE$5:$AE$369,"&lt;"&amp;-Settings!$C$4)/COUNTIFS(Daily_Composite!$A$5:$A$369,"&gt;="&amp;W$3,Daily_Composite!$A$5:$A$369,"&lt;="&amp;W$2,Daily_Composite!$B$5:$B$369,1),"")</f>
        <v>0</v>
      </c>
      <c r="Z29" s="7" t="n">
        <f aca="false">IFERROR(AVERAGEIFS(Daily_Composite!$AE$5:$AE$369,Daily_Composite!$A$5:$A$369,"&gt;="&amp;Z$3,Daily_Composite!$A$5:$A$369,"&lt;="&amp;Z$2,Daily_Composite!$B$5:$B$369,1),"")</f>
        <v>0.152181818181818</v>
      </c>
      <c r="AA29" s="8" t="n">
        <f aca="false">IFERROR(COUNTIFS(Daily_Composite!$A$5:$A$369,"&gt;="&amp;Z$3,Daily_Composite!$A$5:$A$369,"&lt;="&amp;Z$2,Daily_Composite!$B$5:$B$369,1,Daily_Composite!$AE$5:$AE$369,"&gt;"&amp;Settings!$C$4)/COUNTIFS(Daily_Composite!$A$5:$A$369,"&gt;="&amp;Z$3,Daily_Composite!$A$5:$A$369,"&lt;="&amp;Z$2,Daily_Composite!$B$5:$B$369,1),"")</f>
        <v>0.545454545454545</v>
      </c>
      <c r="AB29" s="8" t="n">
        <f aca="false">IFERROR(COUNTIFS(Daily_Composite!$A$5:$A$369,"&gt;="&amp;Z$3,Daily_Composite!$A$5:$A$369,"&lt;="&amp;Z$2,Daily_Composite!$B$5:$B$369,1,Daily_Composite!$AE$5:$AE$369,"&lt;"&amp;-Settings!$C$4)/COUNTIFS(Daily_Composite!$A$5:$A$369,"&gt;="&amp;Z$3,Daily_Composite!$A$5:$A$369,"&lt;="&amp;Z$2,Daily_Composite!$B$5:$B$369,1),"")</f>
        <v>0</v>
      </c>
      <c r="AC29" s="7" t="n">
        <f aca="false">IFERROR(AVERAGEIFS(Daily_Composite!$AE$5:$AE$369,Daily_Composite!$A$5:$A$369,"&gt;="&amp;AC$3,Daily_Composite!$A$5:$A$369,"&lt;="&amp;AC$2,Daily_Composite!$B$5:$B$369,1),"")</f>
        <v>0.1295</v>
      </c>
      <c r="AD29" s="8" t="n">
        <f aca="false">IFERROR(COUNTIFS(Daily_Composite!$A$5:$A$369,"&gt;="&amp;AC$3,Daily_Composite!$A$5:$A$369,"&lt;="&amp;AC$2,Daily_Composite!$B$5:$B$369,1,Daily_Composite!$AE$5:$AE$369,"&gt;"&amp;Settings!$C$4)/COUNTIFS(Daily_Composite!$A$5:$A$369,"&gt;="&amp;AC$3,Daily_Composite!$A$5:$A$369,"&lt;="&amp;AC$2,Daily_Composite!$B$5:$B$369,1),"")</f>
        <v>0.5</v>
      </c>
      <c r="AE29" s="8" t="n">
        <f aca="false">IFERROR(COUNTIFS(Daily_Composite!$A$5:$A$369,"&gt;="&amp;AC$3,Daily_Composite!$A$5:$A$369,"&lt;="&amp;AC$2,Daily_Composite!$B$5:$B$369,1,Daily_Composite!$AE$5:$AE$369,"&lt;"&amp;-Settings!$C$4)/COUNTIFS(Daily_Composite!$A$5:$A$369,"&gt;="&amp;AC$3,Daily_Composite!$A$5:$A$369,"&lt;="&amp;AC$2,Daily_Composite!$B$5:$B$369,1),"")</f>
        <v>0</v>
      </c>
      <c r="AF29" s="7" t="n">
        <f aca="false">IFERROR(AVERAGEIFS(Daily_Composite!$AE$5:$AE$369,Daily_Composite!$A$5:$A$369,"&gt;="&amp;AF$3,Daily_Composite!$A$5:$A$369,"&lt;="&amp;AF$2,Daily_Composite!$B$5:$B$369,1),"")</f>
        <v>0.028</v>
      </c>
      <c r="AG29" s="8" t="n">
        <f aca="false">IFERROR(COUNTIFS(Daily_Composite!$A$5:$A$369,"&gt;="&amp;AF$3,Daily_Composite!$A$5:$A$369,"&lt;="&amp;AF$2,Daily_Composite!$B$5:$B$369,1,Daily_Composite!$AE$5:$AE$369,"&gt;"&amp;Settings!$C$4)/COUNTIFS(Daily_Composite!$A$5:$A$369,"&gt;="&amp;AF$3,Daily_Composite!$A$5:$A$369,"&lt;="&amp;AF$2,Daily_Composite!$B$5:$B$369,1),"")</f>
        <v>0.318181818181818</v>
      </c>
      <c r="AH29" s="8" t="n">
        <f aca="false">IFERROR(COUNTIFS(Daily_Composite!$A$5:$A$369,"&gt;="&amp;AF$3,Daily_Composite!$A$5:$A$369,"&lt;="&amp;AF$2,Daily_Composite!$B$5:$B$369,1,Daily_Composite!$AE$5:$AE$369,"&lt;"&amp;-Settings!$C$4)/COUNTIFS(Daily_Composite!$A$5:$A$369,"&gt;="&amp;AF$3,Daily_Composite!$A$5:$A$369,"&lt;="&amp;AF$2,Daily_Composite!$B$5:$B$369,1),"")</f>
        <v>0.318181818181818</v>
      </c>
      <c r="AI29" s="7" t="n">
        <f aca="false">IFERROR(AVERAGEIFS(Daily_Composite!$AE$5:$AE$369,Daily_Composite!$A$5:$A$369,"&gt;="&amp;AI$3,Daily_Composite!$A$5:$A$369,"&lt;="&amp;AI$2,Daily_Composite!$B$5:$B$369,1),"")</f>
        <v>-0.0160909090909091</v>
      </c>
      <c r="AJ29" s="8" t="n">
        <f aca="false">IFERROR(COUNTIFS(Daily_Composite!$A$5:$A$369,"&gt;="&amp;AI$3,Daily_Composite!$A$5:$A$369,"&lt;="&amp;AI$2,Daily_Composite!$B$5:$B$369,1,Daily_Composite!$AE$5:$AE$369,"&gt;"&amp;Settings!$C$4)/COUNTIFS(Daily_Composite!$A$5:$A$369,"&gt;="&amp;AI$3,Daily_Composite!$A$5:$A$369,"&lt;="&amp;AI$2,Daily_Composite!$B$5:$B$369,1),"")</f>
        <v>0.0454545454545455</v>
      </c>
      <c r="AK29" s="8" t="n">
        <f aca="false">IFERROR(COUNTIFS(Daily_Composite!$A$5:$A$369,"&gt;="&amp;AI$3,Daily_Composite!$A$5:$A$369,"&lt;="&amp;AI$2,Daily_Composite!$B$5:$B$369,1,Daily_Composite!$AE$5:$AE$369,"&lt;"&amp;-Settings!$C$4)/COUNTIFS(Daily_Composite!$A$5:$A$369,"&gt;="&amp;AI$3,Daily_Composite!$A$5:$A$369,"&lt;="&amp;AI$2,Daily_Composite!$B$5:$B$369,1),"")</f>
        <v>0.136363636363636</v>
      </c>
      <c r="AL29" s="7" t="n">
        <f aca="false">IFERROR(AVERAGEIFS(Daily_Composite!$AE$5:$AE$369,Daily_Composite!$A$5:$A$369,"&gt;="&amp;AL$3,Daily_Composite!$A$5:$A$369,"&lt;="&amp;AL$2,Daily_Composite!$B$5:$B$369,1),"")</f>
        <v>0.260277777777778</v>
      </c>
      <c r="AM29" s="8" t="n">
        <f aca="false">IFERROR(COUNTIFS(Daily_Composite!$A$5:$A$369,"&gt;="&amp;AL$3,Daily_Composite!$A$5:$A$369,"&lt;="&amp;AL$2,Daily_Composite!$B$5:$B$369,1,Daily_Composite!$AE$5:$AE$369,"&gt;"&amp;Settings!$C$4)/COUNTIFS(Daily_Composite!$A$5:$A$369,"&gt;="&amp;AL$3,Daily_Composite!$A$5:$A$369,"&lt;="&amp;AL$2,Daily_Composite!$B$5:$B$369,1),"")</f>
        <v>0.888888888888889</v>
      </c>
      <c r="AN29" s="8" t="n">
        <f aca="false">IFERROR(COUNTIFS(Daily_Composite!$A$5:$A$369,"&gt;="&amp;AL$3,Daily_Composite!$A$5:$A$369,"&lt;="&amp;AL$2,Daily_Composite!$B$5:$B$369,1,Daily_Composite!$AE$5:$AE$369,"&lt;"&amp;-Settings!$C$4)/COUNTIFS(Daily_Composite!$A$5:$A$369,"&gt;="&amp;AL$3,Daily_Composite!$A$5:$A$369,"&lt;="&amp;AL$2,Daily_Composite!$B$5:$B$369,1),"")</f>
        <v>0</v>
      </c>
    </row>
    <row r="30" customFormat="false" ht="15" hidden="false" customHeight="false" outlineLevel="0" collapsed="false">
      <c r="A30" s="6" t="s">
        <v>43</v>
      </c>
      <c r="B30" s="7" t="n">
        <f aca="false">IFERROR(AVERAGEIFS(Daily_Composite!$AF$5:$AF$369,Daily_Composite!$A$5:$A$369,"&gt;="&amp;B$3,Daily_Composite!$A$5:$A$369,"&lt;="&amp;B$2,Daily_Composite!$B$5:$B$369,1),"")</f>
        <v>0.04925</v>
      </c>
      <c r="C30" s="8" t="n">
        <f aca="false">IFERROR(COUNTIFS(Daily_Composite!$A$5:$A$369,"&gt;="&amp;B$3,Daily_Composite!$A$5:$A$369,"&lt;="&amp;B$2,Daily_Composite!$B$5:$B$369,1,Daily_Composite!$AF$5:$AF$369,"&gt;"&amp;Settings!$C$4)/COUNTIFS(Daily_Composite!$A$5:$A$369,"&gt;="&amp;B$3,Daily_Composite!$A$5:$A$369,"&lt;="&amp;B$2,Daily_Composite!$B$5:$B$369,1),"")</f>
        <v>0</v>
      </c>
      <c r="D30" s="8" t="n">
        <f aca="false">IFERROR(COUNTIFS(Daily_Composite!$A$5:$A$369,"&gt;="&amp;B$3,Daily_Composite!$A$5:$A$369,"&lt;="&amp;B$2,Daily_Composite!$B$5:$B$369,1,Daily_Composite!$AF$5:$AF$369,"&lt;"&amp;-Settings!$C$4)/COUNTIFS(Daily_Composite!$A$5:$A$369,"&gt;="&amp;B$3,Daily_Composite!$A$5:$A$369,"&lt;="&amp;B$2,Daily_Composite!$B$5:$B$369,1),"")</f>
        <v>0</v>
      </c>
      <c r="E30" s="7" t="n">
        <f aca="false">IFERROR(AVERAGEIFS(Daily_Composite!$AF$5:$AF$369,Daily_Composite!$A$5:$A$369,"&gt;="&amp;E$3,Daily_Composite!$A$5:$A$369,"&lt;="&amp;E$2,Daily_Composite!$B$5:$B$369,1),"")</f>
        <v>-0.151904761904762</v>
      </c>
      <c r="F30" s="8" t="n">
        <f aca="false">IFERROR(COUNTIFS(Daily_Composite!$A$5:$A$369,"&gt;="&amp;E$3,Daily_Composite!$A$5:$A$369,"&lt;="&amp;E$2,Daily_Composite!$B$5:$B$369,1,Daily_Composite!$AF$5:$AF$369,"&gt;"&amp;Settings!$C$4)/COUNTIFS(Daily_Composite!$A$5:$A$369,"&gt;="&amp;E$3,Daily_Composite!$A$5:$A$369,"&lt;="&amp;E$2,Daily_Composite!$B$5:$B$369,1),"")</f>
        <v>0.0476190476190476</v>
      </c>
      <c r="G30" s="8" t="n">
        <f aca="false">IFERROR(COUNTIFS(Daily_Composite!$A$5:$A$369,"&gt;="&amp;E$3,Daily_Composite!$A$5:$A$369,"&lt;="&amp;E$2,Daily_Composite!$B$5:$B$369,1,Daily_Composite!$AF$5:$AF$369,"&lt;"&amp;-Settings!$C$4)/COUNTIFS(Daily_Composite!$A$5:$A$369,"&gt;="&amp;E$3,Daily_Composite!$A$5:$A$369,"&lt;="&amp;E$2,Daily_Composite!$B$5:$B$369,1),"")</f>
        <v>0.476190476190476</v>
      </c>
      <c r="H30" s="7" t="n">
        <f aca="false">IFERROR(AVERAGEIFS(Daily_Composite!$AF$5:$AF$369,Daily_Composite!$A$5:$A$369,"&gt;="&amp;H$3,Daily_Composite!$A$5:$A$369,"&lt;="&amp;H$2,Daily_Composite!$B$5:$B$369,1),"")</f>
        <v>-0.198304347826087</v>
      </c>
      <c r="I30" s="8" t="n">
        <f aca="false">IFERROR(COUNTIFS(Daily_Composite!$A$5:$A$369,"&gt;="&amp;H$3,Daily_Composite!$A$5:$A$369,"&lt;="&amp;H$2,Daily_Composite!$B$5:$B$369,1,Daily_Composite!$AF$5:$AF$369,"&gt;"&amp;Settings!$C$4)/COUNTIFS(Daily_Composite!$A$5:$A$369,"&gt;="&amp;H$3,Daily_Composite!$A$5:$A$369,"&lt;="&amp;H$2,Daily_Composite!$B$5:$B$369,1),"")</f>
        <v>0</v>
      </c>
      <c r="J30" s="8" t="n">
        <f aca="false">IFERROR(COUNTIFS(Daily_Composite!$A$5:$A$369,"&gt;="&amp;H$3,Daily_Composite!$A$5:$A$369,"&lt;="&amp;H$2,Daily_Composite!$B$5:$B$369,1,Daily_Composite!$AF$5:$AF$369,"&lt;"&amp;-Settings!$C$4)/COUNTIFS(Daily_Composite!$A$5:$A$369,"&gt;="&amp;H$3,Daily_Composite!$A$5:$A$369,"&lt;="&amp;H$2,Daily_Composite!$B$5:$B$369,1),"")</f>
        <v>0.565217391304348</v>
      </c>
      <c r="K30" s="7" t="n">
        <f aca="false">IFERROR(AVERAGEIFS(Daily_Composite!$AF$5:$AF$369,Daily_Composite!$A$5:$A$369,"&gt;="&amp;K$3,Daily_Composite!$A$5:$A$369,"&lt;="&amp;K$2,Daily_Composite!$B$5:$B$369,1),"")</f>
        <v>-0.293190476190476</v>
      </c>
      <c r="L30" s="8" t="n">
        <f aca="false">IFERROR(COUNTIFS(Daily_Composite!$A$5:$A$369,"&gt;="&amp;K$3,Daily_Composite!$A$5:$A$369,"&lt;="&amp;K$2,Daily_Composite!$B$5:$B$369,1,Daily_Composite!$AF$5:$AF$369,"&gt;"&amp;Settings!$C$4)/COUNTIFS(Daily_Composite!$A$5:$A$369,"&gt;="&amp;K$3,Daily_Composite!$A$5:$A$369,"&lt;="&amp;K$2,Daily_Composite!$B$5:$B$369,1),"")</f>
        <v>0.0476190476190476</v>
      </c>
      <c r="M30" s="8" t="n">
        <f aca="false">IFERROR(COUNTIFS(Daily_Composite!$A$5:$A$369,"&gt;="&amp;K$3,Daily_Composite!$A$5:$A$369,"&lt;="&amp;K$2,Daily_Composite!$B$5:$B$369,1,Daily_Composite!$AF$5:$AF$369,"&lt;"&amp;-Settings!$C$4)/COUNTIFS(Daily_Composite!$A$5:$A$369,"&gt;="&amp;K$3,Daily_Composite!$A$5:$A$369,"&lt;="&amp;K$2,Daily_Composite!$B$5:$B$369,1),"")</f>
        <v>0.619047619047619</v>
      </c>
      <c r="N30" s="7" t="n">
        <f aca="false">IFERROR(AVERAGEIFS(Daily_Composite!$AF$5:$AF$369,Daily_Composite!$A$5:$A$369,"&gt;="&amp;N$3,Daily_Composite!$A$5:$A$369,"&lt;="&amp;N$2,Daily_Composite!$B$5:$B$369,1),"")</f>
        <v>-0.5045</v>
      </c>
      <c r="O30" s="8" t="n">
        <f aca="false">IFERROR(COUNTIFS(Daily_Composite!$A$5:$A$369,"&gt;="&amp;N$3,Daily_Composite!$A$5:$A$369,"&lt;="&amp;N$2,Daily_Composite!$B$5:$B$369,1,Daily_Composite!$AF$5:$AF$369,"&gt;"&amp;Settings!$C$4)/COUNTIFS(Daily_Composite!$A$5:$A$369,"&gt;="&amp;N$3,Daily_Composite!$A$5:$A$369,"&lt;="&amp;N$2,Daily_Composite!$B$5:$B$369,1),"")</f>
        <v>0.05</v>
      </c>
      <c r="P30" s="8" t="n">
        <f aca="false">IFERROR(COUNTIFS(Daily_Composite!$A$5:$A$369,"&gt;="&amp;N$3,Daily_Composite!$A$5:$A$369,"&lt;="&amp;N$2,Daily_Composite!$B$5:$B$369,1,Daily_Composite!$AF$5:$AF$369,"&lt;"&amp;-Settings!$C$4)/COUNTIFS(Daily_Composite!$A$5:$A$369,"&gt;="&amp;N$3,Daily_Composite!$A$5:$A$369,"&lt;="&amp;N$2,Daily_Composite!$B$5:$B$369,1),"")</f>
        <v>0.9</v>
      </c>
      <c r="Q30" s="7" t="n">
        <f aca="false">IFERROR(AVERAGEIFS(Daily_Composite!$AF$5:$AF$369,Daily_Composite!$A$5:$A$369,"&gt;="&amp;Q$3,Daily_Composite!$A$5:$A$369,"&lt;="&amp;Q$2,Daily_Composite!$B$5:$B$369,1),"")</f>
        <v>-0.170826086956522</v>
      </c>
      <c r="R30" s="8" t="n">
        <f aca="false">IFERROR(COUNTIFS(Daily_Composite!$A$5:$A$369,"&gt;="&amp;Q$3,Daily_Composite!$A$5:$A$369,"&lt;="&amp;Q$2,Daily_Composite!$B$5:$B$369,1,Daily_Composite!$AF$5:$AF$369,"&gt;"&amp;Settings!$C$4)/COUNTIFS(Daily_Composite!$A$5:$A$369,"&gt;="&amp;Q$3,Daily_Composite!$A$5:$A$369,"&lt;="&amp;Q$2,Daily_Composite!$B$5:$B$369,1),"")</f>
        <v>0.0869565217391304</v>
      </c>
      <c r="S30" s="8" t="n">
        <f aca="false">IFERROR(COUNTIFS(Daily_Composite!$A$5:$A$369,"&gt;="&amp;Q$3,Daily_Composite!$A$5:$A$369,"&lt;="&amp;Q$2,Daily_Composite!$B$5:$B$369,1,Daily_Composite!$AF$5:$AF$369,"&lt;"&amp;-Settings!$C$4)/COUNTIFS(Daily_Composite!$A$5:$A$369,"&gt;="&amp;Q$3,Daily_Composite!$A$5:$A$369,"&lt;="&amp;Q$2,Daily_Composite!$B$5:$B$369,1),"")</f>
        <v>0.565217391304348</v>
      </c>
      <c r="T30" s="7" t="n">
        <f aca="false">IFERROR(AVERAGEIFS(Daily_Composite!$AF$5:$AF$369,Daily_Composite!$A$5:$A$369,"&gt;="&amp;T$3,Daily_Composite!$A$5:$A$369,"&lt;="&amp;T$2,Daily_Composite!$B$5:$B$369,1),"")</f>
        <v>-0.198409090909091</v>
      </c>
      <c r="U30" s="8" t="n">
        <f aca="false">IFERROR(COUNTIFS(Daily_Composite!$A$5:$A$369,"&gt;="&amp;T$3,Daily_Composite!$A$5:$A$369,"&lt;="&amp;T$2,Daily_Composite!$B$5:$B$369,1,Daily_Composite!$AF$5:$AF$369,"&gt;"&amp;Settings!$C$4)/COUNTIFS(Daily_Composite!$A$5:$A$369,"&gt;="&amp;T$3,Daily_Composite!$A$5:$A$369,"&lt;="&amp;T$2,Daily_Composite!$B$5:$B$369,1),"")</f>
        <v>0</v>
      </c>
      <c r="V30" s="8" t="n">
        <f aca="false">IFERROR(COUNTIFS(Daily_Composite!$A$5:$A$369,"&gt;="&amp;T$3,Daily_Composite!$A$5:$A$369,"&lt;="&amp;T$2,Daily_Composite!$B$5:$B$369,1,Daily_Composite!$AF$5:$AF$369,"&lt;"&amp;-Settings!$C$4)/COUNTIFS(Daily_Composite!$A$5:$A$369,"&gt;="&amp;T$3,Daily_Composite!$A$5:$A$369,"&lt;="&amp;T$2,Daily_Composite!$B$5:$B$369,1),"")</f>
        <v>0.545454545454545</v>
      </c>
      <c r="W30" s="7" t="n">
        <f aca="false">IFERROR(AVERAGEIFS(Daily_Composite!$AF$5:$AF$369,Daily_Composite!$A$5:$A$369,"&gt;="&amp;W$3,Daily_Composite!$A$5:$A$369,"&lt;="&amp;W$2,Daily_Composite!$B$5:$B$369,1),"")</f>
        <v>-0.36352380952381</v>
      </c>
      <c r="X30" s="8" t="n">
        <f aca="false">IFERROR(COUNTIFS(Daily_Composite!$A$5:$A$369,"&gt;="&amp;W$3,Daily_Composite!$A$5:$A$369,"&lt;="&amp;W$2,Daily_Composite!$B$5:$B$369,1,Daily_Composite!$AF$5:$AF$369,"&gt;"&amp;Settings!$C$4)/COUNTIFS(Daily_Composite!$A$5:$A$369,"&gt;="&amp;W$3,Daily_Composite!$A$5:$A$369,"&lt;="&amp;W$2,Daily_Composite!$B$5:$B$369,1),"")</f>
        <v>0.0476190476190476</v>
      </c>
      <c r="Y30" s="8" t="n">
        <f aca="false">IFERROR(COUNTIFS(Daily_Composite!$A$5:$A$369,"&gt;="&amp;W$3,Daily_Composite!$A$5:$A$369,"&lt;="&amp;W$2,Daily_Composite!$B$5:$B$369,1,Daily_Composite!$AF$5:$AF$369,"&lt;"&amp;-Settings!$C$4)/COUNTIFS(Daily_Composite!$A$5:$A$369,"&gt;="&amp;W$3,Daily_Composite!$A$5:$A$369,"&lt;="&amp;W$2,Daily_Composite!$B$5:$B$369,1),"")</f>
        <v>0.857142857142857</v>
      </c>
      <c r="Z30" s="7" t="n">
        <f aca="false">IFERROR(AVERAGEIFS(Daily_Composite!$AF$5:$AF$369,Daily_Composite!$A$5:$A$369,"&gt;="&amp;Z$3,Daily_Composite!$A$5:$A$369,"&lt;="&amp;Z$2,Daily_Composite!$B$5:$B$369,1),"")</f>
        <v>-0.323136363636364</v>
      </c>
      <c r="AA30" s="8" t="n">
        <f aca="false">IFERROR(COUNTIFS(Daily_Composite!$A$5:$A$369,"&gt;="&amp;Z$3,Daily_Composite!$A$5:$A$369,"&lt;="&amp;Z$2,Daily_Composite!$B$5:$B$369,1,Daily_Composite!$AF$5:$AF$369,"&gt;"&amp;Settings!$C$4)/COUNTIFS(Daily_Composite!$A$5:$A$369,"&gt;="&amp;Z$3,Daily_Composite!$A$5:$A$369,"&lt;="&amp;Z$2,Daily_Composite!$B$5:$B$369,1),"")</f>
        <v>0</v>
      </c>
      <c r="AB30" s="8" t="n">
        <f aca="false">IFERROR(COUNTIFS(Daily_Composite!$A$5:$A$369,"&gt;="&amp;Z$3,Daily_Composite!$A$5:$A$369,"&lt;="&amp;Z$2,Daily_Composite!$B$5:$B$369,1,Daily_Composite!$AF$5:$AF$369,"&lt;"&amp;-Settings!$C$4)/COUNTIFS(Daily_Composite!$A$5:$A$369,"&gt;="&amp;Z$3,Daily_Composite!$A$5:$A$369,"&lt;="&amp;Z$2,Daily_Composite!$B$5:$B$369,1),"")</f>
        <v>0.863636363636364</v>
      </c>
      <c r="AC30" s="7" t="n">
        <f aca="false">IFERROR(AVERAGEIFS(Daily_Composite!$AF$5:$AF$369,Daily_Composite!$A$5:$A$369,"&gt;="&amp;AC$3,Daily_Composite!$A$5:$A$369,"&lt;="&amp;AC$2,Daily_Composite!$B$5:$B$369,1),"")</f>
        <v>-0.34</v>
      </c>
      <c r="AD30" s="8" t="n">
        <f aca="false">IFERROR(COUNTIFS(Daily_Composite!$A$5:$A$369,"&gt;="&amp;AC$3,Daily_Composite!$A$5:$A$369,"&lt;="&amp;AC$2,Daily_Composite!$B$5:$B$369,1,Daily_Composite!$AF$5:$AF$369,"&gt;"&amp;Settings!$C$4)/COUNTIFS(Daily_Composite!$A$5:$A$369,"&gt;="&amp;AC$3,Daily_Composite!$A$5:$A$369,"&lt;="&amp;AC$2,Daily_Composite!$B$5:$B$369,1),"")</f>
        <v>0</v>
      </c>
      <c r="AE30" s="8" t="n">
        <f aca="false">IFERROR(COUNTIFS(Daily_Composite!$A$5:$A$369,"&gt;="&amp;AC$3,Daily_Composite!$A$5:$A$369,"&lt;="&amp;AC$2,Daily_Composite!$B$5:$B$369,1,Daily_Composite!$AF$5:$AF$369,"&lt;"&amp;-Settings!$C$4)/COUNTIFS(Daily_Composite!$A$5:$A$369,"&gt;="&amp;AC$3,Daily_Composite!$A$5:$A$369,"&lt;="&amp;AC$2,Daily_Composite!$B$5:$B$369,1),"")</f>
        <v>0.863636363636364</v>
      </c>
      <c r="AF30" s="7" t="n">
        <f aca="false">IFERROR(AVERAGEIFS(Daily_Composite!$AF$5:$AF$369,Daily_Composite!$A$5:$A$369,"&gt;="&amp;AF$3,Daily_Composite!$A$5:$A$369,"&lt;="&amp;AF$2,Daily_Composite!$B$5:$B$369,1),"")</f>
        <v>-0.240636363636364</v>
      </c>
      <c r="AG30" s="8" t="n">
        <f aca="false">IFERROR(COUNTIFS(Daily_Composite!$A$5:$A$369,"&gt;="&amp;AF$3,Daily_Composite!$A$5:$A$369,"&lt;="&amp;AF$2,Daily_Composite!$B$5:$B$369,1,Daily_Composite!$AF$5:$AF$369,"&gt;"&amp;Settings!$C$4)/COUNTIFS(Daily_Composite!$A$5:$A$369,"&gt;="&amp;AF$3,Daily_Composite!$A$5:$A$369,"&lt;="&amp;AF$2,Daily_Composite!$B$5:$B$369,1),"")</f>
        <v>0.0909090909090909</v>
      </c>
      <c r="AH30" s="8" t="n">
        <f aca="false">IFERROR(COUNTIFS(Daily_Composite!$A$5:$A$369,"&gt;="&amp;AF$3,Daily_Composite!$A$5:$A$369,"&lt;="&amp;AF$2,Daily_Composite!$B$5:$B$369,1,Daily_Composite!$AF$5:$AF$369,"&lt;"&amp;-Settings!$C$4)/COUNTIFS(Daily_Composite!$A$5:$A$369,"&gt;="&amp;AF$3,Daily_Composite!$A$5:$A$369,"&lt;="&amp;AF$2,Daily_Composite!$B$5:$B$369,1),"")</f>
        <v>0.727272727272727</v>
      </c>
      <c r="AI30" s="7" t="n">
        <f aca="false">IFERROR(AVERAGEIFS(Daily_Composite!$AF$5:$AF$369,Daily_Composite!$A$5:$A$369,"&gt;="&amp;AI$3,Daily_Composite!$A$5:$A$369,"&lt;="&amp;AI$2,Daily_Composite!$B$5:$B$369,1),"")</f>
        <v>0.0353181818181818</v>
      </c>
      <c r="AJ30" s="8" t="n">
        <f aca="false">IFERROR(COUNTIFS(Daily_Composite!$A$5:$A$369,"&gt;="&amp;AI$3,Daily_Composite!$A$5:$A$369,"&lt;="&amp;AI$2,Daily_Composite!$B$5:$B$369,1,Daily_Composite!$AF$5:$AF$369,"&gt;"&amp;Settings!$C$4)/COUNTIFS(Daily_Composite!$A$5:$A$369,"&gt;="&amp;AI$3,Daily_Composite!$A$5:$A$369,"&lt;="&amp;AI$2,Daily_Composite!$B$5:$B$369,1),"")</f>
        <v>0.454545454545455</v>
      </c>
      <c r="AK30" s="8" t="n">
        <f aca="false">IFERROR(COUNTIFS(Daily_Composite!$A$5:$A$369,"&gt;="&amp;AI$3,Daily_Composite!$A$5:$A$369,"&lt;="&amp;AI$2,Daily_Composite!$B$5:$B$369,1,Daily_Composite!$AF$5:$AF$369,"&lt;"&amp;-Settings!$C$4)/COUNTIFS(Daily_Composite!$A$5:$A$369,"&gt;="&amp;AI$3,Daily_Composite!$A$5:$A$369,"&lt;="&amp;AI$2,Daily_Composite!$B$5:$B$369,1),"")</f>
        <v>0.181818181818182</v>
      </c>
      <c r="AL30" s="7" t="n">
        <f aca="false">IFERROR(AVERAGEIFS(Daily_Composite!$AF$5:$AF$369,Daily_Composite!$A$5:$A$369,"&gt;="&amp;AL$3,Daily_Composite!$A$5:$A$369,"&lt;="&amp;AL$2,Daily_Composite!$B$5:$B$369,1),"")</f>
        <v>0.190666666666667</v>
      </c>
      <c r="AM30" s="8" t="n">
        <f aca="false">IFERROR(COUNTIFS(Daily_Composite!$A$5:$A$369,"&gt;="&amp;AL$3,Daily_Composite!$A$5:$A$369,"&lt;="&amp;AL$2,Daily_Composite!$B$5:$B$369,1,Daily_Composite!$AF$5:$AF$369,"&gt;"&amp;Settings!$C$4)/COUNTIFS(Daily_Composite!$A$5:$A$369,"&gt;="&amp;AL$3,Daily_Composite!$A$5:$A$369,"&lt;="&amp;AL$2,Daily_Composite!$B$5:$B$369,1),"")</f>
        <v>0.722222222222222</v>
      </c>
      <c r="AN30" s="8" t="n">
        <f aca="false">IFERROR(COUNTIFS(Daily_Composite!$A$5:$A$369,"&gt;="&amp;AL$3,Daily_Composite!$A$5:$A$369,"&lt;="&amp;AL$2,Daily_Composite!$B$5:$B$369,1,Daily_Composite!$AF$5:$AF$369,"&lt;"&amp;-Settings!$C$4)/COUNTIFS(Daily_Composite!$A$5:$A$369,"&gt;="&amp;AL$3,Daily_Composite!$A$5:$A$369,"&lt;="&amp;AL$2,Daily_Composite!$B$5:$B$369,1),"")</f>
        <v>0</v>
      </c>
    </row>
    <row r="31" customFormat="false" ht="15" hidden="false" customHeight="false" outlineLevel="0" collapsed="false">
      <c r="A31" s="6" t="s">
        <v>44</v>
      </c>
      <c r="B31" s="7" t="n">
        <f aca="false">IFERROR(AVERAGEIFS(Daily_Composite!$AG$5:$AG$369,Daily_Composite!$A$5:$A$369,"&gt;="&amp;B$3,Daily_Composite!$A$5:$A$369,"&lt;="&amp;B$2,Daily_Composite!$B$5:$B$369,1),"")</f>
        <v>0.06425</v>
      </c>
      <c r="C31" s="8" t="n">
        <f aca="false">IFERROR(COUNTIFS(Daily_Composite!$A$5:$A$369,"&gt;="&amp;B$3,Daily_Composite!$A$5:$A$369,"&lt;="&amp;B$2,Daily_Composite!$B$5:$B$369,1,Daily_Composite!$AG$5:$AG$369,"&gt;"&amp;Settings!$C$4)/COUNTIFS(Daily_Composite!$A$5:$A$369,"&gt;="&amp;B$3,Daily_Composite!$A$5:$A$369,"&lt;="&amp;B$2,Daily_Composite!$B$5:$B$369,1),"")</f>
        <v>0</v>
      </c>
      <c r="D31" s="8" t="n">
        <f aca="false">IFERROR(COUNTIFS(Daily_Composite!$A$5:$A$369,"&gt;="&amp;B$3,Daily_Composite!$A$5:$A$369,"&lt;="&amp;B$2,Daily_Composite!$B$5:$B$369,1,Daily_Composite!$AG$5:$AG$369,"&lt;"&amp;-Settings!$C$4)/COUNTIFS(Daily_Composite!$A$5:$A$369,"&gt;="&amp;B$3,Daily_Composite!$A$5:$A$369,"&lt;="&amp;B$2,Daily_Composite!$B$5:$B$369,1),"")</f>
        <v>0</v>
      </c>
      <c r="E31" s="7" t="n">
        <f aca="false">IFERROR(AVERAGEIFS(Daily_Composite!$AG$5:$AG$369,Daily_Composite!$A$5:$A$369,"&gt;="&amp;E$3,Daily_Composite!$A$5:$A$369,"&lt;="&amp;E$2,Daily_Composite!$B$5:$B$369,1),"")</f>
        <v>-0.218952380952381</v>
      </c>
      <c r="F31" s="8" t="n">
        <f aca="false">IFERROR(COUNTIFS(Daily_Composite!$A$5:$A$369,"&gt;="&amp;E$3,Daily_Composite!$A$5:$A$369,"&lt;="&amp;E$2,Daily_Composite!$B$5:$B$369,1,Daily_Composite!$AG$5:$AG$369,"&gt;"&amp;Settings!$C$4)/COUNTIFS(Daily_Composite!$A$5:$A$369,"&gt;="&amp;E$3,Daily_Composite!$A$5:$A$369,"&lt;="&amp;E$2,Daily_Composite!$B$5:$B$369,1),"")</f>
        <v>0.0476190476190476</v>
      </c>
      <c r="G31" s="8" t="n">
        <f aca="false">IFERROR(COUNTIFS(Daily_Composite!$A$5:$A$369,"&gt;="&amp;E$3,Daily_Composite!$A$5:$A$369,"&lt;="&amp;E$2,Daily_Composite!$B$5:$B$369,1,Daily_Composite!$AG$5:$AG$369,"&lt;"&amp;-Settings!$C$4)/COUNTIFS(Daily_Composite!$A$5:$A$369,"&gt;="&amp;E$3,Daily_Composite!$A$5:$A$369,"&lt;="&amp;E$2,Daily_Composite!$B$5:$B$369,1),"")</f>
        <v>0.714285714285714</v>
      </c>
      <c r="H31" s="7" t="n">
        <f aca="false">IFERROR(AVERAGEIFS(Daily_Composite!$AG$5:$AG$369,Daily_Composite!$A$5:$A$369,"&gt;="&amp;H$3,Daily_Composite!$A$5:$A$369,"&lt;="&amp;H$2,Daily_Composite!$B$5:$B$369,1),"")</f>
        <v>-0.0219565217391304</v>
      </c>
      <c r="I31" s="8" t="n">
        <f aca="false">IFERROR(COUNTIFS(Daily_Composite!$A$5:$A$369,"&gt;="&amp;H$3,Daily_Composite!$A$5:$A$369,"&lt;="&amp;H$2,Daily_Composite!$B$5:$B$369,1,Daily_Composite!$AG$5:$AG$369,"&gt;"&amp;Settings!$C$4)/COUNTIFS(Daily_Composite!$A$5:$A$369,"&gt;="&amp;H$3,Daily_Composite!$A$5:$A$369,"&lt;="&amp;H$2,Daily_Composite!$B$5:$B$369,1),"")</f>
        <v>0.217391304347826</v>
      </c>
      <c r="J31" s="8" t="n">
        <f aca="false">IFERROR(COUNTIFS(Daily_Composite!$A$5:$A$369,"&gt;="&amp;H$3,Daily_Composite!$A$5:$A$369,"&lt;="&amp;H$2,Daily_Composite!$B$5:$B$369,1,Daily_Composite!$AG$5:$AG$369,"&lt;"&amp;-Settings!$C$4)/COUNTIFS(Daily_Composite!$A$5:$A$369,"&gt;="&amp;H$3,Daily_Composite!$A$5:$A$369,"&lt;="&amp;H$2,Daily_Composite!$B$5:$B$369,1),"")</f>
        <v>0.173913043478261</v>
      </c>
      <c r="K31" s="7" t="n">
        <f aca="false">IFERROR(AVERAGEIFS(Daily_Composite!$AG$5:$AG$369,Daily_Composite!$A$5:$A$369,"&gt;="&amp;K$3,Daily_Composite!$A$5:$A$369,"&lt;="&amp;K$2,Daily_Composite!$B$5:$B$369,1),"")</f>
        <v>-0.127761904761905</v>
      </c>
      <c r="L31" s="8" t="n">
        <f aca="false">IFERROR(COUNTIFS(Daily_Composite!$A$5:$A$369,"&gt;="&amp;K$3,Daily_Composite!$A$5:$A$369,"&lt;="&amp;K$2,Daily_Composite!$B$5:$B$369,1,Daily_Composite!$AG$5:$AG$369,"&gt;"&amp;Settings!$C$4)/COUNTIFS(Daily_Composite!$A$5:$A$369,"&gt;="&amp;K$3,Daily_Composite!$A$5:$A$369,"&lt;="&amp;K$2,Daily_Composite!$B$5:$B$369,1),"")</f>
        <v>0.0476190476190476</v>
      </c>
      <c r="M31" s="8" t="n">
        <f aca="false">IFERROR(COUNTIFS(Daily_Composite!$A$5:$A$369,"&gt;="&amp;K$3,Daily_Composite!$A$5:$A$369,"&lt;="&amp;K$2,Daily_Composite!$B$5:$B$369,1,Daily_Composite!$AG$5:$AG$369,"&lt;"&amp;-Settings!$C$4)/COUNTIFS(Daily_Composite!$A$5:$A$369,"&gt;="&amp;K$3,Daily_Composite!$A$5:$A$369,"&lt;="&amp;K$2,Daily_Composite!$B$5:$B$369,1),"")</f>
        <v>0.380952380952381</v>
      </c>
      <c r="N31" s="7" t="n">
        <f aca="false">IFERROR(AVERAGEIFS(Daily_Composite!$AG$5:$AG$369,Daily_Composite!$A$5:$A$369,"&gt;="&amp;N$3,Daily_Composite!$A$5:$A$369,"&lt;="&amp;N$2,Daily_Composite!$B$5:$B$369,1),"")</f>
        <v>-0.3312</v>
      </c>
      <c r="O31" s="8" t="n">
        <f aca="false">IFERROR(COUNTIFS(Daily_Composite!$A$5:$A$369,"&gt;="&amp;N$3,Daily_Composite!$A$5:$A$369,"&lt;="&amp;N$2,Daily_Composite!$B$5:$B$369,1,Daily_Composite!$AG$5:$AG$369,"&gt;"&amp;Settings!$C$4)/COUNTIFS(Daily_Composite!$A$5:$A$369,"&gt;="&amp;N$3,Daily_Composite!$A$5:$A$369,"&lt;="&amp;N$2,Daily_Composite!$B$5:$B$369,1),"")</f>
        <v>0</v>
      </c>
      <c r="P31" s="8" t="n">
        <f aca="false">IFERROR(COUNTIFS(Daily_Composite!$A$5:$A$369,"&gt;="&amp;N$3,Daily_Composite!$A$5:$A$369,"&lt;="&amp;N$2,Daily_Composite!$B$5:$B$369,1,Daily_Composite!$AG$5:$AG$369,"&lt;"&amp;-Settings!$C$4)/COUNTIFS(Daily_Composite!$A$5:$A$369,"&gt;="&amp;N$3,Daily_Composite!$A$5:$A$369,"&lt;="&amp;N$2,Daily_Composite!$B$5:$B$369,1),"")</f>
        <v>0.85</v>
      </c>
      <c r="Q31" s="7" t="n">
        <f aca="false">IFERROR(AVERAGEIFS(Daily_Composite!$AG$5:$AG$369,Daily_Composite!$A$5:$A$369,"&gt;="&amp;Q$3,Daily_Composite!$A$5:$A$369,"&lt;="&amp;Q$2,Daily_Composite!$B$5:$B$369,1),"")</f>
        <v>-0.256739130434783</v>
      </c>
      <c r="R31" s="8" t="n">
        <f aca="false">IFERROR(COUNTIFS(Daily_Composite!$A$5:$A$369,"&gt;="&amp;Q$3,Daily_Composite!$A$5:$A$369,"&lt;="&amp;Q$2,Daily_Composite!$B$5:$B$369,1,Daily_Composite!$AG$5:$AG$369,"&gt;"&amp;Settings!$C$4)/COUNTIFS(Daily_Composite!$A$5:$A$369,"&gt;="&amp;Q$3,Daily_Composite!$A$5:$A$369,"&lt;="&amp;Q$2,Daily_Composite!$B$5:$B$369,1),"")</f>
        <v>0.0434782608695652</v>
      </c>
      <c r="S31" s="8" t="n">
        <f aca="false">IFERROR(COUNTIFS(Daily_Composite!$A$5:$A$369,"&gt;="&amp;Q$3,Daily_Composite!$A$5:$A$369,"&lt;="&amp;Q$2,Daily_Composite!$B$5:$B$369,1,Daily_Composite!$AG$5:$AG$369,"&lt;"&amp;-Settings!$C$4)/COUNTIFS(Daily_Composite!$A$5:$A$369,"&gt;="&amp;Q$3,Daily_Composite!$A$5:$A$369,"&lt;="&amp;Q$2,Daily_Composite!$B$5:$B$369,1),"")</f>
        <v>0.695652173913044</v>
      </c>
      <c r="T31" s="7" t="n">
        <f aca="false">IFERROR(AVERAGEIFS(Daily_Composite!$AG$5:$AG$369,Daily_Composite!$A$5:$A$369,"&gt;="&amp;T$3,Daily_Composite!$A$5:$A$369,"&lt;="&amp;T$2,Daily_Composite!$B$5:$B$369,1),"")</f>
        <v>-0.0888181818181818</v>
      </c>
      <c r="U31" s="8" t="n">
        <f aca="false">IFERROR(COUNTIFS(Daily_Composite!$A$5:$A$369,"&gt;="&amp;T$3,Daily_Composite!$A$5:$A$369,"&lt;="&amp;T$2,Daily_Composite!$B$5:$B$369,1,Daily_Composite!$AG$5:$AG$369,"&gt;"&amp;Settings!$C$4)/COUNTIFS(Daily_Composite!$A$5:$A$369,"&gt;="&amp;T$3,Daily_Composite!$A$5:$A$369,"&lt;="&amp;T$2,Daily_Composite!$B$5:$B$369,1),"")</f>
        <v>0.181818181818182</v>
      </c>
      <c r="V31" s="8" t="n">
        <f aca="false">IFERROR(COUNTIFS(Daily_Composite!$A$5:$A$369,"&gt;="&amp;T$3,Daily_Composite!$A$5:$A$369,"&lt;="&amp;T$2,Daily_Composite!$B$5:$B$369,1,Daily_Composite!$AG$5:$AG$369,"&lt;"&amp;-Settings!$C$4)/COUNTIFS(Daily_Composite!$A$5:$A$369,"&gt;="&amp;T$3,Daily_Composite!$A$5:$A$369,"&lt;="&amp;T$2,Daily_Composite!$B$5:$B$369,1),"")</f>
        <v>0.409090909090909</v>
      </c>
      <c r="W31" s="7" t="n">
        <f aca="false">IFERROR(AVERAGEIFS(Daily_Composite!$AG$5:$AG$369,Daily_Composite!$A$5:$A$369,"&gt;="&amp;W$3,Daily_Composite!$A$5:$A$369,"&lt;="&amp;W$2,Daily_Composite!$B$5:$B$369,1),"")</f>
        <v>-0.246190476190476</v>
      </c>
      <c r="X31" s="8" t="n">
        <f aca="false">IFERROR(COUNTIFS(Daily_Composite!$A$5:$A$369,"&gt;="&amp;W$3,Daily_Composite!$A$5:$A$369,"&lt;="&amp;W$2,Daily_Composite!$B$5:$B$369,1,Daily_Composite!$AG$5:$AG$369,"&gt;"&amp;Settings!$C$4)/COUNTIFS(Daily_Composite!$A$5:$A$369,"&gt;="&amp;W$3,Daily_Composite!$A$5:$A$369,"&lt;="&amp;W$2,Daily_Composite!$B$5:$B$369,1),"")</f>
        <v>0</v>
      </c>
      <c r="Y31" s="8" t="n">
        <f aca="false">IFERROR(COUNTIFS(Daily_Composite!$A$5:$A$369,"&gt;="&amp;W$3,Daily_Composite!$A$5:$A$369,"&lt;="&amp;W$2,Daily_Composite!$B$5:$B$369,1,Daily_Composite!$AG$5:$AG$369,"&lt;"&amp;-Settings!$C$4)/COUNTIFS(Daily_Composite!$A$5:$A$369,"&gt;="&amp;W$3,Daily_Composite!$A$5:$A$369,"&lt;="&amp;W$2,Daily_Composite!$B$5:$B$369,1),"")</f>
        <v>0.619047619047619</v>
      </c>
      <c r="Z31" s="7" t="n">
        <f aca="false">IFERROR(AVERAGEIFS(Daily_Composite!$AG$5:$AG$369,Daily_Composite!$A$5:$A$369,"&gt;="&amp;Z$3,Daily_Composite!$A$5:$A$369,"&lt;="&amp;Z$2,Daily_Composite!$B$5:$B$369,1),"")</f>
        <v>-0.305272727272727</v>
      </c>
      <c r="AA31" s="8" t="n">
        <f aca="false">IFERROR(COUNTIFS(Daily_Composite!$A$5:$A$369,"&gt;="&amp;Z$3,Daily_Composite!$A$5:$A$369,"&lt;="&amp;Z$2,Daily_Composite!$B$5:$B$369,1,Daily_Composite!$AG$5:$AG$369,"&gt;"&amp;Settings!$C$4)/COUNTIFS(Daily_Composite!$A$5:$A$369,"&gt;="&amp;Z$3,Daily_Composite!$A$5:$A$369,"&lt;="&amp;Z$2,Daily_Composite!$B$5:$B$369,1),"")</f>
        <v>0.0454545454545455</v>
      </c>
      <c r="AB31" s="8" t="n">
        <f aca="false">IFERROR(COUNTIFS(Daily_Composite!$A$5:$A$369,"&gt;="&amp;Z$3,Daily_Composite!$A$5:$A$369,"&lt;="&amp;Z$2,Daily_Composite!$B$5:$B$369,1,Daily_Composite!$AG$5:$AG$369,"&lt;"&amp;-Settings!$C$4)/COUNTIFS(Daily_Composite!$A$5:$A$369,"&gt;="&amp;Z$3,Daily_Composite!$A$5:$A$369,"&lt;="&amp;Z$2,Daily_Composite!$B$5:$B$369,1),"")</f>
        <v>0.863636363636364</v>
      </c>
      <c r="AC31" s="7" t="n">
        <f aca="false">IFERROR(AVERAGEIFS(Daily_Composite!$AG$5:$AG$369,Daily_Composite!$A$5:$A$369,"&gt;="&amp;AC$3,Daily_Composite!$A$5:$A$369,"&lt;="&amp;AC$2,Daily_Composite!$B$5:$B$369,1),"")</f>
        <v>-0.354409090909091</v>
      </c>
      <c r="AD31" s="8" t="n">
        <f aca="false">IFERROR(COUNTIFS(Daily_Composite!$A$5:$A$369,"&gt;="&amp;AC$3,Daily_Composite!$A$5:$A$369,"&lt;="&amp;AC$2,Daily_Composite!$B$5:$B$369,1,Daily_Composite!$AG$5:$AG$369,"&gt;"&amp;Settings!$C$4)/COUNTIFS(Daily_Composite!$A$5:$A$369,"&gt;="&amp;AC$3,Daily_Composite!$A$5:$A$369,"&lt;="&amp;AC$2,Daily_Composite!$B$5:$B$369,1),"")</f>
        <v>0</v>
      </c>
      <c r="AE31" s="8" t="n">
        <f aca="false">IFERROR(COUNTIFS(Daily_Composite!$A$5:$A$369,"&gt;="&amp;AC$3,Daily_Composite!$A$5:$A$369,"&lt;="&amp;AC$2,Daily_Composite!$B$5:$B$369,1,Daily_Composite!$AG$5:$AG$369,"&lt;"&amp;-Settings!$C$4)/COUNTIFS(Daily_Composite!$A$5:$A$369,"&gt;="&amp;AC$3,Daily_Composite!$A$5:$A$369,"&lt;="&amp;AC$2,Daily_Composite!$B$5:$B$369,1),"")</f>
        <v>0.954545454545455</v>
      </c>
      <c r="AF31" s="7" t="n">
        <f aca="false">IFERROR(AVERAGEIFS(Daily_Composite!$AG$5:$AG$369,Daily_Composite!$A$5:$A$369,"&gt;="&amp;AF$3,Daily_Composite!$A$5:$A$369,"&lt;="&amp;AF$2,Daily_Composite!$B$5:$B$369,1),"")</f>
        <v>-0.295863636363636</v>
      </c>
      <c r="AG31" s="8" t="n">
        <f aca="false">IFERROR(COUNTIFS(Daily_Composite!$A$5:$A$369,"&gt;="&amp;AF$3,Daily_Composite!$A$5:$A$369,"&lt;="&amp;AF$2,Daily_Composite!$B$5:$B$369,1,Daily_Composite!$AG$5:$AG$369,"&gt;"&amp;Settings!$C$4)/COUNTIFS(Daily_Composite!$A$5:$A$369,"&gt;="&amp;AF$3,Daily_Composite!$A$5:$A$369,"&lt;="&amp;AF$2,Daily_Composite!$B$5:$B$369,1),"")</f>
        <v>0</v>
      </c>
      <c r="AH31" s="8" t="n">
        <f aca="false">IFERROR(COUNTIFS(Daily_Composite!$A$5:$A$369,"&gt;="&amp;AF$3,Daily_Composite!$A$5:$A$369,"&lt;="&amp;AF$2,Daily_Composite!$B$5:$B$369,1,Daily_Composite!$AG$5:$AG$369,"&lt;"&amp;-Settings!$C$4)/COUNTIFS(Daily_Composite!$A$5:$A$369,"&gt;="&amp;AF$3,Daily_Composite!$A$5:$A$369,"&lt;="&amp;AF$2,Daily_Composite!$B$5:$B$369,1),"")</f>
        <v>0.909090909090909</v>
      </c>
      <c r="AI31" s="7" t="n">
        <f aca="false">IFERROR(AVERAGEIFS(Daily_Composite!$AG$5:$AG$369,Daily_Composite!$A$5:$A$369,"&gt;="&amp;AI$3,Daily_Composite!$A$5:$A$369,"&lt;="&amp;AI$2,Daily_Composite!$B$5:$B$369,1),"")</f>
        <v>-0.0677272727272727</v>
      </c>
      <c r="AJ31" s="8" t="n">
        <f aca="false">IFERROR(COUNTIFS(Daily_Composite!$A$5:$A$369,"&gt;="&amp;AI$3,Daily_Composite!$A$5:$A$369,"&lt;="&amp;AI$2,Daily_Composite!$B$5:$B$369,1,Daily_Composite!$AG$5:$AG$369,"&gt;"&amp;Settings!$C$4)/COUNTIFS(Daily_Composite!$A$5:$A$369,"&gt;="&amp;AI$3,Daily_Composite!$A$5:$A$369,"&lt;="&amp;AI$2,Daily_Composite!$B$5:$B$369,1),"")</f>
        <v>0.136363636363636</v>
      </c>
      <c r="AK31" s="8" t="n">
        <f aca="false">IFERROR(COUNTIFS(Daily_Composite!$A$5:$A$369,"&gt;="&amp;AI$3,Daily_Composite!$A$5:$A$369,"&lt;="&amp;AI$2,Daily_Composite!$B$5:$B$369,1,Daily_Composite!$AG$5:$AG$369,"&lt;"&amp;-Settings!$C$4)/COUNTIFS(Daily_Composite!$A$5:$A$369,"&gt;="&amp;AI$3,Daily_Composite!$A$5:$A$369,"&lt;="&amp;AI$2,Daily_Composite!$B$5:$B$369,1),"")</f>
        <v>0.409090909090909</v>
      </c>
      <c r="AL31" s="7" t="n">
        <f aca="false">IFERROR(AVERAGEIFS(Daily_Composite!$AG$5:$AG$369,Daily_Composite!$A$5:$A$369,"&gt;="&amp;AL$3,Daily_Composite!$A$5:$A$369,"&lt;="&amp;AL$2,Daily_Composite!$B$5:$B$369,1),"")</f>
        <v>0.1045</v>
      </c>
      <c r="AM31" s="8" t="n">
        <f aca="false">IFERROR(COUNTIFS(Daily_Composite!$A$5:$A$369,"&gt;="&amp;AL$3,Daily_Composite!$A$5:$A$369,"&lt;="&amp;AL$2,Daily_Composite!$B$5:$B$369,1,Daily_Composite!$AG$5:$AG$369,"&gt;"&amp;Settings!$C$4)/COUNTIFS(Daily_Composite!$A$5:$A$369,"&gt;="&amp;AL$3,Daily_Composite!$A$5:$A$369,"&lt;="&amp;AL$2,Daily_Composite!$B$5:$B$369,1),"")</f>
        <v>0.277777777777778</v>
      </c>
      <c r="AN31" s="8" t="n">
        <f aca="false">IFERROR(COUNTIFS(Daily_Composite!$A$5:$A$369,"&gt;="&amp;AL$3,Daily_Composite!$A$5:$A$369,"&lt;="&amp;AL$2,Daily_Composite!$B$5:$B$369,1,Daily_Composite!$AG$5:$AG$369,"&lt;"&amp;-Settings!$C$4)/COUNTIFS(Daily_Composite!$A$5:$A$369,"&gt;="&amp;AL$3,Daily_Composite!$A$5:$A$369,"&lt;="&amp;AL$2,Daily_Composite!$B$5:$B$369,1),"")</f>
        <v>0</v>
      </c>
    </row>
    <row r="32" customFormat="false" ht="15" hidden="false" customHeight="false" outlineLevel="0" collapsed="false">
      <c r="A32" s="6" t="s">
        <v>45</v>
      </c>
      <c r="B32" s="7" t="n">
        <f aca="false">IFERROR(AVERAGEIFS(Daily_Composite!$AH$5:$AH$369,Daily_Composite!$A$5:$A$369,"&gt;="&amp;B$3,Daily_Composite!$A$5:$A$369,"&lt;="&amp;B$2,Daily_Composite!$B$5:$B$369,1),"")</f>
        <v>-0.181</v>
      </c>
      <c r="C32" s="8" t="n">
        <f aca="false">IFERROR(COUNTIFS(Daily_Composite!$A$5:$A$369,"&gt;="&amp;B$3,Daily_Composite!$A$5:$A$369,"&lt;="&amp;B$2,Daily_Composite!$B$5:$B$369,1,Daily_Composite!$AH$5:$AH$369,"&gt;"&amp;Settings!$C$4)/COUNTIFS(Daily_Composite!$A$5:$A$369,"&gt;="&amp;B$3,Daily_Composite!$A$5:$A$369,"&lt;="&amp;B$2,Daily_Composite!$B$5:$B$369,1),"")</f>
        <v>0</v>
      </c>
      <c r="D32" s="8" t="n">
        <f aca="false">IFERROR(COUNTIFS(Daily_Composite!$A$5:$A$369,"&gt;="&amp;B$3,Daily_Composite!$A$5:$A$369,"&lt;="&amp;B$2,Daily_Composite!$B$5:$B$369,1,Daily_Composite!$AH$5:$AH$369,"&lt;"&amp;-Settings!$C$4)/COUNTIFS(Daily_Composite!$A$5:$A$369,"&gt;="&amp;B$3,Daily_Composite!$A$5:$A$369,"&lt;="&amp;B$2,Daily_Composite!$B$5:$B$369,1),"")</f>
        <v>0.5</v>
      </c>
      <c r="E32" s="7" t="n">
        <f aca="false">IFERROR(AVERAGEIFS(Daily_Composite!$AH$5:$AH$369,Daily_Composite!$A$5:$A$369,"&gt;="&amp;E$3,Daily_Composite!$A$5:$A$369,"&lt;="&amp;E$2,Daily_Composite!$B$5:$B$369,1),"")</f>
        <v>0.199047619047619</v>
      </c>
      <c r="F32" s="8" t="n">
        <f aca="false">IFERROR(COUNTIFS(Daily_Composite!$A$5:$A$369,"&gt;="&amp;E$3,Daily_Composite!$A$5:$A$369,"&lt;="&amp;E$2,Daily_Composite!$B$5:$B$369,1,Daily_Composite!$AH$5:$AH$369,"&gt;"&amp;Settings!$C$4)/COUNTIFS(Daily_Composite!$A$5:$A$369,"&gt;="&amp;E$3,Daily_Composite!$A$5:$A$369,"&lt;="&amp;E$2,Daily_Composite!$B$5:$B$369,1),"")</f>
        <v>0.619047619047619</v>
      </c>
      <c r="G32" s="8" t="n">
        <f aca="false">IFERROR(COUNTIFS(Daily_Composite!$A$5:$A$369,"&gt;="&amp;E$3,Daily_Composite!$A$5:$A$369,"&lt;="&amp;E$2,Daily_Composite!$B$5:$B$369,1,Daily_Composite!$AH$5:$AH$369,"&lt;"&amp;-Settings!$C$4)/COUNTIFS(Daily_Composite!$A$5:$A$369,"&gt;="&amp;E$3,Daily_Composite!$A$5:$A$369,"&lt;="&amp;E$2,Daily_Composite!$B$5:$B$369,1),"")</f>
        <v>0</v>
      </c>
      <c r="H32" s="7" t="n">
        <f aca="false">IFERROR(AVERAGEIFS(Daily_Composite!$AH$5:$AH$369,Daily_Composite!$A$5:$A$369,"&gt;="&amp;H$3,Daily_Composite!$A$5:$A$369,"&lt;="&amp;H$2,Daily_Composite!$B$5:$B$369,1),"")</f>
        <v>0.057</v>
      </c>
      <c r="I32" s="8" t="n">
        <f aca="false">IFERROR(COUNTIFS(Daily_Composite!$A$5:$A$369,"&gt;="&amp;H$3,Daily_Composite!$A$5:$A$369,"&lt;="&amp;H$2,Daily_Composite!$B$5:$B$369,1,Daily_Composite!$AH$5:$AH$369,"&gt;"&amp;Settings!$C$4)/COUNTIFS(Daily_Composite!$A$5:$A$369,"&gt;="&amp;H$3,Daily_Composite!$A$5:$A$369,"&lt;="&amp;H$2,Daily_Composite!$B$5:$B$369,1),"")</f>
        <v>0.0434782608695652</v>
      </c>
      <c r="J32" s="8" t="n">
        <f aca="false">IFERROR(COUNTIFS(Daily_Composite!$A$5:$A$369,"&gt;="&amp;H$3,Daily_Composite!$A$5:$A$369,"&lt;="&amp;H$2,Daily_Composite!$B$5:$B$369,1,Daily_Composite!$AH$5:$AH$369,"&lt;"&amp;-Settings!$C$4)/COUNTIFS(Daily_Composite!$A$5:$A$369,"&gt;="&amp;H$3,Daily_Composite!$A$5:$A$369,"&lt;="&amp;H$2,Daily_Composite!$B$5:$B$369,1),"")</f>
        <v>0.0434782608695652</v>
      </c>
      <c r="K32" s="7" t="n">
        <f aca="false">IFERROR(AVERAGEIFS(Daily_Composite!$AH$5:$AH$369,Daily_Composite!$A$5:$A$369,"&gt;="&amp;K$3,Daily_Composite!$A$5:$A$369,"&lt;="&amp;K$2,Daily_Composite!$B$5:$B$369,1),"")</f>
        <v>-0.0639047619047619</v>
      </c>
      <c r="L32" s="8" t="n">
        <f aca="false">IFERROR(COUNTIFS(Daily_Composite!$A$5:$A$369,"&gt;="&amp;K$3,Daily_Composite!$A$5:$A$369,"&lt;="&amp;K$2,Daily_Composite!$B$5:$B$369,1,Daily_Composite!$AH$5:$AH$369,"&gt;"&amp;Settings!$C$4)/COUNTIFS(Daily_Composite!$A$5:$A$369,"&gt;="&amp;K$3,Daily_Composite!$A$5:$A$369,"&lt;="&amp;K$2,Daily_Composite!$B$5:$B$369,1),"")</f>
        <v>0</v>
      </c>
      <c r="M32" s="8" t="n">
        <f aca="false">IFERROR(COUNTIFS(Daily_Composite!$A$5:$A$369,"&gt;="&amp;K$3,Daily_Composite!$A$5:$A$369,"&lt;="&amp;K$2,Daily_Composite!$B$5:$B$369,1,Daily_Composite!$AH$5:$AH$369,"&lt;"&amp;-Settings!$C$4)/COUNTIFS(Daily_Composite!$A$5:$A$369,"&gt;="&amp;K$3,Daily_Composite!$A$5:$A$369,"&lt;="&amp;K$2,Daily_Composite!$B$5:$B$369,1),"")</f>
        <v>0.285714285714286</v>
      </c>
      <c r="N32" s="7" t="n">
        <f aca="false">IFERROR(AVERAGEIFS(Daily_Composite!$AH$5:$AH$369,Daily_Composite!$A$5:$A$369,"&gt;="&amp;N$3,Daily_Composite!$A$5:$A$369,"&lt;="&amp;N$2,Daily_Composite!$B$5:$B$369,1),"")</f>
        <v>-0.0082</v>
      </c>
      <c r="O32" s="8" t="n">
        <f aca="false">IFERROR(COUNTIFS(Daily_Composite!$A$5:$A$369,"&gt;="&amp;N$3,Daily_Composite!$A$5:$A$369,"&lt;="&amp;N$2,Daily_Composite!$B$5:$B$369,1,Daily_Composite!$AH$5:$AH$369,"&gt;"&amp;Settings!$C$4)/COUNTIFS(Daily_Composite!$A$5:$A$369,"&gt;="&amp;N$3,Daily_Composite!$A$5:$A$369,"&lt;="&amp;N$2,Daily_Composite!$B$5:$B$369,1),"")</f>
        <v>0.1</v>
      </c>
      <c r="P32" s="8" t="n">
        <f aca="false">IFERROR(COUNTIFS(Daily_Composite!$A$5:$A$369,"&gt;="&amp;N$3,Daily_Composite!$A$5:$A$369,"&lt;="&amp;N$2,Daily_Composite!$B$5:$B$369,1,Daily_Composite!$AH$5:$AH$369,"&lt;"&amp;-Settings!$C$4)/COUNTIFS(Daily_Composite!$A$5:$A$369,"&gt;="&amp;N$3,Daily_Composite!$A$5:$A$369,"&lt;="&amp;N$2,Daily_Composite!$B$5:$B$369,1),"")</f>
        <v>0</v>
      </c>
      <c r="Q32" s="7" t="n">
        <f aca="false">IFERROR(AVERAGEIFS(Daily_Composite!$AH$5:$AH$369,Daily_Composite!$A$5:$A$369,"&gt;="&amp;Q$3,Daily_Composite!$A$5:$A$369,"&lt;="&amp;Q$2,Daily_Composite!$B$5:$B$369,1),"")</f>
        <v>0.0179130434782609</v>
      </c>
      <c r="R32" s="8" t="n">
        <f aca="false">IFERROR(COUNTIFS(Daily_Composite!$A$5:$A$369,"&gt;="&amp;Q$3,Daily_Composite!$A$5:$A$369,"&lt;="&amp;Q$2,Daily_Composite!$B$5:$B$369,1,Daily_Composite!$AH$5:$AH$369,"&gt;"&amp;Settings!$C$4)/COUNTIFS(Daily_Composite!$A$5:$A$369,"&gt;="&amp;Q$3,Daily_Composite!$A$5:$A$369,"&lt;="&amp;Q$2,Daily_Composite!$B$5:$B$369,1),"")</f>
        <v>0.130434782608696</v>
      </c>
      <c r="S32" s="8" t="n">
        <f aca="false">IFERROR(COUNTIFS(Daily_Composite!$A$5:$A$369,"&gt;="&amp;Q$3,Daily_Composite!$A$5:$A$369,"&lt;="&amp;Q$2,Daily_Composite!$B$5:$B$369,1,Daily_Composite!$AH$5:$AH$369,"&lt;"&amp;-Settings!$C$4)/COUNTIFS(Daily_Composite!$A$5:$A$369,"&gt;="&amp;Q$3,Daily_Composite!$A$5:$A$369,"&lt;="&amp;Q$2,Daily_Composite!$B$5:$B$369,1),"")</f>
        <v>0.0869565217391304</v>
      </c>
      <c r="T32" s="7" t="n">
        <f aca="false">IFERROR(AVERAGEIFS(Daily_Composite!$AH$5:$AH$369,Daily_Composite!$A$5:$A$369,"&gt;="&amp;T$3,Daily_Composite!$A$5:$A$369,"&lt;="&amp;T$2,Daily_Composite!$B$5:$B$369,1),"")</f>
        <v>-0.118409090909091</v>
      </c>
      <c r="U32" s="8" t="n">
        <f aca="false">IFERROR(COUNTIFS(Daily_Composite!$A$5:$A$369,"&gt;="&amp;T$3,Daily_Composite!$A$5:$A$369,"&lt;="&amp;T$2,Daily_Composite!$B$5:$B$369,1,Daily_Composite!$AH$5:$AH$369,"&gt;"&amp;Settings!$C$4)/COUNTIFS(Daily_Composite!$A$5:$A$369,"&gt;="&amp;T$3,Daily_Composite!$A$5:$A$369,"&lt;="&amp;T$2,Daily_Composite!$B$5:$B$369,1),"")</f>
        <v>0.0909090909090909</v>
      </c>
      <c r="V32" s="8" t="n">
        <f aca="false">IFERROR(COUNTIFS(Daily_Composite!$A$5:$A$369,"&gt;="&amp;T$3,Daily_Composite!$A$5:$A$369,"&lt;="&amp;T$2,Daily_Composite!$B$5:$B$369,1,Daily_Composite!$AH$5:$AH$369,"&lt;"&amp;-Settings!$C$4)/COUNTIFS(Daily_Composite!$A$5:$A$369,"&gt;="&amp;T$3,Daily_Composite!$A$5:$A$369,"&lt;="&amp;T$2,Daily_Composite!$B$5:$B$369,1),"")</f>
        <v>0.545454545454545</v>
      </c>
      <c r="W32" s="7" t="n">
        <f aca="false">IFERROR(AVERAGEIFS(Daily_Composite!$AH$5:$AH$369,Daily_Composite!$A$5:$A$369,"&gt;="&amp;W$3,Daily_Composite!$A$5:$A$369,"&lt;="&amp;W$2,Daily_Composite!$B$5:$B$369,1),"")</f>
        <v>-0.106714285714286</v>
      </c>
      <c r="X32" s="8" t="n">
        <f aca="false">IFERROR(COUNTIFS(Daily_Composite!$A$5:$A$369,"&gt;="&amp;W$3,Daily_Composite!$A$5:$A$369,"&lt;="&amp;W$2,Daily_Composite!$B$5:$B$369,1,Daily_Composite!$AH$5:$AH$369,"&gt;"&amp;Settings!$C$4)/COUNTIFS(Daily_Composite!$A$5:$A$369,"&gt;="&amp;W$3,Daily_Composite!$A$5:$A$369,"&lt;="&amp;W$2,Daily_Composite!$B$5:$B$369,1),"")</f>
        <v>0.0476190476190476</v>
      </c>
      <c r="Y32" s="8" t="n">
        <f aca="false">IFERROR(COUNTIFS(Daily_Composite!$A$5:$A$369,"&gt;="&amp;W$3,Daily_Composite!$A$5:$A$369,"&lt;="&amp;W$2,Daily_Composite!$B$5:$B$369,1,Daily_Composite!$AH$5:$AH$369,"&lt;"&amp;-Settings!$C$4)/COUNTIFS(Daily_Composite!$A$5:$A$369,"&gt;="&amp;W$3,Daily_Composite!$A$5:$A$369,"&lt;="&amp;W$2,Daily_Composite!$B$5:$B$369,1),"")</f>
        <v>0.19047619047619</v>
      </c>
      <c r="Z32" s="7" t="n">
        <f aca="false">IFERROR(AVERAGEIFS(Daily_Composite!$AH$5:$AH$369,Daily_Composite!$A$5:$A$369,"&gt;="&amp;Z$3,Daily_Composite!$A$5:$A$369,"&lt;="&amp;Z$2,Daily_Composite!$B$5:$B$369,1),"")</f>
        <v>-0.188818181818182</v>
      </c>
      <c r="AA32" s="8" t="n">
        <f aca="false">IFERROR(COUNTIFS(Daily_Composite!$A$5:$A$369,"&gt;="&amp;Z$3,Daily_Composite!$A$5:$A$369,"&lt;="&amp;Z$2,Daily_Composite!$B$5:$B$369,1,Daily_Composite!$AH$5:$AH$369,"&gt;"&amp;Settings!$C$4)/COUNTIFS(Daily_Composite!$A$5:$A$369,"&gt;="&amp;Z$3,Daily_Composite!$A$5:$A$369,"&lt;="&amp;Z$2,Daily_Composite!$B$5:$B$369,1),"")</f>
        <v>0.0454545454545455</v>
      </c>
      <c r="AB32" s="8" t="n">
        <f aca="false">IFERROR(COUNTIFS(Daily_Composite!$A$5:$A$369,"&gt;="&amp;Z$3,Daily_Composite!$A$5:$A$369,"&lt;="&amp;Z$2,Daily_Composite!$B$5:$B$369,1,Daily_Composite!$AH$5:$AH$369,"&lt;"&amp;-Settings!$C$4)/COUNTIFS(Daily_Composite!$A$5:$A$369,"&gt;="&amp;Z$3,Daily_Composite!$A$5:$A$369,"&lt;="&amp;Z$2,Daily_Composite!$B$5:$B$369,1),"")</f>
        <v>0.545454545454545</v>
      </c>
      <c r="AC32" s="7" t="n">
        <f aca="false">IFERROR(AVERAGEIFS(Daily_Composite!$AH$5:$AH$369,Daily_Composite!$A$5:$A$369,"&gt;="&amp;AC$3,Daily_Composite!$A$5:$A$369,"&lt;="&amp;AC$2,Daily_Composite!$B$5:$B$369,1),"")</f>
        <v>-0.126590909090909</v>
      </c>
      <c r="AD32" s="8" t="n">
        <f aca="false">IFERROR(COUNTIFS(Daily_Composite!$A$5:$A$369,"&gt;="&amp;AC$3,Daily_Composite!$A$5:$A$369,"&lt;="&amp;AC$2,Daily_Composite!$B$5:$B$369,1,Daily_Composite!$AH$5:$AH$369,"&gt;"&amp;Settings!$C$4)/COUNTIFS(Daily_Composite!$A$5:$A$369,"&gt;="&amp;AC$3,Daily_Composite!$A$5:$A$369,"&lt;="&amp;AC$2,Daily_Composite!$B$5:$B$369,1),"")</f>
        <v>0.0454545454545455</v>
      </c>
      <c r="AE32" s="8" t="n">
        <f aca="false">IFERROR(COUNTIFS(Daily_Composite!$A$5:$A$369,"&gt;="&amp;AC$3,Daily_Composite!$A$5:$A$369,"&lt;="&amp;AC$2,Daily_Composite!$B$5:$B$369,1,Daily_Composite!$AH$5:$AH$369,"&lt;"&amp;-Settings!$C$4)/COUNTIFS(Daily_Composite!$A$5:$A$369,"&gt;="&amp;AC$3,Daily_Composite!$A$5:$A$369,"&lt;="&amp;AC$2,Daily_Composite!$B$5:$B$369,1),"")</f>
        <v>0.363636363636364</v>
      </c>
      <c r="AF32" s="7" t="n">
        <f aca="false">IFERROR(AVERAGEIFS(Daily_Composite!$AH$5:$AH$369,Daily_Composite!$A$5:$A$369,"&gt;="&amp;AF$3,Daily_Composite!$A$5:$A$369,"&lt;="&amp;AF$2,Daily_Composite!$B$5:$B$369,1),"")</f>
        <v>-0.0783636363636364</v>
      </c>
      <c r="AG32" s="8" t="n">
        <f aca="false">IFERROR(COUNTIFS(Daily_Composite!$A$5:$A$369,"&gt;="&amp;AF$3,Daily_Composite!$A$5:$A$369,"&lt;="&amp;AF$2,Daily_Composite!$B$5:$B$369,1,Daily_Composite!$AH$5:$AH$369,"&gt;"&amp;Settings!$C$4)/COUNTIFS(Daily_Composite!$A$5:$A$369,"&gt;="&amp;AF$3,Daily_Composite!$A$5:$A$369,"&lt;="&amp;AF$2,Daily_Composite!$B$5:$B$369,1),"")</f>
        <v>0.136363636363636</v>
      </c>
      <c r="AH32" s="8" t="n">
        <f aca="false">IFERROR(COUNTIFS(Daily_Composite!$A$5:$A$369,"&gt;="&amp;AF$3,Daily_Composite!$A$5:$A$369,"&lt;="&amp;AF$2,Daily_Composite!$B$5:$B$369,1,Daily_Composite!$AH$5:$AH$369,"&lt;"&amp;-Settings!$C$4)/COUNTIFS(Daily_Composite!$A$5:$A$369,"&gt;="&amp;AF$3,Daily_Composite!$A$5:$A$369,"&lt;="&amp;AF$2,Daily_Composite!$B$5:$B$369,1),"")</f>
        <v>0.227272727272727</v>
      </c>
      <c r="AI32" s="7" t="n">
        <f aca="false">IFERROR(AVERAGEIFS(Daily_Composite!$AH$5:$AH$369,Daily_Composite!$A$5:$A$369,"&gt;="&amp;AI$3,Daily_Composite!$A$5:$A$369,"&lt;="&amp;AI$2,Daily_Composite!$B$5:$B$369,1),"")</f>
        <v>-0.251909090909091</v>
      </c>
      <c r="AJ32" s="8" t="n">
        <f aca="false">IFERROR(COUNTIFS(Daily_Composite!$A$5:$A$369,"&gt;="&amp;AI$3,Daily_Composite!$A$5:$A$369,"&lt;="&amp;AI$2,Daily_Composite!$B$5:$B$369,1,Daily_Composite!$AH$5:$AH$369,"&gt;"&amp;Settings!$C$4)/COUNTIFS(Daily_Composite!$A$5:$A$369,"&gt;="&amp;AI$3,Daily_Composite!$A$5:$A$369,"&lt;="&amp;AI$2,Daily_Composite!$B$5:$B$369,1),"")</f>
        <v>0.0454545454545455</v>
      </c>
      <c r="AK32" s="8" t="n">
        <f aca="false">IFERROR(COUNTIFS(Daily_Composite!$A$5:$A$369,"&gt;="&amp;AI$3,Daily_Composite!$A$5:$A$369,"&lt;="&amp;AI$2,Daily_Composite!$B$5:$B$369,1,Daily_Composite!$AH$5:$AH$369,"&lt;"&amp;-Settings!$C$4)/COUNTIFS(Daily_Composite!$A$5:$A$369,"&gt;="&amp;AI$3,Daily_Composite!$A$5:$A$369,"&lt;="&amp;AI$2,Daily_Composite!$B$5:$B$369,1),"")</f>
        <v>0.818181818181818</v>
      </c>
      <c r="AL32" s="7" t="n">
        <f aca="false">IFERROR(AVERAGEIFS(Daily_Composite!$AH$5:$AH$369,Daily_Composite!$A$5:$A$369,"&gt;="&amp;AL$3,Daily_Composite!$A$5:$A$369,"&lt;="&amp;AL$2,Daily_Composite!$B$5:$B$369,1),"")</f>
        <v>0.0445</v>
      </c>
      <c r="AM32" s="8" t="n">
        <f aca="false">IFERROR(COUNTIFS(Daily_Composite!$A$5:$A$369,"&gt;="&amp;AL$3,Daily_Composite!$A$5:$A$369,"&lt;="&amp;AL$2,Daily_Composite!$B$5:$B$369,1,Daily_Composite!$AH$5:$AH$369,"&gt;"&amp;Settings!$C$4)/COUNTIFS(Daily_Composite!$A$5:$A$369,"&gt;="&amp;AL$3,Daily_Composite!$A$5:$A$369,"&lt;="&amp;AL$2,Daily_Composite!$B$5:$B$369,1),"")</f>
        <v>0.444444444444444</v>
      </c>
      <c r="AN32" s="8" t="n">
        <f aca="false">IFERROR(COUNTIFS(Daily_Composite!$A$5:$A$369,"&gt;="&amp;AL$3,Daily_Composite!$A$5:$A$369,"&lt;="&amp;AL$2,Daily_Composite!$B$5:$B$369,1,Daily_Composite!$AH$5:$AH$369,"&lt;"&amp;-Settings!$C$4)/COUNTIFS(Daily_Composite!$A$5:$A$369,"&gt;="&amp;AL$3,Daily_Composite!$A$5:$A$369,"&lt;="&amp;AL$2,Daily_Composite!$B$5:$B$369,1),"")</f>
        <v>0.333333333333333</v>
      </c>
    </row>
    <row r="33" customFormat="false" ht="15" hidden="false" customHeight="false" outlineLevel="0" collapsed="false">
      <c r="A33" s="6" t="s">
        <v>46</v>
      </c>
      <c r="B33" s="7" t="n">
        <f aca="false">IFERROR(AVERAGEIFS(Daily_Composite!$AI$5:$AI$369,Daily_Composite!$A$5:$A$369,"&gt;="&amp;B$3,Daily_Composite!$A$5:$A$369,"&lt;="&amp;B$2,Daily_Composite!$B$5:$B$369,1),"")</f>
        <v>0.1125</v>
      </c>
      <c r="C33" s="8" t="n">
        <f aca="false">IFERROR(COUNTIFS(Daily_Composite!$A$5:$A$369,"&gt;="&amp;B$3,Daily_Composite!$A$5:$A$369,"&lt;="&amp;B$2,Daily_Composite!$B$5:$B$369,1,Daily_Composite!$AI$5:$AI$369,"&gt;"&amp;Settings!$C$4)/COUNTIFS(Daily_Composite!$A$5:$A$369,"&gt;="&amp;B$3,Daily_Composite!$A$5:$A$369,"&lt;="&amp;B$2,Daily_Composite!$B$5:$B$369,1),"")</f>
        <v>0.5</v>
      </c>
      <c r="D33" s="8" t="n">
        <f aca="false">IFERROR(COUNTIFS(Daily_Composite!$A$5:$A$369,"&gt;="&amp;B$3,Daily_Composite!$A$5:$A$369,"&lt;="&amp;B$2,Daily_Composite!$B$5:$B$369,1,Daily_Composite!$AI$5:$AI$369,"&lt;"&amp;-Settings!$C$4)/COUNTIFS(Daily_Composite!$A$5:$A$369,"&gt;="&amp;B$3,Daily_Composite!$A$5:$A$369,"&lt;="&amp;B$2,Daily_Composite!$B$5:$B$369,1),"")</f>
        <v>0</v>
      </c>
      <c r="E33" s="7" t="n">
        <f aca="false">IFERROR(AVERAGEIFS(Daily_Composite!$AI$5:$AI$369,Daily_Composite!$A$5:$A$369,"&gt;="&amp;E$3,Daily_Composite!$A$5:$A$369,"&lt;="&amp;E$2,Daily_Composite!$B$5:$B$369,1),"")</f>
        <v>0.0612380952380952</v>
      </c>
      <c r="F33" s="8" t="n">
        <f aca="false">IFERROR(COUNTIFS(Daily_Composite!$A$5:$A$369,"&gt;="&amp;E$3,Daily_Composite!$A$5:$A$369,"&lt;="&amp;E$2,Daily_Composite!$B$5:$B$369,1,Daily_Composite!$AI$5:$AI$369,"&gt;"&amp;Settings!$C$4)/COUNTIFS(Daily_Composite!$A$5:$A$369,"&gt;="&amp;E$3,Daily_Composite!$A$5:$A$369,"&lt;="&amp;E$2,Daily_Composite!$B$5:$B$369,1),"")</f>
        <v>0.238095238095238</v>
      </c>
      <c r="G33" s="8" t="n">
        <f aca="false">IFERROR(COUNTIFS(Daily_Composite!$A$5:$A$369,"&gt;="&amp;E$3,Daily_Composite!$A$5:$A$369,"&lt;="&amp;E$2,Daily_Composite!$B$5:$B$369,1,Daily_Composite!$AI$5:$AI$369,"&lt;"&amp;-Settings!$C$4)/COUNTIFS(Daily_Composite!$A$5:$A$369,"&gt;="&amp;E$3,Daily_Composite!$A$5:$A$369,"&lt;="&amp;E$2,Daily_Composite!$B$5:$B$369,1),"")</f>
        <v>0.19047619047619</v>
      </c>
      <c r="H33" s="7" t="n">
        <f aca="false">IFERROR(AVERAGEIFS(Daily_Composite!$AI$5:$AI$369,Daily_Composite!$A$5:$A$369,"&gt;="&amp;H$3,Daily_Composite!$A$5:$A$369,"&lt;="&amp;H$2,Daily_Composite!$B$5:$B$369,1),"")</f>
        <v>0.0428695652173913</v>
      </c>
      <c r="I33" s="8" t="n">
        <f aca="false">IFERROR(COUNTIFS(Daily_Composite!$A$5:$A$369,"&gt;="&amp;H$3,Daily_Composite!$A$5:$A$369,"&lt;="&amp;H$2,Daily_Composite!$B$5:$B$369,1,Daily_Composite!$AI$5:$AI$369,"&gt;"&amp;Settings!$C$4)/COUNTIFS(Daily_Composite!$A$5:$A$369,"&gt;="&amp;H$3,Daily_Composite!$A$5:$A$369,"&lt;="&amp;H$2,Daily_Composite!$B$5:$B$369,1),"")</f>
        <v>0.217391304347826</v>
      </c>
      <c r="J33" s="8" t="n">
        <f aca="false">IFERROR(COUNTIFS(Daily_Composite!$A$5:$A$369,"&gt;="&amp;H$3,Daily_Composite!$A$5:$A$369,"&lt;="&amp;H$2,Daily_Composite!$B$5:$B$369,1,Daily_Composite!$AI$5:$AI$369,"&lt;"&amp;-Settings!$C$4)/COUNTIFS(Daily_Composite!$A$5:$A$369,"&gt;="&amp;H$3,Daily_Composite!$A$5:$A$369,"&lt;="&amp;H$2,Daily_Composite!$B$5:$B$369,1),"")</f>
        <v>0.0869565217391304</v>
      </c>
      <c r="K33" s="7" t="n">
        <f aca="false">IFERROR(AVERAGEIFS(Daily_Composite!$AI$5:$AI$369,Daily_Composite!$A$5:$A$369,"&gt;="&amp;K$3,Daily_Composite!$A$5:$A$369,"&lt;="&amp;K$2,Daily_Composite!$B$5:$B$369,1),"")</f>
        <v>0.0334285714285714</v>
      </c>
      <c r="L33" s="8" t="n">
        <f aca="false">IFERROR(COUNTIFS(Daily_Composite!$A$5:$A$369,"&gt;="&amp;K$3,Daily_Composite!$A$5:$A$369,"&lt;="&amp;K$2,Daily_Composite!$B$5:$B$369,1,Daily_Composite!$AI$5:$AI$369,"&gt;"&amp;Settings!$C$4)/COUNTIFS(Daily_Composite!$A$5:$A$369,"&gt;="&amp;K$3,Daily_Composite!$A$5:$A$369,"&lt;="&amp;K$2,Daily_Composite!$B$5:$B$369,1),"")</f>
        <v>0.285714285714286</v>
      </c>
      <c r="M33" s="8" t="n">
        <f aca="false">IFERROR(COUNTIFS(Daily_Composite!$A$5:$A$369,"&gt;="&amp;K$3,Daily_Composite!$A$5:$A$369,"&lt;="&amp;K$2,Daily_Composite!$B$5:$B$369,1,Daily_Composite!$AI$5:$AI$369,"&lt;"&amp;-Settings!$C$4)/COUNTIFS(Daily_Composite!$A$5:$A$369,"&gt;="&amp;K$3,Daily_Composite!$A$5:$A$369,"&lt;="&amp;K$2,Daily_Composite!$B$5:$B$369,1),"")</f>
        <v>0.142857142857143</v>
      </c>
      <c r="N33" s="7" t="n">
        <f aca="false">IFERROR(AVERAGEIFS(Daily_Composite!$AI$5:$AI$369,Daily_Composite!$A$5:$A$369,"&gt;="&amp;N$3,Daily_Composite!$A$5:$A$369,"&lt;="&amp;N$2,Daily_Composite!$B$5:$B$369,1),"")</f>
        <v>-0.26945</v>
      </c>
      <c r="O33" s="8" t="n">
        <f aca="false">IFERROR(COUNTIFS(Daily_Composite!$A$5:$A$369,"&gt;="&amp;N$3,Daily_Composite!$A$5:$A$369,"&lt;="&amp;N$2,Daily_Composite!$B$5:$B$369,1,Daily_Composite!$AI$5:$AI$369,"&gt;"&amp;Settings!$C$4)/COUNTIFS(Daily_Composite!$A$5:$A$369,"&gt;="&amp;N$3,Daily_Composite!$A$5:$A$369,"&lt;="&amp;N$2,Daily_Composite!$B$5:$B$369,1),"")</f>
        <v>0.15</v>
      </c>
      <c r="P33" s="8" t="n">
        <f aca="false">IFERROR(COUNTIFS(Daily_Composite!$A$5:$A$369,"&gt;="&amp;N$3,Daily_Composite!$A$5:$A$369,"&lt;="&amp;N$2,Daily_Composite!$B$5:$B$369,1,Daily_Composite!$AI$5:$AI$369,"&lt;"&amp;-Settings!$C$4)/COUNTIFS(Daily_Composite!$A$5:$A$369,"&gt;="&amp;N$3,Daily_Composite!$A$5:$A$369,"&lt;="&amp;N$2,Daily_Composite!$B$5:$B$369,1),"")</f>
        <v>0.75</v>
      </c>
      <c r="Q33" s="7" t="n">
        <f aca="false">IFERROR(AVERAGEIFS(Daily_Composite!$AI$5:$AI$369,Daily_Composite!$A$5:$A$369,"&gt;="&amp;Q$3,Daily_Composite!$A$5:$A$369,"&lt;="&amp;Q$2,Daily_Composite!$B$5:$B$369,1),"")</f>
        <v>-0.00317391304347826</v>
      </c>
      <c r="R33" s="8" t="n">
        <f aca="false">IFERROR(COUNTIFS(Daily_Composite!$A$5:$A$369,"&gt;="&amp;Q$3,Daily_Composite!$A$5:$A$369,"&lt;="&amp;Q$2,Daily_Composite!$B$5:$B$369,1,Daily_Composite!$AI$5:$AI$369,"&gt;"&amp;Settings!$C$4)/COUNTIFS(Daily_Composite!$A$5:$A$369,"&gt;="&amp;Q$3,Daily_Composite!$A$5:$A$369,"&lt;="&amp;Q$2,Daily_Composite!$B$5:$B$369,1),"")</f>
        <v>0.173913043478261</v>
      </c>
      <c r="S33" s="8" t="n">
        <f aca="false">IFERROR(COUNTIFS(Daily_Composite!$A$5:$A$369,"&gt;="&amp;Q$3,Daily_Composite!$A$5:$A$369,"&lt;="&amp;Q$2,Daily_Composite!$B$5:$B$369,1,Daily_Composite!$AI$5:$AI$369,"&lt;"&amp;-Settings!$C$4)/COUNTIFS(Daily_Composite!$A$5:$A$369,"&gt;="&amp;Q$3,Daily_Composite!$A$5:$A$369,"&lt;="&amp;Q$2,Daily_Composite!$B$5:$B$369,1),"")</f>
        <v>0.304347826086957</v>
      </c>
      <c r="T33" s="7" t="n">
        <f aca="false">IFERROR(AVERAGEIFS(Daily_Composite!$AI$5:$AI$369,Daily_Composite!$A$5:$A$369,"&gt;="&amp;T$3,Daily_Composite!$A$5:$A$369,"&lt;="&amp;T$2,Daily_Composite!$B$5:$B$369,1),"")</f>
        <v>-0.101045454545455</v>
      </c>
      <c r="U33" s="8" t="n">
        <f aca="false">IFERROR(COUNTIFS(Daily_Composite!$A$5:$A$369,"&gt;="&amp;T$3,Daily_Composite!$A$5:$A$369,"&lt;="&amp;T$2,Daily_Composite!$B$5:$B$369,1,Daily_Composite!$AI$5:$AI$369,"&gt;"&amp;Settings!$C$4)/COUNTIFS(Daily_Composite!$A$5:$A$369,"&gt;="&amp;T$3,Daily_Composite!$A$5:$A$369,"&lt;="&amp;T$2,Daily_Composite!$B$5:$B$369,1),"")</f>
        <v>0.0909090909090909</v>
      </c>
      <c r="V33" s="8" t="n">
        <f aca="false">IFERROR(COUNTIFS(Daily_Composite!$A$5:$A$369,"&gt;="&amp;T$3,Daily_Composite!$A$5:$A$369,"&lt;="&amp;T$2,Daily_Composite!$B$5:$B$369,1,Daily_Composite!$AI$5:$AI$369,"&lt;"&amp;-Settings!$C$4)/COUNTIFS(Daily_Composite!$A$5:$A$369,"&gt;="&amp;T$3,Daily_Composite!$A$5:$A$369,"&lt;="&amp;T$2,Daily_Composite!$B$5:$B$369,1),"")</f>
        <v>0.409090909090909</v>
      </c>
      <c r="W33" s="7" t="n">
        <f aca="false">IFERROR(AVERAGEIFS(Daily_Composite!$AI$5:$AI$369,Daily_Composite!$A$5:$A$369,"&gt;="&amp;W$3,Daily_Composite!$A$5:$A$369,"&lt;="&amp;W$2,Daily_Composite!$B$5:$B$369,1),"")</f>
        <v>-0.065952380952381</v>
      </c>
      <c r="X33" s="8" t="n">
        <f aca="false">IFERROR(COUNTIFS(Daily_Composite!$A$5:$A$369,"&gt;="&amp;W$3,Daily_Composite!$A$5:$A$369,"&lt;="&amp;W$2,Daily_Composite!$B$5:$B$369,1,Daily_Composite!$AI$5:$AI$369,"&gt;"&amp;Settings!$C$4)/COUNTIFS(Daily_Composite!$A$5:$A$369,"&gt;="&amp;W$3,Daily_Composite!$A$5:$A$369,"&lt;="&amp;W$2,Daily_Composite!$B$5:$B$369,1),"")</f>
        <v>0.0952380952380952</v>
      </c>
      <c r="Y33" s="8" t="n">
        <f aca="false">IFERROR(COUNTIFS(Daily_Composite!$A$5:$A$369,"&gt;="&amp;W$3,Daily_Composite!$A$5:$A$369,"&lt;="&amp;W$2,Daily_Composite!$B$5:$B$369,1,Daily_Composite!$AI$5:$AI$369,"&lt;"&amp;-Settings!$C$4)/COUNTIFS(Daily_Composite!$A$5:$A$369,"&gt;="&amp;W$3,Daily_Composite!$A$5:$A$369,"&lt;="&amp;W$2,Daily_Composite!$B$5:$B$369,1),"")</f>
        <v>0.285714285714286</v>
      </c>
      <c r="Z33" s="7" t="n">
        <f aca="false">IFERROR(AVERAGEIFS(Daily_Composite!$AI$5:$AI$369,Daily_Composite!$A$5:$A$369,"&gt;="&amp;Z$3,Daily_Composite!$A$5:$A$369,"&lt;="&amp;Z$2,Daily_Composite!$B$5:$B$369,1),"")</f>
        <v>0.0328636363636364</v>
      </c>
      <c r="AA33" s="8" t="n">
        <f aca="false">IFERROR(COUNTIFS(Daily_Composite!$A$5:$A$369,"&gt;="&amp;Z$3,Daily_Composite!$A$5:$A$369,"&lt;="&amp;Z$2,Daily_Composite!$B$5:$B$369,1,Daily_Composite!$AI$5:$AI$369,"&gt;"&amp;Settings!$C$4)/COUNTIFS(Daily_Composite!$A$5:$A$369,"&gt;="&amp;Z$3,Daily_Composite!$A$5:$A$369,"&lt;="&amp;Z$2,Daily_Composite!$B$5:$B$369,1),"")</f>
        <v>0.318181818181818</v>
      </c>
      <c r="AB33" s="8" t="n">
        <f aca="false">IFERROR(COUNTIFS(Daily_Composite!$A$5:$A$369,"&gt;="&amp;Z$3,Daily_Composite!$A$5:$A$369,"&lt;="&amp;Z$2,Daily_Composite!$B$5:$B$369,1,Daily_Composite!$AI$5:$AI$369,"&lt;"&amp;-Settings!$C$4)/COUNTIFS(Daily_Composite!$A$5:$A$369,"&gt;="&amp;Z$3,Daily_Composite!$A$5:$A$369,"&lt;="&amp;Z$2,Daily_Composite!$B$5:$B$369,1),"")</f>
        <v>0.272727272727273</v>
      </c>
      <c r="AC33" s="7" t="n">
        <f aca="false">IFERROR(AVERAGEIFS(Daily_Composite!$AI$5:$AI$369,Daily_Composite!$A$5:$A$369,"&gt;="&amp;AC$3,Daily_Composite!$A$5:$A$369,"&lt;="&amp;AC$2,Daily_Composite!$B$5:$B$369,1),"")</f>
        <v>0.0194545454545455</v>
      </c>
      <c r="AD33" s="8" t="n">
        <f aca="false">IFERROR(COUNTIFS(Daily_Composite!$A$5:$A$369,"&gt;="&amp;AC$3,Daily_Composite!$A$5:$A$369,"&lt;="&amp;AC$2,Daily_Composite!$B$5:$B$369,1,Daily_Composite!$AI$5:$AI$369,"&gt;"&amp;Settings!$C$4)/COUNTIFS(Daily_Composite!$A$5:$A$369,"&gt;="&amp;AC$3,Daily_Composite!$A$5:$A$369,"&lt;="&amp;AC$2,Daily_Composite!$B$5:$B$369,1),"")</f>
        <v>0.272727272727273</v>
      </c>
      <c r="AE33" s="8" t="n">
        <f aca="false">IFERROR(COUNTIFS(Daily_Composite!$A$5:$A$369,"&gt;="&amp;AC$3,Daily_Composite!$A$5:$A$369,"&lt;="&amp;AC$2,Daily_Composite!$B$5:$B$369,1,Daily_Composite!$AI$5:$AI$369,"&lt;"&amp;-Settings!$C$4)/COUNTIFS(Daily_Composite!$A$5:$A$369,"&gt;="&amp;AC$3,Daily_Composite!$A$5:$A$369,"&lt;="&amp;AC$2,Daily_Composite!$B$5:$B$369,1),"")</f>
        <v>0.272727272727273</v>
      </c>
      <c r="AF33" s="7" t="n">
        <f aca="false">IFERROR(AVERAGEIFS(Daily_Composite!$AI$5:$AI$369,Daily_Composite!$A$5:$A$369,"&gt;="&amp;AF$3,Daily_Composite!$A$5:$A$369,"&lt;="&amp;AF$2,Daily_Composite!$B$5:$B$369,1),"")</f>
        <v>-0.0620909090909091</v>
      </c>
      <c r="AG33" s="8" t="n">
        <f aca="false">IFERROR(COUNTIFS(Daily_Composite!$A$5:$A$369,"&gt;="&amp;AF$3,Daily_Composite!$A$5:$A$369,"&lt;="&amp;AF$2,Daily_Composite!$B$5:$B$369,1,Daily_Composite!$AI$5:$AI$369,"&gt;"&amp;Settings!$C$4)/COUNTIFS(Daily_Composite!$A$5:$A$369,"&gt;="&amp;AF$3,Daily_Composite!$A$5:$A$369,"&lt;="&amp;AF$2,Daily_Composite!$B$5:$B$369,1),"")</f>
        <v>0.227272727272727</v>
      </c>
      <c r="AH33" s="8" t="n">
        <f aca="false">IFERROR(COUNTIFS(Daily_Composite!$A$5:$A$369,"&gt;="&amp;AF$3,Daily_Composite!$A$5:$A$369,"&lt;="&amp;AF$2,Daily_Composite!$B$5:$B$369,1,Daily_Composite!$AI$5:$AI$369,"&lt;"&amp;-Settings!$C$4)/COUNTIFS(Daily_Composite!$A$5:$A$369,"&gt;="&amp;AF$3,Daily_Composite!$A$5:$A$369,"&lt;="&amp;AF$2,Daily_Composite!$B$5:$B$369,1),"")</f>
        <v>0.454545454545455</v>
      </c>
      <c r="AI33" s="7" t="n">
        <f aca="false">IFERROR(AVERAGEIFS(Daily_Composite!$AI$5:$AI$369,Daily_Composite!$A$5:$A$369,"&gt;="&amp;AI$3,Daily_Composite!$A$5:$A$369,"&lt;="&amp;AI$2,Daily_Composite!$B$5:$B$369,1),"")</f>
        <v>-0.122181818181818</v>
      </c>
      <c r="AJ33" s="8" t="n">
        <f aca="false">IFERROR(COUNTIFS(Daily_Composite!$A$5:$A$369,"&gt;="&amp;AI$3,Daily_Composite!$A$5:$A$369,"&lt;="&amp;AI$2,Daily_Composite!$B$5:$B$369,1,Daily_Composite!$AI$5:$AI$369,"&gt;"&amp;Settings!$C$4)/COUNTIFS(Daily_Composite!$A$5:$A$369,"&gt;="&amp;AI$3,Daily_Composite!$A$5:$A$369,"&lt;="&amp;AI$2,Daily_Composite!$B$5:$B$369,1),"")</f>
        <v>0.136363636363636</v>
      </c>
      <c r="AK33" s="8" t="n">
        <f aca="false">IFERROR(COUNTIFS(Daily_Composite!$A$5:$A$369,"&gt;="&amp;AI$3,Daily_Composite!$A$5:$A$369,"&lt;="&amp;AI$2,Daily_Composite!$B$5:$B$369,1,Daily_Composite!$AI$5:$AI$369,"&lt;"&amp;-Settings!$C$4)/COUNTIFS(Daily_Composite!$A$5:$A$369,"&gt;="&amp;AI$3,Daily_Composite!$A$5:$A$369,"&lt;="&amp;AI$2,Daily_Composite!$B$5:$B$369,1),"")</f>
        <v>0.409090909090909</v>
      </c>
      <c r="AL33" s="7" t="n">
        <f aca="false">IFERROR(AVERAGEIFS(Daily_Composite!$AI$5:$AI$369,Daily_Composite!$A$5:$A$369,"&gt;="&amp;AL$3,Daily_Composite!$A$5:$A$369,"&lt;="&amp;AL$2,Daily_Composite!$B$5:$B$369,1),"")</f>
        <v>-0.00705555555555556</v>
      </c>
      <c r="AM33" s="8" t="n">
        <f aca="false">IFERROR(COUNTIFS(Daily_Composite!$A$5:$A$369,"&gt;="&amp;AL$3,Daily_Composite!$A$5:$A$369,"&lt;="&amp;AL$2,Daily_Composite!$B$5:$B$369,1,Daily_Composite!$AI$5:$AI$369,"&gt;"&amp;Settings!$C$4)/COUNTIFS(Daily_Composite!$A$5:$A$369,"&gt;="&amp;AL$3,Daily_Composite!$A$5:$A$369,"&lt;="&amp;AL$2,Daily_Composite!$B$5:$B$369,1),"")</f>
        <v>0.111111111111111</v>
      </c>
      <c r="AN33" s="8" t="n">
        <f aca="false">IFERROR(COUNTIFS(Daily_Composite!$A$5:$A$369,"&gt;="&amp;AL$3,Daily_Composite!$A$5:$A$369,"&lt;="&amp;AL$2,Daily_Composite!$B$5:$B$369,1,Daily_Composite!$AI$5:$AI$369,"&lt;"&amp;-Settings!$C$4)/COUNTIFS(Daily_Composite!$A$5:$A$369,"&gt;="&amp;AL$3,Daily_Composite!$A$5:$A$369,"&lt;="&amp;AL$2,Daily_Composite!$B$5:$B$369,1),"")</f>
        <v>0.166666666666667</v>
      </c>
    </row>
    <row r="34" customFormat="false" ht="15" hidden="false" customHeight="false" outlineLevel="0" collapsed="false">
      <c r="A34" s="6" t="s">
        <v>47</v>
      </c>
      <c r="B34" s="7" t="n">
        <f aca="false">IFERROR(AVERAGEIFS(Daily_Composite!$AJ$5:$AJ$369,Daily_Composite!$A$5:$A$369,"&gt;="&amp;B$3,Daily_Composite!$A$5:$A$369,"&lt;="&amp;B$2,Daily_Composite!$B$5:$B$369,1),"")</f>
        <v>0.08825</v>
      </c>
      <c r="C34" s="8" t="n">
        <f aca="false">IFERROR(COUNTIFS(Daily_Composite!$A$5:$A$369,"&gt;="&amp;B$3,Daily_Composite!$A$5:$A$369,"&lt;="&amp;B$2,Daily_Composite!$B$5:$B$369,1,Daily_Composite!$AJ$5:$AJ$369,"&gt;"&amp;Settings!$C$4)/COUNTIFS(Daily_Composite!$A$5:$A$369,"&gt;="&amp;B$3,Daily_Composite!$A$5:$A$369,"&lt;="&amp;B$2,Daily_Composite!$B$5:$B$369,1),"")</f>
        <v>0.5</v>
      </c>
      <c r="D34" s="8" t="n">
        <f aca="false">IFERROR(COUNTIFS(Daily_Composite!$A$5:$A$369,"&gt;="&amp;B$3,Daily_Composite!$A$5:$A$369,"&lt;="&amp;B$2,Daily_Composite!$B$5:$B$369,1,Daily_Composite!$AJ$5:$AJ$369,"&lt;"&amp;-Settings!$C$4)/COUNTIFS(Daily_Composite!$A$5:$A$369,"&gt;="&amp;B$3,Daily_Composite!$A$5:$A$369,"&lt;="&amp;B$2,Daily_Composite!$B$5:$B$369,1),"")</f>
        <v>0.25</v>
      </c>
      <c r="E34" s="7" t="n">
        <f aca="false">IFERROR(AVERAGEIFS(Daily_Composite!$AJ$5:$AJ$369,Daily_Composite!$A$5:$A$369,"&gt;="&amp;E$3,Daily_Composite!$A$5:$A$369,"&lt;="&amp;E$2,Daily_Composite!$B$5:$B$369,1),"")</f>
        <v>0.172952380952381</v>
      </c>
      <c r="F34" s="8" t="n">
        <f aca="false">IFERROR(COUNTIFS(Daily_Composite!$A$5:$A$369,"&gt;="&amp;E$3,Daily_Composite!$A$5:$A$369,"&lt;="&amp;E$2,Daily_Composite!$B$5:$B$369,1,Daily_Composite!$AJ$5:$AJ$369,"&gt;"&amp;Settings!$C$4)/COUNTIFS(Daily_Composite!$A$5:$A$369,"&gt;="&amp;E$3,Daily_Composite!$A$5:$A$369,"&lt;="&amp;E$2,Daily_Composite!$B$5:$B$369,1),"")</f>
        <v>0.523809523809524</v>
      </c>
      <c r="G34" s="8" t="n">
        <f aca="false">IFERROR(COUNTIFS(Daily_Composite!$A$5:$A$369,"&gt;="&amp;E$3,Daily_Composite!$A$5:$A$369,"&lt;="&amp;E$2,Daily_Composite!$B$5:$B$369,1,Daily_Composite!$AJ$5:$AJ$369,"&lt;"&amp;-Settings!$C$4)/COUNTIFS(Daily_Composite!$A$5:$A$369,"&gt;="&amp;E$3,Daily_Composite!$A$5:$A$369,"&lt;="&amp;E$2,Daily_Composite!$B$5:$B$369,1),"")</f>
        <v>0.0476190476190476</v>
      </c>
      <c r="H34" s="7" t="n">
        <f aca="false">IFERROR(AVERAGEIFS(Daily_Composite!$AJ$5:$AJ$369,Daily_Composite!$A$5:$A$369,"&gt;="&amp;H$3,Daily_Composite!$A$5:$A$369,"&lt;="&amp;H$2,Daily_Composite!$B$5:$B$369,1),"")</f>
        <v>0.237739130434783</v>
      </c>
      <c r="I34" s="8" t="n">
        <f aca="false">IFERROR(COUNTIFS(Daily_Composite!$A$5:$A$369,"&gt;="&amp;H$3,Daily_Composite!$A$5:$A$369,"&lt;="&amp;H$2,Daily_Composite!$B$5:$B$369,1,Daily_Composite!$AJ$5:$AJ$369,"&gt;"&amp;Settings!$C$4)/COUNTIFS(Daily_Composite!$A$5:$A$369,"&gt;="&amp;H$3,Daily_Composite!$A$5:$A$369,"&lt;="&amp;H$2,Daily_Composite!$B$5:$B$369,1),"")</f>
        <v>0.565217391304348</v>
      </c>
      <c r="J34" s="8" t="n">
        <f aca="false">IFERROR(COUNTIFS(Daily_Composite!$A$5:$A$369,"&gt;="&amp;H$3,Daily_Composite!$A$5:$A$369,"&lt;="&amp;H$2,Daily_Composite!$B$5:$B$369,1,Daily_Composite!$AJ$5:$AJ$369,"&lt;"&amp;-Settings!$C$4)/COUNTIFS(Daily_Composite!$A$5:$A$369,"&gt;="&amp;H$3,Daily_Composite!$A$5:$A$369,"&lt;="&amp;H$2,Daily_Composite!$B$5:$B$369,1),"")</f>
        <v>0.0434782608695652</v>
      </c>
      <c r="K34" s="7" t="n">
        <f aca="false">IFERROR(AVERAGEIFS(Daily_Composite!$AJ$5:$AJ$369,Daily_Composite!$A$5:$A$369,"&gt;="&amp;K$3,Daily_Composite!$A$5:$A$369,"&lt;="&amp;K$2,Daily_Composite!$B$5:$B$369,1),"")</f>
        <v>0.119095238095238</v>
      </c>
      <c r="L34" s="8" t="n">
        <f aca="false">IFERROR(COUNTIFS(Daily_Composite!$A$5:$A$369,"&gt;="&amp;K$3,Daily_Composite!$A$5:$A$369,"&lt;="&amp;K$2,Daily_Composite!$B$5:$B$369,1,Daily_Composite!$AJ$5:$AJ$369,"&gt;"&amp;Settings!$C$4)/COUNTIFS(Daily_Composite!$A$5:$A$369,"&gt;="&amp;K$3,Daily_Composite!$A$5:$A$369,"&lt;="&amp;K$2,Daily_Composite!$B$5:$B$369,1),"")</f>
        <v>0.428571428571429</v>
      </c>
      <c r="M34" s="8" t="n">
        <f aca="false">IFERROR(COUNTIFS(Daily_Composite!$A$5:$A$369,"&gt;="&amp;K$3,Daily_Composite!$A$5:$A$369,"&lt;="&amp;K$2,Daily_Composite!$B$5:$B$369,1,Daily_Composite!$AJ$5:$AJ$369,"&lt;"&amp;-Settings!$C$4)/COUNTIFS(Daily_Composite!$A$5:$A$369,"&gt;="&amp;K$3,Daily_Composite!$A$5:$A$369,"&lt;="&amp;K$2,Daily_Composite!$B$5:$B$369,1),"")</f>
        <v>0.19047619047619</v>
      </c>
      <c r="N34" s="7" t="n">
        <f aca="false">IFERROR(AVERAGEIFS(Daily_Composite!$AJ$5:$AJ$369,Daily_Composite!$A$5:$A$369,"&gt;="&amp;N$3,Daily_Composite!$A$5:$A$369,"&lt;="&amp;N$2,Daily_Composite!$B$5:$B$369,1),"")</f>
        <v>-0.26605</v>
      </c>
      <c r="O34" s="8" t="n">
        <f aca="false">IFERROR(COUNTIFS(Daily_Composite!$A$5:$A$369,"&gt;="&amp;N$3,Daily_Composite!$A$5:$A$369,"&lt;="&amp;N$2,Daily_Composite!$B$5:$B$369,1,Daily_Composite!$AJ$5:$AJ$369,"&gt;"&amp;Settings!$C$4)/COUNTIFS(Daily_Composite!$A$5:$A$369,"&gt;="&amp;N$3,Daily_Composite!$A$5:$A$369,"&lt;="&amp;N$2,Daily_Composite!$B$5:$B$369,1),"")</f>
        <v>0</v>
      </c>
      <c r="P34" s="8" t="n">
        <f aca="false">IFERROR(COUNTIFS(Daily_Composite!$A$5:$A$369,"&gt;="&amp;N$3,Daily_Composite!$A$5:$A$369,"&lt;="&amp;N$2,Daily_Composite!$B$5:$B$369,1,Daily_Composite!$AJ$5:$AJ$369,"&lt;"&amp;-Settings!$C$4)/COUNTIFS(Daily_Composite!$A$5:$A$369,"&gt;="&amp;N$3,Daily_Composite!$A$5:$A$369,"&lt;="&amp;N$2,Daily_Composite!$B$5:$B$369,1),"")</f>
        <v>0.85</v>
      </c>
      <c r="Q34" s="7" t="n">
        <f aca="false">IFERROR(AVERAGEIFS(Daily_Composite!$AJ$5:$AJ$369,Daily_Composite!$A$5:$A$369,"&gt;="&amp;Q$3,Daily_Composite!$A$5:$A$369,"&lt;="&amp;Q$2,Daily_Composite!$B$5:$B$369,1),"")</f>
        <v>-0.0369565217391304</v>
      </c>
      <c r="R34" s="8" t="n">
        <f aca="false">IFERROR(COUNTIFS(Daily_Composite!$A$5:$A$369,"&gt;="&amp;Q$3,Daily_Composite!$A$5:$A$369,"&lt;="&amp;Q$2,Daily_Composite!$B$5:$B$369,1,Daily_Composite!$AJ$5:$AJ$369,"&gt;"&amp;Settings!$C$4)/COUNTIFS(Daily_Composite!$A$5:$A$369,"&gt;="&amp;Q$3,Daily_Composite!$A$5:$A$369,"&lt;="&amp;Q$2,Daily_Composite!$B$5:$B$369,1),"")</f>
        <v>0.217391304347826</v>
      </c>
      <c r="S34" s="8" t="n">
        <f aca="false">IFERROR(COUNTIFS(Daily_Composite!$A$5:$A$369,"&gt;="&amp;Q$3,Daily_Composite!$A$5:$A$369,"&lt;="&amp;Q$2,Daily_Composite!$B$5:$B$369,1,Daily_Composite!$AJ$5:$AJ$369,"&lt;"&amp;-Settings!$C$4)/COUNTIFS(Daily_Composite!$A$5:$A$369,"&gt;="&amp;Q$3,Daily_Composite!$A$5:$A$369,"&lt;="&amp;Q$2,Daily_Composite!$B$5:$B$369,1),"")</f>
        <v>0.260869565217391</v>
      </c>
      <c r="T34" s="7" t="n">
        <f aca="false">IFERROR(AVERAGEIFS(Daily_Composite!$AJ$5:$AJ$369,Daily_Composite!$A$5:$A$369,"&gt;="&amp;T$3,Daily_Composite!$A$5:$A$369,"&lt;="&amp;T$2,Daily_Composite!$B$5:$B$369,1),"")</f>
        <v>-0.0617272727272727</v>
      </c>
      <c r="U34" s="8" t="n">
        <f aca="false">IFERROR(COUNTIFS(Daily_Composite!$A$5:$A$369,"&gt;="&amp;T$3,Daily_Composite!$A$5:$A$369,"&lt;="&amp;T$2,Daily_Composite!$B$5:$B$369,1,Daily_Composite!$AJ$5:$AJ$369,"&gt;"&amp;Settings!$C$4)/COUNTIFS(Daily_Composite!$A$5:$A$369,"&gt;="&amp;T$3,Daily_Composite!$A$5:$A$369,"&lt;="&amp;T$2,Daily_Composite!$B$5:$B$369,1),"")</f>
        <v>0.0909090909090909</v>
      </c>
      <c r="V34" s="8" t="n">
        <f aca="false">IFERROR(COUNTIFS(Daily_Composite!$A$5:$A$369,"&gt;="&amp;T$3,Daily_Composite!$A$5:$A$369,"&lt;="&amp;T$2,Daily_Composite!$B$5:$B$369,1,Daily_Composite!$AJ$5:$AJ$369,"&lt;"&amp;-Settings!$C$4)/COUNTIFS(Daily_Composite!$A$5:$A$369,"&gt;="&amp;T$3,Daily_Composite!$A$5:$A$369,"&lt;="&amp;T$2,Daily_Composite!$B$5:$B$369,1),"")</f>
        <v>0.363636363636364</v>
      </c>
      <c r="W34" s="7" t="n">
        <f aca="false">IFERROR(AVERAGEIFS(Daily_Composite!$AJ$5:$AJ$369,Daily_Composite!$A$5:$A$369,"&gt;="&amp;W$3,Daily_Composite!$A$5:$A$369,"&lt;="&amp;W$2,Daily_Composite!$B$5:$B$369,1),"")</f>
        <v>-0.111095238095238</v>
      </c>
      <c r="X34" s="8" t="n">
        <f aca="false">IFERROR(COUNTIFS(Daily_Composite!$A$5:$A$369,"&gt;="&amp;W$3,Daily_Composite!$A$5:$A$369,"&lt;="&amp;W$2,Daily_Composite!$B$5:$B$369,1,Daily_Composite!$AJ$5:$AJ$369,"&gt;"&amp;Settings!$C$4)/COUNTIFS(Daily_Composite!$A$5:$A$369,"&gt;="&amp;W$3,Daily_Composite!$A$5:$A$369,"&lt;="&amp;W$2,Daily_Composite!$B$5:$B$369,1),"")</f>
        <v>0.0952380952380952</v>
      </c>
      <c r="Y34" s="8" t="n">
        <f aca="false">IFERROR(COUNTIFS(Daily_Composite!$A$5:$A$369,"&gt;="&amp;W$3,Daily_Composite!$A$5:$A$369,"&lt;="&amp;W$2,Daily_Composite!$B$5:$B$369,1,Daily_Composite!$AJ$5:$AJ$369,"&lt;"&amp;-Settings!$C$4)/COUNTIFS(Daily_Composite!$A$5:$A$369,"&gt;="&amp;W$3,Daily_Composite!$A$5:$A$369,"&lt;="&amp;W$2,Daily_Composite!$B$5:$B$369,1),"")</f>
        <v>0.380952380952381</v>
      </c>
      <c r="Z34" s="7" t="n">
        <f aca="false">IFERROR(AVERAGEIFS(Daily_Composite!$AJ$5:$AJ$369,Daily_Composite!$A$5:$A$369,"&gt;="&amp;Z$3,Daily_Composite!$A$5:$A$369,"&lt;="&amp;Z$2,Daily_Composite!$B$5:$B$369,1),"")</f>
        <v>-0.038</v>
      </c>
      <c r="AA34" s="8" t="n">
        <f aca="false">IFERROR(COUNTIFS(Daily_Composite!$A$5:$A$369,"&gt;="&amp;Z$3,Daily_Composite!$A$5:$A$369,"&lt;="&amp;Z$2,Daily_Composite!$B$5:$B$369,1,Daily_Composite!$AJ$5:$AJ$369,"&gt;"&amp;Settings!$C$4)/COUNTIFS(Daily_Composite!$A$5:$A$369,"&gt;="&amp;Z$3,Daily_Composite!$A$5:$A$369,"&lt;="&amp;Z$2,Daily_Composite!$B$5:$B$369,1),"")</f>
        <v>0.181818181818182</v>
      </c>
      <c r="AB34" s="8" t="n">
        <f aca="false">IFERROR(COUNTIFS(Daily_Composite!$A$5:$A$369,"&gt;="&amp;Z$3,Daily_Composite!$A$5:$A$369,"&lt;="&amp;Z$2,Daily_Composite!$B$5:$B$369,1,Daily_Composite!$AJ$5:$AJ$369,"&lt;"&amp;-Settings!$C$4)/COUNTIFS(Daily_Composite!$A$5:$A$369,"&gt;="&amp;Z$3,Daily_Composite!$A$5:$A$369,"&lt;="&amp;Z$2,Daily_Composite!$B$5:$B$369,1),"")</f>
        <v>0.5</v>
      </c>
      <c r="AC34" s="7" t="n">
        <f aca="false">IFERROR(AVERAGEIFS(Daily_Composite!$AJ$5:$AJ$369,Daily_Composite!$A$5:$A$369,"&gt;="&amp;AC$3,Daily_Composite!$A$5:$A$369,"&lt;="&amp;AC$2,Daily_Composite!$B$5:$B$369,1),"")</f>
        <v>0.212363636363636</v>
      </c>
      <c r="AD34" s="8" t="n">
        <f aca="false">IFERROR(COUNTIFS(Daily_Composite!$A$5:$A$369,"&gt;="&amp;AC$3,Daily_Composite!$A$5:$A$369,"&lt;="&amp;AC$2,Daily_Composite!$B$5:$B$369,1,Daily_Composite!$AJ$5:$AJ$369,"&gt;"&amp;Settings!$C$4)/COUNTIFS(Daily_Composite!$A$5:$A$369,"&gt;="&amp;AC$3,Daily_Composite!$A$5:$A$369,"&lt;="&amp;AC$2,Daily_Composite!$B$5:$B$369,1),"")</f>
        <v>0.590909090909091</v>
      </c>
      <c r="AE34" s="8" t="n">
        <f aca="false">IFERROR(COUNTIFS(Daily_Composite!$A$5:$A$369,"&gt;="&amp;AC$3,Daily_Composite!$A$5:$A$369,"&lt;="&amp;AC$2,Daily_Composite!$B$5:$B$369,1,Daily_Composite!$AJ$5:$AJ$369,"&lt;"&amp;-Settings!$C$4)/COUNTIFS(Daily_Composite!$A$5:$A$369,"&gt;="&amp;AC$3,Daily_Composite!$A$5:$A$369,"&lt;="&amp;AC$2,Daily_Composite!$B$5:$B$369,1),"")</f>
        <v>0.0909090909090909</v>
      </c>
      <c r="AF34" s="7" t="n">
        <f aca="false">IFERROR(AVERAGEIFS(Daily_Composite!$AJ$5:$AJ$369,Daily_Composite!$A$5:$A$369,"&gt;="&amp;AF$3,Daily_Composite!$A$5:$A$369,"&lt;="&amp;AF$2,Daily_Composite!$B$5:$B$369,1),"")</f>
        <v>0.0971818181818182</v>
      </c>
      <c r="AG34" s="8" t="n">
        <f aca="false">IFERROR(COUNTIFS(Daily_Composite!$A$5:$A$369,"&gt;="&amp;AF$3,Daily_Composite!$A$5:$A$369,"&lt;="&amp;AF$2,Daily_Composite!$B$5:$B$369,1,Daily_Composite!$AJ$5:$AJ$369,"&gt;"&amp;Settings!$C$4)/COUNTIFS(Daily_Composite!$A$5:$A$369,"&gt;="&amp;AF$3,Daily_Composite!$A$5:$A$369,"&lt;="&amp;AF$2,Daily_Composite!$B$5:$B$369,1),"")</f>
        <v>0.409090909090909</v>
      </c>
      <c r="AH34" s="8" t="n">
        <f aca="false">IFERROR(COUNTIFS(Daily_Composite!$A$5:$A$369,"&gt;="&amp;AF$3,Daily_Composite!$A$5:$A$369,"&lt;="&amp;AF$2,Daily_Composite!$B$5:$B$369,1,Daily_Composite!$AJ$5:$AJ$369,"&lt;"&amp;-Settings!$C$4)/COUNTIFS(Daily_Composite!$A$5:$A$369,"&gt;="&amp;AF$3,Daily_Composite!$A$5:$A$369,"&lt;="&amp;AF$2,Daily_Composite!$B$5:$B$369,1),"")</f>
        <v>0.272727272727273</v>
      </c>
      <c r="AI34" s="7" t="n">
        <f aca="false">IFERROR(AVERAGEIFS(Daily_Composite!$AJ$5:$AJ$369,Daily_Composite!$A$5:$A$369,"&gt;="&amp;AI$3,Daily_Composite!$A$5:$A$369,"&lt;="&amp;AI$2,Daily_Composite!$B$5:$B$369,1),"")</f>
        <v>-0.0657272727272727</v>
      </c>
      <c r="AJ34" s="8" t="n">
        <f aca="false">IFERROR(COUNTIFS(Daily_Composite!$A$5:$A$369,"&gt;="&amp;AI$3,Daily_Composite!$A$5:$A$369,"&lt;="&amp;AI$2,Daily_Composite!$B$5:$B$369,1,Daily_Composite!$AJ$5:$AJ$369,"&gt;"&amp;Settings!$C$4)/COUNTIFS(Daily_Composite!$A$5:$A$369,"&gt;="&amp;AI$3,Daily_Composite!$A$5:$A$369,"&lt;="&amp;AI$2,Daily_Composite!$B$5:$B$369,1),"")</f>
        <v>0.272727272727273</v>
      </c>
      <c r="AK34" s="8" t="n">
        <f aca="false">IFERROR(COUNTIFS(Daily_Composite!$A$5:$A$369,"&gt;="&amp;AI$3,Daily_Composite!$A$5:$A$369,"&lt;="&amp;AI$2,Daily_Composite!$B$5:$B$369,1,Daily_Composite!$AJ$5:$AJ$369,"&lt;"&amp;-Settings!$C$4)/COUNTIFS(Daily_Composite!$A$5:$A$369,"&gt;="&amp;AI$3,Daily_Composite!$A$5:$A$369,"&lt;="&amp;AI$2,Daily_Composite!$B$5:$B$369,1),"")</f>
        <v>0.409090909090909</v>
      </c>
      <c r="AL34" s="7" t="n">
        <f aca="false">IFERROR(AVERAGEIFS(Daily_Composite!$AJ$5:$AJ$369,Daily_Composite!$A$5:$A$369,"&gt;="&amp;AL$3,Daily_Composite!$A$5:$A$369,"&lt;="&amp;AL$2,Daily_Composite!$B$5:$B$369,1),"")</f>
        <v>0.316333333333333</v>
      </c>
      <c r="AM34" s="8" t="n">
        <f aca="false">IFERROR(COUNTIFS(Daily_Composite!$A$5:$A$369,"&gt;="&amp;AL$3,Daily_Composite!$A$5:$A$369,"&lt;="&amp;AL$2,Daily_Composite!$B$5:$B$369,1,Daily_Composite!$AJ$5:$AJ$369,"&gt;"&amp;Settings!$C$4)/COUNTIFS(Daily_Composite!$A$5:$A$369,"&gt;="&amp;AL$3,Daily_Composite!$A$5:$A$369,"&lt;="&amp;AL$2,Daily_Composite!$B$5:$B$369,1),"")</f>
        <v>0.666666666666667</v>
      </c>
      <c r="AN34" s="8" t="n">
        <f aca="false">IFERROR(COUNTIFS(Daily_Composite!$A$5:$A$369,"&gt;="&amp;AL$3,Daily_Composite!$A$5:$A$369,"&lt;="&amp;AL$2,Daily_Composite!$B$5:$B$369,1,Daily_Composite!$AJ$5:$AJ$369,"&lt;"&amp;-Settings!$C$4)/COUNTIFS(Daily_Composite!$A$5:$A$369,"&gt;="&amp;AL$3,Daily_Composite!$A$5:$A$369,"&lt;="&amp;AL$2,Daily_Composite!$B$5:$B$369,1),"")</f>
        <v>0.0555555555555556</v>
      </c>
    </row>
    <row r="35" customFormat="false" ht="15" hidden="false" customHeight="false" outlineLevel="0" collapsed="false">
      <c r="A35" s="6" t="s">
        <v>48</v>
      </c>
      <c r="B35" s="7" t="n">
        <f aca="false">IFERROR(AVERAGEIFS(Daily_Composite!$AK$5:$AK$369,Daily_Composite!$A$5:$A$369,"&gt;="&amp;B$3,Daily_Composite!$A$5:$A$369,"&lt;="&amp;B$2,Daily_Composite!$B$5:$B$369,1),"")</f>
        <v>0.097</v>
      </c>
      <c r="C35" s="8" t="n">
        <f aca="false">IFERROR(COUNTIFS(Daily_Composite!$A$5:$A$369,"&gt;="&amp;B$3,Daily_Composite!$A$5:$A$369,"&lt;="&amp;B$2,Daily_Composite!$B$5:$B$369,1,Daily_Composite!$AK$5:$AK$369,"&gt;"&amp;Settings!$C$4)/COUNTIFS(Daily_Composite!$A$5:$A$369,"&gt;="&amp;B$3,Daily_Composite!$A$5:$A$369,"&lt;="&amp;B$2,Daily_Composite!$B$5:$B$369,1),"")</f>
        <v>0.5</v>
      </c>
      <c r="D35" s="8" t="n">
        <f aca="false">IFERROR(COUNTIFS(Daily_Composite!$A$5:$A$369,"&gt;="&amp;B$3,Daily_Composite!$A$5:$A$369,"&lt;="&amp;B$2,Daily_Composite!$B$5:$B$369,1,Daily_Composite!$AK$5:$AK$369,"&lt;"&amp;-Settings!$C$4)/COUNTIFS(Daily_Composite!$A$5:$A$369,"&gt;="&amp;B$3,Daily_Composite!$A$5:$A$369,"&lt;="&amp;B$2,Daily_Composite!$B$5:$B$369,1),"")</f>
        <v>0.25</v>
      </c>
      <c r="E35" s="7" t="n">
        <f aca="false">IFERROR(AVERAGEIFS(Daily_Composite!$AK$5:$AK$369,Daily_Composite!$A$5:$A$369,"&gt;="&amp;E$3,Daily_Composite!$A$5:$A$369,"&lt;="&amp;E$2,Daily_Composite!$B$5:$B$369,1),"")</f>
        <v>0.215</v>
      </c>
      <c r="F35" s="8" t="n">
        <f aca="false">IFERROR(COUNTIFS(Daily_Composite!$A$5:$A$369,"&gt;="&amp;E$3,Daily_Composite!$A$5:$A$369,"&lt;="&amp;E$2,Daily_Composite!$B$5:$B$369,1,Daily_Composite!$AK$5:$AK$369,"&gt;"&amp;Settings!$C$4)/COUNTIFS(Daily_Composite!$A$5:$A$369,"&gt;="&amp;E$3,Daily_Composite!$A$5:$A$369,"&lt;="&amp;E$2,Daily_Composite!$B$5:$B$369,1),"")</f>
        <v>0.666666666666667</v>
      </c>
      <c r="G35" s="8" t="n">
        <f aca="false">IFERROR(COUNTIFS(Daily_Composite!$A$5:$A$369,"&gt;="&amp;E$3,Daily_Composite!$A$5:$A$369,"&lt;="&amp;E$2,Daily_Composite!$B$5:$B$369,1,Daily_Composite!$AK$5:$AK$369,"&lt;"&amp;-Settings!$C$4)/COUNTIFS(Daily_Composite!$A$5:$A$369,"&gt;="&amp;E$3,Daily_Composite!$A$5:$A$369,"&lt;="&amp;E$2,Daily_Composite!$B$5:$B$369,1),"")</f>
        <v>0</v>
      </c>
      <c r="H35" s="7" t="n">
        <f aca="false">IFERROR(AVERAGEIFS(Daily_Composite!$AK$5:$AK$369,Daily_Composite!$A$5:$A$369,"&gt;="&amp;H$3,Daily_Composite!$A$5:$A$369,"&lt;="&amp;H$2,Daily_Composite!$B$5:$B$369,1),"")</f>
        <v>0.168608695652174</v>
      </c>
      <c r="I35" s="8" t="n">
        <f aca="false">IFERROR(COUNTIFS(Daily_Composite!$A$5:$A$369,"&gt;="&amp;H$3,Daily_Composite!$A$5:$A$369,"&lt;="&amp;H$2,Daily_Composite!$B$5:$B$369,1,Daily_Composite!$AK$5:$AK$369,"&gt;"&amp;Settings!$C$4)/COUNTIFS(Daily_Composite!$A$5:$A$369,"&gt;="&amp;H$3,Daily_Composite!$A$5:$A$369,"&lt;="&amp;H$2,Daily_Composite!$B$5:$B$369,1),"")</f>
        <v>0.695652173913044</v>
      </c>
      <c r="J35" s="8" t="n">
        <f aca="false">IFERROR(COUNTIFS(Daily_Composite!$A$5:$A$369,"&gt;="&amp;H$3,Daily_Composite!$A$5:$A$369,"&lt;="&amp;H$2,Daily_Composite!$B$5:$B$369,1,Daily_Composite!$AK$5:$AK$369,"&lt;"&amp;-Settings!$C$4)/COUNTIFS(Daily_Composite!$A$5:$A$369,"&gt;="&amp;H$3,Daily_Composite!$A$5:$A$369,"&lt;="&amp;H$2,Daily_Composite!$B$5:$B$369,1),"")</f>
        <v>0.0434782608695652</v>
      </c>
      <c r="K35" s="7" t="n">
        <f aca="false">IFERROR(AVERAGEIFS(Daily_Composite!$AK$5:$AK$369,Daily_Composite!$A$5:$A$369,"&gt;="&amp;K$3,Daily_Composite!$A$5:$A$369,"&lt;="&amp;K$2,Daily_Composite!$B$5:$B$369,1),"")</f>
        <v>0.0886666666666667</v>
      </c>
      <c r="L35" s="8" t="n">
        <f aca="false">IFERROR(COUNTIFS(Daily_Composite!$A$5:$A$369,"&gt;="&amp;K$3,Daily_Composite!$A$5:$A$369,"&lt;="&amp;K$2,Daily_Composite!$B$5:$B$369,1,Daily_Composite!$AK$5:$AK$369,"&gt;"&amp;Settings!$C$4)/COUNTIFS(Daily_Composite!$A$5:$A$369,"&gt;="&amp;K$3,Daily_Composite!$A$5:$A$369,"&lt;="&amp;K$2,Daily_Composite!$B$5:$B$369,1),"")</f>
        <v>0.285714285714286</v>
      </c>
      <c r="M35" s="8" t="n">
        <f aca="false">IFERROR(COUNTIFS(Daily_Composite!$A$5:$A$369,"&gt;="&amp;K$3,Daily_Composite!$A$5:$A$369,"&lt;="&amp;K$2,Daily_Composite!$B$5:$B$369,1,Daily_Composite!$AK$5:$AK$369,"&lt;"&amp;-Settings!$C$4)/COUNTIFS(Daily_Composite!$A$5:$A$369,"&gt;="&amp;K$3,Daily_Composite!$A$5:$A$369,"&lt;="&amp;K$2,Daily_Composite!$B$5:$B$369,1),"")</f>
        <v>0.0476190476190476</v>
      </c>
      <c r="N35" s="7" t="n">
        <f aca="false">IFERROR(AVERAGEIFS(Daily_Composite!$AK$5:$AK$369,Daily_Composite!$A$5:$A$369,"&gt;="&amp;N$3,Daily_Composite!$A$5:$A$369,"&lt;="&amp;N$2,Daily_Composite!$B$5:$B$369,1),"")</f>
        <v>0.1185</v>
      </c>
      <c r="O35" s="8" t="n">
        <f aca="false">IFERROR(COUNTIFS(Daily_Composite!$A$5:$A$369,"&gt;="&amp;N$3,Daily_Composite!$A$5:$A$369,"&lt;="&amp;N$2,Daily_Composite!$B$5:$B$369,1,Daily_Composite!$AK$5:$AK$369,"&gt;"&amp;Settings!$C$4)/COUNTIFS(Daily_Composite!$A$5:$A$369,"&gt;="&amp;N$3,Daily_Composite!$A$5:$A$369,"&lt;="&amp;N$2,Daily_Composite!$B$5:$B$369,1),"")</f>
        <v>0.25</v>
      </c>
      <c r="P35" s="8" t="n">
        <f aca="false">IFERROR(COUNTIFS(Daily_Composite!$A$5:$A$369,"&gt;="&amp;N$3,Daily_Composite!$A$5:$A$369,"&lt;="&amp;N$2,Daily_Composite!$B$5:$B$369,1,Daily_Composite!$AK$5:$AK$369,"&lt;"&amp;-Settings!$C$4)/COUNTIFS(Daily_Composite!$A$5:$A$369,"&gt;="&amp;N$3,Daily_Composite!$A$5:$A$369,"&lt;="&amp;N$2,Daily_Composite!$B$5:$B$369,1),"")</f>
        <v>0.05</v>
      </c>
      <c r="Q35" s="7" t="n">
        <f aca="false">IFERROR(AVERAGEIFS(Daily_Composite!$AK$5:$AK$369,Daily_Composite!$A$5:$A$369,"&gt;="&amp;Q$3,Daily_Composite!$A$5:$A$369,"&lt;="&amp;Q$2,Daily_Composite!$B$5:$B$369,1),"")</f>
        <v>0.0971304347826087</v>
      </c>
      <c r="R35" s="8" t="n">
        <f aca="false">IFERROR(COUNTIFS(Daily_Composite!$A$5:$A$369,"&gt;="&amp;Q$3,Daily_Composite!$A$5:$A$369,"&lt;="&amp;Q$2,Daily_Composite!$B$5:$B$369,1,Daily_Composite!$AK$5:$AK$369,"&gt;"&amp;Settings!$C$4)/COUNTIFS(Daily_Composite!$A$5:$A$369,"&gt;="&amp;Q$3,Daily_Composite!$A$5:$A$369,"&lt;="&amp;Q$2,Daily_Composite!$B$5:$B$369,1),"")</f>
        <v>0.260869565217391</v>
      </c>
      <c r="S35" s="8" t="n">
        <f aca="false">IFERROR(COUNTIFS(Daily_Composite!$A$5:$A$369,"&gt;="&amp;Q$3,Daily_Composite!$A$5:$A$369,"&lt;="&amp;Q$2,Daily_Composite!$B$5:$B$369,1,Daily_Composite!$AK$5:$AK$369,"&lt;"&amp;-Settings!$C$4)/COUNTIFS(Daily_Composite!$A$5:$A$369,"&gt;="&amp;Q$3,Daily_Composite!$A$5:$A$369,"&lt;="&amp;Q$2,Daily_Composite!$B$5:$B$369,1),"")</f>
        <v>0.0869565217391304</v>
      </c>
      <c r="T35" s="7" t="n">
        <f aca="false">IFERROR(AVERAGEIFS(Daily_Composite!$AK$5:$AK$369,Daily_Composite!$A$5:$A$369,"&gt;="&amp;T$3,Daily_Composite!$A$5:$A$369,"&lt;="&amp;T$2,Daily_Composite!$B$5:$B$369,1),"")</f>
        <v>0.0781818181818182</v>
      </c>
      <c r="U35" s="8" t="n">
        <f aca="false">IFERROR(COUNTIFS(Daily_Composite!$A$5:$A$369,"&gt;="&amp;T$3,Daily_Composite!$A$5:$A$369,"&lt;="&amp;T$2,Daily_Composite!$B$5:$B$369,1,Daily_Composite!$AK$5:$AK$369,"&gt;"&amp;Settings!$C$4)/COUNTIFS(Daily_Composite!$A$5:$A$369,"&gt;="&amp;T$3,Daily_Composite!$A$5:$A$369,"&lt;="&amp;T$2,Daily_Composite!$B$5:$B$369,1),"")</f>
        <v>0.272727272727273</v>
      </c>
      <c r="V35" s="8" t="n">
        <f aca="false">IFERROR(COUNTIFS(Daily_Composite!$A$5:$A$369,"&gt;="&amp;T$3,Daily_Composite!$A$5:$A$369,"&lt;="&amp;T$2,Daily_Composite!$B$5:$B$369,1,Daily_Composite!$AK$5:$AK$369,"&lt;"&amp;-Settings!$C$4)/COUNTIFS(Daily_Composite!$A$5:$A$369,"&gt;="&amp;T$3,Daily_Composite!$A$5:$A$369,"&lt;="&amp;T$2,Daily_Composite!$B$5:$B$369,1),"")</f>
        <v>0.0454545454545455</v>
      </c>
      <c r="W35" s="7" t="n">
        <f aca="false">IFERROR(AVERAGEIFS(Daily_Composite!$AK$5:$AK$369,Daily_Composite!$A$5:$A$369,"&gt;="&amp;W$3,Daily_Composite!$A$5:$A$369,"&lt;="&amp;W$2,Daily_Composite!$B$5:$B$369,1),"")</f>
        <v>0.0464761904761905</v>
      </c>
      <c r="X35" s="8" t="n">
        <f aca="false">IFERROR(COUNTIFS(Daily_Composite!$A$5:$A$369,"&gt;="&amp;W$3,Daily_Composite!$A$5:$A$369,"&lt;="&amp;W$2,Daily_Composite!$B$5:$B$369,1,Daily_Composite!$AK$5:$AK$369,"&gt;"&amp;Settings!$C$4)/COUNTIFS(Daily_Composite!$A$5:$A$369,"&gt;="&amp;W$3,Daily_Composite!$A$5:$A$369,"&lt;="&amp;W$2,Daily_Composite!$B$5:$B$369,1),"")</f>
        <v>0.285714285714286</v>
      </c>
      <c r="Y35" s="8" t="n">
        <f aca="false">IFERROR(COUNTIFS(Daily_Composite!$A$5:$A$369,"&gt;="&amp;W$3,Daily_Composite!$A$5:$A$369,"&lt;="&amp;W$2,Daily_Composite!$B$5:$B$369,1,Daily_Composite!$AK$5:$AK$369,"&lt;"&amp;-Settings!$C$4)/COUNTIFS(Daily_Composite!$A$5:$A$369,"&gt;="&amp;W$3,Daily_Composite!$A$5:$A$369,"&lt;="&amp;W$2,Daily_Composite!$B$5:$B$369,1),"")</f>
        <v>0.0476190476190476</v>
      </c>
      <c r="Z35" s="7" t="n">
        <f aca="false">IFERROR(AVERAGEIFS(Daily_Composite!$AK$5:$AK$369,Daily_Composite!$A$5:$A$369,"&gt;="&amp;Z$3,Daily_Composite!$A$5:$A$369,"&lt;="&amp;Z$2,Daily_Composite!$B$5:$B$369,1),"")</f>
        <v>-0.00522727272727273</v>
      </c>
      <c r="AA35" s="8" t="n">
        <f aca="false">IFERROR(COUNTIFS(Daily_Composite!$A$5:$A$369,"&gt;="&amp;Z$3,Daily_Composite!$A$5:$A$369,"&lt;="&amp;Z$2,Daily_Composite!$B$5:$B$369,1,Daily_Composite!$AK$5:$AK$369,"&gt;"&amp;Settings!$C$4)/COUNTIFS(Daily_Composite!$A$5:$A$369,"&gt;="&amp;Z$3,Daily_Composite!$A$5:$A$369,"&lt;="&amp;Z$2,Daily_Composite!$B$5:$B$369,1),"")</f>
        <v>0.227272727272727</v>
      </c>
      <c r="AB35" s="8" t="n">
        <f aca="false">IFERROR(COUNTIFS(Daily_Composite!$A$5:$A$369,"&gt;="&amp;Z$3,Daily_Composite!$A$5:$A$369,"&lt;="&amp;Z$2,Daily_Composite!$B$5:$B$369,1,Daily_Composite!$AK$5:$AK$369,"&lt;"&amp;-Settings!$C$4)/COUNTIFS(Daily_Composite!$A$5:$A$369,"&gt;="&amp;Z$3,Daily_Composite!$A$5:$A$369,"&lt;="&amp;Z$2,Daily_Composite!$B$5:$B$369,1),"")</f>
        <v>0.272727272727273</v>
      </c>
      <c r="AC35" s="7" t="n">
        <f aca="false">IFERROR(AVERAGEIFS(Daily_Composite!$AK$5:$AK$369,Daily_Composite!$A$5:$A$369,"&gt;="&amp;AC$3,Daily_Composite!$A$5:$A$369,"&lt;="&amp;AC$2,Daily_Composite!$B$5:$B$369,1),"")</f>
        <v>-0.0419545454545455</v>
      </c>
      <c r="AD35" s="8" t="n">
        <f aca="false">IFERROR(COUNTIFS(Daily_Composite!$A$5:$A$369,"&gt;="&amp;AC$3,Daily_Composite!$A$5:$A$369,"&lt;="&amp;AC$2,Daily_Composite!$B$5:$B$369,1,Daily_Composite!$AK$5:$AK$369,"&gt;"&amp;Settings!$C$4)/COUNTIFS(Daily_Composite!$A$5:$A$369,"&gt;="&amp;AC$3,Daily_Composite!$A$5:$A$369,"&lt;="&amp;AC$2,Daily_Composite!$B$5:$B$369,1),"")</f>
        <v>0.272727272727273</v>
      </c>
      <c r="AE35" s="8" t="n">
        <f aca="false">IFERROR(COUNTIFS(Daily_Composite!$A$5:$A$369,"&gt;="&amp;AC$3,Daily_Composite!$A$5:$A$369,"&lt;="&amp;AC$2,Daily_Composite!$B$5:$B$369,1,Daily_Composite!$AK$5:$AK$369,"&lt;"&amp;-Settings!$C$4)/COUNTIFS(Daily_Composite!$A$5:$A$369,"&gt;="&amp;AC$3,Daily_Composite!$A$5:$A$369,"&lt;="&amp;AC$2,Daily_Composite!$B$5:$B$369,1),"")</f>
        <v>0.454545454545455</v>
      </c>
      <c r="AF35" s="7" t="n">
        <f aca="false">IFERROR(AVERAGEIFS(Daily_Composite!$AK$5:$AK$369,Daily_Composite!$A$5:$A$369,"&gt;="&amp;AF$3,Daily_Composite!$A$5:$A$369,"&lt;="&amp;AF$2,Daily_Composite!$B$5:$B$369,1),"")</f>
        <v>0.0225454545454546</v>
      </c>
      <c r="AG35" s="8" t="n">
        <f aca="false">IFERROR(COUNTIFS(Daily_Composite!$A$5:$A$369,"&gt;="&amp;AF$3,Daily_Composite!$A$5:$A$369,"&lt;="&amp;AF$2,Daily_Composite!$B$5:$B$369,1,Daily_Composite!$AK$5:$AK$369,"&gt;"&amp;Settings!$C$4)/COUNTIFS(Daily_Composite!$A$5:$A$369,"&gt;="&amp;AF$3,Daily_Composite!$A$5:$A$369,"&lt;="&amp;AF$2,Daily_Composite!$B$5:$B$369,1),"")</f>
        <v>0.272727272727273</v>
      </c>
      <c r="AH35" s="8" t="n">
        <f aca="false">IFERROR(COUNTIFS(Daily_Composite!$A$5:$A$369,"&gt;="&amp;AF$3,Daily_Composite!$A$5:$A$369,"&lt;="&amp;AF$2,Daily_Composite!$B$5:$B$369,1,Daily_Composite!$AK$5:$AK$369,"&lt;"&amp;-Settings!$C$4)/COUNTIFS(Daily_Composite!$A$5:$A$369,"&gt;="&amp;AF$3,Daily_Composite!$A$5:$A$369,"&lt;="&amp;AF$2,Daily_Composite!$B$5:$B$369,1),"")</f>
        <v>0.318181818181818</v>
      </c>
      <c r="AI35" s="7" t="n">
        <f aca="false">IFERROR(AVERAGEIFS(Daily_Composite!$AK$5:$AK$369,Daily_Composite!$A$5:$A$369,"&gt;="&amp;AI$3,Daily_Composite!$A$5:$A$369,"&lt;="&amp;AI$2,Daily_Composite!$B$5:$B$369,1),"")</f>
        <v>-0.163090909090909</v>
      </c>
      <c r="AJ35" s="8" t="n">
        <f aca="false">IFERROR(COUNTIFS(Daily_Composite!$A$5:$A$369,"&gt;="&amp;AI$3,Daily_Composite!$A$5:$A$369,"&lt;="&amp;AI$2,Daily_Composite!$B$5:$B$369,1,Daily_Composite!$AK$5:$AK$369,"&gt;"&amp;Settings!$C$4)/COUNTIFS(Daily_Composite!$A$5:$A$369,"&gt;="&amp;AI$3,Daily_Composite!$A$5:$A$369,"&lt;="&amp;AI$2,Daily_Composite!$B$5:$B$369,1),"")</f>
        <v>0.0909090909090909</v>
      </c>
      <c r="AK35" s="8" t="n">
        <f aca="false">IFERROR(COUNTIFS(Daily_Composite!$A$5:$A$369,"&gt;="&amp;AI$3,Daily_Composite!$A$5:$A$369,"&lt;="&amp;AI$2,Daily_Composite!$B$5:$B$369,1,Daily_Composite!$AK$5:$AK$369,"&lt;"&amp;-Settings!$C$4)/COUNTIFS(Daily_Composite!$A$5:$A$369,"&gt;="&amp;AI$3,Daily_Composite!$A$5:$A$369,"&lt;="&amp;AI$2,Daily_Composite!$B$5:$B$369,1),"")</f>
        <v>0.590909090909091</v>
      </c>
      <c r="AL35" s="7" t="n">
        <f aca="false">IFERROR(AVERAGEIFS(Daily_Composite!$AK$5:$AK$369,Daily_Composite!$A$5:$A$369,"&gt;="&amp;AL$3,Daily_Composite!$A$5:$A$369,"&lt;="&amp;AL$2,Daily_Composite!$B$5:$B$369,1),"")</f>
        <v>0.312</v>
      </c>
      <c r="AM35" s="8" t="n">
        <f aca="false">IFERROR(COUNTIFS(Daily_Composite!$A$5:$A$369,"&gt;="&amp;AL$3,Daily_Composite!$A$5:$A$369,"&lt;="&amp;AL$2,Daily_Composite!$B$5:$B$369,1,Daily_Composite!$AK$5:$AK$369,"&gt;"&amp;Settings!$C$4)/COUNTIFS(Daily_Composite!$A$5:$A$369,"&gt;="&amp;AL$3,Daily_Composite!$A$5:$A$369,"&lt;="&amp;AL$2,Daily_Composite!$B$5:$B$369,1),"")</f>
        <v>0.722222222222222</v>
      </c>
      <c r="AN35" s="8" t="n">
        <f aca="false">IFERROR(COUNTIFS(Daily_Composite!$A$5:$A$369,"&gt;="&amp;AL$3,Daily_Composite!$A$5:$A$369,"&lt;="&amp;AL$2,Daily_Composite!$B$5:$B$369,1,Daily_Composite!$AK$5:$AK$369,"&lt;"&amp;-Settings!$C$4)/COUNTIFS(Daily_Composite!$A$5:$A$369,"&gt;="&amp;AL$3,Daily_Composite!$A$5:$A$369,"&lt;="&amp;AL$2,Daily_Composite!$B$5:$B$369,1),"")</f>
        <v>0</v>
      </c>
    </row>
    <row r="36" customFormat="false" ht="15" hidden="false" customHeight="false" outlineLevel="0" collapsed="false">
      <c r="A36" s="6" t="s">
        <v>49</v>
      </c>
      <c r="B36" s="7" t="n">
        <f aca="false">IFERROR(AVERAGEIFS(Daily_Composite!$AL$5:$AL$369,Daily_Composite!$A$5:$A$369,"&gt;="&amp;B$3,Daily_Composite!$A$5:$A$369,"&lt;="&amp;B$2,Daily_Composite!$B$5:$B$369,1),"")</f>
        <v>-0.2005</v>
      </c>
      <c r="C36" s="8" t="n">
        <f aca="false">IFERROR(COUNTIFS(Daily_Composite!$A$5:$A$369,"&gt;="&amp;B$3,Daily_Composite!$A$5:$A$369,"&lt;="&amp;B$2,Daily_Composite!$B$5:$B$369,1,Daily_Composite!$AL$5:$AL$369,"&gt;"&amp;Settings!$C$4)/COUNTIFS(Daily_Composite!$A$5:$A$369,"&gt;="&amp;B$3,Daily_Composite!$A$5:$A$369,"&lt;="&amp;B$2,Daily_Composite!$B$5:$B$369,1),"")</f>
        <v>0</v>
      </c>
      <c r="D36" s="8" t="n">
        <f aca="false">IFERROR(COUNTIFS(Daily_Composite!$A$5:$A$369,"&gt;="&amp;B$3,Daily_Composite!$A$5:$A$369,"&lt;="&amp;B$2,Daily_Composite!$B$5:$B$369,1,Daily_Composite!$AL$5:$AL$369,"&lt;"&amp;-Settings!$C$4)/COUNTIFS(Daily_Composite!$A$5:$A$369,"&gt;="&amp;B$3,Daily_Composite!$A$5:$A$369,"&lt;="&amp;B$2,Daily_Composite!$B$5:$B$369,1),"")</f>
        <v>0.5</v>
      </c>
      <c r="E36" s="7" t="n">
        <f aca="false">IFERROR(AVERAGEIFS(Daily_Composite!$AL$5:$AL$369,Daily_Composite!$A$5:$A$369,"&gt;="&amp;E$3,Daily_Composite!$A$5:$A$369,"&lt;="&amp;E$2,Daily_Composite!$B$5:$B$369,1),"")</f>
        <v>-0.028047619047619</v>
      </c>
      <c r="F36" s="8" t="n">
        <f aca="false">IFERROR(COUNTIFS(Daily_Composite!$A$5:$A$369,"&gt;="&amp;E$3,Daily_Composite!$A$5:$A$369,"&lt;="&amp;E$2,Daily_Composite!$B$5:$B$369,1,Daily_Composite!$AL$5:$AL$369,"&gt;"&amp;Settings!$C$4)/COUNTIFS(Daily_Composite!$A$5:$A$369,"&gt;="&amp;E$3,Daily_Composite!$A$5:$A$369,"&lt;="&amp;E$2,Daily_Composite!$B$5:$B$369,1),"")</f>
        <v>0.0952380952380952</v>
      </c>
      <c r="G36" s="8" t="n">
        <f aca="false">IFERROR(COUNTIFS(Daily_Composite!$A$5:$A$369,"&gt;="&amp;E$3,Daily_Composite!$A$5:$A$369,"&lt;="&amp;E$2,Daily_Composite!$B$5:$B$369,1,Daily_Composite!$AL$5:$AL$369,"&lt;"&amp;-Settings!$C$4)/COUNTIFS(Daily_Composite!$A$5:$A$369,"&gt;="&amp;E$3,Daily_Composite!$A$5:$A$369,"&lt;="&amp;E$2,Daily_Composite!$B$5:$B$369,1),"")</f>
        <v>0.19047619047619</v>
      </c>
      <c r="H36" s="7" t="n">
        <f aca="false">IFERROR(AVERAGEIFS(Daily_Composite!$AL$5:$AL$369,Daily_Composite!$A$5:$A$369,"&gt;="&amp;H$3,Daily_Composite!$A$5:$A$369,"&lt;="&amp;H$2,Daily_Composite!$B$5:$B$369,1),"")</f>
        <v>-0.0836956521739131</v>
      </c>
      <c r="I36" s="8" t="n">
        <f aca="false">IFERROR(COUNTIFS(Daily_Composite!$A$5:$A$369,"&gt;="&amp;H$3,Daily_Composite!$A$5:$A$369,"&lt;="&amp;H$2,Daily_Composite!$B$5:$B$369,1,Daily_Composite!$AL$5:$AL$369,"&gt;"&amp;Settings!$C$4)/COUNTIFS(Daily_Composite!$A$5:$A$369,"&gt;="&amp;H$3,Daily_Composite!$A$5:$A$369,"&lt;="&amp;H$2,Daily_Composite!$B$5:$B$369,1),"")</f>
        <v>0.0434782608695652</v>
      </c>
      <c r="J36" s="8" t="n">
        <f aca="false">IFERROR(COUNTIFS(Daily_Composite!$A$5:$A$369,"&gt;="&amp;H$3,Daily_Composite!$A$5:$A$369,"&lt;="&amp;H$2,Daily_Composite!$B$5:$B$369,1,Daily_Composite!$AL$5:$AL$369,"&lt;"&amp;-Settings!$C$4)/COUNTIFS(Daily_Composite!$A$5:$A$369,"&gt;="&amp;H$3,Daily_Composite!$A$5:$A$369,"&lt;="&amp;H$2,Daily_Composite!$B$5:$B$369,1),"")</f>
        <v>0.173913043478261</v>
      </c>
      <c r="K36" s="7" t="n">
        <f aca="false">IFERROR(AVERAGEIFS(Daily_Composite!$AL$5:$AL$369,Daily_Composite!$A$5:$A$369,"&gt;="&amp;K$3,Daily_Composite!$A$5:$A$369,"&lt;="&amp;K$2,Daily_Composite!$B$5:$B$369,1),"")</f>
        <v>-0.150904761904762</v>
      </c>
      <c r="L36" s="8" t="n">
        <f aca="false">IFERROR(COUNTIFS(Daily_Composite!$A$5:$A$369,"&gt;="&amp;K$3,Daily_Composite!$A$5:$A$369,"&lt;="&amp;K$2,Daily_Composite!$B$5:$B$369,1,Daily_Composite!$AL$5:$AL$369,"&gt;"&amp;Settings!$C$4)/COUNTIFS(Daily_Composite!$A$5:$A$369,"&gt;="&amp;K$3,Daily_Composite!$A$5:$A$369,"&lt;="&amp;K$2,Daily_Composite!$B$5:$B$369,1),"")</f>
        <v>0.0476190476190476</v>
      </c>
      <c r="M36" s="8" t="n">
        <f aca="false">IFERROR(COUNTIFS(Daily_Composite!$A$5:$A$369,"&gt;="&amp;K$3,Daily_Composite!$A$5:$A$369,"&lt;="&amp;K$2,Daily_Composite!$B$5:$B$369,1,Daily_Composite!$AL$5:$AL$369,"&lt;"&amp;-Settings!$C$4)/COUNTIFS(Daily_Composite!$A$5:$A$369,"&gt;="&amp;K$3,Daily_Composite!$A$5:$A$369,"&lt;="&amp;K$2,Daily_Composite!$B$5:$B$369,1),"")</f>
        <v>0.380952380952381</v>
      </c>
      <c r="N36" s="7" t="n">
        <f aca="false">IFERROR(AVERAGEIFS(Daily_Composite!$AL$5:$AL$369,Daily_Composite!$A$5:$A$369,"&gt;="&amp;N$3,Daily_Composite!$A$5:$A$369,"&lt;="&amp;N$2,Daily_Composite!$B$5:$B$369,1),"")</f>
        <v>-0.2466</v>
      </c>
      <c r="O36" s="8" t="n">
        <f aca="false">IFERROR(COUNTIFS(Daily_Composite!$A$5:$A$369,"&gt;="&amp;N$3,Daily_Composite!$A$5:$A$369,"&lt;="&amp;N$2,Daily_Composite!$B$5:$B$369,1,Daily_Composite!$AL$5:$AL$369,"&gt;"&amp;Settings!$C$4)/COUNTIFS(Daily_Composite!$A$5:$A$369,"&gt;="&amp;N$3,Daily_Composite!$A$5:$A$369,"&lt;="&amp;N$2,Daily_Composite!$B$5:$B$369,1),"")</f>
        <v>0.05</v>
      </c>
      <c r="P36" s="8" t="n">
        <f aca="false">IFERROR(COUNTIFS(Daily_Composite!$A$5:$A$369,"&gt;="&amp;N$3,Daily_Composite!$A$5:$A$369,"&lt;="&amp;N$2,Daily_Composite!$B$5:$B$369,1,Daily_Composite!$AL$5:$AL$369,"&lt;"&amp;-Settings!$C$4)/COUNTIFS(Daily_Composite!$A$5:$A$369,"&gt;="&amp;N$3,Daily_Composite!$A$5:$A$369,"&lt;="&amp;N$2,Daily_Composite!$B$5:$B$369,1),"")</f>
        <v>0.65</v>
      </c>
      <c r="Q36" s="7" t="n">
        <f aca="false">IFERROR(AVERAGEIFS(Daily_Composite!$AL$5:$AL$369,Daily_Composite!$A$5:$A$369,"&gt;="&amp;Q$3,Daily_Composite!$A$5:$A$369,"&lt;="&amp;Q$2,Daily_Composite!$B$5:$B$369,1),"")</f>
        <v>-0.0448260869565217</v>
      </c>
      <c r="R36" s="8" t="n">
        <f aca="false">IFERROR(COUNTIFS(Daily_Composite!$A$5:$A$369,"&gt;="&amp;Q$3,Daily_Composite!$A$5:$A$369,"&lt;="&amp;Q$2,Daily_Composite!$B$5:$B$369,1,Daily_Composite!$AL$5:$AL$369,"&gt;"&amp;Settings!$C$4)/COUNTIFS(Daily_Composite!$A$5:$A$369,"&gt;="&amp;Q$3,Daily_Composite!$A$5:$A$369,"&lt;="&amp;Q$2,Daily_Composite!$B$5:$B$369,1),"")</f>
        <v>0.0434782608695652</v>
      </c>
      <c r="S36" s="8" t="n">
        <f aca="false">IFERROR(COUNTIFS(Daily_Composite!$A$5:$A$369,"&gt;="&amp;Q$3,Daily_Composite!$A$5:$A$369,"&lt;="&amp;Q$2,Daily_Composite!$B$5:$B$369,1,Daily_Composite!$AL$5:$AL$369,"&lt;"&amp;-Settings!$C$4)/COUNTIFS(Daily_Composite!$A$5:$A$369,"&gt;="&amp;Q$3,Daily_Composite!$A$5:$A$369,"&lt;="&amp;Q$2,Daily_Composite!$B$5:$B$369,1),"")</f>
        <v>0.173913043478261</v>
      </c>
      <c r="T36" s="7" t="n">
        <f aca="false">IFERROR(AVERAGEIFS(Daily_Composite!$AL$5:$AL$369,Daily_Composite!$A$5:$A$369,"&gt;="&amp;T$3,Daily_Composite!$A$5:$A$369,"&lt;="&amp;T$2,Daily_Composite!$B$5:$B$369,1),"")</f>
        <v>-0.0429090909090909</v>
      </c>
      <c r="U36" s="8" t="n">
        <f aca="false">IFERROR(COUNTIFS(Daily_Composite!$A$5:$A$369,"&gt;="&amp;T$3,Daily_Composite!$A$5:$A$369,"&lt;="&amp;T$2,Daily_Composite!$B$5:$B$369,1,Daily_Composite!$AL$5:$AL$369,"&gt;"&amp;Settings!$C$4)/COUNTIFS(Daily_Composite!$A$5:$A$369,"&gt;="&amp;T$3,Daily_Composite!$A$5:$A$369,"&lt;="&amp;T$2,Daily_Composite!$B$5:$B$369,1),"")</f>
        <v>0.136363636363636</v>
      </c>
      <c r="V36" s="8" t="n">
        <f aca="false">IFERROR(COUNTIFS(Daily_Composite!$A$5:$A$369,"&gt;="&amp;T$3,Daily_Composite!$A$5:$A$369,"&lt;="&amp;T$2,Daily_Composite!$B$5:$B$369,1,Daily_Composite!$AL$5:$AL$369,"&lt;"&amp;-Settings!$C$4)/COUNTIFS(Daily_Composite!$A$5:$A$369,"&gt;="&amp;T$3,Daily_Composite!$A$5:$A$369,"&lt;="&amp;T$2,Daily_Composite!$B$5:$B$369,1),"")</f>
        <v>0.272727272727273</v>
      </c>
      <c r="W36" s="7" t="n">
        <f aca="false">IFERROR(AVERAGEIFS(Daily_Composite!$AL$5:$AL$369,Daily_Composite!$A$5:$A$369,"&gt;="&amp;W$3,Daily_Composite!$A$5:$A$369,"&lt;="&amp;W$2,Daily_Composite!$B$5:$B$369,1),"")</f>
        <v>-0.173857142857143</v>
      </c>
      <c r="X36" s="8" t="n">
        <f aca="false">IFERROR(COUNTIFS(Daily_Composite!$A$5:$A$369,"&gt;="&amp;W$3,Daily_Composite!$A$5:$A$369,"&lt;="&amp;W$2,Daily_Composite!$B$5:$B$369,1,Daily_Composite!$AL$5:$AL$369,"&gt;"&amp;Settings!$C$4)/COUNTIFS(Daily_Composite!$A$5:$A$369,"&gt;="&amp;W$3,Daily_Composite!$A$5:$A$369,"&lt;="&amp;W$2,Daily_Composite!$B$5:$B$369,1),"")</f>
        <v>0</v>
      </c>
      <c r="Y36" s="8" t="n">
        <f aca="false">IFERROR(COUNTIFS(Daily_Composite!$A$5:$A$369,"&gt;="&amp;W$3,Daily_Composite!$A$5:$A$369,"&lt;="&amp;W$2,Daily_Composite!$B$5:$B$369,1,Daily_Composite!$AL$5:$AL$369,"&lt;"&amp;-Settings!$C$4)/COUNTIFS(Daily_Composite!$A$5:$A$369,"&gt;="&amp;W$3,Daily_Composite!$A$5:$A$369,"&lt;="&amp;W$2,Daily_Composite!$B$5:$B$369,1),"")</f>
        <v>0.285714285714286</v>
      </c>
      <c r="Z36" s="7" t="n">
        <f aca="false">IFERROR(AVERAGEIFS(Daily_Composite!$AL$5:$AL$369,Daily_Composite!$A$5:$A$369,"&gt;="&amp;Z$3,Daily_Composite!$A$5:$A$369,"&lt;="&amp;Z$2,Daily_Composite!$B$5:$B$369,1),"")</f>
        <v>-0.218681818181818</v>
      </c>
      <c r="AA36" s="8" t="n">
        <f aca="false">IFERROR(COUNTIFS(Daily_Composite!$A$5:$A$369,"&gt;="&amp;Z$3,Daily_Composite!$A$5:$A$369,"&lt;="&amp;Z$2,Daily_Composite!$B$5:$B$369,1,Daily_Composite!$AL$5:$AL$369,"&gt;"&amp;Settings!$C$4)/COUNTIFS(Daily_Composite!$A$5:$A$369,"&gt;="&amp;Z$3,Daily_Composite!$A$5:$A$369,"&lt;="&amp;Z$2,Daily_Composite!$B$5:$B$369,1),"")</f>
        <v>0</v>
      </c>
      <c r="AB36" s="8" t="n">
        <f aca="false">IFERROR(COUNTIFS(Daily_Composite!$A$5:$A$369,"&gt;="&amp;Z$3,Daily_Composite!$A$5:$A$369,"&lt;="&amp;Z$2,Daily_Composite!$B$5:$B$369,1,Daily_Composite!$AL$5:$AL$369,"&lt;"&amp;-Settings!$C$4)/COUNTIFS(Daily_Composite!$A$5:$A$369,"&gt;="&amp;Z$3,Daily_Composite!$A$5:$A$369,"&lt;="&amp;Z$2,Daily_Composite!$B$5:$B$369,1),"")</f>
        <v>0.681818181818182</v>
      </c>
      <c r="AC36" s="7" t="n">
        <f aca="false">IFERROR(AVERAGEIFS(Daily_Composite!$AL$5:$AL$369,Daily_Composite!$A$5:$A$369,"&gt;="&amp;AC$3,Daily_Composite!$A$5:$A$369,"&lt;="&amp;AC$2,Daily_Composite!$B$5:$B$369,1),"")</f>
        <v>-0.253045454545455</v>
      </c>
      <c r="AD36" s="8" t="n">
        <f aca="false">IFERROR(COUNTIFS(Daily_Composite!$A$5:$A$369,"&gt;="&amp;AC$3,Daily_Composite!$A$5:$A$369,"&lt;="&amp;AC$2,Daily_Composite!$B$5:$B$369,1,Daily_Composite!$AL$5:$AL$369,"&gt;"&amp;Settings!$C$4)/COUNTIFS(Daily_Composite!$A$5:$A$369,"&gt;="&amp;AC$3,Daily_Composite!$A$5:$A$369,"&lt;="&amp;AC$2,Daily_Composite!$B$5:$B$369,1),"")</f>
        <v>0</v>
      </c>
      <c r="AE36" s="8" t="n">
        <f aca="false">IFERROR(COUNTIFS(Daily_Composite!$A$5:$A$369,"&gt;="&amp;AC$3,Daily_Composite!$A$5:$A$369,"&lt;="&amp;AC$2,Daily_Composite!$B$5:$B$369,1,Daily_Composite!$AL$5:$AL$369,"&lt;"&amp;-Settings!$C$4)/COUNTIFS(Daily_Composite!$A$5:$A$369,"&gt;="&amp;AC$3,Daily_Composite!$A$5:$A$369,"&lt;="&amp;AC$2,Daily_Composite!$B$5:$B$369,1),"")</f>
        <v>0.727272727272727</v>
      </c>
      <c r="AF36" s="7" t="n">
        <f aca="false">IFERROR(AVERAGEIFS(Daily_Composite!$AL$5:$AL$369,Daily_Composite!$A$5:$A$369,"&gt;="&amp;AF$3,Daily_Composite!$A$5:$A$369,"&lt;="&amp;AF$2,Daily_Composite!$B$5:$B$369,1),"")</f>
        <v>-0.312409090909091</v>
      </c>
      <c r="AG36" s="8" t="n">
        <f aca="false">IFERROR(COUNTIFS(Daily_Composite!$A$5:$A$369,"&gt;="&amp;AF$3,Daily_Composite!$A$5:$A$369,"&lt;="&amp;AF$2,Daily_Composite!$B$5:$B$369,1,Daily_Composite!$AL$5:$AL$369,"&gt;"&amp;Settings!$C$4)/COUNTIFS(Daily_Composite!$A$5:$A$369,"&gt;="&amp;AF$3,Daily_Composite!$A$5:$A$369,"&lt;="&amp;AF$2,Daily_Composite!$B$5:$B$369,1),"")</f>
        <v>0</v>
      </c>
      <c r="AH36" s="8" t="n">
        <f aca="false">IFERROR(COUNTIFS(Daily_Composite!$A$5:$A$369,"&gt;="&amp;AF$3,Daily_Composite!$A$5:$A$369,"&lt;="&amp;AF$2,Daily_Composite!$B$5:$B$369,1,Daily_Composite!$AL$5:$AL$369,"&lt;"&amp;-Settings!$C$4)/COUNTIFS(Daily_Composite!$A$5:$A$369,"&gt;="&amp;AF$3,Daily_Composite!$A$5:$A$369,"&lt;="&amp;AF$2,Daily_Composite!$B$5:$B$369,1),"")</f>
        <v>0.909090909090909</v>
      </c>
      <c r="AI36" s="7" t="n">
        <f aca="false">IFERROR(AVERAGEIFS(Daily_Composite!$AL$5:$AL$369,Daily_Composite!$A$5:$A$369,"&gt;="&amp;AI$3,Daily_Composite!$A$5:$A$369,"&lt;="&amp;AI$2,Daily_Composite!$B$5:$B$369,1),"")</f>
        <v>-0.199363636363636</v>
      </c>
      <c r="AJ36" s="8" t="n">
        <f aca="false">IFERROR(COUNTIFS(Daily_Composite!$A$5:$A$369,"&gt;="&amp;AI$3,Daily_Composite!$A$5:$A$369,"&lt;="&amp;AI$2,Daily_Composite!$B$5:$B$369,1,Daily_Composite!$AL$5:$AL$369,"&gt;"&amp;Settings!$C$4)/COUNTIFS(Daily_Composite!$A$5:$A$369,"&gt;="&amp;AI$3,Daily_Composite!$A$5:$A$369,"&lt;="&amp;AI$2,Daily_Composite!$B$5:$B$369,1),"")</f>
        <v>0.0454545454545455</v>
      </c>
      <c r="AK36" s="8" t="n">
        <f aca="false">IFERROR(COUNTIFS(Daily_Composite!$A$5:$A$369,"&gt;="&amp;AI$3,Daily_Composite!$A$5:$A$369,"&lt;="&amp;AI$2,Daily_Composite!$B$5:$B$369,1,Daily_Composite!$AL$5:$AL$369,"&lt;"&amp;-Settings!$C$4)/COUNTIFS(Daily_Composite!$A$5:$A$369,"&gt;="&amp;AI$3,Daily_Composite!$A$5:$A$369,"&lt;="&amp;AI$2,Daily_Composite!$B$5:$B$369,1),"")</f>
        <v>0.590909090909091</v>
      </c>
      <c r="AL36" s="7" t="n">
        <f aca="false">IFERROR(AVERAGEIFS(Daily_Composite!$AL$5:$AL$369,Daily_Composite!$A$5:$A$369,"&gt;="&amp;AL$3,Daily_Composite!$A$5:$A$369,"&lt;="&amp;AL$2,Daily_Composite!$B$5:$B$369,1),"")</f>
        <v>-0.136611111111111</v>
      </c>
      <c r="AM36" s="8" t="n">
        <f aca="false">IFERROR(COUNTIFS(Daily_Composite!$A$5:$A$369,"&gt;="&amp;AL$3,Daily_Composite!$A$5:$A$369,"&lt;="&amp;AL$2,Daily_Composite!$B$5:$B$369,1,Daily_Composite!$AL$5:$AL$369,"&gt;"&amp;Settings!$C$4)/COUNTIFS(Daily_Composite!$A$5:$A$369,"&gt;="&amp;AL$3,Daily_Composite!$A$5:$A$369,"&lt;="&amp;AL$2,Daily_Composite!$B$5:$B$369,1),"")</f>
        <v>0</v>
      </c>
      <c r="AN36" s="8" t="n">
        <f aca="false">IFERROR(COUNTIFS(Daily_Composite!$A$5:$A$369,"&gt;="&amp;AL$3,Daily_Composite!$A$5:$A$369,"&lt;="&amp;AL$2,Daily_Composite!$B$5:$B$369,1,Daily_Composite!$AL$5:$AL$369,"&lt;"&amp;-Settings!$C$4)/COUNTIFS(Daily_Composite!$A$5:$A$369,"&gt;="&amp;AL$3,Daily_Composite!$A$5:$A$369,"&lt;="&amp;AL$2,Daily_Composite!$B$5:$B$369,1),"")</f>
        <v>0.444444444444444</v>
      </c>
    </row>
    <row r="37" customFormat="false" ht="15" hidden="false" customHeight="false" outlineLevel="0" collapsed="false">
      <c r="A37" s="6" t="s">
        <v>50</v>
      </c>
      <c r="B37" s="7" t="n">
        <f aca="false">IFERROR(AVERAGEIFS(Daily_Composite!$AM$5:$AM$369,Daily_Composite!$A$5:$A$369,"&gt;="&amp;B$3,Daily_Composite!$A$5:$A$369,"&lt;="&amp;B$2,Daily_Composite!$B$5:$B$369,1),"")</f>
        <v>0.25825</v>
      </c>
      <c r="C37" s="8" t="n">
        <f aca="false">IFERROR(COUNTIFS(Daily_Composite!$A$5:$A$369,"&gt;="&amp;B$3,Daily_Composite!$A$5:$A$369,"&lt;="&amp;B$2,Daily_Composite!$B$5:$B$369,1,Daily_Composite!$AM$5:$AM$369,"&gt;"&amp;Settings!$C$4)/COUNTIFS(Daily_Composite!$A$5:$A$369,"&gt;="&amp;B$3,Daily_Composite!$A$5:$A$369,"&lt;="&amp;B$2,Daily_Composite!$B$5:$B$369,1),"")</f>
        <v>0.75</v>
      </c>
      <c r="D37" s="8" t="n">
        <f aca="false">IFERROR(COUNTIFS(Daily_Composite!$A$5:$A$369,"&gt;="&amp;B$3,Daily_Composite!$A$5:$A$369,"&lt;="&amp;B$2,Daily_Composite!$B$5:$B$369,1,Daily_Composite!$AM$5:$AM$369,"&lt;"&amp;-Settings!$C$4)/COUNTIFS(Daily_Composite!$A$5:$A$369,"&gt;="&amp;B$3,Daily_Composite!$A$5:$A$369,"&lt;="&amp;B$2,Daily_Composite!$B$5:$B$369,1),"")</f>
        <v>0</v>
      </c>
      <c r="E37" s="7" t="n">
        <f aca="false">IFERROR(AVERAGEIFS(Daily_Composite!$AM$5:$AM$369,Daily_Composite!$A$5:$A$369,"&gt;="&amp;E$3,Daily_Composite!$A$5:$A$369,"&lt;="&amp;E$2,Daily_Composite!$B$5:$B$369,1),"")</f>
        <v>0.318</v>
      </c>
      <c r="F37" s="8" t="n">
        <f aca="false">IFERROR(COUNTIFS(Daily_Composite!$A$5:$A$369,"&gt;="&amp;E$3,Daily_Composite!$A$5:$A$369,"&lt;="&amp;E$2,Daily_Composite!$B$5:$B$369,1,Daily_Composite!$AM$5:$AM$369,"&gt;"&amp;Settings!$C$4)/COUNTIFS(Daily_Composite!$A$5:$A$369,"&gt;="&amp;E$3,Daily_Composite!$A$5:$A$369,"&lt;="&amp;E$2,Daily_Composite!$B$5:$B$369,1),"")</f>
        <v>0.904761904761905</v>
      </c>
      <c r="G37" s="8" t="n">
        <f aca="false">IFERROR(COUNTIFS(Daily_Composite!$A$5:$A$369,"&gt;="&amp;E$3,Daily_Composite!$A$5:$A$369,"&lt;="&amp;E$2,Daily_Composite!$B$5:$B$369,1,Daily_Composite!$AM$5:$AM$369,"&lt;"&amp;-Settings!$C$4)/COUNTIFS(Daily_Composite!$A$5:$A$369,"&gt;="&amp;E$3,Daily_Composite!$A$5:$A$369,"&lt;="&amp;E$2,Daily_Composite!$B$5:$B$369,1),"")</f>
        <v>0</v>
      </c>
      <c r="H37" s="7" t="n">
        <f aca="false">IFERROR(AVERAGEIFS(Daily_Composite!$AM$5:$AM$369,Daily_Composite!$A$5:$A$369,"&gt;="&amp;H$3,Daily_Composite!$A$5:$A$369,"&lt;="&amp;H$2,Daily_Composite!$B$5:$B$369,1),"")</f>
        <v>0.51504347826087</v>
      </c>
      <c r="I37" s="8" t="n">
        <f aca="false">IFERROR(COUNTIFS(Daily_Composite!$A$5:$A$369,"&gt;="&amp;H$3,Daily_Composite!$A$5:$A$369,"&lt;="&amp;H$2,Daily_Composite!$B$5:$B$369,1,Daily_Composite!$AM$5:$AM$369,"&gt;"&amp;Settings!$C$4)/COUNTIFS(Daily_Composite!$A$5:$A$369,"&gt;="&amp;H$3,Daily_Composite!$A$5:$A$369,"&lt;="&amp;H$2,Daily_Composite!$B$5:$B$369,1),"")</f>
        <v>1</v>
      </c>
      <c r="J37" s="8" t="n">
        <f aca="false">IFERROR(COUNTIFS(Daily_Composite!$A$5:$A$369,"&gt;="&amp;H$3,Daily_Composite!$A$5:$A$369,"&lt;="&amp;H$2,Daily_Composite!$B$5:$B$369,1,Daily_Composite!$AM$5:$AM$369,"&lt;"&amp;-Settings!$C$4)/COUNTIFS(Daily_Composite!$A$5:$A$369,"&gt;="&amp;H$3,Daily_Composite!$A$5:$A$369,"&lt;="&amp;H$2,Daily_Composite!$B$5:$B$369,1),"")</f>
        <v>0</v>
      </c>
      <c r="K37" s="7" t="n">
        <f aca="false">IFERROR(AVERAGEIFS(Daily_Composite!$AM$5:$AM$369,Daily_Composite!$A$5:$A$369,"&gt;="&amp;K$3,Daily_Composite!$A$5:$A$369,"&lt;="&amp;K$2,Daily_Composite!$B$5:$B$369,1),"")</f>
        <v>0.39252380952381</v>
      </c>
      <c r="L37" s="8" t="n">
        <f aca="false">IFERROR(COUNTIFS(Daily_Composite!$A$5:$A$369,"&gt;="&amp;K$3,Daily_Composite!$A$5:$A$369,"&lt;="&amp;K$2,Daily_Composite!$B$5:$B$369,1,Daily_Composite!$AM$5:$AM$369,"&gt;"&amp;Settings!$C$4)/COUNTIFS(Daily_Composite!$A$5:$A$369,"&gt;="&amp;K$3,Daily_Composite!$A$5:$A$369,"&lt;="&amp;K$2,Daily_Composite!$B$5:$B$369,1),"")</f>
        <v>1</v>
      </c>
      <c r="M37" s="8" t="n">
        <f aca="false">IFERROR(COUNTIFS(Daily_Composite!$A$5:$A$369,"&gt;="&amp;K$3,Daily_Composite!$A$5:$A$369,"&lt;="&amp;K$2,Daily_Composite!$B$5:$B$369,1,Daily_Composite!$AM$5:$AM$369,"&lt;"&amp;-Settings!$C$4)/COUNTIFS(Daily_Composite!$A$5:$A$369,"&gt;="&amp;K$3,Daily_Composite!$A$5:$A$369,"&lt;="&amp;K$2,Daily_Composite!$B$5:$B$369,1),"")</f>
        <v>0</v>
      </c>
      <c r="N37" s="7" t="n">
        <f aca="false">IFERROR(AVERAGEIFS(Daily_Composite!$AM$5:$AM$369,Daily_Composite!$A$5:$A$369,"&gt;="&amp;N$3,Daily_Composite!$A$5:$A$369,"&lt;="&amp;N$2,Daily_Composite!$B$5:$B$369,1),"")</f>
        <v>0.1903</v>
      </c>
      <c r="O37" s="8" t="n">
        <f aca="false">IFERROR(COUNTIFS(Daily_Composite!$A$5:$A$369,"&gt;="&amp;N$3,Daily_Composite!$A$5:$A$369,"&lt;="&amp;N$2,Daily_Composite!$B$5:$B$369,1,Daily_Composite!$AM$5:$AM$369,"&gt;"&amp;Settings!$C$4)/COUNTIFS(Daily_Composite!$A$5:$A$369,"&gt;="&amp;N$3,Daily_Composite!$A$5:$A$369,"&lt;="&amp;N$2,Daily_Composite!$B$5:$B$369,1),"")</f>
        <v>0.6</v>
      </c>
      <c r="P37" s="8" t="n">
        <f aca="false">IFERROR(COUNTIFS(Daily_Composite!$A$5:$A$369,"&gt;="&amp;N$3,Daily_Composite!$A$5:$A$369,"&lt;="&amp;N$2,Daily_Composite!$B$5:$B$369,1,Daily_Composite!$AM$5:$AM$369,"&lt;"&amp;-Settings!$C$4)/COUNTIFS(Daily_Composite!$A$5:$A$369,"&gt;="&amp;N$3,Daily_Composite!$A$5:$A$369,"&lt;="&amp;N$2,Daily_Composite!$B$5:$B$369,1),"")</f>
        <v>0</v>
      </c>
      <c r="Q37" s="7" t="n">
        <f aca="false">IFERROR(AVERAGEIFS(Daily_Composite!$AM$5:$AM$369,Daily_Composite!$A$5:$A$369,"&gt;="&amp;Q$3,Daily_Composite!$A$5:$A$369,"&lt;="&amp;Q$2,Daily_Composite!$B$5:$B$369,1),"")</f>
        <v>0.226130434782609</v>
      </c>
      <c r="R37" s="8" t="n">
        <f aca="false">IFERROR(COUNTIFS(Daily_Composite!$A$5:$A$369,"&gt;="&amp;Q$3,Daily_Composite!$A$5:$A$369,"&lt;="&amp;Q$2,Daily_Composite!$B$5:$B$369,1,Daily_Composite!$AM$5:$AM$369,"&gt;"&amp;Settings!$C$4)/COUNTIFS(Daily_Composite!$A$5:$A$369,"&gt;="&amp;Q$3,Daily_Composite!$A$5:$A$369,"&lt;="&amp;Q$2,Daily_Composite!$B$5:$B$369,1),"")</f>
        <v>0.782608695652174</v>
      </c>
      <c r="S37" s="8" t="n">
        <f aca="false">IFERROR(COUNTIFS(Daily_Composite!$A$5:$A$369,"&gt;="&amp;Q$3,Daily_Composite!$A$5:$A$369,"&lt;="&amp;Q$2,Daily_Composite!$B$5:$B$369,1,Daily_Composite!$AM$5:$AM$369,"&lt;"&amp;-Settings!$C$4)/COUNTIFS(Daily_Composite!$A$5:$A$369,"&gt;="&amp;Q$3,Daily_Composite!$A$5:$A$369,"&lt;="&amp;Q$2,Daily_Composite!$B$5:$B$369,1),"")</f>
        <v>0</v>
      </c>
      <c r="T37" s="7" t="n">
        <f aca="false">IFERROR(AVERAGEIFS(Daily_Composite!$AM$5:$AM$369,Daily_Composite!$A$5:$A$369,"&gt;="&amp;T$3,Daily_Composite!$A$5:$A$369,"&lt;="&amp;T$2,Daily_Composite!$B$5:$B$369,1),"")</f>
        <v>0.343727272727273</v>
      </c>
      <c r="U37" s="8" t="n">
        <f aca="false">IFERROR(COUNTIFS(Daily_Composite!$A$5:$A$369,"&gt;="&amp;T$3,Daily_Composite!$A$5:$A$369,"&lt;="&amp;T$2,Daily_Composite!$B$5:$B$369,1,Daily_Composite!$AM$5:$AM$369,"&gt;"&amp;Settings!$C$4)/COUNTIFS(Daily_Composite!$A$5:$A$369,"&gt;="&amp;T$3,Daily_Composite!$A$5:$A$369,"&lt;="&amp;T$2,Daily_Composite!$B$5:$B$369,1),"")</f>
        <v>0.954545454545455</v>
      </c>
      <c r="V37" s="8" t="n">
        <f aca="false">IFERROR(COUNTIFS(Daily_Composite!$A$5:$A$369,"&gt;="&amp;T$3,Daily_Composite!$A$5:$A$369,"&lt;="&amp;T$2,Daily_Composite!$B$5:$B$369,1,Daily_Composite!$AM$5:$AM$369,"&lt;"&amp;-Settings!$C$4)/COUNTIFS(Daily_Composite!$A$5:$A$369,"&gt;="&amp;T$3,Daily_Composite!$A$5:$A$369,"&lt;="&amp;T$2,Daily_Composite!$B$5:$B$369,1),"")</f>
        <v>0</v>
      </c>
      <c r="W37" s="7" t="n">
        <f aca="false">IFERROR(AVERAGEIFS(Daily_Composite!$AM$5:$AM$369,Daily_Composite!$A$5:$A$369,"&gt;="&amp;W$3,Daily_Composite!$A$5:$A$369,"&lt;="&amp;W$2,Daily_Composite!$B$5:$B$369,1),"")</f>
        <v>0.172761904761905</v>
      </c>
      <c r="X37" s="8" t="n">
        <f aca="false">IFERROR(COUNTIFS(Daily_Composite!$A$5:$A$369,"&gt;="&amp;W$3,Daily_Composite!$A$5:$A$369,"&lt;="&amp;W$2,Daily_Composite!$B$5:$B$369,1,Daily_Composite!$AM$5:$AM$369,"&gt;"&amp;Settings!$C$4)/COUNTIFS(Daily_Composite!$A$5:$A$369,"&gt;="&amp;W$3,Daily_Composite!$A$5:$A$369,"&lt;="&amp;W$2,Daily_Composite!$B$5:$B$369,1),"")</f>
        <v>0.666666666666667</v>
      </c>
      <c r="Y37" s="8" t="n">
        <f aca="false">IFERROR(COUNTIFS(Daily_Composite!$A$5:$A$369,"&gt;="&amp;W$3,Daily_Composite!$A$5:$A$369,"&lt;="&amp;W$2,Daily_Composite!$B$5:$B$369,1,Daily_Composite!$AM$5:$AM$369,"&lt;"&amp;-Settings!$C$4)/COUNTIFS(Daily_Composite!$A$5:$A$369,"&gt;="&amp;W$3,Daily_Composite!$A$5:$A$369,"&lt;="&amp;W$2,Daily_Composite!$B$5:$B$369,1),"")</f>
        <v>0</v>
      </c>
      <c r="Z37" s="7" t="n">
        <f aca="false">IFERROR(AVERAGEIFS(Daily_Composite!$AM$5:$AM$369,Daily_Composite!$A$5:$A$369,"&gt;="&amp;Z$3,Daily_Composite!$A$5:$A$369,"&lt;="&amp;Z$2,Daily_Composite!$B$5:$B$369,1),"")</f>
        <v>0.279136363636364</v>
      </c>
      <c r="AA37" s="8" t="n">
        <f aca="false">IFERROR(COUNTIFS(Daily_Composite!$A$5:$A$369,"&gt;="&amp;Z$3,Daily_Composite!$A$5:$A$369,"&lt;="&amp;Z$2,Daily_Composite!$B$5:$B$369,1,Daily_Composite!$AM$5:$AM$369,"&gt;"&amp;Settings!$C$4)/COUNTIFS(Daily_Composite!$A$5:$A$369,"&gt;="&amp;Z$3,Daily_Composite!$A$5:$A$369,"&lt;="&amp;Z$2,Daily_Composite!$B$5:$B$369,1),"")</f>
        <v>0.818181818181818</v>
      </c>
      <c r="AB37" s="8" t="n">
        <f aca="false">IFERROR(COUNTIFS(Daily_Composite!$A$5:$A$369,"&gt;="&amp;Z$3,Daily_Composite!$A$5:$A$369,"&lt;="&amp;Z$2,Daily_Composite!$B$5:$B$369,1,Daily_Composite!$AM$5:$AM$369,"&lt;"&amp;-Settings!$C$4)/COUNTIFS(Daily_Composite!$A$5:$A$369,"&gt;="&amp;Z$3,Daily_Composite!$A$5:$A$369,"&lt;="&amp;Z$2,Daily_Composite!$B$5:$B$369,1),"")</f>
        <v>0</v>
      </c>
      <c r="AC37" s="7" t="n">
        <f aca="false">IFERROR(AVERAGEIFS(Daily_Composite!$AM$5:$AM$369,Daily_Composite!$A$5:$A$369,"&gt;="&amp;AC$3,Daily_Composite!$A$5:$A$369,"&lt;="&amp;AC$2,Daily_Composite!$B$5:$B$369,1),"")</f>
        <v>0.226954545454545</v>
      </c>
      <c r="AD37" s="8" t="n">
        <f aca="false">IFERROR(COUNTIFS(Daily_Composite!$A$5:$A$369,"&gt;="&amp;AC$3,Daily_Composite!$A$5:$A$369,"&lt;="&amp;AC$2,Daily_Composite!$B$5:$B$369,1,Daily_Composite!$AM$5:$AM$369,"&gt;"&amp;Settings!$C$4)/COUNTIFS(Daily_Composite!$A$5:$A$369,"&gt;="&amp;AC$3,Daily_Composite!$A$5:$A$369,"&lt;="&amp;AC$2,Daily_Composite!$B$5:$B$369,1),"")</f>
        <v>0.863636363636364</v>
      </c>
      <c r="AE37" s="8" t="n">
        <f aca="false">IFERROR(COUNTIFS(Daily_Composite!$A$5:$A$369,"&gt;="&amp;AC$3,Daily_Composite!$A$5:$A$369,"&lt;="&amp;AC$2,Daily_Composite!$B$5:$B$369,1,Daily_Composite!$AM$5:$AM$369,"&lt;"&amp;-Settings!$C$4)/COUNTIFS(Daily_Composite!$A$5:$A$369,"&gt;="&amp;AC$3,Daily_Composite!$A$5:$A$369,"&lt;="&amp;AC$2,Daily_Composite!$B$5:$B$369,1),"")</f>
        <v>0.0909090909090909</v>
      </c>
      <c r="AF37" s="7" t="n">
        <f aca="false">IFERROR(AVERAGEIFS(Daily_Composite!$AM$5:$AM$369,Daily_Composite!$A$5:$A$369,"&gt;="&amp;AF$3,Daily_Composite!$A$5:$A$369,"&lt;="&amp;AF$2,Daily_Composite!$B$5:$B$369,1),"")</f>
        <v>0.112</v>
      </c>
      <c r="AG37" s="8" t="n">
        <f aca="false">IFERROR(COUNTIFS(Daily_Composite!$A$5:$A$369,"&gt;="&amp;AF$3,Daily_Composite!$A$5:$A$369,"&lt;="&amp;AF$2,Daily_Composite!$B$5:$B$369,1,Daily_Composite!$AM$5:$AM$369,"&gt;"&amp;Settings!$C$4)/COUNTIFS(Daily_Composite!$A$5:$A$369,"&gt;="&amp;AF$3,Daily_Composite!$A$5:$A$369,"&lt;="&amp;AF$2,Daily_Composite!$B$5:$B$369,1),"")</f>
        <v>0.272727272727273</v>
      </c>
      <c r="AH37" s="8" t="n">
        <f aca="false">IFERROR(COUNTIFS(Daily_Composite!$A$5:$A$369,"&gt;="&amp;AF$3,Daily_Composite!$A$5:$A$369,"&lt;="&amp;AF$2,Daily_Composite!$B$5:$B$369,1,Daily_Composite!$AM$5:$AM$369,"&lt;"&amp;-Settings!$C$4)/COUNTIFS(Daily_Composite!$A$5:$A$369,"&gt;="&amp;AF$3,Daily_Composite!$A$5:$A$369,"&lt;="&amp;AF$2,Daily_Composite!$B$5:$B$369,1),"")</f>
        <v>0.0454545454545455</v>
      </c>
      <c r="AI37" s="7" t="n">
        <f aca="false">IFERROR(AVERAGEIFS(Daily_Composite!$AM$5:$AM$369,Daily_Composite!$A$5:$A$369,"&gt;="&amp;AI$3,Daily_Composite!$A$5:$A$369,"&lt;="&amp;AI$2,Daily_Composite!$B$5:$B$369,1),"")</f>
        <v>0.179954545454545</v>
      </c>
      <c r="AJ37" s="8" t="n">
        <f aca="false">IFERROR(COUNTIFS(Daily_Composite!$A$5:$A$369,"&gt;="&amp;AI$3,Daily_Composite!$A$5:$A$369,"&lt;="&amp;AI$2,Daily_Composite!$B$5:$B$369,1,Daily_Composite!$AM$5:$AM$369,"&gt;"&amp;Settings!$C$4)/COUNTIFS(Daily_Composite!$A$5:$A$369,"&gt;="&amp;AI$3,Daily_Composite!$A$5:$A$369,"&lt;="&amp;AI$2,Daily_Composite!$B$5:$B$369,1),"")</f>
        <v>0.5</v>
      </c>
      <c r="AK37" s="8" t="n">
        <f aca="false">IFERROR(COUNTIFS(Daily_Composite!$A$5:$A$369,"&gt;="&amp;AI$3,Daily_Composite!$A$5:$A$369,"&lt;="&amp;AI$2,Daily_Composite!$B$5:$B$369,1,Daily_Composite!$AM$5:$AM$369,"&lt;"&amp;-Settings!$C$4)/COUNTIFS(Daily_Composite!$A$5:$A$369,"&gt;="&amp;AI$3,Daily_Composite!$A$5:$A$369,"&lt;="&amp;AI$2,Daily_Composite!$B$5:$B$369,1),"")</f>
        <v>0.0909090909090909</v>
      </c>
      <c r="AL37" s="7" t="n">
        <f aca="false">IFERROR(AVERAGEIFS(Daily_Composite!$AM$5:$AM$369,Daily_Composite!$A$5:$A$369,"&gt;="&amp;AL$3,Daily_Composite!$A$5:$A$369,"&lt;="&amp;AL$2,Daily_Composite!$B$5:$B$369,1),"")</f>
        <v>0.1355</v>
      </c>
      <c r="AM37" s="8" t="n">
        <f aca="false">IFERROR(COUNTIFS(Daily_Composite!$A$5:$A$369,"&gt;="&amp;AL$3,Daily_Composite!$A$5:$A$369,"&lt;="&amp;AL$2,Daily_Composite!$B$5:$B$369,1,Daily_Composite!$AM$5:$AM$369,"&gt;"&amp;Settings!$C$4)/COUNTIFS(Daily_Composite!$A$5:$A$369,"&gt;="&amp;AL$3,Daily_Composite!$A$5:$A$369,"&lt;="&amp;AL$2,Daily_Composite!$B$5:$B$369,1),"")</f>
        <v>0.333333333333333</v>
      </c>
      <c r="AN37" s="8" t="n">
        <f aca="false">IFERROR(COUNTIFS(Daily_Composite!$A$5:$A$369,"&gt;="&amp;AL$3,Daily_Composite!$A$5:$A$369,"&lt;="&amp;AL$2,Daily_Composite!$B$5:$B$369,1,Daily_Composite!$AM$5:$AM$369,"&lt;"&amp;-Settings!$C$4)/COUNTIFS(Daily_Composite!$A$5:$A$369,"&gt;="&amp;AL$3,Daily_Composite!$A$5:$A$369,"&lt;="&amp;AL$2,Daily_Composite!$B$5:$B$369,1),"")</f>
        <v>0.0555555555555556</v>
      </c>
    </row>
    <row r="38" customFormat="false" ht="15" hidden="false" customHeight="false" outlineLevel="0" collapsed="false">
      <c r="A38" s="6" t="s">
        <v>51</v>
      </c>
      <c r="B38" s="7" t="n">
        <f aca="false">IFERROR(AVERAGEIFS(Daily_Composite!$AN$5:$AN$369,Daily_Composite!$A$5:$A$369,"&gt;="&amp;B$3,Daily_Composite!$A$5:$A$369,"&lt;="&amp;B$2,Daily_Composite!$B$5:$B$369,1),"")</f>
        <v>-0.12375</v>
      </c>
      <c r="C38" s="8" t="n">
        <f aca="false">IFERROR(COUNTIFS(Daily_Composite!$A$5:$A$369,"&gt;="&amp;B$3,Daily_Composite!$A$5:$A$369,"&lt;="&amp;B$2,Daily_Composite!$B$5:$B$369,1,Daily_Composite!$AN$5:$AN$369,"&gt;"&amp;Settings!$C$4)/COUNTIFS(Daily_Composite!$A$5:$A$369,"&gt;="&amp;B$3,Daily_Composite!$A$5:$A$369,"&lt;="&amp;B$2,Daily_Composite!$B$5:$B$369,1),"")</f>
        <v>0</v>
      </c>
      <c r="D38" s="8" t="n">
        <f aca="false">IFERROR(COUNTIFS(Daily_Composite!$A$5:$A$369,"&gt;="&amp;B$3,Daily_Composite!$A$5:$A$369,"&lt;="&amp;B$2,Daily_Composite!$B$5:$B$369,1,Daily_Composite!$AN$5:$AN$369,"&lt;"&amp;-Settings!$C$4)/COUNTIFS(Daily_Composite!$A$5:$A$369,"&gt;="&amp;B$3,Daily_Composite!$A$5:$A$369,"&lt;="&amp;B$2,Daily_Composite!$B$5:$B$369,1),"")</f>
        <v>0.5</v>
      </c>
      <c r="E38" s="7" t="n">
        <f aca="false">IFERROR(AVERAGEIFS(Daily_Composite!$AN$5:$AN$369,Daily_Composite!$A$5:$A$369,"&gt;="&amp;E$3,Daily_Composite!$A$5:$A$369,"&lt;="&amp;E$2,Daily_Composite!$B$5:$B$369,1),"")</f>
        <v>-4.76190476190489E-005</v>
      </c>
      <c r="F38" s="8" t="n">
        <f aca="false">IFERROR(COUNTIFS(Daily_Composite!$A$5:$A$369,"&gt;="&amp;E$3,Daily_Composite!$A$5:$A$369,"&lt;="&amp;E$2,Daily_Composite!$B$5:$B$369,1,Daily_Composite!$AN$5:$AN$369,"&gt;"&amp;Settings!$C$4)/COUNTIFS(Daily_Composite!$A$5:$A$369,"&gt;="&amp;E$3,Daily_Composite!$A$5:$A$369,"&lt;="&amp;E$2,Daily_Composite!$B$5:$B$369,1),"")</f>
        <v>0.0476190476190476</v>
      </c>
      <c r="G38" s="8" t="n">
        <f aca="false">IFERROR(COUNTIFS(Daily_Composite!$A$5:$A$369,"&gt;="&amp;E$3,Daily_Composite!$A$5:$A$369,"&lt;="&amp;E$2,Daily_Composite!$B$5:$B$369,1,Daily_Composite!$AN$5:$AN$369,"&lt;"&amp;-Settings!$C$4)/COUNTIFS(Daily_Composite!$A$5:$A$369,"&gt;="&amp;E$3,Daily_Composite!$A$5:$A$369,"&lt;="&amp;E$2,Daily_Composite!$B$5:$B$369,1),"")</f>
        <v>0.0952380952380952</v>
      </c>
      <c r="H38" s="7" t="n">
        <f aca="false">IFERROR(AVERAGEIFS(Daily_Composite!$AN$5:$AN$369,Daily_Composite!$A$5:$A$369,"&gt;="&amp;H$3,Daily_Composite!$A$5:$A$369,"&lt;="&amp;H$2,Daily_Composite!$B$5:$B$369,1),"")</f>
        <v>-0.0398695652173913</v>
      </c>
      <c r="I38" s="8" t="n">
        <f aca="false">IFERROR(COUNTIFS(Daily_Composite!$A$5:$A$369,"&gt;="&amp;H$3,Daily_Composite!$A$5:$A$369,"&lt;="&amp;H$2,Daily_Composite!$B$5:$B$369,1,Daily_Composite!$AN$5:$AN$369,"&gt;"&amp;Settings!$C$4)/COUNTIFS(Daily_Composite!$A$5:$A$369,"&gt;="&amp;H$3,Daily_Composite!$A$5:$A$369,"&lt;="&amp;H$2,Daily_Composite!$B$5:$B$369,1),"")</f>
        <v>0.0434782608695652</v>
      </c>
      <c r="J38" s="8" t="n">
        <f aca="false">IFERROR(COUNTIFS(Daily_Composite!$A$5:$A$369,"&gt;="&amp;H$3,Daily_Composite!$A$5:$A$369,"&lt;="&amp;H$2,Daily_Composite!$B$5:$B$369,1,Daily_Composite!$AN$5:$AN$369,"&lt;"&amp;-Settings!$C$4)/COUNTIFS(Daily_Composite!$A$5:$A$369,"&gt;="&amp;H$3,Daily_Composite!$A$5:$A$369,"&lt;="&amp;H$2,Daily_Composite!$B$5:$B$369,1),"")</f>
        <v>0.173913043478261</v>
      </c>
      <c r="K38" s="7" t="n">
        <f aca="false">IFERROR(AVERAGEIFS(Daily_Composite!$AN$5:$AN$369,Daily_Composite!$A$5:$A$369,"&gt;="&amp;K$3,Daily_Composite!$A$5:$A$369,"&lt;="&amp;K$2,Daily_Composite!$B$5:$B$369,1),"")</f>
        <v>-0.126571428571429</v>
      </c>
      <c r="L38" s="8" t="n">
        <f aca="false">IFERROR(COUNTIFS(Daily_Composite!$A$5:$A$369,"&gt;="&amp;K$3,Daily_Composite!$A$5:$A$369,"&lt;="&amp;K$2,Daily_Composite!$B$5:$B$369,1,Daily_Composite!$AN$5:$AN$369,"&gt;"&amp;Settings!$C$4)/COUNTIFS(Daily_Composite!$A$5:$A$369,"&gt;="&amp;K$3,Daily_Composite!$A$5:$A$369,"&lt;="&amp;K$2,Daily_Composite!$B$5:$B$369,1),"")</f>
        <v>0</v>
      </c>
      <c r="M38" s="8" t="n">
        <f aca="false">IFERROR(COUNTIFS(Daily_Composite!$A$5:$A$369,"&gt;="&amp;K$3,Daily_Composite!$A$5:$A$369,"&lt;="&amp;K$2,Daily_Composite!$B$5:$B$369,1,Daily_Composite!$AN$5:$AN$369,"&lt;"&amp;-Settings!$C$4)/COUNTIFS(Daily_Composite!$A$5:$A$369,"&gt;="&amp;K$3,Daily_Composite!$A$5:$A$369,"&lt;="&amp;K$2,Daily_Composite!$B$5:$B$369,1),"")</f>
        <v>0.238095238095238</v>
      </c>
      <c r="N38" s="7" t="n">
        <f aca="false">IFERROR(AVERAGEIFS(Daily_Composite!$AN$5:$AN$369,Daily_Composite!$A$5:$A$369,"&gt;="&amp;N$3,Daily_Composite!$A$5:$A$369,"&lt;="&amp;N$2,Daily_Composite!$B$5:$B$369,1),"")</f>
        <v>-0.12325</v>
      </c>
      <c r="O38" s="8" t="n">
        <f aca="false">IFERROR(COUNTIFS(Daily_Composite!$A$5:$A$369,"&gt;="&amp;N$3,Daily_Composite!$A$5:$A$369,"&lt;="&amp;N$2,Daily_Composite!$B$5:$B$369,1,Daily_Composite!$AN$5:$AN$369,"&gt;"&amp;Settings!$C$4)/COUNTIFS(Daily_Composite!$A$5:$A$369,"&gt;="&amp;N$3,Daily_Composite!$A$5:$A$369,"&lt;="&amp;N$2,Daily_Composite!$B$5:$B$369,1),"")</f>
        <v>0</v>
      </c>
      <c r="P38" s="8" t="n">
        <f aca="false">IFERROR(COUNTIFS(Daily_Composite!$A$5:$A$369,"&gt;="&amp;N$3,Daily_Composite!$A$5:$A$369,"&lt;="&amp;N$2,Daily_Composite!$B$5:$B$369,1,Daily_Composite!$AN$5:$AN$369,"&lt;"&amp;-Settings!$C$4)/COUNTIFS(Daily_Composite!$A$5:$A$369,"&gt;="&amp;N$3,Daily_Composite!$A$5:$A$369,"&lt;="&amp;N$2,Daily_Composite!$B$5:$B$369,1),"")</f>
        <v>0.25</v>
      </c>
      <c r="Q38" s="7" t="n">
        <f aca="false">IFERROR(AVERAGEIFS(Daily_Composite!$AN$5:$AN$369,Daily_Composite!$A$5:$A$369,"&gt;="&amp;Q$3,Daily_Composite!$A$5:$A$369,"&lt;="&amp;Q$2,Daily_Composite!$B$5:$B$369,1),"")</f>
        <v>-0.116434782608696</v>
      </c>
      <c r="R38" s="8" t="n">
        <f aca="false">IFERROR(COUNTIFS(Daily_Composite!$A$5:$A$369,"&gt;="&amp;Q$3,Daily_Composite!$A$5:$A$369,"&lt;="&amp;Q$2,Daily_Composite!$B$5:$B$369,1,Daily_Composite!$AN$5:$AN$369,"&gt;"&amp;Settings!$C$4)/COUNTIFS(Daily_Composite!$A$5:$A$369,"&gt;="&amp;Q$3,Daily_Composite!$A$5:$A$369,"&lt;="&amp;Q$2,Daily_Composite!$B$5:$B$369,1),"")</f>
        <v>0.0434782608695652</v>
      </c>
      <c r="S38" s="8" t="n">
        <f aca="false">IFERROR(COUNTIFS(Daily_Composite!$A$5:$A$369,"&gt;="&amp;Q$3,Daily_Composite!$A$5:$A$369,"&lt;="&amp;Q$2,Daily_Composite!$B$5:$B$369,1,Daily_Composite!$AN$5:$AN$369,"&lt;"&amp;-Settings!$C$4)/COUNTIFS(Daily_Composite!$A$5:$A$369,"&gt;="&amp;Q$3,Daily_Composite!$A$5:$A$369,"&lt;="&amp;Q$2,Daily_Composite!$B$5:$B$369,1),"")</f>
        <v>0.347826086956522</v>
      </c>
      <c r="T38" s="7" t="n">
        <f aca="false">IFERROR(AVERAGEIFS(Daily_Composite!$AN$5:$AN$369,Daily_Composite!$A$5:$A$369,"&gt;="&amp;T$3,Daily_Composite!$A$5:$A$369,"&lt;="&amp;T$2,Daily_Composite!$B$5:$B$369,1),"")</f>
        <v>-0.204863636363636</v>
      </c>
      <c r="U38" s="8" t="n">
        <f aca="false">IFERROR(COUNTIFS(Daily_Composite!$A$5:$A$369,"&gt;="&amp;T$3,Daily_Composite!$A$5:$A$369,"&lt;="&amp;T$2,Daily_Composite!$B$5:$B$369,1,Daily_Composite!$AN$5:$AN$369,"&gt;"&amp;Settings!$C$4)/COUNTIFS(Daily_Composite!$A$5:$A$369,"&gt;="&amp;T$3,Daily_Composite!$A$5:$A$369,"&lt;="&amp;T$2,Daily_Composite!$B$5:$B$369,1),"")</f>
        <v>0.0454545454545455</v>
      </c>
      <c r="V38" s="8" t="n">
        <f aca="false">IFERROR(COUNTIFS(Daily_Composite!$A$5:$A$369,"&gt;="&amp;T$3,Daily_Composite!$A$5:$A$369,"&lt;="&amp;T$2,Daily_Composite!$B$5:$B$369,1,Daily_Composite!$AN$5:$AN$369,"&lt;"&amp;-Settings!$C$4)/COUNTIFS(Daily_Composite!$A$5:$A$369,"&gt;="&amp;T$3,Daily_Composite!$A$5:$A$369,"&lt;="&amp;T$2,Daily_Composite!$B$5:$B$369,1),"")</f>
        <v>0.772727272727273</v>
      </c>
      <c r="W38" s="7" t="n">
        <f aca="false">IFERROR(AVERAGEIFS(Daily_Composite!$AN$5:$AN$369,Daily_Composite!$A$5:$A$369,"&gt;="&amp;W$3,Daily_Composite!$A$5:$A$369,"&lt;="&amp;W$2,Daily_Composite!$B$5:$B$369,1),"")</f>
        <v>-0.0565714285714286</v>
      </c>
      <c r="X38" s="8" t="n">
        <f aca="false">IFERROR(COUNTIFS(Daily_Composite!$A$5:$A$369,"&gt;="&amp;W$3,Daily_Composite!$A$5:$A$369,"&lt;="&amp;W$2,Daily_Composite!$B$5:$B$369,1,Daily_Composite!$AN$5:$AN$369,"&gt;"&amp;Settings!$C$4)/COUNTIFS(Daily_Composite!$A$5:$A$369,"&gt;="&amp;W$3,Daily_Composite!$A$5:$A$369,"&lt;="&amp;W$2,Daily_Composite!$B$5:$B$369,1),"")</f>
        <v>0.0476190476190476</v>
      </c>
      <c r="Y38" s="8" t="n">
        <f aca="false">IFERROR(COUNTIFS(Daily_Composite!$A$5:$A$369,"&gt;="&amp;W$3,Daily_Composite!$A$5:$A$369,"&lt;="&amp;W$2,Daily_Composite!$B$5:$B$369,1,Daily_Composite!$AN$5:$AN$369,"&lt;"&amp;-Settings!$C$4)/COUNTIFS(Daily_Composite!$A$5:$A$369,"&gt;="&amp;W$3,Daily_Composite!$A$5:$A$369,"&lt;="&amp;W$2,Daily_Composite!$B$5:$B$369,1),"")</f>
        <v>0.0952380952380952</v>
      </c>
      <c r="Z38" s="7" t="n">
        <f aca="false">IFERROR(AVERAGEIFS(Daily_Composite!$AN$5:$AN$369,Daily_Composite!$A$5:$A$369,"&gt;="&amp;Z$3,Daily_Composite!$A$5:$A$369,"&lt;="&amp;Z$2,Daily_Composite!$B$5:$B$369,1),"")</f>
        <v>-0.183090909090909</v>
      </c>
      <c r="AA38" s="8" t="n">
        <f aca="false">IFERROR(COUNTIFS(Daily_Composite!$A$5:$A$369,"&gt;="&amp;Z$3,Daily_Composite!$A$5:$A$369,"&lt;="&amp;Z$2,Daily_Composite!$B$5:$B$369,1,Daily_Composite!$AN$5:$AN$369,"&gt;"&amp;Settings!$C$4)/COUNTIFS(Daily_Composite!$A$5:$A$369,"&gt;="&amp;Z$3,Daily_Composite!$A$5:$A$369,"&lt;="&amp;Z$2,Daily_Composite!$B$5:$B$369,1),"")</f>
        <v>0.0454545454545455</v>
      </c>
      <c r="AB38" s="8" t="n">
        <f aca="false">IFERROR(COUNTIFS(Daily_Composite!$A$5:$A$369,"&gt;="&amp;Z$3,Daily_Composite!$A$5:$A$369,"&lt;="&amp;Z$2,Daily_Composite!$B$5:$B$369,1,Daily_Composite!$AN$5:$AN$369,"&lt;"&amp;-Settings!$C$4)/COUNTIFS(Daily_Composite!$A$5:$A$369,"&gt;="&amp;Z$3,Daily_Composite!$A$5:$A$369,"&lt;="&amp;Z$2,Daily_Composite!$B$5:$B$369,1),"")</f>
        <v>0.681818181818182</v>
      </c>
      <c r="AC38" s="7" t="n">
        <f aca="false">IFERROR(AVERAGEIFS(Daily_Composite!$AN$5:$AN$369,Daily_Composite!$A$5:$A$369,"&gt;="&amp;AC$3,Daily_Composite!$A$5:$A$369,"&lt;="&amp;AC$2,Daily_Composite!$B$5:$B$369,1),"")</f>
        <v>-0.163681818181818</v>
      </c>
      <c r="AD38" s="8" t="n">
        <f aca="false">IFERROR(COUNTIFS(Daily_Composite!$A$5:$A$369,"&gt;="&amp;AC$3,Daily_Composite!$A$5:$A$369,"&lt;="&amp;AC$2,Daily_Composite!$B$5:$B$369,1,Daily_Composite!$AN$5:$AN$369,"&gt;"&amp;Settings!$C$4)/COUNTIFS(Daily_Composite!$A$5:$A$369,"&gt;="&amp;AC$3,Daily_Composite!$A$5:$A$369,"&lt;="&amp;AC$2,Daily_Composite!$B$5:$B$369,1),"")</f>
        <v>0.0454545454545455</v>
      </c>
      <c r="AE38" s="8" t="n">
        <f aca="false">IFERROR(COUNTIFS(Daily_Composite!$A$5:$A$369,"&gt;="&amp;AC$3,Daily_Composite!$A$5:$A$369,"&lt;="&amp;AC$2,Daily_Composite!$B$5:$B$369,1,Daily_Composite!$AN$5:$AN$369,"&lt;"&amp;-Settings!$C$4)/COUNTIFS(Daily_Composite!$A$5:$A$369,"&gt;="&amp;AC$3,Daily_Composite!$A$5:$A$369,"&lt;="&amp;AC$2,Daily_Composite!$B$5:$B$369,1),"")</f>
        <v>0.590909090909091</v>
      </c>
      <c r="AF38" s="7" t="n">
        <f aca="false">IFERROR(AVERAGEIFS(Daily_Composite!$AN$5:$AN$369,Daily_Composite!$A$5:$A$369,"&gt;="&amp;AF$3,Daily_Composite!$A$5:$A$369,"&lt;="&amp;AF$2,Daily_Composite!$B$5:$B$369,1),"")</f>
        <v>-0.0660454545454546</v>
      </c>
      <c r="AG38" s="8" t="n">
        <f aca="false">IFERROR(COUNTIFS(Daily_Composite!$A$5:$A$369,"&gt;="&amp;AF$3,Daily_Composite!$A$5:$A$369,"&lt;="&amp;AF$2,Daily_Composite!$B$5:$B$369,1,Daily_Composite!$AN$5:$AN$369,"&gt;"&amp;Settings!$C$4)/COUNTIFS(Daily_Composite!$A$5:$A$369,"&gt;="&amp;AF$3,Daily_Composite!$A$5:$A$369,"&lt;="&amp;AF$2,Daily_Composite!$B$5:$B$369,1),"")</f>
        <v>0.0454545454545455</v>
      </c>
      <c r="AH38" s="8" t="n">
        <f aca="false">IFERROR(COUNTIFS(Daily_Composite!$A$5:$A$369,"&gt;="&amp;AF$3,Daily_Composite!$A$5:$A$369,"&lt;="&amp;AF$2,Daily_Composite!$B$5:$B$369,1,Daily_Composite!$AN$5:$AN$369,"&lt;"&amp;-Settings!$C$4)/COUNTIFS(Daily_Composite!$A$5:$A$369,"&gt;="&amp;AF$3,Daily_Composite!$A$5:$A$369,"&lt;="&amp;AF$2,Daily_Composite!$B$5:$B$369,1),"")</f>
        <v>0.227272727272727</v>
      </c>
      <c r="AI38" s="7" t="n">
        <f aca="false">IFERROR(AVERAGEIFS(Daily_Composite!$AN$5:$AN$369,Daily_Composite!$A$5:$A$369,"&gt;="&amp;AI$3,Daily_Composite!$A$5:$A$369,"&lt;="&amp;AI$2,Daily_Composite!$B$5:$B$369,1),"")</f>
        <v>-0.215045454545455</v>
      </c>
      <c r="AJ38" s="8" t="n">
        <f aca="false">IFERROR(COUNTIFS(Daily_Composite!$A$5:$A$369,"&gt;="&amp;AI$3,Daily_Composite!$A$5:$A$369,"&lt;="&amp;AI$2,Daily_Composite!$B$5:$B$369,1,Daily_Composite!$AN$5:$AN$369,"&gt;"&amp;Settings!$C$4)/COUNTIFS(Daily_Composite!$A$5:$A$369,"&gt;="&amp;AI$3,Daily_Composite!$A$5:$A$369,"&lt;="&amp;AI$2,Daily_Composite!$B$5:$B$369,1),"")</f>
        <v>0.0454545454545455</v>
      </c>
      <c r="AK38" s="8" t="n">
        <f aca="false">IFERROR(COUNTIFS(Daily_Composite!$A$5:$A$369,"&gt;="&amp;AI$3,Daily_Composite!$A$5:$A$369,"&lt;="&amp;AI$2,Daily_Composite!$B$5:$B$369,1,Daily_Composite!$AN$5:$AN$369,"&lt;"&amp;-Settings!$C$4)/COUNTIFS(Daily_Composite!$A$5:$A$369,"&gt;="&amp;AI$3,Daily_Composite!$A$5:$A$369,"&lt;="&amp;AI$2,Daily_Composite!$B$5:$B$369,1),"")</f>
        <v>0.727272727272727</v>
      </c>
      <c r="AL38" s="7" t="n">
        <f aca="false">IFERROR(AVERAGEIFS(Daily_Composite!$AN$5:$AN$369,Daily_Composite!$A$5:$A$369,"&gt;="&amp;AL$3,Daily_Composite!$A$5:$A$369,"&lt;="&amp;AL$2,Daily_Composite!$B$5:$B$369,1),"")</f>
        <v>-0.007</v>
      </c>
      <c r="AM38" s="8" t="n">
        <f aca="false">IFERROR(COUNTIFS(Daily_Composite!$A$5:$A$369,"&gt;="&amp;AL$3,Daily_Composite!$A$5:$A$369,"&lt;="&amp;AL$2,Daily_Composite!$B$5:$B$369,1,Daily_Composite!$AN$5:$AN$369,"&gt;"&amp;Settings!$C$4)/COUNTIFS(Daily_Composite!$A$5:$A$369,"&gt;="&amp;AL$3,Daily_Composite!$A$5:$A$369,"&lt;="&amp;AL$2,Daily_Composite!$B$5:$B$369,1),"")</f>
        <v>0.166666666666667</v>
      </c>
      <c r="AN38" s="8" t="n">
        <f aca="false">IFERROR(COUNTIFS(Daily_Composite!$A$5:$A$369,"&gt;="&amp;AL$3,Daily_Composite!$A$5:$A$369,"&lt;="&amp;AL$2,Daily_Composite!$B$5:$B$369,1,Daily_Composite!$AN$5:$AN$369,"&lt;"&amp;-Settings!$C$4)/COUNTIFS(Daily_Composite!$A$5:$A$369,"&gt;="&amp;AL$3,Daily_Composite!$A$5:$A$369,"&lt;="&amp;AL$2,Daily_Composite!$B$5:$B$369,1),"")</f>
        <v>0.333333333333333</v>
      </c>
    </row>
    <row r="39" customFormat="false" ht="15" hidden="false" customHeight="false" outlineLevel="0" collapsed="false">
      <c r="A39" s="6" t="s">
        <v>52</v>
      </c>
      <c r="B39" s="7" t="n">
        <f aca="false">IFERROR(AVERAGEIFS(Daily_Composite!$AO$5:$AO$369,Daily_Composite!$A$5:$A$369,"&gt;="&amp;B$3,Daily_Composite!$A$5:$A$369,"&lt;="&amp;B$2,Daily_Composite!$B$5:$B$369,1),"")</f>
        <v>-0.0225</v>
      </c>
      <c r="C39" s="8" t="n">
        <f aca="false">IFERROR(COUNTIFS(Daily_Composite!$A$5:$A$369,"&gt;="&amp;B$3,Daily_Composite!$A$5:$A$369,"&lt;="&amp;B$2,Daily_Composite!$B$5:$B$369,1,Daily_Composite!$AO$5:$AO$369,"&gt;"&amp;Settings!$C$4)/COUNTIFS(Daily_Composite!$A$5:$A$369,"&gt;="&amp;B$3,Daily_Composite!$A$5:$A$369,"&lt;="&amp;B$2,Daily_Composite!$B$5:$B$369,1),"")</f>
        <v>0</v>
      </c>
      <c r="D39" s="8" t="n">
        <f aca="false">IFERROR(COUNTIFS(Daily_Composite!$A$5:$A$369,"&gt;="&amp;B$3,Daily_Composite!$A$5:$A$369,"&lt;="&amp;B$2,Daily_Composite!$B$5:$B$369,1,Daily_Composite!$AO$5:$AO$369,"&lt;"&amp;-Settings!$C$4)/COUNTIFS(Daily_Composite!$A$5:$A$369,"&gt;="&amp;B$3,Daily_Composite!$A$5:$A$369,"&lt;="&amp;B$2,Daily_Composite!$B$5:$B$369,1),"")</f>
        <v>0</v>
      </c>
      <c r="E39" s="7" t="n">
        <f aca="false">IFERROR(AVERAGEIFS(Daily_Composite!$AO$5:$AO$369,Daily_Composite!$A$5:$A$369,"&gt;="&amp;E$3,Daily_Composite!$A$5:$A$369,"&lt;="&amp;E$2,Daily_Composite!$B$5:$B$369,1),"")</f>
        <v>-0.150619047619048</v>
      </c>
      <c r="F39" s="8" t="n">
        <f aca="false">IFERROR(COUNTIFS(Daily_Composite!$A$5:$A$369,"&gt;="&amp;E$3,Daily_Composite!$A$5:$A$369,"&lt;="&amp;E$2,Daily_Composite!$B$5:$B$369,1,Daily_Composite!$AO$5:$AO$369,"&gt;"&amp;Settings!$C$4)/COUNTIFS(Daily_Composite!$A$5:$A$369,"&gt;="&amp;E$3,Daily_Composite!$A$5:$A$369,"&lt;="&amp;E$2,Daily_Composite!$B$5:$B$369,1),"")</f>
        <v>0.0952380952380952</v>
      </c>
      <c r="G39" s="8" t="n">
        <f aca="false">IFERROR(COUNTIFS(Daily_Composite!$A$5:$A$369,"&gt;="&amp;E$3,Daily_Composite!$A$5:$A$369,"&lt;="&amp;E$2,Daily_Composite!$B$5:$B$369,1,Daily_Composite!$AO$5:$AO$369,"&lt;"&amp;-Settings!$C$4)/COUNTIFS(Daily_Composite!$A$5:$A$369,"&gt;="&amp;E$3,Daily_Composite!$A$5:$A$369,"&lt;="&amp;E$2,Daily_Composite!$B$5:$B$369,1),"")</f>
        <v>0.380952380952381</v>
      </c>
      <c r="H39" s="7" t="n">
        <f aca="false">IFERROR(AVERAGEIFS(Daily_Composite!$AO$5:$AO$369,Daily_Composite!$A$5:$A$369,"&gt;="&amp;H$3,Daily_Composite!$A$5:$A$369,"&lt;="&amp;H$2,Daily_Composite!$B$5:$B$369,1),"")</f>
        <v>-0.298173913043478</v>
      </c>
      <c r="I39" s="8" t="n">
        <f aca="false">IFERROR(COUNTIFS(Daily_Composite!$A$5:$A$369,"&gt;="&amp;H$3,Daily_Composite!$A$5:$A$369,"&lt;="&amp;H$2,Daily_Composite!$B$5:$B$369,1,Daily_Composite!$AO$5:$AO$369,"&gt;"&amp;Settings!$C$4)/COUNTIFS(Daily_Composite!$A$5:$A$369,"&gt;="&amp;H$3,Daily_Composite!$A$5:$A$369,"&lt;="&amp;H$2,Daily_Composite!$B$5:$B$369,1),"")</f>
        <v>0.0869565217391304</v>
      </c>
      <c r="J39" s="8" t="n">
        <f aca="false">IFERROR(COUNTIFS(Daily_Composite!$A$5:$A$369,"&gt;="&amp;H$3,Daily_Composite!$A$5:$A$369,"&lt;="&amp;H$2,Daily_Composite!$B$5:$B$369,1,Daily_Composite!$AO$5:$AO$369,"&lt;"&amp;-Settings!$C$4)/COUNTIFS(Daily_Composite!$A$5:$A$369,"&gt;="&amp;H$3,Daily_Composite!$A$5:$A$369,"&lt;="&amp;H$2,Daily_Composite!$B$5:$B$369,1),"")</f>
        <v>0.695652173913044</v>
      </c>
      <c r="K39" s="7" t="n">
        <f aca="false">IFERROR(AVERAGEIFS(Daily_Composite!$AO$5:$AO$369,Daily_Composite!$A$5:$A$369,"&gt;="&amp;K$3,Daily_Composite!$A$5:$A$369,"&lt;="&amp;K$2,Daily_Composite!$B$5:$B$369,1),"")</f>
        <v>-0.471</v>
      </c>
      <c r="L39" s="8" t="n">
        <f aca="false">IFERROR(COUNTIFS(Daily_Composite!$A$5:$A$369,"&gt;="&amp;K$3,Daily_Composite!$A$5:$A$369,"&lt;="&amp;K$2,Daily_Composite!$B$5:$B$369,1,Daily_Composite!$AO$5:$AO$369,"&gt;"&amp;Settings!$C$4)/COUNTIFS(Daily_Composite!$A$5:$A$369,"&gt;="&amp;K$3,Daily_Composite!$A$5:$A$369,"&lt;="&amp;K$2,Daily_Composite!$B$5:$B$369,1),"")</f>
        <v>0</v>
      </c>
      <c r="M39" s="8" t="n">
        <f aca="false">IFERROR(COUNTIFS(Daily_Composite!$A$5:$A$369,"&gt;="&amp;K$3,Daily_Composite!$A$5:$A$369,"&lt;="&amp;K$2,Daily_Composite!$B$5:$B$369,1,Daily_Composite!$AO$5:$AO$369,"&lt;"&amp;-Settings!$C$4)/COUNTIFS(Daily_Composite!$A$5:$A$369,"&gt;="&amp;K$3,Daily_Composite!$A$5:$A$369,"&lt;="&amp;K$2,Daily_Composite!$B$5:$B$369,1),"")</f>
        <v>0.904761904761905</v>
      </c>
      <c r="N39" s="7" t="n">
        <f aca="false">IFERROR(AVERAGEIFS(Daily_Composite!$AO$5:$AO$369,Daily_Composite!$A$5:$A$369,"&gt;="&amp;N$3,Daily_Composite!$A$5:$A$369,"&lt;="&amp;N$2,Daily_Composite!$B$5:$B$369,1),"")</f>
        <v>-0.59305</v>
      </c>
      <c r="O39" s="8" t="n">
        <f aca="false">IFERROR(COUNTIFS(Daily_Composite!$A$5:$A$369,"&gt;="&amp;N$3,Daily_Composite!$A$5:$A$369,"&lt;="&amp;N$2,Daily_Composite!$B$5:$B$369,1,Daily_Composite!$AO$5:$AO$369,"&gt;"&amp;Settings!$C$4)/COUNTIFS(Daily_Composite!$A$5:$A$369,"&gt;="&amp;N$3,Daily_Composite!$A$5:$A$369,"&lt;="&amp;N$2,Daily_Composite!$B$5:$B$369,1),"")</f>
        <v>0</v>
      </c>
      <c r="P39" s="8" t="n">
        <f aca="false">IFERROR(COUNTIFS(Daily_Composite!$A$5:$A$369,"&gt;="&amp;N$3,Daily_Composite!$A$5:$A$369,"&lt;="&amp;N$2,Daily_Composite!$B$5:$B$369,1,Daily_Composite!$AO$5:$AO$369,"&lt;"&amp;-Settings!$C$4)/COUNTIFS(Daily_Composite!$A$5:$A$369,"&gt;="&amp;N$3,Daily_Composite!$A$5:$A$369,"&lt;="&amp;N$2,Daily_Composite!$B$5:$B$369,1),"")</f>
        <v>0.95</v>
      </c>
      <c r="Q39" s="7" t="n">
        <f aca="false">IFERROR(AVERAGEIFS(Daily_Composite!$AO$5:$AO$369,Daily_Composite!$A$5:$A$369,"&gt;="&amp;Q$3,Daily_Composite!$A$5:$A$369,"&lt;="&amp;Q$2,Daily_Composite!$B$5:$B$369,1),"")</f>
        <v>-0.361695652173913</v>
      </c>
      <c r="R39" s="8" t="n">
        <f aca="false">IFERROR(COUNTIFS(Daily_Composite!$A$5:$A$369,"&gt;="&amp;Q$3,Daily_Composite!$A$5:$A$369,"&lt;="&amp;Q$2,Daily_Composite!$B$5:$B$369,1,Daily_Composite!$AO$5:$AO$369,"&gt;"&amp;Settings!$C$4)/COUNTIFS(Daily_Composite!$A$5:$A$369,"&gt;="&amp;Q$3,Daily_Composite!$A$5:$A$369,"&lt;="&amp;Q$2,Daily_Composite!$B$5:$B$369,1),"")</f>
        <v>0.0434782608695652</v>
      </c>
      <c r="S39" s="8" t="n">
        <f aca="false">IFERROR(COUNTIFS(Daily_Composite!$A$5:$A$369,"&gt;="&amp;Q$3,Daily_Composite!$A$5:$A$369,"&lt;="&amp;Q$2,Daily_Composite!$B$5:$B$369,1,Daily_Composite!$AO$5:$AO$369,"&lt;"&amp;-Settings!$C$4)/COUNTIFS(Daily_Composite!$A$5:$A$369,"&gt;="&amp;Q$3,Daily_Composite!$A$5:$A$369,"&lt;="&amp;Q$2,Daily_Composite!$B$5:$B$369,1),"")</f>
        <v>0.869565217391304</v>
      </c>
      <c r="T39" s="7" t="n">
        <f aca="false">IFERROR(AVERAGEIFS(Daily_Composite!$AO$5:$AO$369,Daily_Composite!$A$5:$A$369,"&gt;="&amp;T$3,Daily_Composite!$A$5:$A$369,"&lt;="&amp;T$2,Daily_Composite!$B$5:$B$369,1),"")</f>
        <v>-0.379590909090909</v>
      </c>
      <c r="U39" s="8" t="n">
        <f aca="false">IFERROR(COUNTIFS(Daily_Composite!$A$5:$A$369,"&gt;="&amp;T$3,Daily_Composite!$A$5:$A$369,"&lt;="&amp;T$2,Daily_Composite!$B$5:$B$369,1,Daily_Composite!$AO$5:$AO$369,"&gt;"&amp;Settings!$C$4)/COUNTIFS(Daily_Composite!$A$5:$A$369,"&gt;="&amp;T$3,Daily_Composite!$A$5:$A$369,"&lt;="&amp;T$2,Daily_Composite!$B$5:$B$369,1),"")</f>
        <v>0</v>
      </c>
      <c r="V39" s="8" t="n">
        <f aca="false">IFERROR(COUNTIFS(Daily_Composite!$A$5:$A$369,"&gt;="&amp;T$3,Daily_Composite!$A$5:$A$369,"&lt;="&amp;T$2,Daily_Composite!$B$5:$B$369,1,Daily_Composite!$AO$5:$AO$369,"&lt;"&amp;-Settings!$C$4)/COUNTIFS(Daily_Composite!$A$5:$A$369,"&gt;="&amp;T$3,Daily_Composite!$A$5:$A$369,"&lt;="&amp;T$2,Daily_Composite!$B$5:$B$369,1),"")</f>
        <v>0.954545454545455</v>
      </c>
      <c r="W39" s="7" t="n">
        <f aca="false">IFERROR(AVERAGEIFS(Daily_Composite!$AO$5:$AO$369,Daily_Composite!$A$5:$A$369,"&gt;="&amp;W$3,Daily_Composite!$A$5:$A$369,"&lt;="&amp;W$2,Daily_Composite!$B$5:$B$369,1),"")</f>
        <v>-0.335333333333333</v>
      </c>
      <c r="X39" s="8" t="n">
        <f aca="false">IFERROR(COUNTIFS(Daily_Composite!$A$5:$A$369,"&gt;="&amp;W$3,Daily_Composite!$A$5:$A$369,"&lt;="&amp;W$2,Daily_Composite!$B$5:$B$369,1,Daily_Composite!$AO$5:$AO$369,"&gt;"&amp;Settings!$C$4)/COUNTIFS(Daily_Composite!$A$5:$A$369,"&gt;="&amp;W$3,Daily_Composite!$A$5:$A$369,"&lt;="&amp;W$2,Daily_Composite!$B$5:$B$369,1),"")</f>
        <v>0</v>
      </c>
      <c r="Y39" s="8" t="n">
        <f aca="false">IFERROR(COUNTIFS(Daily_Composite!$A$5:$A$369,"&gt;="&amp;W$3,Daily_Composite!$A$5:$A$369,"&lt;="&amp;W$2,Daily_Composite!$B$5:$B$369,1,Daily_Composite!$AO$5:$AO$369,"&lt;"&amp;-Settings!$C$4)/COUNTIFS(Daily_Composite!$A$5:$A$369,"&gt;="&amp;W$3,Daily_Composite!$A$5:$A$369,"&lt;="&amp;W$2,Daily_Composite!$B$5:$B$369,1),"")</f>
        <v>0.904761904761905</v>
      </c>
      <c r="Z39" s="7" t="n">
        <f aca="false">IFERROR(AVERAGEIFS(Daily_Composite!$AO$5:$AO$369,Daily_Composite!$A$5:$A$369,"&gt;="&amp;Z$3,Daily_Composite!$A$5:$A$369,"&lt;="&amp;Z$2,Daily_Composite!$B$5:$B$369,1),"")</f>
        <v>-0.244727272727273</v>
      </c>
      <c r="AA39" s="8" t="n">
        <f aca="false">IFERROR(COUNTIFS(Daily_Composite!$A$5:$A$369,"&gt;="&amp;Z$3,Daily_Composite!$A$5:$A$369,"&lt;="&amp;Z$2,Daily_Composite!$B$5:$B$369,1,Daily_Composite!$AO$5:$AO$369,"&gt;"&amp;Settings!$C$4)/COUNTIFS(Daily_Composite!$A$5:$A$369,"&gt;="&amp;Z$3,Daily_Composite!$A$5:$A$369,"&lt;="&amp;Z$2,Daily_Composite!$B$5:$B$369,1),"")</f>
        <v>0</v>
      </c>
      <c r="AB39" s="8" t="n">
        <f aca="false">IFERROR(COUNTIFS(Daily_Composite!$A$5:$A$369,"&gt;="&amp;Z$3,Daily_Composite!$A$5:$A$369,"&lt;="&amp;Z$2,Daily_Composite!$B$5:$B$369,1,Daily_Composite!$AO$5:$AO$369,"&lt;"&amp;-Settings!$C$4)/COUNTIFS(Daily_Composite!$A$5:$A$369,"&gt;="&amp;Z$3,Daily_Composite!$A$5:$A$369,"&lt;="&amp;Z$2,Daily_Composite!$B$5:$B$369,1),"")</f>
        <v>0.636363636363636</v>
      </c>
      <c r="AC39" s="7" t="n">
        <f aca="false">IFERROR(AVERAGEIFS(Daily_Composite!$AO$5:$AO$369,Daily_Composite!$A$5:$A$369,"&gt;="&amp;AC$3,Daily_Composite!$A$5:$A$369,"&lt;="&amp;AC$2,Daily_Composite!$B$5:$B$369,1),"")</f>
        <v>-0.407409090909091</v>
      </c>
      <c r="AD39" s="8" t="n">
        <f aca="false">IFERROR(COUNTIFS(Daily_Composite!$A$5:$A$369,"&gt;="&amp;AC$3,Daily_Composite!$A$5:$A$369,"&lt;="&amp;AC$2,Daily_Composite!$B$5:$B$369,1,Daily_Composite!$AO$5:$AO$369,"&gt;"&amp;Settings!$C$4)/COUNTIFS(Daily_Composite!$A$5:$A$369,"&gt;="&amp;AC$3,Daily_Composite!$A$5:$A$369,"&lt;="&amp;AC$2,Daily_Composite!$B$5:$B$369,1),"")</f>
        <v>0</v>
      </c>
      <c r="AE39" s="8" t="n">
        <f aca="false">IFERROR(COUNTIFS(Daily_Composite!$A$5:$A$369,"&gt;="&amp;AC$3,Daily_Composite!$A$5:$A$369,"&lt;="&amp;AC$2,Daily_Composite!$B$5:$B$369,1,Daily_Composite!$AO$5:$AO$369,"&lt;"&amp;-Settings!$C$4)/COUNTIFS(Daily_Composite!$A$5:$A$369,"&gt;="&amp;AC$3,Daily_Composite!$A$5:$A$369,"&lt;="&amp;AC$2,Daily_Composite!$B$5:$B$369,1),"")</f>
        <v>1</v>
      </c>
      <c r="AF39" s="7" t="n">
        <f aca="false">IFERROR(AVERAGEIFS(Daily_Composite!$AO$5:$AO$369,Daily_Composite!$A$5:$A$369,"&gt;="&amp;AF$3,Daily_Composite!$A$5:$A$369,"&lt;="&amp;AF$2,Daily_Composite!$B$5:$B$369,1),"")</f>
        <v>-0.326227272727273</v>
      </c>
      <c r="AG39" s="8" t="n">
        <f aca="false">IFERROR(COUNTIFS(Daily_Composite!$A$5:$A$369,"&gt;="&amp;AF$3,Daily_Composite!$A$5:$A$369,"&lt;="&amp;AF$2,Daily_Composite!$B$5:$B$369,1,Daily_Composite!$AO$5:$AO$369,"&gt;"&amp;Settings!$C$4)/COUNTIFS(Daily_Composite!$A$5:$A$369,"&gt;="&amp;AF$3,Daily_Composite!$A$5:$A$369,"&lt;="&amp;AF$2,Daily_Composite!$B$5:$B$369,1),"")</f>
        <v>0.0454545454545455</v>
      </c>
      <c r="AH39" s="8" t="n">
        <f aca="false">IFERROR(COUNTIFS(Daily_Composite!$A$5:$A$369,"&gt;="&amp;AF$3,Daily_Composite!$A$5:$A$369,"&lt;="&amp;AF$2,Daily_Composite!$B$5:$B$369,1,Daily_Composite!$AO$5:$AO$369,"&lt;"&amp;-Settings!$C$4)/COUNTIFS(Daily_Composite!$A$5:$A$369,"&gt;="&amp;AF$3,Daily_Composite!$A$5:$A$369,"&lt;="&amp;AF$2,Daily_Composite!$B$5:$B$369,1),"")</f>
        <v>0.863636363636364</v>
      </c>
      <c r="AI39" s="7" t="n">
        <f aca="false">IFERROR(AVERAGEIFS(Daily_Composite!$AO$5:$AO$369,Daily_Composite!$A$5:$A$369,"&gt;="&amp;AI$3,Daily_Composite!$A$5:$A$369,"&lt;="&amp;AI$2,Daily_Composite!$B$5:$B$369,1),"")</f>
        <v>-0.0975909090909091</v>
      </c>
      <c r="AJ39" s="8" t="n">
        <f aca="false">IFERROR(COUNTIFS(Daily_Composite!$A$5:$A$369,"&gt;="&amp;AI$3,Daily_Composite!$A$5:$A$369,"&lt;="&amp;AI$2,Daily_Composite!$B$5:$B$369,1,Daily_Composite!$AO$5:$AO$369,"&gt;"&amp;Settings!$C$4)/COUNTIFS(Daily_Composite!$A$5:$A$369,"&gt;="&amp;AI$3,Daily_Composite!$A$5:$A$369,"&lt;="&amp;AI$2,Daily_Composite!$B$5:$B$369,1),"")</f>
        <v>0.0909090909090909</v>
      </c>
      <c r="AK39" s="8" t="n">
        <f aca="false">IFERROR(COUNTIFS(Daily_Composite!$A$5:$A$369,"&gt;="&amp;AI$3,Daily_Composite!$A$5:$A$369,"&lt;="&amp;AI$2,Daily_Composite!$B$5:$B$369,1,Daily_Composite!$AO$5:$AO$369,"&lt;"&amp;-Settings!$C$4)/COUNTIFS(Daily_Composite!$A$5:$A$369,"&gt;="&amp;AI$3,Daily_Composite!$A$5:$A$369,"&lt;="&amp;AI$2,Daily_Composite!$B$5:$B$369,1),"")</f>
        <v>0.318181818181818</v>
      </c>
      <c r="AL39" s="7" t="n">
        <f aca="false">IFERROR(AVERAGEIFS(Daily_Composite!$AO$5:$AO$369,Daily_Composite!$A$5:$A$369,"&gt;="&amp;AL$3,Daily_Composite!$A$5:$A$369,"&lt;="&amp;AL$2,Daily_Composite!$B$5:$B$369,1),"")</f>
        <v>-0.0475</v>
      </c>
      <c r="AM39" s="8" t="n">
        <f aca="false">IFERROR(COUNTIFS(Daily_Composite!$A$5:$A$369,"&gt;="&amp;AL$3,Daily_Composite!$A$5:$A$369,"&lt;="&amp;AL$2,Daily_Composite!$B$5:$B$369,1,Daily_Composite!$AO$5:$AO$369,"&gt;"&amp;Settings!$C$4)/COUNTIFS(Daily_Composite!$A$5:$A$369,"&gt;="&amp;AL$3,Daily_Composite!$A$5:$A$369,"&lt;="&amp;AL$2,Daily_Composite!$B$5:$B$369,1),"")</f>
        <v>0.277777777777778</v>
      </c>
      <c r="AN39" s="8" t="n">
        <f aca="false">IFERROR(COUNTIFS(Daily_Composite!$A$5:$A$369,"&gt;="&amp;AL$3,Daily_Composite!$A$5:$A$369,"&lt;="&amp;AL$2,Daily_Composite!$B$5:$B$369,1,Daily_Composite!$AO$5:$AO$369,"&lt;"&amp;-Settings!$C$4)/COUNTIFS(Daily_Composite!$A$5:$A$369,"&gt;="&amp;AL$3,Daily_Composite!$A$5:$A$369,"&lt;="&amp;AL$2,Daily_Composite!$B$5:$B$369,1),"")</f>
        <v>0.555555555555556</v>
      </c>
    </row>
    <row r="40" customFormat="false" ht="15" hidden="false" customHeight="false" outlineLevel="0" collapsed="false">
      <c r="A40" s="6" t="s">
        <v>53</v>
      </c>
      <c r="B40" s="7" t="n">
        <f aca="false">IFERROR(AVERAGEIFS(Daily_Composite!$AP$5:$AP$369,Daily_Composite!$A$5:$A$369,"&gt;="&amp;B$3,Daily_Composite!$A$5:$A$369,"&lt;="&amp;B$2,Daily_Composite!$B$5:$B$369,1),"")</f>
        <v>0.067</v>
      </c>
      <c r="C40" s="8" t="n">
        <f aca="false">IFERROR(COUNTIFS(Daily_Composite!$A$5:$A$369,"&gt;="&amp;B$3,Daily_Composite!$A$5:$A$369,"&lt;="&amp;B$2,Daily_Composite!$B$5:$B$369,1,Daily_Composite!$AP$5:$AP$369,"&gt;"&amp;Settings!$C$4)/COUNTIFS(Daily_Composite!$A$5:$A$369,"&gt;="&amp;B$3,Daily_Composite!$A$5:$A$369,"&lt;="&amp;B$2,Daily_Composite!$B$5:$B$369,1),"")</f>
        <v>0</v>
      </c>
      <c r="D40" s="8" t="n">
        <f aca="false">IFERROR(COUNTIFS(Daily_Composite!$A$5:$A$369,"&gt;="&amp;B$3,Daily_Composite!$A$5:$A$369,"&lt;="&amp;B$2,Daily_Composite!$B$5:$B$369,1,Daily_Composite!$AP$5:$AP$369,"&lt;"&amp;-Settings!$C$4)/COUNTIFS(Daily_Composite!$A$5:$A$369,"&gt;="&amp;B$3,Daily_Composite!$A$5:$A$369,"&lt;="&amp;B$2,Daily_Composite!$B$5:$B$369,1),"")</f>
        <v>0</v>
      </c>
      <c r="E40" s="7" t="n">
        <f aca="false">IFERROR(AVERAGEIFS(Daily_Composite!$AP$5:$AP$369,Daily_Composite!$A$5:$A$369,"&gt;="&amp;E$3,Daily_Composite!$A$5:$A$369,"&lt;="&amp;E$2,Daily_Composite!$B$5:$B$369,1),"")</f>
        <v>-0.156714285714286</v>
      </c>
      <c r="F40" s="8" t="n">
        <f aca="false">IFERROR(COUNTIFS(Daily_Composite!$A$5:$A$369,"&gt;="&amp;E$3,Daily_Composite!$A$5:$A$369,"&lt;="&amp;E$2,Daily_Composite!$B$5:$B$369,1,Daily_Composite!$AP$5:$AP$369,"&gt;"&amp;Settings!$C$4)/COUNTIFS(Daily_Composite!$A$5:$A$369,"&gt;="&amp;E$3,Daily_Composite!$A$5:$A$369,"&lt;="&amp;E$2,Daily_Composite!$B$5:$B$369,1),"")</f>
        <v>0</v>
      </c>
      <c r="G40" s="8" t="n">
        <f aca="false">IFERROR(COUNTIFS(Daily_Composite!$A$5:$A$369,"&gt;="&amp;E$3,Daily_Composite!$A$5:$A$369,"&lt;="&amp;E$2,Daily_Composite!$B$5:$B$369,1,Daily_Composite!$AP$5:$AP$369,"&lt;"&amp;-Settings!$C$4)/COUNTIFS(Daily_Composite!$A$5:$A$369,"&gt;="&amp;E$3,Daily_Composite!$A$5:$A$369,"&lt;="&amp;E$2,Daily_Composite!$B$5:$B$369,1),"")</f>
        <v>0.428571428571429</v>
      </c>
      <c r="H40" s="7" t="n">
        <f aca="false">IFERROR(AVERAGEIFS(Daily_Composite!$AP$5:$AP$369,Daily_Composite!$A$5:$A$369,"&gt;="&amp;H$3,Daily_Composite!$A$5:$A$369,"&lt;="&amp;H$2,Daily_Composite!$B$5:$B$369,1),"")</f>
        <v>-0.337695652173913</v>
      </c>
      <c r="I40" s="8" t="n">
        <f aca="false">IFERROR(COUNTIFS(Daily_Composite!$A$5:$A$369,"&gt;="&amp;H$3,Daily_Composite!$A$5:$A$369,"&lt;="&amp;H$2,Daily_Composite!$B$5:$B$369,1,Daily_Composite!$AP$5:$AP$369,"&gt;"&amp;Settings!$C$4)/COUNTIFS(Daily_Composite!$A$5:$A$369,"&gt;="&amp;H$3,Daily_Composite!$A$5:$A$369,"&lt;="&amp;H$2,Daily_Composite!$B$5:$B$369,1),"")</f>
        <v>0</v>
      </c>
      <c r="J40" s="8" t="n">
        <f aca="false">IFERROR(COUNTIFS(Daily_Composite!$A$5:$A$369,"&gt;="&amp;H$3,Daily_Composite!$A$5:$A$369,"&lt;="&amp;H$2,Daily_Composite!$B$5:$B$369,1,Daily_Composite!$AP$5:$AP$369,"&lt;"&amp;-Settings!$C$4)/COUNTIFS(Daily_Composite!$A$5:$A$369,"&gt;="&amp;H$3,Daily_Composite!$A$5:$A$369,"&lt;="&amp;H$2,Daily_Composite!$B$5:$B$369,1),"")</f>
        <v>0.869565217391304</v>
      </c>
      <c r="K40" s="7" t="n">
        <f aca="false">IFERROR(AVERAGEIFS(Daily_Composite!$AP$5:$AP$369,Daily_Composite!$A$5:$A$369,"&gt;="&amp;K$3,Daily_Composite!$A$5:$A$369,"&lt;="&amp;K$2,Daily_Composite!$B$5:$B$369,1),"")</f>
        <v>-0.474857142857143</v>
      </c>
      <c r="L40" s="8" t="n">
        <f aca="false">IFERROR(COUNTIFS(Daily_Composite!$A$5:$A$369,"&gt;="&amp;K$3,Daily_Composite!$A$5:$A$369,"&lt;="&amp;K$2,Daily_Composite!$B$5:$B$369,1,Daily_Composite!$AP$5:$AP$369,"&gt;"&amp;Settings!$C$4)/COUNTIFS(Daily_Composite!$A$5:$A$369,"&gt;="&amp;K$3,Daily_Composite!$A$5:$A$369,"&lt;="&amp;K$2,Daily_Composite!$B$5:$B$369,1),"")</f>
        <v>0</v>
      </c>
      <c r="M40" s="8" t="n">
        <f aca="false">IFERROR(COUNTIFS(Daily_Composite!$A$5:$A$369,"&gt;="&amp;K$3,Daily_Composite!$A$5:$A$369,"&lt;="&amp;K$2,Daily_Composite!$B$5:$B$369,1,Daily_Composite!$AP$5:$AP$369,"&lt;"&amp;-Settings!$C$4)/COUNTIFS(Daily_Composite!$A$5:$A$369,"&gt;="&amp;K$3,Daily_Composite!$A$5:$A$369,"&lt;="&amp;K$2,Daily_Composite!$B$5:$B$369,1),"")</f>
        <v>1</v>
      </c>
      <c r="N40" s="7" t="n">
        <f aca="false">IFERROR(AVERAGEIFS(Daily_Composite!$AP$5:$AP$369,Daily_Composite!$A$5:$A$369,"&gt;="&amp;N$3,Daily_Composite!$A$5:$A$369,"&lt;="&amp;N$2,Daily_Composite!$B$5:$B$369,1),"")</f>
        <v>-0.60385</v>
      </c>
      <c r="O40" s="8" t="n">
        <f aca="false">IFERROR(COUNTIFS(Daily_Composite!$A$5:$A$369,"&gt;="&amp;N$3,Daily_Composite!$A$5:$A$369,"&lt;="&amp;N$2,Daily_Composite!$B$5:$B$369,1,Daily_Composite!$AP$5:$AP$369,"&gt;"&amp;Settings!$C$4)/COUNTIFS(Daily_Composite!$A$5:$A$369,"&gt;="&amp;N$3,Daily_Composite!$A$5:$A$369,"&lt;="&amp;N$2,Daily_Composite!$B$5:$B$369,1),"")</f>
        <v>0</v>
      </c>
      <c r="P40" s="8" t="n">
        <f aca="false">IFERROR(COUNTIFS(Daily_Composite!$A$5:$A$369,"&gt;="&amp;N$3,Daily_Composite!$A$5:$A$369,"&lt;="&amp;N$2,Daily_Composite!$B$5:$B$369,1,Daily_Composite!$AP$5:$AP$369,"&lt;"&amp;-Settings!$C$4)/COUNTIFS(Daily_Composite!$A$5:$A$369,"&gt;="&amp;N$3,Daily_Composite!$A$5:$A$369,"&lt;="&amp;N$2,Daily_Composite!$B$5:$B$369,1),"")</f>
        <v>1</v>
      </c>
      <c r="Q40" s="7" t="n">
        <f aca="false">IFERROR(AVERAGEIFS(Daily_Composite!$AP$5:$AP$369,Daily_Composite!$A$5:$A$369,"&gt;="&amp;Q$3,Daily_Composite!$A$5:$A$369,"&lt;="&amp;Q$2,Daily_Composite!$B$5:$B$369,1),"")</f>
        <v>-0.31395652173913</v>
      </c>
      <c r="R40" s="8" t="n">
        <f aca="false">IFERROR(COUNTIFS(Daily_Composite!$A$5:$A$369,"&gt;="&amp;Q$3,Daily_Composite!$A$5:$A$369,"&lt;="&amp;Q$2,Daily_Composite!$B$5:$B$369,1,Daily_Composite!$AP$5:$AP$369,"&gt;"&amp;Settings!$C$4)/COUNTIFS(Daily_Composite!$A$5:$A$369,"&gt;="&amp;Q$3,Daily_Composite!$A$5:$A$369,"&lt;="&amp;Q$2,Daily_Composite!$B$5:$B$369,1),"")</f>
        <v>0</v>
      </c>
      <c r="S40" s="8" t="n">
        <f aca="false">IFERROR(COUNTIFS(Daily_Composite!$A$5:$A$369,"&gt;="&amp;Q$3,Daily_Composite!$A$5:$A$369,"&lt;="&amp;Q$2,Daily_Composite!$B$5:$B$369,1,Daily_Composite!$AP$5:$AP$369,"&lt;"&amp;-Settings!$C$4)/COUNTIFS(Daily_Composite!$A$5:$A$369,"&gt;="&amp;Q$3,Daily_Composite!$A$5:$A$369,"&lt;="&amp;Q$2,Daily_Composite!$B$5:$B$369,1),"")</f>
        <v>0.91304347826087</v>
      </c>
      <c r="T40" s="7" t="n">
        <f aca="false">IFERROR(AVERAGEIFS(Daily_Composite!$AP$5:$AP$369,Daily_Composite!$A$5:$A$369,"&gt;="&amp;T$3,Daily_Composite!$A$5:$A$369,"&lt;="&amp;T$2,Daily_Composite!$B$5:$B$369,1),"")</f>
        <v>-0.351136363636364</v>
      </c>
      <c r="U40" s="8" t="n">
        <f aca="false">IFERROR(COUNTIFS(Daily_Composite!$A$5:$A$369,"&gt;="&amp;T$3,Daily_Composite!$A$5:$A$369,"&lt;="&amp;T$2,Daily_Composite!$B$5:$B$369,1,Daily_Composite!$AP$5:$AP$369,"&gt;"&amp;Settings!$C$4)/COUNTIFS(Daily_Composite!$A$5:$A$369,"&gt;="&amp;T$3,Daily_Composite!$A$5:$A$369,"&lt;="&amp;T$2,Daily_Composite!$B$5:$B$369,1),"")</f>
        <v>0</v>
      </c>
      <c r="V40" s="8" t="n">
        <f aca="false">IFERROR(COUNTIFS(Daily_Composite!$A$5:$A$369,"&gt;="&amp;T$3,Daily_Composite!$A$5:$A$369,"&lt;="&amp;T$2,Daily_Composite!$B$5:$B$369,1,Daily_Composite!$AP$5:$AP$369,"&lt;"&amp;-Settings!$C$4)/COUNTIFS(Daily_Composite!$A$5:$A$369,"&gt;="&amp;T$3,Daily_Composite!$A$5:$A$369,"&lt;="&amp;T$2,Daily_Composite!$B$5:$B$369,1),"")</f>
        <v>0.909090909090909</v>
      </c>
      <c r="W40" s="7" t="n">
        <f aca="false">IFERROR(AVERAGEIFS(Daily_Composite!$AP$5:$AP$369,Daily_Composite!$A$5:$A$369,"&gt;="&amp;W$3,Daily_Composite!$A$5:$A$369,"&lt;="&amp;W$2,Daily_Composite!$B$5:$B$369,1),"")</f>
        <v>-0.194285714285714</v>
      </c>
      <c r="X40" s="8" t="n">
        <f aca="false">IFERROR(COUNTIFS(Daily_Composite!$A$5:$A$369,"&gt;="&amp;W$3,Daily_Composite!$A$5:$A$369,"&lt;="&amp;W$2,Daily_Composite!$B$5:$B$369,1,Daily_Composite!$AP$5:$AP$369,"&gt;"&amp;Settings!$C$4)/COUNTIFS(Daily_Composite!$A$5:$A$369,"&gt;="&amp;W$3,Daily_Composite!$A$5:$A$369,"&lt;="&amp;W$2,Daily_Composite!$B$5:$B$369,1),"")</f>
        <v>0</v>
      </c>
      <c r="Y40" s="8" t="n">
        <f aca="false">IFERROR(COUNTIFS(Daily_Composite!$A$5:$A$369,"&gt;="&amp;W$3,Daily_Composite!$A$5:$A$369,"&lt;="&amp;W$2,Daily_Composite!$B$5:$B$369,1,Daily_Composite!$AP$5:$AP$369,"&lt;"&amp;-Settings!$C$4)/COUNTIFS(Daily_Composite!$A$5:$A$369,"&gt;="&amp;W$3,Daily_Composite!$A$5:$A$369,"&lt;="&amp;W$2,Daily_Composite!$B$5:$B$369,1),"")</f>
        <v>0.571428571428571</v>
      </c>
      <c r="Z40" s="7" t="n">
        <f aca="false">IFERROR(AVERAGEIFS(Daily_Composite!$AP$5:$AP$369,Daily_Composite!$A$5:$A$369,"&gt;="&amp;Z$3,Daily_Composite!$A$5:$A$369,"&lt;="&amp;Z$2,Daily_Composite!$B$5:$B$369,1),"")</f>
        <v>-0.202045454545455</v>
      </c>
      <c r="AA40" s="8" t="n">
        <f aca="false">IFERROR(COUNTIFS(Daily_Composite!$A$5:$A$369,"&gt;="&amp;Z$3,Daily_Composite!$A$5:$A$369,"&lt;="&amp;Z$2,Daily_Composite!$B$5:$B$369,1,Daily_Composite!$AP$5:$AP$369,"&gt;"&amp;Settings!$C$4)/COUNTIFS(Daily_Composite!$A$5:$A$369,"&gt;="&amp;Z$3,Daily_Composite!$A$5:$A$369,"&lt;="&amp;Z$2,Daily_Composite!$B$5:$B$369,1),"")</f>
        <v>0</v>
      </c>
      <c r="AB40" s="8" t="n">
        <f aca="false">IFERROR(COUNTIFS(Daily_Composite!$A$5:$A$369,"&gt;="&amp;Z$3,Daily_Composite!$A$5:$A$369,"&lt;="&amp;Z$2,Daily_Composite!$B$5:$B$369,1,Daily_Composite!$AP$5:$AP$369,"&lt;"&amp;-Settings!$C$4)/COUNTIFS(Daily_Composite!$A$5:$A$369,"&gt;="&amp;Z$3,Daily_Composite!$A$5:$A$369,"&lt;="&amp;Z$2,Daily_Composite!$B$5:$B$369,1),"")</f>
        <v>0.590909090909091</v>
      </c>
      <c r="AC40" s="7" t="n">
        <f aca="false">IFERROR(AVERAGEIFS(Daily_Composite!$AP$5:$AP$369,Daily_Composite!$A$5:$A$369,"&gt;="&amp;AC$3,Daily_Composite!$A$5:$A$369,"&lt;="&amp;AC$2,Daily_Composite!$B$5:$B$369,1),"")</f>
        <v>-0.301409090909091</v>
      </c>
      <c r="AD40" s="8" t="n">
        <f aca="false">IFERROR(COUNTIFS(Daily_Composite!$A$5:$A$369,"&gt;="&amp;AC$3,Daily_Composite!$A$5:$A$369,"&lt;="&amp;AC$2,Daily_Composite!$B$5:$B$369,1,Daily_Composite!$AP$5:$AP$369,"&gt;"&amp;Settings!$C$4)/COUNTIFS(Daily_Composite!$A$5:$A$369,"&gt;="&amp;AC$3,Daily_Composite!$A$5:$A$369,"&lt;="&amp;AC$2,Daily_Composite!$B$5:$B$369,1),"")</f>
        <v>0</v>
      </c>
      <c r="AE40" s="8" t="n">
        <f aca="false">IFERROR(COUNTIFS(Daily_Composite!$A$5:$A$369,"&gt;="&amp;AC$3,Daily_Composite!$A$5:$A$369,"&lt;="&amp;AC$2,Daily_Composite!$B$5:$B$369,1,Daily_Composite!$AP$5:$AP$369,"&lt;"&amp;-Settings!$C$4)/COUNTIFS(Daily_Composite!$A$5:$A$369,"&gt;="&amp;AC$3,Daily_Composite!$A$5:$A$369,"&lt;="&amp;AC$2,Daily_Composite!$B$5:$B$369,1),"")</f>
        <v>0.772727272727273</v>
      </c>
      <c r="AF40" s="7" t="n">
        <f aca="false">IFERROR(AVERAGEIFS(Daily_Composite!$AP$5:$AP$369,Daily_Composite!$A$5:$A$369,"&gt;="&amp;AF$3,Daily_Composite!$A$5:$A$369,"&lt;="&amp;AF$2,Daily_Composite!$B$5:$B$369,1),"")</f>
        <v>-0.194181818181818</v>
      </c>
      <c r="AG40" s="8" t="n">
        <f aca="false">IFERROR(COUNTIFS(Daily_Composite!$A$5:$A$369,"&gt;="&amp;AF$3,Daily_Composite!$A$5:$A$369,"&lt;="&amp;AF$2,Daily_Composite!$B$5:$B$369,1,Daily_Composite!$AP$5:$AP$369,"&gt;"&amp;Settings!$C$4)/COUNTIFS(Daily_Composite!$A$5:$A$369,"&gt;="&amp;AF$3,Daily_Composite!$A$5:$A$369,"&lt;="&amp;AF$2,Daily_Composite!$B$5:$B$369,1),"")</f>
        <v>0.0909090909090909</v>
      </c>
      <c r="AH40" s="8" t="n">
        <f aca="false">IFERROR(COUNTIFS(Daily_Composite!$A$5:$A$369,"&gt;="&amp;AF$3,Daily_Composite!$A$5:$A$369,"&lt;="&amp;AF$2,Daily_Composite!$B$5:$B$369,1,Daily_Composite!$AP$5:$AP$369,"&lt;"&amp;-Settings!$C$4)/COUNTIFS(Daily_Composite!$A$5:$A$369,"&gt;="&amp;AF$3,Daily_Composite!$A$5:$A$369,"&lt;="&amp;AF$2,Daily_Composite!$B$5:$B$369,1),"")</f>
        <v>0.545454545454545</v>
      </c>
      <c r="AI40" s="7" t="n">
        <f aca="false">IFERROR(AVERAGEIFS(Daily_Composite!$AP$5:$AP$369,Daily_Composite!$A$5:$A$369,"&gt;="&amp;AI$3,Daily_Composite!$A$5:$A$369,"&lt;="&amp;AI$2,Daily_Composite!$B$5:$B$369,1),"")</f>
        <v>0.0441363636363636</v>
      </c>
      <c r="AJ40" s="8" t="n">
        <f aca="false">IFERROR(COUNTIFS(Daily_Composite!$A$5:$A$369,"&gt;="&amp;AI$3,Daily_Composite!$A$5:$A$369,"&lt;="&amp;AI$2,Daily_Composite!$B$5:$B$369,1,Daily_Composite!$AP$5:$AP$369,"&gt;"&amp;Settings!$C$4)/COUNTIFS(Daily_Composite!$A$5:$A$369,"&gt;="&amp;AI$3,Daily_Composite!$A$5:$A$369,"&lt;="&amp;AI$2,Daily_Composite!$B$5:$B$369,1),"")</f>
        <v>0.454545454545455</v>
      </c>
      <c r="AK40" s="8" t="n">
        <f aca="false">IFERROR(COUNTIFS(Daily_Composite!$A$5:$A$369,"&gt;="&amp;AI$3,Daily_Composite!$A$5:$A$369,"&lt;="&amp;AI$2,Daily_Composite!$B$5:$B$369,1,Daily_Composite!$AP$5:$AP$369,"&lt;"&amp;-Settings!$C$4)/COUNTIFS(Daily_Composite!$A$5:$A$369,"&gt;="&amp;AI$3,Daily_Composite!$A$5:$A$369,"&lt;="&amp;AI$2,Daily_Composite!$B$5:$B$369,1),"")</f>
        <v>0.136363636363636</v>
      </c>
      <c r="AL40" s="7" t="n">
        <f aca="false">IFERROR(AVERAGEIFS(Daily_Composite!$AP$5:$AP$369,Daily_Composite!$A$5:$A$369,"&gt;="&amp;AL$3,Daily_Composite!$A$5:$A$369,"&lt;="&amp;AL$2,Daily_Composite!$B$5:$B$369,1),"")</f>
        <v>0.103333333333333</v>
      </c>
      <c r="AM40" s="8" t="n">
        <f aca="false">IFERROR(COUNTIFS(Daily_Composite!$A$5:$A$369,"&gt;="&amp;AL$3,Daily_Composite!$A$5:$A$369,"&lt;="&amp;AL$2,Daily_Composite!$B$5:$B$369,1,Daily_Composite!$AP$5:$AP$369,"&gt;"&amp;Settings!$C$4)/COUNTIFS(Daily_Composite!$A$5:$A$369,"&gt;="&amp;AL$3,Daily_Composite!$A$5:$A$369,"&lt;="&amp;AL$2,Daily_Composite!$B$5:$B$369,1),"")</f>
        <v>0.444444444444444</v>
      </c>
      <c r="AN40" s="8" t="n">
        <f aca="false">IFERROR(COUNTIFS(Daily_Composite!$A$5:$A$369,"&gt;="&amp;AL$3,Daily_Composite!$A$5:$A$369,"&lt;="&amp;AL$2,Daily_Composite!$B$5:$B$369,1,Daily_Composite!$AP$5:$AP$369,"&lt;"&amp;-Settings!$C$4)/COUNTIFS(Daily_Composite!$A$5:$A$369,"&gt;="&amp;AL$3,Daily_Composite!$A$5:$A$369,"&lt;="&amp;AL$2,Daily_Composite!$B$5:$B$369,1),"")</f>
        <v>0</v>
      </c>
    </row>
    <row r="41" customFormat="false" ht="15" hidden="false" customHeight="false" outlineLevel="0" collapsed="false">
      <c r="A41" s="6" t="s">
        <v>54</v>
      </c>
      <c r="B41" s="7" t="n">
        <f aca="false">IFERROR(AVERAGEIFS(Daily_Composite!$AQ$5:$AQ$369,Daily_Composite!$A$5:$A$369,"&gt;="&amp;B$3,Daily_Composite!$A$5:$A$369,"&lt;="&amp;B$2,Daily_Composite!$B$5:$B$369,1),"")</f>
        <v>-0.26975</v>
      </c>
      <c r="C41" s="8" t="n">
        <f aca="false">IFERROR(COUNTIFS(Daily_Composite!$A$5:$A$369,"&gt;="&amp;B$3,Daily_Composite!$A$5:$A$369,"&lt;="&amp;B$2,Daily_Composite!$B$5:$B$369,1,Daily_Composite!$AQ$5:$AQ$369,"&gt;"&amp;Settings!$C$4)/COUNTIFS(Daily_Composite!$A$5:$A$369,"&gt;="&amp;B$3,Daily_Composite!$A$5:$A$369,"&lt;="&amp;B$2,Daily_Composite!$B$5:$B$369,1),"")</f>
        <v>0</v>
      </c>
      <c r="D41" s="8" t="n">
        <f aca="false">IFERROR(COUNTIFS(Daily_Composite!$A$5:$A$369,"&gt;="&amp;B$3,Daily_Composite!$A$5:$A$369,"&lt;="&amp;B$2,Daily_Composite!$B$5:$B$369,1,Daily_Composite!$AQ$5:$AQ$369,"&lt;"&amp;-Settings!$C$4)/COUNTIFS(Daily_Composite!$A$5:$A$369,"&gt;="&amp;B$3,Daily_Composite!$A$5:$A$369,"&lt;="&amp;B$2,Daily_Composite!$B$5:$B$369,1),"")</f>
        <v>0.75</v>
      </c>
      <c r="E41" s="7" t="n">
        <f aca="false">IFERROR(AVERAGEIFS(Daily_Composite!$AQ$5:$AQ$369,Daily_Composite!$A$5:$A$369,"&gt;="&amp;E$3,Daily_Composite!$A$5:$A$369,"&lt;="&amp;E$2,Daily_Composite!$B$5:$B$369,1),"")</f>
        <v>0.175380952380952</v>
      </c>
      <c r="F41" s="8" t="n">
        <f aca="false">IFERROR(COUNTIFS(Daily_Composite!$A$5:$A$369,"&gt;="&amp;E$3,Daily_Composite!$A$5:$A$369,"&lt;="&amp;E$2,Daily_Composite!$B$5:$B$369,1,Daily_Composite!$AQ$5:$AQ$369,"&gt;"&amp;Settings!$C$4)/COUNTIFS(Daily_Composite!$A$5:$A$369,"&gt;="&amp;E$3,Daily_Composite!$A$5:$A$369,"&lt;="&amp;E$2,Daily_Composite!$B$5:$B$369,1),"")</f>
        <v>0.523809523809524</v>
      </c>
      <c r="G41" s="8" t="n">
        <f aca="false">IFERROR(COUNTIFS(Daily_Composite!$A$5:$A$369,"&gt;="&amp;E$3,Daily_Composite!$A$5:$A$369,"&lt;="&amp;E$2,Daily_Composite!$B$5:$B$369,1,Daily_Composite!$AQ$5:$AQ$369,"&lt;"&amp;-Settings!$C$4)/COUNTIFS(Daily_Composite!$A$5:$A$369,"&gt;="&amp;E$3,Daily_Composite!$A$5:$A$369,"&lt;="&amp;E$2,Daily_Composite!$B$5:$B$369,1),"")</f>
        <v>0.142857142857143</v>
      </c>
      <c r="H41" s="7" t="n">
        <f aca="false">IFERROR(AVERAGEIFS(Daily_Composite!$AQ$5:$AQ$369,Daily_Composite!$A$5:$A$369,"&gt;="&amp;H$3,Daily_Composite!$A$5:$A$369,"&lt;="&amp;H$2,Daily_Composite!$B$5:$B$369,1),"")</f>
        <v>0.392217391304348</v>
      </c>
      <c r="I41" s="8" t="n">
        <f aca="false">IFERROR(COUNTIFS(Daily_Composite!$A$5:$A$369,"&gt;="&amp;H$3,Daily_Composite!$A$5:$A$369,"&lt;="&amp;H$2,Daily_Composite!$B$5:$B$369,1,Daily_Composite!$AQ$5:$AQ$369,"&gt;"&amp;Settings!$C$4)/COUNTIFS(Daily_Composite!$A$5:$A$369,"&gt;="&amp;H$3,Daily_Composite!$A$5:$A$369,"&lt;="&amp;H$2,Daily_Composite!$B$5:$B$369,1),"")</f>
        <v>0.956521739130435</v>
      </c>
      <c r="J41" s="8" t="n">
        <f aca="false">IFERROR(COUNTIFS(Daily_Composite!$A$5:$A$369,"&gt;="&amp;H$3,Daily_Composite!$A$5:$A$369,"&lt;="&amp;H$2,Daily_Composite!$B$5:$B$369,1,Daily_Composite!$AQ$5:$AQ$369,"&lt;"&amp;-Settings!$C$4)/COUNTIFS(Daily_Composite!$A$5:$A$369,"&gt;="&amp;H$3,Daily_Composite!$A$5:$A$369,"&lt;="&amp;H$2,Daily_Composite!$B$5:$B$369,1),"")</f>
        <v>0</v>
      </c>
      <c r="K41" s="7" t="n">
        <f aca="false">IFERROR(AVERAGEIFS(Daily_Composite!$AQ$5:$AQ$369,Daily_Composite!$A$5:$A$369,"&gt;="&amp;K$3,Daily_Composite!$A$5:$A$369,"&lt;="&amp;K$2,Daily_Composite!$B$5:$B$369,1),"")</f>
        <v>0.130761904761905</v>
      </c>
      <c r="L41" s="8" t="n">
        <f aca="false">IFERROR(COUNTIFS(Daily_Composite!$A$5:$A$369,"&gt;="&amp;K$3,Daily_Composite!$A$5:$A$369,"&lt;="&amp;K$2,Daily_Composite!$B$5:$B$369,1,Daily_Composite!$AQ$5:$AQ$369,"&gt;"&amp;Settings!$C$4)/COUNTIFS(Daily_Composite!$A$5:$A$369,"&gt;="&amp;K$3,Daily_Composite!$A$5:$A$369,"&lt;="&amp;K$2,Daily_Composite!$B$5:$B$369,1),"")</f>
        <v>0.380952380952381</v>
      </c>
      <c r="M41" s="8" t="n">
        <f aca="false">IFERROR(COUNTIFS(Daily_Composite!$A$5:$A$369,"&gt;="&amp;K$3,Daily_Composite!$A$5:$A$369,"&lt;="&amp;K$2,Daily_Composite!$B$5:$B$369,1,Daily_Composite!$AQ$5:$AQ$369,"&lt;"&amp;-Settings!$C$4)/COUNTIFS(Daily_Composite!$A$5:$A$369,"&gt;="&amp;K$3,Daily_Composite!$A$5:$A$369,"&lt;="&amp;K$2,Daily_Composite!$B$5:$B$369,1),"")</f>
        <v>0.0952380952380952</v>
      </c>
      <c r="N41" s="7" t="n">
        <f aca="false">IFERROR(AVERAGEIFS(Daily_Composite!$AQ$5:$AQ$369,Daily_Composite!$A$5:$A$369,"&gt;="&amp;N$3,Daily_Composite!$A$5:$A$369,"&lt;="&amp;N$2,Daily_Composite!$B$5:$B$369,1),"")</f>
        <v>0.09275</v>
      </c>
      <c r="O41" s="8" t="n">
        <f aca="false">IFERROR(COUNTIFS(Daily_Composite!$A$5:$A$369,"&gt;="&amp;N$3,Daily_Composite!$A$5:$A$369,"&lt;="&amp;N$2,Daily_Composite!$B$5:$B$369,1,Daily_Composite!$AQ$5:$AQ$369,"&gt;"&amp;Settings!$C$4)/COUNTIFS(Daily_Composite!$A$5:$A$369,"&gt;="&amp;N$3,Daily_Composite!$A$5:$A$369,"&lt;="&amp;N$2,Daily_Composite!$B$5:$B$369,1),"")</f>
        <v>0.45</v>
      </c>
      <c r="P41" s="8" t="n">
        <f aca="false">IFERROR(COUNTIFS(Daily_Composite!$A$5:$A$369,"&gt;="&amp;N$3,Daily_Composite!$A$5:$A$369,"&lt;="&amp;N$2,Daily_Composite!$B$5:$B$369,1,Daily_Composite!$AQ$5:$AQ$369,"&lt;"&amp;-Settings!$C$4)/COUNTIFS(Daily_Composite!$A$5:$A$369,"&gt;="&amp;N$3,Daily_Composite!$A$5:$A$369,"&lt;="&amp;N$2,Daily_Composite!$B$5:$B$369,1),"")</f>
        <v>0.15</v>
      </c>
      <c r="Q41" s="7" t="n">
        <f aca="false">IFERROR(AVERAGEIFS(Daily_Composite!$AQ$5:$AQ$369,Daily_Composite!$A$5:$A$369,"&gt;="&amp;Q$3,Daily_Composite!$A$5:$A$369,"&lt;="&amp;Q$2,Daily_Composite!$B$5:$B$369,1),"")</f>
        <v>0.00908695652173913</v>
      </c>
      <c r="R41" s="8" t="n">
        <f aca="false">IFERROR(COUNTIFS(Daily_Composite!$A$5:$A$369,"&gt;="&amp;Q$3,Daily_Composite!$A$5:$A$369,"&lt;="&amp;Q$2,Daily_Composite!$B$5:$B$369,1,Daily_Composite!$AQ$5:$AQ$369,"&gt;"&amp;Settings!$C$4)/COUNTIFS(Daily_Composite!$A$5:$A$369,"&gt;="&amp;Q$3,Daily_Composite!$A$5:$A$369,"&lt;="&amp;Q$2,Daily_Composite!$B$5:$B$369,1),"")</f>
        <v>0.304347826086957</v>
      </c>
      <c r="S41" s="8" t="n">
        <f aca="false">IFERROR(COUNTIFS(Daily_Composite!$A$5:$A$369,"&gt;="&amp;Q$3,Daily_Composite!$A$5:$A$369,"&lt;="&amp;Q$2,Daily_Composite!$B$5:$B$369,1,Daily_Composite!$AQ$5:$AQ$369,"&lt;"&amp;-Settings!$C$4)/COUNTIFS(Daily_Composite!$A$5:$A$369,"&gt;="&amp;Q$3,Daily_Composite!$A$5:$A$369,"&lt;="&amp;Q$2,Daily_Composite!$B$5:$B$369,1),"")</f>
        <v>0.260869565217391</v>
      </c>
      <c r="T41" s="7" t="n">
        <f aca="false">IFERROR(AVERAGEIFS(Daily_Composite!$AQ$5:$AQ$369,Daily_Composite!$A$5:$A$369,"&gt;="&amp;T$3,Daily_Composite!$A$5:$A$369,"&lt;="&amp;T$2,Daily_Composite!$B$5:$B$369,1),"")</f>
        <v>-0.101227272727273</v>
      </c>
      <c r="U41" s="8" t="n">
        <f aca="false">IFERROR(COUNTIFS(Daily_Composite!$A$5:$A$369,"&gt;="&amp;T$3,Daily_Composite!$A$5:$A$369,"&lt;="&amp;T$2,Daily_Composite!$B$5:$B$369,1,Daily_Composite!$AQ$5:$AQ$369,"&gt;"&amp;Settings!$C$4)/COUNTIFS(Daily_Composite!$A$5:$A$369,"&gt;="&amp;T$3,Daily_Composite!$A$5:$A$369,"&lt;="&amp;T$2,Daily_Composite!$B$5:$B$369,1),"")</f>
        <v>0.0909090909090909</v>
      </c>
      <c r="V41" s="8" t="n">
        <f aca="false">IFERROR(COUNTIFS(Daily_Composite!$A$5:$A$369,"&gt;="&amp;T$3,Daily_Composite!$A$5:$A$369,"&lt;="&amp;T$2,Daily_Composite!$B$5:$B$369,1,Daily_Composite!$AQ$5:$AQ$369,"&lt;"&amp;-Settings!$C$4)/COUNTIFS(Daily_Composite!$A$5:$A$369,"&gt;="&amp;T$3,Daily_Composite!$A$5:$A$369,"&lt;="&amp;T$2,Daily_Composite!$B$5:$B$369,1),"")</f>
        <v>0.363636363636364</v>
      </c>
      <c r="W41" s="7" t="n">
        <f aca="false">IFERROR(AVERAGEIFS(Daily_Composite!$AQ$5:$AQ$369,Daily_Composite!$A$5:$A$369,"&gt;="&amp;W$3,Daily_Composite!$A$5:$A$369,"&lt;="&amp;W$2,Daily_Composite!$B$5:$B$369,1),"")</f>
        <v>-0.268666666666667</v>
      </c>
      <c r="X41" s="8" t="n">
        <f aca="false">IFERROR(COUNTIFS(Daily_Composite!$A$5:$A$369,"&gt;="&amp;W$3,Daily_Composite!$A$5:$A$369,"&lt;="&amp;W$2,Daily_Composite!$B$5:$B$369,1,Daily_Composite!$AQ$5:$AQ$369,"&gt;"&amp;Settings!$C$4)/COUNTIFS(Daily_Composite!$A$5:$A$369,"&gt;="&amp;W$3,Daily_Composite!$A$5:$A$369,"&lt;="&amp;W$2,Daily_Composite!$B$5:$B$369,1),"")</f>
        <v>0.0476190476190476</v>
      </c>
      <c r="Y41" s="8" t="n">
        <f aca="false">IFERROR(COUNTIFS(Daily_Composite!$A$5:$A$369,"&gt;="&amp;W$3,Daily_Composite!$A$5:$A$369,"&lt;="&amp;W$2,Daily_Composite!$B$5:$B$369,1,Daily_Composite!$AQ$5:$AQ$369,"&lt;"&amp;-Settings!$C$4)/COUNTIFS(Daily_Composite!$A$5:$A$369,"&gt;="&amp;W$3,Daily_Composite!$A$5:$A$369,"&lt;="&amp;W$2,Daily_Composite!$B$5:$B$369,1),"")</f>
        <v>0.857142857142857</v>
      </c>
      <c r="Z41" s="7" t="n">
        <f aca="false">IFERROR(AVERAGEIFS(Daily_Composite!$AQ$5:$AQ$369,Daily_Composite!$A$5:$A$369,"&gt;="&amp;Z$3,Daily_Composite!$A$5:$A$369,"&lt;="&amp;Z$2,Daily_Composite!$B$5:$B$369,1),"")</f>
        <v>-0.217181818181818</v>
      </c>
      <c r="AA41" s="8" t="n">
        <f aca="false">IFERROR(COUNTIFS(Daily_Composite!$A$5:$A$369,"&gt;="&amp;Z$3,Daily_Composite!$A$5:$A$369,"&lt;="&amp;Z$2,Daily_Composite!$B$5:$B$369,1,Daily_Composite!$AQ$5:$AQ$369,"&gt;"&amp;Settings!$C$4)/COUNTIFS(Daily_Composite!$A$5:$A$369,"&gt;="&amp;Z$3,Daily_Composite!$A$5:$A$369,"&lt;="&amp;Z$2,Daily_Composite!$B$5:$B$369,1),"")</f>
        <v>0.0909090909090909</v>
      </c>
      <c r="AB41" s="8" t="n">
        <f aca="false">IFERROR(COUNTIFS(Daily_Composite!$A$5:$A$369,"&gt;="&amp;Z$3,Daily_Composite!$A$5:$A$369,"&lt;="&amp;Z$2,Daily_Composite!$B$5:$B$369,1,Daily_Composite!$AQ$5:$AQ$369,"&lt;"&amp;-Settings!$C$4)/COUNTIFS(Daily_Composite!$A$5:$A$369,"&gt;="&amp;Z$3,Daily_Composite!$A$5:$A$369,"&lt;="&amp;Z$2,Daily_Composite!$B$5:$B$369,1),"")</f>
        <v>0.545454545454545</v>
      </c>
      <c r="AC41" s="7" t="n">
        <f aca="false">IFERROR(AVERAGEIFS(Daily_Composite!$AQ$5:$AQ$369,Daily_Composite!$A$5:$A$369,"&gt;="&amp;AC$3,Daily_Composite!$A$5:$A$369,"&lt;="&amp;AC$2,Daily_Composite!$B$5:$B$369,1),"")</f>
        <v>-0.217363636363636</v>
      </c>
      <c r="AD41" s="8" t="n">
        <f aca="false">IFERROR(COUNTIFS(Daily_Composite!$A$5:$A$369,"&gt;="&amp;AC$3,Daily_Composite!$A$5:$A$369,"&lt;="&amp;AC$2,Daily_Composite!$B$5:$B$369,1,Daily_Composite!$AQ$5:$AQ$369,"&gt;"&amp;Settings!$C$4)/COUNTIFS(Daily_Composite!$A$5:$A$369,"&gt;="&amp;AC$3,Daily_Composite!$A$5:$A$369,"&lt;="&amp;AC$2,Daily_Composite!$B$5:$B$369,1),"")</f>
        <v>0.0454545454545455</v>
      </c>
      <c r="AE41" s="8" t="n">
        <f aca="false">IFERROR(COUNTIFS(Daily_Composite!$A$5:$A$369,"&gt;="&amp;AC$3,Daily_Composite!$A$5:$A$369,"&lt;="&amp;AC$2,Daily_Composite!$B$5:$B$369,1,Daily_Composite!$AQ$5:$AQ$369,"&lt;"&amp;-Settings!$C$4)/COUNTIFS(Daily_Composite!$A$5:$A$369,"&gt;="&amp;AC$3,Daily_Composite!$A$5:$A$369,"&lt;="&amp;AC$2,Daily_Composite!$B$5:$B$369,1),"")</f>
        <v>0.590909090909091</v>
      </c>
      <c r="AF41" s="7" t="n">
        <f aca="false">IFERROR(AVERAGEIFS(Daily_Composite!$AQ$5:$AQ$369,Daily_Composite!$A$5:$A$369,"&gt;="&amp;AF$3,Daily_Composite!$A$5:$A$369,"&lt;="&amp;AF$2,Daily_Composite!$B$5:$B$369,1),"")</f>
        <v>-0.231</v>
      </c>
      <c r="AG41" s="8" t="n">
        <f aca="false">IFERROR(COUNTIFS(Daily_Composite!$A$5:$A$369,"&gt;="&amp;AF$3,Daily_Composite!$A$5:$A$369,"&lt;="&amp;AF$2,Daily_Composite!$B$5:$B$369,1,Daily_Composite!$AQ$5:$AQ$369,"&gt;"&amp;Settings!$C$4)/COUNTIFS(Daily_Composite!$A$5:$A$369,"&gt;="&amp;AF$3,Daily_Composite!$A$5:$A$369,"&lt;="&amp;AF$2,Daily_Composite!$B$5:$B$369,1),"")</f>
        <v>0</v>
      </c>
      <c r="AH41" s="8" t="n">
        <f aca="false">IFERROR(COUNTIFS(Daily_Composite!$A$5:$A$369,"&gt;="&amp;AF$3,Daily_Composite!$A$5:$A$369,"&lt;="&amp;AF$2,Daily_Composite!$B$5:$B$369,1,Daily_Composite!$AQ$5:$AQ$369,"&lt;"&amp;-Settings!$C$4)/COUNTIFS(Daily_Composite!$A$5:$A$369,"&gt;="&amp;AF$3,Daily_Composite!$A$5:$A$369,"&lt;="&amp;AF$2,Daily_Composite!$B$5:$B$369,1),"")</f>
        <v>0.818181818181818</v>
      </c>
      <c r="AI41" s="7" t="n">
        <f aca="false">IFERROR(AVERAGEIFS(Daily_Composite!$AQ$5:$AQ$369,Daily_Composite!$A$5:$A$369,"&gt;="&amp;AI$3,Daily_Composite!$A$5:$A$369,"&lt;="&amp;AI$2,Daily_Composite!$B$5:$B$369,1),"")</f>
        <v>-0.254863636363636</v>
      </c>
      <c r="AJ41" s="8" t="n">
        <f aca="false">IFERROR(COUNTIFS(Daily_Composite!$A$5:$A$369,"&gt;="&amp;AI$3,Daily_Composite!$A$5:$A$369,"&lt;="&amp;AI$2,Daily_Composite!$B$5:$B$369,1,Daily_Composite!$AQ$5:$AQ$369,"&gt;"&amp;Settings!$C$4)/COUNTIFS(Daily_Composite!$A$5:$A$369,"&gt;="&amp;AI$3,Daily_Composite!$A$5:$A$369,"&lt;="&amp;AI$2,Daily_Composite!$B$5:$B$369,1),"")</f>
        <v>0.0909090909090909</v>
      </c>
      <c r="AK41" s="8" t="n">
        <f aca="false">IFERROR(COUNTIFS(Daily_Composite!$A$5:$A$369,"&gt;="&amp;AI$3,Daily_Composite!$A$5:$A$369,"&lt;="&amp;AI$2,Daily_Composite!$B$5:$B$369,1,Daily_Composite!$AQ$5:$AQ$369,"&lt;"&amp;-Settings!$C$4)/COUNTIFS(Daily_Composite!$A$5:$A$369,"&gt;="&amp;AI$3,Daily_Composite!$A$5:$A$369,"&lt;="&amp;AI$2,Daily_Composite!$B$5:$B$369,1),"")</f>
        <v>0.772727272727273</v>
      </c>
      <c r="AL41" s="7" t="n">
        <f aca="false">IFERROR(AVERAGEIFS(Daily_Composite!$AQ$5:$AQ$369,Daily_Composite!$A$5:$A$369,"&gt;="&amp;AL$3,Daily_Composite!$A$5:$A$369,"&lt;="&amp;AL$2,Daily_Composite!$B$5:$B$369,1),"")</f>
        <v>-0.101166666666667</v>
      </c>
      <c r="AM41" s="8" t="n">
        <f aca="false">IFERROR(COUNTIFS(Daily_Composite!$A$5:$A$369,"&gt;="&amp;AL$3,Daily_Composite!$A$5:$A$369,"&lt;="&amp;AL$2,Daily_Composite!$B$5:$B$369,1,Daily_Composite!$AQ$5:$AQ$369,"&gt;"&amp;Settings!$C$4)/COUNTIFS(Daily_Composite!$A$5:$A$369,"&gt;="&amp;AL$3,Daily_Composite!$A$5:$A$369,"&lt;="&amp;AL$2,Daily_Composite!$B$5:$B$369,1),"")</f>
        <v>0.166666666666667</v>
      </c>
      <c r="AN41" s="8" t="n">
        <f aca="false">IFERROR(COUNTIFS(Daily_Composite!$A$5:$A$369,"&gt;="&amp;AL$3,Daily_Composite!$A$5:$A$369,"&lt;="&amp;AL$2,Daily_Composite!$B$5:$B$369,1,Daily_Composite!$AQ$5:$AQ$369,"&lt;"&amp;-Settings!$C$4)/COUNTIFS(Daily_Composite!$A$5:$A$369,"&gt;="&amp;AL$3,Daily_Composite!$A$5:$A$369,"&lt;="&amp;AL$2,Daily_Composite!$B$5:$B$369,1),"")</f>
        <v>0.388888888888889</v>
      </c>
    </row>
    <row r="42" customFormat="false" ht="15" hidden="false" customHeight="false" outlineLevel="0" collapsed="false">
      <c r="A42" s="6" t="s">
        <v>55</v>
      </c>
      <c r="B42" s="7" t="n">
        <f aca="false">IFERROR(AVERAGEIFS(Daily_Composite!$AR$5:$AR$369,Daily_Composite!$A$5:$A$369,"&gt;="&amp;B$3,Daily_Composite!$A$5:$A$369,"&lt;="&amp;B$2,Daily_Composite!$B$5:$B$369,1),"")</f>
        <v>0.001</v>
      </c>
      <c r="C42" s="8" t="n">
        <f aca="false">IFERROR(COUNTIFS(Daily_Composite!$A$5:$A$369,"&gt;="&amp;B$3,Daily_Composite!$A$5:$A$369,"&lt;="&amp;B$2,Daily_Composite!$B$5:$B$369,1,Daily_Composite!$AR$5:$AR$369,"&gt;"&amp;Settings!$C$4)/COUNTIFS(Daily_Composite!$A$5:$A$369,"&gt;="&amp;B$3,Daily_Composite!$A$5:$A$369,"&lt;="&amp;B$2,Daily_Composite!$B$5:$B$369,1),"")</f>
        <v>0</v>
      </c>
      <c r="D42" s="8" t="n">
        <f aca="false">IFERROR(COUNTIFS(Daily_Composite!$A$5:$A$369,"&gt;="&amp;B$3,Daily_Composite!$A$5:$A$369,"&lt;="&amp;B$2,Daily_Composite!$B$5:$B$369,1,Daily_Composite!$AR$5:$AR$369,"&lt;"&amp;-Settings!$C$4)/COUNTIFS(Daily_Composite!$A$5:$A$369,"&gt;="&amp;B$3,Daily_Composite!$A$5:$A$369,"&lt;="&amp;B$2,Daily_Composite!$B$5:$B$369,1),"")</f>
        <v>0</v>
      </c>
      <c r="E42" s="7" t="n">
        <f aca="false">IFERROR(AVERAGEIFS(Daily_Composite!$AR$5:$AR$369,Daily_Composite!$A$5:$A$369,"&gt;="&amp;E$3,Daily_Composite!$A$5:$A$369,"&lt;="&amp;E$2,Daily_Composite!$B$5:$B$369,1),"")</f>
        <v>-0.0453809523809524</v>
      </c>
      <c r="F42" s="8" t="n">
        <f aca="false">IFERROR(COUNTIFS(Daily_Composite!$A$5:$A$369,"&gt;="&amp;E$3,Daily_Composite!$A$5:$A$369,"&lt;="&amp;E$2,Daily_Composite!$B$5:$B$369,1,Daily_Composite!$AR$5:$AR$369,"&gt;"&amp;Settings!$C$4)/COUNTIFS(Daily_Composite!$A$5:$A$369,"&gt;="&amp;E$3,Daily_Composite!$A$5:$A$369,"&lt;="&amp;E$2,Daily_Composite!$B$5:$B$369,1),"")</f>
        <v>0</v>
      </c>
      <c r="G42" s="8" t="n">
        <f aca="false">IFERROR(COUNTIFS(Daily_Composite!$A$5:$A$369,"&gt;="&amp;E$3,Daily_Composite!$A$5:$A$369,"&lt;="&amp;E$2,Daily_Composite!$B$5:$B$369,1,Daily_Composite!$AR$5:$AR$369,"&lt;"&amp;-Settings!$C$4)/COUNTIFS(Daily_Composite!$A$5:$A$369,"&gt;="&amp;E$3,Daily_Composite!$A$5:$A$369,"&lt;="&amp;E$2,Daily_Composite!$B$5:$B$369,1),"")</f>
        <v>0.0476190476190476</v>
      </c>
      <c r="H42" s="7" t="n">
        <f aca="false">IFERROR(AVERAGEIFS(Daily_Composite!$AR$5:$AR$369,Daily_Composite!$A$5:$A$369,"&gt;="&amp;H$3,Daily_Composite!$A$5:$A$369,"&lt;="&amp;H$2,Daily_Composite!$B$5:$B$369,1),"")</f>
        <v>-0.0877826086956522</v>
      </c>
      <c r="I42" s="8" t="n">
        <f aca="false">IFERROR(COUNTIFS(Daily_Composite!$A$5:$A$369,"&gt;="&amp;H$3,Daily_Composite!$A$5:$A$369,"&lt;="&amp;H$2,Daily_Composite!$B$5:$B$369,1,Daily_Composite!$AR$5:$AR$369,"&gt;"&amp;Settings!$C$4)/COUNTIFS(Daily_Composite!$A$5:$A$369,"&gt;="&amp;H$3,Daily_Composite!$A$5:$A$369,"&lt;="&amp;H$2,Daily_Composite!$B$5:$B$369,1),"")</f>
        <v>0</v>
      </c>
      <c r="J42" s="8" t="n">
        <f aca="false">IFERROR(COUNTIFS(Daily_Composite!$A$5:$A$369,"&gt;="&amp;H$3,Daily_Composite!$A$5:$A$369,"&lt;="&amp;H$2,Daily_Composite!$B$5:$B$369,1,Daily_Composite!$AR$5:$AR$369,"&lt;"&amp;-Settings!$C$4)/COUNTIFS(Daily_Composite!$A$5:$A$369,"&gt;="&amp;H$3,Daily_Composite!$A$5:$A$369,"&lt;="&amp;H$2,Daily_Composite!$B$5:$B$369,1),"")</f>
        <v>0.130434782608696</v>
      </c>
      <c r="K42" s="7" t="n">
        <f aca="false">IFERROR(AVERAGEIFS(Daily_Composite!$AR$5:$AR$369,Daily_Composite!$A$5:$A$369,"&gt;="&amp;K$3,Daily_Composite!$A$5:$A$369,"&lt;="&amp;K$2,Daily_Composite!$B$5:$B$369,1),"")</f>
        <v>-0.112380952380952</v>
      </c>
      <c r="L42" s="8" t="n">
        <f aca="false">IFERROR(COUNTIFS(Daily_Composite!$A$5:$A$369,"&gt;="&amp;K$3,Daily_Composite!$A$5:$A$369,"&lt;="&amp;K$2,Daily_Composite!$B$5:$B$369,1,Daily_Composite!$AR$5:$AR$369,"&gt;"&amp;Settings!$C$4)/COUNTIFS(Daily_Composite!$A$5:$A$369,"&gt;="&amp;K$3,Daily_Composite!$A$5:$A$369,"&lt;="&amp;K$2,Daily_Composite!$B$5:$B$369,1),"")</f>
        <v>0</v>
      </c>
      <c r="M42" s="8" t="n">
        <f aca="false">IFERROR(COUNTIFS(Daily_Composite!$A$5:$A$369,"&gt;="&amp;K$3,Daily_Composite!$A$5:$A$369,"&lt;="&amp;K$2,Daily_Composite!$B$5:$B$369,1,Daily_Composite!$AR$5:$AR$369,"&lt;"&amp;-Settings!$C$4)/COUNTIFS(Daily_Composite!$A$5:$A$369,"&gt;="&amp;K$3,Daily_Composite!$A$5:$A$369,"&lt;="&amp;K$2,Daily_Composite!$B$5:$B$369,1),"")</f>
        <v>0.142857142857143</v>
      </c>
      <c r="N42" s="7" t="n">
        <f aca="false">IFERROR(AVERAGEIFS(Daily_Composite!$AR$5:$AR$369,Daily_Composite!$A$5:$A$369,"&gt;="&amp;N$3,Daily_Composite!$A$5:$A$369,"&lt;="&amp;N$2,Daily_Composite!$B$5:$B$369,1),"")</f>
        <v>-0.1258</v>
      </c>
      <c r="O42" s="8" t="n">
        <f aca="false">IFERROR(COUNTIFS(Daily_Composite!$A$5:$A$369,"&gt;="&amp;N$3,Daily_Composite!$A$5:$A$369,"&lt;="&amp;N$2,Daily_Composite!$B$5:$B$369,1,Daily_Composite!$AR$5:$AR$369,"&gt;"&amp;Settings!$C$4)/COUNTIFS(Daily_Composite!$A$5:$A$369,"&gt;="&amp;N$3,Daily_Composite!$A$5:$A$369,"&lt;="&amp;N$2,Daily_Composite!$B$5:$B$369,1),"")</f>
        <v>0</v>
      </c>
      <c r="P42" s="8" t="n">
        <f aca="false">IFERROR(COUNTIFS(Daily_Composite!$A$5:$A$369,"&gt;="&amp;N$3,Daily_Composite!$A$5:$A$369,"&lt;="&amp;N$2,Daily_Composite!$B$5:$B$369,1,Daily_Composite!$AR$5:$AR$369,"&lt;"&amp;-Settings!$C$4)/COUNTIFS(Daily_Composite!$A$5:$A$369,"&gt;="&amp;N$3,Daily_Composite!$A$5:$A$369,"&lt;="&amp;N$2,Daily_Composite!$B$5:$B$369,1),"")</f>
        <v>0.15</v>
      </c>
      <c r="Q42" s="7" t="n">
        <f aca="false">IFERROR(AVERAGEIFS(Daily_Composite!$AR$5:$AR$369,Daily_Composite!$A$5:$A$369,"&gt;="&amp;Q$3,Daily_Composite!$A$5:$A$369,"&lt;="&amp;Q$2,Daily_Composite!$B$5:$B$369,1),"")</f>
        <v>-0.112217391304348</v>
      </c>
      <c r="R42" s="8" t="n">
        <f aca="false">IFERROR(COUNTIFS(Daily_Composite!$A$5:$A$369,"&gt;="&amp;Q$3,Daily_Composite!$A$5:$A$369,"&lt;="&amp;Q$2,Daily_Composite!$B$5:$B$369,1,Daily_Composite!$AR$5:$AR$369,"&gt;"&amp;Settings!$C$4)/COUNTIFS(Daily_Composite!$A$5:$A$369,"&gt;="&amp;Q$3,Daily_Composite!$A$5:$A$369,"&lt;="&amp;Q$2,Daily_Composite!$B$5:$B$369,1),"")</f>
        <v>0</v>
      </c>
      <c r="S42" s="8" t="n">
        <f aca="false">IFERROR(COUNTIFS(Daily_Composite!$A$5:$A$369,"&gt;="&amp;Q$3,Daily_Composite!$A$5:$A$369,"&lt;="&amp;Q$2,Daily_Composite!$B$5:$B$369,1,Daily_Composite!$AR$5:$AR$369,"&lt;"&amp;-Settings!$C$4)/COUNTIFS(Daily_Composite!$A$5:$A$369,"&gt;="&amp;Q$3,Daily_Composite!$A$5:$A$369,"&lt;="&amp;Q$2,Daily_Composite!$B$5:$B$369,1),"")</f>
        <v>0.130434782608696</v>
      </c>
      <c r="T42" s="7" t="n">
        <f aca="false">IFERROR(AVERAGEIFS(Daily_Composite!$AR$5:$AR$369,Daily_Composite!$A$5:$A$369,"&gt;="&amp;T$3,Daily_Composite!$A$5:$A$369,"&lt;="&amp;T$2,Daily_Composite!$B$5:$B$369,1),"")</f>
        <v>-0.0991363636363636</v>
      </c>
      <c r="U42" s="8" t="n">
        <f aca="false">IFERROR(COUNTIFS(Daily_Composite!$A$5:$A$369,"&gt;="&amp;T$3,Daily_Composite!$A$5:$A$369,"&lt;="&amp;T$2,Daily_Composite!$B$5:$B$369,1,Daily_Composite!$AR$5:$AR$369,"&gt;"&amp;Settings!$C$4)/COUNTIFS(Daily_Composite!$A$5:$A$369,"&gt;="&amp;T$3,Daily_Composite!$A$5:$A$369,"&lt;="&amp;T$2,Daily_Composite!$B$5:$B$369,1),"")</f>
        <v>0.0454545454545455</v>
      </c>
      <c r="V42" s="8" t="n">
        <f aca="false">IFERROR(COUNTIFS(Daily_Composite!$A$5:$A$369,"&gt;="&amp;T$3,Daily_Composite!$A$5:$A$369,"&lt;="&amp;T$2,Daily_Composite!$B$5:$B$369,1,Daily_Composite!$AR$5:$AR$369,"&lt;"&amp;-Settings!$C$4)/COUNTIFS(Daily_Composite!$A$5:$A$369,"&gt;="&amp;T$3,Daily_Composite!$A$5:$A$369,"&lt;="&amp;T$2,Daily_Composite!$B$5:$B$369,1),"")</f>
        <v>0.0454545454545455</v>
      </c>
      <c r="W42" s="7" t="n">
        <f aca="false">IFERROR(AVERAGEIFS(Daily_Composite!$AR$5:$AR$369,Daily_Composite!$A$5:$A$369,"&gt;="&amp;W$3,Daily_Composite!$A$5:$A$369,"&lt;="&amp;W$2,Daily_Composite!$B$5:$B$369,1),"")</f>
        <v>-0.0631904761904762</v>
      </c>
      <c r="X42" s="8" t="n">
        <f aca="false">IFERROR(COUNTIFS(Daily_Composite!$A$5:$A$369,"&gt;="&amp;W$3,Daily_Composite!$A$5:$A$369,"&lt;="&amp;W$2,Daily_Composite!$B$5:$B$369,1,Daily_Composite!$AR$5:$AR$369,"&gt;"&amp;Settings!$C$4)/COUNTIFS(Daily_Composite!$A$5:$A$369,"&gt;="&amp;W$3,Daily_Composite!$A$5:$A$369,"&lt;="&amp;W$2,Daily_Composite!$B$5:$B$369,1),"")</f>
        <v>0</v>
      </c>
      <c r="Y42" s="8" t="n">
        <f aca="false">IFERROR(COUNTIFS(Daily_Composite!$A$5:$A$369,"&gt;="&amp;W$3,Daily_Composite!$A$5:$A$369,"&lt;="&amp;W$2,Daily_Composite!$B$5:$B$369,1,Daily_Composite!$AR$5:$AR$369,"&lt;"&amp;-Settings!$C$4)/COUNTIFS(Daily_Composite!$A$5:$A$369,"&gt;="&amp;W$3,Daily_Composite!$A$5:$A$369,"&lt;="&amp;W$2,Daily_Composite!$B$5:$B$369,1),"")</f>
        <v>0</v>
      </c>
      <c r="Z42" s="7" t="n">
        <f aca="false">IFERROR(AVERAGEIFS(Daily_Composite!$AR$5:$AR$369,Daily_Composite!$A$5:$A$369,"&gt;="&amp;Z$3,Daily_Composite!$A$5:$A$369,"&lt;="&amp;Z$2,Daily_Composite!$B$5:$B$369,1),"")</f>
        <v>-0.170409090909091</v>
      </c>
      <c r="AA42" s="8" t="n">
        <f aca="false">IFERROR(COUNTIFS(Daily_Composite!$A$5:$A$369,"&gt;="&amp;Z$3,Daily_Composite!$A$5:$A$369,"&lt;="&amp;Z$2,Daily_Composite!$B$5:$B$369,1,Daily_Composite!$AR$5:$AR$369,"&gt;"&amp;Settings!$C$4)/COUNTIFS(Daily_Composite!$A$5:$A$369,"&gt;="&amp;Z$3,Daily_Composite!$A$5:$A$369,"&lt;="&amp;Z$2,Daily_Composite!$B$5:$B$369,1),"")</f>
        <v>0</v>
      </c>
      <c r="AB42" s="8" t="n">
        <f aca="false">IFERROR(COUNTIFS(Daily_Composite!$A$5:$A$369,"&gt;="&amp;Z$3,Daily_Composite!$A$5:$A$369,"&lt;="&amp;Z$2,Daily_Composite!$B$5:$B$369,1,Daily_Composite!$AR$5:$AR$369,"&lt;"&amp;-Settings!$C$4)/COUNTIFS(Daily_Composite!$A$5:$A$369,"&gt;="&amp;Z$3,Daily_Composite!$A$5:$A$369,"&lt;="&amp;Z$2,Daily_Composite!$B$5:$B$369,1),"")</f>
        <v>0.590909090909091</v>
      </c>
      <c r="AC42" s="7" t="n">
        <f aca="false">IFERROR(AVERAGEIFS(Daily_Composite!$AR$5:$AR$369,Daily_Composite!$A$5:$A$369,"&gt;="&amp;AC$3,Daily_Composite!$A$5:$A$369,"&lt;="&amp;AC$2,Daily_Composite!$B$5:$B$369,1),"")</f>
        <v>-0.169272727272727</v>
      </c>
      <c r="AD42" s="8" t="n">
        <f aca="false">IFERROR(COUNTIFS(Daily_Composite!$A$5:$A$369,"&gt;="&amp;AC$3,Daily_Composite!$A$5:$A$369,"&lt;="&amp;AC$2,Daily_Composite!$B$5:$B$369,1,Daily_Composite!$AR$5:$AR$369,"&gt;"&amp;Settings!$C$4)/COUNTIFS(Daily_Composite!$A$5:$A$369,"&gt;="&amp;AC$3,Daily_Composite!$A$5:$A$369,"&lt;="&amp;AC$2,Daily_Composite!$B$5:$B$369,1),"")</f>
        <v>0</v>
      </c>
      <c r="AE42" s="8" t="n">
        <f aca="false">IFERROR(COUNTIFS(Daily_Composite!$A$5:$A$369,"&gt;="&amp;AC$3,Daily_Composite!$A$5:$A$369,"&lt;="&amp;AC$2,Daily_Composite!$B$5:$B$369,1,Daily_Composite!$AR$5:$AR$369,"&lt;"&amp;-Settings!$C$4)/COUNTIFS(Daily_Composite!$A$5:$A$369,"&gt;="&amp;AC$3,Daily_Composite!$A$5:$A$369,"&lt;="&amp;AC$2,Daily_Composite!$B$5:$B$369,1),"")</f>
        <v>0.636363636363636</v>
      </c>
      <c r="AF42" s="7" t="n">
        <f aca="false">IFERROR(AVERAGEIFS(Daily_Composite!$AR$5:$AR$369,Daily_Composite!$A$5:$A$369,"&gt;="&amp;AF$3,Daily_Composite!$A$5:$A$369,"&lt;="&amp;AF$2,Daily_Composite!$B$5:$B$369,1),"")</f>
        <v>-0.0812272727272727</v>
      </c>
      <c r="AG42" s="8" t="n">
        <f aca="false">IFERROR(COUNTIFS(Daily_Composite!$A$5:$A$369,"&gt;="&amp;AF$3,Daily_Composite!$A$5:$A$369,"&lt;="&amp;AF$2,Daily_Composite!$B$5:$B$369,1,Daily_Composite!$AR$5:$AR$369,"&gt;"&amp;Settings!$C$4)/COUNTIFS(Daily_Composite!$A$5:$A$369,"&gt;="&amp;AF$3,Daily_Composite!$A$5:$A$369,"&lt;="&amp;AF$2,Daily_Composite!$B$5:$B$369,1),"")</f>
        <v>0</v>
      </c>
      <c r="AH42" s="8" t="n">
        <f aca="false">IFERROR(COUNTIFS(Daily_Composite!$A$5:$A$369,"&gt;="&amp;AF$3,Daily_Composite!$A$5:$A$369,"&lt;="&amp;AF$2,Daily_Composite!$B$5:$B$369,1,Daily_Composite!$AR$5:$AR$369,"&lt;"&amp;-Settings!$C$4)/COUNTIFS(Daily_Composite!$A$5:$A$369,"&gt;="&amp;AF$3,Daily_Composite!$A$5:$A$369,"&lt;="&amp;AF$2,Daily_Composite!$B$5:$B$369,1),"")</f>
        <v>0.181818181818182</v>
      </c>
      <c r="AI42" s="7" t="n">
        <f aca="false">IFERROR(AVERAGEIFS(Daily_Composite!$AR$5:$AR$369,Daily_Composite!$A$5:$A$369,"&gt;="&amp;AI$3,Daily_Composite!$A$5:$A$369,"&lt;="&amp;AI$2,Daily_Composite!$B$5:$B$369,1),"")</f>
        <v>-0.0419545454545455</v>
      </c>
      <c r="AJ42" s="8" t="n">
        <f aca="false">IFERROR(COUNTIFS(Daily_Composite!$A$5:$A$369,"&gt;="&amp;AI$3,Daily_Composite!$A$5:$A$369,"&lt;="&amp;AI$2,Daily_Composite!$B$5:$B$369,1,Daily_Composite!$AR$5:$AR$369,"&gt;"&amp;Settings!$C$4)/COUNTIFS(Daily_Composite!$A$5:$A$369,"&gt;="&amp;AI$3,Daily_Composite!$A$5:$A$369,"&lt;="&amp;AI$2,Daily_Composite!$B$5:$B$369,1),"")</f>
        <v>0</v>
      </c>
      <c r="AK42" s="8" t="n">
        <f aca="false">IFERROR(COUNTIFS(Daily_Composite!$A$5:$A$369,"&gt;="&amp;AI$3,Daily_Composite!$A$5:$A$369,"&lt;="&amp;AI$2,Daily_Composite!$B$5:$B$369,1,Daily_Composite!$AR$5:$AR$369,"&lt;"&amp;-Settings!$C$4)/COUNTIFS(Daily_Composite!$A$5:$A$369,"&gt;="&amp;AI$3,Daily_Composite!$A$5:$A$369,"&lt;="&amp;AI$2,Daily_Composite!$B$5:$B$369,1),"")</f>
        <v>0.136363636363636</v>
      </c>
      <c r="AL42" s="7" t="n">
        <f aca="false">IFERROR(AVERAGEIFS(Daily_Composite!$AR$5:$AR$369,Daily_Composite!$A$5:$A$369,"&gt;="&amp;AL$3,Daily_Composite!$A$5:$A$369,"&lt;="&amp;AL$2,Daily_Composite!$B$5:$B$369,1),"")</f>
        <v>-0.0115555555555556</v>
      </c>
      <c r="AM42" s="8" t="n">
        <f aca="false">IFERROR(COUNTIFS(Daily_Composite!$A$5:$A$369,"&gt;="&amp;AL$3,Daily_Composite!$A$5:$A$369,"&lt;="&amp;AL$2,Daily_Composite!$B$5:$B$369,1,Daily_Composite!$AR$5:$AR$369,"&gt;"&amp;Settings!$C$4)/COUNTIFS(Daily_Composite!$A$5:$A$369,"&gt;="&amp;AL$3,Daily_Composite!$A$5:$A$369,"&lt;="&amp;AL$2,Daily_Composite!$B$5:$B$369,1),"")</f>
        <v>0</v>
      </c>
      <c r="AN42" s="8" t="n">
        <f aca="false">IFERROR(COUNTIFS(Daily_Composite!$A$5:$A$369,"&gt;="&amp;AL$3,Daily_Composite!$A$5:$A$369,"&lt;="&amp;AL$2,Daily_Composite!$B$5:$B$369,1,Daily_Composite!$AR$5:$AR$369,"&lt;"&amp;-Settings!$C$4)/COUNTIFS(Daily_Composite!$A$5:$A$369,"&gt;="&amp;AL$3,Daily_Composite!$A$5:$A$369,"&lt;="&amp;AL$2,Daily_Composite!$B$5:$B$369,1),"")</f>
        <v>0</v>
      </c>
    </row>
    <row r="43" customFormat="false" ht="15" hidden="false" customHeight="false" outlineLevel="0" collapsed="false">
      <c r="A43" s="6" t="s">
        <v>56</v>
      </c>
      <c r="B43" s="7" t="n">
        <f aca="false">IFERROR(AVERAGEIFS(Daily_Composite!$AS$5:$AS$369,Daily_Composite!$A$5:$A$369,"&gt;="&amp;B$3,Daily_Composite!$A$5:$A$369,"&lt;="&amp;B$2,Daily_Composite!$B$5:$B$369,1),"")</f>
        <v>-0.03</v>
      </c>
      <c r="C43" s="8" t="n">
        <f aca="false">IFERROR(COUNTIFS(Daily_Composite!$A$5:$A$369,"&gt;="&amp;B$3,Daily_Composite!$A$5:$A$369,"&lt;="&amp;B$2,Daily_Composite!$B$5:$B$369,1,Daily_Composite!$AS$5:$AS$369,"&gt;"&amp;Settings!$C$4)/COUNTIFS(Daily_Composite!$A$5:$A$369,"&gt;="&amp;B$3,Daily_Composite!$A$5:$A$369,"&lt;="&amp;B$2,Daily_Composite!$B$5:$B$369,1),"")</f>
        <v>0</v>
      </c>
      <c r="D43" s="8" t="n">
        <f aca="false">IFERROR(COUNTIFS(Daily_Composite!$A$5:$A$369,"&gt;="&amp;B$3,Daily_Composite!$A$5:$A$369,"&lt;="&amp;B$2,Daily_Composite!$B$5:$B$369,1,Daily_Composite!$AS$5:$AS$369,"&lt;"&amp;-Settings!$C$4)/COUNTIFS(Daily_Composite!$A$5:$A$369,"&gt;="&amp;B$3,Daily_Composite!$A$5:$A$369,"&lt;="&amp;B$2,Daily_Composite!$B$5:$B$369,1),"")</f>
        <v>0</v>
      </c>
      <c r="E43" s="7" t="n">
        <f aca="false">IFERROR(AVERAGEIFS(Daily_Composite!$AS$5:$AS$369,Daily_Composite!$A$5:$A$369,"&gt;="&amp;E$3,Daily_Composite!$A$5:$A$369,"&lt;="&amp;E$2,Daily_Composite!$B$5:$B$369,1),"")</f>
        <v>-0.0463809523809524</v>
      </c>
      <c r="F43" s="8" t="n">
        <f aca="false">IFERROR(COUNTIFS(Daily_Composite!$A$5:$A$369,"&gt;="&amp;E$3,Daily_Composite!$A$5:$A$369,"&lt;="&amp;E$2,Daily_Composite!$B$5:$B$369,1,Daily_Composite!$AS$5:$AS$369,"&gt;"&amp;Settings!$C$4)/COUNTIFS(Daily_Composite!$A$5:$A$369,"&gt;="&amp;E$3,Daily_Composite!$A$5:$A$369,"&lt;="&amp;E$2,Daily_Composite!$B$5:$B$369,1),"")</f>
        <v>0.142857142857143</v>
      </c>
      <c r="G43" s="8" t="n">
        <f aca="false">IFERROR(COUNTIFS(Daily_Composite!$A$5:$A$369,"&gt;="&amp;E$3,Daily_Composite!$A$5:$A$369,"&lt;="&amp;E$2,Daily_Composite!$B$5:$B$369,1,Daily_Composite!$AS$5:$AS$369,"&lt;"&amp;-Settings!$C$4)/COUNTIFS(Daily_Composite!$A$5:$A$369,"&gt;="&amp;E$3,Daily_Composite!$A$5:$A$369,"&lt;="&amp;E$2,Daily_Composite!$B$5:$B$369,1),"")</f>
        <v>0.238095238095238</v>
      </c>
      <c r="H43" s="7" t="n">
        <f aca="false">IFERROR(AVERAGEIFS(Daily_Composite!$AS$5:$AS$369,Daily_Composite!$A$5:$A$369,"&gt;="&amp;H$3,Daily_Composite!$A$5:$A$369,"&lt;="&amp;H$2,Daily_Composite!$B$5:$B$369,1),"")</f>
        <v>-0.155086956521739</v>
      </c>
      <c r="I43" s="8" t="n">
        <f aca="false">IFERROR(COUNTIFS(Daily_Composite!$A$5:$A$369,"&gt;="&amp;H$3,Daily_Composite!$A$5:$A$369,"&lt;="&amp;H$2,Daily_Composite!$B$5:$B$369,1,Daily_Composite!$AS$5:$AS$369,"&gt;"&amp;Settings!$C$4)/COUNTIFS(Daily_Composite!$A$5:$A$369,"&gt;="&amp;H$3,Daily_Composite!$A$5:$A$369,"&lt;="&amp;H$2,Daily_Composite!$B$5:$B$369,1),"")</f>
        <v>0.0869565217391304</v>
      </c>
      <c r="J43" s="8" t="n">
        <f aca="false">IFERROR(COUNTIFS(Daily_Composite!$A$5:$A$369,"&gt;="&amp;H$3,Daily_Composite!$A$5:$A$369,"&lt;="&amp;H$2,Daily_Composite!$B$5:$B$369,1,Daily_Composite!$AS$5:$AS$369,"&lt;"&amp;-Settings!$C$4)/COUNTIFS(Daily_Composite!$A$5:$A$369,"&gt;="&amp;H$3,Daily_Composite!$A$5:$A$369,"&lt;="&amp;H$2,Daily_Composite!$B$5:$B$369,1),"")</f>
        <v>0.565217391304348</v>
      </c>
      <c r="K43" s="7" t="n">
        <f aca="false">IFERROR(AVERAGEIFS(Daily_Composite!$AS$5:$AS$369,Daily_Composite!$A$5:$A$369,"&gt;="&amp;K$3,Daily_Composite!$A$5:$A$369,"&lt;="&amp;K$2,Daily_Composite!$B$5:$B$369,1),"")</f>
        <v>-0.33052380952381</v>
      </c>
      <c r="L43" s="8" t="n">
        <f aca="false">IFERROR(COUNTIFS(Daily_Composite!$A$5:$A$369,"&gt;="&amp;K$3,Daily_Composite!$A$5:$A$369,"&lt;="&amp;K$2,Daily_Composite!$B$5:$B$369,1,Daily_Composite!$AS$5:$AS$369,"&gt;"&amp;Settings!$C$4)/COUNTIFS(Daily_Composite!$A$5:$A$369,"&gt;="&amp;K$3,Daily_Composite!$A$5:$A$369,"&lt;="&amp;K$2,Daily_Composite!$B$5:$B$369,1),"")</f>
        <v>0.0476190476190476</v>
      </c>
      <c r="M43" s="8" t="n">
        <f aca="false">IFERROR(COUNTIFS(Daily_Composite!$A$5:$A$369,"&gt;="&amp;K$3,Daily_Composite!$A$5:$A$369,"&lt;="&amp;K$2,Daily_Composite!$B$5:$B$369,1,Daily_Composite!$AS$5:$AS$369,"&lt;"&amp;-Settings!$C$4)/COUNTIFS(Daily_Composite!$A$5:$A$369,"&gt;="&amp;K$3,Daily_Composite!$A$5:$A$369,"&lt;="&amp;K$2,Daily_Composite!$B$5:$B$369,1),"")</f>
        <v>0.761904761904762</v>
      </c>
      <c r="N43" s="7" t="n">
        <f aca="false">IFERROR(AVERAGEIFS(Daily_Composite!$AS$5:$AS$369,Daily_Composite!$A$5:$A$369,"&gt;="&amp;N$3,Daily_Composite!$A$5:$A$369,"&lt;="&amp;N$2,Daily_Composite!$B$5:$B$369,1),"")</f>
        <v>-0.4387</v>
      </c>
      <c r="O43" s="8" t="n">
        <f aca="false">IFERROR(COUNTIFS(Daily_Composite!$A$5:$A$369,"&gt;="&amp;N$3,Daily_Composite!$A$5:$A$369,"&lt;="&amp;N$2,Daily_Composite!$B$5:$B$369,1,Daily_Composite!$AS$5:$AS$369,"&gt;"&amp;Settings!$C$4)/COUNTIFS(Daily_Composite!$A$5:$A$369,"&gt;="&amp;N$3,Daily_Composite!$A$5:$A$369,"&lt;="&amp;N$2,Daily_Composite!$B$5:$B$369,1),"")</f>
        <v>0.1</v>
      </c>
      <c r="P43" s="8" t="n">
        <f aca="false">IFERROR(COUNTIFS(Daily_Composite!$A$5:$A$369,"&gt;="&amp;N$3,Daily_Composite!$A$5:$A$369,"&lt;="&amp;N$2,Daily_Composite!$B$5:$B$369,1,Daily_Composite!$AS$5:$AS$369,"&lt;"&amp;-Settings!$C$4)/COUNTIFS(Daily_Composite!$A$5:$A$369,"&gt;="&amp;N$3,Daily_Composite!$A$5:$A$369,"&lt;="&amp;N$2,Daily_Composite!$B$5:$B$369,1),"")</f>
        <v>0.85</v>
      </c>
      <c r="Q43" s="7" t="n">
        <f aca="false">IFERROR(AVERAGEIFS(Daily_Composite!$AS$5:$AS$369,Daily_Composite!$A$5:$A$369,"&gt;="&amp;Q$3,Daily_Composite!$A$5:$A$369,"&lt;="&amp;Q$2,Daily_Composite!$B$5:$B$369,1),"")</f>
        <v>-0.211521739130435</v>
      </c>
      <c r="R43" s="8" t="n">
        <f aca="false">IFERROR(COUNTIFS(Daily_Composite!$A$5:$A$369,"&gt;="&amp;Q$3,Daily_Composite!$A$5:$A$369,"&lt;="&amp;Q$2,Daily_Composite!$B$5:$B$369,1,Daily_Composite!$AS$5:$AS$369,"&gt;"&amp;Settings!$C$4)/COUNTIFS(Daily_Composite!$A$5:$A$369,"&gt;="&amp;Q$3,Daily_Composite!$A$5:$A$369,"&lt;="&amp;Q$2,Daily_Composite!$B$5:$B$369,1),"")</f>
        <v>0.0869565217391304</v>
      </c>
      <c r="S43" s="8" t="n">
        <f aca="false">IFERROR(COUNTIFS(Daily_Composite!$A$5:$A$369,"&gt;="&amp;Q$3,Daily_Composite!$A$5:$A$369,"&lt;="&amp;Q$2,Daily_Composite!$B$5:$B$369,1,Daily_Composite!$AS$5:$AS$369,"&lt;"&amp;-Settings!$C$4)/COUNTIFS(Daily_Composite!$A$5:$A$369,"&gt;="&amp;Q$3,Daily_Composite!$A$5:$A$369,"&lt;="&amp;Q$2,Daily_Composite!$B$5:$B$369,1),"")</f>
        <v>0.608695652173913</v>
      </c>
      <c r="T43" s="7" t="n">
        <f aca="false">IFERROR(AVERAGEIFS(Daily_Composite!$AS$5:$AS$369,Daily_Composite!$A$5:$A$369,"&gt;="&amp;T$3,Daily_Composite!$A$5:$A$369,"&lt;="&amp;T$2,Daily_Composite!$B$5:$B$369,1),"")</f>
        <v>-0.199954545454545</v>
      </c>
      <c r="U43" s="8" t="n">
        <f aca="false">IFERROR(COUNTIFS(Daily_Composite!$A$5:$A$369,"&gt;="&amp;T$3,Daily_Composite!$A$5:$A$369,"&lt;="&amp;T$2,Daily_Composite!$B$5:$B$369,1,Daily_Composite!$AS$5:$AS$369,"&gt;"&amp;Settings!$C$4)/COUNTIFS(Daily_Composite!$A$5:$A$369,"&gt;="&amp;T$3,Daily_Composite!$A$5:$A$369,"&lt;="&amp;T$2,Daily_Composite!$B$5:$B$369,1),"")</f>
        <v>0</v>
      </c>
      <c r="V43" s="8" t="n">
        <f aca="false">IFERROR(COUNTIFS(Daily_Composite!$A$5:$A$369,"&gt;="&amp;T$3,Daily_Composite!$A$5:$A$369,"&lt;="&amp;T$2,Daily_Composite!$B$5:$B$369,1,Daily_Composite!$AS$5:$AS$369,"&lt;"&amp;-Settings!$C$4)/COUNTIFS(Daily_Composite!$A$5:$A$369,"&gt;="&amp;T$3,Daily_Composite!$A$5:$A$369,"&lt;="&amp;T$2,Daily_Composite!$B$5:$B$369,1),"")</f>
        <v>0.5</v>
      </c>
      <c r="W43" s="7" t="n">
        <f aca="false">IFERROR(AVERAGEIFS(Daily_Composite!$AS$5:$AS$369,Daily_Composite!$A$5:$A$369,"&gt;="&amp;W$3,Daily_Composite!$A$5:$A$369,"&lt;="&amp;W$2,Daily_Composite!$B$5:$B$369,1),"")</f>
        <v>-0.233857142857143</v>
      </c>
      <c r="X43" s="8" t="n">
        <f aca="false">IFERROR(COUNTIFS(Daily_Composite!$A$5:$A$369,"&gt;="&amp;W$3,Daily_Composite!$A$5:$A$369,"&lt;="&amp;W$2,Daily_Composite!$B$5:$B$369,1,Daily_Composite!$AS$5:$AS$369,"&gt;"&amp;Settings!$C$4)/COUNTIFS(Daily_Composite!$A$5:$A$369,"&gt;="&amp;W$3,Daily_Composite!$A$5:$A$369,"&lt;="&amp;W$2,Daily_Composite!$B$5:$B$369,1),"")</f>
        <v>0.0476190476190476</v>
      </c>
      <c r="Y43" s="8" t="n">
        <f aca="false">IFERROR(COUNTIFS(Daily_Composite!$A$5:$A$369,"&gt;="&amp;W$3,Daily_Composite!$A$5:$A$369,"&lt;="&amp;W$2,Daily_Composite!$B$5:$B$369,1,Daily_Composite!$AS$5:$AS$369,"&lt;"&amp;-Settings!$C$4)/COUNTIFS(Daily_Composite!$A$5:$A$369,"&gt;="&amp;W$3,Daily_Composite!$A$5:$A$369,"&lt;="&amp;W$2,Daily_Composite!$B$5:$B$369,1),"")</f>
        <v>0.714285714285714</v>
      </c>
      <c r="Z43" s="7" t="n">
        <f aca="false">IFERROR(AVERAGEIFS(Daily_Composite!$AS$5:$AS$369,Daily_Composite!$A$5:$A$369,"&gt;="&amp;Z$3,Daily_Composite!$A$5:$A$369,"&lt;="&amp;Z$2,Daily_Composite!$B$5:$B$369,1),"")</f>
        <v>-0.144409090909091</v>
      </c>
      <c r="AA43" s="8" t="n">
        <f aca="false">IFERROR(COUNTIFS(Daily_Composite!$A$5:$A$369,"&gt;="&amp;Z$3,Daily_Composite!$A$5:$A$369,"&lt;="&amp;Z$2,Daily_Composite!$B$5:$B$369,1,Daily_Composite!$AS$5:$AS$369,"&gt;"&amp;Settings!$C$4)/COUNTIFS(Daily_Composite!$A$5:$A$369,"&gt;="&amp;Z$3,Daily_Composite!$A$5:$A$369,"&lt;="&amp;Z$2,Daily_Composite!$B$5:$B$369,1),"")</f>
        <v>0</v>
      </c>
      <c r="AB43" s="8" t="n">
        <f aca="false">IFERROR(COUNTIFS(Daily_Composite!$A$5:$A$369,"&gt;="&amp;Z$3,Daily_Composite!$A$5:$A$369,"&lt;="&amp;Z$2,Daily_Composite!$B$5:$B$369,1,Daily_Composite!$AS$5:$AS$369,"&lt;"&amp;-Settings!$C$4)/COUNTIFS(Daily_Composite!$A$5:$A$369,"&gt;="&amp;Z$3,Daily_Composite!$A$5:$A$369,"&lt;="&amp;Z$2,Daily_Composite!$B$5:$B$369,1),"")</f>
        <v>0.363636363636364</v>
      </c>
      <c r="AC43" s="7" t="n">
        <f aca="false">IFERROR(AVERAGEIFS(Daily_Composite!$AS$5:$AS$369,Daily_Composite!$A$5:$A$369,"&gt;="&amp;AC$3,Daily_Composite!$A$5:$A$369,"&lt;="&amp;AC$2,Daily_Composite!$B$5:$B$369,1),"")</f>
        <v>-0.236818181818182</v>
      </c>
      <c r="AD43" s="8" t="n">
        <f aca="false">IFERROR(COUNTIFS(Daily_Composite!$A$5:$A$369,"&gt;="&amp;AC$3,Daily_Composite!$A$5:$A$369,"&lt;="&amp;AC$2,Daily_Composite!$B$5:$B$369,1,Daily_Composite!$AS$5:$AS$369,"&gt;"&amp;Settings!$C$4)/COUNTIFS(Daily_Composite!$A$5:$A$369,"&gt;="&amp;AC$3,Daily_Composite!$A$5:$A$369,"&lt;="&amp;AC$2,Daily_Composite!$B$5:$B$369,1),"")</f>
        <v>0</v>
      </c>
      <c r="AE43" s="8" t="n">
        <f aca="false">IFERROR(COUNTIFS(Daily_Composite!$A$5:$A$369,"&gt;="&amp;AC$3,Daily_Composite!$A$5:$A$369,"&lt;="&amp;AC$2,Daily_Composite!$B$5:$B$369,1,Daily_Composite!$AS$5:$AS$369,"&lt;"&amp;-Settings!$C$4)/COUNTIFS(Daily_Composite!$A$5:$A$369,"&gt;="&amp;AC$3,Daily_Composite!$A$5:$A$369,"&lt;="&amp;AC$2,Daily_Composite!$B$5:$B$369,1),"")</f>
        <v>0.727272727272727</v>
      </c>
      <c r="AF43" s="7" t="n">
        <f aca="false">IFERROR(AVERAGEIFS(Daily_Composite!$AS$5:$AS$369,Daily_Composite!$A$5:$A$369,"&gt;="&amp;AF$3,Daily_Composite!$A$5:$A$369,"&lt;="&amp;AF$2,Daily_Composite!$B$5:$B$369,1),"")</f>
        <v>-0.213090909090909</v>
      </c>
      <c r="AG43" s="8" t="n">
        <f aca="false">IFERROR(COUNTIFS(Daily_Composite!$A$5:$A$369,"&gt;="&amp;AF$3,Daily_Composite!$A$5:$A$369,"&lt;="&amp;AF$2,Daily_Composite!$B$5:$B$369,1,Daily_Composite!$AS$5:$AS$369,"&gt;"&amp;Settings!$C$4)/COUNTIFS(Daily_Composite!$A$5:$A$369,"&gt;="&amp;AF$3,Daily_Composite!$A$5:$A$369,"&lt;="&amp;AF$2,Daily_Composite!$B$5:$B$369,1),"")</f>
        <v>0.0909090909090909</v>
      </c>
      <c r="AH43" s="8" t="n">
        <f aca="false">IFERROR(COUNTIFS(Daily_Composite!$A$5:$A$369,"&gt;="&amp;AF$3,Daily_Composite!$A$5:$A$369,"&lt;="&amp;AF$2,Daily_Composite!$B$5:$B$369,1,Daily_Composite!$AS$5:$AS$369,"&lt;"&amp;-Settings!$C$4)/COUNTIFS(Daily_Composite!$A$5:$A$369,"&gt;="&amp;AF$3,Daily_Composite!$A$5:$A$369,"&lt;="&amp;AF$2,Daily_Composite!$B$5:$B$369,1),"")</f>
        <v>0.818181818181818</v>
      </c>
      <c r="AI43" s="7" t="n">
        <f aca="false">IFERROR(AVERAGEIFS(Daily_Composite!$AS$5:$AS$369,Daily_Composite!$A$5:$A$369,"&gt;="&amp;AI$3,Daily_Composite!$A$5:$A$369,"&lt;="&amp;AI$2,Daily_Composite!$B$5:$B$369,1),"")</f>
        <v>-0.00413636363636364</v>
      </c>
      <c r="AJ43" s="8" t="n">
        <f aca="false">IFERROR(COUNTIFS(Daily_Composite!$A$5:$A$369,"&gt;="&amp;AI$3,Daily_Composite!$A$5:$A$369,"&lt;="&amp;AI$2,Daily_Composite!$B$5:$B$369,1,Daily_Composite!$AS$5:$AS$369,"&gt;"&amp;Settings!$C$4)/COUNTIFS(Daily_Composite!$A$5:$A$369,"&gt;="&amp;AI$3,Daily_Composite!$A$5:$A$369,"&lt;="&amp;AI$2,Daily_Composite!$B$5:$B$369,1),"")</f>
        <v>0.272727272727273</v>
      </c>
      <c r="AK43" s="8" t="n">
        <f aca="false">IFERROR(COUNTIFS(Daily_Composite!$A$5:$A$369,"&gt;="&amp;AI$3,Daily_Composite!$A$5:$A$369,"&lt;="&amp;AI$2,Daily_Composite!$B$5:$B$369,1,Daily_Composite!$AS$5:$AS$369,"&lt;"&amp;-Settings!$C$4)/COUNTIFS(Daily_Composite!$A$5:$A$369,"&gt;="&amp;AI$3,Daily_Composite!$A$5:$A$369,"&lt;="&amp;AI$2,Daily_Composite!$B$5:$B$369,1),"")</f>
        <v>0.363636363636364</v>
      </c>
      <c r="AL43" s="7" t="n">
        <f aca="false">IFERROR(AVERAGEIFS(Daily_Composite!$AS$5:$AS$369,Daily_Composite!$A$5:$A$369,"&gt;="&amp;AL$3,Daily_Composite!$A$5:$A$369,"&lt;="&amp;AL$2,Daily_Composite!$B$5:$B$369,1),"")</f>
        <v>-0.0277777777777778</v>
      </c>
      <c r="AM43" s="8" t="n">
        <f aca="false">IFERROR(COUNTIFS(Daily_Composite!$A$5:$A$369,"&gt;="&amp;AL$3,Daily_Composite!$A$5:$A$369,"&lt;="&amp;AL$2,Daily_Composite!$B$5:$B$369,1,Daily_Composite!$AS$5:$AS$369,"&gt;"&amp;Settings!$C$4)/COUNTIFS(Daily_Composite!$A$5:$A$369,"&gt;="&amp;AL$3,Daily_Composite!$A$5:$A$369,"&lt;="&amp;AL$2,Daily_Composite!$B$5:$B$369,1),"")</f>
        <v>0.277777777777778</v>
      </c>
      <c r="AN43" s="8" t="n">
        <f aca="false">IFERROR(COUNTIFS(Daily_Composite!$A$5:$A$369,"&gt;="&amp;AL$3,Daily_Composite!$A$5:$A$369,"&lt;="&amp;AL$2,Daily_Composite!$B$5:$B$369,1,Daily_Composite!$AS$5:$AS$369,"&lt;"&amp;-Settings!$C$4)/COUNTIFS(Daily_Composite!$A$5:$A$369,"&gt;="&amp;AL$3,Daily_Composite!$A$5:$A$369,"&lt;="&amp;AL$2,Daily_Composite!$B$5:$B$369,1),"")</f>
        <v>0.388888888888889</v>
      </c>
    </row>
    <row r="44" customFormat="false" ht="15" hidden="false" customHeight="false" outlineLevel="0" collapsed="false">
      <c r="A44" s="6" t="s">
        <v>57</v>
      </c>
      <c r="B44" s="7" t="n">
        <f aca="false">IFERROR(AVERAGEIFS(Daily_Composite!$AT$5:$AT$369,Daily_Composite!$A$5:$A$369,"&gt;="&amp;B$3,Daily_Composite!$A$5:$A$369,"&lt;="&amp;B$2,Daily_Composite!$B$5:$B$369,1),"")</f>
        <v>-0.08525</v>
      </c>
      <c r="C44" s="8" t="n">
        <f aca="false">IFERROR(COUNTIFS(Daily_Composite!$A$5:$A$369,"&gt;="&amp;B$3,Daily_Composite!$A$5:$A$369,"&lt;="&amp;B$2,Daily_Composite!$B$5:$B$369,1,Daily_Composite!$AT$5:$AT$369,"&gt;"&amp;Settings!$C$4)/COUNTIFS(Daily_Composite!$A$5:$A$369,"&gt;="&amp;B$3,Daily_Composite!$A$5:$A$369,"&lt;="&amp;B$2,Daily_Composite!$B$5:$B$369,1),"")</f>
        <v>0</v>
      </c>
      <c r="D44" s="8" t="n">
        <f aca="false">IFERROR(COUNTIFS(Daily_Composite!$A$5:$A$369,"&gt;="&amp;B$3,Daily_Composite!$A$5:$A$369,"&lt;="&amp;B$2,Daily_Composite!$B$5:$B$369,1,Daily_Composite!$AT$5:$AT$369,"&lt;"&amp;-Settings!$C$4)/COUNTIFS(Daily_Composite!$A$5:$A$369,"&gt;="&amp;B$3,Daily_Composite!$A$5:$A$369,"&lt;="&amp;B$2,Daily_Composite!$B$5:$B$369,1),"")</f>
        <v>0.25</v>
      </c>
      <c r="E44" s="7" t="n">
        <f aca="false">IFERROR(AVERAGEIFS(Daily_Composite!$AT$5:$AT$369,Daily_Composite!$A$5:$A$369,"&gt;="&amp;E$3,Daily_Composite!$A$5:$A$369,"&lt;="&amp;E$2,Daily_Composite!$B$5:$B$369,1),"")</f>
        <v>0.112238095238095</v>
      </c>
      <c r="F44" s="8" t="n">
        <f aca="false">IFERROR(COUNTIFS(Daily_Composite!$A$5:$A$369,"&gt;="&amp;E$3,Daily_Composite!$A$5:$A$369,"&lt;="&amp;E$2,Daily_Composite!$B$5:$B$369,1,Daily_Composite!$AT$5:$AT$369,"&gt;"&amp;Settings!$C$4)/COUNTIFS(Daily_Composite!$A$5:$A$369,"&gt;="&amp;E$3,Daily_Composite!$A$5:$A$369,"&lt;="&amp;E$2,Daily_Composite!$B$5:$B$369,1),"")</f>
        <v>0.285714285714286</v>
      </c>
      <c r="G44" s="8" t="n">
        <f aca="false">IFERROR(COUNTIFS(Daily_Composite!$A$5:$A$369,"&gt;="&amp;E$3,Daily_Composite!$A$5:$A$369,"&lt;="&amp;E$2,Daily_Composite!$B$5:$B$369,1,Daily_Composite!$AT$5:$AT$369,"&lt;"&amp;-Settings!$C$4)/COUNTIFS(Daily_Composite!$A$5:$A$369,"&gt;="&amp;E$3,Daily_Composite!$A$5:$A$369,"&lt;="&amp;E$2,Daily_Composite!$B$5:$B$369,1),"")</f>
        <v>0.0952380952380952</v>
      </c>
      <c r="H44" s="7" t="n">
        <f aca="false">IFERROR(AVERAGEIFS(Daily_Composite!$AT$5:$AT$369,Daily_Composite!$A$5:$A$369,"&gt;="&amp;H$3,Daily_Composite!$A$5:$A$369,"&lt;="&amp;H$2,Daily_Composite!$B$5:$B$369,1),"")</f>
        <v>0.234173913043478</v>
      </c>
      <c r="I44" s="8" t="n">
        <f aca="false">IFERROR(COUNTIFS(Daily_Composite!$A$5:$A$369,"&gt;="&amp;H$3,Daily_Composite!$A$5:$A$369,"&lt;="&amp;H$2,Daily_Composite!$B$5:$B$369,1,Daily_Composite!$AT$5:$AT$369,"&gt;"&amp;Settings!$C$4)/COUNTIFS(Daily_Composite!$A$5:$A$369,"&gt;="&amp;H$3,Daily_Composite!$A$5:$A$369,"&lt;="&amp;H$2,Daily_Composite!$B$5:$B$369,1),"")</f>
        <v>0.652173913043478</v>
      </c>
      <c r="J44" s="8" t="n">
        <f aca="false">IFERROR(COUNTIFS(Daily_Composite!$A$5:$A$369,"&gt;="&amp;H$3,Daily_Composite!$A$5:$A$369,"&lt;="&amp;H$2,Daily_Composite!$B$5:$B$369,1,Daily_Composite!$AT$5:$AT$369,"&lt;"&amp;-Settings!$C$4)/COUNTIFS(Daily_Composite!$A$5:$A$369,"&gt;="&amp;H$3,Daily_Composite!$A$5:$A$369,"&lt;="&amp;H$2,Daily_Composite!$B$5:$B$369,1),"")</f>
        <v>0</v>
      </c>
      <c r="K44" s="7" t="n">
        <f aca="false">IFERROR(AVERAGEIFS(Daily_Composite!$AT$5:$AT$369,Daily_Composite!$A$5:$A$369,"&gt;="&amp;K$3,Daily_Composite!$A$5:$A$369,"&lt;="&amp;K$2,Daily_Composite!$B$5:$B$369,1),"")</f>
        <v>0.170619047619048</v>
      </c>
      <c r="L44" s="8" t="n">
        <f aca="false">IFERROR(COUNTIFS(Daily_Composite!$A$5:$A$369,"&gt;="&amp;K$3,Daily_Composite!$A$5:$A$369,"&lt;="&amp;K$2,Daily_Composite!$B$5:$B$369,1,Daily_Composite!$AT$5:$AT$369,"&gt;"&amp;Settings!$C$4)/COUNTIFS(Daily_Composite!$A$5:$A$369,"&gt;="&amp;K$3,Daily_Composite!$A$5:$A$369,"&lt;="&amp;K$2,Daily_Composite!$B$5:$B$369,1),"")</f>
        <v>0.523809523809524</v>
      </c>
      <c r="M44" s="8" t="n">
        <f aca="false">IFERROR(COUNTIFS(Daily_Composite!$A$5:$A$369,"&gt;="&amp;K$3,Daily_Composite!$A$5:$A$369,"&lt;="&amp;K$2,Daily_Composite!$B$5:$B$369,1,Daily_Composite!$AT$5:$AT$369,"&lt;"&amp;-Settings!$C$4)/COUNTIFS(Daily_Composite!$A$5:$A$369,"&gt;="&amp;K$3,Daily_Composite!$A$5:$A$369,"&lt;="&amp;K$2,Daily_Composite!$B$5:$B$369,1),"")</f>
        <v>0.0476190476190476</v>
      </c>
      <c r="N44" s="7" t="n">
        <f aca="false">IFERROR(AVERAGEIFS(Daily_Composite!$AT$5:$AT$369,Daily_Composite!$A$5:$A$369,"&gt;="&amp;N$3,Daily_Composite!$A$5:$A$369,"&lt;="&amp;N$2,Daily_Composite!$B$5:$B$369,1),"")</f>
        <v>-0.19295</v>
      </c>
      <c r="O44" s="8" t="n">
        <f aca="false">IFERROR(COUNTIFS(Daily_Composite!$A$5:$A$369,"&gt;="&amp;N$3,Daily_Composite!$A$5:$A$369,"&lt;="&amp;N$2,Daily_Composite!$B$5:$B$369,1,Daily_Composite!$AT$5:$AT$369,"&gt;"&amp;Settings!$C$4)/COUNTIFS(Daily_Composite!$A$5:$A$369,"&gt;="&amp;N$3,Daily_Composite!$A$5:$A$369,"&lt;="&amp;N$2,Daily_Composite!$B$5:$B$369,1),"")</f>
        <v>0.1</v>
      </c>
      <c r="P44" s="8" t="n">
        <f aca="false">IFERROR(COUNTIFS(Daily_Composite!$A$5:$A$369,"&gt;="&amp;N$3,Daily_Composite!$A$5:$A$369,"&lt;="&amp;N$2,Daily_Composite!$B$5:$B$369,1,Daily_Composite!$AT$5:$AT$369,"&lt;"&amp;-Settings!$C$4)/COUNTIFS(Daily_Composite!$A$5:$A$369,"&gt;="&amp;N$3,Daily_Composite!$A$5:$A$369,"&lt;="&amp;N$2,Daily_Composite!$B$5:$B$369,1),"")</f>
        <v>0.65</v>
      </c>
      <c r="Q44" s="7" t="n">
        <f aca="false">IFERROR(AVERAGEIFS(Daily_Composite!$AT$5:$AT$369,Daily_Composite!$A$5:$A$369,"&gt;="&amp;Q$3,Daily_Composite!$A$5:$A$369,"&lt;="&amp;Q$2,Daily_Composite!$B$5:$B$369,1),"")</f>
        <v>-0.0407826086956522</v>
      </c>
      <c r="R44" s="8" t="n">
        <f aca="false">IFERROR(COUNTIFS(Daily_Composite!$A$5:$A$369,"&gt;="&amp;Q$3,Daily_Composite!$A$5:$A$369,"&lt;="&amp;Q$2,Daily_Composite!$B$5:$B$369,1,Daily_Composite!$AT$5:$AT$369,"&gt;"&amp;Settings!$C$4)/COUNTIFS(Daily_Composite!$A$5:$A$369,"&gt;="&amp;Q$3,Daily_Composite!$A$5:$A$369,"&lt;="&amp;Q$2,Daily_Composite!$B$5:$B$369,1),"")</f>
        <v>0.217391304347826</v>
      </c>
      <c r="S44" s="8" t="n">
        <f aca="false">IFERROR(COUNTIFS(Daily_Composite!$A$5:$A$369,"&gt;="&amp;Q$3,Daily_Composite!$A$5:$A$369,"&lt;="&amp;Q$2,Daily_Composite!$B$5:$B$369,1,Daily_Composite!$AT$5:$AT$369,"&lt;"&amp;-Settings!$C$4)/COUNTIFS(Daily_Composite!$A$5:$A$369,"&gt;="&amp;Q$3,Daily_Composite!$A$5:$A$369,"&lt;="&amp;Q$2,Daily_Composite!$B$5:$B$369,1),"")</f>
        <v>0.217391304347826</v>
      </c>
      <c r="T44" s="7" t="n">
        <f aca="false">IFERROR(AVERAGEIFS(Daily_Composite!$AT$5:$AT$369,Daily_Composite!$A$5:$A$369,"&gt;="&amp;T$3,Daily_Composite!$A$5:$A$369,"&lt;="&amp;T$2,Daily_Composite!$B$5:$B$369,1),"")</f>
        <v>-0.0492272727272727</v>
      </c>
      <c r="U44" s="8" t="n">
        <f aca="false">IFERROR(COUNTIFS(Daily_Composite!$A$5:$A$369,"&gt;="&amp;T$3,Daily_Composite!$A$5:$A$369,"&lt;="&amp;T$2,Daily_Composite!$B$5:$B$369,1,Daily_Composite!$AT$5:$AT$369,"&gt;"&amp;Settings!$C$4)/COUNTIFS(Daily_Composite!$A$5:$A$369,"&gt;="&amp;T$3,Daily_Composite!$A$5:$A$369,"&lt;="&amp;T$2,Daily_Composite!$B$5:$B$369,1),"")</f>
        <v>0.0454545454545455</v>
      </c>
      <c r="V44" s="8" t="n">
        <f aca="false">IFERROR(COUNTIFS(Daily_Composite!$A$5:$A$369,"&gt;="&amp;T$3,Daily_Composite!$A$5:$A$369,"&lt;="&amp;T$2,Daily_Composite!$B$5:$B$369,1,Daily_Composite!$AT$5:$AT$369,"&lt;"&amp;-Settings!$C$4)/COUNTIFS(Daily_Composite!$A$5:$A$369,"&gt;="&amp;T$3,Daily_Composite!$A$5:$A$369,"&lt;="&amp;T$2,Daily_Composite!$B$5:$B$369,1),"")</f>
        <v>0.136363636363636</v>
      </c>
      <c r="W44" s="7" t="n">
        <f aca="false">IFERROR(AVERAGEIFS(Daily_Composite!$AT$5:$AT$369,Daily_Composite!$A$5:$A$369,"&gt;="&amp;W$3,Daily_Composite!$A$5:$A$369,"&lt;="&amp;W$2,Daily_Composite!$B$5:$B$369,1),"")</f>
        <v>-0.0635714285714286</v>
      </c>
      <c r="X44" s="8" t="n">
        <f aca="false">IFERROR(COUNTIFS(Daily_Composite!$A$5:$A$369,"&gt;="&amp;W$3,Daily_Composite!$A$5:$A$369,"&lt;="&amp;W$2,Daily_Composite!$B$5:$B$369,1,Daily_Composite!$AT$5:$AT$369,"&gt;"&amp;Settings!$C$4)/COUNTIFS(Daily_Composite!$A$5:$A$369,"&gt;="&amp;W$3,Daily_Composite!$A$5:$A$369,"&lt;="&amp;W$2,Daily_Composite!$B$5:$B$369,1),"")</f>
        <v>0.0952380952380952</v>
      </c>
      <c r="Y44" s="8" t="n">
        <f aca="false">IFERROR(COUNTIFS(Daily_Composite!$A$5:$A$369,"&gt;="&amp;W$3,Daily_Composite!$A$5:$A$369,"&lt;="&amp;W$2,Daily_Composite!$B$5:$B$369,1,Daily_Composite!$AT$5:$AT$369,"&lt;"&amp;-Settings!$C$4)/COUNTIFS(Daily_Composite!$A$5:$A$369,"&gt;="&amp;W$3,Daily_Composite!$A$5:$A$369,"&lt;="&amp;W$2,Daily_Composite!$B$5:$B$369,1),"")</f>
        <v>0.238095238095238</v>
      </c>
      <c r="Z44" s="7" t="n">
        <f aca="false">IFERROR(AVERAGEIFS(Daily_Composite!$AT$5:$AT$369,Daily_Composite!$A$5:$A$369,"&gt;="&amp;Z$3,Daily_Composite!$A$5:$A$369,"&lt;="&amp;Z$2,Daily_Composite!$B$5:$B$369,1),"")</f>
        <v>0.0856818181818182</v>
      </c>
      <c r="AA44" s="8" t="n">
        <f aca="false">IFERROR(COUNTIFS(Daily_Composite!$A$5:$A$369,"&gt;="&amp;Z$3,Daily_Composite!$A$5:$A$369,"&lt;="&amp;Z$2,Daily_Composite!$B$5:$B$369,1,Daily_Composite!$AT$5:$AT$369,"&gt;"&amp;Settings!$C$4)/COUNTIFS(Daily_Composite!$A$5:$A$369,"&gt;="&amp;Z$3,Daily_Composite!$A$5:$A$369,"&lt;="&amp;Z$2,Daily_Composite!$B$5:$B$369,1),"")</f>
        <v>0.272727272727273</v>
      </c>
      <c r="AB44" s="8" t="n">
        <f aca="false">IFERROR(COUNTIFS(Daily_Composite!$A$5:$A$369,"&gt;="&amp;Z$3,Daily_Composite!$A$5:$A$369,"&lt;="&amp;Z$2,Daily_Composite!$B$5:$B$369,1,Daily_Composite!$AT$5:$AT$369,"&lt;"&amp;-Settings!$C$4)/COUNTIFS(Daily_Composite!$A$5:$A$369,"&gt;="&amp;Z$3,Daily_Composite!$A$5:$A$369,"&lt;="&amp;Z$2,Daily_Composite!$B$5:$B$369,1),"")</f>
        <v>0.181818181818182</v>
      </c>
      <c r="AC44" s="7" t="n">
        <f aca="false">IFERROR(AVERAGEIFS(Daily_Composite!$AT$5:$AT$369,Daily_Composite!$A$5:$A$369,"&gt;="&amp;AC$3,Daily_Composite!$A$5:$A$369,"&lt;="&amp;AC$2,Daily_Composite!$B$5:$B$369,1),"")</f>
        <v>0.112818181818182</v>
      </c>
      <c r="AD44" s="8" t="n">
        <f aca="false">IFERROR(COUNTIFS(Daily_Composite!$A$5:$A$369,"&gt;="&amp;AC$3,Daily_Composite!$A$5:$A$369,"&lt;="&amp;AC$2,Daily_Composite!$B$5:$B$369,1,Daily_Composite!$AT$5:$AT$369,"&gt;"&amp;Settings!$C$4)/COUNTIFS(Daily_Composite!$A$5:$A$369,"&gt;="&amp;AC$3,Daily_Composite!$A$5:$A$369,"&lt;="&amp;AC$2,Daily_Composite!$B$5:$B$369,1),"")</f>
        <v>0.409090909090909</v>
      </c>
      <c r="AE44" s="8" t="n">
        <f aca="false">IFERROR(COUNTIFS(Daily_Composite!$A$5:$A$369,"&gt;="&amp;AC$3,Daily_Composite!$A$5:$A$369,"&lt;="&amp;AC$2,Daily_Composite!$B$5:$B$369,1,Daily_Composite!$AT$5:$AT$369,"&lt;"&amp;-Settings!$C$4)/COUNTIFS(Daily_Composite!$A$5:$A$369,"&gt;="&amp;AC$3,Daily_Composite!$A$5:$A$369,"&lt;="&amp;AC$2,Daily_Composite!$B$5:$B$369,1),"")</f>
        <v>0.136363636363636</v>
      </c>
      <c r="AF44" s="7" t="n">
        <f aca="false">IFERROR(AVERAGEIFS(Daily_Composite!$AT$5:$AT$369,Daily_Composite!$A$5:$A$369,"&gt;="&amp;AF$3,Daily_Composite!$A$5:$A$369,"&lt;="&amp;AF$2,Daily_Composite!$B$5:$B$369,1),"")</f>
        <v>-0.0727272727272727</v>
      </c>
      <c r="AG44" s="8" t="n">
        <f aca="false">IFERROR(COUNTIFS(Daily_Composite!$A$5:$A$369,"&gt;="&amp;AF$3,Daily_Composite!$A$5:$A$369,"&lt;="&amp;AF$2,Daily_Composite!$B$5:$B$369,1,Daily_Composite!$AT$5:$AT$369,"&gt;"&amp;Settings!$C$4)/COUNTIFS(Daily_Composite!$A$5:$A$369,"&gt;="&amp;AF$3,Daily_Composite!$A$5:$A$369,"&lt;="&amp;AF$2,Daily_Composite!$B$5:$B$369,1),"")</f>
        <v>0.181818181818182</v>
      </c>
      <c r="AH44" s="8" t="n">
        <f aca="false">IFERROR(COUNTIFS(Daily_Composite!$A$5:$A$369,"&gt;="&amp;AF$3,Daily_Composite!$A$5:$A$369,"&lt;="&amp;AF$2,Daily_Composite!$B$5:$B$369,1,Daily_Composite!$AT$5:$AT$369,"&lt;"&amp;-Settings!$C$4)/COUNTIFS(Daily_Composite!$A$5:$A$369,"&gt;="&amp;AF$3,Daily_Composite!$A$5:$A$369,"&lt;="&amp;AF$2,Daily_Composite!$B$5:$B$369,1),"")</f>
        <v>0.545454545454545</v>
      </c>
      <c r="AI44" s="7" t="n">
        <f aca="false">IFERROR(AVERAGEIFS(Daily_Composite!$AT$5:$AT$369,Daily_Composite!$A$5:$A$369,"&gt;="&amp;AI$3,Daily_Composite!$A$5:$A$369,"&lt;="&amp;AI$2,Daily_Composite!$B$5:$B$369,1),"")</f>
        <v>0.0636363636363636</v>
      </c>
      <c r="AJ44" s="8" t="n">
        <f aca="false">IFERROR(COUNTIFS(Daily_Composite!$A$5:$A$369,"&gt;="&amp;AI$3,Daily_Composite!$A$5:$A$369,"&lt;="&amp;AI$2,Daily_Composite!$B$5:$B$369,1,Daily_Composite!$AT$5:$AT$369,"&gt;"&amp;Settings!$C$4)/COUNTIFS(Daily_Composite!$A$5:$A$369,"&gt;="&amp;AI$3,Daily_Composite!$A$5:$A$369,"&lt;="&amp;AI$2,Daily_Composite!$B$5:$B$369,1),"")</f>
        <v>0.318181818181818</v>
      </c>
      <c r="AK44" s="8" t="n">
        <f aca="false">IFERROR(COUNTIFS(Daily_Composite!$A$5:$A$369,"&gt;="&amp;AI$3,Daily_Composite!$A$5:$A$369,"&lt;="&amp;AI$2,Daily_Composite!$B$5:$B$369,1,Daily_Composite!$AT$5:$AT$369,"&lt;"&amp;-Settings!$C$4)/COUNTIFS(Daily_Composite!$A$5:$A$369,"&gt;="&amp;AI$3,Daily_Composite!$A$5:$A$369,"&lt;="&amp;AI$2,Daily_Composite!$B$5:$B$369,1),"")</f>
        <v>0.227272727272727</v>
      </c>
      <c r="AL44" s="7" t="n">
        <f aca="false">IFERROR(AVERAGEIFS(Daily_Composite!$AT$5:$AT$369,Daily_Composite!$A$5:$A$369,"&gt;="&amp;AL$3,Daily_Composite!$A$5:$A$369,"&lt;="&amp;AL$2,Daily_Composite!$B$5:$B$369,1),"")</f>
        <v>0.107055555555556</v>
      </c>
      <c r="AM44" s="8" t="n">
        <f aca="false">IFERROR(COUNTIFS(Daily_Composite!$A$5:$A$369,"&gt;="&amp;AL$3,Daily_Composite!$A$5:$A$369,"&lt;="&amp;AL$2,Daily_Composite!$B$5:$B$369,1,Daily_Composite!$AT$5:$AT$369,"&gt;"&amp;Settings!$C$4)/COUNTIFS(Daily_Composite!$A$5:$A$369,"&gt;="&amp;AL$3,Daily_Composite!$A$5:$A$369,"&lt;="&amp;AL$2,Daily_Composite!$B$5:$B$369,1),"")</f>
        <v>0.388888888888889</v>
      </c>
      <c r="AN44" s="8" t="n">
        <f aca="false">IFERROR(COUNTIFS(Daily_Composite!$A$5:$A$369,"&gt;="&amp;AL$3,Daily_Composite!$A$5:$A$369,"&lt;="&amp;AL$2,Daily_Composite!$B$5:$B$369,1,Daily_Composite!$AT$5:$AT$369,"&lt;"&amp;-Settings!$C$4)/COUNTIFS(Daily_Composite!$A$5:$A$369,"&gt;="&amp;AL$3,Daily_Composite!$A$5:$A$369,"&lt;="&amp;AL$2,Daily_Composite!$B$5:$B$369,1),"")</f>
        <v>0.111111111111111</v>
      </c>
    </row>
    <row r="45" customFormat="false" ht="15" hidden="false" customHeight="false" outlineLevel="0" collapsed="false">
      <c r="A45" s="6" t="s">
        <v>58</v>
      </c>
      <c r="B45" s="7" t="n">
        <f aca="false">IFERROR(AVERAGEIFS(Daily_Composite!$AU$5:$AU$369,Daily_Composite!$A$5:$A$369,"&gt;="&amp;B$3,Daily_Composite!$A$5:$A$369,"&lt;="&amp;B$2,Daily_Composite!$B$5:$B$369,1),"")</f>
        <v>-0.02675</v>
      </c>
      <c r="C45" s="8" t="n">
        <f aca="false">IFERROR(COUNTIFS(Daily_Composite!$A$5:$A$369,"&gt;="&amp;B$3,Daily_Composite!$A$5:$A$369,"&lt;="&amp;B$2,Daily_Composite!$B$5:$B$369,1,Daily_Composite!$AU$5:$AU$369,"&gt;"&amp;Settings!$C$4)/COUNTIFS(Daily_Composite!$A$5:$A$369,"&gt;="&amp;B$3,Daily_Composite!$A$5:$A$369,"&lt;="&amp;B$2,Daily_Composite!$B$5:$B$369,1),"")</f>
        <v>0</v>
      </c>
      <c r="D45" s="8" t="n">
        <f aca="false">IFERROR(COUNTIFS(Daily_Composite!$A$5:$A$369,"&gt;="&amp;B$3,Daily_Composite!$A$5:$A$369,"&lt;="&amp;B$2,Daily_Composite!$B$5:$B$369,1,Daily_Composite!$AU$5:$AU$369,"&lt;"&amp;-Settings!$C$4)/COUNTIFS(Daily_Composite!$A$5:$A$369,"&gt;="&amp;B$3,Daily_Composite!$A$5:$A$369,"&lt;="&amp;B$2,Daily_Composite!$B$5:$B$369,1),"")</f>
        <v>0</v>
      </c>
      <c r="E45" s="7" t="n">
        <f aca="false">IFERROR(AVERAGEIFS(Daily_Composite!$AU$5:$AU$369,Daily_Composite!$A$5:$A$369,"&gt;="&amp;E$3,Daily_Composite!$A$5:$A$369,"&lt;="&amp;E$2,Daily_Composite!$B$5:$B$369,1),"")</f>
        <v>0.0617619047619048</v>
      </c>
      <c r="F45" s="8" t="n">
        <f aca="false">IFERROR(COUNTIFS(Daily_Composite!$A$5:$A$369,"&gt;="&amp;E$3,Daily_Composite!$A$5:$A$369,"&lt;="&amp;E$2,Daily_Composite!$B$5:$B$369,1,Daily_Composite!$AU$5:$AU$369,"&gt;"&amp;Settings!$C$4)/COUNTIFS(Daily_Composite!$A$5:$A$369,"&gt;="&amp;E$3,Daily_Composite!$A$5:$A$369,"&lt;="&amp;E$2,Daily_Composite!$B$5:$B$369,1),"")</f>
        <v>0.0952380952380952</v>
      </c>
      <c r="G45" s="8" t="n">
        <f aca="false">IFERROR(COUNTIFS(Daily_Composite!$A$5:$A$369,"&gt;="&amp;E$3,Daily_Composite!$A$5:$A$369,"&lt;="&amp;E$2,Daily_Composite!$B$5:$B$369,1,Daily_Composite!$AU$5:$AU$369,"&lt;"&amp;-Settings!$C$4)/COUNTIFS(Daily_Composite!$A$5:$A$369,"&gt;="&amp;E$3,Daily_Composite!$A$5:$A$369,"&lt;="&amp;E$2,Daily_Composite!$B$5:$B$369,1),"")</f>
        <v>0</v>
      </c>
      <c r="H45" s="7" t="n">
        <f aca="false">IFERROR(AVERAGEIFS(Daily_Composite!$AU$5:$AU$369,Daily_Composite!$A$5:$A$369,"&gt;="&amp;H$3,Daily_Composite!$A$5:$A$369,"&lt;="&amp;H$2,Daily_Composite!$B$5:$B$369,1),"")</f>
        <v>-0.0353478260869565</v>
      </c>
      <c r="I45" s="8" t="n">
        <f aca="false">IFERROR(COUNTIFS(Daily_Composite!$A$5:$A$369,"&gt;="&amp;H$3,Daily_Composite!$A$5:$A$369,"&lt;="&amp;H$2,Daily_Composite!$B$5:$B$369,1,Daily_Composite!$AU$5:$AU$369,"&gt;"&amp;Settings!$C$4)/COUNTIFS(Daily_Composite!$A$5:$A$369,"&gt;="&amp;H$3,Daily_Composite!$A$5:$A$369,"&lt;="&amp;H$2,Daily_Composite!$B$5:$B$369,1),"")</f>
        <v>0</v>
      </c>
      <c r="J45" s="8" t="n">
        <f aca="false">IFERROR(COUNTIFS(Daily_Composite!$A$5:$A$369,"&gt;="&amp;H$3,Daily_Composite!$A$5:$A$369,"&lt;="&amp;H$2,Daily_Composite!$B$5:$B$369,1,Daily_Composite!$AU$5:$AU$369,"&lt;"&amp;-Settings!$C$4)/COUNTIFS(Daily_Composite!$A$5:$A$369,"&gt;="&amp;H$3,Daily_Composite!$A$5:$A$369,"&lt;="&amp;H$2,Daily_Composite!$B$5:$B$369,1),"")</f>
        <v>0.0434782608695652</v>
      </c>
      <c r="K45" s="7" t="n">
        <f aca="false">IFERROR(AVERAGEIFS(Daily_Composite!$AU$5:$AU$369,Daily_Composite!$A$5:$A$369,"&gt;="&amp;K$3,Daily_Composite!$A$5:$A$369,"&lt;="&amp;K$2,Daily_Composite!$B$5:$B$369,1),"")</f>
        <v>0.018952380952381</v>
      </c>
      <c r="L45" s="8" t="n">
        <f aca="false">IFERROR(COUNTIFS(Daily_Composite!$A$5:$A$369,"&gt;="&amp;K$3,Daily_Composite!$A$5:$A$369,"&lt;="&amp;K$2,Daily_Composite!$B$5:$B$369,1,Daily_Composite!$AU$5:$AU$369,"&gt;"&amp;Settings!$C$4)/COUNTIFS(Daily_Composite!$A$5:$A$369,"&gt;="&amp;K$3,Daily_Composite!$A$5:$A$369,"&lt;="&amp;K$2,Daily_Composite!$B$5:$B$369,1),"")</f>
        <v>0.0952380952380952</v>
      </c>
      <c r="M45" s="8" t="n">
        <f aca="false">IFERROR(COUNTIFS(Daily_Composite!$A$5:$A$369,"&gt;="&amp;K$3,Daily_Composite!$A$5:$A$369,"&lt;="&amp;K$2,Daily_Composite!$B$5:$B$369,1,Daily_Composite!$AU$5:$AU$369,"&lt;"&amp;-Settings!$C$4)/COUNTIFS(Daily_Composite!$A$5:$A$369,"&gt;="&amp;K$3,Daily_Composite!$A$5:$A$369,"&lt;="&amp;K$2,Daily_Composite!$B$5:$B$369,1),"")</f>
        <v>0</v>
      </c>
      <c r="N45" s="7" t="n">
        <f aca="false">IFERROR(AVERAGEIFS(Daily_Composite!$AU$5:$AU$369,Daily_Composite!$A$5:$A$369,"&gt;="&amp;N$3,Daily_Composite!$A$5:$A$369,"&lt;="&amp;N$2,Daily_Composite!$B$5:$B$369,1),"")</f>
        <v>-0.0734</v>
      </c>
      <c r="O45" s="8" t="n">
        <f aca="false">IFERROR(COUNTIFS(Daily_Composite!$A$5:$A$369,"&gt;="&amp;N$3,Daily_Composite!$A$5:$A$369,"&lt;="&amp;N$2,Daily_Composite!$B$5:$B$369,1,Daily_Composite!$AU$5:$AU$369,"&gt;"&amp;Settings!$C$4)/COUNTIFS(Daily_Composite!$A$5:$A$369,"&gt;="&amp;N$3,Daily_Composite!$A$5:$A$369,"&lt;="&amp;N$2,Daily_Composite!$B$5:$B$369,1),"")</f>
        <v>0</v>
      </c>
      <c r="P45" s="8" t="n">
        <f aca="false">IFERROR(COUNTIFS(Daily_Composite!$A$5:$A$369,"&gt;="&amp;N$3,Daily_Composite!$A$5:$A$369,"&lt;="&amp;N$2,Daily_Composite!$B$5:$B$369,1,Daily_Composite!$AU$5:$AU$369,"&lt;"&amp;-Settings!$C$4)/COUNTIFS(Daily_Composite!$A$5:$A$369,"&gt;="&amp;N$3,Daily_Composite!$A$5:$A$369,"&lt;="&amp;N$2,Daily_Composite!$B$5:$B$369,1),"")</f>
        <v>0.1</v>
      </c>
      <c r="Q45" s="7" t="n">
        <f aca="false">IFERROR(AVERAGEIFS(Daily_Composite!$AU$5:$AU$369,Daily_Composite!$A$5:$A$369,"&gt;="&amp;Q$3,Daily_Composite!$A$5:$A$369,"&lt;="&amp;Q$2,Daily_Composite!$B$5:$B$369,1),"")</f>
        <v>-0.000217391304347825</v>
      </c>
      <c r="R45" s="8" t="n">
        <f aca="false">IFERROR(COUNTIFS(Daily_Composite!$A$5:$A$369,"&gt;="&amp;Q$3,Daily_Composite!$A$5:$A$369,"&lt;="&amp;Q$2,Daily_Composite!$B$5:$B$369,1,Daily_Composite!$AU$5:$AU$369,"&gt;"&amp;Settings!$C$4)/COUNTIFS(Daily_Composite!$A$5:$A$369,"&gt;="&amp;Q$3,Daily_Composite!$A$5:$A$369,"&lt;="&amp;Q$2,Daily_Composite!$B$5:$B$369,1),"")</f>
        <v>0.0869565217391304</v>
      </c>
      <c r="S45" s="8" t="n">
        <f aca="false">IFERROR(COUNTIFS(Daily_Composite!$A$5:$A$369,"&gt;="&amp;Q$3,Daily_Composite!$A$5:$A$369,"&lt;="&amp;Q$2,Daily_Composite!$B$5:$B$369,1,Daily_Composite!$AU$5:$AU$369,"&lt;"&amp;-Settings!$C$4)/COUNTIFS(Daily_Composite!$A$5:$A$369,"&gt;="&amp;Q$3,Daily_Composite!$A$5:$A$369,"&lt;="&amp;Q$2,Daily_Composite!$B$5:$B$369,1),"")</f>
        <v>0.130434782608696</v>
      </c>
      <c r="T45" s="7" t="n">
        <f aca="false">IFERROR(AVERAGEIFS(Daily_Composite!$AU$5:$AU$369,Daily_Composite!$A$5:$A$369,"&gt;="&amp;T$3,Daily_Composite!$A$5:$A$369,"&lt;="&amp;T$2,Daily_Composite!$B$5:$B$369,1),"")</f>
        <v>0.0120454545454545</v>
      </c>
      <c r="U45" s="8" t="n">
        <f aca="false">IFERROR(COUNTIFS(Daily_Composite!$A$5:$A$369,"&gt;="&amp;T$3,Daily_Composite!$A$5:$A$369,"&lt;="&amp;T$2,Daily_Composite!$B$5:$B$369,1,Daily_Composite!$AU$5:$AU$369,"&gt;"&amp;Settings!$C$4)/COUNTIFS(Daily_Composite!$A$5:$A$369,"&gt;="&amp;T$3,Daily_Composite!$A$5:$A$369,"&lt;="&amp;T$2,Daily_Composite!$B$5:$B$369,1),"")</f>
        <v>0</v>
      </c>
      <c r="V45" s="8" t="n">
        <f aca="false">IFERROR(COUNTIFS(Daily_Composite!$A$5:$A$369,"&gt;="&amp;T$3,Daily_Composite!$A$5:$A$369,"&lt;="&amp;T$2,Daily_Composite!$B$5:$B$369,1,Daily_Composite!$AU$5:$AU$369,"&lt;"&amp;-Settings!$C$4)/COUNTIFS(Daily_Composite!$A$5:$A$369,"&gt;="&amp;T$3,Daily_Composite!$A$5:$A$369,"&lt;="&amp;T$2,Daily_Composite!$B$5:$B$369,1),"")</f>
        <v>0</v>
      </c>
      <c r="W45" s="7" t="n">
        <f aca="false">IFERROR(AVERAGEIFS(Daily_Composite!$AU$5:$AU$369,Daily_Composite!$A$5:$A$369,"&gt;="&amp;W$3,Daily_Composite!$A$5:$A$369,"&lt;="&amp;W$2,Daily_Composite!$B$5:$B$369,1),"")</f>
        <v>0.0589047619047619</v>
      </c>
      <c r="X45" s="8" t="n">
        <f aca="false">IFERROR(COUNTIFS(Daily_Composite!$A$5:$A$369,"&gt;="&amp;W$3,Daily_Composite!$A$5:$A$369,"&lt;="&amp;W$2,Daily_Composite!$B$5:$B$369,1,Daily_Composite!$AU$5:$AU$369,"&gt;"&amp;Settings!$C$4)/COUNTIFS(Daily_Composite!$A$5:$A$369,"&gt;="&amp;W$3,Daily_Composite!$A$5:$A$369,"&lt;="&amp;W$2,Daily_Composite!$B$5:$B$369,1),"")</f>
        <v>0.0476190476190476</v>
      </c>
      <c r="Y45" s="8" t="n">
        <f aca="false">IFERROR(COUNTIFS(Daily_Composite!$A$5:$A$369,"&gt;="&amp;W$3,Daily_Composite!$A$5:$A$369,"&lt;="&amp;W$2,Daily_Composite!$B$5:$B$369,1,Daily_Composite!$AU$5:$AU$369,"&lt;"&amp;-Settings!$C$4)/COUNTIFS(Daily_Composite!$A$5:$A$369,"&gt;="&amp;W$3,Daily_Composite!$A$5:$A$369,"&lt;="&amp;W$2,Daily_Composite!$B$5:$B$369,1),"")</f>
        <v>0</v>
      </c>
      <c r="Z45" s="7" t="n">
        <f aca="false">IFERROR(AVERAGEIFS(Daily_Composite!$AU$5:$AU$369,Daily_Composite!$A$5:$A$369,"&gt;="&amp;Z$3,Daily_Composite!$A$5:$A$369,"&lt;="&amp;Z$2,Daily_Composite!$B$5:$B$369,1),"")</f>
        <v>0.126045454545455</v>
      </c>
      <c r="AA45" s="8" t="n">
        <f aca="false">IFERROR(COUNTIFS(Daily_Composite!$A$5:$A$369,"&gt;="&amp;Z$3,Daily_Composite!$A$5:$A$369,"&lt;="&amp;Z$2,Daily_Composite!$B$5:$B$369,1,Daily_Composite!$AU$5:$AU$369,"&gt;"&amp;Settings!$C$4)/COUNTIFS(Daily_Composite!$A$5:$A$369,"&gt;="&amp;Z$3,Daily_Composite!$A$5:$A$369,"&lt;="&amp;Z$2,Daily_Composite!$B$5:$B$369,1),"")</f>
        <v>0.227272727272727</v>
      </c>
      <c r="AB45" s="8" t="n">
        <f aca="false">IFERROR(COUNTIFS(Daily_Composite!$A$5:$A$369,"&gt;="&amp;Z$3,Daily_Composite!$A$5:$A$369,"&lt;="&amp;Z$2,Daily_Composite!$B$5:$B$369,1,Daily_Composite!$AU$5:$AU$369,"&lt;"&amp;-Settings!$C$4)/COUNTIFS(Daily_Composite!$A$5:$A$369,"&gt;="&amp;Z$3,Daily_Composite!$A$5:$A$369,"&lt;="&amp;Z$2,Daily_Composite!$B$5:$B$369,1),"")</f>
        <v>0</v>
      </c>
      <c r="AC45" s="7" t="n">
        <f aca="false">IFERROR(AVERAGEIFS(Daily_Composite!$AU$5:$AU$369,Daily_Composite!$A$5:$A$369,"&gt;="&amp;AC$3,Daily_Composite!$A$5:$A$369,"&lt;="&amp;AC$2,Daily_Composite!$B$5:$B$369,1),"")</f>
        <v>0.128454545454545</v>
      </c>
      <c r="AD45" s="8" t="n">
        <f aca="false">IFERROR(COUNTIFS(Daily_Composite!$A$5:$A$369,"&gt;="&amp;AC$3,Daily_Composite!$A$5:$A$369,"&lt;="&amp;AC$2,Daily_Composite!$B$5:$B$369,1,Daily_Composite!$AU$5:$AU$369,"&gt;"&amp;Settings!$C$4)/COUNTIFS(Daily_Composite!$A$5:$A$369,"&gt;="&amp;AC$3,Daily_Composite!$A$5:$A$369,"&lt;="&amp;AC$2,Daily_Composite!$B$5:$B$369,1),"")</f>
        <v>0.227272727272727</v>
      </c>
      <c r="AE45" s="8" t="n">
        <f aca="false">IFERROR(COUNTIFS(Daily_Composite!$A$5:$A$369,"&gt;="&amp;AC$3,Daily_Composite!$A$5:$A$369,"&lt;="&amp;AC$2,Daily_Composite!$B$5:$B$369,1,Daily_Composite!$AU$5:$AU$369,"&lt;"&amp;-Settings!$C$4)/COUNTIFS(Daily_Composite!$A$5:$A$369,"&gt;="&amp;AC$3,Daily_Composite!$A$5:$A$369,"&lt;="&amp;AC$2,Daily_Composite!$B$5:$B$369,1),"")</f>
        <v>0</v>
      </c>
      <c r="AF45" s="7" t="n">
        <f aca="false">IFERROR(AVERAGEIFS(Daily_Composite!$AU$5:$AU$369,Daily_Composite!$A$5:$A$369,"&gt;="&amp;AF$3,Daily_Composite!$A$5:$A$369,"&lt;="&amp;AF$2,Daily_Composite!$B$5:$B$369,1),"")</f>
        <v>-0.0332272727272727</v>
      </c>
      <c r="AG45" s="8" t="n">
        <f aca="false">IFERROR(COUNTIFS(Daily_Composite!$A$5:$A$369,"&gt;="&amp;AF$3,Daily_Composite!$A$5:$A$369,"&lt;="&amp;AF$2,Daily_Composite!$B$5:$B$369,1,Daily_Composite!$AU$5:$AU$369,"&gt;"&amp;Settings!$C$4)/COUNTIFS(Daily_Composite!$A$5:$A$369,"&gt;="&amp;AF$3,Daily_Composite!$A$5:$A$369,"&lt;="&amp;AF$2,Daily_Composite!$B$5:$B$369,1),"")</f>
        <v>0.136363636363636</v>
      </c>
      <c r="AH45" s="8" t="n">
        <f aca="false">IFERROR(COUNTIFS(Daily_Composite!$A$5:$A$369,"&gt;="&amp;AF$3,Daily_Composite!$A$5:$A$369,"&lt;="&amp;AF$2,Daily_Composite!$B$5:$B$369,1,Daily_Composite!$AU$5:$AU$369,"&lt;"&amp;-Settings!$C$4)/COUNTIFS(Daily_Composite!$A$5:$A$369,"&gt;="&amp;AF$3,Daily_Composite!$A$5:$A$369,"&lt;="&amp;AF$2,Daily_Composite!$B$5:$B$369,1),"")</f>
        <v>0.0909090909090909</v>
      </c>
      <c r="AI45" s="7" t="n">
        <f aca="false">IFERROR(AVERAGEIFS(Daily_Composite!$AU$5:$AU$369,Daily_Composite!$A$5:$A$369,"&gt;="&amp;AI$3,Daily_Composite!$A$5:$A$369,"&lt;="&amp;AI$2,Daily_Composite!$B$5:$B$369,1),"")</f>
        <v>0.00577272727272727</v>
      </c>
      <c r="AJ45" s="8" t="n">
        <f aca="false">IFERROR(COUNTIFS(Daily_Composite!$A$5:$A$369,"&gt;="&amp;AI$3,Daily_Composite!$A$5:$A$369,"&lt;="&amp;AI$2,Daily_Composite!$B$5:$B$369,1,Daily_Composite!$AU$5:$AU$369,"&gt;"&amp;Settings!$C$4)/COUNTIFS(Daily_Composite!$A$5:$A$369,"&gt;="&amp;AI$3,Daily_Composite!$A$5:$A$369,"&lt;="&amp;AI$2,Daily_Composite!$B$5:$B$369,1),"")</f>
        <v>0.0454545454545455</v>
      </c>
      <c r="AK45" s="8" t="n">
        <f aca="false">IFERROR(COUNTIFS(Daily_Composite!$A$5:$A$369,"&gt;="&amp;AI$3,Daily_Composite!$A$5:$A$369,"&lt;="&amp;AI$2,Daily_Composite!$B$5:$B$369,1,Daily_Composite!$AU$5:$AU$369,"&lt;"&amp;-Settings!$C$4)/COUNTIFS(Daily_Composite!$A$5:$A$369,"&gt;="&amp;AI$3,Daily_Composite!$A$5:$A$369,"&lt;="&amp;AI$2,Daily_Composite!$B$5:$B$369,1),"")</f>
        <v>0.181818181818182</v>
      </c>
      <c r="AL45" s="7" t="n">
        <f aca="false">IFERROR(AVERAGEIFS(Daily_Composite!$AU$5:$AU$369,Daily_Composite!$A$5:$A$369,"&gt;="&amp;AL$3,Daily_Composite!$A$5:$A$369,"&lt;="&amp;AL$2,Daily_Composite!$B$5:$B$369,1),"")</f>
        <v>0.0502777777777778</v>
      </c>
      <c r="AM45" s="8" t="n">
        <f aca="false">IFERROR(COUNTIFS(Daily_Composite!$A$5:$A$369,"&gt;="&amp;AL$3,Daily_Composite!$A$5:$A$369,"&lt;="&amp;AL$2,Daily_Composite!$B$5:$B$369,1,Daily_Composite!$AU$5:$AU$369,"&gt;"&amp;Settings!$C$4)/COUNTIFS(Daily_Composite!$A$5:$A$369,"&gt;="&amp;AL$3,Daily_Composite!$A$5:$A$369,"&lt;="&amp;AL$2,Daily_Composite!$B$5:$B$369,1),"")</f>
        <v>0.111111111111111</v>
      </c>
      <c r="AN45" s="8" t="n">
        <f aca="false">IFERROR(COUNTIFS(Daily_Composite!$A$5:$A$369,"&gt;="&amp;AL$3,Daily_Composite!$A$5:$A$369,"&lt;="&amp;AL$2,Daily_Composite!$B$5:$B$369,1,Daily_Composite!$AU$5:$AU$369,"&lt;"&amp;-Settings!$C$4)/COUNTIFS(Daily_Composite!$A$5:$A$369,"&gt;="&amp;AL$3,Daily_Composite!$A$5:$A$369,"&lt;="&amp;AL$2,Daily_Composite!$B$5:$B$369,1),"")</f>
        <v>0.0555555555555556</v>
      </c>
    </row>
    <row r="46" customFormat="false" ht="15" hidden="false" customHeight="false" outlineLevel="0" collapsed="false">
      <c r="A46" s="6" t="s">
        <v>59</v>
      </c>
      <c r="B46" s="7" t="n">
        <f aca="false">IFERROR(AVERAGEIFS(Daily_Composite!$AV$5:$AV$369,Daily_Composite!$A$5:$A$369,"&gt;="&amp;B$3,Daily_Composite!$A$5:$A$369,"&lt;="&amp;B$2,Daily_Composite!$B$5:$B$369,1),"")</f>
        <v>-0.1255</v>
      </c>
      <c r="C46" s="8" t="n">
        <f aca="false">IFERROR(COUNTIFS(Daily_Composite!$A$5:$A$369,"&gt;="&amp;B$3,Daily_Composite!$A$5:$A$369,"&lt;="&amp;B$2,Daily_Composite!$B$5:$B$369,1,Daily_Composite!$AV$5:$AV$369,"&gt;"&amp;Settings!$C$4)/COUNTIFS(Daily_Composite!$A$5:$A$369,"&gt;="&amp;B$3,Daily_Composite!$A$5:$A$369,"&lt;="&amp;B$2,Daily_Composite!$B$5:$B$369,1),"")</f>
        <v>0</v>
      </c>
      <c r="D46" s="8" t="n">
        <f aca="false">IFERROR(COUNTIFS(Daily_Composite!$A$5:$A$369,"&gt;="&amp;B$3,Daily_Composite!$A$5:$A$369,"&lt;="&amp;B$2,Daily_Composite!$B$5:$B$369,1,Daily_Composite!$AV$5:$AV$369,"&lt;"&amp;-Settings!$C$4)/COUNTIFS(Daily_Composite!$A$5:$A$369,"&gt;="&amp;B$3,Daily_Composite!$A$5:$A$369,"&lt;="&amp;B$2,Daily_Composite!$B$5:$B$369,1),"")</f>
        <v>0.25</v>
      </c>
      <c r="E46" s="7" t="n">
        <f aca="false">IFERROR(AVERAGEIFS(Daily_Composite!$AV$5:$AV$369,Daily_Composite!$A$5:$A$369,"&gt;="&amp;E$3,Daily_Composite!$A$5:$A$369,"&lt;="&amp;E$2,Daily_Composite!$B$5:$B$369,1),"")</f>
        <v>0.0457142857142857</v>
      </c>
      <c r="F46" s="8" t="n">
        <f aca="false">IFERROR(COUNTIFS(Daily_Composite!$A$5:$A$369,"&gt;="&amp;E$3,Daily_Composite!$A$5:$A$369,"&lt;="&amp;E$2,Daily_Composite!$B$5:$B$369,1,Daily_Composite!$AV$5:$AV$369,"&gt;"&amp;Settings!$C$4)/COUNTIFS(Daily_Composite!$A$5:$A$369,"&gt;="&amp;E$3,Daily_Composite!$A$5:$A$369,"&lt;="&amp;E$2,Daily_Composite!$B$5:$B$369,1),"")</f>
        <v>0.0952380952380952</v>
      </c>
      <c r="G46" s="8" t="n">
        <f aca="false">IFERROR(COUNTIFS(Daily_Composite!$A$5:$A$369,"&gt;="&amp;E$3,Daily_Composite!$A$5:$A$369,"&lt;="&amp;E$2,Daily_Composite!$B$5:$B$369,1,Daily_Composite!$AV$5:$AV$369,"&lt;"&amp;-Settings!$C$4)/COUNTIFS(Daily_Composite!$A$5:$A$369,"&gt;="&amp;E$3,Daily_Composite!$A$5:$A$369,"&lt;="&amp;E$2,Daily_Composite!$B$5:$B$369,1),"")</f>
        <v>0.0476190476190476</v>
      </c>
      <c r="H46" s="7" t="n">
        <f aca="false">IFERROR(AVERAGEIFS(Daily_Composite!$AV$5:$AV$369,Daily_Composite!$A$5:$A$369,"&gt;="&amp;H$3,Daily_Composite!$A$5:$A$369,"&lt;="&amp;H$2,Daily_Composite!$B$5:$B$369,1),"")</f>
        <v>0.0484347826086956</v>
      </c>
      <c r="I46" s="8" t="n">
        <f aca="false">IFERROR(COUNTIFS(Daily_Composite!$A$5:$A$369,"&gt;="&amp;H$3,Daily_Composite!$A$5:$A$369,"&lt;="&amp;H$2,Daily_Composite!$B$5:$B$369,1,Daily_Composite!$AV$5:$AV$369,"&gt;"&amp;Settings!$C$4)/COUNTIFS(Daily_Composite!$A$5:$A$369,"&gt;="&amp;H$3,Daily_Composite!$A$5:$A$369,"&lt;="&amp;H$2,Daily_Composite!$B$5:$B$369,1),"")</f>
        <v>0.0434782608695652</v>
      </c>
      <c r="J46" s="8" t="n">
        <f aca="false">IFERROR(COUNTIFS(Daily_Composite!$A$5:$A$369,"&gt;="&amp;H$3,Daily_Composite!$A$5:$A$369,"&lt;="&amp;H$2,Daily_Composite!$B$5:$B$369,1,Daily_Composite!$AV$5:$AV$369,"&lt;"&amp;-Settings!$C$4)/COUNTIFS(Daily_Composite!$A$5:$A$369,"&gt;="&amp;H$3,Daily_Composite!$A$5:$A$369,"&lt;="&amp;H$2,Daily_Composite!$B$5:$B$369,1),"")</f>
        <v>0.0434782608695652</v>
      </c>
      <c r="K46" s="7" t="n">
        <f aca="false">IFERROR(AVERAGEIFS(Daily_Composite!$AV$5:$AV$369,Daily_Composite!$A$5:$A$369,"&gt;="&amp;K$3,Daily_Composite!$A$5:$A$369,"&lt;="&amp;K$2,Daily_Composite!$B$5:$B$369,1),"")</f>
        <v>-0.0146666666666667</v>
      </c>
      <c r="L46" s="8" t="n">
        <f aca="false">IFERROR(COUNTIFS(Daily_Composite!$A$5:$A$369,"&gt;="&amp;K$3,Daily_Composite!$A$5:$A$369,"&lt;="&amp;K$2,Daily_Composite!$B$5:$B$369,1,Daily_Composite!$AV$5:$AV$369,"&gt;"&amp;Settings!$C$4)/COUNTIFS(Daily_Composite!$A$5:$A$369,"&gt;="&amp;K$3,Daily_Composite!$A$5:$A$369,"&lt;="&amp;K$2,Daily_Composite!$B$5:$B$369,1),"")</f>
        <v>0</v>
      </c>
      <c r="M46" s="8" t="n">
        <f aca="false">IFERROR(COUNTIFS(Daily_Composite!$A$5:$A$369,"&gt;="&amp;K$3,Daily_Composite!$A$5:$A$369,"&lt;="&amp;K$2,Daily_Composite!$B$5:$B$369,1,Daily_Composite!$AV$5:$AV$369,"&lt;"&amp;-Settings!$C$4)/COUNTIFS(Daily_Composite!$A$5:$A$369,"&gt;="&amp;K$3,Daily_Composite!$A$5:$A$369,"&lt;="&amp;K$2,Daily_Composite!$B$5:$B$369,1),"")</f>
        <v>0.0476190476190476</v>
      </c>
      <c r="N46" s="7" t="n">
        <f aca="false">IFERROR(AVERAGEIFS(Daily_Composite!$AV$5:$AV$369,Daily_Composite!$A$5:$A$369,"&gt;="&amp;N$3,Daily_Composite!$A$5:$A$369,"&lt;="&amp;N$2,Daily_Composite!$B$5:$B$369,1),"")</f>
        <v>0.00815</v>
      </c>
      <c r="O46" s="8" t="n">
        <f aca="false">IFERROR(COUNTIFS(Daily_Composite!$A$5:$A$369,"&gt;="&amp;N$3,Daily_Composite!$A$5:$A$369,"&lt;="&amp;N$2,Daily_Composite!$B$5:$B$369,1,Daily_Composite!$AV$5:$AV$369,"&gt;"&amp;Settings!$C$4)/COUNTIFS(Daily_Composite!$A$5:$A$369,"&gt;="&amp;N$3,Daily_Composite!$A$5:$A$369,"&lt;="&amp;N$2,Daily_Composite!$B$5:$B$369,1),"")</f>
        <v>0</v>
      </c>
      <c r="P46" s="8" t="n">
        <f aca="false">IFERROR(COUNTIFS(Daily_Composite!$A$5:$A$369,"&gt;="&amp;N$3,Daily_Composite!$A$5:$A$369,"&lt;="&amp;N$2,Daily_Composite!$B$5:$B$369,1,Daily_Composite!$AV$5:$AV$369,"&lt;"&amp;-Settings!$C$4)/COUNTIFS(Daily_Composite!$A$5:$A$369,"&gt;="&amp;N$3,Daily_Composite!$A$5:$A$369,"&lt;="&amp;N$2,Daily_Composite!$B$5:$B$369,1),"")</f>
        <v>0</v>
      </c>
      <c r="Q46" s="7" t="n">
        <f aca="false">IFERROR(AVERAGEIFS(Daily_Composite!$AV$5:$AV$369,Daily_Composite!$A$5:$A$369,"&gt;="&amp;Q$3,Daily_Composite!$A$5:$A$369,"&lt;="&amp;Q$2,Daily_Composite!$B$5:$B$369,1),"")</f>
        <v>-0.00108695652173913</v>
      </c>
      <c r="R46" s="8" t="n">
        <f aca="false">IFERROR(COUNTIFS(Daily_Composite!$A$5:$A$369,"&gt;="&amp;Q$3,Daily_Composite!$A$5:$A$369,"&lt;="&amp;Q$2,Daily_Composite!$B$5:$B$369,1,Daily_Composite!$AV$5:$AV$369,"&gt;"&amp;Settings!$C$4)/COUNTIFS(Daily_Composite!$A$5:$A$369,"&gt;="&amp;Q$3,Daily_Composite!$A$5:$A$369,"&lt;="&amp;Q$2,Daily_Composite!$B$5:$B$369,1),"")</f>
        <v>0.0869565217391304</v>
      </c>
      <c r="S46" s="8" t="n">
        <f aca="false">IFERROR(COUNTIFS(Daily_Composite!$A$5:$A$369,"&gt;="&amp;Q$3,Daily_Composite!$A$5:$A$369,"&lt;="&amp;Q$2,Daily_Composite!$B$5:$B$369,1,Daily_Composite!$AV$5:$AV$369,"&lt;"&amp;-Settings!$C$4)/COUNTIFS(Daily_Composite!$A$5:$A$369,"&gt;="&amp;Q$3,Daily_Composite!$A$5:$A$369,"&lt;="&amp;Q$2,Daily_Composite!$B$5:$B$369,1),"")</f>
        <v>0.130434782608696</v>
      </c>
      <c r="T46" s="7" t="n">
        <f aca="false">IFERROR(AVERAGEIFS(Daily_Composite!$AV$5:$AV$369,Daily_Composite!$A$5:$A$369,"&gt;="&amp;T$3,Daily_Composite!$A$5:$A$369,"&lt;="&amp;T$2,Daily_Composite!$B$5:$B$369,1),"")</f>
        <v>-0.107363636363636</v>
      </c>
      <c r="U46" s="8" t="n">
        <f aca="false">IFERROR(COUNTIFS(Daily_Composite!$A$5:$A$369,"&gt;="&amp;T$3,Daily_Composite!$A$5:$A$369,"&lt;="&amp;T$2,Daily_Composite!$B$5:$B$369,1,Daily_Composite!$AV$5:$AV$369,"&gt;"&amp;Settings!$C$4)/COUNTIFS(Daily_Composite!$A$5:$A$369,"&gt;="&amp;T$3,Daily_Composite!$A$5:$A$369,"&lt;="&amp;T$2,Daily_Composite!$B$5:$B$369,1),"")</f>
        <v>0.0909090909090909</v>
      </c>
      <c r="V46" s="8" t="n">
        <f aca="false">IFERROR(COUNTIFS(Daily_Composite!$A$5:$A$369,"&gt;="&amp;T$3,Daily_Composite!$A$5:$A$369,"&lt;="&amp;T$2,Daily_Composite!$B$5:$B$369,1,Daily_Composite!$AV$5:$AV$369,"&lt;"&amp;-Settings!$C$4)/COUNTIFS(Daily_Composite!$A$5:$A$369,"&gt;="&amp;T$3,Daily_Composite!$A$5:$A$369,"&lt;="&amp;T$2,Daily_Composite!$B$5:$B$369,1),"")</f>
        <v>0.545454545454545</v>
      </c>
      <c r="W46" s="7" t="n">
        <f aca="false">IFERROR(AVERAGEIFS(Daily_Composite!$AV$5:$AV$369,Daily_Composite!$A$5:$A$369,"&gt;="&amp;W$3,Daily_Composite!$A$5:$A$369,"&lt;="&amp;W$2,Daily_Composite!$B$5:$B$369,1),"")</f>
        <v>-0.0279047619047619</v>
      </c>
      <c r="X46" s="8" t="n">
        <f aca="false">IFERROR(COUNTIFS(Daily_Composite!$A$5:$A$369,"&gt;="&amp;W$3,Daily_Composite!$A$5:$A$369,"&lt;="&amp;W$2,Daily_Composite!$B$5:$B$369,1,Daily_Composite!$AV$5:$AV$369,"&gt;"&amp;Settings!$C$4)/COUNTIFS(Daily_Composite!$A$5:$A$369,"&gt;="&amp;W$3,Daily_Composite!$A$5:$A$369,"&lt;="&amp;W$2,Daily_Composite!$B$5:$B$369,1),"")</f>
        <v>0.0476190476190476</v>
      </c>
      <c r="Y46" s="8" t="n">
        <f aca="false">IFERROR(COUNTIFS(Daily_Composite!$A$5:$A$369,"&gt;="&amp;W$3,Daily_Composite!$A$5:$A$369,"&lt;="&amp;W$2,Daily_Composite!$B$5:$B$369,1,Daily_Composite!$AV$5:$AV$369,"&lt;"&amp;-Settings!$C$4)/COUNTIFS(Daily_Composite!$A$5:$A$369,"&gt;="&amp;W$3,Daily_Composite!$A$5:$A$369,"&lt;="&amp;W$2,Daily_Composite!$B$5:$B$369,1),"")</f>
        <v>0.0476190476190476</v>
      </c>
      <c r="Z46" s="7" t="n">
        <f aca="false">IFERROR(AVERAGEIFS(Daily_Composite!$AV$5:$AV$369,Daily_Composite!$A$5:$A$369,"&gt;="&amp;Z$3,Daily_Composite!$A$5:$A$369,"&lt;="&amp;Z$2,Daily_Composite!$B$5:$B$369,1),"")</f>
        <v>-0.0931363636363636</v>
      </c>
      <c r="AA46" s="8" t="n">
        <f aca="false">IFERROR(COUNTIFS(Daily_Composite!$A$5:$A$369,"&gt;="&amp;Z$3,Daily_Composite!$A$5:$A$369,"&lt;="&amp;Z$2,Daily_Composite!$B$5:$B$369,1,Daily_Composite!$AV$5:$AV$369,"&gt;"&amp;Settings!$C$4)/COUNTIFS(Daily_Composite!$A$5:$A$369,"&gt;="&amp;Z$3,Daily_Composite!$A$5:$A$369,"&lt;="&amp;Z$2,Daily_Composite!$B$5:$B$369,1),"")</f>
        <v>0.0454545454545455</v>
      </c>
      <c r="AB46" s="8" t="n">
        <f aca="false">IFERROR(COUNTIFS(Daily_Composite!$A$5:$A$369,"&gt;="&amp;Z$3,Daily_Composite!$A$5:$A$369,"&lt;="&amp;Z$2,Daily_Composite!$B$5:$B$369,1,Daily_Composite!$AV$5:$AV$369,"&lt;"&amp;-Settings!$C$4)/COUNTIFS(Daily_Composite!$A$5:$A$369,"&gt;="&amp;Z$3,Daily_Composite!$A$5:$A$369,"&lt;="&amp;Z$2,Daily_Composite!$B$5:$B$369,1),"")</f>
        <v>0.318181818181818</v>
      </c>
      <c r="AC46" s="7" t="n">
        <f aca="false">IFERROR(AVERAGEIFS(Daily_Composite!$AV$5:$AV$369,Daily_Composite!$A$5:$A$369,"&gt;="&amp;AC$3,Daily_Composite!$A$5:$A$369,"&lt;="&amp;AC$2,Daily_Composite!$B$5:$B$369,1),"")</f>
        <v>-0.0470909090909091</v>
      </c>
      <c r="AD46" s="8" t="n">
        <f aca="false">IFERROR(COUNTIFS(Daily_Composite!$A$5:$A$369,"&gt;="&amp;AC$3,Daily_Composite!$A$5:$A$369,"&lt;="&amp;AC$2,Daily_Composite!$B$5:$B$369,1,Daily_Composite!$AV$5:$AV$369,"&gt;"&amp;Settings!$C$4)/COUNTIFS(Daily_Composite!$A$5:$A$369,"&gt;="&amp;AC$3,Daily_Composite!$A$5:$A$369,"&lt;="&amp;AC$2,Daily_Composite!$B$5:$B$369,1),"")</f>
        <v>0.0454545454545455</v>
      </c>
      <c r="AE46" s="8" t="n">
        <f aca="false">IFERROR(COUNTIFS(Daily_Composite!$A$5:$A$369,"&gt;="&amp;AC$3,Daily_Composite!$A$5:$A$369,"&lt;="&amp;AC$2,Daily_Composite!$B$5:$B$369,1,Daily_Composite!$AV$5:$AV$369,"&lt;"&amp;-Settings!$C$4)/COUNTIFS(Daily_Composite!$A$5:$A$369,"&gt;="&amp;AC$3,Daily_Composite!$A$5:$A$369,"&lt;="&amp;AC$2,Daily_Composite!$B$5:$B$369,1),"")</f>
        <v>0.181818181818182</v>
      </c>
      <c r="AF46" s="7" t="n">
        <f aca="false">IFERROR(AVERAGEIFS(Daily_Composite!$AV$5:$AV$369,Daily_Composite!$A$5:$A$369,"&gt;="&amp;AF$3,Daily_Composite!$A$5:$A$369,"&lt;="&amp;AF$2,Daily_Composite!$B$5:$B$369,1),"")</f>
        <v>-0.0293181818181818</v>
      </c>
      <c r="AG46" s="8" t="n">
        <f aca="false">IFERROR(COUNTIFS(Daily_Composite!$A$5:$A$369,"&gt;="&amp;AF$3,Daily_Composite!$A$5:$A$369,"&lt;="&amp;AF$2,Daily_Composite!$B$5:$B$369,1,Daily_Composite!$AV$5:$AV$369,"&gt;"&amp;Settings!$C$4)/COUNTIFS(Daily_Composite!$A$5:$A$369,"&gt;="&amp;AF$3,Daily_Composite!$A$5:$A$369,"&lt;="&amp;AF$2,Daily_Composite!$B$5:$B$369,1),"")</f>
        <v>0.0454545454545455</v>
      </c>
      <c r="AH46" s="8" t="n">
        <f aca="false">IFERROR(COUNTIFS(Daily_Composite!$A$5:$A$369,"&gt;="&amp;AF$3,Daily_Composite!$A$5:$A$369,"&lt;="&amp;AF$2,Daily_Composite!$B$5:$B$369,1,Daily_Composite!$AV$5:$AV$369,"&lt;"&amp;-Settings!$C$4)/COUNTIFS(Daily_Composite!$A$5:$A$369,"&gt;="&amp;AF$3,Daily_Composite!$A$5:$A$369,"&lt;="&amp;AF$2,Daily_Composite!$B$5:$B$369,1),"")</f>
        <v>0.0909090909090909</v>
      </c>
      <c r="AI46" s="7" t="n">
        <f aca="false">IFERROR(AVERAGEIFS(Daily_Composite!$AV$5:$AV$369,Daily_Composite!$A$5:$A$369,"&gt;="&amp;AI$3,Daily_Composite!$A$5:$A$369,"&lt;="&amp;AI$2,Daily_Composite!$B$5:$B$369,1),"")</f>
        <v>-0.205863636363636</v>
      </c>
      <c r="AJ46" s="8" t="n">
        <f aca="false">IFERROR(COUNTIFS(Daily_Composite!$A$5:$A$369,"&gt;="&amp;AI$3,Daily_Composite!$A$5:$A$369,"&lt;="&amp;AI$2,Daily_Composite!$B$5:$B$369,1,Daily_Composite!$AV$5:$AV$369,"&gt;"&amp;Settings!$C$4)/COUNTIFS(Daily_Composite!$A$5:$A$369,"&gt;="&amp;AI$3,Daily_Composite!$A$5:$A$369,"&lt;="&amp;AI$2,Daily_Composite!$B$5:$B$369,1),"")</f>
        <v>0.0454545454545455</v>
      </c>
      <c r="AK46" s="8" t="n">
        <f aca="false">IFERROR(COUNTIFS(Daily_Composite!$A$5:$A$369,"&gt;="&amp;AI$3,Daily_Composite!$A$5:$A$369,"&lt;="&amp;AI$2,Daily_Composite!$B$5:$B$369,1,Daily_Composite!$AV$5:$AV$369,"&lt;"&amp;-Settings!$C$4)/COUNTIFS(Daily_Composite!$A$5:$A$369,"&gt;="&amp;AI$3,Daily_Composite!$A$5:$A$369,"&lt;="&amp;AI$2,Daily_Composite!$B$5:$B$369,1),"")</f>
        <v>0.681818181818182</v>
      </c>
      <c r="AL46" s="7" t="n">
        <f aca="false">IFERROR(AVERAGEIFS(Daily_Composite!$AV$5:$AV$369,Daily_Composite!$A$5:$A$369,"&gt;="&amp;AL$3,Daily_Composite!$A$5:$A$369,"&lt;="&amp;AL$2,Daily_Composite!$B$5:$B$369,1),"")</f>
        <v>0.00111111111111111</v>
      </c>
      <c r="AM46" s="8" t="n">
        <f aca="false">IFERROR(COUNTIFS(Daily_Composite!$A$5:$A$369,"&gt;="&amp;AL$3,Daily_Composite!$A$5:$A$369,"&lt;="&amp;AL$2,Daily_Composite!$B$5:$B$369,1,Daily_Composite!$AV$5:$AV$369,"&gt;"&amp;Settings!$C$4)/COUNTIFS(Daily_Composite!$A$5:$A$369,"&gt;="&amp;AL$3,Daily_Composite!$A$5:$A$369,"&lt;="&amp;AL$2,Daily_Composite!$B$5:$B$369,1),"")</f>
        <v>0.166666666666667</v>
      </c>
      <c r="AN46" s="8" t="n">
        <f aca="false">IFERROR(COUNTIFS(Daily_Composite!$A$5:$A$369,"&gt;="&amp;AL$3,Daily_Composite!$A$5:$A$369,"&lt;="&amp;AL$2,Daily_Composite!$B$5:$B$369,1,Daily_Composite!$AV$5:$AV$369,"&lt;"&amp;-Settings!$C$4)/COUNTIFS(Daily_Composite!$A$5:$A$369,"&gt;="&amp;AL$3,Daily_Composite!$A$5:$A$369,"&lt;="&amp;AL$2,Daily_Composite!$B$5:$B$369,1),"")</f>
        <v>0.277777777777778</v>
      </c>
    </row>
  </sheetData>
  <conditionalFormatting sqref="B5:B46">
    <cfRule type="expression" priority="2" aboveAverage="0" equalAverage="0" bottom="0" percent="0" rank="0" text="" dxfId="0">
      <formula>AND(ISNUMBER(B5),B5&gt;Settings!$C$4)</formula>
    </cfRule>
    <cfRule type="expression" priority="3" aboveAverage="0" equalAverage="0" bottom="0" percent="0" rank="0" text="" dxfId="1">
      <formula>AND(ISNUMBER(B5),B5&lt;-Settings!$C$4)</formula>
    </cfRule>
    <cfRule type="expression" priority="4" aboveAverage="0" equalAverage="0" bottom="0" percent="0" rank="0" text="" dxfId="2">
      <formula>AND(ISNUMBER(B5),ABS(B5)&lt;=Settings!$C$4)</formula>
    </cfRule>
    <cfRule type="expression" priority="5" aboveAverage="0" equalAverage="0" bottom="0" percent="0" rank="0" text="" dxfId="0">
      <formula>AND(ISNUMBER(B5),B5&gt;Settings!$C$4)</formula>
    </cfRule>
    <cfRule type="expression" priority="6" aboveAverage="0" equalAverage="0" bottom="0" percent="0" rank="0" text="" dxfId="1">
      <formula>AND(ISNUMBER(B5),B5&lt;-Settings!$C$4)</formula>
    </cfRule>
    <cfRule type="expression" priority="7" aboveAverage="0" equalAverage="0" bottom="0" percent="0" rank="0" text="" dxfId="2">
      <formula>AND(ISNUMBER(B5),ABS(B5)&lt;=Settings!$C$4)</formula>
    </cfRule>
    <cfRule type="expression" priority="8" aboveAverage="0" equalAverage="0" bottom="0" percent="0" rank="0" text="" dxfId="0">
      <formula>AND(ISNUMBER(B5),B5&gt;Settings!$C$4)</formula>
    </cfRule>
    <cfRule type="expression" priority="9" aboveAverage="0" equalAverage="0" bottom="0" percent="0" rank="0" text="" dxfId="1">
      <formula>AND(ISNUMBER(B5),B5&lt;-Settings!$C$4)</formula>
    </cfRule>
    <cfRule type="expression" priority="10" aboveAverage="0" equalAverage="0" bottom="0" percent="0" rank="0" text="" dxfId="2">
      <formula>AND(ISNUMBER(B5),ABS(B5)&lt;=Settings!$C$4)</formula>
    </cfRule>
    <cfRule type="expression" priority="11" aboveAverage="0" equalAverage="0" bottom="0" percent="0" rank="0" text="" dxfId="0">
      <formula>AND(ISNUMBER(B5),B5&gt;Settings!$C$4)</formula>
    </cfRule>
    <cfRule type="expression" priority="12" aboveAverage="0" equalAverage="0" bottom="0" percent="0" rank="0" text="" dxfId="1">
      <formula>AND(ISNUMBER(B5),B5&lt;-Settings!$C$4)</formula>
    </cfRule>
    <cfRule type="expression" priority="13" aboveAverage="0" equalAverage="0" bottom="0" percent="0" rank="0" text="" dxfId="2">
      <formula>AND(ISNUMBER(B5),ABS(B5)&lt;=Settings!$C$4)</formula>
    </cfRule>
    <cfRule type="expression" priority="14" aboveAverage="0" equalAverage="0" bottom="0" percent="0" rank="0" text="" dxfId="0">
      <formula>AND(ISNUMBER(B5),B5&gt;Settings!$C$4)</formula>
    </cfRule>
    <cfRule type="expression" priority="15" aboveAverage="0" equalAverage="0" bottom="0" percent="0" rank="0" text="" dxfId="1">
      <formula>AND(ISNUMBER(B5),B5&lt;-Settings!$C$4)</formula>
    </cfRule>
    <cfRule type="expression" priority="16" aboveAverage="0" equalAverage="0" bottom="0" percent="0" rank="0" text="" dxfId="2">
      <formula>AND(ISNUMBER(B5),ABS(B5)&lt;=Settings!$C$4)</formula>
    </cfRule>
    <cfRule type="expression" priority="17" aboveAverage="0" equalAverage="0" bottom="0" percent="0" rank="0" text="" dxfId="0">
      <formula>AND(ISNUMBER(B5),B5&gt;Settings!$C$4)</formula>
    </cfRule>
    <cfRule type="expression" priority="18" aboveAverage="0" equalAverage="0" bottom="0" percent="0" rank="0" text="" dxfId="1">
      <formula>AND(ISNUMBER(B5),B5&lt;-Settings!$C$4)</formula>
    </cfRule>
    <cfRule type="expression" priority="19" aboveAverage="0" equalAverage="0" bottom="0" percent="0" rank="0" text="" dxfId="2">
      <formula>AND(ISNUMBER(B5),ABS(B5)&lt;=Settings!$C$4)</formula>
    </cfRule>
    <cfRule type="expression" priority="20" aboveAverage="0" equalAverage="0" bottom="0" percent="0" rank="0" text="" dxfId="0">
      <formula>AND(ISNUMBER(B5),B5&gt;Settings!$C$4)</formula>
    </cfRule>
    <cfRule type="expression" priority="21" aboveAverage="0" equalAverage="0" bottom="0" percent="0" rank="0" text="" dxfId="1">
      <formula>AND(ISNUMBER(B5),B5&lt;-Settings!$C$4)</formula>
    </cfRule>
    <cfRule type="expression" priority="22" aboveAverage="0" equalAverage="0" bottom="0" percent="0" rank="0" text="" dxfId="2">
      <formula>AND(ISNUMBER(B5),ABS(B5)&lt;=Settings!$C$4)</formula>
    </cfRule>
    <cfRule type="expression" priority="23" aboveAverage="0" equalAverage="0" bottom="0" percent="0" rank="0" text="" dxfId="0">
      <formula>AND(ISNUMBER(B5),B5&gt;Settings!$C$4)</formula>
    </cfRule>
    <cfRule type="expression" priority="24" aboveAverage="0" equalAverage="0" bottom="0" percent="0" rank="0" text="" dxfId="1">
      <formula>AND(ISNUMBER(B5),B5&lt;-Settings!$C$4)</formula>
    </cfRule>
    <cfRule type="expression" priority="25" aboveAverage="0" equalAverage="0" bottom="0" percent="0" rank="0" text="" dxfId="2">
      <formula>AND(ISNUMBER(B5),ABS(B5)&lt;=Settings!$C$4)</formula>
    </cfRule>
    <cfRule type="expression" priority="26" aboveAverage="0" equalAverage="0" bottom="0" percent="0" rank="0" text="" dxfId="0">
      <formula>AND(ISNUMBER(B5),B5&gt;Settings!$C$4)</formula>
    </cfRule>
    <cfRule type="expression" priority="27" aboveAverage="0" equalAverage="0" bottom="0" percent="0" rank="0" text="" dxfId="1">
      <formula>AND(ISNUMBER(B5),B5&lt;-Settings!$C$4)</formula>
    </cfRule>
    <cfRule type="expression" priority="28" aboveAverage="0" equalAverage="0" bottom="0" percent="0" rank="0" text="" dxfId="2">
      <formula>AND(ISNUMBER(B5),ABS(B5)&lt;=Settings!$C$4)</formula>
    </cfRule>
    <cfRule type="expression" priority="29" aboveAverage="0" equalAverage="0" bottom="0" percent="0" rank="0" text="" dxfId="0">
      <formula>AND(ISNUMBER(B5),B5&gt;Settings!$C$4)</formula>
    </cfRule>
    <cfRule type="expression" priority="30" aboveAverage="0" equalAverage="0" bottom="0" percent="0" rank="0" text="" dxfId="1">
      <formula>AND(ISNUMBER(B5),B5&lt;-Settings!$C$4)</formula>
    </cfRule>
    <cfRule type="expression" priority="31" aboveAverage="0" equalAverage="0" bottom="0" percent="0" rank="0" text="" dxfId="2">
      <formula>AND(ISNUMBER(B5),ABS(B5)&lt;=Settings!$C$4)</formula>
    </cfRule>
    <cfRule type="expression" priority="32" aboveAverage="0" equalAverage="0" bottom="0" percent="0" rank="0" text="" dxfId="0">
      <formula>AND(ISNUMBER(B5),B5&gt;Settings!$C$4)</formula>
    </cfRule>
    <cfRule type="expression" priority="33" aboveAverage="0" equalAverage="0" bottom="0" percent="0" rank="0" text="" dxfId="1">
      <formula>AND(ISNUMBER(B5),B5&lt;-Settings!$C$4)</formula>
    </cfRule>
    <cfRule type="expression" priority="34" aboveAverage="0" equalAverage="0" bottom="0" percent="0" rank="0" text="" dxfId="2">
      <formula>AND(ISNUMBER(B5),ABS(B5)&lt;=Settings!$C$4)</formula>
    </cfRule>
    <cfRule type="expression" priority="35" aboveAverage="0" equalAverage="0" bottom="0" percent="0" rank="0" text="" dxfId="0">
      <formula>AND(ISNUMBER(B5),B5&gt;Settings!$C$4)</formula>
    </cfRule>
    <cfRule type="expression" priority="36" aboveAverage="0" equalAverage="0" bottom="0" percent="0" rank="0" text="" dxfId="1">
      <formula>AND(ISNUMBER(B5),B5&lt;-Settings!$C$4)</formula>
    </cfRule>
    <cfRule type="expression" priority="37" aboveAverage="0" equalAverage="0" bottom="0" percent="0" rank="0" text="" dxfId="2">
      <formula>AND(ISNUMBER(B5),ABS(B5)&lt;=Settings!$C$4)</formula>
    </cfRule>
    <cfRule type="expression" priority="38" aboveAverage="0" equalAverage="0" bottom="0" percent="0" rank="0" text="" dxfId="0">
      <formula>AND(ISNUMBER(B5),B5&gt;Settings!$C$4)</formula>
    </cfRule>
    <cfRule type="expression" priority="39" aboveAverage="0" equalAverage="0" bottom="0" percent="0" rank="0" text="" dxfId="1">
      <formula>AND(ISNUMBER(B5),B5&lt;-Settings!$C$4)</formula>
    </cfRule>
    <cfRule type="expression" priority="40" aboveAverage="0" equalAverage="0" bottom="0" percent="0" rank="0" text="" dxfId="2">
      <formula>AND(ISNUMBER(B5),ABS(B5)&lt;=Settings!$C$4)</formula>
    </cfRule>
    <cfRule type="expression" priority="41" aboveAverage="0" equalAverage="0" bottom="0" percent="0" rank="0" text="" dxfId="0">
      <formula>AND(ISNUMBER(B5),B5&gt;Settings!$C$4)</formula>
    </cfRule>
    <cfRule type="expression" priority="42" aboveAverage="0" equalAverage="0" bottom="0" percent="0" rank="0" text="" dxfId="1">
      <formula>AND(ISNUMBER(B5),B5&lt;-Settings!$C$4)</formula>
    </cfRule>
    <cfRule type="expression" priority="43" aboveAverage="0" equalAverage="0" bottom="0" percent="0" rank="0" text="" dxfId="2">
      <formula>AND(ISNUMBER(B5),ABS(B5)&lt;=Settings!$C$4)</formula>
    </cfRule>
    <cfRule type="expression" priority="44" aboveAverage="0" equalAverage="0" bottom="0" percent="0" rank="0" text="" dxfId="0">
      <formula>AND(ISNUMBER(B5),B5&gt;Settings!$C$4)</formula>
    </cfRule>
    <cfRule type="expression" priority="45" aboveAverage="0" equalAverage="0" bottom="0" percent="0" rank="0" text="" dxfId="1">
      <formula>AND(ISNUMBER(B5),B5&lt;-Settings!$C$4)</formula>
    </cfRule>
    <cfRule type="expression" priority="46" aboveAverage="0" equalAverage="0" bottom="0" percent="0" rank="0" text="" dxfId="2">
      <formula>AND(ISNUMBER(B5),ABS(B5)&lt;=Settings!$C$4)</formula>
    </cfRule>
    <cfRule type="expression" priority="47" aboveAverage="0" equalAverage="0" bottom="0" percent="0" rank="0" text="" dxfId="0">
      <formula>AND(ISNUMBER(B5),B5&gt;Settings!$C$4)</formula>
    </cfRule>
    <cfRule type="expression" priority="48" aboveAverage="0" equalAverage="0" bottom="0" percent="0" rank="0" text="" dxfId="1">
      <formula>AND(ISNUMBER(B5),B5&lt;-Settings!$C$4)</formula>
    </cfRule>
    <cfRule type="expression" priority="49" aboveAverage="0" equalAverage="0" bottom="0" percent="0" rank="0" text="" dxfId="2">
      <formula>AND(ISNUMBER(B5),ABS(B5)&lt;=Settings!$C$4)</formula>
    </cfRule>
    <cfRule type="expression" priority="50" aboveAverage="0" equalAverage="0" bottom="0" percent="0" rank="0" text="" dxfId="0">
      <formula>AND(ISNUMBER(B5),B5&gt;Settings!$C$4)</formula>
    </cfRule>
    <cfRule type="expression" priority="51" aboveAverage="0" equalAverage="0" bottom="0" percent="0" rank="0" text="" dxfId="1">
      <formula>AND(ISNUMBER(B5),B5&lt;-Settings!$C$4)</formula>
    </cfRule>
    <cfRule type="expression" priority="52" aboveAverage="0" equalAverage="0" bottom="0" percent="0" rank="0" text="" dxfId="2">
      <formula>AND(ISNUMBER(B5),ABS(B5)&lt;=Settings!$C$4)</formula>
    </cfRule>
    <cfRule type="expression" priority="53" aboveAverage="0" equalAverage="0" bottom="0" percent="0" rank="0" text="" dxfId="0">
      <formula>AND(ISNUMBER(B5),B5&gt;Settings!$C$4)</formula>
    </cfRule>
    <cfRule type="expression" priority="54" aboveAverage="0" equalAverage="0" bottom="0" percent="0" rank="0" text="" dxfId="1">
      <formula>AND(ISNUMBER(B5),B5&lt;-Settings!$C$4)</formula>
    </cfRule>
    <cfRule type="expression" priority="55" aboveAverage="0" equalAverage="0" bottom="0" percent="0" rank="0" text="" dxfId="2">
      <formula>AND(ISNUMBER(B5),ABS(B5)&lt;=Settings!$C$4)</formula>
    </cfRule>
    <cfRule type="expression" priority="56" aboveAverage="0" equalAverage="0" bottom="0" percent="0" rank="0" text="" dxfId="0">
      <formula>AND(ISNUMBER(B5),B5&gt;Settings!$C$4)</formula>
    </cfRule>
    <cfRule type="expression" priority="57" aboveAverage="0" equalAverage="0" bottom="0" percent="0" rank="0" text="" dxfId="1">
      <formula>AND(ISNUMBER(B5),B5&lt;-Settings!$C$4)</formula>
    </cfRule>
    <cfRule type="expression" priority="58" aboveAverage="0" equalAverage="0" bottom="0" percent="0" rank="0" text="" dxfId="2">
      <formula>AND(ISNUMBER(B5),ABS(B5)&lt;=Settings!$C$4)</formula>
    </cfRule>
    <cfRule type="expression" priority="59" aboveAverage="0" equalAverage="0" bottom="0" percent="0" rank="0" text="" dxfId="0">
      <formula>AND(ISNUMBER(B5),B5&gt;Settings!$C$4)</formula>
    </cfRule>
    <cfRule type="expression" priority="60" aboveAverage="0" equalAverage="0" bottom="0" percent="0" rank="0" text="" dxfId="1">
      <formula>AND(ISNUMBER(B5),B5&lt;-Settings!$C$4)</formula>
    </cfRule>
    <cfRule type="expression" priority="61" aboveAverage="0" equalAverage="0" bottom="0" percent="0" rank="0" text="" dxfId="2">
      <formula>AND(ISNUMBER(B5),ABS(B5)&lt;=Settings!$C$4)</formula>
    </cfRule>
    <cfRule type="expression" priority="62" aboveAverage="0" equalAverage="0" bottom="0" percent="0" rank="0" text="" dxfId="0">
      <formula>AND(ISNUMBER(B5),B5&gt;Settings!$C$4)</formula>
    </cfRule>
    <cfRule type="expression" priority="63" aboveAverage="0" equalAverage="0" bottom="0" percent="0" rank="0" text="" dxfId="1">
      <formula>AND(ISNUMBER(B5),B5&lt;-Settings!$C$4)</formula>
    </cfRule>
    <cfRule type="expression" priority="64" aboveAverage="0" equalAverage="0" bottom="0" percent="0" rank="0" text="" dxfId="2">
      <formula>AND(ISNUMBER(B5),ABS(B5)&lt;=Settings!$C$4)</formula>
    </cfRule>
    <cfRule type="expression" priority="65" aboveAverage="0" equalAverage="0" bottom="0" percent="0" rank="0" text="" dxfId="0">
      <formula>AND(ISNUMBER(B5),B5&gt;Settings!$C$4)</formula>
    </cfRule>
    <cfRule type="expression" priority="66" aboveAverage="0" equalAverage="0" bottom="0" percent="0" rank="0" text="" dxfId="1">
      <formula>AND(ISNUMBER(B5),B5&lt;-Settings!$C$4)</formula>
    </cfRule>
    <cfRule type="expression" priority="67" aboveAverage="0" equalAverage="0" bottom="0" percent="0" rank="0" text="" dxfId="2">
      <formula>AND(ISNUMBER(B5),ABS(B5)&lt;=Settings!$C$4)</formula>
    </cfRule>
    <cfRule type="expression" priority="68" aboveAverage="0" equalAverage="0" bottom="0" percent="0" rank="0" text="" dxfId="0">
      <formula>AND(ISNUMBER(B5),B5&gt;Settings!$C$4)</formula>
    </cfRule>
    <cfRule type="expression" priority="69" aboveAverage="0" equalAverage="0" bottom="0" percent="0" rank="0" text="" dxfId="1">
      <formula>AND(ISNUMBER(B5),B5&lt;-Settings!$C$4)</formula>
    </cfRule>
    <cfRule type="expression" priority="70" aboveAverage="0" equalAverage="0" bottom="0" percent="0" rank="0" text="" dxfId="2">
      <formula>AND(ISNUMBER(B5),ABS(B5)&lt;=Settings!$C$4)</formula>
    </cfRule>
    <cfRule type="expression" priority="71" aboveAverage="0" equalAverage="0" bottom="0" percent="0" rank="0" text="" dxfId="0">
      <formula>AND(ISNUMBER(B5),B5&gt;Settings!$C$4)</formula>
    </cfRule>
    <cfRule type="expression" priority="72" aboveAverage="0" equalAverage="0" bottom="0" percent="0" rank="0" text="" dxfId="1">
      <formula>AND(ISNUMBER(B5),B5&lt;-Settings!$C$4)</formula>
    </cfRule>
    <cfRule type="expression" priority="73" aboveAverage="0" equalAverage="0" bottom="0" percent="0" rank="0" text="" dxfId="2">
      <formula>AND(ISNUMBER(B5),ABS(B5)&lt;=Settings!$C$4)</formula>
    </cfRule>
    <cfRule type="expression" priority="74" aboveAverage="0" equalAverage="0" bottom="0" percent="0" rank="0" text="" dxfId="0">
      <formula>AND(ISNUMBER(B5),B5&gt;Settings!$C$4)</formula>
    </cfRule>
    <cfRule type="expression" priority="75" aboveAverage="0" equalAverage="0" bottom="0" percent="0" rank="0" text="" dxfId="1">
      <formula>AND(ISNUMBER(B5),B5&lt;-Settings!$C$4)</formula>
    </cfRule>
    <cfRule type="expression" priority="76" aboveAverage="0" equalAverage="0" bottom="0" percent="0" rank="0" text="" dxfId="2">
      <formula>AND(ISNUMBER(B5),ABS(B5)&lt;=Settings!$C$4)</formula>
    </cfRule>
    <cfRule type="expression" priority="77" aboveAverage="0" equalAverage="0" bottom="0" percent="0" rank="0" text="" dxfId="0">
      <formula>AND(ISNUMBER(B5),B5&gt;Settings!$C$4)</formula>
    </cfRule>
    <cfRule type="expression" priority="78" aboveAverage="0" equalAverage="0" bottom="0" percent="0" rank="0" text="" dxfId="1">
      <formula>AND(ISNUMBER(B5),B5&lt;-Settings!$C$4)</formula>
    </cfRule>
    <cfRule type="expression" priority="79" aboveAverage="0" equalAverage="0" bottom="0" percent="0" rank="0" text="" dxfId="2">
      <formula>AND(ISNUMBER(B5),ABS(B5)&lt;=Settings!$C$4)</formula>
    </cfRule>
    <cfRule type="expression" priority="80" aboveAverage="0" equalAverage="0" bottom="0" percent="0" rank="0" text="" dxfId="0">
      <formula>AND(ISNUMBER(B5),B5&gt;Settings!$C$4)</formula>
    </cfRule>
    <cfRule type="expression" priority="81" aboveAverage="0" equalAverage="0" bottom="0" percent="0" rank="0" text="" dxfId="1">
      <formula>AND(ISNUMBER(B5),B5&lt;-Settings!$C$4)</formula>
    </cfRule>
    <cfRule type="expression" priority="82" aboveAverage="0" equalAverage="0" bottom="0" percent="0" rank="0" text="" dxfId="2">
      <formula>AND(ISNUMBER(B5),ABS(B5)&lt;=Settings!$C$4)</formula>
    </cfRule>
    <cfRule type="expression" priority="83" aboveAverage="0" equalAverage="0" bottom="0" percent="0" rank="0" text="" dxfId="0">
      <formula>AND(ISNUMBER(B5),B5&gt;Settings!$C$4)</formula>
    </cfRule>
    <cfRule type="expression" priority="84" aboveAverage="0" equalAverage="0" bottom="0" percent="0" rank="0" text="" dxfId="1">
      <formula>AND(ISNUMBER(B5),B5&lt;-Settings!$C$4)</formula>
    </cfRule>
    <cfRule type="expression" priority="85" aboveAverage="0" equalAverage="0" bottom="0" percent="0" rank="0" text="" dxfId="2">
      <formula>AND(ISNUMBER(B5),ABS(B5)&lt;=Settings!$C$4)</formula>
    </cfRule>
    <cfRule type="expression" priority="86" aboveAverage="0" equalAverage="0" bottom="0" percent="0" rank="0" text="" dxfId="0">
      <formula>AND(ISNUMBER(B5),B5&gt;Settings!$C$4)</formula>
    </cfRule>
    <cfRule type="expression" priority="87" aboveAverage="0" equalAverage="0" bottom="0" percent="0" rank="0" text="" dxfId="1">
      <formula>AND(ISNUMBER(B5),B5&lt;-Settings!$C$4)</formula>
    </cfRule>
    <cfRule type="expression" priority="88" aboveAverage="0" equalAverage="0" bottom="0" percent="0" rank="0" text="" dxfId="2">
      <formula>AND(ISNUMBER(B5),ABS(B5)&lt;=Settings!$C$4)</formula>
    </cfRule>
    <cfRule type="expression" priority="89" aboveAverage="0" equalAverage="0" bottom="0" percent="0" rank="0" text="" dxfId="0">
      <formula>AND(ISNUMBER(B5),B5&gt;Settings!$C$4)</formula>
    </cfRule>
    <cfRule type="expression" priority="90" aboveAverage="0" equalAverage="0" bottom="0" percent="0" rank="0" text="" dxfId="1">
      <formula>AND(ISNUMBER(B5),B5&lt;-Settings!$C$4)</formula>
    </cfRule>
    <cfRule type="expression" priority="91" aboveAverage="0" equalAverage="0" bottom="0" percent="0" rank="0" text="" dxfId="2">
      <formula>AND(ISNUMBER(B5),ABS(B5)&lt;=Settings!$C$4)</formula>
    </cfRule>
    <cfRule type="expression" priority="92" aboveAverage="0" equalAverage="0" bottom="0" percent="0" rank="0" text="" dxfId="0">
      <formula>AND(ISNUMBER(B5),B5&gt;Settings!$C$4)</formula>
    </cfRule>
    <cfRule type="expression" priority="93" aboveAverage="0" equalAverage="0" bottom="0" percent="0" rank="0" text="" dxfId="1">
      <formula>AND(ISNUMBER(B5),B5&lt;-Settings!$C$4)</formula>
    </cfRule>
    <cfRule type="expression" priority="94" aboveAverage="0" equalAverage="0" bottom="0" percent="0" rank="0" text="" dxfId="2">
      <formula>AND(ISNUMBER(B5),ABS(B5)&lt;=Settings!$C$4)</formula>
    </cfRule>
    <cfRule type="expression" priority="95" aboveAverage="0" equalAverage="0" bottom="0" percent="0" rank="0" text="" dxfId="0">
      <formula>AND(ISNUMBER(B5),B5&gt;Settings!$C$4)</formula>
    </cfRule>
    <cfRule type="expression" priority="96" aboveAverage="0" equalAverage="0" bottom="0" percent="0" rank="0" text="" dxfId="1">
      <formula>AND(ISNUMBER(B5),B5&lt;-Settings!$C$4)</formula>
    </cfRule>
    <cfRule type="expression" priority="97" aboveAverage="0" equalAverage="0" bottom="0" percent="0" rank="0" text="" dxfId="2">
      <formula>AND(ISNUMBER(B5),ABS(B5)&lt;=Settings!$C$4)</formula>
    </cfRule>
    <cfRule type="expression" priority="98" aboveAverage="0" equalAverage="0" bottom="0" percent="0" rank="0" text="" dxfId="0">
      <formula>AND(ISNUMBER(B5),B5&gt;Settings!$C$4)</formula>
    </cfRule>
    <cfRule type="expression" priority="99" aboveAverage="0" equalAverage="0" bottom="0" percent="0" rank="0" text="" dxfId="1">
      <formula>AND(ISNUMBER(B5),B5&lt;-Settings!$C$4)</formula>
    </cfRule>
    <cfRule type="expression" priority="100" aboveAverage="0" equalAverage="0" bottom="0" percent="0" rank="0" text="" dxfId="2">
      <formula>AND(ISNUMBER(B5),ABS(B5)&lt;=Settings!$C$4)</formula>
    </cfRule>
    <cfRule type="expression" priority="101" aboveAverage="0" equalAverage="0" bottom="0" percent="0" rank="0" text="" dxfId="0">
      <formula>AND(ISNUMBER(B5),B5&gt;Settings!$C$4)</formula>
    </cfRule>
    <cfRule type="expression" priority="102" aboveAverage="0" equalAverage="0" bottom="0" percent="0" rank="0" text="" dxfId="1">
      <formula>AND(ISNUMBER(B5),B5&lt;-Settings!$C$4)</formula>
    </cfRule>
    <cfRule type="expression" priority="103" aboveAverage="0" equalAverage="0" bottom="0" percent="0" rank="0" text="" dxfId="2">
      <formula>AND(ISNUMBER(B5),ABS(B5)&lt;=Settings!$C$4)</formula>
    </cfRule>
    <cfRule type="expression" priority="104" aboveAverage="0" equalAverage="0" bottom="0" percent="0" rank="0" text="" dxfId="0">
      <formula>AND(ISNUMBER(B5),B5&gt;Settings!$C$4)</formula>
    </cfRule>
    <cfRule type="expression" priority="105" aboveAverage="0" equalAverage="0" bottom="0" percent="0" rank="0" text="" dxfId="1">
      <formula>AND(ISNUMBER(B5),B5&lt;-Settings!$C$4)</formula>
    </cfRule>
    <cfRule type="expression" priority="106" aboveAverage="0" equalAverage="0" bottom="0" percent="0" rank="0" text="" dxfId="2">
      <formula>AND(ISNUMBER(B5),ABS(B5)&lt;=Settings!$C$4)</formula>
    </cfRule>
    <cfRule type="expression" priority="107" aboveAverage="0" equalAverage="0" bottom="0" percent="0" rank="0" text="" dxfId="0">
      <formula>AND(ISNUMBER(B5),B5&gt;Settings!$C$4)</formula>
    </cfRule>
    <cfRule type="expression" priority="108" aboveAverage="0" equalAverage="0" bottom="0" percent="0" rank="0" text="" dxfId="1">
      <formula>AND(ISNUMBER(B5),B5&lt;-Settings!$C$4)</formula>
    </cfRule>
    <cfRule type="expression" priority="109" aboveAverage="0" equalAverage="0" bottom="0" percent="0" rank="0" text="" dxfId="2">
      <formula>AND(ISNUMBER(B5),ABS(B5)&lt;=Settings!$C$4)</formula>
    </cfRule>
    <cfRule type="expression" priority="110" aboveAverage="0" equalAverage="0" bottom="0" percent="0" rank="0" text="" dxfId="0">
      <formula>AND(ISNUMBER(B5),B5&gt;Settings!$C$4)</formula>
    </cfRule>
    <cfRule type="expression" priority="111" aboveAverage="0" equalAverage="0" bottom="0" percent="0" rank="0" text="" dxfId="1">
      <formula>AND(ISNUMBER(B5),B5&lt;-Settings!$C$4)</formula>
    </cfRule>
    <cfRule type="expression" priority="112" aboveAverage="0" equalAverage="0" bottom="0" percent="0" rank="0" text="" dxfId="2">
      <formula>AND(ISNUMBER(B5),ABS(B5)&lt;=Settings!$C$4)</formula>
    </cfRule>
    <cfRule type="expression" priority="113" aboveAverage="0" equalAverage="0" bottom="0" percent="0" rank="0" text="" dxfId="0">
      <formula>AND(ISNUMBER(B5),B5&gt;Settings!$C$4)</formula>
    </cfRule>
    <cfRule type="expression" priority="114" aboveAverage="0" equalAverage="0" bottom="0" percent="0" rank="0" text="" dxfId="1">
      <formula>AND(ISNUMBER(B5),B5&lt;-Settings!$C$4)</formula>
    </cfRule>
    <cfRule type="expression" priority="115" aboveAverage="0" equalAverage="0" bottom="0" percent="0" rank="0" text="" dxfId="2">
      <formula>AND(ISNUMBER(B5),ABS(B5)&lt;=Settings!$C$4)</formula>
    </cfRule>
    <cfRule type="expression" priority="116" aboveAverage="0" equalAverage="0" bottom="0" percent="0" rank="0" text="" dxfId="0">
      <formula>AND(ISNUMBER(B5),B5&gt;Settings!$C$4)</formula>
    </cfRule>
    <cfRule type="expression" priority="117" aboveAverage="0" equalAverage="0" bottom="0" percent="0" rank="0" text="" dxfId="1">
      <formula>AND(ISNUMBER(B5),B5&lt;-Settings!$C$4)</formula>
    </cfRule>
    <cfRule type="expression" priority="118" aboveAverage="0" equalAverage="0" bottom="0" percent="0" rank="0" text="" dxfId="2">
      <formula>AND(ISNUMBER(B5),ABS(B5)&lt;=Settings!$C$4)</formula>
    </cfRule>
    <cfRule type="expression" priority="119" aboveAverage="0" equalAverage="0" bottom="0" percent="0" rank="0" text="" dxfId="0">
      <formula>AND(ISNUMBER(B5),B5&gt;Settings!$C$4)</formula>
    </cfRule>
    <cfRule type="expression" priority="120" aboveAverage="0" equalAverage="0" bottom="0" percent="0" rank="0" text="" dxfId="1">
      <formula>AND(ISNUMBER(B5),B5&lt;-Settings!$C$4)</formula>
    </cfRule>
    <cfRule type="expression" priority="121" aboveAverage="0" equalAverage="0" bottom="0" percent="0" rank="0" text="" dxfId="2">
      <formula>AND(ISNUMBER(B5),ABS(B5)&lt;=Settings!$C$4)</formula>
    </cfRule>
    <cfRule type="expression" priority="122" aboveAverage="0" equalAverage="0" bottom="0" percent="0" rank="0" text="" dxfId="0">
      <formula>AND(ISNUMBER(B5),B5&gt;Settings!$C$4)</formula>
    </cfRule>
    <cfRule type="expression" priority="123" aboveAverage="0" equalAverage="0" bottom="0" percent="0" rank="0" text="" dxfId="1">
      <formula>AND(ISNUMBER(B5),B5&lt;-Settings!$C$4)</formula>
    </cfRule>
    <cfRule type="expression" priority="124" aboveAverage="0" equalAverage="0" bottom="0" percent="0" rank="0" text="" dxfId="2">
      <formula>AND(ISNUMBER(B5),ABS(B5)&lt;=Settings!$C$4)</formula>
    </cfRule>
    <cfRule type="expression" priority="125" aboveAverage="0" equalAverage="0" bottom="0" percent="0" rank="0" text="" dxfId="0">
      <formula>AND(ISNUMBER(B5),B5&gt;Settings!$C$4)</formula>
    </cfRule>
    <cfRule type="expression" priority="126" aboveAverage="0" equalAverage="0" bottom="0" percent="0" rank="0" text="" dxfId="1">
      <formula>AND(ISNUMBER(B5),B5&lt;-Settings!$C$4)</formula>
    </cfRule>
    <cfRule type="expression" priority="127" aboveAverage="0" equalAverage="0" bottom="0" percent="0" rank="0" text="" dxfId="2">
      <formula>AND(ISNUMBER(B5),ABS(B5)&lt;=Settings!$C$4)</formula>
    </cfRule>
  </conditionalFormatting>
  <conditionalFormatting sqref="E5:E46">
    <cfRule type="expression" priority="128" aboveAverage="0" equalAverage="0" bottom="0" percent="0" rank="0" text="" dxfId="0">
      <formula>AND(ISNUMBER(E5),E5&gt;Settings!$C$4)</formula>
    </cfRule>
    <cfRule type="expression" priority="129" aboveAverage="0" equalAverage="0" bottom="0" percent="0" rank="0" text="" dxfId="1">
      <formula>AND(ISNUMBER(E5),E5&lt;-Settings!$C$4)</formula>
    </cfRule>
    <cfRule type="expression" priority="130" aboveAverage="0" equalAverage="0" bottom="0" percent="0" rank="0" text="" dxfId="2">
      <formula>AND(ISNUMBER(E5),ABS(E5)&lt;=Settings!$C$4)</formula>
    </cfRule>
    <cfRule type="expression" priority="131" aboveAverage="0" equalAverage="0" bottom="0" percent="0" rank="0" text="" dxfId="0">
      <formula>AND(ISNUMBER(E5),E5&gt;Settings!$C$4)</formula>
    </cfRule>
    <cfRule type="expression" priority="132" aboveAverage="0" equalAverage="0" bottom="0" percent="0" rank="0" text="" dxfId="1">
      <formula>AND(ISNUMBER(E5),E5&lt;-Settings!$C$4)</formula>
    </cfRule>
    <cfRule type="expression" priority="133" aboveAverage="0" equalAverage="0" bottom="0" percent="0" rank="0" text="" dxfId="2">
      <formula>AND(ISNUMBER(E5),ABS(E5)&lt;=Settings!$C$4)</formula>
    </cfRule>
    <cfRule type="expression" priority="134" aboveAverage="0" equalAverage="0" bottom="0" percent="0" rank="0" text="" dxfId="0">
      <formula>AND(ISNUMBER(E5),E5&gt;Settings!$C$4)</formula>
    </cfRule>
    <cfRule type="expression" priority="135" aboveAverage="0" equalAverage="0" bottom="0" percent="0" rank="0" text="" dxfId="1">
      <formula>AND(ISNUMBER(E5),E5&lt;-Settings!$C$4)</formula>
    </cfRule>
    <cfRule type="expression" priority="136" aboveAverage="0" equalAverage="0" bottom="0" percent="0" rank="0" text="" dxfId="2">
      <formula>AND(ISNUMBER(E5),ABS(E5)&lt;=Settings!$C$4)</formula>
    </cfRule>
    <cfRule type="expression" priority="137" aboveAverage="0" equalAverage="0" bottom="0" percent="0" rank="0" text="" dxfId="0">
      <formula>AND(ISNUMBER(E5),E5&gt;Settings!$C$4)</formula>
    </cfRule>
    <cfRule type="expression" priority="138" aboveAverage="0" equalAverage="0" bottom="0" percent="0" rank="0" text="" dxfId="1">
      <formula>AND(ISNUMBER(E5),E5&lt;-Settings!$C$4)</formula>
    </cfRule>
    <cfRule type="expression" priority="139" aboveAverage="0" equalAverage="0" bottom="0" percent="0" rank="0" text="" dxfId="2">
      <formula>AND(ISNUMBER(E5),ABS(E5)&lt;=Settings!$C$4)</formula>
    </cfRule>
    <cfRule type="expression" priority="140" aboveAverage="0" equalAverage="0" bottom="0" percent="0" rank="0" text="" dxfId="0">
      <formula>AND(ISNUMBER(E5),E5&gt;Settings!$C$4)</formula>
    </cfRule>
    <cfRule type="expression" priority="141" aboveAverage="0" equalAverage="0" bottom="0" percent="0" rank="0" text="" dxfId="1">
      <formula>AND(ISNUMBER(E5),E5&lt;-Settings!$C$4)</formula>
    </cfRule>
    <cfRule type="expression" priority="142" aboveAverage="0" equalAverage="0" bottom="0" percent="0" rank="0" text="" dxfId="2">
      <formula>AND(ISNUMBER(E5),ABS(E5)&lt;=Settings!$C$4)</formula>
    </cfRule>
    <cfRule type="expression" priority="143" aboveAverage="0" equalAverage="0" bottom="0" percent="0" rank="0" text="" dxfId="0">
      <formula>AND(ISNUMBER(E5),E5&gt;Settings!$C$4)</formula>
    </cfRule>
    <cfRule type="expression" priority="144" aboveAverage="0" equalAverage="0" bottom="0" percent="0" rank="0" text="" dxfId="1">
      <formula>AND(ISNUMBER(E5),E5&lt;-Settings!$C$4)</formula>
    </cfRule>
    <cfRule type="expression" priority="145" aboveAverage="0" equalAverage="0" bottom="0" percent="0" rank="0" text="" dxfId="2">
      <formula>AND(ISNUMBER(E5),ABS(E5)&lt;=Settings!$C$4)</formula>
    </cfRule>
    <cfRule type="expression" priority="146" aboveAverage="0" equalAverage="0" bottom="0" percent="0" rank="0" text="" dxfId="0">
      <formula>AND(ISNUMBER(E5),E5&gt;Settings!$C$4)</formula>
    </cfRule>
    <cfRule type="expression" priority="147" aboveAverage="0" equalAverage="0" bottom="0" percent="0" rank="0" text="" dxfId="1">
      <formula>AND(ISNUMBER(E5),E5&lt;-Settings!$C$4)</formula>
    </cfRule>
    <cfRule type="expression" priority="148" aboveAverage="0" equalAverage="0" bottom="0" percent="0" rank="0" text="" dxfId="2">
      <formula>AND(ISNUMBER(E5),ABS(E5)&lt;=Settings!$C$4)</formula>
    </cfRule>
    <cfRule type="expression" priority="149" aboveAverage="0" equalAverage="0" bottom="0" percent="0" rank="0" text="" dxfId="0">
      <formula>AND(ISNUMBER(E5),E5&gt;Settings!$C$4)</formula>
    </cfRule>
    <cfRule type="expression" priority="150" aboveAverage="0" equalAverage="0" bottom="0" percent="0" rank="0" text="" dxfId="1">
      <formula>AND(ISNUMBER(E5),E5&lt;-Settings!$C$4)</formula>
    </cfRule>
    <cfRule type="expression" priority="151" aboveAverage="0" equalAverage="0" bottom="0" percent="0" rank="0" text="" dxfId="2">
      <formula>AND(ISNUMBER(E5),ABS(E5)&lt;=Settings!$C$4)</formula>
    </cfRule>
    <cfRule type="expression" priority="152" aboveAverage="0" equalAverage="0" bottom="0" percent="0" rank="0" text="" dxfId="0">
      <formula>AND(ISNUMBER(E5),E5&gt;Settings!$C$4)</formula>
    </cfRule>
    <cfRule type="expression" priority="153" aboveAverage="0" equalAverage="0" bottom="0" percent="0" rank="0" text="" dxfId="1">
      <formula>AND(ISNUMBER(E5),E5&lt;-Settings!$C$4)</formula>
    </cfRule>
    <cfRule type="expression" priority="154" aboveAverage="0" equalAverage="0" bottom="0" percent="0" rank="0" text="" dxfId="2">
      <formula>AND(ISNUMBER(E5),ABS(E5)&lt;=Settings!$C$4)</formula>
    </cfRule>
    <cfRule type="expression" priority="155" aboveAverage="0" equalAverage="0" bottom="0" percent="0" rank="0" text="" dxfId="0">
      <formula>AND(ISNUMBER(E5),E5&gt;Settings!$C$4)</formula>
    </cfRule>
    <cfRule type="expression" priority="156" aboveAverage="0" equalAverage="0" bottom="0" percent="0" rank="0" text="" dxfId="1">
      <formula>AND(ISNUMBER(E5),E5&lt;-Settings!$C$4)</formula>
    </cfRule>
    <cfRule type="expression" priority="157" aboveAverage="0" equalAverage="0" bottom="0" percent="0" rank="0" text="" dxfId="2">
      <formula>AND(ISNUMBER(E5),ABS(E5)&lt;=Settings!$C$4)</formula>
    </cfRule>
    <cfRule type="expression" priority="158" aboveAverage="0" equalAverage="0" bottom="0" percent="0" rank="0" text="" dxfId="0">
      <formula>AND(ISNUMBER(E5),E5&gt;Settings!$C$4)</formula>
    </cfRule>
    <cfRule type="expression" priority="159" aboveAverage="0" equalAverage="0" bottom="0" percent="0" rank="0" text="" dxfId="1">
      <formula>AND(ISNUMBER(E5),E5&lt;-Settings!$C$4)</formula>
    </cfRule>
    <cfRule type="expression" priority="160" aboveAverage="0" equalAverage="0" bottom="0" percent="0" rank="0" text="" dxfId="2">
      <formula>AND(ISNUMBER(E5),ABS(E5)&lt;=Settings!$C$4)</formula>
    </cfRule>
    <cfRule type="expression" priority="161" aboveAverage="0" equalAverage="0" bottom="0" percent="0" rank="0" text="" dxfId="0">
      <formula>AND(ISNUMBER(E5),E5&gt;Settings!$C$4)</formula>
    </cfRule>
    <cfRule type="expression" priority="162" aboveAverage="0" equalAverage="0" bottom="0" percent="0" rank="0" text="" dxfId="1">
      <formula>AND(ISNUMBER(E5),E5&lt;-Settings!$C$4)</formula>
    </cfRule>
    <cfRule type="expression" priority="163" aboveAverage="0" equalAverage="0" bottom="0" percent="0" rank="0" text="" dxfId="2">
      <formula>AND(ISNUMBER(E5),ABS(E5)&lt;=Settings!$C$4)</formula>
    </cfRule>
    <cfRule type="expression" priority="164" aboveAverage="0" equalAverage="0" bottom="0" percent="0" rank="0" text="" dxfId="0">
      <formula>AND(ISNUMBER(E5),E5&gt;Settings!$C$4)</formula>
    </cfRule>
    <cfRule type="expression" priority="165" aboveAverage="0" equalAverage="0" bottom="0" percent="0" rank="0" text="" dxfId="1">
      <formula>AND(ISNUMBER(E5),E5&lt;-Settings!$C$4)</formula>
    </cfRule>
    <cfRule type="expression" priority="166" aboveAverage="0" equalAverage="0" bottom="0" percent="0" rank="0" text="" dxfId="2">
      <formula>AND(ISNUMBER(E5),ABS(E5)&lt;=Settings!$C$4)</formula>
    </cfRule>
    <cfRule type="expression" priority="167" aboveAverage="0" equalAverage="0" bottom="0" percent="0" rank="0" text="" dxfId="0">
      <formula>AND(ISNUMBER(E5),E5&gt;Settings!$C$4)</formula>
    </cfRule>
    <cfRule type="expression" priority="168" aboveAverage="0" equalAverage="0" bottom="0" percent="0" rank="0" text="" dxfId="1">
      <formula>AND(ISNUMBER(E5),E5&lt;-Settings!$C$4)</formula>
    </cfRule>
    <cfRule type="expression" priority="169" aboveAverage="0" equalAverage="0" bottom="0" percent="0" rank="0" text="" dxfId="2">
      <formula>AND(ISNUMBER(E5),ABS(E5)&lt;=Settings!$C$4)</formula>
    </cfRule>
    <cfRule type="expression" priority="170" aboveAverage="0" equalAverage="0" bottom="0" percent="0" rank="0" text="" dxfId="0">
      <formula>AND(ISNUMBER(E5),E5&gt;Settings!$C$4)</formula>
    </cfRule>
    <cfRule type="expression" priority="171" aboveAverage="0" equalAverage="0" bottom="0" percent="0" rank="0" text="" dxfId="1">
      <formula>AND(ISNUMBER(E5),E5&lt;-Settings!$C$4)</formula>
    </cfRule>
    <cfRule type="expression" priority="172" aboveAverage="0" equalAverage="0" bottom="0" percent="0" rank="0" text="" dxfId="2">
      <formula>AND(ISNUMBER(E5),ABS(E5)&lt;=Settings!$C$4)</formula>
    </cfRule>
    <cfRule type="expression" priority="173" aboveAverage="0" equalAverage="0" bottom="0" percent="0" rank="0" text="" dxfId="0">
      <formula>AND(ISNUMBER(E5),E5&gt;Settings!$C$4)</formula>
    </cfRule>
    <cfRule type="expression" priority="174" aboveAverage="0" equalAverage="0" bottom="0" percent="0" rank="0" text="" dxfId="1">
      <formula>AND(ISNUMBER(E5),E5&lt;-Settings!$C$4)</formula>
    </cfRule>
    <cfRule type="expression" priority="175" aboveAverage="0" equalAverage="0" bottom="0" percent="0" rank="0" text="" dxfId="2">
      <formula>AND(ISNUMBER(E5),ABS(E5)&lt;=Settings!$C$4)</formula>
    </cfRule>
    <cfRule type="expression" priority="176" aboveAverage="0" equalAverage="0" bottom="0" percent="0" rank="0" text="" dxfId="0">
      <formula>AND(ISNUMBER(E5),E5&gt;Settings!$C$4)</formula>
    </cfRule>
    <cfRule type="expression" priority="177" aboveAverage="0" equalAverage="0" bottom="0" percent="0" rank="0" text="" dxfId="1">
      <formula>AND(ISNUMBER(E5),E5&lt;-Settings!$C$4)</formula>
    </cfRule>
    <cfRule type="expression" priority="178" aboveAverage="0" equalAverage="0" bottom="0" percent="0" rank="0" text="" dxfId="2">
      <formula>AND(ISNUMBER(E5),ABS(E5)&lt;=Settings!$C$4)</formula>
    </cfRule>
    <cfRule type="expression" priority="179" aboveAverage="0" equalAverage="0" bottom="0" percent="0" rank="0" text="" dxfId="0">
      <formula>AND(ISNUMBER(E5),E5&gt;Settings!$C$4)</formula>
    </cfRule>
    <cfRule type="expression" priority="180" aboveAverage="0" equalAverage="0" bottom="0" percent="0" rank="0" text="" dxfId="1">
      <formula>AND(ISNUMBER(E5),E5&lt;-Settings!$C$4)</formula>
    </cfRule>
    <cfRule type="expression" priority="181" aboveAverage="0" equalAverage="0" bottom="0" percent="0" rank="0" text="" dxfId="2">
      <formula>AND(ISNUMBER(E5),ABS(E5)&lt;=Settings!$C$4)</formula>
    </cfRule>
    <cfRule type="expression" priority="182" aboveAverage="0" equalAverage="0" bottom="0" percent="0" rank="0" text="" dxfId="0">
      <formula>AND(ISNUMBER(E5),E5&gt;Settings!$C$4)</formula>
    </cfRule>
    <cfRule type="expression" priority="183" aboveAverage="0" equalAverage="0" bottom="0" percent="0" rank="0" text="" dxfId="1">
      <formula>AND(ISNUMBER(E5),E5&lt;-Settings!$C$4)</formula>
    </cfRule>
    <cfRule type="expression" priority="184" aboveAverage="0" equalAverage="0" bottom="0" percent="0" rank="0" text="" dxfId="2">
      <formula>AND(ISNUMBER(E5),ABS(E5)&lt;=Settings!$C$4)</formula>
    </cfRule>
    <cfRule type="expression" priority="185" aboveAverage="0" equalAverage="0" bottom="0" percent="0" rank="0" text="" dxfId="0">
      <formula>AND(ISNUMBER(E5),E5&gt;Settings!$C$4)</formula>
    </cfRule>
    <cfRule type="expression" priority="186" aboveAverage="0" equalAverage="0" bottom="0" percent="0" rank="0" text="" dxfId="1">
      <formula>AND(ISNUMBER(E5),E5&lt;-Settings!$C$4)</formula>
    </cfRule>
    <cfRule type="expression" priority="187" aboveAverage="0" equalAverage="0" bottom="0" percent="0" rank="0" text="" dxfId="2">
      <formula>AND(ISNUMBER(E5),ABS(E5)&lt;=Settings!$C$4)</formula>
    </cfRule>
    <cfRule type="expression" priority="188" aboveAverage="0" equalAverage="0" bottom="0" percent="0" rank="0" text="" dxfId="0">
      <formula>AND(ISNUMBER(E5),E5&gt;Settings!$C$4)</formula>
    </cfRule>
    <cfRule type="expression" priority="189" aboveAverage="0" equalAverage="0" bottom="0" percent="0" rank="0" text="" dxfId="1">
      <formula>AND(ISNUMBER(E5),E5&lt;-Settings!$C$4)</formula>
    </cfRule>
    <cfRule type="expression" priority="190" aboveAverage="0" equalAverage="0" bottom="0" percent="0" rank="0" text="" dxfId="2">
      <formula>AND(ISNUMBER(E5),ABS(E5)&lt;=Settings!$C$4)</formula>
    </cfRule>
    <cfRule type="expression" priority="191" aboveAverage="0" equalAverage="0" bottom="0" percent="0" rank="0" text="" dxfId="0">
      <formula>AND(ISNUMBER(E5),E5&gt;Settings!$C$4)</formula>
    </cfRule>
    <cfRule type="expression" priority="192" aboveAverage="0" equalAverage="0" bottom="0" percent="0" rank="0" text="" dxfId="1">
      <formula>AND(ISNUMBER(E5),E5&lt;-Settings!$C$4)</formula>
    </cfRule>
    <cfRule type="expression" priority="193" aboveAverage="0" equalAverage="0" bottom="0" percent="0" rank="0" text="" dxfId="2">
      <formula>AND(ISNUMBER(E5),ABS(E5)&lt;=Settings!$C$4)</formula>
    </cfRule>
    <cfRule type="expression" priority="194" aboveAverage="0" equalAverage="0" bottom="0" percent="0" rank="0" text="" dxfId="0">
      <formula>AND(ISNUMBER(E5),E5&gt;Settings!$C$4)</formula>
    </cfRule>
    <cfRule type="expression" priority="195" aboveAverage="0" equalAverage="0" bottom="0" percent="0" rank="0" text="" dxfId="1">
      <formula>AND(ISNUMBER(E5),E5&lt;-Settings!$C$4)</formula>
    </cfRule>
    <cfRule type="expression" priority="196" aboveAverage="0" equalAverage="0" bottom="0" percent="0" rank="0" text="" dxfId="2">
      <formula>AND(ISNUMBER(E5),ABS(E5)&lt;=Settings!$C$4)</formula>
    </cfRule>
    <cfRule type="expression" priority="197" aboveAverage="0" equalAverage="0" bottom="0" percent="0" rank="0" text="" dxfId="0">
      <formula>AND(ISNUMBER(E5),E5&gt;Settings!$C$4)</formula>
    </cfRule>
    <cfRule type="expression" priority="198" aboveAverage="0" equalAverage="0" bottom="0" percent="0" rank="0" text="" dxfId="1">
      <formula>AND(ISNUMBER(E5),E5&lt;-Settings!$C$4)</formula>
    </cfRule>
    <cfRule type="expression" priority="199" aboveAverage="0" equalAverage="0" bottom="0" percent="0" rank="0" text="" dxfId="2">
      <formula>AND(ISNUMBER(E5),ABS(E5)&lt;=Settings!$C$4)</formula>
    </cfRule>
    <cfRule type="expression" priority="200" aboveAverage="0" equalAverage="0" bottom="0" percent="0" rank="0" text="" dxfId="0">
      <formula>AND(ISNUMBER(E5),E5&gt;Settings!$C$4)</formula>
    </cfRule>
    <cfRule type="expression" priority="201" aboveAverage="0" equalAverage="0" bottom="0" percent="0" rank="0" text="" dxfId="1">
      <formula>AND(ISNUMBER(E5),E5&lt;-Settings!$C$4)</formula>
    </cfRule>
    <cfRule type="expression" priority="202" aboveAverage="0" equalAverage="0" bottom="0" percent="0" rank="0" text="" dxfId="2">
      <formula>AND(ISNUMBER(E5),ABS(E5)&lt;=Settings!$C$4)</formula>
    </cfRule>
    <cfRule type="expression" priority="203" aboveAverage="0" equalAverage="0" bottom="0" percent="0" rank="0" text="" dxfId="0">
      <formula>AND(ISNUMBER(E5),E5&gt;Settings!$C$4)</formula>
    </cfRule>
    <cfRule type="expression" priority="204" aboveAverage="0" equalAverage="0" bottom="0" percent="0" rank="0" text="" dxfId="1">
      <formula>AND(ISNUMBER(E5),E5&lt;-Settings!$C$4)</formula>
    </cfRule>
    <cfRule type="expression" priority="205" aboveAverage="0" equalAverage="0" bottom="0" percent="0" rank="0" text="" dxfId="2">
      <formula>AND(ISNUMBER(E5),ABS(E5)&lt;=Settings!$C$4)</formula>
    </cfRule>
    <cfRule type="expression" priority="206" aboveAverage="0" equalAverage="0" bottom="0" percent="0" rank="0" text="" dxfId="0">
      <formula>AND(ISNUMBER(E5),E5&gt;Settings!$C$4)</formula>
    </cfRule>
    <cfRule type="expression" priority="207" aboveAverage="0" equalAverage="0" bottom="0" percent="0" rank="0" text="" dxfId="1">
      <formula>AND(ISNUMBER(E5),E5&lt;-Settings!$C$4)</formula>
    </cfRule>
    <cfRule type="expression" priority="208" aboveAverage="0" equalAverage="0" bottom="0" percent="0" rank="0" text="" dxfId="2">
      <formula>AND(ISNUMBER(E5),ABS(E5)&lt;=Settings!$C$4)</formula>
    </cfRule>
    <cfRule type="expression" priority="209" aboveAverage="0" equalAverage="0" bottom="0" percent="0" rank="0" text="" dxfId="0">
      <formula>AND(ISNUMBER(E5),E5&gt;Settings!$C$4)</formula>
    </cfRule>
    <cfRule type="expression" priority="210" aboveAverage="0" equalAverage="0" bottom="0" percent="0" rank="0" text="" dxfId="1">
      <formula>AND(ISNUMBER(E5),E5&lt;-Settings!$C$4)</formula>
    </cfRule>
    <cfRule type="expression" priority="211" aboveAverage="0" equalAverage="0" bottom="0" percent="0" rank="0" text="" dxfId="2">
      <formula>AND(ISNUMBER(E5),ABS(E5)&lt;=Settings!$C$4)</formula>
    </cfRule>
    <cfRule type="expression" priority="212" aboveAverage="0" equalAverage="0" bottom="0" percent="0" rank="0" text="" dxfId="0">
      <formula>AND(ISNUMBER(E5),E5&gt;Settings!$C$4)</formula>
    </cfRule>
    <cfRule type="expression" priority="213" aboveAverage="0" equalAverage="0" bottom="0" percent="0" rank="0" text="" dxfId="1">
      <formula>AND(ISNUMBER(E5),E5&lt;-Settings!$C$4)</formula>
    </cfRule>
    <cfRule type="expression" priority="214" aboveAverage="0" equalAverage="0" bottom="0" percent="0" rank="0" text="" dxfId="2">
      <formula>AND(ISNUMBER(E5),ABS(E5)&lt;=Settings!$C$4)</formula>
    </cfRule>
    <cfRule type="expression" priority="215" aboveAverage="0" equalAverage="0" bottom="0" percent="0" rank="0" text="" dxfId="0">
      <formula>AND(ISNUMBER(E5),E5&gt;Settings!$C$4)</formula>
    </cfRule>
    <cfRule type="expression" priority="216" aboveAverage="0" equalAverage="0" bottom="0" percent="0" rank="0" text="" dxfId="1">
      <formula>AND(ISNUMBER(E5),E5&lt;-Settings!$C$4)</formula>
    </cfRule>
    <cfRule type="expression" priority="217" aboveAverage="0" equalAverage="0" bottom="0" percent="0" rank="0" text="" dxfId="2">
      <formula>AND(ISNUMBER(E5),ABS(E5)&lt;=Settings!$C$4)</formula>
    </cfRule>
    <cfRule type="expression" priority="218" aboveAverage="0" equalAverage="0" bottom="0" percent="0" rank="0" text="" dxfId="0">
      <formula>AND(ISNUMBER(E5),E5&gt;Settings!$C$4)</formula>
    </cfRule>
    <cfRule type="expression" priority="219" aboveAverage="0" equalAverage="0" bottom="0" percent="0" rank="0" text="" dxfId="1">
      <formula>AND(ISNUMBER(E5),E5&lt;-Settings!$C$4)</formula>
    </cfRule>
    <cfRule type="expression" priority="220" aboveAverage="0" equalAverage="0" bottom="0" percent="0" rank="0" text="" dxfId="2">
      <formula>AND(ISNUMBER(E5),ABS(E5)&lt;=Settings!$C$4)</formula>
    </cfRule>
    <cfRule type="expression" priority="221" aboveAverage="0" equalAverage="0" bottom="0" percent="0" rank="0" text="" dxfId="0">
      <formula>AND(ISNUMBER(E5),E5&gt;Settings!$C$4)</formula>
    </cfRule>
    <cfRule type="expression" priority="222" aboveAverage="0" equalAverage="0" bottom="0" percent="0" rank="0" text="" dxfId="1">
      <formula>AND(ISNUMBER(E5),E5&lt;-Settings!$C$4)</formula>
    </cfRule>
    <cfRule type="expression" priority="223" aboveAverage="0" equalAverage="0" bottom="0" percent="0" rank="0" text="" dxfId="2">
      <formula>AND(ISNUMBER(E5),ABS(E5)&lt;=Settings!$C$4)</formula>
    </cfRule>
    <cfRule type="expression" priority="224" aboveAverage="0" equalAverage="0" bottom="0" percent="0" rank="0" text="" dxfId="0">
      <formula>AND(ISNUMBER(E5),E5&gt;Settings!$C$4)</formula>
    </cfRule>
    <cfRule type="expression" priority="225" aboveAverage="0" equalAverage="0" bottom="0" percent="0" rank="0" text="" dxfId="1">
      <formula>AND(ISNUMBER(E5),E5&lt;-Settings!$C$4)</formula>
    </cfRule>
    <cfRule type="expression" priority="226" aboveAverage="0" equalAverage="0" bottom="0" percent="0" rank="0" text="" dxfId="2">
      <formula>AND(ISNUMBER(E5),ABS(E5)&lt;=Settings!$C$4)</formula>
    </cfRule>
    <cfRule type="expression" priority="227" aboveAverage="0" equalAverage="0" bottom="0" percent="0" rank="0" text="" dxfId="0">
      <formula>AND(ISNUMBER(E5),E5&gt;Settings!$C$4)</formula>
    </cfRule>
    <cfRule type="expression" priority="228" aboveAverage="0" equalAverage="0" bottom="0" percent="0" rank="0" text="" dxfId="1">
      <formula>AND(ISNUMBER(E5),E5&lt;-Settings!$C$4)</formula>
    </cfRule>
    <cfRule type="expression" priority="229" aboveAverage="0" equalAverage="0" bottom="0" percent="0" rank="0" text="" dxfId="2">
      <formula>AND(ISNUMBER(E5),ABS(E5)&lt;=Settings!$C$4)</formula>
    </cfRule>
    <cfRule type="expression" priority="230" aboveAverage="0" equalAverage="0" bottom="0" percent="0" rank="0" text="" dxfId="0">
      <formula>AND(ISNUMBER(E5),E5&gt;Settings!$C$4)</formula>
    </cfRule>
    <cfRule type="expression" priority="231" aboveAverage="0" equalAverage="0" bottom="0" percent="0" rank="0" text="" dxfId="1">
      <formula>AND(ISNUMBER(E5),E5&lt;-Settings!$C$4)</formula>
    </cfRule>
    <cfRule type="expression" priority="232" aboveAverage="0" equalAverage="0" bottom="0" percent="0" rank="0" text="" dxfId="2">
      <formula>AND(ISNUMBER(E5),ABS(E5)&lt;=Settings!$C$4)</formula>
    </cfRule>
    <cfRule type="expression" priority="233" aboveAverage="0" equalAverage="0" bottom="0" percent="0" rank="0" text="" dxfId="0">
      <formula>AND(ISNUMBER(E5),E5&gt;Settings!$C$4)</formula>
    </cfRule>
    <cfRule type="expression" priority="234" aboveAverage="0" equalAverage="0" bottom="0" percent="0" rank="0" text="" dxfId="1">
      <formula>AND(ISNUMBER(E5),E5&lt;-Settings!$C$4)</formula>
    </cfRule>
    <cfRule type="expression" priority="235" aboveAverage="0" equalAverage="0" bottom="0" percent="0" rank="0" text="" dxfId="2">
      <formula>AND(ISNUMBER(E5),ABS(E5)&lt;=Settings!$C$4)</formula>
    </cfRule>
    <cfRule type="expression" priority="236" aboveAverage="0" equalAverage="0" bottom="0" percent="0" rank="0" text="" dxfId="0">
      <formula>AND(ISNUMBER(E5),E5&gt;Settings!$C$4)</formula>
    </cfRule>
    <cfRule type="expression" priority="237" aboveAverage="0" equalAverage="0" bottom="0" percent="0" rank="0" text="" dxfId="1">
      <formula>AND(ISNUMBER(E5),E5&lt;-Settings!$C$4)</formula>
    </cfRule>
    <cfRule type="expression" priority="238" aboveAverage="0" equalAverage="0" bottom="0" percent="0" rank="0" text="" dxfId="2">
      <formula>AND(ISNUMBER(E5),ABS(E5)&lt;=Settings!$C$4)</formula>
    </cfRule>
    <cfRule type="expression" priority="239" aboveAverage="0" equalAverage="0" bottom="0" percent="0" rank="0" text="" dxfId="0">
      <formula>AND(ISNUMBER(E5),E5&gt;Settings!$C$4)</formula>
    </cfRule>
    <cfRule type="expression" priority="240" aboveAverage="0" equalAverage="0" bottom="0" percent="0" rank="0" text="" dxfId="1">
      <formula>AND(ISNUMBER(E5),E5&lt;-Settings!$C$4)</formula>
    </cfRule>
    <cfRule type="expression" priority="241" aboveAverage="0" equalAverage="0" bottom="0" percent="0" rank="0" text="" dxfId="2">
      <formula>AND(ISNUMBER(E5),ABS(E5)&lt;=Settings!$C$4)</formula>
    </cfRule>
    <cfRule type="expression" priority="242" aboveAverage="0" equalAverage="0" bottom="0" percent="0" rank="0" text="" dxfId="0">
      <formula>AND(ISNUMBER(E5),E5&gt;Settings!$C$4)</formula>
    </cfRule>
    <cfRule type="expression" priority="243" aboveAverage="0" equalAverage="0" bottom="0" percent="0" rank="0" text="" dxfId="1">
      <formula>AND(ISNUMBER(E5),E5&lt;-Settings!$C$4)</formula>
    </cfRule>
    <cfRule type="expression" priority="244" aboveAverage="0" equalAverage="0" bottom="0" percent="0" rank="0" text="" dxfId="2">
      <formula>AND(ISNUMBER(E5),ABS(E5)&lt;=Settings!$C$4)</formula>
    </cfRule>
    <cfRule type="expression" priority="245" aboveAverage="0" equalAverage="0" bottom="0" percent="0" rank="0" text="" dxfId="0">
      <formula>AND(ISNUMBER(E5),E5&gt;Settings!$C$4)</formula>
    </cfRule>
    <cfRule type="expression" priority="246" aboveAverage="0" equalAverage="0" bottom="0" percent="0" rank="0" text="" dxfId="1">
      <formula>AND(ISNUMBER(E5),E5&lt;-Settings!$C$4)</formula>
    </cfRule>
    <cfRule type="expression" priority="247" aboveAverage="0" equalAverage="0" bottom="0" percent="0" rank="0" text="" dxfId="2">
      <formula>AND(ISNUMBER(E5),ABS(E5)&lt;=Settings!$C$4)</formula>
    </cfRule>
    <cfRule type="expression" priority="248" aboveAverage="0" equalAverage="0" bottom="0" percent="0" rank="0" text="" dxfId="0">
      <formula>AND(ISNUMBER(E5),E5&gt;Settings!$C$4)</formula>
    </cfRule>
    <cfRule type="expression" priority="249" aboveAverage="0" equalAverage="0" bottom="0" percent="0" rank="0" text="" dxfId="1">
      <formula>AND(ISNUMBER(E5),E5&lt;-Settings!$C$4)</formula>
    </cfRule>
    <cfRule type="expression" priority="250" aboveAverage="0" equalAverage="0" bottom="0" percent="0" rank="0" text="" dxfId="2">
      <formula>AND(ISNUMBER(E5),ABS(E5)&lt;=Settings!$C$4)</formula>
    </cfRule>
    <cfRule type="expression" priority="251" aboveAverage="0" equalAverage="0" bottom="0" percent="0" rank="0" text="" dxfId="0">
      <formula>AND(ISNUMBER(E5),E5&gt;Settings!$C$4)</formula>
    </cfRule>
    <cfRule type="expression" priority="252" aboveAverage="0" equalAverage="0" bottom="0" percent="0" rank="0" text="" dxfId="1">
      <formula>AND(ISNUMBER(E5),E5&lt;-Settings!$C$4)</formula>
    </cfRule>
    <cfRule type="expression" priority="253" aboveAverage="0" equalAverage="0" bottom="0" percent="0" rank="0" text="" dxfId="2">
      <formula>AND(ISNUMBER(E5),ABS(E5)&lt;=Settings!$C$4)</formula>
    </cfRule>
  </conditionalFormatting>
  <conditionalFormatting sqref="H5:H46">
    <cfRule type="expression" priority="254" aboveAverage="0" equalAverage="0" bottom="0" percent="0" rank="0" text="" dxfId="0">
      <formula>AND(ISNUMBER(H5),H5&gt;Settings!$C$4)</formula>
    </cfRule>
    <cfRule type="expression" priority="255" aboveAverage="0" equalAverage="0" bottom="0" percent="0" rank="0" text="" dxfId="1">
      <formula>AND(ISNUMBER(H5),H5&lt;-Settings!$C$4)</formula>
    </cfRule>
    <cfRule type="expression" priority="256" aboveAverage="0" equalAverage="0" bottom="0" percent="0" rank="0" text="" dxfId="2">
      <formula>AND(ISNUMBER(H5),ABS(H5)&lt;=Settings!$C$4)</formula>
    </cfRule>
    <cfRule type="expression" priority="257" aboveAverage="0" equalAverage="0" bottom="0" percent="0" rank="0" text="" dxfId="0">
      <formula>AND(ISNUMBER(H5),H5&gt;Settings!$C$4)</formula>
    </cfRule>
    <cfRule type="expression" priority="258" aboveAverage="0" equalAverage="0" bottom="0" percent="0" rank="0" text="" dxfId="1">
      <formula>AND(ISNUMBER(H5),H5&lt;-Settings!$C$4)</formula>
    </cfRule>
    <cfRule type="expression" priority="259" aboveAverage="0" equalAverage="0" bottom="0" percent="0" rank="0" text="" dxfId="2">
      <formula>AND(ISNUMBER(H5),ABS(H5)&lt;=Settings!$C$4)</formula>
    </cfRule>
    <cfRule type="expression" priority="260" aboveAverage="0" equalAverage="0" bottom="0" percent="0" rank="0" text="" dxfId="0">
      <formula>AND(ISNUMBER(H5),H5&gt;Settings!$C$4)</formula>
    </cfRule>
    <cfRule type="expression" priority="261" aboveAverage="0" equalAverage="0" bottom="0" percent="0" rank="0" text="" dxfId="1">
      <formula>AND(ISNUMBER(H5),H5&lt;-Settings!$C$4)</formula>
    </cfRule>
    <cfRule type="expression" priority="262" aboveAverage="0" equalAverage="0" bottom="0" percent="0" rank="0" text="" dxfId="2">
      <formula>AND(ISNUMBER(H5),ABS(H5)&lt;=Settings!$C$4)</formula>
    </cfRule>
    <cfRule type="expression" priority="263" aboveAverage="0" equalAverage="0" bottom="0" percent="0" rank="0" text="" dxfId="0">
      <formula>AND(ISNUMBER(H5),H5&gt;Settings!$C$4)</formula>
    </cfRule>
    <cfRule type="expression" priority="264" aboveAverage="0" equalAverage="0" bottom="0" percent="0" rank="0" text="" dxfId="1">
      <formula>AND(ISNUMBER(H5),H5&lt;-Settings!$C$4)</formula>
    </cfRule>
    <cfRule type="expression" priority="265" aboveAverage="0" equalAverage="0" bottom="0" percent="0" rank="0" text="" dxfId="2">
      <formula>AND(ISNUMBER(H5),ABS(H5)&lt;=Settings!$C$4)</formula>
    </cfRule>
    <cfRule type="expression" priority="266" aboveAverage="0" equalAverage="0" bottom="0" percent="0" rank="0" text="" dxfId="0">
      <formula>AND(ISNUMBER(H5),H5&gt;Settings!$C$4)</formula>
    </cfRule>
    <cfRule type="expression" priority="267" aboveAverage="0" equalAverage="0" bottom="0" percent="0" rank="0" text="" dxfId="1">
      <formula>AND(ISNUMBER(H5),H5&lt;-Settings!$C$4)</formula>
    </cfRule>
    <cfRule type="expression" priority="268" aboveAverage="0" equalAverage="0" bottom="0" percent="0" rank="0" text="" dxfId="2">
      <formula>AND(ISNUMBER(H5),ABS(H5)&lt;=Settings!$C$4)</formula>
    </cfRule>
    <cfRule type="expression" priority="269" aboveAverage="0" equalAverage="0" bottom="0" percent="0" rank="0" text="" dxfId="0">
      <formula>AND(ISNUMBER(H5),H5&gt;Settings!$C$4)</formula>
    </cfRule>
    <cfRule type="expression" priority="270" aboveAverage="0" equalAverage="0" bottom="0" percent="0" rank="0" text="" dxfId="1">
      <formula>AND(ISNUMBER(H5),H5&lt;-Settings!$C$4)</formula>
    </cfRule>
    <cfRule type="expression" priority="271" aboveAverage="0" equalAverage="0" bottom="0" percent="0" rank="0" text="" dxfId="2">
      <formula>AND(ISNUMBER(H5),ABS(H5)&lt;=Settings!$C$4)</formula>
    </cfRule>
    <cfRule type="expression" priority="272" aboveAverage="0" equalAverage="0" bottom="0" percent="0" rank="0" text="" dxfId="0">
      <formula>AND(ISNUMBER(H5),H5&gt;Settings!$C$4)</formula>
    </cfRule>
    <cfRule type="expression" priority="273" aboveAverage="0" equalAverage="0" bottom="0" percent="0" rank="0" text="" dxfId="1">
      <formula>AND(ISNUMBER(H5),H5&lt;-Settings!$C$4)</formula>
    </cfRule>
    <cfRule type="expression" priority="274" aboveAverage="0" equalAverage="0" bottom="0" percent="0" rank="0" text="" dxfId="2">
      <formula>AND(ISNUMBER(H5),ABS(H5)&lt;=Settings!$C$4)</formula>
    </cfRule>
    <cfRule type="expression" priority="275" aboveAverage="0" equalAverage="0" bottom="0" percent="0" rank="0" text="" dxfId="0">
      <formula>AND(ISNUMBER(H5),H5&gt;Settings!$C$4)</formula>
    </cfRule>
    <cfRule type="expression" priority="276" aboveAverage="0" equalAverage="0" bottom="0" percent="0" rank="0" text="" dxfId="1">
      <formula>AND(ISNUMBER(H5),H5&lt;-Settings!$C$4)</formula>
    </cfRule>
    <cfRule type="expression" priority="277" aboveAverage="0" equalAverage="0" bottom="0" percent="0" rank="0" text="" dxfId="2">
      <formula>AND(ISNUMBER(H5),ABS(H5)&lt;=Settings!$C$4)</formula>
    </cfRule>
    <cfRule type="expression" priority="278" aboveAverage="0" equalAverage="0" bottom="0" percent="0" rank="0" text="" dxfId="0">
      <formula>AND(ISNUMBER(H5),H5&gt;Settings!$C$4)</formula>
    </cfRule>
    <cfRule type="expression" priority="279" aboveAverage="0" equalAverage="0" bottom="0" percent="0" rank="0" text="" dxfId="1">
      <formula>AND(ISNUMBER(H5),H5&lt;-Settings!$C$4)</formula>
    </cfRule>
    <cfRule type="expression" priority="280" aboveAverage="0" equalAverage="0" bottom="0" percent="0" rank="0" text="" dxfId="2">
      <formula>AND(ISNUMBER(H5),ABS(H5)&lt;=Settings!$C$4)</formula>
    </cfRule>
    <cfRule type="expression" priority="281" aboveAverage="0" equalAverage="0" bottom="0" percent="0" rank="0" text="" dxfId="0">
      <formula>AND(ISNUMBER(H5),H5&gt;Settings!$C$4)</formula>
    </cfRule>
    <cfRule type="expression" priority="282" aboveAverage="0" equalAverage="0" bottom="0" percent="0" rank="0" text="" dxfId="1">
      <formula>AND(ISNUMBER(H5),H5&lt;-Settings!$C$4)</formula>
    </cfRule>
    <cfRule type="expression" priority="283" aboveAverage="0" equalAverage="0" bottom="0" percent="0" rank="0" text="" dxfId="2">
      <formula>AND(ISNUMBER(H5),ABS(H5)&lt;=Settings!$C$4)</formula>
    </cfRule>
    <cfRule type="expression" priority="284" aboveAverage="0" equalAverage="0" bottom="0" percent="0" rank="0" text="" dxfId="0">
      <formula>AND(ISNUMBER(H5),H5&gt;Settings!$C$4)</formula>
    </cfRule>
    <cfRule type="expression" priority="285" aboveAverage="0" equalAverage="0" bottom="0" percent="0" rank="0" text="" dxfId="1">
      <formula>AND(ISNUMBER(H5),H5&lt;-Settings!$C$4)</formula>
    </cfRule>
    <cfRule type="expression" priority="286" aboveAverage="0" equalAverage="0" bottom="0" percent="0" rank="0" text="" dxfId="2">
      <formula>AND(ISNUMBER(H5),ABS(H5)&lt;=Settings!$C$4)</formula>
    </cfRule>
    <cfRule type="expression" priority="287" aboveAverage="0" equalAverage="0" bottom="0" percent="0" rank="0" text="" dxfId="0">
      <formula>AND(ISNUMBER(H5),H5&gt;Settings!$C$4)</formula>
    </cfRule>
    <cfRule type="expression" priority="288" aboveAverage="0" equalAverage="0" bottom="0" percent="0" rank="0" text="" dxfId="1">
      <formula>AND(ISNUMBER(H5),H5&lt;-Settings!$C$4)</formula>
    </cfRule>
    <cfRule type="expression" priority="289" aboveAverage="0" equalAverage="0" bottom="0" percent="0" rank="0" text="" dxfId="2">
      <formula>AND(ISNUMBER(H5),ABS(H5)&lt;=Settings!$C$4)</formula>
    </cfRule>
    <cfRule type="expression" priority="290" aboveAverage="0" equalAverage="0" bottom="0" percent="0" rank="0" text="" dxfId="0">
      <formula>AND(ISNUMBER(H5),H5&gt;Settings!$C$4)</formula>
    </cfRule>
    <cfRule type="expression" priority="291" aboveAverage="0" equalAverage="0" bottom="0" percent="0" rank="0" text="" dxfId="1">
      <formula>AND(ISNUMBER(H5),H5&lt;-Settings!$C$4)</formula>
    </cfRule>
    <cfRule type="expression" priority="292" aboveAverage="0" equalAverage="0" bottom="0" percent="0" rank="0" text="" dxfId="2">
      <formula>AND(ISNUMBER(H5),ABS(H5)&lt;=Settings!$C$4)</formula>
    </cfRule>
    <cfRule type="expression" priority="293" aboveAverage="0" equalAverage="0" bottom="0" percent="0" rank="0" text="" dxfId="0">
      <formula>AND(ISNUMBER(H5),H5&gt;Settings!$C$4)</formula>
    </cfRule>
    <cfRule type="expression" priority="294" aboveAverage="0" equalAverage="0" bottom="0" percent="0" rank="0" text="" dxfId="1">
      <formula>AND(ISNUMBER(H5),H5&lt;-Settings!$C$4)</formula>
    </cfRule>
    <cfRule type="expression" priority="295" aboveAverage="0" equalAverage="0" bottom="0" percent="0" rank="0" text="" dxfId="2">
      <formula>AND(ISNUMBER(H5),ABS(H5)&lt;=Settings!$C$4)</formula>
    </cfRule>
    <cfRule type="expression" priority="296" aboveAverage="0" equalAverage="0" bottom="0" percent="0" rank="0" text="" dxfId="0">
      <formula>AND(ISNUMBER(H5),H5&gt;Settings!$C$4)</formula>
    </cfRule>
    <cfRule type="expression" priority="297" aboveAverage="0" equalAverage="0" bottom="0" percent="0" rank="0" text="" dxfId="1">
      <formula>AND(ISNUMBER(H5),H5&lt;-Settings!$C$4)</formula>
    </cfRule>
    <cfRule type="expression" priority="298" aboveAverage="0" equalAverage="0" bottom="0" percent="0" rank="0" text="" dxfId="2">
      <formula>AND(ISNUMBER(H5),ABS(H5)&lt;=Settings!$C$4)</formula>
    </cfRule>
    <cfRule type="expression" priority="299" aboveAverage="0" equalAverage="0" bottom="0" percent="0" rank="0" text="" dxfId="0">
      <formula>AND(ISNUMBER(H5),H5&gt;Settings!$C$4)</formula>
    </cfRule>
    <cfRule type="expression" priority="300" aboveAverage="0" equalAverage="0" bottom="0" percent="0" rank="0" text="" dxfId="1">
      <formula>AND(ISNUMBER(H5),H5&lt;-Settings!$C$4)</formula>
    </cfRule>
    <cfRule type="expression" priority="301" aboveAverage="0" equalAverage="0" bottom="0" percent="0" rank="0" text="" dxfId="2">
      <formula>AND(ISNUMBER(H5),ABS(H5)&lt;=Settings!$C$4)</formula>
    </cfRule>
    <cfRule type="expression" priority="302" aboveAverage="0" equalAverage="0" bottom="0" percent="0" rank="0" text="" dxfId="0">
      <formula>AND(ISNUMBER(H5),H5&gt;Settings!$C$4)</formula>
    </cfRule>
    <cfRule type="expression" priority="303" aboveAverage="0" equalAverage="0" bottom="0" percent="0" rank="0" text="" dxfId="1">
      <formula>AND(ISNUMBER(H5),H5&lt;-Settings!$C$4)</formula>
    </cfRule>
    <cfRule type="expression" priority="304" aboveAverage="0" equalAverage="0" bottom="0" percent="0" rank="0" text="" dxfId="2">
      <formula>AND(ISNUMBER(H5),ABS(H5)&lt;=Settings!$C$4)</formula>
    </cfRule>
    <cfRule type="expression" priority="305" aboveAverage="0" equalAverage="0" bottom="0" percent="0" rank="0" text="" dxfId="0">
      <formula>AND(ISNUMBER(H5),H5&gt;Settings!$C$4)</formula>
    </cfRule>
    <cfRule type="expression" priority="306" aboveAverage="0" equalAverage="0" bottom="0" percent="0" rank="0" text="" dxfId="1">
      <formula>AND(ISNUMBER(H5),H5&lt;-Settings!$C$4)</formula>
    </cfRule>
    <cfRule type="expression" priority="307" aboveAverage="0" equalAverage="0" bottom="0" percent="0" rank="0" text="" dxfId="2">
      <formula>AND(ISNUMBER(H5),ABS(H5)&lt;=Settings!$C$4)</formula>
    </cfRule>
    <cfRule type="expression" priority="308" aboveAverage="0" equalAverage="0" bottom="0" percent="0" rank="0" text="" dxfId="0">
      <formula>AND(ISNUMBER(H5),H5&gt;Settings!$C$4)</formula>
    </cfRule>
    <cfRule type="expression" priority="309" aboveAverage="0" equalAverage="0" bottom="0" percent="0" rank="0" text="" dxfId="1">
      <formula>AND(ISNUMBER(H5),H5&lt;-Settings!$C$4)</formula>
    </cfRule>
    <cfRule type="expression" priority="310" aboveAverage="0" equalAverage="0" bottom="0" percent="0" rank="0" text="" dxfId="2">
      <formula>AND(ISNUMBER(H5),ABS(H5)&lt;=Settings!$C$4)</formula>
    </cfRule>
    <cfRule type="expression" priority="311" aboveAverage="0" equalAverage="0" bottom="0" percent="0" rank="0" text="" dxfId="0">
      <formula>AND(ISNUMBER(H5),H5&gt;Settings!$C$4)</formula>
    </cfRule>
    <cfRule type="expression" priority="312" aboveAverage="0" equalAverage="0" bottom="0" percent="0" rank="0" text="" dxfId="1">
      <formula>AND(ISNUMBER(H5),H5&lt;-Settings!$C$4)</formula>
    </cfRule>
    <cfRule type="expression" priority="313" aboveAverage="0" equalAverage="0" bottom="0" percent="0" rank="0" text="" dxfId="2">
      <formula>AND(ISNUMBER(H5),ABS(H5)&lt;=Settings!$C$4)</formula>
    </cfRule>
    <cfRule type="expression" priority="314" aboveAverage="0" equalAverage="0" bottom="0" percent="0" rank="0" text="" dxfId="0">
      <formula>AND(ISNUMBER(H5),H5&gt;Settings!$C$4)</formula>
    </cfRule>
    <cfRule type="expression" priority="315" aboveAverage="0" equalAverage="0" bottom="0" percent="0" rank="0" text="" dxfId="1">
      <formula>AND(ISNUMBER(H5),H5&lt;-Settings!$C$4)</formula>
    </cfRule>
    <cfRule type="expression" priority="316" aboveAverage="0" equalAverage="0" bottom="0" percent="0" rank="0" text="" dxfId="2">
      <formula>AND(ISNUMBER(H5),ABS(H5)&lt;=Settings!$C$4)</formula>
    </cfRule>
    <cfRule type="expression" priority="317" aboveAverage="0" equalAverage="0" bottom="0" percent="0" rank="0" text="" dxfId="0">
      <formula>AND(ISNUMBER(H5),H5&gt;Settings!$C$4)</formula>
    </cfRule>
    <cfRule type="expression" priority="318" aboveAverage="0" equalAverage="0" bottom="0" percent="0" rank="0" text="" dxfId="1">
      <formula>AND(ISNUMBER(H5),H5&lt;-Settings!$C$4)</formula>
    </cfRule>
    <cfRule type="expression" priority="319" aboveAverage="0" equalAverage="0" bottom="0" percent="0" rank="0" text="" dxfId="2">
      <formula>AND(ISNUMBER(H5),ABS(H5)&lt;=Settings!$C$4)</formula>
    </cfRule>
    <cfRule type="expression" priority="320" aboveAverage="0" equalAverage="0" bottom="0" percent="0" rank="0" text="" dxfId="0">
      <formula>AND(ISNUMBER(H5),H5&gt;Settings!$C$4)</formula>
    </cfRule>
    <cfRule type="expression" priority="321" aboveAverage="0" equalAverage="0" bottom="0" percent="0" rank="0" text="" dxfId="1">
      <formula>AND(ISNUMBER(H5),H5&lt;-Settings!$C$4)</formula>
    </cfRule>
    <cfRule type="expression" priority="322" aboveAverage="0" equalAverage="0" bottom="0" percent="0" rank="0" text="" dxfId="2">
      <formula>AND(ISNUMBER(H5),ABS(H5)&lt;=Settings!$C$4)</formula>
    </cfRule>
    <cfRule type="expression" priority="323" aboveAverage="0" equalAverage="0" bottom="0" percent="0" rank="0" text="" dxfId="0">
      <formula>AND(ISNUMBER(H5),H5&gt;Settings!$C$4)</formula>
    </cfRule>
    <cfRule type="expression" priority="324" aboveAverage="0" equalAverage="0" bottom="0" percent="0" rank="0" text="" dxfId="1">
      <formula>AND(ISNUMBER(H5),H5&lt;-Settings!$C$4)</formula>
    </cfRule>
    <cfRule type="expression" priority="325" aboveAverage="0" equalAverage="0" bottom="0" percent="0" rank="0" text="" dxfId="2">
      <formula>AND(ISNUMBER(H5),ABS(H5)&lt;=Settings!$C$4)</formula>
    </cfRule>
    <cfRule type="expression" priority="326" aboveAverage="0" equalAverage="0" bottom="0" percent="0" rank="0" text="" dxfId="0">
      <formula>AND(ISNUMBER(H5),H5&gt;Settings!$C$4)</formula>
    </cfRule>
    <cfRule type="expression" priority="327" aboveAverage="0" equalAverage="0" bottom="0" percent="0" rank="0" text="" dxfId="1">
      <formula>AND(ISNUMBER(H5),H5&lt;-Settings!$C$4)</formula>
    </cfRule>
    <cfRule type="expression" priority="328" aboveAverage="0" equalAverage="0" bottom="0" percent="0" rank="0" text="" dxfId="2">
      <formula>AND(ISNUMBER(H5),ABS(H5)&lt;=Settings!$C$4)</formula>
    </cfRule>
    <cfRule type="expression" priority="329" aboveAverage="0" equalAverage="0" bottom="0" percent="0" rank="0" text="" dxfId="0">
      <formula>AND(ISNUMBER(H5),H5&gt;Settings!$C$4)</formula>
    </cfRule>
    <cfRule type="expression" priority="330" aboveAverage="0" equalAverage="0" bottom="0" percent="0" rank="0" text="" dxfId="1">
      <formula>AND(ISNUMBER(H5),H5&lt;-Settings!$C$4)</formula>
    </cfRule>
    <cfRule type="expression" priority="331" aboveAverage="0" equalAverage="0" bottom="0" percent="0" rank="0" text="" dxfId="2">
      <formula>AND(ISNUMBER(H5),ABS(H5)&lt;=Settings!$C$4)</formula>
    </cfRule>
    <cfRule type="expression" priority="332" aboveAverage="0" equalAverage="0" bottom="0" percent="0" rank="0" text="" dxfId="0">
      <formula>AND(ISNUMBER(H5),H5&gt;Settings!$C$4)</formula>
    </cfRule>
    <cfRule type="expression" priority="333" aboveAverage="0" equalAverage="0" bottom="0" percent="0" rank="0" text="" dxfId="1">
      <formula>AND(ISNUMBER(H5),H5&lt;-Settings!$C$4)</formula>
    </cfRule>
    <cfRule type="expression" priority="334" aboveAverage="0" equalAverage="0" bottom="0" percent="0" rank="0" text="" dxfId="2">
      <formula>AND(ISNUMBER(H5),ABS(H5)&lt;=Settings!$C$4)</formula>
    </cfRule>
    <cfRule type="expression" priority="335" aboveAverage="0" equalAverage="0" bottom="0" percent="0" rank="0" text="" dxfId="0">
      <formula>AND(ISNUMBER(H5),H5&gt;Settings!$C$4)</formula>
    </cfRule>
    <cfRule type="expression" priority="336" aboveAverage="0" equalAverage="0" bottom="0" percent="0" rank="0" text="" dxfId="1">
      <formula>AND(ISNUMBER(H5),H5&lt;-Settings!$C$4)</formula>
    </cfRule>
    <cfRule type="expression" priority="337" aboveAverage="0" equalAverage="0" bottom="0" percent="0" rank="0" text="" dxfId="2">
      <formula>AND(ISNUMBER(H5),ABS(H5)&lt;=Settings!$C$4)</formula>
    </cfRule>
    <cfRule type="expression" priority="338" aboveAverage="0" equalAverage="0" bottom="0" percent="0" rank="0" text="" dxfId="0">
      <formula>AND(ISNUMBER(H5),H5&gt;Settings!$C$4)</formula>
    </cfRule>
    <cfRule type="expression" priority="339" aboveAverage="0" equalAverage="0" bottom="0" percent="0" rank="0" text="" dxfId="1">
      <formula>AND(ISNUMBER(H5),H5&lt;-Settings!$C$4)</formula>
    </cfRule>
    <cfRule type="expression" priority="340" aboveAverage="0" equalAverage="0" bottom="0" percent="0" rank="0" text="" dxfId="2">
      <formula>AND(ISNUMBER(H5),ABS(H5)&lt;=Settings!$C$4)</formula>
    </cfRule>
    <cfRule type="expression" priority="341" aboveAverage="0" equalAverage="0" bottom="0" percent="0" rank="0" text="" dxfId="0">
      <formula>AND(ISNUMBER(H5),H5&gt;Settings!$C$4)</formula>
    </cfRule>
    <cfRule type="expression" priority="342" aboveAverage="0" equalAverage="0" bottom="0" percent="0" rank="0" text="" dxfId="1">
      <formula>AND(ISNUMBER(H5),H5&lt;-Settings!$C$4)</formula>
    </cfRule>
    <cfRule type="expression" priority="343" aboveAverage="0" equalAverage="0" bottom="0" percent="0" rank="0" text="" dxfId="2">
      <formula>AND(ISNUMBER(H5),ABS(H5)&lt;=Settings!$C$4)</formula>
    </cfRule>
    <cfRule type="expression" priority="344" aboveAverage="0" equalAverage="0" bottom="0" percent="0" rank="0" text="" dxfId="0">
      <formula>AND(ISNUMBER(H5),H5&gt;Settings!$C$4)</formula>
    </cfRule>
    <cfRule type="expression" priority="345" aboveAverage="0" equalAverage="0" bottom="0" percent="0" rank="0" text="" dxfId="1">
      <formula>AND(ISNUMBER(H5),H5&lt;-Settings!$C$4)</formula>
    </cfRule>
    <cfRule type="expression" priority="346" aboveAverage="0" equalAverage="0" bottom="0" percent="0" rank="0" text="" dxfId="2">
      <formula>AND(ISNUMBER(H5),ABS(H5)&lt;=Settings!$C$4)</formula>
    </cfRule>
    <cfRule type="expression" priority="347" aboveAverage="0" equalAverage="0" bottom="0" percent="0" rank="0" text="" dxfId="0">
      <formula>AND(ISNUMBER(H5),H5&gt;Settings!$C$4)</formula>
    </cfRule>
    <cfRule type="expression" priority="348" aboveAverage="0" equalAverage="0" bottom="0" percent="0" rank="0" text="" dxfId="1">
      <formula>AND(ISNUMBER(H5),H5&lt;-Settings!$C$4)</formula>
    </cfRule>
    <cfRule type="expression" priority="349" aboveAverage="0" equalAverage="0" bottom="0" percent="0" rank="0" text="" dxfId="2">
      <formula>AND(ISNUMBER(H5),ABS(H5)&lt;=Settings!$C$4)</formula>
    </cfRule>
    <cfRule type="expression" priority="350" aboveAverage="0" equalAverage="0" bottom="0" percent="0" rank="0" text="" dxfId="0">
      <formula>AND(ISNUMBER(H5),H5&gt;Settings!$C$4)</formula>
    </cfRule>
    <cfRule type="expression" priority="351" aboveAverage="0" equalAverage="0" bottom="0" percent="0" rank="0" text="" dxfId="1">
      <formula>AND(ISNUMBER(H5),H5&lt;-Settings!$C$4)</formula>
    </cfRule>
    <cfRule type="expression" priority="352" aboveAverage="0" equalAverage="0" bottom="0" percent="0" rank="0" text="" dxfId="2">
      <formula>AND(ISNUMBER(H5),ABS(H5)&lt;=Settings!$C$4)</formula>
    </cfRule>
    <cfRule type="expression" priority="353" aboveAverage="0" equalAverage="0" bottom="0" percent="0" rank="0" text="" dxfId="0">
      <formula>AND(ISNUMBER(H5),H5&gt;Settings!$C$4)</formula>
    </cfRule>
    <cfRule type="expression" priority="354" aboveAverage="0" equalAverage="0" bottom="0" percent="0" rank="0" text="" dxfId="1">
      <formula>AND(ISNUMBER(H5),H5&lt;-Settings!$C$4)</formula>
    </cfRule>
    <cfRule type="expression" priority="355" aboveAverage="0" equalAverage="0" bottom="0" percent="0" rank="0" text="" dxfId="2">
      <formula>AND(ISNUMBER(H5),ABS(H5)&lt;=Settings!$C$4)</formula>
    </cfRule>
    <cfRule type="expression" priority="356" aboveAverage="0" equalAverage="0" bottom="0" percent="0" rank="0" text="" dxfId="0">
      <formula>AND(ISNUMBER(H5),H5&gt;Settings!$C$4)</formula>
    </cfRule>
    <cfRule type="expression" priority="357" aboveAverage="0" equalAverage="0" bottom="0" percent="0" rank="0" text="" dxfId="1">
      <formula>AND(ISNUMBER(H5),H5&lt;-Settings!$C$4)</formula>
    </cfRule>
    <cfRule type="expression" priority="358" aboveAverage="0" equalAverage="0" bottom="0" percent="0" rank="0" text="" dxfId="2">
      <formula>AND(ISNUMBER(H5),ABS(H5)&lt;=Settings!$C$4)</formula>
    </cfRule>
    <cfRule type="expression" priority="359" aboveAverage="0" equalAverage="0" bottom="0" percent="0" rank="0" text="" dxfId="0">
      <formula>AND(ISNUMBER(H5),H5&gt;Settings!$C$4)</formula>
    </cfRule>
    <cfRule type="expression" priority="360" aboveAverage="0" equalAverage="0" bottom="0" percent="0" rank="0" text="" dxfId="1">
      <formula>AND(ISNUMBER(H5),H5&lt;-Settings!$C$4)</formula>
    </cfRule>
    <cfRule type="expression" priority="361" aboveAverage="0" equalAverage="0" bottom="0" percent="0" rank="0" text="" dxfId="2">
      <formula>AND(ISNUMBER(H5),ABS(H5)&lt;=Settings!$C$4)</formula>
    </cfRule>
    <cfRule type="expression" priority="362" aboveAverage="0" equalAverage="0" bottom="0" percent="0" rank="0" text="" dxfId="0">
      <formula>AND(ISNUMBER(H5),H5&gt;Settings!$C$4)</formula>
    </cfRule>
    <cfRule type="expression" priority="363" aboveAverage="0" equalAverage="0" bottom="0" percent="0" rank="0" text="" dxfId="1">
      <formula>AND(ISNUMBER(H5),H5&lt;-Settings!$C$4)</formula>
    </cfRule>
    <cfRule type="expression" priority="364" aboveAverage="0" equalAverage="0" bottom="0" percent="0" rank="0" text="" dxfId="2">
      <formula>AND(ISNUMBER(H5),ABS(H5)&lt;=Settings!$C$4)</formula>
    </cfRule>
    <cfRule type="expression" priority="365" aboveAverage="0" equalAverage="0" bottom="0" percent="0" rank="0" text="" dxfId="0">
      <formula>AND(ISNUMBER(H5),H5&gt;Settings!$C$4)</formula>
    </cfRule>
    <cfRule type="expression" priority="366" aboveAverage="0" equalAverage="0" bottom="0" percent="0" rank="0" text="" dxfId="1">
      <formula>AND(ISNUMBER(H5),H5&lt;-Settings!$C$4)</formula>
    </cfRule>
    <cfRule type="expression" priority="367" aboveAverage="0" equalAverage="0" bottom="0" percent="0" rank="0" text="" dxfId="2">
      <formula>AND(ISNUMBER(H5),ABS(H5)&lt;=Settings!$C$4)</formula>
    </cfRule>
    <cfRule type="expression" priority="368" aboveAverage="0" equalAverage="0" bottom="0" percent="0" rank="0" text="" dxfId="0">
      <formula>AND(ISNUMBER(H5),H5&gt;Settings!$C$4)</formula>
    </cfRule>
    <cfRule type="expression" priority="369" aboveAverage="0" equalAverage="0" bottom="0" percent="0" rank="0" text="" dxfId="1">
      <formula>AND(ISNUMBER(H5),H5&lt;-Settings!$C$4)</formula>
    </cfRule>
    <cfRule type="expression" priority="370" aboveAverage="0" equalAverage="0" bottom="0" percent="0" rank="0" text="" dxfId="2">
      <formula>AND(ISNUMBER(H5),ABS(H5)&lt;=Settings!$C$4)</formula>
    </cfRule>
    <cfRule type="expression" priority="371" aboveAverage="0" equalAverage="0" bottom="0" percent="0" rank="0" text="" dxfId="0">
      <formula>AND(ISNUMBER(H5),H5&gt;Settings!$C$4)</formula>
    </cfRule>
    <cfRule type="expression" priority="372" aboveAverage="0" equalAverage="0" bottom="0" percent="0" rank="0" text="" dxfId="1">
      <formula>AND(ISNUMBER(H5),H5&lt;-Settings!$C$4)</formula>
    </cfRule>
    <cfRule type="expression" priority="373" aboveAverage="0" equalAverage="0" bottom="0" percent="0" rank="0" text="" dxfId="2">
      <formula>AND(ISNUMBER(H5),ABS(H5)&lt;=Settings!$C$4)</formula>
    </cfRule>
    <cfRule type="expression" priority="374" aboveAverage="0" equalAverage="0" bottom="0" percent="0" rank="0" text="" dxfId="0">
      <formula>AND(ISNUMBER(H5),H5&gt;Settings!$C$4)</formula>
    </cfRule>
    <cfRule type="expression" priority="375" aboveAverage="0" equalAverage="0" bottom="0" percent="0" rank="0" text="" dxfId="1">
      <formula>AND(ISNUMBER(H5),H5&lt;-Settings!$C$4)</formula>
    </cfRule>
    <cfRule type="expression" priority="376" aboveAverage="0" equalAverage="0" bottom="0" percent="0" rank="0" text="" dxfId="2">
      <formula>AND(ISNUMBER(H5),ABS(H5)&lt;=Settings!$C$4)</formula>
    </cfRule>
    <cfRule type="expression" priority="377" aboveAverage="0" equalAverage="0" bottom="0" percent="0" rank="0" text="" dxfId="0">
      <formula>AND(ISNUMBER(H5),H5&gt;Settings!$C$4)</formula>
    </cfRule>
    <cfRule type="expression" priority="378" aboveAverage="0" equalAverage="0" bottom="0" percent="0" rank="0" text="" dxfId="1">
      <formula>AND(ISNUMBER(H5),H5&lt;-Settings!$C$4)</formula>
    </cfRule>
    <cfRule type="expression" priority="379" aboveAverage="0" equalAverage="0" bottom="0" percent="0" rank="0" text="" dxfId="2">
      <formula>AND(ISNUMBER(H5),ABS(H5)&lt;=Settings!$C$4)</formula>
    </cfRule>
  </conditionalFormatting>
  <conditionalFormatting sqref="K5:K46">
    <cfRule type="expression" priority="380" aboveAverage="0" equalAverage="0" bottom="0" percent="0" rank="0" text="" dxfId="0">
      <formula>AND(ISNUMBER(K5),K5&gt;Settings!$C$4)</formula>
    </cfRule>
    <cfRule type="expression" priority="381" aboveAverage="0" equalAverage="0" bottom="0" percent="0" rank="0" text="" dxfId="1">
      <formula>AND(ISNUMBER(K5),K5&lt;-Settings!$C$4)</formula>
    </cfRule>
    <cfRule type="expression" priority="382" aboveAverage="0" equalAverage="0" bottom="0" percent="0" rank="0" text="" dxfId="2">
      <formula>AND(ISNUMBER(K5),ABS(K5)&lt;=Settings!$C$4)</formula>
    </cfRule>
    <cfRule type="expression" priority="383" aboveAverage="0" equalAverage="0" bottom="0" percent="0" rank="0" text="" dxfId="0">
      <formula>AND(ISNUMBER(K5),K5&gt;Settings!$C$4)</formula>
    </cfRule>
    <cfRule type="expression" priority="384" aboveAverage="0" equalAverage="0" bottom="0" percent="0" rank="0" text="" dxfId="1">
      <formula>AND(ISNUMBER(K5),K5&lt;-Settings!$C$4)</formula>
    </cfRule>
    <cfRule type="expression" priority="385" aboveAverage="0" equalAverage="0" bottom="0" percent="0" rank="0" text="" dxfId="2">
      <formula>AND(ISNUMBER(K5),ABS(K5)&lt;=Settings!$C$4)</formula>
    </cfRule>
    <cfRule type="expression" priority="386" aboveAverage="0" equalAverage="0" bottom="0" percent="0" rank="0" text="" dxfId="0">
      <formula>AND(ISNUMBER(K5),K5&gt;Settings!$C$4)</formula>
    </cfRule>
    <cfRule type="expression" priority="387" aboveAverage="0" equalAverage="0" bottom="0" percent="0" rank="0" text="" dxfId="1">
      <formula>AND(ISNUMBER(K5),K5&lt;-Settings!$C$4)</formula>
    </cfRule>
    <cfRule type="expression" priority="388" aboveAverage="0" equalAverage="0" bottom="0" percent="0" rank="0" text="" dxfId="2">
      <formula>AND(ISNUMBER(K5),ABS(K5)&lt;=Settings!$C$4)</formula>
    </cfRule>
    <cfRule type="expression" priority="389" aboveAverage="0" equalAverage="0" bottom="0" percent="0" rank="0" text="" dxfId="0">
      <formula>AND(ISNUMBER(K5),K5&gt;Settings!$C$4)</formula>
    </cfRule>
    <cfRule type="expression" priority="390" aboveAverage="0" equalAverage="0" bottom="0" percent="0" rank="0" text="" dxfId="1">
      <formula>AND(ISNUMBER(K5),K5&lt;-Settings!$C$4)</formula>
    </cfRule>
    <cfRule type="expression" priority="391" aboveAverage="0" equalAverage="0" bottom="0" percent="0" rank="0" text="" dxfId="2">
      <formula>AND(ISNUMBER(K5),ABS(K5)&lt;=Settings!$C$4)</formula>
    </cfRule>
    <cfRule type="expression" priority="392" aboveAverage="0" equalAverage="0" bottom="0" percent="0" rank="0" text="" dxfId="0">
      <formula>AND(ISNUMBER(K5),K5&gt;Settings!$C$4)</formula>
    </cfRule>
    <cfRule type="expression" priority="393" aboveAverage="0" equalAverage="0" bottom="0" percent="0" rank="0" text="" dxfId="1">
      <formula>AND(ISNUMBER(K5),K5&lt;-Settings!$C$4)</formula>
    </cfRule>
    <cfRule type="expression" priority="394" aboveAverage="0" equalAverage="0" bottom="0" percent="0" rank="0" text="" dxfId="2">
      <formula>AND(ISNUMBER(K5),ABS(K5)&lt;=Settings!$C$4)</formula>
    </cfRule>
    <cfRule type="expression" priority="395" aboveAverage="0" equalAverage="0" bottom="0" percent="0" rank="0" text="" dxfId="0">
      <formula>AND(ISNUMBER(K5),K5&gt;Settings!$C$4)</formula>
    </cfRule>
    <cfRule type="expression" priority="396" aboveAverage="0" equalAverage="0" bottom="0" percent="0" rank="0" text="" dxfId="1">
      <formula>AND(ISNUMBER(K5),K5&lt;-Settings!$C$4)</formula>
    </cfRule>
    <cfRule type="expression" priority="397" aboveAverage="0" equalAverage="0" bottom="0" percent="0" rank="0" text="" dxfId="2">
      <formula>AND(ISNUMBER(K5),ABS(K5)&lt;=Settings!$C$4)</formula>
    </cfRule>
    <cfRule type="expression" priority="398" aboveAverage="0" equalAverage="0" bottom="0" percent="0" rank="0" text="" dxfId="0">
      <formula>AND(ISNUMBER(K5),K5&gt;Settings!$C$4)</formula>
    </cfRule>
    <cfRule type="expression" priority="399" aboveAverage="0" equalAverage="0" bottom="0" percent="0" rank="0" text="" dxfId="1">
      <formula>AND(ISNUMBER(K5),K5&lt;-Settings!$C$4)</formula>
    </cfRule>
    <cfRule type="expression" priority="400" aboveAverage="0" equalAverage="0" bottom="0" percent="0" rank="0" text="" dxfId="2">
      <formula>AND(ISNUMBER(K5),ABS(K5)&lt;=Settings!$C$4)</formula>
    </cfRule>
    <cfRule type="expression" priority="401" aboveAverage="0" equalAverage="0" bottom="0" percent="0" rank="0" text="" dxfId="0">
      <formula>AND(ISNUMBER(K5),K5&gt;Settings!$C$4)</formula>
    </cfRule>
    <cfRule type="expression" priority="402" aboveAverage="0" equalAverage="0" bottom="0" percent="0" rank="0" text="" dxfId="1">
      <formula>AND(ISNUMBER(K5),K5&lt;-Settings!$C$4)</formula>
    </cfRule>
    <cfRule type="expression" priority="403" aboveAverage="0" equalAverage="0" bottom="0" percent="0" rank="0" text="" dxfId="2">
      <formula>AND(ISNUMBER(K5),ABS(K5)&lt;=Settings!$C$4)</formula>
    </cfRule>
    <cfRule type="expression" priority="404" aboveAverage="0" equalAverage="0" bottom="0" percent="0" rank="0" text="" dxfId="0">
      <formula>AND(ISNUMBER(K5),K5&gt;Settings!$C$4)</formula>
    </cfRule>
    <cfRule type="expression" priority="405" aboveAverage="0" equalAverage="0" bottom="0" percent="0" rank="0" text="" dxfId="1">
      <formula>AND(ISNUMBER(K5),K5&lt;-Settings!$C$4)</formula>
    </cfRule>
    <cfRule type="expression" priority="406" aboveAverage="0" equalAverage="0" bottom="0" percent="0" rank="0" text="" dxfId="2">
      <formula>AND(ISNUMBER(K5),ABS(K5)&lt;=Settings!$C$4)</formula>
    </cfRule>
    <cfRule type="expression" priority="407" aboveAverage="0" equalAverage="0" bottom="0" percent="0" rank="0" text="" dxfId="0">
      <formula>AND(ISNUMBER(K5),K5&gt;Settings!$C$4)</formula>
    </cfRule>
    <cfRule type="expression" priority="408" aboveAverage="0" equalAverage="0" bottom="0" percent="0" rank="0" text="" dxfId="1">
      <formula>AND(ISNUMBER(K5),K5&lt;-Settings!$C$4)</formula>
    </cfRule>
    <cfRule type="expression" priority="409" aboveAverage="0" equalAverage="0" bottom="0" percent="0" rank="0" text="" dxfId="2">
      <formula>AND(ISNUMBER(K5),ABS(K5)&lt;=Settings!$C$4)</formula>
    </cfRule>
    <cfRule type="expression" priority="410" aboveAverage="0" equalAverage="0" bottom="0" percent="0" rank="0" text="" dxfId="0">
      <formula>AND(ISNUMBER(K5),K5&gt;Settings!$C$4)</formula>
    </cfRule>
    <cfRule type="expression" priority="411" aboveAverage="0" equalAverage="0" bottom="0" percent="0" rank="0" text="" dxfId="1">
      <formula>AND(ISNUMBER(K5),K5&lt;-Settings!$C$4)</formula>
    </cfRule>
    <cfRule type="expression" priority="412" aboveAverage="0" equalAverage="0" bottom="0" percent="0" rank="0" text="" dxfId="2">
      <formula>AND(ISNUMBER(K5),ABS(K5)&lt;=Settings!$C$4)</formula>
    </cfRule>
    <cfRule type="expression" priority="413" aboveAverage="0" equalAverage="0" bottom="0" percent="0" rank="0" text="" dxfId="0">
      <formula>AND(ISNUMBER(K5),K5&gt;Settings!$C$4)</formula>
    </cfRule>
    <cfRule type="expression" priority="414" aboveAverage="0" equalAverage="0" bottom="0" percent="0" rank="0" text="" dxfId="1">
      <formula>AND(ISNUMBER(K5),K5&lt;-Settings!$C$4)</formula>
    </cfRule>
    <cfRule type="expression" priority="415" aboveAverage="0" equalAverage="0" bottom="0" percent="0" rank="0" text="" dxfId="2">
      <formula>AND(ISNUMBER(K5),ABS(K5)&lt;=Settings!$C$4)</formula>
    </cfRule>
    <cfRule type="expression" priority="416" aboveAverage="0" equalAverage="0" bottom="0" percent="0" rank="0" text="" dxfId="0">
      <formula>AND(ISNUMBER(K5),K5&gt;Settings!$C$4)</formula>
    </cfRule>
    <cfRule type="expression" priority="417" aboveAverage="0" equalAverage="0" bottom="0" percent="0" rank="0" text="" dxfId="1">
      <formula>AND(ISNUMBER(K5),K5&lt;-Settings!$C$4)</formula>
    </cfRule>
    <cfRule type="expression" priority="418" aboveAverage="0" equalAverage="0" bottom="0" percent="0" rank="0" text="" dxfId="2">
      <formula>AND(ISNUMBER(K5),ABS(K5)&lt;=Settings!$C$4)</formula>
    </cfRule>
    <cfRule type="expression" priority="419" aboveAverage="0" equalAverage="0" bottom="0" percent="0" rank="0" text="" dxfId="0">
      <formula>AND(ISNUMBER(K5),K5&gt;Settings!$C$4)</formula>
    </cfRule>
    <cfRule type="expression" priority="420" aboveAverage="0" equalAverage="0" bottom="0" percent="0" rank="0" text="" dxfId="1">
      <formula>AND(ISNUMBER(K5),K5&lt;-Settings!$C$4)</formula>
    </cfRule>
    <cfRule type="expression" priority="421" aboveAverage="0" equalAverage="0" bottom="0" percent="0" rank="0" text="" dxfId="2">
      <formula>AND(ISNUMBER(K5),ABS(K5)&lt;=Settings!$C$4)</formula>
    </cfRule>
    <cfRule type="expression" priority="422" aboveAverage="0" equalAverage="0" bottom="0" percent="0" rank="0" text="" dxfId="0">
      <formula>AND(ISNUMBER(K5),K5&gt;Settings!$C$4)</formula>
    </cfRule>
    <cfRule type="expression" priority="423" aboveAverage="0" equalAverage="0" bottom="0" percent="0" rank="0" text="" dxfId="1">
      <formula>AND(ISNUMBER(K5),K5&lt;-Settings!$C$4)</formula>
    </cfRule>
    <cfRule type="expression" priority="424" aboveAverage="0" equalAverage="0" bottom="0" percent="0" rank="0" text="" dxfId="2">
      <formula>AND(ISNUMBER(K5),ABS(K5)&lt;=Settings!$C$4)</formula>
    </cfRule>
    <cfRule type="expression" priority="425" aboveAverage="0" equalAverage="0" bottom="0" percent="0" rank="0" text="" dxfId="0">
      <formula>AND(ISNUMBER(K5),K5&gt;Settings!$C$4)</formula>
    </cfRule>
    <cfRule type="expression" priority="426" aboveAverage="0" equalAverage="0" bottom="0" percent="0" rank="0" text="" dxfId="1">
      <formula>AND(ISNUMBER(K5),K5&lt;-Settings!$C$4)</formula>
    </cfRule>
    <cfRule type="expression" priority="427" aboveAverage="0" equalAverage="0" bottom="0" percent="0" rank="0" text="" dxfId="2">
      <formula>AND(ISNUMBER(K5),ABS(K5)&lt;=Settings!$C$4)</formula>
    </cfRule>
    <cfRule type="expression" priority="428" aboveAverage="0" equalAverage="0" bottom="0" percent="0" rank="0" text="" dxfId="0">
      <formula>AND(ISNUMBER(K5),K5&gt;Settings!$C$4)</formula>
    </cfRule>
    <cfRule type="expression" priority="429" aboveAverage="0" equalAverage="0" bottom="0" percent="0" rank="0" text="" dxfId="1">
      <formula>AND(ISNUMBER(K5),K5&lt;-Settings!$C$4)</formula>
    </cfRule>
    <cfRule type="expression" priority="430" aboveAverage="0" equalAverage="0" bottom="0" percent="0" rank="0" text="" dxfId="2">
      <formula>AND(ISNUMBER(K5),ABS(K5)&lt;=Settings!$C$4)</formula>
    </cfRule>
    <cfRule type="expression" priority="431" aboveAverage="0" equalAverage="0" bottom="0" percent="0" rank="0" text="" dxfId="0">
      <formula>AND(ISNUMBER(K5),K5&gt;Settings!$C$4)</formula>
    </cfRule>
    <cfRule type="expression" priority="432" aboveAverage="0" equalAverage="0" bottom="0" percent="0" rank="0" text="" dxfId="1">
      <formula>AND(ISNUMBER(K5),K5&lt;-Settings!$C$4)</formula>
    </cfRule>
    <cfRule type="expression" priority="433" aboveAverage="0" equalAverage="0" bottom="0" percent="0" rank="0" text="" dxfId="2">
      <formula>AND(ISNUMBER(K5),ABS(K5)&lt;=Settings!$C$4)</formula>
    </cfRule>
    <cfRule type="expression" priority="434" aboveAverage="0" equalAverage="0" bottom="0" percent="0" rank="0" text="" dxfId="0">
      <formula>AND(ISNUMBER(K5),K5&gt;Settings!$C$4)</formula>
    </cfRule>
    <cfRule type="expression" priority="435" aboveAverage="0" equalAverage="0" bottom="0" percent="0" rank="0" text="" dxfId="1">
      <formula>AND(ISNUMBER(K5),K5&lt;-Settings!$C$4)</formula>
    </cfRule>
    <cfRule type="expression" priority="436" aboveAverage="0" equalAverage="0" bottom="0" percent="0" rank="0" text="" dxfId="2">
      <formula>AND(ISNUMBER(K5),ABS(K5)&lt;=Settings!$C$4)</formula>
    </cfRule>
    <cfRule type="expression" priority="437" aboveAverage="0" equalAverage="0" bottom="0" percent="0" rank="0" text="" dxfId="0">
      <formula>AND(ISNUMBER(K5),K5&gt;Settings!$C$4)</formula>
    </cfRule>
    <cfRule type="expression" priority="438" aboveAverage="0" equalAverage="0" bottom="0" percent="0" rank="0" text="" dxfId="1">
      <formula>AND(ISNUMBER(K5),K5&lt;-Settings!$C$4)</formula>
    </cfRule>
    <cfRule type="expression" priority="439" aboveAverage="0" equalAverage="0" bottom="0" percent="0" rank="0" text="" dxfId="2">
      <formula>AND(ISNUMBER(K5),ABS(K5)&lt;=Settings!$C$4)</formula>
    </cfRule>
    <cfRule type="expression" priority="440" aboveAverage="0" equalAverage="0" bottom="0" percent="0" rank="0" text="" dxfId="0">
      <formula>AND(ISNUMBER(K5),K5&gt;Settings!$C$4)</formula>
    </cfRule>
    <cfRule type="expression" priority="441" aboveAverage="0" equalAverage="0" bottom="0" percent="0" rank="0" text="" dxfId="1">
      <formula>AND(ISNUMBER(K5),K5&lt;-Settings!$C$4)</formula>
    </cfRule>
    <cfRule type="expression" priority="442" aboveAverage="0" equalAverage="0" bottom="0" percent="0" rank="0" text="" dxfId="2">
      <formula>AND(ISNUMBER(K5),ABS(K5)&lt;=Settings!$C$4)</formula>
    </cfRule>
    <cfRule type="expression" priority="443" aboveAverage="0" equalAverage="0" bottom="0" percent="0" rank="0" text="" dxfId="0">
      <formula>AND(ISNUMBER(K5),K5&gt;Settings!$C$4)</formula>
    </cfRule>
    <cfRule type="expression" priority="444" aboveAverage="0" equalAverage="0" bottom="0" percent="0" rank="0" text="" dxfId="1">
      <formula>AND(ISNUMBER(K5),K5&lt;-Settings!$C$4)</formula>
    </cfRule>
    <cfRule type="expression" priority="445" aboveAverage="0" equalAverage="0" bottom="0" percent="0" rank="0" text="" dxfId="2">
      <formula>AND(ISNUMBER(K5),ABS(K5)&lt;=Settings!$C$4)</formula>
    </cfRule>
    <cfRule type="expression" priority="446" aboveAverage="0" equalAverage="0" bottom="0" percent="0" rank="0" text="" dxfId="0">
      <formula>AND(ISNUMBER(K5),K5&gt;Settings!$C$4)</formula>
    </cfRule>
    <cfRule type="expression" priority="447" aboveAverage="0" equalAverage="0" bottom="0" percent="0" rank="0" text="" dxfId="1">
      <formula>AND(ISNUMBER(K5),K5&lt;-Settings!$C$4)</formula>
    </cfRule>
    <cfRule type="expression" priority="448" aboveAverage="0" equalAverage="0" bottom="0" percent="0" rank="0" text="" dxfId="2">
      <formula>AND(ISNUMBER(K5),ABS(K5)&lt;=Settings!$C$4)</formula>
    </cfRule>
    <cfRule type="expression" priority="449" aboveAverage="0" equalAverage="0" bottom="0" percent="0" rank="0" text="" dxfId="0">
      <formula>AND(ISNUMBER(K5),K5&gt;Settings!$C$4)</formula>
    </cfRule>
    <cfRule type="expression" priority="450" aboveAverage="0" equalAverage="0" bottom="0" percent="0" rank="0" text="" dxfId="1">
      <formula>AND(ISNUMBER(K5),K5&lt;-Settings!$C$4)</formula>
    </cfRule>
    <cfRule type="expression" priority="451" aboveAverage="0" equalAverage="0" bottom="0" percent="0" rank="0" text="" dxfId="2">
      <formula>AND(ISNUMBER(K5),ABS(K5)&lt;=Settings!$C$4)</formula>
    </cfRule>
    <cfRule type="expression" priority="452" aboveAverage="0" equalAverage="0" bottom="0" percent="0" rank="0" text="" dxfId="0">
      <formula>AND(ISNUMBER(K5),K5&gt;Settings!$C$4)</formula>
    </cfRule>
    <cfRule type="expression" priority="453" aboveAverage="0" equalAverage="0" bottom="0" percent="0" rank="0" text="" dxfId="1">
      <formula>AND(ISNUMBER(K5),K5&lt;-Settings!$C$4)</formula>
    </cfRule>
    <cfRule type="expression" priority="454" aboveAverage="0" equalAverage="0" bottom="0" percent="0" rank="0" text="" dxfId="2">
      <formula>AND(ISNUMBER(K5),ABS(K5)&lt;=Settings!$C$4)</formula>
    </cfRule>
    <cfRule type="expression" priority="455" aboveAverage="0" equalAverage="0" bottom="0" percent="0" rank="0" text="" dxfId="0">
      <formula>AND(ISNUMBER(K5),K5&gt;Settings!$C$4)</formula>
    </cfRule>
    <cfRule type="expression" priority="456" aboveAverage="0" equalAverage="0" bottom="0" percent="0" rank="0" text="" dxfId="1">
      <formula>AND(ISNUMBER(K5),K5&lt;-Settings!$C$4)</formula>
    </cfRule>
    <cfRule type="expression" priority="457" aboveAverage="0" equalAverage="0" bottom="0" percent="0" rank="0" text="" dxfId="2">
      <formula>AND(ISNUMBER(K5),ABS(K5)&lt;=Settings!$C$4)</formula>
    </cfRule>
    <cfRule type="expression" priority="458" aboveAverage="0" equalAverage="0" bottom="0" percent="0" rank="0" text="" dxfId="0">
      <formula>AND(ISNUMBER(K5),K5&gt;Settings!$C$4)</formula>
    </cfRule>
    <cfRule type="expression" priority="459" aboveAverage="0" equalAverage="0" bottom="0" percent="0" rank="0" text="" dxfId="1">
      <formula>AND(ISNUMBER(K5),K5&lt;-Settings!$C$4)</formula>
    </cfRule>
    <cfRule type="expression" priority="460" aboveAverage="0" equalAverage="0" bottom="0" percent="0" rank="0" text="" dxfId="2">
      <formula>AND(ISNUMBER(K5),ABS(K5)&lt;=Settings!$C$4)</formula>
    </cfRule>
    <cfRule type="expression" priority="461" aboveAverage="0" equalAverage="0" bottom="0" percent="0" rank="0" text="" dxfId="0">
      <formula>AND(ISNUMBER(K5),K5&gt;Settings!$C$4)</formula>
    </cfRule>
    <cfRule type="expression" priority="462" aboveAverage="0" equalAverage="0" bottom="0" percent="0" rank="0" text="" dxfId="1">
      <formula>AND(ISNUMBER(K5),K5&lt;-Settings!$C$4)</formula>
    </cfRule>
    <cfRule type="expression" priority="463" aboveAverage="0" equalAverage="0" bottom="0" percent="0" rank="0" text="" dxfId="2">
      <formula>AND(ISNUMBER(K5),ABS(K5)&lt;=Settings!$C$4)</formula>
    </cfRule>
    <cfRule type="expression" priority="464" aboveAverage="0" equalAverage="0" bottom="0" percent="0" rank="0" text="" dxfId="0">
      <formula>AND(ISNUMBER(K5),K5&gt;Settings!$C$4)</formula>
    </cfRule>
    <cfRule type="expression" priority="465" aboveAverage="0" equalAverage="0" bottom="0" percent="0" rank="0" text="" dxfId="1">
      <formula>AND(ISNUMBER(K5),K5&lt;-Settings!$C$4)</formula>
    </cfRule>
    <cfRule type="expression" priority="466" aboveAverage="0" equalAverage="0" bottom="0" percent="0" rank="0" text="" dxfId="2">
      <formula>AND(ISNUMBER(K5),ABS(K5)&lt;=Settings!$C$4)</formula>
    </cfRule>
    <cfRule type="expression" priority="467" aboveAverage="0" equalAverage="0" bottom="0" percent="0" rank="0" text="" dxfId="0">
      <formula>AND(ISNUMBER(K5),K5&gt;Settings!$C$4)</formula>
    </cfRule>
    <cfRule type="expression" priority="468" aboveAverage="0" equalAverage="0" bottom="0" percent="0" rank="0" text="" dxfId="1">
      <formula>AND(ISNUMBER(K5),K5&lt;-Settings!$C$4)</formula>
    </cfRule>
    <cfRule type="expression" priority="469" aboveAverage="0" equalAverage="0" bottom="0" percent="0" rank="0" text="" dxfId="2">
      <formula>AND(ISNUMBER(K5),ABS(K5)&lt;=Settings!$C$4)</formula>
    </cfRule>
    <cfRule type="expression" priority="470" aboveAverage="0" equalAverage="0" bottom="0" percent="0" rank="0" text="" dxfId="0">
      <formula>AND(ISNUMBER(K5),K5&gt;Settings!$C$4)</formula>
    </cfRule>
    <cfRule type="expression" priority="471" aboveAverage="0" equalAverage="0" bottom="0" percent="0" rank="0" text="" dxfId="1">
      <formula>AND(ISNUMBER(K5),K5&lt;-Settings!$C$4)</formula>
    </cfRule>
    <cfRule type="expression" priority="472" aboveAverage="0" equalAverage="0" bottom="0" percent="0" rank="0" text="" dxfId="2">
      <formula>AND(ISNUMBER(K5),ABS(K5)&lt;=Settings!$C$4)</formula>
    </cfRule>
    <cfRule type="expression" priority="473" aboveAverage="0" equalAverage="0" bottom="0" percent="0" rank="0" text="" dxfId="0">
      <formula>AND(ISNUMBER(K5),K5&gt;Settings!$C$4)</formula>
    </cfRule>
    <cfRule type="expression" priority="474" aboveAverage="0" equalAverage="0" bottom="0" percent="0" rank="0" text="" dxfId="1">
      <formula>AND(ISNUMBER(K5),K5&lt;-Settings!$C$4)</formula>
    </cfRule>
    <cfRule type="expression" priority="475" aboveAverage="0" equalAverage="0" bottom="0" percent="0" rank="0" text="" dxfId="2">
      <formula>AND(ISNUMBER(K5),ABS(K5)&lt;=Settings!$C$4)</formula>
    </cfRule>
    <cfRule type="expression" priority="476" aboveAverage="0" equalAverage="0" bottom="0" percent="0" rank="0" text="" dxfId="0">
      <formula>AND(ISNUMBER(K5),K5&gt;Settings!$C$4)</formula>
    </cfRule>
    <cfRule type="expression" priority="477" aboveAverage="0" equalAverage="0" bottom="0" percent="0" rank="0" text="" dxfId="1">
      <formula>AND(ISNUMBER(K5),K5&lt;-Settings!$C$4)</formula>
    </cfRule>
    <cfRule type="expression" priority="478" aboveAverage="0" equalAverage="0" bottom="0" percent="0" rank="0" text="" dxfId="2">
      <formula>AND(ISNUMBER(K5),ABS(K5)&lt;=Settings!$C$4)</formula>
    </cfRule>
    <cfRule type="expression" priority="479" aboveAverage="0" equalAverage="0" bottom="0" percent="0" rank="0" text="" dxfId="0">
      <formula>AND(ISNUMBER(K5),K5&gt;Settings!$C$4)</formula>
    </cfRule>
    <cfRule type="expression" priority="480" aboveAverage="0" equalAverage="0" bottom="0" percent="0" rank="0" text="" dxfId="1">
      <formula>AND(ISNUMBER(K5),K5&lt;-Settings!$C$4)</formula>
    </cfRule>
    <cfRule type="expression" priority="481" aboveAverage="0" equalAverage="0" bottom="0" percent="0" rank="0" text="" dxfId="2">
      <formula>AND(ISNUMBER(K5),ABS(K5)&lt;=Settings!$C$4)</formula>
    </cfRule>
    <cfRule type="expression" priority="482" aboveAverage="0" equalAverage="0" bottom="0" percent="0" rank="0" text="" dxfId="0">
      <formula>AND(ISNUMBER(K5),K5&gt;Settings!$C$4)</formula>
    </cfRule>
    <cfRule type="expression" priority="483" aboveAverage="0" equalAverage="0" bottom="0" percent="0" rank="0" text="" dxfId="1">
      <formula>AND(ISNUMBER(K5),K5&lt;-Settings!$C$4)</formula>
    </cfRule>
    <cfRule type="expression" priority="484" aboveAverage="0" equalAverage="0" bottom="0" percent="0" rank="0" text="" dxfId="2">
      <formula>AND(ISNUMBER(K5),ABS(K5)&lt;=Settings!$C$4)</formula>
    </cfRule>
    <cfRule type="expression" priority="485" aboveAverage="0" equalAverage="0" bottom="0" percent="0" rank="0" text="" dxfId="0">
      <formula>AND(ISNUMBER(K5),K5&gt;Settings!$C$4)</formula>
    </cfRule>
    <cfRule type="expression" priority="486" aboveAverage="0" equalAverage="0" bottom="0" percent="0" rank="0" text="" dxfId="1">
      <formula>AND(ISNUMBER(K5),K5&lt;-Settings!$C$4)</formula>
    </cfRule>
    <cfRule type="expression" priority="487" aboveAverage="0" equalAverage="0" bottom="0" percent="0" rank="0" text="" dxfId="2">
      <formula>AND(ISNUMBER(K5),ABS(K5)&lt;=Settings!$C$4)</formula>
    </cfRule>
    <cfRule type="expression" priority="488" aboveAverage="0" equalAverage="0" bottom="0" percent="0" rank="0" text="" dxfId="0">
      <formula>AND(ISNUMBER(K5),K5&gt;Settings!$C$4)</formula>
    </cfRule>
    <cfRule type="expression" priority="489" aboveAverage="0" equalAverage="0" bottom="0" percent="0" rank="0" text="" dxfId="1">
      <formula>AND(ISNUMBER(K5),K5&lt;-Settings!$C$4)</formula>
    </cfRule>
    <cfRule type="expression" priority="490" aboveAverage="0" equalAverage="0" bottom="0" percent="0" rank="0" text="" dxfId="2">
      <formula>AND(ISNUMBER(K5),ABS(K5)&lt;=Settings!$C$4)</formula>
    </cfRule>
    <cfRule type="expression" priority="491" aboveAverage="0" equalAverage="0" bottom="0" percent="0" rank="0" text="" dxfId="0">
      <formula>AND(ISNUMBER(K5),K5&gt;Settings!$C$4)</formula>
    </cfRule>
    <cfRule type="expression" priority="492" aboveAverage="0" equalAverage="0" bottom="0" percent="0" rank="0" text="" dxfId="1">
      <formula>AND(ISNUMBER(K5),K5&lt;-Settings!$C$4)</formula>
    </cfRule>
    <cfRule type="expression" priority="493" aboveAverage="0" equalAverage="0" bottom="0" percent="0" rank="0" text="" dxfId="2">
      <formula>AND(ISNUMBER(K5),ABS(K5)&lt;=Settings!$C$4)</formula>
    </cfRule>
    <cfRule type="expression" priority="494" aboveAverage="0" equalAverage="0" bottom="0" percent="0" rank="0" text="" dxfId="0">
      <formula>AND(ISNUMBER(K5),K5&gt;Settings!$C$4)</formula>
    </cfRule>
    <cfRule type="expression" priority="495" aboveAverage="0" equalAverage="0" bottom="0" percent="0" rank="0" text="" dxfId="1">
      <formula>AND(ISNUMBER(K5),K5&lt;-Settings!$C$4)</formula>
    </cfRule>
    <cfRule type="expression" priority="496" aboveAverage="0" equalAverage="0" bottom="0" percent="0" rank="0" text="" dxfId="2">
      <formula>AND(ISNUMBER(K5),ABS(K5)&lt;=Settings!$C$4)</formula>
    </cfRule>
    <cfRule type="expression" priority="497" aboveAverage="0" equalAverage="0" bottom="0" percent="0" rank="0" text="" dxfId="0">
      <formula>AND(ISNUMBER(K5),K5&gt;Settings!$C$4)</formula>
    </cfRule>
    <cfRule type="expression" priority="498" aboveAverage="0" equalAverage="0" bottom="0" percent="0" rank="0" text="" dxfId="1">
      <formula>AND(ISNUMBER(K5),K5&lt;-Settings!$C$4)</formula>
    </cfRule>
    <cfRule type="expression" priority="499" aboveAverage="0" equalAverage="0" bottom="0" percent="0" rank="0" text="" dxfId="2">
      <formula>AND(ISNUMBER(K5),ABS(K5)&lt;=Settings!$C$4)</formula>
    </cfRule>
    <cfRule type="expression" priority="500" aboveAverage="0" equalAverage="0" bottom="0" percent="0" rank="0" text="" dxfId="0">
      <formula>AND(ISNUMBER(K5),K5&gt;Settings!$C$4)</formula>
    </cfRule>
    <cfRule type="expression" priority="501" aboveAverage="0" equalAverage="0" bottom="0" percent="0" rank="0" text="" dxfId="1">
      <formula>AND(ISNUMBER(K5),K5&lt;-Settings!$C$4)</formula>
    </cfRule>
    <cfRule type="expression" priority="502" aboveAverage="0" equalAverage="0" bottom="0" percent="0" rank="0" text="" dxfId="2">
      <formula>AND(ISNUMBER(K5),ABS(K5)&lt;=Settings!$C$4)</formula>
    </cfRule>
    <cfRule type="expression" priority="503" aboveAverage="0" equalAverage="0" bottom="0" percent="0" rank="0" text="" dxfId="0">
      <formula>AND(ISNUMBER(K5),K5&gt;Settings!$C$4)</formula>
    </cfRule>
    <cfRule type="expression" priority="504" aboveAverage="0" equalAverage="0" bottom="0" percent="0" rank="0" text="" dxfId="1">
      <formula>AND(ISNUMBER(K5),K5&lt;-Settings!$C$4)</formula>
    </cfRule>
    <cfRule type="expression" priority="505" aboveAverage="0" equalAverage="0" bottom="0" percent="0" rank="0" text="" dxfId="2">
      <formula>AND(ISNUMBER(K5),ABS(K5)&lt;=Settings!$C$4)</formula>
    </cfRule>
  </conditionalFormatting>
  <conditionalFormatting sqref="N5:N46">
    <cfRule type="expression" priority="506" aboveAverage="0" equalAverage="0" bottom="0" percent="0" rank="0" text="" dxfId="0">
      <formula>AND(ISNUMBER(N5),N5&gt;Settings!$C$4)</formula>
    </cfRule>
    <cfRule type="expression" priority="507" aboveAverage="0" equalAverage="0" bottom="0" percent="0" rank="0" text="" dxfId="1">
      <formula>AND(ISNUMBER(N5),N5&lt;-Settings!$C$4)</formula>
    </cfRule>
    <cfRule type="expression" priority="508" aboveAverage="0" equalAverage="0" bottom="0" percent="0" rank="0" text="" dxfId="2">
      <formula>AND(ISNUMBER(N5),ABS(N5)&lt;=Settings!$C$4)</formula>
    </cfRule>
    <cfRule type="expression" priority="509" aboveAverage="0" equalAverage="0" bottom="0" percent="0" rank="0" text="" dxfId="0">
      <formula>AND(ISNUMBER(N5),N5&gt;Settings!$C$4)</formula>
    </cfRule>
    <cfRule type="expression" priority="510" aboveAverage="0" equalAverage="0" bottom="0" percent="0" rank="0" text="" dxfId="1">
      <formula>AND(ISNUMBER(N5),N5&lt;-Settings!$C$4)</formula>
    </cfRule>
    <cfRule type="expression" priority="511" aboveAverage="0" equalAverage="0" bottom="0" percent="0" rank="0" text="" dxfId="2">
      <formula>AND(ISNUMBER(N5),ABS(N5)&lt;=Settings!$C$4)</formula>
    </cfRule>
    <cfRule type="expression" priority="512" aboveAverage="0" equalAverage="0" bottom="0" percent="0" rank="0" text="" dxfId="0">
      <formula>AND(ISNUMBER(N5),N5&gt;Settings!$C$4)</formula>
    </cfRule>
    <cfRule type="expression" priority="513" aboveAverage="0" equalAverage="0" bottom="0" percent="0" rank="0" text="" dxfId="1">
      <formula>AND(ISNUMBER(N5),N5&lt;-Settings!$C$4)</formula>
    </cfRule>
    <cfRule type="expression" priority="514" aboveAverage="0" equalAverage="0" bottom="0" percent="0" rank="0" text="" dxfId="2">
      <formula>AND(ISNUMBER(N5),ABS(N5)&lt;=Settings!$C$4)</formula>
    </cfRule>
    <cfRule type="expression" priority="515" aboveAverage="0" equalAverage="0" bottom="0" percent="0" rank="0" text="" dxfId="0">
      <formula>AND(ISNUMBER(N5),N5&gt;Settings!$C$4)</formula>
    </cfRule>
    <cfRule type="expression" priority="516" aboveAverage="0" equalAverage="0" bottom="0" percent="0" rank="0" text="" dxfId="1">
      <formula>AND(ISNUMBER(N5),N5&lt;-Settings!$C$4)</formula>
    </cfRule>
    <cfRule type="expression" priority="517" aboveAverage="0" equalAverage="0" bottom="0" percent="0" rank="0" text="" dxfId="2">
      <formula>AND(ISNUMBER(N5),ABS(N5)&lt;=Settings!$C$4)</formula>
    </cfRule>
    <cfRule type="expression" priority="518" aboveAverage="0" equalAverage="0" bottom="0" percent="0" rank="0" text="" dxfId="0">
      <formula>AND(ISNUMBER(N5),N5&gt;Settings!$C$4)</formula>
    </cfRule>
    <cfRule type="expression" priority="519" aboveAverage="0" equalAverage="0" bottom="0" percent="0" rank="0" text="" dxfId="1">
      <formula>AND(ISNUMBER(N5),N5&lt;-Settings!$C$4)</formula>
    </cfRule>
    <cfRule type="expression" priority="520" aboveAverage="0" equalAverage="0" bottom="0" percent="0" rank="0" text="" dxfId="2">
      <formula>AND(ISNUMBER(N5),ABS(N5)&lt;=Settings!$C$4)</formula>
    </cfRule>
    <cfRule type="expression" priority="521" aboveAverage="0" equalAverage="0" bottom="0" percent="0" rank="0" text="" dxfId="0">
      <formula>AND(ISNUMBER(N5),N5&gt;Settings!$C$4)</formula>
    </cfRule>
    <cfRule type="expression" priority="522" aboveAverage="0" equalAverage="0" bottom="0" percent="0" rank="0" text="" dxfId="1">
      <formula>AND(ISNUMBER(N5),N5&lt;-Settings!$C$4)</formula>
    </cfRule>
    <cfRule type="expression" priority="523" aboveAverage="0" equalAverage="0" bottom="0" percent="0" rank="0" text="" dxfId="2">
      <formula>AND(ISNUMBER(N5),ABS(N5)&lt;=Settings!$C$4)</formula>
    </cfRule>
    <cfRule type="expression" priority="524" aboveAverage="0" equalAverage="0" bottom="0" percent="0" rank="0" text="" dxfId="0">
      <formula>AND(ISNUMBER(N5),N5&gt;Settings!$C$4)</formula>
    </cfRule>
    <cfRule type="expression" priority="525" aboveAverage="0" equalAverage="0" bottom="0" percent="0" rank="0" text="" dxfId="1">
      <formula>AND(ISNUMBER(N5),N5&lt;-Settings!$C$4)</formula>
    </cfRule>
    <cfRule type="expression" priority="526" aboveAverage="0" equalAverage="0" bottom="0" percent="0" rank="0" text="" dxfId="2">
      <formula>AND(ISNUMBER(N5),ABS(N5)&lt;=Settings!$C$4)</formula>
    </cfRule>
    <cfRule type="expression" priority="527" aboveAverage="0" equalAverage="0" bottom="0" percent="0" rank="0" text="" dxfId="0">
      <formula>AND(ISNUMBER(N5),N5&gt;Settings!$C$4)</formula>
    </cfRule>
    <cfRule type="expression" priority="528" aboveAverage="0" equalAverage="0" bottom="0" percent="0" rank="0" text="" dxfId="1">
      <formula>AND(ISNUMBER(N5),N5&lt;-Settings!$C$4)</formula>
    </cfRule>
    <cfRule type="expression" priority="529" aboveAverage="0" equalAverage="0" bottom="0" percent="0" rank="0" text="" dxfId="2">
      <formula>AND(ISNUMBER(N5),ABS(N5)&lt;=Settings!$C$4)</formula>
    </cfRule>
    <cfRule type="expression" priority="530" aboveAverage="0" equalAverage="0" bottom="0" percent="0" rank="0" text="" dxfId="0">
      <formula>AND(ISNUMBER(N5),N5&gt;Settings!$C$4)</formula>
    </cfRule>
    <cfRule type="expression" priority="531" aboveAverage="0" equalAverage="0" bottom="0" percent="0" rank="0" text="" dxfId="1">
      <formula>AND(ISNUMBER(N5),N5&lt;-Settings!$C$4)</formula>
    </cfRule>
    <cfRule type="expression" priority="532" aboveAverage="0" equalAverage="0" bottom="0" percent="0" rank="0" text="" dxfId="2">
      <formula>AND(ISNUMBER(N5),ABS(N5)&lt;=Settings!$C$4)</formula>
    </cfRule>
    <cfRule type="expression" priority="533" aboveAverage="0" equalAverage="0" bottom="0" percent="0" rank="0" text="" dxfId="0">
      <formula>AND(ISNUMBER(N5),N5&gt;Settings!$C$4)</formula>
    </cfRule>
    <cfRule type="expression" priority="534" aboveAverage="0" equalAverage="0" bottom="0" percent="0" rank="0" text="" dxfId="1">
      <formula>AND(ISNUMBER(N5),N5&lt;-Settings!$C$4)</formula>
    </cfRule>
    <cfRule type="expression" priority="535" aboveAverage="0" equalAverage="0" bottom="0" percent="0" rank="0" text="" dxfId="2">
      <formula>AND(ISNUMBER(N5),ABS(N5)&lt;=Settings!$C$4)</formula>
    </cfRule>
    <cfRule type="expression" priority="536" aboveAverage="0" equalAverage="0" bottom="0" percent="0" rank="0" text="" dxfId="0">
      <formula>AND(ISNUMBER(N5),N5&gt;Settings!$C$4)</formula>
    </cfRule>
    <cfRule type="expression" priority="537" aboveAverage="0" equalAverage="0" bottom="0" percent="0" rank="0" text="" dxfId="1">
      <formula>AND(ISNUMBER(N5),N5&lt;-Settings!$C$4)</formula>
    </cfRule>
    <cfRule type="expression" priority="538" aboveAverage="0" equalAverage="0" bottom="0" percent="0" rank="0" text="" dxfId="2">
      <formula>AND(ISNUMBER(N5),ABS(N5)&lt;=Settings!$C$4)</formula>
    </cfRule>
    <cfRule type="expression" priority="539" aboveAverage="0" equalAverage="0" bottom="0" percent="0" rank="0" text="" dxfId="0">
      <formula>AND(ISNUMBER(N5),N5&gt;Settings!$C$4)</formula>
    </cfRule>
    <cfRule type="expression" priority="540" aboveAverage="0" equalAverage="0" bottom="0" percent="0" rank="0" text="" dxfId="1">
      <formula>AND(ISNUMBER(N5),N5&lt;-Settings!$C$4)</formula>
    </cfRule>
    <cfRule type="expression" priority="541" aboveAverage="0" equalAverage="0" bottom="0" percent="0" rank="0" text="" dxfId="2">
      <formula>AND(ISNUMBER(N5),ABS(N5)&lt;=Settings!$C$4)</formula>
    </cfRule>
    <cfRule type="expression" priority="542" aboveAverage="0" equalAverage="0" bottom="0" percent="0" rank="0" text="" dxfId="0">
      <formula>AND(ISNUMBER(N5),N5&gt;Settings!$C$4)</formula>
    </cfRule>
    <cfRule type="expression" priority="543" aboveAverage="0" equalAverage="0" bottom="0" percent="0" rank="0" text="" dxfId="1">
      <formula>AND(ISNUMBER(N5),N5&lt;-Settings!$C$4)</formula>
    </cfRule>
    <cfRule type="expression" priority="544" aboveAverage="0" equalAverage="0" bottom="0" percent="0" rank="0" text="" dxfId="2">
      <formula>AND(ISNUMBER(N5),ABS(N5)&lt;=Settings!$C$4)</formula>
    </cfRule>
    <cfRule type="expression" priority="545" aboveAverage="0" equalAverage="0" bottom="0" percent="0" rank="0" text="" dxfId="0">
      <formula>AND(ISNUMBER(N5),N5&gt;Settings!$C$4)</formula>
    </cfRule>
    <cfRule type="expression" priority="546" aboveAverage="0" equalAverage="0" bottom="0" percent="0" rank="0" text="" dxfId="1">
      <formula>AND(ISNUMBER(N5),N5&lt;-Settings!$C$4)</formula>
    </cfRule>
    <cfRule type="expression" priority="547" aboveAverage="0" equalAverage="0" bottom="0" percent="0" rank="0" text="" dxfId="2">
      <formula>AND(ISNUMBER(N5),ABS(N5)&lt;=Settings!$C$4)</formula>
    </cfRule>
    <cfRule type="expression" priority="548" aboveAverage="0" equalAverage="0" bottom="0" percent="0" rank="0" text="" dxfId="0">
      <formula>AND(ISNUMBER(N5),N5&gt;Settings!$C$4)</formula>
    </cfRule>
    <cfRule type="expression" priority="549" aboveAverage="0" equalAverage="0" bottom="0" percent="0" rank="0" text="" dxfId="1">
      <formula>AND(ISNUMBER(N5),N5&lt;-Settings!$C$4)</formula>
    </cfRule>
    <cfRule type="expression" priority="550" aboveAverage="0" equalAverage="0" bottom="0" percent="0" rank="0" text="" dxfId="2">
      <formula>AND(ISNUMBER(N5),ABS(N5)&lt;=Settings!$C$4)</formula>
    </cfRule>
    <cfRule type="expression" priority="551" aboveAverage="0" equalAverage="0" bottom="0" percent="0" rank="0" text="" dxfId="0">
      <formula>AND(ISNUMBER(N5),N5&gt;Settings!$C$4)</formula>
    </cfRule>
    <cfRule type="expression" priority="552" aboveAverage="0" equalAverage="0" bottom="0" percent="0" rank="0" text="" dxfId="1">
      <formula>AND(ISNUMBER(N5),N5&lt;-Settings!$C$4)</formula>
    </cfRule>
    <cfRule type="expression" priority="553" aboveAverage="0" equalAverage="0" bottom="0" percent="0" rank="0" text="" dxfId="2">
      <formula>AND(ISNUMBER(N5),ABS(N5)&lt;=Settings!$C$4)</formula>
    </cfRule>
    <cfRule type="expression" priority="554" aboveAverage="0" equalAverage="0" bottom="0" percent="0" rank="0" text="" dxfId="0">
      <formula>AND(ISNUMBER(N5),N5&gt;Settings!$C$4)</formula>
    </cfRule>
    <cfRule type="expression" priority="555" aboveAverage="0" equalAverage="0" bottom="0" percent="0" rank="0" text="" dxfId="1">
      <formula>AND(ISNUMBER(N5),N5&lt;-Settings!$C$4)</formula>
    </cfRule>
    <cfRule type="expression" priority="556" aboveAverage="0" equalAverage="0" bottom="0" percent="0" rank="0" text="" dxfId="2">
      <formula>AND(ISNUMBER(N5),ABS(N5)&lt;=Settings!$C$4)</formula>
    </cfRule>
    <cfRule type="expression" priority="557" aboveAverage="0" equalAverage="0" bottom="0" percent="0" rank="0" text="" dxfId="0">
      <formula>AND(ISNUMBER(N5),N5&gt;Settings!$C$4)</formula>
    </cfRule>
    <cfRule type="expression" priority="558" aboveAverage="0" equalAverage="0" bottom="0" percent="0" rank="0" text="" dxfId="1">
      <formula>AND(ISNUMBER(N5),N5&lt;-Settings!$C$4)</formula>
    </cfRule>
    <cfRule type="expression" priority="559" aboveAverage="0" equalAverage="0" bottom="0" percent="0" rank="0" text="" dxfId="2">
      <formula>AND(ISNUMBER(N5),ABS(N5)&lt;=Settings!$C$4)</formula>
    </cfRule>
    <cfRule type="expression" priority="560" aboveAverage="0" equalAverage="0" bottom="0" percent="0" rank="0" text="" dxfId="0">
      <formula>AND(ISNUMBER(N5),N5&gt;Settings!$C$4)</formula>
    </cfRule>
    <cfRule type="expression" priority="561" aboveAverage="0" equalAverage="0" bottom="0" percent="0" rank="0" text="" dxfId="1">
      <formula>AND(ISNUMBER(N5),N5&lt;-Settings!$C$4)</formula>
    </cfRule>
    <cfRule type="expression" priority="562" aboveAverage="0" equalAverage="0" bottom="0" percent="0" rank="0" text="" dxfId="2">
      <formula>AND(ISNUMBER(N5),ABS(N5)&lt;=Settings!$C$4)</formula>
    </cfRule>
    <cfRule type="expression" priority="563" aboveAverage="0" equalAverage="0" bottom="0" percent="0" rank="0" text="" dxfId="0">
      <formula>AND(ISNUMBER(N5),N5&gt;Settings!$C$4)</formula>
    </cfRule>
    <cfRule type="expression" priority="564" aboveAverage="0" equalAverage="0" bottom="0" percent="0" rank="0" text="" dxfId="1">
      <formula>AND(ISNUMBER(N5),N5&lt;-Settings!$C$4)</formula>
    </cfRule>
    <cfRule type="expression" priority="565" aboveAverage="0" equalAverage="0" bottom="0" percent="0" rank="0" text="" dxfId="2">
      <formula>AND(ISNUMBER(N5),ABS(N5)&lt;=Settings!$C$4)</formula>
    </cfRule>
    <cfRule type="expression" priority="566" aboveAverage="0" equalAverage="0" bottom="0" percent="0" rank="0" text="" dxfId="0">
      <formula>AND(ISNUMBER(N5),N5&gt;Settings!$C$4)</formula>
    </cfRule>
    <cfRule type="expression" priority="567" aboveAverage="0" equalAverage="0" bottom="0" percent="0" rank="0" text="" dxfId="1">
      <formula>AND(ISNUMBER(N5),N5&lt;-Settings!$C$4)</formula>
    </cfRule>
    <cfRule type="expression" priority="568" aboveAverage="0" equalAverage="0" bottom="0" percent="0" rank="0" text="" dxfId="2">
      <formula>AND(ISNUMBER(N5),ABS(N5)&lt;=Settings!$C$4)</formula>
    </cfRule>
    <cfRule type="expression" priority="569" aboveAverage="0" equalAverage="0" bottom="0" percent="0" rank="0" text="" dxfId="0">
      <formula>AND(ISNUMBER(N5),N5&gt;Settings!$C$4)</formula>
    </cfRule>
    <cfRule type="expression" priority="570" aboveAverage="0" equalAverage="0" bottom="0" percent="0" rank="0" text="" dxfId="1">
      <formula>AND(ISNUMBER(N5),N5&lt;-Settings!$C$4)</formula>
    </cfRule>
    <cfRule type="expression" priority="571" aboveAverage="0" equalAverage="0" bottom="0" percent="0" rank="0" text="" dxfId="2">
      <formula>AND(ISNUMBER(N5),ABS(N5)&lt;=Settings!$C$4)</formula>
    </cfRule>
    <cfRule type="expression" priority="572" aboveAverage="0" equalAverage="0" bottom="0" percent="0" rank="0" text="" dxfId="0">
      <formula>AND(ISNUMBER(N5),N5&gt;Settings!$C$4)</formula>
    </cfRule>
    <cfRule type="expression" priority="573" aboveAverage="0" equalAverage="0" bottom="0" percent="0" rank="0" text="" dxfId="1">
      <formula>AND(ISNUMBER(N5),N5&lt;-Settings!$C$4)</formula>
    </cfRule>
    <cfRule type="expression" priority="574" aboveAverage="0" equalAverage="0" bottom="0" percent="0" rank="0" text="" dxfId="2">
      <formula>AND(ISNUMBER(N5),ABS(N5)&lt;=Settings!$C$4)</formula>
    </cfRule>
    <cfRule type="expression" priority="575" aboveAverage="0" equalAverage="0" bottom="0" percent="0" rank="0" text="" dxfId="0">
      <formula>AND(ISNUMBER(N5),N5&gt;Settings!$C$4)</formula>
    </cfRule>
    <cfRule type="expression" priority="576" aboveAverage="0" equalAverage="0" bottom="0" percent="0" rank="0" text="" dxfId="1">
      <formula>AND(ISNUMBER(N5),N5&lt;-Settings!$C$4)</formula>
    </cfRule>
    <cfRule type="expression" priority="577" aboveAverage="0" equalAverage="0" bottom="0" percent="0" rank="0" text="" dxfId="2">
      <formula>AND(ISNUMBER(N5),ABS(N5)&lt;=Settings!$C$4)</formula>
    </cfRule>
    <cfRule type="expression" priority="578" aboveAverage="0" equalAverage="0" bottom="0" percent="0" rank="0" text="" dxfId="0">
      <formula>AND(ISNUMBER(N5),N5&gt;Settings!$C$4)</formula>
    </cfRule>
    <cfRule type="expression" priority="579" aboveAverage="0" equalAverage="0" bottom="0" percent="0" rank="0" text="" dxfId="1">
      <formula>AND(ISNUMBER(N5),N5&lt;-Settings!$C$4)</formula>
    </cfRule>
    <cfRule type="expression" priority="580" aboveAverage="0" equalAverage="0" bottom="0" percent="0" rank="0" text="" dxfId="2">
      <formula>AND(ISNUMBER(N5),ABS(N5)&lt;=Settings!$C$4)</formula>
    </cfRule>
    <cfRule type="expression" priority="581" aboveAverage="0" equalAverage="0" bottom="0" percent="0" rank="0" text="" dxfId="0">
      <formula>AND(ISNUMBER(N5),N5&gt;Settings!$C$4)</formula>
    </cfRule>
    <cfRule type="expression" priority="582" aboveAverage="0" equalAverage="0" bottom="0" percent="0" rank="0" text="" dxfId="1">
      <formula>AND(ISNUMBER(N5),N5&lt;-Settings!$C$4)</formula>
    </cfRule>
    <cfRule type="expression" priority="583" aboveAverage="0" equalAverage="0" bottom="0" percent="0" rank="0" text="" dxfId="2">
      <formula>AND(ISNUMBER(N5),ABS(N5)&lt;=Settings!$C$4)</formula>
    </cfRule>
    <cfRule type="expression" priority="584" aboveAverage="0" equalAverage="0" bottom="0" percent="0" rank="0" text="" dxfId="0">
      <formula>AND(ISNUMBER(N5),N5&gt;Settings!$C$4)</formula>
    </cfRule>
    <cfRule type="expression" priority="585" aboveAverage="0" equalAverage="0" bottom="0" percent="0" rank="0" text="" dxfId="1">
      <formula>AND(ISNUMBER(N5),N5&lt;-Settings!$C$4)</formula>
    </cfRule>
    <cfRule type="expression" priority="586" aboveAverage="0" equalAverage="0" bottom="0" percent="0" rank="0" text="" dxfId="2">
      <formula>AND(ISNUMBER(N5),ABS(N5)&lt;=Settings!$C$4)</formula>
    </cfRule>
    <cfRule type="expression" priority="587" aboveAverage="0" equalAverage="0" bottom="0" percent="0" rank="0" text="" dxfId="0">
      <formula>AND(ISNUMBER(N5),N5&gt;Settings!$C$4)</formula>
    </cfRule>
    <cfRule type="expression" priority="588" aboveAverage="0" equalAverage="0" bottom="0" percent="0" rank="0" text="" dxfId="1">
      <formula>AND(ISNUMBER(N5),N5&lt;-Settings!$C$4)</formula>
    </cfRule>
    <cfRule type="expression" priority="589" aboveAverage="0" equalAverage="0" bottom="0" percent="0" rank="0" text="" dxfId="2">
      <formula>AND(ISNUMBER(N5),ABS(N5)&lt;=Settings!$C$4)</formula>
    </cfRule>
    <cfRule type="expression" priority="590" aboveAverage="0" equalAverage="0" bottom="0" percent="0" rank="0" text="" dxfId="0">
      <formula>AND(ISNUMBER(N5),N5&gt;Settings!$C$4)</formula>
    </cfRule>
    <cfRule type="expression" priority="591" aboveAverage="0" equalAverage="0" bottom="0" percent="0" rank="0" text="" dxfId="1">
      <formula>AND(ISNUMBER(N5),N5&lt;-Settings!$C$4)</formula>
    </cfRule>
    <cfRule type="expression" priority="592" aboveAverage="0" equalAverage="0" bottom="0" percent="0" rank="0" text="" dxfId="2">
      <formula>AND(ISNUMBER(N5),ABS(N5)&lt;=Settings!$C$4)</formula>
    </cfRule>
    <cfRule type="expression" priority="593" aboveAverage="0" equalAverage="0" bottom="0" percent="0" rank="0" text="" dxfId="0">
      <formula>AND(ISNUMBER(N5),N5&gt;Settings!$C$4)</formula>
    </cfRule>
    <cfRule type="expression" priority="594" aboveAverage="0" equalAverage="0" bottom="0" percent="0" rank="0" text="" dxfId="1">
      <formula>AND(ISNUMBER(N5),N5&lt;-Settings!$C$4)</formula>
    </cfRule>
    <cfRule type="expression" priority="595" aboveAverage="0" equalAverage="0" bottom="0" percent="0" rank="0" text="" dxfId="2">
      <formula>AND(ISNUMBER(N5),ABS(N5)&lt;=Settings!$C$4)</formula>
    </cfRule>
    <cfRule type="expression" priority="596" aboveAverage="0" equalAverage="0" bottom="0" percent="0" rank="0" text="" dxfId="0">
      <formula>AND(ISNUMBER(N5),N5&gt;Settings!$C$4)</formula>
    </cfRule>
    <cfRule type="expression" priority="597" aboveAverage="0" equalAverage="0" bottom="0" percent="0" rank="0" text="" dxfId="1">
      <formula>AND(ISNUMBER(N5),N5&lt;-Settings!$C$4)</formula>
    </cfRule>
    <cfRule type="expression" priority="598" aboveAverage="0" equalAverage="0" bottom="0" percent="0" rank="0" text="" dxfId="2">
      <formula>AND(ISNUMBER(N5),ABS(N5)&lt;=Settings!$C$4)</formula>
    </cfRule>
    <cfRule type="expression" priority="599" aboveAverage="0" equalAverage="0" bottom="0" percent="0" rank="0" text="" dxfId="0">
      <formula>AND(ISNUMBER(N5),N5&gt;Settings!$C$4)</formula>
    </cfRule>
    <cfRule type="expression" priority="600" aboveAverage="0" equalAverage="0" bottom="0" percent="0" rank="0" text="" dxfId="1">
      <formula>AND(ISNUMBER(N5),N5&lt;-Settings!$C$4)</formula>
    </cfRule>
    <cfRule type="expression" priority="601" aboveAverage="0" equalAverage="0" bottom="0" percent="0" rank="0" text="" dxfId="2">
      <formula>AND(ISNUMBER(N5),ABS(N5)&lt;=Settings!$C$4)</formula>
    </cfRule>
    <cfRule type="expression" priority="602" aboveAverage="0" equalAverage="0" bottom="0" percent="0" rank="0" text="" dxfId="0">
      <formula>AND(ISNUMBER(N5),N5&gt;Settings!$C$4)</formula>
    </cfRule>
    <cfRule type="expression" priority="603" aboveAverage="0" equalAverage="0" bottom="0" percent="0" rank="0" text="" dxfId="1">
      <formula>AND(ISNUMBER(N5),N5&lt;-Settings!$C$4)</formula>
    </cfRule>
    <cfRule type="expression" priority="604" aboveAverage="0" equalAverage="0" bottom="0" percent="0" rank="0" text="" dxfId="2">
      <formula>AND(ISNUMBER(N5),ABS(N5)&lt;=Settings!$C$4)</formula>
    </cfRule>
    <cfRule type="expression" priority="605" aboveAverage="0" equalAverage="0" bottom="0" percent="0" rank="0" text="" dxfId="0">
      <formula>AND(ISNUMBER(N5),N5&gt;Settings!$C$4)</formula>
    </cfRule>
    <cfRule type="expression" priority="606" aboveAverage="0" equalAverage="0" bottom="0" percent="0" rank="0" text="" dxfId="1">
      <formula>AND(ISNUMBER(N5),N5&lt;-Settings!$C$4)</formula>
    </cfRule>
    <cfRule type="expression" priority="607" aboveAverage="0" equalAverage="0" bottom="0" percent="0" rank="0" text="" dxfId="2">
      <formula>AND(ISNUMBER(N5),ABS(N5)&lt;=Settings!$C$4)</formula>
    </cfRule>
    <cfRule type="expression" priority="608" aboveAverage="0" equalAverage="0" bottom="0" percent="0" rank="0" text="" dxfId="0">
      <formula>AND(ISNUMBER(N5),N5&gt;Settings!$C$4)</formula>
    </cfRule>
    <cfRule type="expression" priority="609" aboveAverage="0" equalAverage="0" bottom="0" percent="0" rank="0" text="" dxfId="1">
      <formula>AND(ISNUMBER(N5),N5&lt;-Settings!$C$4)</formula>
    </cfRule>
    <cfRule type="expression" priority="610" aboveAverage="0" equalAverage="0" bottom="0" percent="0" rank="0" text="" dxfId="2">
      <formula>AND(ISNUMBER(N5),ABS(N5)&lt;=Settings!$C$4)</formula>
    </cfRule>
    <cfRule type="expression" priority="611" aboveAverage="0" equalAverage="0" bottom="0" percent="0" rank="0" text="" dxfId="0">
      <formula>AND(ISNUMBER(N5),N5&gt;Settings!$C$4)</formula>
    </cfRule>
    <cfRule type="expression" priority="612" aboveAverage="0" equalAverage="0" bottom="0" percent="0" rank="0" text="" dxfId="1">
      <formula>AND(ISNUMBER(N5),N5&lt;-Settings!$C$4)</formula>
    </cfRule>
    <cfRule type="expression" priority="613" aboveAverage="0" equalAverage="0" bottom="0" percent="0" rank="0" text="" dxfId="2">
      <formula>AND(ISNUMBER(N5),ABS(N5)&lt;=Settings!$C$4)</formula>
    </cfRule>
    <cfRule type="expression" priority="614" aboveAverage="0" equalAverage="0" bottom="0" percent="0" rank="0" text="" dxfId="0">
      <formula>AND(ISNUMBER(N5),N5&gt;Settings!$C$4)</formula>
    </cfRule>
    <cfRule type="expression" priority="615" aboveAverage="0" equalAverage="0" bottom="0" percent="0" rank="0" text="" dxfId="1">
      <formula>AND(ISNUMBER(N5),N5&lt;-Settings!$C$4)</formula>
    </cfRule>
    <cfRule type="expression" priority="616" aboveAverage="0" equalAverage="0" bottom="0" percent="0" rank="0" text="" dxfId="2">
      <formula>AND(ISNUMBER(N5),ABS(N5)&lt;=Settings!$C$4)</formula>
    </cfRule>
    <cfRule type="expression" priority="617" aboveAverage="0" equalAverage="0" bottom="0" percent="0" rank="0" text="" dxfId="0">
      <formula>AND(ISNUMBER(N5),N5&gt;Settings!$C$4)</formula>
    </cfRule>
    <cfRule type="expression" priority="618" aboveAverage="0" equalAverage="0" bottom="0" percent="0" rank="0" text="" dxfId="1">
      <formula>AND(ISNUMBER(N5),N5&lt;-Settings!$C$4)</formula>
    </cfRule>
    <cfRule type="expression" priority="619" aboveAverage="0" equalAverage="0" bottom="0" percent="0" rank="0" text="" dxfId="2">
      <formula>AND(ISNUMBER(N5),ABS(N5)&lt;=Settings!$C$4)</formula>
    </cfRule>
    <cfRule type="expression" priority="620" aboveAverage="0" equalAverage="0" bottom="0" percent="0" rank="0" text="" dxfId="0">
      <formula>AND(ISNUMBER(N5),N5&gt;Settings!$C$4)</formula>
    </cfRule>
    <cfRule type="expression" priority="621" aboveAverage="0" equalAverage="0" bottom="0" percent="0" rank="0" text="" dxfId="1">
      <formula>AND(ISNUMBER(N5),N5&lt;-Settings!$C$4)</formula>
    </cfRule>
    <cfRule type="expression" priority="622" aboveAverage="0" equalAverage="0" bottom="0" percent="0" rank="0" text="" dxfId="2">
      <formula>AND(ISNUMBER(N5),ABS(N5)&lt;=Settings!$C$4)</formula>
    </cfRule>
    <cfRule type="expression" priority="623" aboveAverage="0" equalAverage="0" bottom="0" percent="0" rank="0" text="" dxfId="0">
      <formula>AND(ISNUMBER(N5),N5&gt;Settings!$C$4)</formula>
    </cfRule>
    <cfRule type="expression" priority="624" aboveAverage="0" equalAverage="0" bottom="0" percent="0" rank="0" text="" dxfId="1">
      <formula>AND(ISNUMBER(N5),N5&lt;-Settings!$C$4)</formula>
    </cfRule>
    <cfRule type="expression" priority="625" aboveAverage="0" equalAverage="0" bottom="0" percent="0" rank="0" text="" dxfId="2">
      <formula>AND(ISNUMBER(N5),ABS(N5)&lt;=Settings!$C$4)</formula>
    </cfRule>
    <cfRule type="expression" priority="626" aboveAverage="0" equalAverage="0" bottom="0" percent="0" rank="0" text="" dxfId="0">
      <formula>AND(ISNUMBER(N5),N5&gt;Settings!$C$4)</formula>
    </cfRule>
    <cfRule type="expression" priority="627" aboveAverage="0" equalAverage="0" bottom="0" percent="0" rank="0" text="" dxfId="1">
      <formula>AND(ISNUMBER(N5),N5&lt;-Settings!$C$4)</formula>
    </cfRule>
    <cfRule type="expression" priority="628" aboveAverage="0" equalAverage="0" bottom="0" percent="0" rank="0" text="" dxfId="2">
      <formula>AND(ISNUMBER(N5),ABS(N5)&lt;=Settings!$C$4)</formula>
    </cfRule>
    <cfRule type="expression" priority="629" aboveAverage="0" equalAverage="0" bottom="0" percent="0" rank="0" text="" dxfId="0">
      <formula>AND(ISNUMBER(N5),N5&gt;Settings!$C$4)</formula>
    </cfRule>
    <cfRule type="expression" priority="630" aboveAverage="0" equalAverage="0" bottom="0" percent="0" rank="0" text="" dxfId="1">
      <formula>AND(ISNUMBER(N5),N5&lt;-Settings!$C$4)</formula>
    </cfRule>
    <cfRule type="expression" priority="631" aboveAverage="0" equalAverage="0" bottom="0" percent="0" rank="0" text="" dxfId="2">
      <formula>AND(ISNUMBER(N5),ABS(N5)&lt;=Settings!$C$4)</formula>
    </cfRule>
  </conditionalFormatting>
  <conditionalFormatting sqref="Q5:Q46">
    <cfRule type="expression" priority="632" aboveAverage="0" equalAverage="0" bottom="0" percent="0" rank="0" text="" dxfId="0">
      <formula>AND(ISNUMBER(Q5),Q5&gt;Settings!$C$4)</formula>
    </cfRule>
    <cfRule type="expression" priority="633" aboveAverage="0" equalAverage="0" bottom="0" percent="0" rank="0" text="" dxfId="1">
      <formula>AND(ISNUMBER(Q5),Q5&lt;-Settings!$C$4)</formula>
    </cfRule>
    <cfRule type="expression" priority="634" aboveAverage="0" equalAverage="0" bottom="0" percent="0" rank="0" text="" dxfId="2">
      <formula>AND(ISNUMBER(Q5),ABS(Q5)&lt;=Settings!$C$4)</formula>
    </cfRule>
    <cfRule type="expression" priority="635" aboveAverage="0" equalAverage="0" bottom="0" percent="0" rank="0" text="" dxfId="0">
      <formula>AND(ISNUMBER(Q5),Q5&gt;Settings!$C$4)</formula>
    </cfRule>
    <cfRule type="expression" priority="636" aboveAverage="0" equalAverage="0" bottom="0" percent="0" rank="0" text="" dxfId="1">
      <formula>AND(ISNUMBER(Q5),Q5&lt;-Settings!$C$4)</formula>
    </cfRule>
    <cfRule type="expression" priority="637" aboveAverage="0" equalAverage="0" bottom="0" percent="0" rank="0" text="" dxfId="2">
      <formula>AND(ISNUMBER(Q5),ABS(Q5)&lt;=Settings!$C$4)</formula>
    </cfRule>
    <cfRule type="expression" priority="638" aboveAverage="0" equalAverage="0" bottom="0" percent="0" rank="0" text="" dxfId="0">
      <formula>AND(ISNUMBER(Q5),Q5&gt;Settings!$C$4)</formula>
    </cfRule>
    <cfRule type="expression" priority="639" aboveAverage="0" equalAverage="0" bottom="0" percent="0" rank="0" text="" dxfId="1">
      <formula>AND(ISNUMBER(Q5),Q5&lt;-Settings!$C$4)</formula>
    </cfRule>
    <cfRule type="expression" priority="640" aboveAverage="0" equalAverage="0" bottom="0" percent="0" rank="0" text="" dxfId="2">
      <formula>AND(ISNUMBER(Q5),ABS(Q5)&lt;=Settings!$C$4)</formula>
    </cfRule>
    <cfRule type="expression" priority="641" aboveAverage="0" equalAverage="0" bottom="0" percent="0" rank="0" text="" dxfId="0">
      <formula>AND(ISNUMBER(Q5),Q5&gt;Settings!$C$4)</formula>
    </cfRule>
    <cfRule type="expression" priority="642" aboveAverage="0" equalAverage="0" bottom="0" percent="0" rank="0" text="" dxfId="1">
      <formula>AND(ISNUMBER(Q5),Q5&lt;-Settings!$C$4)</formula>
    </cfRule>
    <cfRule type="expression" priority="643" aboveAverage="0" equalAverage="0" bottom="0" percent="0" rank="0" text="" dxfId="2">
      <formula>AND(ISNUMBER(Q5),ABS(Q5)&lt;=Settings!$C$4)</formula>
    </cfRule>
    <cfRule type="expression" priority="644" aboveAverage="0" equalAverage="0" bottom="0" percent="0" rank="0" text="" dxfId="0">
      <formula>AND(ISNUMBER(Q5),Q5&gt;Settings!$C$4)</formula>
    </cfRule>
    <cfRule type="expression" priority="645" aboveAverage="0" equalAverage="0" bottom="0" percent="0" rank="0" text="" dxfId="1">
      <formula>AND(ISNUMBER(Q5),Q5&lt;-Settings!$C$4)</formula>
    </cfRule>
    <cfRule type="expression" priority="646" aboveAverage="0" equalAverage="0" bottom="0" percent="0" rank="0" text="" dxfId="2">
      <formula>AND(ISNUMBER(Q5),ABS(Q5)&lt;=Settings!$C$4)</formula>
    </cfRule>
    <cfRule type="expression" priority="647" aboveAverage="0" equalAverage="0" bottom="0" percent="0" rank="0" text="" dxfId="0">
      <formula>AND(ISNUMBER(Q5),Q5&gt;Settings!$C$4)</formula>
    </cfRule>
    <cfRule type="expression" priority="648" aboveAverage="0" equalAverage="0" bottom="0" percent="0" rank="0" text="" dxfId="1">
      <formula>AND(ISNUMBER(Q5),Q5&lt;-Settings!$C$4)</formula>
    </cfRule>
    <cfRule type="expression" priority="649" aboveAverage="0" equalAverage="0" bottom="0" percent="0" rank="0" text="" dxfId="2">
      <formula>AND(ISNUMBER(Q5),ABS(Q5)&lt;=Settings!$C$4)</formula>
    </cfRule>
    <cfRule type="expression" priority="650" aboveAverage="0" equalAverage="0" bottom="0" percent="0" rank="0" text="" dxfId="0">
      <formula>AND(ISNUMBER(Q5),Q5&gt;Settings!$C$4)</formula>
    </cfRule>
    <cfRule type="expression" priority="651" aboveAverage="0" equalAverage="0" bottom="0" percent="0" rank="0" text="" dxfId="1">
      <formula>AND(ISNUMBER(Q5),Q5&lt;-Settings!$C$4)</formula>
    </cfRule>
    <cfRule type="expression" priority="652" aboveAverage="0" equalAverage="0" bottom="0" percent="0" rank="0" text="" dxfId="2">
      <formula>AND(ISNUMBER(Q5),ABS(Q5)&lt;=Settings!$C$4)</formula>
    </cfRule>
    <cfRule type="expression" priority="653" aboveAverage="0" equalAverage="0" bottom="0" percent="0" rank="0" text="" dxfId="0">
      <formula>AND(ISNUMBER(Q5),Q5&gt;Settings!$C$4)</formula>
    </cfRule>
    <cfRule type="expression" priority="654" aboveAverage="0" equalAverage="0" bottom="0" percent="0" rank="0" text="" dxfId="1">
      <formula>AND(ISNUMBER(Q5),Q5&lt;-Settings!$C$4)</formula>
    </cfRule>
    <cfRule type="expression" priority="655" aboveAverage="0" equalAverage="0" bottom="0" percent="0" rank="0" text="" dxfId="2">
      <formula>AND(ISNUMBER(Q5),ABS(Q5)&lt;=Settings!$C$4)</formula>
    </cfRule>
    <cfRule type="expression" priority="656" aboveAverage="0" equalAverage="0" bottom="0" percent="0" rank="0" text="" dxfId="0">
      <formula>AND(ISNUMBER(Q5),Q5&gt;Settings!$C$4)</formula>
    </cfRule>
    <cfRule type="expression" priority="657" aboveAverage="0" equalAverage="0" bottom="0" percent="0" rank="0" text="" dxfId="1">
      <formula>AND(ISNUMBER(Q5),Q5&lt;-Settings!$C$4)</formula>
    </cfRule>
    <cfRule type="expression" priority="658" aboveAverage="0" equalAverage="0" bottom="0" percent="0" rank="0" text="" dxfId="2">
      <formula>AND(ISNUMBER(Q5),ABS(Q5)&lt;=Settings!$C$4)</formula>
    </cfRule>
    <cfRule type="expression" priority="659" aboveAverage="0" equalAverage="0" bottom="0" percent="0" rank="0" text="" dxfId="0">
      <formula>AND(ISNUMBER(Q5),Q5&gt;Settings!$C$4)</formula>
    </cfRule>
    <cfRule type="expression" priority="660" aboveAverage="0" equalAverage="0" bottom="0" percent="0" rank="0" text="" dxfId="1">
      <formula>AND(ISNUMBER(Q5),Q5&lt;-Settings!$C$4)</formula>
    </cfRule>
    <cfRule type="expression" priority="661" aboveAverage="0" equalAverage="0" bottom="0" percent="0" rank="0" text="" dxfId="2">
      <formula>AND(ISNUMBER(Q5),ABS(Q5)&lt;=Settings!$C$4)</formula>
    </cfRule>
    <cfRule type="expression" priority="662" aboveAverage="0" equalAverage="0" bottom="0" percent="0" rank="0" text="" dxfId="0">
      <formula>AND(ISNUMBER(Q5),Q5&gt;Settings!$C$4)</formula>
    </cfRule>
    <cfRule type="expression" priority="663" aboveAverage="0" equalAverage="0" bottom="0" percent="0" rank="0" text="" dxfId="1">
      <formula>AND(ISNUMBER(Q5),Q5&lt;-Settings!$C$4)</formula>
    </cfRule>
    <cfRule type="expression" priority="664" aboveAverage="0" equalAverage="0" bottom="0" percent="0" rank="0" text="" dxfId="2">
      <formula>AND(ISNUMBER(Q5),ABS(Q5)&lt;=Settings!$C$4)</formula>
    </cfRule>
    <cfRule type="expression" priority="665" aboveAverage="0" equalAverage="0" bottom="0" percent="0" rank="0" text="" dxfId="0">
      <formula>AND(ISNUMBER(Q5),Q5&gt;Settings!$C$4)</formula>
    </cfRule>
    <cfRule type="expression" priority="666" aboveAverage="0" equalAverage="0" bottom="0" percent="0" rank="0" text="" dxfId="1">
      <formula>AND(ISNUMBER(Q5),Q5&lt;-Settings!$C$4)</formula>
    </cfRule>
    <cfRule type="expression" priority="667" aboveAverage="0" equalAverage="0" bottom="0" percent="0" rank="0" text="" dxfId="2">
      <formula>AND(ISNUMBER(Q5),ABS(Q5)&lt;=Settings!$C$4)</formula>
    </cfRule>
    <cfRule type="expression" priority="668" aboveAverage="0" equalAverage="0" bottom="0" percent="0" rank="0" text="" dxfId="0">
      <formula>AND(ISNUMBER(Q5),Q5&gt;Settings!$C$4)</formula>
    </cfRule>
    <cfRule type="expression" priority="669" aboveAverage="0" equalAverage="0" bottom="0" percent="0" rank="0" text="" dxfId="1">
      <formula>AND(ISNUMBER(Q5),Q5&lt;-Settings!$C$4)</formula>
    </cfRule>
    <cfRule type="expression" priority="670" aboveAverage="0" equalAverage="0" bottom="0" percent="0" rank="0" text="" dxfId="2">
      <formula>AND(ISNUMBER(Q5),ABS(Q5)&lt;=Settings!$C$4)</formula>
    </cfRule>
    <cfRule type="expression" priority="671" aboveAverage="0" equalAverage="0" bottom="0" percent="0" rank="0" text="" dxfId="0">
      <formula>AND(ISNUMBER(Q5),Q5&gt;Settings!$C$4)</formula>
    </cfRule>
    <cfRule type="expression" priority="672" aboveAverage="0" equalAverage="0" bottom="0" percent="0" rank="0" text="" dxfId="1">
      <formula>AND(ISNUMBER(Q5),Q5&lt;-Settings!$C$4)</formula>
    </cfRule>
    <cfRule type="expression" priority="673" aboveAverage="0" equalAverage="0" bottom="0" percent="0" rank="0" text="" dxfId="2">
      <formula>AND(ISNUMBER(Q5),ABS(Q5)&lt;=Settings!$C$4)</formula>
    </cfRule>
    <cfRule type="expression" priority="674" aboveAverage="0" equalAverage="0" bottom="0" percent="0" rank="0" text="" dxfId="0">
      <formula>AND(ISNUMBER(Q5),Q5&gt;Settings!$C$4)</formula>
    </cfRule>
    <cfRule type="expression" priority="675" aboveAverage="0" equalAverage="0" bottom="0" percent="0" rank="0" text="" dxfId="1">
      <formula>AND(ISNUMBER(Q5),Q5&lt;-Settings!$C$4)</formula>
    </cfRule>
    <cfRule type="expression" priority="676" aboveAverage="0" equalAverage="0" bottom="0" percent="0" rank="0" text="" dxfId="2">
      <formula>AND(ISNUMBER(Q5),ABS(Q5)&lt;=Settings!$C$4)</formula>
    </cfRule>
    <cfRule type="expression" priority="677" aboveAverage="0" equalAverage="0" bottom="0" percent="0" rank="0" text="" dxfId="0">
      <formula>AND(ISNUMBER(Q5),Q5&gt;Settings!$C$4)</formula>
    </cfRule>
    <cfRule type="expression" priority="678" aboveAverage="0" equalAverage="0" bottom="0" percent="0" rank="0" text="" dxfId="1">
      <formula>AND(ISNUMBER(Q5),Q5&lt;-Settings!$C$4)</formula>
    </cfRule>
    <cfRule type="expression" priority="679" aboveAverage="0" equalAverage="0" bottom="0" percent="0" rank="0" text="" dxfId="2">
      <formula>AND(ISNUMBER(Q5),ABS(Q5)&lt;=Settings!$C$4)</formula>
    </cfRule>
    <cfRule type="expression" priority="680" aboveAverage="0" equalAverage="0" bottom="0" percent="0" rank="0" text="" dxfId="0">
      <formula>AND(ISNUMBER(Q5),Q5&gt;Settings!$C$4)</formula>
    </cfRule>
    <cfRule type="expression" priority="681" aboveAverage="0" equalAverage="0" bottom="0" percent="0" rank="0" text="" dxfId="1">
      <formula>AND(ISNUMBER(Q5),Q5&lt;-Settings!$C$4)</formula>
    </cfRule>
    <cfRule type="expression" priority="682" aboveAverage="0" equalAverage="0" bottom="0" percent="0" rank="0" text="" dxfId="2">
      <formula>AND(ISNUMBER(Q5),ABS(Q5)&lt;=Settings!$C$4)</formula>
    </cfRule>
    <cfRule type="expression" priority="683" aboveAverage="0" equalAverage="0" bottom="0" percent="0" rank="0" text="" dxfId="0">
      <formula>AND(ISNUMBER(Q5),Q5&gt;Settings!$C$4)</formula>
    </cfRule>
    <cfRule type="expression" priority="684" aboveAverage="0" equalAverage="0" bottom="0" percent="0" rank="0" text="" dxfId="1">
      <formula>AND(ISNUMBER(Q5),Q5&lt;-Settings!$C$4)</formula>
    </cfRule>
    <cfRule type="expression" priority="685" aboveAverage="0" equalAverage="0" bottom="0" percent="0" rank="0" text="" dxfId="2">
      <formula>AND(ISNUMBER(Q5),ABS(Q5)&lt;=Settings!$C$4)</formula>
    </cfRule>
    <cfRule type="expression" priority="686" aboveAverage="0" equalAverage="0" bottom="0" percent="0" rank="0" text="" dxfId="0">
      <formula>AND(ISNUMBER(Q5),Q5&gt;Settings!$C$4)</formula>
    </cfRule>
    <cfRule type="expression" priority="687" aboveAverage="0" equalAverage="0" bottom="0" percent="0" rank="0" text="" dxfId="1">
      <formula>AND(ISNUMBER(Q5),Q5&lt;-Settings!$C$4)</formula>
    </cfRule>
    <cfRule type="expression" priority="688" aboveAverage="0" equalAverage="0" bottom="0" percent="0" rank="0" text="" dxfId="2">
      <formula>AND(ISNUMBER(Q5),ABS(Q5)&lt;=Settings!$C$4)</formula>
    </cfRule>
    <cfRule type="expression" priority="689" aboveAverage="0" equalAverage="0" bottom="0" percent="0" rank="0" text="" dxfId="0">
      <formula>AND(ISNUMBER(Q5),Q5&gt;Settings!$C$4)</formula>
    </cfRule>
    <cfRule type="expression" priority="690" aboveAverage="0" equalAverage="0" bottom="0" percent="0" rank="0" text="" dxfId="1">
      <formula>AND(ISNUMBER(Q5),Q5&lt;-Settings!$C$4)</formula>
    </cfRule>
    <cfRule type="expression" priority="691" aboveAverage="0" equalAverage="0" bottom="0" percent="0" rank="0" text="" dxfId="2">
      <formula>AND(ISNUMBER(Q5),ABS(Q5)&lt;=Settings!$C$4)</formula>
    </cfRule>
    <cfRule type="expression" priority="692" aboveAverage="0" equalAverage="0" bottom="0" percent="0" rank="0" text="" dxfId="0">
      <formula>AND(ISNUMBER(Q5),Q5&gt;Settings!$C$4)</formula>
    </cfRule>
    <cfRule type="expression" priority="693" aboveAverage="0" equalAverage="0" bottom="0" percent="0" rank="0" text="" dxfId="1">
      <formula>AND(ISNUMBER(Q5),Q5&lt;-Settings!$C$4)</formula>
    </cfRule>
    <cfRule type="expression" priority="694" aboveAverage="0" equalAverage="0" bottom="0" percent="0" rank="0" text="" dxfId="2">
      <formula>AND(ISNUMBER(Q5),ABS(Q5)&lt;=Settings!$C$4)</formula>
    </cfRule>
    <cfRule type="expression" priority="695" aboveAverage="0" equalAverage="0" bottom="0" percent="0" rank="0" text="" dxfId="0">
      <formula>AND(ISNUMBER(Q5),Q5&gt;Settings!$C$4)</formula>
    </cfRule>
    <cfRule type="expression" priority="696" aboveAverage="0" equalAverage="0" bottom="0" percent="0" rank="0" text="" dxfId="1">
      <formula>AND(ISNUMBER(Q5),Q5&lt;-Settings!$C$4)</formula>
    </cfRule>
    <cfRule type="expression" priority="697" aboveAverage="0" equalAverage="0" bottom="0" percent="0" rank="0" text="" dxfId="2">
      <formula>AND(ISNUMBER(Q5),ABS(Q5)&lt;=Settings!$C$4)</formula>
    </cfRule>
    <cfRule type="expression" priority="698" aboveAverage="0" equalAverage="0" bottom="0" percent="0" rank="0" text="" dxfId="0">
      <formula>AND(ISNUMBER(Q5),Q5&gt;Settings!$C$4)</formula>
    </cfRule>
    <cfRule type="expression" priority="699" aboveAverage="0" equalAverage="0" bottom="0" percent="0" rank="0" text="" dxfId="1">
      <formula>AND(ISNUMBER(Q5),Q5&lt;-Settings!$C$4)</formula>
    </cfRule>
    <cfRule type="expression" priority="700" aboveAverage="0" equalAverage="0" bottom="0" percent="0" rank="0" text="" dxfId="2">
      <formula>AND(ISNUMBER(Q5),ABS(Q5)&lt;=Settings!$C$4)</formula>
    </cfRule>
    <cfRule type="expression" priority="701" aboveAverage="0" equalAverage="0" bottom="0" percent="0" rank="0" text="" dxfId="0">
      <formula>AND(ISNUMBER(Q5),Q5&gt;Settings!$C$4)</formula>
    </cfRule>
    <cfRule type="expression" priority="702" aboveAverage="0" equalAverage="0" bottom="0" percent="0" rank="0" text="" dxfId="1">
      <formula>AND(ISNUMBER(Q5),Q5&lt;-Settings!$C$4)</formula>
    </cfRule>
    <cfRule type="expression" priority="703" aboveAverage="0" equalAverage="0" bottom="0" percent="0" rank="0" text="" dxfId="2">
      <formula>AND(ISNUMBER(Q5),ABS(Q5)&lt;=Settings!$C$4)</formula>
    </cfRule>
    <cfRule type="expression" priority="704" aboveAverage="0" equalAverage="0" bottom="0" percent="0" rank="0" text="" dxfId="0">
      <formula>AND(ISNUMBER(Q5),Q5&gt;Settings!$C$4)</formula>
    </cfRule>
    <cfRule type="expression" priority="705" aboveAverage="0" equalAverage="0" bottom="0" percent="0" rank="0" text="" dxfId="1">
      <formula>AND(ISNUMBER(Q5),Q5&lt;-Settings!$C$4)</formula>
    </cfRule>
    <cfRule type="expression" priority="706" aboveAverage="0" equalAverage="0" bottom="0" percent="0" rank="0" text="" dxfId="2">
      <formula>AND(ISNUMBER(Q5),ABS(Q5)&lt;=Settings!$C$4)</formula>
    </cfRule>
    <cfRule type="expression" priority="707" aboveAverage="0" equalAverage="0" bottom="0" percent="0" rank="0" text="" dxfId="0">
      <formula>AND(ISNUMBER(Q5),Q5&gt;Settings!$C$4)</formula>
    </cfRule>
    <cfRule type="expression" priority="708" aboveAverage="0" equalAverage="0" bottom="0" percent="0" rank="0" text="" dxfId="1">
      <formula>AND(ISNUMBER(Q5),Q5&lt;-Settings!$C$4)</formula>
    </cfRule>
    <cfRule type="expression" priority="709" aboveAverage="0" equalAverage="0" bottom="0" percent="0" rank="0" text="" dxfId="2">
      <formula>AND(ISNUMBER(Q5),ABS(Q5)&lt;=Settings!$C$4)</formula>
    </cfRule>
    <cfRule type="expression" priority="710" aboveAverage="0" equalAverage="0" bottom="0" percent="0" rank="0" text="" dxfId="0">
      <formula>AND(ISNUMBER(Q5),Q5&gt;Settings!$C$4)</formula>
    </cfRule>
    <cfRule type="expression" priority="711" aboveAverage="0" equalAverage="0" bottom="0" percent="0" rank="0" text="" dxfId="1">
      <formula>AND(ISNUMBER(Q5),Q5&lt;-Settings!$C$4)</formula>
    </cfRule>
    <cfRule type="expression" priority="712" aboveAverage="0" equalAverage="0" bottom="0" percent="0" rank="0" text="" dxfId="2">
      <formula>AND(ISNUMBER(Q5),ABS(Q5)&lt;=Settings!$C$4)</formula>
    </cfRule>
    <cfRule type="expression" priority="713" aboveAverage="0" equalAverage="0" bottom="0" percent="0" rank="0" text="" dxfId="0">
      <formula>AND(ISNUMBER(Q5),Q5&gt;Settings!$C$4)</formula>
    </cfRule>
    <cfRule type="expression" priority="714" aboveAverage="0" equalAverage="0" bottom="0" percent="0" rank="0" text="" dxfId="1">
      <formula>AND(ISNUMBER(Q5),Q5&lt;-Settings!$C$4)</formula>
    </cfRule>
    <cfRule type="expression" priority="715" aboveAverage="0" equalAverage="0" bottom="0" percent="0" rank="0" text="" dxfId="2">
      <formula>AND(ISNUMBER(Q5),ABS(Q5)&lt;=Settings!$C$4)</formula>
    </cfRule>
    <cfRule type="expression" priority="716" aboveAverage="0" equalAverage="0" bottom="0" percent="0" rank="0" text="" dxfId="0">
      <formula>AND(ISNUMBER(Q5),Q5&gt;Settings!$C$4)</formula>
    </cfRule>
    <cfRule type="expression" priority="717" aboveAverage="0" equalAverage="0" bottom="0" percent="0" rank="0" text="" dxfId="1">
      <formula>AND(ISNUMBER(Q5),Q5&lt;-Settings!$C$4)</formula>
    </cfRule>
    <cfRule type="expression" priority="718" aboveAverage="0" equalAverage="0" bottom="0" percent="0" rank="0" text="" dxfId="2">
      <formula>AND(ISNUMBER(Q5),ABS(Q5)&lt;=Settings!$C$4)</formula>
    </cfRule>
    <cfRule type="expression" priority="719" aboveAverage="0" equalAverage="0" bottom="0" percent="0" rank="0" text="" dxfId="0">
      <formula>AND(ISNUMBER(Q5),Q5&gt;Settings!$C$4)</formula>
    </cfRule>
    <cfRule type="expression" priority="720" aboveAverage="0" equalAverage="0" bottom="0" percent="0" rank="0" text="" dxfId="1">
      <formula>AND(ISNUMBER(Q5),Q5&lt;-Settings!$C$4)</formula>
    </cfRule>
    <cfRule type="expression" priority="721" aboveAverage="0" equalAverage="0" bottom="0" percent="0" rank="0" text="" dxfId="2">
      <formula>AND(ISNUMBER(Q5),ABS(Q5)&lt;=Settings!$C$4)</formula>
    </cfRule>
    <cfRule type="expression" priority="722" aboveAverage="0" equalAverage="0" bottom="0" percent="0" rank="0" text="" dxfId="0">
      <formula>AND(ISNUMBER(Q5),Q5&gt;Settings!$C$4)</formula>
    </cfRule>
    <cfRule type="expression" priority="723" aboveAverage="0" equalAverage="0" bottom="0" percent="0" rank="0" text="" dxfId="1">
      <formula>AND(ISNUMBER(Q5),Q5&lt;-Settings!$C$4)</formula>
    </cfRule>
    <cfRule type="expression" priority="724" aboveAverage="0" equalAverage="0" bottom="0" percent="0" rank="0" text="" dxfId="2">
      <formula>AND(ISNUMBER(Q5),ABS(Q5)&lt;=Settings!$C$4)</formula>
    </cfRule>
    <cfRule type="expression" priority="725" aboveAverage="0" equalAverage="0" bottom="0" percent="0" rank="0" text="" dxfId="0">
      <formula>AND(ISNUMBER(Q5),Q5&gt;Settings!$C$4)</formula>
    </cfRule>
    <cfRule type="expression" priority="726" aboveAverage="0" equalAverage="0" bottom="0" percent="0" rank="0" text="" dxfId="1">
      <formula>AND(ISNUMBER(Q5),Q5&lt;-Settings!$C$4)</formula>
    </cfRule>
    <cfRule type="expression" priority="727" aboveAverage="0" equalAverage="0" bottom="0" percent="0" rank="0" text="" dxfId="2">
      <formula>AND(ISNUMBER(Q5),ABS(Q5)&lt;=Settings!$C$4)</formula>
    </cfRule>
    <cfRule type="expression" priority="728" aboveAverage="0" equalAverage="0" bottom="0" percent="0" rank="0" text="" dxfId="0">
      <formula>AND(ISNUMBER(Q5),Q5&gt;Settings!$C$4)</formula>
    </cfRule>
    <cfRule type="expression" priority="729" aboveAverage="0" equalAverage="0" bottom="0" percent="0" rank="0" text="" dxfId="1">
      <formula>AND(ISNUMBER(Q5),Q5&lt;-Settings!$C$4)</formula>
    </cfRule>
    <cfRule type="expression" priority="730" aboveAverage="0" equalAverage="0" bottom="0" percent="0" rank="0" text="" dxfId="2">
      <formula>AND(ISNUMBER(Q5),ABS(Q5)&lt;=Settings!$C$4)</formula>
    </cfRule>
    <cfRule type="expression" priority="731" aboveAverage="0" equalAverage="0" bottom="0" percent="0" rank="0" text="" dxfId="0">
      <formula>AND(ISNUMBER(Q5),Q5&gt;Settings!$C$4)</formula>
    </cfRule>
    <cfRule type="expression" priority="732" aboveAverage="0" equalAverage="0" bottom="0" percent="0" rank="0" text="" dxfId="1">
      <formula>AND(ISNUMBER(Q5),Q5&lt;-Settings!$C$4)</formula>
    </cfRule>
    <cfRule type="expression" priority="733" aboveAverage="0" equalAverage="0" bottom="0" percent="0" rank="0" text="" dxfId="2">
      <formula>AND(ISNUMBER(Q5),ABS(Q5)&lt;=Settings!$C$4)</formula>
    </cfRule>
    <cfRule type="expression" priority="734" aboveAverage="0" equalAverage="0" bottom="0" percent="0" rank="0" text="" dxfId="0">
      <formula>AND(ISNUMBER(Q5),Q5&gt;Settings!$C$4)</formula>
    </cfRule>
    <cfRule type="expression" priority="735" aboveAverage="0" equalAverage="0" bottom="0" percent="0" rank="0" text="" dxfId="1">
      <formula>AND(ISNUMBER(Q5),Q5&lt;-Settings!$C$4)</formula>
    </cfRule>
    <cfRule type="expression" priority="736" aboveAverage="0" equalAverage="0" bottom="0" percent="0" rank="0" text="" dxfId="2">
      <formula>AND(ISNUMBER(Q5),ABS(Q5)&lt;=Settings!$C$4)</formula>
    </cfRule>
    <cfRule type="expression" priority="737" aboveAverage="0" equalAverage="0" bottom="0" percent="0" rank="0" text="" dxfId="0">
      <formula>AND(ISNUMBER(Q5),Q5&gt;Settings!$C$4)</formula>
    </cfRule>
    <cfRule type="expression" priority="738" aboveAverage="0" equalAverage="0" bottom="0" percent="0" rank="0" text="" dxfId="1">
      <formula>AND(ISNUMBER(Q5),Q5&lt;-Settings!$C$4)</formula>
    </cfRule>
    <cfRule type="expression" priority="739" aboveAverage="0" equalAverage="0" bottom="0" percent="0" rank="0" text="" dxfId="2">
      <formula>AND(ISNUMBER(Q5),ABS(Q5)&lt;=Settings!$C$4)</formula>
    </cfRule>
    <cfRule type="expression" priority="740" aboveAverage="0" equalAverage="0" bottom="0" percent="0" rank="0" text="" dxfId="0">
      <formula>AND(ISNUMBER(Q5),Q5&gt;Settings!$C$4)</formula>
    </cfRule>
    <cfRule type="expression" priority="741" aboveAverage="0" equalAverage="0" bottom="0" percent="0" rank="0" text="" dxfId="1">
      <formula>AND(ISNUMBER(Q5),Q5&lt;-Settings!$C$4)</formula>
    </cfRule>
    <cfRule type="expression" priority="742" aboveAverage="0" equalAverage="0" bottom="0" percent="0" rank="0" text="" dxfId="2">
      <formula>AND(ISNUMBER(Q5),ABS(Q5)&lt;=Settings!$C$4)</formula>
    </cfRule>
    <cfRule type="expression" priority="743" aboveAverage="0" equalAverage="0" bottom="0" percent="0" rank="0" text="" dxfId="0">
      <formula>AND(ISNUMBER(Q5),Q5&gt;Settings!$C$4)</formula>
    </cfRule>
    <cfRule type="expression" priority="744" aboveAverage="0" equalAverage="0" bottom="0" percent="0" rank="0" text="" dxfId="1">
      <formula>AND(ISNUMBER(Q5),Q5&lt;-Settings!$C$4)</formula>
    </cfRule>
    <cfRule type="expression" priority="745" aboveAverage="0" equalAverage="0" bottom="0" percent="0" rank="0" text="" dxfId="2">
      <formula>AND(ISNUMBER(Q5),ABS(Q5)&lt;=Settings!$C$4)</formula>
    </cfRule>
    <cfRule type="expression" priority="746" aboveAverage="0" equalAverage="0" bottom="0" percent="0" rank="0" text="" dxfId="0">
      <formula>AND(ISNUMBER(Q5),Q5&gt;Settings!$C$4)</formula>
    </cfRule>
    <cfRule type="expression" priority="747" aboveAverage="0" equalAverage="0" bottom="0" percent="0" rank="0" text="" dxfId="1">
      <formula>AND(ISNUMBER(Q5),Q5&lt;-Settings!$C$4)</formula>
    </cfRule>
    <cfRule type="expression" priority="748" aboveAverage="0" equalAverage="0" bottom="0" percent="0" rank="0" text="" dxfId="2">
      <formula>AND(ISNUMBER(Q5),ABS(Q5)&lt;=Settings!$C$4)</formula>
    </cfRule>
    <cfRule type="expression" priority="749" aboveAverage="0" equalAverage="0" bottom="0" percent="0" rank="0" text="" dxfId="0">
      <formula>AND(ISNUMBER(Q5),Q5&gt;Settings!$C$4)</formula>
    </cfRule>
    <cfRule type="expression" priority="750" aboveAverage="0" equalAverage="0" bottom="0" percent="0" rank="0" text="" dxfId="1">
      <formula>AND(ISNUMBER(Q5),Q5&lt;-Settings!$C$4)</formula>
    </cfRule>
    <cfRule type="expression" priority="751" aboveAverage="0" equalAverage="0" bottom="0" percent="0" rank="0" text="" dxfId="2">
      <formula>AND(ISNUMBER(Q5),ABS(Q5)&lt;=Settings!$C$4)</formula>
    </cfRule>
    <cfRule type="expression" priority="752" aboveAverage="0" equalAverage="0" bottom="0" percent="0" rank="0" text="" dxfId="0">
      <formula>AND(ISNUMBER(Q5),Q5&gt;Settings!$C$4)</formula>
    </cfRule>
    <cfRule type="expression" priority="753" aboveAverage="0" equalAverage="0" bottom="0" percent="0" rank="0" text="" dxfId="1">
      <formula>AND(ISNUMBER(Q5),Q5&lt;-Settings!$C$4)</formula>
    </cfRule>
    <cfRule type="expression" priority="754" aboveAverage="0" equalAverage="0" bottom="0" percent="0" rank="0" text="" dxfId="2">
      <formula>AND(ISNUMBER(Q5),ABS(Q5)&lt;=Settings!$C$4)</formula>
    </cfRule>
    <cfRule type="expression" priority="755" aboveAverage="0" equalAverage="0" bottom="0" percent="0" rank="0" text="" dxfId="0">
      <formula>AND(ISNUMBER(Q5),Q5&gt;Settings!$C$4)</formula>
    </cfRule>
    <cfRule type="expression" priority="756" aboveAverage="0" equalAverage="0" bottom="0" percent="0" rank="0" text="" dxfId="1">
      <formula>AND(ISNUMBER(Q5),Q5&lt;-Settings!$C$4)</formula>
    </cfRule>
    <cfRule type="expression" priority="757" aboveAverage="0" equalAverage="0" bottom="0" percent="0" rank="0" text="" dxfId="2">
      <formula>AND(ISNUMBER(Q5),ABS(Q5)&lt;=Settings!$C$4)</formula>
    </cfRule>
  </conditionalFormatting>
  <conditionalFormatting sqref="T5:T46">
    <cfRule type="expression" priority="758" aboveAverage="0" equalAverage="0" bottom="0" percent="0" rank="0" text="" dxfId="0">
      <formula>AND(ISNUMBER(T5),T5&gt;Settings!$C$4)</formula>
    </cfRule>
    <cfRule type="expression" priority="759" aboveAverage="0" equalAverage="0" bottom="0" percent="0" rank="0" text="" dxfId="1">
      <formula>AND(ISNUMBER(T5),T5&lt;-Settings!$C$4)</formula>
    </cfRule>
    <cfRule type="expression" priority="760" aboveAverage="0" equalAverage="0" bottom="0" percent="0" rank="0" text="" dxfId="2">
      <formula>AND(ISNUMBER(T5),ABS(T5)&lt;=Settings!$C$4)</formula>
    </cfRule>
    <cfRule type="expression" priority="761" aboveAverage="0" equalAverage="0" bottom="0" percent="0" rank="0" text="" dxfId="0">
      <formula>AND(ISNUMBER(T5),T5&gt;Settings!$C$4)</formula>
    </cfRule>
    <cfRule type="expression" priority="762" aboveAverage="0" equalAverage="0" bottom="0" percent="0" rank="0" text="" dxfId="1">
      <formula>AND(ISNUMBER(T5),T5&lt;-Settings!$C$4)</formula>
    </cfRule>
    <cfRule type="expression" priority="763" aboveAverage="0" equalAverage="0" bottom="0" percent="0" rank="0" text="" dxfId="2">
      <formula>AND(ISNUMBER(T5),ABS(T5)&lt;=Settings!$C$4)</formula>
    </cfRule>
    <cfRule type="expression" priority="764" aboveAverage="0" equalAverage="0" bottom="0" percent="0" rank="0" text="" dxfId="0">
      <formula>AND(ISNUMBER(T5),T5&gt;Settings!$C$4)</formula>
    </cfRule>
    <cfRule type="expression" priority="765" aboveAverage="0" equalAverage="0" bottom="0" percent="0" rank="0" text="" dxfId="1">
      <formula>AND(ISNUMBER(T5),T5&lt;-Settings!$C$4)</formula>
    </cfRule>
    <cfRule type="expression" priority="766" aboveAverage="0" equalAverage="0" bottom="0" percent="0" rank="0" text="" dxfId="2">
      <formula>AND(ISNUMBER(T5),ABS(T5)&lt;=Settings!$C$4)</formula>
    </cfRule>
    <cfRule type="expression" priority="767" aboveAverage="0" equalAverage="0" bottom="0" percent="0" rank="0" text="" dxfId="0">
      <formula>AND(ISNUMBER(T5),T5&gt;Settings!$C$4)</formula>
    </cfRule>
    <cfRule type="expression" priority="768" aboveAverage="0" equalAverage="0" bottom="0" percent="0" rank="0" text="" dxfId="1">
      <formula>AND(ISNUMBER(T5),T5&lt;-Settings!$C$4)</formula>
    </cfRule>
    <cfRule type="expression" priority="769" aboveAverage="0" equalAverage="0" bottom="0" percent="0" rank="0" text="" dxfId="2">
      <formula>AND(ISNUMBER(T5),ABS(T5)&lt;=Settings!$C$4)</formula>
    </cfRule>
    <cfRule type="expression" priority="770" aboveAverage="0" equalAverage="0" bottom="0" percent="0" rank="0" text="" dxfId="0">
      <formula>AND(ISNUMBER(T5),T5&gt;Settings!$C$4)</formula>
    </cfRule>
    <cfRule type="expression" priority="771" aboveAverage="0" equalAverage="0" bottom="0" percent="0" rank="0" text="" dxfId="1">
      <formula>AND(ISNUMBER(T5),T5&lt;-Settings!$C$4)</formula>
    </cfRule>
    <cfRule type="expression" priority="772" aboveAverage="0" equalAverage="0" bottom="0" percent="0" rank="0" text="" dxfId="2">
      <formula>AND(ISNUMBER(T5),ABS(T5)&lt;=Settings!$C$4)</formula>
    </cfRule>
    <cfRule type="expression" priority="773" aboveAverage="0" equalAverage="0" bottom="0" percent="0" rank="0" text="" dxfId="0">
      <formula>AND(ISNUMBER(T5),T5&gt;Settings!$C$4)</formula>
    </cfRule>
    <cfRule type="expression" priority="774" aboveAverage="0" equalAverage="0" bottom="0" percent="0" rank="0" text="" dxfId="1">
      <formula>AND(ISNUMBER(T5),T5&lt;-Settings!$C$4)</formula>
    </cfRule>
    <cfRule type="expression" priority="775" aboveAverage="0" equalAverage="0" bottom="0" percent="0" rank="0" text="" dxfId="2">
      <formula>AND(ISNUMBER(T5),ABS(T5)&lt;=Settings!$C$4)</formula>
    </cfRule>
    <cfRule type="expression" priority="776" aboveAverage="0" equalAverage="0" bottom="0" percent="0" rank="0" text="" dxfId="0">
      <formula>AND(ISNUMBER(T5),T5&gt;Settings!$C$4)</formula>
    </cfRule>
    <cfRule type="expression" priority="777" aboveAverage="0" equalAverage="0" bottom="0" percent="0" rank="0" text="" dxfId="1">
      <formula>AND(ISNUMBER(T5),T5&lt;-Settings!$C$4)</formula>
    </cfRule>
    <cfRule type="expression" priority="778" aboveAverage="0" equalAverage="0" bottom="0" percent="0" rank="0" text="" dxfId="2">
      <formula>AND(ISNUMBER(T5),ABS(T5)&lt;=Settings!$C$4)</formula>
    </cfRule>
    <cfRule type="expression" priority="779" aboveAverage="0" equalAverage="0" bottom="0" percent="0" rank="0" text="" dxfId="0">
      <formula>AND(ISNUMBER(T5),T5&gt;Settings!$C$4)</formula>
    </cfRule>
    <cfRule type="expression" priority="780" aboveAverage="0" equalAverage="0" bottom="0" percent="0" rank="0" text="" dxfId="1">
      <formula>AND(ISNUMBER(T5),T5&lt;-Settings!$C$4)</formula>
    </cfRule>
    <cfRule type="expression" priority="781" aboveAverage="0" equalAverage="0" bottom="0" percent="0" rank="0" text="" dxfId="2">
      <formula>AND(ISNUMBER(T5),ABS(T5)&lt;=Settings!$C$4)</formula>
    </cfRule>
    <cfRule type="expression" priority="782" aboveAverage="0" equalAverage="0" bottom="0" percent="0" rank="0" text="" dxfId="0">
      <formula>AND(ISNUMBER(T5),T5&gt;Settings!$C$4)</formula>
    </cfRule>
    <cfRule type="expression" priority="783" aboveAverage="0" equalAverage="0" bottom="0" percent="0" rank="0" text="" dxfId="1">
      <formula>AND(ISNUMBER(T5),T5&lt;-Settings!$C$4)</formula>
    </cfRule>
    <cfRule type="expression" priority="784" aboveAverage="0" equalAverage="0" bottom="0" percent="0" rank="0" text="" dxfId="2">
      <formula>AND(ISNUMBER(T5),ABS(T5)&lt;=Settings!$C$4)</formula>
    </cfRule>
    <cfRule type="expression" priority="785" aboveAverage="0" equalAverage="0" bottom="0" percent="0" rank="0" text="" dxfId="0">
      <formula>AND(ISNUMBER(T5),T5&gt;Settings!$C$4)</formula>
    </cfRule>
    <cfRule type="expression" priority="786" aboveAverage="0" equalAverage="0" bottom="0" percent="0" rank="0" text="" dxfId="1">
      <formula>AND(ISNUMBER(T5),T5&lt;-Settings!$C$4)</formula>
    </cfRule>
    <cfRule type="expression" priority="787" aboveAverage="0" equalAverage="0" bottom="0" percent="0" rank="0" text="" dxfId="2">
      <formula>AND(ISNUMBER(T5),ABS(T5)&lt;=Settings!$C$4)</formula>
    </cfRule>
    <cfRule type="expression" priority="788" aboveAverage="0" equalAverage="0" bottom="0" percent="0" rank="0" text="" dxfId="0">
      <formula>AND(ISNUMBER(T5),T5&gt;Settings!$C$4)</formula>
    </cfRule>
    <cfRule type="expression" priority="789" aboveAverage="0" equalAverage="0" bottom="0" percent="0" rank="0" text="" dxfId="1">
      <formula>AND(ISNUMBER(T5),T5&lt;-Settings!$C$4)</formula>
    </cfRule>
    <cfRule type="expression" priority="790" aboveAverage="0" equalAverage="0" bottom="0" percent="0" rank="0" text="" dxfId="2">
      <formula>AND(ISNUMBER(T5),ABS(T5)&lt;=Settings!$C$4)</formula>
    </cfRule>
    <cfRule type="expression" priority="791" aboveAverage="0" equalAverage="0" bottom="0" percent="0" rank="0" text="" dxfId="0">
      <formula>AND(ISNUMBER(T5),T5&gt;Settings!$C$4)</formula>
    </cfRule>
    <cfRule type="expression" priority="792" aboveAverage="0" equalAverage="0" bottom="0" percent="0" rank="0" text="" dxfId="1">
      <formula>AND(ISNUMBER(T5),T5&lt;-Settings!$C$4)</formula>
    </cfRule>
    <cfRule type="expression" priority="793" aboveAverage="0" equalAverage="0" bottom="0" percent="0" rank="0" text="" dxfId="2">
      <formula>AND(ISNUMBER(T5),ABS(T5)&lt;=Settings!$C$4)</formula>
    </cfRule>
    <cfRule type="expression" priority="794" aboveAverage="0" equalAverage="0" bottom="0" percent="0" rank="0" text="" dxfId="0">
      <formula>AND(ISNUMBER(T5),T5&gt;Settings!$C$4)</formula>
    </cfRule>
    <cfRule type="expression" priority="795" aboveAverage="0" equalAverage="0" bottom="0" percent="0" rank="0" text="" dxfId="1">
      <formula>AND(ISNUMBER(T5),T5&lt;-Settings!$C$4)</formula>
    </cfRule>
    <cfRule type="expression" priority="796" aboveAverage="0" equalAverage="0" bottom="0" percent="0" rank="0" text="" dxfId="2">
      <formula>AND(ISNUMBER(T5),ABS(T5)&lt;=Settings!$C$4)</formula>
    </cfRule>
    <cfRule type="expression" priority="797" aboveAverage="0" equalAverage="0" bottom="0" percent="0" rank="0" text="" dxfId="0">
      <formula>AND(ISNUMBER(T5),T5&gt;Settings!$C$4)</formula>
    </cfRule>
    <cfRule type="expression" priority="798" aboveAverage="0" equalAverage="0" bottom="0" percent="0" rank="0" text="" dxfId="1">
      <formula>AND(ISNUMBER(T5),T5&lt;-Settings!$C$4)</formula>
    </cfRule>
    <cfRule type="expression" priority="799" aboveAverage="0" equalAverage="0" bottom="0" percent="0" rank="0" text="" dxfId="2">
      <formula>AND(ISNUMBER(T5),ABS(T5)&lt;=Settings!$C$4)</formula>
    </cfRule>
    <cfRule type="expression" priority="800" aboveAverage="0" equalAverage="0" bottom="0" percent="0" rank="0" text="" dxfId="0">
      <formula>AND(ISNUMBER(T5),T5&gt;Settings!$C$4)</formula>
    </cfRule>
    <cfRule type="expression" priority="801" aboveAverage="0" equalAverage="0" bottom="0" percent="0" rank="0" text="" dxfId="1">
      <formula>AND(ISNUMBER(T5),T5&lt;-Settings!$C$4)</formula>
    </cfRule>
    <cfRule type="expression" priority="802" aboveAverage="0" equalAverage="0" bottom="0" percent="0" rank="0" text="" dxfId="2">
      <formula>AND(ISNUMBER(T5),ABS(T5)&lt;=Settings!$C$4)</formula>
    </cfRule>
    <cfRule type="expression" priority="803" aboveAverage="0" equalAverage="0" bottom="0" percent="0" rank="0" text="" dxfId="0">
      <formula>AND(ISNUMBER(T5),T5&gt;Settings!$C$4)</formula>
    </cfRule>
    <cfRule type="expression" priority="804" aboveAverage="0" equalAverage="0" bottom="0" percent="0" rank="0" text="" dxfId="1">
      <formula>AND(ISNUMBER(T5),T5&lt;-Settings!$C$4)</formula>
    </cfRule>
    <cfRule type="expression" priority="805" aboveAverage="0" equalAverage="0" bottom="0" percent="0" rank="0" text="" dxfId="2">
      <formula>AND(ISNUMBER(T5),ABS(T5)&lt;=Settings!$C$4)</formula>
    </cfRule>
    <cfRule type="expression" priority="806" aboveAverage="0" equalAverage="0" bottom="0" percent="0" rank="0" text="" dxfId="0">
      <formula>AND(ISNUMBER(T5),T5&gt;Settings!$C$4)</formula>
    </cfRule>
    <cfRule type="expression" priority="807" aboveAverage="0" equalAverage="0" bottom="0" percent="0" rank="0" text="" dxfId="1">
      <formula>AND(ISNUMBER(T5),T5&lt;-Settings!$C$4)</formula>
    </cfRule>
    <cfRule type="expression" priority="808" aboveAverage="0" equalAverage="0" bottom="0" percent="0" rank="0" text="" dxfId="2">
      <formula>AND(ISNUMBER(T5),ABS(T5)&lt;=Settings!$C$4)</formula>
    </cfRule>
    <cfRule type="expression" priority="809" aboveAverage="0" equalAverage="0" bottom="0" percent="0" rank="0" text="" dxfId="0">
      <formula>AND(ISNUMBER(T5),T5&gt;Settings!$C$4)</formula>
    </cfRule>
    <cfRule type="expression" priority="810" aboveAverage="0" equalAverage="0" bottom="0" percent="0" rank="0" text="" dxfId="1">
      <formula>AND(ISNUMBER(T5),T5&lt;-Settings!$C$4)</formula>
    </cfRule>
    <cfRule type="expression" priority="811" aboveAverage="0" equalAverage="0" bottom="0" percent="0" rank="0" text="" dxfId="2">
      <formula>AND(ISNUMBER(T5),ABS(T5)&lt;=Settings!$C$4)</formula>
    </cfRule>
    <cfRule type="expression" priority="812" aboveAverage="0" equalAverage="0" bottom="0" percent="0" rank="0" text="" dxfId="0">
      <formula>AND(ISNUMBER(T5),T5&gt;Settings!$C$4)</formula>
    </cfRule>
    <cfRule type="expression" priority="813" aboveAverage="0" equalAverage="0" bottom="0" percent="0" rank="0" text="" dxfId="1">
      <formula>AND(ISNUMBER(T5),T5&lt;-Settings!$C$4)</formula>
    </cfRule>
    <cfRule type="expression" priority="814" aboveAverage="0" equalAverage="0" bottom="0" percent="0" rank="0" text="" dxfId="2">
      <formula>AND(ISNUMBER(T5),ABS(T5)&lt;=Settings!$C$4)</formula>
    </cfRule>
    <cfRule type="expression" priority="815" aboveAverage="0" equalAverage="0" bottom="0" percent="0" rank="0" text="" dxfId="0">
      <formula>AND(ISNUMBER(T5),T5&gt;Settings!$C$4)</formula>
    </cfRule>
    <cfRule type="expression" priority="816" aboveAverage="0" equalAverage="0" bottom="0" percent="0" rank="0" text="" dxfId="1">
      <formula>AND(ISNUMBER(T5),T5&lt;-Settings!$C$4)</formula>
    </cfRule>
    <cfRule type="expression" priority="817" aboveAverage="0" equalAverage="0" bottom="0" percent="0" rank="0" text="" dxfId="2">
      <formula>AND(ISNUMBER(T5),ABS(T5)&lt;=Settings!$C$4)</formula>
    </cfRule>
    <cfRule type="expression" priority="818" aboveAverage="0" equalAverage="0" bottom="0" percent="0" rank="0" text="" dxfId="0">
      <formula>AND(ISNUMBER(T5),T5&gt;Settings!$C$4)</formula>
    </cfRule>
    <cfRule type="expression" priority="819" aboveAverage="0" equalAverage="0" bottom="0" percent="0" rank="0" text="" dxfId="1">
      <formula>AND(ISNUMBER(T5),T5&lt;-Settings!$C$4)</formula>
    </cfRule>
    <cfRule type="expression" priority="820" aboveAverage="0" equalAverage="0" bottom="0" percent="0" rank="0" text="" dxfId="2">
      <formula>AND(ISNUMBER(T5),ABS(T5)&lt;=Settings!$C$4)</formula>
    </cfRule>
    <cfRule type="expression" priority="821" aboveAverage="0" equalAverage="0" bottom="0" percent="0" rank="0" text="" dxfId="0">
      <formula>AND(ISNUMBER(T5),T5&gt;Settings!$C$4)</formula>
    </cfRule>
    <cfRule type="expression" priority="822" aboveAverage="0" equalAverage="0" bottom="0" percent="0" rank="0" text="" dxfId="1">
      <formula>AND(ISNUMBER(T5),T5&lt;-Settings!$C$4)</formula>
    </cfRule>
    <cfRule type="expression" priority="823" aboveAverage="0" equalAverage="0" bottom="0" percent="0" rank="0" text="" dxfId="2">
      <formula>AND(ISNUMBER(T5),ABS(T5)&lt;=Settings!$C$4)</formula>
    </cfRule>
    <cfRule type="expression" priority="824" aboveAverage="0" equalAverage="0" bottom="0" percent="0" rank="0" text="" dxfId="0">
      <formula>AND(ISNUMBER(T5),T5&gt;Settings!$C$4)</formula>
    </cfRule>
    <cfRule type="expression" priority="825" aboveAverage="0" equalAverage="0" bottom="0" percent="0" rank="0" text="" dxfId="1">
      <formula>AND(ISNUMBER(T5),T5&lt;-Settings!$C$4)</formula>
    </cfRule>
    <cfRule type="expression" priority="826" aboveAverage="0" equalAverage="0" bottom="0" percent="0" rank="0" text="" dxfId="2">
      <formula>AND(ISNUMBER(T5),ABS(T5)&lt;=Settings!$C$4)</formula>
    </cfRule>
    <cfRule type="expression" priority="827" aboveAverage="0" equalAverage="0" bottom="0" percent="0" rank="0" text="" dxfId="0">
      <formula>AND(ISNUMBER(T5),T5&gt;Settings!$C$4)</formula>
    </cfRule>
    <cfRule type="expression" priority="828" aboveAverage="0" equalAverage="0" bottom="0" percent="0" rank="0" text="" dxfId="1">
      <formula>AND(ISNUMBER(T5),T5&lt;-Settings!$C$4)</formula>
    </cfRule>
    <cfRule type="expression" priority="829" aboveAverage="0" equalAverage="0" bottom="0" percent="0" rank="0" text="" dxfId="2">
      <formula>AND(ISNUMBER(T5),ABS(T5)&lt;=Settings!$C$4)</formula>
    </cfRule>
    <cfRule type="expression" priority="830" aboveAverage="0" equalAverage="0" bottom="0" percent="0" rank="0" text="" dxfId="0">
      <formula>AND(ISNUMBER(T5),T5&gt;Settings!$C$4)</formula>
    </cfRule>
    <cfRule type="expression" priority="831" aboveAverage="0" equalAverage="0" bottom="0" percent="0" rank="0" text="" dxfId="1">
      <formula>AND(ISNUMBER(T5),T5&lt;-Settings!$C$4)</formula>
    </cfRule>
    <cfRule type="expression" priority="832" aboveAverage="0" equalAverage="0" bottom="0" percent="0" rank="0" text="" dxfId="2">
      <formula>AND(ISNUMBER(T5),ABS(T5)&lt;=Settings!$C$4)</formula>
    </cfRule>
    <cfRule type="expression" priority="833" aboveAverage="0" equalAverage="0" bottom="0" percent="0" rank="0" text="" dxfId="0">
      <formula>AND(ISNUMBER(T5),T5&gt;Settings!$C$4)</formula>
    </cfRule>
    <cfRule type="expression" priority="834" aboveAverage="0" equalAverage="0" bottom="0" percent="0" rank="0" text="" dxfId="1">
      <formula>AND(ISNUMBER(T5),T5&lt;-Settings!$C$4)</formula>
    </cfRule>
    <cfRule type="expression" priority="835" aboveAverage="0" equalAverage="0" bottom="0" percent="0" rank="0" text="" dxfId="2">
      <formula>AND(ISNUMBER(T5),ABS(T5)&lt;=Settings!$C$4)</formula>
    </cfRule>
    <cfRule type="expression" priority="836" aboveAverage="0" equalAverage="0" bottom="0" percent="0" rank="0" text="" dxfId="0">
      <formula>AND(ISNUMBER(T5),T5&gt;Settings!$C$4)</formula>
    </cfRule>
    <cfRule type="expression" priority="837" aboveAverage="0" equalAverage="0" bottom="0" percent="0" rank="0" text="" dxfId="1">
      <formula>AND(ISNUMBER(T5),T5&lt;-Settings!$C$4)</formula>
    </cfRule>
    <cfRule type="expression" priority="838" aboveAverage="0" equalAverage="0" bottom="0" percent="0" rank="0" text="" dxfId="2">
      <formula>AND(ISNUMBER(T5),ABS(T5)&lt;=Settings!$C$4)</formula>
    </cfRule>
    <cfRule type="expression" priority="839" aboveAverage="0" equalAverage="0" bottom="0" percent="0" rank="0" text="" dxfId="0">
      <formula>AND(ISNUMBER(T5),T5&gt;Settings!$C$4)</formula>
    </cfRule>
    <cfRule type="expression" priority="840" aboveAverage="0" equalAverage="0" bottom="0" percent="0" rank="0" text="" dxfId="1">
      <formula>AND(ISNUMBER(T5),T5&lt;-Settings!$C$4)</formula>
    </cfRule>
    <cfRule type="expression" priority="841" aboveAverage="0" equalAverage="0" bottom="0" percent="0" rank="0" text="" dxfId="2">
      <formula>AND(ISNUMBER(T5),ABS(T5)&lt;=Settings!$C$4)</formula>
    </cfRule>
    <cfRule type="expression" priority="842" aboveAverage="0" equalAverage="0" bottom="0" percent="0" rank="0" text="" dxfId="0">
      <formula>AND(ISNUMBER(T5),T5&gt;Settings!$C$4)</formula>
    </cfRule>
    <cfRule type="expression" priority="843" aboveAverage="0" equalAverage="0" bottom="0" percent="0" rank="0" text="" dxfId="1">
      <formula>AND(ISNUMBER(T5),T5&lt;-Settings!$C$4)</formula>
    </cfRule>
    <cfRule type="expression" priority="844" aboveAverage="0" equalAverage="0" bottom="0" percent="0" rank="0" text="" dxfId="2">
      <formula>AND(ISNUMBER(T5),ABS(T5)&lt;=Settings!$C$4)</formula>
    </cfRule>
    <cfRule type="expression" priority="845" aboveAverage="0" equalAverage="0" bottom="0" percent="0" rank="0" text="" dxfId="0">
      <formula>AND(ISNUMBER(T5),T5&gt;Settings!$C$4)</formula>
    </cfRule>
    <cfRule type="expression" priority="846" aboveAverage="0" equalAverage="0" bottom="0" percent="0" rank="0" text="" dxfId="1">
      <formula>AND(ISNUMBER(T5),T5&lt;-Settings!$C$4)</formula>
    </cfRule>
    <cfRule type="expression" priority="847" aboveAverage="0" equalAverage="0" bottom="0" percent="0" rank="0" text="" dxfId="2">
      <formula>AND(ISNUMBER(T5),ABS(T5)&lt;=Settings!$C$4)</formula>
    </cfRule>
    <cfRule type="expression" priority="848" aboveAverage="0" equalAverage="0" bottom="0" percent="0" rank="0" text="" dxfId="0">
      <formula>AND(ISNUMBER(T5),T5&gt;Settings!$C$4)</formula>
    </cfRule>
    <cfRule type="expression" priority="849" aboveAverage="0" equalAverage="0" bottom="0" percent="0" rank="0" text="" dxfId="1">
      <formula>AND(ISNUMBER(T5),T5&lt;-Settings!$C$4)</formula>
    </cfRule>
    <cfRule type="expression" priority="850" aboveAverage="0" equalAverage="0" bottom="0" percent="0" rank="0" text="" dxfId="2">
      <formula>AND(ISNUMBER(T5),ABS(T5)&lt;=Settings!$C$4)</formula>
    </cfRule>
    <cfRule type="expression" priority="851" aboveAverage="0" equalAverage="0" bottom="0" percent="0" rank="0" text="" dxfId="0">
      <formula>AND(ISNUMBER(T5),T5&gt;Settings!$C$4)</formula>
    </cfRule>
    <cfRule type="expression" priority="852" aboveAverage="0" equalAverage="0" bottom="0" percent="0" rank="0" text="" dxfId="1">
      <formula>AND(ISNUMBER(T5),T5&lt;-Settings!$C$4)</formula>
    </cfRule>
    <cfRule type="expression" priority="853" aboveAverage="0" equalAverage="0" bottom="0" percent="0" rank="0" text="" dxfId="2">
      <formula>AND(ISNUMBER(T5),ABS(T5)&lt;=Settings!$C$4)</formula>
    </cfRule>
    <cfRule type="expression" priority="854" aboveAverage="0" equalAverage="0" bottom="0" percent="0" rank="0" text="" dxfId="0">
      <formula>AND(ISNUMBER(T5),T5&gt;Settings!$C$4)</formula>
    </cfRule>
    <cfRule type="expression" priority="855" aboveAverage="0" equalAverage="0" bottom="0" percent="0" rank="0" text="" dxfId="1">
      <formula>AND(ISNUMBER(T5),T5&lt;-Settings!$C$4)</formula>
    </cfRule>
    <cfRule type="expression" priority="856" aboveAverage="0" equalAverage="0" bottom="0" percent="0" rank="0" text="" dxfId="2">
      <formula>AND(ISNUMBER(T5),ABS(T5)&lt;=Settings!$C$4)</formula>
    </cfRule>
    <cfRule type="expression" priority="857" aboveAverage="0" equalAverage="0" bottom="0" percent="0" rank="0" text="" dxfId="0">
      <formula>AND(ISNUMBER(T5),T5&gt;Settings!$C$4)</formula>
    </cfRule>
    <cfRule type="expression" priority="858" aboveAverage="0" equalAverage="0" bottom="0" percent="0" rank="0" text="" dxfId="1">
      <formula>AND(ISNUMBER(T5),T5&lt;-Settings!$C$4)</formula>
    </cfRule>
    <cfRule type="expression" priority="859" aboveAverage="0" equalAverage="0" bottom="0" percent="0" rank="0" text="" dxfId="2">
      <formula>AND(ISNUMBER(T5),ABS(T5)&lt;=Settings!$C$4)</formula>
    </cfRule>
    <cfRule type="expression" priority="860" aboveAverage="0" equalAverage="0" bottom="0" percent="0" rank="0" text="" dxfId="0">
      <formula>AND(ISNUMBER(T5),T5&gt;Settings!$C$4)</formula>
    </cfRule>
    <cfRule type="expression" priority="861" aboveAverage="0" equalAverage="0" bottom="0" percent="0" rank="0" text="" dxfId="1">
      <formula>AND(ISNUMBER(T5),T5&lt;-Settings!$C$4)</formula>
    </cfRule>
    <cfRule type="expression" priority="862" aboveAverage="0" equalAverage="0" bottom="0" percent="0" rank="0" text="" dxfId="2">
      <formula>AND(ISNUMBER(T5),ABS(T5)&lt;=Settings!$C$4)</formula>
    </cfRule>
    <cfRule type="expression" priority="863" aboveAverage="0" equalAverage="0" bottom="0" percent="0" rank="0" text="" dxfId="0">
      <formula>AND(ISNUMBER(T5),T5&gt;Settings!$C$4)</formula>
    </cfRule>
    <cfRule type="expression" priority="864" aboveAverage="0" equalAverage="0" bottom="0" percent="0" rank="0" text="" dxfId="1">
      <formula>AND(ISNUMBER(T5),T5&lt;-Settings!$C$4)</formula>
    </cfRule>
    <cfRule type="expression" priority="865" aboveAverage="0" equalAverage="0" bottom="0" percent="0" rank="0" text="" dxfId="2">
      <formula>AND(ISNUMBER(T5),ABS(T5)&lt;=Settings!$C$4)</formula>
    </cfRule>
    <cfRule type="expression" priority="866" aboveAverage="0" equalAverage="0" bottom="0" percent="0" rank="0" text="" dxfId="0">
      <formula>AND(ISNUMBER(T5),T5&gt;Settings!$C$4)</formula>
    </cfRule>
    <cfRule type="expression" priority="867" aboveAverage="0" equalAverage="0" bottom="0" percent="0" rank="0" text="" dxfId="1">
      <formula>AND(ISNUMBER(T5),T5&lt;-Settings!$C$4)</formula>
    </cfRule>
    <cfRule type="expression" priority="868" aboveAverage="0" equalAverage="0" bottom="0" percent="0" rank="0" text="" dxfId="2">
      <formula>AND(ISNUMBER(T5),ABS(T5)&lt;=Settings!$C$4)</formula>
    </cfRule>
    <cfRule type="expression" priority="869" aboveAverage="0" equalAverage="0" bottom="0" percent="0" rank="0" text="" dxfId="0">
      <formula>AND(ISNUMBER(T5),T5&gt;Settings!$C$4)</formula>
    </cfRule>
    <cfRule type="expression" priority="870" aboveAverage="0" equalAverage="0" bottom="0" percent="0" rank="0" text="" dxfId="1">
      <formula>AND(ISNUMBER(T5),T5&lt;-Settings!$C$4)</formula>
    </cfRule>
    <cfRule type="expression" priority="871" aboveAverage="0" equalAverage="0" bottom="0" percent="0" rank="0" text="" dxfId="2">
      <formula>AND(ISNUMBER(T5),ABS(T5)&lt;=Settings!$C$4)</formula>
    </cfRule>
    <cfRule type="expression" priority="872" aboveAverage="0" equalAverage="0" bottom="0" percent="0" rank="0" text="" dxfId="0">
      <formula>AND(ISNUMBER(T5),T5&gt;Settings!$C$4)</formula>
    </cfRule>
    <cfRule type="expression" priority="873" aboveAverage="0" equalAverage="0" bottom="0" percent="0" rank="0" text="" dxfId="1">
      <formula>AND(ISNUMBER(T5),T5&lt;-Settings!$C$4)</formula>
    </cfRule>
    <cfRule type="expression" priority="874" aboveAverage="0" equalAverage="0" bottom="0" percent="0" rank="0" text="" dxfId="2">
      <formula>AND(ISNUMBER(T5),ABS(T5)&lt;=Settings!$C$4)</formula>
    </cfRule>
    <cfRule type="expression" priority="875" aboveAverage="0" equalAverage="0" bottom="0" percent="0" rank="0" text="" dxfId="0">
      <formula>AND(ISNUMBER(T5),T5&gt;Settings!$C$4)</formula>
    </cfRule>
    <cfRule type="expression" priority="876" aboveAverage="0" equalAverage="0" bottom="0" percent="0" rank="0" text="" dxfId="1">
      <formula>AND(ISNUMBER(T5),T5&lt;-Settings!$C$4)</formula>
    </cfRule>
    <cfRule type="expression" priority="877" aboveAverage="0" equalAverage="0" bottom="0" percent="0" rank="0" text="" dxfId="2">
      <formula>AND(ISNUMBER(T5),ABS(T5)&lt;=Settings!$C$4)</formula>
    </cfRule>
    <cfRule type="expression" priority="878" aboveAverage="0" equalAverage="0" bottom="0" percent="0" rank="0" text="" dxfId="0">
      <formula>AND(ISNUMBER(T5),T5&gt;Settings!$C$4)</formula>
    </cfRule>
    <cfRule type="expression" priority="879" aboveAverage="0" equalAverage="0" bottom="0" percent="0" rank="0" text="" dxfId="1">
      <formula>AND(ISNUMBER(T5),T5&lt;-Settings!$C$4)</formula>
    </cfRule>
    <cfRule type="expression" priority="880" aboveAverage="0" equalAverage="0" bottom="0" percent="0" rank="0" text="" dxfId="2">
      <formula>AND(ISNUMBER(T5),ABS(T5)&lt;=Settings!$C$4)</formula>
    </cfRule>
    <cfRule type="expression" priority="881" aboveAverage="0" equalAverage="0" bottom="0" percent="0" rank="0" text="" dxfId="0">
      <formula>AND(ISNUMBER(T5),T5&gt;Settings!$C$4)</formula>
    </cfRule>
    <cfRule type="expression" priority="882" aboveAverage="0" equalAverage="0" bottom="0" percent="0" rank="0" text="" dxfId="1">
      <formula>AND(ISNUMBER(T5),T5&lt;-Settings!$C$4)</formula>
    </cfRule>
    <cfRule type="expression" priority="883" aboveAverage="0" equalAverage="0" bottom="0" percent="0" rank="0" text="" dxfId="2">
      <formula>AND(ISNUMBER(T5),ABS(T5)&lt;=Settings!$C$4)</formula>
    </cfRule>
  </conditionalFormatting>
  <conditionalFormatting sqref="W5:W46">
    <cfRule type="expression" priority="884" aboveAverage="0" equalAverage="0" bottom="0" percent="0" rank="0" text="" dxfId="0">
      <formula>AND(ISNUMBER(W5),W5&gt;Settings!$C$4)</formula>
    </cfRule>
    <cfRule type="expression" priority="885" aboveAverage="0" equalAverage="0" bottom="0" percent="0" rank="0" text="" dxfId="1">
      <formula>AND(ISNUMBER(W5),W5&lt;-Settings!$C$4)</formula>
    </cfRule>
    <cfRule type="expression" priority="886" aboveAverage="0" equalAverage="0" bottom="0" percent="0" rank="0" text="" dxfId="2">
      <formula>AND(ISNUMBER(W5),ABS(W5)&lt;=Settings!$C$4)</formula>
    </cfRule>
    <cfRule type="expression" priority="887" aboveAverage="0" equalAverage="0" bottom="0" percent="0" rank="0" text="" dxfId="0">
      <formula>AND(ISNUMBER(W5),W5&gt;Settings!$C$4)</formula>
    </cfRule>
    <cfRule type="expression" priority="888" aboveAverage="0" equalAverage="0" bottom="0" percent="0" rank="0" text="" dxfId="1">
      <formula>AND(ISNUMBER(W5),W5&lt;-Settings!$C$4)</formula>
    </cfRule>
    <cfRule type="expression" priority="889" aboveAverage="0" equalAverage="0" bottom="0" percent="0" rank="0" text="" dxfId="2">
      <formula>AND(ISNUMBER(W5),ABS(W5)&lt;=Settings!$C$4)</formula>
    </cfRule>
    <cfRule type="expression" priority="890" aboveAverage="0" equalAverage="0" bottom="0" percent="0" rank="0" text="" dxfId="0">
      <formula>AND(ISNUMBER(W5),W5&gt;Settings!$C$4)</formula>
    </cfRule>
    <cfRule type="expression" priority="891" aboveAverage="0" equalAverage="0" bottom="0" percent="0" rank="0" text="" dxfId="1">
      <formula>AND(ISNUMBER(W5),W5&lt;-Settings!$C$4)</formula>
    </cfRule>
    <cfRule type="expression" priority="892" aboveAverage="0" equalAverage="0" bottom="0" percent="0" rank="0" text="" dxfId="2">
      <formula>AND(ISNUMBER(W5),ABS(W5)&lt;=Settings!$C$4)</formula>
    </cfRule>
    <cfRule type="expression" priority="893" aboveAverage="0" equalAverage="0" bottom="0" percent="0" rank="0" text="" dxfId="0">
      <formula>AND(ISNUMBER(W5),W5&gt;Settings!$C$4)</formula>
    </cfRule>
    <cfRule type="expression" priority="894" aboveAverage="0" equalAverage="0" bottom="0" percent="0" rank="0" text="" dxfId="1">
      <formula>AND(ISNUMBER(W5),W5&lt;-Settings!$C$4)</formula>
    </cfRule>
    <cfRule type="expression" priority="895" aboveAverage="0" equalAverage="0" bottom="0" percent="0" rank="0" text="" dxfId="2">
      <formula>AND(ISNUMBER(W5),ABS(W5)&lt;=Settings!$C$4)</formula>
    </cfRule>
    <cfRule type="expression" priority="896" aboveAverage="0" equalAverage="0" bottom="0" percent="0" rank="0" text="" dxfId="0">
      <formula>AND(ISNUMBER(W5),W5&gt;Settings!$C$4)</formula>
    </cfRule>
    <cfRule type="expression" priority="897" aboveAverage="0" equalAverage="0" bottom="0" percent="0" rank="0" text="" dxfId="1">
      <formula>AND(ISNUMBER(W5),W5&lt;-Settings!$C$4)</formula>
    </cfRule>
    <cfRule type="expression" priority="898" aboveAverage="0" equalAverage="0" bottom="0" percent="0" rank="0" text="" dxfId="2">
      <formula>AND(ISNUMBER(W5),ABS(W5)&lt;=Settings!$C$4)</formula>
    </cfRule>
    <cfRule type="expression" priority="899" aboveAverage="0" equalAverage="0" bottom="0" percent="0" rank="0" text="" dxfId="0">
      <formula>AND(ISNUMBER(W5),W5&gt;Settings!$C$4)</formula>
    </cfRule>
    <cfRule type="expression" priority="900" aboveAverage="0" equalAverage="0" bottom="0" percent="0" rank="0" text="" dxfId="1">
      <formula>AND(ISNUMBER(W5),W5&lt;-Settings!$C$4)</formula>
    </cfRule>
    <cfRule type="expression" priority="901" aboveAverage="0" equalAverage="0" bottom="0" percent="0" rank="0" text="" dxfId="2">
      <formula>AND(ISNUMBER(W5),ABS(W5)&lt;=Settings!$C$4)</formula>
    </cfRule>
    <cfRule type="expression" priority="902" aboveAverage="0" equalAverage="0" bottom="0" percent="0" rank="0" text="" dxfId="0">
      <formula>AND(ISNUMBER(W5),W5&gt;Settings!$C$4)</formula>
    </cfRule>
    <cfRule type="expression" priority="903" aboveAverage="0" equalAverage="0" bottom="0" percent="0" rank="0" text="" dxfId="1">
      <formula>AND(ISNUMBER(W5),W5&lt;-Settings!$C$4)</formula>
    </cfRule>
    <cfRule type="expression" priority="904" aboveAverage="0" equalAverage="0" bottom="0" percent="0" rank="0" text="" dxfId="2">
      <formula>AND(ISNUMBER(W5),ABS(W5)&lt;=Settings!$C$4)</formula>
    </cfRule>
    <cfRule type="expression" priority="905" aboveAverage="0" equalAverage="0" bottom="0" percent="0" rank="0" text="" dxfId="0">
      <formula>AND(ISNUMBER(W5),W5&gt;Settings!$C$4)</formula>
    </cfRule>
    <cfRule type="expression" priority="906" aboveAverage="0" equalAverage="0" bottom="0" percent="0" rank="0" text="" dxfId="1">
      <formula>AND(ISNUMBER(W5),W5&lt;-Settings!$C$4)</formula>
    </cfRule>
    <cfRule type="expression" priority="907" aboveAverage="0" equalAverage="0" bottom="0" percent="0" rank="0" text="" dxfId="2">
      <formula>AND(ISNUMBER(W5),ABS(W5)&lt;=Settings!$C$4)</formula>
    </cfRule>
    <cfRule type="expression" priority="908" aboveAverage="0" equalAverage="0" bottom="0" percent="0" rank="0" text="" dxfId="0">
      <formula>AND(ISNUMBER(W5),W5&gt;Settings!$C$4)</formula>
    </cfRule>
    <cfRule type="expression" priority="909" aboveAverage="0" equalAverage="0" bottom="0" percent="0" rank="0" text="" dxfId="1">
      <formula>AND(ISNUMBER(W5),W5&lt;-Settings!$C$4)</formula>
    </cfRule>
    <cfRule type="expression" priority="910" aboveAverage="0" equalAverage="0" bottom="0" percent="0" rank="0" text="" dxfId="2">
      <formula>AND(ISNUMBER(W5),ABS(W5)&lt;=Settings!$C$4)</formula>
    </cfRule>
    <cfRule type="expression" priority="911" aboveAverage="0" equalAverage="0" bottom="0" percent="0" rank="0" text="" dxfId="0">
      <formula>AND(ISNUMBER(W5),W5&gt;Settings!$C$4)</formula>
    </cfRule>
    <cfRule type="expression" priority="912" aboveAverage="0" equalAverage="0" bottom="0" percent="0" rank="0" text="" dxfId="1">
      <formula>AND(ISNUMBER(W5),W5&lt;-Settings!$C$4)</formula>
    </cfRule>
    <cfRule type="expression" priority="913" aboveAverage="0" equalAverage="0" bottom="0" percent="0" rank="0" text="" dxfId="2">
      <formula>AND(ISNUMBER(W5),ABS(W5)&lt;=Settings!$C$4)</formula>
    </cfRule>
    <cfRule type="expression" priority="914" aboveAverage="0" equalAverage="0" bottom="0" percent="0" rank="0" text="" dxfId="0">
      <formula>AND(ISNUMBER(W5),W5&gt;Settings!$C$4)</formula>
    </cfRule>
    <cfRule type="expression" priority="915" aboveAverage="0" equalAverage="0" bottom="0" percent="0" rank="0" text="" dxfId="1">
      <formula>AND(ISNUMBER(W5),W5&lt;-Settings!$C$4)</formula>
    </cfRule>
    <cfRule type="expression" priority="916" aboveAverage="0" equalAverage="0" bottom="0" percent="0" rank="0" text="" dxfId="2">
      <formula>AND(ISNUMBER(W5),ABS(W5)&lt;=Settings!$C$4)</formula>
    </cfRule>
    <cfRule type="expression" priority="917" aboveAverage="0" equalAverage="0" bottom="0" percent="0" rank="0" text="" dxfId="0">
      <formula>AND(ISNUMBER(W5),W5&gt;Settings!$C$4)</formula>
    </cfRule>
    <cfRule type="expression" priority="918" aboveAverage="0" equalAverage="0" bottom="0" percent="0" rank="0" text="" dxfId="1">
      <formula>AND(ISNUMBER(W5),W5&lt;-Settings!$C$4)</formula>
    </cfRule>
    <cfRule type="expression" priority="919" aboveAverage="0" equalAverage="0" bottom="0" percent="0" rank="0" text="" dxfId="2">
      <formula>AND(ISNUMBER(W5),ABS(W5)&lt;=Settings!$C$4)</formula>
    </cfRule>
    <cfRule type="expression" priority="920" aboveAverage="0" equalAverage="0" bottom="0" percent="0" rank="0" text="" dxfId="0">
      <formula>AND(ISNUMBER(W5),W5&gt;Settings!$C$4)</formula>
    </cfRule>
    <cfRule type="expression" priority="921" aboveAverage="0" equalAverage="0" bottom="0" percent="0" rank="0" text="" dxfId="1">
      <formula>AND(ISNUMBER(W5),W5&lt;-Settings!$C$4)</formula>
    </cfRule>
    <cfRule type="expression" priority="922" aboveAverage="0" equalAverage="0" bottom="0" percent="0" rank="0" text="" dxfId="2">
      <formula>AND(ISNUMBER(W5),ABS(W5)&lt;=Settings!$C$4)</formula>
    </cfRule>
    <cfRule type="expression" priority="923" aboveAverage="0" equalAverage="0" bottom="0" percent="0" rank="0" text="" dxfId="0">
      <formula>AND(ISNUMBER(W5),W5&gt;Settings!$C$4)</formula>
    </cfRule>
    <cfRule type="expression" priority="924" aboveAverage="0" equalAverage="0" bottom="0" percent="0" rank="0" text="" dxfId="1">
      <formula>AND(ISNUMBER(W5),W5&lt;-Settings!$C$4)</formula>
    </cfRule>
    <cfRule type="expression" priority="925" aboveAverage="0" equalAverage="0" bottom="0" percent="0" rank="0" text="" dxfId="2">
      <formula>AND(ISNUMBER(W5),ABS(W5)&lt;=Settings!$C$4)</formula>
    </cfRule>
    <cfRule type="expression" priority="926" aboveAverage="0" equalAverage="0" bottom="0" percent="0" rank="0" text="" dxfId="0">
      <formula>AND(ISNUMBER(W5),W5&gt;Settings!$C$4)</formula>
    </cfRule>
    <cfRule type="expression" priority="927" aboveAverage="0" equalAverage="0" bottom="0" percent="0" rank="0" text="" dxfId="1">
      <formula>AND(ISNUMBER(W5),W5&lt;-Settings!$C$4)</formula>
    </cfRule>
    <cfRule type="expression" priority="928" aboveAverage="0" equalAverage="0" bottom="0" percent="0" rank="0" text="" dxfId="2">
      <formula>AND(ISNUMBER(W5),ABS(W5)&lt;=Settings!$C$4)</formula>
    </cfRule>
    <cfRule type="expression" priority="929" aboveAverage="0" equalAverage="0" bottom="0" percent="0" rank="0" text="" dxfId="0">
      <formula>AND(ISNUMBER(W5),W5&gt;Settings!$C$4)</formula>
    </cfRule>
    <cfRule type="expression" priority="930" aboveAverage="0" equalAverage="0" bottom="0" percent="0" rank="0" text="" dxfId="1">
      <formula>AND(ISNUMBER(W5),W5&lt;-Settings!$C$4)</formula>
    </cfRule>
    <cfRule type="expression" priority="931" aboveAverage="0" equalAverage="0" bottom="0" percent="0" rank="0" text="" dxfId="2">
      <formula>AND(ISNUMBER(W5),ABS(W5)&lt;=Settings!$C$4)</formula>
    </cfRule>
    <cfRule type="expression" priority="932" aboveAverage="0" equalAverage="0" bottom="0" percent="0" rank="0" text="" dxfId="0">
      <formula>AND(ISNUMBER(W5),W5&gt;Settings!$C$4)</formula>
    </cfRule>
    <cfRule type="expression" priority="933" aboveAverage="0" equalAverage="0" bottom="0" percent="0" rank="0" text="" dxfId="1">
      <formula>AND(ISNUMBER(W5),W5&lt;-Settings!$C$4)</formula>
    </cfRule>
    <cfRule type="expression" priority="934" aboveAverage="0" equalAverage="0" bottom="0" percent="0" rank="0" text="" dxfId="2">
      <formula>AND(ISNUMBER(W5),ABS(W5)&lt;=Settings!$C$4)</formula>
    </cfRule>
    <cfRule type="expression" priority="935" aboveAverage="0" equalAverage="0" bottom="0" percent="0" rank="0" text="" dxfId="0">
      <formula>AND(ISNUMBER(W5),W5&gt;Settings!$C$4)</formula>
    </cfRule>
    <cfRule type="expression" priority="936" aboveAverage="0" equalAverage="0" bottom="0" percent="0" rank="0" text="" dxfId="1">
      <formula>AND(ISNUMBER(W5),W5&lt;-Settings!$C$4)</formula>
    </cfRule>
    <cfRule type="expression" priority="937" aboveAverage="0" equalAverage="0" bottom="0" percent="0" rank="0" text="" dxfId="2">
      <formula>AND(ISNUMBER(W5),ABS(W5)&lt;=Settings!$C$4)</formula>
    </cfRule>
    <cfRule type="expression" priority="938" aboveAverage="0" equalAverage="0" bottom="0" percent="0" rank="0" text="" dxfId="0">
      <formula>AND(ISNUMBER(W5),W5&gt;Settings!$C$4)</formula>
    </cfRule>
    <cfRule type="expression" priority="939" aboveAverage="0" equalAverage="0" bottom="0" percent="0" rank="0" text="" dxfId="1">
      <formula>AND(ISNUMBER(W5),W5&lt;-Settings!$C$4)</formula>
    </cfRule>
    <cfRule type="expression" priority="940" aboveAverage="0" equalAverage="0" bottom="0" percent="0" rank="0" text="" dxfId="2">
      <formula>AND(ISNUMBER(W5),ABS(W5)&lt;=Settings!$C$4)</formula>
    </cfRule>
    <cfRule type="expression" priority="941" aboveAverage="0" equalAverage="0" bottom="0" percent="0" rank="0" text="" dxfId="0">
      <formula>AND(ISNUMBER(W5),W5&gt;Settings!$C$4)</formula>
    </cfRule>
    <cfRule type="expression" priority="942" aboveAverage="0" equalAverage="0" bottom="0" percent="0" rank="0" text="" dxfId="1">
      <formula>AND(ISNUMBER(W5),W5&lt;-Settings!$C$4)</formula>
    </cfRule>
    <cfRule type="expression" priority="943" aboveAverage="0" equalAverage="0" bottom="0" percent="0" rank="0" text="" dxfId="2">
      <formula>AND(ISNUMBER(W5),ABS(W5)&lt;=Settings!$C$4)</formula>
    </cfRule>
    <cfRule type="expression" priority="944" aboveAverage="0" equalAverage="0" bottom="0" percent="0" rank="0" text="" dxfId="0">
      <formula>AND(ISNUMBER(W5),W5&gt;Settings!$C$4)</formula>
    </cfRule>
    <cfRule type="expression" priority="945" aboveAverage="0" equalAverage="0" bottom="0" percent="0" rank="0" text="" dxfId="1">
      <formula>AND(ISNUMBER(W5),W5&lt;-Settings!$C$4)</formula>
    </cfRule>
    <cfRule type="expression" priority="946" aboveAverage="0" equalAverage="0" bottom="0" percent="0" rank="0" text="" dxfId="2">
      <formula>AND(ISNUMBER(W5),ABS(W5)&lt;=Settings!$C$4)</formula>
    </cfRule>
    <cfRule type="expression" priority="947" aboveAverage="0" equalAverage="0" bottom="0" percent="0" rank="0" text="" dxfId="0">
      <formula>AND(ISNUMBER(W5),W5&gt;Settings!$C$4)</formula>
    </cfRule>
    <cfRule type="expression" priority="948" aboveAverage="0" equalAverage="0" bottom="0" percent="0" rank="0" text="" dxfId="1">
      <formula>AND(ISNUMBER(W5),W5&lt;-Settings!$C$4)</formula>
    </cfRule>
    <cfRule type="expression" priority="949" aboveAverage="0" equalAverage="0" bottom="0" percent="0" rank="0" text="" dxfId="2">
      <formula>AND(ISNUMBER(W5),ABS(W5)&lt;=Settings!$C$4)</formula>
    </cfRule>
    <cfRule type="expression" priority="950" aboveAverage="0" equalAverage="0" bottom="0" percent="0" rank="0" text="" dxfId="0">
      <formula>AND(ISNUMBER(W5),W5&gt;Settings!$C$4)</formula>
    </cfRule>
    <cfRule type="expression" priority="951" aboveAverage="0" equalAverage="0" bottom="0" percent="0" rank="0" text="" dxfId="1">
      <formula>AND(ISNUMBER(W5),W5&lt;-Settings!$C$4)</formula>
    </cfRule>
    <cfRule type="expression" priority="952" aboveAverage="0" equalAverage="0" bottom="0" percent="0" rank="0" text="" dxfId="2">
      <formula>AND(ISNUMBER(W5),ABS(W5)&lt;=Settings!$C$4)</formula>
    </cfRule>
    <cfRule type="expression" priority="953" aboveAverage="0" equalAverage="0" bottom="0" percent="0" rank="0" text="" dxfId="0">
      <formula>AND(ISNUMBER(W5),W5&gt;Settings!$C$4)</formula>
    </cfRule>
    <cfRule type="expression" priority="954" aboveAverage="0" equalAverage="0" bottom="0" percent="0" rank="0" text="" dxfId="1">
      <formula>AND(ISNUMBER(W5),W5&lt;-Settings!$C$4)</formula>
    </cfRule>
    <cfRule type="expression" priority="955" aboveAverage="0" equalAverage="0" bottom="0" percent="0" rank="0" text="" dxfId="2">
      <formula>AND(ISNUMBER(W5),ABS(W5)&lt;=Settings!$C$4)</formula>
    </cfRule>
    <cfRule type="expression" priority="956" aboveAverage="0" equalAverage="0" bottom="0" percent="0" rank="0" text="" dxfId="0">
      <formula>AND(ISNUMBER(W5),W5&gt;Settings!$C$4)</formula>
    </cfRule>
    <cfRule type="expression" priority="957" aboveAverage="0" equalAverage="0" bottom="0" percent="0" rank="0" text="" dxfId="1">
      <formula>AND(ISNUMBER(W5),W5&lt;-Settings!$C$4)</formula>
    </cfRule>
    <cfRule type="expression" priority="958" aboveAverage="0" equalAverage="0" bottom="0" percent="0" rank="0" text="" dxfId="2">
      <formula>AND(ISNUMBER(W5),ABS(W5)&lt;=Settings!$C$4)</formula>
    </cfRule>
    <cfRule type="expression" priority="959" aboveAverage="0" equalAverage="0" bottom="0" percent="0" rank="0" text="" dxfId="0">
      <formula>AND(ISNUMBER(W5),W5&gt;Settings!$C$4)</formula>
    </cfRule>
    <cfRule type="expression" priority="960" aboveAverage="0" equalAverage="0" bottom="0" percent="0" rank="0" text="" dxfId="1">
      <formula>AND(ISNUMBER(W5),W5&lt;-Settings!$C$4)</formula>
    </cfRule>
    <cfRule type="expression" priority="961" aboveAverage="0" equalAverage="0" bottom="0" percent="0" rank="0" text="" dxfId="2">
      <formula>AND(ISNUMBER(W5),ABS(W5)&lt;=Settings!$C$4)</formula>
    </cfRule>
    <cfRule type="expression" priority="962" aboveAverage="0" equalAverage="0" bottom="0" percent="0" rank="0" text="" dxfId="0">
      <formula>AND(ISNUMBER(W5),W5&gt;Settings!$C$4)</formula>
    </cfRule>
    <cfRule type="expression" priority="963" aboveAverage="0" equalAverage="0" bottom="0" percent="0" rank="0" text="" dxfId="1">
      <formula>AND(ISNUMBER(W5),W5&lt;-Settings!$C$4)</formula>
    </cfRule>
    <cfRule type="expression" priority="964" aboveAverage="0" equalAverage="0" bottom="0" percent="0" rank="0" text="" dxfId="2">
      <formula>AND(ISNUMBER(W5),ABS(W5)&lt;=Settings!$C$4)</formula>
    </cfRule>
    <cfRule type="expression" priority="965" aboveAverage="0" equalAverage="0" bottom="0" percent="0" rank="0" text="" dxfId="0">
      <formula>AND(ISNUMBER(W5),W5&gt;Settings!$C$4)</formula>
    </cfRule>
    <cfRule type="expression" priority="966" aboveAverage="0" equalAverage="0" bottom="0" percent="0" rank="0" text="" dxfId="1">
      <formula>AND(ISNUMBER(W5),W5&lt;-Settings!$C$4)</formula>
    </cfRule>
    <cfRule type="expression" priority="967" aboveAverage="0" equalAverage="0" bottom="0" percent="0" rank="0" text="" dxfId="2">
      <formula>AND(ISNUMBER(W5),ABS(W5)&lt;=Settings!$C$4)</formula>
    </cfRule>
    <cfRule type="expression" priority="968" aboveAverage="0" equalAverage="0" bottom="0" percent="0" rank="0" text="" dxfId="0">
      <formula>AND(ISNUMBER(W5),W5&gt;Settings!$C$4)</formula>
    </cfRule>
    <cfRule type="expression" priority="969" aboveAverage="0" equalAverage="0" bottom="0" percent="0" rank="0" text="" dxfId="1">
      <formula>AND(ISNUMBER(W5),W5&lt;-Settings!$C$4)</formula>
    </cfRule>
    <cfRule type="expression" priority="970" aboveAverage="0" equalAverage="0" bottom="0" percent="0" rank="0" text="" dxfId="2">
      <formula>AND(ISNUMBER(W5),ABS(W5)&lt;=Settings!$C$4)</formula>
    </cfRule>
    <cfRule type="expression" priority="971" aboveAverage="0" equalAverage="0" bottom="0" percent="0" rank="0" text="" dxfId="0">
      <formula>AND(ISNUMBER(W5),W5&gt;Settings!$C$4)</formula>
    </cfRule>
    <cfRule type="expression" priority="972" aboveAverage="0" equalAverage="0" bottom="0" percent="0" rank="0" text="" dxfId="1">
      <formula>AND(ISNUMBER(W5),W5&lt;-Settings!$C$4)</formula>
    </cfRule>
    <cfRule type="expression" priority="973" aboveAverage="0" equalAverage="0" bottom="0" percent="0" rank="0" text="" dxfId="2">
      <formula>AND(ISNUMBER(W5),ABS(W5)&lt;=Settings!$C$4)</formula>
    </cfRule>
    <cfRule type="expression" priority="974" aboveAverage="0" equalAverage="0" bottom="0" percent="0" rank="0" text="" dxfId="0">
      <formula>AND(ISNUMBER(W5),W5&gt;Settings!$C$4)</formula>
    </cfRule>
    <cfRule type="expression" priority="975" aboveAverage="0" equalAverage="0" bottom="0" percent="0" rank="0" text="" dxfId="1">
      <formula>AND(ISNUMBER(W5),W5&lt;-Settings!$C$4)</formula>
    </cfRule>
    <cfRule type="expression" priority="976" aboveAverage="0" equalAverage="0" bottom="0" percent="0" rank="0" text="" dxfId="2">
      <formula>AND(ISNUMBER(W5),ABS(W5)&lt;=Settings!$C$4)</formula>
    </cfRule>
    <cfRule type="expression" priority="977" aboveAverage="0" equalAverage="0" bottom="0" percent="0" rank="0" text="" dxfId="0">
      <formula>AND(ISNUMBER(W5),W5&gt;Settings!$C$4)</formula>
    </cfRule>
    <cfRule type="expression" priority="978" aboveAverage="0" equalAverage="0" bottom="0" percent="0" rank="0" text="" dxfId="1">
      <formula>AND(ISNUMBER(W5),W5&lt;-Settings!$C$4)</formula>
    </cfRule>
    <cfRule type="expression" priority="979" aboveAverage="0" equalAverage="0" bottom="0" percent="0" rank="0" text="" dxfId="2">
      <formula>AND(ISNUMBER(W5),ABS(W5)&lt;=Settings!$C$4)</formula>
    </cfRule>
    <cfRule type="expression" priority="980" aboveAverage="0" equalAverage="0" bottom="0" percent="0" rank="0" text="" dxfId="0">
      <formula>AND(ISNUMBER(W5),W5&gt;Settings!$C$4)</formula>
    </cfRule>
    <cfRule type="expression" priority="981" aboveAverage="0" equalAverage="0" bottom="0" percent="0" rank="0" text="" dxfId="1">
      <formula>AND(ISNUMBER(W5),W5&lt;-Settings!$C$4)</formula>
    </cfRule>
    <cfRule type="expression" priority="982" aboveAverage="0" equalAverage="0" bottom="0" percent="0" rank="0" text="" dxfId="2">
      <formula>AND(ISNUMBER(W5),ABS(W5)&lt;=Settings!$C$4)</formula>
    </cfRule>
    <cfRule type="expression" priority="983" aboveAverage="0" equalAverage="0" bottom="0" percent="0" rank="0" text="" dxfId="0">
      <formula>AND(ISNUMBER(W5),W5&gt;Settings!$C$4)</formula>
    </cfRule>
    <cfRule type="expression" priority="984" aboveAverage="0" equalAverage="0" bottom="0" percent="0" rank="0" text="" dxfId="1">
      <formula>AND(ISNUMBER(W5),W5&lt;-Settings!$C$4)</formula>
    </cfRule>
    <cfRule type="expression" priority="985" aboveAverage="0" equalAverage="0" bottom="0" percent="0" rank="0" text="" dxfId="2">
      <formula>AND(ISNUMBER(W5),ABS(W5)&lt;=Settings!$C$4)</formula>
    </cfRule>
    <cfRule type="expression" priority="986" aboveAverage="0" equalAverage="0" bottom="0" percent="0" rank="0" text="" dxfId="0">
      <formula>AND(ISNUMBER(W5),W5&gt;Settings!$C$4)</formula>
    </cfRule>
    <cfRule type="expression" priority="987" aboveAverage="0" equalAverage="0" bottom="0" percent="0" rank="0" text="" dxfId="1">
      <formula>AND(ISNUMBER(W5),W5&lt;-Settings!$C$4)</formula>
    </cfRule>
    <cfRule type="expression" priority="988" aboveAverage="0" equalAverage="0" bottom="0" percent="0" rank="0" text="" dxfId="2">
      <formula>AND(ISNUMBER(W5),ABS(W5)&lt;=Settings!$C$4)</formula>
    </cfRule>
    <cfRule type="expression" priority="989" aboveAverage="0" equalAverage="0" bottom="0" percent="0" rank="0" text="" dxfId="0">
      <formula>AND(ISNUMBER(W5),W5&gt;Settings!$C$4)</formula>
    </cfRule>
    <cfRule type="expression" priority="990" aboveAverage="0" equalAverage="0" bottom="0" percent="0" rank="0" text="" dxfId="1">
      <formula>AND(ISNUMBER(W5),W5&lt;-Settings!$C$4)</formula>
    </cfRule>
    <cfRule type="expression" priority="991" aboveAverage="0" equalAverage="0" bottom="0" percent="0" rank="0" text="" dxfId="2">
      <formula>AND(ISNUMBER(W5),ABS(W5)&lt;=Settings!$C$4)</formula>
    </cfRule>
    <cfRule type="expression" priority="992" aboveAverage="0" equalAverage="0" bottom="0" percent="0" rank="0" text="" dxfId="0">
      <formula>AND(ISNUMBER(W5),W5&gt;Settings!$C$4)</formula>
    </cfRule>
    <cfRule type="expression" priority="993" aboveAverage="0" equalAverage="0" bottom="0" percent="0" rank="0" text="" dxfId="1">
      <formula>AND(ISNUMBER(W5),W5&lt;-Settings!$C$4)</formula>
    </cfRule>
    <cfRule type="expression" priority="994" aboveAverage="0" equalAverage="0" bottom="0" percent="0" rank="0" text="" dxfId="2">
      <formula>AND(ISNUMBER(W5),ABS(W5)&lt;=Settings!$C$4)</formula>
    </cfRule>
    <cfRule type="expression" priority="995" aboveAverage="0" equalAverage="0" bottom="0" percent="0" rank="0" text="" dxfId="0">
      <formula>AND(ISNUMBER(W5),W5&gt;Settings!$C$4)</formula>
    </cfRule>
    <cfRule type="expression" priority="996" aboveAverage="0" equalAverage="0" bottom="0" percent="0" rank="0" text="" dxfId="1">
      <formula>AND(ISNUMBER(W5),W5&lt;-Settings!$C$4)</formula>
    </cfRule>
    <cfRule type="expression" priority="997" aboveAverage="0" equalAverage="0" bottom="0" percent="0" rank="0" text="" dxfId="2">
      <formula>AND(ISNUMBER(W5),ABS(W5)&lt;=Settings!$C$4)</formula>
    </cfRule>
    <cfRule type="expression" priority="998" aboveAverage="0" equalAverage="0" bottom="0" percent="0" rank="0" text="" dxfId="0">
      <formula>AND(ISNUMBER(W5),W5&gt;Settings!$C$4)</formula>
    </cfRule>
    <cfRule type="expression" priority="999" aboveAverage="0" equalAverage="0" bottom="0" percent="0" rank="0" text="" dxfId="1">
      <formula>AND(ISNUMBER(W5),W5&lt;-Settings!$C$4)</formula>
    </cfRule>
    <cfRule type="expression" priority="1000" aboveAverage="0" equalAverage="0" bottom="0" percent="0" rank="0" text="" dxfId="2">
      <formula>AND(ISNUMBER(W5),ABS(W5)&lt;=Settings!$C$4)</formula>
    </cfRule>
    <cfRule type="expression" priority="1001" aboveAverage="0" equalAverage="0" bottom="0" percent="0" rank="0" text="" dxfId="0">
      <formula>AND(ISNUMBER(W5),W5&gt;Settings!$C$4)</formula>
    </cfRule>
    <cfRule type="expression" priority="1002" aboveAverage="0" equalAverage="0" bottom="0" percent="0" rank="0" text="" dxfId="1">
      <formula>AND(ISNUMBER(W5),W5&lt;-Settings!$C$4)</formula>
    </cfRule>
    <cfRule type="expression" priority="1003" aboveAverage="0" equalAverage="0" bottom="0" percent="0" rank="0" text="" dxfId="2">
      <formula>AND(ISNUMBER(W5),ABS(W5)&lt;=Settings!$C$4)</formula>
    </cfRule>
    <cfRule type="expression" priority="1004" aboveAverage="0" equalAverage="0" bottom="0" percent="0" rank="0" text="" dxfId="0">
      <formula>AND(ISNUMBER(W5),W5&gt;Settings!$C$4)</formula>
    </cfRule>
    <cfRule type="expression" priority="1005" aboveAverage="0" equalAverage="0" bottom="0" percent="0" rank="0" text="" dxfId="1">
      <formula>AND(ISNUMBER(W5),W5&lt;-Settings!$C$4)</formula>
    </cfRule>
    <cfRule type="expression" priority="1006" aboveAverage="0" equalAverage="0" bottom="0" percent="0" rank="0" text="" dxfId="2">
      <formula>AND(ISNUMBER(W5),ABS(W5)&lt;=Settings!$C$4)</formula>
    </cfRule>
    <cfRule type="expression" priority="1007" aboveAverage="0" equalAverage="0" bottom="0" percent="0" rank="0" text="" dxfId="0">
      <formula>AND(ISNUMBER(W5),W5&gt;Settings!$C$4)</formula>
    </cfRule>
    <cfRule type="expression" priority="1008" aboveAverage="0" equalAverage="0" bottom="0" percent="0" rank="0" text="" dxfId="1">
      <formula>AND(ISNUMBER(W5),W5&lt;-Settings!$C$4)</formula>
    </cfRule>
    <cfRule type="expression" priority="1009" aboveAverage="0" equalAverage="0" bottom="0" percent="0" rank="0" text="" dxfId="2">
      <formula>AND(ISNUMBER(W5),ABS(W5)&lt;=Settings!$C$4)</formula>
    </cfRule>
  </conditionalFormatting>
  <conditionalFormatting sqref="Z5:Z46">
    <cfRule type="expression" priority="1010" aboveAverage="0" equalAverage="0" bottom="0" percent="0" rank="0" text="" dxfId="0">
      <formula>AND(ISNUMBER(Z5),Z5&gt;Settings!$C$4)</formula>
    </cfRule>
    <cfRule type="expression" priority="1011" aboveAverage="0" equalAverage="0" bottom="0" percent="0" rank="0" text="" dxfId="1">
      <formula>AND(ISNUMBER(Z5),Z5&lt;-Settings!$C$4)</formula>
    </cfRule>
    <cfRule type="expression" priority="1012" aboveAverage="0" equalAverage="0" bottom="0" percent="0" rank="0" text="" dxfId="2">
      <formula>AND(ISNUMBER(Z5),ABS(Z5)&lt;=Settings!$C$4)</formula>
    </cfRule>
    <cfRule type="expression" priority="1013" aboveAverage="0" equalAverage="0" bottom="0" percent="0" rank="0" text="" dxfId="0">
      <formula>AND(ISNUMBER(Z5),Z5&gt;Settings!$C$4)</formula>
    </cfRule>
    <cfRule type="expression" priority="1014" aboveAverage="0" equalAverage="0" bottom="0" percent="0" rank="0" text="" dxfId="1">
      <formula>AND(ISNUMBER(Z5),Z5&lt;-Settings!$C$4)</formula>
    </cfRule>
    <cfRule type="expression" priority="1015" aboveAverage="0" equalAverage="0" bottom="0" percent="0" rank="0" text="" dxfId="2">
      <formula>AND(ISNUMBER(Z5),ABS(Z5)&lt;=Settings!$C$4)</formula>
    </cfRule>
    <cfRule type="expression" priority="1016" aboveAverage="0" equalAverage="0" bottom="0" percent="0" rank="0" text="" dxfId="0">
      <formula>AND(ISNUMBER(Z5),Z5&gt;Settings!$C$4)</formula>
    </cfRule>
    <cfRule type="expression" priority="1017" aboveAverage="0" equalAverage="0" bottom="0" percent="0" rank="0" text="" dxfId="1">
      <formula>AND(ISNUMBER(Z5),Z5&lt;-Settings!$C$4)</formula>
    </cfRule>
    <cfRule type="expression" priority="1018" aboveAverage="0" equalAverage="0" bottom="0" percent="0" rank="0" text="" dxfId="2">
      <formula>AND(ISNUMBER(Z5),ABS(Z5)&lt;=Settings!$C$4)</formula>
    </cfRule>
    <cfRule type="expression" priority="1019" aboveAverage="0" equalAverage="0" bottom="0" percent="0" rank="0" text="" dxfId="0">
      <formula>AND(ISNUMBER(Z5),Z5&gt;Settings!$C$4)</formula>
    </cfRule>
    <cfRule type="expression" priority="1020" aboveAverage="0" equalAverage="0" bottom="0" percent="0" rank="0" text="" dxfId="1">
      <formula>AND(ISNUMBER(Z5),Z5&lt;-Settings!$C$4)</formula>
    </cfRule>
    <cfRule type="expression" priority="1021" aboveAverage="0" equalAverage="0" bottom="0" percent="0" rank="0" text="" dxfId="2">
      <formula>AND(ISNUMBER(Z5),ABS(Z5)&lt;=Settings!$C$4)</formula>
    </cfRule>
    <cfRule type="expression" priority="1022" aboveAverage="0" equalAverage="0" bottom="0" percent="0" rank="0" text="" dxfId="0">
      <formula>AND(ISNUMBER(Z5),Z5&gt;Settings!$C$4)</formula>
    </cfRule>
    <cfRule type="expression" priority="1023" aboveAverage="0" equalAverage="0" bottom="0" percent="0" rank="0" text="" dxfId="1">
      <formula>AND(ISNUMBER(Z5),Z5&lt;-Settings!$C$4)</formula>
    </cfRule>
    <cfRule type="expression" priority="1024" aboveAverage="0" equalAverage="0" bottom="0" percent="0" rank="0" text="" dxfId="2">
      <formula>AND(ISNUMBER(Z5),ABS(Z5)&lt;=Settings!$C$4)</formula>
    </cfRule>
    <cfRule type="expression" priority="1025" aboveAverage="0" equalAverage="0" bottom="0" percent="0" rank="0" text="" dxfId="0">
      <formula>AND(ISNUMBER(Z5),Z5&gt;Settings!$C$4)</formula>
    </cfRule>
    <cfRule type="expression" priority="1026" aboveAverage="0" equalAverage="0" bottom="0" percent="0" rank="0" text="" dxfId="1">
      <formula>AND(ISNUMBER(Z5),Z5&lt;-Settings!$C$4)</formula>
    </cfRule>
    <cfRule type="expression" priority="1027" aboveAverage="0" equalAverage="0" bottom="0" percent="0" rank="0" text="" dxfId="2">
      <formula>AND(ISNUMBER(Z5),ABS(Z5)&lt;=Settings!$C$4)</formula>
    </cfRule>
    <cfRule type="expression" priority="1028" aboveAverage="0" equalAverage="0" bottom="0" percent="0" rank="0" text="" dxfId="0">
      <formula>AND(ISNUMBER(Z5),Z5&gt;Settings!$C$4)</formula>
    </cfRule>
    <cfRule type="expression" priority="1029" aboveAverage="0" equalAverage="0" bottom="0" percent="0" rank="0" text="" dxfId="1">
      <formula>AND(ISNUMBER(Z5),Z5&lt;-Settings!$C$4)</formula>
    </cfRule>
    <cfRule type="expression" priority="1030" aboveAverage="0" equalAverage="0" bottom="0" percent="0" rank="0" text="" dxfId="2">
      <formula>AND(ISNUMBER(Z5),ABS(Z5)&lt;=Settings!$C$4)</formula>
    </cfRule>
    <cfRule type="expression" priority="1031" aboveAverage="0" equalAverage="0" bottom="0" percent="0" rank="0" text="" dxfId="0">
      <formula>AND(ISNUMBER(Z5),Z5&gt;Settings!$C$4)</formula>
    </cfRule>
    <cfRule type="expression" priority="1032" aboveAverage="0" equalAverage="0" bottom="0" percent="0" rank="0" text="" dxfId="1">
      <formula>AND(ISNUMBER(Z5),Z5&lt;-Settings!$C$4)</formula>
    </cfRule>
    <cfRule type="expression" priority="1033" aboveAverage="0" equalAverage="0" bottom="0" percent="0" rank="0" text="" dxfId="2">
      <formula>AND(ISNUMBER(Z5),ABS(Z5)&lt;=Settings!$C$4)</formula>
    </cfRule>
    <cfRule type="expression" priority="1034" aboveAverage="0" equalAverage="0" bottom="0" percent="0" rank="0" text="" dxfId="0">
      <formula>AND(ISNUMBER(Z5),Z5&gt;Settings!$C$4)</formula>
    </cfRule>
    <cfRule type="expression" priority="1035" aboveAverage="0" equalAverage="0" bottom="0" percent="0" rank="0" text="" dxfId="1">
      <formula>AND(ISNUMBER(Z5),Z5&lt;-Settings!$C$4)</formula>
    </cfRule>
    <cfRule type="expression" priority="1036" aboveAverage="0" equalAverage="0" bottom="0" percent="0" rank="0" text="" dxfId="2">
      <formula>AND(ISNUMBER(Z5),ABS(Z5)&lt;=Settings!$C$4)</formula>
    </cfRule>
    <cfRule type="expression" priority="1037" aboveAverage="0" equalAverage="0" bottom="0" percent="0" rank="0" text="" dxfId="0">
      <formula>AND(ISNUMBER(Z5),Z5&gt;Settings!$C$4)</formula>
    </cfRule>
    <cfRule type="expression" priority="1038" aboveAverage="0" equalAverage="0" bottom="0" percent="0" rank="0" text="" dxfId="1">
      <formula>AND(ISNUMBER(Z5),Z5&lt;-Settings!$C$4)</formula>
    </cfRule>
    <cfRule type="expression" priority="1039" aboveAverage="0" equalAverage="0" bottom="0" percent="0" rank="0" text="" dxfId="2">
      <formula>AND(ISNUMBER(Z5),ABS(Z5)&lt;=Settings!$C$4)</formula>
    </cfRule>
    <cfRule type="expression" priority="1040" aboveAverage="0" equalAverage="0" bottom="0" percent="0" rank="0" text="" dxfId="0">
      <formula>AND(ISNUMBER(Z5),Z5&gt;Settings!$C$4)</formula>
    </cfRule>
    <cfRule type="expression" priority="1041" aboveAverage="0" equalAverage="0" bottom="0" percent="0" rank="0" text="" dxfId="1">
      <formula>AND(ISNUMBER(Z5),Z5&lt;-Settings!$C$4)</formula>
    </cfRule>
    <cfRule type="expression" priority="1042" aboveAverage="0" equalAverage="0" bottom="0" percent="0" rank="0" text="" dxfId="2">
      <formula>AND(ISNUMBER(Z5),ABS(Z5)&lt;=Settings!$C$4)</formula>
    </cfRule>
    <cfRule type="expression" priority="1043" aboveAverage="0" equalAverage="0" bottom="0" percent="0" rank="0" text="" dxfId="0">
      <formula>AND(ISNUMBER(Z5),Z5&gt;Settings!$C$4)</formula>
    </cfRule>
    <cfRule type="expression" priority="1044" aboveAverage="0" equalAverage="0" bottom="0" percent="0" rank="0" text="" dxfId="1">
      <formula>AND(ISNUMBER(Z5),Z5&lt;-Settings!$C$4)</formula>
    </cfRule>
    <cfRule type="expression" priority="1045" aboveAverage="0" equalAverage="0" bottom="0" percent="0" rank="0" text="" dxfId="2">
      <formula>AND(ISNUMBER(Z5),ABS(Z5)&lt;=Settings!$C$4)</formula>
    </cfRule>
    <cfRule type="expression" priority="1046" aboveAverage="0" equalAverage="0" bottom="0" percent="0" rank="0" text="" dxfId="0">
      <formula>AND(ISNUMBER(Z5),Z5&gt;Settings!$C$4)</formula>
    </cfRule>
    <cfRule type="expression" priority="1047" aboveAverage="0" equalAverage="0" bottom="0" percent="0" rank="0" text="" dxfId="1">
      <formula>AND(ISNUMBER(Z5),Z5&lt;-Settings!$C$4)</formula>
    </cfRule>
    <cfRule type="expression" priority="1048" aboveAverage="0" equalAverage="0" bottom="0" percent="0" rank="0" text="" dxfId="2">
      <formula>AND(ISNUMBER(Z5),ABS(Z5)&lt;=Settings!$C$4)</formula>
    </cfRule>
    <cfRule type="expression" priority="1049" aboveAverage="0" equalAverage="0" bottom="0" percent="0" rank="0" text="" dxfId="0">
      <formula>AND(ISNUMBER(Z5),Z5&gt;Settings!$C$4)</formula>
    </cfRule>
    <cfRule type="expression" priority="1050" aboveAverage="0" equalAverage="0" bottom="0" percent="0" rank="0" text="" dxfId="1">
      <formula>AND(ISNUMBER(Z5),Z5&lt;-Settings!$C$4)</formula>
    </cfRule>
    <cfRule type="expression" priority="1051" aboveAverage="0" equalAverage="0" bottom="0" percent="0" rank="0" text="" dxfId="2">
      <formula>AND(ISNUMBER(Z5),ABS(Z5)&lt;=Settings!$C$4)</formula>
    </cfRule>
    <cfRule type="expression" priority="1052" aboveAverage="0" equalAverage="0" bottom="0" percent="0" rank="0" text="" dxfId="0">
      <formula>AND(ISNUMBER(Z5),Z5&gt;Settings!$C$4)</formula>
    </cfRule>
    <cfRule type="expression" priority="1053" aboveAverage="0" equalAverage="0" bottom="0" percent="0" rank="0" text="" dxfId="1">
      <formula>AND(ISNUMBER(Z5),Z5&lt;-Settings!$C$4)</formula>
    </cfRule>
    <cfRule type="expression" priority="1054" aboveAverage="0" equalAverage="0" bottom="0" percent="0" rank="0" text="" dxfId="2">
      <formula>AND(ISNUMBER(Z5),ABS(Z5)&lt;=Settings!$C$4)</formula>
    </cfRule>
    <cfRule type="expression" priority="1055" aboveAverage="0" equalAverage="0" bottom="0" percent="0" rank="0" text="" dxfId="0">
      <formula>AND(ISNUMBER(Z5),Z5&gt;Settings!$C$4)</formula>
    </cfRule>
    <cfRule type="expression" priority="1056" aboveAverage="0" equalAverage="0" bottom="0" percent="0" rank="0" text="" dxfId="1">
      <formula>AND(ISNUMBER(Z5),Z5&lt;-Settings!$C$4)</formula>
    </cfRule>
    <cfRule type="expression" priority="1057" aboveAverage="0" equalAverage="0" bottom="0" percent="0" rank="0" text="" dxfId="2">
      <formula>AND(ISNUMBER(Z5),ABS(Z5)&lt;=Settings!$C$4)</formula>
    </cfRule>
    <cfRule type="expression" priority="1058" aboveAverage="0" equalAverage="0" bottom="0" percent="0" rank="0" text="" dxfId="0">
      <formula>AND(ISNUMBER(Z5),Z5&gt;Settings!$C$4)</formula>
    </cfRule>
    <cfRule type="expression" priority="1059" aboveAverage="0" equalAverage="0" bottom="0" percent="0" rank="0" text="" dxfId="1">
      <formula>AND(ISNUMBER(Z5),Z5&lt;-Settings!$C$4)</formula>
    </cfRule>
    <cfRule type="expression" priority="1060" aboveAverage="0" equalAverage="0" bottom="0" percent="0" rank="0" text="" dxfId="2">
      <formula>AND(ISNUMBER(Z5),ABS(Z5)&lt;=Settings!$C$4)</formula>
    </cfRule>
    <cfRule type="expression" priority="1061" aboveAverage="0" equalAverage="0" bottom="0" percent="0" rank="0" text="" dxfId="0">
      <formula>AND(ISNUMBER(Z5),Z5&gt;Settings!$C$4)</formula>
    </cfRule>
    <cfRule type="expression" priority="1062" aboveAverage="0" equalAverage="0" bottom="0" percent="0" rank="0" text="" dxfId="1">
      <formula>AND(ISNUMBER(Z5),Z5&lt;-Settings!$C$4)</formula>
    </cfRule>
    <cfRule type="expression" priority="1063" aboveAverage="0" equalAverage="0" bottom="0" percent="0" rank="0" text="" dxfId="2">
      <formula>AND(ISNUMBER(Z5),ABS(Z5)&lt;=Settings!$C$4)</formula>
    </cfRule>
    <cfRule type="expression" priority="1064" aboveAverage="0" equalAverage="0" bottom="0" percent="0" rank="0" text="" dxfId="0">
      <formula>AND(ISNUMBER(Z5),Z5&gt;Settings!$C$4)</formula>
    </cfRule>
    <cfRule type="expression" priority="1065" aboveAverage="0" equalAverage="0" bottom="0" percent="0" rank="0" text="" dxfId="1">
      <formula>AND(ISNUMBER(Z5),Z5&lt;-Settings!$C$4)</formula>
    </cfRule>
    <cfRule type="expression" priority="1066" aboveAverage="0" equalAverage="0" bottom="0" percent="0" rank="0" text="" dxfId="2">
      <formula>AND(ISNUMBER(Z5),ABS(Z5)&lt;=Settings!$C$4)</formula>
    </cfRule>
    <cfRule type="expression" priority="1067" aboveAverage="0" equalAverage="0" bottom="0" percent="0" rank="0" text="" dxfId="0">
      <formula>AND(ISNUMBER(Z5),Z5&gt;Settings!$C$4)</formula>
    </cfRule>
    <cfRule type="expression" priority="1068" aboveAverage="0" equalAverage="0" bottom="0" percent="0" rank="0" text="" dxfId="1">
      <formula>AND(ISNUMBER(Z5),Z5&lt;-Settings!$C$4)</formula>
    </cfRule>
    <cfRule type="expression" priority="1069" aboveAverage="0" equalAverage="0" bottom="0" percent="0" rank="0" text="" dxfId="2">
      <formula>AND(ISNUMBER(Z5),ABS(Z5)&lt;=Settings!$C$4)</formula>
    </cfRule>
    <cfRule type="expression" priority="1070" aboveAverage="0" equalAverage="0" bottom="0" percent="0" rank="0" text="" dxfId="0">
      <formula>AND(ISNUMBER(Z5),Z5&gt;Settings!$C$4)</formula>
    </cfRule>
    <cfRule type="expression" priority="1071" aboveAverage="0" equalAverage="0" bottom="0" percent="0" rank="0" text="" dxfId="1">
      <formula>AND(ISNUMBER(Z5),Z5&lt;-Settings!$C$4)</formula>
    </cfRule>
    <cfRule type="expression" priority="1072" aboveAverage="0" equalAverage="0" bottom="0" percent="0" rank="0" text="" dxfId="2">
      <formula>AND(ISNUMBER(Z5),ABS(Z5)&lt;=Settings!$C$4)</formula>
    </cfRule>
    <cfRule type="expression" priority="1073" aboveAverage="0" equalAverage="0" bottom="0" percent="0" rank="0" text="" dxfId="0">
      <formula>AND(ISNUMBER(Z5),Z5&gt;Settings!$C$4)</formula>
    </cfRule>
    <cfRule type="expression" priority="1074" aboveAverage="0" equalAverage="0" bottom="0" percent="0" rank="0" text="" dxfId="1">
      <formula>AND(ISNUMBER(Z5),Z5&lt;-Settings!$C$4)</formula>
    </cfRule>
    <cfRule type="expression" priority="1075" aboveAverage="0" equalAverage="0" bottom="0" percent="0" rank="0" text="" dxfId="2">
      <formula>AND(ISNUMBER(Z5),ABS(Z5)&lt;=Settings!$C$4)</formula>
    </cfRule>
    <cfRule type="expression" priority="1076" aboveAverage="0" equalAverage="0" bottom="0" percent="0" rank="0" text="" dxfId="0">
      <formula>AND(ISNUMBER(Z5),Z5&gt;Settings!$C$4)</formula>
    </cfRule>
    <cfRule type="expression" priority="1077" aboveAverage="0" equalAverage="0" bottom="0" percent="0" rank="0" text="" dxfId="1">
      <formula>AND(ISNUMBER(Z5),Z5&lt;-Settings!$C$4)</formula>
    </cfRule>
    <cfRule type="expression" priority="1078" aboveAverage="0" equalAverage="0" bottom="0" percent="0" rank="0" text="" dxfId="2">
      <formula>AND(ISNUMBER(Z5),ABS(Z5)&lt;=Settings!$C$4)</formula>
    </cfRule>
    <cfRule type="expression" priority="1079" aboveAverage="0" equalAverage="0" bottom="0" percent="0" rank="0" text="" dxfId="0">
      <formula>AND(ISNUMBER(Z5),Z5&gt;Settings!$C$4)</formula>
    </cfRule>
    <cfRule type="expression" priority="1080" aboveAverage="0" equalAverage="0" bottom="0" percent="0" rank="0" text="" dxfId="1">
      <formula>AND(ISNUMBER(Z5),Z5&lt;-Settings!$C$4)</formula>
    </cfRule>
    <cfRule type="expression" priority="1081" aboveAverage="0" equalAverage="0" bottom="0" percent="0" rank="0" text="" dxfId="2">
      <formula>AND(ISNUMBER(Z5),ABS(Z5)&lt;=Settings!$C$4)</formula>
    </cfRule>
    <cfRule type="expression" priority="1082" aboveAverage="0" equalAverage="0" bottom="0" percent="0" rank="0" text="" dxfId="0">
      <formula>AND(ISNUMBER(Z5),Z5&gt;Settings!$C$4)</formula>
    </cfRule>
    <cfRule type="expression" priority="1083" aboveAverage="0" equalAverage="0" bottom="0" percent="0" rank="0" text="" dxfId="1">
      <formula>AND(ISNUMBER(Z5),Z5&lt;-Settings!$C$4)</formula>
    </cfRule>
    <cfRule type="expression" priority="1084" aboveAverage="0" equalAverage="0" bottom="0" percent="0" rank="0" text="" dxfId="2">
      <formula>AND(ISNUMBER(Z5),ABS(Z5)&lt;=Settings!$C$4)</formula>
    </cfRule>
    <cfRule type="expression" priority="1085" aboveAverage="0" equalAverage="0" bottom="0" percent="0" rank="0" text="" dxfId="0">
      <formula>AND(ISNUMBER(Z5),Z5&gt;Settings!$C$4)</formula>
    </cfRule>
    <cfRule type="expression" priority="1086" aboveAverage="0" equalAverage="0" bottom="0" percent="0" rank="0" text="" dxfId="1">
      <formula>AND(ISNUMBER(Z5),Z5&lt;-Settings!$C$4)</formula>
    </cfRule>
    <cfRule type="expression" priority="1087" aboveAverage="0" equalAverage="0" bottom="0" percent="0" rank="0" text="" dxfId="2">
      <formula>AND(ISNUMBER(Z5),ABS(Z5)&lt;=Settings!$C$4)</formula>
    </cfRule>
    <cfRule type="expression" priority="1088" aboveAverage="0" equalAverage="0" bottom="0" percent="0" rank="0" text="" dxfId="0">
      <formula>AND(ISNUMBER(Z5),Z5&gt;Settings!$C$4)</formula>
    </cfRule>
    <cfRule type="expression" priority="1089" aboveAverage="0" equalAverage="0" bottom="0" percent="0" rank="0" text="" dxfId="1">
      <formula>AND(ISNUMBER(Z5),Z5&lt;-Settings!$C$4)</formula>
    </cfRule>
    <cfRule type="expression" priority="1090" aboveAverage="0" equalAverage="0" bottom="0" percent="0" rank="0" text="" dxfId="2">
      <formula>AND(ISNUMBER(Z5),ABS(Z5)&lt;=Settings!$C$4)</formula>
    </cfRule>
    <cfRule type="expression" priority="1091" aboveAverage="0" equalAverage="0" bottom="0" percent="0" rank="0" text="" dxfId="0">
      <formula>AND(ISNUMBER(Z5),Z5&gt;Settings!$C$4)</formula>
    </cfRule>
    <cfRule type="expression" priority="1092" aboveAverage="0" equalAverage="0" bottom="0" percent="0" rank="0" text="" dxfId="1">
      <formula>AND(ISNUMBER(Z5),Z5&lt;-Settings!$C$4)</formula>
    </cfRule>
    <cfRule type="expression" priority="1093" aboveAverage="0" equalAverage="0" bottom="0" percent="0" rank="0" text="" dxfId="2">
      <formula>AND(ISNUMBER(Z5),ABS(Z5)&lt;=Settings!$C$4)</formula>
    </cfRule>
    <cfRule type="expression" priority="1094" aboveAverage="0" equalAverage="0" bottom="0" percent="0" rank="0" text="" dxfId="0">
      <formula>AND(ISNUMBER(Z5),Z5&gt;Settings!$C$4)</formula>
    </cfRule>
    <cfRule type="expression" priority="1095" aboveAverage="0" equalAverage="0" bottom="0" percent="0" rank="0" text="" dxfId="1">
      <formula>AND(ISNUMBER(Z5),Z5&lt;-Settings!$C$4)</formula>
    </cfRule>
    <cfRule type="expression" priority="1096" aboveAverage="0" equalAverage="0" bottom="0" percent="0" rank="0" text="" dxfId="2">
      <formula>AND(ISNUMBER(Z5),ABS(Z5)&lt;=Settings!$C$4)</formula>
    </cfRule>
    <cfRule type="expression" priority="1097" aboveAverage="0" equalAverage="0" bottom="0" percent="0" rank="0" text="" dxfId="0">
      <formula>AND(ISNUMBER(Z5),Z5&gt;Settings!$C$4)</formula>
    </cfRule>
    <cfRule type="expression" priority="1098" aboveAverage="0" equalAverage="0" bottom="0" percent="0" rank="0" text="" dxfId="1">
      <formula>AND(ISNUMBER(Z5),Z5&lt;-Settings!$C$4)</formula>
    </cfRule>
    <cfRule type="expression" priority="1099" aboveAverage="0" equalAverage="0" bottom="0" percent="0" rank="0" text="" dxfId="2">
      <formula>AND(ISNUMBER(Z5),ABS(Z5)&lt;=Settings!$C$4)</formula>
    </cfRule>
    <cfRule type="expression" priority="1100" aboveAverage="0" equalAverage="0" bottom="0" percent="0" rank="0" text="" dxfId="0">
      <formula>AND(ISNUMBER(Z5),Z5&gt;Settings!$C$4)</formula>
    </cfRule>
    <cfRule type="expression" priority="1101" aboveAverage="0" equalAverage="0" bottom="0" percent="0" rank="0" text="" dxfId="1">
      <formula>AND(ISNUMBER(Z5),Z5&lt;-Settings!$C$4)</formula>
    </cfRule>
    <cfRule type="expression" priority="1102" aboveAverage="0" equalAverage="0" bottom="0" percent="0" rank="0" text="" dxfId="2">
      <formula>AND(ISNUMBER(Z5),ABS(Z5)&lt;=Settings!$C$4)</formula>
    </cfRule>
    <cfRule type="expression" priority="1103" aboveAverage="0" equalAverage="0" bottom="0" percent="0" rank="0" text="" dxfId="0">
      <formula>AND(ISNUMBER(Z5),Z5&gt;Settings!$C$4)</formula>
    </cfRule>
    <cfRule type="expression" priority="1104" aboveAverage="0" equalAverage="0" bottom="0" percent="0" rank="0" text="" dxfId="1">
      <formula>AND(ISNUMBER(Z5),Z5&lt;-Settings!$C$4)</formula>
    </cfRule>
    <cfRule type="expression" priority="1105" aboveAverage="0" equalAverage="0" bottom="0" percent="0" rank="0" text="" dxfId="2">
      <formula>AND(ISNUMBER(Z5),ABS(Z5)&lt;=Settings!$C$4)</formula>
    </cfRule>
    <cfRule type="expression" priority="1106" aboveAverage="0" equalAverage="0" bottom="0" percent="0" rank="0" text="" dxfId="0">
      <formula>AND(ISNUMBER(Z5),Z5&gt;Settings!$C$4)</formula>
    </cfRule>
    <cfRule type="expression" priority="1107" aboveAverage="0" equalAverage="0" bottom="0" percent="0" rank="0" text="" dxfId="1">
      <formula>AND(ISNUMBER(Z5),Z5&lt;-Settings!$C$4)</formula>
    </cfRule>
    <cfRule type="expression" priority="1108" aboveAverage="0" equalAverage="0" bottom="0" percent="0" rank="0" text="" dxfId="2">
      <formula>AND(ISNUMBER(Z5),ABS(Z5)&lt;=Settings!$C$4)</formula>
    </cfRule>
    <cfRule type="expression" priority="1109" aboveAverage="0" equalAverage="0" bottom="0" percent="0" rank="0" text="" dxfId="0">
      <formula>AND(ISNUMBER(Z5),Z5&gt;Settings!$C$4)</formula>
    </cfRule>
    <cfRule type="expression" priority="1110" aboveAverage="0" equalAverage="0" bottom="0" percent="0" rank="0" text="" dxfId="1">
      <formula>AND(ISNUMBER(Z5),Z5&lt;-Settings!$C$4)</formula>
    </cfRule>
    <cfRule type="expression" priority="1111" aboveAverage="0" equalAverage="0" bottom="0" percent="0" rank="0" text="" dxfId="2">
      <formula>AND(ISNUMBER(Z5),ABS(Z5)&lt;=Settings!$C$4)</formula>
    </cfRule>
    <cfRule type="expression" priority="1112" aboveAverage="0" equalAverage="0" bottom="0" percent="0" rank="0" text="" dxfId="0">
      <formula>AND(ISNUMBER(Z5),Z5&gt;Settings!$C$4)</formula>
    </cfRule>
    <cfRule type="expression" priority="1113" aboveAverage="0" equalAverage="0" bottom="0" percent="0" rank="0" text="" dxfId="1">
      <formula>AND(ISNUMBER(Z5),Z5&lt;-Settings!$C$4)</formula>
    </cfRule>
    <cfRule type="expression" priority="1114" aboveAverage="0" equalAverage="0" bottom="0" percent="0" rank="0" text="" dxfId="2">
      <formula>AND(ISNUMBER(Z5),ABS(Z5)&lt;=Settings!$C$4)</formula>
    </cfRule>
    <cfRule type="expression" priority="1115" aboveAverage="0" equalAverage="0" bottom="0" percent="0" rank="0" text="" dxfId="0">
      <formula>AND(ISNUMBER(Z5),Z5&gt;Settings!$C$4)</formula>
    </cfRule>
    <cfRule type="expression" priority="1116" aboveAverage="0" equalAverage="0" bottom="0" percent="0" rank="0" text="" dxfId="1">
      <formula>AND(ISNUMBER(Z5),Z5&lt;-Settings!$C$4)</formula>
    </cfRule>
    <cfRule type="expression" priority="1117" aboveAverage="0" equalAverage="0" bottom="0" percent="0" rank="0" text="" dxfId="2">
      <formula>AND(ISNUMBER(Z5),ABS(Z5)&lt;=Settings!$C$4)</formula>
    </cfRule>
    <cfRule type="expression" priority="1118" aboveAverage="0" equalAverage="0" bottom="0" percent="0" rank="0" text="" dxfId="0">
      <formula>AND(ISNUMBER(Z5),Z5&gt;Settings!$C$4)</formula>
    </cfRule>
    <cfRule type="expression" priority="1119" aboveAverage="0" equalAverage="0" bottom="0" percent="0" rank="0" text="" dxfId="1">
      <formula>AND(ISNUMBER(Z5),Z5&lt;-Settings!$C$4)</formula>
    </cfRule>
    <cfRule type="expression" priority="1120" aboveAverage="0" equalAverage="0" bottom="0" percent="0" rank="0" text="" dxfId="2">
      <formula>AND(ISNUMBER(Z5),ABS(Z5)&lt;=Settings!$C$4)</formula>
    </cfRule>
    <cfRule type="expression" priority="1121" aboveAverage="0" equalAverage="0" bottom="0" percent="0" rank="0" text="" dxfId="0">
      <formula>AND(ISNUMBER(Z5),Z5&gt;Settings!$C$4)</formula>
    </cfRule>
    <cfRule type="expression" priority="1122" aboveAverage="0" equalAverage="0" bottom="0" percent="0" rank="0" text="" dxfId="1">
      <formula>AND(ISNUMBER(Z5),Z5&lt;-Settings!$C$4)</formula>
    </cfRule>
    <cfRule type="expression" priority="1123" aboveAverage="0" equalAverage="0" bottom="0" percent="0" rank="0" text="" dxfId="2">
      <formula>AND(ISNUMBER(Z5),ABS(Z5)&lt;=Settings!$C$4)</formula>
    </cfRule>
    <cfRule type="expression" priority="1124" aboveAverage="0" equalAverage="0" bottom="0" percent="0" rank="0" text="" dxfId="0">
      <formula>AND(ISNUMBER(Z5),Z5&gt;Settings!$C$4)</formula>
    </cfRule>
    <cfRule type="expression" priority="1125" aboveAverage="0" equalAverage="0" bottom="0" percent="0" rank="0" text="" dxfId="1">
      <formula>AND(ISNUMBER(Z5),Z5&lt;-Settings!$C$4)</formula>
    </cfRule>
    <cfRule type="expression" priority="1126" aboveAverage="0" equalAverage="0" bottom="0" percent="0" rank="0" text="" dxfId="2">
      <formula>AND(ISNUMBER(Z5),ABS(Z5)&lt;=Settings!$C$4)</formula>
    </cfRule>
    <cfRule type="expression" priority="1127" aboveAverage="0" equalAverage="0" bottom="0" percent="0" rank="0" text="" dxfId="0">
      <formula>AND(ISNUMBER(Z5),Z5&gt;Settings!$C$4)</formula>
    </cfRule>
    <cfRule type="expression" priority="1128" aboveAverage="0" equalAverage="0" bottom="0" percent="0" rank="0" text="" dxfId="1">
      <formula>AND(ISNUMBER(Z5),Z5&lt;-Settings!$C$4)</formula>
    </cfRule>
    <cfRule type="expression" priority="1129" aboveAverage="0" equalAverage="0" bottom="0" percent="0" rank="0" text="" dxfId="2">
      <formula>AND(ISNUMBER(Z5),ABS(Z5)&lt;=Settings!$C$4)</formula>
    </cfRule>
    <cfRule type="expression" priority="1130" aboveAverage="0" equalAverage="0" bottom="0" percent="0" rank="0" text="" dxfId="0">
      <formula>AND(ISNUMBER(Z5),Z5&gt;Settings!$C$4)</formula>
    </cfRule>
    <cfRule type="expression" priority="1131" aboveAverage="0" equalAverage="0" bottom="0" percent="0" rank="0" text="" dxfId="1">
      <formula>AND(ISNUMBER(Z5),Z5&lt;-Settings!$C$4)</formula>
    </cfRule>
    <cfRule type="expression" priority="1132" aboveAverage="0" equalAverage="0" bottom="0" percent="0" rank="0" text="" dxfId="2">
      <formula>AND(ISNUMBER(Z5),ABS(Z5)&lt;=Settings!$C$4)</formula>
    </cfRule>
    <cfRule type="expression" priority="1133" aboveAverage="0" equalAverage="0" bottom="0" percent="0" rank="0" text="" dxfId="0">
      <formula>AND(ISNUMBER(Z5),Z5&gt;Settings!$C$4)</formula>
    </cfRule>
    <cfRule type="expression" priority="1134" aboveAverage="0" equalAverage="0" bottom="0" percent="0" rank="0" text="" dxfId="1">
      <formula>AND(ISNUMBER(Z5),Z5&lt;-Settings!$C$4)</formula>
    </cfRule>
    <cfRule type="expression" priority="1135" aboveAverage="0" equalAverage="0" bottom="0" percent="0" rank="0" text="" dxfId="2">
      <formula>AND(ISNUMBER(Z5),ABS(Z5)&lt;=Settings!$C$4)</formula>
    </cfRule>
  </conditionalFormatting>
  <conditionalFormatting sqref="AC5:AC46">
    <cfRule type="expression" priority="1136" aboveAverage="0" equalAverage="0" bottom="0" percent="0" rank="0" text="" dxfId="0">
      <formula>AND(ISNUMBER(AC5),AC5&gt;Settings!$C$4)</formula>
    </cfRule>
    <cfRule type="expression" priority="1137" aboveAverage="0" equalAverage="0" bottom="0" percent="0" rank="0" text="" dxfId="1">
      <formula>AND(ISNUMBER(AC5),AC5&lt;-Settings!$C$4)</formula>
    </cfRule>
    <cfRule type="expression" priority="1138" aboveAverage="0" equalAverage="0" bottom="0" percent="0" rank="0" text="" dxfId="2">
      <formula>AND(ISNUMBER(AC5),ABS(AC5)&lt;=Settings!$C$4)</formula>
    </cfRule>
    <cfRule type="expression" priority="1139" aboveAverage="0" equalAverage="0" bottom="0" percent="0" rank="0" text="" dxfId="0">
      <formula>AND(ISNUMBER(AC5),AC5&gt;Settings!$C$4)</formula>
    </cfRule>
    <cfRule type="expression" priority="1140" aboveAverage="0" equalAverage="0" bottom="0" percent="0" rank="0" text="" dxfId="1">
      <formula>AND(ISNUMBER(AC5),AC5&lt;-Settings!$C$4)</formula>
    </cfRule>
    <cfRule type="expression" priority="1141" aboveAverage="0" equalAverage="0" bottom="0" percent="0" rank="0" text="" dxfId="2">
      <formula>AND(ISNUMBER(AC5),ABS(AC5)&lt;=Settings!$C$4)</formula>
    </cfRule>
    <cfRule type="expression" priority="1142" aboveAverage="0" equalAverage="0" bottom="0" percent="0" rank="0" text="" dxfId="0">
      <formula>AND(ISNUMBER(AC5),AC5&gt;Settings!$C$4)</formula>
    </cfRule>
    <cfRule type="expression" priority="1143" aboveAverage="0" equalAverage="0" bottom="0" percent="0" rank="0" text="" dxfId="1">
      <formula>AND(ISNUMBER(AC5),AC5&lt;-Settings!$C$4)</formula>
    </cfRule>
    <cfRule type="expression" priority="1144" aboveAverage="0" equalAverage="0" bottom="0" percent="0" rank="0" text="" dxfId="2">
      <formula>AND(ISNUMBER(AC5),ABS(AC5)&lt;=Settings!$C$4)</formula>
    </cfRule>
    <cfRule type="expression" priority="1145" aboveAverage="0" equalAverage="0" bottom="0" percent="0" rank="0" text="" dxfId="0">
      <formula>AND(ISNUMBER(AC5),AC5&gt;Settings!$C$4)</formula>
    </cfRule>
    <cfRule type="expression" priority="1146" aboveAverage="0" equalAverage="0" bottom="0" percent="0" rank="0" text="" dxfId="1">
      <formula>AND(ISNUMBER(AC5),AC5&lt;-Settings!$C$4)</formula>
    </cfRule>
    <cfRule type="expression" priority="1147" aboveAverage="0" equalAverage="0" bottom="0" percent="0" rank="0" text="" dxfId="2">
      <formula>AND(ISNUMBER(AC5),ABS(AC5)&lt;=Settings!$C$4)</formula>
    </cfRule>
    <cfRule type="expression" priority="1148" aboveAverage="0" equalAverage="0" bottom="0" percent="0" rank="0" text="" dxfId="0">
      <formula>AND(ISNUMBER(AC5),AC5&gt;Settings!$C$4)</formula>
    </cfRule>
    <cfRule type="expression" priority="1149" aboveAverage="0" equalAverage="0" bottom="0" percent="0" rank="0" text="" dxfId="1">
      <formula>AND(ISNUMBER(AC5),AC5&lt;-Settings!$C$4)</formula>
    </cfRule>
    <cfRule type="expression" priority="1150" aboveAverage="0" equalAverage="0" bottom="0" percent="0" rank="0" text="" dxfId="2">
      <formula>AND(ISNUMBER(AC5),ABS(AC5)&lt;=Settings!$C$4)</formula>
    </cfRule>
    <cfRule type="expression" priority="1151" aboveAverage="0" equalAverage="0" bottom="0" percent="0" rank="0" text="" dxfId="0">
      <formula>AND(ISNUMBER(AC5),AC5&gt;Settings!$C$4)</formula>
    </cfRule>
    <cfRule type="expression" priority="1152" aboveAverage="0" equalAverage="0" bottom="0" percent="0" rank="0" text="" dxfId="1">
      <formula>AND(ISNUMBER(AC5),AC5&lt;-Settings!$C$4)</formula>
    </cfRule>
    <cfRule type="expression" priority="1153" aboveAverage="0" equalAverage="0" bottom="0" percent="0" rank="0" text="" dxfId="2">
      <formula>AND(ISNUMBER(AC5),ABS(AC5)&lt;=Settings!$C$4)</formula>
    </cfRule>
    <cfRule type="expression" priority="1154" aboveAverage="0" equalAverage="0" bottom="0" percent="0" rank="0" text="" dxfId="0">
      <formula>AND(ISNUMBER(AC5),AC5&gt;Settings!$C$4)</formula>
    </cfRule>
    <cfRule type="expression" priority="1155" aboveAverage="0" equalAverage="0" bottom="0" percent="0" rank="0" text="" dxfId="1">
      <formula>AND(ISNUMBER(AC5),AC5&lt;-Settings!$C$4)</formula>
    </cfRule>
    <cfRule type="expression" priority="1156" aboveAverage="0" equalAverage="0" bottom="0" percent="0" rank="0" text="" dxfId="2">
      <formula>AND(ISNUMBER(AC5),ABS(AC5)&lt;=Settings!$C$4)</formula>
    </cfRule>
    <cfRule type="expression" priority="1157" aboveAverage="0" equalAverage="0" bottom="0" percent="0" rank="0" text="" dxfId="0">
      <formula>AND(ISNUMBER(AC5),AC5&gt;Settings!$C$4)</formula>
    </cfRule>
    <cfRule type="expression" priority="1158" aboveAverage="0" equalAverage="0" bottom="0" percent="0" rank="0" text="" dxfId="1">
      <formula>AND(ISNUMBER(AC5),AC5&lt;-Settings!$C$4)</formula>
    </cfRule>
    <cfRule type="expression" priority="1159" aboveAverage="0" equalAverage="0" bottom="0" percent="0" rank="0" text="" dxfId="2">
      <formula>AND(ISNUMBER(AC5),ABS(AC5)&lt;=Settings!$C$4)</formula>
    </cfRule>
    <cfRule type="expression" priority="1160" aboveAverage="0" equalAverage="0" bottom="0" percent="0" rank="0" text="" dxfId="0">
      <formula>AND(ISNUMBER(AC5),AC5&gt;Settings!$C$4)</formula>
    </cfRule>
    <cfRule type="expression" priority="1161" aboveAverage="0" equalAverage="0" bottom="0" percent="0" rank="0" text="" dxfId="1">
      <formula>AND(ISNUMBER(AC5),AC5&lt;-Settings!$C$4)</formula>
    </cfRule>
    <cfRule type="expression" priority="1162" aboveAverage="0" equalAverage="0" bottom="0" percent="0" rank="0" text="" dxfId="2">
      <formula>AND(ISNUMBER(AC5),ABS(AC5)&lt;=Settings!$C$4)</formula>
    </cfRule>
    <cfRule type="expression" priority="1163" aboveAverage="0" equalAverage="0" bottom="0" percent="0" rank="0" text="" dxfId="0">
      <formula>AND(ISNUMBER(AC5),AC5&gt;Settings!$C$4)</formula>
    </cfRule>
    <cfRule type="expression" priority="1164" aboveAverage="0" equalAverage="0" bottom="0" percent="0" rank="0" text="" dxfId="1">
      <formula>AND(ISNUMBER(AC5),AC5&lt;-Settings!$C$4)</formula>
    </cfRule>
    <cfRule type="expression" priority="1165" aboveAverage="0" equalAverage="0" bottom="0" percent="0" rank="0" text="" dxfId="2">
      <formula>AND(ISNUMBER(AC5),ABS(AC5)&lt;=Settings!$C$4)</formula>
    </cfRule>
    <cfRule type="expression" priority="1166" aboveAverage="0" equalAverage="0" bottom="0" percent="0" rank="0" text="" dxfId="0">
      <formula>AND(ISNUMBER(AC5),AC5&gt;Settings!$C$4)</formula>
    </cfRule>
    <cfRule type="expression" priority="1167" aboveAverage="0" equalAverage="0" bottom="0" percent="0" rank="0" text="" dxfId="1">
      <formula>AND(ISNUMBER(AC5),AC5&lt;-Settings!$C$4)</formula>
    </cfRule>
    <cfRule type="expression" priority="1168" aboveAverage="0" equalAverage="0" bottom="0" percent="0" rank="0" text="" dxfId="2">
      <formula>AND(ISNUMBER(AC5),ABS(AC5)&lt;=Settings!$C$4)</formula>
    </cfRule>
    <cfRule type="expression" priority="1169" aboveAverage="0" equalAverage="0" bottom="0" percent="0" rank="0" text="" dxfId="0">
      <formula>AND(ISNUMBER(AC5),AC5&gt;Settings!$C$4)</formula>
    </cfRule>
    <cfRule type="expression" priority="1170" aboveAverage="0" equalAverage="0" bottom="0" percent="0" rank="0" text="" dxfId="1">
      <formula>AND(ISNUMBER(AC5),AC5&lt;-Settings!$C$4)</formula>
    </cfRule>
    <cfRule type="expression" priority="1171" aboveAverage="0" equalAverage="0" bottom="0" percent="0" rank="0" text="" dxfId="2">
      <formula>AND(ISNUMBER(AC5),ABS(AC5)&lt;=Settings!$C$4)</formula>
    </cfRule>
    <cfRule type="expression" priority="1172" aboveAverage="0" equalAverage="0" bottom="0" percent="0" rank="0" text="" dxfId="0">
      <formula>AND(ISNUMBER(AC5),AC5&gt;Settings!$C$4)</formula>
    </cfRule>
    <cfRule type="expression" priority="1173" aboveAverage="0" equalAverage="0" bottom="0" percent="0" rank="0" text="" dxfId="1">
      <formula>AND(ISNUMBER(AC5),AC5&lt;-Settings!$C$4)</formula>
    </cfRule>
    <cfRule type="expression" priority="1174" aboveAverage="0" equalAverage="0" bottom="0" percent="0" rank="0" text="" dxfId="2">
      <formula>AND(ISNUMBER(AC5),ABS(AC5)&lt;=Settings!$C$4)</formula>
    </cfRule>
    <cfRule type="expression" priority="1175" aboveAverage="0" equalAverage="0" bottom="0" percent="0" rank="0" text="" dxfId="0">
      <formula>AND(ISNUMBER(AC5),AC5&gt;Settings!$C$4)</formula>
    </cfRule>
    <cfRule type="expression" priority="1176" aboveAverage="0" equalAverage="0" bottom="0" percent="0" rank="0" text="" dxfId="1">
      <formula>AND(ISNUMBER(AC5),AC5&lt;-Settings!$C$4)</formula>
    </cfRule>
    <cfRule type="expression" priority="1177" aboveAverage="0" equalAverage="0" bottom="0" percent="0" rank="0" text="" dxfId="2">
      <formula>AND(ISNUMBER(AC5),ABS(AC5)&lt;=Settings!$C$4)</formula>
    </cfRule>
    <cfRule type="expression" priority="1178" aboveAverage="0" equalAverage="0" bottom="0" percent="0" rank="0" text="" dxfId="0">
      <formula>AND(ISNUMBER(AC5),AC5&gt;Settings!$C$4)</formula>
    </cfRule>
    <cfRule type="expression" priority="1179" aboveAverage="0" equalAverage="0" bottom="0" percent="0" rank="0" text="" dxfId="1">
      <formula>AND(ISNUMBER(AC5),AC5&lt;-Settings!$C$4)</formula>
    </cfRule>
    <cfRule type="expression" priority="1180" aboveAverage="0" equalAverage="0" bottom="0" percent="0" rank="0" text="" dxfId="2">
      <formula>AND(ISNUMBER(AC5),ABS(AC5)&lt;=Settings!$C$4)</formula>
    </cfRule>
    <cfRule type="expression" priority="1181" aboveAverage="0" equalAverage="0" bottom="0" percent="0" rank="0" text="" dxfId="0">
      <formula>AND(ISNUMBER(AC5),AC5&gt;Settings!$C$4)</formula>
    </cfRule>
    <cfRule type="expression" priority="1182" aboveAverage="0" equalAverage="0" bottom="0" percent="0" rank="0" text="" dxfId="1">
      <formula>AND(ISNUMBER(AC5),AC5&lt;-Settings!$C$4)</formula>
    </cfRule>
    <cfRule type="expression" priority="1183" aboveAverage="0" equalAverage="0" bottom="0" percent="0" rank="0" text="" dxfId="2">
      <formula>AND(ISNUMBER(AC5),ABS(AC5)&lt;=Settings!$C$4)</formula>
    </cfRule>
    <cfRule type="expression" priority="1184" aboveAverage="0" equalAverage="0" bottom="0" percent="0" rank="0" text="" dxfId="0">
      <formula>AND(ISNUMBER(AC5),AC5&gt;Settings!$C$4)</formula>
    </cfRule>
    <cfRule type="expression" priority="1185" aboveAverage="0" equalAverage="0" bottom="0" percent="0" rank="0" text="" dxfId="1">
      <formula>AND(ISNUMBER(AC5),AC5&lt;-Settings!$C$4)</formula>
    </cfRule>
    <cfRule type="expression" priority="1186" aboveAverage="0" equalAverage="0" bottom="0" percent="0" rank="0" text="" dxfId="2">
      <formula>AND(ISNUMBER(AC5),ABS(AC5)&lt;=Settings!$C$4)</formula>
    </cfRule>
    <cfRule type="expression" priority="1187" aboveAverage="0" equalAverage="0" bottom="0" percent="0" rank="0" text="" dxfId="0">
      <formula>AND(ISNUMBER(AC5),AC5&gt;Settings!$C$4)</formula>
    </cfRule>
    <cfRule type="expression" priority="1188" aboveAverage="0" equalAverage="0" bottom="0" percent="0" rank="0" text="" dxfId="1">
      <formula>AND(ISNUMBER(AC5),AC5&lt;-Settings!$C$4)</formula>
    </cfRule>
    <cfRule type="expression" priority="1189" aboveAverage="0" equalAverage="0" bottom="0" percent="0" rank="0" text="" dxfId="2">
      <formula>AND(ISNUMBER(AC5),ABS(AC5)&lt;=Settings!$C$4)</formula>
    </cfRule>
    <cfRule type="expression" priority="1190" aboveAverage="0" equalAverage="0" bottom="0" percent="0" rank="0" text="" dxfId="0">
      <formula>AND(ISNUMBER(AC5),AC5&gt;Settings!$C$4)</formula>
    </cfRule>
    <cfRule type="expression" priority="1191" aboveAverage="0" equalAverage="0" bottom="0" percent="0" rank="0" text="" dxfId="1">
      <formula>AND(ISNUMBER(AC5),AC5&lt;-Settings!$C$4)</formula>
    </cfRule>
    <cfRule type="expression" priority="1192" aboveAverage="0" equalAverage="0" bottom="0" percent="0" rank="0" text="" dxfId="2">
      <formula>AND(ISNUMBER(AC5),ABS(AC5)&lt;=Settings!$C$4)</formula>
    </cfRule>
    <cfRule type="expression" priority="1193" aboveAverage="0" equalAverage="0" bottom="0" percent="0" rank="0" text="" dxfId="0">
      <formula>AND(ISNUMBER(AC5),AC5&gt;Settings!$C$4)</formula>
    </cfRule>
    <cfRule type="expression" priority="1194" aboveAverage="0" equalAverage="0" bottom="0" percent="0" rank="0" text="" dxfId="1">
      <formula>AND(ISNUMBER(AC5),AC5&lt;-Settings!$C$4)</formula>
    </cfRule>
    <cfRule type="expression" priority="1195" aboveAverage="0" equalAverage="0" bottom="0" percent="0" rank="0" text="" dxfId="2">
      <formula>AND(ISNUMBER(AC5),ABS(AC5)&lt;=Settings!$C$4)</formula>
    </cfRule>
    <cfRule type="expression" priority="1196" aboveAverage="0" equalAverage="0" bottom="0" percent="0" rank="0" text="" dxfId="0">
      <formula>AND(ISNUMBER(AC5),AC5&gt;Settings!$C$4)</formula>
    </cfRule>
    <cfRule type="expression" priority="1197" aboveAverage="0" equalAverage="0" bottom="0" percent="0" rank="0" text="" dxfId="1">
      <formula>AND(ISNUMBER(AC5),AC5&lt;-Settings!$C$4)</formula>
    </cfRule>
    <cfRule type="expression" priority="1198" aboveAverage="0" equalAverage="0" bottom="0" percent="0" rank="0" text="" dxfId="2">
      <formula>AND(ISNUMBER(AC5),ABS(AC5)&lt;=Settings!$C$4)</formula>
    </cfRule>
    <cfRule type="expression" priority="1199" aboveAverage="0" equalAverage="0" bottom="0" percent="0" rank="0" text="" dxfId="0">
      <formula>AND(ISNUMBER(AC5),AC5&gt;Settings!$C$4)</formula>
    </cfRule>
    <cfRule type="expression" priority="1200" aboveAverage="0" equalAverage="0" bottom="0" percent="0" rank="0" text="" dxfId="1">
      <formula>AND(ISNUMBER(AC5),AC5&lt;-Settings!$C$4)</formula>
    </cfRule>
    <cfRule type="expression" priority="1201" aboveAverage="0" equalAverage="0" bottom="0" percent="0" rank="0" text="" dxfId="2">
      <formula>AND(ISNUMBER(AC5),ABS(AC5)&lt;=Settings!$C$4)</formula>
    </cfRule>
    <cfRule type="expression" priority="1202" aboveAverage="0" equalAverage="0" bottom="0" percent="0" rank="0" text="" dxfId="0">
      <formula>AND(ISNUMBER(AC5),AC5&gt;Settings!$C$4)</formula>
    </cfRule>
    <cfRule type="expression" priority="1203" aboveAverage="0" equalAverage="0" bottom="0" percent="0" rank="0" text="" dxfId="1">
      <formula>AND(ISNUMBER(AC5),AC5&lt;-Settings!$C$4)</formula>
    </cfRule>
    <cfRule type="expression" priority="1204" aboveAverage="0" equalAverage="0" bottom="0" percent="0" rank="0" text="" dxfId="2">
      <formula>AND(ISNUMBER(AC5),ABS(AC5)&lt;=Settings!$C$4)</formula>
    </cfRule>
    <cfRule type="expression" priority="1205" aboveAverage="0" equalAverage="0" bottom="0" percent="0" rank="0" text="" dxfId="0">
      <formula>AND(ISNUMBER(AC5),AC5&gt;Settings!$C$4)</formula>
    </cfRule>
    <cfRule type="expression" priority="1206" aboveAverage="0" equalAverage="0" bottom="0" percent="0" rank="0" text="" dxfId="1">
      <formula>AND(ISNUMBER(AC5),AC5&lt;-Settings!$C$4)</formula>
    </cfRule>
    <cfRule type="expression" priority="1207" aboveAverage="0" equalAverage="0" bottom="0" percent="0" rank="0" text="" dxfId="2">
      <formula>AND(ISNUMBER(AC5),ABS(AC5)&lt;=Settings!$C$4)</formula>
    </cfRule>
    <cfRule type="expression" priority="1208" aboveAverage="0" equalAverage="0" bottom="0" percent="0" rank="0" text="" dxfId="0">
      <formula>AND(ISNUMBER(AC5),AC5&gt;Settings!$C$4)</formula>
    </cfRule>
    <cfRule type="expression" priority="1209" aboveAverage="0" equalAverage="0" bottom="0" percent="0" rank="0" text="" dxfId="1">
      <formula>AND(ISNUMBER(AC5),AC5&lt;-Settings!$C$4)</formula>
    </cfRule>
    <cfRule type="expression" priority="1210" aboveAverage="0" equalAverage="0" bottom="0" percent="0" rank="0" text="" dxfId="2">
      <formula>AND(ISNUMBER(AC5),ABS(AC5)&lt;=Settings!$C$4)</formula>
    </cfRule>
    <cfRule type="expression" priority="1211" aboveAverage="0" equalAverage="0" bottom="0" percent="0" rank="0" text="" dxfId="0">
      <formula>AND(ISNUMBER(AC5),AC5&gt;Settings!$C$4)</formula>
    </cfRule>
    <cfRule type="expression" priority="1212" aboveAverage="0" equalAverage="0" bottom="0" percent="0" rank="0" text="" dxfId="1">
      <formula>AND(ISNUMBER(AC5),AC5&lt;-Settings!$C$4)</formula>
    </cfRule>
    <cfRule type="expression" priority="1213" aboveAverage="0" equalAverage="0" bottom="0" percent="0" rank="0" text="" dxfId="2">
      <formula>AND(ISNUMBER(AC5),ABS(AC5)&lt;=Settings!$C$4)</formula>
    </cfRule>
    <cfRule type="expression" priority="1214" aboveAverage="0" equalAverage="0" bottom="0" percent="0" rank="0" text="" dxfId="0">
      <formula>AND(ISNUMBER(AC5),AC5&gt;Settings!$C$4)</formula>
    </cfRule>
    <cfRule type="expression" priority="1215" aboveAverage="0" equalAverage="0" bottom="0" percent="0" rank="0" text="" dxfId="1">
      <formula>AND(ISNUMBER(AC5),AC5&lt;-Settings!$C$4)</formula>
    </cfRule>
    <cfRule type="expression" priority="1216" aboveAverage="0" equalAverage="0" bottom="0" percent="0" rank="0" text="" dxfId="2">
      <formula>AND(ISNUMBER(AC5),ABS(AC5)&lt;=Settings!$C$4)</formula>
    </cfRule>
    <cfRule type="expression" priority="1217" aboveAverage="0" equalAverage="0" bottom="0" percent="0" rank="0" text="" dxfId="0">
      <formula>AND(ISNUMBER(AC5),AC5&gt;Settings!$C$4)</formula>
    </cfRule>
    <cfRule type="expression" priority="1218" aboveAverage="0" equalAverage="0" bottom="0" percent="0" rank="0" text="" dxfId="1">
      <formula>AND(ISNUMBER(AC5),AC5&lt;-Settings!$C$4)</formula>
    </cfRule>
    <cfRule type="expression" priority="1219" aboveAverage="0" equalAverage="0" bottom="0" percent="0" rank="0" text="" dxfId="2">
      <formula>AND(ISNUMBER(AC5),ABS(AC5)&lt;=Settings!$C$4)</formula>
    </cfRule>
    <cfRule type="expression" priority="1220" aboveAverage="0" equalAverage="0" bottom="0" percent="0" rank="0" text="" dxfId="0">
      <formula>AND(ISNUMBER(AC5),AC5&gt;Settings!$C$4)</formula>
    </cfRule>
    <cfRule type="expression" priority="1221" aboveAverage="0" equalAverage="0" bottom="0" percent="0" rank="0" text="" dxfId="1">
      <formula>AND(ISNUMBER(AC5),AC5&lt;-Settings!$C$4)</formula>
    </cfRule>
    <cfRule type="expression" priority="1222" aboveAverage="0" equalAverage="0" bottom="0" percent="0" rank="0" text="" dxfId="2">
      <formula>AND(ISNUMBER(AC5),ABS(AC5)&lt;=Settings!$C$4)</formula>
    </cfRule>
    <cfRule type="expression" priority="1223" aboveAverage="0" equalAverage="0" bottom="0" percent="0" rank="0" text="" dxfId="0">
      <formula>AND(ISNUMBER(AC5),AC5&gt;Settings!$C$4)</formula>
    </cfRule>
    <cfRule type="expression" priority="1224" aboveAverage="0" equalAverage="0" bottom="0" percent="0" rank="0" text="" dxfId="1">
      <formula>AND(ISNUMBER(AC5),AC5&lt;-Settings!$C$4)</formula>
    </cfRule>
    <cfRule type="expression" priority="1225" aboveAverage="0" equalAverage="0" bottom="0" percent="0" rank="0" text="" dxfId="2">
      <formula>AND(ISNUMBER(AC5),ABS(AC5)&lt;=Settings!$C$4)</formula>
    </cfRule>
    <cfRule type="expression" priority="1226" aboveAverage="0" equalAverage="0" bottom="0" percent="0" rank="0" text="" dxfId="0">
      <formula>AND(ISNUMBER(AC5),AC5&gt;Settings!$C$4)</formula>
    </cfRule>
    <cfRule type="expression" priority="1227" aboveAverage="0" equalAverage="0" bottom="0" percent="0" rank="0" text="" dxfId="1">
      <formula>AND(ISNUMBER(AC5),AC5&lt;-Settings!$C$4)</formula>
    </cfRule>
    <cfRule type="expression" priority="1228" aboveAverage="0" equalAverage="0" bottom="0" percent="0" rank="0" text="" dxfId="2">
      <formula>AND(ISNUMBER(AC5),ABS(AC5)&lt;=Settings!$C$4)</formula>
    </cfRule>
    <cfRule type="expression" priority="1229" aboveAverage="0" equalAverage="0" bottom="0" percent="0" rank="0" text="" dxfId="0">
      <formula>AND(ISNUMBER(AC5),AC5&gt;Settings!$C$4)</formula>
    </cfRule>
    <cfRule type="expression" priority="1230" aboveAverage="0" equalAverage="0" bottom="0" percent="0" rank="0" text="" dxfId="1">
      <formula>AND(ISNUMBER(AC5),AC5&lt;-Settings!$C$4)</formula>
    </cfRule>
    <cfRule type="expression" priority="1231" aboveAverage="0" equalAverage="0" bottom="0" percent="0" rank="0" text="" dxfId="2">
      <formula>AND(ISNUMBER(AC5),ABS(AC5)&lt;=Settings!$C$4)</formula>
    </cfRule>
    <cfRule type="expression" priority="1232" aboveAverage="0" equalAverage="0" bottom="0" percent="0" rank="0" text="" dxfId="0">
      <formula>AND(ISNUMBER(AC5),AC5&gt;Settings!$C$4)</formula>
    </cfRule>
    <cfRule type="expression" priority="1233" aboveAverage="0" equalAverage="0" bottom="0" percent="0" rank="0" text="" dxfId="1">
      <formula>AND(ISNUMBER(AC5),AC5&lt;-Settings!$C$4)</formula>
    </cfRule>
    <cfRule type="expression" priority="1234" aboveAverage="0" equalAverage="0" bottom="0" percent="0" rank="0" text="" dxfId="2">
      <formula>AND(ISNUMBER(AC5),ABS(AC5)&lt;=Settings!$C$4)</formula>
    </cfRule>
    <cfRule type="expression" priority="1235" aboveAverage="0" equalAverage="0" bottom="0" percent="0" rank="0" text="" dxfId="0">
      <formula>AND(ISNUMBER(AC5),AC5&gt;Settings!$C$4)</formula>
    </cfRule>
    <cfRule type="expression" priority="1236" aboveAverage="0" equalAverage="0" bottom="0" percent="0" rank="0" text="" dxfId="1">
      <formula>AND(ISNUMBER(AC5),AC5&lt;-Settings!$C$4)</formula>
    </cfRule>
    <cfRule type="expression" priority="1237" aboveAverage="0" equalAverage="0" bottom="0" percent="0" rank="0" text="" dxfId="2">
      <formula>AND(ISNUMBER(AC5),ABS(AC5)&lt;=Settings!$C$4)</formula>
    </cfRule>
    <cfRule type="expression" priority="1238" aboveAverage="0" equalAverage="0" bottom="0" percent="0" rank="0" text="" dxfId="0">
      <formula>AND(ISNUMBER(AC5),AC5&gt;Settings!$C$4)</formula>
    </cfRule>
    <cfRule type="expression" priority="1239" aboveAverage="0" equalAverage="0" bottom="0" percent="0" rank="0" text="" dxfId="1">
      <formula>AND(ISNUMBER(AC5),AC5&lt;-Settings!$C$4)</formula>
    </cfRule>
    <cfRule type="expression" priority="1240" aboveAverage="0" equalAverage="0" bottom="0" percent="0" rank="0" text="" dxfId="2">
      <formula>AND(ISNUMBER(AC5),ABS(AC5)&lt;=Settings!$C$4)</formula>
    </cfRule>
    <cfRule type="expression" priority="1241" aboveAverage="0" equalAverage="0" bottom="0" percent="0" rank="0" text="" dxfId="0">
      <formula>AND(ISNUMBER(AC5),AC5&gt;Settings!$C$4)</formula>
    </cfRule>
    <cfRule type="expression" priority="1242" aboveAverage="0" equalAverage="0" bottom="0" percent="0" rank="0" text="" dxfId="1">
      <formula>AND(ISNUMBER(AC5),AC5&lt;-Settings!$C$4)</formula>
    </cfRule>
    <cfRule type="expression" priority="1243" aboveAverage="0" equalAverage="0" bottom="0" percent="0" rank="0" text="" dxfId="2">
      <formula>AND(ISNUMBER(AC5),ABS(AC5)&lt;=Settings!$C$4)</formula>
    </cfRule>
    <cfRule type="expression" priority="1244" aboveAverage="0" equalAverage="0" bottom="0" percent="0" rank="0" text="" dxfId="0">
      <formula>AND(ISNUMBER(AC5),AC5&gt;Settings!$C$4)</formula>
    </cfRule>
    <cfRule type="expression" priority="1245" aboveAverage="0" equalAverage="0" bottom="0" percent="0" rank="0" text="" dxfId="1">
      <formula>AND(ISNUMBER(AC5),AC5&lt;-Settings!$C$4)</formula>
    </cfRule>
    <cfRule type="expression" priority="1246" aboveAverage="0" equalAverage="0" bottom="0" percent="0" rank="0" text="" dxfId="2">
      <formula>AND(ISNUMBER(AC5),ABS(AC5)&lt;=Settings!$C$4)</formula>
    </cfRule>
    <cfRule type="expression" priority="1247" aboveAverage="0" equalAverage="0" bottom="0" percent="0" rank="0" text="" dxfId="0">
      <formula>AND(ISNUMBER(AC5),AC5&gt;Settings!$C$4)</formula>
    </cfRule>
    <cfRule type="expression" priority="1248" aboveAverage="0" equalAverage="0" bottom="0" percent="0" rank="0" text="" dxfId="1">
      <formula>AND(ISNUMBER(AC5),AC5&lt;-Settings!$C$4)</formula>
    </cfRule>
    <cfRule type="expression" priority="1249" aboveAverage="0" equalAverage="0" bottom="0" percent="0" rank="0" text="" dxfId="2">
      <formula>AND(ISNUMBER(AC5),ABS(AC5)&lt;=Settings!$C$4)</formula>
    </cfRule>
    <cfRule type="expression" priority="1250" aboveAverage="0" equalAverage="0" bottom="0" percent="0" rank="0" text="" dxfId="0">
      <formula>AND(ISNUMBER(AC5),AC5&gt;Settings!$C$4)</formula>
    </cfRule>
    <cfRule type="expression" priority="1251" aboveAverage="0" equalAverage="0" bottom="0" percent="0" rank="0" text="" dxfId="1">
      <formula>AND(ISNUMBER(AC5),AC5&lt;-Settings!$C$4)</formula>
    </cfRule>
    <cfRule type="expression" priority="1252" aboveAverage="0" equalAverage="0" bottom="0" percent="0" rank="0" text="" dxfId="2">
      <formula>AND(ISNUMBER(AC5),ABS(AC5)&lt;=Settings!$C$4)</formula>
    </cfRule>
    <cfRule type="expression" priority="1253" aboveAverage="0" equalAverage="0" bottom="0" percent="0" rank="0" text="" dxfId="0">
      <formula>AND(ISNUMBER(AC5),AC5&gt;Settings!$C$4)</formula>
    </cfRule>
    <cfRule type="expression" priority="1254" aboveAverage="0" equalAverage="0" bottom="0" percent="0" rank="0" text="" dxfId="1">
      <formula>AND(ISNUMBER(AC5),AC5&lt;-Settings!$C$4)</formula>
    </cfRule>
    <cfRule type="expression" priority="1255" aboveAverage="0" equalAverage="0" bottom="0" percent="0" rank="0" text="" dxfId="2">
      <formula>AND(ISNUMBER(AC5),ABS(AC5)&lt;=Settings!$C$4)</formula>
    </cfRule>
    <cfRule type="expression" priority="1256" aboveAverage="0" equalAverage="0" bottom="0" percent="0" rank="0" text="" dxfId="0">
      <formula>AND(ISNUMBER(AC5),AC5&gt;Settings!$C$4)</formula>
    </cfRule>
    <cfRule type="expression" priority="1257" aboveAverage="0" equalAverage="0" bottom="0" percent="0" rank="0" text="" dxfId="1">
      <formula>AND(ISNUMBER(AC5),AC5&lt;-Settings!$C$4)</formula>
    </cfRule>
    <cfRule type="expression" priority="1258" aboveAverage="0" equalAverage="0" bottom="0" percent="0" rank="0" text="" dxfId="2">
      <formula>AND(ISNUMBER(AC5),ABS(AC5)&lt;=Settings!$C$4)</formula>
    </cfRule>
    <cfRule type="expression" priority="1259" aboveAverage="0" equalAverage="0" bottom="0" percent="0" rank="0" text="" dxfId="0">
      <formula>AND(ISNUMBER(AC5),AC5&gt;Settings!$C$4)</formula>
    </cfRule>
    <cfRule type="expression" priority="1260" aboveAverage="0" equalAverage="0" bottom="0" percent="0" rank="0" text="" dxfId="1">
      <formula>AND(ISNUMBER(AC5),AC5&lt;-Settings!$C$4)</formula>
    </cfRule>
    <cfRule type="expression" priority="1261" aboveAverage="0" equalAverage="0" bottom="0" percent="0" rank="0" text="" dxfId="2">
      <formula>AND(ISNUMBER(AC5),ABS(AC5)&lt;=Settings!$C$4)</formula>
    </cfRule>
  </conditionalFormatting>
  <conditionalFormatting sqref="AF5:AF46">
    <cfRule type="expression" priority="1262" aboveAverage="0" equalAverage="0" bottom="0" percent="0" rank="0" text="" dxfId="0">
      <formula>AND(ISNUMBER(AF5),AF5&gt;Settings!$C$4)</formula>
    </cfRule>
    <cfRule type="expression" priority="1263" aboveAverage="0" equalAverage="0" bottom="0" percent="0" rank="0" text="" dxfId="1">
      <formula>AND(ISNUMBER(AF5),AF5&lt;-Settings!$C$4)</formula>
    </cfRule>
    <cfRule type="expression" priority="1264" aboveAverage="0" equalAverage="0" bottom="0" percent="0" rank="0" text="" dxfId="2">
      <formula>AND(ISNUMBER(AF5),ABS(AF5)&lt;=Settings!$C$4)</formula>
    </cfRule>
    <cfRule type="expression" priority="1265" aboveAverage="0" equalAverage="0" bottom="0" percent="0" rank="0" text="" dxfId="0">
      <formula>AND(ISNUMBER(AF5),AF5&gt;Settings!$C$4)</formula>
    </cfRule>
    <cfRule type="expression" priority="1266" aboveAverage="0" equalAverage="0" bottom="0" percent="0" rank="0" text="" dxfId="1">
      <formula>AND(ISNUMBER(AF5),AF5&lt;-Settings!$C$4)</formula>
    </cfRule>
    <cfRule type="expression" priority="1267" aboveAverage="0" equalAverage="0" bottom="0" percent="0" rank="0" text="" dxfId="2">
      <formula>AND(ISNUMBER(AF5),ABS(AF5)&lt;=Settings!$C$4)</formula>
    </cfRule>
    <cfRule type="expression" priority="1268" aboveAverage="0" equalAverage="0" bottom="0" percent="0" rank="0" text="" dxfId="0">
      <formula>AND(ISNUMBER(AF5),AF5&gt;Settings!$C$4)</formula>
    </cfRule>
    <cfRule type="expression" priority="1269" aboveAverage="0" equalAverage="0" bottom="0" percent="0" rank="0" text="" dxfId="1">
      <formula>AND(ISNUMBER(AF5),AF5&lt;-Settings!$C$4)</formula>
    </cfRule>
    <cfRule type="expression" priority="1270" aboveAverage="0" equalAverage="0" bottom="0" percent="0" rank="0" text="" dxfId="2">
      <formula>AND(ISNUMBER(AF5),ABS(AF5)&lt;=Settings!$C$4)</formula>
    </cfRule>
    <cfRule type="expression" priority="1271" aboveAverage="0" equalAverage="0" bottom="0" percent="0" rank="0" text="" dxfId="0">
      <formula>AND(ISNUMBER(AF5),AF5&gt;Settings!$C$4)</formula>
    </cfRule>
    <cfRule type="expression" priority="1272" aboveAverage="0" equalAverage="0" bottom="0" percent="0" rank="0" text="" dxfId="1">
      <formula>AND(ISNUMBER(AF5),AF5&lt;-Settings!$C$4)</formula>
    </cfRule>
    <cfRule type="expression" priority="1273" aboveAverage="0" equalAverage="0" bottom="0" percent="0" rank="0" text="" dxfId="2">
      <formula>AND(ISNUMBER(AF5),ABS(AF5)&lt;=Settings!$C$4)</formula>
    </cfRule>
    <cfRule type="expression" priority="1274" aboveAverage="0" equalAverage="0" bottom="0" percent="0" rank="0" text="" dxfId="0">
      <formula>AND(ISNUMBER(AF5),AF5&gt;Settings!$C$4)</formula>
    </cfRule>
    <cfRule type="expression" priority="1275" aboveAverage="0" equalAverage="0" bottom="0" percent="0" rank="0" text="" dxfId="1">
      <formula>AND(ISNUMBER(AF5),AF5&lt;-Settings!$C$4)</formula>
    </cfRule>
    <cfRule type="expression" priority="1276" aboveAverage="0" equalAverage="0" bottom="0" percent="0" rank="0" text="" dxfId="2">
      <formula>AND(ISNUMBER(AF5),ABS(AF5)&lt;=Settings!$C$4)</formula>
    </cfRule>
    <cfRule type="expression" priority="1277" aboveAverage="0" equalAverage="0" bottom="0" percent="0" rank="0" text="" dxfId="0">
      <formula>AND(ISNUMBER(AF5),AF5&gt;Settings!$C$4)</formula>
    </cfRule>
    <cfRule type="expression" priority="1278" aboveAverage="0" equalAverage="0" bottom="0" percent="0" rank="0" text="" dxfId="1">
      <formula>AND(ISNUMBER(AF5),AF5&lt;-Settings!$C$4)</formula>
    </cfRule>
    <cfRule type="expression" priority="1279" aboveAverage="0" equalAverage="0" bottom="0" percent="0" rank="0" text="" dxfId="2">
      <formula>AND(ISNUMBER(AF5),ABS(AF5)&lt;=Settings!$C$4)</formula>
    </cfRule>
    <cfRule type="expression" priority="1280" aboveAverage="0" equalAverage="0" bottom="0" percent="0" rank="0" text="" dxfId="0">
      <formula>AND(ISNUMBER(AF5),AF5&gt;Settings!$C$4)</formula>
    </cfRule>
    <cfRule type="expression" priority="1281" aboveAverage="0" equalAverage="0" bottom="0" percent="0" rank="0" text="" dxfId="1">
      <formula>AND(ISNUMBER(AF5),AF5&lt;-Settings!$C$4)</formula>
    </cfRule>
    <cfRule type="expression" priority="1282" aboveAverage="0" equalAverage="0" bottom="0" percent="0" rank="0" text="" dxfId="2">
      <formula>AND(ISNUMBER(AF5),ABS(AF5)&lt;=Settings!$C$4)</formula>
    </cfRule>
    <cfRule type="expression" priority="1283" aboveAverage="0" equalAverage="0" bottom="0" percent="0" rank="0" text="" dxfId="0">
      <formula>AND(ISNUMBER(AF5),AF5&gt;Settings!$C$4)</formula>
    </cfRule>
    <cfRule type="expression" priority="1284" aboveAverage="0" equalAverage="0" bottom="0" percent="0" rank="0" text="" dxfId="1">
      <formula>AND(ISNUMBER(AF5),AF5&lt;-Settings!$C$4)</formula>
    </cfRule>
    <cfRule type="expression" priority="1285" aboveAverage="0" equalAverage="0" bottom="0" percent="0" rank="0" text="" dxfId="2">
      <formula>AND(ISNUMBER(AF5),ABS(AF5)&lt;=Settings!$C$4)</formula>
    </cfRule>
    <cfRule type="expression" priority="1286" aboveAverage="0" equalAverage="0" bottom="0" percent="0" rank="0" text="" dxfId="0">
      <formula>AND(ISNUMBER(AF5),AF5&gt;Settings!$C$4)</formula>
    </cfRule>
    <cfRule type="expression" priority="1287" aboveAverage="0" equalAverage="0" bottom="0" percent="0" rank="0" text="" dxfId="1">
      <formula>AND(ISNUMBER(AF5),AF5&lt;-Settings!$C$4)</formula>
    </cfRule>
    <cfRule type="expression" priority="1288" aboveAverage="0" equalAverage="0" bottom="0" percent="0" rank="0" text="" dxfId="2">
      <formula>AND(ISNUMBER(AF5),ABS(AF5)&lt;=Settings!$C$4)</formula>
    </cfRule>
    <cfRule type="expression" priority="1289" aboveAverage="0" equalAverage="0" bottom="0" percent="0" rank="0" text="" dxfId="0">
      <formula>AND(ISNUMBER(AF5),AF5&gt;Settings!$C$4)</formula>
    </cfRule>
    <cfRule type="expression" priority="1290" aboveAverage="0" equalAverage="0" bottom="0" percent="0" rank="0" text="" dxfId="1">
      <formula>AND(ISNUMBER(AF5),AF5&lt;-Settings!$C$4)</formula>
    </cfRule>
    <cfRule type="expression" priority="1291" aboveAverage="0" equalAverage="0" bottom="0" percent="0" rank="0" text="" dxfId="2">
      <formula>AND(ISNUMBER(AF5),ABS(AF5)&lt;=Settings!$C$4)</formula>
    </cfRule>
    <cfRule type="expression" priority="1292" aboveAverage="0" equalAverage="0" bottom="0" percent="0" rank="0" text="" dxfId="0">
      <formula>AND(ISNUMBER(AF5),AF5&gt;Settings!$C$4)</formula>
    </cfRule>
    <cfRule type="expression" priority="1293" aboveAverage="0" equalAverage="0" bottom="0" percent="0" rank="0" text="" dxfId="1">
      <formula>AND(ISNUMBER(AF5),AF5&lt;-Settings!$C$4)</formula>
    </cfRule>
    <cfRule type="expression" priority="1294" aboveAverage="0" equalAverage="0" bottom="0" percent="0" rank="0" text="" dxfId="2">
      <formula>AND(ISNUMBER(AF5),ABS(AF5)&lt;=Settings!$C$4)</formula>
    </cfRule>
    <cfRule type="expression" priority="1295" aboveAverage="0" equalAverage="0" bottom="0" percent="0" rank="0" text="" dxfId="0">
      <formula>AND(ISNUMBER(AF5),AF5&gt;Settings!$C$4)</formula>
    </cfRule>
    <cfRule type="expression" priority="1296" aboveAverage="0" equalAverage="0" bottom="0" percent="0" rank="0" text="" dxfId="1">
      <formula>AND(ISNUMBER(AF5),AF5&lt;-Settings!$C$4)</formula>
    </cfRule>
    <cfRule type="expression" priority="1297" aboveAverage="0" equalAverage="0" bottom="0" percent="0" rank="0" text="" dxfId="2">
      <formula>AND(ISNUMBER(AF5),ABS(AF5)&lt;=Settings!$C$4)</formula>
    </cfRule>
    <cfRule type="expression" priority="1298" aboveAverage="0" equalAverage="0" bottom="0" percent="0" rank="0" text="" dxfId="0">
      <formula>AND(ISNUMBER(AF5),AF5&gt;Settings!$C$4)</formula>
    </cfRule>
    <cfRule type="expression" priority="1299" aboveAverage="0" equalAverage="0" bottom="0" percent="0" rank="0" text="" dxfId="1">
      <formula>AND(ISNUMBER(AF5),AF5&lt;-Settings!$C$4)</formula>
    </cfRule>
    <cfRule type="expression" priority="1300" aboveAverage="0" equalAverage="0" bottom="0" percent="0" rank="0" text="" dxfId="2">
      <formula>AND(ISNUMBER(AF5),ABS(AF5)&lt;=Settings!$C$4)</formula>
    </cfRule>
    <cfRule type="expression" priority="1301" aboveAverage="0" equalAverage="0" bottom="0" percent="0" rank="0" text="" dxfId="0">
      <formula>AND(ISNUMBER(AF5),AF5&gt;Settings!$C$4)</formula>
    </cfRule>
    <cfRule type="expression" priority="1302" aboveAverage="0" equalAverage="0" bottom="0" percent="0" rank="0" text="" dxfId="1">
      <formula>AND(ISNUMBER(AF5),AF5&lt;-Settings!$C$4)</formula>
    </cfRule>
    <cfRule type="expression" priority="1303" aboveAverage="0" equalAverage="0" bottom="0" percent="0" rank="0" text="" dxfId="2">
      <formula>AND(ISNUMBER(AF5),ABS(AF5)&lt;=Settings!$C$4)</formula>
    </cfRule>
    <cfRule type="expression" priority="1304" aboveAverage="0" equalAverage="0" bottom="0" percent="0" rank="0" text="" dxfId="0">
      <formula>AND(ISNUMBER(AF5),AF5&gt;Settings!$C$4)</formula>
    </cfRule>
    <cfRule type="expression" priority="1305" aboveAverage="0" equalAverage="0" bottom="0" percent="0" rank="0" text="" dxfId="1">
      <formula>AND(ISNUMBER(AF5),AF5&lt;-Settings!$C$4)</formula>
    </cfRule>
    <cfRule type="expression" priority="1306" aboveAverage="0" equalAverage="0" bottom="0" percent="0" rank="0" text="" dxfId="2">
      <formula>AND(ISNUMBER(AF5),ABS(AF5)&lt;=Settings!$C$4)</formula>
    </cfRule>
    <cfRule type="expression" priority="1307" aboveAverage="0" equalAverage="0" bottom="0" percent="0" rank="0" text="" dxfId="0">
      <formula>AND(ISNUMBER(AF5),AF5&gt;Settings!$C$4)</formula>
    </cfRule>
    <cfRule type="expression" priority="1308" aboveAverage="0" equalAverage="0" bottom="0" percent="0" rank="0" text="" dxfId="1">
      <formula>AND(ISNUMBER(AF5),AF5&lt;-Settings!$C$4)</formula>
    </cfRule>
    <cfRule type="expression" priority="1309" aboveAverage="0" equalAverage="0" bottom="0" percent="0" rank="0" text="" dxfId="2">
      <formula>AND(ISNUMBER(AF5),ABS(AF5)&lt;=Settings!$C$4)</formula>
    </cfRule>
    <cfRule type="expression" priority="1310" aboveAverage="0" equalAverage="0" bottom="0" percent="0" rank="0" text="" dxfId="0">
      <formula>AND(ISNUMBER(AF5),AF5&gt;Settings!$C$4)</formula>
    </cfRule>
    <cfRule type="expression" priority="1311" aboveAverage="0" equalAverage="0" bottom="0" percent="0" rank="0" text="" dxfId="1">
      <formula>AND(ISNUMBER(AF5),AF5&lt;-Settings!$C$4)</formula>
    </cfRule>
    <cfRule type="expression" priority="1312" aboveAverage="0" equalAverage="0" bottom="0" percent="0" rank="0" text="" dxfId="2">
      <formula>AND(ISNUMBER(AF5),ABS(AF5)&lt;=Settings!$C$4)</formula>
    </cfRule>
    <cfRule type="expression" priority="1313" aboveAverage="0" equalAverage="0" bottom="0" percent="0" rank="0" text="" dxfId="0">
      <formula>AND(ISNUMBER(AF5),AF5&gt;Settings!$C$4)</formula>
    </cfRule>
    <cfRule type="expression" priority="1314" aboveAverage="0" equalAverage="0" bottom="0" percent="0" rank="0" text="" dxfId="1">
      <formula>AND(ISNUMBER(AF5),AF5&lt;-Settings!$C$4)</formula>
    </cfRule>
    <cfRule type="expression" priority="1315" aboveAverage="0" equalAverage="0" bottom="0" percent="0" rank="0" text="" dxfId="2">
      <formula>AND(ISNUMBER(AF5),ABS(AF5)&lt;=Settings!$C$4)</formula>
    </cfRule>
    <cfRule type="expression" priority="1316" aboveAverage="0" equalAverage="0" bottom="0" percent="0" rank="0" text="" dxfId="0">
      <formula>AND(ISNUMBER(AF5),AF5&gt;Settings!$C$4)</formula>
    </cfRule>
    <cfRule type="expression" priority="1317" aboveAverage="0" equalAverage="0" bottom="0" percent="0" rank="0" text="" dxfId="1">
      <formula>AND(ISNUMBER(AF5),AF5&lt;-Settings!$C$4)</formula>
    </cfRule>
    <cfRule type="expression" priority="1318" aboveAverage="0" equalAverage="0" bottom="0" percent="0" rank="0" text="" dxfId="2">
      <formula>AND(ISNUMBER(AF5),ABS(AF5)&lt;=Settings!$C$4)</formula>
    </cfRule>
    <cfRule type="expression" priority="1319" aboveAverage="0" equalAverage="0" bottom="0" percent="0" rank="0" text="" dxfId="0">
      <formula>AND(ISNUMBER(AF5),AF5&gt;Settings!$C$4)</formula>
    </cfRule>
    <cfRule type="expression" priority="1320" aboveAverage="0" equalAverage="0" bottom="0" percent="0" rank="0" text="" dxfId="1">
      <formula>AND(ISNUMBER(AF5),AF5&lt;-Settings!$C$4)</formula>
    </cfRule>
    <cfRule type="expression" priority="1321" aboveAverage="0" equalAverage="0" bottom="0" percent="0" rank="0" text="" dxfId="2">
      <formula>AND(ISNUMBER(AF5),ABS(AF5)&lt;=Settings!$C$4)</formula>
    </cfRule>
    <cfRule type="expression" priority="1322" aboveAverage="0" equalAverage="0" bottom="0" percent="0" rank="0" text="" dxfId="0">
      <formula>AND(ISNUMBER(AF5),AF5&gt;Settings!$C$4)</formula>
    </cfRule>
    <cfRule type="expression" priority="1323" aboveAverage="0" equalAverage="0" bottom="0" percent="0" rank="0" text="" dxfId="1">
      <formula>AND(ISNUMBER(AF5),AF5&lt;-Settings!$C$4)</formula>
    </cfRule>
    <cfRule type="expression" priority="1324" aboveAverage="0" equalAverage="0" bottom="0" percent="0" rank="0" text="" dxfId="2">
      <formula>AND(ISNUMBER(AF5),ABS(AF5)&lt;=Settings!$C$4)</formula>
    </cfRule>
    <cfRule type="expression" priority="1325" aboveAverage="0" equalAverage="0" bottom="0" percent="0" rank="0" text="" dxfId="0">
      <formula>AND(ISNUMBER(AF5),AF5&gt;Settings!$C$4)</formula>
    </cfRule>
    <cfRule type="expression" priority="1326" aboveAverage="0" equalAverage="0" bottom="0" percent="0" rank="0" text="" dxfId="1">
      <formula>AND(ISNUMBER(AF5),AF5&lt;-Settings!$C$4)</formula>
    </cfRule>
    <cfRule type="expression" priority="1327" aboveAverage="0" equalAverage="0" bottom="0" percent="0" rank="0" text="" dxfId="2">
      <formula>AND(ISNUMBER(AF5),ABS(AF5)&lt;=Settings!$C$4)</formula>
    </cfRule>
    <cfRule type="expression" priority="1328" aboveAverage="0" equalAverage="0" bottom="0" percent="0" rank="0" text="" dxfId="0">
      <formula>AND(ISNUMBER(AF5),AF5&gt;Settings!$C$4)</formula>
    </cfRule>
    <cfRule type="expression" priority="1329" aboveAverage="0" equalAverage="0" bottom="0" percent="0" rank="0" text="" dxfId="1">
      <formula>AND(ISNUMBER(AF5),AF5&lt;-Settings!$C$4)</formula>
    </cfRule>
    <cfRule type="expression" priority="1330" aboveAverage="0" equalAverage="0" bottom="0" percent="0" rank="0" text="" dxfId="2">
      <formula>AND(ISNUMBER(AF5),ABS(AF5)&lt;=Settings!$C$4)</formula>
    </cfRule>
    <cfRule type="expression" priority="1331" aboveAverage="0" equalAverage="0" bottom="0" percent="0" rank="0" text="" dxfId="0">
      <formula>AND(ISNUMBER(AF5),AF5&gt;Settings!$C$4)</formula>
    </cfRule>
    <cfRule type="expression" priority="1332" aboveAverage="0" equalAverage="0" bottom="0" percent="0" rank="0" text="" dxfId="1">
      <formula>AND(ISNUMBER(AF5),AF5&lt;-Settings!$C$4)</formula>
    </cfRule>
    <cfRule type="expression" priority="1333" aboveAverage="0" equalAverage="0" bottom="0" percent="0" rank="0" text="" dxfId="2">
      <formula>AND(ISNUMBER(AF5),ABS(AF5)&lt;=Settings!$C$4)</formula>
    </cfRule>
    <cfRule type="expression" priority="1334" aboveAverage="0" equalAverage="0" bottom="0" percent="0" rank="0" text="" dxfId="0">
      <formula>AND(ISNUMBER(AF5),AF5&gt;Settings!$C$4)</formula>
    </cfRule>
    <cfRule type="expression" priority="1335" aboveAverage="0" equalAverage="0" bottom="0" percent="0" rank="0" text="" dxfId="1">
      <formula>AND(ISNUMBER(AF5),AF5&lt;-Settings!$C$4)</formula>
    </cfRule>
    <cfRule type="expression" priority="1336" aboveAverage="0" equalAverage="0" bottom="0" percent="0" rank="0" text="" dxfId="2">
      <formula>AND(ISNUMBER(AF5),ABS(AF5)&lt;=Settings!$C$4)</formula>
    </cfRule>
    <cfRule type="expression" priority="1337" aboveAverage="0" equalAverage="0" bottom="0" percent="0" rank="0" text="" dxfId="0">
      <formula>AND(ISNUMBER(AF5),AF5&gt;Settings!$C$4)</formula>
    </cfRule>
    <cfRule type="expression" priority="1338" aboveAverage="0" equalAverage="0" bottom="0" percent="0" rank="0" text="" dxfId="1">
      <formula>AND(ISNUMBER(AF5),AF5&lt;-Settings!$C$4)</formula>
    </cfRule>
    <cfRule type="expression" priority="1339" aboveAverage="0" equalAverage="0" bottom="0" percent="0" rank="0" text="" dxfId="2">
      <formula>AND(ISNUMBER(AF5),ABS(AF5)&lt;=Settings!$C$4)</formula>
    </cfRule>
    <cfRule type="expression" priority="1340" aboveAverage="0" equalAverage="0" bottom="0" percent="0" rank="0" text="" dxfId="0">
      <formula>AND(ISNUMBER(AF5),AF5&gt;Settings!$C$4)</formula>
    </cfRule>
    <cfRule type="expression" priority="1341" aboveAverage="0" equalAverage="0" bottom="0" percent="0" rank="0" text="" dxfId="1">
      <formula>AND(ISNUMBER(AF5),AF5&lt;-Settings!$C$4)</formula>
    </cfRule>
    <cfRule type="expression" priority="1342" aboveAverage="0" equalAverage="0" bottom="0" percent="0" rank="0" text="" dxfId="2">
      <formula>AND(ISNUMBER(AF5),ABS(AF5)&lt;=Settings!$C$4)</formula>
    </cfRule>
    <cfRule type="expression" priority="1343" aboveAverage="0" equalAverage="0" bottom="0" percent="0" rank="0" text="" dxfId="0">
      <formula>AND(ISNUMBER(AF5),AF5&gt;Settings!$C$4)</formula>
    </cfRule>
    <cfRule type="expression" priority="1344" aboveAverage="0" equalAverage="0" bottom="0" percent="0" rank="0" text="" dxfId="1">
      <formula>AND(ISNUMBER(AF5),AF5&lt;-Settings!$C$4)</formula>
    </cfRule>
    <cfRule type="expression" priority="1345" aboveAverage="0" equalAverage="0" bottom="0" percent="0" rank="0" text="" dxfId="2">
      <formula>AND(ISNUMBER(AF5),ABS(AF5)&lt;=Settings!$C$4)</formula>
    </cfRule>
    <cfRule type="expression" priority="1346" aboveAverage="0" equalAverage="0" bottom="0" percent="0" rank="0" text="" dxfId="0">
      <formula>AND(ISNUMBER(AF5),AF5&gt;Settings!$C$4)</formula>
    </cfRule>
    <cfRule type="expression" priority="1347" aboveAverage="0" equalAverage="0" bottom="0" percent="0" rank="0" text="" dxfId="1">
      <formula>AND(ISNUMBER(AF5),AF5&lt;-Settings!$C$4)</formula>
    </cfRule>
    <cfRule type="expression" priority="1348" aboveAverage="0" equalAverage="0" bottom="0" percent="0" rank="0" text="" dxfId="2">
      <formula>AND(ISNUMBER(AF5),ABS(AF5)&lt;=Settings!$C$4)</formula>
    </cfRule>
    <cfRule type="expression" priority="1349" aboveAverage="0" equalAverage="0" bottom="0" percent="0" rank="0" text="" dxfId="0">
      <formula>AND(ISNUMBER(AF5),AF5&gt;Settings!$C$4)</formula>
    </cfRule>
    <cfRule type="expression" priority="1350" aboveAverage="0" equalAverage="0" bottom="0" percent="0" rank="0" text="" dxfId="1">
      <formula>AND(ISNUMBER(AF5),AF5&lt;-Settings!$C$4)</formula>
    </cfRule>
    <cfRule type="expression" priority="1351" aboveAverage="0" equalAverage="0" bottom="0" percent="0" rank="0" text="" dxfId="2">
      <formula>AND(ISNUMBER(AF5),ABS(AF5)&lt;=Settings!$C$4)</formula>
    </cfRule>
    <cfRule type="expression" priority="1352" aboveAverage="0" equalAverage="0" bottom="0" percent="0" rank="0" text="" dxfId="0">
      <formula>AND(ISNUMBER(AF5),AF5&gt;Settings!$C$4)</formula>
    </cfRule>
    <cfRule type="expression" priority="1353" aboveAverage="0" equalAverage="0" bottom="0" percent="0" rank="0" text="" dxfId="1">
      <formula>AND(ISNUMBER(AF5),AF5&lt;-Settings!$C$4)</formula>
    </cfRule>
    <cfRule type="expression" priority="1354" aboveAverage="0" equalAverage="0" bottom="0" percent="0" rank="0" text="" dxfId="2">
      <formula>AND(ISNUMBER(AF5),ABS(AF5)&lt;=Settings!$C$4)</formula>
    </cfRule>
    <cfRule type="expression" priority="1355" aboveAverage="0" equalAverage="0" bottom="0" percent="0" rank="0" text="" dxfId="0">
      <formula>AND(ISNUMBER(AF5),AF5&gt;Settings!$C$4)</formula>
    </cfRule>
    <cfRule type="expression" priority="1356" aboveAverage="0" equalAverage="0" bottom="0" percent="0" rank="0" text="" dxfId="1">
      <formula>AND(ISNUMBER(AF5),AF5&lt;-Settings!$C$4)</formula>
    </cfRule>
    <cfRule type="expression" priority="1357" aboveAverage="0" equalAverage="0" bottom="0" percent="0" rank="0" text="" dxfId="2">
      <formula>AND(ISNUMBER(AF5),ABS(AF5)&lt;=Settings!$C$4)</formula>
    </cfRule>
    <cfRule type="expression" priority="1358" aboveAverage="0" equalAverage="0" bottom="0" percent="0" rank="0" text="" dxfId="0">
      <formula>AND(ISNUMBER(AF5),AF5&gt;Settings!$C$4)</formula>
    </cfRule>
    <cfRule type="expression" priority="1359" aboveAverage="0" equalAverage="0" bottom="0" percent="0" rank="0" text="" dxfId="1">
      <formula>AND(ISNUMBER(AF5),AF5&lt;-Settings!$C$4)</formula>
    </cfRule>
    <cfRule type="expression" priority="1360" aboveAverage="0" equalAverage="0" bottom="0" percent="0" rank="0" text="" dxfId="2">
      <formula>AND(ISNUMBER(AF5),ABS(AF5)&lt;=Settings!$C$4)</formula>
    </cfRule>
    <cfRule type="expression" priority="1361" aboveAverage="0" equalAverage="0" bottom="0" percent="0" rank="0" text="" dxfId="0">
      <formula>AND(ISNUMBER(AF5),AF5&gt;Settings!$C$4)</formula>
    </cfRule>
    <cfRule type="expression" priority="1362" aboveAverage="0" equalAverage="0" bottom="0" percent="0" rank="0" text="" dxfId="1">
      <formula>AND(ISNUMBER(AF5),AF5&lt;-Settings!$C$4)</formula>
    </cfRule>
    <cfRule type="expression" priority="1363" aboveAverage="0" equalAverage="0" bottom="0" percent="0" rank="0" text="" dxfId="2">
      <formula>AND(ISNUMBER(AF5),ABS(AF5)&lt;=Settings!$C$4)</formula>
    </cfRule>
    <cfRule type="expression" priority="1364" aboveAverage="0" equalAverage="0" bottom="0" percent="0" rank="0" text="" dxfId="0">
      <formula>AND(ISNUMBER(AF5),AF5&gt;Settings!$C$4)</formula>
    </cfRule>
    <cfRule type="expression" priority="1365" aboveAverage="0" equalAverage="0" bottom="0" percent="0" rank="0" text="" dxfId="1">
      <formula>AND(ISNUMBER(AF5),AF5&lt;-Settings!$C$4)</formula>
    </cfRule>
    <cfRule type="expression" priority="1366" aboveAverage="0" equalAverage="0" bottom="0" percent="0" rank="0" text="" dxfId="2">
      <formula>AND(ISNUMBER(AF5),ABS(AF5)&lt;=Settings!$C$4)</formula>
    </cfRule>
    <cfRule type="expression" priority="1367" aboveAverage="0" equalAverage="0" bottom="0" percent="0" rank="0" text="" dxfId="0">
      <formula>AND(ISNUMBER(AF5),AF5&gt;Settings!$C$4)</formula>
    </cfRule>
    <cfRule type="expression" priority="1368" aboveAverage="0" equalAverage="0" bottom="0" percent="0" rank="0" text="" dxfId="1">
      <formula>AND(ISNUMBER(AF5),AF5&lt;-Settings!$C$4)</formula>
    </cfRule>
    <cfRule type="expression" priority="1369" aboveAverage="0" equalAverage="0" bottom="0" percent="0" rank="0" text="" dxfId="2">
      <formula>AND(ISNUMBER(AF5),ABS(AF5)&lt;=Settings!$C$4)</formula>
    </cfRule>
    <cfRule type="expression" priority="1370" aboveAverage="0" equalAverage="0" bottom="0" percent="0" rank="0" text="" dxfId="0">
      <formula>AND(ISNUMBER(AF5),AF5&gt;Settings!$C$4)</formula>
    </cfRule>
    <cfRule type="expression" priority="1371" aboveAverage="0" equalAverage="0" bottom="0" percent="0" rank="0" text="" dxfId="1">
      <formula>AND(ISNUMBER(AF5),AF5&lt;-Settings!$C$4)</formula>
    </cfRule>
    <cfRule type="expression" priority="1372" aboveAverage="0" equalAverage="0" bottom="0" percent="0" rank="0" text="" dxfId="2">
      <formula>AND(ISNUMBER(AF5),ABS(AF5)&lt;=Settings!$C$4)</formula>
    </cfRule>
    <cfRule type="expression" priority="1373" aboveAverage="0" equalAverage="0" bottom="0" percent="0" rank="0" text="" dxfId="0">
      <formula>AND(ISNUMBER(AF5),AF5&gt;Settings!$C$4)</formula>
    </cfRule>
    <cfRule type="expression" priority="1374" aboveAverage="0" equalAverage="0" bottom="0" percent="0" rank="0" text="" dxfId="1">
      <formula>AND(ISNUMBER(AF5),AF5&lt;-Settings!$C$4)</formula>
    </cfRule>
    <cfRule type="expression" priority="1375" aboveAverage="0" equalAverage="0" bottom="0" percent="0" rank="0" text="" dxfId="2">
      <formula>AND(ISNUMBER(AF5),ABS(AF5)&lt;=Settings!$C$4)</formula>
    </cfRule>
    <cfRule type="expression" priority="1376" aboveAverage="0" equalAverage="0" bottom="0" percent="0" rank="0" text="" dxfId="0">
      <formula>AND(ISNUMBER(AF5),AF5&gt;Settings!$C$4)</formula>
    </cfRule>
    <cfRule type="expression" priority="1377" aboveAverage="0" equalAverage="0" bottom="0" percent="0" rank="0" text="" dxfId="1">
      <formula>AND(ISNUMBER(AF5),AF5&lt;-Settings!$C$4)</formula>
    </cfRule>
    <cfRule type="expression" priority="1378" aboveAverage="0" equalAverage="0" bottom="0" percent="0" rank="0" text="" dxfId="2">
      <formula>AND(ISNUMBER(AF5),ABS(AF5)&lt;=Settings!$C$4)</formula>
    </cfRule>
    <cfRule type="expression" priority="1379" aboveAverage="0" equalAverage="0" bottom="0" percent="0" rank="0" text="" dxfId="0">
      <formula>AND(ISNUMBER(AF5),AF5&gt;Settings!$C$4)</formula>
    </cfRule>
    <cfRule type="expression" priority="1380" aboveAverage="0" equalAverage="0" bottom="0" percent="0" rank="0" text="" dxfId="1">
      <formula>AND(ISNUMBER(AF5),AF5&lt;-Settings!$C$4)</formula>
    </cfRule>
    <cfRule type="expression" priority="1381" aboveAverage="0" equalAverage="0" bottom="0" percent="0" rank="0" text="" dxfId="2">
      <formula>AND(ISNUMBER(AF5),ABS(AF5)&lt;=Settings!$C$4)</formula>
    </cfRule>
    <cfRule type="expression" priority="1382" aboveAverage="0" equalAverage="0" bottom="0" percent="0" rank="0" text="" dxfId="0">
      <formula>AND(ISNUMBER(AF5),AF5&gt;Settings!$C$4)</formula>
    </cfRule>
    <cfRule type="expression" priority="1383" aboveAverage="0" equalAverage="0" bottom="0" percent="0" rank="0" text="" dxfId="1">
      <formula>AND(ISNUMBER(AF5),AF5&lt;-Settings!$C$4)</formula>
    </cfRule>
    <cfRule type="expression" priority="1384" aboveAverage="0" equalAverage="0" bottom="0" percent="0" rank="0" text="" dxfId="2">
      <formula>AND(ISNUMBER(AF5),ABS(AF5)&lt;=Settings!$C$4)</formula>
    </cfRule>
    <cfRule type="expression" priority="1385" aboveAverage="0" equalAverage="0" bottom="0" percent="0" rank="0" text="" dxfId="0">
      <formula>AND(ISNUMBER(AF5),AF5&gt;Settings!$C$4)</formula>
    </cfRule>
    <cfRule type="expression" priority="1386" aboveAverage="0" equalAverage="0" bottom="0" percent="0" rank="0" text="" dxfId="1">
      <formula>AND(ISNUMBER(AF5),AF5&lt;-Settings!$C$4)</formula>
    </cfRule>
    <cfRule type="expression" priority="1387" aboveAverage="0" equalAverage="0" bottom="0" percent="0" rank="0" text="" dxfId="2">
      <formula>AND(ISNUMBER(AF5),ABS(AF5)&lt;=Settings!$C$4)</formula>
    </cfRule>
  </conditionalFormatting>
  <conditionalFormatting sqref="AI5:AI46">
    <cfRule type="expression" priority="1388" aboveAverage="0" equalAverage="0" bottom="0" percent="0" rank="0" text="" dxfId="0">
      <formula>AND(ISNUMBER(AI5),AI5&gt;Settings!$C$4)</formula>
    </cfRule>
    <cfRule type="expression" priority="1389" aboveAverage="0" equalAverage="0" bottom="0" percent="0" rank="0" text="" dxfId="1">
      <formula>AND(ISNUMBER(AI5),AI5&lt;-Settings!$C$4)</formula>
    </cfRule>
    <cfRule type="expression" priority="1390" aboveAverage="0" equalAverage="0" bottom="0" percent="0" rank="0" text="" dxfId="2">
      <formula>AND(ISNUMBER(AI5),ABS(AI5)&lt;=Settings!$C$4)</formula>
    </cfRule>
    <cfRule type="expression" priority="1391" aboveAverage="0" equalAverage="0" bottom="0" percent="0" rank="0" text="" dxfId="0">
      <formula>AND(ISNUMBER(AI5),AI5&gt;Settings!$C$4)</formula>
    </cfRule>
    <cfRule type="expression" priority="1392" aboveAverage="0" equalAverage="0" bottom="0" percent="0" rank="0" text="" dxfId="1">
      <formula>AND(ISNUMBER(AI5),AI5&lt;-Settings!$C$4)</formula>
    </cfRule>
    <cfRule type="expression" priority="1393" aboveAverage="0" equalAverage="0" bottom="0" percent="0" rank="0" text="" dxfId="2">
      <formula>AND(ISNUMBER(AI5),ABS(AI5)&lt;=Settings!$C$4)</formula>
    </cfRule>
    <cfRule type="expression" priority="1394" aboveAverage="0" equalAverage="0" bottom="0" percent="0" rank="0" text="" dxfId="0">
      <formula>AND(ISNUMBER(AI5),AI5&gt;Settings!$C$4)</formula>
    </cfRule>
    <cfRule type="expression" priority="1395" aboveAverage="0" equalAverage="0" bottom="0" percent="0" rank="0" text="" dxfId="1">
      <formula>AND(ISNUMBER(AI5),AI5&lt;-Settings!$C$4)</formula>
    </cfRule>
    <cfRule type="expression" priority="1396" aboveAverage="0" equalAverage="0" bottom="0" percent="0" rank="0" text="" dxfId="2">
      <formula>AND(ISNUMBER(AI5),ABS(AI5)&lt;=Settings!$C$4)</formula>
    </cfRule>
    <cfRule type="expression" priority="1397" aboveAverage="0" equalAverage="0" bottom="0" percent="0" rank="0" text="" dxfId="0">
      <formula>AND(ISNUMBER(AI5),AI5&gt;Settings!$C$4)</formula>
    </cfRule>
    <cfRule type="expression" priority="1398" aboveAverage="0" equalAverage="0" bottom="0" percent="0" rank="0" text="" dxfId="1">
      <formula>AND(ISNUMBER(AI5),AI5&lt;-Settings!$C$4)</formula>
    </cfRule>
    <cfRule type="expression" priority="1399" aboveAverage="0" equalAverage="0" bottom="0" percent="0" rank="0" text="" dxfId="2">
      <formula>AND(ISNUMBER(AI5),ABS(AI5)&lt;=Settings!$C$4)</formula>
    </cfRule>
    <cfRule type="expression" priority="1400" aboveAverage="0" equalAverage="0" bottom="0" percent="0" rank="0" text="" dxfId="0">
      <formula>AND(ISNUMBER(AI5),AI5&gt;Settings!$C$4)</formula>
    </cfRule>
    <cfRule type="expression" priority="1401" aboveAverage="0" equalAverage="0" bottom="0" percent="0" rank="0" text="" dxfId="1">
      <formula>AND(ISNUMBER(AI5),AI5&lt;-Settings!$C$4)</formula>
    </cfRule>
    <cfRule type="expression" priority="1402" aboveAverage="0" equalAverage="0" bottom="0" percent="0" rank="0" text="" dxfId="2">
      <formula>AND(ISNUMBER(AI5),ABS(AI5)&lt;=Settings!$C$4)</formula>
    </cfRule>
    <cfRule type="expression" priority="1403" aboveAverage="0" equalAverage="0" bottom="0" percent="0" rank="0" text="" dxfId="0">
      <formula>AND(ISNUMBER(AI5),AI5&gt;Settings!$C$4)</formula>
    </cfRule>
    <cfRule type="expression" priority="1404" aboveAverage="0" equalAverage="0" bottom="0" percent="0" rank="0" text="" dxfId="1">
      <formula>AND(ISNUMBER(AI5),AI5&lt;-Settings!$C$4)</formula>
    </cfRule>
    <cfRule type="expression" priority="1405" aboveAverage="0" equalAverage="0" bottom="0" percent="0" rank="0" text="" dxfId="2">
      <formula>AND(ISNUMBER(AI5),ABS(AI5)&lt;=Settings!$C$4)</formula>
    </cfRule>
    <cfRule type="expression" priority="1406" aboveAverage="0" equalAverage="0" bottom="0" percent="0" rank="0" text="" dxfId="0">
      <formula>AND(ISNUMBER(AI5),AI5&gt;Settings!$C$4)</formula>
    </cfRule>
    <cfRule type="expression" priority="1407" aboveAverage="0" equalAverage="0" bottom="0" percent="0" rank="0" text="" dxfId="1">
      <formula>AND(ISNUMBER(AI5),AI5&lt;-Settings!$C$4)</formula>
    </cfRule>
    <cfRule type="expression" priority="1408" aboveAverage="0" equalAverage="0" bottom="0" percent="0" rank="0" text="" dxfId="2">
      <formula>AND(ISNUMBER(AI5),ABS(AI5)&lt;=Settings!$C$4)</formula>
    </cfRule>
    <cfRule type="expression" priority="1409" aboveAverage="0" equalAverage="0" bottom="0" percent="0" rank="0" text="" dxfId="0">
      <formula>AND(ISNUMBER(AI5),AI5&gt;Settings!$C$4)</formula>
    </cfRule>
    <cfRule type="expression" priority="1410" aboveAverage="0" equalAverage="0" bottom="0" percent="0" rank="0" text="" dxfId="1">
      <formula>AND(ISNUMBER(AI5),AI5&lt;-Settings!$C$4)</formula>
    </cfRule>
    <cfRule type="expression" priority="1411" aboveAverage="0" equalAverage="0" bottom="0" percent="0" rank="0" text="" dxfId="2">
      <formula>AND(ISNUMBER(AI5),ABS(AI5)&lt;=Settings!$C$4)</formula>
    </cfRule>
    <cfRule type="expression" priority="1412" aboveAverage="0" equalAverage="0" bottom="0" percent="0" rank="0" text="" dxfId="0">
      <formula>AND(ISNUMBER(AI5),AI5&gt;Settings!$C$4)</formula>
    </cfRule>
    <cfRule type="expression" priority="1413" aboveAverage="0" equalAverage="0" bottom="0" percent="0" rank="0" text="" dxfId="1">
      <formula>AND(ISNUMBER(AI5),AI5&lt;-Settings!$C$4)</formula>
    </cfRule>
    <cfRule type="expression" priority="1414" aboveAverage="0" equalAverage="0" bottom="0" percent="0" rank="0" text="" dxfId="2">
      <formula>AND(ISNUMBER(AI5),ABS(AI5)&lt;=Settings!$C$4)</formula>
    </cfRule>
    <cfRule type="expression" priority="1415" aboveAverage="0" equalAverage="0" bottom="0" percent="0" rank="0" text="" dxfId="0">
      <formula>AND(ISNUMBER(AI5),AI5&gt;Settings!$C$4)</formula>
    </cfRule>
    <cfRule type="expression" priority="1416" aboveAverage="0" equalAverage="0" bottom="0" percent="0" rank="0" text="" dxfId="1">
      <formula>AND(ISNUMBER(AI5),AI5&lt;-Settings!$C$4)</formula>
    </cfRule>
    <cfRule type="expression" priority="1417" aboveAverage="0" equalAverage="0" bottom="0" percent="0" rank="0" text="" dxfId="2">
      <formula>AND(ISNUMBER(AI5),ABS(AI5)&lt;=Settings!$C$4)</formula>
    </cfRule>
    <cfRule type="expression" priority="1418" aboveAverage="0" equalAverage="0" bottom="0" percent="0" rank="0" text="" dxfId="0">
      <formula>AND(ISNUMBER(AI5),AI5&gt;Settings!$C$4)</formula>
    </cfRule>
    <cfRule type="expression" priority="1419" aboveAverage="0" equalAverage="0" bottom="0" percent="0" rank="0" text="" dxfId="1">
      <formula>AND(ISNUMBER(AI5),AI5&lt;-Settings!$C$4)</formula>
    </cfRule>
    <cfRule type="expression" priority="1420" aboveAverage="0" equalAverage="0" bottom="0" percent="0" rank="0" text="" dxfId="2">
      <formula>AND(ISNUMBER(AI5),ABS(AI5)&lt;=Settings!$C$4)</formula>
    </cfRule>
    <cfRule type="expression" priority="1421" aboveAverage="0" equalAverage="0" bottom="0" percent="0" rank="0" text="" dxfId="0">
      <formula>AND(ISNUMBER(AI5),AI5&gt;Settings!$C$4)</formula>
    </cfRule>
    <cfRule type="expression" priority="1422" aboveAverage="0" equalAverage="0" bottom="0" percent="0" rank="0" text="" dxfId="1">
      <formula>AND(ISNUMBER(AI5),AI5&lt;-Settings!$C$4)</formula>
    </cfRule>
    <cfRule type="expression" priority="1423" aboveAverage="0" equalAverage="0" bottom="0" percent="0" rank="0" text="" dxfId="2">
      <formula>AND(ISNUMBER(AI5),ABS(AI5)&lt;=Settings!$C$4)</formula>
    </cfRule>
    <cfRule type="expression" priority="1424" aboveAverage="0" equalAverage="0" bottom="0" percent="0" rank="0" text="" dxfId="0">
      <formula>AND(ISNUMBER(AI5),AI5&gt;Settings!$C$4)</formula>
    </cfRule>
    <cfRule type="expression" priority="1425" aboveAverage="0" equalAverage="0" bottom="0" percent="0" rank="0" text="" dxfId="1">
      <formula>AND(ISNUMBER(AI5),AI5&lt;-Settings!$C$4)</formula>
    </cfRule>
    <cfRule type="expression" priority="1426" aboveAverage="0" equalAverage="0" bottom="0" percent="0" rank="0" text="" dxfId="2">
      <formula>AND(ISNUMBER(AI5),ABS(AI5)&lt;=Settings!$C$4)</formula>
    </cfRule>
    <cfRule type="expression" priority="1427" aboveAverage="0" equalAverage="0" bottom="0" percent="0" rank="0" text="" dxfId="0">
      <formula>AND(ISNUMBER(AI5),AI5&gt;Settings!$C$4)</formula>
    </cfRule>
    <cfRule type="expression" priority="1428" aboveAverage="0" equalAverage="0" bottom="0" percent="0" rank="0" text="" dxfId="1">
      <formula>AND(ISNUMBER(AI5),AI5&lt;-Settings!$C$4)</formula>
    </cfRule>
    <cfRule type="expression" priority="1429" aboveAverage="0" equalAverage="0" bottom="0" percent="0" rank="0" text="" dxfId="2">
      <formula>AND(ISNUMBER(AI5),ABS(AI5)&lt;=Settings!$C$4)</formula>
    </cfRule>
    <cfRule type="expression" priority="1430" aboveAverage="0" equalAverage="0" bottom="0" percent="0" rank="0" text="" dxfId="0">
      <formula>AND(ISNUMBER(AI5),AI5&gt;Settings!$C$4)</formula>
    </cfRule>
    <cfRule type="expression" priority="1431" aboveAverage="0" equalAverage="0" bottom="0" percent="0" rank="0" text="" dxfId="1">
      <formula>AND(ISNUMBER(AI5),AI5&lt;-Settings!$C$4)</formula>
    </cfRule>
    <cfRule type="expression" priority="1432" aboveAverage="0" equalAverage="0" bottom="0" percent="0" rank="0" text="" dxfId="2">
      <formula>AND(ISNUMBER(AI5),ABS(AI5)&lt;=Settings!$C$4)</formula>
    </cfRule>
    <cfRule type="expression" priority="1433" aboveAverage="0" equalAverage="0" bottom="0" percent="0" rank="0" text="" dxfId="0">
      <formula>AND(ISNUMBER(AI5),AI5&gt;Settings!$C$4)</formula>
    </cfRule>
    <cfRule type="expression" priority="1434" aboveAverage="0" equalAverage="0" bottom="0" percent="0" rank="0" text="" dxfId="1">
      <formula>AND(ISNUMBER(AI5),AI5&lt;-Settings!$C$4)</formula>
    </cfRule>
    <cfRule type="expression" priority="1435" aboveAverage="0" equalAverage="0" bottom="0" percent="0" rank="0" text="" dxfId="2">
      <formula>AND(ISNUMBER(AI5),ABS(AI5)&lt;=Settings!$C$4)</formula>
    </cfRule>
    <cfRule type="expression" priority="1436" aboveAverage="0" equalAverage="0" bottom="0" percent="0" rank="0" text="" dxfId="0">
      <formula>AND(ISNUMBER(AI5),AI5&gt;Settings!$C$4)</formula>
    </cfRule>
    <cfRule type="expression" priority="1437" aboveAverage="0" equalAverage="0" bottom="0" percent="0" rank="0" text="" dxfId="1">
      <formula>AND(ISNUMBER(AI5),AI5&lt;-Settings!$C$4)</formula>
    </cfRule>
    <cfRule type="expression" priority="1438" aboveAverage="0" equalAverage="0" bottom="0" percent="0" rank="0" text="" dxfId="2">
      <formula>AND(ISNUMBER(AI5),ABS(AI5)&lt;=Settings!$C$4)</formula>
    </cfRule>
    <cfRule type="expression" priority="1439" aboveAverage="0" equalAverage="0" bottom="0" percent="0" rank="0" text="" dxfId="0">
      <formula>AND(ISNUMBER(AI5),AI5&gt;Settings!$C$4)</formula>
    </cfRule>
    <cfRule type="expression" priority="1440" aboveAverage="0" equalAverage="0" bottom="0" percent="0" rank="0" text="" dxfId="1">
      <formula>AND(ISNUMBER(AI5),AI5&lt;-Settings!$C$4)</formula>
    </cfRule>
    <cfRule type="expression" priority="1441" aboveAverage="0" equalAverage="0" bottom="0" percent="0" rank="0" text="" dxfId="2">
      <formula>AND(ISNUMBER(AI5),ABS(AI5)&lt;=Settings!$C$4)</formula>
    </cfRule>
    <cfRule type="expression" priority="1442" aboveAverage="0" equalAverage="0" bottom="0" percent="0" rank="0" text="" dxfId="0">
      <formula>AND(ISNUMBER(AI5),AI5&gt;Settings!$C$4)</formula>
    </cfRule>
    <cfRule type="expression" priority="1443" aboveAverage="0" equalAverage="0" bottom="0" percent="0" rank="0" text="" dxfId="1">
      <formula>AND(ISNUMBER(AI5),AI5&lt;-Settings!$C$4)</formula>
    </cfRule>
    <cfRule type="expression" priority="1444" aboveAverage="0" equalAverage="0" bottom="0" percent="0" rank="0" text="" dxfId="2">
      <formula>AND(ISNUMBER(AI5),ABS(AI5)&lt;=Settings!$C$4)</formula>
    </cfRule>
    <cfRule type="expression" priority="1445" aboveAverage="0" equalAverage="0" bottom="0" percent="0" rank="0" text="" dxfId="0">
      <formula>AND(ISNUMBER(AI5),AI5&gt;Settings!$C$4)</formula>
    </cfRule>
    <cfRule type="expression" priority="1446" aboveAverage="0" equalAverage="0" bottom="0" percent="0" rank="0" text="" dxfId="1">
      <formula>AND(ISNUMBER(AI5),AI5&lt;-Settings!$C$4)</formula>
    </cfRule>
    <cfRule type="expression" priority="1447" aboveAverage="0" equalAverage="0" bottom="0" percent="0" rank="0" text="" dxfId="2">
      <formula>AND(ISNUMBER(AI5),ABS(AI5)&lt;=Settings!$C$4)</formula>
    </cfRule>
    <cfRule type="expression" priority="1448" aboveAverage="0" equalAverage="0" bottom="0" percent="0" rank="0" text="" dxfId="0">
      <formula>AND(ISNUMBER(AI5),AI5&gt;Settings!$C$4)</formula>
    </cfRule>
    <cfRule type="expression" priority="1449" aboveAverage="0" equalAverage="0" bottom="0" percent="0" rank="0" text="" dxfId="1">
      <formula>AND(ISNUMBER(AI5),AI5&lt;-Settings!$C$4)</formula>
    </cfRule>
    <cfRule type="expression" priority="1450" aboveAverage="0" equalAverage="0" bottom="0" percent="0" rank="0" text="" dxfId="2">
      <formula>AND(ISNUMBER(AI5),ABS(AI5)&lt;=Settings!$C$4)</formula>
    </cfRule>
    <cfRule type="expression" priority="1451" aboveAverage="0" equalAverage="0" bottom="0" percent="0" rank="0" text="" dxfId="0">
      <formula>AND(ISNUMBER(AI5),AI5&gt;Settings!$C$4)</formula>
    </cfRule>
    <cfRule type="expression" priority="1452" aboveAverage="0" equalAverage="0" bottom="0" percent="0" rank="0" text="" dxfId="1">
      <formula>AND(ISNUMBER(AI5),AI5&lt;-Settings!$C$4)</formula>
    </cfRule>
    <cfRule type="expression" priority="1453" aboveAverage="0" equalAverage="0" bottom="0" percent="0" rank="0" text="" dxfId="2">
      <formula>AND(ISNUMBER(AI5),ABS(AI5)&lt;=Settings!$C$4)</formula>
    </cfRule>
    <cfRule type="expression" priority="1454" aboveAverage="0" equalAverage="0" bottom="0" percent="0" rank="0" text="" dxfId="0">
      <formula>AND(ISNUMBER(AI5),AI5&gt;Settings!$C$4)</formula>
    </cfRule>
    <cfRule type="expression" priority="1455" aboveAverage="0" equalAverage="0" bottom="0" percent="0" rank="0" text="" dxfId="1">
      <formula>AND(ISNUMBER(AI5),AI5&lt;-Settings!$C$4)</formula>
    </cfRule>
    <cfRule type="expression" priority="1456" aboveAverage="0" equalAverage="0" bottom="0" percent="0" rank="0" text="" dxfId="2">
      <formula>AND(ISNUMBER(AI5),ABS(AI5)&lt;=Settings!$C$4)</formula>
    </cfRule>
    <cfRule type="expression" priority="1457" aboveAverage="0" equalAverage="0" bottom="0" percent="0" rank="0" text="" dxfId="0">
      <formula>AND(ISNUMBER(AI5),AI5&gt;Settings!$C$4)</formula>
    </cfRule>
    <cfRule type="expression" priority="1458" aboveAverage="0" equalAverage="0" bottom="0" percent="0" rank="0" text="" dxfId="1">
      <formula>AND(ISNUMBER(AI5),AI5&lt;-Settings!$C$4)</formula>
    </cfRule>
    <cfRule type="expression" priority="1459" aboveAverage="0" equalAverage="0" bottom="0" percent="0" rank="0" text="" dxfId="2">
      <formula>AND(ISNUMBER(AI5),ABS(AI5)&lt;=Settings!$C$4)</formula>
    </cfRule>
    <cfRule type="expression" priority="1460" aboveAverage="0" equalAverage="0" bottom="0" percent="0" rank="0" text="" dxfId="0">
      <formula>AND(ISNUMBER(AI5),AI5&gt;Settings!$C$4)</formula>
    </cfRule>
    <cfRule type="expression" priority="1461" aboveAverage="0" equalAverage="0" bottom="0" percent="0" rank="0" text="" dxfId="1">
      <formula>AND(ISNUMBER(AI5),AI5&lt;-Settings!$C$4)</formula>
    </cfRule>
    <cfRule type="expression" priority="1462" aboveAverage="0" equalAverage="0" bottom="0" percent="0" rank="0" text="" dxfId="2">
      <formula>AND(ISNUMBER(AI5),ABS(AI5)&lt;=Settings!$C$4)</formula>
    </cfRule>
    <cfRule type="expression" priority="1463" aboveAverage="0" equalAverage="0" bottom="0" percent="0" rank="0" text="" dxfId="0">
      <formula>AND(ISNUMBER(AI5),AI5&gt;Settings!$C$4)</formula>
    </cfRule>
    <cfRule type="expression" priority="1464" aboveAverage="0" equalAverage="0" bottom="0" percent="0" rank="0" text="" dxfId="1">
      <formula>AND(ISNUMBER(AI5),AI5&lt;-Settings!$C$4)</formula>
    </cfRule>
    <cfRule type="expression" priority="1465" aboveAverage="0" equalAverage="0" bottom="0" percent="0" rank="0" text="" dxfId="2">
      <formula>AND(ISNUMBER(AI5),ABS(AI5)&lt;=Settings!$C$4)</formula>
    </cfRule>
    <cfRule type="expression" priority="1466" aboveAverage="0" equalAverage="0" bottom="0" percent="0" rank="0" text="" dxfId="0">
      <formula>AND(ISNUMBER(AI5),AI5&gt;Settings!$C$4)</formula>
    </cfRule>
    <cfRule type="expression" priority="1467" aboveAverage="0" equalAverage="0" bottom="0" percent="0" rank="0" text="" dxfId="1">
      <formula>AND(ISNUMBER(AI5),AI5&lt;-Settings!$C$4)</formula>
    </cfRule>
    <cfRule type="expression" priority="1468" aboveAverage="0" equalAverage="0" bottom="0" percent="0" rank="0" text="" dxfId="2">
      <formula>AND(ISNUMBER(AI5),ABS(AI5)&lt;=Settings!$C$4)</formula>
    </cfRule>
    <cfRule type="expression" priority="1469" aboveAverage="0" equalAverage="0" bottom="0" percent="0" rank="0" text="" dxfId="0">
      <formula>AND(ISNUMBER(AI5),AI5&gt;Settings!$C$4)</formula>
    </cfRule>
    <cfRule type="expression" priority="1470" aboveAverage="0" equalAverage="0" bottom="0" percent="0" rank="0" text="" dxfId="1">
      <formula>AND(ISNUMBER(AI5),AI5&lt;-Settings!$C$4)</formula>
    </cfRule>
    <cfRule type="expression" priority="1471" aboveAverage="0" equalAverage="0" bottom="0" percent="0" rank="0" text="" dxfId="2">
      <formula>AND(ISNUMBER(AI5),ABS(AI5)&lt;=Settings!$C$4)</formula>
    </cfRule>
    <cfRule type="expression" priority="1472" aboveAverage="0" equalAverage="0" bottom="0" percent="0" rank="0" text="" dxfId="0">
      <formula>AND(ISNUMBER(AI5),AI5&gt;Settings!$C$4)</formula>
    </cfRule>
    <cfRule type="expression" priority="1473" aboveAverage="0" equalAverage="0" bottom="0" percent="0" rank="0" text="" dxfId="1">
      <formula>AND(ISNUMBER(AI5),AI5&lt;-Settings!$C$4)</formula>
    </cfRule>
    <cfRule type="expression" priority="1474" aboveAverage="0" equalAverage="0" bottom="0" percent="0" rank="0" text="" dxfId="2">
      <formula>AND(ISNUMBER(AI5),ABS(AI5)&lt;=Settings!$C$4)</formula>
    </cfRule>
    <cfRule type="expression" priority="1475" aboveAverage="0" equalAverage="0" bottom="0" percent="0" rank="0" text="" dxfId="0">
      <formula>AND(ISNUMBER(AI5),AI5&gt;Settings!$C$4)</formula>
    </cfRule>
    <cfRule type="expression" priority="1476" aboveAverage="0" equalAverage="0" bottom="0" percent="0" rank="0" text="" dxfId="1">
      <formula>AND(ISNUMBER(AI5),AI5&lt;-Settings!$C$4)</formula>
    </cfRule>
    <cfRule type="expression" priority="1477" aboveAverage="0" equalAverage="0" bottom="0" percent="0" rank="0" text="" dxfId="2">
      <formula>AND(ISNUMBER(AI5),ABS(AI5)&lt;=Settings!$C$4)</formula>
    </cfRule>
    <cfRule type="expression" priority="1478" aboveAverage="0" equalAverage="0" bottom="0" percent="0" rank="0" text="" dxfId="0">
      <formula>AND(ISNUMBER(AI5),AI5&gt;Settings!$C$4)</formula>
    </cfRule>
    <cfRule type="expression" priority="1479" aboveAverage="0" equalAverage="0" bottom="0" percent="0" rank="0" text="" dxfId="1">
      <formula>AND(ISNUMBER(AI5),AI5&lt;-Settings!$C$4)</formula>
    </cfRule>
    <cfRule type="expression" priority="1480" aboveAverage="0" equalAverage="0" bottom="0" percent="0" rank="0" text="" dxfId="2">
      <formula>AND(ISNUMBER(AI5),ABS(AI5)&lt;=Settings!$C$4)</formula>
    </cfRule>
    <cfRule type="expression" priority="1481" aboveAverage="0" equalAverage="0" bottom="0" percent="0" rank="0" text="" dxfId="0">
      <formula>AND(ISNUMBER(AI5),AI5&gt;Settings!$C$4)</formula>
    </cfRule>
    <cfRule type="expression" priority="1482" aboveAverage="0" equalAverage="0" bottom="0" percent="0" rank="0" text="" dxfId="1">
      <formula>AND(ISNUMBER(AI5),AI5&lt;-Settings!$C$4)</formula>
    </cfRule>
    <cfRule type="expression" priority="1483" aboveAverage="0" equalAverage="0" bottom="0" percent="0" rank="0" text="" dxfId="2">
      <formula>AND(ISNUMBER(AI5),ABS(AI5)&lt;=Settings!$C$4)</formula>
    </cfRule>
    <cfRule type="expression" priority="1484" aboveAverage="0" equalAverage="0" bottom="0" percent="0" rank="0" text="" dxfId="0">
      <formula>AND(ISNUMBER(AI5),AI5&gt;Settings!$C$4)</formula>
    </cfRule>
    <cfRule type="expression" priority="1485" aboveAverage="0" equalAverage="0" bottom="0" percent="0" rank="0" text="" dxfId="1">
      <formula>AND(ISNUMBER(AI5),AI5&lt;-Settings!$C$4)</formula>
    </cfRule>
    <cfRule type="expression" priority="1486" aboveAverage="0" equalAverage="0" bottom="0" percent="0" rank="0" text="" dxfId="2">
      <formula>AND(ISNUMBER(AI5),ABS(AI5)&lt;=Settings!$C$4)</formula>
    </cfRule>
    <cfRule type="expression" priority="1487" aboveAverage="0" equalAverage="0" bottom="0" percent="0" rank="0" text="" dxfId="0">
      <formula>AND(ISNUMBER(AI5),AI5&gt;Settings!$C$4)</formula>
    </cfRule>
    <cfRule type="expression" priority="1488" aboveAverage="0" equalAverage="0" bottom="0" percent="0" rank="0" text="" dxfId="1">
      <formula>AND(ISNUMBER(AI5),AI5&lt;-Settings!$C$4)</formula>
    </cfRule>
    <cfRule type="expression" priority="1489" aboveAverage="0" equalAverage="0" bottom="0" percent="0" rank="0" text="" dxfId="2">
      <formula>AND(ISNUMBER(AI5),ABS(AI5)&lt;=Settings!$C$4)</formula>
    </cfRule>
    <cfRule type="expression" priority="1490" aboveAverage="0" equalAverage="0" bottom="0" percent="0" rank="0" text="" dxfId="0">
      <formula>AND(ISNUMBER(AI5),AI5&gt;Settings!$C$4)</formula>
    </cfRule>
    <cfRule type="expression" priority="1491" aboveAverage="0" equalAverage="0" bottom="0" percent="0" rank="0" text="" dxfId="1">
      <formula>AND(ISNUMBER(AI5),AI5&lt;-Settings!$C$4)</formula>
    </cfRule>
    <cfRule type="expression" priority="1492" aboveAverage="0" equalAverage="0" bottom="0" percent="0" rank="0" text="" dxfId="2">
      <formula>AND(ISNUMBER(AI5),ABS(AI5)&lt;=Settings!$C$4)</formula>
    </cfRule>
    <cfRule type="expression" priority="1493" aboveAverage="0" equalAverage="0" bottom="0" percent="0" rank="0" text="" dxfId="0">
      <formula>AND(ISNUMBER(AI5),AI5&gt;Settings!$C$4)</formula>
    </cfRule>
    <cfRule type="expression" priority="1494" aboveAverage="0" equalAverage="0" bottom="0" percent="0" rank="0" text="" dxfId="1">
      <formula>AND(ISNUMBER(AI5),AI5&lt;-Settings!$C$4)</formula>
    </cfRule>
    <cfRule type="expression" priority="1495" aboveAverage="0" equalAverage="0" bottom="0" percent="0" rank="0" text="" dxfId="2">
      <formula>AND(ISNUMBER(AI5),ABS(AI5)&lt;=Settings!$C$4)</formula>
    </cfRule>
    <cfRule type="expression" priority="1496" aboveAverage="0" equalAverage="0" bottom="0" percent="0" rank="0" text="" dxfId="0">
      <formula>AND(ISNUMBER(AI5),AI5&gt;Settings!$C$4)</formula>
    </cfRule>
    <cfRule type="expression" priority="1497" aboveAverage="0" equalAverage="0" bottom="0" percent="0" rank="0" text="" dxfId="1">
      <formula>AND(ISNUMBER(AI5),AI5&lt;-Settings!$C$4)</formula>
    </cfRule>
    <cfRule type="expression" priority="1498" aboveAverage="0" equalAverage="0" bottom="0" percent="0" rank="0" text="" dxfId="2">
      <formula>AND(ISNUMBER(AI5),ABS(AI5)&lt;=Settings!$C$4)</formula>
    </cfRule>
    <cfRule type="expression" priority="1499" aboveAverage="0" equalAverage="0" bottom="0" percent="0" rank="0" text="" dxfId="0">
      <formula>AND(ISNUMBER(AI5),AI5&gt;Settings!$C$4)</formula>
    </cfRule>
    <cfRule type="expression" priority="1500" aboveAverage="0" equalAverage="0" bottom="0" percent="0" rank="0" text="" dxfId="1">
      <formula>AND(ISNUMBER(AI5),AI5&lt;-Settings!$C$4)</formula>
    </cfRule>
    <cfRule type="expression" priority="1501" aboveAverage="0" equalAverage="0" bottom="0" percent="0" rank="0" text="" dxfId="2">
      <formula>AND(ISNUMBER(AI5),ABS(AI5)&lt;=Settings!$C$4)</formula>
    </cfRule>
    <cfRule type="expression" priority="1502" aboveAverage="0" equalAverage="0" bottom="0" percent="0" rank="0" text="" dxfId="0">
      <formula>AND(ISNUMBER(AI5),AI5&gt;Settings!$C$4)</formula>
    </cfRule>
    <cfRule type="expression" priority="1503" aboveAverage="0" equalAverage="0" bottom="0" percent="0" rank="0" text="" dxfId="1">
      <formula>AND(ISNUMBER(AI5),AI5&lt;-Settings!$C$4)</formula>
    </cfRule>
    <cfRule type="expression" priority="1504" aboveAverage="0" equalAverage="0" bottom="0" percent="0" rank="0" text="" dxfId="2">
      <formula>AND(ISNUMBER(AI5),ABS(AI5)&lt;=Settings!$C$4)</formula>
    </cfRule>
    <cfRule type="expression" priority="1505" aboveAverage="0" equalAverage="0" bottom="0" percent="0" rank="0" text="" dxfId="0">
      <formula>AND(ISNUMBER(AI5),AI5&gt;Settings!$C$4)</formula>
    </cfRule>
    <cfRule type="expression" priority="1506" aboveAverage="0" equalAverage="0" bottom="0" percent="0" rank="0" text="" dxfId="1">
      <formula>AND(ISNUMBER(AI5),AI5&lt;-Settings!$C$4)</formula>
    </cfRule>
    <cfRule type="expression" priority="1507" aboveAverage="0" equalAverage="0" bottom="0" percent="0" rank="0" text="" dxfId="2">
      <formula>AND(ISNUMBER(AI5),ABS(AI5)&lt;=Settings!$C$4)</formula>
    </cfRule>
    <cfRule type="expression" priority="1508" aboveAverage="0" equalAverage="0" bottom="0" percent="0" rank="0" text="" dxfId="0">
      <formula>AND(ISNUMBER(AI5),AI5&gt;Settings!$C$4)</formula>
    </cfRule>
    <cfRule type="expression" priority="1509" aboveAverage="0" equalAverage="0" bottom="0" percent="0" rank="0" text="" dxfId="1">
      <formula>AND(ISNUMBER(AI5),AI5&lt;-Settings!$C$4)</formula>
    </cfRule>
    <cfRule type="expression" priority="1510" aboveAverage="0" equalAverage="0" bottom="0" percent="0" rank="0" text="" dxfId="2">
      <formula>AND(ISNUMBER(AI5),ABS(AI5)&lt;=Settings!$C$4)</formula>
    </cfRule>
    <cfRule type="expression" priority="1511" aboveAverage="0" equalAverage="0" bottom="0" percent="0" rank="0" text="" dxfId="0">
      <formula>AND(ISNUMBER(AI5),AI5&gt;Settings!$C$4)</formula>
    </cfRule>
    <cfRule type="expression" priority="1512" aboveAverage="0" equalAverage="0" bottom="0" percent="0" rank="0" text="" dxfId="1">
      <formula>AND(ISNUMBER(AI5),AI5&lt;-Settings!$C$4)</formula>
    </cfRule>
    <cfRule type="expression" priority="1513" aboveAverage="0" equalAverage="0" bottom="0" percent="0" rank="0" text="" dxfId="2">
      <formula>AND(ISNUMBER(AI5),ABS(AI5)&lt;=Settings!$C$4)</formula>
    </cfRule>
  </conditionalFormatting>
  <conditionalFormatting sqref="AL5:AL46">
    <cfRule type="expression" priority="1514" aboveAverage="0" equalAverage="0" bottom="0" percent="0" rank="0" text="" dxfId="0">
      <formula>AND(ISNUMBER(AL5),AL5&gt;Settings!$C$4)</formula>
    </cfRule>
    <cfRule type="expression" priority="1515" aboveAverage="0" equalAverage="0" bottom="0" percent="0" rank="0" text="" dxfId="1">
      <formula>AND(ISNUMBER(AL5),AL5&lt;-Settings!$C$4)</formula>
    </cfRule>
    <cfRule type="expression" priority="1516" aboveAverage="0" equalAverage="0" bottom="0" percent="0" rank="0" text="" dxfId="2">
      <formula>AND(ISNUMBER(AL5),ABS(AL5)&lt;=Settings!$C$4)</formula>
    </cfRule>
    <cfRule type="expression" priority="1517" aboveAverage="0" equalAverage="0" bottom="0" percent="0" rank="0" text="" dxfId="0">
      <formula>AND(ISNUMBER(AL5),AL5&gt;Settings!$C$4)</formula>
    </cfRule>
    <cfRule type="expression" priority="1518" aboveAverage="0" equalAverage="0" bottom="0" percent="0" rank="0" text="" dxfId="1">
      <formula>AND(ISNUMBER(AL5),AL5&lt;-Settings!$C$4)</formula>
    </cfRule>
    <cfRule type="expression" priority="1519" aboveAverage="0" equalAverage="0" bottom="0" percent="0" rank="0" text="" dxfId="2">
      <formula>AND(ISNUMBER(AL5),ABS(AL5)&lt;=Settings!$C$4)</formula>
    </cfRule>
    <cfRule type="expression" priority="1520" aboveAverage="0" equalAverage="0" bottom="0" percent="0" rank="0" text="" dxfId="0">
      <formula>AND(ISNUMBER(AL5),AL5&gt;Settings!$C$4)</formula>
    </cfRule>
    <cfRule type="expression" priority="1521" aboveAverage="0" equalAverage="0" bottom="0" percent="0" rank="0" text="" dxfId="1">
      <formula>AND(ISNUMBER(AL5),AL5&lt;-Settings!$C$4)</formula>
    </cfRule>
    <cfRule type="expression" priority="1522" aboveAverage="0" equalAverage="0" bottom="0" percent="0" rank="0" text="" dxfId="2">
      <formula>AND(ISNUMBER(AL5),ABS(AL5)&lt;=Settings!$C$4)</formula>
    </cfRule>
    <cfRule type="expression" priority="1523" aboveAverage="0" equalAverage="0" bottom="0" percent="0" rank="0" text="" dxfId="0">
      <formula>AND(ISNUMBER(AL5),AL5&gt;Settings!$C$4)</formula>
    </cfRule>
    <cfRule type="expression" priority="1524" aboveAverage="0" equalAverage="0" bottom="0" percent="0" rank="0" text="" dxfId="1">
      <formula>AND(ISNUMBER(AL5),AL5&lt;-Settings!$C$4)</formula>
    </cfRule>
    <cfRule type="expression" priority="1525" aboveAverage="0" equalAverage="0" bottom="0" percent="0" rank="0" text="" dxfId="2">
      <formula>AND(ISNUMBER(AL5),ABS(AL5)&lt;=Settings!$C$4)</formula>
    </cfRule>
    <cfRule type="expression" priority="1526" aboveAverage="0" equalAverage="0" bottom="0" percent="0" rank="0" text="" dxfId="0">
      <formula>AND(ISNUMBER(AL5),AL5&gt;Settings!$C$4)</formula>
    </cfRule>
    <cfRule type="expression" priority="1527" aboveAverage="0" equalAverage="0" bottom="0" percent="0" rank="0" text="" dxfId="1">
      <formula>AND(ISNUMBER(AL5),AL5&lt;-Settings!$C$4)</formula>
    </cfRule>
    <cfRule type="expression" priority="1528" aboveAverage="0" equalAverage="0" bottom="0" percent="0" rank="0" text="" dxfId="2">
      <formula>AND(ISNUMBER(AL5),ABS(AL5)&lt;=Settings!$C$4)</formula>
    </cfRule>
    <cfRule type="expression" priority="1529" aboveAverage="0" equalAverage="0" bottom="0" percent="0" rank="0" text="" dxfId="0">
      <formula>AND(ISNUMBER(AL5),AL5&gt;Settings!$C$4)</formula>
    </cfRule>
    <cfRule type="expression" priority="1530" aboveAverage="0" equalAverage="0" bottom="0" percent="0" rank="0" text="" dxfId="1">
      <formula>AND(ISNUMBER(AL5),AL5&lt;-Settings!$C$4)</formula>
    </cfRule>
    <cfRule type="expression" priority="1531" aboveAverage="0" equalAverage="0" bottom="0" percent="0" rank="0" text="" dxfId="2">
      <formula>AND(ISNUMBER(AL5),ABS(AL5)&lt;=Settings!$C$4)</formula>
    </cfRule>
    <cfRule type="expression" priority="1532" aboveAverage="0" equalAverage="0" bottom="0" percent="0" rank="0" text="" dxfId="0">
      <formula>AND(ISNUMBER(AL5),AL5&gt;Settings!$C$4)</formula>
    </cfRule>
    <cfRule type="expression" priority="1533" aboveAverage="0" equalAverage="0" bottom="0" percent="0" rank="0" text="" dxfId="1">
      <formula>AND(ISNUMBER(AL5),AL5&lt;-Settings!$C$4)</formula>
    </cfRule>
    <cfRule type="expression" priority="1534" aboveAverage="0" equalAverage="0" bottom="0" percent="0" rank="0" text="" dxfId="2">
      <formula>AND(ISNUMBER(AL5),ABS(AL5)&lt;=Settings!$C$4)</formula>
    </cfRule>
    <cfRule type="expression" priority="1535" aboveAverage="0" equalAverage="0" bottom="0" percent="0" rank="0" text="" dxfId="0">
      <formula>AND(ISNUMBER(AL5),AL5&gt;Settings!$C$4)</formula>
    </cfRule>
    <cfRule type="expression" priority="1536" aboveAverage="0" equalAverage="0" bottom="0" percent="0" rank="0" text="" dxfId="1">
      <formula>AND(ISNUMBER(AL5),AL5&lt;-Settings!$C$4)</formula>
    </cfRule>
    <cfRule type="expression" priority="1537" aboveAverage="0" equalAverage="0" bottom="0" percent="0" rank="0" text="" dxfId="2">
      <formula>AND(ISNUMBER(AL5),ABS(AL5)&lt;=Settings!$C$4)</formula>
    </cfRule>
    <cfRule type="expression" priority="1538" aboveAverage="0" equalAverage="0" bottom="0" percent="0" rank="0" text="" dxfId="0">
      <formula>AND(ISNUMBER(AL5),AL5&gt;Settings!$C$4)</formula>
    </cfRule>
    <cfRule type="expression" priority="1539" aboveAverage="0" equalAverage="0" bottom="0" percent="0" rank="0" text="" dxfId="1">
      <formula>AND(ISNUMBER(AL5),AL5&lt;-Settings!$C$4)</formula>
    </cfRule>
    <cfRule type="expression" priority="1540" aboveAverage="0" equalAverage="0" bottom="0" percent="0" rank="0" text="" dxfId="2">
      <formula>AND(ISNUMBER(AL5),ABS(AL5)&lt;=Settings!$C$4)</formula>
    </cfRule>
    <cfRule type="expression" priority="1541" aboveAverage="0" equalAverage="0" bottom="0" percent="0" rank="0" text="" dxfId="0">
      <formula>AND(ISNUMBER(AL5),AL5&gt;Settings!$C$4)</formula>
    </cfRule>
    <cfRule type="expression" priority="1542" aboveAverage="0" equalAverage="0" bottom="0" percent="0" rank="0" text="" dxfId="1">
      <formula>AND(ISNUMBER(AL5),AL5&lt;-Settings!$C$4)</formula>
    </cfRule>
    <cfRule type="expression" priority="1543" aboveAverage="0" equalAverage="0" bottom="0" percent="0" rank="0" text="" dxfId="2">
      <formula>AND(ISNUMBER(AL5),ABS(AL5)&lt;=Settings!$C$4)</formula>
    </cfRule>
    <cfRule type="expression" priority="1544" aboveAverage="0" equalAverage="0" bottom="0" percent="0" rank="0" text="" dxfId="0">
      <formula>AND(ISNUMBER(AL5),AL5&gt;Settings!$C$4)</formula>
    </cfRule>
    <cfRule type="expression" priority="1545" aboveAverage="0" equalAverage="0" bottom="0" percent="0" rank="0" text="" dxfId="1">
      <formula>AND(ISNUMBER(AL5),AL5&lt;-Settings!$C$4)</formula>
    </cfRule>
    <cfRule type="expression" priority="1546" aboveAverage="0" equalAverage="0" bottom="0" percent="0" rank="0" text="" dxfId="2">
      <formula>AND(ISNUMBER(AL5),ABS(AL5)&lt;=Settings!$C$4)</formula>
    </cfRule>
    <cfRule type="expression" priority="1547" aboveAverage="0" equalAverage="0" bottom="0" percent="0" rank="0" text="" dxfId="0">
      <formula>AND(ISNUMBER(AL5),AL5&gt;Settings!$C$4)</formula>
    </cfRule>
    <cfRule type="expression" priority="1548" aboveAverage="0" equalAverage="0" bottom="0" percent="0" rank="0" text="" dxfId="1">
      <formula>AND(ISNUMBER(AL5),AL5&lt;-Settings!$C$4)</formula>
    </cfRule>
    <cfRule type="expression" priority="1549" aboveAverage="0" equalAverage="0" bottom="0" percent="0" rank="0" text="" dxfId="2">
      <formula>AND(ISNUMBER(AL5),ABS(AL5)&lt;=Settings!$C$4)</formula>
    </cfRule>
    <cfRule type="expression" priority="1550" aboveAverage="0" equalAverage="0" bottom="0" percent="0" rank="0" text="" dxfId="0">
      <formula>AND(ISNUMBER(AL5),AL5&gt;Settings!$C$4)</formula>
    </cfRule>
    <cfRule type="expression" priority="1551" aboveAverage="0" equalAverage="0" bottom="0" percent="0" rank="0" text="" dxfId="1">
      <formula>AND(ISNUMBER(AL5),AL5&lt;-Settings!$C$4)</formula>
    </cfRule>
    <cfRule type="expression" priority="1552" aboveAverage="0" equalAverage="0" bottom="0" percent="0" rank="0" text="" dxfId="2">
      <formula>AND(ISNUMBER(AL5),ABS(AL5)&lt;=Settings!$C$4)</formula>
    </cfRule>
    <cfRule type="expression" priority="1553" aboveAverage="0" equalAverage="0" bottom="0" percent="0" rank="0" text="" dxfId="0">
      <formula>AND(ISNUMBER(AL5),AL5&gt;Settings!$C$4)</formula>
    </cfRule>
    <cfRule type="expression" priority="1554" aboveAverage="0" equalAverage="0" bottom="0" percent="0" rank="0" text="" dxfId="1">
      <formula>AND(ISNUMBER(AL5),AL5&lt;-Settings!$C$4)</formula>
    </cfRule>
    <cfRule type="expression" priority="1555" aboveAverage="0" equalAverage="0" bottom="0" percent="0" rank="0" text="" dxfId="2">
      <formula>AND(ISNUMBER(AL5),ABS(AL5)&lt;=Settings!$C$4)</formula>
    </cfRule>
    <cfRule type="expression" priority="1556" aboveAverage="0" equalAverage="0" bottom="0" percent="0" rank="0" text="" dxfId="0">
      <formula>AND(ISNUMBER(AL5),AL5&gt;Settings!$C$4)</formula>
    </cfRule>
    <cfRule type="expression" priority="1557" aboveAverage="0" equalAverage="0" bottom="0" percent="0" rank="0" text="" dxfId="1">
      <formula>AND(ISNUMBER(AL5),AL5&lt;-Settings!$C$4)</formula>
    </cfRule>
    <cfRule type="expression" priority="1558" aboveAverage="0" equalAverage="0" bottom="0" percent="0" rank="0" text="" dxfId="2">
      <formula>AND(ISNUMBER(AL5),ABS(AL5)&lt;=Settings!$C$4)</formula>
    </cfRule>
    <cfRule type="expression" priority="1559" aboveAverage="0" equalAverage="0" bottom="0" percent="0" rank="0" text="" dxfId="0">
      <formula>AND(ISNUMBER(AL5),AL5&gt;Settings!$C$4)</formula>
    </cfRule>
    <cfRule type="expression" priority="1560" aboveAverage="0" equalAverage="0" bottom="0" percent="0" rank="0" text="" dxfId="1">
      <formula>AND(ISNUMBER(AL5),AL5&lt;-Settings!$C$4)</formula>
    </cfRule>
    <cfRule type="expression" priority="1561" aboveAverage="0" equalAverage="0" bottom="0" percent="0" rank="0" text="" dxfId="2">
      <formula>AND(ISNUMBER(AL5),ABS(AL5)&lt;=Settings!$C$4)</formula>
    </cfRule>
    <cfRule type="expression" priority="1562" aboveAverage="0" equalAverage="0" bottom="0" percent="0" rank="0" text="" dxfId="0">
      <formula>AND(ISNUMBER(AL5),AL5&gt;Settings!$C$4)</formula>
    </cfRule>
    <cfRule type="expression" priority="1563" aboveAverage="0" equalAverage="0" bottom="0" percent="0" rank="0" text="" dxfId="1">
      <formula>AND(ISNUMBER(AL5),AL5&lt;-Settings!$C$4)</formula>
    </cfRule>
    <cfRule type="expression" priority="1564" aboveAverage="0" equalAverage="0" bottom="0" percent="0" rank="0" text="" dxfId="2">
      <formula>AND(ISNUMBER(AL5),ABS(AL5)&lt;=Settings!$C$4)</formula>
    </cfRule>
    <cfRule type="expression" priority="1565" aboveAverage="0" equalAverage="0" bottom="0" percent="0" rank="0" text="" dxfId="0">
      <formula>AND(ISNUMBER(AL5),AL5&gt;Settings!$C$4)</formula>
    </cfRule>
    <cfRule type="expression" priority="1566" aboveAverage="0" equalAverage="0" bottom="0" percent="0" rank="0" text="" dxfId="1">
      <formula>AND(ISNUMBER(AL5),AL5&lt;-Settings!$C$4)</formula>
    </cfRule>
    <cfRule type="expression" priority="1567" aboveAverage="0" equalAverage="0" bottom="0" percent="0" rank="0" text="" dxfId="2">
      <formula>AND(ISNUMBER(AL5),ABS(AL5)&lt;=Settings!$C$4)</formula>
    </cfRule>
    <cfRule type="expression" priority="1568" aboveAverage="0" equalAverage="0" bottom="0" percent="0" rank="0" text="" dxfId="0">
      <formula>AND(ISNUMBER(AL5),AL5&gt;Settings!$C$4)</formula>
    </cfRule>
    <cfRule type="expression" priority="1569" aboveAverage="0" equalAverage="0" bottom="0" percent="0" rank="0" text="" dxfId="1">
      <formula>AND(ISNUMBER(AL5),AL5&lt;-Settings!$C$4)</formula>
    </cfRule>
    <cfRule type="expression" priority="1570" aboveAverage="0" equalAverage="0" bottom="0" percent="0" rank="0" text="" dxfId="2">
      <formula>AND(ISNUMBER(AL5),ABS(AL5)&lt;=Settings!$C$4)</formula>
    </cfRule>
    <cfRule type="expression" priority="1571" aboveAverage="0" equalAverage="0" bottom="0" percent="0" rank="0" text="" dxfId="0">
      <formula>AND(ISNUMBER(AL5),AL5&gt;Settings!$C$4)</formula>
    </cfRule>
    <cfRule type="expression" priority="1572" aboveAverage="0" equalAverage="0" bottom="0" percent="0" rank="0" text="" dxfId="1">
      <formula>AND(ISNUMBER(AL5),AL5&lt;-Settings!$C$4)</formula>
    </cfRule>
    <cfRule type="expression" priority="1573" aboveAverage="0" equalAverage="0" bottom="0" percent="0" rank="0" text="" dxfId="2">
      <formula>AND(ISNUMBER(AL5),ABS(AL5)&lt;=Settings!$C$4)</formula>
    </cfRule>
    <cfRule type="expression" priority="1574" aboveAverage="0" equalAverage="0" bottom="0" percent="0" rank="0" text="" dxfId="0">
      <formula>AND(ISNUMBER(AL5),AL5&gt;Settings!$C$4)</formula>
    </cfRule>
    <cfRule type="expression" priority="1575" aboveAverage="0" equalAverage="0" bottom="0" percent="0" rank="0" text="" dxfId="1">
      <formula>AND(ISNUMBER(AL5),AL5&lt;-Settings!$C$4)</formula>
    </cfRule>
    <cfRule type="expression" priority="1576" aboveAverage="0" equalAverage="0" bottom="0" percent="0" rank="0" text="" dxfId="2">
      <formula>AND(ISNUMBER(AL5),ABS(AL5)&lt;=Settings!$C$4)</formula>
    </cfRule>
    <cfRule type="expression" priority="1577" aboveAverage="0" equalAverage="0" bottom="0" percent="0" rank="0" text="" dxfId="0">
      <formula>AND(ISNUMBER(AL5),AL5&gt;Settings!$C$4)</formula>
    </cfRule>
    <cfRule type="expression" priority="1578" aboveAverage="0" equalAverage="0" bottom="0" percent="0" rank="0" text="" dxfId="1">
      <formula>AND(ISNUMBER(AL5),AL5&lt;-Settings!$C$4)</formula>
    </cfRule>
    <cfRule type="expression" priority="1579" aboveAverage="0" equalAverage="0" bottom="0" percent="0" rank="0" text="" dxfId="2">
      <formula>AND(ISNUMBER(AL5),ABS(AL5)&lt;=Settings!$C$4)</formula>
    </cfRule>
    <cfRule type="expression" priority="1580" aboveAverage="0" equalAverage="0" bottom="0" percent="0" rank="0" text="" dxfId="0">
      <formula>AND(ISNUMBER(AL5),AL5&gt;Settings!$C$4)</formula>
    </cfRule>
    <cfRule type="expression" priority="1581" aboveAverage="0" equalAverage="0" bottom="0" percent="0" rank="0" text="" dxfId="1">
      <formula>AND(ISNUMBER(AL5),AL5&lt;-Settings!$C$4)</formula>
    </cfRule>
    <cfRule type="expression" priority="1582" aboveAverage="0" equalAverage="0" bottom="0" percent="0" rank="0" text="" dxfId="2">
      <formula>AND(ISNUMBER(AL5),ABS(AL5)&lt;=Settings!$C$4)</formula>
    </cfRule>
    <cfRule type="expression" priority="1583" aboveAverage="0" equalAverage="0" bottom="0" percent="0" rank="0" text="" dxfId="0">
      <formula>AND(ISNUMBER(AL5),AL5&gt;Settings!$C$4)</formula>
    </cfRule>
    <cfRule type="expression" priority="1584" aboveAverage="0" equalAverage="0" bottom="0" percent="0" rank="0" text="" dxfId="1">
      <formula>AND(ISNUMBER(AL5),AL5&lt;-Settings!$C$4)</formula>
    </cfRule>
    <cfRule type="expression" priority="1585" aboveAverage="0" equalAverage="0" bottom="0" percent="0" rank="0" text="" dxfId="2">
      <formula>AND(ISNUMBER(AL5),ABS(AL5)&lt;=Settings!$C$4)</formula>
    </cfRule>
    <cfRule type="expression" priority="1586" aboveAverage="0" equalAverage="0" bottom="0" percent="0" rank="0" text="" dxfId="0">
      <formula>AND(ISNUMBER(AL5),AL5&gt;Settings!$C$4)</formula>
    </cfRule>
    <cfRule type="expression" priority="1587" aboveAverage="0" equalAverage="0" bottom="0" percent="0" rank="0" text="" dxfId="1">
      <formula>AND(ISNUMBER(AL5),AL5&lt;-Settings!$C$4)</formula>
    </cfRule>
    <cfRule type="expression" priority="1588" aboveAverage="0" equalAverage="0" bottom="0" percent="0" rank="0" text="" dxfId="2">
      <formula>AND(ISNUMBER(AL5),ABS(AL5)&lt;=Settings!$C$4)</formula>
    </cfRule>
    <cfRule type="expression" priority="1589" aboveAverage="0" equalAverage="0" bottom="0" percent="0" rank="0" text="" dxfId="0">
      <formula>AND(ISNUMBER(AL5),AL5&gt;Settings!$C$4)</formula>
    </cfRule>
    <cfRule type="expression" priority="1590" aboveAverage="0" equalAverage="0" bottom="0" percent="0" rank="0" text="" dxfId="1">
      <formula>AND(ISNUMBER(AL5),AL5&lt;-Settings!$C$4)</formula>
    </cfRule>
    <cfRule type="expression" priority="1591" aboveAverage="0" equalAverage="0" bottom="0" percent="0" rank="0" text="" dxfId="2">
      <formula>AND(ISNUMBER(AL5),ABS(AL5)&lt;=Settings!$C$4)</formula>
    </cfRule>
    <cfRule type="expression" priority="1592" aboveAverage="0" equalAverage="0" bottom="0" percent="0" rank="0" text="" dxfId="0">
      <formula>AND(ISNUMBER(AL5),AL5&gt;Settings!$C$4)</formula>
    </cfRule>
    <cfRule type="expression" priority="1593" aboveAverage="0" equalAverage="0" bottom="0" percent="0" rank="0" text="" dxfId="1">
      <formula>AND(ISNUMBER(AL5),AL5&lt;-Settings!$C$4)</formula>
    </cfRule>
    <cfRule type="expression" priority="1594" aboveAverage="0" equalAverage="0" bottom="0" percent="0" rank="0" text="" dxfId="2">
      <formula>AND(ISNUMBER(AL5),ABS(AL5)&lt;=Settings!$C$4)</formula>
    </cfRule>
    <cfRule type="expression" priority="1595" aboveAverage="0" equalAverage="0" bottom="0" percent="0" rank="0" text="" dxfId="0">
      <formula>AND(ISNUMBER(AL5),AL5&gt;Settings!$C$4)</formula>
    </cfRule>
    <cfRule type="expression" priority="1596" aboveAverage="0" equalAverage="0" bottom="0" percent="0" rank="0" text="" dxfId="1">
      <formula>AND(ISNUMBER(AL5),AL5&lt;-Settings!$C$4)</formula>
    </cfRule>
    <cfRule type="expression" priority="1597" aboveAverage="0" equalAverage="0" bottom="0" percent="0" rank="0" text="" dxfId="2">
      <formula>AND(ISNUMBER(AL5),ABS(AL5)&lt;=Settings!$C$4)</formula>
    </cfRule>
    <cfRule type="expression" priority="1598" aboveAverage="0" equalAverage="0" bottom="0" percent="0" rank="0" text="" dxfId="0">
      <formula>AND(ISNUMBER(AL5),AL5&gt;Settings!$C$4)</formula>
    </cfRule>
    <cfRule type="expression" priority="1599" aboveAverage="0" equalAverage="0" bottom="0" percent="0" rank="0" text="" dxfId="1">
      <formula>AND(ISNUMBER(AL5),AL5&lt;-Settings!$C$4)</formula>
    </cfRule>
    <cfRule type="expression" priority="1600" aboveAverage="0" equalAverage="0" bottom="0" percent="0" rank="0" text="" dxfId="2">
      <formula>AND(ISNUMBER(AL5),ABS(AL5)&lt;=Settings!$C$4)</formula>
    </cfRule>
    <cfRule type="expression" priority="1601" aboveAverage="0" equalAverage="0" bottom="0" percent="0" rank="0" text="" dxfId="0">
      <formula>AND(ISNUMBER(AL5),AL5&gt;Settings!$C$4)</formula>
    </cfRule>
    <cfRule type="expression" priority="1602" aboveAverage="0" equalAverage="0" bottom="0" percent="0" rank="0" text="" dxfId="1">
      <formula>AND(ISNUMBER(AL5),AL5&lt;-Settings!$C$4)</formula>
    </cfRule>
    <cfRule type="expression" priority="1603" aboveAverage="0" equalAverage="0" bottom="0" percent="0" rank="0" text="" dxfId="2">
      <formula>AND(ISNUMBER(AL5),ABS(AL5)&lt;=Settings!$C$4)</formula>
    </cfRule>
    <cfRule type="expression" priority="1604" aboveAverage="0" equalAverage="0" bottom="0" percent="0" rank="0" text="" dxfId="0">
      <formula>AND(ISNUMBER(AL5),AL5&gt;Settings!$C$4)</formula>
    </cfRule>
    <cfRule type="expression" priority="1605" aboveAverage="0" equalAverage="0" bottom="0" percent="0" rank="0" text="" dxfId="1">
      <formula>AND(ISNUMBER(AL5),AL5&lt;-Settings!$C$4)</formula>
    </cfRule>
    <cfRule type="expression" priority="1606" aboveAverage="0" equalAverage="0" bottom="0" percent="0" rank="0" text="" dxfId="2">
      <formula>AND(ISNUMBER(AL5),ABS(AL5)&lt;=Settings!$C$4)</formula>
    </cfRule>
    <cfRule type="expression" priority="1607" aboveAverage="0" equalAverage="0" bottom="0" percent="0" rank="0" text="" dxfId="0">
      <formula>AND(ISNUMBER(AL5),AL5&gt;Settings!$C$4)</formula>
    </cfRule>
    <cfRule type="expression" priority="1608" aboveAverage="0" equalAverage="0" bottom="0" percent="0" rank="0" text="" dxfId="1">
      <formula>AND(ISNUMBER(AL5),AL5&lt;-Settings!$C$4)</formula>
    </cfRule>
    <cfRule type="expression" priority="1609" aboveAverage="0" equalAverage="0" bottom="0" percent="0" rank="0" text="" dxfId="2">
      <formula>AND(ISNUMBER(AL5),ABS(AL5)&lt;=Settings!$C$4)</formula>
    </cfRule>
    <cfRule type="expression" priority="1610" aboveAverage="0" equalAverage="0" bottom="0" percent="0" rank="0" text="" dxfId="0">
      <formula>AND(ISNUMBER(AL5),AL5&gt;Settings!$C$4)</formula>
    </cfRule>
    <cfRule type="expression" priority="1611" aboveAverage="0" equalAverage="0" bottom="0" percent="0" rank="0" text="" dxfId="1">
      <formula>AND(ISNUMBER(AL5),AL5&lt;-Settings!$C$4)</formula>
    </cfRule>
    <cfRule type="expression" priority="1612" aboveAverage="0" equalAverage="0" bottom="0" percent="0" rank="0" text="" dxfId="2">
      <formula>AND(ISNUMBER(AL5),ABS(AL5)&lt;=Settings!$C$4)</formula>
    </cfRule>
    <cfRule type="expression" priority="1613" aboveAverage="0" equalAverage="0" bottom="0" percent="0" rank="0" text="" dxfId="0">
      <formula>AND(ISNUMBER(AL5),AL5&gt;Settings!$C$4)</formula>
    </cfRule>
    <cfRule type="expression" priority="1614" aboveAverage="0" equalAverage="0" bottom="0" percent="0" rank="0" text="" dxfId="1">
      <formula>AND(ISNUMBER(AL5),AL5&lt;-Settings!$C$4)</formula>
    </cfRule>
    <cfRule type="expression" priority="1615" aboveAverage="0" equalAverage="0" bottom="0" percent="0" rank="0" text="" dxfId="2">
      <formula>AND(ISNUMBER(AL5),ABS(AL5)&lt;=Settings!$C$4)</formula>
    </cfRule>
    <cfRule type="expression" priority="1616" aboveAverage="0" equalAverage="0" bottom="0" percent="0" rank="0" text="" dxfId="0">
      <formula>AND(ISNUMBER(AL5),AL5&gt;Settings!$C$4)</formula>
    </cfRule>
    <cfRule type="expression" priority="1617" aboveAverage="0" equalAverage="0" bottom="0" percent="0" rank="0" text="" dxfId="1">
      <formula>AND(ISNUMBER(AL5),AL5&lt;-Settings!$C$4)</formula>
    </cfRule>
    <cfRule type="expression" priority="1618" aboveAverage="0" equalAverage="0" bottom="0" percent="0" rank="0" text="" dxfId="2">
      <formula>AND(ISNUMBER(AL5),ABS(AL5)&lt;=Settings!$C$4)</formula>
    </cfRule>
    <cfRule type="expression" priority="1619" aboveAverage="0" equalAverage="0" bottom="0" percent="0" rank="0" text="" dxfId="0">
      <formula>AND(ISNUMBER(AL5),AL5&gt;Settings!$C$4)</formula>
    </cfRule>
    <cfRule type="expression" priority="1620" aboveAverage="0" equalAverage="0" bottom="0" percent="0" rank="0" text="" dxfId="1">
      <formula>AND(ISNUMBER(AL5),AL5&lt;-Settings!$C$4)</formula>
    </cfRule>
    <cfRule type="expression" priority="1621" aboveAverage="0" equalAverage="0" bottom="0" percent="0" rank="0" text="" dxfId="2">
      <formula>AND(ISNUMBER(AL5),ABS(AL5)&lt;=Settings!$C$4)</formula>
    </cfRule>
    <cfRule type="expression" priority="1622" aboveAverage="0" equalAverage="0" bottom="0" percent="0" rank="0" text="" dxfId="0">
      <formula>AND(ISNUMBER(AL5),AL5&gt;Settings!$C$4)</formula>
    </cfRule>
    <cfRule type="expression" priority="1623" aboveAverage="0" equalAverage="0" bottom="0" percent="0" rank="0" text="" dxfId="1">
      <formula>AND(ISNUMBER(AL5),AL5&lt;-Settings!$C$4)</formula>
    </cfRule>
    <cfRule type="expression" priority="1624" aboveAverage="0" equalAverage="0" bottom="0" percent="0" rank="0" text="" dxfId="2">
      <formula>AND(ISNUMBER(AL5),ABS(AL5)&lt;=Settings!$C$4)</formula>
    </cfRule>
    <cfRule type="expression" priority="1625" aboveAverage="0" equalAverage="0" bottom="0" percent="0" rank="0" text="" dxfId="0">
      <formula>AND(ISNUMBER(AL5),AL5&gt;Settings!$C$4)</formula>
    </cfRule>
    <cfRule type="expression" priority="1626" aboveAverage="0" equalAverage="0" bottom="0" percent="0" rank="0" text="" dxfId="1">
      <formula>AND(ISNUMBER(AL5),AL5&lt;-Settings!$C$4)</formula>
    </cfRule>
    <cfRule type="expression" priority="1627" aboveAverage="0" equalAverage="0" bottom="0" percent="0" rank="0" text="" dxfId="2">
      <formula>AND(ISNUMBER(AL5),ABS(AL5)&lt;=Settings!$C$4)</formula>
    </cfRule>
    <cfRule type="expression" priority="1628" aboveAverage="0" equalAverage="0" bottom="0" percent="0" rank="0" text="" dxfId="0">
      <formula>AND(ISNUMBER(AL5),AL5&gt;Settings!$C$4)</formula>
    </cfRule>
    <cfRule type="expression" priority="1629" aboveAverage="0" equalAverage="0" bottom="0" percent="0" rank="0" text="" dxfId="1">
      <formula>AND(ISNUMBER(AL5),AL5&lt;-Settings!$C$4)</formula>
    </cfRule>
    <cfRule type="expression" priority="1630" aboveAverage="0" equalAverage="0" bottom="0" percent="0" rank="0" text="" dxfId="2">
      <formula>AND(ISNUMBER(AL5),ABS(AL5)&lt;=Settings!$C$4)</formula>
    </cfRule>
    <cfRule type="expression" priority="1631" aboveAverage="0" equalAverage="0" bottom="0" percent="0" rank="0" text="" dxfId="0">
      <formula>AND(ISNUMBER(AL5),AL5&gt;Settings!$C$4)</formula>
    </cfRule>
    <cfRule type="expression" priority="1632" aboveAverage="0" equalAverage="0" bottom="0" percent="0" rank="0" text="" dxfId="1">
      <formula>AND(ISNUMBER(AL5),AL5&lt;-Settings!$C$4)</formula>
    </cfRule>
    <cfRule type="expression" priority="1633" aboveAverage="0" equalAverage="0" bottom="0" percent="0" rank="0" text="" dxfId="2">
      <formula>AND(ISNUMBER(AL5),ABS(AL5)&lt;=Settings!$C$4)</formula>
    </cfRule>
    <cfRule type="expression" priority="1634" aboveAverage="0" equalAverage="0" bottom="0" percent="0" rank="0" text="" dxfId="0">
      <formula>AND(ISNUMBER(AL5),AL5&gt;Settings!$C$4)</formula>
    </cfRule>
    <cfRule type="expression" priority="1635" aboveAverage="0" equalAverage="0" bottom="0" percent="0" rank="0" text="" dxfId="1">
      <formula>AND(ISNUMBER(AL5),AL5&lt;-Settings!$C$4)</formula>
    </cfRule>
    <cfRule type="expression" priority="1636" aboveAverage="0" equalAverage="0" bottom="0" percent="0" rank="0" text="" dxfId="2">
      <formula>AND(ISNUMBER(AL5),ABS(AL5)&lt;=Settings!$C$4)</formula>
    </cfRule>
    <cfRule type="expression" priority="1637" aboveAverage="0" equalAverage="0" bottom="0" percent="0" rank="0" text="" dxfId="0">
      <formula>AND(ISNUMBER(AL5),AL5&gt;Settings!$C$4)</formula>
    </cfRule>
    <cfRule type="expression" priority="1638" aboveAverage="0" equalAverage="0" bottom="0" percent="0" rank="0" text="" dxfId="1">
      <formula>AND(ISNUMBER(AL5),AL5&lt;-Settings!$C$4)</formula>
    </cfRule>
    <cfRule type="expression" priority="1639" aboveAverage="0" equalAverage="0" bottom="0" percent="0" rank="0" text="" dxfId="2">
      <formula>AND(ISNUMBER(AL5),ABS(AL5)&lt;=Settings!$C$4)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8" min="7" style="0" width="11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2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7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A3" s="2" t="s">
        <v>138</v>
      </c>
    </row>
    <row r="5" customFormat="false" ht="26.85" hidden="false" customHeight="false" outlineLevel="0" collapsed="false">
      <c r="A5" s="5" t="s">
        <v>139</v>
      </c>
      <c r="B5" s="5" t="s">
        <v>9</v>
      </c>
      <c r="C5" s="5" t="s">
        <v>140</v>
      </c>
      <c r="D5" s="5" t="s">
        <v>141</v>
      </c>
      <c r="E5" s="5" t="s">
        <v>142</v>
      </c>
      <c r="F5" s="5" t="s">
        <v>143</v>
      </c>
      <c r="G5" s="5" t="s">
        <v>144</v>
      </c>
      <c r="H5" s="5" t="s">
        <v>145</v>
      </c>
      <c r="I5" s="5" t="s">
        <v>146</v>
      </c>
      <c r="J5" s="5" t="s">
        <v>147</v>
      </c>
      <c r="L5" s="3" t="s">
        <v>148</v>
      </c>
    </row>
    <row r="6" customFormat="false" ht="15" hidden="false" customHeight="false" outlineLevel="0" collapsed="false">
      <c r="A6" s="19" t="n">
        <v>46113</v>
      </c>
      <c r="B6" s="6" t="s">
        <v>30</v>
      </c>
      <c r="C6" s="6" t="s">
        <v>149</v>
      </c>
      <c r="D6" s="7" t="n">
        <v>-0.1647</v>
      </c>
      <c r="E6" s="6" t="str">
        <f aca="false">IF(D6&gt;Settings!$C$4,"Bullish",IF(D6&lt;-Settings!$C$4,"Bearish","Neutral"))</f>
        <v>Bearish</v>
      </c>
      <c r="F6" s="8" t="n">
        <v>0.531</v>
      </c>
      <c r="G6" s="20" t="n">
        <v>0.0259099838815297</v>
      </c>
      <c r="H6" s="6" t="str">
        <f aca="false">IF(G6="","",IF(G6&gt;0,"Bullish",IF(G6&lt;0,"Bearish","Flat")))</f>
        <v>Bullish</v>
      </c>
      <c r="I6" s="6" t="n">
        <f aca="false">IF(OR(G6="",E6="Neutral"),"",IF(E6=H6,1,0))</f>
        <v>0</v>
      </c>
      <c r="J6" s="6" t="s">
        <v>150</v>
      </c>
      <c r="L6" s="5" t="s">
        <v>151</v>
      </c>
      <c r="M6" s="5" t="s">
        <v>152</v>
      </c>
      <c r="N6" s="5" t="s">
        <v>153</v>
      </c>
    </row>
    <row r="7" customFormat="false" ht="15" hidden="false" customHeight="false" outlineLevel="0" collapsed="false">
      <c r="A7" s="19" t="n">
        <v>46113</v>
      </c>
      <c r="B7" s="6" t="s">
        <v>53</v>
      </c>
      <c r="C7" s="6" t="s">
        <v>154</v>
      </c>
      <c r="D7" s="7" t="n">
        <v>0.3025</v>
      </c>
      <c r="E7" s="6" t="str">
        <f aca="false">IF(D7&gt;Settings!$C$4,"Bullish",IF(D7&lt;-Settings!$C$4,"Bearish","Neutral"))</f>
        <v>Bullish</v>
      </c>
      <c r="F7" s="8" t="n">
        <v>0.535</v>
      </c>
      <c r="G7" s="20" t="n">
        <v>0.0381944444444446</v>
      </c>
      <c r="H7" s="6" t="str">
        <f aca="false">IF(G7="","",IF(G7&gt;0,"Bullish",IF(G7&lt;0,"Bearish","Flat")))</f>
        <v>Bullish</v>
      </c>
      <c r="I7" s="6" t="n">
        <f aca="false">IF(OR(G7="",E7="Neutral"),"",IF(E7=H7,1,0))</f>
        <v>1</v>
      </c>
      <c r="J7" s="6" t="s">
        <v>150</v>
      </c>
      <c r="L7" s="6" t="s">
        <v>155</v>
      </c>
      <c r="M7" s="21" t="n">
        <f aca="false">IFERROR(AVERAGE(I6:I1204),"")</f>
        <v>0.492857142857143</v>
      </c>
      <c r="N7" s="6" t="n">
        <f aca="false">COUNT(I6:I1204)</f>
        <v>420</v>
      </c>
    </row>
    <row r="8" customFormat="false" ht="15" hidden="false" customHeight="false" outlineLevel="0" collapsed="false">
      <c r="A8" s="19" t="n">
        <v>46113</v>
      </c>
      <c r="B8" s="6" t="s">
        <v>18</v>
      </c>
      <c r="C8" s="6" t="s">
        <v>154</v>
      </c>
      <c r="D8" s="7" t="n">
        <v>-0.5225</v>
      </c>
      <c r="E8" s="6" t="str">
        <f aca="false">IF(D8&gt;Settings!$C$4,"Bullish",IF(D8&lt;-Settings!$C$4,"Bearish","Neutral"))</f>
        <v>Bearish</v>
      </c>
      <c r="F8" s="8" t="n">
        <v>0.501</v>
      </c>
      <c r="G8" s="20" t="n">
        <v>-0.0095899384252586</v>
      </c>
      <c r="H8" s="6" t="str">
        <f aca="false">IF(G8="","",IF(G8&gt;0,"Bullish",IF(G8&lt;0,"Bearish","Flat")))</f>
        <v>Bearish</v>
      </c>
      <c r="I8" s="6" t="n">
        <f aca="false">IF(OR(G8="",E8="Neutral"),"",IF(E8=H8,1,0))</f>
        <v>1</v>
      </c>
      <c r="J8" s="6" t="s">
        <v>150</v>
      </c>
      <c r="L8" s="6" t="s">
        <v>10</v>
      </c>
      <c r="M8" s="21" t="n">
        <f aca="false">IFERROR(AVERAGEIFS(I6:I1204,C6:C1204,"intraday"),"")</f>
        <v>0.55026455026455</v>
      </c>
      <c r="N8" s="6" t="n">
        <f aca="false">COUNTIFS(C6:C1204,"intraday",I6:I1204,"&gt;=0")</f>
        <v>189</v>
      </c>
    </row>
    <row r="9" customFormat="false" ht="15" hidden="false" customHeight="false" outlineLevel="0" collapsed="false">
      <c r="A9" s="19" t="n">
        <v>46113</v>
      </c>
      <c r="B9" s="6" t="s">
        <v>18</v>
      </c>
      <c r="C9" s="6" t="s">
        <v>149</v>
      </c>
      <c r="D9" s="7" t="n">
        <v>-0.0556</v>
      </c>
      <c r="E9" s="6" t="str">
        <f aca="false">IF(D9&gt;Settings!$C$4,"Bullish",IF(D9&lt;-Settings!$C$4,"Bearish","Neutral"))</f>
        <v>Neutral</v>
      </c>
      <c r="F9" s="8"/>
      <c r="G9" s="20" t="n">
        <v>0.0479649766365342</v>
      </c>
      <c r="H9" s="6" t="str">
        <f aca="false">IF(G9="","",IF(G9&gt;0,"Bullish",IF(G9&lt;0,"Bearish","Flat")))</f>
        <v>Bullish</v>
      </c>
      <c r="I9" s="6" t="str">
        <f aca="false">IF(OR(G9="",E9="Neutral"),"",IF(E9=H9,1,0))</f>
        <v/>
      </c>
      <c r="J9" s="6" t="s">
        <v>150</v>
      </c>
      <c r="L9" s="6" t="s">
        <v>156</v>
      </c>
      <c r="M9" s="21" t="n">
        <f aca="false">IFERROR(AVERAGEIFS(I6:I1204,C6:C1204,"short"),"")</f>
        <v>0.445887445887446</v>
      </c>
      <c r="N9" s="6" t="n">
        <f aca="false">COUNTIFS(C6:C1204,"short",I6:I1204,"&gt;=0")</f>
        <v>231</v>
      </c>
    </row>
    <row r="10" customFormat="false" ht="15" hidden="false" customHeight="false" outlineLevel="0" collapsed="false">
      <c r="A10" s="19" t="n">
        <v>46114</v>
      </c>
      <c r="B10" s="6" t="s">
        <v>18</v>
      </c>
      <c r="C10" s="6" t="s">
        <v>154</v>
      </c>
      <c r="D10" s="7" t="n">
        <v>-0.4371</v>
      </c>
      <c r="E10" s="6" t="str">
        <f aca="false">IF(D10&gt;Settings!$C$4,"Bullish",IF(D10&lt;-Settings!$C$4,"Bearish","Neutral"))</f>
        <v>Bearish</v>
      </c>
      <c r="F10" s="8" t="n">
        <v>0.529</v>
      </c>
      <c r="G10" s="20" t="n">
        <v>0.014729665734428</v>
      </c>
      <c r="H10" s="6" t="str">
        <f aca="false">IF(G10="","",IF(G10&gt;0,"Bullish",IF(G10&lt;0,"Bearish","Flat")))</f>
        <v>Bullish</v>
      </c>
      <c r="I10" s="6" t="n">
        <f aca="false">IF(OR(G10="",E10="Neutral"),"",IF(E10=H10,1,0))</f>
        <v>0</v>
      </c>
      <c r="J10" s="6" t="s">
        <v>150</v>
      </c>
      <c r="L10" s="6" t="s">
        <v>157</v>
      </c>
      <c r="M10" s="21" t="n">
        <f aca="false">IFERROR(AVERAGEIFS(I6:I1204,E6:E1204,"Bullish"),"")</f>
        <v>0.471544715447155</v>
      </c>
      <c r="N10" s="6" t="n">
        <f aca="false">COUNTIFS(E6:E1204,"Bullish",I6:I1204,"&gt;=0")</f>
        <v>246</v>
      </c>
    </row>
    <row r="11" customFormat="false" ht="15" hidden="false" customHeight="false" outlineLevel="0" collapsed="false">
      <c r="A11" s="19" t="n">
        <v>46114</v>
      </c>
      <c r="B11" s="6" t="s">
        <v>18</v>
      </c>
      <c r="C11" s="6" t="s">
        <v>149</v>
      </c>
      <c r="D11" s="7" t="n">
        <v>0.1271</v>
      </c>
      <c r="E11" s="6" t="str">
        <f aca="false">IF(D11&gt;Settings!$C$4,"Bullish",IF(D11&lt;-Settings!$C$4,"Bearish","Neutral"))</f>
        <v>Neutral</v>
      </c>
      <c r="F11" s="8"/>
      <c r="G11" s="20" t="n">
        <v>0.0621755408025588</v>
      </c>
      <c r="H11" s="6" t="str">
        <f aca="false">IF(G11="","",IF(G11&gt;0,"Bullish",IF(G11&lt;0,"Bearish","Flat")))</f>
        <v>Bullish</v>
      </c>
      <c r="I11" s="6" t="str">
        <f aca="false">IF(OR(G11="",E11="Neutral"),"",IF(E11=H11,1,0))</f>
        <v/>
      </c>
      <c r="J11" s="6" t="s">
        <v>150</v>
      </c>
      <c r="L11" s="6" t="s">
        <v>158</v>
      </c>
      <c r="M11" s="21" t="n">
        <f aca="false">IFERROR(AVERAGEIFS(I6:I1204,E6:E1204,"Bearish"),"")</f>
        <v>0.522988505747126</v>
      </c>
      <c r="N11" s="6" t="n">
        <f aca="false">COUNTIFS(E6:E1204,"Bearish",I6:I1204,"&gt;=0")</f>
        <v>174</v>
      </c>
    </row>
    <row r="12" customFormat="false" ht="15" hidden="false" customHeight="false" outlineLevel="0" collapsed="false">
      <c r="A12" s="19" t="n">
        <v>46115</v>
      </c>
      <c r="B12" s="6" t="s">
        <v>30</v>
      </c>
      <c r="C12" s="6" t="s">
        <v>149</v>
      </c>
      <c r="D12" s="7" t="n">
        <v>0.2488</v>
      </c>
      <c r="E12" s="6" t="str">
        <f aca="false">IF(D12&gt;Settings!$C$4,"Bullish",IF(D12&lt;-Settings!$C$4,"Bearish","Neutral"))</f>
        <v>Bullish</v>
      </c>
      <c r="F12" s="8" t="n">
        <v>0.531</v>
      </c>
      <c r="G12" s="20"/>
      <c r="H12" s="6" t="str">
        <f aca="false">IF(G12="","",IF(G12&gt;0,"Bullish",IF(G12&lt;0,"Bearish","Flat")))</f>
        <v/>
      </c>
      <c r="I12" s="6" t="str">
        <f aca="false">IF(OR(G12="",E12="Neutral"),"",IF(E12=H12,1,0))</f>
        <v/>
      </c>
      <c r="J12" s="6" t="s">
        <v>150</v>
      </c>
      <c r="L12" s="6" t="s">
        <v>159</v>
      </c>
      <c r="M12" s="21" t="n">
        <f aca="false">IFERROR(COUNTIFS(H6:H1204,"Bullish",I6:I1204,"&gt;=0")/COUNT(I6:I1204),"")</f>
        <v>0.469047619047619</v>
      </c>
      <c r="N12" s="6"/>
    </row>
    <row r="13" customFormat="false" ht="15" hidden="false" customHeight="false" outlineLevel="0" collapsed="false">
      <c r="A13" s="19" t="n">
        <v>46115</v>
      </c>
      <c r="B13" s="6" t="s">
        <v>34</v>
      </c>
      <c r="C13" s="6" t="s">
        <v>149</v>
      </c>
      <c r="D13" s="7" t="n">
        <v>0.3192</v>
      </c>
      <c r="E13" s="6" t="str">
        <f aca="false">IF(D13&gt;Settings!$C$4,"Bullish",IF(D13&lt;-Settings!$C$4,"Bearish","Neutral"))</f>
        <v>Bullish</v>
      </c>
      <c r="F13" s="8" t="n">
        <v>0.551</v>
      </c>
      <c r="G13" s="20"/>
      <c r="H13" s="6" t="str">
        <f aca="false">IF(G13="","",IF(G13&gt;0,"Bullish",IF(G13&lt;0,"Bearish","Flat")))</f>
        <v/>
      </c>
      <c r="I13" s="6" t="str">
        <f aca="false">IF(OR(G13="",E13="Neutral"),"",IF(E13=H13,1,0))</f>
        <v/>
      </c>
      <c r="J13" s="6" t="s">
        <v>150</v>
      </c>
    </row>
    <row r="14" customFormat="false" ht="15" hidden="false" customHeight="false" outlineLevel="0" collapsed="false">
      <c r="A14" s="19" t="n">
        <v>46115</v>
      </c>
      <c r="B14" s="6" t="s">
        <v>18</v>
      </c>
      <c r="C14" s="6" t="s">
        <v>154</v>
      </c>
      <c r="D14" s="7" t="n">
        <v>-0.4902</v>
      </c>
      <c r="E14" s="6" t="str">
        <f aca="false">IF(D14&gt;Settings!$C$4,"Bullish",IF(D14&lt;-Settings!$C$4,"Bearish","Neutral"))</f>
        <v>Bearish</v>
      </c>
      <c r="F14" s="8" t="n">
        <v>0.529</v>
      </c>
      <c r="G14" s="20"/>
      <c r="H14" s="6" t="str">
        <f aca="false">IF(G14="","",IF(G14&gt;0,"Bullish",IF(G14&lt;0,"Bearish","Flat")))</f>
        <v/>
      </c>
      <c r="I14" s="6" t="str">
        <f aca="false">IF(OR(G14="",E14="Neutral"),"",IF(E14=H14,1,0))</f>
        <v/>
      </c>
      <c r="J14" s="6" t="s">
        <v>150</v>
      </c>
      <c r="L14" s="3" t="s">
        <v>160</v>
      </c>
    </row>
    <row r="15" customFormat="false" ht="15" hidden="false" customHeight="false" outlineLevel="0" collapsed="false">
      <c r="A15" s="19" t="n">
        <v>46115</v>
      </c>
      <c r="B15" s="6" t="s">
        <v>18</v>
      </c>
      <c r="C15" s="6" t="s">
        <v>149</v>
      </c>
      <c r="D15" s="7" t="n">
        <v>0.3174</v>
      </c>
      <c r="E15" s="6" t="str">
        <f aca="false">IF(D15&gt;Settings!$C$4,"Bullish",IF(D15&lt;-Settings!$C$4,"Bearish","Neutral"))</f>
        <v>Bullish</v>
      </c>
      <c r="F15" s="8" t="n">
        <v>0.51</v>
      </c>
      <c r="G15" s="20"/>
      <c r="H15" s="6" t="str">
        <f aca="false">IF(G15="","",IF(G15&gt;0,"Bullish",IF(G15&lt;0,"Bearish","Flat")))</f>
        <v/>
      </c>
      <c r="I15" s="6" t="str">
        <f aca="false">IF(OR(G15="",E15="Neutral"),"",IF(E15=H15,1,0))</f>
        <v/>
      </c>
      <c r="J15" s="6" t="s">
        <v>150</v>
      </c>
      <c r="L15" s="5" t="s">
        <v>9</v>
      </c>
      <c r="M15" s="5" t="s">
        <v>152</v>
      </c>
      <c r="N15" s="5" t="s">
        <v>153</v>
      </c>
    </row>
    <row r="16" customFormat="false" ht="15" hidden="false" customHeight="false" outlineLevel="0" collapsed="false">
      <c r="A16" s="19" t="n">
        <v>46115</v>
      </c>
      <c r="B16" s="6" t="s">
        <v>49</v>
      </c>
      <c r="C16" s="6" t="s">
        <v>149</v>
      </c>
      <c r="D16" s="7" t="n">
        <v>0.3192</v>
      </c>
      <c r="E16" s="6" t="str">
        <f aca="false">IF(D16&gt;Settings!$C$4,"Bullish",IF(D16&lt;-Settings!$C$4,"Bearish","Neutral"))</f>
        <v>Bullish</v>
      </c>
      <c r="F16" s="8" t="n">
        <v>0.53</v>
      </c>
      <c r="G16" s="20"/>
      <c r="H16" s="6" t="str">
        <f aca="false">IF(G16="","",IF(G16&gt;0,"Bullish",IF(G16&lt;0,"Bearish","Flat")))</f>
        <v/>
      </c>
      <c r="I16" s="6" t="str">
        <f aca="false">IF(OR(G16="",E16="Neutral"),"",IF(E16=H16,1,0))</f>
        <v/>
      </c>
      <c r="J16" s="6" t="s">
        <v>150</v>
      </c>
      <c r="L16" s="6" t="s">
        <v>18</v>
      </c>
      <c r="M16" s="22" t="n">
        <f aca="false">IFERROR(AVERAGEIFS($I$6:$I$1204,$B$6:$B$1204,L16),"")</f>
        <v>0.471204188481675</v>
      </c>
      <c r="N16" s="4" t="n">
        <f aca="false">COUNTIFS($B$6:$B$1204,L16,$I$6:$I$1204,"&gt;=0")</f>
        <v>191</v>
      </c>
    </row>
    <row r="17" customFormat="false" ht="15" hidden="false" customHeight="false" outlineLevel="0" collapsed="false">
      <c r="A17" s="19" t="n">
        <v>46115</v>
      </c>
      <c r="B17" s="6" t="s">
        <v>43</v>
      </c>
      <c r="C17" s="6" t="s">
        <v>149</v>
      </c>
      <c r="D17" s="7" t="n">
        <v>0.3192</v>
      </c>
      <c r="E17" s="6" t="str">
        <f aca="false">IF(D17&gt;Settings!$C$4,"Bullish",IF(D17&lt;-Settings!$C$4,"Bearish","Neutral"))</f>
        <v>Bullish</v>
      </c>
      <c r="F17" s="8" t="n">
        <v>0.552</v>
      </c>
      <c r="G17" s="20"/>
      <c r="H17" s="6" t="str">
        <f aca="false">IF(G17="","",IF(G17&gt;0,"Bullish",IF(G17&lt;0,"Bearish","Flat")))</f>
        <v/>
      </c>
      <c r="I17" s="6" t="str">
        <f aca="false">IF(OR(G17="",E17="Neutral"),"",IF(E17=H17,1,0))</f>
        <v/>
      </c>
      <c r="J17" s="6" t="s">
        <v>150</v>
      </c>
      <c r="L17" s="6" t="s">
        <v>22</v>
      </c>
      <c r="M17" s="22" t="n">
        <f aca="false">IFERROR(AVERAGEIFS($I$6:$I$1204,$B$6:$B$1204,L17),"")</f>
        <v>0.5</v>
      </c>
      <c r="N17" s="4" t="n">
        <f aca="false">COUNTIFS($B$6:$B$1204,L17,$I$6:$I$1204,"&gt;=0")</f>
        <v>28</v>
      </c>
    </row>
    <row r="18" customFormat="false" ht="15" hidden="false" customHeight="false" outlineLevel="0" collapsed="false">
      <c r="A18" s="19" t="n">
        <v>46118</v>
      </c>
      <c r="B18" s="6" t="s">
        <v>30</v>
      </c>
      <c r="C18" s="6" t="s">
        <v>149</v>
      </c>
      <c r="D18" s="7" t="n">
        <v>0.25</v>
      </c>
      <c r="E18" s="6" t="str">
        <f aca="false">IF(D18&gt;Settings!$C$4,"Bullish",IF(D18&lt;-Settings!$C$4,"Bearish","Neutral"))</f>
        <v>Bullish</v>
      </c>
      <c r="F18" s="8" t="n">
        <v>0.531</v>
      </c>
      <c r="G18" s="20" t="n">
        <v>0.0411004623964037</v>
      </c>
      <c r="H18" s="6" t="str">
        <f aca="false">IF(G18="","",IF(G18&gt;0,"Bullish",IF(G18&lt;0,"Bearish","Flat")))</f>
        <v>Bullish</v>
      </c>
      <c r="I18" s="6" t="n">
        <f aca="false">IF(OR(G18="",E18="Neutral"),"",IF(E18=H18,1,0))</f>
        <v>1</v>
      </c>
      <c r="J18" s="6" t="s">
        <v>150</v>
      </c>
      <c r="L18" s="6" t="s">
        <v>35</v>
      </c>
      <c r="M18" s="22" t="n">
        <f aca="false">IFERROR(AVERAGEIFS($I$6:$I$1204,$B$6:$B$1204,L18),"")</f>
        <v>0.614035087719298</v>
      </c>
      <c r="N18" s="4" t="n">
        <f aca="false">COUNTIFS($B$6:$B$1204,L18,$I$6:$I$1204,"&gt;=0")</f>
        <v>57</v>
      </c>
    </row>
    <row r="19" customFormat="false" ht="15" hidden="false" customHeight="false" outlineLevel="0" collapsed="false">
      <c r="A19" s="19" t="n">
        <v>46118</v>
      </c>
      <c r="B19" s="6" t="s">
        <v>34</v>
      </c>
      <c r="C19" s="6" t="s">
        <v>149</v>
      </c>
      <c r="D19" s="7" t="n">
        <v>0.3117</v>
      </c>
      <c r="E19" s="6" t="str">
        <f aca="false">IF(D19&gt;Settings!$C$4,"Bullish",IF(D19&lt;-Settings!$C$4,"Bearish","Neutral"))</f>
        <v>Bullish</v>
      </c>
      <c r="F19" s="8" t="n">
        <v>0.551</v>
      </c>
      <c r="G19" s="20" t="n">
        <v>0.0517951498650177</v>
      </c>
      <c r="H19" s="6" t="str">
        <f aca="false">IF(G19="","",IF(G19&gt;0,"Bullish",IF(G19&lt;0,"Bearish","Flat")))</f>
        <v>Bullish</v>
      </c>
      <c r="I19" s="6" t="n">
        <f aca="false">IF(OR(G19="",E19="Neutral"),"",IF(E19=H19,1,0))</f>
        <v>1</v>
      </c>
      <c r="J19" s="6" t="s">
        <v>150</v>
      </c>
      <c r="L19" s="6" t="s">
        <v>20</v>
      </c>
      <c r="M19" s="22" t="str">
        <f aca="false">IFERROR(AVERAGEIFS($I$6:$I$1204,$B$6:$B$1204,L19),"")</f>
        <v/>
      </c>
      <c r="N19" s="4" t="n">
        <f aca="false">COUNTIFS($B$6:$B$1204,L19,$I$6:$I$1204,"&gt;=0")</f>
        <v>0</v>
      </c>
    </row>
    <row r="20" customFormat="false" ht="15" hidden="false" customHeight="false" outlineLevel="0" collapsed="false">
      <c r="A20" s="19" t="n">
        <v>46118</v>
      </c>
      <c r="B20" s="6" t="s">
        <v>18</v>
      </c>
      <c r="C20" s="6" t="s">
        <v>154</v>
      </c>
      <c r="D20" s="7" t="n">
        <v>-0.1514</v>
      </c>
      <c r="E20" s="6" t="str">
        <f aca="false">IF(D20&gt;Settings!$C$4,"Bullish",IF(D20&lt;-Settings!$C$4,"Bearish","Neutral"))</f>
        <v>Bearish</v>
      </c>
      <c r="F20" s="8" t="n">
        <v>0.481</v>
      </c>
      <c r="G20" s="20" t="n">
        <v>0.0082505498171665</v>
      </c>
      <c r="H20" s="6" t="str">
        <f aca="false">IF(G20="","",IF(G20&gt;0,"Bullish",IF(G20&lt;0,"Bearish","Flat")))</f>
        <v>Bullish</v>
      </c>
      <c r="I20" s="6" t="n">
        <f aca="false">IF(OR(G20="",E20="Neutral"),"",IF(E20=H20,1,0))</f>
        <v>0</v>
      </c>
      <c r="J20" s="6" t="s">
        <v>150</v>
      </c>
      <c r="L20" s="6" t="s">
        <v>40</v>
      </c>
      <c r="M20" s="22" t="str">
        <f aca="false">IFERROR(AVERAGEIFS($I$6:$I$1204,$B$6:$B$1204,L20),"")</f>
        <v/>
      </c>
      <c r="N20" s="4" t="n">
        <f aca="false">COUNTIFS($B$6:$B$1204,L20,$I$6:$I$1204,"&gt;=0")</f>
        <v>0</v>
      </c>
    </row>
    <row r="21" customFormat="false" ht="15" hidden="false" customHeight="false" outlineLevel="0" collapsed="false">
      <c r="A21" s="19" t="n">
        <v>46118</v>
      </c>
      <c r="B21" s="6" t="s">
        <v>18</v>
      </c>
      <c r="C21" s="6" t="s">
        <v>149</v>
      </c>
      <c r="D21" s="7" t="n">
        <v>0.316</v>
      </c>
      <c r="E21" s="6" t="str">
        <f aca="false">IF(D21&gt;Settings!$C$4,"Bullish",IF(D21&lt;-Settings!$C$4,"Bearish","Neutral"))</f>
        <v>Bullish</v>
      </c>
      <c r="F21" s="8" t="n">
        <v>0.51</v>
      </c>
      <c r="G21" s="20" t="n">
        <v>0.0557630935501287</v>
      </c>
      <c r="H21" s="6" t="str">
        <f aca="false">IF(G21="","",IF(G21&gt;0,"Bullish",IF(G21&lt;0,"Bearish","Flat")))</f>
        <v>Bullish</v>
      </c>
      <c r="I21" s="6" t="n">
        <f aca="false">IF(OR(G21="",E21="Neutral"),"",IF(E21=H21,1,0))</f>
        <v>1</v>
      </c>
      <c r="J21" s="6" t="s">
        <v>150</v>
      </c>
      <c r="L21" s="6" t="s">
        <v>30</v>
      </c>
      <c r="M21" s="22" t="n">
        <f aca="false">IFERROR(AVERAGEIFS($I$6:$I$1204,$B$6:$B$1204,L21),"")</f>
        <v>0.44</v>
      </c>
      <c r="N21" s="4" t="n">
        <f aca="false">COUNTIFS($B$6:$B$1204,L21,$I$6:$I$1204,"&gt;=0")</f>
        <v>25</v>
      </c>
    </row>
    <row r="22" customFormat="false" ht="15" hidden="false" customHeight="false" outlineLevel="0" collapsed="false">
      <c r="A22" s="19" t="n">
        <v>46118</v>
      </c>
      <c r="B22" s="6" t="s">
        <v>49</v>
      </c>
      <c r="C22" s="6" t="s">
        <v>149</v>
      </c>
      <c r="D22" s="7" t="n">
        <v>0.3117</v>
      </c>
      <c r="E22" s="6" t="str">
        <f aca="false">IF(D22&gt;Settings!$C$4,"Bullish",IF(D22&lt;-Settings!$C$4,"Bearish","Neutral"))</f>
        <v>Bullish</v>
      </c>
      <c r="F22" s="8" t="n">
        <v>0.53</v>
      </c>
      <c r="G22" s="20" t="n">
        <v>0.0497742692774036</v>
      </c>
      <c r="H22" s="6" t="str">
        <f aca="false">IF(G22="","",IF(G22&gt;0,"Bullish",IF(G22&lt;0,"Bearish","Flat")))</f>
        <v>Bullish</v>
      </c>
      <c r="I22" s="6" t="n">
        <f aca="false">IF(OR(G22="",E22="Neutral"),"",IF(E22=H22,1,0))</f>
        <v>1</v>
      </c>
      <c r="J22" s="6" t="s">
        <v>150</v>
      </c>
      <c r="L22" s="6" t="s">
        <v>38</v>
      </c>
      <c r="M22" s="22" t="str">
        <f aca="false">IFERROR(AVERAGEIFS($I$6:$I$1204,$B$6:$B$1204,L22),"")</f>
        <v/>
      </c>
      <c r="N22" s="4" t="n">
        <f aca="false">COUNTIFS($B$6:$B$1204,L22,$I$6:$I$1204,"&gt;=0")</f>
        <v>0</v>
      </c>
    </row>
    <row r="23" customFormat="false" ht="15" hidden="false" customHeight="false" outlineLevel="0" collapsed="false">
      <c r="A23" s="19" t="n">
        <v>46118</v>
      </c>
      <c r="B23" s="6" t="s">
        <v>43</v>
      </c>
      <c r="C23" s="6" t="s">
        <v>149</v>
      </c>
      <c r="D23" s="7" t="n">
        <v>0.3117</v>
      </c>
      <c r="E23" s="6" t="str">
        <f aca="false">IF(D23&gt;Settings!$C$4,"Bullish",IF(D23&lt;-Settings!$C$4,"Bearish","Neutral"))</f>
        <v>Bullish</v>
      </c>
      <c r="F23" s="8" t="n">
        <v>0.552</v>
      </c>
      <c r="G23" s="20" t="n">
        <v>0.129752250576594</v>
      </c>
      <c r="H23" s="6" t="str">
        <f aca="false">IF(G23="","",IF(G23&gt;0,"Bullish",IF(G23&lt;0,"Bearish","Flat")))</f>
        <v>Bullish</v>
      </c>
      <c r="I23" s="6" t="n">
        <f aca="false">IF(OR(G23="",E23="Neutral"),"",IF(E23=H23,1,0))</f>
        <v>1</v>
      </c>
      <c r="J23" s="6" t="s">
        <v>150</v>
      </c>
      <c r="L23" s="6" t="s">
        <v>43</v>
      </c>
      <c r="M23" s="22" t="n">
        <f aca="false">IFERROR(AVERAGEIFS($I$6:$I$1204,$B$6:$B$1204,L23),"")</f>
        <v>0.25</v>
      </c>
      <c r="N23" s="4" t="n">
        <f aca="false">COUNTIFS($B$6:$B$1204,L23,$I$6:$I$1204,"&gt;=0")</f>
        <v>12</v>
      </c>
    </row>
    <row r="24" customFormat="false" ht="15" hidden="false" customHeight="false" outlineLevel="0" collapsed="false">
      <c r="A24" s="19" t="n">
        <v>46119</v>
      </c>
      <c r="B24" s="6" t="s">
        <v>30</v>
      </c>
      <c r="C24" s="6" t="s">
        <v>149</v>
      </c>
      <c r="D24" s="7" t="n">
        <v>0.2186</v>
      </c>
      <c r="E24" s="6" t="str">
        <f aca="false">IF(D24&gt;Settings!$C$4,"Bullish",IF(D24&lt;-Settings!$C$4,"Bearish","Neutral"))</f>
        <v>Bullish</v>
      </c>
      <c r="F24" s="8" t="n">
        <v>0.531</v>
      </c>
      <c r="G24" s="20" t="n">
        <v>0.0260589164676003</v>
      </c>
      <c r="H24" s="6" t="str">
        <f aca="false">IF(G24="","",IF(G24&gt;0,"Bullish",IF(G24&lt;0,"Bearish","Flat")))</f>
        <v>Bullish</v>
      </c>
      <c r="I24" s="6" t="n">
        <f aca="false">IF(OR(G24="",E24="Neutral"),"",IF(E24=H24,1,0))</f>
        <v>1</v>
      </c>
      <c r="J24" s="6" t="s">
        <v>150</v>
      </c>
      <c r="L24" s="6" t="s">
        <v>37</v>
      </c>
      <c r="M24" s="22" t="str">
        <f aca="false">IFERROR(AVERAGEIFS($I$6:$I$1204,$B$6:$B$1204,L24),"")</f>
        <v/>
      </c>
      <c r="N24" s="4" t="n">
        <f aca="false">COUNTIFS($B$6:$B$1204,L24,$I$6:$I$1204,"&gt;=0")</f>
        <v>0</v>
      </c>
    </row>
    <row r="25" customFormat="false" ht="15" hidden="false" customHeight="false" outlineLevel="0" collapsed="false">
      <c r="A25" s="19" t="n">
        <v>46119</v>
      </c>
      <c r="B25" s="6" t="s">
        <v>18</v>
      </c>
      <c r="C25" s="6" t="s">
        <v>154</v>
      </c>
      <c r="D25" s="7" t="n">
        <v>0.7354</v>
      </c>
      <c r="E25" s="6" t="str">
        <f aca="false">IF(D25&gt;Settings!$C$4,"Bullish",IF(D25&lt;-Settings!$C$4,"Bearish","Neutral"))</f>
        <v>Bullish</v>
      </c>
      <c r="F25" s="8" t="n">
        <v>0.501</v>
      </c>
      <c r="G25" s="20" t="n">
        <v>0.0124766295804927</v>
      </c>
      <c r="H25" s="6" t="str">
        <f aca="false">IF(G25="","",IF(G25&gt;0,"Bullish",IF(G25&lt;0,"Bearish","Flat")))</f>
        <v>Bullish</v>
      </c>
      <c r="I25" s="6" t="n">
        <f aca="false">IF(OR(G25="",E25="Neutral"),"",IF(E25=H25,1,0))</f>
        <v>1</v>
      </c>
      <c r="J25" s="6" t="s">
        <v>150</v>
      </c>
      <c r="L25" s="6" t="s">
        <v>34</v>
      </c>
      <c r="M25" s="22" t="n">
        <f aca="false">IFERROR(AVERAGEIFS($I$6:$I$1204,$B$6:$B$1204,L25),"")</f>
        <v>0.4</v>
      </c>
      <c r="N25" s="4" t="n">
        <f aca="false">COUNTIFS($B$6:$B$1204,L25,$I$6:$I$1204,"&gt;=0")</f>
        <v>10</v>
      </c>
    </row>
    <row r="26" customFormat="false" ht="15" hidden="false" customHeight="false" outlineLevel="0" collapsed="false">
      <c r="A26" s="19" t="n">
        <v>46119</v>
      </c>
      <c r="B26" s="6" t="s">
        <v>18</v>
      </c>
      <c r="C26" s="6" t="s">
        <v>149</v>
      </c>
      <c r="D26" s="7" t="n">
        <v>0.2765</v>
      </c>
      <c r="E26" s="6" t="str">
        <f aca="false">IF(D26&gt;Settings!$C$4,"Bullish",IF(D26&lt;-Settings!$C$4,"Bearish","Neutral"))</f>
        <v>Bullish</v>
      </c>
      <c r="F26" s="8" t="n">
        <v>0.495</v>
      </c>
      <c r="G26" s="20" t="n">
        <v>0.0439582813382548</v>
      </c>
      <c r="H26" s="6" t="str">
        <f aca="false">IF(G26="","",IF(G26&gt;0,"Bullish",IF(G26&lt;0,"Bearish","Flat")))</f>
        <v>Bullish</v>
      </c>
      <c r="I26" s="6" t="n">
        <f aca="false">IF(OR(G26="",E26="Neutral"),"",IF(E26=H26,1,0))</f>
        <v>1</v>
      </c>
      <c r="J26" s="6" t="s">
        <v>150</v>
      </c>
      <c r="L26" s="6" t="s">
        <v>49</v>
      </c>
      <c r="M26" s="22" t="n">
        <f aca="false">IFERROR(AVERAGEIFS($I$6:$I$1204,$B$6:$B$1204,L26),"")</f>
        <v>1</v>
      </c>
      <c r="N26" s="4" t="n">
        <f aca="false">COUNTIFS($B$6:$B$1204,L26,$I$6:$I$1204,"&gt;=0")</f>
        <v>1</v>
      </c>
    </row>
    <row r="27" customFormat="false" ht="15" hidden="false" customHeight="false" outlineLevel="0" collapsed="false">
      <c r="A27" s="19" t="n">
        <v>46120</v>
      </c>
      <c r="B27" s="6" t="s">
        <v>18</v>
      </c>
      <c r="C27" s="6" t="s">
        <v>154</v>
      </c>
      <c r="D27" s="7" t="n">
        <v>0.8145</v>
      </c>
      <c r="E27" s="6" t="str">
        <f aca="false">IF(D27&gt;Settings!$C$4,"Bullish",IF(D27&lt;-Settings!$C$4,"Bearish","Neutral"))</f>
        <v>Bullish</v>
      </c>
      <c r="F27" s="8" t="n">
        <v>0.501</v>
      </c>
      <c r="G27" s="20" t="n">
        <v>0.0059609769798134</v>
      </c>
      <c r="H27" s="6" t="str">
        <f aca="false">IF(G27="","",IF(G27&gt;0,"Bullish",IF(G27&lt;0,"Bearish","Flat")))</f>
        <v>Bullish</v>
      </c>
      <c r="I27" s="6" t="n">
        <f aca="false">IF(OR(G27="",E27="Neutral"),"",IF(E27=H27,1,0))</f>
        <v>1</v>
      </c>
      <c r="J27" s="6" t="s">
        <v>150</v>
      </c>
      <c r="L27" s="6" t="s">
        <v>50</v>
      </c>
      <c r="M27" s="22" t="str">
        <f aca="false">IFERROR(AVERAGEIFS($I$6:$I$1204,$B$6:$B$1204,L27),"")</f>
        <v/>
      </c>
      <c r="N27" s="4" t="n">
        <f aca="false">COUNTIFS($B$6:$B$1204,L27,$I$6:$I$1204,"&gt;=0")</f>
        <v>0</v>
      </c>
    </row>
    <row r="28" customFormat="false" ht="15" hidden="false" customHeight="false" outlineLevel="0" collapsed="false">
      <c r="A28" s="19" t="n">
        <v>46120</v>
      </c>
      <c r="B28" s="6" t="s">
        <v>18</v>
      </c>
      <c r="C28" s="6" t="s">
        <v>149</v>
      </c>
      <c r="D28" s="7" t="n">
        <v>0.0424</v>
      </c>
      <c r="E28" s="6" t="str">
        <f aca="false">IF(D28&gt;Settings!$C$4,"Bullish",IF(D28&lt;-Settings!$C$4,"Bearish","Neutral"))</f>
        <v>Neutral</v>
      </c>
      <c r="F28" s="8"/>
      <c r="G28" s="20" t="n">
        <v>0.0157680836213562</v>
      </c>
      <c r="H28" s="6" t="str">
        <f aca="false">IF(G28="","",IF(G28&gt;0,"Bullish",IF(G28&lt;0,"Bearish","Flat")))</f>
        <v>Bullish</v>
      </c>
      <c r="I28" s="6" t="str">
        <f aca="false">IF(OR(G28="",E28="Neutral"),"",IF(E28=H28,1,0))</f>
        <v/>
      </c>
      <c r="J28" s="6" t="s">
        <v>150</v>
      </c>
      <c r="L28" s="6" t="s">
        <v>51</v>
      </c>
      <c r="M28" s="22" t="n">
        <f aca="false">IFERROR(AVERAGEIFS($I$6:$I$1204,$B$6:$B$1204,L28),"")</f>
        <v>0.525423728813559</v>
      </c>
      <c r="N28" s="4" t="n">
        <f aca="false">COUNTIFS($B$6:$B$1204,L28,$I$6:$I$1204,"&gt;=0")</f>
        <v>59</v>
      </c>
    </row>
    <row r="29" customFormat="false" ht="15" hidden="false" customHeight="false" outlineLevel="0" collapsed="false">
      <c r="A29" s="19" t="n">
        <v>46121</v>
      </c>
      <c r="B29" s="6" t="s">
        <v>18</v>
      </c>
      <c r="C29" s="6" t="s">
        <v>154</v>
      </c>
      <c r="D29" s="7" t="n">
        <v>-0.3482</v>
      </c>
      <c r="E29" s="6" t="str">
        <f aca="false">IF(D29&gt;Settings!$C$4,"Bullish",IF(D29&lt;-Settings!$C$4,"Bearish","Neutral"))</f>
        <v>Bearish</v>
      </c>
      <c r="F29" s="8" t="n">
        <v>0.529</v>
      </c>
      <c r="G29" s="20" t="n">
        <v>-0.0056024810688839</v>
      </c>
      <c r="H29" s="6" t="str">
        <f aca="false">IF(G29="","",IF(G29&gt;0,"Bullish",IF(G29&lt;0,"Bearish","Flat")))</f>
        <v>Bearish</v>
      </c>
      <c r="I29" s="6" t="n">
        <f aca="false">IF(OR(G29="",E29="Neutral"),"",IF(E29=H29,1,0))</f>
        <v>1</v>
      </c>
      <c r="J29" s="6" t="s">
        <v>150</v>
      </c>
      <c r="L29" s="6" t="s">
        <v>52</v>
      </c>
      <c r="M29" s="22" t="str">
        <f aca="false">IFERROR(AVERAGEIFS($I$6:$I$1204,$B$6:$B$1204,L29),"")</f>
        <v/>
      </c>
      <c r="N29" s="4" t="n">
        <f aca="false">COUNTIFS($B$6:$B$1204,L29,$I$6:$I$1204,"&gt;=0")</f>
        <v>0</v>
      </c>
    </row>
    <row r="30" customFormat="false" ht="15" hidden="false" customHeight="false" outlineLevel="0" collapsed="false">
      <c r="A30" s="19" t="n">
        <v>46121</v>
      </c>
      <c r="B30" s="6" t="s">
        <v>18</v>
      </c>
      <c r="C30" s="6" t="s">
        <v>149</v>
      </c>
      <c r="D30" s="7" t="n">
        <v>-0.1055</v>
      </c>
      <c r="E30" s="6" t="str">
        <f aca="false">IF(D30&gt;Settings!$C$4,"Bullish",IF(D30&lt;-Settings!$C$4,"Bearish","Neutral"))</f>
        <v>Neutral</v>
      </c>
      <c r="F30" s="8"/>
      <c r="G30" s="20" t="n">
        <v>0.0120331004368638</v>
      </c>
      <c r="H30" s="6" t="str">
        <f aca="false">IF(G30="","",IF(G30&gt;0,"Bullish",IF(G30&lt;0,"Bearish","Flat")))</f>
        <v>Bullish</v>
      </c>
      <c r="I30" s="6" t="str">
        <f aca="false">IF(OR(G30="",E30="Neutral"),"",IF(E30=H30,1,0))</f>
        <v/>
      </c>
      <c r="J30" s="6" t="s">
        <v>150</v>
      </c>
      <c r="L30" s="6" t="s">
        <v>53</v>
      </c>
      <c r="M30" s="22" t="n">
        <f aca="false">IFERROR(AVERAGEIFS($I$6:$I$1204,$B$6:$B$1204,L30),"")</f>
        <v>0.486486486486487</v>
      </c>
      <c r="N30" s="4" t="n">
        <f aca="false">COUNTIFS($B$6:$B$1204,L30,$I$6:$I$1204,"&gt;=0")</f>
        <v>37</v>
      </c>
    </row>
    <row r="31" customFormat="false" ht="15" hidden="false" customHeight="false" outlineLevel="0" collapsed="false">
      <c r="A31" s="19" t="n">
        <v>46122</v>
      </c>
      <c r="B31" s="6" t="s">
        <v>35</v>
      </c>
      <c r="C31" s="6" t="s">
        <v>149</v>
      </c>
      <c r="D31" s="7" t="n">
        <v>0.2131</v>
      </c>
      <c r="E31" s="6" t="str">
        <f aca="false">IF(D31&gt;Settings!$C$4,"Bullish",IF(D31&lt;-Settings!$C$4,"Bearish","Neutral"))</f>
        <v>Bullish</v>
      </c>
      <c r="F31" s="8" t="n">
        <v>0.563</v>
      </c>
      <c r="G31" s="20" t="n">
        <v>0.0087684943084067</v>
      </c>
      <c r="H31" s="6" t="str">
        <f aca="false">IF(G31="","",IF(G31&gt;0,"Bullish",IF(G31&lt;0,"Bearish","Flat")))</f>
        <v>Bullish</v>
      </c>
      <c r="I31" s="6" t="n">
        <f aca="false">IF(OR(G31="",E31="Neutral"),"",IF(E31=H31,1,0))</f>
        <v>1</v>
      </c>
      <c r="J31" s="6" t="s">
        <v>150</v>
      </c>
    </row>
    <row r="32" customFormat="false" ht="15" hidden="false" customHeight="false" outlineLevel="0" collapsed="false">
      <c r="A32" s="19" t="n">
        <v>46122</v>
      </c>
      <c r="B32" s="6" t="s">
        <v>18</v>
      </c>
      <c r="C32" s="6" t="s">
        <v>154</v>
      </c>
      <c r="D32" s="7" t="n">
        <v>0.0841</v>
      </c>
      <c r="E32" s="6" t="str">
        <f aca="false">IF(D32&gt;Settings!$C$4,"Bullish",IF(D32&lt;-Settings!$C$4,"Bearish","Neutral"))</f>
        <v>Neutral</v>
      </c>
      <c r="F32" s="8"/>
      <c r="G32" s="20" t="n">
        <v>0.0071208577691888</v>
      </c>
      <c r="H32" s="6" t="str">
        <f aca="false">IF(G32="","",IF(G32&gt;0,"Bullish",IF(G32&lt;0,"Bearish","Flat")))</f>
        <v>Bullish</v>
      </c>
      <c r="I32" s="6" t="str">
        <f aca="false">IF(OR(G32="",E32="Neutral"),"",IF(E32=H32,1,0))</f>
        <v/>
      </c>
      <c r="J32" s="6" t="s">
        <v>150</v>
      </c>
    </row>
    <row r="33" customFormat="false" ht="15" hidden="false" customHeight="false" outlineLevel="0" collapsed="false">
      <c r="A33" s="19" t="n">
        <v>46122</v>
      </c>
      <c r="B33" s="6" t="s">
        <v>18</v>
      </c>
      <c r="C33" s="6" t="s">
        <v>149</v>
      </c>
      <c r="D33" s="7" t="n">
        <v>-0.2617</v>
      </c>
      <c r="E33" s="6" t="str">
        <f aca="false">IF(D33&gt;Settings!$C$4,"Bullish",IF(D33&lt;-Settings!$C$4,"Bearish","Neutral"))</f>
        <v>Bearish</v>
      </c>
      <c r="F33" s="8" t="n">
        <v>0.495</v>
      </c>
      <c r="G33" s="20" t="n">
        <v>0.019806913994862</v>
      </c>
      <c r="H33" s="6" t="str">
        <f aca="false">IF(G33="","",IF(G33&gt;0,"Bullish",IF(G33&lt;0,"Bearish","Flat")))</f>
        <v>Bullish</v>
      </c>
      <c r="I33" s="6" t="n">
        <f aca="false">IF(OR(G33="",E33="Neutral"),"",IF(E33=H33,1,0))</f>
        <v>0</v>
      </c>
      <c r="J33" s="6" t="s">
        <v>150</v>
      </c>
    </row>
    <row r="34" customFormat="false" ht="15" hidden="false" customHeight="false" outlineLevel="0" collapsed="false">
      <c r="A34" s="19" t="n">
        <v>46125</v>
      </c>
      <c r="B34" s="6" t="s">
        <v>34</v>
      </c>
      <c r="C34" s="6" t="s">
        <v>149</v>
      </c>
      <c r="D34" s="7" t="n">
        <v>-0.4131</v>
      </c>
      <c r="E34" s="6" t="str">
        <f aca="false">IF(D34&gt;Settings!$C$4,"Bullish",IF(D34&lt;-Settings!$C$4,"Bearish","Neutral"))</f>
        <v>Bearish</v>
      </c>
      <c r="F34" s="8" t="n">
        <v>0.551</v>
      </c>
      <c r="G34" s="20" t="n">
        <v>0.0461344184088676</v>
      </c>
      <c r="H34" s="6" t="str">
        <f aca="false">IF(G34="","",IF(G34&gt;0,"Bullish",IF(G34&lt;0,"Bearish","Flat")))</f>
        <v>Bullish</v>
      </c>
      <c r="I34" s="6" t="n">
        <f aca="false">IF(OR(G34="",E34="Neutral"),"",IF(E34=H34,1,0))</f>
        <v>0</v>
      </c>
      <c r="J34" s="6" t="s">
        <v>150</v>
      </c>
    </row>
    <row r="35" customFormat="false" ht="15" hidden="false" customHeight="false" outlineLevel="0" collapsed="false">
      <c r="A35" s="19" t="n">
        <v>46125</v>
      </c>
      <c r="B35" s="6" t="s">
        <v>53</v>
      </c>
      <c r="C35" s="6" t="s">
        <v>154</v>
      </c>
      <c r="D35" s="7" t="n">
        <v>-0.4162</v>
      </c>
      <c r="E35" s="6" t="str">
        <f aca="false">IF(D35&gt;Settings!$C$4,"Bullish",IF(D35&lt;-Settings!$C$4,"Bearish","Neutral"))</f>
        <v>Bearish</v>
      </c>
      <c r="F35" s="8" t="n">
        <v>0.535</v>
      </c>
      <c r="G35" s="20" t="n">
        <v>0.0568181818181818</v>
      </c>
      <c r="H35" s="6" t="str">
        <f aca="false">IF(G35="","",IF(G35&gt;0,"Bullish",IF(G35&lt;0,"Bearish","Flat")))</f>
        <v>Bullish</v>
      </c>
      <c r="I35" s="6" t="n">
        <f aca="false">IF(OR(G35="",E35="Neutral"),"",IF(E35=H35,1,0))</f>
        <v>0</v>
      </c>
      <c r="J35" s="6" t="s">
        <v>150</v>
      </c>
    </row>
    <row r="36" customFormat="false" ht="15" hidden="false" customHeight="false" outlineLevel="0" collapsed="false">
      <c r="A36" s="19" t="n">
        <v>46125</v>
      </c>
      <c r="B36" s="6" t="s">
        <v>18</v>
      </c>
      <c r="C36" s="6" t="s">
        <v>154</v>
      </c>
      <c r="D36" s="7" t="n">
        <v>-0.8994</v>
      </c>
      <c r="E36" s="6" t="str">
        <f aca="false">IF(D36&gt;Settings!$C$4,"Bullish",IF(D36&lt;-Settings!$C$4,"Bearish","Neutral"))</f>
        <v>Bearish</v>
      </c>
      <c r="F36" s="8" t="n">
        <v>0.501</v>
      </c>
      <c r="G36" s="20" t="n">
        <v>0.0107271848611254</v>
      </c>
      <c r="H36" s="6" t="str">
        <f aca="false">IF(G36="","",IF(G36&gt;0,"Bullish",IF(G36&lt;0,"Bearish","Flat")))</f>
        <v>Bullish</v>
      </c>
      <c r="I36" s="6" t="n">
        <f aca="false">IF(OR(G36="",E36="Neutral"),"",IF(E36=H36,1,0))</f>
        <v>0</v>
      </c>
      <c r="J36" s="6" t="s">
        <v>150</v>
      </c>
    </row>
    <row r="37" customFormat="false" ht="15" hidden="false" customHeight="false" outlineLevel="0" collapsed="false">
      <c r="A37" s="19" t="n">
        <v>46125</v>
      </c>
      <c r="B37" s="6" t="s">
        <v>18</v>
      </c>
      <c r="C37" s="6" t="s">
        <v>149</v>
      </c>
      <c r="D37" s="7" t="n">
        <v>-0.5011</v>
      </c>
      <c r="E37" s="6" t="str">
        <f aca="false">IF(D37&gt;Settings!$C$4,"Bullish",IF(D37&lt;-Settings!$C$4,"Bearish","Neutral"))</f>
        <v>Bearish</v>
      </c>
      <c r="F37" s="8" t="n">
        <v>0.476</v>
      </c>
      <c r="G37" s="20" t="n">
        <v>0.0328640587377488</v>
      </c>
      <c r="H37" s="6" t="str">
        <f aca="false">IF(G37="","",IF(G37&gt;0,"Bullish",IF(G37&lt;0,"Bearish","Flat")))</f>
        <v>Bullish</v>
      </c>
      <c r="I37" s="6" t="n">
        <f aca="false">IF(OR(G37="",E37="Neutral"),"",IF(E37=H37,1,0))</f>
        <v>0</v>
      </c>
      <c r="J37" s="6" t="s">
        <v>150</v>
      </c>
    </row>
    <row r="38" customFormat="false" ht="15" hidden="false" customHeight="false" outlineLevel="0" collapsed="false">
      <c r="A38" s="19" t="n">
        <v>46126</v>
      </c>
      <c r="B38" s="6" t="s">
        <v>34</v>
      </c>
      <c r="C38" s="6" t="s">
        <v>149</v>
      </c>
      <c r="D38" s="7" t="n">
        <v>-0.4667</v>
      </c>
      <c r="E38" s="6" t="str">
        <f aca="false">IF(D38&gt;Settings!$C$4,"Bullish",IF(D38&lt;-Settings!$C$4,"Bearish","Neutral"))</f>
        <v>Bearish</v>
      </c>
      <c r="F38" s="8" t="n">
        <v>0.551</v>
      </c>
      <c r="G38" s="20"/>
      <c r="H38" s="6" t="str">
        <f aca="false">IF(G38="","",IF(G38&gt;0,"Bullish",IF(G38&lt;0,"Bearish","Flat")))</f>
        <v/>
      </c>
      <c r="I38" s="6" t="str">
        <f aca="false">IF(OR(G38="",E38="Neutral"),"",IF(E38=H38,1,0))</f>
        <v/>
      </c>
      <c r="J38" s="6" t="s">
        <v>150</v>
      </c>
    </row>
    <row r="39" customFormat="false" ht="15" hidden="false" customHeight="false" outlineLevel="0" collapsed="false">
      <c r="A39" s="19" t="n">
        <v>46126</v>
      </c>
      <c r="B39" s="6" t="s">
        <v>53</v>
      </c>
      <c r="C39" s="6" t="s">
        <v>154</v>
      </c>
      <c r="D39" s="7" t="n">
        <v>-0.4348</v>
      </c>
      <c r="E39" s="6" t="str">
        <f aca="false">IF(D39&gt;Settings!$C$4,"Bullish",IF(D39&lt;-Settings!$C$4,"Bearish","Neutral"))</f>
        <v>Bearish</v>
      </c>
      <c r="F39" s="8" t="n">
        <v>0.535</v>
      </c>
      <c r="G39" s="20" t="n">
        <v>0</v>
      </c>
      <c r="H39" s="6" t="str">
        <f aca="false">IF(G39="","",IF(G39&gt;0,"Bullish",IF(G39&lt;0,"Bearish","Flat")))</f>
        <v>Flat</v>
      </c>
      <c r="I39" s="6" t="n">
        <f aca="false">IF(OR(G39="",E39="Neutral"),"",IF(E39=H39,1,0))</f>
        <v>0</v>
      </c>
      <c r="J39" s="6" t="s">
        <v>150</v>
      </c>
    </row>
    <row r="40" customFormat="false" ht="15" hidden="false" customHeight="false" outlineLevel="0" collapsed="false">
      <c r="A40" s="19" t="n">
        <v>46126</v>
      </c>
      <c r="B40" s="6" t="s">
        <v>18</v>
      </c>
      <c r="C40" s="6" t="s">
        <v>154</v>
      </c>
      <c r="D40" s="7" t="n">
        <v>-0.657</v>
      </c>
      <c r="E40" s="6" t="str">
        <f aca="false">IF(D40&gt;Settings!$C$4,"Bullish",IF(D40&lt;-Settings!$C$4,"Bearish","Neutral"))</f>
        <v>Bearish</v>
      </c>
      <c r="F40" s="8" t="n">
        <v>0.501</v>
      </c>
      <c r="G40" s="20"/>
      <c r="H40" s="6" t="str">
        <f aca="false">IF(G40="","",IF(G40&gt;0,"Bullish",IF(G40&lt;0,"Bearish","Flat")))</f>
        <v/>
      </c>
      <c r="I40" s="6" t="str">
        <f aca="false">IF(OR(G40="",E40="Neutral"),"",IF(E40=H40,1,0))</f>
        <v/>
      </c>
      <c r="J40" s="6" t="s">
        <v>150</v>
      </c>
    </row>
    <row r="41" customFormat="false" ht="15" hidden="false" customHeight="false" outlineLevel="0" collapsed="false">
      <c r="A41" s="19" t="n">
        <v>46126</v>
      </c>
      <c r="B41" s="6" t="s">
        <v>18</v>
      </c>
      <c r="C41" s="6" t="s">
        <v>149</v>
      </c>
      <c r="D41" s="7" t="n">
        <v>-0.6473</v>
      </c>
      <c r="E41" s="6" t="str">
        <f aca="false">IF(D41&gt;Settings!$C$4,"Bullish",IF(D41&lt;-Settings!$C$4,"Bearish","Neutral"))</f>
        <v>Bearish</v>
      </c>
      <c r="F41" s="8" t="n">
        <v>0.476</v>
      </c>
      <c r="G41" s="20"/>
      <c r="H41" s="6" t="str">
        <f aca="false">IF(G41="","",IF(G41&gt;0,"Bullish",IF(G41&lt;0,"Bearish","Flat")))</f>
        <v/>
      </c>
      <c r="I41" s="6" t="str">
        <f aca="false">IF(OR(G41="",E41="Neutral"),"",IF(E41=H41,1,0))</f>
        <v/>
      </c>
      <c r="J41" s="6" t="s">
        <v>150</v>
      </c>
    </row>
    <row r="42" customFormat="false" ht="15" hidden="false" customHeight="false" outlineLevel="0" collapsed="false">
      <c r="A42" s="19" t="n">
        <v>46126</v>
      </c>
      <c r="B42" s="6" t="s">
        <v>43</v>
      </c>
      <c r="C42" s="6" t="s">
        <v>149</v>
      </c>
      <c r="D42" s="7" t="n">
        <v>-0.3443</v>
      </c>
      <c r="E42" s="6" t="str">
        <f aca="false">IF(D42&gt;Settings!$C$4,"Bullish",IF(D42&lt;-Settings!$C$4,"Bearish","Neutral"))</f>
        <v>Bearish</v>
      </c>
      <c r="F42" s="8" t="n">
        <v>0.552</v>
      </c>
      <c r="G42" s="20"/>
      <c r="H42" s="6" t="str">
        <f aca="false">IF(G42="","",IF(G42&gt;0,"Bullish",IF(G42&lt;0,"Bearish","Flat")))</f>
        <v/>
      </c>
      <c r="I42" s="6" t="str">
        <f aca="false">IF(OR(G42="",E42="Neutral"),"",IF(E42=H42,1,0))</f>
        <v/>
      </c>
      <c r="J42" s="6" t="s">
        <v>150</v>
      </c>
    </row>
    <row r="43" customFormat="false" ht="15" hidden="false" customHeight="false" outlineLevel="0" collapsed="false">
      <c r="A43" s="19" t="n">
        <v>46127</v>
      </c>
      <c r="B43" s="6" t="s">
        <v>34</v>
      </c>
      <c r="C43" s="6" t="s">
        <v>149</v>
      </c>
      <c r="D43" s="7" t="n">
        <v>-0.4005</v>
      </c>
      <c r="E43" s="6" t="str">
        <f aca="false">IF(D43&gt;Settings!$C$4,"Bullish",IF(D43&lt;-Settings!$C$4,"Bearish","Neutral"))</f>
        <v>Bearish</v>
      </c>
      <c r="F43" s="8" t="n">
        <v>0.551</v>
      </c>
      <c r="G43" s="20" t="n">
        <v>0.0186751482738152</v>
      </c>
      <c r="H43" s="6" t="str">
        <f aca="false">IF(G43="","",IF(G43&gt;0,"Bullish",IF(G43&lt;0,"Bearish","Flat")))</f>
        <v>Bullish</v>
      </c>
      <c r="I43" s="6" t="n">
        <f aca="false">IF(OR(G43="",E43="Neutral"),"",IF(E43=H43,1,0))</f>
        <v>0</v>
      </c>
      <c r="J43" s="6" t="s">
        <v>150</v>
      </c>
    </row>
    <row r="44" customFormat="false" ht="15" hidden="false" customHeight="false" outlineLevel="0" collapsed="false">
      <c r="A44" s="19" t="n">
        <v>46127</v>
      </c>
      <c r="B44" s="6" t="s">
        <v>18</v>
      </c>
      <c r="C44" s="6" t="s">
        <v>154</v>
      </c>
      <c r="D44" s="7" t="n">
        <v>0.0997</v>
      </c>
      <c r="E44" s="6" t="str">
        <f aca="false">IF(D44&gt;Settings!$C$4,"Bullish",IF(D44&lt;-Settings!$C$4,"Bearish","Neutral"))</f>
        <v>Neutral</v>
      </c>
      <c r="F44" s="8"/>
      <c r="G44" s="20" t="n">
        <v>0.0027934348074392</v>
      </c>
      <c r="H44" s="6" t="str">
        <f aca="false">IF(G44="","",IF(G44&gt;0,"Bullish",IF(G44&lt;0,"Bearish","Flat")))</f>
        <v>Bullish</v>
      </c>
      <c r="I44" s="6" t="str">
        <f aca="false">IF(OR(G44="",E44="Neutral"),"",IF(E44=H44,1,0))</f>
        <v/>
      </c>
      <c r="J44" s="6" t="s">
        <v>150</v>
      </c>
    </row>
    <row r="45" customFormat="false" ht="15" hidden="false" customHeight="false" outlineLevel="0" collapsed="false">
      <c r="A45" s="19" t="n">
        <v>46127</v>
      </c>
      <c r="B45" s="6" t="s">
        <v>18</v>
      </c>
      <c r="C45" s="6" t="s">
        <v>149</v>
      </c>
      <c r="D45" s="7" t="n">
        <v>-0.5972</v>
      </c>
      <c r="E45" s="6" t="str">
        <f aca="false">IF(D45&gt;Settings!$C$4,"Bullish",IF(D45&lt;-Settings!$C$4,"Bearish","Neutral"))</f>
        <v>Bearish</v>
      </c>
      <c r="F45" s="8" t="n">
        <v>0.476</v>
      </c>
      <c r="G45" s="20" t="n">
        <v>0.0170834057557172</v>
      </c>
      <c r="H45" s="6" t="str">
        <f aca="false">IF(G45="","",IF(G45&gt;0,"Bullish",IF(G45&lt;0,"Bearish","Flat")))</f>
        <v>Bullish</v>
      </c>
      <c r="I45" s="6" t="n">
        <f aca="false">IF(OR(G45="",E45="Neutral"),"",IF(E45=H45,1,0))</f>
        <v>0</v>
      </c>
      <c r="J45" s="6" t="s">
        <v>150</v>
      </c>
    </row>
    <row r="46" customFormat="false" ht="15" hidden="false" customHeight="false" outlineLevel="0" collapsed="false">
      <c r="A46" s="19" t="n">
        <v>46127</v>
      </c>
      <c r="B46" s="6" t="s">
        <v>43</v>
      </c>
      <c r="C46" s="6" t="s">
        <v>149</v>
      </c>
      <c r="D46" s="7" t="n">
        <v>-0.3604</v>
      </c>
      <c r="E46" s="6" t="str">
        <f aca="false">IF(D46&gt;Settings!$C$4,"Bullish",IF(D46&lt;-Settings!$C$4,"Bearish","Neutral"))</f>
        <v>Bearish</v>
      </c>
      <c r="F46" s="8" t="n">
        <v>0.552</v>
      </c>
      <c r="G46" s="20" t="n">
        <v>0.0366645035691108</v>
      </c>
      <c r="H46" s="6" t="str">
        <f aca="false">IF(G46="","",IF(G46&gt;0,"Bullish",IF(G46&lt;0,"Bearish","Flat")))</f>
        <v>Bullish</v>
      </c>
      <c r="I46" s="6" t="n">
        <f aca="false">IF(OR(G46="",E46="Neutral"),"",IF(E46=H46,1,0))</f>
        <v>0</v>
      </c>
      <c r="J46" s="6" t="s">
        <v>150</v>
      </c>
    </row>
    <row r="47" customFormat="false" ht="15" hidden="false" customHeight="false" outlineLevel="0" collapsed="false">
      <c r="A47" s="19" t="n">
        <v>46128</v>
      </c>
      <c r="B47" s="6" t="s">
        <v>34</v>
      </c>
      <c r="C47" s="6" t="s">
        <v>149</v>
      </c>
      <c r="D47" s="7" t="n">
        <v>-0.3348</v>
      </c>
      <c r="E47" s="6" t="str">
        <f aca="false">IF(D47&gt;Settings!$C$4,"Bullish",IF(D47&lt;-Settings!$C$4,"Bearish","Neutral"))</f>
        <v>Bearish</v>
      </c>
      <c r="F47" s="8" t="n">
        <v>0.551</v>
      </c>
      <c r="G47" s="20" t="n">
        <v>0.0067167148864772</v>
      </c>
      <c r="H47" s="6" t="str">
        <f aca="false">IF(G47="","",IF(G47&gt;0,"Bullish",IF(G47&lt;0,"Bearish","Flat")))</f>
        <v>Bullish</v>
      </c>
      <c r="I47" s="6" t="n">
        <f aca="false">IF(OR(G47="",E47="Neutral"),"",IF(E47=H47,1,0))</f>
        <v>0</v>
      </c>
      <c r="J47" s="6" t="s">
        <v>150</v>
      </c>
    </row>
    <row r="48" customFormat="false" ht="15" hidden="false" customHeight="false" outlineLevel="0" collapsed="false">
      <c r="A48" s="19" t="n">
        <v>46128</v>
      </c>
      <c r="B48" s="6" t="s">
        <v>18</v>
      </c>
      <c r="C48" s="6" t="s">
        <v>154</v>
      </c>
      <c r="D48" s="7" t="n">
        <v>-0.7496</v>
      </c>
      <c r="E48" s="6" t="str">
        <f aca="false">IF(D48&gt;Settings!$C$4,"Bullish",IF(D48&lt;-Settings!$C$4,"Bearish","Neutral"))</f>
        <v>Bearish</v>
      </c>
      <c r="F48" s="8" t="n">
        <v>0.501</v>
      </c>
      <c r="G48" s="20" t="n">
        <v>-0.0077280481603595</v>
      </c>
      <c r="H48" s="6" t="str">
        <f aca="false">IF(G48="","",IF(G48&gt;0,"Bullish",IF(G48&lt;0,"Bearish","Flat")))</f>
        <v>Bearish</v>
      </c>
      <c r="I48" s="6" t="n">
        <f aca="false">IF(OR(G48="",E48="Neutral"),"",IF(E48=H48,1,0))</f>
        <v>1</v>
      </c>
      <c r="J48" s="6" t="s">
        <v>150</v>
      </c>
    </row>
    <row r="49" customFormat="false" ht="15" hidden="false" customHeight="false" outlineLevel="0" collapsed="false">
      <c r="A49" s="19" t="n">
        <v>46128</v>
      </c>
      <c r="B49" s="6" t="s">
        <v>18</v>
      </c>
      <c r="C49" s="6" t="s">
        <v>149</v>
      </c>
      <c r="D49" s="7" t="n">
        <v>-0.6306</v>
      </c>
      <c r="E49" s="6" t="str">
        <f aca="false">IF(D49&gt;Settings!$C$4,"Bullish",IF(D49&lt;-Settings!$C$4,"Bearish","Neutral"))</f>
        <v>Bearish</v>
      </c>
      <c r="F49" s="8" t="n">
        <v>0.476</v>
      </c>
      <c r="G49" s="20" t="n">
        <v>-0.0002911602119318</v>
      </c>
      <c r="H49" s="6" t="str">
        <f aca="false">IF(G49="","",IF(G49&gt;0,"Bullish",IF(G49&lt;0,"Bearish","Flat")))</f>
        <v>Bearish</v>
      </c>
      <c r="I49" s="6" t="n">
        <f aca="false">IF(OR(G49="",E49="Neutral"),"",IF(E49=H49,1,0))</f>
        <v>1</v>
      </c>
      <c r="J49" s="6" t="s">
        <v>150</v>
      </c>
    </row>
    <row r="50" customFormat="false" ht="15" hidden="false" customHeight="false" outlineLevel="0" collapsed="false">
      <c r="A50" s="19" t="n">
        <v>46128</v>
      </c>
      <c r="B50" s="6" t="s">
        <v>43</v>
      </c>
      <c r="C50" s="6" t="s">
        <v>149</v>
      </c>
      <c r="D50" s="7" t="n">
        <v>-0.3766</v>
      </c>
      <c r="E50" s="6" t="str">
        <f aca="false">IF(D50&gt;Settings!$C$4,"Bullish",IF(D50&lt;-Settings!$C$4,"Bearish","Neutral"))</f>
        <v>Bearish</v>
      </c>
      <c r="F50" s="8" t="n">
        <v>0.552</v>
      </c>
      <c r="G50" s="20" t="n">
        <v>0.0246811224489795</v>
      </c>
      <c r="H50" s="6" t="str">
        <f aca="false">IF(G50="","",IF(G50&gt;0,"Bullish",IF(G50&lt;0,"Bearish","Flat")))</f>
        <v>Bullish</v>
      </c>
      <c r="I50" s="6" t="n">
        <f aca="false">IF(OR(G50="",E50="Neutral"),"",IF(E50=H50,1,0))</f>
        <v>0</v>
      </c>
      <c r="J50" s="6" t="s">
        <v>150</v>
      </c>
    </row>
    <row r="51" customFormat="false" ht="15" hidden="false" customHeight="false" outlineLevel="0" collapsed="false">
      <c r="A51" s="19" t="n">
        <v>46129</v>
      </c>
      <c r="B51" s="6" t="s">
        <v>22</v>
      </c>
      <c r="C51" s="6" t="s">
        <v>154</v>
      </c>
      <c r="D51" s="7" t="n">
        <v>-0.4357</v>
      </c>
      <c r="E51" s="6" t="str">
        <f aca="false">IF(D51&gt;Settings!$C$4,"Bullish",IF(D51&lt;-Settings!$C$4,"Bearish","Neutral"))</f>
        <v>Bearish</v>
      </c>
      <c r="F51" s="8" t="n">
        <v>0.533</v>
      </c>
      <c r="G51" s="20" t="n">
        <v>0.0087975545901368</v>
      </c>
      <c r="H51" s="6" t="str">
        <f aca="false">IF(G51="","",IF(G51&gt;0,"Bullish",IF(G51&lt;0,"Bearish","Flat")))</f>
        <v>Bullish</v>
      </c>
      <c r="I51" s="6" t="n">
        <f aca="false">IF(OR(G51="",E51="Neutral"),"",IF(E51=H51,1,0))</f>
        <v>0</v>
      </c>
      <c r="J51" s="6" t="s">
        <v>150</v>
      </c>
    </row>
    <row r="52" customFormat="false" ht="15" hidden="false" customHeight="false" outlineLevel="0" collapsed="false">
      <c r="A52" s="19" t="n">
        <v>46129</v>
      </c>
      <c r="B52" s="6" t="s">
        <v>53</v>
      </c>
      <c r="C52" s="6" t="s">
        <v>154</v>
      </c>
      <c r="D52" s="7" t="n">
        <v>-0.3612</v>
      </c>
      <c r="E52" s="6" t="str">
        <f aca="false">IF(D52&gt;Settings!$C$4,"Bullish",IF(D52&lt;-Settings!$C$4,"Bearish","Neutral"))</f>
        <v>Bearish</v>
      </c>
      <c r="F52" s="8" t="n">
        <v>0.535</v>
      </c>
      <c r="G52" s="20" t="n">
        <v>-0.0251798561151078</v>
      </c>
      <c r="H52" s="6" t="str">
        <f aca="false">IF(G52="","",IF(G52&gt;0,"Bullish",IF(G52&lt;0,"Bearish","Flat")))</f>
        <v>Bearish</v>
      </c>
      <c r="I52" s="6" t="n">
        <f aca="false">IF(OR(G52="",E52="Neutral"),"",IF(E52=H52,1,0))</f>
        <v>1</v>
      </c>
      <c r="J52" s="6" t="s">
        <v>150</v>
      </c>
    </row>
    <row r="53" customFormat="false" ht="15" hidden="false" customHeight="false" outlineLevel="0" collapsed="false">
      <c r="A53" s="19" t="n">
        <v>46129</v>
      </c>
      <c r="B53" s="6" t="s">
        <v>18</v>
      </c>
      <c r="C53" s="6" t="s">
        <v>154</v>
      </c>
      <c r="D53" s="7" t="n">
        <v>-0.6099</v>
      </c>
      <c r="E53" s="6" t="str">
        <f aca="false">IF(D53&gt;Settings!$C$4,"Bullish",IF(D53&lt;-Settings!$C$4,"Bearish","Neutral"))</f>
        <v>Bearish</v>
      </c>
      <c r="F53" s="8" t="n">
        <v>0.501</v>
      </c>
      <c r="G53" s="20" t="n">
        <v>0.0077650739264831</v>
      </c>
      <c r="H53" s="6" t="str">
        <f aca="false">IF(G53="","",IF(G53&gt;0,"Bullish",IF(G53&lt;0,"Bearish","Flat")))</f>
        <v>Bullish</v>
      </c>
      <c r="I53" s="6" t="n">
        <f aca="false">IF(OR(G53="",E53="Neutral"),"",IF(E53=H53,1,0))</f>
        <v>0</v>
      </c>
      <c r="J53" s="6" t="s">
        <v>150</v>
      </c>
    </row>
    <row r="54" customFormat="false" ht="15" hidden="false" customHeight="false" outlineLevel="0" collapsed="false">
      <c r="A54" s="19" t="n">
        <v>46129</v>
      </c>
      <c r="B54" s="6" t="s">
        <v>18</v>
      </c>
      <c r="C54" s="6" t="s">
        <v>149</v>
      </c>
      <c r="D54" s="7" t="n">
        <v>-0.6543</v>
      </c>
      <c r="E54" s="6" t="str">
        <f aca="false">IF(D54&gt;Settings!$C$4,"Bullish",IF(D54&lt;-Settings!$C$4,"Bearish","Neutral"))</f>
        <v>Bearish</v>
      </c>
      <c r="F54" s="8" t="n">
        <v>0.476</v>
      </c>
      <c r="G54" s="20" t="n">
        <v>0.0002958714552323</v>
      </c>
      <c r="H54" s="6" t="str">
        <f aca="false">IF(G54="","",IF(G54&gt;0,"Bullish",IF(G54&lt;0,"Bearish","Flat")))</f>
        <v>Bullish</v>
      </c>
      <c r="I54" s="6" t="n">
        <f aca="false">IF(OR(G54="",E54="Neutral"),"",IF(E54=H54,1,0))</f>
        <v>0</v>
      </c>
      <c r="J54" s="6" t="s">
        <v>150</v>
      </c>
    </row>
    <row r="55" customFormat="false" ht="15" hidden="false" customHeight="false" outlineLevel="0" collapsed="false">
      <c r="A55" s="19" t="n">
        <v>46129</v>
      </c>
      <c r="B55" s="6" t="s">
        <v>43</v>
      </c>
      <c r="C55" s="6" t="s">
        <v>149</v>
      </c>
      <c r="D55" s="7" t="n">
        <v>-0.3826</v>
      </c>
      <c r="E55" s="6" t="str">
        <f aca="false">IF(D55&gt;Settings!$C$4,"Bullish",IF(D55&lt;-Settings!$C$4,"Bearish","Neutral"))</f>
        <v>Bearish</v>
      </c>
      <c r="F55" s="8" t="n">
        <v>0.552</v>
      </c>
      <c r="G55" s="20" t="n">
        <v>0.0080526618521121</v>
      </c>
      <c r="H55" s="6" t="str">
        <f aca="false">IF(G55="","",IF(G55&gt;0,"Bullish",IF(G55&lt;0,"Bearish","Flat")))</f>
        <v>Bullish</v>
      </c>
      <c r="I55" s="6" t="n">
        <f aca="false">IF(OR(G55="",E55="Neutral"),"",IF(E55=H55,1,0))</f>
        <v>0</v>
      </c>
      <c r="J55" s="6" t="s">
        <v>150</v>
      </c>
    </row>
    <row r="56" customFormat="false" ht="15" hidden="false" customHeight="false" outlineLevel="0" collapsed="false">
      <c r="A56" s="19" t="n">
        <v>46129</v>
      </c>
      <c r="B56" s="6" t="s">
        <v>51</v>
      </c>
      <c r="C56" s="6" t="s">
        <v>149</v>
      </c>
      <c r="D56" s="7" t="n">
        <v>0.1798</v>
      </c>
      <c r="E56" s="6" t="str">
        <f aca="false">IF(D56&gt;Settings!$C$4,"Bullish",IF(D56&lt;-Settings!$C$4,"Bearish","Neutral"))</f>
        <v>Bullish</v>
      </c>
      <c r="F56" s="8" t="n">
        <v>0.534</v>
      </c>
      <c r="G56" s="20" t="n">
        <v>-0.0276872274670844</v>
      </c>
      <c r="H56" s="6" t="str">
        <f aca="false">IF(G56="","",IF(G56&gt;0,"Bullish",IF(G56&lt;0,"Bearish","Flat")))</f>
        <v>Bearish</v>
      </c>
      <c r="I56" s="6" t="n">
        <f aca="false">IF(OR(G56="",E56="Neutral"),"",IF(E56=H56,1,0))</f>
        <v>0</v>
      </c>
      <c r="J56" s="6" t="s">
        <v>150</v>
      </c>
    </row>
    <row r="57" customFormat="false" ht="15" hidden="false" customHeight="false" outlineLevel="0" collapsed="false">
      <c r="A57" s="19" t="n">
        <v>46132</v>
      </c>
      <c r="B57" s="6" t="s">
        <v>18</v>
      </c>
      <c r="C57" s="6" t="s">
        <v>154</v>
      </c>
      <c r="D57" s="7" t="n">
        <v>-0.3667</v>
      </c>
      <c r="E57" s="6" t="str">
        <f aca="false">IF(D57&gt;Settings!$C$4,"Bullish",IF(D57&lt;-Settings!$C$4,"Bearish","Neutral"))</f>
        <v>Bearish</v>
      </c>
      <c r="F57" s="8" t="n">
        <v>0.529</v>
      </c>
      <c r="G57" s="20" t="n">
        <v>-0.0010925937314228</v>
      </c>
      <c r="H57" s="6" t="str">
        <f aca="false">IF(G57="","",IF(G57&gt;0,"Bullish",IF(G57&lt;0,"Bearish","Flat")))</f>
        <v>Bearish</v>
      </c>
      <c r="I57" s="6" t="n">
        <f aca="false">IF(OR(G57="",E57="Neutral"),"",IF(E57=H57,1,0))</f>
        <v>1</v>
      </c>
      <c r="J57" s="6" t="s">
        <v>150</v>
      </c>
    </row>
    <row r="58" customFormat="false" ht="15" hidden="false" customHeight="false" outlineLevel="0" collapsed="false">
      <c r="A58" s="19" t="n">
        <v>46132</v>
      </c>
      <c r="B58" s="6" t="s">
        <v>18</v>
      </c>
      <c r="C58" s="6" t="s">
        <v>149</v>
      </c>
      <c r="D58" s="7" t="n">
        <v>-0.5972</v>
      </c>
      <c r="E58" s="6" t="str">
        <f aca="false">IF(D58&gt;Settings!$C$4,"Bullish",IF(D58&lt;-Settings!$C$4,"Bearish","Neutral"))</f>
        <v>Bearish</v>
      </c>
      <c r="F58" s="8" t="n">
        <v>0.476</v>
      </c>
      <c r="G58" s="20" t="n">
        <v>-0.0202345079228419</v>
      </c>
      <c r="H58" s="6" t="str">
        <f aca="false">IF(G58="","",IF(G58&gt;0,"Bullish",IF(G58&lt;0,"Bearish","Flat")))</f>
        <v>Bearish</v>
      </c>
      <c r="I58" s="6" t="n">
        <f aca="false">IF(OR(G58="",E58="Neutral"),"",IF(E58=H58,1,0))</f>
        <v>1</v>
      </c>
      <c r="J58" s="6" t="s">
        <v>150</v>
      </c>
    </row>
    <row r="59" customFormat="false" ht="15" hidden="false" customHeight="false" outlineLevel="0" collapsed="false">
      <c r="A59" s="19" t="n">
        <v>46132</v>
      </c>
      <c r="B59" s="6" t="s">
        <v>43</v>
      </c>
      <c r="C59" s="6" t="s">
        <v>149</v>
      </c>
      <c r="D59" s="7" t="n">
        <v>-0.3878</v>
      </c>
      <c r="E59" s="6" t="str">
        <f aca="false">IF(D59&gt;Settings!$C$4,"Bullish",IF(D59&lt;-Settings!$C$4,"Bearish","Neutral"))</f>
        <v>Bearish</v>
      </c>
      <c r="F59" s="8" t="n">
        <v>0.552</v>
      </c>
      <c r="G59" s="20" t="n">
        <v>-0.009674134419552</v>
      </c>
      <c r="H59" s="6" t="str">
        <f aca="false">IF(G59="","",IF(G59&gt;0,"Bullish",IF(G59&lt;0,"Bearish","Flat")))</f>
        <v>Bearish</v>
      </c>
      <c r="I59" s="6" t="n">
        <f aca="false">IF(OR(G59="",E59="Neutral"),"",IF(E59=H59,1,0))</f>
        <v>1</v>
      </c>
      <c r="J59" s="6" t="s">
        <v>150</v>
      </c>
    </row>
    <row r="60" customFormat="false" ht="15" hidden="false" customHeight="false" outlineLevel="0" collapsed="false">
      <c r="A60" s="19" t="n">
        <v>46132</v>
      </c>
      <c r="B60" s="6" t="s">
        <v>51</v>
      </c>
      <c r="C60" s="6" t="s">
        <v>149</v>
      </c>
      <c r="D60" s="7" t="n">
        <v>0.2231</v>
      </c>
      <c r="E60" s="6" t="str">
        <f aca="false">IF(D60&gt;Settings!$C$4,"Bullish",IF(D60&lt;-Settings!$C$4,"Bearish","Neutral"))</f>
        <v>Bullish</v>
      </c>
      <c r="F60" s="8" t="n">
        <v>0.534</v>
      </c>
      <c r="G60" s="20" t="n">
        <v>-0.0450869474125288</v>
      </c>
      <c r="H60" s="6" t="str">
        <f aca="false">IF(G60="","",IF(G60&gt;0,"Bullish",IF(G60&lt;0,"Bearish","Flat")))</f>
        <v>Bearish</v>
      </c>
      <c r="I60" s="6" t="n">
        <f aca="false">IF(OR(G60="",E60="Neutral"),"",IF(E60=H60,1,0))</f>
        <v>0</v>
      </c>
      <c r="J60" s="6" t="s">
        <v>150</v>
      </c>
    </row>
    <row r="61" customFormat="false" ht="15" hidden="false" customHeight="false" outlineLevel="0" collapsed="false">
      <c r="A61" s="19" t="n">
        <v>46133</v>
      </c>
      <c r="B61" s="6" t="s">
        <v>18</v>
      </c>
      <c r="C61" s="6" t="s">
        <v>154</v>
      </c>
      <c r="D61" s="7" t="n">
        <v>-0.4572</v>
      </c>
      <c r="E61" s="6" t="str">
        <f aca="false">IF(D61&gt;Settings!$C$4,"Bullish",IF(D61&lt;-Settings!$C$4,"Bearish","Neutral"))</f>
        <v>Bearish</v>
      </c>
      <c r="F61" s="8" t="n">
        <v>0.529</v>
      </c>
      <c r="G61" s="20" t="n">
        <v>0.0082893838040085</v>
      </c>
      <c r="H61" s="6" t="str">
        <f aca="false">IF(G61="","",IF(G61&gt;0,"Bullish",IF(G61&lt;0,"Bearish","Flat")))</f>
        <v>Bullish</v>
      </c>
      <c r="I61" s="6" t="n">
        <f aca="false">IF(OR(G61="",E61="Neutral"),"",IF(E61=H61,1,0))</f>
        <v>0</v>
      </c>
      <c r="J61" s="6" t="s">
        <v>150</v>
      </c>
    </row>
    <row r="62" customFormat="false" ht="15" hidden="false" customHeight="false" outlineLevel="0" collapsed="false">
      <c r="A62" s="19" t="n">
        <v>46133</v>
      </c>
      <c r="B62" s="6" t="s">
        <v>18</v>
      </c>
      <c r="C62" s="6" t="s">
        <v>149</v>
      </c>
      <c r="D62" s="7" t="n">
        <v>-0.5946</v>
      </c>
      <c r="E62" s="6" t="str">
        <f aca="false">IF(D62&gt;Settings!$C$4,"Bullish",IF(D62&lt;-Settings!$C$4,"Bearish","Neutral"))</f>
        <v>Bearish</v>
      </c>
      <c r="F62" s="8" t="n">
        <v>0.476</v>
      </c>
      <c r="G62" s="20" t="n">
        <v>-0.0115632903992073</v>
      </c>
      <c r="H62" s="6" t="str">
        <f aca="false">IF(G62="","",IF(G62&gt;0,"Bullish",IF(G62&lt;0,"Bearish","Flat")))</f>
        <v>Bearish</v>
      </c>
      <c r="I62" s="6" t="n">
        <f aca="false">IF(OR(G62="",E62="Neutral"),"",IF(E62=H62,1,0))</f>
        <v>1</v>
      </c>
      <c r="J62" s="6" t="s">
        <v>150</v>
      </c>
    </row>
    <row r="63" customFormat="false" ht="15" hidden="false" customHeight="false" outlineLevel="0" collapsed="false">
      <c r="A63" s="19" t="n">
        <v>46133</v>
      </c>
      <c r="B63" s="6" t="s">
        <v>43</v>
      </c>
      <c r="C63" s="6" t="s">
        <v>149</v>
      </c>
      <c r="D63" s="7" t="n">
        <v>-0.3915</v>
      </c>
      <c r="E63" s="6" t="str">
        <f aca="false">IF(D63&gt;Settings!$C$4,"Bullish",IF(D63&lt;-Settings!$C$4,"Bearish","Neutral"))</f>
        <v>Bearish</v>
      </c>
      <c r="F63" s="8" t="n">
        <v>0.552</v>
      </c>
      <c r="G63" s="20" t="n">
        <v>0.015219052470708</v>
      </c>
      <c r="H63" s="6" t="str">
        <f aca="false">IF(G63="","",IF(G63&gt;0,"Bullish",IF(G63&lt;0,"Bearish","Flat")))</f>
        <v>Bullish</v>
      </c>
      <c r="I63" s="6" t="n">
        <f aca="false">IF(OR(G63="",E63="Neutral"),"",IF(E63=H63,1,0))</f>
        <v>0</v>
      </c>
      <c r="J63" s="6" t="s">
        <v>150</v>
      </c>
    </row>
    <row r="64" customFormat="false" ht="15" hidden="false" customHeight="false" outlineLevel="0" collapsed="false">
      <c r="A64" s="19" t="n">
        <v>46133</v>
      </c>
      <c r="B64" s="6" t="s">
        <v>51</v>
      </c>
      <c r="C64" s="6" t="s">
        <v>149</v>
      </c>
      <c r="D64" s="7" t="n">
        <v>0.2217</v>
      </c>
      <c r="E64" s="6" t="str">
        <f aca="false">IF(D64&gt;Settings!$C$4,"Bullish",IF(D64&lt;-Settings!$C$4,"Bearish","Neutral"))</f>
        <v>Bullish</v>
      </c>
      <c r="F64" s="8" t="n">
        <v>0.534</v>
      </c>
      <c r="G64" s="20" t="n">
        <v>-0.0284655549941047</v>
      </c>
      <c r="H64" s="6" t="str">
        <f aca="false">IF(G64="","",IF(G64&gt;0,"Bullish",IF(G64&lt;0,"Bearish","Flat")))</f>
        <v>Bearish</v>
      </c>
      <c r="I64" s="6" t="n">
        <f aca="false">IF(OR(G64="",E64="Neutral"),"",IF(E64=H64,1,0))</f>
        <v>0</v>
      </c>
      <c r="J64" s="6" t="s">
        <v>150</v>
      </c>
    </row>
    <row r="65" customFormat="false" ht="15" hidden="false" customHeight="false" outlineLevel="0" collapsed="false">
      <c r="A65" s="19" t="n">
        <v>46134</v>
      </c>
      <c r="B65" s="6" t="s">
        <v>22</v>
      </c>
      <c r="C65" s="6" t="s">
        <v>154</v>
      </c>
      <c r="D65" s="7" t="n">
        <v>0.3202</v>
      </c>
      <c r="E65" s="6" t="str">
        <f aca="false">IF(D65&gt;Settings!$C$4,"Bullish",IF(D65&lt;-Settings!$C$4,"Bearish","Neutral"))</f>
        <v>Bullish</v>
      </c>
      <c r="F65" s="8" t="n">
        <v>0.533</v>
      </c>
      <c r="G65" s="20" t="n">
        <v>-0.0006805059535524</v>
      </c>
      <c r="H65" s="6" t="str">
        <f aca="false">IF(G65="","",IF(G65&gt;0,"Bullish",IF(G65&lt;0,"Bearish","Flat")))</f>
        <v>Bearish</v>
      </c>
      <c r="I65" s="6" t="n">
        <f aca="false">IF(OR(G65="",E65="Neutral"),"",IF(E65=H65,1,0))</f>
        <v>0</v>
      </c>
      <c r="J65" s="6" t="s">
        <v>150</v>
      </c>
    </row>
    <row r="66" customFormat="false" ht="15" hidden="false" customHeight="false" outlineLevel="0" collapsed="false">
      <c r="A66" s="19" t="n">
        <v>46134</v>
      </c>
      <c r="B66" s="6" t="s">
        <v>18</v>
      </c>
      <c r="C66" s="6" t="s">
        <v>154</v>
      </c>
      <c r="D66" s="7" t="n">
        <v>-0.1265</v>
      </c>
      <c r="E66" s="6" t="str">
        <f aca="false">IF(D66&gt;Settings!$C$4,"Bullish",IF(D66&lt;-Settings!$C$4,"Bearish","Neutral"))</f>
        <v>Neutral</v>
      </c>
      <c r="F66" s="8"/>
      <c r="G66" s="20" t="n">
        <v>-0.0037902238786147</v>
      </c>
      <c r="H66" s="6" t="str">
        <f aca="false">IF(G66="","",IF(G66&gt;0,"Bullish",IF(G66&lt;0,"Bearish","Flat")))</f>
        <v>Bearish</v>
      </c>
      <c r="I66" s="6" t="str">
        <f aca="false">IF(OR(G66="",E66="Neutral"),"",IF(E66=H66,1,0))</f>
        <v/>
      </c>
      <c r="J66" s="6" t="s">
        <v>150</v>
      </c>
    </row>
    <row r="67" customFormat="false" ht="15" hidden="false" customHeight="false" outlineLevel="0" collapsed="false">
      <c r="A67" s="19" t="n">
        <v>46134</v>
      </c>
      <c r="B67" s="6" t="s">
        <v>18</v>
      </c>
      <c r="C67" s="6" t="s">
        <v>149</v>
      </c>
      <c r="D67" s="7" t="n">
        <v>-0.5619</v>
      </c>
      <c r="E67" s="6" t="str">
        <f aca="false">IF(D67&gt;Settings!$C$4,"Bullish",IF(D67&lt;-Settings!$C$4,"Bearish","Neutral"))</f>
        <v>Bearish</v>
      </c>
      <c r="F67" s="8" t="n">
        <v>0.476</v>
      </c>
      <c r="G67" s="20" t="n">
        <v>-0.0194169797943266</v>
      </c>
      <c r="H67" s="6" t="str">
        <f aca="false">IF(G67="","",IF(G67&gt;0,"Bullish",IF(G67&lt;0,"Bearish","Flat")))</f>
        <v>Bearish</v>
      </c>
      <c r="I67" s="6" t="n">
        <f aca="false">IF(OR(G67="",E67="Neutral"),"",IF(E67=H67,1,0))</f>
        <v>1</v>
      </c>
      <c r="J67" s="6" t="s">
        <v>150</v>
      </c>
    </row>
    <row r="68" customFormat="false" ht="15" hidden="false" customHeight="false" outlineLevel="0" collapsed="false">
      <c r="A68" s="19" t="n">
        <v>46134</v>
      </c>
      <c r="B68" s="6" t="s">
        <v>43</v>
      </c>
      <c r="C68" s="6" t="s">
        <v>149</v>
      </c>
      <c r="D68" s="7" t="n">
        <v>-0.3938</v>
      </c>
      <c r="E68" s="6" t="str">
        <f aca="false">IF(D68&gt;Settings!$C$4,"Bullish",IF(D68&lt;-Settings!$C$4,"Bearish","Neutral"))</f>
        <v>Bearish</v>
      </c>
      <c r="F68" s="8" t="n">
        <v>0.552</v>
      </c>
      <c r="G68" s="20" t="n">
        <v>-0.0076874999999999</v>
      </c>
      <c r="H68" s="6" t="str">
        <f aca="false">IF(G68="","",IF(G68&gt;0,"Bullish",IF(G68&lt;0,"Bearish","Flat")))</f>
        <v>Bearish</v>
      </c>
      <c r="I68" s="6" t="n">
        <f aca="false">IF(OR(G68="",E68="Neutral"),"",IF(E68=H68,1,0))</f>
        <v>1</v>
      </c>
      <c r="J68" s="6" t="s">
        <v>150</v>
      </c>
    </row>
    <row r="69" customFormat="false" ht="15" hidden="false" customHeight="false" outlineLevel="0" collapsed="false">
      <c r="A69" s="19" t="n">
        <v>46134</v>
      </c>
      <c r="B69" s="6" t="s">
        <v>51</v>
      </c>
      <c r="C69" s="6" t="s">
        <v>149</v>
      </c>
      <c r="D69" s="7" t="n">
        <v>0.2201</v>
      </c>
      <c r="E69" s="6" t="str">
        <f aca="false">IF(D69&gt;Settings!$C$4,"Bullish",IF(D69&lt;-Settings!$C$4,"Bearish","Neutral"))</f>
        <v>Bullish</v>
      </c>
      <c r="F69" s="8" t="n">
        <v>0.534</v>
      </c>
      <c r="G69" s="20" t="n">
        <v>-0.0469465648854963</v>
      </c>
      <c r="H69" s="6" t="str">
        <f aca="false">IF(G69="","",IF(G69&gt;0,"Bullish",IF(G69&lt;0,"Bearish","Flat")))</f>
        <v>Bearish</v>
      </c>
      <c r="I69" s="6" t="n">
        <f aca="false">IF(OR(G69="",E69="Neutral"),"",IF(E69=H69,1,0))</f>
        <v>0</v>
      </c>
      <c r="J69" s="6" t="s">
        <v>150</v>
      </c>
    </row>
    <row r="70" customFormat="false" ht="15" hidden="false" customHeight="false" outlineLevel="0" collapsed="false">
      <c r="A70" s="19" t="n">
        <v>46135</v>
      </c>
      <c r="B70" s="6" t="s">
        <v>18</v>
      </c>
      <c r="C70" s="6" t="s">
        <v>154</v>
      </c>
      <c r="D70" s="7" t="n">
        <v>0.5903</v>
      </c>
      <c r="E70" s="6" t="str">
        <f aca="false">IF(D70&gt;Settings!$C$4,"Bullish",IF(D70&lt;-Settings!$C$4,"Bearish","Neutral"))</f>
        <v>Bullish</v>
      </c>
      <c r="F70" s="8" t="n">
        <v>0.501</v>
      </c>
      <c r="G70" s="20" t="n">
        <v>-0.0012106262408402</v>
      </c>
      <c r="H70" s="6" t="str">
        <f aca="false">IF(G70="","",IF(G70&gt;0,"Bullish",IF(G70&lt;0,"Bearish","Flat")))</f>
        <v>Bearish</v>
      </c>
      <c r="I70" s="6" t="n">
        <f aca="false">IF(OR(G70="",E70="Neutral"),"",IF(E70=H70,1,0))</f>
        <v>0</v>
      </c>
      <c r="J70" s="6" t="s">
        <v>150</v>
      </c>
    </row>
    <row r="71" customFormat="false" ht="15" hidden="false" customHeight="false" outlineLevel="0" collapsed="false">
      <c r="A71" s="19" t="n">
        <v>46135</v>
      </c>
      <c r="B71" s="6" t="s">
        <v>18</v>
      </c>
      <c r="C71" s="6" t="s">
        <v>149</v>
      </c>
      <c r="D71" s="7" t="n">
        <v>-0.529</v>
      </c>
      <c r="E71" s="6" t="str">
        <f aca="false">IF(D71&gt;Settings!$C$4,"Bullish",IF(D71&lt;-Settings!$C$4,"Bearish","Neutral"))</f>
        <v>Bearish</v>
      </c>
      <c r="F71" s="8" t="n">
        <v>0.476</v>
      </c>
      <c r="G71" s="20" t="n">
        <v>-0.0010205620528583</v>
      </c>
      <c r="H71" s="6" t="str">
        <f aca="false">IF(G71="","",IF(G71&gt;0,"Bullish",IF(G71&lt;0,"Bearish","Flat")))</f>
        <v>Bearish</v>
      </c>
      <c r="I71" s="6" t="n">
        <f aca="false">IF(OR(G71="",E71="Neutral"),"",IF(E71=H71,1,0))</f>
        <v>1</v>
      </c>
      <c r="J71" s="6" t="s">
        <v>150</v>
      </c>
    </row>
    <row r="72" customFormat="false" ht="15" hidden="false" customHeight="false" outlineLevel="0" collapsed="false">
      <c r="A72" s="19" t="n">
        <v>46135</v>
      </c>
      <c r="B72" s="6" t="s">
        <v>43</v>
      </c>
      <c r="C72" s="6" t="s">
        <v>149</v>
      </c>
      <c r="D72" s="7" t="n">
        <v>-0.3943</v>
      </c>
      <c r="E72" s="6" t="str">
        <f aca="false">IF(D72&gt;Settings!$C$4,"Bullish",IF(D72&lt;-Settings!$C$4,"Bearish","Neutral"))</f>
        <v>Bearish</v>
      </c>
      <c r="F72" s="8" t="n">
        <v>0.552</v>
      </c>
      <c r="G72" s="20" t="n">
        <v>0.0066225165562914</v>
      </c>
      <c r="H72" s="6" t="str">
        <f aca="false">IF(G72="","",IF(G72&gt;0,"Bullish",IF(G72&lt;0,"Bearish","Flat")))</f>
        <v>Bullish</v>
      </c>
      <c r="I72" s="6" t="n">
        <f aca="false">IF(OR(G72="",E72="Neutral"),"",IF(E72=H72,1,0))</f>
        <v>0</v>
      </c>
      <c r="J72" s="6" t="s">
        <v>150</v>
      </c>
    </row>
    <row r="73" customFormat="false" ht="15" hidden="false" customHeight="false" outlineLevel="0" collapsed="false">
      <c r="A73" s="19" t="n">
        <v>46135</v>
      </c>
      <c r="B73" s="6" t="s">
        <v>51</v>
      </c>
      <c r="C73" s="6" t="s">
        <v>149</v>
      </c>
      <c r="D73" s="7" t="n">
        <v>0.2263</v>
      </c>
      <c r="E73" s="6" t="str">
        <f aca="false">IF(D73&gt;Settings!$C$4,"Bullish",IF(D73&lt;-Settings!$C$4,"Bearish","Neutral"))</f>
        <v>Bullish</v>
      </c>
      <c r="F73" s="8" t="n">
        <v>0.534</v>
      </c>
      <c r="G73" s="20" t="n">
        <v>-0.0355744827289543</v>
      </c>
      <c r="H73" s="6" t="str">
        <f aca="false">IF(G73="","",IF(G73&gt;0,"Bullish",IF(G73&lt;0,"Bearish","Flat")))</f>
        <v>Bearish</v>
      </c>
      <c r="I73" s="6" t="n">
        <f aca="false">IF(OR(G73="",E73="Neutral"),"",IF(E73=H73,1,0))</f>
        <v>0</v>
      </c>
      <c r="J73" s="6" t="s">
        <v>150</v>
      </c>
    </row>
    <row r="74" customFormat="false" ht="15" hidden="false" customHeight="false" outlineLevel="0" collapsed="false">
      <c r="A74" s="19" t="n">
        <v>46136</v>
      </c>
      <c r="B74" s="6" t="s">
        <v>30</v>
      </c>
      <c r="C74" s="6" t="s">
        <v>149</v>
      </c>
      <c r="D74" s="7" t="n">
        <v>-0.2854</v>
      </c>
      <c r="E74" s="6" t="str">
        <f aca="false">IF(D74&gt;Settings!$C$4,"Bullish",IF(D74&lt;-Settings!$C$4,"Bearish","Neutral"))</f>
        <v>Bearish</v>
      </c>
      <c r="F74" s="8" t="n">
        <v>0.531</v>
      </c>
      <c r="G74" s="20" t="n">
        <v>-0.0060564424628236</v>
      </c>
      <c r="H74" s="6" t="str">
        <f aca="false">IF(G74="","",IF(G74&gt;0,"Bullish",IF(G74&lt;0,"Bearish","Flat")))</f>
        <v>Bearish</v>
      </c>
      <c r="I74" s="6" t="n">
        <f aca="false">IF(OR(G74="",E74="Neutral"),"",IF(E74=H74,1,0))</f>
        <v>1</v>
      </c>
      <c r="J74" s="6" t="s">
        <v>150</v>
      </c>
    </row>
    <row r="75" customFormat="false" ht="15" hidden="false" customHeight="false" outlineLevel="0" collapsed="false">
      <c r="A75" s="19" t="n">
        <v>46136</v>
      </c>
      <c r="B75" s="6" t="s">
        <v>18</v>
      </c>
      <c r="C75" s="6" t="s">
        <v>154</v>
      </c>
      <c r="D75" s="7" t="n">
        <v>-0.1472</v>
      </c>
      <c r="E75" s="6" t="str">
        <f aca="false">IF(D75&gt;Settings!$C$4,"Bullish",IF(D75&lt;-Settings!$C$4,"Bearish","Neutral"))</f>
        <v>Neutral</v>
      </c>
      <c r="F75" s="8"/>
      <c r="G75" s="20" t="n">
        <v>-0.0084064471557702</v>
      </c>
      <c r="H75" s="6" t="str">
        <f aca="false">IF(G75="","",IF(G75&gt;0,"Bullish",IF(G75&lt;0,"Bearish","Flat")))</f>
        <v>Bearish</v>
      </c>
      <c r="I75" s="6" t="str">
        <f aca="false">IF(OR(G75="",E75="Neutral"),"",IF(E75=H75,1,0))</f>
        <v/>
      </c>
      <c r="J75" s="6" t="s">
        <v>150</v>
      </c>
    </row>
    <row r="76" customFormat="false" ht="15" hidden="false" customHeight="false" outlineLevel="0" collapsed="false">
      <c r="A76" s="19" t="n">
        <v>46136</v>
      </c>
      <c r="B76" s="6" t="s">
        <v>18</v>
      </c>
      <c r="C76" s="6" t="s">
        <v>149</v>
      </c>
      <c r="D76" s="7" t="n">
        <v>-0.4265</v>
      </c>
      <c r="E76" s="6" t="str">
        <f aca="false">IF(D76&gt;Settings!$C$4,"Bullish",IF(D76&lt;-Settings!$C$4,"Bearish","Neutral"))</f>
        <v>Bearish</v>
      </c>
      <c r="F76" s="8" t="n">
        <v>0.51</v>
      </c>
      <c r="G76" s="20" t="n">
        <v>-0.0042737613871882</v>
      </c>
      <c r="H76" s="6" t="str">
        <f aca="false">IF(G76="","",IF(G76&gt;0,"Bullish",IF(G76&lt;0,"Bearish","Flat")))</f>
        <v>Bearish</v>
      </c>
      <c r="I76" s="6" t="n">
        <f aca="false">IF(OR(G76="",E76="Neutral"),"",IF(E76=H76,1,0))</f>
        <v>1</v>
      </c>
      <c r="J76" s="6" t="s">
        <v>150</v>
      </c>
    </row>
    <row r="77" customFormat="false" ht="15" hidden="false" customHeight="false" outlineLevel="0" collapsed="false">
      <c r="A77" s="19" t="n">
        <v>46136</v>
      </c>
      <c r="B77" s="6" t="s">
        <v>43</v>
      </c>
      <c r="C77" s="6" t="s">
        <v>149</v>
      </c>
      <c r="D77" s="7" t="n">
        <v>-0.39</v>
      </c>
      <c r="E77" s="6" t="str">
        <f aca="false">IF(D77&gt;Settings!$C$4,"Bullish",IF(D77&lt;-Settings!$C$4,"Bearish","Neutral"))</f>
        <v>Bearish</v>
      </c>
      <c r="F77" s="8" t="n">
        <v>0.552</v>
      </c>
      <c r="G77" s="20" t="n">
        <v>0.0058305342543887</v>
      </c>
      <c r="H77" s="6" t="str">
        <f aca="false">IF(G77="","",IF(G77&gt;0,"Bullish",IF(G77&lt;0,"Bearish","Flat")))</f>
        <v>Bullish</v>
      </c>
      <c r="I77" s="6" t="n">
        <f aca="false">IF(OR(G77="",E77="Neutral"),"",IF(E77=H77,1,0))</f>
        <v>0</v>
      </c>
      <c r="J77" s="6" t="s">
        <v>150</v>
      </c>
    </row>
    <row r="78" customFormat="false" ht="15" hidden="false" customHeight="false" outlineLevel="0" collapsed="false">
      <c r="A78" s="19" t="n">
        <v>46136</v>
      </c>
      <c r="B78" s="6" t="s">
        <v>51</v>
      </c>
      <c r="C78" s="6" t="s">
        <v>149</v>
      </c>
      <c r="D78" s="7" t="n">
        <v>0.2462</v>
      </c>
      <c r="E78" s="6" t="str">
        <f aca="false">IF(D78&gt;Settings!$C$4,"Bullish",IF(D78&lt;-Settings!$C$4,"Bearish","Neutral"))</f>
        <v>Bullish</v>
      </c>
      <c r="F78" s="8" t="n">
        <v>0.534</v>
      </c>
      <c r="G78" s="20" t="n">
        <v>-0.0084553695955369</v>
      </c>
      <c r="H78" s="6" t="str">
        <f aca="false">IF(G78="","",IF(G78&gt;0,"Bullish",IF(G78&lt;0,"Bearish","Flat")))</f>
        <v>Bearish</v>
      </c>
      <c r="I78" s="6" t="n">
        <f aca="false">IF(OR(G78="",E78="Neutral"),"",IF(E78=H78,1,0))</f>
        <v>0</v>
      </c>
      <c r="J78" s="6" t="s">
        <v>150</v>
      </c>
    </row>
    <row r="79" customFormat="false" ht="15" hidden="false" customHeight="false" outlineLevel="0" collapsed="false">
      <c r="A79" s="19" t="n">
        <v>46139</v>
      </c>
      <c r="B79" s="6" t="s">
        <v>34</v>
      </c>
      <c r="C79" s="6" t="s">
        <v>149</v>
      </c>
      <c r="D79" s="7" t="n">
        <v>-0.3599</v>
      </c>
      <c r="E79" s="6" t="str">
        <f aca="false">IF(D79&gt;Settings!$C$4,"Bullish",IF(D79&lt;-Settings!$C$4,"Bearish","Neutral"))</f>
        <v>Bearish</v>
      </c>
      <c r="F79" s="8" t="n">
        <v>0.551</v>
      </c>
      <c r="G79" s="20" t="n">
        <v>0.0222508850703739</v>
      </c>
      <c r="H79" s="6" t="str">
        <f aca="false">IF(G79="","",IF(G79&gt;0,"Bullish",IF(G79&lt;0,"Bearish","Flat")))</f>
        <v>Bullish</v>
      </c>
      <c r="I79" s="6" t="n">
        <f aca="false">IF(OR(G79="",E79="Neutral"),"",IF(E79=H79,1,0))</f>
        <v>0</v>
      </c>
      <c r="J79" s="6" t="s">
        <v>150</v>
      </c>
    </row>
    <row r="80" customFormat="false" ht="15" hidden="false" customHeight="false" outlineLevel="0" collapsed="false">
      <c r="A80" s="19" t="n">
        <v>46139</v>
      </c>
      <c r="B80" s="6" t="s">
        <v>18</v>
      </c>
      <c r="C80" s="6" t="s">
        <v>154</v>
      </c>
      <c r="D80" s="7" t="n">
        <v>0.5664</v>
      </c>
      <c r="E80" s="6" t="str">
        <f aca="false">IF(D80&gt;Settings!$C$4,"Bullish",IF(D80&lt;-Settings!$C$4,"Bearish","Neutral"))</f>
        <v>Bullish</v>
      </c>
      <c r="F80" s="8" t="n">
        <v>0.501</v>
      </c>
      <c r="G80" s="20" t="n">
        <v>0.0061493937261567</v>
      </c>
      <c r="H80" s="6" t="str">
        <f aca="false">IF(G80="","",IF(G80&gt;0,"Bullish",IF(G80&lt;0,"Bearish","Flat")))</f>
        <v>Bullish</v>
      </c>
      <c r="I80" s="6" t="n">
        <f aca="false">IF(OR(G80="",E80="Neutral"),"",IF(E80=H80,1,0))</f>
        <v>1</v>
      </c>
      <c r="J80" s="6" t="s">
        <v>150</v>
      </c>
    </row>
    <row r="81" customFormat="false" ht="15" hidden="false" customHeight="false" outlineLevel="0" collapsed="false">
      <c r="A81" s="19" t="n">
        <v>46139</v>
      </c>
      <c r="B81" s="6" t="s">
        <v>18</v>
      </c>
      <c r="C81" s="6" t="s">
        <v>149</v>
      </c>
      <c r="D81" s="7" t="n">
        <v>-0.3149</v>
      </c>
      <c r="E81" s="6" t="str">
        <f aca="false">IF(D81&gt;Settings!$C$4,"Bullish",IF(D81&lt;-Settings!$C$4,"Bearish","Neutral"))</f>
        <v>Bearish</v>
      </c>
      <c r="F81" s="8" t="n">
        <v>0.51</v>
      </c>
      <c r="G81" s="20" t="n">
        <v>0.0072602519476558</v>
      </c>
      <c r="H81" s="6" t="str">
        <f aca="false">IF(G81="","",IF(G81&gt;0,"Bullish",IF(G81&lt;0,"Bearish","Flat")))</f>
        <v>Bullish</v>
      </c>
      <c r="I81" s="6" t="n">
        <f aca="false">IF(OR(G81="",E81="Neutral"),"",IF(E81=H81,1,0))</f>
        <v>0</v>
      </c>
      <c r="J81" s="6" t="s">
        <v>150</v>
      </c>
    </row>
    <row r="82" customFormat="false" ht="15" hidden="false" customHeight="false" outlineLevel="0" collapsed="false">
      <c r="A82" s="19" t="n">
        <v>46139</v>
      </c>
      <c r="B82" s="6" t="s">
        <v>43</v>
      </c>
      <c r="C82" s="6" t="s">
        <v>149</v>
      </c>
      <c r="D82" s="7" t="n">
        <v>-0.3836</v>
      </c>
      <c r="E82" s="6" t="str">
        <f aca="false">IF(D82&gt;Settings!$C$4,"Bullish",IF(D82&lt;-Settings!$C$4,"Bearish","Neutral"))</f>
        <v>Bearish</v>
      </c>
      <c r="F82" s="8" t="n">
        <v>0.552</v>
      </c>
      <c r="G82" s="20" t="n">
        <v>0.0358144277338772</v>
      </c>
      <c r="H82" s="6" t="str">
        <f aca="false">IF(G82="","",IF(G82&gt;0,"Bullish",IF(G82&lt;0,"Bearish","Flat")))</f>
        <v>Bullish</v>
      </c>
      <c r="I82" s="6" t="n">
        <f aca="false">IF(OR(G82="",E82="Neutral"),"",IF(E82=H82,1,0))</f>
        <v>0</v>
      </c>
      <c r="J82" s="6" t="s">
        <v>150</v>
      </c>
    </row>
    <row r="83" customFormat="false" ht="15" hidden="false" customHeight="false" outlineLevel="0" collapsed="false">
      <c r="A83" s="19" t="n">
        <v>46139</v>
      </c>
      <c r="B83" s="6" t="s">
        <v>51</v>
      </c>
      <c r="C83" s="6" t="s">
        <v>149</v>
      </c>
      <c r="D83" s="7" t="n">
        <v>0.2663</v>
      </c>
      <c r="E83" s="6" t="str">
        <f aca="false">IF(D83&gt;Settings!$C$4,"Bullish",IF(D83&lt;-Settings!$C$4,"Bearish","Neutral"))</f>
        <v>Bullish</v>
      </c>
      <c r="F83" s="8" t="n">
        <v>0.534</v>
      </c>
      <c r="G83" s="20" t="n">
        <v>-0.009757984782702</v>
      </c>
      <c r="H83" s="6" t="str">
        <f aca="false">IF(G83="","",IF(G83&gt;0,"Bullish",IF(G83&lt;0,"Bearish","Flat")))</f>
        <v>Bearish</v>
      </c>
      <c r="I83" s="6" t="n">
        <f aca="false">IF(OR(G83="",E83="Neutral"),"",IF(E83=H83,1,0))</f>
        <v>0</v>
      </c>
      <c r="J83" s="6" t="s">
        <v>150</v>
      </c>
    </row>
    <row r="84" customFormat="false" ht="15" hidden="false" customHeight="false" outlineLevel="0" collapsed="false">
      <c r="A84" s="19" t="n">
        <v>46140</v>
      </c>
      <c r="B84" s="6" t="s">
        <v>22</v>
      </c>
      <c r="C84" s="6" t="s">
        <v>154</v>
      </c>
      <c r="D84" s="7" t="n">
        <v>-0.3092</v>
      </c>
      <c r="E84" s="6" t="str">
        <f aca="false">IF(D84&gt;Settings!$C$4,"Bullish",IF(D84&lt;-Settings!$C$4,"Bearish","Neutral"))</f>
        <v>Bearish</v>
      </c>
      <c r="F84" s="8" t="n">
        <v>0.533</v>
      </c>
      <c r="G84" s="20" t="n">
        <v>-0.0082729917207429</v>
      </c>
      <c r="H84" s="6" t="str">
        <f aca="false">IF(G84="","",IF(G84&gt;0,"Bullish",IF(G84&lt;0,"Bearish","Flat")))</f>
        <v>Bearish</v>
      </c>
      <c r="I84" s="6" t="n">
        <f aca="false">IF(OR(G84="",E84="Neutral"),"",IF(E84=H84,1,0))</f>
        <v>1</v>
      </c>
      <c r="J84" s="6" t="s">
        <v>150</v>
      </c>
    </row>
    <row r="85" customFormat="false" ht="15" hidden="false" customHeight="false" outlineLevel="0" collapsed="false">
      <c r="A85" s="19" t="n">
        <v>46140</v>
      </c>
      <c r="B85" s="6" t="s">
        <v>34</v>
      </c>
      <c r="C85" s="6" t="s">
        <v>149</v>
      </c>
      <c r="D85" s="7" t="n">
        <v>-0.4273</v>
      </c>
      <c r="E85" s="6" t="str">
        <f aca="false">IF(D85&gt;Settings!$C$4,"Bullish",IF(D85&lt;-Settings!$C$4,"Bearish","Neutral"))</f>
        <v>Bearish</v>
      </c>
      <c r="F85" s="8" t="n">
        <v>0.551</v>
      </c>
      <c r="G85" s="20" t="n">
        <v>0.005296356426157</v>
      </c>
      <c r="H85" s="6" t="str">
        <f aca="false">IF(G85="","",IF(G85&gt;0,"Bullish",IF(G85&lt;0,"Bearish","Flat")))</f>
        <v>Bullish</v>
      </c>
      <c r="I85" s="6" t="n">
        <f aca="false">IF(OR(G85="",E85="Neutral"),"",IF(E85=H85,1,0))</f>
        <v>0</v>
      </c>
      <c r="J85" s="6" t="s">
        <v>150</v>
      </c>
    </row>
    <row r="86" customFormat="false" ht="15" hidden="false" customHeight="false" outlineLevel="0" collapsed="false">
      <c r="A86" s="19" t="n">
        <v>46140</v>
      </c>
      <c r="B86" s="6" t="s">
        <v>18</v>
      </c>
      <c r="C86" s="6" t="s">
        <v>154</v>
      </c>
      <c r="D86" s="7" t="n">
        <v>-0.511</v>
      </c>
      <c r="E86" s="6" t="str">
        <f aca="false">IF(D86&gt;Settings!$C$4,"Bullish",IF(D86&lt;-Settings!$C$4,"Bearish","Neutral"))</f>
        <v>Bearish</v>
      </c>
      <c r="F86" s="8" t="n">
        <v>0.501</v>
      </c>
      <c r="G86" s="20" t="n">
        <v>-0.0022536476243144</v>
      </c>
      <c r="H86" s="6" t="str">
        <f aca="false">IF(G86="","",IF(G86&gt;0,"Bullish",IF(G86&lt;0,"Bearish","Flat")))</f>
        <v>Bearish</v>
      </c>
      <c r="I86" s="6" t="n">
        <f aca="false">IF(OR(G86="",E86="Neutral"),"",IF(E86=H86,1,0))</f>
        <v>1</v>
      </c>
      <c r="J86" s="6" t="s">
        <v>150</v>
      </c>
    </row>
    <row r="87" customFormat="false" ht="15" hidden="false" customHeight="false" outlineLevel="0" collapsed="false">
      <c r="A87" s="19" t="n">
        <v>46140</v>
      </c>
      <c r="B87" s="6" t="s">
        <v>18</v>
      </c>
      <c r="C87" s="6" t="s">
        <v>149</v>
      </c>
      <c r="D87" s="7" t="n">
        <v>-0.2054</v>
      </c>
      <c r="E87" s="6" t="str">
        <f aca="false">IF(D87&gt;Settings!$C$4,"Bullish",IF(D87&lt;-Settings!$C$4,"Bearish","Neutral"))</f>
        <v>Bearish</v>
      </c>
      <c r="F87" s="8" t="n">
        <v>0.495</v>
      </c>
      <c r="G87" s="20" t="n">
        <v>-0.0007110216674498</v>
      </c>
      <c r="H87" s="6" t="str">
        <f aca="false">IF(G87="","",IF(G87&gt;0,"Bullish",IF(G87&lt;0,"Bearish","Flat")))</f>
        <v>Bearish</v>
      </c>
      <c r="I87" s="6" t="n">
        <f aca="false">IF(OR(G87="",E87="Neutral"),"",IF(E87=H87,1,0))</f>
        <v>1</v>
      </c>
      <c r="J87" s="6" t="s">
        <v>150</v>
      </c>
    </row>
    <row r="88" customFormat="false" ht="15" hidden="false" customHeight="false" outlineLevel="0" collapsed="false">
      <c r="A88" s="19" t="n">
        <v>46140</v>
      </c>
      <c r="B88" s="6" t="s">
        <v>43</v>
      </c>
      <c r="C88" s="6" t="s">
        <v>149</v>
      </c>
      <c r="D88" s="7" t="n">
        <v>-0.3547</v>
      </c>
      <c r="E88" s="6" t="str">
        <f aca="false">IF(D88&gt;Settings!$C$4,"Bullish",IF(D88&lt;-Settings!$C$4,"Bearish","Neutral"))</f>
        <v>Bearish</v>
      </c>
      <c r="F88" s="8" t="n">
        <v>0.552</v>
      </c>
      <c r="G88" s="20" t="n">
        <v>0.0027532695075402</v>
      </c>
      <c r="H88" s="6" t="str">
        <f aca="false">IF(G88="","",IF(G88&gt;0,"Bullish",IF(G88&lt;0,"Bearish","Flat")))</f>
        <v>Bullish</v>
      </c>
      <c r="I88" s="6" t="n">
        <f aca="false">IF(OR(G88="",E88="Neutral"),"",IF(E88=H88,1,0))</f>
        <v>0</v>
      </c>
      <c r="J88" s="6" t="s">
        <v>150</v>
      </c>
    </row>
    <row r="89" customFormat="false" ht="15" hidden="false" customHeight="false" outlineLevel="0" collapsed="false">
      <c r="A89" s="19" t="n">
        <v>46140</v>
      </c>
      <c r="B89" s="6" t="s">
        <v>51</v>
      </c>
      <c r="C89" s="6" t="s">
        <v>149</v>
      </c>
      <c r="D89" s="7" t="n">
        <v>0.2816</v>
      </c>
      <c r="E89" s="6" t="str">
        <f aca="false">IF(D89&gt;Settings!$C$4,"Bullish",IF(D89&lt;-Settings!$C$4,"Bearish","Neutral"))</f>
        <v>Bullish</v>
      </c>
      <c r="F89" s="8" t="n">
        <v>0.534</v>
      </c>
      <c r="G89" s="20" t="n">
        <v>0.00030591731492</v>
      </c>
      <c r="H89" s="6" t="str">
        <f aca="false">IF(G89="","",IF(G89&gt;0,"Bullish",IF(G89&lt;0,"Bearish","Flat")))</f>
        <v>Bullish</v>
      </c>
      <c r="I89" s="6" t="n">
        <f aca="false">IF(OR(G89="",E89="Neutral"),"",IF(E89=H89,1,0))</f>
        <v>1</v>
      </c>
      <c r="J89" s="6" t="s">
        <v>150</v>
      </c>
    </row>
    <row r="90" customFormat="false" ht="15" hidden="false" customHeight="false" outlineLevel="0" collapsed="false">
      <c r="A90" s="19" t="n">
        <v>46141</v>
      </c>
      <c r="B90" s="6" t="s">
        <v>22</v>
      </c>
      <c r="C90" s="6" t="s">
        <v>154</v>
      </c>
      <c r="D90" s="7" t="n">
        <v>-0.3851</v>
      </c>
      <c r="E90" s="6" t="str">
        <f aca="false">IF(D90&gt;Settings!$C$4,"Bullish",IF(D90&lt;-Settings!$C$4,"Bearish","Neutral"))</f>
        <v>Bearish</v>
      </c>
      <c r="F90" s="8" t="n">
        <v>0.533</v>
      </c>
      <c r="G90" s="20" t="n">
        <v>-0.0041503024202608</v>
      </c>
      <c r="H90" s="6" t="str">
        <f aca="false">IF(G90="","",IF(G90&gt;0,"Bullish",IF(G90&lt;0,"Bearish","Flat")))</f>
        <v>Bearish</v>
      </c>
      <c r="I90" s="6" t="n">
        <f aca="false">IF(OR(G90="",E90="Neutral"),"",IF(E90=H90,1,0))</f>
        <v>1</v>
      </c>
      <c r="J90" s="6" t="s">
        <v>150</v>
      </c>
    </row>
    <row r="91" customFormat="false" ht="15" hidden="false" customHeight="false" outlineLevel="0" collapsed="false">
      <c r="A91" s="19" t="n">
        <v>46141</v>
      </c>
      <c r="B91" s="6" t="s">
        <v>30</v>
      </c>
      <c r="C91" s="6" t="s">
        <v>149</v>
      </c>
      <c r="D91" s="7" t="n">
        <v>0.2346</v>
      </c>
      <c r="E91" s="6" t="str">
        <f aca="false">IF(D91&gt;Settings!$C$4,"Bullish",IF(D91&lt;-Settings!$C$4,"Bearish","Neutral"))</f>
        <v>Bullish</v>
      </c>
      <c r="F91" s="8" t="n">
        <v>0.531</v>
      </c>
      <c r="G91" s="20" t="n">
        <v>0.0077400896499189</v>
      </c>
      <c r="H91" s="6" t="str">
        <f aca="false">IF(G91="","",IF(G91&gt;0,"Bullish",IF(G91&lt;0,"Bearish","Flat")))</f>
        <v>Bullish</v>
      </c>
      <c r="I91" s="6" t="n">
        <f aca="false">IF(OR(G91="",E91="Neutral"),"",IF(E91=H91,1,0))</f>
        <v>1</v>
      </c>
      <c r="J91" s="6" t="s">
        <v>150</v>
      </c>
    </row>
    <row r="92" customFormat="false" ht="15" hidden="false" customHeight="false" outlineLevel="0" collapsed="false">
      <c r="A92" s="19" t="n">
        <v>46141</v>
      </c>
      <c r="B92" s="6" t="s">
        <v>34</v>
      </c>
      <c r="C92" s="6" t="s">
        <v>149</v>
      </c>
      <c r="D92" s="7" t="n">
        <v>-0.4928</v>
      </c>
      <c r="E92" s="6" t="str">
        <f aca="false">IF(D92&gt;Settings!$C$4,"Bullish",IF(D92&lt;-Settings!$C$4,"Bearish","Neutral"))</f>
        <v>Bearish</v>
      </c>
      <c r="F92" s="8" t="n">
        <v>0.551</v>
      </c>
      <c r="G92" s="20" t="n">
        <v>0.0026805966045777</v>
      </c>
      <c r="H92" s="6" t="str">
        <f aca="false">IF(G92="","",IF(G92&gt;0,"Bullish",IF(G92&lt;0,"Bearish","Flat")))</f>
        <v>Bullish</v>
      </c>
      <c r="I92" s="6" t="n">
        <f aca="false">IF(OR(G92="",E92="Neutral"),"",IF(E92=H92,1,0))</f>
        <v>0</v>
      </c>
      <c r="J92" s="6" t="s">
        <v>150</v>
      </c>
    </row>
    <row r="93" customFormat="false" ht="15" hidden="false" customHeight="false" outlineLevel="0" collapsed="false">
      <c r="A93" s="19" t="n">
        <v>46141</v>
      </c>
      <c r="B93" s="6" t="s">
        <v>18</v>
      </c>
      <c r="C93" s="6" t="s">
        <v>154</v>
      </c>
      <c r="D93" s="7" t="n">
        <v>-0.6419</v>
      </c>
      <c r="E93" s="6" t="str">
        <f aca="false">IF(D93&gt;Settings!$C$4,"Bullish",IF(D93&lt;-Settings!$C$4,"Bearish","Neutral"))</f>
        <v>Bearish</v>
      </c>
      <c r="F93" s="8" t="n">
        <v>0.501</v>
      </c>
      <c r="G93" s="20" t="n">
        <v>0.0033510534550087</v>
      </c>
      <c r="H93" s="6" t="str">
        <f aca="false">IF(G93="","",IF(G93&gt;0,"Bullish",IF(G93&lt;0,"Bearish","Flat")))</f>
        <v>Bullish</v>
      </c>
      <c r="I93" s="6" t="n">
        <f aca="false">IF(OR(G93="",E93="Neutral"),"",IF(E93=H93,1,0))</f>
        <v>0</v>
      </c>
      <c r="J93" s="6" t="s">
        <v>150</v>
      </c>
    </row>
    <row r="94" customFormat="false" ht="15" hidden="false" customHeight="false" outlineLevel="0" collapsed="false">
      <c r="A94" s="19" t="n">
        <v>46141</v>
      </c>
      <c r="B94" s="6" t="s">
        <v>18</v>
      </c>
      <c r="C94" s="6" t="s">
        <v>149</v>
      </c>
      <c r="D94" s="7" t="n">
        <v>-0.1245</v>
      </c>
      <c r="E94" s="6" t="str">
        <f aca="false">IF(D94&gt;Settings!$C$4,"Bullish",IF(D94&lt;-Settings!$C$4,"Bearish","Neutral"))</f>
        <v>Neutral</v>
      </c>
      <c r="F94" s="8"/>
      <c r="G94" s="20" t="n">
        <v>0.009712867630276</v>
      </c>
      <c r="H94" s="6" t="str">
        <f aca="false">IF(G94="","",IF(G94&gt;0,"Bullish",IF(G94&lt;0,"Bearish","Flat")))</f>
        <v>Bullish</v>
      </c>
      <c r="I94" s="6" t="str">
        <f aca="false">IF(OR(G94="",E94="Neutral"),"",IF(E94=H94,1,0))</f>
        <v/>
      </c>
      <c r="J94" s="6" t="s">
        <v>150</v>
      </c>
    </row>
    <row r="95" customFormat="false" ht="15" hidden="false" customHeight="false" outlineLevel="0" collapsed="false">
      <c r="A95" s="19" t="n">
        <v>46141</v>
      </c>
      <c r="B95" s="6" t="s">
        <v>43</v>
      </c>
      <c r="C95" s="6" t="s">
        <v>149</v>
      </c>
      <c r="D95" s="7" t="n">
        <v>-0.3217</v>
      </c>
      <c r="E95" s="6" t="str">
        <f aca="false">IF(D95&gt;Settings!$C$4,"Bullish",IF(D95&lt;-Settings!$C$4,"Bearish","Neutral"))</f>
        <v>Bearish</v>
      </c>
      <c r="F95" s="8" t="n">
        <v>0.552</v>
      </c>
      <c r="G95" s="20" t="n">
        <v>0.0310325371450066</v>
      </c>
      <c r="H95" s="6" t="str">
        <f aca="false">IF(G95="","",IF(G95&gt;0,"Bullish",IF(G95&lt;0,"Bearish","Flat")))</f>
        <v>Bullish</v>
      </c>
      <c r="I95" s="6" t="n">
        <f aca="false">IF(OR(G95="",E95="Neutral"),"",IF(E95=H95,1,0))</f>
        <v>0</v>
      </c>
      <c r="J95" s="6" t="s">
        <v>150</v>
      </c>
    </row>
    <row r="96" customFormat="false" ht="15" hidden="false" customHeight="false" outlineLevel="0" collapsed="false">
      <c r="A96" s="19" t="n">
        <v>46141</v>
      </c>
      <c r="B96" s="6" t="s">
        <v>51</v>
      </c>
      <c r="C96" s="6" t="s">
        <v>149</v>
      </c>
      <c r="D96" s="7" t="n">
        <v>0.2949</v>
      </c>
      <c r="E96" s="6" t="str">
        <f aca="false">IF(D96&gt;Settings!$C$4,"Bullish",IF(D96&lt;-Settings!$C$4,"Bearish","Neutral"))</f>
        <v>Bullish</v>
      </c>
      <c r="F96" s="8" t="n">
        <v>0.534</v>
      </c>
      <c r="G96" s="20" t="n">
        <v>0.0410210876803551</v>
      </c>
      <c r="H96" s="6" t="str">
        <f aca="false">IF(G96="","",IF(G96&gt;0,"Bullish",IF(G96&lt;0,"Bearish","Flat")))</f>
        <v>Bullish</v>
      </c>
      <c r="I96" s="6" t="n">
        <f aca="false">IF(OR(G96="",E96="Neutral"),"",IF(E96=H96,1,0))</f>
        <v>1</v>
      </c>
      <c r="J96" s="6" t="s">
        <v>150</v>
      </c>
    </row>
    <row r="97" customFormat="false" ht="15" hidden="false" customHeight="false" outlineLevel="0" collapsed="false">
      <c r="A97" s="19" t="n">
        <v>46142</v>
      </c>
      <c r="B97" s="6" t="s">
        <v>22</v>
      </c>
      <c r="C97" s="6" t="s">
        <v>154</v>
      </c>
      <c r="D97" s="7" t="n">
        <v>0.4688</v>
      </c>
      <c r="E97" s="6" t="str">
        <f aca="false">IF(D97&gt;Settings!$C$4,"Bullish",IF(D97&lt;-Settings!$C$4,"Bearish","Neutral"))</f>
        <v>Bullish</v>
      </c>
      <c r="F97" s="8" t="n">
        <v>0.533</v>
      </c>
      <c r="G97" s="20" t="n">
        <v>-0.0003152295025661</v>
      </c>
      <c r="H97" s="6" t="str">
        <f aca="false">IF(G97="","",IF(G97&gt;0,"Bullish",IF(G97&lt;0,"Bearish","Flat")))</f>
        <v>Bearish</v>
      </c>
      <c r="I97" s="6" t="n">
        <f aca="false">IF(OR(G97="",E97="Neutral"),"",IF(E97=H97,1,0))</f>
        <v>0</v>
      </c>
      <c r="J97" s="6" t="s">
        <v>150</v>
      </c>
    </row>
    <row r="98" customFormat="false" ht="15" hidden="false" customHeight="false" outlineLevel="0" collapsed="false">
      <c r="A98" s="19" t="n">
        <v>46142</v>
      </c>
      <c r="B98" s="6" t="s">
        <v>53</v>
      </c>
      <c r="C98" s="6" t="s">
        <v>154</v>
      </c>
      <c r="D98" s="7" t="n">
        <v>-0.3907</v>
      </c>
      <c r="E98" s="6" t="str">
        <f aca="false">IF(D98&gt;Settings!$C$4,"Bullish",IF(D98&lt;-Settings!$C$4,"Bearish","Neutral"))</f>
        <v>Bearish</v>
      </c>
      <c r="F98" s="8" t="n">
        <v>0.535</v>
      </c>
      <c r="G98" s="20" t="n">
        <v>0.0153846153846153</v>
      </c>
      <c r="H98" s="6" t="str">
        <f aca="false">IF(G98="","",IF(G98&gt;0,"Bullish",IF(G98&lt;0,"Bearish","Flat")))</f>
        <v>Bullish</v>
      </c>
      <c r="I98" s="6" t="n">
        <f aca="false">IF(OR(G98="",E98="Neutral"),"",IF(E98=H98,1,0))</f>
        <v>0</v>
      </c>
      <c r="J98" s="6" t="s">
        <v>150</v>
      </c>
    </row>
    <row r="99" customFormat="false" ht="15" hidden="false" customHeight="false" outlineLevel="0" collapsed="false">
      <c r="A99" s="19" t="n">
        <v>46142</v>
      </c>
      <c r="B99" s="6" t="s">
        <v>18</v>
      </c>
      <c r="C99" s="6" t="s">
        <v>154</v>
      </c>
      <c r="D99" s="7" t="n">
        <v>0.0051</v>
      </c>
      <c r="E99" s="6" t="str">
        <f aca="false">IF(D99&gt;Settings!$C$4,"Bullish",IF(D99&lt;-Settings!$C$4,"Bearish","Neutral"))</f>
        <v>Neutral</v>
      </c>
      <c r="F99" s="8"/>
      <c r="G99" s="20" t="n">
        <v>2.5003177487104E-005</v>
      </c>
      <c r="H99" s="6" t="str">
        <f aca="false">IF(G99="","",IF(G99&gt;0,"Bullish",IF(G99&lt;0,"Bearish","Flat")))</f>
        <v>Bullish</v>
      </c>
      <c r="I99" s="6" t="str">
        <f aca="false">IF(OR(G99="",E99="Neutral"),"",IF(E99=H99,1,0))</f>
        <v/>
      </c>
      <c r="J99" s="6" t="s">
        <v>150</v>
      </c>
    </row>
    <row r="100" customFormat="false" ht="15" hidden="false" customHeight="false" outlineLevel="0" collapsed="false">
      <c r="A100" s="19" t="n">
        <v>46142</v>
      </c>
      <c r="B100" s="6" t="s">
        <v>18</v>
      </c>
      <c r="C100" s="6" t="s">
        <v>149</v>
      </c>
      <c r="D100" s="7" t="n">
        <v>-0.0436</v>
      </c>
      <c r="E100" s="6" t="str">
        <f aca="false">IF(D100&gt;Settings!$C$4,"Bullish",IF(D100&lt;-Settings!$C$4,"Bearish","Neutral"))</f>
        <v>Neutral</v>
      </c>
      <c r="F100" s="8"/>
      <c r="G100" s="20" t="n">
        <v>0.0137392460291829</v>
      </c>
      <c r="H100" s="6" t="str">
        <f aca="false">IF(G100="","",IF(G100&gt;0,"Bullish",IF(G100&lt;0,"Bearish","Flat")))</f>
        <v>Bullish</v>
      </c>
      <c r="I100" s="6" t="str">
        <f aca="false">IF(OR(G100="",E100="Neutral"),"",IF(E100=H100,1,0))</f>
        <v/>
      </c>
      <c r="J100" s="6" t="s">
        <v>150</v>
      </c>
    </row>
    <row r="101" customFormat="false" ht="15" hidden="false" customHeight="false" outlineLevel="0" collapsed="false">
      <c r="A101" s="19" t="n">
        <v>46142</v>
      </c>
      <c r="B101" s="6" t="s">
        <v>51</v>
      </c>
      <c r="C101" s="6" t="s">
        <v>149</v>
      </c>
      <c r="D101" s="7" t="n">
        <v>0.3062</v>
      </c>
      <c r="E101" s="6" t="str">
        <f aca="false">IF(D101&gt;Settings!$C$4,"Bullish",IF(D101&lt;-Settings!$C$4,"Bearish","Neutral"))</f>
        <v>Bullish</v>
      </c>
      <c r="F101" s="8" t="n">
        <v>0.538</v>
      </c>
      <c r="G101" s="20" t="n">
        <v>0.0681179462015435</v>
      </c>
      <c r="H101" s="6" t="str">
        <f aca="false">IF(G101="","",IF(G101&gt;0,"Bullish",IF(G101&lt;0,"Bearish","Flat")))</f>
        <v>Bullish</v>
      </c>
      <c r="I101" s="6" t="n">
        <f aca="false">IF(OR(G101="",E101="Neutral"),"",IF(E101=H101,1,0))</f>
        <v>1</v>
      </c>
      <c r="J101" s="6" t="s">
        <v>150</v>
      </c>
    </row>
    <row r="102" customFormat="false" ht="15" hidden="false" customHeight="false" outlineLevel="0" collapsed="false">
      <c r="A102" s="19" t="n">
        <v>46143</v>
      </c>
      <c r="B102" s="6" t="s">
        <v>18</v>
      </c>
      <c r="C102" s="6" t="s">
        <v>154</v>
      </c>
      <c r="D102" s="7" t="n">
        <v>-0.215</v>
      </c>
      <c r="E102" s="6" t="str">
        <f aca="false">IF(D102&gt;Settings!$C$4,"Bullish",IF(D102&lt;-Settings!$C$4,"Bearish","Neutral"))</f>
        <v>Bearish</v>
      </c>
      <c r="F102" s="8" t="n">
        <v>0.481</v>
      </c>
      <c r="G102" s="20"/>
      <c r="H102" s="6" t="str">
        <f aca="false">IF(G102="","",IF(G102&gt;0,"Bullish",IF(G102&lt;0,"Bearish","Flat")))</f>
        <v/>
      </c>
      <c r="I102" s="6" t="str">
        <f aca="false">IF(OR(G102="",E102="Neutral"),"",IF(E102=H102,1,0))</f>
        <v/>
      </c>
      <c r="J102" s="6" t="s">
        <v>150</v>
      </c>
    </row>
    <row r="103" customFormat="false" ht="15" hidden="false" customHeight="false" outlineLevel="0" collapsed="false">
      <c r="A103" s="19" t="n">
        <v>46143</v>
      </c>
      <c r="B103" s="6" t="s">
        <v>18</v>
      </c>
      <c r="C103" s="6" t="s">
        <v>149</v>
      </c>
      <c r="D103" s="7" t="n">
        <v>-0.033</v>
      </c>
      <c r="E103" s="6" t="str">
        <f aca="false">IF(D103&gt;Settings!$C$4,"Bullish",IF(D103&lt;-Settings!$C$4,"Bearish","Neutral"))</f>
        <v>Neutral</v>
      </c>
      <c r="F103" s="8"/>
      <c r="G103" s="20"/>
      <c r="H103" s="6" t="str">
        <f aca="false">IF(G103="","",IF(G103&gt;0,"Bullish",IF(G103&lt;0,"Bearish","Flat")))</f>
        <v/>
      </c>
      <c r="I103" s="6" t="str">
        <f aca="false">IF(OR(G103="",E103="Neutral"),"",IF(E103=H103,1,0))</f>
        <v/>
      </c>
      <c r="J103" s="6" t="s">
        <v>150</v>
      </c>
    </row>
    <row r="104" customFormat="false" ht="15" hidden="false" customHeight="false" outlineLevel="0" collapsed="false">
      <c r="A104" s="19" t="n">
        <v>46143</v>
      </c>
      <c r="B104" s="6" t="s">
        <v>51</v>
      </c>
      <c r="C104" s="6" t="s">
        <v>149</v>
      </c>
      <c r="D104" s="7" t="n">
        <v>0.3017</v>
      </c>
      <c r="E104" s="6" t="str">
        <f aca="false">IF(D104&gt;Settings!$C$4,"Bullish",IF(D104&lt;-Settings!$C$4,"Bearish","Neutral"))</f>
        <v>Bullish</v>
      </c>
      <c r="F104" s="8" t="n">
        <v>0.538</v>
      </c>
      <c r="G104" s="20"/>
      <c r="H104" s="6" t="str">
        <f aca="false">IF(G104="","",IF(G104&gt;0,"Bullish",IF(G104&lt;0,"Bearish","Flat")))</f>
        <v/>
      </c>
      <c r="I104" s="6" t="str">
        <f aca="false">IF(OR(G104="",E104="Neutral"),"",IF(E104=H104,1,0))</f>
        <v/>
      </c>
      <c r="J104" s="6" t="s">
        <v>150</v>
      </c>
    </row>
    <row r="105" customFormat="false" ht="15" hidden="false" customHeight="false" outlineLevel="0" collapsed="false">
      <c r="A105" s="19" t="n">
        <v>46146</v>
      </c>
      <c r="B105" s="6" t="s">
        <v>18</v>
      </c>
      <c r="C105" s="6" t="s">
        <v>154</v>
      </c>
      <c r="D105" s="7" t="n">
        <v>0.043</v>
      </c>
      <c r="E105" s="6" t="str">
        <f aca="false">IF(D105&gt;Settings!$C$4,"Bullish",IF(D105&lt;-Settings!$C$4,"Bearish","Neutral"))</f>
        <v>Neutral</v>
      </c>
      <c r="F105" s="8"/>
      <c r="G105" s="20" t="n">
        <v>0.0023167820209404</v>
      </c>
      <c r="H105" s="6" t="str">
        <f aca="false">IF(G105="","",IF(G105&gt;0,"Bullish",IF(G105&lt;0,"Bearish","Flat")))</f>
        <v>Bullish</v>
      </c>
      <c r="I105" s="6" t="str">
        <f aca="false">IF(OR(G105="",E105="Neutral"),"",IF(E105=H105,1,0))</f>
        <v/>
      </c>
      <c r="J105" s="6" t="s">
        <v>150</v>
      </c>
    </row>
    <row r="106" customFormat="false" ht="15" hidden="false" customHeight="false" outlineLevel="0" collapsed="false">
      <c r="A106" s="19" t="n">
        <v>46146</v>
      </c>
      <c r="B106" s="6" t="s">
        <v>18</v>
      </c>
      <c r="C106" s="6" t="s">
        <v>149</v>
      </c>
      <c r="D106" s="7" t="n">
        <v>-0.0316</v>
      </c>
      <c r="E106" s="6" t="str">
        <f aca="false">IF(D106&gt;Settings!$C$4,"Bullish",IF(D106&lt;-Settings!$C$4,"Bearish","Neutral"))</f>
        <v>Neutral</v>
      </c>
      <c r="F106" s="8"/>
      <c r="G106" s="20" t="n">
        <v>0.0046792763328769</v>
      </c>
      <c r="H106" s="6" t="str">
        <f aca="false">IF(G106="","",IF(G106&gt;0,"Bullish",IF(G106&lt;0,"Bearish","Flat")))</f>
        <v>Bullish</v>
      </c>
      <c r="I106" s="6" t="str">
        <f aca="false">IF(OR(G106="",E106="Neutral"),"",IF(E106=H106,1,0))</f>
        <v/>
      </c>
      <c r="J106" s="6" t="s">
        <v>150</v>
      </c>
    </row>
    <row r="107" customFormat="false" ht="15" hidden="false" customHeight="false" outlineLevel="0" collapsed="false">
      <c r="A107" s="19" t="n">
        <v>46146</v>
      </c>
      <c r="B107" s="6" t="s">
        <v>51</v>
      </c>
      <c r="C107" s="6" t="s">
        <v>149</v>
      </c>
      <c r="D107" s="7" t="n">
        <v>0.2951</v>
      </c>
      <c r="E107" s="6" t="str">
        <f aca="false">IF(D107&gt;Settings!$C$4,"Bullish",IF(D107&lt;-Settings!$C$4,"Bearish","Neutral"))</f>
        <v>Bullish</v>
      </c>
      <c r="F107" s="8" t="n">
        <v>0.534</v>
      </c>
      <c r="G107" s="20" t="n">
        <v>0.0306840614539523</v>
      </c>
      <c r="H107" s="6" t="str">
        <f aca="false">IF(G107="","",IF(G107&gt;0,"Bullish",IF(G107&lt;0,"Bearish","Flat")))</f>
        <v>Bullish</v>
      </c>
      <c r="I107" s="6" t="n">
        <f aca="false">IF(OR(G107="",E107="Neutral"),"",IF(E107=H107,1,0))</f>
        <v>1</v>
      </c>
      <c r="J107" s="6" t="s">
        <v>150</v>
      </c>
    </row>
    <row r="108" customFormat="false" ht="15" hidden="false" customHeight="false" outlineLevel="0" collapsed="false">
      <c r="A108" s="19" t="n">
        <v>46147</v>
      </c>
      <c r="B108" s="6" t="s">
        <v>35</v>
      </c>
      <c r="C108" s="6" t="s">
        <v>154</v>
      </c>
      <c r="D108" s="7" t="n">
        <v>0.1735</v>
      </c>
      <c r="E108" s="6" t="str">
        <f aca="false">IF(D108&gt;Settings!$C$4,"Bullish",IF(D108&lt;-Settings!$C$4,"Bearish","Neutral"))</f>
        <v>Bullish</v>
      </c>
      <c r="F108" s="8" t="n">
        <v>0.531</v>
      </c>
      <c r="G108" s="20" t="n">
        <v>0.0012882763412951</v>
      </c>
      <c r="H108" s="6" t="str">
        <f aca="false">IF(G108="","",IF(G108&gt;0,"Bullish",IF(G108&lt;0,"Bearish","Flat")))</f>
        <v>Bullish</v>
      </c>
      <c r="I108" s="6" t="n">
        <f aca="false">IF(OR(G108="",E108="Neutral"),"",IF(E108=H108,1,0))</f>
        <v>1</v>
      </c>
      <c r="J108" s="6" t="s">
        <v>150</v>
      </c>
    </row>
    <row r="109" customFormat="false" ht="15" hidden="false" customHeight="false" outlineLevel="0" collapsed="false">
      <c r="A109" s="19" t="n">
        <v>46147</v>
      </c>
      <c r="B109" s="6" t="s">
        <v>18</v>
      </c>
      <c r="C109" s="6" t="s">
        <v>154</v>
      </c>
      <c r="D109" s="7" t="n">
        <v>0.2819</v>
      </c>
      <c r="E109" s="6" t="str">
        <f aca="false">IF(D109&gt;Settings!$C$4,"Bullish",IF(D109&lt;-Settings!$C$4,"Bearish","Neutral"))</f>
        <v>Bullish</v>
      </c>
      <c r="F109" s="8" t="n">
        <v>0.481</v>
      </c>
      <c r="G109" s="20" t="n">
        <v>-0.0008231958291411</v>
      </c>
      <c r="H109" s="6" t="str">
        <f aca="false">IF(G109="","",IF(G109&gt;0,"Bullish",IF(G109&lt;0,"Bearish","Flat")))</f>
        <v>Bearish</v>
      </c>
      <c r="I109" s="6" t="n">
        <f aca="false">IF(OR(G109="",E109="Neutral"),"",IF(E109=H109,1,0))</f>
        <v>0</v>
      </c>
      <c r="J109" s="6" t="s">
        <v>150</v>
      </c>
    </row>
    <row r="110" customFormat="false" ht="15" hidden="false" customHeight="false" outlineLevel="0" collapsed="false">
      <c r="A110" s="19" t="n">
        <v>46147</v>
      </c>
      <c r="B110" s="6" t="s">
        <v>18</v>
      </c>
      <c r="C110" s="6" t="s">
        <v>149</v>
      </c>
      <c r="D110" s="7" t="n">
        <v>-0.0344</v>
      </c>
      <c r="E110" s="6" t="str">
        <f aca="false">IF(D110&gt;Settings!$C$4,"Bullish",IF(D110&lt;-Settings!$C$4,"Bearish","Neutral"))</f>
        <v>Neutral</v>
      </c>
      <c r="F110" s="8"/>
      <c r="G110" s="20" t="n">
        <v>-0.0098430107348062</v>
      </c>
      <c r="H110" s="6" t="str">
        <f aca="false">IF(G110="","",IF(G110&gt;0,"Bullish",IF(G110&lt;0,"Bearish","Flat")))</f>
        <v>Bearish</v>
      </c>
      <c r="I110" s="6" t="str">
        <f aca="false">IF(OR(G110="",E110="Neutral"),"",IF(E110=H110,1,0))</f>
        <v/>
      </c>
      <c r="J110" s="6" t="s">
        <v>150</v>
      </c>
    </row>
    <row r="111" customFormat="false" ht="15" hidden="false" customHeight="false" outlineLevel="0" collapsed="false">
      <c r="A111" s="19" t="n">
        <v>46147</v>
      </c>
      <c r="B111" s="6" t="s">
        <v>51</v>
      </c>
      <c r="C111" s="6" t="s">
        <v>149</v>
      </c>
      <c r="D111" s="7" t="n">
        <v>0.2873</v>
      </c>
      <c r="E111" s="6" t="str">
        <f aca="false">IF(D111&gt;Settings!$C$4,"Bullish",IF(D111&lt;-Settings!$C$4,"Bearish","Neutral"))</f>
        <v>Bullish</v>
      </c>
      <c r="F111" s="8" t="n">
        <v>0.534</v>
      </c>
      <c r="G111" s="20" t="n">
        <v>0.0613151528480315</v>
      </c>
      <c r="H111" s="6" t="str">
        <f aca="false">IF(G111="","",IF(G111&gt;0,"Bullish",IF(G111&lt;0,"Bearish","Flat")))</f>
        <v>Bullish</v>
      </c>
      <c r="I111" s="6" t="n">
        <f aca="false">IF(OR(G111="",E111="Neutral"),"",IF(E111=H111,1,0))</f>
        <v>1</v>
      </c>
      <c r="J111" s="6" t="s">
        <v>150</v>
      </c>
    </row>
    <row r="112" customFormat="false" ht="15" hidden="false" customHeight="false" outlineLevel="0" collapsed="false">
      <c r="A112" s="19" t="n">
        <v>46148</v>
      </c>
      <c r="B112" s="6" t="s">
        <v>34</v>
      </c>
      <c r="C112" s="6" t="s">
        <v>149</v>
      </c>
      <c r="D112" s="7" t="n">
        <v>-0.4733</v>
      </c>
      <c r="E112" s="6" t="str">
        <f aca="false">IF(D112&gt;Settings!$C$4,"Bullish",IF(D112&lt;-Settings!$C$4,"Bearish","Neutral"))</f>
        <v>Bearish</v>
      </c>
      <c r="F112" s="8" t="n">
        <v>0.551</v>
      </c>
      <c r="G112" s="20" t="n">
        <v>-0.0332530654922212</v>
      </c>
      <c r="H112" s="6" t="str">
        <f aca="false">IF(G112="","",IF(G112&gt;0,"Bullish",IF(G112&lt;0,"Bearish","Flat")))</f>
        <v>Bearish</v>
      </c>
      <c r="I112" s="6" t="n">
        <f aca="false">IF(OR(G112="",E112="Neutral"),"",IF(E112=H112,1,0))</f>
        <v>1</v>
      </c>
      <c r="J112" s="6" t="s">
        <v>150</v>
      </c>
    </row>
    <row r="113" customFormat="false" ht="15" hidden="false" customHeight="false" outlineLevel="0" collapsed="false">
      <c r="A113" s="19" t="n">
        <v>46148</v>
      </c>
      <c r="B113" s="6" t="s">
        <v>53</v>
      </c>
      <c r="C113" s="6" t="s">
        <v>154</v>
      </c>
      <c r="D113" s="7" t="n">
        <v>-0.3787</v>
      </c>
      <c r="E113" s="6" t="str">
        <f aca="false">IF(D113&gt;Settings!$C$4,"Bullish",IF(D113&lt;-Settings!$C$4,"Bearish","Neutral"))</f>
        <v>Bearish</v>
      </c>
      <c r="F113" s="8" t="n">
        <v>0.535</v>
      </c>
      <c r="G113" s="20" t="n">
        <v>-0.028268551236749</v>
      </c>
      <c r="H113" s="6" t="str">
        <f aca="false">IF(G113="","",IF(G113&gt;0,"Bullish",IF(G113&lt;0,"Bearish","Flat")))</f>
        <v>Bearish</v>
      </c>
      <c r="I113" s="6" t="n">
        <f aca="false">IF(OR(G113="",E113="Neutral"),"",IF(E113=H113,1,0))</f>
        <v>1</v>
      </c>
      <c r="J113" s="6" t="s">
        <v>150</v>
      </c>
    </row>
    <row r="114" customFormat="false" ht="15" hidden="false" customHeight="false" outlineLevel="0" collapsed="false">
      <c r="A114" s="19" t="n">
        <v>46148</v>
      </c>
      <c r="B114" s="6" t="s">
        <v>18</v>
      </c>
      <c r="C114" s="6" t="s">
        <v>154</v>
      </c>
      <c r="D114" s="7" t="n">
        <v>0.0116</v>
      </c>
      <c r="E114" s="6" t="str">
        <f aca="false">IF(D114&gt;Settings!$C$4,"Bullish",IF(D114&lt;-Settings!$C$4,"Bearish","Neutral"))</f>
        <v>Neutral</v>
      </c>
      <c r="F114" s="8"/>
      <c r="G114" s="20" t="n">
        <v>0.006617434115262</v>
      </c>
      <c r="H114" s="6" t="str">
        <f aca="false">IF(G114="","",IF(G114&gt;0,"Bullish",IF(G114&lt;0,"Bearish","Flat")))</f>
        <v>Bullish</v>
      </c>
      <c r="I114" s="6" t="str">
        <f aca="false">IF(OR(G114="",E114="Neutral"),"",IF(E114=H114,1,0))</f>
        <v/>
      </c>
      <c r="J114" s="6" t="s">
        <v>150</v>
      </c>
    </row>
    <row r="115" customFormat="false" ht="15" hidden="false" customHeight="false" outlineLevel="0" collapsed="false">
      <c r="A115" s="19" t="n">
        <v>46148</v>
      </c>
      <c r="B115" s="6" t="s">
        <v>18</v>
      </c>
      <c r="C115" s="6" t="s">
        <v>149</v>
      </c>
      <c r="D115" s="7" t="n">
        <v>0.0026</v>
      </c>
      <c r="E115" s="6" t="str">
        <f aca="false">IF(D115&gt;Settings!$C$4,"Bullish",IF(D115&lt;-Settings!$C$4,"Bearish","Neutral"))</f>
        <v>Neutral</v>
      </c>
      <c r="F115" s="8"/>
      <c r="G115" s="20" t="n">
        <v>-0.0327437838732365</v>
      </c>
      <c r="H115" s="6" t="str">
        <f aca="false">IF(G115="","",IF(G115&gt;0,"Bullish",IF(G115&lt;0,"Bearish","Flat")))</f>
        <v>Bearish</v>
      </c>
      <c r="I115" s="6" t="str">
        <f aca="false">IF(OR(G115="",E115="Neutral"),"",IF(E115=H115,1,0))</f>
        <v/>
      </c>
      <c r="J115" s="6" t="s">
        <v>150</v>
      </c>
    </row>
    <row r="116" customFormat="false" ht="15" hidden="false" customHeight="false" outlineLevel="0" collapsed="false">
      <c r="A116" s="19" t="n">
        <v>46148</v>
      </c>
      <c r="B116" s="6" t="s">
        <v>51</v>
      </c>
      <c r="C116" s="6" t="s">
        <v>149</v>
      </c>
      <c r="D116" s="7" t="n">
        <v>0.2795</v>
      </c>
      <c r="E116" s="6" t="str">
        <f aca="false">IF(D116&gt;Settings!$C$4,"Bullish",IF(D116&lt;-Settings!$C$4,"Bearish","Neutral"))</f>
        <v>Bullish</v>
      </c>
      <c r="F116" s="8" t="n">
        <v>0.534</v>
      </c>
      <c r="G116" s="20" t="n">
        <v>0.0853143841515935</v>
      </c>
      <c r="H116" s="6" t="str">
        <f aca="false">IF(G116="","",IF(G116&gt;0,"Bullish",IF(G116&lt;0,"Bearish","Flat")))</f>
        <v>Bullish</v>
      </c>
      <c r="I116" s="6" t="n">
        <f aca="false">IF(OR(G116="",E116="Neutral"),"",IF(E116=H116,1,0))</f>
        <v>1</v>
      </c>
      <c r="J116" s="6" t="s">
        <v>150</v>
      </c>
    </row>
    <row r="117" customFormat="false" ht="15" hidden="false" customHeight="false" outlineLevel="0" collapsed="false">
      <c r="A117" s="19" t="n">
        <v>46149</v>
      </c>
      <c r="B117" s="6" t="s">
        <v>34</v>
      </c>
      <c r="C117" s="6" t="s">
        <v>149</v>
      </c>
      <c r="D117" s="7" t="n">
        <v>-0.414</v>
      </c>
      <c r="E117" s="6" t="str">
        <f aca="false">IF(D117&gt;Settings!$C$4,"Bullish",IF(D117&lt;-Settings!$C$4,"Bearish","Neutral"))</f>
        <v>Bearish</v>
      </c>
      <c r="F117" s="8" t="n">
        <v>0.551</v>
      </c>
      <c r="G117" s="20" t="n">
        <v>-0.0289126104392339</v>
      </c>
      <c r="H117" s="6" t="str">
        <f aca="false">IF(G117="","",IF(G117&gt;0,"Bullish",IF(G117&lt;0,"Bearish","Flat")))</f>
        <v>Bearish</v>
      </c>
      <c r="I117" s="6" t="n">
        <f aca="false">IF(OR(G117="",E117="Neutral"),"",IF(E117=H117,1,0))</f>
        <v>1</v>
      </c>
      <c r="J117" s="6" t="s">
        <v>150</v>
      </c>
    </row>
    <row r="118" customFormat="false" ht="15" hidden="false" customHeight="false" outlineLevel="0" collapsed="false">
      <c r="A118" s="19" t="n">
        <v>46149</v>
      </c>
      <c r="B118" s="6" t="s">
        <v>18</v>
      </c>
      <c r="C118" s="6" t="s">
        <v>154</v>
      </c>
      <c r="D118" s="7" t="n">
        <v>0.5763</v>
      </c>
      <c r="E118" s="6" t="str">
        <f aca="false">IF(D118&gt;Settings!$C$4,"Bullish",IF(D118&lt;-Settings!$C$4,"Bearish","Neutral"))</f>
        <v>Bullish</v>
      </c>
      <c r="F118" s="8" t="n">
        <v>0.501</v>
      </c>
      <c r="G118" s="20" t="n">
        <v>-0.0029448531672028</v>
      </c>
      <c r="H118" s="6" t="str">
        <f aca="false">IF(G118="","",IF(G118&gt;0,"Bullish",IF(G118&lt;0,"Bearish","Flat")))</f>
        <v>Bearish</v>
      </c>
      <c r="I118" s="6" t="n">
        <f aca="false">IF(OR(G118="",E118="Neutral"),"",IF(E118=H118,1,0))</f>
        <v>0</v>
      </c>
      <c r="J118" s="6" t="s">
        <v>150</v>
      </c>
    </row>
    <row r="119" customFormat="false" ht="15" hidden="false" customHeight="false" outlineLevel="0" collapsed="false">
      <c r="A119" s="19" t="n">
        <v>46149</v>
      </c>
      <c r="B119" s="6" t="s">
        <v>18</v>
      </c>
      <c r="C119" s="6" t="s">
        <v>149</v>
      </c>
      <c r="D119" s="7" t="n">
        <v>0.0346</v>
      </c>
      <c r="E119" s="6" t="str">
        <f aca="false">IF(D119&gt;Settings!$C$4,"Bullish",IF(D119&lt;-Settings!$C$4,"Bearish","Neutral"))</f>
        <v>Neutral</v>
      </c>
      <c r="F119" s="8"/>
      <c r="G119" s="20" t="n">
        <v>-0.040408221816915</v>
      </c>
      <c r="H119" s="6" t="str">
        <f aca="false">IF(G119="","",IF(G119&gt;0,"Bullish",IF(G119&lt;0,"Bearish","Flat")))</f>
        <v>Bearish</v>
      </c>
      <c r="I119" s="6" t="str">
        <f aca="false">IF(OR(G119="",E119="Neutral"),"",IF(E119=H119,1,0))</f>
        <v/>
      </c>
      <c r="J119" s="6" t="s">
        <v>150</v>
      </c>
    </row>
    <row r="120" customFormat="false" ht="15" hidden="false" customHeight="false" outlineLevel="0" collapsed="false">
      <c r="A120" s="19" t="n">
        <v>46149</v>
      </c>
      <c r="B120" s="6" t="s">
        <v>51</v>
      </c>
      <c r="C120" s="6" t="s">
        <v>149</v>
      </c>
      <c r="D120" s="7" t="n">
        <v>0.2716</v>
      </c>
      <c r="E120" s="6" t="str">
        <f aca="false">IF(D120&gt;Settings!$C$4,"Bullish",IF(D120&lt;-Settings!$C$4,"Bearish","Neutral"))</f>
        <v>Bullish</v>
      </c>
      <c r="F120" s="8" t="n">
        <v>0.534</v>
      </c>
      <c r="G120" s="20" t="n">
        <v>0.139196617336152</v>
      </c>
      <c r="H120" s="6" t="str">
        <f aca="false">IF(G120="","",IF(G120&gt;0,"Bullish",IF(G120&lt;0,"Bearish","Flat")))</f>
        <v>Bullish</v>
      </c>
      <c r="I120" s="6" t="n">
        <f aca="false">IF(OR(G120="",E120="Neutral"),"",IF(E120=H120,1,0))</f>
        <v>1</v>
      </c>
      <c r="J120" s="6" t="s">
        <v>150</v>
      </c>
    </row>
    <row r="121" customFormat="false" ht="15" hidden="false" customHeight="false" outlineLevel="0" collapsed="false">
      <c r="A121" s="19" t="n">
        <v>46150</v>
      </c>
      <c r="B121" s="6" t="s">
        <v>30</v>
      </c>
      <c r="C121" s="6" t="s">
        <v>149</v>
      </c>
      <c r="D121" s="7" t="n">
        <v>0.276</v>
      </c>
      <c r="E121" s="6" t="str">
        <f aca="false">IF(D121&gt;Settings!$C$4,"Bullish",IF(D121&lt;-Settings!$C$4,"Bearish","Neutral"))</f>
        <v>Bullish</v>
      </c>
      <c r="F121" s="8" t="n">
        <v>0.531</v>
      </c>
      <c r="G121" s="20" t="n">
        <v>-0.0064256650925352</v>
      </c>
      <c r="H121" s="6" t="str">
        <f aca="false">IF(G121="","",IF(G121&gt;0,"Bullish",IF(G121&lt;0,"Bearish","Flat")))</f>
        <v>Bearish</v>
      </c>
      <c r="I121" s="6" t="n">
        <f aca="false">IF(OR(G121="",E121="Neutral"),"",IF(E121=H121,1,0))</f>
        <v>0</v>
      </c>
      <c r="J121" s="6" t="s">
        <v>150</v>
      </c>
    </row>
    <row r="122" customFormat="false" ht="15" hidden="false" customHeight="false" outlineLevel="0" collapsed="false">
      <c r="A122" s="19" t="n">
        <v>46150</v>
      </c>
      <c r="B122" s="6" t="s">
        <v>34</v>
      </c>
      <c r="C122" s="6" t="s">
        <v>149</v>
      </c>
      <c r="D122" s="7" t="n">
        <v>-0.3549</v>
      </c>
      <c r="E122" s="6" t="str">
        <f aca="false">IF(D122&gt;Settings!$C$4,"Bullish",IF(D122&lt;-Settings!$C$4,"Bearish","Neutral"))</f>
        <v>Bearish</v>
      </c>
      <c r="F122" s="8" t="n">
        <v>0.551</v>
      </c>
      <c r="G122" s="20" t="n">
        <v>-0.0125738436648592</v>
      </c>
      <c r="H122" s="6" t="str">
        <f aca="false">IF(G122="","",IF(G122&gt;0,"Bullish",IF(G122&lt;0,"Bearish","Flat")))</f>
        <v>Bearish</v>
      </c>
      <c r="I122" s="6" t="n">
        <f aca="false">IF(OR(G122="",E122="Neutral"),"",IF(E122=H122,1,0))</f>
        <v>1</v>
      </c>
      <c r="J122" s="6" t="s">
        <v>150</v>
      </c>
    </row>
    <row r="123" customFormat="false" ht="15" hidden="false" customHeight="false" outlineLevel="0" collapsed="false">
      <c r="A123" s="19" t="n">
        <v>46150</v>
      </c>
      <c r="B123" s="6" t="s">
        <v>18</v>
      </c>
      <c r="C123" s="6" t="s">
        <v>154</v>
      </c>
      <c r="D123" s="7" t="n">
        <v>0.2033</v>
      </c>
      <c r="E123" s="6" t="str">
        <f aca="false">IF(D123&gt;Settings!$C$4,"Bullish",IF(D123&lt;-Settings!$C$4,"Bearish","Neutral"))</f>
        <v>Bullish</v>
      </c>
      <c r="F123" s="8" t="n">
        <v>0.481</v>
      </c>
      <c r="G123" s="20" t="n">
        <v>-0.0023727337813329</v>
      </c>
      <c r="H123" s="6" t="str">
        <f aca="false">IF(G123="","",IF(G123&gt;0,"Bullish",IF(G123&lt;0,"Bearish","Flat")))</f>
        <v>Bearish</v>
      </c>
      <c r="I123" s="6" t="n">
        <f aca="false">IF(OR(G123="",E123="Neutral"),"",IF(E123=H123,1,0))</f>
        <v>0</v>
      </c>
      <c r="J123" s="6" t="s">
        <v>150</v>
      </c>
    </row>
    <row r="124" customFormat="false" ht="15" hidden="false" customHeight="false" outlineLevel="0" collapsed="false">
      <c r="A124" s="19" t="n">
        <v>46150</v>
      </c>
      <c r="B124" s="6" t="s">
        <v>18</v>
      </c>
      <c r="C124" s="6" t="s">
        <v>149</v>
      </c>
      <c r="D124" s="7" t="n">
        <v>-0.0039</v>
      </c>
      <c r="E124" s="6" t="str">
        <f aca="false">IF(D124&gt;Settings!$C$4,"Bullish",IF(D124&lt;-Settings!$C$4,"Bearish","Neutral"))</f>
        <v>Neutral</v>
      </c>
      <c r="F124" s="8"/>
      <c r="G124" s="20" t="n">
        <v>-0.0224501880649429</v>
      </c>
      <c r="H124" s="6" t="str">
        <f aca="false">IF(G124="","",IF(G124&gt;0,"Bullish",IF(G124&lt;0,"Bearish","Flat")))</f>
        <v>Bearish</v>
      </c>
      <c r="I124" s="6" t="str">
        <f aca="false">IF(OR(G124="",E124="Neutral"),"",IF(E124=H124,1,0))</f>
        <v/>
      </c>
      <c r="J124" s="6" t="s">
        <v>150</v>
      </c>
    </row>
    <row r="125" customFormat="false" ht="15" hidden="false" customHeight="false" outlineLevel="0" collapsed="false">
      <c r="A125" s="19" t="n">
        <v>46150</v>
      </c>
      <c r="B125" s="6" t="s">
        <v>51</v>
      </c>
      <c r="C125" s="6" t="s">
        <v>149</v>
      </c>
      <c r="D125" s="7" t="n">
        <v>0.2138</v>
      </c>
      <c r="E125" s="6" t="str">
        <f aca="false">IF(D125&gt;Settings!$C$4,"Bullish",IF(D125&lt;-Settings!$C$4,"Bearish","Neutral"))</f>
        <v>Bullish</v>
      </c>
      <c r="F125" s="8" t="n">
        <v>0.534</v>
      </c>
      <c r="G125" s="20" t="n">
        <v>0.128733908261467</v>
      </c>
      <c r="H125" s="6" t="str">
        <f aca="false">IF(G125="","",IF(G125&gt;0,"Bullish",IF(G125&lt;0,"Bearish","Flat")))</f>
        <v>Bullish</v>
      </c>
      <c r="I125" s="6" t="n">
        <f aca="false">IF(OR(G125="",E125="Neutral"),"",IF(E125=H125,1,0))</f>
        <v>1</v>
      </c>
      <c r="J125" s="6" t="s">
        <v>150</v>
      </c>
    </row>
    <row r="126" customFormat="false" ht="15" hidden="false" customHeight="false" outlineLevel="0" collapsed="false">
      <c r="A126" s="19" t="n">
        <v>46153</v>
      </c>
      <c r="B126" s="6" t="s">
        <v>22</v>
      </c>
      <c r="C126" s="6" t="s">
        <v>154</v>
      </c>
      <c r="D126" s="7" t="n">
        <v>0.3872</v>
      </c>
      <c r="E126" s="6" t="str">
        <f aca="false">IF(D126&gt;Settings!$C$4,"Bullish",IF(D126&lt;-Settings!$C$4,"Bearish","Neutral"))</f>
        <v>Bullish</v>
      </c>
      <c r="F126" s="8" t="n">
        <v>0.533</v>
      </c>
      <c r="G126" s="20" t="n">
        <v>-0.0071590818940243</v>
      </c>
      <c r="H126" s="6" t="str">
        <f aca="false">IF(G126="","",IF(G126&gt;0,"Bullish",IF(G126&lt;0,"Bearish","Flat")))</f>
        <v>Bearish</v>
      </c>
      <c r="I126" s="6" t="n">
        <f aca="false">IF(OR(G126="",E126="Neutral"),"",IF(E126=H126,1,0))</f>
        <v>0</v>
      </c>
      <c r="J126" s="6" t="s">
        <v>150</v>
      </c>
    </row>
    <row r="127" customFormat="false" ht="15" hidden="false" customHeight="false" outlineLevel="0" collapsed="false">
      <c r="A127" s="19" t="n">
        <v>46153</v>
      </c>
      <c r="B127" s="6" t="s">
        <v>30</v>
      </c>
      <c r="C127" s="6" t="s">
        <v>149</v>
      </c>
      <c r="D127" s="7" t="n">
        <v>0.2657</v>
      </c>
      <c r="E127" s="6" t="str">
        <f aca="false">IF(D127&gt;Settings!$C$4,"Bullish",IF(D127&lt;-Settings!$C$4,"Bearish","Neutral"))</f>
        <v>Bullish</v>
      </c>
      <c r="F127" s="8" t="n">
        <v>0.531</v>
      </c>
      <c r="G127" s="20" t="n">
        <v>-0.0013067765558808</v>
      </c>
      <c r="H127" s="6" t="str">
        <f aca="false">IF(G127="","",IF(G127&gt;0,"Bullish",IF(G127&lt;0,"Bearish","Flat")))</f>
        <v>Bearish</v>
      </c>
      <c r="I127" s="6" t="n">
        <f aca="false">IF(OR(G127="",E127="Neutral"),"",IF(E127=H127,1,0))</f>
        <v>0</v>
      </c>
      <c r="J127" s="6" t="s">
        <v>150</v>
      </c>
    </row>
    <row r="128" customFormat="false" ht="15" hidden="false" customHeight="false" outlineLevel="0" collapsed="false">
      <c r="A128" s="19" t="n">
        <v>46153</v>
      </c>
      <c r="B128" s="6" t="s">
        <v>53</v>
      </c>
      <c r="C128" s="6" t="s">
        <v>154</v>
      </c>
      <c r="D128" s="7" t="n">
        <v>-0.4532</v>
      </c>
      <c r="E128" s="6" t="str">
        <f aca="false">IF(D128&gt;Settings!$C$4,"Bullish",IF(D128&lt;-Settings!$C$4,"Bearish","Neutral"))</f>
        <v>Bearish</v>
      </c>
      <c r="F128" s="8" t="n">
        <v>0.535</v>
      </c>
      <c r="G128" s="20" t="n">
        <v>0.0254545454545453</v>
      </c>
      <c r="H128" s="6" t="str">
        <f aca="false">IF(G128="","",IF(G128&gt;0,"Bullish",IF(G128&lt;0,"Bearish","Flat")))</f>
        <v>Bullish</v>
      </c>
      <c r="I128" s="6" t="n">
        <f aca="false">IF(OR(G128="",E128="Neutral"),"",IF(E128=H128,1,0))</f>
        <v>0</v>
      </c>
      <c r="J128" s="6" t="s">
        <v>150</v>
      </c>
    </row>
    <row r="129" customFormat="false" ht="15" hidden="false" customHeight="false" outlineLevel="0" collapsed="false">
      <c r="A129" s="19" t="n">
        <v>46153</v>
      </c>
      <c r="B129" s="6" t="s">
        <v>18</v>
      </c>
      <c r="C129" s="6" t="s">
        <v>154</v>
      </c>
      <c r="D129" s="7" t="n">
        <v>-0.3361</v>
      </c>
      <c r="E129" s="6" t="str">
        <f aca="false">IF(D129&gt;Settings!$C$4,"Bullish",IF(D129&lt;-Settings!$C$4,"Bearish","Neutral"))</f>
        <v>Bearish</v>
      </c>
      <c r="F129" s="8" t="n">
        <v>0.529</v>
      </c>
      <c r="G129" s="20" t="n">
        <v>-0.0064351003959098</v>
      </c>
      <c r="H129" s="6" t="str">
        <f aca="false">IF(G129="","",IF(G129&gt;0,"Bullish",IF(G129&lt;0,"Bearish","Flat")))</f>
        <v>Bearish</v>
      </c>
      <c r="I129" s="6" t="n">
        <f aca="false">IF(OR(G129="",E129="Neutral"),"",IF(E129=H129,1,0))</f>
        <v>1</v>
      </c>
      <c r="J129" s="6" t="s">
        <v>150</v>
      </c>
    </row>
    <row r="130" customFormat="false" ht="15" hidden="false" customHeight="false" outlineLevel="0" collapsed="false">
      <c r="A130" s="19" t="n">
        <v>46153</v>
      </c>
      <c r="B130" s="6" t="s">
        <v>18</v>
      </c>
      <c r="C130" s="6" t="s">
        <v>149</v>
      </c>
      <c r="D130" s="7" t="n">
        <v>0.0674</v>
      </c>
      <c r="E130" s="6" t="str">
        <f aca="false">IF(D130&gt;Settings!$C$4,"Bullish",IF(D130&lt;-Settings!$C$4,"Bearish","Neutral"))</f>
        <v>Neutral</v>
      </c>
      <c r="F130" s="8"/>
      <c r="G130" s="20" t="n">
        <v>-0.0136253081964613</v>
      </c>
      <c r="H130" s="6" t="str">
        <f aca="false">IF(G130="","",IF(G130&gt;0,"Bullish",IF(G130&lt;0,"Bearish","Flat")))</f>
        <v>Bearish</v>
      </c>
      <c r="I130" s="6" t="str">
        <f aca="false">IF(OR(G130="",E130="Neutral"),"",IF(E130=H130,1,0))</f>
        <v/>
      </c>
      <c r="J130" s="6" t="s">
        <v>150</v>
      </c>
    </row>
    <row r="131" customFormat="false" ht="15" hidden="false" customHeight="false" outlineLevel="0" collapsed="false">
      <c r="A131" s="19" t="n">
        <v>46153</v>
      </c>
      <c r="B131" s="6" t="s">
        <v>51</v>
      </c>
      <c r="C131" s="6" t="s">
        <v>149</v>
      </c>
      <c r="D131" s="7" t="n">
        <v>0.1949</v>
      </c>
      <c r="E131" s="6" t="str">
        <f aca="false">IF(D131&gt;Settings!$C$4,"Bullish",IF(D131&lt;-Settings!$C$4,"Bearish","Neutral"))</f>
        <v>Bullish</v>
      </c>
      <c r="F131" s="8" t="n">
        <v>0.534</v>
      </c>
      <c r="G131" s="20" t="n">
        <v>0.0366359638204296</v>
      </c>
      <c r="H131" s="6" t="str">
        <f aca="false">IF(G131="","",IF(G131&gt;0,"Bullish",IF(G131&lt;0,"Bearish","Flat")))</f>
        <v>Bullish</v>
      </c>
      <c r="I131" s="6" t="n">
        <f aca="false">IF(OR(G131="",E131="Neutral"),"",IF(E131=H131,1,0))</f>
        <v>1</v>
      </c>
      <c r="J131" s="6" t="s">
        <v>150</v>
      </c>
    </row>
    <row r="132" customFormat="false" ht="15" hidden="false" customHeight="false" outlineLevel="0" collapsed="false">
      <c r="A132" s="19" t="n">
        <v>46154</v>
      </c>
      <c r="B132" s="6" t="s">
        <v>30</v>
      </c>
      <c r="C132" s="6" t="s">
        <v>149</v>
      </c>
      <c r="D132" s="7" t="n">
        <v>0.2246</v>
      </c>
      <c r="E132" s="6" t="str">
        <f aca="false">IF(D132&gt;Settings!$C$4,"Bullish",IF(D132&lt;-Settings!$C$4,"Bearish","Neutral"))</f>
        <v>Bullish</v>
      </c>
      <c r="F132" s="8" t="n">
        <v>0.531</v>
      </c>
      <c r="G132" s="20" t="n">
        <v>-0.0023461479660837</v>
      </c>
      <c r="H132" s="6" t="str">
        <f aca="false">IF(G132="","",IF(G132&gt;0,"Bullish",IF(G132&lt;0,"Bearish","Flat")))</f>
        <v>Bearish</v>
      </c>
      <c r="I132" s="6" t="n">
        <f aca="false">IF(OR(G132="",E132="Neutral"),"",IF(E132=H132,1,0))</f>
        <v>0</v>
      </c>
      <c r="J132" s="6" t="s">
        <v>150</v>
      </c>
    </row>
    <row r="133" customFormat="false" ht="15" hidden="false" customHeight="false" outlineLevel="0" collapsed="false">
      <c r="A133" s="19" t="n">
        <v>46154</v>
      </c>
      <c r="B133" s="6" t="s">
        <v>53</v>
      </c>
      <c r="C133" s="6" t="s">
        <v>154</v>
      </c>
      <c r="D133" s="7" t="n">
        <v>-0.4175</v>
      </c>
      <c r="E133" s="6" t="str">
        <f aca="false">IF(D133&gt;Settings!$C$4,"Bullish",IF(D133&lt;-Settings!$C$4,"Bearish","Neutral"))</f>
        <v>Bearish</v>
      </c>
      <c r="F133" s="8" t="n">
        <v>0.535</v>
      </c>
      <c r="G133" s="20" t="n">
        <v>0.0319148936170214</v>
      </c>
      <c r="H133" s="6" t="str">
        <f aca="false">IF(G133="","",IF(G133&gt;0,"Bullish",IF(G133&lt;0,"Bearish","Flat")))</f>
        <v>Bullish</v>
      </c>
      <c r="I133" s="6" t="n">
        <f aca="false">IF(OR(G133="",E133="Neutral"),"",IF(E133=H133,1,0))</f>
        <v>0</v>
      </c>
      <c r="J133" s="6" t="s">
        <v>150</v>
      </c>
    </row>
    <row r="134" customFormat="false" ht="15" hidden="false" customHeight="false" outlineLevel="0" collapsed="false">
      <c r="A134" s="19" t="n">
        <v>46154</v>
      </c>
      <c r="B134" s="6" t="s">
        <v>18</v>
      </c>
      <c r="C134" s="6" t="s">
        <v>154</v>
      </c>
      <c r="D134" s="7" t="n">
        <v>0.0717</v>
      </c>
      <c r="E134" s="6" t="str">
        <f aca="false">IF(D134&gt;Settings!$C$4,"Bullish",IF(D134&lt;-Settings!$C$4,"Bearish","Neutral"))</f>
        <v>Neutral</v>
      </c>
      <c r="F134" s="8"/>
      <c r="G134" s="20" t="n">
        <v>-0.0144608938311988</v>
      </c>
      <c r="H134" s="6" t="str">
        <f aca="false">IF(G134="","",IF(G134&gt;0,"Bullish",IF(G134&lt;0,"Bearish","Flat")))</f>
        <v>Bearish</v>
      </c>
      <c r="I134" s="6" t="str">
        <f aca="false">IF(OR(G134="",E134="Neutral"),"",IF(E134=H134,1,0))</f>
        <v/>
      </c>
      <c r="J134" s="6" t="s">
        <v>150</v>
      </c>
    </row>
    <row r="135" customFormat="false" ht="15" hidden="false" customHeight="false" outlineLevel="0" collapsed="false">
      <c r="A135" s="19" t="n">
        <v>46154</v>
      </c>
      <c r="B135" s="6" t="s">
        <v>18</v>
      </c>
      <c r="C135" s="6" t="s">
        <v>149</v>
      </c>
      <c r="D135" s="7" t="n">
        <v>0.1223</v>
      </c>
      <c r="E135" s="6" t="str">
        <f aca="false">IF(D135&gt;Settings!$C$4,"Bullish",IF(D135&lt;-Settings!$C$4,"Bearish","Neutral"))</f>
        <v>Neutral</v>
      </c>
      <c r="F135" s="8"/>
      <c r="G135" s="20" t="n">
        <v>-0.0030624805038232</v>
      </c>
      <c r="H135" s="6" t="str">
        <f aca="false">IF(G135="","",IF(G135&gt;0,"Bullish",IF(G135&lt;0,"Bearish","Flat")))</f>
        <v>Bearish</v>
      </c>
      <c r="I135" s="6" t="str">
        <f aca="false">IF(OR(G135="",E135="Neutral"),"",IF(E135=H135,1,0))</f>
        <v/>
      </c>
      <c r="J135" s="6" t="s">
        <v>150</v>
      </c>
    </row>
    <row r="136" customFormat="false" ht="15" hidden="false" customHeight="false" outlineLevel="0" collapsed="false">
      <c r="A136" s="19" t="n">
        <v>46155</v>
      </c>
      <c r="B136" s="6" t="s">
        <v>30</v>
      </c>
      <c r="C136" s="6" t="s">
        <v>149</v>
      </c>
      <c r="D136" s="7" t="n">
        <v>0.1769</v>
      </c>
      <c r="E136" s="6" t="str">
        <f aca="false">IF(D136&gt;Settings!$C$4,"Bullish",IF(D136&lt;-Settings!$C$4,"Bearish","Neutral"))</f>
        <v>Bullish</v>
      </c>
      <c r="F136" s="8" t="n">
        <v>0.531</v>
      </c>
      <c r="G136" s="20" t="n">
        <v>0.0067707204921136</v>
      </c>
      <c r="H136" s="6" t="str">
        <f aca="false">IF(G136="","",IF(G136&gt;0,"Bullish",IF(G136&lt;0,"Bearish","Flat")))</f>
        <v>Bullish</v>
      </c>
      <c r="I136" s="6" t="n">
        <f aca="false">IF(OR(G136="",E136="Neutral"),"",IF(E136=H136,1,0))</f>
        <v>1</v>
      </c>
      <c r="J136" s="6" t="s">
        <v>150</v>
      </c>
    </row>
    <row r="137" customFormat="false" ht="15" hidden="false" customHeight="false" outlineLevel="0" collapsed="false">
      <c r="A137" s="19" t="n">
        <v>46155</v>
      </c>
      <c r="B137" s="6" t="s">
        <v>18</v>
      </c>
      <c r="C137" s="6" t="s">
        <v>154</v>
      </c>
      <c r="D137" s="7" t="n">
        <v>-0.5077</v>
      </c>
      <c r="E137" s="6" t="str">
        <f aca="false">IF(D137&gt;Settings!$C$4,"Bullish",IF(D137&lt;-Settings!$C$4,"Bearish","Neutral"))</f>
        <v>Bearish</v>
      </c>
      <c r="F137" s="8" t="n">
        <v>0.501</v>
      </c>
      <c r="G137" s="20" t="n">
        <v>0.0021466070553386</v>
      </c>
      <c r="H137" s="6" t="str">
        <f aca="false">IF(G137="","",IF(G137&gt;0,"Bullish",IF(G137&lt;0,"Bearish","Flat")))</f>
        <v>Bullish</v>
      </c>
      <c r="I137" s="6" t="n">
        <f aca="false">IF(OR(G137="",E137="Neutral"),"",IF(E137=H137,1,0))</f>
        <v>0</v>
      </c>
      <c r="J137" s="6" t="s">
        <v>150</v>
      </c>
    </row>
    <row r="138" customFormat="false" ht="15" hidden="false" customHeight="false" outlineLevel="0" collapsed="false">
      <c r="A138" s="19" t="n">
        <v>46155</v>
      </c>
      <c r="B138" s="6" t="s">
        <v>18</v>
      </c>
      <c r="C138" s="6" t="s">
        <v>149</v>
      </c>
      <c r="D138" s="7" t="n">
        <v>0.1195</v>
      </c>
      <c r="E138" s="6" t="str">
        <f aca="false">IF(D138&gt;Settings!$C$4,"Bullish",IF(D138&lt;-Settings!$C$4,"Bearish","Neutral"))</f>
        <v>Neutral</v>
      </c>
      <c r="F138" s="8"/>
      <c r="G138" s="20" t="n">
        <v>0.0109384931802956</v>
      </c>
      <c r="H138" s="6" t="str">
        <f aca="false">IF(G138="","",IF(G138&gt;0,"Bullish",IF(G138&lt;0,"Bearish","Flat")))</f>
        <v>Bullish</v>
      </c>
      <c r="I138" s="6" t="str">
        <f aca="false">IF(OR(G138="",E138="Neutral"),"",IF(E138=H138,1,0))</f>
        <v/>
      </c>
      <c r="J138" s="6" t="s">
        <v>150</v>
      </c>
    </row>
    <row r="139" customFormat="false" ht="15" hidden="false" customHeight="false" outlineLevel="0" collapsed="false">
      <c r="A139" s="19" t="n">
        <v>46156</v>
      </c>
      <c r="B139" s="6" t="s">
        <v>18</v>
      </c>
      <c r="C139" s="6" t="s">
        <v>154</v>
      </c>
      <c r="D139" s="7" t="n">
        <v>-0.8253</v>
      </c>
      <c r="E139" s="6" t="str">
        <f aca="false">IF(D139&gt;Settings!$C$4,"Bullish",IF(D139&lt;-Settings!$C$4,"Bearish","Neutral"))</f>
        <v>Bearish</v>
      </c>
      <c r="F139" s="8" t="n">
        <v>0.501</v>
      </c>
      <c r="G139" s="20" t="n">
        <v>0.0067721337427353</v>
      </c>
      <c r="H139" s="6" t="str">
        <f aca="false">IF(G139="","",IF(G139&gt;0,"Bullish",IF(G139&lt;0,"Bearish","Flat")))</f>
        <v>Bullish</v>
      </c>
      <c r="I139" s="6" t="n">
        <f aca="false">IF(OR(G139="",E139="Neutral"),"",IF(E139=H139,1,0))</f>
        <v>0</v>
      </c>
      <c r="J139" s="6" t="s">
        <v>150</v>
      </c>
    </row>
    <row r="140" customFormat="false" ht="15" hidden="false" customHeight="false" outlineLevel="0" collapsed="false">
      <c r="A140" s="19" t="n">
        <v>46156</v>
      </c>
      <c r="B140" s="6" t="s">
        <v>18</v>
      </c>
      <c r="C140" s="6" t="s">
        <v>149</v>
      </c>
      <c r="D140" s="7" t="n">
        <v>0.122</v>
      </c>
      <c r="E140" s="6" t="str">
        <f aca="false">IF(D140&gt;Settings!$C$4,"Bullish",IF(D140&lt;-Settings!$C$4,"Bearish","Neutral"))</f>
        <v>Neutral</v>
      </c>
      <c r="F140" s="8"/>
      <c r="G140" s="20" t="n">
        <v>0.0054716800713974</v>
      </c>
      <c r="H140" s="6" t="str">
        <f aca="false">IF(G140="","",IF(G140&gt;0,"Bullish",IF(G140&lt;0,"Bearish","Flat")))</f>
        <v>Bullish</v>
      </c>
      <c r="I140" s="6" t="str">
        <f aca="false">IF(OR(G140="",E140="Neutral"),"",IF(E140=H140,1,0))</f>
        <v/>
      </c>
      <c r="J140" s="6" t="s">
        <v>150</v>
      </c>
    </row>
    <row r="141" customFormat="false" ht="15" hidden="false" customHeight="false" outlineLevel="0" collapsed="false">
      <c r="A141" s="19" t="n">
        <v>46157</v>
      </c>
      <c r="B141" s="6" t="s">
        <v>30</v>
      </c>
      <c r="C141" s="6" t="s">
        <v>149</v>
      </c>
      <c r="D141" s="7" t="n">
        <v>0.1631</v>
      </c>
      <c r="E141" s="6" t="str">
        <f aca="false">IF(D141&gt;Settings!$C$4,"Bullish",IF(D141&lt;-Settings!$C$4,"Bearish","Neutral"))</f>
        <v>Bullish</v>
      </c>
      <c r="F141" s="8" t="n">
        <v>0.531</v>
      </c>
      <c r="G141" s="20" t="n">
        <v>-0.0115105848018194</v>
      </c>
      <c r="H141" s="6" t="str">
        <f aca="false">IF(G141="","",IF(G141&gt;0,"Bullish",IF(G141&lt;0,"Bearish","Flat")))</f>
        <v>Bearish</v>
      </c>
      <c r="I141" s="6" t="n">
        <f aca="false">IF(OR(G141="",E141="Neutral"),"",IF(E141=H141,1,0))</f>
        <v>0</v>
      </c>
      <c r="J141" s="6" t="s">
        <v>150</v>
      </c>
    </row>
    <row r="142" customFormat="false" ht="15" hidden="false" customHeight="false" outlineLevel="0" collapsed="false">
      <c r="A142" s="19" t="n">
        <v>46157</v>
      </c>
      <c r="B142" s="6" t="s">
        <v>53</v>
      </c>
      <c r="C142" s="6" t="s">
        <v>154</v>
      </c>
      <c r="D142" s="7" t="n">
        <v>-0.4498</v>
      </c>
      <c r="E142" s="6" t="str">
        <f aca="false">IF(D142&gt;Settings!$C$4,"Bullish",IF(D142&lt;-Settings!$C$4,"Bearish","Neutral"))</f>
        <v>Bearish</v>
      </c>
      <c r="F142" s="8" t="n">
        <v>0.535</v>
      </c>
      <c r="G142" s="20" t="n">
        <v>0.0358422939068101</v>
      </c>
      <c r="H142" s="6" t="str">
        <f aca="false">IF(G142="","",IF(G142&gt;0,"Bullish",IF(G142&lt;0,"Bearish","Flat")))</f>
        <v>Bullish</v>
      </c>
      <c r="I142" s="6" t="n">
        <f aca="false">IF(OR(G142="",E142="Neutral"),"",IF(E142=H142,1,0))</f>
        <v>0</v>
      </c>
      <c r="J142" s="6" t="s">
        <v>150</v>
      </c>
    </row>
    <row r="143" customFormat="false" ht="15" hidden="false" customHeight="false" outlineLevel="0" collapsed="false">
      <c r="A143" s="19" t="n">
        <v>46157</v>
      </c>
      <c r="B143" s="6" t="s">
        <v>18</v>
      </c>
      <c r="C143" s="6" t="s">
        <v>154</v>
      </c>
      <c r="D143" s="7" t="n">
        <v>0.0841</v>
      </c>
      <c r="E143" s="6" t="str">
        <f aca="false">IF(D143&gt;Settings!$C$4,"Bullish",IF(D143&lt;-Settings!$C$4,"Bearish","Neutral"))</f>
        <v>Neutral</v>
      </c>
      <c r="F143" s="8"/>
      <c r="G143" s="20" t="n">
        <v>-0.0037039534119353</v>
      </c>
      <c r="H143" s="6" t="str">
        <f aca="false">IF(G143="","",IF(G143&gt;0,"Bullish",IF(G143&lt;0,"Bearish","Flat")))</f>
        <v>Bearish</v>
      </c>
      <c r="I143" s="6" t="str">
        <f aca="false">IF(OR(G143="",E143="Neutral"),"",IF(E143=H143,1,0))</f>
        <v/>
      </c>
      <c r="J143" s="6" t="s">
        <v>150</v>
      </c>
    </row>
    <row r="144" customFormat="false" ht="15" hidden="false" customHeight="false" outlineLevel="0" collapsed="false">
      <c r="A144" s="19" t="n">
        <v>46157</v>
      </c>
      <c r="B144" s="6" t="s">
        <v>18</v>
      </c>
      <c r="C144" s="6" t="s">
        <v>149</v>
      </c>
      <c r="D144" s="7" t="n">
        <v>0.1979</v>
      </c>
      <c r="E144" s="6" t="str">
        <f aca="false">IF(D144&gt;Settings!$C$4,"Bullish",IF(D144&lt;-Settings!$C$4,"Bearish","Neutral"))</f>
        <v>Bullish</v>
      </c>
      <c r="F144" s="8" t="n">
        <v>0.495</v>
      </c>
      <c r="G144" s="20" t="n">
        <v>-0.003232004854328</v>
      </c>
      <c r="H144" s="6" t="str">
        <f aca="false">IF(G144="","",IF(G144&gt;0,"Bullish",IF(G144&lt;0,"Bearish","Flat")))</f>
        <v>Bearish</v>
      </c>
      <c r="I144" s="6" t="n">
        <f aca="false">IF(OR(G144="",E144="Neutral"),"",IF(E144=H144,1,0))</f>
        <v>0</v>
      </c>
      <c r="J144" s="6" t="s">
        <v>150</v>
      </c>
    </row>
    <row r="145" customFormat="false" ht="15" hidden="false" customHeight="false" outlineLevel="0" collapsed="false">
      <c r="A145" s="19" t="n">
        <v>46160</v>
      </c>
      <c r="B145" s="6" t="s">
        <v>35</v>
      </c>
      <c r="C145" s="6" t="s">
        <v>154</v>
      </c>
      <c r="D145" s="7" t="n">
        <v>0.245</v>
      </c>
      <c r="E145" s="6" t="str">
        <f aca="false">IF(D145&gt;Settings!$C$4,"Bullish",IF(D145&lt;-Settings!$C$4,"Bearish","Neutral"))</f>
        <v>Bullish</v>
      </c>
      <c r="F145" s="8" t="n">
        <v>0.531</v>
      </c>
      <c r="G145" s="20" t="n">
        <v>0.0252874725528717</v>
      </c>
      <c r="H145" s="6" t="str">
        <f aca="false">IF(G145="","",IF(G145&gt;0,"Bullish",IF(G145&lt;0,"Bearish","Flat")))</f>
        <v>Bullish</v>
      </c>
      <c r="I145" s="6" t="n">
        <f aca="false">IF(OR(G145="",E145="Neutral"),"",IF(E145=H145,1,0))</f>
        <v>1</v>
      </c>
      <c r="J145" s="6" t="s">
        <v>150</v>
      </c>
    </row>
    <row r="146" customFormat="false" ht="15" hidden="false" customHeight="false" outlineLevel="0" collapsed="false">
      <c r="A146" s="19" t="n">
        <v>46160</v>
      </c>
      <c r="B146" s="6" t="s">
        <v>18</v>
      </c>
      <c r="C146" s="6" t="s">
        <v>154</v>
      </c>
      <c r="D146" s="7" t="n">
        <v>-0.0567</v>
      </c>
      <c r="E146" s="6" t="str">
        <f aca="false">IF(D146&gt;Settings!$C$4,"Bullish",IF(D146&lt;-Settings!$C$4,"Bearish","Neutral"))</f>
        <v>Neutral</v>
      </c>
      <c r="F146" s="8"/>
      <c r="G146" s="20" t="n">
        <v>0.0071437088518111</v>
      </c>
      <c r="H146" s="6" t="str">
        <f aca="false">IF(G146="","",IF(G146&gt;0,"Bullish",IF(G146&lt;0,"Bearish","Flat")))</f>
        <v>Bullish</v>
      </c>
      <c r="I146" s="6" t="str">
        <f aca="false">IF(OR(G146="",E146="Neutral"),"",IF(E146=H146,1,0))</f>
        <v/>
      </c>
      <c r="J146" s="6" t="s">
        <v>150</v>
      </c>
    </row>
    <row r="147" customFormat="false" ht="15" hidden="false" customHeight="false" outlineLevel="0" collapsed="false">
      <c r="A147" s="19" t="n">
        <v>46160</v>
      </c>
      <c r="B147" s="6" t="s">
        <v>18</v>
      </c>
      <c r="C147" s="6" t="s">
        <v>149</v>
      </c>
      <c r="D147" s="7" t="n">
        <v>0.1652</v>
      </c>
      <c r="E147" s="6" t="str">
        <f aca="false">IF(D147&gt;Settings!$C$4,"Bullish",IF(D147&lt;-Settings!$C$4,"Bearish","Neutral"))</f>
        <v>Bullish</v>
      </c>
      <c r="F147" s="8" t="n">
        <v>0.495</v>
      </c>
      <c r="G147" s="20" t="n">
        <v>0.0100970096498624</v>
      </c>
      <c r="H147" s="6" t="str">
        <f aca="false">IF(G147="","",IF(G147&gt;0,"Bullish",IF(G147&lt;0,"Bearish","Flat")))</f>
        <v>Bullish</v>
      </c>
      <c r="I147" s="6" t="n">
        <f aca="false">IF(OR(G147="",E147="Neutral"),"",IF(E147=H147,1,0))</f>
        <v>1</v>
      </c>
      <c r="J147" s="6" t="s">
        <v>150</v>
      </c>
    </row>
    <row r="148" customFormat="false" ht="15" hidden="false" customHeight="false" outlineLevel="0" collapsed="false">
      <c r="A148" s="19" t="n">
        <v>46161</v>
      </c>
      <c r="B148" s="6" t="s">
        <v>18</v>
      </c>
      <c r="C148" s="6" t="s">
        <v>154</v>
      </c>
      <c r="D148" s="7" t="n">
        <v>0.0441</v>
      </c>
      <c r="E148" s="6" t="str">
        <f aca="false">IF(D148&gt;Settings!$C$4,"Bullish",IF(D148&lt;-Settings!$C$4,"Bearish","Neutral"))</f>
        <v>Neutral</v>
      </c>
      <c r="F148" s="8"/>
      <c r="G148" s="20" t="n">
        <v>-0.0024202438828652</v>
      </c>
      <c r="H148" s="6" t="str">
        <f aca="false">IF(G148="","",IF(G148&gt;0,"Bullish",IF(G148&lt;0,"Bearish","Flat")))</f>
        <v>Bearish</v>
      </c>
      <c r="I148" s="6" t="str">
        <f aca="false">IF(OR(G148="",E148="Neutral"),"",IF(E148=H148,1,0))</f>
        <v/>
      </c>
      <c r="J148" s="6" t="s">
        <v>150</v>
      </c>
    </row>
    <row r="149" customFormat="false" ht="15" hidden="false" customHeight="false" outlineLevel="0" collapsed="false">
      <c r="A149" s="19" t="n">
        <v>46161</v>
      </c>
      <c r="B149" s="6" t="s">
        <v>18</v>
      </c>
      <c r="C149" s="6" t="s">
        <v>149</v>
      </c>
      <c r="D149" s="7" t="n">
        <v>0.1434</v>
      </c>
      <c r="E149" s="6" t="str">
        <f aca="false">IF(D149&gt;Settings!$C$4,"Bullish",IF(D149&lt;-Settings!$C$4,"Bearish","Neutral"))</f>
        <v>Neutral</v>
      </c>
      <c r="F149" s="8"/>
      <c r="G149" s="20" t="n">
        <v>0.0150536635227431</v>
      </c>
      <c r="H149" s="6" t="str">
        <f aca="false">IF(G149="","",IF(G149&gt;0,"Bullish",IF(G149&lt;0,"Bearish","Flat")))</f>
        <v>Bullish</v>
      </c>
      <c r="I149" s="6" t="str">
        <f aca="false">IF(OR(G149="",E149="Neutral"),"",IF(E149=H149,1,0))</f>
        <v/>
      </c>
      <c r="J149" s="6" t="s">
        <v>150</v>
      </c>
    </row>
    <row r="150" customFormat="false" ht="15" hidden="false" customHeight="false" outlineLevel="0" collapsed="false">
      <c r="A150" s="19" t="n">
        <v>46162</v>
      </c>
      <c r="B150" s="6" t="s">
        <v>18</v>
      </c>
      <c r="C150" s="6" t="s">
        <v>154</v>
      </c>
      <c r="D150" s="7" t="n">
        <v>0.1968</v>
      </c>
      <c r="E150" s="6" t="str">
        <f aca="false">IF(D150&gt;Settings!$C$4,"Bullish",IF(D150&lt;-Settings!$C$4,"Bearish","Neutral"))</f>
        <v>Bullish</v>
      </c>
      <c r="F150" s="8" t="n">
        <v>0.481</v>
      </c>
      <c r="G150" s="20" t="n">
        <v>0.0086007524326168</v>
      </c>
      <c r="H150" s="6" t="str">
        <f aca="false">IF(G150="","",IF(G150&gt;0,"Bullish",IF(G150&lt;0,"Bearish","Flat")))</f>
        <v>Bullish</v>
      </c>
      <c r="I150" s="6" t="n">
        <f aca="false">IF(OR(G150="",E150="Neutral"),"",IF(E150=H150,1,0))</f>
        <v>1</v>
      </c>
      <c r="J150" s="6" t="s">
        <v>150</v>
      </c>
    </row>
    <row r="151" customFormat="false" ht="15" hidden="false" customHeight="false" outlineLevel="0" collapsed="false">
      <c r="A151" s="19" t="n">
        <v>46162</v>
      </c>
      <c r="B151" s="6" t="s">
        <v>18</v>
      </c>
      <c r="C151" s="6" t="s">
        <v>149</v>
      </c>
      <c r="D151" s="7" t="n">
        <v>0.1321</v>
      </c>
      <c r="E151" s="6" t="str">
        <f aca="false">IF(D151&gt;Settings!$C$4,"Bullish",IF(D151&lt;-Settings!$C$4,"Bearish","Neutral"))</f>
        <v>Neutral</v>
      </c>
      <c r="F151" s="8"/>
      <c r="G151" s="20" t="n">
        <v>0.0194588027155784</v>
      </c>
      <c r="H151" s="6" t="str">
        <f aca="false">IF(G151="","",IF(G151&gt;0,"Bullish",IF(G151&lt;0,"Bearish","Flat")))</f>
        <v>Bullish</v>
      </c>
      <c r="I151" s="6" t="str">
        <f aca="false">IF(OR(G151="",E151="Neutral"),"",IF(E151=H151,1,0))</f>
        <v/>
      </c>
      <c r="J151" s="6" t="s">
        <v>150</v>
      </c>
    </row>
    <row r="152" customFormat="false" ht="15" hidden="false" customHeight="false" outlineLevel="0" collapsed="false">
      <c r="A152" s="19" t="n">
        <v>46163</v>
      </c>
      <c r="B152" s="6" t="s">
        <v>35</v>
      </c>
      <c r="C152" s="6" t="s">
        <v>154</v>
      </c>
      <c r="D152" s="7" t="n">
        <v>0.2946</v>
      </c>
      <c r="E152" s="6" t="str">
        <f aca="false">IF(D152&gt;Settings!$C$4,"Bullish",IF(D152&lt;-Settings!$C$4,"Bearish","Neutral"))</f>
        <v>Bullish</v>
      </c>
      <c r="F152" s="8" t="n">
        <v>0.531</v>
      </c>
      <c r="G152" s="20" t="n">
        <v>-0.008772813670356</v>
      </c>
      <c r="H152" s="6" t="str">
        <f aca="false">IF(G152="","",IF(G152&gt;0,"Bullish",IF(G152&lt;0,"Bearish","Flat")))</f>
        <v>Bearish</v>
      </c>
      <c r="I152" s="6" t="n">
        <f aca="false">IF(OR(G152="",E152="Neutral"),"",IF(E152=H152,1,0))</f>
        <v>0</v>
      </c>
      <c r="J152" s="6" t="s">
        <v>150</v>
      </c>
    </row>
    <row r="153" customFormat="false" ht="15" hidden="false" customHeight="false" outlineLevel="0" collapsed="false">
      <c r="A153" s="19" t="n">
        <v>46163</v>
      </c>
      <c r="B153" s="6" t="s">
        <v>18</v>
      </c>
      <c r="C153" s="6" t="s">
        <v>154</v>
      </c>
      <c r="D153" s="7" t="n">
        <v>0.097</v>
      </c>
      <c r="E153" s="6" t="str">
        <f aca="false">IF(D153&gt;Settings!$C$4,"Bullish",IF(D153&lt;-Settings!$C$4,"Bearish","Neutral"))</f>
        <v>Neutral</v>
      </c>
      <c r="F153" s="8"/>
      <c r="G153" s="20" t="n">
        <v>-0.0073583563609811</v>
      </c>
      <c r="H153" s="6" t="str">
        <f aca="false">IF(G153="","",IF(G153&gt;0,"Bullish",IF(G153&lt;0,"Bearish","Flat")))</f>
        <v>Bearish</v>
      </c>
      <c r="I153" s="6" t="str">
        <f aca="false">IF(OR(G153="",E153="Neutral"),"",IF(E153=H153,1,0))</f>
        <v/>
      </c>
      <c r="J153" s="6" t="s">
        <v>150</v>
      </c>
    </row>
    <row r="154" customFormat="false" ht="15" hidden="false" customHeight="false" outlineLevel="0" collapsed="false">
      <c r="A154" s="19" t="n">
        <v>46163</v>
      </c>
      <c r="B154" s="6" t="s">
        <v>18</v>
      </c>
      <c r="C154" s="6" t="s">
        <v>149</v>
      </c>
      <c r="D154" s="7" t="n">
        <v>0.112</v>
      </c>
      <c r="E154" s="6" t="str">
        <f aca="false">IF(D154&gt;Settings!$C$4,"Bullish",IF(D154&lt;-Settings!$C$4,"Bearish","Neutral"))</f>
        <v>Neutral</v>
      </c>
      <c r="F154" s="8"/>
      <c r="G154" s="20" t="n">
        <v>0.0032354107523904</v>
      </c>
      <c r="H154" s="6" t="str">
        <f aca="false">IF(G154="","",IF(G154&gt;0,"Bullish",IF(G154&lt;0,"Bearish","Flat")))</f>
        <v>Bullish</v>
      </c>
      <c r="I154" s="6" t="str">
        <f aca="false">IF(OR(G154="",E154="Neutral"),"",IF(E154=H154,1,0))</f>
        <v/>
      </c>
      <c r="J154" s="6" t="s">
        <v>150</v>
      </c>
    </row>
    <row r="155" customFormat="false" ht="15" hidden="false" customHeight="false" outlineLevel="0" collapsed="false">
      <c r="A155" s="19" t="n">
        <v>46164</v>
      </c>
      <c r="B155" s="6" t="s">
        <v>18</v>
      </c>
      <c r="C155" s="6" t="s">
        <v>154</v>
      </c>
      <c r="D155" s="7" t="n">
        <v>0.7388</v>
      </c>
      <c r="E155" s="6" t="str">
        <f aca="false">IF(D155&gt;Settings!$C$4,"Bullish",IF(D155&lt;-Settings!$C$4,"Bearish","Neutral"))</f>
        <v>Bullish</v>
      </c>
      <c r="F155" s="8" t="n">
        <v>0.501</v>
      </c>
      <c r="G155" s="20" t="n">
        <v>0.0020320051370441</v>
      </c>
      <c r="H155" s="6" t="str">
        <f aca="false">IF(G155="","",IF(G155&gt;0,"Bullish",IF(G155&lt;0,"Bearish","Flat")))</f>
        <v>Bullish</v>
      </c>
      <c r="I155" s="6" t="n">
        <f aca="false">IF(OR(G155="",E155="Neutral"),"",IF(E155=H155,1,0))</f>
        <v>1</v>
      </c>
      <c r="J155" s="6" t="s">
        <v>150</v>
      </c>
    </row>
    <row r="156" customFormat="false" ht="15" hidden="false" customHeight="false" outlineLevel="0" collapsed="false">
      <c r="A156" s="19" t="n">
        <v>46164</v>
      </c>
      <c r="B156" s="6" t="s">
        <v>18</v>
      </c>
      <c r="C156" s="6" t="s">
        <v>149</v>
      </c>
      <c r="D156" s="7" t="n">
        <v>0.0897</v>
      </c>
      <c r="E156" s="6" t="str">
        <f aca="false">IF(D156&gt;Settings!$C$4,"Bullish",IF(D156&lt;-Settings!$C$4,"Bearish","Neutral"))</f>
        <v>Neutral</v>
      </c>
      <c r="F156" s="8"/>
      <c r="G156" s="20" t="n">
        <v>-0.0052151982155531</v>
      </c>
      <c r="H156" s="6" t="str">
        <f aca="false">IF(G156="","",IF(G156&gt;0,"Bullish",IF(G156&lt;0,"Bearish","Flat")))</f>
        <v>Bearish</v>
      </c>
      <c r="I156" s="6" t="str">
        <f aca="false">IF(OR(G156="",E156="Neutral"),"",IF(E156=H156,1,0))</f>
        <v/>
      </c>
      <c r="J156" s="6" t="s">
        <v>150</v>
      </c>
    </row>
    <row r="157" customFormat="false" ht="15" hidden="false" customHeight="false" outlineLevel="0" collapsed="false">
      <c r="A157" s="19" t="n">
        <v>46167</v>
      </c>
      <c r="B157" s="6" t="s">
        <v>18</v>
      </c>
      <c r="C157" s="6" t="s">
        <v>154</v>
      </c>
      <c r="D157" s="7" t="n">
        <v>0.1113</v>
      </c>
      <c r="E157" s="6" t="str">
        <f aca="false">IF(D157&gt;Settings!$C$4,"Bullish",IF(D157&lt;-Settings!$C$4,"Bearish","Neutral"))</f>
        <v>Neutral</v>
      </c>
      <c r="F157" s="8"/>
      <c r="G157" s="20" t="n">
        <v>0.0038199266924949</v>
      </c>
      <c r="H157" s="6" t="str">
        <f aca="false">IF(G157="","",IF(G157&gt;0,"Bullish",IF(G157&lt;0,"Bearish","Flat")))</f>
        <v>Bullish</v>
      </c>
      <c r="I157" s="6" t="str">
        <f aca="false">IF(OR(G157="",E157="Neutral"),"",IF(E157=H157,1,0))</f>
        <v/>
      </c>
      <c r="J157" s="6" t="s">
        <v>150</v>
      </c>
    </row>
    <row r="158" customFormat="false" ht="15" hidden="false" customHeight="false" outlineLevel="0" collapsed="false">
      <c r="A158" s="19" t="n">
        <v>46167</v>
      </c>
      <c r="B158" s="6" t="s">
        <v>18</v>
      </c>
      <c r="C158" s="6" t="s">
        <v>149</v>
      </c>
      <c r="D158" s="7" t="n">
        <v>0.1066</v>
      </c>
      <c r="E158" s="6" t="str">
        <f aca="false">IF(D158&gt;Settings!$C$4,"Bullish",IF(D158&lt;-Settings!$C$4,"Bearish","Neutral"))</f>
        <v>Neutral</v>
      </c>
      <c r="F158" s="8"/>
      <c r="G158" s="20" t="n">
        <v>-0.0232934075458695</v>
      </c>
      <c r="H158" s="6" t="str">
        <f aca="false">IF(G158="","",IF(G158&gt;0,"Bullish",IF(G158&lt;0,"Bearish","Flat")))</f>
        <v>Bearish</v>
      </c>
      <c r="I158" s="6" t="str">
        <f aca="false">IF(OR(G158="",E158="Neutral"),"",IF(E158=H158,1,0))</f>
        <v/>
      </c>
      <c r="J158" s="6" t="s">
        <v>150</v>
      </c>
    </row>
    <row r="159" customFormat="false" ht="15" hidden="false" customHeight="false" outlineLevel="0" collapsed="false">
      <c r="A159" s="19" t="n">
        <v>46168</v>
      </c>
      <c r="B159" s="6" t="s">
        <v>53</v>
      </c>
      <c r="C159" s="6" t="s">
        <v>154</v>
      </c>
      <c r="D159" s="7" t="n">
        <v>-0.3592</v>
      </c>
      <c r="E159" s="6" t="str">
        <f aca="false">IF(D159&gt;Settings!$C$4,"Bullish",IF(D159&lt;-Settings!$C$4,"Bearish","Neutral"))</f>
        <v>Bearish</v>
      </c>
      <c r="F159" s="8" t="n">
        <v>0.535</v>
      </c>
      <c r="G159" s="20" t="n">
        <v>0.0616438356164383</v>
      </c>
      <c r="H159" s="6" t="str">
        <f aca="false">IF(G159="","",IF(G159&gt;0,"Bullish",IF(G159&lt;0,"Bearish","Flat")))</f>
        <v>Bullish</v>
      </c>
      <c r="I159" s="6" t="n">
        <f aca="false">IF(OR(G159="",E159="Neutral"),"",IF(E159=H159,1,0))</f>
        <v>0</v>
      </c>
      <c r="J159" s="6" t="s">
        <v>150</v>
      </c>
    </row>
    <row r="160" customFormat="false" ht="15" hidden="false" customHeight="false" outlineLevel="0" collapsed="false">
      <c r="A160" s="19" t="n">
        <v>46168</v>
      </c>
      <c r="B160" s="6" t="s">
        <v>18</v>
      </c>
      <c r="C160" s="6" t="s">
        <v>154</v>
      </c>
      <c r="D160" s="7" t="n">
        <v>-0.0739</v>
      </c>
      <c r="E160" s="6" t="str">
        <f aca="false">IF(D160&gt;Settings!$C$4,"Bullish",IF(D160&lt;-Settings!$C$4,"Bearish","Neutral"))</f>
        <v>Neutral</v>
      </c>
      <c r="F160" s="8"/>
      <c r="G160" s="20" t="n">
        <v>-0.003766023304352</v>
      </c>
      <c r="H160" s="6" t="str">
        <f aca="false">IF(G160="","",IF(G160&gt;0,"Bullish",IF(G160&lt;0,"Bearish","Flat")))</f>
        <v>Bearish</v>
      </c>
      <c r="I160" s="6" t="str">
        <f aca="false">IF(OR(G160="",E160="Neutral"),"",IF(E160=H160,1,0))</f>
        <v/>
      </c>
      <c r="J160" s="6" t="s">
        <v>150</v>
      </c>
    </row>
    <row r="161" customFormat="false" ht="15" hidden="false" customHeight="false" outlineLevel="0" collapsed="false">
      <c r="A161" s="19" t="n">
        <v>46168</v>
      </c>
      <c r="B161" s="6" t="s">
        <v>18</v>
      </c>
      <c r="C161" s="6" t="s">
        <v>149</v>
      </c>
      <c r="D161" s="7" t="n">
        <v>0.1386</v>
      </c>
      <c r="E161" s="6" t="str">
        <f aca="false">IF(D161&gt;Settings!$C$4,"Bullish",IF(D161&lt;-Settings!$C$4,"Bearish","Neutral"))</f>
        <v>Neutral</v>
      </c>
      <c r="F161" s="8"/>
      <c r="G161" s="20" t="n">
        <v>-0.0216858786623951</v>
      </c>
      <c r="H161" s="6" t="str">
        <f aca="false">IF(G161="","",IF(G161&gt;0,"Bullish",IF(G161&lt;0,"Bearish","Flat")))</f>
        <v>Bearish</v>
      </c>
      <c r="I161" s="6" t="str">
        <f aca="false">IF(OR(G161="",E161="Neutral"),"",IF(E161=H161,1,0))</f>
        <v/>
      </c>
      <c r="J161" s="6" t="s">
        <v>150</v>
      </c>
    </row>
    <row r="162" customFormat="false" ht="15" hidden="false" customHeight="false" outlineLevel="0" collapsed="false">
      <c r="A162" s="19" t="n">
        <v>46168</v>
      </c>
      <c r="B162" s="6" t="s">
        <v>51</v>
      </c>
      <c r="C162" s="6" t="s">
        <v>149</v>
      </c>
      <c r="D162" s="7" t="n">
        <v>-0.1598</v>
      </c>
      <c r="E162" s="6" t="str">
        <f aca="false">IF(D162&gt;Settings!$C$4,"Bullish",IF(D162&lt;-Settings!$C$4,"Bearish","Neutral"))</f>
        <v>Bearish</v>
      </c>
      <c r="F162" s="8" t="n">
        <v>0.534</v>
      </c>
      <c r="G162" s="20" t="n">
        <v>-0.0127158555729984</v>
      </c>
      <c r="H162" s="6" t="str">
        <f aca="false">IF(G162="","",IF(G162&gt;0,"Bullish",IF(G162&lt;0,"Bearish","Flat")))</f>
        <v>Bearish</v>
      </c>
      <c r="I162" s="6" t="n">
        <f aca="false">IF(OR(G162="",E162="Neutral"),"",IF(E162=H162,1,0))</f>
        <v>1</v>
      </c>
      <c r="J162" s="6" t="s">
        <v>150</v>
      </c>
    </row>
    <row r="163" customFormat="false" ht="15" hidden="false" customHeight="false" outlineLevel="0" collapsed="false">
      <c r="A163" s="19" t="n">
        <v>46169</v>
      </c>
      <c r="B163" s="6" t="s">
        <v>30</v>
      </c>
      <c r="C163" s="6" t="s">
        <v>149</v>
      </c>
      <c r="D163" s="7" t="n">
        <v>0.2128</v>
      </c>
      <c r="E163" s="6" t="str">
        <f aca="false">IF(D163&gt;Settings!$C$4,"Bullish",IF(D163&lt;-Settings!$C$4,"Bearish","Neutral"))</f>
        <v>Bullish</v>
      </c>
      <c r="F163" s="8" t="n">
        <v>0.531</v>
      </c>
      <c r="G163" s="20" t="n">
        <v>-0.0436559470993577</v>
      </c>
      <c r="H163" s="6" t="str">
        <f aca="false">IF(G163="","",IF(G163&gt;0,"Bullish",IF(G163&lt;0,"Bearish","Flat")))</f>
        <v>Bearish</v>
      </c>
      <c r="I163" s="6" t="n">
        <f aca="false">IF(OR(G163="",E163="Neutral"),"",IF(E163=H163,1,0))</f>
        <v>0</v>
      </c>
      <c r="J163" s="6" t="s">
        <v>150</v>
      </c>
    </row>
    <row r="164" customFormat="false" ht="15" hidden="false" customHeight="false" outlineLevel="0" collapsed="false">
      <c r="A164" s="19" t="n">
        <v>46169</v>
      </c>
      <c r="B164" s="6" t="s">
        <v>35</v>
      </c>
      <c r="C164" s="6" t="s">
        <v>149</v>
      </c>
      <c r="D164" s="7" t="n">
        <v>0.187</v>
      </c>
      <c r="E164" s="6" t="str">
        <f aca="false">IF(D164&gt;Settings!$C$4,"Bullish",IF(D164&lt;-Settings!$C$4,"Bearish","Neutral"))</f>
        <v>Bullish</v>
      </c>
      <c r="F164" s="8" t="n">
        <v>0.563</v>
      </c>
      <c r="G164" s="20" t="n">
        <v>0.0157472285499966</v>
      </c>
      <c r="H164" s="6" t="str">
        <f aca="false">IF(G164="","",IF(G164&gt;0,"Bullish",IF(G164&lt;0,"Bearish","Flat")))</f>
        <v>Bullish</v>
      </c>
      <c r="I164" s="6" t="n">
        <f aca="false">IF(OR(G164="",E164="Neutral"),"",IF(E164=H164,1,0))</f>
        <v>1</v>
      </c>
      <c r="J164" s="6" t="s">
        <v>150</v>
      </c>
    </row>
    <row r="165" customFormat="false" ht="15" hidden="false" customHeight="false" outlineLevel="0" collapsed="false">
      <c r="A165" s="19" t="n">
        <v>46169</v>
      </c>
      <c r="B165" s="6" t="s">
        <v>18</v>
      </c>
      <c r="C165" s="6" t="s">
        <v>154</v>
      </c>
      <c r="D165" s="7" t="n">
        <v>0.0021</v>
      </c>
      <c r="E165" s="6" t="str">
        <f aca="false">IF(D165&gt;Settings!$C$4,"Bullish",IF(D165&lt;-Settings!$C$4,"Bearish","Neutral"))</f>
        <v>Neutral</v>
      </c>
      <c r="F165" s="8"/>
      <c r="G165" s="20" t="n">
        <v>0.0011222616083936</v>
      </c>
      <c r="H165" s="6" t="str">
        <f aca="false">IF(G165="","",IF(G165&gt;0,"Bullish",IF(G165&lt;0,"Bearish","Flat")))</f>
        <v>Bullish</v>
      </c>
      <c r="I165" s="6" t="str">
        <f aca="false">IF(OR(G165="",E165="Neutral"),"",IF(E165=H165,1,0))</f>
        <v/>
      </c>
      <c r="J165" s="6" t="s">
        <v>150</v>
      </c>
    </row>
    <row r="166" customFormat="false" ht="15" hidden="false" customHeight="false" outlineLevel="0" collapsed="false">
      <c r="A166" s="19" t="n">
        <v>46169</v>
      </c>
      <c r="B166" s="6" t="s">
        <v>18</v>
      </c>
      <c r="C166" s="6" t="s">
        <v>149</v>
      </c>
      <c r="D166" s="7" t="n">
        <v>0.2733</v>
      </c>
      <c r="E166" s="6" t="str">
        <f aca="false">IF(D166&gt;Settings!$C$4,"Bullish",IF(D166&lt;-Settings!$C$4,"Bearish","Neutral"))</f>
        <v>Bullish</v>
      </c>
      <c r="F166" s="8" t="n">
        <v>0.495</v>
      </c>
      <c r="G166" s="20" t="n">
        <v>-0.0198803618874933</v>
      </c>
      <c r="H166" s="6" t="str">
        <f aca="false">IF(G166="","",IF(G166&gt;0,"Bullish",IF(G166&lt;0,"Bearish","Flat")))</f>
        <v>Bearish</v>
      </c>
      <c r="I166" s="6" t="n">
        <f aca="false">IF(OR(G166="",E166="Neutral"),"",IF(E166=H166,1,0))</f>
        <v>0</v>
      </c>
      <c r="J166" s="6" t="s">
        <v>150</v>
      </c>
    </row>
    <row r="167" customFormat="false" ht="15" hidden="false" customHeight="false" outlineLevel="0" collapsed="false">
      <c r="A167" s="19" t="n">
        <v>46169</v>
      </c>
      <c r="B167" s="6" t="s">
        <v>51</v>
      </c>
      <c r="C167" s="6" t="s">
        <v>149</v>
      </c>
      <c r="D167" s="7" t="n">
        <v>-0.2186</v>
      </c>
      <c r="E167" s="6" t="str">
        <f aca="false">IF(D167&gt;Settings!$C$4,"Bullish",IF(D167&lt;-Settings!$C$4,"Bearish","Neutral"))</f>
        <v>Bearish</v>
      </c>
      <c r="F167" s="8" t="n">
        <v>0.534</v>
      </c>
      <c r="G167" s="20" t="n">
        <v>-0.0283475727390842</v>
      </c>
      <c r="H167" s="6" t="str">
        <f aca="false">IF(G167="","",IF(G167&gt;0,"Bullish",IF(G167&lt;0,"Bearish","Flat")))</f>
        <v>Bearish</v>
      </c>
      <c r="I167" s="6" t="n">
        <f aca="false">IF(OR(G167="",E167="Neutral"),"",IF(E167=H167,1,0))</f>
        <v>1</v>
      </c>
      <c r="J167" s="6" t="s">
        <v>150</v>
      </c>
    </row>
    <row r="168" customFormat="false" ht="15" hidden="false" customHeight="false" outlineLevel="0" collapsed="false">
      <c r="A168" s="19" t="n">
        <v>46170</v>
      </c>
      <c r="B168" s="6" t="s">
        <v>18</v>
      </c>
      <c r="C168" s="6" t="s">
        <v>154</v>
      </c>
      <c r="D168" s="7" t="n">
        <v>-0.4837</v>
      </c>
      <c r="E168" s="6" t="str">
        <f aca="false">IF(D168&gt;Settings!$C$4,"Bullish",IF(D168&lt;-Settings!$C$4,"Bearish","Neutral"))</f>
        <v>Bearish</v>
      </c>
      <c r="F168" s="8" t="n">
        <v>0.529</v>
      </c>
      <c r="G168" s="20"/>
      <c r="H168" s="6" t="str">
        <f aca="false">IF(G168="","",IF(G168&gt;0,"Bullish",IF(G168&lt;0,"Bearish","Flat")))</f>
        <v/>
      </c>
      <c r="I168" s="6" t="str">
        <f aca="false">IF(OR(G168="",E168="Neutral"),"",IF(E168=H168,1,0))</f>
        <v/>
      </c>
      <c r="J168" s="6" t="s">
        <v>150</v>
      </c>
    </row>
    <row r="169" customFormat="false" ht="15" hidden="false" customHeight="false" outlineLevel="0" collapsed="false">
      <c r="A169" s="19" t="n">
        <v>46170</v>
      </c>
      <c r="B169" s="6" t="s">
        <v>18</v>
      </c>
      <c r="C169" s="6" t="s">
        <v>149</v>
      </c>
      <c r="D169" s="7" t="n">
        <v>0.4153</v>
      </c>
      <c r="E169" s="6" t="str">
        <f aca="false">IF(D169&gt;Settings!$C$4,"Bullish",IF(D169&lt;-Settings!$C$4,"Bearish","Neutral"))</f>
        <v>Bullish</v>
      </c>
      <c r="F169" s="8" t="n">
        <v>0.51</v>
      </c>
      <c r="G169" s="20"/>
      <c r="H169" s="6" t="str">
        <f aca="false">IF(G169="","",IF(G169&gt;0,"Bullish",IF(G169&lt;0,"Bearish","Flat")))</f>
        <v/>
      </c>
      <c r="I169" s="6" t="str">
        <f aca="false">IF(OR(G169="",E169="Neutral"),"",IF(E169=H169,1,0))</f>
        <v/>
      </c>
      <c r="J169" s="6" t="s">
        <v>150</v>
      </c>
    </row>
    <row r="170" customFormat="false" ht="15" hidden="false" customHeight="false" outlineLevel="0" collapsed="false">
      <c r="A170" s="19" t="n">
        <v>46170</v>
      </c>
      <c r="B170" s="6" t="s">
        <v>51</v>
      </c>
      <c r="C170" s="6" t="s">
        <v>149</v>
      </c>
      <c r="D170" s="7" t="n">
        <v>-0.2777</v>
      </c>
      <c r="E170" s="6" t="str">
        <f aca="false">IF(D170&gt;Settings!$C$4,"Bullish",IF(D170&lt;-Settings!$C$4,"Bearish","Neutral"))</f>
        <v>Bearish</v>
      </c>
      <c r="F170" s="8" t="n">
        <v>0.534</v>
      </c>
      <c r="G170" s="20"/>
      <c r="H170" s="6" t="str">
        <f aca="false">IF(G170="","",IF(G170&gt;0,"Bullish",IF(G170&lt;0,"Bearish","Flat")))</f>
        <v/>
      </c>
      <c r="I170" s="6" t="str">
        <f aca="false">IF(OR(G170="",E170="Neutral"),"",IF(E170=H170,1,0))</f>
        <v/>
      </c>
      <c r="J170" s="6" t="s">
        <v>150</v>
      </c>
    </row>
    <row r="171" customFormat="false" ht="15" hidden="false" customHeight="false" outlineLevel="0" collapsed="false">
      <c r="A171" s="19" t="n">
        <v>46171</v>
      </c>
      <c r="B171" s="6" t="s">
        <v>18</v>
      </c>
      <c r="C171" s="6" t="s">
        <v>154</v>
      </c>
      <c r="D171" s="7" t="n">
        <v>-0.5416</v>
      </c>
      <c r="E171" s="6" t="str">
        <f aca="false">IF(D171&gt;Settings!$C$4,"Bullish",IF(D171&lt;-Settings!$C$4,"Bearish","Neutral"))</f>
        <v>Bearish</v>
      </c>
      <c r="F171" s="8" t="n">
        <v>0.501</v>
      </c>
      <c r="G171" s="20" t="n">
        <v>-0.0148271180626011</v>
      </c>
      <c r="H171" s="6" t="str">
        <f aca="false">IF(G171="","",IF(G171&gt;0,"Bullish",IF(G171&lt;0,"Bearish","Flat")))</f>
        <v>Bearish</v>
      </c>
      <c r="I171" s="6" t="n">
        <f aca="false">IF(OR(G171="",E171="Neutral"),"",IF(E171=H171,1,0))</f>
        <v>1</v>
      </c>
      <c r="J171" s="6" t="s">
        <v>150</v>
      </c>
    </row>
    <row r="172" customFormat="false" ht="15" hidden="false" customHeight="false" outlineLevel="0" collapsed="false">
      <c r="A172" s="19" t="n">
        <v>46171</v>
      </c>
      <c r="B172" s="6" t="s">
        <v>18</v>
      </c>
      <c r="C172" s="6" t="s">
        <v>149</v>
      </c>
      <c r="D172" s="7" t="n">
        <v>0.5655</v>
      </c>
      <c r="E172" s="6" t="str">
        <f aca="false">IF(D172&gt;Settings!$C$4,"Bullish",IF(D172&lt;-Settings!$C$4,"Bearish","Neutral"))</f>
        <v>Bullish</v>
      </c>
      <c r="F172" s="8" t="n">
        <v>0.476</v>
      </c>
      <c r="G172" s="20" t="n">
        <v>-0.0203161640270854</v>
      </c>
      <c r="H172" s="6" t="str">
        <f aca="false">IF(G172="","",IF(G172&gt;0,"Bullish",IF(G172&lt;0,"Bearish","Flat")))</f>
        <v>Bearish</v>
      </c>
      <c r="I172" s="6" t="n">
        <f aca="false">IF(OR(G172="",E172="Neutral"),"",IF(E172=H172,1,0))</f>
        <v>0</v>
      </c>
      <c r="J172" s="6" t="s">
        <v>150</v>
      </c>
    </row>
    <row r="173" customFormat="false" ht="15" hidden="false" customHeight="false" outlineLevel="0" collapsed="false">
      <c r="A173" s="19" t="n">
        <v>46171</v>
      </c>
      <c r="B173" s="6" t="s">
        <v>51</v>
      </c>
      <c r="C173" s="6" t="s">
        <v>149</v>
      </c>
      <c r="D173" s="7" t="n">
        <v>-0.3359</v>
      </c>
      <c r="E173" s="6" t="str">
        <f aca="false">IF(D173&gt;Settings!$C$4,"Bullish",IF(D173&lt;-Settings!$C$4,"Bearish","Neutral"))</f>
        <v>Bearish</v>
      </c>
      <c r="F173" s="8" t="n">
        <v>0.538</v>
      </c>
      <c r="G173" s="20" t="n">
        <v>-0.015924965076831</v>
      </c>
      <c r="H173" s="6" t="str">
        <f aca="false">IF(G173="","",IF(G173&gt;0,"Bullish",IF(G173&lt;0,"Bearish","Flat")))</f>
        <v>Bearish</v>
      </c>
      <c r="I173" s="6" t="n">
        <f aca="false">IF(OR(G173="",E173="Neutral"),"",IF(E173=H173,1,0))</f>
        <v>1</v>
      </c>
      <c r="J173" s="6" t="s">
        <v>150</v>
      </c>
    </row>
    <row r="174" customFormat="false" ht="15" hidden="false" customHeight="false" outlineLevel="0" collapsed="false">
      <c r="A174" s="19" t="n">
        <v>46174</v>
      </c>
      <c r="B174" s="6" t="s">
        <v>53</v>
      </c>
      <c r="C174" s="6" t="s">
        <v>154</v>
      </c>
      <c r="D174" s="7" t="n">
        <v>-0.4176</v>
      </c>
      <c r="E174" s="6" t="str">
        <f aca="false">IF(D174&gt;Settings!$C$4,"Bullish",IF(D174&lt;-Settings!$C$4,"Bearish","Neutral"))</f>
        <v>Bearish</v>
      </c>
      <c r="F174" s="8" t="n">
        <v>0.535</v>
      </c>
      <c r="G174" s="20" t="n">
        <v>-0.0808383233532934</v>
      </c>
      <c r="H174" s="6" t="str">
        <f aca="false">IF(G174="","",IF(G174&gt;0,"Bullish",IF(G174&lt;0,"Bearish","Flat")))</f>
        <v>Bearish</v>
      </c>
      <c r="I174" s="6" t="n">
        <f aca="false">IF(OR(G174="",E174="Neutral"),"",IF(E174=H174,1,0))</f>
        <v>1</v>
      </c>
      <c r="J174" s="6" t="s">
        <v>150</v>
      </c>
    </row>
    <row r="175" customFormat="false" ht="15" hidden="false" customHeight="false" outlineLevel="0" collapsed="false">
      <c r="A175" s="19" t="n">
        <v>46174</v>
      </c>
      <c r="B175" s="6" t="s">
        <v>18</v>
      </c>
      <c r="C175" s="6" t="s">
        <v>154</v>
      </c>
      <c r="D175" s="7" t="n">
        <v>0.9792</v>
      </c>
      <c r="E175" s="6" t="str">
        <f aca="false">IF(D175&gt;Settings!$C$4,"Bullish",IF(D175&lt;-Settings!$C$4,"Bearish","Neutral"))</f>
        <v>Bullish</v>
      </c>
      <c r="F175" s="8" t="n">
        <v>0.501</v>
      </c>
      <c r="G175" s="20" t="n">
        <v>-0.0114946416115327</v>
      </c>
      <c r="H175" s="6" t="str">
        <f aca="false">IF(G175="","",IF(G175&gt;0,"Bullish",IF(G175&lt;0,"Bearish","Flat")))</f>
        <v>Bearish</v>
      </c>
      <c r="I175" s="6" t="n">
        <f aca="false">IF(OR(G175="",E175="Neutral"),"",IF(E175=H175,1,0))</f>
        <v>0</v>
      </c>
      <c r="J175" s="6" t="s">
        <v>150</v>
      </c>
    </row>
    <row r="176" customFormat="false" ht="15" hidden="false" customHeight="false" outlineLevel="0" collapsed="false">
      <c r="A176" s="19" t="n">
        <v>46174</v>
      </c>
      <c r="B176" s="6" t="s">
        <v>18</v>
      </c>
      <c r="C176" s="6" t="s">
        <v>149</v>
      </c>
      <c r="D176" s="7" t="n">
        <v>0.6795</v>
      </c>
      <c r="E176" s="6" t="str">
        <f aca="false">IF(D176&gt;Settings!$C$4,"Bullish",IF(D176&lt;-Settings!$C$4,"Bearish","Neutral"))</f>
        <v>Bullish</v>
      </c>
      <c r="F176" s="8" t="n">
        <v>0.476</v>
      </c>
      <c r="G176" s="20" t="n">
        <v>-0.0121668181529941</v>
      </c>
      <c r="H176" s="6" t="str">
        <f aca="false">IF(G176="","",IF(G176&gt;0,"Bullish",IF(G176&lt;0,"Bearish","Flat")))</f>
        <v>Bearish</v>
      </c>
      <c r="I176" s="6" t="n">
        <f aca="false">IF(OR(G176="",E176="Neutral"),"",IF(E176=H176,1,0))</f>
        <v>0</v>
      </c>
      <c r="J176" s="6" t="s">
        <v>150</v>
      </c>
    </row>
    <row r="177" customFormat="false" ht="15" hidden="false" customHeight="false" outlineLevel="0" collapsed="false">
      <c r="A177" s="19" t="n">
        <v>46174</v>
      </c>
      <c r="B177" s="6" t="s">
        <v>51</v>
      </c>
      <c r="C177" s="6" t="s">
        <v>149</v>
      </c>
      <c r="D177" s="7" t="n">
        <v>-0.3381</v>
      </c>
      <c r="E177" s="6" t="str">
        <f aca="false">IF(D177&gt;Settings!$C$4,"Bullish",IF(D177&lt;-Settings!$C$4,"Bearish","Neutral"))</f>
        <v>Bearish</v>
      </c>
      <c r="F177" s="8" t="n">
        <v>0.538</v>
      </c>
      <c r="G177" s="20" t="n">
        <v>-0.0124467869450638</v>
      </c>
      <c r="H177" s="6" t="str">
        <f aca="false">IF(G177="","",IF(G177&gt;0,"Bullish",IF(G177&lt;0,"Bearish","Flat")))</f>
        <v>Bearish</v>
      </c>
      <c r="I177" s="6" t="n">
        <f aca="false">IF(OR(G177="",E177="Neutral"),"",IF(E177=H177,1,0))</f>
        <v>1</v>
      </c>
      <c r="J177" s="6" t="s">
        <v>150</v>
      </c>
    </row>
    <row r="178" customFormat="false" ht="15" hidden="false" customHeight="false" outlineLevel="0" collapsed="false">
      <c r="A178" s="19" t="n">
        <v>46175</v>
      </c>
      <c r="B178" s="6" t="s">
        <v>18</v>
      </c>
      <c r="C178" s="6" t="s">
        <v>154</v>
      </c>
      <c r="D178" s="7" t="n">
        <v>-0.5329</v>
      </c>
      <c r="E178" s="6" t="str">
        <f aca="false">IF(D178&gt;Settings!$C$4,"Bullish",IF(D178&lt;-Settings!$C$4,"Bearish","Neutral"))</f>
        <v>Bearish</v>
      </c>
      <c r="F178" s="8" t="n">
        <v>0.501</v>
      </c>
      <c r="G178" s="20" t="n">
        <v>0.0109517567366863</v>
      </c>
      <c r="H178" s="6" t="str">
        <f aca="false">IF(G178="","",IF(G178&gt;0,"Bullish",IF(G178&lt;0,"Bearish","Flat")))</f>
        <v>Bullish</v>
      </c>
      <c r="I178" s="6" t="n">
        <f aca="false">IF(OR(G178="",E178="Neutral"),"",IF(E178=H178,1,0))</f>
        <v>0</v>
      </c>
      <c r="J178" s="6" t="s">
        <v>150</v>
      </c>
    </row>
    <row r="179" customFormat="false" ht="15" hidden="false" customHeight="false" outlineLevel="0" collapsed="false">
      <c r="A179" s="19" t="n">
        <v>46175</v>
      </c>
      <c r="B179" s="6" t="s">
        <v>18</v>
      </c>
      <c r="C179" s="6" t="s">
        <v>149</v>
      </c>
      <c r="D179" s="7" t="n">
        <v>0.7789</v>
      </c>
      <c r="E179" s="6" t="str">
        <f aca="false">IF(D179&gt;Settings!$C$4,"Bullish",IF(D179&lt;-Settings!$C$4,"Bearish","Neutral"))</f>
        <v>Bullish</v>
      </c>
      <c r="F179" s="8" t="n">
        <v>0.476</v>
      </c>
      <c r="G179" s="20" t="n">
        <v>-0.0045696893773556</v>
      </c>
      <c r="H179" s="6" t="str">
        <f aca="false">IF(G179="","",IF(G179&gt;0,"Bullish",IF(G179&lt;0,"Bearish","Flat")))</f>
        <v>Bearish</v>
      </c>
      <c r="I179" s="6" t="n">
        <f aca="false">IF(OR(G179="",E179="Neutral"),"",IF(E179=H179,1,0))</f>
        <v>0</v>
      </c>
      <c r="J179" s="6" t="s">
        <v>150</v>
      </c>
    </row>
    <row r="180" customFormat="false" ht="15" hidden="false" customHeight="false" outlineLevel="0" collapsed="false">
      <c r="A180" s="19" t="n">
        <v>46175</v>
      </c>
      <c r="B180" s="6" t="s">
        <v>51</v>
      </c>
      <c r="C180" s="6" t="s">
        <v>149</v>
      </c>
      <c r="D180" s="7" t="n">
        <v>-0.3347</v>
      </c>
      <c r="E180" s="6" t="str">
        <f aca="false">IF(D180&gt;Settings!$C$4,"Bullish",IF(D180&lt;-Settings!$C$4,"Bearish","Neutral"))</f>
        <v>Bearish</v>
      </c>
      <c r="F180" s="8" t="n">
        <v>0.538</v>
      </c>
      <c r="G180" s="20" t="n">
        <v>-0.0954799793642604</v>
      </c>
      <c r="H180" s="6" t="str">
        <f aca="false">IF(G180="","",IF(G180&gt;0,"Bullish",IF(G180&lt;0,"Bearish","Flat")))</f>
        <v>Bearish</v>
      </c>
      <c r="I180" s="6" t="n">
        <f aca="false">IF(OR(G180="",E180="Neutral"),"",IF(E180=H180,1,0))</f>
        <v>1</v>
      </c>
      <c r="J180" s="6" t="s">
        <v>150</v>
      </c>
    </row>
    <row r="181" customFormat="false" ht="15" hidden="false" customHeight="false" outlineLevel="0" collapsed="false">
      <c r="A181" s="19" t="n">
        <v>46176</v>
      </c>
      <c r="B181" s="6" t="s">
        <v>18</v>
      </c>
      <c r="C181" s="6" t="s">
        <v>154</v>
      </c>
      <c r="D181" s="7" t="n">
        <v>-0.0954</v>
      </c>
      <c r="E181" s="6" t="str">
        <f aca="false">IF(D181&gt;Settings!$C$4,"Bullish",IF(D181&lt;-Settings!$C$4,"Bearish","Neutral"))</f>
        <v>Neutral</v>
      </c>
      <c r="F181" s="8"/>
      <c r="G181" s="20" t="n">
        <v>-0.0004420064101606</v>
      </c>
      <c r="H181" s="6" t="str">
        <f aca="false">IF(G181="","",IF(G181&gt;0,"Bullish",IF(G181&lt;0,"Bearish","Flat")))</f>
        <v>Bearish</v>
      </c>
      <c r="I181" s="6" t="str">
        <f aca="false">IF(OR(G181="",E181="Neutral"),"",IF(E181=H181,1,0))</f>
        <v/>
      </c>
      <c r="J181" s="6" t="s">
        <v>150</v>
      </c>
    </row>
    <row r="182" customFormat="false" ht="15" hidden="false" customHeight="false" outlineLevel="0" collapsed="false">
      <c r="A182" s="19" t="n">
        <v>46176</v>
      </c>
      <c r="B182" s="6" t="s">
        <v>18</v>
      </c>
      <c r="C182" s="6" t="s">
        <v>149</v>
      </c>
      <c r="D182" s="7" t="n">
        <v>0.6112</v>
      </c>
      <c r="E182" s="6" t="str">
        <f aca="false">IF(D182&gt;Settings!$C$4,"Bullish",IF(D182&lt;-Settings!$C$4,"Bearish","Neutral"))</f>
        <v>Bullish</v>
      </c>
      <c r="F182" s="8" t="n">
        <v>0.476</v>
      </c>
      <c r="G182" s="20" t="n">
        <v>-0.0074244265126975</v>
      </c>
      <c r="H182" s="6" t="str">
        <f aca="false">IF(G182="","",IF(G182&gt;0,"Bullish",IF(G182&lt;0,"Bearish","Flat")))</f>
        <v>Bearish</v>
      </c>
      <c r="I182" s="6" t="n">
        <f aca="false">IF(OR(G182="",E182="Neutral"),"",IF(E182=H182,1,0))</f>
        <v>0</v>
      </c>
      <c r="J182" s="6" t="s">
        <v>150</v>
      </c>
    </row>
    <row r="183" customFormat="false" ht="15" hidden="false" customHeight="false" outlineLevel="0" collapsed="false">
      <c r="A183" s="19" t="n">
        <v>46176</v>
      </c>
      <c r="B183" s="6" t="s">
        <v>51</v>
      </c>
      <c r="C183" s="6" t="s">
        <v>149</v>
      </c>
      <c r="D183" s="7" t="n">
        <v>-0.3489</v>
      </c>
      <c r="E183" s="6" t="str">
        <f aca="false">IF(D183&gt;Settings!$C$4,"Bullish",IF(D183&lt;-Settings!$C$4,"Bearish","Neutral"))</f>
        <v>Bearish</v>
      </c>
      <c r="F183" s="8" t="n">
        <v>0.538</v>
      </c>
      <c r="G183" s="20" t="n">
        <v>-0.069422150882825</v>
      </c>
      <c r="H183" s="6" t="str">
        <f aca="false">IF(G183="","",IF(G183&gt;0,"Bullish",IF(G183&lt;0,"Bearish","Flat")))</f>
        <v>Bearish</v>
      </c>
      <c r="I183" s="6" t="n">
        <f aca="false">IF(OR(G183="",E183="Neutral"),"",IF(E183=H183,1,0))</f>
        <v>1</v>
      </c>
      <c r="J183" s="6" t="s">
        <v>150</v>
      </c>
    </row>
    <row r="184" customFormat="false" ht="15" hidden="false" customHeight="false" outlineLevel="0" collapsed="false">
      <c r="A184" s="19" t="n">
        <v>46177</v>
      </c>
      <c r="B184" s="6" t="s">
        <v>18</v>
      </c>
      <c r="C184" s="6" t="s">
        <v>154</v>
      </c>
      <c r="D184" s="7" t="n">
        <v>-0.0686</v>
      </c>
      <c r="E184" s="6" t="str">
        <f aca="false">IF(D184&gt;Settings!$C$4,"Bullish",IF(D184&lt;-Settings!$C$4,"Bearish","Neutral"))</f>
        <v>Neutral</v>
      </c>
      <c r="F184" s="8"/>
      <c r="G184" s="20" t="n">
        <v>0.0057597031240268</v>
      </c>
      <c r="H184" s="6" t="str">
        <f aca="false">IF(G184="","",IF(G184&gt;0,"Bullish",IF(G184&lt;0,"Bearish","Flat")))</f>
        <v>Bullish</v>
      </c>
      <c r="I184" s="6" t="str">
        <f aca="false">IF(OR(G184="",E184="Neutral"),"",IF(E184=H184,1,0))</f>
        <v/>
      </c>
      <c r="J184" s="6" t="s">
        <v>150</v>
      </c>
    </row>
    <row r="185" customFormat="false" ht="15" hidden="false" customHeight="false" outlineLevel="0" collapsed="false">
      <c r="A185" s="19" t="n">
        <v>46177</v>
      </c>
      <c r="B185" s="6" t="s">
        <v>18</v>
      </c>
      <c r="C185" s="6" t="s">
        <v>149</v>
      </c>
      <c r="D185" s="7" t="n">
        <v>0.4488</v>
      </c>
      <c r="E185" s="6" t="str">
        <f aca="false">IF(D185&gt;Settings!$C$4,"Bullish",IF(D185&lt;-Settings!$C$4,"Bearish","Neutral"))</f>
        <v>Bullish</v>
      </c>
      <c r="F185" s="8" t="n">
        <v>0.51</v>
      </c>
      <c r="G185" s="20" t="n">
        <v>-0.0028991794248457</v>
      </c>
      <c r="H185" s="6" t="str">
        <f aca="false">IF(G185="","",IF(G185&gt;0,"Bullish",IF(G185&lt;0,"Bearish","Flat")))</f>
        <v>Bearish</v>
      </c>
      <c r="I185" s="6" t="n">
        <f aca="false">IF(OR(G185="",E185="Neutral"),"",IF(E185=H185,1,0))</f>
        <v>0</v>
      </c>
      <c r="J185" s="6" t="s">
        <v>150</v>
      </c>
    </row>
    <row r="186" customFormat="false" ht="15" hidden="false" customHeight="false" outlineLevel="0" collapsed="false">
      <c r="A186" s="19" t="n">
        <v>46177</v>
      </c>
      <c r="B186" s="6" t="s">
        <v>51</v>
      </c>
      <c r="C186" s="6" t="s">
        <v>149</v>
      </c>
      <c r="D186" s="7" t="n">
        <v>-0.3619</v>
      </c>
      <c r="E186" s="6" t="str">
        <f aca="false">IF(D186&gt;Settings!$C$4,"Bullish",IF(D186&lt;-Settings!$C$4,"Bearish","Neutral"))</f>
        <v>Bearish</v>
      </c>
      <c r="F186" s="8" t="n">
        <v>0.538</v>
      </c>
      <c r="G186" s="20" t="n">
        <v>-0.104239421749371</v>
      </c>
      <c r="H186" s="6" t="str">
        <f aca="false">IF(G186="","",IF(G186&gt;0,"Bullish",IF(G186&lt;0,"Bearish","Flat")))</f>
        <v>Bearish</v>
      </c>
      <c r="I186" s="6" t="n">
        <f aca="false">IF(OR(G186="",E186="Neutral"),"",IF(E186=H186,1,0))</f>
        <v>1</v>
      </c>
      <c r="J186" s="6" t="s">
        <v>150</v>
      </c>
    </row>
    <row r="187" customFormat="false" ht="15" hidden="false" customHeight="false" outlineLevel="0" collapsed="false">
      <c r="A187" s="19" t="n">
        <v>46178</v>
      </c>
      <c r="B187" s="6" t="s">
        <v>18</v>
      </c>
      <c r="C187" s="6" t="s">
        <v>154</v>
      </c>
      <c r="D187" s="7" t="n">
        <v>0.3219</v>
      </c>
      <c r="E187" s="6" t="str">
        <f aca="false">IF(D187&gt;Settings!$C$4,"Bullish",IF(D187&lt;-Settings!$C$4,"Bearish","Neutral"))</f>
        <v>Bullish</v>
      </c>
      <c r="F187" s="8" t="n">
        <v>0.529</v>
      </c>
      <c r="G187" s="20" t="n">
        <v>-0.0047808781908901</v>
      </c>
      <c r="H187" s="6" t="str">
        <f aca="false">IF(G187="","",IF(G187&gt;0,"Bullish",IF(G187&lt;0,"Bearish","Flat")))</f>
        <v>Bearish</v>
      </c>
      <c r="I187" s="6" t="n">
        <f aca="false">IF(OR(G187="",E187="Neutral"),"",IF(E187=H187,1,0))</f>
        <v>0</v>
      </c>
      <c r="J187" s="6" t="s">
        <v>150</v>
      </c>
    </row>
    <row r="188" customFormat="false" ht="15" hidden="false" customHeight="false" outlineLevel="0" collapsed="false">
      <c r="A188" s="19" t="n">
        <v>46178</v>
      </c>
      <c r="B188" s="6" t="s">
        <v>18</v>
      </c>
      <c r="C188" s="6" t="s">
        <v>149</v>
      </c>
      <c r="D188" s="7" t="n">
        <v>0.2959</v>
      </c>
      <c r="E188" s="6" t="str">
        <f aca="false">IF(D188&gt;Settings!$C$4,"Bullish",IF(D188&lt;-Settings!$C$4,"Bearish","Neutral"))</f>
        <v>Bullish</v>
      </c>
      <c r="F188" s="8" t="n">
        <v>0.495</v>
      </c>
      <c r="G188" s="20" t="n">
        <v>-0.0135163625289888</v>
      </c>
      <c r="H188" s="6" t="str">
        <f aca="false">IF(G188="","",IF(G188&gt;0,"Bullish",IF(G188&lt;0,"Bearish","Flat")))</f>
        <v>Bearish</v>
      </c>
      <c r="I188" s="6" t="n">
        <f aca="false">IF(OR(G188="",E188="Neutral"),"",IF(E188=H188,1,0))</f>
        <v>0</v>
      </c>
      <c r="J188" s="6" t="s">
        <v>150</v>
      </c>
    </row>
    <row r="189" customFormat="false" ht="15" hidden="false" customHeight="false" outlineLevel="0" collapsed="false">
      <c r="A189" s="19" t="n">
        <v>46178</v>
      </c>
      <c r="B189" s="6" t="s">
        <v>51</v>
      </c>
      <c r="C189" s="6" t="s">
        <v>149</v>
      </c>
      <c r="D189" s="7" t="n">
        <v>-0.3585</v>
      </c>
      <c r="E189" s="6" t="str">
        <f aca="false">IF(D189&gt;Settings!$C$4,"Bullish",IF(D189&lt;-Settings!$C$4,"Bearish","Neutral"))</f>
        <v>Bearish</v>
      </c>
      <c r="F189" s="8" t="n">
        <v>0.538</v>
      </c>
      <c r="G189" s="20" t="n">
        <v>-0.100081300813008</v>
      </c>
      <c r="H189" s="6" t="str">
        <f aca="false">IF(G189="","",IF(G189&gt;0,"Bullish",IF(G189&lt;0,"Bearish","Flat")))</f>
        <v>Bearish</v>
      </c>
      <c r="I189" s="6" t="n">
        <f aca="false">IF(OR(G189="",E189="Neutral"),"",IF(E189=H189,1,0))</f>
        <v>1</v>
      </c>
      <c r="J189" s="6" t="s">
        <v>150</v>
      </c>
    </row>
    <row r="190" customFormat="false" ht="15" hidden="false" customHeight="false" outlineLevel="0" collapsed="false">
      <c r="A190" s="19" t="n">
        <v>46181</v>
      </c>
      <c r="B190" s="6" t="s">
        <v>35</v>
      </c>
      <c r="C190" s="6" t="s">
        <v>154</v>
      </c>
      <c r="D190" s="7" t="n">
        <v>-0.2892</v>
      </c>
      <c r="E190" s="6" t="str">
        <f aca="false">IF(D190&gt;Settings!$C$4,"Bullish",IF(D190&lt;-Settings!$C$4,"Bearish","Neutral"))</f>
        <v>Bearish</v>
      </c>
      <c r="F190" s="8" t="n">
        <v>0.531</v>
      </c>
      <c r="G190" s="20" t="n">
        <v>0.0026541674102533</v>
      </c>
      <c r="H190" s="6" t="str">
        <f aca="false">IF(G190="","",IF(G190&gt;0,"Bullish",IF(G190&lt;0,"Bearish","Flat")))</f>
        <v>Bullish</v>
      </c>
      <c r="I190" s="6" t="n">
        <f aca="false">IF(OR(G190="",E190="Neutral"),"",IF(E190=H190,1,0))</f>
        <v>0</v>
      </c>
      <c r="J190" s="6" t="s">
        <v>150</v>
      </c>
    </row>
    <row r="191" customFormat="false" ht="15" hidden="false" customHeight="false" outlineLevel="0" collapsed="false">
      <c r="A191" s="19" t="n">
        <v>46181</v>
      </c>
      <c r="B191" s="6" t="s">
        <v>35</v>
      </c>
      <c r="C191" s="6" t="s">
        <v>149</v>
      </c>
      <c r="D191" s="7" t="n">
        <v>0.2753</v>
      </c>
      <c r="E191" s="6" t="str">
        <f aca="false">IF(D191&gt;Settings!$C$4,"Bullish",IF(D191&lt;-Settings!$C$4,"Bearish","Neutral"))</f>
        <v>Bullish</v>
      </c>
      <c r="F191" s="8" t="n">
        <v>0.563</v>
      </c>
      <c r="G191" s="20" t="n">
        <v>-0.0273622439874448</v>
      </c>
      <c r="H191" s="6" t="str">
        <f aca="false">IF(G191="","",IF(G191&gt;0,"Bullish",IF(G191&lt;0,"Bearish","Flat")))</f>
        <v>Bearish</v>
      </c>
      <c r="I191" s="6" t="n">
        <f aca="false">IF(OR(G191="",E191="Neutral"),"",IF(E191=H191,1,0))</f>
        <v>0</v>
      </c>
      <c r="J191" s="6" t="s">
        <v>150</v>
      </c>
    </row>
    <row r="192" customFormat="false" ht="15" hidden="false" customHeight="false" outlineLevel="0" collapsed="false">
      <c r="A192" s="19" t="n">
        <v>46181</v>
      </c>
      <c r="B192" s="6" t="s">
        <v>53</v>
      </c>
      <c r="C192" s="6" t="s">
        <v>154</v>
      </c>
      <c r="D192" s="7" t="n">
        <v>-0.4297</v>
      </c>
      <c r="E192" s="6" t="str">
        <f aca="false">IF(D192&gt;Settings!$C$4,"Bullish",IF(D192&lt;-Settings!$C$4,"Bearish","Neutral"))</f>
        <v>Bearish</v>
      </c>
      <c r="F192" s="8" t="n">
        <v>0.535</v>
      </c>
      <c r="G192" s="20" t="n">
        <v>0.0163934426229508</v>
      </c>
      <c r="H192" s="6" t="str">
        <f aca="false">IF(G192="","",IF(G192&gt;0,"Bullish",IF(G192&lt;0,"Bearish","Flat")))</f>
        <v>Bullish</v>
      </c>
      <c r="I192" s="6" t="n">
        <f aca="false">IF(OR(G192="",E192="Neutral"),"",IF(E192=H192,1,0))</f>
        <v>0</v>
      </c>
      <c r="J192" s="6" t="s">
        <v>150</v>
      </c>
    </row>
    <row r="193" customFormat="false" ht="15" hidden="false" customHeight="false" outlineLevel="0" collapsed="false">
      <c r="A193" s="19" t="n">
        <v>46181</v>
      </c>
      <c r="B193" s="6" t="s">
        <v>18</v>
      </c>
      <c r="C193" s="6" t="s">
        <v>154</v>
      </c>
      <c r="D193" s="7" t="n">
        <v>0.3522</v>
      </c>
      <c r="E193" s="6" t="str">
        <f aca="false">IF(D193&gt;Settings!$C$4,"Bullish",IF(D193&lt;-Settings!$C$4,"Bearish","Neutral"))</f>
        <v>Bullish</v>
      </c>
      <c r="F193" s="8" t="n">
        <v>0.529</v>
      </c>
      <c r="G193" s="20" t="n">
        <v>0.0018327000480919</v>
      </c>
      <c r="H193" s="6" t="str">
        <f aca="false">IF(G193="","",IF(G193&gt;0,"Bullish",IF(G193&lt;0,"Bearish","Flat")))</f>
        <v>Bullish</v>
      </c>
      <c r="I193" s="6" t="n">
        <f aca="false">IF(OR(G193="",E193="Neutral"),"",IF(E193=H193,1,0))</f>
        <v>1</v>
      </c>
      <c r="J193" s="6" t="s">
        <v>150</v>
      </c>
    </row>
    <row r="194" customFormat="false" ht="15" hidden="false" customHeight="false" outlineLevel="0" collapsed="false">
      <c r="A194" s="19" t="n">
        <v>46181</v>
      </c>
      <c r="B194" s="6" t="s">
        <v>18</v>
      </c>
      <c r="C194" s="6" t="s">
        <v>149</v>
      </c>
      <c r="D194" s="7" t="n">
        <v>0.1254</v>
      </c>
      <c r="E194" s="6" t="str">
        <f aca="false">IF(D194&gt;Settings!$C$4,"Bullish",IF(D194&lt;-Settings!$C$4,"Bearish","Neutral"))</f>
        <v>Neutral</v>
      </c>
      <c r="F194" s="8"/>
      <c r="G194" s="20" t="n">
        <v>0.0234914885597057</v>
      </c>
      <c r="H194" s="6" t="str">
        <f aca="false">IF(G194="","",IF(G194&gt;0,"Bullish",IF(G194&lt;0,"Bearish","Flat")))</f>
        <v>Bullish</v>
      </c>
      <c r="I194" s="6" t="str">
        <f aca="false">IF(OR(G194="",E194="Neutral"),"",IF(E194=H194,1,0))</f>
        <v/>
      </c>
      <c r="J194" s="6" t="s">
        <v>150</v>
      </c>
    </row>
    <row r="195" customFormat="false" ht="15" hidden="false" customHeight="false" outlineLevel="0" collapsed="false">
      <c r="A195" s="19" t="n">
        <v>46181</v>
      </c>
      <c r="B195" s="6" t="s">
        <v>51</v>
      </c>
      <c r="C195" s="6" t="s">
        <v>149</v>
      </c>
      <c r="D195" s="7" t="n">
        <v>-0.3692</v>
      </c>
      <c r="E195" s="6" t="str">
        <f aca="false">IF(D195&gt;Settings!$C$4,"Bullish",IF(D195&lt;-Settings!$C$4,"Bearish","Neutral"))</f>
        <v>Bearish</v>
      </c>
      <c r="F195" s="8" t="n">
        <v>0.538</v>
      </c>
      <c r="G195" s="20" t="n">
        <v>0.0030997598777557</v>
      </c>
      <c r="H195" s="6" t="str">
        <f aca="false">IF(G195="","",IF(G195&gt;0,"Bullish",IF(G195&lt;0,"Bearish","Flat")))</f>
        <v>Bullish</v>
      </c>
      <c r="I195" s="6" t="n">
        <f aca="false">IF(OR(G195="",E195="Neutral"),"",IF(E195=H195,1,0))</f>
        <v>0</v>
      </c>
      <c r="J195" s="6" t="s">
        <v>150</v>
      </c>
    </row>
    <row r="196" customFormat="false" ht="15" hidden="false" customHeight="false" outlineLevel="0" collapsed="false">
      <c r="A196" s="19" t="n">
        <v>46182</v>
      </c>
      <c r="B196" s="6" t="s">
        <v>30</v>
      </c>
      <c r="C196" s="6" t="s">
        <v>149</v>
      </c>
      <c r="D196" s="7" t="n">
        <v>-0.2968</v>
      </c>
      <c r="E196" s="6" t="str">
        <f aca="false">IF(D196&gt;Settings!$C$4,"Bullish",IF(D196&lt;-Settings!$C$4,"Bearish","Neutral"))</f>
        <v>Bearish</v>
      </c>
      <c r="F196" s="8" t="n">
        <v>0.531</v>
      </c>
      <c r="G196" s="20" t="n">
        <v>0.0150382475660639</v>
      </c>
      <c r="H196" s="6" t="str">
        <f aca="false">IF(G196="","",IF(G196&gt;0,"Bullish",IF(G196&lt;0,"Bearish","Flat")))</f>
        <v>Bullish</v>
      </c>
      <c r="I196" s="6" t="n">
        <f aca="false">IF(OR(G196="",E196="Neutral"),"",IF(E196=H196,1,0))</f>
        <v>0</v>
      </c>
      <c r="J196" s="6" t="s">
        <v>150</v>
      </c>
    </row>
    <row r="197" customFormat="false" ht="15" hidden="false" customHeight="false" outlineLevel="0" collapsed="false">
      <c r="A197" s="19" t="n">
        <v>46182</v>
      </c>
      <c r="B197" s="6" t="s">
        <v>35</v>
      </c>
      <c r="C197" s="6" t="s">
        <v>149</v>
      </c>
      <c r="D197" s="7" t="n">
        <v>0.2006</v>
      </c>
      <c r="E197" s="6" t="str">
        <f aca="false">IF(D197&gt;Settings!$C$4,"Bullish",IF(D197&lt;-Settings!$C$4,"Bearish","Neutral"))</f>
        <v>Bullish</v>
      </c>
      <c r="F197" s="8" t="n">
        <v>0.563</v>
      </c>
      <c r="G197" s="20" t="n">
        <v>-0.0286361449785951</v>
      </c>
      <c r="H197" s="6" t="str">
        <f aca="false">IF(G197="","",IF(G197&gt;0,"Bullish",IF(G197&lt;0,"Bearish","Flat")))</f>
        <v>Bearish</v>
      </c>
      <c r="I197" s="6" t="n">
        <f aca="false">IF(OR(G197="",E197="Neutral"),"",IF(E197=H197,1,0))</f>
        <v>0</v>
      </c>
      <c r="J197" s="6" t="s">
        <v>150</v>
      </c>
    </row>
    <row r="198" customFormat="false" ht="15" hidden="false" customHeight="false" outlineLevel="0" collapsed="false">
      <c r="A198" s="19" t="n">
        <v>46182</v>
      </c>
      <c r="B198" s="6" t="s">
        <v>18</v>
      </c>
      <c r="C198" s="6" t="s">
        <v>154</v>
      </c>
      <c r="D198" s="7" t="n">
        <v>-0.7004</v>
      </c>
      <c r="E198" s="6" t="str">
        <f aca="false">IF(D198&gt;Settings!$C$4,"Bullish",IF(D198&lt;-Settings!$C$4,"Bearish","Neutral"))</f>
        <v>Bearish</v>
      </c>
      <c r="F198" s="8" t="n">
        <v>0.501</v>
      </c>
      <c r="G198" s="20" t="n">
        <v>-0.0007287485946331</v>
      </c>
      <c r="H198" s="6" t="str">
        <f aca="false">IF(G198="","",IF(G198&gt;0,"Bullish",IF(G198&lt;0,"Bearish","Flat")))</f>
        <v>Bearish</v>
      </c>
      <c r="I198" s="6" t="n">
        <f aca="false">IF(OR(G198="",E198="Neutral"),"",IF(E198=H198,1,0))</f>
        <v>1</v>
      </c>
      <c r="J198" s="6" t="s">
        <v>150</v>
      </c>
    </row>
    <row r="199" customFormat="false" ht="15" hidden="false" customHeight="false" outlineLevel="0" collapsed="false">
      <c r="A199" s="19" t="n">
        <v>46182</v>
      </c>
      <c r="B199" s="6" t="s">
        <v>18</v>
      </c>
      <c r="C199" s="6" t="s">
        <v>149</v>
      </c>
      <c r="D199" s="7" t="n">
        <v>-0.0584</v>
      </c>
      <c r="E199" s="6" t="str">
        <f aca="false">IF(D199&gt;Settings!$C$4,"Bullish",IF(D199&lt;-Settings!$C$4,"Bearish","Neutral"))</f>
        <v>Neutral</v>
      </c>
      <c r="F199" s="8"/>
      <c r="G199" s="20" t="n">
        <v>0.0255749912399689</v>
      </c>
      <c r="H199" s="6" t="str">
        <f aca="false">IF(G199="","",IF(G199&gt;0,"Bullish",IF(G199&lt;0,"Bearish","Flat")))</f>
        <v>Bullish</v>
      </c>
      <c r="I199" s="6" t="str">
        <f aca="false">IF(OR(G199="",E199="Neutral"),"",IF(E199=H199,1,0))</f>
        <v/>
      </c>
      <c r="J199" s="6" t="s">
        <v>150</v>
      </c>
    </row>
    <row r="200" customFormat="false" ht="15" hidden="false" customHeight="false" outlineLevel="0" collapsed="false">
      <c r="A200" s="19" t="n">
        <v>46182</v>
      </c>
      <c r="B200" s="6" t="s">
        <v>51</v>
      </c>
      <c r="C200" s="6" t="s">
        <v>149</v>
      </c>
      <c r="D200" s="7" t="n">
        <v>-0.4031</v>
      </c>
      <c r="E200" s="6" t="str">
        <f aca="false">IF(D200&gt;Settings!$C$4,"Bullish",IF(D200&lt;-Settings!$C$4,"Bearish","Neutral"))</f>
        <v>Bearish</v>
      </c>
      <c r="F200" s="8" t="n">
        <v>0.538</v>
      </c>
      <c r="G200" s="20" t="n">
        <v>0.046578947368421</v>
      </c>
      <c r="H200" s="6" t="str">
        <f aca="false">IF(G200="","",IF(G200&gt;0,"Bullish",IF(G200&lt;0,"Bearish","Flat")))</f>
        <v>Bullish</v>
      </c>
      <c r="I200" s="6" t="n">
        <f aca="false">IF(OR(G200="",E200="Neutral"),"",IF(E200=H200,1,0))</f>
        <v>0</v>
      </c>
      <c r="J200" s="6" t="s">
        <v>150</v>
      </c>
    </row>
    <row r="201" customFormat="false" ht="15" hidden="false" customHeight="false" outlineLevel="0" collapsed="false">
      <c r="A201" s="19" t="n">
        <v>46183</v>
      </c>
      <c r="B201" s="6" t="s">
        <v>22</v>
      </c>
      <c r="C201" s="6" t="s">
        <v>154</v>
      </c>
      <c r="D201" s="7" t="n">
        <v>-0.3169</v>
      </c>
      <c r="E201" s="6" t="str">
        <f aca="false">IF(D201&gt;Settings!$C$4,"Bullish",IF(D201&lt;-Settings!$C$4,"Bearish","Neutral"))</f>
        <v>Bearish</v>
      </c>
      <c r="F201" s="8" t="n">
        <v>0.533</v>
      </c>
      <c r="G201" s="20" t="n">
        <v>-0.0001850826974895</v>
      </c>
      <c r="H201" s="6" t="str">
        <f aca="false">IF(G201="","",IF(G201&gt;0,"Bullish",IF(G201&lt;0,"Bearish","Flat")))</f>
        <v>Bearish</v>
      </c>
      <c r="I201" s="6" t="n">
        <f aca="false">IF(OR(G201="",E201="Neutral"),"",IF(E201=H201,1,0))</f>
        <v>1</v>
      </c>
      <c r="J201" s="6" t="s">
        <v>150</v>
      </c>
    </row>
    <row r="202" customFormat="false" ht="15" hidden="false" customHeight="false" outlineLevel="0" collapsed="false">
      <c r="A202" s="19" t="n">
        <v>46183</v>
      </c>
      <c r="B202" s="6" t="s">
        <v>30</v>
      </c>
      <c r="C202" s="6" t="s">
        <v>149</v>
      </c>
      <c r="D202" s="7" t="n">
        <v>-0.2394</v>
      </c>
      <c r="E202" s="6" t="str">
        <f aca="false">IF(D202&gt;Settings!$C$4,"Bullish",IF(D202&lt;-Settings!$C$4,"Bearish","Neutral"))</f>
        <v>Bearish</v>
      </c>
      <c r="F202" s="8" t="n">
        <v>0.531</v>
      </c>
      <c r="G202" s="20" t="n">
        <v>0.0238892504045136</v>
      </c>
      <c r="H202" s="6" t="str">
        <f aca="false">IF(G202="","",IF(G202&gt;0,"Bullish",IF(G202&lt;0,"Bearish","Flat")))</f>
        <v>Bullish</v>
      </c>
      <c r="I202" s="6" t="n">
        <f aca="false">IF(OR(G202="",E202="Neutral"),"",IF(E202=H202,1,0))</f>
        <v>0</v>
      </c>
      <c r="J202" s="6" t="s">
        <v>150</v>
      </c>
    </row>
    <row r="203" customFormat="false" ht="15" hidden="false" customHeight="false" outlineLevel="0" collapsed="false">
      <c r="A203" s="19" t="n">
        <v>46183</v>
      </c>
      <c r="B203" s="6" t="s">
        <v>35</v>
      </c>
      <c r="C203" s="6" t="s">
        <v>149</v>
      </c>
      <c r="D203" s="7" t="n">
        <v>0.2464</v>
      </c>
      <c r="E203" s="6" t="str">
        <f aca="false">IF(D203&gt;Settings!$C$4,"Bullish",IF(D203&lt;-Settings!$C$4,"Bearish","Neutral"))</f>
        <v>Bullish</v>
      </c>
      <c r="F203" s="8" t="n">
        <v>0.563</v>
      </c>
      <c r="G203" s="20" t="n">
        <v>0.0009197021216214</v>
      </c>
      <c r="H203" s="6" t="str">
        <f aca="false">IF(G203="","",IF(G203&gt;0,"Bullish",IF(G203&lt;0,"Bearish","Flat")))</f>
        <v>Bullish</v>
      </c>
      <c r="I203" s="6" t="n">
        <f aca="false">IF(OR(G203="",E203="Neutral"),"",IF(E203=H203,1,0))</f>
        <v>1</v>
      </c>
      <c r="J203" s="6" t="s">
        <v>150</v>
      </c>
    </row>
    <row r="204" customFormat="false" ht="15" hidden="false" customHeight="false" outlineLevel="0" collapsed="false">
      <c r="A204" s="19" t="n">
        <v>46183</v>
      </c>
      <c r="B204" s="6" t="s">
        <v>53</v>
      </c>
      <c r="C204" s="6" t="s">
        <v>154</v>
      </c>
      <c r="D204" s="7" t="n">
        <v>-0.3746</v>
      </c>
      <c r="E204" s="6" t="str">
        <f aca="false">IF(D204&gt;Settings!$C$4,"Bullish",IF(D204&lt;-Settings!$C$4,"Bearish","Neutral"))</f>
        <v>Bearish</v>
      </c>
      <c r="F204" s="8" t="n">
        <v>0.535</v>
      </c>
      <c r="G204" s="20" t="n">
        <v>0.0283018867924527</v>
      </c>
      <c r="H204" s="6" t="str">
        <f aca="false">IF(G204="","",IF(G204&gt;0,"Bullish",IF(G204&lt;0,"Bearish","Flat")))</f>
        <v>Bullish</v>
      </c>
      <c r="I204" s="6" t="n">
        <f aca="false">IF(OR(G204="",E204="Neutral"),"",IF(E204=H204,1,0))</f>
        <v>0</v>
      </c>
      <c r="J204" s="6" t="s">
        <v>150</v>
      </c>
    </row>
    <row r="205" customFormat="false" ht="15" hidden="false" customHeight="false" outlineLevel="0" collapsed="false">
      <c r="A205" s="19" t="n">
        <v>46183</v>
      </c>
      <c r="B205" s="6" t="s">
        <v>18</v>
      </c>
      <c r="C205" s="6" t="s">
        <v>154</v>
      </c>
      <c r="D205" s="7" t="n">
        <v>-0.1189</v>
      </c>
      <c r="E205" s="6" t="str">
        <f aca="false">IF(D205&gt;Settings!$C$4,"Bullish",IF(D205&lt;-Settings!$C$4,"Bearish","Neutral"))</f>
        <v>Neutral</v>
      </c>
      <c r="F205" s="8"/>
      <c r="G205" s="20" t="n">
        <v>-0.0008177688253611</v>
      </c>
      <c r="H205" s="6" t="str">
        <f aca="false">IF(G205="","",IF(G205&gt;0,"Bullish",IF(G205&lt;0,"Bearish","Flat")))</f>
        <v>Bearish</v>
      </c>
      <c r="I205" s="6" t="str">
        <f aca="false">IF(OR(G205="",E205="Neutral"),"",IF(E205=H205,1,0))</f>
        <v/>
      </c>
      <c r="J205" s="6" t="s">
        <v>150</v>
      </c>
    </row>
    <row r="206" customFormat="false" ht="15" hidden="false" customHeight="false" outlineLevel="0" collapsed="false">
      <c r="A206" s="19" t="n">
        <v>46183</v>
      </c>
      <c r="B206" s="6" t="s">
        <v>18</v>
      </c>
      <c r="C206" s="6" t="s">
        <v>149</v>
      </c>
      <c r="D206" s="7" t="n">
        <v>0.0118</v>
      </c>
      <c r="E206" s="6" t="str">
        <f aca="false">IF(D206&gt;Settings!$C$4,"Bullish",IF(D206&lt;-Settings!$C$4,"Bearish","Neutral"))</f>
        <v>Neutral</v>
      </c>
      <c r="F206" s="8"/>
      <c r="G206" s="20" t="n">
        <v>0.0325041587848815</v>
      </c>
      <c r="H206" s="6" t="str">
        <f aca="false">IF(G206="","",IF(G206&gt;0,"Bullish",IF(G206&lt;0,"Bearish","Flat")))</f>
        <v>Bullish</v>
      </c>
      <c r="I206" s="6" t="str">
        <f aca="false">IF(OR(G206="",E206="Neutral"),"",IF(E206=H206,1,0))</f>
        <v/>
      </c>
      <c r="J206" s="6" t="s">
        <v>150</v>
      </c>
    </row>
    <row r="207" customFormat="false" ht="15" hidden="false" customHeight="false" outlineLevel="0" collapsed="false">
      <c r="A207" s="19" t="n">
        <v>46183</v>
      </c>
      <c r="B207" s="6" t="s">
        <v>51</v>
      </c>
      <c r="C207" s="6" t="s">
        <v>149</v>
      </c>
      <c r="D207" s="7" t="n">
        <v>-0.3498</v>
      </c>
      <c r="E207" s="6" t="str">
        <f aca="false">IF(D207&gt;Settings!$C$4,"Bullish",IF(D207&lt;-Settings!$C$4,"Bearish","Neutral"))</f>
        <v>Bearish</v>
      </c>
      <c r="F207" s="8" t="n">
        <v>0.538</v>
      </c>
      <c r="G207" s="20" t="n">
        <v>0.035657894736842</v>
      </c>
      <c r="H207" s="6" t="str">
        <f aca="false">IF(G207="","",IF(G207&gt;0,"Bullish",IF(G207&lt;0,"Bearish","Flat")))</f>
        <v>Bullish</v>
      </c>
      <c r="I207" s="6" t="n">
        <f aca="false">IF(OR(G207="",E207="Neutral"),"",IF(E207=H207,1,0))</f>
        <v>0</v>
      </c>
      <c r="J207" s="6" t="s">
        <v>150</v>
      </c>
    </row>
    <row r="208" customFormat="false" ht="15" hidden="false" customHeight="false" outlineLevel="0" collapsed="false">
      <c r="A208" s="19" t="n">
        <v>46184</v>
      </c>
      <c r="B208" s="6" t="s">
        <v>30</v>
      </c>
      <c r="C208" s="6" t="s">
        <v>149</v>
      </c>
      <c r="D208" s="7" t="n">
        <v>-0.1855</v>
      </c>
      <c r="E208" s="6" t="str">
        <f aca="false">IF(D208&gt;Settings!$C$4,"Bullish",IF(D208&lt;-Settings!$C$4,"Bearish","Neutral"))</f>
        <v>Bearish</v>
      </c>
      <c r="F208" s="8" t="n">
        <v>0.531</v>
      </c>
      <c r="G208" s="20" t="n">
        <v>0.0144077441752881</v>
      </c>
      <c r="H208" s="6" t="str">
        <f aca="false">IF(G208="","",IF(G208&gt;0,"Bullish",IF(G208&lt;0,"Bearish","Flat")))</f>
        <v>Bullish</v>
      </c>
      <c r="I208" s="6" t="n">
        <f aca="false">IF(OR(G208="",E208="Neutral"),"",IF(E208=H208,1,0))</f>
        <v>0</v>
      </c>
      <c r="J208" s="6" t="s">
        <v>150</v>
      </c>
    </row>
    <row r="209" customFormat="false" ht="15" hidden="false" customHeight="false" outlineLevel="0" collapsed="false">
      <c r="A209" s="19" t="n">
        <v>46184</v>
      </c>
      <c r="B209" s="6" t="s">
        <v>35</v>
      </c>
      <c r="C209" s="6" t="s">
        <v>149</v>
      </c>
      <c r="D209" s="7" t="n">
        <v>0.2888</v>
      </c>
      <c r="E209" s="6" t="str">
        <f aca="false">IF(D209&gt;Settings!$C$4,"Bullish",IF(D209&lt;-Settings!$C$4,"Bearish","Neutral"))</f>
        <v>Bullish</v>
      </c>
      <c r="F209" s="8" t="n">
        <v>0.563</v>
      </c>
      <c r="G209" s="20" t="n">
        <v>0.0330446787148595</v>
      </c>
      <c r="H209" s="6" t="str">
        <f aca="false">IF(G209="","",IF(G209&gt;0,"Bullish",IF(G209&lt;0,"Bearish","Flat")))</f>
        <v>Bullish</v>
      </c>
      <c r="I209" s="6" t="n">
        <f aca="false">IF(OR(G209="",E209="Neutral"),"",IF(E209=H209,1,0))</f>
        <v>1</v>
      </c>
      <c r="J209" s="6" t="s">
        <v>150</v>
      </c>
    </row>
    <row r="210" customFormat="false" ht="15" hidden="false" customHeight="false" outlineLevel="0" collapsed="false">
      <c r="A210" s="19" t="n">
        <v>46184</v>
      </c>
      <c r="B210" s="6" t="s">
        <v>53</v>
      </c>
      <c r="C210" s="6" t="s">
        <v>154</v>
      </c>
      <c r="D210" s="7" t="n">
        <v>-0.3118</v>
      </c>
      <c r="E210" s="6" t="str">
        <f aca="false">IF(D210&gt;Settings!$C$4,"Bullish",IF(D210&lt;-Settings!$C$4,"Bearish","Neutral"))</f>
        <v>Bearish</v>
      </c>
      <c r="F210" s="8" t="n">
        <v>0.535</v>
      </c>
      <c r="G210" s="20" t="n">
        <v>-0.0336391437308868</v>
      </c>
      <c r="H210" s="6" t="str">
        <f aca="false">IF(G210="","",IF(G210&gt;0,"Bullish",IF(G210&lt;0,"Bearish","Flat")))</f>
        <v>Bearish</v>
      </c>
      <c r="I210" s="6" t="n">
        <f aca="false">IF(OR(G210="",E210="Neutral"),"",IF(E210=H210,1,0))</f>
        <v>1</v>
      </c>
      <c r="J210" s="6" t="s">
        <v>150</v>
      </c>
    </row>
    <row r="211" customFormat="false" ht="15" hidden="false" customHeight="false" outlineLevel="0" collapsed="false">
      <c r="A211" s="19" t="n">
        <v>46184</v>
      </c>
      <c r="B211" s="6" t="s">
        <v>18</v>
      </c>
      <c r="C211" s="6" t="s">
        <v>154</v>
      </c>
      <c r="D211" s="7" t="n">
        <v>-0.3545</v>
      </c>
      <c r="E211" s="6" t="str">
        <f aca="false">IF(D211&gt;Settings!$C$4,"Bullish",IF(D211&lt;-Settings!$C$4,"Bearish","Neutral"))</f>
        <v>Bearish</v>
      </c>
      <c r="F211" s="8" t="n">
        <v>0.529</v>
      </c>
      <c r="G211" s="20" t="n">
        <v>0.0024757189106836</v>
      </c>
      <c r="H211" s="6" t="str">
        <f aca="false">IF(G211="","",IF(G211&gt;0,"Bullish",IF(G211&lt;0,"Bearish","Flat")))</f>
        <v>Bullish</v>
      </c>
      <c r="I211" s="6" t="n">
        <f aca="false">IF(OR(G211="",E211="Neutral"),"",IF(E211=H211,1,0))</f>
        <v>0</v>
      </c>
      <c r="J211" s="6" t="s">
        <v>150</v>
      </c>
    </row>
    <row r="212" customFormat="false" ht="15" hidden="false" customHeight="false" outlineLevel="0" collapsed="false">
      <c r="A212" s="19" t="n">
        <v>46184</v>
      </c>
      <c r="B212" s="6" t="s">
        <v>18</v>
      </c>
      <c r="C212" s="6" t="s">
        <v>149</v>
      </c>
      <c r="D212" s="7" t="n">
        <v>0.0741</v>
      </c>
      <c r="E212" s="6" t="str">
        <f aca="false">IF(D212&gt;Settings!$C$4,"Bullish",IF(D212&lt;-Settings!$C$4,"Bearish","Neutral"))</f>
        <v>Neutral</v>
      </c>
      <c r="F212" s="8"/>
      <c r="G212" s="20" t="n">
        <v>0.0424724294939491</v>
      </c>
      <c r="H212" s="6" t="str">
        <f aca="false">IF(G212="","",IF(G212&gt;0,"Bullish",IF(G212&lt;0,"Bearish","Flat")))</f>
        <v>Bullish</v>
      </c>
      <c r="I212" s="6" t="str">
        <f aca="false">IF(OR(G212="",E212="Neutral"),"",IF(E212=H212,1,0))</f>
        <v/>
      </c>
      <c r="J212" s="6" t="s">
        <v>150</v>
      </c>
    </row>
    <row r="213" customFormat="false" ht="15" hidden="false" customHeight="false" outlineLevel="0" collapsed="false">
      <c r="A213" s="19" t="n">
        <v>46184</v>
      </c>
      <c r="B213" s="6" t="s">
        <v>51</v>
      </c>
      <c r="C213" s="6" t="s">
        <v>149</v>
      </c>
      <c r="D213" s="7" t="n">
        <v>-0.2974</v>
      </c>
      <c r="E213" s="6" t="str">
        <f aca="false">IF(D213&gt;Settings!$C$4,"Bullish",IF(D213&lt;-Settings!$C$4,"Bearish","Neutral"))</f>
        <v>Bearish</v>
      </c>
      <c r="F213" s="8" t="n">
        <v>0.534</v>
      </c>
      <c r="G213" s="20" t="n">
        <v>0.0619513078106614</v>
      </c>
      <c r="H213" s="6" t="str">
        <f aca="false">IF(G213="","",IF(G213&gt;0,"Bullish",IF(G213&lt;0,"Bearish","Flat")))</f>
        <v>Bullish</v>
      </c>
      <c r="I213" s="6" t="n">
        <f aca="false">IF(OR(G213="",E213="Neutral"),"",IF(E213=H213,1,0))</f>
        <v>0</v>
      </c>
      <c r="J213" s="6" t="s">
        <v>150</v>
      </c>
    </row>
    <row r="214" customFormat="false" ht="15" hidden="false" customHeight="false" outlineLevel="0" collapsed="false">
      <c r="A214" s="19" t="n">
        <v>46185</v>
      </c>
      <c r="B214" s="6" t="s">
        <v>30</v>
      </c>
      <c r="C214" s="6" t="s">
        <v>149</v>
      </c>
      <c r="D214" s="7" t="n">
        <v>-0.1619</v>
      </c>
      <c r="E214" s="6" t="str">
        <f aca="false">IF(D214&gt;Settings!$C$4,"Bullish",IF(D214&lt;-Settings!$C$4,"Bearish","Neutral"))</f>
        <v>Bearish</v>
      </c>
      <c r="F214" s="8" t="n">
        <v>0.531</v>
      </c>
      <c r="G214" s="20" t="n">
        <v>0.0168882353724209</v>
      </c>
      <c r="H214" s="6" t="str">
        <f aca="false">IF(G214="","",IF(G214&gt;0,"Bullish",IF(G214&lt;0,"Bearish","Flat")))</f>
        <v>Bullish</v>
      </c>
      <c r="I214" s="6" t="n">
        <f aca="false">IF(OR(G214="",E214="Neutral"),"",IF(E214=H214,1,0))</f>
        <v>0</v>
      </c>
      <c r="J214" s="6" t="s">
        <v>150</v>
      </c>
    </row>
    <row r="215" customFormat="false" ht="15" hidden="false" customHeight="false" outlineLevel="0" collapsed="false">
      <c r="A215" s="19" t="n">
        <v>46185</v>
      </c>
      <c r="B215" s="6" t="s">
        <v>18</v>
      </c>
      <c r="C215" s="6" t="s">
        <v>154</v>
      </c>
      <c r="D215" s="7" t="n">
        <v>-0.055</v>
      </c>
      <c r="E215" s="6" t="str">
        <f aca="false">IF(D215&gt;Settings!$C$4,"Bullish",IF(D215&lt;-Settings!$C$4,"Bearish","Neutral"))</f>
        <v>Neutral</v>
      </c>
      <c r="F215" s="8"/>
      <c r="G215" s="20" t="n">
        <v>0.0089844976305444</v>
      </c>
      <c r="H215" s="6" t="str">
        <f aca="false">IF(G215="","",IF(G215&gt;0,"Bullish",IF(G215&lt;0,"Bearish","Flat")))</f>
        <v>Bullish</v>
      </c>
      <c r="I215" s="6" t="str">
        <f aca="false">IF(OR(G215="",E215="Neutral"),"",IF(E215=H215,1,0))</f>
        <v/>
      </c>
      <c r="J215" s="6" t="s">
        <v>150</v>
      </c>
    </row>
    <row r="216" customFormat="false" ht="15" hidden="false" customHeight="false" outlineLevel="0" collapsed="false">
      <c r="A216" s="19" t="n">
        <v>46185</v>
      </c>
      <c r="B216" s="6" t="s">
        <v>18</v>
      </c>
      <c r="C216" s="6" t="s">
        <v>149</v>
      </c>
      <c r="D216" s="7" t="n">
        <v>0.1201</v>
      </c>
      <c r="E216" s="6" t="str">
        <f aca="false">IF(D216&gt;Settings!$C$4,"Bullish",IF(D216&lt;-Settings!$C$4,"Bearish","Neutral"))</f>
        <v>Neutral</v>
      </c>
      <c r="F216" s="8"/>
      <c r="G216" s="20" t="n">
        <v>0.0322668825053229</v>
      </c>
      <c r="H216" s="6" t="str">
        <f aca="false">IF(G216="","",IF(G216&gt;0,"Bullish",IF(G216&lt;0,"Bearish","Flat")))</f>
        <v>Bullish</v>
      </c>
      <c r="I216" s="6" t="str">
        <f aca="false">IF(OR(G216="",E216="Neutral"),"",IF(E216=H216,1,0))</f>
        <v/>
      </c>
      <c r="J216" s="6" t="s">
        <v>150</v>
      </c>
    </row>
    <row r="217" customFormat="false" ht="15" hidden="false" customHeight="false" outlineLevel="0" collapsed="false">
      <c r="A217" s="19" t="n">
        <v>46185</v>
      </c>
      <c r="B217" s="6" t="s">
        <v>51</v>
      </c>
      <c r="C217" s="6" t="s">
        <v>149</v>
      </c>
      <c r="D217" s="7" t="n">
        <v>-0.2887</v>
      </c>
      <c r="E217" s="6" t="str">
        <f aca="false">IF(D217&gt;Settings!$C$4,"Bullish",IF(D217&lt;-Settings!$C$4,"Bearish","Neutral"))</f>
        <v>Bearish</v>
      </c>
      <c r="F217" s="8" t="n">
        <v>0.534</v>
      </c>
      <c r="G217" s="20" t="n">
        <v>0.0081974399438891</v>
      </c>
      <c r="H217" s="6" t="str">
        <f aca="false">IF(G217="","",IF(G217&gt;0,"Bullish",IF(G217&lt;0,"Bearish","Flat")))</f>
        <v>Bullish</v>
      </c>
      <c r="I217" s="6" t="n">
        <f aca="false">IF(OR(G217="",E217="Neutral"),"",IF(E217=H217,1,0))</f>
        <v>0</v>
      </c>
      <c r="J217" s="6" t="s">
        <v>150</v>
      </c>
    </row>
    <row r="218" customFormat="false" ht="15" hidden="false" customHeight="false" outlineLevel="0" collapsed="false">
      <c r="A218" s="19" t="n">
        <v>46188</v>
      </c>
      <c r="B218" s="6" t="s">
        <v>35</v>
      </c>
      <c r="C218" s="6" t="s">
        <v>154</v>
      </c>
      <c r="D218" s="7" t="n">
        <v>-0.1611</v>
      </c>
      <c r="E218" s="6" t="str">
        <f aca="false">IF(D218&gt;Settings!$C$4,"Bullish",IF(D218&lt;-Settings!$C$4,"Bearish","Neutral"))</f>
        <v>Bearish</v>
      </c>
      <c r="F218" s="8" t="n">
        <v>0.531</v>
      </c>
      <c r="G218" s="20" t="n">
        <v>-0.003939124556183</v>
      </c>
      <c r="H218" s="6" t="str">
        <f aca="false">IF(G218="","",IF(G218&gt;0,"Bullish",IF(G218&lt;0,"Bearish","Flat")))</f>
        <v>Bearish</v>
      </c>
      <c r="I218" s="6" t="n">
        <f aca="false">IF(OR(G218="",E218="Neutral"),"",IF(E218=H218,1,0))</f>
        <v>1</v>
      </c>
      <c r="J218" s="6" t="s">
        <v>150</v>
      </c>
    </row>
    <row r="219" customFormat="false" ht="15" hidden="false" customHeight="false" outlineLevel="0" collapsed="false">
      <c r="A219" s="19" t="n">
        <v>46188</v>
      </c>
      <c r="B219" s="6" t="s">
        <v>18</v>
      </c>
      <c r="C219" s="6" t="s">
        <v>154</v>
      </c>
      <c r="D219" s="7" t="n">
        <v>-0.6304</v>
      </c>
      <c r="E219" s="6" t="str">
        <f aca="false">IF(D219&gt;Settings!$C$4,"Bullish",IF(D219&lt;-Settings!$C$4,"Bearish","Neutral"))</f>
        <v>Bearish</v>
      </c>
      <c r="F219" s="8" t="n">
        <v>0.501</v>
      </c>
      <c r="G219" s="20" t="n">
        <v>-0.0054596964333734</v>
      </c>
      <c r="H219" s="6" t="str">
        <f aca="false">IF(G219="","",IF(G219&gt;0,"Bullish",IF(G219&lt;0,"Bearish","Flat")))</f>
        <v>Bearish</v>
      </c>
      <c r="I219" s="6" t="n">
        <f aca="false">IF(OR(G219="",E219="Neutral"),"",IF(E219=H219,1,0))</f>
        <v>1</v>
      </c>
      <c r="J219" s="6" t="s">
        <v>150</v>
      </c>
    </row>
    <row r="220" customFormat="false" ht="15" hidden="false" customHeight="false" outlineLevel="0" collapsed="false">
      <c r="A220" s="19" t="n">
        <v>46188</v>
      </c>
      <c r="B220" s="6" t="s">
        <v>18</v>
      </c>
      <c r="C220" s="6" t="s">
        <v>149</v>
      </c>
      <c r="D220" s="7" t="n">
        <v>0.1793</v>
      </c>
      <c r="E220" s="6" t="str">
        <f aca="false">IF(D220&gt;Settings!$C$4,"Bullish",IF(D220&lt;-Settings!$C$4,"Bearish","Neutral"))</f>
        <v>Bullish</v>
      </c>
      <c r="F220" s="8" t="n">
        <v>0.495</v>
      </c>
      <c r="G220" s="20" t="n">
        <v>0.0011778268365238</v>
      </c>
      <c r="H220" s="6" t="str">
        <f aca="false">IF(G220="","",IF(G220&gt;0,"Bullish",IF(G220&lt;0,"Bearish","Flat")))</f>
        <v>Bullish</v>
      </c>
      <c r="I220" s="6" t="n">
        <f aca="false">IF(OR(G220="",E220="Neutral"),"",IF(E220=H220,1,0))</f>
        <v>1</v>
      </c>
      <c r="J220" s="6" t="s">
        <v>150</v>
      </c>
    </row>
    <row r="221" customFormat="false" ht="15" hidden="false" customHeight="false" outlineLevel="0" collapsed="false">
      <c r="A221" s="19" t="n">
        <v>46188</v>
      </c>
      <c r="B221" s="6" t="s">
        <v>51</v>
      </c>
      <c r="C221" s="6" t="s">
        <v>149</v>
      </c>
      <c r="D221" s="7" t="n">
        <v>-0.2703</v>
      </c>
      <c r="E221" s="6" t="str">
        <f aca="false">IF(D221&gt;Settings!$C$4,"Bullish",IF(D221&lt;-Settings!$C$4,"Bearish","Neutral"))</f>
        <v>Bearish</v>
      </c>
      <c r="F221" s="8" t="n">
        <v>0.534</v>
      </c>
      <c r="G221" s="20" t="n">
        <v>-0.06209759403592</v>
      </c>
      <c r="H221" s="6" t="str">
        <f aca="false">IF(G221="","",IF(G221&gt;0,"Bullish",IF(G221&lt;0,"Bearish","Flat")))</f>
        <v>Bearish</v>
      </c>
      <c r="I221" s="6" t="n">
        <f aca="false">IF(OR(G221="",E221="Neutral"),"",IF(E221=H221,1,0))</f>
        <v>1</v>
      </c>
      <c r="J221" s="6" t="s">
        <v>150</v>
      </c>
    </row>
    <row r="222" customFormat="false" ht="15" hidden="false" customHeight="false" outlineLevel="0" collapsed="false">
      <c r="A222" s="19" t="n">
        <v>46189</v>
      </c>
      <c r="B222" s="6" t="s">
        <v>35</v>
      </c>
      <c r="C222" s="6" t="s">
        <v>154</v>
      </c>
      <c r="D222" s="7" t="n">
        <v>-0.2377</v>
      </c>
      <c r="E222" s="6" t="str">
        <f aca="false">IF(D222&gt;Settings!$C$4,"Bullish",IF(D222&lt;-Settings!$C$4,"Bearish","Neutral"))</f>
        <v>Bearish</v>
      </c>
      <c r="F222" s="8" t="n">
        <v>0.531</v>
      </c>
      <c r="G222" s="20" t="n">
        <v>0.011723958416336</v>
      </c>
      <c r="H222" s="6" t="str">
        <f aca="false">IF(G222="","",IF(G222&gt;0,"Bullish",IF(G222&lt;0,"Bearish","Flat")))</f>
        <v>Bullish</v>
      </c>
      <c r="I222" s="6" t="n">
        <f aca="false">IF(OR(G222="",E222="Neutral"),"",IF(E222=H222,1,0))</f>
        <v>0</v>
      </c>
      <c r="J222" s="6" t="s">
        <v>150</v>
      </c>
    </row>
    <row r="223" customFormat="false" ht="15" hidden="false" customHeight="false" outlineLevel="0" collapsed="false">
      <c r="A223" s="19" t="n">
        <v>46189</v>
      </c>
      <c r="B223" s="6" t="s">
        <v>18</v>
      </c>
      <c r="C223" s="6" t="s">
        <v>154</v>
      </c>
      <c r="D223" s="7" t="n">
        <v>-0.7177</v>
      </c>
      <c r="E223" s="6" t="str">
        <f aca="false">IF(D223&gt;Settings!$C$4,"Bullish",IF(D223&lt;-Settings!$C$4,"Bearish","Neutral"))</f>
        <v>Bearish</v>
      </c>
      <c r="F223" s="8" t="n">
        <v>0.501</v>
      </c>
      <c r="G223" s="20" t="n">
        <v>0.0027273981248876</v>
      </c>
      <c r="H223" s="6" t="str">
        <f aca="false">IF(G223="","",IF(G223&gt;0,"Bullish",IF(G223&lt;0,"Bearish","Flat")))</f>
        <v>Bullish</v>
      </c>
      <c r="I223" s="6" t="n">
        <f aca="false">IF(OR(G223="",E223="Neutral"),"",IF(E223=H223,1,0))</f>
        <v>0</v>
      </c>
      <c r="J223" s="6" t="s">
        <v>150</v>
      </c>
    </row>
    <row r="224" customFormat="false" ht="15" hidden="false" customHeight="false" outlineLevel="0" collapsed="false">
      <c r="A224" s="19" t="n">
        <v>46189</v>
      </c>
      <c r="B224" s="6" t="s">
        <v>18</v>
      </c>
      <c r="C224" s="6" t="s">
        <v>149</v>
      </c>
      <c r="D224" s="7" t="n">
        <v>0.235</v>
      </c>
      <c r="E224" s="6" t="str">
        <f aca="false">IF(D224&gt;Settings!$C$4,"Bullish",IF(D224&lt;-Settings!$C$4,"Bearish","Neutral"))</f>
        <v>Bullish</v>
      </c>
      <c r="F224" s="8" t="n">
        <v>0.495</v>
      </c>
      <c r="G224" s="20" t="n">
        <v>0.0074820576912626</v>
      </c>
      <c r="H224" s="6" t="str">
        <f aca="false">IF(G224="","",IF(G224&gt;0,"Bullish",IF(G224&lt;0,"Bearish","Flat")))</f>
        <v>Bullish</v>
      </c>
      <c r="I224" s="6" t="n">
        <f aca="false">IF(OR(G224="",E224="Neutral"),"",IF(E224=H224,1,0))</f>
        <v>1</v>
      </c>
      <c r="J224" s="6" t="s">
        <v>150</v>
      </c>
    </row>
    <row r="225" customFormat="false" ht="15" hidden="false" customHeight="false" outlineLevel="0" collapsed="false">
      <c r="A225" s="19" t="n">
        <v>46189</v>
      </c>
      <c r="B225" s="6" t="s">
        <v>51</v>
      </c>
      <c r="C225" s="6" t="s">
        <v>149</v>
      </c>
      <c r="D225" s="7" t="n">
        <v>-0.2365</v>
      </c>
      <c r="E225" s="6" t="str">
        <f aca="false">IF(D225&gt;Settings!$C$4,"Bullish",IF(D225&lt;-Settings!$C$4,"Bearish","Neutral"))</f>
        <v>Bearish</v>
      </c>
      <c r="F225" s="8" t="n">
        <v>0.534</v>
      </c>
      <c r="G225" s="20" t="n">
        <v>-0.0754004106776181</v>
      </c>
      <c r="H225" s="6" t="str">
        <f aca="false">IF(G225="","",IF(G225&gt;0,"Bullish",IF(G225&lt;0,"Bearish","Flat")))</f>
        <v>Bearish</v>
      </c>
      <c r="I225" s="6" t="n">
        <f aca="false">IF(OR(G225="",E225="Neutral"),"",IF(E225=H225,1,0))</f>
        <v>1</v>
      </c>
      <c r="J225" s="6" t="s">
        <v>150</v>
      </c>
    </row>
    <row r="226" customFormat="false" ht="15" hidden="false" customHeight="false" outlineLevel="0" collapsed="false">
      <c r="A226" s="19" t="n">
        <v>46190</v>
      </c>
      <c r="B226" s="6" t="s">
        <v>22</v>
      </c>
      <c r="C226" s="6" t="s">
        <v>154</v>
      </c>
      <c r="D226" s="7" t="n">
        <v>0.3833</v>
      </c>
      <c r="E226" s="6" t="str">
        <f aca="false">IF(D226&gt;Settings!$C$4,"Bullish",IF(D226&lt;-Settings!$C$4,"Bearish","Neutral"))</f>
        <v>Bullish</v>
      </c>
      <c r="F226" s="8" t="n">
        <v>0.533</v>
      </c>
      <c r="G226" s="20" t="n">
        <v>0.0026291024226918</v>
      </c>
      <c r="H226" s="6" t="str">
        <f aca="false">IF(G226="","",IF(G226&gt;0,"Bullish",IF(G226&lt;0,"Bearish","Flat")))</f>
        <v>Bullish</v>
      </c>
      <c r="I226" s="6" t="n">
        <f aca="false">IF(OR(G226="",E226="Neutral"),"",IF(E226=H226,1,0))</f>
        <v>1</v>
      </c>
      <c r="J226" s="6" t="s">
        <v>150</v>
      </c>
    </row>
    <row r="227" customFormat="false" ht="15" hidden="false" customHeight="false" outlineLevel="0" collapsed="false">
      <c r="A227" s="19" t="n">
        <v>46190</v>
      </c>
      <c r="B227" s="6" t="s">
        <v>30</v>
      </c>
      <c r="C227" s="6" t="s">
        <v>149</v>
      </c>
      <c r="D227" s="7" t="n">
        <v>-0.1879</v>
      </c>
      <c r="E227" s="6" t="str">
        <f aca="false">IF(D227&gt;Settings!$C$4,"Bullish",IF(D227&lt;-Settings!$C$4,"Bearish","Neutral"))</f>
        <v>Bearish</v>
      </c>
      <c r="F227" s="8" t="n">
        <v>0.531</v>
      </c>
      <c r="G227" s="20" t="n">
        <v>-0.0124582435466841</v>
      </c>
      <c r="H227" s="6" t="str">
        <f aca="false">IF(G227="","",IF(G227&gt;0,"Bullish",IF(G227&lt;0,"Bearish","Flat")))</f>
        <v>Bearish</v>
      </c>
      <c r="I227" s="6" t="n">
        <f aca="false">IF(OR(G227="",E227="Neutral"),"",IF(E227=H227,1,0))</f>
        <v>1</v>
      </c>
      <c r="J227" s="6" t="s">
        <v>150</v>
      </c>
    </row>
    <row r="228" customFormat="false" ht="15" hidden="false" customHeight="false" outlineLevel="0" collapsed="false">
      <c r="A228" s="19" t="n">
        <v>46190</v>
      </c>
      <c r="B228" s="6" t="s">
        <v>53</v>
      </c>
      <c r="C228" s="6" t="s">
        <v>154</v>
      </c>
      <c r="D228" s="7" t="n">
        <v>0.377</v>
      </c>
      <c r="E228" s="6" t="str">
        <f aca="false">IF(D228&gt;Settings!$C$4,"Bullish",IF(D228&lt;-Settings!$C$4,"Bearish","Neutral"))</f>
        <v>Bullish</v>
      </c>
      <c r="F228" s="8" t="n">
        <v>0.535</v>
      </c>
      <c r="G228" s="20" t="n">
        <v>0.0483870967741935</v>
      </c>
      <c r="H228" s="6" t="str">
        <f aca="false">IF(G228="","",IF(G228&gt;0,"Bullish",IF(G228&lt;0,"Bearish","Flat")))</f>
        <v>Bullish</v>
      </c>
      <c r="I228" s="6" t="n">
        <f aca="false">IF(OR(G228="",E228="Neutral"),"",IF(E228=H228,1,0))</f>
        <v>1</v>
      </c>
      <c r="J228" s="6" t="s">
        <v>150</v>
      </c>
    </row>
    <row r="229" customFormat="false" ht="15" hidden="false" customHeight="false" outlineLevel="0" collapsed="false">
      <c r="A229" s="19" t="n">
        <v>46190</v>
      </c>
      <c r="B229" s="6" t="s">
        <v>18</v>
      </c>
      <c r="C229" s="6" t="s">
        <v>154</v>
      </c>
      <c r="D229" s="7" t="n">
        <v>0.4008</v>
      </c>
      <c r="E229" s="6" t="str">
        <f aca="false">IF(D229&gt;Settings!$C$4,"Bullish",IF(D229&lt;-Settings!$C$4,"Bearish","Neutral"))</f>
        <v>Bullish</v>
      </c>
      <c r="F229" s="8" t="n">
        <v>0.529</v>
      </c>
      <c r="G229" s="20" t="n">
        <v>0.0017134895714197</v>
      </c>
      <c r="H229" s="6" t="str">
        <f aca="false">IF(G229="","",IF(G229&gt;0,"Bullish",IF(G229&lt;0,"Bearish","Flat")))</f>
        <v>Bullish</v>
      </c>
      <c r="I229" s="6" t="n">
        <f aca="false">IF(OR(G229="",E229="Neutral"),"",IF(E229=H229,1,0))</f>
        <v>1</v>
      </c>
      <c r="J229" s="6" t="s">
        <v>150</v>
      </c>
    </row>
    <row r="230" customFormat="false" ht="15" hidden="false" customHeight="false" outlineLevel="0" collapsed="false">
      <c r="A230" s="19" t="n">
        <v>46190</v>
      </c>
      <c r="B230" s="6" t="s">
        <v>18</v>
      </c>
      <c r="C230" s="6" t="s">
        <v>149</v>
      </c>
      <c r="D230" s="7" t="n">
        <v>0.1659</v>
      </c>
      <c r="E230" s="6" t="str">
        <f aca="false">IF(D230&gt;Settings!$C$4,"Bullish",IF(D230&lt;-Settings!$C$4,"Bearish","Neutral"))</f>
        <v>Bullish</v>
      </c>
      <c r="F230" s="8" t="n">
        <v>0.495</v>
      </c>
      <c r="G230" s="20" t="n">
        <v>-0.0091663374160411</v>
      </c>
      <c r="H230" s="6" t="str">
        <f aca="false">IF(G230="","",IF(G230&gt;0,"Bullish",IF(G230&lt;0,"Bearish","Flat")))</f>
        <v>Bearish</v>
      </c>
      <c r="I230" s="6" t="n">
        <f aca="false">IF(OR(G230="",E230="Neutral"),"",IF(E230=H230,1,0))</f>
        <v>0</v>
      </c>
      <c r="J230" s="6" t="s">
        <v>150</v>
      </c>
    </row>
    <row r="231" customFormat="false" ht="15" hidden="false" customHeight="false" outlineLevel="0" collapsed="false">
      <c r="A231" s="19" t="n">
        <v>46190</v>
      </c>
      <c r="B231" s="6" t="s">
        <v>51</v>
      </c>
      <c r="C231" s="6" t="s">
        <v>149</v>
      </c>
      <c r="D231" s="7" t="n">
        <v>-0.3488</v>
      </c>
      <c r="E231" s="6" t="str">
        <f aca="false">IF(D231&gt;Settings!$C$4,"Bullish",IF(D231&lt;-Settings!$C$4,"Bearish","Neutral"))</f>
        <v>Bearish</v>
      </c>
      <c r="F231" s="8" t="n">
        <v>0.538</v>
      </c>
      <c r="G231" s="20" t="n">
        <v>-0.0882265654809852</v>
      </c>
      <c r="H231" s="6" t="str">
        <f aca="false">IF(G231="","",IF(G231&gt;0,"Bullish",IF(G231&lt;0,"Bearish","Flat")))</f>
        <v>Bearish</v>
      </c>
      <c r="I231" s="6" t="n">
        <f aca="false">IF(OR(G231="",E231="Neutral"),"",IF(E231=H231,1,0))</f>
        <v>1</v>
      </c>
      <c r="J231" s="6" t="s">
        <v>150</v>
      </c>
    </row>
    <row r="232" customFormat="false" ht="15" hidden="false" customHeight="false" outlineLevel="0" collapsed="false">
      <c r="A232" s="19" t="n">
        <v>46191</v>
      </c>
      <c r="B232" s="6" t="s">
        <v>18</v>
      </c>
      <c r="C232" s="6" t="s">
        <v>154</v>
      </c>
      <c r="D232" s="7" t="n">
        <v>0.4448</v>
      </c>
      <c r="E232" s="6" t="str">
        <f aca="false">IF(D232&gt;Settings!$C$4,"Bullish",IF(D232&lt;-Settings!$C$4,"Bearish","Neutral"))</f>
        <v>Bullish</v>
      </c>
      <c r="F232" s="8" t="n">
        <v>0.529</v>
      </c>
      <c r="G232" s="20" t="n">
        <v>0.0039129676245546</v>
      </c>
      <c r="H232" s="6" t="str">
        <f aca="false">IF(G232="","",IF(G232&gt;0,"Bullish",IF(G232&lt;0,"Bearish","Flat")))</f>
        <v>Bullish</v>
      </c>
      <c r="I232" s="6" t="n">
        <f aca="false">IF(OR(G232="",E232="Neutral"),"",IF(E232=H232,1,0))</f>
        <v>1</v>
      </c>
      <c r="J232" s="6" t="s">
        <v>150</v>
      </c>
    </row>
    <row r="233" customFormat="false" ht="15" hidden="false" customHeight="false" outlineLevel="0" collapsed="false">
      <c r="A233" s="19" t="n">
        <v>46191</v>
      </c>
      <c r="B233" s="6" t="s">
        <v>18</v>
      </c>
      <c r="C233" s="6" t="s">
        <v>149</v>
      </c>
      <c r="D233" s="7" t="n">
        <v>0.1028</v>
      </c>
      <c r="E233" s="6" t="str">
        <f aca="false">IF(D233&gt;Settings!$C$4,"Bullish",IF(D233&lt;-Settings!$C$4,"Bearish","Neutral"))</f>
        <v>Neutral</v>
      </c>
      <c r="F233" s="8"/>
      <c r="G233" s="20" t="n">
        <v>-0.0021662554312156</v>
      </c>
      <c r="H233" s="6" t="str">
        <f aca="false">IF(G233="","",IF(G233&gt;0,"Bullish",IF(G233&lt;0,"Bearish","Flat")))</f>
        <v>Bearish</v>
      </c>
      <c r="I233" s="6" t="str">
        <f aca="false">IF(OR(G233="",E233="Neutral"),"",IF(E233=H233,1,0))</f>
        <v/>
      </c>
      <c r="J233" s="6" t="s">
        <v>150</v>
      </c>
    </row>
    <row r="234" customFormat="false" ht="15" hidden="false" customHeight="false" outlineLevel="0" collapsed="false">
      <c r="A234" s="19" t="n">
        <v>46191</v>
      </c>
      <c r="B234" s="6" t="s">
        <v>51</v>
      </c>
      <c r="C234" s="6" t="s">
        <v>149</v>
      </c>
      <c r="D234" s="7" t="n">
        <v>-0.4606</v>
      </c>
      <c r="E234" s="6" t="str">
        <f aca="false">IF(D234&gt;Settings!$C$4,"Bullish",IF(D234&lt;-Settings!$C$4,"Bearish","Neutral"))</f>
        <v>Bearish</v>
      </c>
      <c r="F234" s="8" t="n">
        <v>0.538</v>
      </c>
      <c r="G234" s="20" t="n">
        <v>-0.0860606579849212</v>
      </c>
      <c r="H234" s="6" t="str">
        <f aca="false">IF(G234="","",IF(G234&gt;0,"Bullish",IF(G234&lt;0,"Bearish","Flat")))</f>
        <v>Bearish</v>
      </c>
      <c r="I234" s="6" t="n">
        <f aca="false">IF(OR(G234="",E234="Neutral"),"",IF(E234=H234,1,0))</f>
        <v>1</v>
      </c>
      <c r="J234" s="6" t="s">
        <v>150</v>
      </c>
    </row>
    <row r="235" customFormat="false" ht="15" hidden="false" customHeight="false" outlineLevel="0" collapsed="false">
      <c r="A235" s="19" t="n">
        <v>46192</v>
      </c>
      <c r="B235" s="6" t="s">
        <v>18</v>
      </c>
      <c r="C235" s="6" t="s">
        <v>154</v>
      </c>
      <c r="D235" s="7" t="n">
        <v>-0.6289</v>
      </c>
      <c r="E235" s="6" t="str">
        <f aca="false">IF(D235&gt;Settings!$C$4,"Bullish",IF(D235&lt;-Settings!$C$4,"Bearish","Neutral"))</f>
        <v>Bearish</v>
      </c>
      <c r="F235" s="8" t="n">
        <v>0.501</v>
      </c>
      <c r="G235" s="20" t="n">
        <v>0.0009128347060587</v>
      </c>
      <c r="H235" s="6" t="str">
        <f aca="false">IF(G235="","",IF(G235&gt;0,"Bullish",IF(G235&lt;0,"Bearish","Flat")))</f>
        <v>Bullish</v>
      </c>
      <c r="I235" s="6" t="n">
        <f aca="false">IF(OR(G235="",E235="Neutral"),"",IF(E235=H235,1,0))</f>
        <v>0</v>
      </c>
      <c r="J235" s="6" t="s">
        <v>150</v>
      </c>
    </row>
    <row r="236" customFormat="false" ht="15" hidden="false" customHeight="false" outlineLevel="0" collapsed="false">
      <c r="A236" s="19" t="n">
        <v>46192</v>
      </c>
      <c r="B236" s="6" t="s">
        <v>18</v>
      </c>
      <c r="C236" s="6" t="s">
        <v>149</v>
      </c>
      <c r="D236" s="7" t="n">
        <v>0.0391</v>
      </c>
      <c r="E236" s="6" t="str">
        <f aca="false">IF(D236&gt;Settings!$C$4,"Bullish",IF(D236&lt;-Settings!$C$4,"Bearish","Neutral"))</f>
        <v>Neutral</v>
      </c>
      <c r="F236" s="8"/>
      <c r="G236" s="20" t="n">
        <v>0.0027009903631332</v>
      </c>
      <c r="H236" s="6" t="str">
        <f aca="false">IF(G236="","",IF(G236&gt;0,"Bullish",IF(G236&lt;0,"Bearish","Flat")))</f>
        <v>Bullish</v>
      </c>
      <c r="I236" s="6" t="str">
        <f aca="false">IF(OR(G236="",E236="Neutral"),"",IF(E236=H236,1,0))</f>
        <v/>
      </c>
      <c r="J236" s="6" t="s">
        <v>150</v>
      </c>
    </row>
    <row r="237" customFormat="false" ht="15" hidden="false" customHeight="false" outlineLevel="0" collapsed="false">
      <c r="A237" s="19" t="n">
        <v>46195</v>
      </c>
      <c r="B237" s="6" t="s">
        <v>35</v>
      </c>
      <c r="C237" s="6" t="s">
        <v>154</v>
      </c>
      <c r="D237" s="7" t="n">
        <v>0.2186</v>
      </c>
      <c r="E237" s="6" t="str">
        <f aca="false">IF(D237&gt;Settings!$C$4,"Bullish",IF(D237&lt;-Settings!$C$4,"Bearish","Neutral"))</f>
        <v>Bullish</v>
      </c>
      <c r="F237" s="8" t="n">
        <v>0.531</v>
      </c>
      <c r="G237" s="20" t="n">
        <v>0.0035432784860702</v>
      </c>
      <c r="H237" s="6" t="str">
        <f aca="false">IF(G237="","",IF(G237&gt;0,"Bullish",IF(G237&lt;0,"Bearish","Flat")))</f>
        <v>Bullish</v>
      </c>
      <c r="I237" s="6" t="n">
        <f aca="false">IF(OR(G237="",E237="Neutral"),"",IF(E237=H237,1,0))</f>
        <v>1</v>
      </c>
      <c r="J237" s="6" t="s">
        <v>150</v>
      </c>
    </row>
    <row r="238" customFormat="false" ht="15" hidden="false" customHeight="false" outlineLevel="0" collapsed="false">
      <c r="A238" s="19" t="n">
        <v>46195</v>
      </c>
      <c r="B238" s="6" t="s">
        <v>35</v>
      </c>
      <c r="C238" s="6" t="s">
        <v>149</v>
      </c>
      <c r="D238" s="7" t="n">
        <v>0.2786</v>
      </c>
      <c r="E238" s="6" t="str">
        <f aca="false">IF(D238&gt;Settings!$C$4,"Bullish",IF(D238&lt;-Settings!$C$4,"Bearish","Neutral"))</f>
        <v>Bullish</v>
      </c>
      <c r="F238" s="8" t="n">
        <v>0.563</v>
      </c>
      <c r="G238" s="20" t="n">
        <v>-0.0178889252115796</v>
      </c>
      <c r="H238" s="6" t="str">
        <f aca="false">IF(G238="","",IF(G238&gt;0,"Bullish",IF(G238&lt;0,"Bearish","Flat")))</f>
        <v>Bearish</v>
      </c>
      <c r="I238" s="6" t="n">
        <f aca="false">IF(OR(G238="",E238="Neutral"),"",IF(E238=H238,1,0))</f>
        <v>0</v>
      </c>
      <c r="J238" s="6" t="s">
        <v>150</v>
      </c>
    </row>
    <row r="239" customFormat="false" ht="15" hidden="false" customHeight="false" outlineLevel="0" collapsed="false">
      <c r="A239" s="19" t="n">
        <v>46195</v>
      </c>
      <c r="B239" s="6" t="s">
        <v>53</v>
      </c>
      <c r="C239" s="6" t="s">
        <v>154</v>
      </c>
      <c r="D239" s="7" t="n">
        <v>-0.4625</v>
      </c>
      <c r="E239" s="6" t="str">
        <f aca="false">IF(D239&gt;Settings!$C$4,"Bullish",IF(D239&lt;-Settings!$C$4,"Bearish","Neutral"))</f>
        <v>Bearish</v>
      </c>
      <c r="F239" s="8" t="n">
        <v>0.535</v>
      </c>
      <c r="G239" s="20" t="n">
        <v>0.0259740259740259</v>
      </c>
      <c r="H239" s="6" t="str">
        <f aca="false">IF(G239="","",IF(G239&gt;0,"Bullish",IF(G239&lt;0,"Bearish","Flat")))</f>
        <v>Bullish</v>
      </c>
      <c r="I239" s="6" t="n">
        <f aca="false">IF(OR(G239="",E239="Neutral"),"",IF(E239=H239,1,0))</f>
        <v>0</v>
      </c>
      <c r="J239" s="6" t="s">
        <v>150</v>
      </c>
    </row>
    <row r="240" customFormat="false" ht="15" hidden="false" customHeight="false" outlineLevel="0" collapsed="false">
      <c r="A240" s="19" t="n">
        <v>46195</v>
      </c>
      <c r="B240" s="6" t="s">
        <v>18</v>
      </c>
      <c r="C240" s="6" t="s">
        <v>154</v>
      </c>
      <c r="D240" s="7" t="n">
        <v>-0.3402</v>
      </c>
      <c r="E240" s="6" t="str">
        <f aca="false">IF(D240&gt;Settings!$C$4,"Bullish",IF(D240&lt;-Settings!$C$4,"Bearish","Neutral"))</f>
        <v>Bearish</v>
      </c>
      <c r="F240" s="8" t="n">
        <v>0.529</v>
      </c>
      <c r="G240" s="20" t="n">
        <v>-0.0001534849377348</v>
      </c>
      <c r="H240" s="6" t="str">
        <f aca="false">IF(G240="","",IF(G240&gt;0,"Bullish",IF(G240&lt;0,"Bearish","Flat")))</f>
        <v>Bearish</v>
      </c>
      <c r="I240" s="6" t="n">
        <f aca="false">IF(OR(G240="",E240="Neutral"),"",IF(E240=H240,1,0))</f>
        <v>1</v>
      </c>
      <c r="J240" s="6" t="s">
        <v>150</v>
      </c>
    </row>
    <row r="241" customFormat="false" ht="15" hidden="false" customHeight="false" outlineLevel="0" collapsed="false">
      <c r="A241" s="19" t="n">
        <v>46195</v>
      </c>
      <c r="B241" s="6" t="s">
        <v>18</v>
      </c>
      <c r="C241" s="6" t="s">
        <v>149</v>
      </c>
      <c r="D241" s="7" t="n">
        <v>-0.0217</v>
      </c>
      <c r="E241" s="6" t="str">
        <f aca="false">IF(D241&gt;Settings!$C$4,"Bullish",IF(D241&lt;-Settings!$C$4,"Bearish","Neutral"))</f>
        <v>Neutral</v>
      </c>
      <c r="F241" s="8"/>
      <c r="G241" s="20" t="n">
        <v>-0.0066517053421054</v>
      </c>
      <c r="H241" s="6" t="str">
        <f aca="false">IF(G241="","",IF(G241&gt;0,"Bullish",IF(G241&lt;0,"Bearish","Flat")))</f>
        <v>Bearish</v>
      </c>
      <c r="I241" s="6" t="str">
        <f aca="false">IF(OR(G241="",E241="Neutral"),"",IF(E241=H241,1,0))</f>
        <v/>
      </c>
      <c r="J241" s="6" t="s">
        <v>150</v>
      </c>
    </row>
    <row r="242" customFormat="false" ht="15" hidden="false" customHeight="false" outlineLevel="0" collapsed="false">
      <c r="A242" s="19" t="n">
        <v>46196</v>
      </c>
      <c r="B242" s="6" t="s">
        <v>35</v>
      </c>
      <c r="C242" s="6" t="s">
        <v>149</v>
      </c>
      <c r="D242" s="7" t="n">
        <v>0.245</v>
      </c>
      <c r="E242" s="6" t="str">
        <f aca="false">IF(D242&gt;Settings!$C$4,"Bullish",IF(D242&lt;-Settings!$C$4,"Bearish","Neutral"))</f>
        <v>Bullish</v>
      </c>
      <c r="F242" s="8" t="n">
        <v>0.563</v>
      </c>
      <c r="G242" s="20" t="n">
        <v>-0.0407565530913011</v>
      </c>
      <c r="H242" s="6" t="str">
        <f aca="false">IF(G242="","",IF(G242&gt;0,"Bullish",IF(G242&lt;0,"Bearish","Flat")))</f>
        <v>Bearish</v>
      </c>
      <c r="I242" s="6" t="n">
        <f aca="false">IF(OR(G242="",E242="Neutral"),"",IF(E242=H242,1,0))</f>
        <v>0</v>
      </c>
      <c r="J242" s="6" t="s">
        <v>150</v>
      </c>
    </row>
    <row r="243" customFormat="false" ht="15" hidden="false" customHeight="false" outlineLevel="0" collapsed="false">
      <c r="A243" s="19" t="n">
        <v>46196</v>
      </c>
      <c r="B243" s="6" t="s">
        <v>53</v>
      </c>
      <c r="C243" s="6" t="s">
        <v>154</v>
      </c>
      <c r="D243" s="7" t="n">
        <v>0.3126</v>
      </c>
      <c r="E243" s="6" t="str">
        <f aca="false">IF(D243&gt;Settings!$C$4,"Bullish",IF(D243&lt;-Settings!$C$4,"Bearish","Neutral"))</f>
        <v>Bullish</v>
      </c>
      <c r="F243" s="8" t="n">
        <v>0.535</v>
      </c>
      <c r="G243" s="20" t="n">
        <v>-0.0031645569620254</v>
      </c>
      <c r="H243" s="6" t="str">
        <f aca="false">IF(G243="","",IF(G243&gt;0,"Bullish",IF(G243&lt;0,"Bearish","Flat")))</f>
        <v>Bearish</v>
      </c>
      <c r="I243" s="6" t="n">
        <f aca="false">IF(OR(G243="",E243="Neutral"),"",IF(E243=H243,1,0))</f>
        <v>0</v>
      </c>
      <c r="J243" s="6" t="s">
        <v>150</v>
      </c>
    </row>
    <row r="244" customFormat="false" ht="15" hidden="false" customHeight="false" outlineLevel="0" collapsed="false">
      <c r="A244" s="19" t="n">
        <v>46196</v>
      </c>
      <c r="B244" s="6" t="s">
        <v>18</v>
      </c>
      <c r="C244" s="6" t="s">
        <v>154</v>
      </c>
      <c r="D244" s="7" t="n">
        <v>-0.2922</v>
      </c>
      <c r="E244" s="6" t="str">
        <f aca="false">IF(D244&gt;Settings!$C$4,"Bullish",IF(D244&lt;-Settings!$C$4,"Bearish","Neutral"))</f>
        <v>Bearish</v>
      </c>
      <c r="F244" s="8" t="n">
        <v>0.481</v>
      </c>
      <c r="G244" s="20" t="n">
        <v>-0.0102694910536614</v>
      </c>
      <c r="H244" s="6" t="str">
        <f aca="false">IF(G244="","",IF(G244&gt;0,"Bullish",IF(G244&lt;0,"Bearish","Flat")))</f>
        <v>Bearish</v>
      </c>
      <c r="I244" s="6" t="n">
        <f aca="false">IF(OR(G244="",E244="Neutral"),"",IF(E244=H244,1,0))</f>
        <v>1</v>
      </c>
      <c r="J244" s="6" t="s">
        <v>150</v>
      </c>
    </row>
    <row r="245" customFormat="false" ht="15" hidden="false" customHeight="false" outlineLevel="0" collapsed="false">
      <c r="A245" s="19" t="n">
        <v>46196</v>
      </c>
      <c r="B245" s="6" t="s">
        <v>18</v>
      </c>
      <c r="C245" s="6" t="s">
        <v>149</v>
      </c>
      <c r="D245" s="7" t="n">
        <v>-0.0569</v>
      </c>
      <c r="E245" s="6" t="str">
        <f aca="false">IF(D245&gt;Settings!$C$4,"Bullish",IF(D245&lt;-Settings!$C$4,"Bearish","Neutral"))</f>
        <v>Neutral</v>
      </c>
      <c r="F245" s="8"/>
      <c r="G245" s="20" t="n">
        <v>-0.0085392147495149</v>
      </c>
      <c r="H245" s="6" t="str">
        <f aca="false">IF(G245="","",IF(G245&gt;0,"Bullish",IF(G245&lt;0,"Bearish","Flat")))</f>
        <v>Bearish</v>
      </c>
      <c r="I245" s="6" t="str">
        <f aca="false">IF(OR(G245="",E245="Neutral"),"",IF(E245=H245,1,0))</f>
        <v/>
      </c>
      <c r="J245" s="6" t="s">
        <v>150</v>
      </c>
    </row>
    <row r="246" customFormat="false" ht="15" hidden="false" customHeight="false" outlineLevel="0" collapsed="false">
      <c r="A246" s="19" t="n">
        <v>46197</v>
      </c>
      <c r="B246" s="6" t="s">
        <v>35</v>
      </c>
      <c r="C246" s="6" t="s">
        <v>149</v>
      </c>
      <c r="D246" s="7" t="n">
        <v>0.2407</v>
      </c>
      <c r="E246" s="6" t="str">
        <f aca="false">IF(D246&gt;Settings!$C$4,"Bullish",IF(D246&lt;-Settings!$C$4,"Bearish","Neutral"))</f>
        <v>Bullish</v>
      </c>
      <c r="F246" s="8" t="n">
        <v>0.563</v>
      </c>
      <c r="G246" s="20" t="n">
        <v>-0.0472003667770942</v>
      </c>
      <c r="H246" s="6" t="str">
        <f aca="false">IF(G246="","",IF(G246&gt;0,"Bullish",IF(G246&lt;0,"Bearish","Flat")))</f>
        <v>Bearish</v>
      </c>
      <c r="I246" s="6" t="n">
        <f aca="false">IF(OR(G246="",E246="Neutral"),"",IF(E246=H246,1,0))</f>
        <v>0</v>
      </c>
      <c r="J246" s="6" t="s">
        <v>150</v>
      </c>
    </row>
    <row r="247" customFormat="false" ht="15" hidden="false" customHeight="false" outlineLevel="0" collapsed="false">
      <c r="A247" s="19" t="n">
        <v>46197</v>
      </c>
      <c r="B247" s="6" t="s">
        <v>53</v>
      </c>
      <c r="C247" s="6" t="s">
        <v>154</v>
      </c>
      <c r="D247" s="7" t="n">
        <v>0.4063</v>
      </c>
      <c r="E247" s="6" t="str">
        <f aca="false">IF(D247&gt;Settings!$C$4,"Bullish",IF(D247&lt;-Settings!$C$4,"Bearish","Neutral"))</f>
        <v>Bullish</v>
      </c>
      <c r="F247" s="8" t="n">
        <v>0.535</v>
      </c>
      <c r="G247" s="20" t="n">
        <v>0.0126984126984126</v>
      </c>
      <c r="H247" s="6" t="str">
        <f aca="false">IF(G247="","",IF(G247&gt;0,"Bullish",IF(G247&lt;0,"Bearish","Flat")))</f>
        <v>Bullish</v>
      </c>
      <c r="I247" s="6" t="n">
        <f aca="false">IF(OR(G247="",E247="Neutral"),"",IF(E247=H247,1,0))</f>
        <v>1</v>
      </c>
      <c r="J247" s="6" t="s">
        <v>150</v>
      </c>
    </row>
    <row r="248" customFormat="false" ht="15" hidden="false" customHeight="false" outlineLevel="0" collapsed="false">
      <c r="A248" s="19" t="n">
        <v>46197</v>
      </c>
      <c r="B248" s="6" t="s">
        <v>18</v>
      </c>
      <c r="C248" s="6" t="s">
        <v>154</v>
      </c>
      <c r="D248" s="7" t="n">
        <v>-0.3798</v>
      </c>
      <c r="E248" s="6" t="str">
        <f aca="false">IF(D248&gt;Settings!$C$4,"Bullish",IF(D248&lt;-Settings!$C$4,"Bearish","Neutral"))</f>
        <v>Bearish</v>
      </c>
      <c r="F248" s="8" t="n">
        <v>0.529</v>
      </c>
      <c r="G248" s="20" t="n">
        <v>0.0094911707107978</v>
      </c>
      <c r="H248" s="6" t="str">
        <f aca="false">IF(G248="","",IF(G248&gt;0,"Bullish",IF(G248&lt;0,"Bearish","Flat")))</f>
        <v>Bullish</v>
      </c>
      <c r="I248" s="6" t="n">
        <f aca="false">IF(OR(G248="",E248="Neutral"),"",IF(E248=H248,1,0))</f>
        <v>0</v>
      </c>
      <c r="J248" s="6" t="s">
        <v>150</v>
      </c>
    </row>
    <row r="249" customFormat="false" ht="15" hidden="false" customHeight="false" outlineLevel="0" collapsed="false">
      <c r="A249" s="19" t="n">
        <v>46197</v>
      </c>
      <c r="B249" s="6" t="s">
        <v>18</v>
      </c>
      <c r="C249" s="6" t="s">
        <v>149</v>
      </c>
      <c r="D249" s="7" t="n">
        <v>-0.0553</v>
      </c>
      <c r="E249" s="6" t="str">
        <f aca="false">IF(D249&gt;Settings!$C$4,"Bullish",IF(D249&lt;-Settings!$C$4,"Bearish","Neutral"))</f>
        <v>Neutral</v>
      </c>
      <c r="F249" s="8"/>
      <c r="G249" s="20" t="n">
        <v>0.0088271879911581</v>
      </c>
      <c r="H249" s="6" t="str">
        <f aca="false">IF(G249="","",IF(G249&gt;0,"Bullish",IF(G249&lt;0,"Bearish","Flat")))</f>
        <v>Bullish</v>
      </c>
      <c r="I249" s="6" t="str">
        <f aca="false">IF(OR(G249="",E249="Neutral"),"",IF(E249=H249,1,0))</f>
        <v/>
      </c>
      <c r="J249" s="6" t="s">
        <v>150</v>
      </c>
    </row>
    <row r="250" customFormat="false" ht="15" hidden="false" customHeight="false" outlineLevel="0" collapsed="false">
      <c r="A250" s="19" t="n">
        <v>46198</v>
      </c>
      <c r="B250" s="6" t="s">
        <v>35</v>
      </c>
      <c r="C250" s="6" t="s">
        <v>149</v>
      </c>
      <c r="D250" s="7" t="n">
        <v>0.2358</v>
      </c>
      <c r="E250" s="6" t="str">
        <f aca="false">IF(D250&gt;Settings!$C$4,"Bullish",IF(D250&lt;-Settings!$C$4,"Bearish","Neutral"))</f>
        <v>Bullish</v>
      </c>
      <c r="F250" s="8" t="n">
        <v>0.563</v>
      </c>
      <c r="G250" s="20" t="n">
        <v>-0.0300830174020013</v>
      </c>
      <c r="H250" s="6" t="str">
        <f aca="false">IF(G250="","",IF(G250&gt;0,"Bullish",IF(G250&lt;0,"Bearish","Flat")))</f>
        <v>Bearish</v>
      </c>
      <c r="I250" s="6" t="n">
        <f aca="false">IF(OR(G250="",E250="Neutral"),"",IF(E250=H250,1,0))</f>
        <v>0</v>
      </c>
      <c r="J250" s="6" t="s">
        <v>150</v>
      </c>
    </row>
    <row r="251" customFormat="false" ht="15" hidden="false" customHeight="false" outlineLevel="0" collapsed="false">
      <c r="A251" s="19" t="n">
        <v>46198</v>
      </c>
      <c r="B251" s="6" t="s">
        <v>53</v>
      </c>
      <c r="C251" s="6" t="s">
        <v>154</v>
      </c>
      <c r="D251" s="7" t="n">
        <v>0.4281</v>
      </c>
      <c r="E251" s="6" t="str">
        <f aca="false">IF(D251&gt;Settings!$C$4,"Bullish",IF(D251&lt;-Settings!$C$4,"Bearish","Neutral"))</f>
        <v>Bullish</v>
      </c>
      <c r="F251" s="8" t="n">
        <v>0.535</v>
      </c>
      <c r="G251" s="20" t="n">
        <v>0.006269592476489</v>
      </c>
      <c r="H251" s="6" t="str">
        <f aca="false">IF(G251="","",IF(G251&gt;0,"Bullish",IF(G251&lt;0,"Bearish","Flat")))</f>
        <v>Bullish</v>
      </c>
      <c r="I251" s="6" t="n">
        <f aca="false">IF(OR(G251="",E251="Neutral"),"",IF(E251=H251,1,0))</f>
        <v>1</v>
      </c>
      <c r="J251" s="6" t="s">
        <v>150</v>
      </c>
    </row>
    <row r="252" customFormat="false" ht="15" hidden="false" customHeight="false" outlineLevel="0" collapsed="false">
      <c r="A252" s="19" t="n">
        <v>46198</v>
      </c>
      <c r="B252" s="6" t="s">
        <v>18</v>
      </c>
      <c r="C252" s="6" t="s">
        <v>154</v>
      </c>
      <c r="D252" s="7" t="n">
        <v>-0.1764</v>
      </c>
      <c r="E252" s="6" t="str">
        <f aca="false">IF(D252&gt;Settings!$C$4,"Bullish",IF(D252&lt;-Settings!$C$4,"Bearish","Neutral"))</f>
        <v>Bearish</v>
      </c>
      <c r="F252" s="8" t="n">
        <v>0.481</v>
      </c>
      <c r="G252" s="20" t="n">
        <v>-0.0028952347792926</v>
      </c>
      <c r="H252" s="6" t="str">
        <f aca="false">IF(G252="","",IF(G252&gt;0,"Bullish",IF(G252&lt;0,"Bearish","Flat")))</f>
        <v>Bearish</v>
      </c>
      <c r="I252" s="6" t="n">
        <f aca="false">IF(OR(G252="",E252="Neutral"),"",IF(E252=H252,1,0))</f>
        <v>1</v>
      </c>
      <c r="J252" s="6" t="s">
        <v>150</v>
      </c>
    </row>
    <row r="253" customFormat="false" ht="15" hidden="false" customHeight="false" outlineLevel="0" collapsed="false">
      <c r="A253" s="19" t="n">
        <v>46198</v>
      </c>
      <c r="B253" s="6" t="s">
        <v>18</v>
      </c>
      <c r="C253" s="6" t="s">
        <v>149</v>
      </c>
      <c r="D253" s="7" t="n">
        <v>-0.0602</v>
      </c>
      <c r="E253" s="6" t="str">
        <f aca="false">IF(D253&gt;Settings!$C$4,"Bullish",IF(D253&lt;-Settings!$C$4,"Bearish","Neutral"))</f>
        <v>Neutral</v>
      </c>
      <c r="F253" s="8"/>
      <c r="G253" s="20" t="n">
        <v>0.00206624844306</v>
      </c>
      <c r="H253" s="6" t="str">
        <f aca="false">IF(G253="","",IF(G253&gt;0,"Bullish",IF(G253&lt;0,"Bearish","Flat")))</f>
        <v>Bullish</v>
      </c>
      <c r="I253" s="6" t="str">
        <f aca="false">IF(OR(G253="",E253="Neutral"),"",IF(E253=H253,1,0))</f>
        <v/>
      </c>
      <c r="J253" s="6" t="s">
        <v>150</v>
      </c>
    </row>
    <row r="254" customFormat="false" ht="15" hidden="false" customHeight="false" outlineLevel="0" collapsed="false">
      <c r="A254" s="19" t="n">
        <v>46199</v>
      </c>
      <c r="B254" s="6" t="s">
        <v>35</v>
      </c>
      <c r="C254" s="6" t="s">
        <v>149</v>
      </c>
      <c r="D254" s="7" t="n">
        <v>0.2306</v>
      </c>
      <c r="E254" s="6" t="str">
        <f aca="false">IF(D254&gt;Settings!$C$4,"Bullish",IF(D254&lt;-Settings!$C$4,"Bearish","Neutral"))</f>
        <v>Bullish</v>
      </c>
      <c r="F254" s="8" t="n">
        <v>0.563</v>
      </c>
      <c r="G254" s="20"/>
      <c r="H254" s="6" t="str">
        <f aca="false">IF(G254="","",IF(G254&gt;0,"Bullish",IF(G254&lt;0,"Bearish","Flat")))</f>
        <v/>
      </c>
      <c r="I254" s="6" t="str">
        <f aca="false">IF(OR(G254="",E254="Neutral"),"",IF(E254=H254,1,0))</f>
        <v/>
      </c>
      <c r="J254" s="6" t="s">
        <v>150</v>
      </c>
    </row>
    <row r="255" customFormat="false" ht="15" hidden="false" customHeight="false" outlineLevel="0" collapsed="false">
      <c r="A255" s="19" t="n">
        <v>46199</v>
      </c>
      <c r="B255" s="6" t="s">
        <v>18</v>
      </c>
      <c r="C255" s="6" t="s">
        <v>154</v>
      </c>
      <c r="D255" s="7" t="n">
        <v>-0.4641</v>
      </c>
      <c r="E255" s="6" t="str">
        <f aca="false">IF(D255&gt;Settings!$C$4,"Bullish",IF(D255&lt;-Settings!$C$4,"Bearish","Neutral"))</f>
        <v>Bearish</v>
      </c>
      <c r="F255" s="8" t="n">
        <v>0.529</v>
      </c>
      <c r="G255" s="20"/>
      <c r="H255" s="6" t="str">
        <f aca="false">IF(G255="","",IF(G255&gt;0,"Bullish",IF(G255&lt;0,"Bearish","Flat")))</f>
        <v/>
      </c>
      <c r="I255" s="6" t="str">
        <f aca="false">IF(OR(G255="",E255="Neutral"),"",IF(E255=H255,1,0))</f>
        <v/>
      </c>
      <c r="J255" s="6" t="s">
        <v>150</v>
      </c>
    </row>
    <row r="256" customFormat="false" ht="15" hidden="false" customHeight="false" outlineLevel="0" collapsed="false">
      <c r="A256" s="19" t="n">
        <v>46199</v>
      </c>
      <c r="B256" s="6" t="s">
        <v>18</v>
      </c>
      <c r="C256" s="6" t="s">
        <v>149</v>
      </c>
      <c r="D256" s="7" t="n">
        <v>-0.0675</v>
      </c>
      <c r="E256" s="6" t="str">
        <f aca="false">IF(D256&gt;Settings!$C$4,"Bullish",IF(D256&lt;-Settings!$C$4,"Bearish","Neutral"))</f>
        <v>Neutral</v>
      </c>
      <c r="F256" s="8"/>
      <c r="G256" s="20"/>
      <c r="H256" s="6" t="str">
        <f aca="false">IF(G256="","",IF(G256&gt;0,"Bullish",IF(G256&lt;0,"Bearish","Flat")))</f>
        <v/>
      </c>
      <c r="I256" s="6" t="str">
        <f aca="false">IF(OR(G256="",E256="Neutral"),"",IF(E256=H256,1,0))</f>
        <v/>
      </c>
      <c r="J256" s="6" t="s">
        <v>150</v>
      </c>
    </row>
    <row r="257" customFormat="false" ht="15" hidden="false" customHeight="false" outlineLevel="0" collapsed="false">
      <c r="A257" s="19" t="n">
        <v>46202</v>
      </c>
      <c r="B257" s="6" t="s">
        <v>22</v>
      </c>
      <c r="C257" s="6" t="s">
        <v>154</v>
      </c>
      <c r="D257" s="7" t="n">
        <v>0.4307</v>
      </c>
      <c r="E257" s="6" t="str">
        <f aca="false">IF(D257&gt;Settings!$C$4,"Bullish",IF(D257&lt;-Settings!$C$4,"Bearish","Neutral"))</f>
        <v>Bullish</v>
      </c>
      <c r="F257" s="8" t="n">
        <v>0.533</v>
      </c>
      <c r="G257" s="20" t="n">
        <v>-0.0079753984477101</v>
      </c>
      <c r="H257" s="6" t="str">
        <f aca="false">IF(G257="","",IF(G257&gt;0,"Bullish",IF(G257&lt;0,"Bearish","Flat")))</f>
        <v>Bearish</v>
      </c>
      <c r="I257" s="6" t="n">
        <f aca="false">IF(OR(G257="",E257="Neutral"),"",IF(E257=H257,1,0))</f>
        <v>0</v>
      </c>
      <c r="J257" s="6" t="s">
        <v>150</v>
      </c>
    </row>
    <row r="258" customFormat="false" ht="15" hidden="false" customHeight="false" outlineLevel="0" collapsed="false">
      <c r="A258" s="19" t="n">
        <v>46202</v>
      </c>
      <c r="B258" s="6" t="s">
        <v>35</v>
      </c>
      <c r="C258" s="6" t="s">
        <v>149</v>
      </c>
      <c r="D258" s="7" t="n">
        <v>0.2247</v>
      </c>
      <c r="E258" s="6" t="str">
        <f aca="false">IF(D258&gt;Settings!$C$4,"Bullish",IF(D258&lt;-Settings!$C$4,"Bearish","Neutral"))</f>
        <v>Bullish</v>
      </c>
      <c r="F258" s="8" t="n">
        <v>0.563</v>
      </c>
      <c r="G258" s="20" t="n">
        <v>0.0098335799088775</v>
      </c>
      <c r="H258" s="6" t="str">
        <f aca="false">IF(G258="","",IF(G258&gt;0,"Bullish",IF(G258&lt;0,"Bearish","Flat")))</f>
        <v>Bullish</v>
      </c>
      <c r="I258" s="6" t="n">
        <f aca="false">IF(OR(G258="",E258="Neutral"),"",IF(E258=H258,1,0))</f>
        <v>1</v>
      </c>
      <c r="J258" s="6" t="s">
        <v>150</v>
      </c>
    </row>
    <row r="259" customFormat="false" ht="15" hidden="false" customHeight="false" outlineLevel="0" collapsed="false">
      <c r="A259" s="19" t="n">
        <v>46202</v>
      </c>
      <c r="B259" s="6" t="s">
        <v>18</v>
      </c>
      <c r="C259" s="6" t="s">
        <v>154</v>
      </c>
      <c r="D259" s="7" t="n">
        <v>-0.1057</v>
      </c>
      <c r="E259" s="6" t="str">
        <f aca="false">IF(D259&gt;Settings!$C$4,"Bullish",IF(D259&lt;-Settings!$C$4,"Bearish","Neutral"))</f>
        <v>Neutral</v>
      </c>
      <c r="F259" s="8"/>
      <c r="G259" s="20" t="n">
        <v>-0.0048001496150529</v>
      </c>
      <c r="H259" s="6" t="str">
        <f aca="false">IF(G259="","",IF(G259&gt;0,"Bullish",IF(G259&lt;0,"Bearish","Flat")))</f>
        <v>Bearish</v>
      </c>
      <c r="I259" s="6" t="str">
        <f aca="false">IF(OR(G259="",E259="Neutral"),"",IF(E259=H259,1,0))</f>
        <v/>
      </c>
      <c r="J259" s="6" t="s">
        <v>150</v>
      </c>
    </row>
    <row r="260" customFormat="false" ht="15" hidden="false" customHeight="false" outlineLevel="0" collapsed="false">
      <c r="A260" s="19" t="n">
        <v>46202</v>
      </c>
      <c r="B260" s="6" t="s">
        <v>18</v>
      </c>
      <c r="C260" s="6" t="s">
        <v>149</v>
      </c>
      <c r="D260" s="7" t="n">
        <v>-0.0858</v>
      </c>
      <c r="E260" s="6" t="str">
        <f aca="false">IF(D260&gt;Settings!$C$4,"Bullish",IF(D260&lt;-Settings!$C$4,"Bearish","Neutral"))</f>
        <v>Neutral</v>
      </c>
      <c r="F260" s="8"/>
      <c r="G260" s="20" t="n">
        <v>0.0086901409914075</v>
      </c>
      <c r="H260" s="6" t="str">
        <f aca="false">IF(G260="","",IF(G260&gt;0,"Bullish",IF(G260&lt;0,"Bearish","Flat")))</f>
        <v>Bullish</v>
      </c>
      <c r="I260" s="6" t="str">
        <f aca="false">IF(OR(G260="",E260="Neutral"),"",IF(E260=H260,1,0))</f>
        <v/>
      </c>
      <c r="J260" s="6" t="s">
        <v>150</v>
      </c>
    </row>
    <row r="261" customFormat="false" ht="15" hidden="false" customHeight="false" outlineLevel="0" collapsed="false">
      <c r="A261" s="19" t="n">
        <v>46203</v>
      </c>
      <c r="B261" s="6" t="s">
        <v>35</v>
      </c>
      <c r="C261" s="6" t="s">
        <v>149</v>
      </c>
      <c r="D261" s="7" t="n">
        <v>0.2433</v>
      </c>
      <c r="E261" s="6" t="str">
        <f aca="false">IF(D261&gt;Settings!$C$4,"Bullish",IF(D261&lt;-Settings!$C$4,"Bearish","Neutral"))</f>
        <v>Bullish</v>
      </c>
      <c r="F261" s="8" t="n">
        <v>0.563</v>
      </c>
      <c r="G261" s="20" t="n">
        <v>0.0106150622731795</v>
      </c>
      <c r="H261" s="6" t="str">
        <f aca="false">IF(G261="","",IF(G261&gt;0,"Bullish",IF(G261&lt;0,"Bearish","Flat")))</f>
        <v>Bullish</v>
      </c>
      <c r="I261" s="6" t="n">
        <f aca="false">IF(OR(G261="",E261="Neutral"),"",IF(E261=H261,1,0))</f>
        <v>1</v>
      </c>
      <c r="J261" s="6" t="s">
        <v>150</v>
      </c>
    </row>
    <row r="262" customFormat="false" ht="15" hidden="false" customHeight="false" outlineLevel="0" collapsed="false">
      <c r="A262" s="19" t="n">
        <v>46203</v>
      </c>
      <c r="B262" s="6" t="s">
        <v>53</v>
      </c>
      <c r="C262" s="6" t="s">
        <v>154</v>
      </c>
      <c r="D262" s="7" t="n">
        <v>0.4405</v>
      </c>
      <c r="E262" s="6" t="str">
        <f aca="false">IF(D262&gt;Settings!$C$4,"Bullish",IF(D262&lt;-Settings!$C$4,"Bearish","Neutral"))</f>
        <v>Bullish</v>
      </c>
      <c r="F262" s="8" t="n">
        <v>0.535</v>
      </c>
      <c r="G262" s="20" t="n">
        <v>0.003003003003003</v>
      </c>
      <c r="H262" s="6" t="str">
        <f aca="false">IF(G262="","",IF(G262&gt;0,"Bullish",IF(G262&lt;0,"Bearish","Flat")))</f>
        <v>Bullish</v>
      </c>
      <c r="I262" s="6" t="n">
        <f aca="false">IF(OR(G262="",E262="Neutral"),"",IF(E262=H262,1,0))</f>
        <v>1</v>
      </c>
      <c r="J262" s="6" t="s">
        <v>150</v>
      </c>
    </row>
    <row r="263" customFormat="false" ht="15" hidden="false" customHeight="false" outlineLevel="0" collapsed="false">
      <c r="A263" s="19" t="n">
        <v>46203</v>
      </c>
      <c r="B263" s="6" t="s">
        <v>18</v>
      </c>
      <c r="C263" s="6" t="s">
        <v>154</v>
      </c>
      <c r="D263" s="7" t="n">
        <v>0.7147</v>
      </c>
      <c r="E263" s="6" t="str">
        <f aca="false">IF(D263&gt;Settings!$C$4,"Bullish",IF(D263&lt;-Settings!$C$4,"Bearish","Neutral"))</f>
        <v>Bullish</v>
      </c>
      <c r="F263" s="8" t="n">
        <v>0.501</v>
      </c>
      <c r="G263" s="20" t="n">
        <v>-0.006919925682578</v>
      </c>
      <c r="H263" s="6" t="str">
        <f aca="false">IF(G263="","",IF(G263&gt;0,"Bullish",IF(G263&lt;0,"Bearish","Flat")))</f>
        <v>Bearish</v>
      </c>
      <c r="I263" s="6" t="n">
        <f aca="false">IF(OR(G263="",E263="Neutral"),"",IF(E263=H263,1,0))</f>
        <v>0</v>
      </c>
      <c r="J263" s="6" t="s">
        <v>150</v>
      </c>
    </row>
    <row r="264" customFormat="false" ht="15" hidden="false" customHeight="false" outlineLevel="0" collapsed="false">
      <c r="A264" s="19" t="n">
        <v>46203</v>
      </c>
      <c r="B264" s="6" t="s">
        <v>18</v>
      </c>
      <c r="C264" s="6" t="s">
        <v>149</v>
      </c>
      <c r="D264" s="7" t="n">
        <v>-0.0707</v>
      </c>
      <c r="E264" s="6" t="str">
        <f aca="false">IF(D264&gt;Settings!$C$4,"Bullish",IF(D264&lt;-Settings!$C$4,"Bearish","Neutral"))</f>
        <v>Neutral</v>
      </c>
      <c r="F264" s="8"/>
      <c r="G264" s="20" t="n">
        <v>0.0165737005374073</v>
      </c>
      <c r="H264" s="6" t="str">
        <f aca="false">IF(G264="","",IF(G264&gt;0,"Bullish",IF(G264&lt;0,"Bearish","Flat")))</f>
        <v>Bullish</v>
      </c>
      <c r="I264" s="6" t="str">
        <f aca="false">IF(OR(G264="",E264="Neutral"),"",IF(E264=H264,1,0))</f>
        <v/>
      </c>
      <c r="J264" s="6" t="s">
        <v>150</v>
      </c>
    </row>
    <row r="265" customFormat="false" ht="15" hidden="false" customHeight="false" outlineLevel="0" collapsed="false">
      <c r="A265" s="19" t="n">
        <v>46204</v>
      </c>
      <c r="B265" s="6" t="s">
        <v>53</v>
      </c>
      <c r="C265" s="6" t="s">
        <v>154</v>
      </c>
      <c r="D265" s="7" t="n">
        <v>0.4108</v>
      </c>
      <c r="E265" s="6" t="str">
        <f aca="false">IF(D265&gt;Settings!$C$4,"Bullish",IF(D265&lt;-Settings!$C$4,"Bearish","Neutral"))</f>
        <v>Bullish</v>
      </c>
      <c r="F265" s="8" t="n">
        <v>0.535</v>
      </c>
      <c r="G265" s="20" t="n">
        <v>0</v>
      </c>
      <c r="H265" s="6" t="str">
        <f aca="false">IF(G265="","",IF(G265&gt;0,"Bullish",IF(G265&lt;0,"Bearish","Flat")))</f>
        <v>Flat</v>
      </c>
      <c r="I265" s="6" t="n">
        <f aca="false">IF(OR(G265="",E265="Neutral"),"",IF(E265=H265,1,0))</f>
        <v>0</v>
      </c>
      <c r="J265" s="6" t="s">
        <v>150</v>
      </c>
    </row>
    <row r="266" customFormat="false" ht="15" hidden="false" customHeight="false" outlineLevel="0" collapsed="false">
      <c r="A266" s="19" t="n">
        <v>46204</v>
      </c>
      <c r="B266" s="6" t="s">
        <v>18</v>
      </c>
      <c r="C266" s="6" t="s">
        <v>154</v>
      </c>
      <c r="D266" s="7" t="n">
        <v>0.3285</v>
      </c>
      <c r="E266" s="6" t="str">
        <f aca="false">IF(D266&gt;Settings!$C$4,"Bullish",IF(D266&lt;-Settings!$C$4,"Bearish","Neutral"))</f>
        <v>Bullish</v>
      </c>
      <c r="F266" s="8" t="n">
        <v>0.529</v>
      </c>
      <c r="G266" s="20" t="n">
        <v>0.0045276418392601</v>
      </c>
      <c r="H266" s="6" t="str">
        <f aca="false">IF(G266="","",IF(G266&gt;0,"Bullish",IF(G266&lt;0,"Bearish","Flat")))</f>
        <v>Bullish</v>
      </c>
      <c r="I266" s="6" t="n">
        <f aca="false">IF(OR(G266="",E266="Neutral"),"",IF(E266=H266,1,0))</f>
        <v>1</v>
      </c>
      <c r="J266" s="6" t="s">
        <v>150</v>
      </c>
    </row>
    <row r="267" customFormat="false" ht="15" hidden="false" customHeight="false" outlineLevel="0" collapsed="false">
      <c r="A267" s="19" t="n">
        <v>46204</v>
      </c>
      <c r="B267" s="6" t="s">
        <v>18</v>
      </c>
      <c r="C267" s="6" t="s">
        <v>149</v>
      </c>
      <c r="D267" s="7" t="n">
        <v>0.039</v>
      </c>
      <c r="E267" s="6" t="str">
        <f aca="false">IF(D267&gt;Settings!$C$4,"Bullish",IF(D267&lt;-Settings!$C$4,"Bearish","Neutral"))</f>
        <v>Neutral</v>
      </c>
      <c r="F267" s="8"/>
      <c r="G267" s="20" t="n">
        <v>0.020966496705743</v>
      </c>
      <c r="H267" s="6" t="str">
        <f aca="false">IF(G267="","",IF(G267&gt;0,"Bullish",IF(G267&lt;0,"Bearish","Flat")))</f>
        <v>Bullish</v>
      </c>
      <c r="I267" s="6" t="str">
        <f aca="false">IF(OR(G267="",E267="Neutral"),"",IF(E267=H267,1,0))</f>
        <v/>
      </c>
      <c r="J267" s="6" t="s">
        <v>150</v>
      </c>
    </row>
    <row r="268" customFormat="false" ht="15" hidden="false" customHeight="false" outlineLevel="0" collapsed="false">
      <c r="A268" s="19" t="n">
        <v>46204</v>
      </c>
      <c r="B268" s="6" t="s">
        <v>51</v>
      </c>
      <c r="C268" s="6" t="s">
        <v>149</v>
      </c>
      <c r="D268" s="7" t="n">
        <v>-0.4043</v>
      </c>
      <c r="E268" s="6" t="str">
        <f aca="false">IF(D268&gt;Settings!$C$4,"Bullish",IF(D268&lt;-Settings!$C$4,"Bearish","Neutral"))</f>
        <v>Bearish</v>
      </c>
      <c r="F268" s="8" t="n">
        <v>0.538</v>
      </c>
      <c r="G268" s="20" t="n">
        <v>0.0178352941176469</v>
      </c>
      <c r="H268" s="6" t="str">
        <f aca="false">IF(G268="","",IF(G268&gt;0,"Bullish",IF(G268&lt;0,"Bearish","Flat")))</f>
        <v>Bullish</v>
      </c>
      <c r="I268" s="6" t="n">
        <f aca="false">IF(OR(G268="",E268="Neutral"),"",IF(E268=H268,1,0))</f>
        <v>0</v>
      </c>
      <c r="J268" s="6" t="s">
        <v>150</v>
      </c>
    </row>
    <row r="269" customFormat="false" ht="15" hidden="false" customHeight="false" outlineLevel="0" collapsed="false">
      <c r="A269" s="19" t="n">
        <v>46205</v>
      </c>
      <c r="B269" s="6" t="s">
        <v>53</v>
      </c>
      <c r="C269" s="6" t="s">
        <v>154</v>
      </c>
      <c r="D269" s="7" t="n">
        <v>0.3353</v>
      </c>
      <c r="E269" s="6" t="str">
        <f aca="false">IF(D269&gt;Settings!$C$4,"Bullish",IF(D269&lt;-Settings!$C$4,"Bearish","Neutral"))</f>
        <v>Bullish</v>
      </c>
      <c r="F269" s="8" t="n">
        <v>0.535</v>
      </c>
      <c r="G269" s="20" t="n">
        <v>0</v>
      </c>
      <c r="H269" s="6" t="str">
        <f aca="false">IF(G269="","",IF(G269&gt;0,"Bullish",IF(G269&lt;0,"Bearish","Flat")))</f>
        <v>Flat</v>
      </c>
      <c r="I269" s="6" t="n">
        <f aca="false">IF(OR(G269="",E269="Neutral"),"",IF(E269=H269,1,0))</f>
        <v>0</v>
      </c>
      <c r="J269" s="6" t="s">
        <v>150</v>
      </c>
    </row>
    <row r="270" customFormat="false" ht="15" hidden="false" customHeight="false" outlineLevel="0" collapsed="false">
      <c r="A270" s="19" t="n">
        <v>46205</v>
      </c>
      <c r="B270" s="6" t="s">
        <v>18</v>
      </c>
      <c r="C270" s="6" t="s">
        <v>154</v>
      </c>
      <c r="D270" s="7" t="n">
        <v>-0.1167</v>
      </c>
      <c r="E270" s="6" t="str">
        <f aca="false">IF(D270&gt;Settings!$C$4,"Bullish",IF(D270&lt;-Settings!$C$4,"Bearish","Neutral"))</f>
        <v>Neutral</v>
      </c>
      <c r="F270" s="8"/>
      <c r="G270" s="20" t="n">
        <v>0.0047169419255097</v>
      </c>
      <c r="H270" s="6" t="str">
        <f aca="false">IF(G270="","",IF(G270&gt;0,"Bullish",IF(G270&lt;0,"Bearish","Flat")))</f>
        <v>Bullish</v>
      </c>
      <c r="I270" s="6" t="str">
        <f aca="false">IF(OR(G270="",E270="Neutral"),"",IF(E270=H270,1,0))</f>
        <v/>
      </c>
      <c r="J270" s="6" t="s">
        <v>150</v>
      </c>
    </row>
    <row r="271" customFormat="false" ht="15" hidden="false" customHeight="false" outlineLevel="0" collapsed="false">
      <c r="A271" s="19" t="n">
        <v>46205</v>
      </c>
      <c r="B271" s="6" t="s">
        <v>18</v>
      </c>
      <c r="C271" s="6" t="s">
        <v>149</v>
      </c>
      <c r="D271" s="7" t="n">
        <v>0.1526</v>
      </c>
      <c r="E271" s="6" t="str">
        <f aca="false">IF(D271&gt;Settings!$C$4,"Bullish",IF(D271&lt;-Settings!$C$4,"Bearish","Neutral"))</f>
        <v>Bullish</v>
      </c>
      <c r="F271" s="8" t="n">
        <v>0.495</v>
      </c>
      <c r="G271" s="20" t="n">
        <v>-0.0074868465892562</v>
      </c>
      <c r="H271" s="6" t="str">
        <f aca="false">IF(G271="","",IF(G271&gt;0,"Bullish",IF(G271&lt;0,"Bearish","Flat")))</f>
        <v>Bearish</v>
      </c>
      <c r="I271" s="6" t="n">
        <f aca="false">IF(OR(G271="",E271="Neutral"),"",IF(E271=H271,1,0))</f>
        <v>0</v>
      </c>
      <c r="J271" s="6" t="s">
        <v>150</v>
      </c>
    </row>
    <row r="272" customFormat="false" ht="15" hidden="false" customHeight="false" outlineLevel="0" collapsed="false">
      <c r="A272" s="19" t="n">
        <v>46205</v>
      </c>
      <c r="B272" s="6" t="s">
        <v>51</v>
      </c>
      <c r="C272" s="6" t="s">
        <v>149</v>
      </c>
      <c r="D272" s="7" t="n">
        <v>-0.2697</v>
      </c>
      <c r="E272" s="6" t="str">
        <f aca="false">IF(D272&gt;Settings!$C$4,"Bullish",IF(D272&lt;-Settings!$C$4,"Bearish","Neutral"))</f>
        <v>Bearish</v>
      </c>
      <c r="F272" s="8" t="n">
        <v>0.534</v>
      </c>
      <c r="G272" s="20" t="n">
        <v>-0.0129168623767026</v>
      </c>
      <c r="H272" s="6" t="str">
        <f aca="false">IF(G272="","",IF(G272&gt;0,"Bullish",IF(G272&lt;0,"Bearish","Flat")))</f>
        <v>Bearish</v>
      </c>
      <c r="I272" s="6" t="n">
        <f aca="false">IF(OR(G272="",E272="Neutral"),"",IF(E272=H272,1,0))</f>
        <v>1</v>
      </c>
      <c r="J272" s="6" t="s">
        <v>150</v>
      </c>
    </row>
    <row r="273" customFormat="false" ht="15" hidden="false" customHeight="false" outlineLevel="0" collapsed="false">
      <c r="A273" s="19" t="n">
        <v>46206</v>
      </c>
      <c r="B273" s="6" t="s">
        <v>22</v>
      </c>
      <c r="C273" s="6" t="s">
        <v>154</v>
      </c>
      <c r="D273" s="7" t="n">
        <v>-0.3706</v>
      </c>
      <c r="E273" s="6" t="str">
        <f aca="false">IF(D273&gt;Settings!$C$4,"Bullish",IF(D273&lt;-Settings!$C$4,"Bearish","Neutral"))</f>
        <v>Bearish</v>
      </c>
      <c r="F273" s="8" t="n">
        <v>0.533</v>
      </c>
      <c r="G273" s="20" t="n">
        <v>-0.0069373920719192</v>
      </c>
      <c r="H273" s="6" t="str">
        <f aca="false">IF(G273="","",IF(G273&gt;0,"Bullish",IF(G273&lt;0,"Bearish","Flat")))</f>
        <v>Bearish</v>
      </c>
      <c r="I273" s="6" t="n">
        <f aca="false">IF(OR(G273="",E273="Neutral"),"",IF(E273=H273,1,0))</f>
        <v>1</v>
      </c>
      <c r="J273" s="6" t="s">
        <v>150</v>
      </c>
    </row>
    <row r="274" customFormat="false" ht="15" hidden="false" customHeight="false" outlineLevel="0" collapsed="false">
      <c r="A274" s="19" t="n">
        <v>46206</v>
      </c>
      <c r="B274" s="6" t="s">
        <v>18</v>
      </c>
      <c r="C274" s="6" t="s">
        <v>154</v>
      </c>
      <c r="D274" s="7" t="n">
        <v>-0.7138</v>
      </c>
      <c r="E274" s="6" t="str">
        <f aca="false">IF(D274&gt;Settings!$C$4,"Bullish",IF(D274&lt;-Settings!$C$4,"Bearish","Neutral"))</f>
        <v>Bearish</v>
      </c>
      <c r="F274" s="8" t="n">
        <v>0.501</v>
      </c>
      <c r="G274" s="20" t="n">
        <v>-0.0042993725295531</v>
      </c>
      <c r="H274" s="6" t="str">
        <f aca="false">IF(G274="","",IF(G274&gt;0,"Bullish",IF(G274&lt;0,"Bearish","Flat")))</f>
        <v>Bearish</v>
      </c>
      <c r="I274" s="6" t="n">
        <f aca="false">IF(OR(G274="",E274="Neutral"),"",IF(E274=H274,1,0))</f>
        <v>1</v>
      </c>
      <c r="J274" s="6" t="s">
        <v>150</v>
      </c>
    </row>
    <row r="275" customFormat="false" ht="15" hidden="false" customHeight="false" outlineLevel="0" collapsed="false">
      <c r="A275" s="19" t="n">
        <v>46206</v>
      </c>
      <c r="B275" s="6" t="s">
        <v>18</v>
      </c>
      <c r="C275" s="6" t="s">
        <v>149</v>
      </c>
      <c r="D275" s="7" t="n">
        <v>0.2683</v>
      </c>
      <c r="E275" s="6" t="str">
        <f aca="false">IF(D275&gt;Settings!$C$4,"Bullish",IF(D275&lt;-Settings!$C$4,"Bearish","Neutral"))</f>
        <v>Bullish</v>
      </c>
      <c r="F275" s="8" t="n">
        <v>0.495</v>
      </c>
      <c r="G275" s="20" t="n">
        <v>-0.0169369842445228</v>
      </c>
      <c r="H275" s="6" t="str">
        <f aca="false">IF(G275="","",IF(G275&gt;0,"Bullish",IF(G275&lt;0,"Bearish","Flat")))</f>
        <v>Bearish</v>
      </c>
      <c r="I275" s="6" t="n">
        <f aca="false">IF(OR(G275="",E275="Neutral"),"",IF(E275=H275,1,0))</f>
        <v>0</v>
      </c>
      <c r="J275" s="6" t="s">
        <v>150</v>
      </c>
    </row>
    <row r="276" customFormat="false" ht="15" hidden="false" customHeight="false" outlineLevel="0" collapsed="false">
      <c r="A276" s="19" t="n">
        <v>46209</v>
      </c>
      <c r="B276" s="6" t="s">
        <v>30</v>
      </c>
      <c r="C276" s="6" t="s">
        <v>149</v>
      </c>
      <c r="D276" s="7" t="n">
        <v>0.2869</v>
      </c>
      <c r="E276" s="6" t="str">
        <f aca="false">IF(D276&gt;Settings!$C$4,"Bullish",IF(D276&lt;-Settings!$C$4,"Bearish","Neutral"))</f>
        <v>Bullish</v>
      </c>
      <c r="F276" s="8" t="n">
        <v>0.531</v>
      </c>
      <c r="G276" s="20" t="n">
        <v>-0.0161806486624529</v>
      </c>
      <c r="H276" s="6" t="str">
        <f aca="false">IF(G276="","",IF(G276&gt;0,"Bullish",IF(G276&lt;0,"Bearish","Flat")))</f>
        <v>Bearish</v>
      </c>
      <c r="I276" s="6" t="n">
        <f aca="false">IF(OR(G276="",E276="Neutral"),"",IF(E276=H276,1,0))</f>
        <v>0</v>
      </c>
      <c r="J276" s="6" t="s">
        <v>150</v>
      </c>
    </row>
    <row r="277" customFormat="false" ht="15" hidden="false" customHeight="false" outlineLevel="0" collapsed="false">
      <c r="A277" s="19" t="n">
        <v>46209</v>
      </c>
      <c r="B277" s="6" t="s">
        <v>18</v>
      </c>
      <c r="C277" s="6" t="s">
        <v>154</v>
      </c>
      <c r="D277" s="7" t="n">
        <v>-0.2637</v>
      </c>
      <c r="E277" s="6" t="str">
        <f aca="false">IF(D277&gt;Settings!$C$4,"Bullish",IF(D277&lt;-Settings!$C$4,"Bearish","Neutral"))</f>
        <v>Bearish</v>
      </c>
      <c r="F277" s="8" t="n">
        <v>0.481</v>
      </c>
      <c r="G277" s="20" t="n">
        <v>0.0050808722644029</v>
      </c>
      <c r="H277" s="6" t="str">
        <f aca="false">IF(G277="","",IF(G277&gt;0,"Bullish",IF(G277&lt;0,"Bearish","Flat")))</f>
        <v>Bullish</v>
      </c>
      <c r="I277" s="6" t="n">
        <f aca="false">IF(OR(G277="",E277="Neutral"),"",IF(E277=H277,1,0))</f>
        <v>0</v>
      </c>
      <c r="J277" s="6" t="s">
        <v>150</v>
      </c>
    </row>
    <row r="278" customFormat="false" ht="15" hidden="false" customHeight="false" outlineLevel="0" collapsed="false">
      <c r="A278" s="19" t="n">
        <v>46209</v>
      </c>
      <c r="B278" s="6" t="s">
        <v>18</v>
      </c>
      <c r="C278" s="6" t="s">
        <v>149</v>
      </c>
      <c r="D278" s="7" t="n">
        <v>0.3966</v>
      </c>
      <c r="E278" s="6" t="str">
        <f aca="false">IF(D278&gt;Settings!$C$4,"Bullish",IF(D278&lt;-Settings!$C$4,"Bearish","Neutral"))</f>
        <v>Bullish</v>
      </c>
      <c r="F278" s="8" t="n">
        <v>0.51</v>
      </c>
      <c r="G278" s="20" t="n">
        <v>-0.0041120095775469</v>
      </c>
      <c r="H278" s="6" t="str">
        <f aca="false">IF(G278="","",IF(G278&gt;0,"Bullish",IF(G278&lt;0,"Bearish","Flat")))</f>
        <v>Bearish</v>
      </c>
      <c r="I278" s="6" t="n">
        <f aca="false">IF(OR(G278="",E278="Neutral"),"",IF(E278=H278,1,0))</f>
        <v>0</v>
      </c>
      <c r="J278" s="6" t="s">
        <v>150</v>
      </c>
    </row>
    <row r="279" customFormat="false" ht="15" hidden="false" customHeight="false" outlineLevel="0" collapsed="false">
      <c r="A279" s="19" t="n">
        <v>46210</v>
      </c>
      <c r="B279" s="6" t="s">
        <v>18</v>
      </c>
      <c r="C279" s="6" t="s">
        <v>154</v>
      </c>
      <c r="D279" s="7" t="n">
        <v>0.0877</v>
      </c>
      <c r="E279" s="6" t="str">
        <f aca="false">IF(D279&gt;Settings!$C$4,"Bullish",IF(D279&lt;-Settings!$C$4,"Bearish","Neutral"))</f>
        <v>Neutral</v>
      </c>
      <c r="F279" s="8"/>
      <c r="G279" s="20" t="n">
        <v>-0.0026875731929391</v>
      </c>
      <c r="H279" s="6" t="str">
        <f aca="false">IF(G279="","",IF(G279&gt;0,"Bullish",IF(G279&lt;0,"Bearish","Flat")))</f>
        <v>Bearish</v>
      </c>
      <c r="I279" s="6" t="str">
        <f aca="false">IF(OR(G279="",E279="Neutral"),"",IF(E279=H279,1,0))</f>
        <v/>
      </c>
      <c r="J279" s="6" t="s">
        <v>150</v>
      </c>
    </row>
    <row r="280" customFormat="false" ht="15" hidden="false" customHeight="false" outlineLevel="0" collapsed="false">
      <c r="A280" s="19" t="n">
        <v>46210</v>
      </c>
      <c r="B280" s="6" t="s">
        <v>18</v>
      </c>
      <c r="C280" s="6" t="s">
        <v>149</v>
      </c>
      <c r="D280" s="7" t="n">
        <v>0.4969</v>
      </c>
      <c r="E280" s="6" t="str">
        <f aca="false">IF(D280&gt;Settings!$C$4,"Bullish",IF(D280&lt;-Settings!$C$4,"Bearish","Neutral"))</f>
        <v>Bullish</v>
      </c>
      <c r="F280" s="8" t="n">
        <v>0.51</v>
      </c>
      <c r="G280" s="20" t="n">
        <v>-0.0103599304296643</v>
      </c>
      <c r="H280" s="6" t="str">
        <f aca="false">IF(G280="","",IF(G280&gt;0,"Bullish",IF(G280&lt;0,"Bearish","Flat")))</f>
        <v>Bearish</v>
      </c>
      <c r="I280" s="6" t="n">
        <f aca="false">IF(OR(G280="",E280="Neutral"),"",IF(E280=H280,1,0))</f>
        <v>0</v>
      </c>
      <c r="J280" s="6" t="s">
        <v>150</v>
      </c>
    </row>
    <row r="281" customFormat="false" ht="15" hidden="false" customHeight="false" outlineLevel="0" collapsed="false">
      <c r="A281" s="19" t="n">
        <v>46211</v>
      </c>
      <c r="B281" s="6" t="s">
        <v>18</v>
      </c>
      <c r="C281" s="6" t="s">
        <v>154</v>
      </c>
      <c r="D281" s="7" t="n">
        <v>0.441</v>
      </c>
      <c r="E281" s="6" t="str">
        <f aca="false">IF(D281&gt;Settings!$C$4,"Bullish",IF(D281&lt;-Settings!$C$4,"Bearish","Neutral"))</f>
        <v>Bullish</v>
      </c>
      <c r="F281" s="8" t="n">
        <v>0.529</v>
      </c>
      <c r="G281" s="20" t="n">
        <v>-0.0155608822092743</v>
      </c>
      <c r="H281" s="6" t="str">
        <f aca="false">IF(G281="","",IF(G281&gt;0,"Bullish",IF(G281&lt;0,"Bearish","Flat")))</f>
        <v>Bearish</v>
      </c>
      <c r="I281" s="6" t="n">
        <f aca="false">IF(OR(G281="",E281="Neutral"),"",IF(E281=H281,1,0))</f>
        <v>0</v>
      </c>
      <c r="J281" s="6" t="s">
        <v>150</v>
      </c>
    </row>
    <row r="282" customFormat="false" ht="15" hidden="false" customHeight="false" outlineLevel="0" collapsed="false">
      <c r="A282" s="19" t="n">
        <v>46211</v>
      </c>
      <c r="B282" s="6" t="s">
        <v>18</v>
      </c>
      <c r="C282" s="6" t="s">
        <v>149</v>
      </c>
      <c r="D282" s="7" t="n">
        <v>0.5037</v>
      </c>
      <c r="E282" s="6" t="str">
        <f aca="false">IF(D282&gt;Settings!$C$4,"Bullish",IF(D282&lt;-Settings!$C$4,"Bearish","Neutral"))</f>
        <v>Bullish</v>
      </c>
      <c r="F282" s="8" t="n">
        <v>0.476</v>
      </c>
      <c r="G282" s="20" t="n">
        <v>-0.0085533326050978</v>
      </c>
      <c r="H282" s="6" t="str">
        <f aca="false">IF(G282="","",IF(G282&gt;0,"Bullish",IF(G282&lt;0,"Bearish","Flat")))</f>
        <v>Bearish</v>
      </c>
      <c r="I282" s="6" t="n">
        <f aca="false">IF(OR(G282="",E282="Neutral"),"",IF(E282=H282,1,0))</f>
        <v>0</v>
      </c>
      <c r="J282" s="6" t="s">
        <v>150</v>
      </c>
    </row>
    <row r="283" customFormat="false" ht="15" hidden="false" customHeight="false" outlineLevel="0" collapsed="false">
      <c r="A283" s="19" t="n">
        <v>46212</v>
      </c>
      <c r="B283" s="6" t="s">
        <v>22</v>
      </c>
      <c r="C283" s="6" t="s">
        <v>154</v>
      </c>
      <c r="D283" s="7" t="n">
        <v>0.3635</v>
      </c>
      <c r="E283" s="6" t="str">
        <f aca="false">IF(D283&gt;Settings!$C$4,"Bullish",IF(D283&lt;-Settings!$C$4,"Bearish","Neutral"))</f>
        <v>Bullish</v>
      </c>
      <c r="F283" s="8" t="n">
        <v>0.533</v>
      </c>
      <c r="G283" s="20" t="n">
        <v>0.0067072849079494</v>
      </c>
      <c r="H283" s="6" t="str">
        <f aca="false">IF(G283="","",IF(G283&gt;0,"Bullish",IF(G283&lt;0,"Bearish","Flat")))</f>
        <v>Bullish</v>
      </c>
      <c r="I283" s="6" t="n">
        <f aca="false">IF(OR(G283="",E283="Neutral"),"",IF(E283=H283,1,0))</f>
        <v>1</v>
      </c>
      <c r="J283" s="6" t="s">
        <v>150</v>
      </c>
    </row>
    <row r="284" customFormat="false" ht="15" hidden="false" customHeight="false" outlineLevel="0" collapsed="false">
      <c r="A284" s="19" t="n">
        <v>46212</v>
      </c>
      <c r="B284" s="6" t="s">
        <v>18</v>
      </c>
      <c r="C284" s="6" t="s">
        <v>154</v>
      </c>
      <c r="D284" s="7" t="n">
        <v>0.0553</v>
      </c>
      <c r="E284" s="6" t="str">
        <f aca="false">IF(D284&gt;Settings!$C$4,"Bullish",IF(D284&lt;-Settings!$C$4,"Bearish","Neutral"))</f>
        <v>Neutral</v>
      </c>
      <c r="F284" s="8"/>
      <c r="G284" s="20" t="n">
        <v>0.0014146044853617</v>
      </c>
      <c r="H284" s="6" t="str">
        <f aca="false">IF(G284="","",IF(G284&gt;0,"Bullish",IF(G284&lt;0,"Bearish","Flat")))</f>
        <v>Bullish</v>
      </c>
      <c r="I284" s="6" t="str">
        <f aca="false">IF(OR(G284="",E284="Neutral"),"",IF(E284=H284,1,0))</f>
        <v/>
      </c>
      <c r="J284" s="6" t="s">
        <v>150</v>
      </c>
    </row>
    <row r="285" customFormat="false" ht="15" hidden="false" customHeight="false" outlineLevel="0" collapsed="false">
      <c r="A285" s="19" t="n">
        <v>46212</v>
      </c>
      <c r="B285" s="6" t="s">
        <v>18</v>
      </c>
      <c r="C285" s="6" t="s">
        <v>149</v>
      </c>
      <c r="D285" s="7" t="n">
        <v>0.5048</v>
      </c>
      <c r="E285" s="6" t="str">
        <f aca="false">IF(D285&gt;Settings!$C$4,"Bullish",IF(D285&lt;-Settings!$C$4,"Bearish","Neutral"))</f>
        <v>Bullish</v>
      </c>
      <c r="F285" s="8" t="n">
        <v>0.476</v>
      </c>
      <c r="G285" s="20" t="n">
        <v>0.0062497518695971</v>
      </c>
      <c r="H285" s="6" t="str">
        <f aca="false">IF(G285="","",IF(G285&gt;0,"Bullish",IF(G285&lt;0,"Bearish","Flat")))</f>
        <v>Bullish</v>
      </c>
      <c r="I285" s="6" t="n">
        <f aca="false">IF(OR(G285="",E285="Neutral"),"",IF(E285=H285,1,0))</f>
        <v>1</v>
      </c>
      <c r="J285" s="6" t="s">
        <v>150</v>
      </c>
    </row>
    <row r="286" customFormat="false" ht="15" hidden="false" customHeight="false" outlineLevel="0" collapsed="false">
      <c r="A286" s="19" t="n">
        <v>46213</v>
      </c>
      <c r="B286" s="6" t="s">
        <v>18</v>
      </c>
      <c r="C286" s="6" t="s">
        <v>154</v>
      </c>
      <c r="D286" s="7" t="n">
        <v>0.3841</v>
      </c>
      <c r="E286" s="6" t="str">
        <f aca="false">IF(D286&gt;Settings!$C$4,"Bullish",IF(D286&lt;-Settings!$C$4,"Bearish","Neutral"))</f>
        <v>Bullish</v>
      </c>
      <c r="F286" s="8" t="n">
        <v>0.529</v>
      </c>
      <c r="G286" s="20" t="n">
        <v>0.0034072962565336</v>
      </c>
      <c r="H286" s="6" t="str">
        <f aca="false">IF(G286="","",IF(G286&gt;0,"Bullish",IF(G286&lt;0,"Bearish","Flat")))</f>
        <v>Bullish</v>
      </c>
      <c r="I286" s="6" t="n">
        <f aca="false">IF(OR(G286="",E286="Neutral"),"",IF(E286=H286,1,0))</f>
        <v>1</v>
      </c>
      <c r="J286" s="6" t="s">
        <v>150</v>
      </c>
    </row>
    <row r="287" customFormat="false" ht="15" hidden="false" customHeight="false" outlineLevel="0" collapsed="false">
      <c r="A287" s="19" t="n">
        <v>46213</v>
      </c>
      <c r="B287" s="6" t="s">
        <v>18</v>
      </c>
      <c r="C287" s="6" t="s">
        <v>149</v>
      </c>
      <c r="D287" s="7" t="n">
        <v>0.5033</v>
      </c>
      <c r="E287" s="6" t="str">
        <f aca="false">IF(D287&gt;Settings!$C$4,"Bullish",IF(D287&lt;-Settings!$C$4,"Bearish","Neutral"))</f>
        <v>Bullish</v>
      </c>
      <c r="F287" s="8" t="n">
        <v>0.476</v>
      </c>
      <c r="G287" s="20" t="n">
        <v>-0.0021533946536123</v>
      </c>
      <c r="H287" s="6" t="str">
        <f aca="false">IF(G287="","",IF(G287&gt;0,"Bullish",IF(G287&lt;0,"Bearish","Flat")))</f>
        <v>Bearish</v>
      </c>
      <c r="I287" s="6" t="n">
        <f aca="false">IF(OR(G287="",E287="Neutral"),"",IF(E287=H287,1,0))</f>
        <v>0</v>
      </c>
      <c r="J287" s="6" t="s">
        <v>150</v>
      </c>
    </row>
    <row r="288" customFormat="false" ht="15" hidden="false" customHeight="false" outlineLevel="0" collapsed="false">
      <c r="A288" s="19" t="n">
        <v>46216</v>
      </c>
      <c r="B288" s="6" t="s">
        <v>22</v>
      </c>
      <c r="C288" s="6" t="s">
        <v>154</v>
      </c>
      <c r="D288" s="7" t="n">
        <v>0.4128</v>
      </c>
      <c r="E288" s="6" t="str">
        <f aca="false">IF(D288&gt;Settings!$C$4,"Bullish",IF(D288&lt;-Settings!$C$4,"Bearish","Neutral"))</f>
        <v>Bullish</v>
      </c>
      <c r="F288" s="8" t="n">
        <v>0.533</v>
      </c>
      <c r="G288" s="20" t="n">
        <v>0.008934041692773</v>
      </c>
      <c r="H288" s="6" t="str">
        <f aca="false">IF(G288="","",IF(G288&gt;0,"Bullish",IF(G288&lt;0,"Bearish","Flat")))</f>
        <v>Bullish</v>
      </c>
      <c r="I288" s="6" t="n">
        <f aca="false">IF(OR(G288="",E288="Neutral"),"",IF(E288=H288,1,0))</f>
        <v>1</v>
      </c>
      <c r="J288" s="6" t="s">
        <v>150</v>
      </c>
    </row>
    <row r="289" customFormat="false" ht="15" hidden="false" customHeight="false" outlineLevel="0" collapsed="false">
      <c r="A289" s="19" t="n">
        <v>46216</v>
      </c>
      <c r="B289" s="6" t="s">
        <v>35</v>
      </c>
      <c r="C289" s="6" t="s">
        <v>154</v>
      </c>
      <c r="D289" s="7" t="n">
        <v>0.2281</v>
      </c>
      <c r="E289" s="6" t="str">
        <f aca="false">IF(D289&gt;Settings!$C$4,"Bullish",IF(D289&lt;-Settings!$C$4,"Bearish","Neutral"))</f>
        <v>Bullish</v>
      </c>
      <c r="F289" s="8" t="n">
        <v>0.531</v>
      </c>
      <c r="G289" s="20" t="n">
        <v>0.0407201436126618</v>
      </c>
      <c r="H289" s="6" t="str">
        <f aca="false">IF(G289="","",IF(G289&gt;0,"Bullish",IF(G289&lt;0,"Bearish","Flat")))</f>
        <v>Bullish</v>
      </c>
      <c r="I289" s="6" t="n">
        <f aca="false">IF(OR(G289="",E289="Neutral"),"",IF(E289=H289,1,0))</f>
        <v>1</v>
      </c>
      <c r="J289" s="6" t="s">
        <v>150</v>
      </c>
    </row>
    <row r="290" customFormat="false" ht="15" hidden="false" customHeight="false" outlineLevel="0" collapsed="false">
      <c r="A290" s="19" t="n">
        <v>46216</v>
      </c>
      <c r="B290" s="6" t="s">
        <v>18</v>
      </c>
      <c r="C290" s="6" t="s">
        <v>154</v>
      </c>
      <c r="D290" s="7" t="n">
        <v>0.2701</v>
      </c>
      <c r="E290" s="6" t="str">
        <f aca="false">IF(D290&gt;Settings!$C$4,"Bullish",IF(D290&lt;-Settings!$C$4,"Bearish","Neutral"))</f>
        <v>Bullish</v>
      </c>
      <c r="F290" s="8" t="n">
        <v>0.481</v>
      </c>
      <c r="G290" s="20" t="n">
        <v>0.007138281321497</v>
      </c>
      <c r="H290" s="6" t="str">
        <f aca="false">IF(G290="","",IF(G290&gt;0,"Bullish",IF(G290&lt;0,"Bearish","Flat")))</f>
        <v>Bullish</v>
      </c>
      <c r="I290" s="6" t="n">
        <f aca="false">IF(OR(G290="",E290="Neutral"),"",IF(E290=H290,1,0))</f>
        <v>1</v>
      </c>
      <c r="J290" s="6" t="s">
        <v>150</v>
      </c>
    </row>
    <row r="291" customFormat="false" ht="15" hidden="false" customHeight="false" outlineLevel="0" collapsed="false">
      <c r="A291" s="19" t="n">
        <v>46216</v>
      </c>
      <c r="B291" s="6" t="s">
        <v>18</v>
      </c>
      <c r="C291" s="6" t="s">
        <v>149</v>
      </c>
      <c r="D291" s="7" t="n">
        <v>0.493</v>
      </c>
      <c r="E291" s="6" t="str">
        <f aca="false">IF(D291&gt;Settings!$C$4,"Bullish",IF(D291&lt;-Settings!$C$4,"Bearish","Neutral"))</f>
        <v>Bullish</v>
      </c>
      <c r="F291" s="8" t="n">
        <v>0.51</v>
      </c>
      <c r="G291" s="20" t="n">
        <v>0.0122673610822232</v>
      </c>
      <c r="H291" s="6" t="str">
        <f aca="false">IF(G291="","",IF(G291&gt;0,"Bullish",IF(G291&lt;0,"Bearish","Flat")))</f>
        <v>Bullish</v>
      </c>
      <c r="I291" s="6" t="n">
        <f aca="false">IF(OR(G291="",E291="Neutral"),"",IF(E291=H291,1,0))</f>
        <v>1</v>
      </c>
      <c r="J291" s="6" t="s">
        <v>150</v>
      </c>
    </row>
    <row r="292" customFormat="false" ht="15" hidden="false" customHeight="false" outlineLevel="0" collapsed="false">
      <c r="A292" s="19" t="n">
        <v>46217</v>
      </c>
      <c r="B292" s="6" t="s">
        <v>22</v>
      </c>
      <c r="C292" s="6" t="s">
        <v>154</v>
      </c>
      <c r="D292" s="7" t="n">
        <v>0.3387</v>
      </c>
      <c r="E292" s="6" t="str">
        <f aca="false">IF(D292&gt;Settings!$C$4,"Bullish",IF(D292&lt;-Settings!$C$4,"Bearish","Neutral"))</f>
        <v>Bullish</v>
      </c>
      <c r="F292" s="8" t="n">
        <v>0.533</v>
      </c>
      <c r="G292" s="20" t="n">
        <v>-0.0064021040054432</v>
      </c>
      <c r="H292" s="6" t="str">
        <f aca="false">IF(G292="","",IF(G292&gt;0,"Bullish",IF(G292&lt;0,"Bearish","Flat")))</f>
        <v>Bearish</v>
      </c>
      <c r="I292" s="6" t="n">
        <f aca="false">IF(OR(G292="",E292="Neutral"),"",IF(E292=H292,1,0))</f>
        <v>0</v>
      </c>
      <c r="J292" s="6" t="s">
        <v>150</v>
      </c>
    </row>
    <row r="293" customFormat="false" ht="15" hidden="false" customHeight="false" outlineLevel="0" collapsed="false">
      <c r="A293" s="19" t="n">
        <v>46217</v>
      </c>
      <c r="B293" s="6" t="s">
        <v>18</v>
      </c>
      <c r="C293" s="6" t="s">
        <v>154</v>
      </c>
      <c r="D293" s="7" t="n">
        <v>0.0986</v>
      </c>
      <c r="E293" s="6" t="str">
        <f aca="false">IF(D293&gt;Settings!$C$4,"Bullish",IF(D293&lt;-Settings!$C$4,"Bearish","Neutral"))</f>
        <v>Neutral</v>
      </c>
      <c r="F293" s="8"/>
      <c r="G293" s="20" t="n">
        <v>-0.0006627056672761</v>
      </c>
      <c r="H293" s="6" t="str">
        <f aca="false">IF(G293="","",IF(G293&gt;0,"Bullish",IF(G293&lt;0,"Bearish","Flat")))</f>
        <v>Bearish</v>
      </c>
      <c r="I293" s="6" t="str">
        <f aca="false">IF(OR(G293="",E293="Neutral"),"",IF(E293=H293,1,0))</f>
        <v/>
      </c>
      <c r="J293" s="6" t="s">
        <v>150</v>
      </c>
    </row>
    <row r="294" customFormat="false" ht="15" hidden="false" customHeight="false" outlineLevel="0" collapsed="false">
      <c r="A294" s="19" t="n">
        <v>46217</v>
      </c>
      <c r="B294" s="6" t="s">
        <v>18</v>
      </c>
      <c r="C294" s="6" t="s">
        <v>149</v>
      </c>
      <c r="D294" s="7" t="n">
        <v>0.4496</v>
      </c>
      <c r="E294" s="6" t="str">
        <f aca="false">IF(D294&gt;Settings!$C$4,"Bullish",IF(D294&lt;-Settings!$C$4,"Bearish","Neutral"))</f>
        <v>Bullish</v>
      </c>
      <c r="F294" s="8" t="n">
        <v>0.51</v>
      </c>
      <c r="G294" s="20" t="n">
        <v>0.0070840950639854</v>
      </c>
      <c r="H294" s="6" t="str">
        <f aca="false">IF(G294="","",IF(G294&gt;0,"Bullish",IF(G294&lt;0,"Bearish","Flat")))</f>
        <v>Bullish</v>
      </c>
      <c r="I294" s="6" t="n">
        <f aca="false">IF(OR(G294="",E294="Neutral"),"",IF(E294=H294,1,0))</f>
        <v>1</v>
      </c>
      <c r="J294" s="6" t="s">
        <v>150</v>
      </c>
    </row>
    <row r="295" customFormat="false" ht="15" hidden="false" customHeight="false" outlineLevel="0" collapsed="false">
      <c r="A295" s="19" t="n">
        <v>46218</v>
      </c>
      <c r="B295" s="6" t="s">
        <v>18</v>
      </c>
      <c r="C295" s="6" t="s">
        <v>154</v>
      </c>
      <c r="D295" s="7" t="n">
        <v>0.2263</v>
      </c>
      <c r="E295" s="6" t="str">
        <f aca="false">IF(D295&gt;Settings!$C$4,"Bullish",IF(D295&lt;-Settings!$C$4,"Bearish","Neutral"))</f>
        <v>Bullish</v>
      </c>
      <c r="F295" s="8" t="n">
        <v>0.481</v>
      </c>
      <c r="G295" s="20" t="n">
        <v>-0.0003051584228913</v>
      </c>
      <c r="H295" s="6" t="str">
        <f aca="false">IF(G295="","",IF(G295&gt;0,"Bullish",IF(G295&lt;0,"Bearish","Flat")))</f>
        <v>Bearish</v>
      </c>
      <c r="I295" s="6" t="n">
        <f aca="false">IF(OR(G295="",E295="Neutral"),"",IF(E295=H295,1,0))</f>
        <v>0</v>
      </c>
      <c r="J295" s="6" t="s">
        <v>150</v>
      </c>
    </row>
    <row r="296" customFormat="false" ht="15" hidden="false" customHeight="false" outlineLevel="0" collapsed="false">
      <c r="A296" s="19" t="n">
        <v>46218</v>
      </c>
      <c r="B296" s="6" t="s">
        <v>18</v>
      </c>
      <c r="C296" s="6" t="s">
        <v>149</v>
      </c>
      <c r="D296" s="7" t="n">
        <v>0.4051</v>
      </c>
      <c r="E296" s="6" t="str">
        <f aca="false">IF(D296&gt;Settings!$C$4,"Bullish",IF(D296&lt;-Settings!$C$4,"Bearish","Neutral"))</f>
        <v>Bullish</v>
      </c>
      <c r="F296" s="8" t="n">
        <v>0.51</v>
      </c>
      <c r="G296" s="20" t="n">
        <v>0.0042286238600672</v>
      </c>
      <c r="H296" s="6" t="str">
        <f aca="false">IF(G296="","",IF(G296&gt;0,"Bullish",IF(G296&lt;0,"Bearish","Flat")))</f>
        <v>Bullish</v>
      </c>
      <c r="I296" s="6" t="n">
        <f aca="false">IF(OR(G296="",E296="Neutral"),"",IF(E296=H296,1,0))</f>
        <v>1</v>
      </c>
      <c r="J296" s="6" t="s">
        <v>150</v>
      </c>
    </row>
    <row r="297" customFormat="false" ht="15" hidden="false" customHeight="false" outlineLevel="0" collapsed="false">
      <c r="A297" s="19" t="n">
        <v>46218</v>
      </c>
      <c r="B297" s="6" t="s">
        <v>51</v>
      </c>
      <c r="C297" s="6" t="s">
        <v>149</v>
      </c>
      <c r="D297" s="7" t="n">
        <v>0.1864</v>
      </c>
      <c r="E297" s="6" t="str">
        <f aca="false">IF(D297&gt;Settings!$C$4,"Bullish",IF(D297&lt;-Settings!$C$4,"Bearish","Neutral"))</f>
        <v>Bullish</v>
      </c>
      <c r="F297" s="8" t="n">
        <v>0.534</v>
      </c>
      <c r="G297" s="20" t="n">
        <v>0.0120165943445709</v>
      </c>
      <c r="H297" s="6" t="str">
        <f aca="false">IF(G297="","",IF(G297&gt;0,"Bullish",IF(G297&lt;0,"Bearish","Flat")))</f>
        <v>Bullish</v>
      </c>
      <c r="I297" s="6" t="n">
        <f aca="false">IF(OR(G297="",E297="Neutral"),"",IF(E297=H297,1,0))</f>
        <v>1</v>
      </c>
      <c r="J297" s="6" t="s">
        <v>150</v>
      </c>
    </row>
    <row r="298" customFormat="false" ht="15" hidden="false" customHeight="false" outlineLevel="0" collapsed="false">
      <c r="A298" s="19" t="n">
        <v>46219</v>
      </c>
      <c r="B298" s="6" t="s">
        <v>35</v>
      </c>
      <c r="C298" s="6" t="s">
        <v>149</v>
      </c>
      <c r="D298" s="7" t="n">
        <v>0.2698</v>
      </c>
      <c r="E298" s="6" t="str">
        <f aca="false">IF(D298&gt;Settings!$C$4,"Bullish",IF(D298&lt;-Settings!$C$4,"Bearish","Neutral"))</f>
        <v>Bullish</v>
      </c>
      <c r="F298" s="8" t="n">
        <v>0.563</v>
      </c>
      <c r="G298" s="20" t="n">
        <v>-0.0051433141272134</v>
      </c>
      <c r="H298" s="6" t="str">
        <f aca="false">IF(G298="","",IF(G298&gt;0,"Bullish",IF(G298&lt;0,"Bearish","Flat")))</f>
        <v>Bearish</v>
      </c>
      <c r="I298" s="6" t="n">
        <f aca="false">IF(OR(G298="",E298="Neutral"),"",IF(E298=H298,1,0))</f>
        <v>0</v>
      </c>
      <c r="J298" s="6" t="s">
        <v>150</v>
      </c>
    </row>
    <row r="299" customFormat="false" ht="15" hidden="false" customHeight="false" outlineLevel="0" collapsed="false">
      <c r="A299" s="19" t="n">
        <v>46219</v>
      </c>
      <c r="B299" s="6" t="s">
        <v>18</v>
      </c>
      <c r="C299" s="6" t="s">
        <v>154</v>
      </c>
      <c r="D299" s="7" t="n">
        <v>0.7348</v>
      </c>
      <c r="E299" s="6" t="str">
        <f aca="false">IF(D299&gt;Settings!$C$4,"Bullish",IF(D299&lt;-Settings!$C$4,"Bearish","Neutral"))</f>
        <v>Bullish</v>
      </c>
      <c r="F299" s="8" t="n">
        <v>0.501</v>
      </c>
      <c r="G299" s="20" t="n">
        <v>-0.0028725752937813</v>
      </c>
      <c r="H299" s="6" t="str">
        <f aca="false">IF(G299="","",IF(G299&gt;0,"Bullish",IF(G299&lt;0,"Bearish","Flat")))</f>
        <v>Bearish</v>
      </c>
      <c r="I299" s="6" t="n">
        <f aca="false">IF(OR(G299="",E299="Neutral"),"",IF(E299=H299,1,0))</f>
        <v>0</v>
      </c>
      <c r="J299" s="6" t="s">
        <v>150</v>
      </c>
    </row>
    <row r="300" customFormat="false" ht="15" hidden="false" customHeight="false" outlineLevel="0" collapsed="false">
      <c r="A300" s="19" t="n">
        <v>46219</v>
      </c>
      <c r="B300" s="6" t="s">
        <v>18</v>
      </c>
      <c r="C300" s="6" t="s">
        <v>149</v>
      </c>
      <c r="D300" s="7" t="n">
        <v>0.3654</v>
      </c>
      <c r="E300" s="6" t="str">
        <f aca="false">IF(D300&gt;Settings!$C$4,"Bullish",IF(D300&lt;-Settings!$C$4,"Bearish","Neutral"))</f>
        <v>Bullish</v>
      </c>
      <c r="F300" s="8" t="n">
        <v>0.51</v>
      </c>
      <c r="G300" s="20" t="n">
        <v>-0.0060413137216728</v>
      </c>
      <c r="H300" s="6" t="str">
        <f aca="false">IF(G300="","",IF(G300&gt;0,"Bullish",IF(G300&lt;0,"Bearish","Flat")))</f>
        <v>Bearish</v>
      </c>
      <c r="I300" s="6" t="n">
        <f aca="false">IF(OR(G300="",E300="Neutral"),"",IF(E300=H300,1,0))</f>
        <v>0</v>
      </c>
      <c r="J300" s="6" t="s">
        <v>150</v>
      </c>
    </row>
    <row r="301" customFormat="false" ht="15" hidden="false" customHeight="false" outlineLevel="0" collapsed="false">
      <c r="A301" s="19" t="n">
        <v>46219</v>
      </c>
      <c r="B301" s="6" t="s">
        <v>51</v>
      </c>
      <c r="C301" s="6" t="s">
        <v>149</v>
      </c>
      <c r="D301" s="7" t="n">
        <v>0.2507</v>
      </c>
      <c r="E301" s="6" t="str">
        <f aca="false">IF(D301&gt;Settings!$C$4,"Bullish",IF(D301&lt;-Settings!$C$4,"Bearish","Neutral"))</f>
        <v>Bullish</v>
      </c>
      <c r="F301" s="8" t="n">
        <v>0.534</v>
      </c>
      <c r="G301" s="20" t="n">
        <v>0.0286776420605416</v>
      </c>
      <c r="H301" s="6" t="str">
        <f aca="false">IF(G301="","",IF(G301&gt;0,"Bullish",IF(G301&lt;0,"Bearish","Flat")))</f>
        <v>Bullish</v>
      </c>
      <c r="I301" s="6" t="n">
        <f aca="false">IF(OR(G301="",E301="Neutral"),"",IF(E301=H301,1,0))</f>
        <v>1</v>
      </c>
      <c r="J301" s="6" t="s">
        <v>150</v>
      </c>
    </row>
    <row r="302" customFormat="false" ht="15" hidden="false" customHeight="false" outlineLevel="0" collapsed="false">
      <c r="A302" s="19" t="n">
        <v>46220</v>
      </c>
      <c r="B302" s="6" t="s">
        <v>35</v>
      </c>
      <c r="C302" s="6" t="s">
        <v>149</v>
      </c>
      <c r="D302" s="7" t="n">
        <v>0.1668</v>
      </c>
      <c r="E302" s="6" t="str">
        <f aca="false">IF(D302&gt;Settings!$C$4,"Bullish",IF(D302&lt;-Settings!$C$4,"Bearish","Neutral"))</f>
        <v>Bullish</v>
      </c>
      <c r="F302" s="8" t="n">
        <v>0.563</v>
      </c>
      <c r="G302" s="20" t="n">
        <v>-0.0188604310906556</v>
      </c>
      <c r="H302" s="6" t="str">
        <f aca="false">IF(G302="","",IF(G302&gt;0,"Bullish",IF(G302&lt;0,"Bearish","Flat")))</f>
        <v>Bearish</v>
      </c>
      <c r="I302" s="6" t="n">
        <f aca="false">IF(OR(G302="",E302="Neutral"),"",IF(E302=H302,1,0))</f>
        <v>0</v>
      </c>
      <c r="J302" s="6" t="s">
        <v>150</v>
      </c>
    </row>
    <row r="303" customFormat="false" ht="15" hidden="false" customHeight="false" outlineLevel="0" collapsed="false">
      <c r="A303" s="19" t="n">
        <v>46220</v>
      </c>
      <c r="B303" s="6" t="s">
        <v>18</v>
      </c>
      <c r="C303" s="6" t="s">
        <v>154</v>
      </c>
      <c r="D303" s="7" t="n">
        <v>-0.3349</v>
      </c>
      <c r="E303" s="6" t="str">
        <f aca="false">IF(D303&gt;Settings!$C$4,"Bullish",IF(D303&lt;-Settings!$C$4,"Bearish","Neutral"))</f>
        <v>Bearish</v>
      </c>
      <c r="F303" s="8" t="n">
        <v>0.529</v>
      </c>
      <c r="G303" s="20" t="n">
        <v>0.0085669523699001</v>
      </c>
      <c r="H303" s="6" t="str">
        <f aca="false">IF(G303="","",IF(G303&gt;0,"Bullish",IF(G303&lt;0,"Bearish","Flat")))</f>
        <v>Bullish</v>
      </c>
      <c r="I303" s="6" t="n">
        <f aca="false">IF(OR(G303="",E303="Neutral"),"",IF(E303=H303,1,0))</f>
        <v>0</v>
      </c>
      <c r="J303" s="6" t="s">
        <v>150</v>
      </c>
    </row>
    <row r="304" customFormat="false" ht="15" hidden="false" customHeight="false" outlineLevel="0" collapsed="false">
      <c r="A304" s="19" t="n">
        <v>46220</v>
      </c>
      <c r="B304" s="6" t="s">
        <v>18</v>
      </c>
      <c r="C304" s="6" t="s">
        <v>149</v>
      </c>
      <c r="D304" s="7" t="n">
        <v>0.3296</v>
      </c>
      <c r="E304" s="6" t="str">
        <f aca="false">IF(D304&gt;Settings!$C$4,"Bullish",IF(D304&lt;-Settings!$C$4,"Bearish","Neutral"))</f>
        <v>Bullish</v>
      </c>
      <c r="F304" s="8" t="n">
        <v>0.51</v>
      </c>
      <c r="G304" s="20" t="n">
        <v>-0.0106931480959564</v>
      </c>
      <c r="H304" s="6" t="str">
        <f aca="false">IF(G304="","",IF(G304&gt;0,"Bullish",IF(G304&lt;0,"Bearish","Flat")))</f>
        <v>Bearish</v>
      </c>
      <c r="I304" s="6" t="n">
        <f aca="false">IF(OR(G304="",E304="Neutral"),"",IF(E304=H304,1,0))</f>
        <v>0</v>
      </c>
      <c r="J304" s="6" t="s">
        <v>150</v>
      </c>
    </row>
    <row r="305" customFormat="false" ht="15" hidden="false" customHeight="false" outlineLevel="0" collapsed="false">
      <c r="A305" s="19" t="n">
        <v>46220</v>
      </c>
      <c r="B305" s="6" t="s">
        <v>51</v>
      </c>
      <c r="C305" s="6" t="s">
        <v>149</v>
      </c>
      <c r="D305" s="7" t="n">
        <v>0.3158</v>
      </c>
      <c r="E305" s="6" t="str">
        <f aca="false">IF(D305&gt;Settings!$C$4,"Bullish",IF(D305&lt;-Settings!$C$4,"Bearish","Neutral"))</f>
        <v>Bullish</v>
      </c>
      <c r="F305" s="8" t="n">
        <v>0.538</v>
      </c>
      <c r="G305" s="20" t="n">
        <v>0.0275140004869733</v>
      </c>
      <c r="H305" s="6" t="str">
        <f aca="false">IF(G305="","",IF(G305&gt;0,"Bullish",IF(G305&lt;0,"Bearish","Flat")))</f>
        <v>Bullish</v>
      </c>
      <c r="I305" s="6" t="n">
        <f aca="false">IF(OR(G305="",E305="Neutral"),"",IF(E305=H305,1,0))</f>
        <v>1</v>
      </c>
      <c r="J305" s="6" t="s">
        <v>150</v>
      </c>
    </row>
    <row r="306" customFormat="false" ht="15" hidden="false" customHeight="false" outlineLevel="0" collapsed="false">
      <c r="A306" s="19" t="n">
        <v>46223</v>
      </c>
      <c r="B306" s="6" t="s">
        <v>35</v>
      </c>
      <c r="C306" s="6" t="s">
        <v>149</v>
      </c>
      <c r="D306" s="7" t="n">
        <v>0.1647</v>
      </c>
      <c r="E306" s="6" t="str">
        <f aca="false">IF(D306&gt;Settings!$C$4,"Bullish",IF(D306&lt;-Settings!$C$4,"Bearish","Neutral"))</f>
        <v>Bullish</v>
      </c>
      <c r="F306" s="8" t="n">
        <v>0.563</v>
      </c>
      <c r="G306" s="20" t="n">
        <v>-0.01897733802339</v>
      </c>
      <c r="H306" s="6" t="str">
        <f aca="false">IF(G306="","",IF(G306&gt;0,"Bullish",IF(G306&lt;0,"Bearish","Flat")))</f>
        <v>Bearish</v>
      </c>
      <c r="I306" s="6" t="n">
        <f aca="false">IF(OR(G306="",E306="Neutral"),"",IF(E306=H306,1,0))</f>
        <v>0</v>
      </c>
      <c r="J306" s="6" t="s">
        <v>150</v>
      </c>
    </row>
    <row r="307" customFormat="false" ht="15" hidden="false" customHeight="false" outlineLevel="0" collapsed="false">
      <c r="A307" s="19" t="n">
        <v>46223</v>
      </c>
      <c r="B307" s="6" t="s">
        <v>53</v>
      </c>
      <c r="C307" s="6" t="s">
        <v>154</v>
      </c>
      <c r="D307" s="7" t="n">
        <v>-0.3523</v>
      </c>
      <c r="E307" s="6" t="str">
        <f aca="false">IF(D307&gt;Settings!$C$4,"Bullish",IF(D307&lt;-Settings!$C$4,"Bearish","Neutral"))</f>
        <v>Bearish</v>
      </c>
      <c r="F307" s="8" t="n">
        <v>0.535</v>
      </c>
      <c r="G307" s="20" t="n">
        <v>0.018181818181818</v>
      </c>
      <c r="H307" s="6" t="str">
        <f aca="false">IF(G307="","",IF(G307&gt;0,"Bullish",IF(G307&lt;0,"Bearish","Flat")))</f>
        <v>Bullish</v>
      </c>
      <c r="I307" s="6" t="n">
        <f aca="false">IF(OR(G307="",E307="Neutral"),"",IF(E307=H307,1,0))</f>
        <v>0</v>
      </c>
      <c r="J307" s="6" t="s">
        <v>150</v>
      </c>
    </row>
    <row r="308" customFormat="false" ht="15" hidden="false" customHeight="false" outlineLevel="0" collapsed="false">
      <c r="A308" s="19" t="n">
        <v>46223</v>
      </c>
      <c r="B308" s="6" t="s">
        <v>18</v>
      </c>
      <c r="C308" s="6" t="s">
        <v>154</v>
      </c>
      <c r="D308" s="7" t="n">
        <v>-0.1098</v>
      </c>
      <c r="E308" s="6" t="str">
        <f aca="false">IF(D308&gt;Settings!$C$4,"Bullish",IF(D308&lt;-Settings!$C$4,"Bearish","Neutral"))</f>
        <v>Neutral</v>
      </c>
      <c r="F308" s="8"/>
      <c r="G308" s="20" t="n">
        <v>0.0020028896178387</v>
      </c>
      <c r="H308" s="6" t="str">
        <f aca="false">IF(G308="","",IF(G308&gt;0,"Bullish",IF(G308&lt;0,"Bearish","Flat")))</f>
        <v>Bullish</v>
      </c>
      <c r="I308" s="6" t="str">
        <f aca="false">IF(OR(G308="",E308="Neutral"),"",IF(E308=H308,1,0))</f>
        <v/>
      </c>
      <c r="J308" s="6" t="s">
        <v>150</v>
      </c>
    </row>
    <row r="309" customFormat="false" ht="15" hidden="false" customHeight="false" outlineLevel="0" collapsed="false">
      <c r="A309" s="19" t="n">
        <v>46223</v>
      </c>
      <c r="B309" s="6" t="s">
        <v>18</v>
      </c>
      <c r="C309" s="6" t="s">
        <v>149</v>
      </c>
      <c r="D309" s="7" t="n">
        <v>0.3071</v>
      </c>
      <c r="E309" s="6" t="str">
        <f aca="false">IF(D309&gt;Settings!$C$4,"Bullish",IF(D309&lt;-Settings!$C$4,"Bearish","Neutral"))</f>
        <v>Bullish</v>
      </c>
      <c r="F309" s="8" t="n">
        <v>0.51</v>
      </c>
      <c r="G309" s="20" t="n">
        <v>-0.0174699928276295</v>
      </c>
      <c r="H309" s="6" t="str">
        <f aca="false">IF(G309="","",IF(G309&gt;0,"Bullish",IF(G309&lt;0,"Bearish","Flat")))</f>
        <v>Bearish</v>
      </c>
      <c r="I309" s="6" t="n">
        <f aca="false">IF(OR(G309="",E309="Neutral"),"",IF(E309=H309,1,0))</f>
        <v>0</v>
      </c>
      <c r="J309" s="6" t="s">
        <v>150</v>
      </c>
    </row>
    <row r="310" customFormat="false" ht="15" hidden="false" customHeight="false" outlineLevel="0" collapsed="false">
      <c r="A310" s="19" t="n">
        <v>46223</v>
      </c>
      <c r="B310" s="6" t="s">
        <v>51</v>
      </c>
      <c r="C310" s="6" t="s">
        <v>149</v>
      </c>
      <c r="D310" s="7" t="n">
        <v>0.3215</v>
      </c>
      <c r="E310" s="6" t="str">
        <f aca="false">IF(D310&gt;Settings!$C$4,"Bullish",IF(D310&lt;-Settings!$C$4,"Bearish","Neutral"))</f>
        <v>Bullish</v>
      </c>
      <c r="F310" s="8" t="n">
        <v>0.538</v>
      </c>
      <c r="G310" s="20" t="n">
        <v>0.0207083413973292</v>
      </c>
      <c r="H310" s="6" t="str">
        <f aca="false">IF(G310="","",IF(G310&gt;0,"Bullish",IF(G310&lt;0,"Bearish","Flat")))</f>
        <v>Bullish</v>
      </c>
      <c r="I310" s="6" t="n">
        <f aca="false">IF(OR(G310="",E310="Neutral"),"",IF(E310=H310,1,0))</f>
        <v>1</v>
      </c>
      <c r="J310" s="6" t="s">
        <v>150</v>
      </c>
    </row>
    <row r="311" customFormat="false" ht="15" hidden="false" customHeight="false" outlineLevel="0" collapsed="false">
      <c r="A311" s="19" t="n">
        <v>46224</v>
      </c>
      <c r="B311" s="6" t="s">
        <v>22</v>
      </c>
      <c r="C311" s="6" t="s">
        <v>154</v>
      </c>
      <c r="D311" s="7" t="n">
        <v>0.4946</v>
      </c>
      <c r="E311" s="6" t="str">
        <f aca="false">IF(D311&gt;Settings!$C$4,"Bullish",IF(D311&lt;-Settings!$C$4,"Bearish","Neutral"))</f>
        <v>Bullish</v>
      </c>
      <c r="F311" s="8" t="n">
        <v>0.533</v>
      </c>
      <c r="G311" s="20" t="n">
        <v>-0.0003180433420478</v>
      </c>
      <c r="H311" s="6" t="str">
        <f aca="false">IF(G311="","",IF(G311&gt;0,"Bullish",IF(G311&lt;0,"Bearish","Flat")))</f>
        <v>Bearish</v>
      </c>
      <c r="I311" s="6" t="n">
        <f aca="false">IF(OR(G311="",E311="Neutral"),"",IF(E311=H311,1,0))</f>
        <v>0</v>
      </c>
      <c r="J311" s="6" t="s">
        <v>150</v>
      </c>
    </row>
    <row r="312" customFormat="false" ht="15" hidden="false" customHeight="false" outlineLevel="0" collapsed="false">
      <c r="A312" s="19" t="n">
        <v>46224</v>
      </c>
      <c r="B312" s="6" t="s">
        <v>35</v>
      </c>
      <c r="C312" s="6" t="s">
        <v>149</v>
      </c>
      <c r="D312" s="7" t="n">
        <v>0.1627</v>
      </c>
      <c r="E312" s="6" t="str">
        <f aca="false">IF(D312&gt;Settings!$C$4,"Bullish",IF(D312&lt;-Settings!$C$4,"Bearish","Neutral"))</f>
        <v>Bullish</v>
      </c>
      <c r="F312" s="8" t="n">
        <v>0.563</v>
      </c>
      <c r="G312" s="20" t="n">
        <v>0.0126103816820148</v>
      </c>
      <c r="H312" s="6" t="str">
        <f aca="false">IF(G312="","",IF(G312&gt;0,"Bullish",IF(G312&lt;0,"Bearish","Flat")))</f>
        <v>Bullish</v>
      </c>
      <c r="I312" s="6" t="n">
        <f aca="false">IF(OR(G312="",E312="Neutral"),"",IF(E312=H312,1,0))</f>
        <v>1</v>
      </c>
      <c r="J312" s="6" t="s">
        <v>150</v>
      </c>
    </row>
    <row r="313" customFormat="false" ht="15" hidden="false" customHeight="false" outlineLevel="0" collapsed="false">
      <c r="A313" s="19" t="n">
        <v>46224</v>
      </c>
      <c r="B313" s="6" t="s">
        <v>18</v>
      </c>
      <c r="C313" s="6" t="s">
        <v>154</v>
      </c>
      <c r="D313" s="7" t="n">
        <v>-0.2005</v>
      </c>
      <c r="E313" s="6" t="str">
        <f aca="false">IF(D313&gt;Settings!$C$4,"Bullish",IF(D313&lt;-Settings!$C$4,"Bearish","Neutral"))</f>
        <v>Bearish</v>
      </c>
      <c r="F313" s="8" t="n">
        <v>0.481</v>
      </c>
      <c r="G313" s="20" t="n">
        <v>-0.0011707111605732</v>
      </c>
      <c r="H313" s="6" t="str">
        <f aca="false">IF(G313="","",IF(G313&gt;0,"Bullish",IF(G313&lt;0,"Bearish","Flat")))</f>
        <v>Bearish</v>
      </c>
      <c r="I313" s="6" t="n">
        <f aca="false">IF(OR(G313="",E313="Neutral"),"",IF(E313=H313,1,0))</f>
        <v>1</v>
      </c>
      <c r="J313" s="6" t="s">
        <v>150</v>
      </c>
    </row>
    <row r="314" customFormat="false" ht="15" hidden="false" customHeight="false" outlineLevel="0" collapsed="false">
      <c r="A314" s="19" t="n">
        <v>46224</v>
      </c>
      <c r="B314" s="6" t="s">
        <v>18</v>
      </c>
      <c r="C314" s="6" t="s">
        <v>149</v>
      </c>
      <c r="D314" s="7" t="n">
        <v>0.2914</v>
      </c>
      <c r="E314" s="6" t="str">
        <f aca="false">IF(D314&gt;Settings!$C$4,"Bullish",IF(D314&lt;-Settings!$C$4,"Bearish","Neutral"))</f>
        <v>Bullish</v>
      </c>
      <c r="F314" s="8" t="n">
        <v>0.495</v>
      </c>
      <c r="G314" s="20" t="n">
        <v>-0.0090890132783835</v>
      </c>
      <c r="H314" s="6" t="str">
        <f aca="false">IF(G314="","",IF(G314&gt;0,"Bullish",IF(G314&lt;0,"Bearish","Flat")))</f>
        <v>Bearish</v>
      </c>
      <c r="I314" s="6" t="n">
        <f aca="false">IF(OR(G314="",E314="Neutral"),"",IF(E314=H314,1,0))</f>
        <v>0</v>
      </c>
      <c r="J314" s="6" t="s">
        <v>150</v>
      </c>
    </row>
    <row r="315" customFormat="false" ht="15" hidden="false" customHeight="false" outlineLevel="0" collapsed="false">
      <c r="A315" s="19" t="n">
        <v>46224</v>
      </c>
      <c r="B315" s="6" t="s">
        <v>51</v>
      </c>
      <c r="C315" s="6" t="s">
        <v>149</v>
      </c>
      <c r="D315" s="7" t="n">
        <v>0.2834</v>
      </c>
      <c r="E315" s="6" t="str">
        <f aca="false">IF(D315&gt;Settings!$C$4,"Bullish",IF(D315&lt;-Settings!$C$4,"Bearish","Neutral"))</f>
        <v>Bullish</v>
      </c>
      <c r="F315" s="8" t="n">
        <v>0.534</v>
      </c>
      <c r="G315" s="20" t="n">
        <v>0.0168027113466036</v>
      </c>
      <c r="H315" s="6" t="str">
        <f aca="false">IF(G315="","",IF(G315&gt;0,"Bullish",IF(G315&lt;0,"Bearish","Flat")))</f>
        <v>Bullish</v>
      </c>
      <c r="I315" s="6" t="n">
        <f aca="false">IF(OR(G315="",E315="Neutral"),"",IF(E315=H315,1,0))</f>
        <v>1</v>
      </c>
      <c r="J315" s="6" t="s">
        <v>150</v>
      </c>
    </row>
    <row r="316" customFormat="false" ht="15" hidden="false" customHeight="false" outlineLevel="0" collapsed="false">
      <c r="A316" s="19" t="n">
        <v>46225</v>
      </c>
      <c r="B316" s="6" t="s">
        <v>35</v>
      </c>
      <c r="C316" s="6" t="s">
        <v>149</v>
      </c>
      <c r="D316" s="7" t="n">
        <v>0.1606</v>
      </c>
      <c r="E316" s="6" t="str">
        <f aca="false">IF(D316&gt;Settings!$C$4,"Bullish",IF(D316&lt;-Settings!$C$4,"Bearish","Neutral"))</f>
        <v>Bullish</v>
      </c>
      <c r="F316" s="8" t="n">
        <v>0.563</v>
      </c>
      <c r="G316" s="20" t="n">
        <v>0.0531958541580468</v>
      </c>
      <c r="H316" s="6" t="str">
        <f aca="false">IF(G316="","",IF(G316&gt;0,"Bullish",IF(G316&lt;0,"Bearish","Flat")))</f>
        <v>Bullish</v>
      </c>
      <c r="I316" s="6" t="n">
        <f aca="false">IF(OR(G316="",E316="Neutral"),"",IF(E316=H316,1,0))</f>
        <v>1</v>
      </c>
      <c r="J316" s="6" t="s">
        <v>150</v>
      </c>
    </row>
    <row r="317" customFormat="false" ht="15" hidden="false" customHeight="false" outlineLevel="0" collapsed="false">
      <c r="A317" s="19" t="n">
        <v>46225</v>
      </c>
      <c r="B317" s="6" t="s">
        <v>18</v>
      </c>
      <c r="C317" s="6" t="s">
        <v>154</v>
      </c>
      <c r="D317" s="7" t="n">
        <v>0.0807</v>
      </c>
      <c r="E317" s="6" t="str">
        <f aca="false">IF(D317&gt;Settings!$C$4,"Bullish",IF(D317&lt;-Settings!$C$4,"Bearish","Neutral"))</f>
        <v>Neutral</v>
      </c>
      <c r="F317" s="8"/>
      <c r="G317" s="20" t="n">
        <v>-0.0063849741930275</v>
      </c>
      <c r="H317" s="6" t="str">
        <f aca="false">IF(G317="","",IF(G317&gt;0,"Bullish",IF(G317&lt;0,"Bearish","Flat")))</f>
        <v>Bearish</v>
      </c>
      <c r="I317" s="6" t="str">
        <f aca="false">IF(OR(G317="",E317="Neutral"),"",IF(E317=H317,1,0))</f>
        <v/>
      </c>
      <c r="J317" s="6" t="s">
        <v>150</v>
      </c>
    </row>
    <row r="318" customFormat="false" ht="15" hidden="false" customHeight="false" outlineLevel="0" collapsed="false">
      <c r="A318" s="19" t="n">
        <v>46225</v>
      </c>
      <c r="B318" s="6" t="s">
        <v>18</v>
      </c>
      <c r="C318" s="6" t="s">
        <v>149</v>
      </c>
      <c r="D318" s="7" t="n">
        <v>0.2745</v>
      </c>
      <c r="E318" s="6" t="str">
        <f aca="false">IF(D318&gt;Settings!$C$4,"Bullish",IF(D318&lt;-Settings!$C$4,"Bearish","Neutral"))</f>
        <v>Bullish</v>
      </c>
      <c r="F318" s="8" t="n">
        <v>0.495</v>
      </c>
      <c r="G318" s="20" t="n">
        <v>-0.0068363115387084</v>
      </c>
      <c r="H318" s="6" t="str">
        <f aca="false">IF(G318="","",IF(G318&gt;0,"Bullish",IF(G318&lt;0,"Bearish","Flat")))</f>
        <v>Bearish</v>
      </c>
      <c r="I318" s="6" t="n">
        <f aca="false">IF(OR(G318="",E318="Neutral"),"",IF(E318=H318,1,0))</f>
        <v>0</v>
      </c>
      <c r="J318" s="6" t="s">
        <v>150</v>
      </c>
    </row>
    <row r="319" customFormat="false" ht="15" hidden="false" customHeight="false" outlineLevel="0" collapsed="false">
      <c r="A319" s="19" t="n">
        <v>46225</v>
      </c>
      <c r="B319" s="6" t="s">
        <v>51</v>
      </c>
      <c r="C319" s="6" t="s">
        <v>149</v>
      </c>
      <c r="D319" s="7" t="n">
        <v>0.2422</v>
      </c>
      <c r="E319" s="6" t="str">
        <f aca="false">IF(D319&gt;Settings!$C$4,"Bullish",IF(D319&lt;-Settings!$C$4,"Bearish","Neutral"))</f>
        <v>Bullish</v>
      </c>
      <c r="F319" s="8" t="n">
        <v>0.534</v>
      </c>
      <c r="G319" s="20" t="n">
        <v>-0.0380219267553068</v>
      </c>
      <c r="H319" s="6" t="str">
        <f aca="false">IF(G319="","",IF(G319&gt;0,"Bullish",IF(G319&lt;0,"Bearish","Flat")))</f>
        <v>Bearish</v>
      </c>
      <c r="I319" s="6" t="n">
        <f aca="false">IF(OR(G319="",E319="Neutral"),"",IF(E319=H319,1,0))</f>
        <v>0</v>
      </c>
      <c r="J319" s="6" t="s">
        <v>150</v>
      </c>
    </row>
    <row r="320" customFormat="false" ht="15" hidden="false" customHeight="false" outlineLevel="0" collapsed="false">
      <c r="A320" s="19" t="n">
        <v>46226</v>
      </c>
      <c r="B320" s="6" t="s">
        <v>35</v>
      </c>
      <c r="C320" s="6" t="s">
        <v>149</v>
      </c>
      <c r="D320" s="7" t="n">
        <v>0.1586</v>
      </c>
      <c r="E320" s="6" t="str">
        <f aca="false">IF(D320&gt;Settings!$C$4,"Bullish",IF(D320&lt;-Settings!$C$4,"Bearish","Neutral"))</f>
        <v>Bullish</v>
      </c>
      <c r="F320" s="8" t="n">
        <v>0.563</v>
      </c>
      <c r="G320" s="20" t="n">
        <v>0.0919274880801601</v>
      </c>
      <c r="H320" s="6" t="str">
        <f aca="false">IF(G320="","",IF(G320&gt;0,"Bullish",IF(G320&lt;0,"Bearish","Flat")))</f>
        <v>Bullish</v>
      </c>
      <c r="I320" s="6" t="n">
        <f aca="false">IF(OR(G320="",E320="Neutral"),"",IF(E320=H320,1,0))</f>
        <v>1</v>
      </c>
      <c r="J320" s="6" t="s">
        <v>150</v>
      </c>
    </row>
    <row r="321" customFormat="false" ht="15" hidden="false" customHeight="false" outlineLevel="0" collapsed="false">
      <c r="A321" s="19" t="n">
        <v>46226</v>
      </c>
      <c r="B321" s="6" t="s">
        <v>18</v>
      </c>
      <c r="C321" s="6" t="s">
        <v>154</v>
      </c>
      <c r="D321" s="7" t="n">
        <v>0.3755</v>
      </c>
      <c r="E321" s="6" t="str">
        <f aca="false">IF(D321&gt;Settings!$C$4,"Bullish",IF(D321&lt;-Settings!$C$4,"Bearish","Neutral"))</f>
        <v>Bullish</v>
      </c>
      <c r="F321" s="8" t="n">
        <v>0.529</v>
      </c>
      <c r="G321" s="20" t="n">
        <v>-0.0014725076135336</v>
      </c>
      <c r="H321" s="6" t="str">
        <f aca="false">IF(G321="","",IF(G321&gt;0,"Bullish",IF(G321&lt;0,"Bearish","Flat")))</f>
        <v>Bearish</v>
      </c>
      <c r="I321" s="6" t="n">
        <f aca="false">IF(OR(G321="",E321="Neutral"),"",IF(E321=H321,1,0))</f>
        <v>0</v>
      </c>
      <c r="J321" s="6" t="s">
        <v>150</v>
      </c>
    </row>
    <row r="322" customFormat="false" ht="15" hidden="false" customHeight="false" outlineLevel="0" collapsed="false">
      <c r="A322" s="19" t="n">
        <v>46226</v>
      </c>
      <c r="B322" s="6" t="s">
        <v>18</v>
      </c>
      <c r="C322" s="6" t="s">
        <v>149</v>
      </c>
      <c r="D322" s="7" t="n">
        <v>0.2669</v>
      </c>
      <c r="E322" s="6" t="str">
        <f aca="false">IF(D322&gt;Settings!$C$4,"Bullish",IF(D322&lt;-Settings!$C$4,"Bearish","Neutral"))</f>
        <v>Bullish</v>
      </c>
      <c r="F322" s="8" t="n">
        <v>0.495</v>
      </c>
      <c r="G322" s="20" t="n">
        <v>0.0144489809577992</v>
      </c>
      <c r="H322" s="6" t="str">
        <f aca="false">IF(G322="","",IF(G322&gt;0,"Bullish",IF(G322&lt;0,"Bearish","Flat")))</f>
        <v>Bullish</v>
      </c>
      <c r="I322" s="6" t="n">
        <f aca="false">IF(OR(G322="",E322="Neutral"),"",IF(E322=H322,1,0))</f>
        <v>1</v>
      </c>
      <c r="J322" s="6" t="s">
        <v>150</v>
      </c>
    </row>
    <row r="323" customFormat="false" ht="15" hidden="false" customHeight="false" outlineLevel="0" collapsed="false">
      <c r="A323" s="19" t="n">
        <v>46226</v>
      </c>
      <c r="B323" s="6" t="s">
        <v>51</v>
      </c>
      <c r="C323" s="6" t="s">
        <v>149</v>
      </c>
      <c r="D323" s="7" t="n">
        <v>0.1977</v>
      </c>
      <c r="E323" s="6" t="str">
        <f aca="false">IF(D323&gt;Settings!$C$4,"Bullish",IF(D323&lt;-Settings!$C$4,"Bearish","Neutral"))</f>
        <v>Bullish</v>
      </c>
      <c r="F323" s="8" t="n">
        <v>0.534</v>
      </c>
      <c r="G323" s="20" t="n">
        <v>-0.0368592730661696</v>
      </c>
      <c r="H323" s="6" t="str">
        <f aca="false">IF(G323="","",IF(G323&gt;0,"Bullish",IF(G323&lt;0,"Bearish","Flat")))</f>
        <v>Bearish</v>
      </c>
      <c r="I323" s="6" t="n">
        <f aca="false">IF(OR(G323="",E323="Neutral"),"",IF(E323=H323,1,0))</f>
        <v>0</v>
      </c>
      <c r="J323" s="6" t="s">
        <v>150</v>
      </c>
    </row>
    <row r="324" customFormat="false" ht="15" hidden="false" customHeight="false" outlineLevel="0" collapsed="false">
      <c r="A324" s="19" t="n">
        <v>46227</v>
      </c>
      <c r="B324" s="6" t="s">
        <v>30</v>
      </c>
      <c r="C324" s="6" t="s">
        <v>149</v>
      </c>
      <c r="D324" s="7" t="n">
        <v>0.2688</v>
      </c>
      <c r="E324" s="6" t="str">
        <f aca="false">IF(D324&gt;Settings!$C$4,"Bullish",IF(D324&lt;-Settings!$C$4,"Bearish","Neutral"))</f>
        <v>Bullish</v>
      </c>
      <c r="F324" s="8" t="n">
        <v>0.531</v>
      </c>
      <c r="G324" s="20" t="n">
        <v>0.0185241038014576</v>
      </c>
      <c r="H324" s="6" t="str">
        <f aca="false">IF(G324="","",IF(G324&gt;0,"Bullish",IF(G324&lt;0,"Bearish","Flat")))</f>
        <v>Bullish</v>
      </c>
      <c r="I324" s="6" t="n">
        <f aca="false">IF(OR(G324="",E324="Neutral"),"",IF(E324=H324,1,0))</f>
        <v>1</v>
      </c>
      <c r="J324" s="6" t="s">
        <v>150</v>
      </c>
    </row>
    <row r="325" customFormat="false" ht="15" hidden="false" customHeight="false" outlineLevel="0" collapsed="false">
      <c r="A325" s="19" t="n">
        <v>46227</v>
      </c>
      <c r="B325" s="6" t="s">
        <v>35</v>
      </c>
      <c r="C325" s="6" t="s">
        <v>149</v>
      </c>
      <c r="D325" s="7" t="n">
        <v>0.1565</v>
      </c>
      <c r="E325" s="6" t="str">
        <f aca="false">IF(D325&gt;Settings!$C$4,"Bullish",IF(D325&lt;-Settings!$C$4,"Bearish","Neutral"))</f>
        <v>Bullish</v>
      </c>
      <c r="F325" s="8" t="n">
        <v>0.563</v>
      </c>
      <c r="G325" s="20" t="n">
        <v>0.105999500085978</v>
      </c>
      <c r="H325" s="6" t="str">
        <f aca="false">IF(G325="","",IF(G325&gt;0,"Bullish",IF(G325&lt;0,"Bearish","Flat")))</f>
        <v>Bullish</v>
      </c>
      <c r="I325" s="6" t="n">
        <f aca="false">IF(OR(G325="",E325="Neutral"),"",IF(E325=H325,1,0))</f>
        <v>1</v>
      </c>
      <c r="J325" s="6" t="s">
        <v>150</v>
      </c>
    </row>
    <row r="326" customFormat="false" ht="15" hidden="false" customHeight="false" outlineLevel="0" collapsed="false">
      <c r="A326" s="19" t="n">
        <v>46227</v>
      </c>
      <c r="B326" s="6" t="s">
        <v>53</v>
      </c>
      <c r="C326" s="6" t="s">
        <v>154</v>
      </c>
      <c r="D326" s="7" t="n">
        <v>0.3592</v>
      </c>
      <c r="E326" s="6" t="str">
        <f aca="false">IF(D326&gt;Settings!$C$4,"Bullish",IF(D326&lt;-Settings!$C$4,"Bearish","Neutral"))</f>
        <v>Bullish</v>
      </c>
      <c r="F326" s="8" t="n">
        <v>0.535</v>
      </c>
      <c r="G326" s="20" t="n">
        <v>-0.0171232876712328</v>
      </c>
      <c r="H326" s="6" t="str">
        <f aca="false">IF(G326="","",IF(G326&gt;0,"Bullish",IF(G326&lt;0,"Bearish","Flat")))</f>
        <v>Bearish</v>
      </c>
      <c r="I326" s="6" t="n">
        <f aca="false">IF(OR(G326="",E326="Neutral"),"",IF(E326=H326,1,0))</f>
        <v>0</v>
      </c>
      <c r="J326" s="6" t="s">
        <v>150</v>
      </c>
    </row>
    <row r="327" customFormat="false" ht="15" hidden="false" customHeight="false" outlineLevel="0" collapsed="false">
      <c r="A327" s="19" t="n">
        <v>46227</v>
      </c>
      <c r="B327" s="6" t="s">
        <v>18</v>
      </c>
      <c r="C327" s="6" t="s">
        <v>154</v>
      </c>
      <c r="D327" s="7" t="n">
        <v>0.6844</v>
      </c>
      <c r="E327" s="6" t="str">
        <f aca="false">IF(D327&gt;Settings!$C$4,"Bullish",IF(D327&lt;-Settings!$C$4,"Bearish","Neutral"))</f>
        <v>Bullish</v>
      </c>
      <c r="F327" s="8" t="n">
        <v>0.501</v>
      </c>
      <c r="G327" s="20" t="n">
        <v>0.0042718881449823</v>
      </c>
      <c r="H327" s="6" t="str">
        <f aca="false">IF(G327="","",IF(G327&gt;0,"Bullish",IF(G327&lt;0,"Bearish","Flat")))</f>
        <v>Bullish</v>
      </c>
      <c r="I327" s="6" t="n">
        <f aca="false">IF(OR(G327="",E327="Neutral"),"",IF(E327=H327,1,0))</f>
        <v>1</v>
      </c>
      <c r="J327" s="6" t="s">
        <v>150</v>
      </c>
    </row>
    <row r="328" customFormat="false" ht="15" hidden="false" customHeight="false" outlineLevel="0" collapsed="false">
      <c r="A328" s="19" t="n">
        <v>46227</v>
      </c>
      <c r="B328" s="6" t="s">
        <v>18</v>
      </c>
      <c r="C328" s="6" t="s">
        <v>149</v>
      </c>
      <c r="D328" s="7" t="n">
        <v>0.2326</v>
      </c>
      <c r="E328" s="6" t="str">
        <f aca="false">IF(D328&gt;Settings!$C$4,"Bullish",IF(D328&lt;-Settings!$C$4,"Bearish","Neutral"))</f>
        <v>Bullish</v>
      </c>
      <c r="F328" s="8" t="n">
        <v>0.495</v>
      </c>
      <c r="G328" s="20" t="n">
        <v>0.02749895949312</v>
      </c>
      <c r="H328" s="6" t="str">
        <f aca="false">IF(G328="","",IF(G328&gt;0,"Bullish",IF(G328&lt;0,"Bearish","Flat")))</f>
        <v>Bullish</v>
      </c>
      <c r="I328" s="6" t="n">
        <f aca="false">IF(OR(G328="",E328="Neutral"),"",IF(E328=H328,1,0))</f>
        <v>1</v>
      </c>
      <c r="J328" s="6" t="s">
        <v>150</v>
      </c>
    </row>
    <row r="329" customFormat="false" ht="15" hidden="false" customHeight="false" outlineLevel="0" collapsed="false">
      <c r="A329" s="19" t="n">
        <v>46230</v>
      </c>
      <c r="B329" s="6" t="s">
        <v>30</v>
      </c>
      <c r="C329" s="6" t="s">
        <v>149</v>
      </c>
      <c r="D329" s="7" t="n">
        <v>0.1883</v>
      </c>
      <c r="E329" s="6" t="str">
        <f aca="false">IF(D329&gt;Settings!$C$4,"Bullish",IF(D329&lt;-Settings!$C$4,"Bearish","Neutral"))</f>
        <v>Bullish</v>
      </c>
      <c r="F329" s="8" t="n">
        <v>0.531</v>
      </c>
      <c r="G329" s="20" t="n">
        <v>-0.0080683349908877</v>
      </c>
      <c r="H329" s="6" t="str">
        <f aca="false">IF(G329="","",IF(G329&gt;0,"Bullish",IF(G329&lt;0,"Bearish","Flat")))</f>
        <v>Bearish</v>
      </c>
      <c r="I329" s="6" t="n">
        <f aca="false">IF(OR(G329="",E329="Neutral"),"",IF(E329=H329,1,0))</f>
        <v>0</v>
      </c>
      <c r="J329" s="6" t="s">
        <v>150</v>
      </c>
    </row>
    <row r="330" customFormat="false" ht="15" hidden="false" customHeight="false" outlineLevel="0" collapsed="false">
      <c r="A330" s="19" t="n">
        <v>46230</v>
      </c>
      <c r="B330" s="6" t="s">
        <v>35</v>
      </c>
      <c r="C330" s="6" t="s">
        <v>149</v>
      </c>
      <c r="D330" s="7" t="n">
        <v>0.1565</v>
      </c>
      <c r="E330" s="6" t="str">
        <f aca="false">IF(D330&gt;Settings!$C$4,"Bullish",IF(D330&lt;-Settings!$C$4,"Bearish","Neutral"))</f>
        <v>Bullish</v>
      </c>
      <c r="F330" s="8" t="n">
        <v>0.563</v>
      </c>
      <c r="G330" s="20" t="n">
        <v>0.0523341683315228</v>
      </c>
      <c r="H330" s="6" t="str">
        <f aca="false">IF(G330="","",IF(G330&gt;0,"Bullish",IF(G330&lt;0,"Bearish","Flat")))</f>
        <v>Bullish</v>
      </c>
      <c r="I330" s="6" t="n">
        <f aca="false">IF(OR(G330="",E330="Neutral"),"",IF(E330=H330,1,0))</f>
        <v>1</v>
      </c>
      <c r="J330" s="6" t="s">
        <v>150</v>
      </c>
    </row>
    <row r="331" customFormat="false" ht="15" hidden="false" customHeight="false" outlineLevel="0" collapsed="false">
      <c r="A331" s="19" t="n">
        <v>46230</v>
      </c>
      <c r="B331" s="6" t="s">
        <v>18</v>
      </c>
      <c r="C331" s="6" t="s">
        <v>154</v>
      </c>
      <c r="D331" s="7" t="n">
        <v>-0.1977</v>
      </c>
      <c r="E331" s="6" t="str">
        <f aca="false">IF(D331&gt;Settings!$C$4,"Bullish",IF(D331&lt;-Settings!$C$4,"Bearish","Neutral"))</f>
        <v>Bearish</v>
      </c>
      <c r="F331" s="8" t="n">
        <v>0.481</v>
      </c>
      <c r="G331" s="20" t="n">
        <v>0.0028230052991424</v>
      </c>
      <c r="H331" s="6" t="str">
        <f aca="false">IF(G331="","",IF(G331&gt;0,"Bullish",IF(G331&lt;0,"Bearish","Flat")))</f>
        <v>Bullish</v>
      </c>
      <c r="I331" s="6" t="n">
        <f aca="false">IF(OR(G331="",E331="Neutral"),"",IF(E331=H331,1,0))</f>
        <v>0</v>
      </c>
      <c r="J331" s="6" t="s">
        <v>150</v>
      </c>
    </row>
    <row r="332" customFormat="false" ht="15" hidden="false" customHeight="false" outlineLevel="0" collapsed="false">
      <c r="A332" s="19" t="n">
        <v>46230</v>
      </c>
      <c r="B332" s="6" t="s">
        <v>18</v>
      </c>
      <c r="C332" s="6" t="s">
        <v>149</v>
      </c>
      <c r="D332" s="7" t="n">
        <v>0.1752</v>
      </c>
      <c r="E332" s="6" t="str">
        <f aca="false">IF(D332&gt;Settings!$C$4,"Bullish",IF(D332&lt;-Settings!$C$4,"Bearish","Neutral"))</f>
        <v>Bullish</v>
      </c>
      <c r="F332" s="8" t="n">
        <v>0.495</v>
      </c>
      <c r="G332" s="20" t="n">
        <v>0.0190234198692764</v>
      </c>
      <c r="H332" s="6" t="str">
        <f aca="false">IF(G332="","",IF(G332&gt;0,"Bullish",IF(G332&lt;0,"Bearish","Flat")))</f>
        <v>Bullish</v>
      </c>
      <c r="I332" s="6" t="n">
        <f aca="false">IF(OR(G332="",E332="Neutral"),"",IF(E332=H332,1,0))</f>
        <v>1</v>
      </c>
      <c r="J332" s="6" t="s">
        <v>150</v>
      </c>
    </row>
    <row r="333" customFormat="false" ht="15" hidden="false" customHeight="false" outlineLevel="0" collapsed="false">
      <c r="A333" s="19" t="n">
        <v>46231</v>
      </c>
      <c r="B333" s="6" t="s">
        <v>18</v>
      </c>
      <c r="C333" s="6" t="s">
        <v>154</v>
      </c>
      <c r="D333" s="7" t="n">
        <v>-0.6874</v>
      </c>
      <c r="E333" s="6" t="str">
        <f aca="false">IF(D333&gt;Settings!$C$4,"Bullish",IF(D333&lt;-Settings!$C$4,"Bearish","Neutral"))</f>
        <v>Bearish</v>
      </c>
      <c r="F333" s="8" t="n">
        <v>0.501</v>
      </c>
      <c r="G333" s="20" t="n">
        <v>0.0005882046201177</v>
      </c>
      <c r="H333" s="6" t="str">
        <f aca="false">IF(G333="","",IF(G333&gt;0,"Bullish",IF(G333&lt;0,"Bearish","Flat")))</f>
        <v>Bullish</v>
      </c>
      <c r="I333" s="6" t="n">
        <f aca="false">IF(OR(G333="",E333="Neutral"),"",IF(E333=H333,1,0))</f>
        <v>0</v>
      </c>
      <c r="J333" s="6" t="s">
        <v>150</v>
      </c>
    </row>
    <row r="334" customFormat="false" ht="15" hidden="false" customHeight="false" outlineLevel="0" collapsed="false">
      <c r="A334" s="19" t="n">
        <v>46231</v>
      </c>
      <c r="B334" s="6" t="s">
        <v>18</v>
      </c>
      <c r="C334" s="6" t="s">
        <v>149</v>
      </c>
      <c r="D334" s="7" t="n">
        <v>0.1396</v>
      </c>
      <c r="E334" s="6" t="str">
        <f aca="false">IF(D334&gt;Settings!$C$4,"Bullish",IF(D334&lt;-Settings!$C$4,"Bearish","Neutral"))</f>
        <v>Neutral</v>
      </c>
      <c r="F334" s="8"/>
      <c r="G334" s="20" t="n">
        <v>0.0335005475308962</v>
      </c>
      <c r="H334" s="6" t="str">
        <f aca="false">IF(G334="","",IF(G334&gt;0,"Bullish",IF(G334&lt;0,"Bearish","Flat")))</f>
        <v>Bullish</v>
      </c>
      <c r="I334" s="6" t="str">
        <f aca="false">IF(OR(G334="",E334="Neutral"),"",IF(E334=H334,1,0))</f>
        <v/>
      </c>
      <c r="J334" s="6" t="s">
        <v>150</v>
      </c>
    </row>
    <row r="335" customFormat="false" ht="15" hidden="false" customHeight="false" outlineLevel="0" collapsed="false">
      <c r="A335" s="19" t="n">
        <v>46232</v>
      </c>
      <c r="B335" s="6" t="s">
        <v>53</v>
      </c>
      <c r="C335" s="6" t="s">
        <v>154</v>
      </c>
      <c r="D335" s="7" t="n">
        <v>-0.3648</v>
      </c>
      <c r="E335" s="6" t="str">
        <f aca="false">IF(D335&gt;Settings!$C$4,"Bullish",IF(D335&lt;-Settings!$C$4,"Bearish","Neutral"))</f>
        <v>Bearish</v>
      </c>
      <c r="F335" s="8" t="n">
        <v>0.535</v>
      </c>
      <c r="G335" s="20" t="n">
        <v>-0.0264150943396226</v>
      </c>
      <c r="H335" s="6" t="str">
        <f aca="false">IF(G335="","",IF(G335&gt;0,"Bullish",IF(G335&lt;0,"Bearish","Flat")))</f>
        <v>Bearish</v>
      </c>
      <c r="I335" s="6" t="n">
        <f aca="false">IF(OR(G335="",E335="Neutral"),"",IF(E335=H335,1,0))</f>
        <v>1</v>
      </c>
      <c r="J335" s="6" t="s">
        <v>150</v>
      </c>
    </row>
    <row r="336" customFormat="false" ht="15" hidden="false" customHeight="false" outlineLevel="0" collapsed="false">
      <c r="A336" s="19" t="n">
        <v>46232</v>
      </c>
      <c r="B336" s="6" t="s">
        <v>18</v>
      </c>
      <c r="C336" s="6" t="s">
        <v>154</v>
      </c>
      <c r="D336" s="7" t="n">
        <v>0.0709</v>
      </c>
      <c r="E336" s="6" t="str">
        <f aca="false">IF(D336&gt;Settings!$C$4,"Bullish",IF(D336&lt;-Settings!$C$4,"Bearish","Neutral"))</f>
        <v>Neutral</v>
      </c>
      <c r="F336" s="8"/>
      <c r="G336" s="20" t="n">
        <v>0.0030421915360481</v>
      </c>
      <c r="H336" s="6" t="str">
        <f aca="false">IF(G336="","",IF(G336&gt;0,"Bullish",IF(G336&lt;0,"Bearish","Flat")))</f>
        <v>Bullish</v>
      </c>
      <c r="I336" s="6" t="str">
        <f aca="false">IF(OR(G336="",E336="Neutral"),"",IF(E336=H336,1,0))</f>
        <v/>
      </c>
      <c r="J336" s="6" t="s">
        <v>150</v>
      </c>
    </row>
    <row r="337" customFormat="false" ht="15" hidden="false" customHeight="false" outlineLevel="0" collapsed="false">
      <c r="A337" s="19" t="n">
        <v>46232</v>
      </c>
      <c r="B337" s="6" t="s">
        <v>18</v>
      </c>
      <c r="C337" s="6" t="s">
        <v>149</v>
      </c>
      <c r="D337" s="7" t="n">
        <v>0.1078</v>
      </c>
      <c r="E337" s="6" t="str">
        <f aca="false">IF(D337&gt;Settings!$C$4,"Bullish",IF(D337&lt;-Settings!$C$4,"Bearish","Neutral"))</f>
        <v>Neutral</v>
      </c>
      <c r="F337" s="8"/>
      <c r="G337" s="20" t="n">
        <v>0.0181269944347128</v>
      </c>
      <c r="H337" s="6" t="str">
        <f aca="false">IF(G337="","",IF(G337&gt;0,"Bullish",IF(G337&lt;0,"Bearish","Flat")))</f>
        <v>Bullish</v>
      </c>
      <c r="I337" s="6" t="str">
        <f aca="false">IF(OR(G337="",E337="Neutral"),"",IF(E337=H337,1,0))</f>
        <v/>
      </c>
      <c r="J337" s="6" t="s">
        <v>150</v>
      </c>
    </row>
    <row r="338" customFormat="false" ht="15" hidden="false" customHeight="false" outlineLevel="0" collapsed="false">
      <c r="A338" s="19" t="n">
        <v>46233</v>
      </c>
      <c r="B338" s="6" t="s">
        <v>18</v>
      </c>
      <c r="C338" s="6" t="s">
        <v>154</v>
      </c>
      <c r="D338" s="7" t="n">
        <v>0.2342</v>
      </c>
      <c r="E338" s="6" t="str">
        <f aca="false">IF(D338&gt;Settings!$C$4,"Bullish",IF(D338&lt;-Settings!$C$4,"Bearish","Neutral"))</f>
        <v>Bullish</v>
      </c>
      <c r="F338" s="8" t="n">
        <v>0.481</v>
      </c>
      <c r="G338" s="20" t="n">
        <v>0.0027876805961348</v>
      </c>
      <c r="H338" s="6" t="str">
        <f aca="false">IF(G338="","",IF(G338&gt;0,"Bullish",IF(G338&lt;0,"Bearish","Flat")))</f>
        <v>Bullish</v>
      </c>
      <c r="I338" s="6" t="n">
        <f aca="false">IF(OR(G338="",E338="Neutral"),"",IF(E338=H338,1,0))</f>
        <v>1</v>
      </c>
      <c r="J338" s="6" t="s">
        <v>150</v>
      </c>
    </row>
    <row r="339" customFormat="false" ht="15" hidden="false" customHeight="false" outlineLevel="0" collapsed="false">
      <c r="A339" s="19" t="n">
        <v>46233</v>
      </c>
      <c r="B339" s="6" t="s">
        <v>18</v>
      </c>
      <c r="C339" s="6" t="s">
        <v>149</v>
      </c>
      <c r="D339" s="7" t="n">
        <v>0.0684</v>
      </c>
      <c r="E339" s="6" t="str">
        <f aca="false">IF(D339&gt;Settings!$C$4,"Bullish",IF(D339&lt;-Settings!$C$4,"Bearish","Neutral"))</f>
        <v>Neutral</v>
      </c>
      <c r="F339" s="8"/>
      <c r="G339" s="20" t="n">
        <v>0.0154683282782568</v>
      </c>
      <c r="H339" s="6" t="str">
        <f aca="false">IF(G339="","",IF(G339&gt;0,"Bullish",IF(G339&lt;0,"Bearish","Flat")))</f>
        <v>Bullish</v>
      </c>
      <c r="I339" s="6" t="str">
        <f aca="false">IF(OR(G339="",E339="Neutral"),"",IF(E339=H339,1,0))</f>
        <v/>
      </c>
      <c r="J339" s="6" t="s">
        <v>150</v>
      </c>
    </row>
    <row r="340" customFormat="false" ht="15" hidden="false" customHeight="false" outlineLevel="0" collapsed="false">
      <c r="A340" s="19" t="n">
        <v>46234</v>
      </c>
      <c r="B340" s="6" t="s">
        <v>53</v>
      </c>
      <c r="C340" s="6" t="s">
        <v>154</v>
      </c>
      <c r="D340" s="7" t="n">
        <v>-0.4266</v>
      </c>
      <c r="E340" s="6" t="str">
        <f aca="false">IF(D340&gt;Settings!$C$4,"Bullish",IF(D340&lt;-Settings!$C$4,"Bearish","Neutral"))</f>
        <v>Bearish</v>
      </c>
      <c r="F340" s="8" t="n">
        <v>0.535</v>
      </c>
      <c r="G340" s="20" t="n">
        <v>-0.0226415094339622</v>
      </c>
      <c r="H340" s="6" t="str">
        <f aca="false">IF(G340="","",IF(G340&gt;0,"Bullish",IF(G340&lt;0,"Bearish","Flat")))</f>
        <v>Bearish</v>
      </c>
      <c r="I340" s="6" t="n">
        <f aca="false">IF(OR(G340="",E340="Neutral"),"",IF(E340=H340,1,0))</f>
        <v>1</v>
      </c>
      <c r="J340" s="6" t="s">
        <v>150</v>
      </c>
    </row>
    <row r="341" customFormat="false" ht="15" hidden="false" customHeight="false" outlineLevel="0" collapsed="false">
      <c r="A341" s="19" t="n">
        <v>46234</v>
      </c>
      <c r="B341" s="6" t="s">
        <v>18</v>
      </c>
      <c r="C341" s="6" t="s">
        <v>154</v>
      </c>
      <c r="D341" s="7" t="n">
        <v>-0.7051</v>
      </c>
      <c r="E341" s="6" t="str">
        <f aca="false">IF(D341&gt;Settings!$C$4,"Bullish",IF(D341&lt;-Settings!$C$4,"Bearish","Neutral"))</f>
        <v>Bearish</v>
      </c>
      <c r="F341" s="8" t="n">
        <v>0.501</v>
      </c>
      <c r="G341" s="20" t="n">
        <v>0.0009092233836653</v>
      </c>
      <c r="H341" s="6" t="str">
        <f aca="false">IF(G341="","",IF(G341&gt;0,"Bullish",IF(G341&lt;0,"Bearish","Flat")))</f>
        <v>Bullish</v>
      </c>
      <c r="I341" s="6" t="n">
        <f aca="false">IF(OR(G341="",E341="Neutral"),"",IF(E341=H341,1,0))</f>
        <v>0</v>
      </c>
      <c r="J341" s="6" t="s">
        <v>150</v>
      </c>
    </row>
    <row r="342" customFormat="false" ht="15" hidden="false" customHeight="false" outlineLevel="0" collapsed="false">
      <c r="A342" s="19" t="n">
        <v>46234</v>
      </c>
      <c r="B342" s="6" t="s">
        <v>18</v>
      </c>
      <c r="C342" s="6" t="s">
        <v>149</v>
      </c>
      <c r="D342" s="7" t="n">
        <v>0.0816</v>
      </c>
      <c r="E342" s="6" t="str">
        <f aca="false">IF(D342&gt;Settings!$C$4,"Bullish",IF(D342&lt;-Settings!$C$4,"Bearish","Neutral"))</f>
        <v>Neutral</v>
      </c>
      <c r="F342" s="8"/>
      <c r="G342" s="20" t="n">
        <v>0.0112698546268796</v>
      </c>
      <c r="H342" s="6" t="str">
        <f aca="false">IF(G342="","",IF(G342&gt;0,"Bullish",IF(G342&lt;0,"Bearish","Flat")))</f>
        <v>Bullish</v>
      </c>
      <c r="I342" s="6" t="str">
        <f aca="false">IF(OR(G342="",E342="Neutral"),"",IF(E342=H342,1,0))</f>
        <v/>
      </c>
      <c r="J342" s="6" t="s">
        <v>150</v>
      </c>
    </row>
    <row r="343" customFormat="false" ht="15" hidden="false" customHeight="false" outlineLevel="0" collapsed="false">
      <c r="A343" s="19" t="n">
        <v>46237</v>
      </c>
      <c r="B343" s="6" t="s">
        <v>18</v>
      </c>
      <c r="C343" s="6" t="s">
        <v>154</v>
      </c>
      <c r="D343" s="7" t="n">
        <v>-0.4673</v>
      </c>
      <c r="E343" s="6" t="str">
        <f aca="false">IF(D343&gt;Settings!$C$4,"Bullish",IF(D343&lt;-Settings!$C$4,"Bearish","Neutral"))</f>
        <v>Bearish</v>
      </c>
      <c r="F343" s="8" t="n">
        <v>0.529</v>
      </c>
      <c r="G343" s="20" t="n">
        <v>0.008204226641761</v>
      </c>
      <c r="H343" s="6" t="str">
        <f aca="false">IF(G343="","",IF(G343&gt;0,"Bullish",IF(G343&lt;0,"Bearish","Flat")))</f>
        <v>Bullish</v>
      </c>
      <c r="I343" s="6" t="n">
        <f aca="false">IF(OR(G343="",E343="Neutral"),"",IF(E343=H343,1,0))</f>
        <v>0</v>
      </c>
      <c r="J343" s="6" t="s">
        <v>150</v>
      </c>
    </row>
    <row r="344" customFormat="false" ht="15" hidden="false" customHeight="false" outlineLevel="0" collapsed="false">
      <c r="A344" s="19" t="n">
        <v>46237</v>
      </c>
      <c r="B344" s="6" t="s">
        <v>18</v>
      </c>
      <c r="C344" s="6" t="s">
        <v>149</v>
      </c>
      <c r="D344" s="7" t="n">
        <v>0.1106</v>
      </c>
      <c r="E344" s="6" t="str">
        <f aca="false">IF(D344&gt;Settings!$C$4,"Bullish",IF(D344&lt;-Settings!$C$4,"Bearish","Neutral"))</f>
        <v>Neutral</v>
      </c>
      <c r="F344" s="8"/>
      <c r="G344" s="20" t="n">
        <v>-8.34259157520556E-005</v>
      </c>
      <c r="H344" s="6" t="str">
        <f aca="false">IF(G344="","",IF(G344&gt;0,"Bullish",IF(G344&lt;0,"Bearish","Flat")))</f>
        <v>Bearish</v>
      </c>
      <c r="I344" s="6" t="str">
        <f aca="false">IF(OR(G344="",E344="Neutral"),"",IF(E344=H344,1,0))</f>
        <v/>
      </c>
      <c r="J344" s="6" t="s">
        <v>150</v>
      </c>
    </row>
    <row r="345" customFormat="false" ht="15" hidden="false" customHeight="false" outlineLevel="0" collapsed="false">
      <c r="A345" s="19" t="n">
        <v>46238</v>
      </c>
      <c r="B345" s="6" t="s">
        <v>22</v>
      </c>
      <c r="C345" s="6" t="s">
        <v>154</v>
      </c>
      <c r="D345" s="7" t="n">
        <v>-0.3189</v>
      </c>
      <c r="E345" s="6" t="str">
        <f aca="false">IF(D345&gt;Settings!$C$4,"Bullish",IF(D345&lt;-Settings!$C$4,"Bearish","Neutral"))</f>
        <v>Bearish</v>
      </c>
      <c r="F345" s="8" t="n">
        <v>0.533</v>
      </c>
      <c r="G345" s="20" t="n">
        <v>-0.0027854817419636</v>
      </c>
      <c r="H345" s="6" t="str">
        <f aca="false">IF(G345="","",IF(G345&gt;0,"Bullish",IF(G345&lt;0,"Bearish","Flat")))</f>
        <v>Bearish</v>
      </c>
      <c r="I345" s="6" t="n">
        <f aca="false">IF(OR(G345="",E345="Neutral"),"",IF(E345=H345,1,0))</f>
        <v>1</v>
      </c>
      <c r="J345" s="6" t="s">
        <v>150</v>
      </c>
    </row>
    <row r="346" customFormat="false" ht="15" hidden="false" customHeight="false" outlineLevel="0" collapsed="false">
      <c r="A346" s="19" t="n">
        <v>46238</v>
      </c>
      <c r="B346" s="6" t="s">
        <v>35</v>
      </c>
      <c r="C346" s="6" t="s">
        <v>154</v>
      </c>
      <c r="D346" s="7" t="n">
        <v>-0.1543</v>
      </c>
      <c r="E346" s="6" t="str">
        <f aca="false">IF(D346&gt;Settings!$C$4,"Bullish",IF(D346&lt;-Settings!$C$4,"Bearish","Neutral"))</f>
        <v>Bearish</v>
      </c>
      <c r="F346" s="8" t="n">
        <v>0.531</v>
      </c>
      <c r="G346" s="20" t="n">
        <v>-0.0051223901746261</v>
      </c>
      <c r="H346" s="6" t="str">
        <f aca="false">IF(G346="","",IF(G346&gt;0,"Bullish",IF(G346&lt;0,"Bearish","Flat")))</f>
        <v>Bearish</v>
      </c>
      <c r="I346" s="6" t="n">
        <f aca="false">IF(OR(G346="",E346="Neutral"),"",IF(E346=H346,1,0))</f>
        <v>1</v>
      </c>
      <c r="J346" s="6" t="s">
        <v>150</v>
      </c>
    </row>
    <row r="347" customFormat="false" ht="15" hidden="false" customHeight="false" outlineLevel="0" collapsed="false">
      <c r="A347" s="19" t="n">
        <v>46238</v>
      </c>
      <c r="B347" s="6" t="s">
        <v>18</v>
      </c>
      <c r="C347" s="6" t="s">
        <v>154</v>
      </c>
      <c r="D347" s="7" t="n">
        <v>-0.3115</v>
      </c>
      <c r="E347" s="6" t="str">
        <f aca="false">IF(D347&gt;Settings!$C$4,"Bullish",IF(D347&lt;-Settings!$C$4,"Bearish","Neutral"))</f>
        <v>Bearish</v>
      </c>
      <c r="F347" s="8" t="n">
        <v>0.529</v>
      </c>
      <c r="G347" s="20" t="n">
        <v>-0.0036026700237614</v>
      </c>
      <c r="H347" s="6" t="str">
        <f aca="false">IF(G347="","",IF(G347&gt;0,"Bullish",IF(G347&lt;0,"Bearish","Flat")))</f>
        <v>Bearish</v>
      </c>
      <c r="I347" s="6" t="n">
        <f aca="false">IF(OR(G347="",E347="Neutral"),"",IF(E347=H347,1,0))</f>
        <v>1</v>
      </c>
      <c r="J347" s="6" t="s">
        <v>150</v>
      </c>
    </row>
    <row r="348" customFormat="false" ht="15" hidden="false" customHeight="false" outlineLevel="0" collapsed="false">
      <c r="A348" s="19" t="n">
        <v>46238</v>
      </c>
      <c r="B348" s="6" t="s">
        <v>18</v>
      </c>
      <c r="C348" s="6" t="s">
        <v>149</v>
      </c>
      <c r="D348" s="7" t="n">
        <v>0.1453</v>
      </c>
      <c r="E348" s="6" t="str">
        <f aca="false">IF(D348&gt;Settings!$C$4,"Bullish",IF(D348&lt;-Settings!$C$4,"Bearish","Neutral"))</f>
        <v>Neutral</v>
      </c>
      <c r="F348" s="8"/>
      <c r="G348" s="20" t="n">
        <v>-0.0048615805601545</v>
      </c>
      <c r="H348" s="6" t="str">
        <f aca="false">IF(G348="","",IF(G348&gt;0,"Bullish",IF(G348&lt;0,"Bearish","Flat")))</f>
        <v>Bearish</v>
      </c>
      <c r="I348" s="6" t="str">
        <f aca="false">IF(OR(G348="",E348="Neutral"),"",IF(E348=H348,1,0))</f>
        <v/>
      </c>
      <c r="J348" s="6" t="s">
        <v>150</v>
      </c>
    </row>
    <row r="349" customFormat="false" ht="15" hidden="false" customHeight="false" outlineLevel="0" collapsed="false">
      <c r="A349" s="19" t="n">
        <v>46238</v>
      </c>
      <c r="B349" s="6" t="s">
        <v>51</v>
      </c>
      <c r="C349" s="6" t="s">
        <v>149</v>
      </c>
      <c r="D349" s="7" t="n">
        <v>-0.2058</v>
      </c>
      <c r="E349" s="6" t="str">
        <f aca="false">IF(D349&gt;Settings!$C$4,"Bullish",IF(D349&lt;-Settings!$C$4,"Bearish","Neutral"))</f>
        <v>Bearish</v>
      </c>
      <c r="F349" s="8" t="n">
        <v>0.534</v>
      </c>
      <c r="G349" s="20" t="n">
        <v>0.0673444686516582</v>
      </c>
      <c r="H349" s="6" t="str">
        <f aca="false">IF(G349="","",IF(G349&gt;0,"Bullish",IF(G349&lt;0,"Bearish","Flat")))</f>
        <v>Bullish</v>
      </c>
      <c r="I349" s="6" t="n">
        <f aca="false">IF(OR(G349="",E349="Neutral"),"",IF(E349=H349,1,0))</f>
        <v>0</v>
      </c>
      <c r="J349" s="6" t="s">
        <v>150</v>
      </c>
    </row>
    <row r="350" customFormat="false" ht="15" hidden="false" customHeight="false" outlineLevel="0" collapsed="false">
      <c r="A350" s="19" t="n">
        <v>46239</v>
      </c>
      <c r="B350" s="6" t="s">
        <v>35</v>
      </c>
      <c r="C350" s="6" t="s">
        <v>149</v>
      </c>
      <c r="D350" s="7" t="n">
        <v>0.1918</v>
      </c>
      <c r="E350" s="6" t="str">
        <f aca="false">IF(D350&gt;Settings!$C$4,"Bullish",IF(D350&lt;-Settings!$C$4,"Bearish","Neutral"))</f>
        <v>Bullish</v>
      </c>
      <c r="F350" s="8" t="n">
        <v>0.563</v>
      </c>
      <c r="G350" s="20" t="n">
        <v>0.0077633162328203</v>
      </c>
      <c r="H350" s="6" t="str">
        <f aca="false">IF(G350="","",IF(G350&gt;0,"Bullish",IF(G350&lt;0,"Bearish","Flat")))</f>
        <v>Bullish</v>
      </c>
      <c r="I350" s="6" t="n">
        <f aca="false">IF(OR(G350="",E350="Neutral"),"",IF(E350=H350,1,0))</f>
        <v>1</v>
      </c>
      <c r="J350" s="6" t="s">
        <v>150</v>
      </c>
    </row>
    <row r="351" customFormat="false" ht="15" hidden="false" customHeight="false" outlineLevel="0" collapsed="false">
      <c r="A351" s="19" t="n">
        <v>46239</v>
      </c>
      <c r="B351" s="6" t="s">
        <v>53</v>
      </c>
      <c r="C351" s="6" t="s">
        <v>154</v>
      </c>
      <c r="D351" s="7" t="n">
        <v>-0.4576</v>
      </c>
      <c r="E351" s="6" t="str">
        <f aca="false">IF(D351&gt;Settings!$C$4,"Bullish",IF(D351&lt;-Settings!$C$4,"Bearish","Neutral"))</f>
        <v>Bearish</v>
      </c>
      <c r="F351" s="8" t="n">
        <v>0.535</v>
      </c>
      <c r="G351" s="20" t="n">
        <v>-0.0510948905109489</v>
      </c>
      <c r="H351" s="6" t="str">
        <f aca="false">IF(G351="","",IF(G351&gt;0,"Bullish",IF(G351&lt;0,"Bearish","Flat")))</f>
        <v>Bearish</v>
      </c>
      <c r="I351" s="6" t="n">
        <f aca="false">IF(OR(G351="",E351="Neutral"),"",IF(E351=H351,1,0))</f>
        <v>1</v>
      </c>
      <c r="J351" s="6" t="s">
        <v>150</v>
      </c>
    </row>
    <row r="352" customFormat="false" ht="15" hidden="false" customHeight="false" outlineLevel="0" collapsed="false">
      <c r="A352" s="19" t="n">
        <v>46239</v>
      </c>
      <c r="B352" s="6" t="s">
        <v>18</v>
      </c>
      <c r="C352" s="6" t="s">
        <v>154</v>
      </c>
      <c r="D352" s="7" t="n">
        <v>-0.7494</v>
      </c>
      <c r="E352" s="6" t="str">
        <f aca="false">IF(D352&gt;Settings!$C$4,"Bullish",IF(D352&lt;-Settings!$C$4,"Bearish","Neutral"))</f>
        <v>Bearish</v>
      </c>
      <c r="F352" s="8" t="n">
        <v>0.501</v>
      </c>
      <c r="G352" s="20" t="n">
        <v>-0.001805895610721</v>
      </c>
      <c r="H352" s="6" t="str">
        <f aca="false">IF(G352="","",IF(G352&gt;0,"Bullish",IF(G352&lt;0,"Bearish","Flat")))</f>
        <v>Bearish</v>
      </c>
      <c r="I352" s="6" t="n">
        <f aca="false">IF(OR(G352="",E352="Neutral"),"",IF(E352=H352,1,0))</f>
        <v>1</v>
      </c>
      <c r="J352" s="6" t="s">
        <v>150</v>
      </c>
    </row>
    <row r="353" customFormat="false" ht="15" hidden="false" customHeight="false" outlineLevel="0" collapsed="false">
      <c r="A353" s="19" t="n">
        <v>46239</v>
      </c>
      <c r="B353" s="6" t="s">
        <v>18</v>
      </c>
      <c r="C353" s="6" t="s">
        <v>149</v>
      </c>
      <c r="D353" s="7" t="n">
        <v>0.2024</v>
      </c>
      <c r="E353" s="6" t="str">
        <f aca="false">IF(D353&gt;Settings!$C$4,"Bullish",IF(D353&lt;-Settings!$C$4,"Bearish","Neutral"))</f>
        <v>Bullish</v>
      </c>
      <c r="F353" s="8" t="n">
        <v>0.495</v>
      </c>
      <c r="G353" s="20" t="n">
        <v>-0.0080059345256433</v>
      </c>
      <c r="H353" s="6" t="str">
        <f aca="false">IF(G353="","",IF(G353&gt;0,"Bullish",IF(G353&lt;0,"Bearish","Flat")))</f>
        <v>Bearish</v>
      </c>
      <c r="I353" s="6" t="n">
        <f aca="false">IF(OR(G353="",E353="Neutral"),"",IF(E353=H353,1,0))</f>
        <v>0</v>
      </c>
      <c r="J353" s="6" t="s">
        <v>150</v>
      </c>
    </row>
    <row r="354" customFormat="false" ht="15" hidden="false" customHeight="false" outlineLevel="0" collapsed="false">
      <c r="A354" s="19" t="n">
        <v>46239</v>
      </c>
      <c r="B354" s="6" t="s">
        <v>51</v>
      </c>
      <c r="C354" s="6" t="s">
        <v>149</v>
      </c>
      <c r="D354" s="7" t="n">
        <v>-0.2251</v>
      </c>
      <c r="E354" s="6" t="str">
        <f aca="false">IF(D354&gt;Settings!$C$4,"Bullish",IF(D354&lt;-Settings!$C$4,"Bearish","Neutral"))</f>
        <v>Bearish</v>
      </c>
      <c r="F354" s="8" t="n">
        <v>0.534</v>
      </c>
      <c r="G354" s="20" t="n">
        <v>0.0580117070385</v>
      </c>
      <c r="H354" s="6" t="str">
        <f aca="false">IF(G354="","",IF(G354&gt;0,"Bullish",IF(G354&lt;0,"Bearish","Flat")))</f>
        <v>Bullish</v>
      </c>
      <c r="I354" s="6" t="n">
        <f aca="false">IF(OR(G354="",E354="Neutral"),"",IF(E354=H354,1,0))</f>
        <v>0</v>
      </c>
      <c r="J354" s="6" t="s">
        <v>150</v>
      </c>
    </row>
    <row r="355" customFormat="false" ht="15" hidden="false" customHeight="false" outlineLevel="0" collapsed="false">
      <c r="A355" s="19" t="n">
        <v>46240</v>
      </c>
      <c r="B355" s="6" t="s">
        <v>35</v>
      </c>
      <c r="C355" s="6" t="s">
        <v>149</v>
      </c>
      <c r="D355" s="7" t="n">
        <v>0.2798</v>
      </c>
      <c r="E355" s="6" t="str">
        <f aca="false">IF(D355&gt;Settings!$C$4,"Bullish",IF(D355&lt;-Settings!$C$4,"Bearish","Neutral"))</f>
        <v>Bullish</v>
      </c>
      <c r="F355" s="8" t="n">
        <v>0.563</v>
      </c>
      <c r="G355" s="20" t="n">
        <v>-0.0043012085331401</v>
      </c>
      <c r="H355" s="6" t="str">
        <f aca="false">IF(G355="","",IF(G355&gt;0,"Bullish",IF(G355&lt;0,"Bearish","Flat")))</f>
        <v>Bearish</v>
      </c>
      <c r="I355" s="6" t="n">
        <f aca="false">IF(OR(G355="",E355="Neutral"),"",IF(E355=H355,1,0))</f>
        <v>0</v>
      </c>
      <c r="J355" s="6" t="s">
        <v>150</v>
      </c>
    </row>
    <row r="356" customFormat="false" ht="15" hidden="false" customHeight="false" outlineLevel="0" collapsed="false">
      <c r="A356" s="19" t="n">
        <v>46240</v>
      </c>
      <c r="B356" s="6" t="s">
        <v>18</v>
      </c>
      <c r="C356" s="6" t="s">
        <v>154</v>
      </c>
      <c r="D356" s="7" t="n">
        <v>0.2887</v>
      </c>
      <c r="E356" s="6" t="str">
        <f aca="false">IF(D356&gt;Settings!$C$4,"Bullish",IF(D356&lt;-Settings!$C$4,"Bearish","Neutral"))</f>
        <v>Bullish</v>
      </c>
      <c r="F356" s="8" t="n">
        <v>0.481</v>
      </c>
      <c r="G356" s="20" t="n">
        <v>-0.0002029138427823</v>
      </c>
      <c r="H356" s="6" t="str">
        <f aca="false">IF(G356="","",IF(G356&gt;0,"Bullish",IF(G356&lt;0,"Bearish","Flat")))</f>
        <v>Bearish</v>
      </c>
      <c r="I356" s="6" t="n">
        <f aca="false">IF(OR(G356="",E356="Neutral"),"",IF(E356=H356,1,0))</f>
        <v>0</v>
      </c>
      <c r="J356" s="6" t="s">
        <v>150</v>
      </c>
    </row>
    <row r="357" customFormat="false" ht="15" hidden="false" customHeight="false" outlineLevel="0" collapsed="false">
      <c r="A357" s="19" t="n">
        <v>46240</v>
      </c>
      <c r="B357" s="6" t="s">
        <v>18</v>
      </c>
      <c r="C357" s="6" t="s">
        <v>149</v>
      </c>
      <c r="D357" s="7" t="n">
        <v>0.2577</v>
      </c>
      <c r="E357" s="6" t="str">
        <f aca="false">IF(D357&gt;Settings!$C$4,"Bullish",IF(D357&lt;-Settings!$C$4,"Bearish","Neutral"))</f>
        <v>Bullish</v>
      </c>
      <c r="F357" s="8" t="n">
        <v>0.495</v>
      </c>
      <c r="G357" s="20" t="n">
        <v>-0.0083214966925043</v>
      </c>
      <c r="H357" s="6" t="str">
        <f aca="false">IF(G357="","",IF(G357&gt;0,"Bullish",IF(G357&lt;0,"Bearish","Flat")))</f>
        <v>Bearish</v>
      </c>
      <c r="I357" s="6" t="n">
        <f aca="false">IF(OR(G357="",E357="Neutral"),"",IF(E357=H357,1,0))</f>
        <v>0</v>
      </c>
      <c r="J357" s="6" t="s">
        <v>150</v>
      </c>
    </row>
    <row r="358" customFormat="false" ht="15" hidden="false" customHeight="false" outlineLevel="0" collapsed="false">
      <c r="A358" s="19" t="n">
        <v>46240</v>
      </c>
      <c r="B358" s="6" t="s">
        <v>51</v>
      </c>
      <c r="C358" s="6" t="s">
        <v>149</v>
      </c>
      <c r="D358" s="7" t="n">
        <v>-0.2415</v>
      </c>
      <c r="E358" s="6" t="str">
        <f aca="false">IF(D358&gt;Settings!$C$4,"Bullish",IF(D358&lt;-Settings!$C$4,"Bearish","Neutral"))</f>
        <v>Bearish</v>
      </c>
      <c r="F358" s="8" t="n">
        <v>0.534</v>
      </c>
      <c r="G358" s="20" t="n">
        <v>0.0572753243104013</v>
      </c>
      <c r="H358" s="6" t="str">
        <f aca="false">IF(G358="","",IF(G358&gt;0,"Bullish",IF(G358&lt;0,"Bearish","Flat")))</f>
        <v>Bullish</v>
      </c>
      <c r="I358" s="6" t="n">
        <f aca="false">IF(OR(G358="",E358="Neutral"),"",IF(E358=H358,1,0))</f>
        <v>0</v>
      </c>
      <c r="J358" s="6" t="s">
        <v>150</v>
      </c>
    </row>
    <row r="359" customFormat="false" ht="15" hidden="false" customHeight="false" outlineLevel="0" collapsed="false">
      <c r="A359" s="19" t="n">
        <v>46241</v>
      </c>
      <c r="B359" s="6" t="s">
        <v>22</v>
      </c>
      <c r="C359" s="6" t="s">
        <v>154</v>
      </c>
      <c r="D359" s="7" t="n">
        <v>0.3239</v>
      </c>
      <c r="E359" s="6" t="str">
        <f aca="false">IF(D359&gt;Settings!$C$4,"Bullish",IF(D359&lt;-Settings!$C$4,"Bearish","Neutral"))</f>
        <v>Bullish</v>
      </c>
      <c r="F359" s="8" t="n">
        <v>0.533</v>
      </c>
      <c r="G359" s="20" t="n">
        <v>-0.0023418333851629</v>
      </c>
      <c r="H359" s="6" t="str">
        <f aca="false">IF(G359="","",IF(G359&gt;0,"Bullish",IF(G359&lt;0,"Bearish","Flat")))</f>
        <v>Bearish</v>
      </c>
      <c r="I359" s="6" t="n">
        <f aca="false">IF(OR(G359="",E359="Neutral"),"",IF(E359=H359,1,0))</f>
        <v>0</v>
      </c>
      <c r="J359" s="6" t="s">
        <v>150</v>
      </c>
    </row>
    <row r="360" customFormat="false" ht="15" hidden="false" customHeight="false" outlineLevel="0" collapsed="false">
      <c r="A360" s="19" t="n">
        <v>46241</v>
      </c>
      <c r="B360" s="6" t="s">
        <v>35</v>
      </c>
      <c r="C360" s="6" t="s">
        <v>154</v>
      </c>
      <c r="D360" s="7" t="n">
        <v>-0.2397</v>
      </c>
      <c r="E360" s="6" t="str">
        <f aca="false">IF(D360&gt;Settings!$C$4,"Bullish",IF(D360&lt;-Settings!$C$4,"Bearish","Neutral"))</f>
        <v>Bearish</v>
      </c>
      <c r="F360" s="8" t="n">
        <v>0.531</v>
      </c>
      <c r="G360" s="20" t="n">
        <v>0.0154713756214381</v>
      </c>
      <c r="H360" s="6" t="str">
        <f aca="false">IF(G360="","",IF(G360&gt;0,"Bullish",IF(G360&lt;0,"Bearish","Flat")))</f>
        <v>Bullish</v>
      </c>
      <c r="I360" s="6" t="n">
        <f aca="false">IF(OR(G360="",E360="Neutral"),"",IF(E360=H360,1,0))</f>
        <v>0</v>
      </c>
      <c r="J360" s="6" t="s">
        <v>150</v>
      </c>
    </row>
    <row r="361" customFormat="false" ht="15" hidden="false" customHeight="false" outlineLevel="0" collapsed="false">
      <c r="A361" s="19" t="n">
        <v>46241</v>
      </c>
      <c r="B361" s="6" t="s">
        <v>35</v>
      </c>
      <c r="C361" s="6" t="s">
        <v>149</v>
      </c>
      <c r="D361" s="7" t="n">
        <v>0.2918</v>
      </c>
      <c r="E361" s="6" t="str">
        <f aca="false">IF(D361&gt;Settings!$C$4,"Bullish",IF(D361&lt;-Settings!$C$4,"Bearish","Neutral"))</f>
        <v>Bullish</v>
      </c>
      <c r="F361" s="8" t="n">
        <v>0.563</v>
      </c>
      <c r="G361" s="20" t="n">
        <v>0.0124520995717327</v>
      </c>
      <c r="H361" s="6" t="str">
        <f aca="false">IF(G361="","",IF(G361&gt;0,"Bullish",IF(G361&lt;0,"Bearish","Flat")))</f>
        <v>Bullish</v>
      </c>
      <c r="I361" s="6" t="n">
        <f aca="false">IF(OR(G361="",E361="Neutral"),"",IF(E361=H361,1,0))</f>
        <v>1</v>
      </c>
      <c r="J361" s="6" t="s">
        <v>150</v>
      </c>
    </row>
    <row r="362" customFormat="false" ht="15" hidden="false" customHeight="false" outlineLevel="0" collapsed="false">
      <c r="A362" s="19" t="n">
        <v>46241</v>
      </c>
      <c r="B362" s="6" t="s">
        <v>18</v>
      </c>
      <c r="C362" s="6" t="s">
        <v>154</v>
      </c>
      <c r="D362" s="7" t="n">
        <v>-0.0641</v>
      </c>
      <c r="E362" s="6" t="str">
        <f aca="false">IF(D362&gt;Settings!$C$4,"Bullish",IF(D362&lt;-Settings!$C$4,"Bearish","Neutral"))</f>
        <v>Neutral</v>
      </c>
      <c r="F362" s="8"/>
      <c r="G362" s="20" t="n">
        <v>0.001293864028135</v>
      </c>
      <c r="H362" s="6" t="str">
        <f aca="false">IF(G362="","",IF(G362&gt;0,"Bullish",IF(G362&lt;0,"Bearish","Flat")))</f>
        <v>Bullish</v>
      </c>
      <c r="I362" s="6" t="str">
        <f aca="false">IF(OR(G362="",E362="Neutral"),"",IF(E362=H362,1,0))</f>
        <v/>
      </c>
      <c r="J362" s="6" t="s">
        <v>150</v>
      </c>
    </row>
    <row r="363" customFormat="false" ht="15" hidden="false" customHeight="false" outlineLevel="0" collapsed="false">
      <c r="A363" s="19" t="n">
        <v>46241</v>
      </c>
      <c r="B363" s="6" t="s">
        <v>18</v>
      </c>
      <c r="C363" s="6" t="s">
        <v>149</v>
      </c>
      <c r="D363" s="7" t="n">
        <v>0.2607</v>
      </c>
      <c r="E363" s="6" t="str">
        <f aca="false">IF(D363&gt;Settings!$C$4,"Bullish",IF(D363&lt;-Settings!$C$4,"Bearish","Neutral"))</f>
        <v>Bullish</v>
      </c>
      <c r="F363" s="8" t="n">
        <v>0.495</v>
      </c>
      <c r="G363" s="20" t="n">
        <v>-0.0058295196606206</v>
      </c>
      <c r="H363" s="6" t="str">
        <f aca="false">IF(G363="","",IF(G363&gt;0,"Bullish",IF(G363&lt;0,"Bearish","Flat")))</f>
        <v>Bearish</v>
      </c>
      <c r="I363" s="6" t="n">
        <f aca="false">IF(OR(G363="",E363="Neutral"),"",IF(E363=H363,1,0))</f>
        <v>0</v>
      </c>
      <c r="J363" s="6" t="s">
        <v>150</v>
      </c>
    </row>
    <row r="364" customFormat="false" ht="15" hidden="false" customHeight="false" outlineLevel="0" collapsed="false">
      <c r="A364" s="19" t="n">
        <v>46241</v>
      </c>
      <c r="B364" s="6" t="s">
        <v>51</v>
      </c>
      <c r="C364" s="6" t="s">
        <v>149</v>
      </c>
      <c r="D364" s="7" t="n">
        <v>-0.256</v>
      </c>
      <c r="E364" s="6" t="str">
        <f aca="false">IF(D364&gt;Settings!$C$4,"Bullish",IF(D364&lt;-Settings!$C$4,"Bearish","Neutral"))</f>
        <v>Bearish</v>
      </c>
      <c r="F364" s="8" t="n">
        <v>0.534</v>
      </c>
      <c r="G364" s="20" t="n">
        <v>0.0277196409469326</v>
      </c>
      <c r="H364" s="6" t="str">
        <f aca="false">IF(G364="","",IF(G364&gt;0,"Bullish",IF(G364&lt;0,"Bearish","Flat")))</f>
        <v>Bullish</v>
      </c>
      <c r="I364" s="6" t="n">
        <f aca="false">IF(OR(G364="",E364="Neutral"),"",IF(E364=H364,1,0))</f>
        <v>0</v>
      </c>
      <c r="J364" s="6" t="s">
        <v>150</v>
      </c>
    </row>
    <row r="365" customFormat="false" ht="15" hidden="false" customHeight="false" outlineLevel="0" collapsed="false">
      <c r="A365" s="19" t="n">
        <v>46244</v>
      </c>
      <c r="B365" s="6" t="s">
        <v>35</v>
      </c>
      <c r="C365" s="6" t="s">
        <v>154</v>
      </c>
      <c r="D365" s="7" t="n">
        <v>-0.268</v>
      </c>
      <c r="E365" s="6" t="str">
        <f aca="false">IF(D365&gt;Settings!$C$4,"Bullish",IF(D365&lt;-Settings!$C$4,"Bearish","Neutral"))</f>
        <v>Bearish</v>
      </c>
      <c r="F365" s="8" t="n">
        <v>0.531</v>
      </c>
      <c r="G365" s="20" t="n">
        <v>0.0006295167430891</v>
      </c>
      <c r="H365" s="6" t="str">
        <f aca="false">IF(G365="","",IF(G365&gt;0,"Bullish",IF(G365&lt;0,"Bearish","Flat")))</f>
        <v>Bullish</v>
      </c>
      <c r="I365" s="6" t="n">
        <f aca="false">IF(OR(G365="",E365="Neutral"),"",IF(E365=H365,1,0))</f>
        <v>0</v>
      </c>
      <c r="J365" s="6" t="s">
        <v>150</v>
      </c>
    </row>
    <row r="366" customFormat="false" ht="15" hidden="false" customHeight="false" outlineLevel="0" collapsed="false">
      <c r="A366" s="19" t="n">
        <v>46244</v>
      </c>
      <c r="B366" s="6" t="s">
        <v>18</v>
      </c>
      <c r="C366" s="6" t="s">
        <v>154</v>
      </c>
      <c r="D366" s="7" t="n">
        <v>0.2622</v>
      </c>
      <c r="E366" s="6" t="str">
        <f aca="false">IF(D366&gt;Settings!$C$4,"Bullish",IF(D366&lt;-Settings!$C$4,"Bearish","Neutral"))</f>
        <v>Bullish</v>
      </c>
      <c r="F366" s="8" t="n">
        <v>0.481</v>
      </c>
      <c r="G366" s="20" t="n">
        <v>0.0001037376048818</v>
      </c>
      <c r="H366" s="6" t="str">
        <f aca="false">IF(G366="","",IF(G366&gt;0,"Bullish",IF(G366&lt;0,"Bearish","Flat")))</f>
        <v>Bullish</v>
      </c>
      <c r="I366" s="6" t="n">
        <f aca="false">IF(OR(G366="",E366="Neutral"),"",IF(E366=H366,1,0))</f>
        <v>1</v>
      </c>
      <c r="J366" s="6" t="s">
        <v>150</v>
      </c>
    </row>
    <row r="367" customFormat="false" ht="15" hidden="false" customHeight="false" outlineLevel="0" collapsed="false">
      <c r="A367" s="19" t="n">
        <v>46244</v>
      </c>
      <c r="B367" s="6" t="s">
        <v>18</v>
      </c>
      <c r="C367" s="6" t="s">
        <v>149</v>
      </c>
      <c r="D367" s="7" t="n">
        <v>0.2765</v>
      </c>
      <c r="E367" s="6" t="str">
        <f aca="false">IF(D367&gt;Settings!$C$4,"Bullish",IF(D367&lt;-Settings!$C$4,"Bearish","Neutral"))</f>
        <v>Bullish</v>
      </c>
      <c r="F367" s="8" t="n">
        <v>0.495</v>
      </c>
      <c r="G367" s="20" t="n">
        <v>-0.0087566742944317</v>
      </c>
      <c r="H367" s="6" t="str">
        <f aca="false">IF(G367="","",IF(G367&gt;0,"Bullish",IF(G367&lt;0,"Bearish","Flat")))</f>
        <v>Bearish</v>
      </c>
      <c r="I367" s="6" t="n">
        <f aca="false">IF(OR(G367="",E367="Neutral"),"",IF(E367=H367,1,0))</f>
        <v>0</v>
      </c>
      <c r="J367" s="6" t="s">
        <v>150</v>
      </c>
    </row>
    <row r="368" customFormat="false" ht="15" hidden="false" customHeight="false" outlineLevel="0" collapsed="false">
      <c r="A368" s="19" t="n">
        <v>46244</v>
      </c>
      <c r="B368" s="6" t="s">
        <v>51</v>
      </c>
      <c r="C368" s="6" t="s">
        <v>149</v>
      </c>
      <c r="D368" s="7" t="n">
        <v>-0.2965</v>
      </c>
      <c r="E368" s="6" t="str">
        <f aca="false">IF(D368&gt;Settings!$C$4,"Bullish",IF(D368&lt;-Settings!$C$4,"Bearish","Neutral"))</f>
        <v>Bearish</v>
      </c>
      <c r="F368" s="8" t="n">
        <v>0.534</v>
      </c>
      <c r="G368" s="20" t="n">
        <v>0.0024924094802194</v>
      </c>
      <c r="H368" s="6" t="str">
        <f aca="false">IF(G368="","",IF(G368&gt;0,"Bullish",IF(G368&lt;0,"Bearish","Flat")))</f>
        <v>Bullish</v>
      </c>
      <c r="I368" s="6" t="n">
        <f aca="false">IF(OR(G368="",E368="Neutral"),"",IF(E368=H368,1,0))</f>
        <v>0</v>
      </c>
      <c r="J368" s="6" t="s">
        <v>150</v>
      </c>
    </row>
    <row r="369" customFormat="false" ht="15" hidden="false" customHeight="false" outlineLevel="0" collapsed="false">
      <c r="A369" s="19" t="n">
        <v>46245</v>
      </c>
      <c r="B369" s="6" t="s">
        <v>35</v>
      </c>
      <c r="C369" s="6" t="s">
        <v>154</v>
      </c>
      <c r="D369" s="7" t="n">
        <v>-0.1741</v>
      </c>
      <c r="E369" s="6" t="str">
        <f aca="false">IF(D369&gt;Settings!$C$4,"Bullish",IF(D369&lt;-Settings!$C$4,"Bearish","Neutral"))</f>
        <v>Bearish</v>
      </c>
      <c r="F369" s="8" t="n">
        <v>0.531</v>
      </c>
      <c r="G369" s="20" t="n">
        <v>0.0025802386484463</v>
      </c>
      <c r="H369" s="6" t="str">
        <f aca="false">IF(G369="","",IF(G369&gt;0,"Bullish",IF(G369&lt;0,"Bearish","Flat")))</f>
        <v>Bullish</v>
      </c>
      <c r="I369" s="6" t="n">
        <f aca="false">IF(OR(G369="",E369="Neutral"),"",IF(E369=H369,1,0))</f>
        <v>0</v>
      </c>
      <c r="J369" s="6" t="s">
        <v>150</v>
      </c>
    </row>
    <row r="370" customFormat="false" ht="15" hidden="false" customHeight="false" outlineLevel="0" collapsed="false">
      <c r="A370" s="19" t="n">
        <v>46245</v>
      </c>
      <c r="B370" s="6" t="s">
        <v>35</v>
      </c>
      <c r="C370" s="6" t="s">
        <v>149</v>
      </c>
      <c r="D370" s="7" t="n">
        <v>0.2806</v>
      </c>
      <c r="E370" s="6" t="str">
        <f aca="false">IF(D370&gt;Settings!$C$4,"Bullish",IF(D370&lt;-Settings!$C$4,"Bearish","Neutral"))</f>
        <v>Bullish</v>
      </c>
      <c r="F370" s="8" t="n">
        <v>0.563</v>
      </c>
      <c r="G370" s="20" t="n">
        <v>-0.0294081045957547</v>
      </c>
      <c r="H370" s="6" t="str">
        <f aca="false">IF(G370="","",IF(G370&gt;0,"Bullish",IF(G370&lt;0,"Bearish","Flat")))</f>
        <v>Bearish</v>
      </c>
      <c r="I370" s="6" t="n">
        <f aca="false">IF(OR(G370="",E370="Neutral"),"",IF(E370=H370,1,0))</f>
        <v>0</v>
      </c>
      <c r="J370" s="6" t="s">
        <v>150</v>
      </c>
    </row>
    <row r="371" customFormat="false" ht="15" hidden="false" customHeight="false" outlineLevel="0" collapsed="false">
      <c r="A371" s="19" t="n">
        <v>46245</v>
      </c>
      <c r="B371" s="6" t="s">
        <v>18</v>
      </c>
      <c r="C371" s="6" t="s">
        <v>154</v>
      </c>
      <c r="D371" s="7" t="n">
        <v>0.487</v>
      </c>
      <c r="E371" s="6" t="str">
        <f aca="false">IF(D371&gt;Settings!$C$4,"Bullish",IF(D371&lt;-Settings!$C$4,"Bearish","Neutral"))</f>
        <v>Bullish</v>
      </c>
      <c r="F371" s="8" t="n">
        <v>0.529</v>
      </c>
      <c r="G371" s="20" t="n">
        <v>-0.0042075108544826</v>
      </c>
      <c r="H371" s="6" t="str">
        <f aca="false">IF(G371="","",IF(G371&gt;0,"Bullish",IF(G371&lt;0,"Bearish","Flat")))</f>
        <v>Bearish</v>
      </c>
      <c r="I371" s="6" t="n">
        <f aca="false">IF(OR(G371="",E371="Neutral"),"",IF(E371=H371,1,0))</f>
        <v>0</v>
      </c>
      <c r="J371" s="6" t="s">
        <v>150</v>
      </c>
    </row>
    <row r="372" customFormat="false" ht="15" hidden="false" customHeight="false" outlineLevel="0" collapsed="false">
      <c r="A372" s="19" t="n">
        <v>46245</v>
      </c>
      <c r="B372" s="6" t="s">
        <v>18</v>
      </c>
      <c r="C372" s="6" t="s">
        <v>149</v>
      </c>
      <c r="D372" s="7" t="n">
        <v>0.2168</v>
      </c>
      <c r="E372" s="6" t="str">
        <f aca="false">IF(D372&gt;Settings!$C$4,"Bullish",IF(D372&lt;-Settings!$C$4,"Bearish","Neutral"))</f>
        <v>Bullish</v>
      </c>
      <c r="F372" s="8" t="n">
        <v>0.495</v>
      </c>
      <c r="G372" s="20" t="n">
        <v>-0.0116967987922733</v>
      </c>
      <c r="H372" s="6" t="str">
        <f aca="false">IF(G372="","",IF(G372&gt;0,"Bullish",IF(G372&lt;0,"Bearish","Flat")))</f>
        <v>Bearish</v>
      </c>
      <c r="I372" s="6" t="n">
        <f aca="false">IF(OR(G372="",E372="Neutral"),"",IF(E372=H372,1,0))</f>
        <v>0</v>
      </c>
      <c r="J372" s="6" t="s">
        <v>150</v>
      </c>
    </row>
    <row r="373" customFormat="false" ht="15" hidden="false" customHeight="false" outlineLevel="0" collapsed="false">
      <c r="A373" s="19" t="n">
        <v>46245</v>
      </c>
      <c r="B373" s="6" t="s">
        <v>51</v>
      </c>
      <c r="C373" s="6" t="s">
        <v>149</v>
      </c>
      <c r="D373" s="7" t="n">
        <v>-0.2997</v>
      </c>
      <c r="E373" s="6" t="str">
        <f aca="false">IF(D373&gt;Settings!$C$4,"Bullish",IF(D373&lt;-Settings!$C$4,"Bearish","Neutral"))</f>
        <v>Bearish</v>
      </c>
      <c r="F373" s="8" t="n">
        <v>0.534</v>
      </c>
      <c r="G373" s="20" t="n">
        <v>-0.0035204991087344</v>
      </c>
      <c r="H373" s="6" t="str">
        <f aca="false">IF(G373="","",IF(G373&gt;0,"Bullish",IF(G373&lt;0,"Bearish","Flat")))</f>
        <v>Bearish</v>
      </c>
      <c r="I373" s="6" t="n">
        <f aca="false">IF(OR(G373="",E373="Neutral"),"",IF(E373=H373,1,0))</f>
        <v>1</v>
      </c>
      <c r="J373" s="6" t="s">
        <v>150</v>
      </c>
    </row>
    <row r="374" customFormat="false" ht="15" hidden="false" customHeight="false" outlineLevel="0" collapsed="false">
      <c r="A374" s="19" t="n">
        <v>46246</v>
      </c>
      <c r="B374" s="6" t="s">
        <v>30</v>
      </c>
      <c r="C374" s="6" t="s">
        <v>149</v>
      </c>
      <c r="D374" s="7" t="n">
        <v>-0.1609</v>
      </c>
      <c r="E374" s="6" t="str">
        <f aca="false">IF(D374&gt;Settings!$C$4,"Bullish",IF(D374&lt;-Settings!$C$4,"Bearish","Neutral"))</f>
        <v>Bearish</v>
      </c>
      <c r="F374" s="8" t="n">
        <v>0.531</v>
      </c>
      <c r="G374" s="20" t="n">
        <v>-0.0185103130355577</v>
      </c>
      <c r="H374" s="6" t="str">
        <f aca="false">IF(G374="","",IF(G374&gt;0,"Bullish",IF(G374&lt;0,"Bearish","Flat")))</f>
        <v>Bearish</v>
      </c>
      <c r="I374" s="6" t="n">
        <f aca="false">IF(OR(G374="",E374="Neutral"),"",IF(E374=H374,1,0))</f>
        <v>1</v>
      </c>
      <c r="J374" s="6" t="s">
        <v>150</v>
      </c>
    </row>
    <row r="375" customFormat="false" ht="15" hidden="false" customHeight="false" outlineLevel="0" collapsed="false">
      <c r="A375" s="19" t="n">
        <v>46246</v>
      </c>
      <c r="B375" s="6" t="s">
        <v>35</v>
      </c>
      <c r="C375" s="6" t="s">
        <v>149</v>
      </c>
      <c r="D375" s="7" t="n">
        <v>0.2315</v>
      </c>
      <c r="E375" s="6" t="str">
        <f aca="false">IF(D375&gt;Settings!$C$4,"Bullish",IF(D375&lt;-Settings!$C$4,"Bearish","Neutral"))</f>
        <v>Bullish</v>
      </c>
      <c r="F375" s="8" t="n">
        <v>0.563</v>
      </c>
      <c r="G375" s="20" t="n">
        <v>-0.0502976714361153</v>
      </c>
      <c r="H375" s="6" t="str">
        <f aca="false">IF(G375="","",IF(G375&gt;0,"Bullish",IF(G375&lt;0,"Bearish","Flat")))</f>
        <v>Bearish</v>
      </c>
      <c r="I375" s="6" t="n">
        <f aca="false">IF(OR(G375="",E375="Neutral"),"",IF(E375=H375,1,0))</f>
        <v>0</v>
      </c>
      <c r="J375" s="6" t="s">
        <v>150</v>
      </c>
    </row>
    <row r="376" customFormat="false" ht="15" hidden="false" customHeight="false" outlineLevel="0" collapsed="false">
      <c r="A376" s="19" t="n">
        <v>46246</v>
      </c>
      <c r="B376" s="6" t="s">
        <v>18</v>
      </c>
      <c r="C376" s="6" t="s">
        <v>154</v>
      </c>
      <c r="D376" s="7" t="n">
        <v>-0.2068</v>
      </c>
      <c r="E376" s="6" t="str">
        <f aca="false">IF(D376&gt;Settings!$C$4,"Bullish",IF(D376&lt;-Settings!$C$4,"Bearish","Neutral"))</f>
        <v>Bearish</v>
      </c>
      <c r="F376" s="8" t="n">
        <v>0.481</v>
      </c>
      <c r="G376" s="20" t="n">
        <v>-0.0014914730646093</v>
      </c>
      <c r="H376" s="6" t="str">
        <f aca="false">IF(G376="","",IF(G376&gt;0,"Bullish",IF(G376&lt;0,"Bearish","Flat")))</f>
        <v>Bearish</v>
      </c>
      <c r="I376" s="6" t="n">
        <f aca="false">IF(OR(G376="",E376="Neutral"),"",IF(E376=H376,1,0))</f>
        <v>1</v>
      </c>
      <c r="J376" s="6" t="s">
        <v>150</v>
      </c>
    </row>
    <row r="377" customFormat="false" ht="15" hidden="false" customHeight="false" outlineLevel="0" collapsed="false">
      <c r="A377" s="19" t="n">
        <v>46246</v>
      </c>
      <c r="B377" s="6" t="s">
        <v>18</v>
      </c>
      <c r="C377" s="6" t="s">
        <v>149</v>
      </c>
      <c r="D377" s="7" t="n">
        <v>0.1333</v>
      </c>
      <c r="E377" s="6" t="str">
        <f aca="false">IF(D377&gt;Settings!$C$4,"Bullish",IF(D377&lt;-Settings!$C$4,"Bearish","Neutral"))</f>
        <v>Neutral</v>
      </c>
      <c r="F377" s="8"/>
      <c r="G377" s="20" t="n">
        <v>-0.0129758156621015</v>
      </c>
      <c r="H377" s="6" t="str">
        <f aca="false">IF(G377="","",IF(G377&gt;0,"Bullish",IF(G377&lt;0,"Bearish","Flat")))</f>
        <v>Bearish</v>
      </c>
      <c r="I377" s="6" t="str">
        <f aca="false">IF(OR(G377="",E377="Neutral"),"",IF(E377=H377,1,0))</f>
        <v/>
      </c>
      <c r="J377" s="6" t="s">
        <v>150</v>
      </c>
    </row>
    <row r="378" customFormat="false" ht="15" hidden="false" customHeight="false" outlineLevel="0" collapsed="false">
      <c r="A378" s="19" t="n">
        <v>46246</v>
      </c>
      <c r="B378" s="6" t="s">
        <v>51</v>
      </c>
      <c r="C378" s="6" t="s">
        <v>149</v>
      </c>
      <c r="D378" s="7" t="n">
        <v>-0.3502</v>
      </c>
      <c r="E378" s="6" t="str">
        <f aca="false">IF(D378&gt;Settings!$C$4,"Bullish",IF(D378&lt;-Settings!$C$4,"Bearish","Neutral"))</f>
        <v>Bearish</v>
      </c>
      <c r="F378" s="8" t="n">
        <v>0.538</v>
      </c>
      <c r="G378" s="20" t="n">
        <v>-0.0054301485437329</v>
      </c>
      <c r="H378" s="6" t="str">
        <f aca="false">IF(G378="","",IF(G378&gt;0,"Bullish",IF(G378&lt;0,"Bearish","Flat")))</f>
        <v>Bearish</v>
      </c>
      <c r="I378" s="6" t="n">
        <f aca="false">IF(OR(G378="",E378="Neutral"),"",IF(E378=H378,1,0))</f>
        <v>1</v>
      </c>
      <c r="J378" s="6" t="s">
        <v>150</v>
      </c>
    </row>
    <row r="379" customFormat="false" ht="15" hidden="false" customHeight="false" outlineLevel="0" collapsed="false">
      <c r="A379" s="19" t="n">
        <v>46247</v>
      </c>
      <c r="B379" s="6" t="s">
        <v>30</v>
      </c>
      <c r="C379" s="6" t="s">
        <v>149</v>
      </c>
      <c r="D379" s="7" t="n">
        <v>-0.2268</v>
      </c>
      <c r="E379" s="6" t="str">
        <f aca="false">IF(D379&gt;Settings!$C$4,"Bullish",IF(D379&lt;-Settings!$C$4,"Bearish","Neutral"))</f>
        <v>Bearish</v>
      </c>
      <c r="F379" s="8" t="n">
        <v>0.531</v>
      </c>
      <c r="G379" s="20" t="n">
        <v>-0.0191434170550066</v>
      </c>
      <c r="H379" s="6" t="str">
        <f aca="false">IF(G379="","",IF(G379&gt;0,"Bullish",IF(G379&lt;0,"Bearish","Flat")))</f>
        <v>Bearish</v>
      </c>
      <c r="I379" s="6" t="n">
        <f aca="false">IF(OR(G379="",E379="Neutral"),"",IF(E379=H379,1,0))</f>
        <v>1</v>
      </c>
      <c r="J379" s="6" t="s">
        <v>150</v>
      </c>
    </row>
    <row r="380" customFormat="false" ht="15" hidden="false" customHeight="false" outlineLevel="0" collapsed="false">
      <c r="A380" s="19" t="n">
        <v>46247</v>
      </c>
      <c r="B380" s="6" t="s">
        <v>35</v>
      </c>
      <c r="C380" s="6" t="s">
        <v>149</v>
      </c>
      <c r="D380" s="7" t="n">
        <v>0.1748</v>
      </c>
      <c r="E380" s="6" t="str">
        <f aca="false">IF(D380&gt;Settings!$C$4,"Bullish",IF(D380&lt;-Settings!$C$4,"Bearish","Neutral"))</f>
        <v>Bullish</v>
      </c>
      <c r="F380" s="8" t="n">
        <v>0.563</v>
      </c>
      <c r="G380" s="20" t="n">
        <v>-0.0269830866131662</v>
      </c>
      <c r="H380" s="6" t="str">
        <f aca="false">IF(G380="","",IF(G380&gt;0,"Bullish",IF(G380&lt;0,"Bearish","Flat")))</f>
        <v>Bearish</v>
      </c>
      <c r="I380" s="6" t="n">
        <f aca="false">IF(OR(G380="",E380="Neutral"),"",IF(E380=H380,1,0))</f>
        <v>0</v>
      </c>
      <c r="J380" s="6" t="s">
        <v>150</v>
      </c>
    </row>
    <row r="381" customFormat="false" ht="15" hidden="false" customHeight="false" outlineLevel="0" collapsed="false">
      <c r="A381" s="19" t="n">
        <v>46247</v>
      </c>
      <c r="B381" s="6" t="s">
        <v>18</v>
      </c>
      <c r="C381" s="6" t="s">
        <v>154</v>
      </c>
      <c r="D381" s="7" t="n">
        <v>-0.2758</v>
      </c>
      <c r="E381" s="6" t="str">
        <f aca="false">IF(D381&gt;Settings!$C$4,"Bullish",IF(D381&lt;-Settings!$C$4,"Bearish","Neutral"))</f>
        <v>Bearish</v>
      </c>
      <c r="F381" s="8" t="n">
        <v>0.481</v>
      </c>
      <c r="G381" s="20" t="n">
        <v>-0.0014632688812848</v>
      </c>
      <c r="H381" s="6" t="str">
        <f aca="false">IF(G381="","",IF(G381&gt;0,"Bullish",IF(G381&lt;0,"Bearish","Flat")))</f>
        <v>Bearish</v>
      </c>
      <c r="I381" s="6" t="n">
        <f aca="false">IF(OR(G381="",E381="Neutral"),"",IF(E381=H381,1,0))</f>
        <v>1</v>
      </c>
      <c r="J381" s="6" t="s">
        <v>150</v>
      </c>
    </row>
    <row r="382" customFormat="false" ht="15" hidden="false" customHeight="false" outlineLevel="0" collapsed="false">
      <c r="A382" s="19" t="n">
        <v>46247</v>
      </c>
      <c r="B382" s="6" t="s">
        <v>18</v>
      </c>
      <c r="C382" s="6" t="s">
        <v>149</v>
      </c>
      <c r="D382" s="7" t="n">
        <v>0.0524</v>
      </c>
      <c r="E382" s="6" t="str">
        <f aca="false">IF(D382&gt;Settings!$C$4,"Bullish",IF(D382&lt;-Settings!$C$4,"Bearish","Neutral"))</f>
        <v>Neutral</v>
      </c>
      <c r="F382" s="8"/>
      <c r="G382" s="20" t="n">
        <v>-0.0144607803009216</v>
      </c>
      <c r="H382" s="6" t="str">
        <f aca="false">IF(G382="","",IF(G382&gt;0,"Bullish",IF(G382&lt;0,"Bearish","Flat")))</f>
        <v>Bearish</v>
      </c>
      <c r="I382" s="6" t="str">
        <f aca="false">IF(OR(G382="",E382="Neutral"),"",IF(E382=H382,1,0))</f>
        <v/>
      </c>
      <c r="J382" s="6" t="s">
        <v>150</v>
      </c>
    </row>
    <row r="383" customFormat="false" ht="15" hidden="false" customHeight="false" outlineLevel="0" collapsed="false">
      <c r="A383" s="19" t="n">
        <v>46247</v>
      </c>
      <c r="B383" s="6" t="s">
        <v>51</v>
      </c>
      <c r="C383" s="6" t="s">
        <v>149</v>
      </c>
      <c r="D383" s="7" t="n">
        <v>-0.3937</v>
      </c>
      <c r="E383" s="6" t="str">
        <f aca="false">IF(D383&gt;Settings!$C$4,"Bullish",IF(D383&lt;-Settings!$C$4,"Bearish","Neutral"))</f>
        <v>Bearish</v>
      </c>
      <c r="F383" s="8" t="n">
        <v>0.538</v>
      </c>
      <c r="G383" s="20" t="n">
        <v>-0.033535768509422</v>
      </c>
      <c r="H383" s="6" t="str">
        <f aca="false">IF(G383="","",IF(G383&gt;0,"Bullish",IF(G383&lt;0,"Bearish","Flat")))</f>
        <v>Bearish</v>
      </c>
      <c r="I383" s="6" t="n">
        <f aca="false">IF(OR(G383="",E383="Neutral"),"",IF(E383=H383,1,0))</f>
        <v>1</v>
      </c>
      <c r="J383" s="6" t="s">
        <v>150</v>
      </c>
    </row>
    <row r="384" customFormat="false" ht="15" hidden="false" customHeight="false" outlineLevel="0" collapsed="false">
      <c r="A384" s="19" t="n">
        <v>46248</v>
      </c>
      <c r="B384" s="6" t="s">
        <v>30</v>
      </c>
      <c r="C384" s="6" t="s">
        <v>149</v>
      </c>
      <c r="D384" s="7" t="n">
        <v>-0.2299</v>
      </c>
      <c r="E384" s="6" t="str">
        <f aca="false">IF(D384&gt;Settings!$C$4,"Bullish",IF(D384&lt;-Settings!$C$4,"Bearish","Neutral"))</f>
        <v>Bearish</v>
      </c>
      <c r="F384" s="8" t="n">
        <v>0.531</v>
      </c>
      <c r="G384" s="20" t="n">
        <v>-0.0193896084073539</v>
      </c>
      <c r="H384" s="6" t="str">
        <f aca="false">IF(G384="","",IF(G384&gt;0,"Bullish",IF(G384&lt;0,"Bearish","Flat")))</f>
        <v>Bearish</v>
      </c>
      <c r="I384" s="6" t="n">
        <f aca="false">IF(OR(G384="",E384="Neutral"),"",IF(E384=H384,1,0))</f>
        <v>1</v>
      </c>
      <c r="J384" s="6" t="s">
        <v>150</v>
      </c>
    </row>
    <row r="385" customFormat="false" ht="15" hidden="false" customHeight="false" outlineLevel="0" collapsed="false">
      <c r="A385" s="19" t="n">
        <v>46248</v>
      </c>
      <c r="B385" s="6" t="s">
        <v>18</v>
      </c>
      <c r="C385" s="6" t="s">
        <v>154</v>
      </c>
      <c r="D385" s="7" t="n">
        <v>0.5629</v>
      </c>
      <c r="E385" s="6" t="str">
        <f aca="false">IF(D385&gt;Settings!$C$4,"Bullish",IF(D385&lt;-Settings!$C$4,"Bearish","Neutral"))</f>
        <v>Bullish</v>
      </c>
      <c r="F385" s="8" t="n">
        <v>0.501</v>
      </c>
      <c r="G385" s="20" t="n">
        <v>0.0001682955762891</v>
      </c>
      <c r="H385" s="6" t="str">
        <f aca="false">IF(G385="","",IF(G385&gt;0,"Bullish",IF(G385&lt;0,"Bearish","Flat")))</f>
        <v>Bullish</v>
      </c>
      <c r="I385" s="6" t="n">
        <f aca="false">IF(OR(G385="",E385="Neutral"),"",IF(E385=H385,1,0))</f>
        <v>1</v>
      </c>
      <c r="J385" s="6" t="s">
        <v>150</v>
      </c>
    </row>
    <row r="386" customFormat="false" ht="15" hidden="false" customHeight="false" outlineLevel="0" collapsed="false">
      <c r="A386" s="19" t="n">
        <v>46248</v>
      </c>
      <c r="B386" s="6" t="s">
        <v>18</v>
      </c>
      <c r="C386" s="6" t="s">
        <v>149</v>
      </c>
      <c r="D386" s="7" t="n">
        <v>-0.003</v>
      </c>
      <c r="E386" s="6" t="str">
        <f aca="false">IF(D386&gt;Settings!$C$4,"Bullish",IF(D386&lt;-Settings!$C$4,"Bearish","Neutral"))</f>
        <v>Neutral</v>
      </c>
      <c r="F386" s="8"/>
      <c r="G386" s="20" t="n">
        <v>-0.0053382535844906</v>
      </c>
      <c r="H386" s="6" t="str">
        <f aca="false">IF(G386="","",IF(G386&gt;0,"Bullish",IF(G386&lt;0,"Bearish","Flat")))</f>
        <v>Bearish</v>
      </c>
      <c r="I386" s="6" t="str">
        <f aca="false">IF(OR(G386="",E386="Neutral"),"",IF(E386=H386,1,0))</f>
        <v/>
      </c>
      <c r="J386" s="6" t="s">
        <v>150</v>
      </c>
    </row>
    <row r="387" customFormat="false" ht="15" hidden="false" customHeight="false" outlineLevel="0" collapsed="false">
      <c r="A387" s="19" t="n">
        <v>46248</v>
      </c>
      <c r="B387" s="6" t="s">
        <v>51</v>
      </c>
      <c r="C387" s="6" t="s">
        <v>149</v>
      </c>
      <c r="D387" s="7" t="n">
        <v>-0.3782</v>
      </c>
      <c r="E387" s="6" t="str">
        <f aca="false">IF(D387&gt;Settings!$C$4,"Bullish",IF(D387&lt;-Settings!$C$4,"Bearish","Neutral"))</f>
        <v>Bearish</v>
      </c>
      <c r="F387" s="8" t="n">
        <v>0.538</v>
      </c>
      <c r="G387" s="20" t="n">
        <v>0.0282808009852666</v>
      </c>
      <c r="H387" s="6" t="str">
        <f aca="false">IF(G387="","",IF(G387&gt;0,"Bullish",IF(G387&lt;0,"Bearish","Flat")))</f>
        <v>Bullish</v>
      </c>
      <c r="I387" s="6" t="n">
        <f aca="false">IF(OR(G387="",E387="Neutral"),"",IF(E387=H387,1,0))</f>
        <v>0</v>
      </c>
      <c r="J387" s="6" t="s">
        <v>150</v>
      </c>
    </row>
    <row r="388" customFormat="false" ht="15" hidden="false" customHeight="false" outlineLevel="0" collapsed="false">
      <c r="A388" s="19" t="n">
        <v>46251</v>
      </c>
      <c r="B388" s="6" t="s">
        <v>30</v>
      </c>
      <c r="C388" s="6" t="s">
        <v>149</v>
      </c>
      <c r="D388" s="7" t="n">
        <v>-0.212</v>
      </c>
      <c r="E388" s="6" t="str">
        <f aca="false">IF(D388&gt;Settings!$C$4,"Bullish",IF(D388&lt;-Settings!$C$4,"Bearish","Neutral"))</f>
        <v>Bearish</v>
      </c>
      <c r="F388" s="8" t="n">
        <v>0.531</v>
      </c>
      <c r="G388" s="20" t="n">
        <v>-0.0226427204178423</v>
      </c>
      <c r="H388" s="6" t="str">
        <f aca="false">IF(G388="","",IF(G388&gt;0,"Bullish",IF(G388&lt;0,"Bearish","Flat")))</f>
        <v>Bearish</v>
      </c>
      <c r="I388" s="6" t="n">
        <f aca="false">IF(OR(G388="",E388="Neutral"),"",IF(E388=H388,1,0))</f>
        <v>1</v>
      </c>
      <c r="J388" s="6" t="s">
        <v>150</v>
      </c>
    </row>
    <row r="389" customFormat="false" ht="15" hidden="false" customHeight="false" outlineLevel="0" collapsed="false">
      <c r="A389" s="19" t="n">
        <v>46251</v>
      </c>
      <c r="B389" s="6" t="s">
        <v>18</v>
      </c>
      <c r="C389" s="6" t="s">
        <v>154</v>
      </c>
      <c r="D389" s="7" t="n">
        <v>-0.6693</v>
      </c>
      <c r="E389" s="6" t="str">
        <f aca="false">IF(D389&gt;Settings!$C$4,"Bullish",IF(D389&lt;-Settings!$C$4,"Bearish","Neutral"))</f>
        <v>Bearish</v>
      </c>
      <c r="F389" s="8" t="n">
        <v>0.501</v>
      </c>
      <c r="G389" s="20" t="n">
        <v>-0.0022921976958893</v>
      </c>
      <c r="H389" s="6" t="str">
        <f aca="false">IF(G389="","",IF(G389&gt;0,"Bullish",IF(G389&lt;0,"Bearish","Flat")))</f>
        <v>Bearish</v>
      </c>
      <c r="I389" s="6" t="n">
        <f aca="false">IF(OR(G389="",E389="Neutral"),"",IF(E389=H389,1,0))</f>
        <v>1</v>
      </c>
      <c r="J389" s="6" t="s">
        <v>150</v>
      </c>
    </row>
    <row r="390" customFormat="false" ht="15" hidden="false" customHeight="false" outlineLevel="0" collapsed="false">
      <c r="A390" s="19" t="n">
        <v>46251</v>
      </c>
      <c r="B390" s="6" t="s">
        <v>18</v>
      </c>
      <c r="C390" s="6" t="s">
        <v>149</v>
      </c>
      <c r="D390" s="7" t="n">
        <v>-0.0702</v>
      </c>
      <c r="E390" s="6" t="str">
        <f aca="false">IF(D390&gt;Settings!$C$4,"Bullish",IF(D390&lt;-Settings!$C$4,"Bearish","Neutral"))</f>
        <v>Neutral</v>
      </c>
      <c r="F390" s="8"/>
      <c r="G390" s="20" t="n">
        <v>-0.0037566573349299</v>
      </c>
      <c r="H390" s="6" t="str">
        <f aca="false">IF(G390="","",IF(G390&gt;0,"Bullish",IF(G390&lt;0,"Bearish","Flat")))</f>
        <v>Bearish</v>
      </c>
      <c r="I390" s="6" t="str">
        <f aca="false">IF(OR(G390="",E390="Neutral"),"",IF(E390=H390,1,0))</f>
        <v/>
      </c>
      <c r="J390" s="6" t="s">
        <v>150</v>
      </c>
    </row>
    <row r="391" customFormat="false" ht="15" hidden="false" customHeight="false" outlineLevel="0" collapsed="false">
      <c r="A391" s="19" t="n">
        <v>46251</v>
      </c>
      <c r="B391" s="6" t="s">
        <v>51</v>
      </c>
      <c r="C391" s="6" t="s">
        <v>149</v>
      </c>
      <c r="D391" s="7" t="n">
        <v>-0.3288</v>
      </c>
      <c r="E391" s="6" t="str">
        <f aca="false">IF(D391&gt;Settings!$C$4,"Bullish",IF(D391&lt;-Settings!$C$4,"Bearish","Neutral"))</f>
        <v>Bearish</v>
      </c>
      <c r="F391" s="8" t="n">
        <v>0.538</v>
      </c>
      <c r="G391" s="20" t="n">
        <v>0.0421010245626594</v>
      </c>
      <c r="H391" s="6" t="str">
        <f aca="false">IF(G391="","",IF(G391&gt;0,"Bullish",IF(G391&lt;0,"Bearish","Flat")))</f>
        <v>Bullish</v>
      </c>
      <c r="I391" s="6" t="n">
        <f aca="false">IF(OR(G391="",E391="Neutral"),"",IF(E391=H391,1,0))</f>
        <v>0</v>
      </c>
      <c r="J391" s="6" t="s">
        <v>150</v>
      </c>
    </row>
    <row r="392" customFormat="false" ht="15" hidden="false" customHeight="false" outlineLevel="0" collapsed="false">
      <c r="A392" s="19" t="n">
        <v>46252</v>
      </c>
      <c r="B392" s="6" t="s">
        <v>35</v>
      </c>
      <c r="C392" s="6" t="s">
        <v>154</v>
      </c>
      <c r="D392" s="7" t="n">
        <v>-0.158</v>
      </c>
      <c r="E392" s="6" t="str">
        <f aca="false">IF(D392&gt;Settings!$C$4,"Bullish",IF(D392&lt;-Settings!$C$4,"Bearish","Neutral"))</f>
        <v>Bearish</v>
      </c>
      <c r="F392" s="8" t="n">
        <v>0.531</v>
      </c>
      <c r="G392" s="20" t="n">
        <v>-0.0121190422474422</v>
      </c>
      <c r="H392" s="6" t="str">
        <f aca="false">IF(G392="","",IF(G392&gt;0,"Bullish",IF(G392&lt;0,"Bearish","Flat")))</f>
        <v>Bearish</v>
      </c>
      <c r="I392" s="6" t="n">
        <f aca="false">IF(OR(G392="",E392="Neutral"),"",IF(E392=H392,1,0))</f>
        <v>1</v>
      </c>
      <c r="J392" s="6" t="s">
        <v>150</v>
      </c>
    </row>
    <row r="393" customFormat="false" ht="15" hidden="false" customHeight="false" outlineLevel="0" collapsed="false">
      <c r="A393" s="19" t="n">
        <v>46252</v>
      </c>
      <c r="B393" s="6" t="s">
        <v>18</v>
      </c>
      <c r="C393" s="6" t="s">
        <v>154</v>
      </c>
      <c r="D393" s="7" t="n">
        <v>-0.3461</v>
      </c>
      <c r="E393" s="6" t="str">
        <f aca="false">IF(D393&gt;Settings!$C$4,"Bullish",IF(D393&lt;-Settings!$C$4,"Bearish","Neutral"))</f>
        <v>Bearish</v>
      </c>
      <c r="F393" s="8" t="n">
        <v>0.529</v>
      </c>
      <c r="G393" s="20" t="n">
        <v>-0.0028463683518514</v>
      </c>
      <c r="H393" s="6" t="str">
        <f aca="false">IF(G393="","",IF(G393&gt;0,"Bullish",IF(G393&lt;0,"Bearish","Flat")))</f>
        <v>Bearish</v>
      </c>
      <c r="I393" s="6" t="n">
        <f aca="false">IF(OR(G393="",E393="Neutral"),"",IF(E393=H393,1,0))</f>
        <v>1</v>
      </c>
      <c r="J393" s="6" t="s">
        <v>150</v>
      </c>
    </row>
    <row r="394" customFormat="false" ht="15" hidden="false" customHeight="false" outlineLevel="0" collapsed="false">
      <c r="A394" s="19" t="n">
        <v>46252</v>
      </c>
      <c r="B394" s="6" t="s">
        <v>18</v>
      </c>
      <c r="C394" s="6" t="s">
        <v>149</v>
      </c>
      <c r="D394" s="7" t="n">
        <v>-0.019</v>
      </c>
      <c r="E394" s="6" t="str">
        <f aca="false">IF(D394&gt;Settings!$C$4,"Bullish",IF(D394&lt;-Settings!$C$4,"Bearish","Neutral"))</f>
        <v>Neutral</v>
      </c>
      <c r="F394" s="8"/>
      <c r="G394" s="20" t="n">
        <v>-0.0001981518214486</v>
      </c>
      <c r="H394" s="6" t="str">
        <f aca="false">IF(G394="","",IF(G394&gt;0,"Bullish",IF(G394&lt;0,"Bearish","Flat")))</f>
        <v>Bearish</v>
      </c>
      <c r="I394" s="6" t="str">
        <f aca="false">IF(OR(G394="",E394="Neutral"),"",IF(E394=H394,1,0))</f>
        <v/>
      </c>
      <c r="J394" s="6" t="s">
        <v>150</v>
      </c>
    </row>
    <row r="395" customFormat="false" ht="15" hidden="false" customHeight="false" outlineLevel="0" collapsed="false">
      <c r="A395" s="19" t="n">
        <v>46252</v>
      </c>
      <c r="B395" s="6" t="s">
        <v>51</v>
      </c>
      <c r="C395" s="6" t="s">
        <v>149</v>
      </c>
      <c r="D395" s="7" t="n">
        <v>-0.2527</v>
      </c>
      <c r="E395" s="6" t="str">
        <f aca="false">IF(D395&gt;Settings!$C$4,"Bullish",IF(D395&lt;-Settings!$C$4,"Bearish","Neutral"))</f>
        <v>Bearish</v>
      </c>
      <c r="F395" s="8" t="n">
        <v>0.534</v>
      </c>
      <c r="G395" s="20" t="n">
        <v>0.0462177288319192</v>
      </c>
      <c r="H395" s="6" t="str">
        <f aca="false">IF(G395="","",IF(G395&gt;0,"Bullish",IF(G395&lt;0,"Bearish","Flat")))</f>
        <v>Bullish</v>
      </c>
      <c r="I395" s="6" t="n">
        <f aca="false">IF(OR(G395="",E395="Neutral"),"",IF(E395=H395,1,0))</f>
        <v>0</v>
      </c>
      <c r="J395" s="6" t="s">
        <v>150</v>
      </c>
    </row>
    <row r="396" customFormat="false" ht="15" hidden="false" customHeight="false" outlineLevel="0" collapsed="false">
      <c r="A396" s="19" t="n">
        <v>46253</v>
      </c>
      <c r="B396" s="6" t="s">
        <v>22</v>
      </c>
      <c r="C396" s="6" t="s">
        <v>154</v>
      </c>
      <c r="D396" s="7" t="n">
        <v>-0.3971</v>
      </c>
      <c r="E396" s="6" t="str">
        <f aca="false">IF(D396&gt;Settings!$C$4,"Bullish",IF(D396&lt;-Settings!$C$4,"Bearish","Neutral"))</f>
        <v>Bearish</v>
      </c>
      <c r="F396" s="8" t="n">
        <v>0.533</v>
      </c>
      <c r="G396" s="20" t="n">
        <v>-0.0003649976030659</v>
      </c>
      <c r="H396" s="6" t="str">
        <f aca="false">IF(G396="","",IF(G396&gt;0,"Bullish",IF(G396&lt;0,"Bearish","Flat")))</f>
        <v>Bearish</v>
      </c>
      <c r="I396" s="6" t="n">
        <f aca="false">IF(OR(G396="",E396="Neutral"),"",IF(E396=H396,1,0))</f>
        <v>1</v>
      </c>
      <c r="J396" s="6" t="s">
        <v>150</v>
      </c>
    </row>
    <row r="397" customFormat="false" ht="15" hidden="false" customHeight="false" outlineLevel="0" collapsed="false">
      <c r="A397" s="19" t="n">
        <v>46253</v>
      </c>
      <c r="B397" s="6" t="s">
        <v>35</v>
      </c>
      <c r="C397" s="6" t="s">
        <v>154</v>
      </c>
      <c r="D397" s="7" t="n">
        <v>-0.158</v>
      </c>
      <c r="E397" s="6" t="str">
        <f aca="false">IF(D397&gt;Settings!$C$4,"Bullish",IF(D397&lt;-Settings!$C$4,"Bearish","Neutral"))</f>
        <v>Bearish</v>
      </c>
      <c r="F397" s="8" t="n">
        <v>0.531</v>
      </c>
      <c r="G397" s="20" t="n">
        <v>-0.0009208465879433</v>
      </c>
      <c r="H397" s="6" t="str">
        <f aca="false">IF(G397="","",IF(G397&gt;0,"Bullish",IF(G397&lt;0,"Bearish","Flat")))</f>
        <v>Bearish</v>
      </c>
      <c r="I397" s="6" t="n">
        <f aca="false">IF(OR(G397="",E397="Neutral"),"",IF(E397=H397,1,0))</f>
        <v>1</v>
      </c>
      <c r="J397" s="6" t="s">
        <v>150</v>
      </c>
    </row>
    <row r="398" customFormat="false" ht="15" hidden="false" customHeight="false" outlineLevel="0" collapsed="false">
      <c r="A398" s="19" t="n">
        <v>46253</v>
      </c>
      <c r="B398" s="6" t="s">
        <v>35</v>
      </c>
      <c r="C398" s="6" t="s">
        <v>149</v>
      </c>
      <c r="D398" s="7" t="n">
        <v>0.2412</v>
      </c>
      <c r="E398" s="6" t="str">
        <f aca="false">IF(D398&gt;Settings!$C$4,"Bullish",IF(D398&lt;-Settings!$C$4,"Bearish","Neutral"))</f>
        <v>Bullish</v>
      </c>
      <c r="F398" s="8" t="n">
        <v>0.563</v>
      </c>
      <c r="G398" s="20" t="n">
        <v>0.0101998942914076</v>
      </c>
      <c r="H398" s="6" t="str">
        <f aca="false">IF(G398="","",IF(G398&gt;0,"Bullish",IF(G398&lt;0,"Bearish","Flat")))</f>
        <v>Bullish</v>
      </c>
      <c r="I398" s="6" t="n">
        <f aca="false">IF(OR(G398="",E398="Neutral"),"",IF(E398=H398,1,0))</f>
        <v>1</v>
      </c>
      <c r="J398" s="6" t="s">
        <v>150</v>
      </c>
    </row>
    <row r="399" customFormat="false" ht="15" hidden="false" customHeight="false" outlineLevel="0" collapsed="false">
      <c r="A399" s="19" t="n">
        <v>46253</v>
      </c>
      <c r="B399" s="6" t="s">
        <v>18</v>
      </c>
      <c r="C399" s="6" t="s">
        <v>154</v>
      </c>
      <c r="D399" s="7" t="n">
        <v>-0.4264</v>
      </c>
      <c r="E399" s="6" t="str">
        <f aca="false">IF(D399&gt;Settings!$C$4,"Bullish",IF(D399&lt;-Settings!$C$4,"Bearish","Neutral"))</f>
        <v>Bearish</v>
      </c>
      <c r="F399" s="8" t="n">
        <v>0.529</v>
      </c>
      <c r="G399" s="20" t="n">
        <v>-0.0030535710219214</v>
      </c>
      <c r="H399" s="6" t="str">
        <f aca="false">IF(G399="","",IF(G399&gt;0,"Bullish",IF(G399&lt;0,"Bearish","Flat")))</f>
        <v>Bearish</v>
      </c>
      <c r="I399" s="6" t="n">
        <f aca="false">IF(OR(G399="",E399="Neutral"),"",IF(E399=H399,1,0))</f>
        <v>1</v>
      </c>
      <c r="J399" s="6" t="s">
        <v>150</v>
      </c>
    </row>
    <row r="400" customFormat="false" ht="15" hidden="false" customHeight="false" outlineLevel="0" collapsed="false">
      <c r="A400" s="19" t="n">
        <v>46253</v>
      </c>
      <c r="B400" s="6" t="s">
        <v>18</v>
      </c>
      <c r="C400" s="6" t="s">
        <v>149</v>
      </c>
      <c r="D400" s="7" t="n">
        <v>0.0335</v>
      </c>
      <c r="E400" s="6" t="str">
        <f aca="false">IF(D400&gt;Settings!$C$4,"Bullish",IF(D400&lt;-Settings!$C$4,"Bearish","Neutral"))</f>
        <v>Neutral</v>
      </c>
      <c r="F400" s="8"/>
      <c r="G400" s="20" t="n">
        <v>0.0075562943932294</v>
      </c>
      <c r="H400" s="6" t="str">
        <f aca="false">IF(G400="","",IF(G400&gt;0,"Bullish",IF(G400&lt;0,"Bearish","Flat")))</f>
        <v>Bullish</v>
      </c>
      <c r="I400" s="6" t="str">
        <f aca="false">IF(OR(G400="",E400="Neutral"),"",IF(E400=H400,1,0))</f>
        <v/>
      </c>
      <c r="J400" s="6" t="s">
        <v>150</v>
      </c>
    </row>
    <row r="401" customFormat="false" ht="15" hidden="false" customHeight="false" outlineLevel="0" collapsed="false">
      <c r="A401" s="19" t="n">
        <v>46253</v>
      </c>
      <c r="B401" s="6" t="s">
        <v>51</v>
      </c>
      <c r="C401" s="6" t="s">
        <v>149</v>
      </c>
      <c r="D401" s="7" t="n">
        <v>-0.1791</v>
      </c>
      <c r="E401" s="6" t="str">
        <f aca="false">IF(D401&gt;Settings!$C$4,"Bullish",IF(D401&lt;-Settings!$C$4,"Bearish","Neutral"))</f>
        <v>Bearish</v>
      </c>
      <c r="F401" s="8" t="n">
        <v>0.534</v>
      </c>
      <c r="G401" s="20" t="n">
        <v>0.051519882450179</v>
      </c>
      <c r="H401" s="6" t="str">
        <f aca="false">IF(G401="","",IF(G401&gt;0,"Bullish",IF(G401&lt;0,"Bearish","Flat")))</f>
        <v>Bullish</v>
      </c>
      <c r="I401" s="6" t="n">
        <f aca="false">IF(OR(G401="",E401="Neutral"),"",IF(E401=H401,1,0))</f>
        <v>0</v>
      </c>
      <c r="J401" s="6" t="s">
        <v>150</v>
      </c>
    </row>
    <row r="402" customFormat="false" ht="15" hidden="false" customHeight="false" outlineLevel="0" collapsed="false">
      <c r="A402" s="19" t="n">
        <v>46254</v>
      </c>
      <c r="B402" s="6" t="s">
        <v>35</v>
      </c>
      <c r="C402" s="6" t="s">
        <v>154</v>
      </c>
      <c r="D402" s="7" t="n">
        <v>-0.2468</v>
      </c>
      <c r="E402" s="6" t="str">
        <f aca="false">IF(D402&gt;Settings!$C$4,"Bullish",IF(D402&lt;-Settings!$C$4,"Bearish","Neutral"))</f>
        <v>Bearish</v>
      </c>
      <c r="F402" s="8" t="n">
        <v>0.531</v>
      </c>
      <c r="G402" s="20" t="n">
        <v>-0.0057519327077356</v>
      </c>
      <c r="H402" s="6" t="str">
        <f aca="false">IF(G402="","",IF(G402&gt;0,"Bullish",IF(G402&lt;0,"Bearish","Flat")))</f>
        <v>Bearish</v>
      </c>
      <c r="I402" s="6" t="n">
        <f aca="false">IF(OR(G402="",E402="Neutral"),"",IF(E402=H402,1,0))</f>
        <v>1</v>
      </c>
      <c r="J402" s="6" t="s">
        <v>150</v>
      </c>
    </row>
    <row r="403" customFormat="false" ht="15" hidden="false" customHeight="false" outlineLevel="0" collapsed="false">
      <c r="A403" s="19" t="n">
        <v>46254</v>
      </c>
      <c r="B403" s="6" t="s">
        <v>18</v>
      </c>
      <c r="C403" s="6" t="s">
        <v>154</v>
      </c>
      <c r="D403" s="7" t="n">
        <v>0.4659</v>
      </c>
      <c r="E403" s="6" t="str">
        <f aca="false">IF(D403&gt;Settings!$C$4,"Bullish",IF(D403&lt;-Settings!$C$4,"Bearish","Neutral"))</f>
        <v>Bullish</v>
      </c>
      <c r="F403" s="8" t="n">
        <v>0.529</v>
      </c>
      <c r="G403" s="20" t="n">
        <v>0.0002641849790199</v>
      </c>
      <c r="H403" s="6" t="str">
        <f aca="false">IF(G403="","",IF(G403&gt;0,"Bullish",IF(G403&lt;0,"Bearish","Flat")))</f>
        <v>Bullish</v>
      </c>
      <c r="I403" s="6" t="n">
        <f aca="false">IF(OR(G403="",E403="Neutral"),"",IF(E403=H403,1,0))</f>
        <v>1</v>
      </c>
      <c r="J403" s="6" t="s">
        <v>150</v>
      </c>
    </row>
    <row r="404" customFormat="false" ht="15" hidden="false" customHeight="false" outlineLevel="0" collapsed="false">
      <c r="A404" s="19" t="n">
        <v>46254</v>
      </c>
      <c r="B404" s="6" t="s">
        <v>18</v>
      </c>
      <c r="C404" s="6" t="s">
        <v>149</v>
      </c>
      <c r="D404" s="7" t="n">
        <v>0.0824</v>
      </c>
      <c r="E404" s="6" t="str">
        <f aca="false">IF(D404&gt;Settings!$C$4,"Bullish",IF(D404&lt;-Settings!$C$4,"Bearish","Neutral"))</f>
        <v>Neutral</v>
      </c>
      <c r="F404" s="8"/>
      <c r="G404" s="20" t="n">
        <v>-0.0007306365826021</v>
      </c>
      <c r="H404" s="6" t="str">
        <f aca="false">IF(G404="","",IF(G404&gt;0,"Bullish",IF(G404&lt;0,"Bearish","Flat")))</f>
        <v>Bearish</v>
      </c>
      <c r="I404" s="6" t="str">
        <f aca="false">IF(OR(G404="",E404="Neutral"),"",IF(E404=H404,1,0))</f>
        <v/>
      </c>
      <c r="J404" s="6" t="s">
        <v>150</v>
      </c>
    </row>
    <row r="405" customFormat="false" ht="15" hidden="false" customHeight="false" outlineLevel="0" collapsed="false">
      <c r="A405" s="19" t="n">
        <v>46255</v>
      </c>
      <c r="B405" s="6" t="s">
        <v>18</v>
      </c>
      <c r="C405" s="6" t="s">
        <v>154</v>
      </c>
      <c r="D405" s="7" t="n">
        <v>0.5997</v>
      </c>
      <c r="E405" s="6" t="str">
        <f aca="false">IF(D405&gt;Settings!$C$4,"Bullish",IF(D405&lt;-Settings!$C$4,"Bearish","Neutral"))</f>
        <v>Bullish</v>
      </c>
      <c r="F405" s="8" t="n">
        <v>0.501</v>
      </c>
      <c r="G405" s="20" t="n">
        <v>-0.0013197963272189</v>
      </c>
      <c r="H405" s="6" t="str">
        <f aca="false">IF(G405="","",IF(G405&gt;0,"Bullish",IF(G405&lt;0,"Bearish","Flat")))</f>
        <v>Bearish</v>
      </c>
      <c r="I405" s="6" t="n">
        <f aca="false">IF(OR(G405="",E405="Neutral"),"",IF(E405=H405,1,0))</f>
        <v>0</v>
      </c>
      <c r="J405" s="6" t="s">
        <v>150</v>
      </c>
    </row>
    <row r="406" customFormat="false" ht="15" hidden="false" customHeight="false" outlineLevel="0" collapsed="false">
      <c r="A406" s="19" t="n">
        <v>46255</v>
      </c>
      <c r="B406" s="6" t="s">
        <v>18</v>
      </c>
      <c r="C406" s="6" t="s">
        <v>149</v>
      </c>
      <c r="D406" s="7" t="n">
        <v>0.1288</v>
      </c>
      <c r="E406" s="6" t="str">
        <f aca="false">IF(D406&gt;Settings!$C$4,"Bullish",IF(D406&lt;-Settings!$C$4,"Bearish","Neutral"))</f>
        <v>Neutral</v>
      </c>
      <c r="F406" s="8"/>
      <c r="G406" s="20" t="n">
        <v>-0.0079558393266362</v>
      </c>
      <c r="H406" s="6" t="str">
        <f aca="false">IF(G406="","",IF(G406&gt;0,"Bullish",IF(G406&lt;0,"Bearish","Flat")))</f>
        <v>Bearish</v>
      </c>
      <c r="I406" s="6" t="str">
        <f aca="false">IF(OR(G406="",E406="Neutral"),"",IF(E406=H406,1,0))</f>
        <v/>
      </c>
      <c r="J406" s="6" t="s">
        <v>150</v>
      </c>
    </row>
    <row r="407" customFormat="false" ht="15" hidden="false" customHeight="false" outlineLevel="0" collapsed="false">
      <c r="A407" s="19" t="n">
        <v>46258</v>
      </c>
      <c r="B407" s="6" t="s">
        <v>53</v>
      </c>
      <c r="C407" s="6" t="s">
        <v>154</v>
      </c>
      <c r="D407" s="7" t="n">
        <v>-0.3063</v>
      </c>
      <c r="E407" s="6" t="str">
        <f aca="false">IF(D407&gt;Settings!$C$4,"Bullish",IF(D407&lt;-Settings!$C$4,"Bearish","Neutral"))</f>
        <v>Bearish</v>
      </c>
      <c r="F407" s="8" t="n">
        <v>0.535</v>
      </c>
      <c r="G407" s="20" t="n">
        <v>0.0035460992907803</v>
      </c>
      <c r="H407" s="6" t="str">
        <f aca="false">IF(G407="","",IF(G407&gt;0,"Bullish",IF(G407&lt;0,"Bearish","Flat")))</f>
        <v>Bullish</v>
      </c>
      <c r="I407" s="6" t="n">
        <f aca="false">IF(OR(G407="",E407="Neutral"),"",IF(E407=H407,1,0))</f>
        <v>0</v>
      </c>
      <c r="J407" s="6" t="s">
        <v>150</v>
      </c>
    </row>
    <row r="408" customFormat="false" ht="15" hidden="false" customHeight="false" outlineLevel="0" collapsed="false">
      <c r="A408" s="19" t="n">
        <v>46258</v>
      </c>
      <c r="B408" s="6" t="s">
        <v>18</v>
      </c>
      <c r="C408" s="6" t="s">
        <v>154</v>
      </c>
      <c r="D408" s="7" t="n">
        <v>0.6132</v>
      </c>
      <c r="E408" s="6" t="str">
        <f aca="false">IF(D408&gt;Settings!$C$4,"Bullish",IF(D408&lt;-Settings!$C$4,"Bearish","Neutral"))</f>
        <v>Bullish</v>
      </c>
      <c r="F408" s="8" t="n">
        <v>0.501</v>
      </c>
      <c r="G408" s="20" t="n">
        <v>-0.002717721396497</v>
      </c>
      <c r="H408" s="6" t="str">
        <f aca="false">IF(G408="","",IF(G408&gt;0,"Bullish",IF(G408&lt;0,"Bearish","Flat")))</f>
        <v>Bearish</v>
      </c>
      <c r="I408" s="6" t="n">
        <f aca="false">IF(OR(G408="",E408="Neutral"),"",IF(E408=H408,1,0))</f>
        <v>0</v>
      </c>
      <c r="J408" s="6" t="s">
        <v>150</v>
      </c>
    </row>
    <row r="409" customFormat="false" ht="15" hidden="false" customHeight="false" outlineLevel="0" collapsed="false">
      <c r="A409" s="19" t="n">
        <v>46258</v>
      </c>
      <c r="B409" s="6" t="s">
        <v>18</v>
      </c>
      <c r="C409" s="6" t="s">
        <v>149</v>
      </c>
      <c r="D409" s="7" t="n">
        <v>0.1744</v>
      </c>
      <c r="E409" s="6" t="str">
        <f aca="false">IF(D409&gt;Settings!$C$4,"Bullish",IF(D409&lt;-Settings!$C$4,"Bearish","Neutral"))</f>
        <v>Bullish</v>
      </c>
      <c r="F409" s="8" t="n">
        <v>0.495</v>
      </c>
      <c r="G409" s="20" t="n">
        <v>-0.0045048291026783</v>
      </c>
      <c r="H409" s="6" t="str">
        <f aca="false">IF(G409="","",IF(G409&gt;0,"Bullish",IF(G409&lt;0,"Bearish","Flat")))</f>
        <v>Bearish</v>
      </c>
      <c r="I409" s="6" t="n">
        <f aca="false">IF(OR(G409="",E409="Neutral"),"",IF(E409=H409,1,0))</f>
        <v>0</v>
      </c>
      <c r="J409" s="6" t="s">
        <v>150</v>
      </c>
    </row>
    <row r="410" customFormat="false" ht="15" hidden="false" customHeight="false" outlineLevel="0" collapsed="false">
      <c r="A410" s="19" t="n">
        <v>46259</v>
      </c>
      <c r="B410" s="6" t="s">
        <v>30</v>
      </c>
      <c r="C410" s="6" t="s">
        <v>149</v>
      </c>
      <c r="D410" s="7" t="n">
        <v>0.1998</v>
      </c>
      <c r="E410" s="6" t="str">
        <f aca="false">IF(D410&gt;Settings!$C$4,"Bullish",IF(D410&lt;-Settings!$C$4,"Bearish","Neutral"))</f>
        <v>Bullish</v>
      </c>
      <c r="F410" s="8" t="n">
        <v>0.531</v>
      </c>
      <c r="G410" s="20" t="n">
        <v>-0.0302969331202574</v>
      </c>
      <c r="H410" s="6" t="str">
        <f aca="false">IF(G410="","",IF(G410&gt;0,"Bullish",IF(G410&lt;0,"Bearish","Flat")))</f>
        <v>Bearish</v>
      </c>
      <c r="I410" s="6" t="n">
        <f aca="false">IF(OR(G410="",E410="Neutral"),"",IF(E410=H410,1,0))</f>
        <v>0</v>
      </c>
      <c r="J410" s="6" t="s">
        <v>150</v>
      </c>
    </row>
    <row r="411" customFormat="false" ht="15" hidden="false" customHeight="false" outlineLevel="0" collapsed="false">
      <c r="A411" s="19" t="n">
        <v>46259</v>
      </c>
      <c r="B411" s="6" t="s">
        <v>53</v>
      </c>
      <c r="C411" s="6" t="s">
        <v>154</v>
      </c>
      <c r="D411" s="7" t="n">
        <v>-0.4398</v>
      </c>
      <c r="E411" s="6" t="str">
        <f aca="false">IF(D411&gt;Settings!$C$4,"Bullish",IF(D411&lt;-Settings!$C$4,"Bearish","Neutral"))</f>
        <v>Bearish</v>
      </c>
      <c r="F411" s="8" t="n">
        <v>0.535</v>
      </c>
      <c r="G411" s="20" t="n">
        <v>-0.0459363957597173</v>
      </c>
      <c r="H411" s="6" t="str">
        <f aca="false">IF(G411="","",IF(G411&gt;0,"Bullish",IF(G411&lt;0,"Bearish","Flat")))</f>
        <v>Bearish</v>
      </c>
      <c r="I411" s="6" t="n">
        <f aca="false">IF(OR(G411="",E411="Neutral"),"",IF(E411=H411,1,0))</f>
        <v>1</v>
      </c>
      <c r="J411" s="6" t="s">
        <v>150</v>
      </c>
    </row>
    <row r="412" customFormat="false" ht="15" hidden="false" customHeight="false" outlineLevel="0" collapsed="false">
      <c r="A412" s="19" t="n">
        <v>46259</v>
      </c>
      <c r="B412" s="6" t="s">
        <v>18</v>
      </c>
      <c r="C412" s="6" t="s">
        <v>154</v>
      </c>
      <c r="D412" s="7" t="n">
        <v>0.1715</v>
      </c>
      <c r="E412" s="6" t="str">
        <f aca="false">IF(D412&gt;Settings!$C$4,"Bullish",IF(D412&lt;-Settings!$C$4,"Bearish","Neutral"))</f>
        <v>Bullish</v>
      </c>
      <c r="F412" s="8" t="n">
        <v>0.481</v>
      </c>
      <c r="G412" s="20" t="n">
        <v>0.0065685656080989</v>
      </c>
      <c r="H412" s="6" t="str">
        <f aca="false">IF(G412="","",IF(G412&gt;0,"Bullish",IF(G412&lt;0,"Bearish","Flat")))</f>
        <v>Bullish</v>
      </c>
      <c r="I412" s="6" t="n">
        <f aca="false">IF(OR(G412="",E412="Neutral"),"",IF(E412=H412,1,0))</f>
        <v>1</v>
      </c>
      <c r="J412" s="6" t="s">
        <v>150</v>
      </c>
    </row>
    <row r="413" customFormat="false" ht="15" hidden="false" customHeight="false" outlineLevel="0" collapsed="false">
      <c r="A413" s="19" t="n">
        <v>46259</v>
      </c>
      <c r="B413" s="6" t="s">
        <v>18</v>
      </c>
      <c r="C413" s="6" t="s">
        <v>149</v>
      </c>
      <c r="D413" s="7" t="n">
        <v>0.2226</v>
      </c>
      <c r="E413" s="6" t="str">
        <f aca="false">IF(D413&gt;Settings!$C$4,"Bullish",IF(D413&lt;-Settings!$C$4,"Bearish","Neutral"))</f>
        <v>Bullish</v>
      </c>
      <c r="F413" s="8" t="n">
        <v>0.495</v>
      </c>
      <c r="G413" s="20" t="n">
        <v>-0.0039440348282886</v>
      </c>
      <c r="H413" s="6" t="str">
        <f aca="false">IF(G413="","",IF(G413&gt;0,"Bullish",IF(G413&lt;0,"Bearish","Flat")))</f>
        <v>Bearish</v>
      </c>
      <c r="I413" s="6" t="n">
        <f aca="false">IF(OR(G413="",E413="Neutral"),"",IF(E413=H413,1,0))</f>
        <v>0</v>
      </c>
      <c r="J413" s="6" t="s">
        <v>150</v>
      </c>
    </row>
    <row r="414" customFormat="false" ht="15" hidden="false" customHeight="false" outlineLevel="0" collapsed="false">
      <c r="A414" s="19" t="n">
        <v>46260</v>
      </c>
      <c r="B414" s="6" t="s">
        <v>30</v>
      </c>
      <c r="C414" s="6" t="s">
        <v>149</v>
      </c>
      <c r="D414" s="7" t="n">
        <v>0.2796</v>
      </c>
      <c r="E414" s="6" t="str">
        <f aca="false">IF(D414&gt;Settings!$C$4,"Bullish",IF(D414&lt;-Settings!$C$4,"Bearish","Neutral"))</f>
        <v>Bullish</v>
      </c>
      <c r="F414" s="8" t="n">
        <v>0.531</v>
      </c>
      <c r="G414" s="20" t="n">
        <v>-0.0287879801480948</v>
      </c>
      <c r="H414" s="6" t="str">
        <f aca="false">IF(G414="","",IF(G414&gt;0,"Bullish",IF(G414&lt;0,"Bearish","Flat")))</f>
        <v>Bearish</v>
      </c>
      <c r="I414" s="6" t="n">
        <f aca="false">IF(OR(G414="",E414="Neutral"),"",IF(E414=H414,1,0))</f>
        <v>0</v>
      </c>
      <c r="J414" s="6" t="s">
        <v>150</v>
      </c>
    </row>
    <row r="415" customFormat="false" ht="15" hidden="false" customHeight="false" outlineLevel="0" collapsed="false">
      <c r="A415" s="19" t="n">
        <v>46260</v>
      </c>
      <c r="B415" s="6" t="s">
        <v>53</v>
      </c>
      <c r="C415" s="6" t="s">
        <v>154</v>
      </c>
      <c r="D415" s="7" t="n">
        <v>0.3977</v>
      </c>
      <c r="E415" s="6" t="str">
        <f aca="false">IF(D415&gt;Settings!$C$4,"Bullish",IF(D415&lt;-Settings!$C$4,"Bearish","Neutral"))</f>
        <v>Bullish</v>
      </c>
      <c r="F415" s="8" t="n">
        <v>0.535</v>
      </c>
      <c r="G415" s="20" t="n">
        <v>0.0407407407407407</v>
      </c>
      <c r="H415" s="6" t="str">
        <f aca="false">IF(G415="","",IF(G415&gt;0,"Bullish",IF(G415&lt;0,"Bearish","Flat")))</f>
        <v>Bullish</v>
      </c>
      <c r="I415" s="6" t="n">
        <f aca="false">IF(OR(G415="",E415="Neutral"),"",IF(E415=H415,1,0))</f>
        <v>1</v>
      </c>
      <c r="J415" s="6" t="s">
        <v>150</v>
      </c>
    </row>
    <row r="416" customFormat="false" ht="15" hidden="false" customHeight="false" outlineLevel="0" collapsed="false">
      <c r="A416" s="19" t="n">
        <v>46260</v>
      </c>
      <c r="B416" s="6" t="s">
        <v>18</v>
      </c>
      <c r="C416" s="6" t="s">
        <v>154</v>
      </c>
      <c r="D416" s="7" t="n">
        <v>0.4044</v>
      </c>
      <c r="E416" s="6" t="str">
        <f aca="false">IF(D416&gt;Settings!$C$4,"Bullish",IF(D416&lt;-Settings!$C$4,"Bearish","Neutral"))</f>
        <v>Bullish</v>
      </c>
      <c r="F416" s="8" t="n">
        <v>0.529</v>
      </c>
      <c r="G416" s="20" t="n">
        <v>-0.0055131162458226</v>
      </c>
      <c r="H416" s="6" t="str">
        <f aca="false">IF(G416="","",IF(G416&gt;0,"Bullish",IF(G416&lt;0,"Bearish","Flat")))</f>
        <v>Bearish</v>
      </c>
      <c r="I416" s="6" t="n">
        <f aca="false">IF(OR(G416="",E416="Neutral"),"",IF(E416=H416,1,0))</f>
        <v>0</v>
      </c>
      <c r="J416" s="6" t="s">
        <v>150</v>
      </c>
    </row>
    <row r="417" customFormat="false" ht="15" hidden="false" customHeight="false" outlineLevel="0" collapsed="false">
      <c r="A417" s="19" t="n">
        <v>46260</v>
      </c>
      <c r="B417" s="6" t="s">
        <v>18</v>
      </c>
      <c r="C417" s="6" t="s">
        <v>149</v>
      </c>
      <c r="D417" s="7" t="n">
        <v>0.27</v>
      </c>
      <c r="E417" s="6" t="str">
        <f aca="false">IF(D417&gt;Settings!$C$4,"Bullish",IF(D417&lt;-Settings!$C$4,"Bearish","Neutral"))</f>
        <v>Bullish</v>
      </c>
      <c r="F417" s="8" t="n">
        <v>0.495</v>
      </c>
      <c r="G417" s="20" t="n">
        <v>-0.0117554263319085</v>
      </c>
      <c r="H417" s="6" t="str">
        <f aca="false">IF(G417="","",IF(G417&gt;0,"Bullish",IF(G417&lt;0,"Bearish","Flat")))</f>
        <v>Bearish</v>
      </c>
      <c r="I417" s="6" t="n">
        <f aca="false">IF(OR(G417="",E417="Neutral"),"",IF(E417=H417,1,0))</f>
        <v>0</v>
      </c>
      <c r="J417" s="6" t="s">
        <v>150</v>
      </c>
    </row>
    <row r="418" customFormat="false" ht="15" hidden="false" customHeight="false" outlineLevel="0" collapsed="false">
      <c r="A418" s="19" t="n">
        <v>46261</v>
      </c>
      <c r="B418" s="6" t="s">
        <v>18</v>
      </c>
      <c r="C418" s="6" t="s">
        <v>154</v>
      </c>
      <c r="D418" s="7" t="n">
        <v>-0.1797</v>
      </c>
      <c r="E418" s="6" t="str">
        <f aca="false">IF(D418&gt;Settings!$C$4,"Bullish",IF(D418&lt;-Settings!$C$4,"Bearish","Neutral"))</f>
        <v>Bearish</v>
      </c>
      <c r="F418" s="8" t="n">
        <v>0.481</v>
      </c>
      <c r="G418" s="20" t="n">
        <v>-0.007692276007513</v>
      </c>
      <c r="H418" s="6" t="str">
        <f aca="false">IF(G418="","",IF(G418&gt;0,"Bullish",IF(G418&lt;0,"Bearish","Flat")))</f>
        <v>Bearish</v>
      </c>
      <c r="I418" s="6" t="n">
        <f aca="false">IF(OR(G418="",E418="Neutral"),"",IF(E418=H418,1,0))</f>
        <v>1</v>
      </c>
      <c r="J418" s="6" t="s">
        <v>150</v>
      </c>
    </row>
    <row r="419" customFormat="false" ht="15" hidden="false" customHeight="false" outlineLevel="0" collapsed="false">
      <c r="A419" s="19" t="n">
        <v>46261</v>
      </c>
      <c r="B419" s="6" t="s">
        <v>18</v>
      </c>
      <c r="C419" s="6" t="s">
        <v>149</v>
      </c>
      <c r="D419" s="7" t="n">
        <v>0.3173</v>
      </c>
      <c r="E419" s="6" t="str">
        <f aca="false">IF(D419&gt;Settings!$C$4,"Bullish",IF(D419&lt;-Settings!$C$4,"Bearish","Neutral"))</f>
        <v>Bullish</v>
      </c>
      <c r="F419" s="8" t="n">
        <v>0.51</v>
      </c>
      <c r="G419" s="20" t="n">
        <v>-0.0149582331037663</v>
      </c>
      <c r="H419" s="6" t="str">
        <f aca="false">IF(G419="","",IF(G419&gt;0,"Bullish",IF(G419&lt;0,"Bearish","Flat")))</f>
        <v>Bearish</v>
      </c>
      <c r="I419" s="6" t="n">
        <f aca="false">IF(OR(G419="",E419="Neutral"),"",IF(E419=H419,1,0))</f>
        <v>0</v>
      </c>
      <c r="J419" s="6" t="s">
        <v>150</v>
      </c>
    </row>
    <row r="420" customFormat="false" ht="15" hidden="false" customHeight="false" outlineLevel="0" collapsed="false">
      <c r="A420" s="19" t="n">
        <v>46262</v>
      </c>
      <c r="B420" s="6" t="s">
        <v>22</v>
      </c>
      <c r="C420" s="6" t="s">
        <v>154</v>
      </c>
      <c r="D420" s="7" t="n">
        <v>0.3503</v>
      </c>
      <c r="E420" s="6" t="str">
        <f aca="false">IF(D420&gt;Settings!$C$4,"Bullish",IF(D420&lt;-Settings!$C$4,"Bearish","Neutral"))</f>
        <v>Bullish</v>
      </c>
      <c r="F420" s="8" t="n">
        <v>0.533</v>
      </c>
      <c r="G420" s="20" t="n">
        <v>0.0011588070642829</v>
      </c>
      <c r="H420" s="6" t="str">
        <f aca="false">IF(G420="","",IF(G420&gt;0,"Bullish",IF(G420&lt;0,"Bearish","Flat")))</f>
        <v>Bullish</v>
      </c>
      <c r="I420" s="6" t="n">
        <f aca="false">IF(OR(G420="",E420="Neutral"),"",IF(E420=H420,1,0))</f>
        <v>1</v>
      </c>
      <c r="J420" s="6" t="s">
        <v>150</v>
      </c>
    </row>
    <row r="421" customFormat="false" ht="15" hidden="false" customHeight="false" outlineLevel="0" collapsed="false">
      <c r="A421" s="19" t="n">
        <v>46262</v>
      </c>
      <c r="B421" s="6" t="s">
        <v>35</v>
      </c>
      <c r="C421" s="6" t="s">
        <v>149</v>
      </c>
      <c r="D421" s="7" t="n">
        <v>0.1968</v>
      </c>
      <c r="E421" s="6" t="str">
        <f aca="false">IF(D421&gt;Settings!$C$4,"Bullish",IF(D421&lt;-Settings!$C$4,"Bearish","Neutral"))</f>
        <v>Bullish</v>
      </c>
      <c r="F421" s="8" t="n">
        <v>0.563</v>
      </c>
      <c r="G421" s="20" t="n">
        <v>0.0113369724019984</v>
      </c>
      <c r="H421" s="6" t="str">
        <f aca="false">IF(G421="","",IF(G421&gt;0,"Bullish",IF(G421&lt;0,"Bearish","Flat")))</f>
        <v>Bullish</v>
      </c>
      <c r="I421" s="6" t="n">
        <f aca="false">IF(OR(G421="",E421="Neutral"),"",IF(E421=H421,1,0))</f>
        <v>1</v>
      </c>
      <c r="J421" s="6" t="s">
        <v>150</v>
      </c>
    </row>
    <row r="422" customFormat="false" ht="15" hidden="false" customHeight="false" outlineLevel="0" collapsed="false">
      <c r="A422" s="19" t="n">
        <v>46262</v>
      </c>
      <c r="B422" s="6" t="s">
        <v>18</v>
      </c>
      <c r="C422" s="6" t="s">
        <v>154</v>
      </c>
      <c r="D422" s="7" t="n">
        <v>-0.3858</v>
      </c>
      <c r="E422" s="6" t="str">
        <f aca="false">IF(D422&gt;Settings!$C$4,"Bullish",IF(D422&lt;-Settings!$C$4,"Bearish","Neutral"))</f>
        <v>Bearish</v>
      </c>
      <c r="F422" s="8" t="n">
        <v>0.529</v>
      </c>
      <c r="G422" s="20" t="n">
        <v>0.0021991825093481</v>
      </c>
      <c r="H422" s="6" t="str">
        <f aca="false">IF(G422="","",IF(G422&gt;0,"Bullish",IF(G422&lt;0,"Bearish","Flat")))</f>
        <v>Bullish</v>
      </c>
      <c r="I422" s="6" t="n">
        <f aca="false">IF(OR(G422="",E422="Neutral"),"",IF(E422=H422,1,0))</f>
        <v>0</v>
      </c>
      <c r="J422" s="6" t="s">
        <v>150</v>
      </c>
    </row>
    <row r="423" customFormat="false" ht="15" hidden="false" customHeight="false" outlineLevel="0" collapsed="false">
      <c r="A423" s="19" t="n">
        <v>46262</v>
      </c>
      <c r="B423" s="6" t="s">
        <v>18</v>
      </c>
      <c r="C423" s="6" t="s">
        <v>149</v>
      </c>
      <c r="D423" s="7" t="n">
        <v>0.371</v>
      </c>
      <c r="E423" s="6" t="str">
        <f aca="false">IF(D423&gt;Settings!$C$4,"Bullish",IF(D423&lt;-Settings!$C$4,"Bearish","Neutral"))</f>
        <v>Bullish</v>
      </c>
      <c r="F423" s="8" t="n">
        <v>0.51</v>
      </c>
      <c r="G423" s="20" t="n">
        <v>-0.0103284886372114</v>
      </c>
      <c r="H423" s="6" t="str">
        <f aca="false">IF(G423="","",IF(G423&gt;0,"Bullish",IF(G423&lt;0,"Bearish","Flat")))</f>
        <v>Bearish</v>
      </c>
      <c r="I423" s="6" t="n">
        <f aca="false">IF(OR(G423="",E423="Neutral"),"",IF(E423=H423,1,0))</f>
        <v>0</v>
      </c>
      <c r="J423" s="6" t="s">
        <v>150</v>
      </c>
    </row>
    <row r="424" customFormat="false" ht="15" hidden="false" customHeight="false" outlineLevel="0" collapsed="false">
      <c r="A424" s="19" t="n">
        <v>46265</v>
      </c>
      <c r="B424" s="6" t="s">
        <v>18</v>
      </c>
      <c r="C424" s="6" t="s">
        <v>154</v>
      </c>
      <c r="D424" s="7" t="n">
        <v>0.6969</v>
      </c>
      <c r="E424" s="6" t="str">
        <f aca="false">IF(D424&gt;Settings!$C$4,"Bullish",IF(D424&lt;-Settings!$C$4,"Bearish","Neutral"))</f>
        <v>Bullish</v>
      </c>
      <c r="F424" s="8" t="n">
        <v>0.501</v>
      </c>
      <c r="G424" s="20" t="n">
        <v>-0.0015403720527167</v>
      </c>
      <c r="H424" s="6" t="str">
        <f aca="false">IF(G424="","",IF(G424&gt;0,"Bullish",IF(G424&lt;0,"Bearish","Flat")))</f>
        <v>Bearish</v>
      </c>
      <c r="I424" s="6" t="n">
        <f aca="false">IF(OR(G424="",E424="Neutral"),"",IF(E424=H424,1,0))</f>
        <v>0</v>
      </c>
      <c r="J424" s="6" t="s">
        <v>150</v>
      </c>
    </row>
    <row r="425" customFormat="false" ht="15" hidden="false" customHeight="false" outlineLevel="0" collapsed="false">
      <c r="A425" s="19" t="n">
        <v>46265</v>
      </c>
      <c r="B425" s="6" t="s">
        <v>18</v>
      </c>
      <c r="C425" s="6" t="s">
        <v>149</v>
      </c>
      <c r="D425" s="7" t="n">
        <v>0.4253</v>
      </c>
      <c r="E425" s="6" t="str">
        <f aca="false">IF(D425&gt;Settings!$C$4,"Bullish",IF(D425&lt;-Settings!$C$4,"Bearish","Neutral"))</f>
        <v>Bullish</v>
      </c>
      <c r="F425" s="8" t="n">
        <v>0.51</v>
      </c>
      <c r="G425" s="20" t="n">
        <v>-0.0091157683927264</v>
      </c>
      <c r="H425" s="6" t="str">
        <f aca="false">IF(G425="","",IF(G425&gt;0,"Bullish",IF(G425&lt;0,"Bearish","Flat")))</f>
        <v>Bearish</v>
      </c>
      <c r="I425" s="6" t="n">
        <f aca="false">IF(OR(G425="",E425="Neutral"),"",IF(E425=H425,1,0))</f>
        <v>0</v>
      </c>
      <c r="J425" s="6" t="s">
        <v>150</v>
      </c>
    </row>
    <row r="426" customFormat="false" ht="15" hidden="false" customHeight="false" outlineLevel="0" collapsed="false">
      <c r="A426" s="19" t="n">
        <v>46266</v>
      </c>
      <c r="B426" s="6" t="s">
        <v>22</v>
      </c>
      <c r="C426" s="6" t="s">
        <v>154</v>
      </c>
      <c r="D426" s="7" t="n">
        <v>0.4335</v>
      </c>
      <c r="E426" s="6" t="str">
        <f aca="false">IF(D426&gt;Settings!$C$4,"Bullish",IF(D426&lt;-Settings!$C$4,"Bearish","Neutral"))</f>
        <v>Bullish</v>
      </c>
      <c r="F426" s="8" t="n">
        <v>0.533</v>
      </c>
      <c r="G426" s="20" t="n">
        <v>-0.0026181239500142</v>
      </c>
      <c r="H426" s="6" t="str">
        <f aca="false">IF(G426="","",IF(G426&gt;0,"Bullish",IF(G426&lt;0,"Bearish","Flat")))</f>
        <v>Bearish</v>
      </c>
      <c r="I426" s="6" t="n">
        <f aca="false">IF(OR(G426="",E426="Neutral"),"",IF(E426=H426,1,0))</f>
        <v>0</v>
      </c>
      <c r="J426" s="6" t="s">
        <v>150</v>
      </c>
    </row>
    <row r="427" customFormat="false" ht="15" hidden="false" customHeight="false" outlineLevel="0" collapsed="false">
      <c r="A427" s="19" t="n">
        <v>46266</v>
      </c>
      <c r="B427" s="6" t="s">
        <v>35</v>
      </c>
      <c r="C427" s="6" t="s">
        <v>154</v>
      </c>
      <c r="D427" s="7" t="n">
        <v>-0.263</v>
      </c>
      <c r="E427" s="6" t="str">
        <f aca="false">IF(D427&gt;Settings!$C$4,"Bullish",IF(D427&lt;-Settings!$C$4,"Bearish","Neutral"))</f>
        <v>Bearish</v>
      </c>
      <c r="F427" s="8" t="n">
        <v>0.531</v>
      </c>
      <c r="G427" s="20" t="n">
        <v>0.0158177786736546</v>
      </c>
      <c r="H427" s="6" t="str">
        <f aca="false">IF(G427="","",IF(G427&gt;0,"Bullish",IF(G427&lt;0,"Bearish","Flat")))</f>
        <v>Bullish</v>
      </c>
      <c r="I427" s="6" t="n">
        <f aca="false">IF(OR(G427="",E427="Neutral"),"",IF(E427=H427,1,0))</f>
        <v>0</v>
      </c>
      <c r="J427" s="6" t="s">
        <v>150</v>
      </c>
    </row>
    <row r="428" customFormat="false" ht="15" hidden="false" customHeight="false" outlineLevel="0" collapsed="false">
      <c r="A428" s="19" t="n">
        <v>46266</v>
      </c>
      <c r="B428" s="6" t="s">
        <v>53</v>
      </c>
      <c r="C428" s="6" t="s">
        <v>154</v>
      </c>
      <c r="D428" s="7" t="n">
        <v>-0.3437</v>
      </c>
      <c r="E428" s="6" t="str">
        <f aca="false">IF(D428&gt;Settings!$C$4,"Bullish",IF(D428&lt;-Settings!$C$4,"Bearish","Neutral"))</f>
        <v>Bearish</v>
      </c>
      <c r="F428" s="8" t="n">
        <v>0.535</v>
      </c>
      <c r="G428" s="20" t="n">
        <v>0</v>
      </c>
      <c r="H428" s="6" t="str">
        <f aca="false">IF(G428="","",IF(G428&gt;0,"Bullish",IF(G428&lt;0,"Bearish","Flat")))</f>
        <v>Flat</v>
      </c>
      <c r="I428" s="6" t="n">
        <f aca="false">IF(OR(G428="",E428="Neutral"),"",IF(E428=H428,1,0))</f>
        <v>0</v>
      </c>
      <c r="J428" s="6" t="s">
        <v>150</v>
      </c>
    </row>
    <row r="429" customFormat="false" ht="15" hidden="false" customHeight="false" outlineLevel="0" collapsed="false">
      <c r="A429" s="19" t="n">
        <v>46266</v>
      </c>
      <c r="B429" s="6" t="s">
        <v>18</v>
      </c>
      <c r="C429" s="6" t="s">
        <v>154</v>
      </c>
      <c r="D429" s="7" t="n">
        <v>-0.0064</v>
      </c>
      <c r="E429" s="6" t="str">
        <f aca="false">IF(D429&gt;Settings!$C$4,"Bullish",IF(D429&lt;-Settings!$C$4,"Bearish","Neutral"))</f>
        <v>Neutral</v>
      </c>
      <c r="F429" s="8"/>
      <c r="G429" s="20" t="n">
        <v>-0.0009033311113464</v>
      </c>
      <c r="H429" s="6" t="str">
        <f aca="false">IF(G429="","",IF(G429&gt;0,"Bullish",IF(G429&lt;0,"Bearish","Flat")))</f>
        <v>Bearish</v>
      </c>
      <c r="I429" s="6" t="str">
        <f aca="false">IF(OR(G429="",E429="Neutral"),"",IF(E429=H429,1,0))</f>
        <v/>
      </c>
      <c r="J429" s="6" t="s">
        <v>150</v>
      </c>
    </row>
    <row r="430" customFormat="false" ht="15" hidden="false" customHeight="false" outlineLevel="0" collapsed="false">
      <c r="A430" s="19" t="n">
        <v>46266</v>
      </c>
      <c r="B430" s="6" t="s">
        <v>18</v>
      </c>
      <c r="C430" s="6" t="s">
        <v>149</v>
      </c>
      <c r="D430" s="7" t="n">
        <v>0.4258</v>
      </c>
      <c r="E430" s="6" t="str">
        <f aca="false">IF(D430&gt;Settings!$C$4,"Bullish",IF(D430&lt;-Settings!$C$4,"Bearish","Neutral"))</f>
        <v>Bullish</v>
      </c>
      <c r="F430" s="8" t="n">
        <v>0.51</v>
      </c>
      <c r="G430" s="20" t="n">
        <v>-0.0123932875230244</v>
      </c>
      <c r="H430" s="6" t="str">
        <f aca="false">IF(G430="","",IF(G430&gt;0,"Bullish",IF(G430&lt;0,"Bearish","Flat")))</f>
        <v>Bearish</v>
      </c>
      <c r="I430" s="6" t="n">
        <f aca="false">IF(OR(G430="",E430="Neutral"),"",IF(E430=H430,1,0))</f>
        <v>0</v>
      </c>
      <c r="J430" s="6" t="s">
        <v>150</v>
      </c>
    </row>
    <row r="431" customFormat="false" ht="15" hidden="false" customHeight="false" outlineLevel="0" collapsed="false">
      <c r="A431" s="19" t="n">
        <v>46267</v>
      </c>
      <c r="B431" s="6" t="s">
        <v>18</v>
      </c>
      <c r="C431" s="6" t="s">
        <v>154</v>
      </c>
      <c r="D431" s="7" t="n">
        <v>0.5675</v>
      </c>
      <c r="E431" s="6" t="str">
        <f aca="false">IF(D431&gt;Settings!$C$4,"Bullish",IF(D431&lt;-Settings!$C$4,"Bearish","Neutral"))</f>
        <v>Bullish</v>
      </c>
      <c r="F431" s="8" t="n">
        <v>0.501</v>
      </c>
      <c r="G431" s="20" t="n">
        <v>0.002366082655713</v>
      </c>
      <c r="H431" s="6" t="str">
        <f aca="false">IF(G431="","",IF(G431&gt;0,"Bullish",IF(G431&lt;0,"Bearish","Flat")))</f>
        <v>Bullish</v>
      </c>
      <c r="I431" s="6" t="n">
        <f aca="false">IF(OR(G431="",E431="Neutral"),"",IF(E431=H431,1,0))</f>
        <v>1</v>
      </c>
      <c r="J431" s="6" t="s">
        <v>150</v>
      </c>
    </row>
    <row r="432" customFormat="false" ht="15" hidden="false" customHeight="false" outlineLevel="0" collapsed="false">
      <c r="A432" s="19" t="n">
        <v>46267</v>
      </c>
      <c r="B432" s="6" t="s">
        <v>18</v>
      </c>
      <c r="C432" s="6" t="s">
        <v>149</v>
      </c>
      <c r="D432" s="7" t="n">
        <v>0.4121</v>
      </c>
      <c r="E432" s="6" t="str">
        <f aca="false">IF(D432&gt;Settings!$C$4,"Bullish",IF(D432&lt;-Settings!$C$4,"Bearish","Neutral"))</f>
        <v>Bullish</v>
      </c>
      <c r="F432" s="8" t="n">
        <v>0.51</v>
      </c>
      <c r="G432" s="20" t="n">
        <v>-0.0093427781037808</v>
      </c>
      <c r="H432" s="6" t="str">
        <f aca="false">IF(G432="","",IF(G432&gt;0,"Bullish",IF(G432&lt;0,"Bearish","Flat")))</f>
        <v>Bearish</v>
      </c>
      <c r="I432" s="6" t="n">
        <f aca="false">IF(OR(G432="",E432="Neutral"),"",IF(E432=H432,1,0))</f>
        <v>0</v>
      </c>
      <c r="J432" s="6" t="s">
        <v>150</v>
      </c>
    </row>
    <row r="433" customFormat="false" ht="15" hidden="false" customHeight="false" outlineLevel="0" collapsed="false">
      <c r="A433" s="19" t="n">
        <v>46268</v>
      </c>
      <c r="B433" s="6" t="s">
        <v>22</v>
      </c>
      <c r="C433" s="6" t="s">
        <v>154</v>
      </c>
      <c r="D433" s="7" t="n">
        <v>0.4506</v>
      </c>
      <c r="E433" s="6" t="str">
        <f aca="false">IF(D433&gt;Settings!$C$4,"Bullish",IF(D433&lt;-Settings!$C$4,"Bearish","Neutral"))</f>
        <v>Bullish</v>
      </c>
      <c r="F433" s="8" t="n">
        <v>0.533</v>
      </c>
      <c r="G433" s="20" t="n">
        <v>-0.0020392066833803</v>
      </c>
      <c r="H433" s="6" t="str">
        <f aca="false">IF(G433="","",IF(G433&gt;0,"Bullish",IF(G433&lt;0,"Bearish","Flat")))</f>
        <v>Bearish</v>
      </c>
      <c r="I433" s="6" t="n">
        <f aca="false">IF(OR(G433="",E433="Neutral"),"",IF(E433=H433,1,0))</f>
        <v>0</v>
      </c>
      <c r="J433" s="6" t="s">
        <v>150</v>
      </c>
    </row>
    <row r="434" customFormat="false" ht="15" hidden="false" customHeight="false" outlineLevel="0" collapsed="false">
      <c r="A434" s="19" t="n">
        <v>46268</v>
      </c>
      <c r="B434" s="6" t="s">
        <v>18</v>
      </c>
      <c r="C434" s="6" t="s">
        <v>154</v>
      </c>
      <c r="D434" s="7" t="n">
        <v>0.0465</v>
      </c>
      <c r="E434" s="6" t="str">
        <f aca="false">IF(D434&gt;Settings!$C$4,"Bullish",IF(D434&lt;-Settings!$C$4,"Bearish","Neutral"))</f>
        <v>Neutral</v>
      </c>
      <c r="F434" s="8"/>
      <c r="G434" s="20" t="n">
        <v>-0.0051879431368095</v>
      </c>
      <c r="H434" s="6" t="str">
        <f aca="false">IF(G434="","",IF(G434&gt;0,"Bullish",IF(G434&lt;0,"Bearish","Flat")))</f>
        <v>Bearish</v>
      </c>
      <c r="I434" s="6" t="str">
        <f aca="false">IF(OR(G434="",E434="Neutral"),"",IF(E434=H434,1,0))</f>
        <v/>
      </c>
      <c r="J434" s="6" t="s">
        <v>150</v>
      </c>
    </row>
    <row r="435" customFormat="false" ht="15" hidden="false" customHeight="false" outlineLevel="0" collapsed="false">
      <c r="A435" s="19" t="n">
        <v>46268</v>
      </c>
      <c r="B435" s="6" t="s">
        <v>18</v>
      </c>
      <c r="C435" s="6" t="s">
        <v>149</v>
      </c>
      <c r="D435" s="7" t="n">
        <v>0.4006</v>
      </c>
      <c r="E435" s="6" t="str">
        <f aca="false">IF(D435&gt;Settings!$C$4,"Bullish",IF(D435&lt;-Settings!$C$4,"Bearish","Neutral"))</f>
        <v>Bullish</v>
      </c>
      <c r="F435" s="8" t="n">
        <v>0.51</v>
      </c>
      <c r="G435" s="20" t="n">
        <v>-0.0236040995168337</v>
      </c>
      <c r="H435" s="6" t="str">
        <f aca="false">IF(G435="","",IF(G435&gt;0,"Bullish",IF(G435&lt;0,"Bearish","Flat")))</f>
        <v>Bearish</v>
      </c>
      <c r="I435" s="6" t="n">
        <f aca="false">IF(OR(G435="",E435="Neutral"),"",IF(E435=H435,1,0))</f>
        <v>0</v>
      </c>
      <c r="J435" s="6" t="s">
        <v>150</v>
      </c>
    </row>
    <row r="436" customFormat="false" ht="15" hidden="false" customHeight="false" outlineLevel="0" collapsed="false">
      <c r="A436" s="19" t="n">
        <v>46269</v>
      </c>
      <c r="B436" s="6" t="s">
        <v>22</v>
      </c>
      <c r="C436" s="6" t="s">
        <v>154</v>
      </c>
      <c r="D436" s="7" t="n">
        <v>0.4439</v>
      </c>
      <c r="E436" s="6" t="str">
        <f aca="false">IF(D436&gt;Settings!$C$4,"Bullish",IF(D436&lt;-Settings!$C$4,"Bearish","Neutral"))</f>
        <v>Bullish</v>
      </c>
      <c r="F436" s="8" t="n">
        <v>0.533</v>
      </c>
      <c r="G436" s="20" t="n">
        <v>-0.0021394039064124</v>
      </c>
      <c r="H436" s="6" t="str">
        <f aca="false">IF(G436="","",IF(G436&gt;0,"Bullish",IF(G436&lt;0,"Bearish","Flat")))</f>
        <v>Bearish</v>
      </c>
      <c r="I436" s="6" t="n">
        <f aca="false">IF(OR(G436="",E436="Neutral"),"",IF(E436=H436,1,0))</f>
        <v>0</v>
      </c>
      <c r="J436" s="6" t="s">
        <v>150</v>
      </c>
    </row>
    <row r="437" customFormat="false" ht="15" hidden="false" customHeight="false" outlineLevel="0" collapsed="false">
      <c r="A437" s="19" t="n">
        <v>46269</v>
      </c>
      <c r="B437" s="6" t="s">
        <v>18</v>
      </c>
      <c r="C437" s="6" t="s">
        <v>154</v>
      </c>
      <c r="D437" s="7" t="n">
        <v>-0.0025</v>
      </c>
      <c r="E437" s="6" t="str">
        <f aca="false">IF(D437&gt;Settings!$C$4,"Bullish",IF(D437&lt;-Settings!$C$4,"Bearish","Neutral"))</f>
        <v>Neutral</v>
      </c>
      <c r="F437" s="8"/>
      <c r="G437" s="20" t="n">
        <v>-0.0005520494837083</v>
      </c>
      <c r="H437" s="6" t="str">
        <f aca="false">IF(G437="","",IF(G437&gt;0,"Bullish",IF(G437&lt;0,"Bearish","Flat")))</f>
        <v>Bearish</v>
      </c>
      <c r="I437" s="6" t="str">
        <f aca="false">IF(OR(G437="",E437="Neutral"),"",IF(E437=H437,1,0))</f>
        <v/>
      </c>
      <c r="J437" s="6" t="s">
        <v>150</v>
      </c>
    </row>
    <row r="438" customFormat="false" ht="15" hidden="false" customHeight="false" outlineLevel="0" collapsed="false">
      <c r="A438" s="19" t="n">
        <v>46269</v>
      </c>
      <c r="B438" s="6" t="s">
        <v>18</v>
      </c>
      <c r="C438" s="6" t="s">
        <v>149</v>
      </c>
      <c r="D438" s="7" t="n">
        <v>0.3886</v>
      </c>
      <c r="E438" s="6" t="str">
        <f aca="false">IF(D438&gt;Settings!$C$4,"Bullish",IF(D438&lt;-Settings!$C$4,"Bearish","Neutral"))</f>
        <v>Bullish</v>
      </c>
      <c r="F438" s="8" t="n">
        <v>0.51</v>
      </c>
      <c r="G438" s="20" t="n">
        <v>-0.018113078135913</v>
      </c>
      <c r="H438" s="6" t="str">
        <f aca="false">IF(G438="","",IF(G438&gt;0,"Bullish",IF(G438&lt;0,"Bearish","Flat")))</f>
        <v>Bearish</v>
      </c>
      <c r="I438" s="6" t="n">
        <f aca="false">IF(OR(G438="",E438="Neutral"),"",IF(E438=H438,1,0))</f>
        <v>0</v>
      </c>
      <c r="J438" s="6" t="s">
        <v>150</v>
      </c>
    </row>
    <row r="439" customFormat="false" ht="15" hidden="false" customHeight="false" outlineLevel="0" collapsed="false">
      <c r="A439" s="19" t="n">
        <v>46272</v>
      </c>
      <c r="B439" s="6" t="s">
        <v>35</v>
      </c>
      <c r="C439" s="6" t="s">
        <v>154</v>
      </c>
      <c r="D439" s="7" t="n">
        <v>-0.2103</v>
      </c>
      <c r="E439" s="6" t="str">
        <f aca="false">IF(D439&gt;Settings!$C$4,"Bullish",IF(D439&lt;-Settings!$C$4,"Bearish","Neutral"))</f>
        <v>Bearish</v>
      </c>
      <c r="F439" s="8" t="n">
        <v>0.531</v>
      </c>
      <c r="G439" s="20" t="n">
        <v>-0.0114687969627461</v>
      </c>
      <c r="H439" s="6" t="str">
        <f aca="false">IF(G439="","",IF(G439&gt;0,"Bullish",IF(G439&lt;0,"Bearish","Flat")))</f>
        <v>Bearish</v>
      </c>
      <c r="I439" s="6" t="n">
        <f aca="false">IF(OR(G439="",E439="Neutral"),"",IF(E439=H439,1,0))</f>
        <v>1</v>
      </c>
      <c r="J439" s="6" t="s">
        <v>150</v>
      </c>
    </row>
    <row r="440" customFormat="false" ht="15" hidden="false" customHeight="false" outlineLevel="0" collapsed="false">
      <c r="A440" s="19" t="n">
        <v>46272</v>
      </c>
      <c r="B440" s="6" t="s">
        <v>18</v>
      </c>
      <c r="C440" s="6" t="s">
        <v>154</v>
      </c>
      <c r="D440" s="7" t="n">
        <v>-0.0088</v>
      </c>
      <c r="E440" s="6" t="str">
        <f aca="false">IF(D440&gt;Settings!$C$4,"Bullish",IF(D440&lt;-Settings!$C$4,"Bearish","Neutral"))</f>
        <v>Neutral</v>
      </c>
      <c r="F440" s="8"/>
      <c r="G440" s="20" t="n">
        <v>-0.004354534473049</v>
      </c>
      <c r="H440" s="6" t="str">
        <f aca="false">IF(G440="","",IF(G440&gt;0,"Bullish",IF(G440&lt;0,"Bearish","Flat")))</f>
        <v>Bearish</v>
      </c>
      <c r="I440" s="6" t="str">
        <f aca="false">IF(OR(G440="",E440="Neutral"),"",IF(E440=H440,1,0))</f>
        <v/>
      </c>
      <c r="J440" s="6" t="s">
        <v>150</v>
      </c>
    </row>
    <row r="441" customFormat="false" ht="15" hidden="false" customHeight="false" outlineLevel="0" collapsed="false">
      <c r="A441" s="19" t="n">
        <v>46272</v>
      </c>
      <c r="B441" s="6" t="s">
        <v>18</v>
      </c>
      <c r="C441" s="6" t="s">
        <v>149</v>
      </c>
      <c r="D441" s="7" t="n">
        <v>0.3794</v>
      </c>
      <c r="E441" s="6" t="str">
        <f aca="false">IF(D441&gt;Settings!$C$4,"Bullish",IF(D441&lt;-Settings!$C$4,"Bearish","Neutral"))</f>
        <v>Bullish</v>
      </c>
      <c r="F441" s="8" t="n">
        <v>0.51</v>
      </c>
      <c r="G441" s="20" t="n">
        <v>-0.0203092975591578</v>
      </c>
      <c r="H441" s="6" t="str">
        <f aca="false">IF(G441="","",IF(G441&gt;0,"Bullish",IF(G441&lt;0,"Bearish","Flat")))</f>
        <v>Bearish</v>
      </c>
      <c r="I441" s="6" t="n">
        <f aca="false">IF(OR(G441="",E441="Neutral"),"",IF(E441=H441,1,0))</f>
        <v>0</v>
      </c>
      <c r="J441" s="6" t="s">
        <v>150</v>
      </c>
    </row>
    <row r="442" customFormat="false" ht="15" hidden="false" customHeight="false" outlineLevel="0" collapsed="false">
      <c r="A442" s="19" t="n">
        <v>46273</v>
      </c>
      <c r="B442" s="6" t="s">
        <v>18</v>
      </c>
      <c r="C442" s="6" t="s">
        <v>154</v>
      </c>
      <c r="D442" s="7" t="n">
        <v>0.1726</v>
      </c>
      <c r="E442" s="6" t="str">
        <f aca="false">IF(D442&gt;Settings!$C$4,"Bullish",IF(D442&lt;-Settings!$C$4,"Bearish","Neutral"))</f>
        <v>Bullish</v>
      </c>
      <c r="F442" s="8" t="n">
        <v>0.481</v>
      </c>
      <c r="G442" s="20" t="n">
        <v>-0.0045486899351812</v>
      </c>
      <c r="H442" s="6" t="str">
        <f aca="false">IF(G442="","",IF(G442&gt;0,"Bullish",IF(G442&lt;0,"Bearish","Flat")))</f>
        <v>Bearish</v>
      </c>
      <c r="I442" s="6" t="n">
        <f aca="false">IF(OR(G442="",E442="Neutral"),"",IF(E442=H442,1,0))</f>
        <v>0</v>
      </c>
      <c r="J442" s="6" t="s">
        <v>150</v>
      </c>
    </row>
    <row r="443" customFormat="false" ht="15" hidden="false" customHeight="false" outlineLevel="0" collapsed="false">
      <c r="A443" s="19" t="n">
        <v>46273</v>
      </c>
      <c r="B443" s="6" t="s">
        <v>18</v>
      </c>
      <c r="C443" s="6" t="s">
        <v>149</v>
      </c>
      <c r="D443" s="7" t="n">
        <v>0.3518</v>
      </c>
      <c r="E443" s="6" t="str">
        <f aca="false">IF(D443&gt;Settings!$C$4,"Bullish",IF(D443&lt;-Settings!$C$4,"Bearish","Neutral"))</f>
        <v>Bullish</v>
      </c>
      <c r="F443" s="8" t="n">
        <v>0.51</v>
      </c>
      <c r="G443" s="20" t="n">
        <v>-0.0263023783751911</v>
      </c>
      <c r="H443" s="6" t="str">
        <f aca="false">IF(G443="","",IF(G443&gt;0,"Bullish",IF(G443&lt;0,"Bearish","Flat")))</f>
        <v>Bearish</v>
      </c>
      <c r="I443" s="6" t="n">
        <f aca="false">IF(OR(G443="",E443="Neutral"),"",IF(E443=H443,1,0))</f>
        <v>0</v>
      </c>
      <c r="J443" s="6" t="s">
        <v>150</v>
      </c>
    </row>
    <row r="444" customFormat="false" ht="15" hidden="false" customHeight="false" outlineLevel="0" collapsed="false">
      <c r="A444" s="19" t="n">
        <v>46274</v>
      </c>
      <c r="B444" s="6" t="s">
        <v>53</v>
      </c>
      <c r="C444" s="6" t="s">
        <v>154</v>
      </c>
      <c r="D444" s="7" t="n">
        <v>0.4251</v>
      </c>
      <c r="E444" s="6" t="str">
        <f aca="false">IF(D444&gt;Settings!$C$4,"Bullish",IF(D444&lt;-Settings!$C$4,"Bearish","Neutral"))</f>
        <v>Bullish</v>
      </c>
      <c r="F444" s="8" t="n">
        <v>0.535</v>
      </c>
      <c r="G444" s="20" t="n">
        <v>-0.0310344827586206</v>
      </c>
      <c r="H444" s="6" t="str">
        <f aca="false">IF(G444="","",IF(G444&gt;0,"Bullish",IF(G444&lt;0,"Bearish","Flat")))</f>
        <v>Bearish</v>
      </c>
      <c r="I444" s="6" t="n">
        <f aca="false">IF(OR(G444="",E444="Neutral"),"",IF(E444=H444,1,0))</f>
        <v>0</v>
      </c>
      <c r="J444" s="6" t="s">
        <v>150</v>
      </c>
    </row>
    <row r="445" customFormat="false" ht="15" hidden="false" customHeight="false" outlineLevel="0" collapsed="false">
      <c r="A445" s="19" t="n">
        <v>46274</v>
      </c>
      <c r="B445" s="6" t="s">
        <v>18</v>
      </c>
      <c r="C445" s="6" t="s">
        <v>154</v>
      </c>
      <c r="D445" s="7" t="n">
        <v>0.5923</v>
      </c>
      <c r="E445" s="6" t="str">
        <f aca="false">IF(D445&gt;Settings!$C$4,"Bullish",IF(D445&lt;-Settings!$C$4,"Bearish","Neutral"))</f>
        <v>Bullish</v>
      </c>
      <c r="F445" s="8" t="n">
        <v>0.501</v>
      </c>
      <c r="G445" s="20" t="n">
        <v>-0.0038495794371663</v>
      </c>
      <c r="H445" s="6" t="str">
        <f aca="false">IF(G445="","",IF(G445&gt;0,"Bullish",IF(G445&lt;0,"Bearish","Flat")))</f>
        <v>Bearish</v>
      </c>
      <c r="I445" s="6" t="n">
        <f aca="false">IF(OR(G445="",E445="Neutral"),"",IF(E445=H445,1,0))</f>
        <v>0</v>
      </c>
      <c r="J445" s="6" t="s">
        <v>150</v>
      </c>
    </row>
    <row r="446" customFormat="false" ht="15" hidden="false" customHeight="false" outlineLevel="0" collapsed="false">
      <c r="A446" s="19" t="n">
        <v>46274</v>
      </c>
      <c r="B446" s="6" t="s">
        <v>18</v>
      </c>
      <c r="C446" s="6" t="s">
        <v>149</v>
      </c>
      <c r="D446" s="7" t="n">
        <v>0.3398</v>
      </c>
      <c r="E446" s="6" t="str">
        <f aca="false">IF(D446&gt;Settings!$C$4,"Bullish",IF(D446&lt;-Settings!$C$4,"Bearish","Neutral"))</f>
        <v>Bullish</v>
      </c>
      <c r="F446" s="8" t="n">
        <v>0.51</v>
      </c>
      <c r="G446" s="20" t="n">
        <v>-0.0129431745957516</v>
      </c>
      <c r="H446" s="6" t="str">
        <f aca="false">IF(G446="","",IF(G446&gt;0,"Bullish",IF(G446&lt;0,"Bearish","Flat")))</f>
        <v>Bearish</v>
      </c>
      <c r="I446" s="6" t="n">
        <f aca="false">IF(OR(G446="",E446="Neutral"),"",IF(E446=H446,1,0))</f>
        <v>0</v>
      </c>
      <c r="J446" s="6" t="s">
        <v>150</v>
      </c>
    </row>
    <row r="447" customFormat="false" ht="15" hidden="false" customHeight="false" outlineLevel="0" collapsed="false">
      <c r="A447" s="19" t="n">
        <v>46275</v>
      </c>
      <c r="B447" s="6" t="s">
        <v>35</v>
      </c>
      <c r="C447" s="6" t="s">
        <v>149</v>
      </c>
      <c r="D447" s="7" t="n">
        <v>0.1582</v>
      </c>
      <c r="E447" s="6" t="str">
        <f aca="false">IF(D447&gt;Settings!$C$4,"Bullish",IF(D447&lt;-Settings!$C$4,"Bearish","Neutral"))</f>
        <v>Bullish</v>
      </c>
      <c r="F447" s="8" t="n">
        <v>0.563</v>
      </c>
      <c r="G447" s="20" t="n">
        <v>0.0081692707477865</v>
      </c>
      <c r="H447" s="6" t="str">
        <f aca="false">IF(G447="","",IF(G447&gt;0,"Bullish",IF(G447&lt;0,"Bearish","Flat")))</f>
        <v>Bullish</v>
      </c>
      <c r="I447" s="6" t="n">
        <f aca="false">IF(OR(G447="",E447="Neutral"),"",IF(E447=H447,1,0))</f>
        <v>1</v>
      </c>
      <c r="J447" s="6" t="s">
        <v>150</v>
      </c>
    </row>
    <row r="448" customFormat="false" ht="15" hidden="false" customHeight="false" outlineLevel="0" collapsed="false">
      <c r="A448" s="19" t="n">
        <v>46275</v>
      </c>
      <c r="B448" s="6" t="s">
        <v>18</v>
      </c>
      <c r="C448" s="6" t="s">
        <v>154</v>
      </c>
      <c r="D448" s="7" t="n">
        <v>-0.6021</v>
      </c>
      <c r="E448" s="6" t="str">
        <f aca="false">IF(D448&gt;Settings!$C$4,"Bullish",IF(D448&lt;-Settings!$C$4,"Bearish","Neutral"))</f>
        <v>Bearish</v>
      </c>
      <c r="F448" s="8" t="n">
        <v>0.501</v>
      </c>
      <c r="G448" s="20" t="n">
        <v>0.0013306833400152</v>
      </c>
      <c r="H448" s="6" t="str">
        <f aca="false">IF(G448="","",IF(G448&gt;0,"Bullish",IF(G448&lt;0,"Bearish","Flat")))</f>
        <v>Bullish</v>
      </c>
      <c r="I448" s="6" t="n">
        <f aca="false">IF(OR(G448="",E448="Neutral"),"",IF(E448=H448,1,0))</f>
        <v>0</v>
      </c>
      <c r="J448" s="6" t="s">
        <v>150</v>
      </c>
    </row>
    <row r="449" customFormat="false" ht="15" hidden="false" customHeight="false" outlineLevel="0" collapsed="false">
      <c r="A449" s="19" t="n">
        <v>46275</v>
      </c>
      <c r="B449" s="6" t="s">
        <v>18</v>
      </c>
      <c r="C449" s="6" t="s">
        <v>149</v>
      </c>
      <c r="D449" s="7" t="n">
        <v>0.3282</v>
      </c>
      <c r="E449" s="6" t="str">
        <f aca="false">IF(D449&gt;Settings!$C$4,"Bullish",IF(D449&lt;-Settings!$C$4,"Bearish","Neutral"))</f>
        <v>Bullish</v>
      </c>
      <c r="F449" s="8" t="n">
        <v>0.51</v>
      </c>
      <c r="G449" s="20" t="n">
        <v>-0.0075064188411112</v>
      </c>
      <c r="H449" s="6" t="str">
        <f aca="false">IF(G449="","",IF(G449&gt;0,"Bullish",IF(G449&lt;0,"Bearish","Flat")))</f>
        <v>Bearish</v>
      </c>
      <c r="I449" s="6" t="n">
        <f aca="false">IF(OR(G449="",E449="Neutral"),"",IF(E449=H449,1,0))</f>
        <v>0</v>
      </c>
      <c r="J449" s="6" t="s">
        <v>150</v>
      </c>
    </row>
    <row r="450" customFormat="false" ht="15" hidden="false" customHeight="false" outlineLevel="0" collapsed="false">
      <c r="A450" s="19" t="n">
        <v>46276</v>
      </c>
      <c r="B450" s="6" t="s">
        <v>22</v>
      </c>
      <c r="C450" s="6" t="s">
        <v>154</v>
      </c>
      <c r="D450" s="7" t="n">
        <v>0.3307</v>
      </c>
      <c r="E450" s="6" t="str">
        <f aca="false">IF(D450&gt;Settings!$C$4,"Bullish",IF(D450&lt;-Settings!$C$4,"Bearish","Neutral"))</f>
        <v>Bullish</v>
      </c>
      <c r="F450" s="8" t="n">
        <v>0.533</v>
      </c>
      <c r="G450" s="20" t="n">
        <v>0.011370346515062</v>
      </c>
      <c r="H450" s="6" t="str">
        <f aca="false">IF(G450="","",IF(G450&gt;0,"Bullish",IF(G450&lt;0,"Bearish","Flat")))</f>
        <v>Bullish</v>
      </c>
      <c r="I450" s="6" t="n">
        <f aca="false">IF(OR(G450="",E450="Neutral"),"",IF(E450=H450,1,0))</f>
        <v>1</v>
      </c>
      <c r="J450" s="6" t="s">
        <v>150</v>
      </c>
    </row>
    <row r="451" customFormat="false" ht="15" hidden="false" customHeight="false" outlineLevel="0" collapsed="false">
      <c r="A451" s="19" t="n">
        <v>46276</v>
      </c>
      <c r="B451" s="6" t="s">
        <v>35</v>
      </c>
      <c r="C451" s="6" t="s">
        <v>149</v>
      </c>
      <c r="D451" s="7" t="n">
        <v>0.1729</v>
      </c>
      <c r="E451" s="6" t="str">
        <f aca="false">IF(D451&gt;Settings!$C$4,"Bullish",IF(D451&lt;-Settings!$C$4,"Bearish","Neutral"))</f>
        <v>Bullish</v>
      </c>
      <c r="F451" s="8" t="n">
        <v>0.563</v>
      </c>
      <c r="G451" s="20" t="n">
        <v>0.0063370052157354</v>
      </c>
      <c r="H451" s="6" t="str">
        <f aca="false">IF(G451="","",IF(G451&gt;0,"Bullish",IF(G451&lt;0,"Bearish","Flat")))</f>
        <v>Bullish</v>
      </c>
      <c r="I451" s="6" t="n">
        <f aca="false">IF(OR(G451="",E451="Neutral"),"",IF(E451=H451,1,0))</f>
        <v>1</v>
      </c>
      <c r="J451" s="6" t="s">
        <v>150</v>
      </c>
    </row>
    <row r="452" customFormat="false" ht="15" hidden="false" customHeight="false" outlineLevel="0" collapsed="false">
      <c r="A452" s="19" t="n">
        <v>46276</v>
      </c>
      <c r="B452" s="6" t="s">
        <v>53</v>
      </c>
      <c r="C452" s="6" t="s">
        <v>154</v>
      </c>
      <c r="D452" s="7" t="n">
        <v>0.321</v>
      </c>
      <c r="E452" s="6" t="str">
        <f aca="false">IF(D452&gt;Settings!$C$4,"Bullish",IF(D452&lt;-Settings!$C$4,"Bearish","Neutral"))</f>
        <v>Bullish</v>
      </c>
      <c r="F452" s="8" t="n">
        <v>0.535</v>
      </c>
      <c r="G452" s="20" t="n">
        <v>-0.0181159420289854</v>
      </c>
      <c r="H452" s="6" t="str">
        <f aca="false">IF(G452="","",IF(G452&gt;0,"Bullish",IF(G452&lt;0,"Bearish","Flat")))</f>
        <v>Bearish</v>
      </c>
      <c r="I452" s="6" t="n">
        <f aca="false">IF(OR(G452="",E452="Neutral"),"",IF(E452=H452,1,0))</f>
        <v>0</v>
      </c>
      <c r="J452" s="6" t="s">
        <v>150</v>
      </c>
    </row>
    <row r="453" customFormat="false" ht="15" hidden="false" customHeight="false" outlineLevel="0" collapsed="false">
      <c r="A453" s="19" t="n">
        <v>46276</v>
      </c>
      <c r="B453" s="6" t="s">
        <v>18</v>
      </c>
      <c r="C453" s="6" t="s">
        <v>154</v>
      </c>
      <c r="D453" s="7" t="n">
        <v>0.2624</v>
      </c>
      <c r="E453" s="6" t="str">
        <f aca="false">IF(D453&gt;Settings!$C$4,"Bullish",IF(D453&lt;-Settings!$C$4,"Bearish","Neutral"))</f>
        <v>Bullish</v>
      </c>
      <c r="F453" s="8" t="n">
        <v>0.481</v>
      </c>
      <c r="G453" s="20" t="n">
        <v>0.0054919790462519</v>
      </c>
      <c r="H453" s="6" t="str">
        <f aca="false">IF(G453="","",IF(G453&gt;0,"Bullish",IF(G453&lt;0,"Bearish","Flat")))</f>
        <v>Bullish</v>
      </c>
      <c r="I453" s="6" t="n">
        <f aca="false">IF(OR(G453="",E453="Neutral"),"",IF(E453=H453,1,0))</f>
        <v>1</v>
      </c>
      <c r="J453" s="6" t="s">
        <v>150</v>
      </c>
    </row>
    <row r="454" customFormat="false" ht="15" hidden="false" customHeight="false" outlineLevel="0" collapsed="false">
      <c r="A454" s="19" t="n">
        <v>46276</v>
      </c>
      <c r="B454" s="6" t="s">
        <v>18</v>
      </c>
      <c r="C454" s="6" t="s">
        <v>149</v>
      </c>
      <c r="D454" s="7" t="n">
        <v>0.3361</v>
      </c>
      <c r="E454" s="6" t="str">
        <f aca="false">IF(D454&gt;Settings!$C$4,"Bullish",IF(D454&lt;-Settings!$C$4,"Bearish","Neutral"))</f>
        <v>Bullish</v>
      </c>
      <c r="F454" s="8" t="n">
        <v>0.51</v>
      </c>
      <c r="G454" s="20" t="n">
        <v>0.0032702629532066</v>
      </c>
      <c r="H454" s="6" t="str">
        <f aca="false">IF(G454="","",IF(G454&gt;0,"Bullish",IF(G454&lt;0,"Bearish","Flat")))</f>
        <v>Bullish</v>
      </c>
      <c r="I454" s="6" t="n">
        <f aca="false">IF(OR(G454="",E454="Neutral"),"",IF(E454=H454,1,0))</f>
        <v>1</v>
      </c>
      <c r="J454" s="6" t="s">
        <v>150</v>
      </c>
    </row>
    <row r="455" customFormat="false" ht="15" hidden="false" customHeight="false" outlineLevel="0" collapsed="false">
      <c r="A455" s="19" t="n">
        <v>46279</v>
      </c>
      <c r="B455" s="6" t="s">
        <v>22</v>
      </c>
      <c r="C455" s="6" t="s">
        <v>154</v>
      </c>
      <c r="D455" s="7" t="n">
        <v>-0.3531</v>
      </c>
      <c r="E455" s="6" t="str">
        <f aca="false">IF(D455&gt;Settings!$C$4,"Bullish",IF(D455&lt;-Settings!$C$4,"Bearish","Neutral"))</f>
        <v>Bearish</v>
      </c>
      <c r="F455" s="8" t="n">
        <v>0.533</v>
      </c>
      <c r="G455" s="20"/>
      <c r="H455" s="6" t="str">
        <f aca="false">IF(G455="","",IF(G455&gt;0,"Bullish",IF(G455&lt;0,"Bearish","Flat")))</f>
        <v/>
      </c>
      <c r="I455" s="6" t="str">
        <f aca="false">IF(OR(G455="",E455="Neutral"),"",IF(E455=H455,1,0))</f>
        <v/>
      </c>
      <c r="J455" s="6" t="s">
        <v>150</v>
      </c>
    </row>
    <row r="456" customFormat="false" ht="15" hidden="false" customHeight="false" outlineLevel="0" collapsed="false">
      <c r="A456" s="19" t="n">
        <v>46279</v>
      </c>
      <c r="B456" s="6" t="s">
        <v>35</v>
      </c>
      <c r="C456" s="6" t="s">
        <v>149</v>
      </c>
      <c r="D456" s="7" t="n">
        <v>0.1872</v>
      </c>
      <c r="E456" s="6" t="str">
        <f aca="false">IF(D456&gt;Settings!$C$4,"Bullish",IF(D456&lt;-Settings!$C$4,"Bearish","Neutral"))</f>
        <v>Bullish</v>
      </c>
      <c r="F456" s="8" t="n">
        <v>0.563</v>
      </c>
      <c r="G456" s="20"/>
      <c r="H456" s="6" t="str">
        <f aca="false">IF(G456="","",IF(G456&gt;0,"Bullish",IF(G456&lt;0,"Bearish","Flat")))</f>
        <v/>
      </c>
      <c r="I456" s="6" t="str">
        <f aca="false">IF(OR(G456="",E456="Neutral"),"",IF(E456=H456,1,0))</f>
        <v/>
      </c>
      <c r="J456" s="6" t="s">
        <v>150</v>
      </c>
    </row>
    <row r="457" customFormat="false" ht="15" hidden="false" customHeight="false" outlineLevel="0" collapsed="false">
      <c r="A457" s="19" t="n">
        <v>46279</v>
      </c>
      <c r="B457" s="6" t="s">
        <v>18</v>
      </c>
      <c r="C457" s="6" t="s">
        <v>154</v>
      </c>
      <c r="D457" s="7" t="n">
        <v>-0.5669</v>
      </c>
      <c r="E457" s="6" t="str">
        <f aca="false">IF(D457&gt;Settings!$C$4,"Bullish",IF(D457&lt;-Settings!$C$4,"Bearish","Neutral"))</f>
        <v>Bearish</v>
      </c>
      <c r="F457" s="8" t="n">
        <v>0.501</v>
      </c>
      <c r="G457" s="20"/>
      <c r="H457" s="6" t="str">
        <f aca="false">IF(G457="","",IF(G457&gt;0,"Bullish",IF(G457&lt;0,"Bearish","Flat")))</f>
        <v/>
      </c>
      <c r="I457" s="6" t="str">
        <f aca="false">IF(OR(G457="",E457="Neutral"),"",IF(E457=H457,1,0))</f>
        <v/>
      </c>
      <c r="J457" s="6" t="s">
        <v>150</v>
      </c>
    </row>
    <row r="458" customFormat="false" ht="15" hidden="false" customHeight="false" outlineLevel="0" collapsed="false">
      <c r="A458" s="19" t="n">
        <v>46279</v>
      </c>
      <c r="B458" s="6" t="s">
        <v>18</v>
      </c>
      <c r="C458" s="6" t="s">
        <v>149</v>
      </c>
      <c r="D458" s="7" t="n">
        <v>0.3399</v>
      </c>
      <c r="E458" s="6" t="str">
        <f aca="false">IF(D458&gt;Settings!$C$4,"Bullish",IF(D458&lt;-Settings!$C$4,"Bearish","Neutral"))</f>
        <v>Bullish</v>
      </c>
      <c r="F458" s="8" t="n">
        <v>0.51</v>
      </c>
      <c r="G458" s="20"/>
      <c r="H458" s="6" t="str">
        <f aca="false">IF(G458="","",IF(G458&gt;0,"Bullish",IF(G458&lt;0,"Bearish","Flat")))</f>
        <v/>
      </c>
      <c r="I458" s="6" t="str">
        <f aca="false">IF(OR(G458="",E458="Neutral"),"",IF(E458=H458,1,0))</f>
        <v/>
      </c>
      <c r="J458" s="6" t="s">
        <v>150</v>
      </c>
    </row>
    <row r="459" customFormat="false" ht="15" hidden="false" customHeight="false" outlineLevel="0" collapsed="false">
      <c r="A459" s="19" t="n">
        <v>46280</v>
      </c>
      <c r="B459" s="6" t="s">
        <v>22</v>
      </c>
      <c r="C459" s="6" t="s">
        <v>154</v>
      </c>
      <c r="D459" s="7" t="n">
        <v>-0.3641</v>
      </c>
      <c r="E459" s="6" t="str">
        <f aca="false">IF(D459&gt;Settings!$C$4,"Bullish",IF(D459&lt;-Settings!$C$4,"Bearish","Neutral"))</f>
        <v>Bearish</v>
      </c>
      <c r="F459" s="8" t="n">
        <v>0.533</v>
      </c>
      <c r="G459" s="20" t="n">
        <v>-0.0191529289741888</v>
      </c>
      <c r="H459" s="6" t="str">
        <f aca="false">IF(G459="","",IF(G459&gt;0,"Bullish",IF(G459&lt;0,"Bearish","Flat")))</f>
        <v>Bearish</v>
      </c>
      <c r="I459" s="6" t="n">
        <f aca="false">IF(OR(G459="",E459="Neutral"),"",IF(E459=H459,1,0))</f>
        <v>1</v>
      </c>
      <c r="J459" s="6" t="s">
        <v>150</v>
      </c>
    </row>
    <row r="460" customFormat="false" ht="15" hidden="false" customHeight="false" outlineLevel="0" collapsed="false">
      <c r="A460" s="19" t="n">
        <v>46280</v>
      </c>
      <c r="B460" s="6" t="s">
        <v>35</v>
      </c>
      <c r="C460" s="6" t="s">
        <v>149</v>
      </c>
      <c r="D460" s="7" t="n">
        <v>0.2908</v>
      </c>
      <c r="E460" s="6" t="str">
        <f aca="false">IF(D460&gt;Settings!$C$4,"Bullish",IF(D460&lt;-Settings!$C$4,"Bearish","Neutral"))</f>
        <v>Bullish</v>
      </c>
      <c r="F460" s="8" t="n">
        <v>0.563</v>
      </c>
      <c r="G460" s="20" t="n">
        <v>-0.0364342160452255</v>
      </c>
      <c r="H460" s="6" t="str">
        <f aca="false">IF(G460="","",IF(G460&gt;0,"Bullish",IF(G460&lt;0,"Bearish","Flat")))</f>
        <v>Bearish</v>
      </c>
      <c r="I460" s="6" t="n">
        <f aca="false">IF(OR(G460="",E460="Neutral"),"",IF(E460=H460,1,0))</f>
        <v>0</v>
      </c>
      <c r="J460" s="6" t="s">
        <v>150</v>
      </c>
    </row>
    <row r="461" customFormat="false" ht="15" hidden="false" customHeight="false" outlineLevel="0" collapsed="false">
      <c r="A461" s="19" t="n">
        <v>46280</v>
      </c>
      <c r="B461" s="6" t="s">
        <v>18</v>
      </c>
      <c r="C461" s="6" t="s">
        <v>154</v>
      </c>
      <c r="D461" s="7" t="n">
        <v>-0.2114</v>
      </c>
      <c r="E461" s="6" t="str">
        <f aca="false">IF(D461&gt;Settings!$C$4,"Bullish",IF(D461&lt;-Settings!$C$4,"Bearish","Neutral"))</f>
        <v>Bearish</v>
      </c>
      <c r="F461" s="8" t="n">
        <v>0.481</v>
      </c>
      <c r="G461" s="20" t="n">
        <v>-0.0194073247752496</v>
      </c>
      <c r="H461" s="6" t="str">
        <f aca="false">IF(G461="","",IF(G461&gt;0,"Bullish",IF(G461&lt;0,"Bearish","Flat")))</f>
        <v>Bearish</v>
      </c>
      <c r="I461" s="6" t="n">
        <f aca="false">IF(OR(G461="",E461="Neutral"),"",IF(E461=H461,1,0))</f>
        <v>1</v>
      </c>
      <c r="J461" s="6" t="s">
        <v>150</v>
      </c>
    </row>
    <row r="462" customFormat="false" ht="15" hidden="false" customHeight="false" outlineLevel="0" collapsed="false">
      <c r="A462" s="19" t="n">
        <v>46280</v>
      </c>
      <c r="B462" s="6" t="s">
        <v>18</v>
      </c>
      <c r="C462" s="6" t="s">
        <v>149</v>
      </c>
      <c r="D462" s="7" t="n">
        <v>0.4066</v>
      </c>
      <c r="E462" s="6" t="str">
        <f aca="false">IF(D462&gt;Settings!$C$4,"Bullish",IF(D462&lt;-Settings!$C$4,"Bearish","Neutral"))</f>
        <v>Bullish</v>
      </c>
      <c r="F462" s="8" t="n">
        <v>0.51</v>
      </c>
      <c r="G462" s="20" t="n">
        <v>-0.0068649885583524</v>
      </c>
      <c r="H462" s="6" t="str">
        <f aca="false">IF(G462="","",IF(G462&gt;0,"Bullish",IF(G462&lt;0,"Bearish","Flat")))</f>
        <v>Bearish</v>
      </c>
      <c r="I462" s="6" t="n">
        <f aca="false">IF(OR(G462="",E462="Neutral"),"",IF(E462=H462,1,0))</f>
        <v>0</v>
      </c>
      <c r="J462" s="6" t="s">
        <v>150</v>
      </c>
    </row>
    <row r="463" customFormat="false" ht="15" hidden="false" customHeight="false" outlineLevel="0" collapsed="false">
      <c r="A463" s="19" t="n">
        <v>46281</v>
      </c>
      <c r="B463" s="6" t="s">
        <v>35</v>
      </c>
      <c r="C463" s="6" t="s">
        <v>154</v>
      </c>
      <c r="D463" s="7" t="n">
        <v>-0.1501</v>
      </c>
      <c r="E463" s="6" t="str">
        <f aca="false">IF(D463&gt;Settings!$C$4,"Bullish",IF(D463&lt;-Settings!$C$4,"Bearish","Neutral"))</f>
        <v>Bearish</v>
      </c>
      <c r="F463" s="8" t="n">
        <v>0.531</v>
      </c>
      <c r="G463" s="20" t="n">
        <v>-0.0205007669266864</v>
      </c>
      <c r="H463" s="6" t="str">
        <f aca="false">IF(G463="","",IF(G463&gt;0,"Bullish",IF(G463&lt;0,"Bearish","Flat")))</f>
        <v>Bearish</v>
      </c>
      <c r="I463" s="6" t="n">
        <f aca="false">IF(OR(G463="",E463="Neutral"),"",IF(E463=H463,1,0))</f>
        <v>1</v>
      </c>
      <c r="J463" s="6" t="s">
        <v>150</v>
      </c>
    </row>
    <row r="464" customFormat="false" ht="15" hidden="false" customHeight="false" outlineLevel="0" collapsed="false">
      <c r="A464" s="19" t="n">
        <v>46281</v>
      </c>
      <c r="B464" s="6" t="s">
        <v>53</v>
      </c>
      <c r="C464" s="6" t="s">
        <v>154</v>
      </c>
      <c r="D464" s="7" t="n">
        <v>0.3091</v>
      </c>
      <c r="E464" s="6" t="str">
        <f aca="false">IF(D464&gt;Settings!$C$4,"Bullish",IF(D464&lt;-Settings!$C$4,"Bearish","Neutral"))</f>
        <v>Bullish</v>
      </c>
      <c r="F464" s="8" t="n">
        <v>0.535</v>
      </c>
      <c r="G464" s="20" t="n">
        <v>0.0101010101010099</v>
      </c>
      <c r="H464" s="6" t="str">
        <f aca="false">IF(G464="","",IF(G464&gt;0,"Bullish",IF(G464&lt;0,"Bearish","Flat")))</f>
        <v>Bullish</v>
      </c>
      <c r="I464" s="6" t="n">
        <f aca="false">IF(OR(G464="",E464="Neutral"),"",IF(E464=H464,1,0))</f>
        <v>1</v>
      </c>
      <c r="J464" s="6" t="s">
        <v>150</v>
      </c>
    </row>
    <row r="465" customFormat="false" ht="15" hidden="false" customHeight="false" outlineLevel="0" collapsed="false">
      <c r="A465" s="19" t="n">
        <v>46281</v>
      </c>
      <c r="B465" s="6" t="s">
        <v>18</v>
      </c>
      <c r="C465" s="6" t="s">
        <v>154</v>
      </c>
      <c r="D465" s="7" t="n">
        <v>0.4928</v>
      </c>
      <c r="E465" s="6" t="str">
        <f aca="false">IF(D465&gt;Settings!$C$4,"Bullish",IF(D465&lt;-Settings!$C$4,"Bearish","Neutral"))</f>
        <v>Bullish</v>
      </c>
      <c r="F465" s="8" t="n">
        <v>0.529</v>
      </c>
      <c r="G465" s="20" t="n">
        <v>0.000689607613268</v>
      </c>
      <c r="H465" s="6" t="str">
        <f aca="false">IF(G465="","",IF(G465&gt;0,"Bullish",IF(G465&lt;0,"Bearish","Flat")))</f>
        <v>Bullish</v>
      </c>
      <c r="I465" s="6" t="n">
        <f aca="false">IF(OR(G465="",E465="Neutral"),"",IF(E465=H465,1,0))</f>
        <v>1</v>
      </c>
      <c r="J465" s="6" t="s">
        <v>150</v>
      </c>
    </row>
    <row r="466" customFormat="false" ht="15" hidden="false" customHeight="false" outlineLevel="0" collapsed="false">
      <c r="A466" s="19" t="n">
        <v>46281</v>
      </c>
      <c r="B466" s="6" t="s">
        <v>18</v>
      </c>
      <c r="C466" s="6" t="s">
        <v>149</v>
      </c>
      <c r="D466" s="7" t="n">
        <v>0.4703</v>
      </c>
      <c r="E466" s="6" t="str">
        <f aca="false">IF(D466&gt;Settings!$C$4,"Bullish",IF(D466&lt;-Settings!$C$4,"Bearish","Neutral"))</f>
        <v>Bullish</v>
      </c>
      <c r="F466" s="8" t="n">
        <v>0.51</v>
      </c>
      <c r="G466" s="20" t="n">
        <v>0.005491000620647</v>
      </c>
      <c r="H466" s="6" t="str">
        <f aca="false">IF(G466="","",IF(G466&gt;0,"Bullish",IF(G466&lt;0,"Bearish","Flat")))</f>
        <v>Bullish</v>
      </c>
      <c r="I466" s="6" t="n">
        <f aca="false">IF(OR(G466="",E466="Neutral"),"",IF(E466=H466,1,0))</f>
        <v>1</v>
      </c>
      <c r="J466" s="6" t="s">
        <v>150</v>
      </c>
    </row>
    <row r="467" customFormat="false" ht="15" hidden="false" customHeight="false" outlineLevel="0" collapsed="false">
      <c r="A467" s="19" t="n">
        <v>46282</v>
      </c>
      <c r="B467" s="6" t="s">
        <v>18</v>
      </c>
      <c r="C467" s="6" t="s">
        <v>154</v>
      </c>
      <c r="D467" s="7" t="n">
        <v>0.328</v>
      </c>
      <c r="E467" s="6" t="str">
        <f aca="false">IF(D467&gt;Settings!$C$4,"Bullish",IF(D467&lt;-Settings!$C$4,"Bearish","Neutral"))</f>
        <v>Bullish</v>
      </c>
      <c r="F467" s="8" t="n">
        <v>0.529</v>
      </c>
      <c r="G467" s="20" t="n">
        <v>0.0032485099319903</v>
      </c>
      <c r="H467" s="6" t="str">
        <f aca="false">IF(G467="","",IF(G467&gt;0,"Bullish",IF(G467&lt;0,"Bearish","Flat")))</f>
        <v>Bullish</v>
      </c>
      <c r="I467" s="6" t="n">
        <f aca="false">IF(OR(G467="",E467="Neutral"),"",IF(E467=H467,1,0))</f>
        <v>1</v>
      </c>
      <c r="J467" s="6" t="s">
        <v>150</v>
      </c>
    </row>
    <row r="468" customFormat="false" ht="15" hidden="false" customHeight="false" outlineLevel="0" collapsed="false">
      <c r="A468" s="19" t="n">
        <v>46282</v>
      </c>
      <c r="B468" s="6" t="s">
        <v>18</v>
      </c>
      <c r="C468" s="6" t="s">
        <v>149</v>
      </c>
      <c r="D468" s="7" t="n">
        <v>0.5297</v>
      </c>
      <c r="E468" s="6" t="str">
        <f aca="false">IF(D468&gt;Settings!$C$4,"Bullish",IF(D468&lt;-Settings!$C$4,"Bearish","Neutral"))</f>
        <v>Bullish</v>
      </c>
      <c r="F468" s="8" t="n">
        <v>0.476</v>
      </c>
      <c r="G468" s="20" t="n">
        <v>0.0108448928121058</v>
      </c>
      <c r="H468" s="6" t="str">
        <f aca="false">IF(G468="","",IF(G468&gt;0,"Bullish",IF(G468&lt;0,"Bearish","Flat")))</f>
        <v>Bullish</v>
      </c>
      <c r="I468" s="6" t="n">
        <f aca="false">IF(OR(G468="",E468="Neutral"),"",IF(E468=H468,1,0))</f>
        <v>1</v>
      </c>
      <c r="J468" s="6" t="s">
        <v>150</v>
      </c>
    </row>
    <row r="469" customFormat="false" ht="15" hidden="false" customHeight="false" outlineLevel="0" collapsed="false">
      <c r="A469" s="19" t="n">
        <v>46283</v>
      </c>
      <c r="B469" s="6" t="s">
        <v>18</v>
      </c>
      <c r="C469" s="6" t="s">
        <v>154</v>
      </c>
      <c r="D469" s="7" t="n">
        <v>0.9155</v>
      </c>
      <c r="E469" s="6" t="str">
        <f aca="false">IF(D469&gt;Settings!$C$4,"Bullish",IF(D469&lt;-Settings!$C$4,"Bearish","Neutral"))</f>
        <v>Bullish</v>
      </c>
      <c r="F469" s="8" t="n">
        <v>0.501</v>
      </c>
      <c r="G469" s="20" t="n">
        <v>0.000501399203761</v>
      </c>
      <c r="H469" s="6" t="str">
        <f aca="false">IF(G469="","",IF(G469&gt;0,"Bullish",IF(G469&lt;0,"Bearish","Flat")))</f>
        <v>Bullish</v>
      </c>
      <c r="I469" s="6" t="n">
        <f aca="false">IF(OR(G469="",E469="Neutral"),"",IF(E469=H469,1,0))</f>
        <v>1</v>
      </c>
      <c r="J469" s="6" t="s">
        <v>150</v>
      </c>
    </row>
    <row r="470" customFormat="false" ht="15" hidden="false" customHeight="false" outlineLevel="0" collapsed="false">
      <c r="A470" s="19" t="n">
        <v>46283</v>
      </c>
      <c r="B470" s="6" t="s">
        <v>18</v>
      </c>
      <c r="C470" s="6" t="s">
        <v>149</v>
      </c>
      <c r="D470" s="7" t="n">
        <v>0.5623</v>
      </c>
      <c r="E470" s="6" t="str">
        <f aca="false">IF(D470&gt;Settings!$C$4,"Bullish",IF(D470&lt;-Settings!$C$4,"Bearish","Neutral"))</f>
        <v>Bullish</v>
      </c>
      <c r="F470" s="8" t="n">
        <v>0.476</v>
      </c>
      <c r="G470" s="20" t="n">
        <v>-0.0116393182685015</v>
      </c>
      <c r="H470" s="6" t="str">
        <f aca="false">IF(G470="","",IF(G470&gt;0,"Bullish",IF(G470&lt;0,"Bearish","Flat")))</f>
        <v>Bearish</v>
      </c>
      <c r="I470" s="6" t="n">
        <f aca="false">IF(OR(G470="",E470="Neutral"),"",IF(E470=H470,1,0))</f>
        <v>0</v>
      </c>
      <c r="J470" s="6" t="s">
        <v>150</v>
      </c>
    </row>
    <row r="471" customFormat="false" ht="15" hidden="false" customHeight="false" outlineLevel="0" collapsed="false">
      <c r="A471" s="19" t="n">
        <v>46286</v>
      </c>
      <c r="B471" s="6" t="s">
        <v>18</v>
      </c>
      <c r="C471" s="6" t="s">
        <v>154</v>
      </c>
      <c r="D471" s="7" t="n">
        <v>0.2687</v>
      </c>
      <c r="E471" s="6" t="str">
        <f aca="false">IF(D471&gt;Settings!$C$4,"Bullish",IF(D471&lt;-Settings!$C$4,"Bearish","Neutral"))</f>
        <v>Bullish</v>
      </c>
      <c r="F471" s="8" t="n">
        <v>0.481</v>
      </c>
      <c r="G471" s="20" t="n">
        <v>0.0036047697833707</v>
      </c>
      <c r="H471" s="6" t="str">
        <f aca="false">IF(G471="","",IF(G471&gt;0,"Bullish",IF(G471&lt;0,"Bearish","Flat")))</f>
        <v>Bullish</v>
      </c>
      <c r="I471" s="6" t="n">
        <f aca="false">IF(OR(G471="",E471="Neutral"),"",IF(E471=H471,1,0))</f>
        <v>1</v>
      </c>
      <c r="J471" s="6" t="s">
        <v>150</v>
      </c>
    </row>
    <row r="472" customFormat="false" ht="15" hidden="false" customHeight="false" outlineLevel="0" collapsed="false">
      <c r="A472" s="19" t="n">
        <v>46286</v>
      </c>
      <c r="B472" s="6" t="s">
        <v>18</v>
      </c>
      <c r="C472" s="6" t="s">
        <v>149</v>
      </c>
      <c r="D472" s="7" t="n">
        <v>0.6082</v>
      </c>
      <c r="E472" s="6" t="str">
        <f aca="false">IF(D472&gt;Settings!$C$4,"Bullish",IF(D472&lt;-Settings!$C$4,"Bearish","Neutral"))</f>
        <v>Bullish</v>
      </c>
      <c r="F472" s="8" t="n">
        <v>0.476</v>
      </c>
      <c r="G472" s="20" t="n">
        <v>-0.0081310918894823</v>
      </c>
      <c r="H472" s="6" t="str">
        <f aca="false">IF(G472="","",IF(G472&gt;0,"Bullish",IF(G472&lt;0,"Bearish","Flat")))</f>
        <v>Bearish</v>
      </c>
      <c r="I472" s="6" t="n">
        <f aca="false">IF(OR(G472="",E472="Neutral"),"",IF(E472=H472,1,0))</f>
        <v>0</v>
      </c>
      <c r="J472" s="6" t="s">
        <v>150</v>
      </c>
    </row>
    <row r="473" customFormat="false" ht="15" hidden="false" customHeight="false" outlineLevel="0" collapsed="false">
      <c r="A473" s="19" t="n">
        <v>46287</v>
      </c>
      <c r="B473" s="6" t="s">
        <v>18</v>
      </c>
      <c r="C473" s="6" t="s">
        <v>154</v>
      </c>
      <c r="D473" s="7" t="n">
        <v>0.5667</v>
      </c>
      <c r="E473" s="6" t="str">
        <f aca="false">IF(D473&gt;Settings!$C$4,"Bullish",IF(D473&lt;-Settings!$C$4,"Bearish","Neutral"))</f>
        <v>Bullish</v>
      </c>
      <c r="F473" s="8" t="n">
        <v>0.501</v>
      </c>
      <c r="G473" s="20" t="n">
        <v>-0.0053317017743204</v>
      </c>
      <c r="H473" s="6" t="str">
        <f aca="false">IF(G473="","",IF(G473&gt;0,"Bullish",IF(G473&lt;0,"Bearish","Flat")))</f>
        <v>Bearish</v>
      </c>
      <c r="I473" s="6" t="n">
        <f aca="false">IF(OR(G473="",E473="Neutral"),"",IF(E473=H473,1,0))</f>
        <v>0</v>
      </c>
      <c r="J473" s="6" t="s">
        <v>150</v>
      </c>
    </row>
    <row r="474" customFormat="false" ht="15" hidden="false" customHeight="false" outlineLevel="0" collapsed="false">
      <c r="A474" s="19" t="n">
        <v>46287</v>
      </c>
      <c r="B474" s="6" t="s">
        <v>18</v>
      </c>
      <c r="C474" s="6" t="s">
        <v>149</v>
      </c>
      <c r="D474" s="7" t="n">
        <v>0.5897</v>
      </c>
      <c r="E474" s="6" t="str">
        <f aca="false">IF(D474&gt;Settings!$C$4,"Bullish",IF(D474&lt;-Settings!$C$4,"Bearish","Neutral"))</f>
        <v>Bullish</v>
      </c>
      <c r="F474" s="8" t="n">
        <v>0.476</v>
      </c>
      <c r="G474" s="20" t="n">
        <v>-0.0287285138387612</v>
      </c>
      <c r="H474" s="6" t="str">
        <f aca="false">IF(G474="","",IF(G474&gt;0,"Bullish",IF(G474&lt;0,"Bearish","Flat")))</f>
        <v>Bearish</v>
      </c>
      <c r="I474" s="6" t="n">
        <f aca="false">IF(OR(G474="",E474="Neutral"),"",IF(E474=H474,1,0))</f>
        <v>0</v>
      </c>
      <c r="J474" s="6" t="s">
        <v>150</v>
      </c>
    </row>
    <row r="475" customFormat="false" ht="15" hidden="false" customHeight="false" outlineLevel="0" collapsed="false">
      <c r="A475" s="19" t="n">
        <v>46288</v>
      </c>
      <c r="B475" s="6" t="s">
        <v>18</v>
      </c>
      <c r="C475" s="6" t="s">
        <v>154</v>
      </c>
      <c r="D475" s="7" t="n">
        <v>0.6794</v>
      </c>
      <c r="E475" s="6" t="str">
        <f aca="false">IF(D475&gt;Settings!$C$4,"Bullish",IF(D475&lt;-Settings!$C$4,"Bearish","Neutral"))</f>
        <v>Bullish</v>
      </c>
      <c r="F475" s="8" t="n">
        <v>0.501</v>
      </c>
      <c r="G475" s="20" t="n">
        <v>0.00405315998741</v>
      </c>
      <c r="H475" s="6" t="str">
        <f aca="false">IF(G475="","",IF(G475&gt;0,"Bullish",IF(G475&lt;0,"Bearish","Flat")))</f>
        <v>Bullish</v>
      </c>
      <c r="I475" s="6" t="n">
        <f aca="false">IF(OR(G475="",E475="Neutral"),"",IF(E475=H475,1,0))</f>
        <v>1</v>
      </c>
      <c r="J475" s="6" t="s">
        <v>150</v>
      </c>
    </row>
    <row r="476" customFormat="false" ht="15" hidden="false" customHeight="false" outlineLevel="0" collapsed="false">
      <c r="A476" s="19" t="n">
        <v>46288</v>
      </c>
      <c r="B476" s="6" t="s">
        <v>18</v>
      </c>
      <c r="C476" s="6" t="s">
        <v>149</v>
      </c>
      <c r="D476" s="7" t="n">
        <v>0.5731</v>
      </c>
      <c r="E476" s="6" t="str">
        <f aca="false">IF(D476&gt;Settings!$C$4,"Bullish",IF(D476&lt;-Settings!$C$4,"Bearish","Neutral"))</f>
        <v>Bullish</v>
      </c>
      <c r="F476" s="8" t="n">
        <v>0.476</v>
      </c>
      <c r="G476" s="20" t="n">
        <v>-0.027233038499667</v>
      </c>
      <c r="H476" s="6" t="str">
        <f aca="false">IF(G476="","",IF(G476&gt;0,"Bullish",IF(G476&lt;0,"Bearish","Flat")))</f>
        <v>Bearish</v>
      </c>
      <c r="I476" s="6" t="n">
        <f aca="false">IF(OR(G476="",E476="Neutral"),"",IF(E476=H476,1,0))</f>
        <v>0</v>
      </c>
      <c r="J476" s="6" t="s">
        <v>150</v>
      </c>
    </row>
    <row r="477" customFormat="false" ht="15" hidden="false" customHeight="false" outlineLevel="0" collapsed="false">
      <c r="A477" s="19" t="n">
        <v>46289</v>
      </c>
      <c r="B477" s="6" t="s">
        <v>53</v>
      </c>
      <c r="C477" s="6" t="s">
        <v>154</v>
      </c>
      <c r="D477" s="7" t="n">
        <v>-0.3012</v>
      </c>
      <c r="E477" s="6" t="str">
        <f aca="false">IF(D477&gt;Settings!$C$4,"Bullish",IF(D477&lt;-Settings!$C$4,"Bearish","Neutral"))</f>
        <v>Bearish</v>
      </c>
      <c r="F477" s="8" t="n">
        <v>0.535</v>
      </c>
      <c r="G477" s="20" t="n">
        <v>-0.0196078431372549</v>
      </c>
      <c r="H477" s="6" t="str">
        <f aca="false">IF(G477="","",IF(G477&gt;0,"Bullish",IF(G477&lt;0,"Bearish","Flat")))</f>
        <v>Bearish</v>
      </c>
      <c r="I477" s="6" t="n">
        <f aca="false">IF(OR(G477="",E477="Neutral"),"",IF(E477=H477,1,0))</f>
        <v>1</v>
      </c>
      <c r="J477" s="6" t="s">
        <v>150</v>
      </c>
    </row>
    <row r="478" customFormat="false" ht="15" hidden="false" customHeight="false" outlineLevel="0" collapsed="false">
      <c r="A478" s="19" t="n">
        <v>46289</v>
      </c>
      <c r="B478" s="6" t="s">
        <v>18</v>
      </c>
      <c r="C478" s="6" t="s">
        <v>154</v>
      </c>
      <c r="D478" s="7" t="n">
        <v>-0.5005</v>
      </c>
      <c r="E478" s="6" t="str">
        <f aca="false">IF(D478&gt;Settings!$C$4,"Bullish",IF(D478&lt;-Settings!$C$4,"Bearish","Neutral"))</f>
        <v>Bearish</v>
      </c>
      <c r="F478" s="8" t="n">
        <v>0.501</v>
      </c>
      <c r="G478" s="20" t="n">
        <v>-0.0068340955481487</v>
      </c>
      <c r="H478" s="6" t="str">
        <f aca="false">IF(G478="","",IF(G478&gt;0,"Bullish",IF(G478&lt;0,"Bearish","Flat")))</f>
        <v>Bearish</v>
      </c>
      <c r="I478" s="6" t="n">
        <f aca="false">IF(OR(G478="",E478="Neutral"),"",IF(E478=H478,1,0))</f>
        <v>1</v>
      </c>
      <c r="J478" s="6" t="s">
        <v>150</v>
      </c>
    </row>
    <row r="479" customFormat="false" ht="15" hidden="false" customHeight="false" outlineLevel="0" collapsed="false">
      <c r="A479" s="19" t="n">
        <v>46289</v>
      </c>
      <c r="B479" s="6" t="s">
        <v>18</v>
      </c>
      <c r="C479" s="6" t="s">
        <v>149</v>
      </c>
      <c r="D479" s="7" t="n">
        <v>0.5631</v>
      </c>
      <c r="E479" s="6" t="str">
        <f aca="false">IF(D479&gt;Settings!$C$4,"Bullish",IF(D479&lt;-Settings!$C$4,"Bearish","Neutral"))</f>
        <v>Bullish</v>
      </c>
      <c r="F479" s="8" t="n">
        <v>0.476</v>
      </c>
      <c r="G479" s="20" t="n">
        <v>-0.0258959253804613</v>
      </c>
      <c r="H479" s="6" t="str">
        <f aca="false">IF(G479="","",IF(G479&gt;0,"Bullish",IF(G479&lt;0,"Bearish","Flat")))</f>
        <v>Bearish</v>
      </c>
      <c r="I479" s="6" t="n">
        <f aca="false">IF(OR(G479="",E479="Neutral"),"",IF(E479=H479,1,0))</f>
        <v>0</v>
      </c>
      <c r="J479" s="6" t="s">
        <v>150</v>
      </c>
    </row>
    <row r="480" customFormat="false" ht="15" hidden="false" customHeight="false" outlineLevel="0" collapsed="false">
      <c r="A480" s="19" t="n">
        <v>46290</v>
      </c>
      <c r="B480" s="6" t="s">
        <v>18</v>
      </c>
      <c r="C480" s="6" t="s">
        <v>154</v>
      </c>
      <c r="D480" s="7" t="n">
        <v>0.368</v>
      </c>
      <c r="E480" s="6" t="str">
        <f aca="false">IF(D480&gt;Settings!$C$4,"Bullish",IF(D480&lt;-Settings!$C$4,"Bearish","Neutral"))</f>
        <v>Bullish</v>
      </c>
      <c r="F480" s="8" t="n">
        <v>0.529</v>
      </c>
      <c r="G480" s="20" t="n">
        <v>0.0045799869763403</v>
      </c>
      <c r="H480" s="6" t="str">
        <f aca="false">IF(G480="","",IF(G480&gt;0,"Bullish",IF(G480&lt;0,"Bearish","Flat")))</f>
        <v>Bullish</v>
      </c>
      <c r="I480" s="6" t="n">
        <f aca="false">IF(OR(G480="",E480="Neutral"),"",IF(E480=H480,1,0))</f>
        <v>1</v>
      </c>
      <c r="J480" s="6" t="s">
        <v>150</v>
      </c>
    </row>
    <row r="481" customFormat="false" ht="15" hidden="false" customHeight="false" outlineLevel="0" collapsed="false">
      <c r="A481" s="19" t="n">
        <v>46290</v>
      </c>
      <c r="B481" s="6" t="s">
        <v>18</v>
      </c>
      <c r="C481" s="6" t="s">
        <v>149</v>
      </c>
      <c r="D481" s="7" t="n">
        <v>0.5572</v>
      </c>
      <c r="E481" s="6" t="str">
        <f aca="false">IF(D481&gt;Settings!$C$4,"Bullish",IF(D481&lt;-Settings!$C$4,"Bearish","Neutral"))</f>
        <v>Bullish</v>
      </c>
      <c r="F481" s="8" t="n">
        <v>0.476</v>
      </c>
      <c r="G481" s="20" t="n">
        <v>-0.026613848491426</v>
      </c>
      <c r="H481" s="6" t="str">
        <f aca="false">IF(G481="","",IF(G481&gt;0,"Bullish",IF(G481&lt;0,"Bearish","Flat")))</f>
        <v>Bearish</v>
      </c>
      <c r="I481" s="6" t="n">
        <f aca="false">IF(OR(G481="",E481="Neutral"),"",IF(E481=H481,1,0))</f>
        <v>0</v>
      </c>
      <c r="J481" s="6" t="s">
        <v>150</v>
      </c>
    </row>
    <row r="482" customFormat="false" ht="15" hidden="false" customHeight="false" outlineLevel="0" collapsed="false">
      <c r="A482" s="19" t="n">
        <v>46290</v>
      </c>
      <c r="B482" s="6" t="s">
        <v>51</v>
      </c>
      <c r="C482" s="6" t="s">
        <v>149</v>
      </c>
      <c r="D482" s="7" t="n">
        <v>0.1544</v>
      </c>
      <c r="E482" s="6" t="str">
        <f aca="false">IF(D482&gt;Settings!$C$4,"Bullish",IF(D482&lt;-Settings!$C$4,"Bearish","Neutral"))</f>
        <v>Bullish</v>
      </c>
      <c r="F482" s="8" t="n">
        <v>0.534</v>
      </c>
      <c r="G482" s="20" t="n">
        <v>-0.0376706012541496</v>
      </c>
      <c r="H482" s="6" t="str">
        <f aca="false">IF(G482="","",IF(G482&gt;0,"Bullish",IF(G482&lt;0,"Bearish","Flat")))</f>
        <v>Bearish</v>
      </c>
      <c r="I482" s="6" t="n">
        <f aca="false">IF(OR(G482="",E482="Neutral"),"",IF(E482=H482,1,0))</f>
        <v>0</v>
      </c>
      <c r="J482" s="6" t="s">
        <v>150</v>
      </c>
    </row>
    <row r="483" customFormat="false" ht="15" hidden="false" customHeight="false" outlineLevel="0" collapsed="false">
      <c r="A483" s="19" t="n">
        <v>46293</v>
      </c>
      <c r="B483" s="6" t="s">
        <v>22</v>
      </c>
      <c r="C483" s="6" t="s">
        <v>154</v>
      </c>
      <c r="D483" s="7" t="n">
        <v>0.3655</v>
      </c>
      <c r="E483" s="6" t="str">
        <f aca="false">IF(D483&gt;Settings!$C$4,"Bullish",IF(D483&lt;-Settings!$C$4,"Bearish","Neutral"))</f>
        <v>Bullish</v>
      </c>
      <c r="F483" s="8" t="n">
        <v>0.533</v>
      </c>
      <c r="G483" s="20" t="n">
        <v>-0.0158298974846335</v>
      </c>
      <c r="H483" s="6" t="str">
        <f aca="false">IF(G483="","",IF(G483&gt;0,"Bullish",IF(G483&lt;0,"Bearish","Flat")))</f>
        <v>Bearish</v>
      </c>
      <c r="I483" s="6" t="n">
        <f aca="false">IF(OR(G483="",E483="Neutral"),"",IF(E483=H483,1,0))</f>
        <v>0</v>
      </c>
      <c r="J483" s="6" t="s">
        <v>150</v>
      </c>
    </row>
    <row r="484" customFormat="false" ht="15" hidden="false" customHeight="false" outlineLevel="0" collapsed="false">
      <c r="A484" s="19" t="n">
        <v>46293</v>
      </c>
      <c r="B484" s="6" t="s">
        <v>53</v>
      </c>
      <c r="C484" s="6" t="s">
        <v>154</v>
      </c>
      <c r="D484" s="7" t="n">
        <v>-0.3836</v>
      </c>
      <c r="E484" s="6" t="str">
        <f aca="false">IF(D484&gt;Settings!$C$4,"Bullish",IF(D484&lt;-Settings!$C$4,"Bearish","Neutral"))</f>
        <v>Bearish</v>
      </c>
      <c r="F484" s="8" t="n">
        <v>0.535</v>
      </c>
      <c r="G484" s="20" t="n">
        <v>-0.0249221183800623</v>
      </c>
      <c r="H484" s="6" t="str">
        <f aca="false">IF(G484="","",IF(G484&gt;0,"Bullish",IF(G484&lt;0,"Bearish","Flat")))</f>
        <v>Bearish</v>
      </c>
      <c r="I484" s="6" t="n">
        <f aca="false">IF(OR(G484="",E484="Neutral"),"",IF(E484=H484,1,0))</f>
        <v>1</v>
      </c>
      <c r="J484" s="6" t="s">
        <v>150</v>
      </c>
    </row>
    <row r="485" customFormat="false" ht="15" hidden="false" customHeight="false" outlineLevel="0" collapsed="false">
      <c r="A485" s="19" t="n">
        <v>46293</v>
      </c>
      <c r="B485" s="6" t="s">
        <v>18</v>
      </c>
      <c r="C485" s="6" t="s">
        <v>154</v>
      </c>
      <c r="D485" s="7" t="n">
        <v>-0.207</v>
      </c>
      <c r="E485" s="6" t="str">
        <f aca="false">IF(D485&gt;Settings!$C$4,"Bullish",IF(D485&lt;-Settings!$C$4,"Bearish","Neutral"))</f>
        <v>Bearish</v>
      </c>
      <c r="F485" s="8" t="n">
        <v>0.481</v>
      </c>
      <c r="G485" s="20" t="n">
        <v>-0.0123412631314249</v>
      </c>
      <c r="H485" s="6" t="str">
        <f aca="false">IF(G485="","",IF(G485&gt;0,"Bullish",IF(G485&lt;0,"Bearish","Flat")))</f>
        <v>Bearish</v>
      </c>
      <c r="I485" s="6" t="n">
        <f aca="false">IF(OR(G485="",E485="Neutral"),"",IF(E485=H485,1,0))</f>
        <v>1</v>
      </c>
      <c r="J485" s="6" t="s">
        <v>150</v>
      </c>
    </row>
    <row r="486" customFormat="false" ht="15" hidden="false" customHeight="false" outlineLevel="0" collapsed="false">
      <c r="A486" s="19" t="n">
        <v>46293</v>
      </c>
      <c r="B486" s="6" t="s">
        <v>18</v>
      </c>
      <c r="C486" s="6" t="s">
        <v>149</v>
      </c>
      <c r="D486" s="7" t="n">
        <v>0.5374</v>
      </c>
      <c r="E486" s="6" t="str">
        <f aca="false">IF(D486&gt;Settings!$C$4,"Bullish",IF(D486&lt;-Settings!$C$4,"Bearish","Neutral"))</f>
        <v>Bullish</v>
      </c>
      <c r="F486" s="8" t="n">
        <v>0.476</v>
      </c>
      <c r="G486" s="20" t="n">
        <v>-0.0220746675684698</v>
      </c>
      <c r="H486" s="6" t="str">
        <f aca="false">IF(G486="","",IF(G486&gt;0,"Bullish",IF(G486&lt;0,"Bearish","Flat")))</f>
        <v>Bearish</v>
      </c>
      <c r="I486" s="6" t="n">
        <f aca="false">IF(OR(G486="",E486="Neutral"),"",IF(E486=H486,1,0))</f>
        <v>0</v>
      </c>
      <c r="J486" s="6" t="s">
        <v>150</v>
      </c>
    </row>
    <row r="487" customFormat="false" ht="15" hidden="false" customHeight="false" outlineLevel="0" collapsed="false">
      <c r="A487" s="19" t="n">
        <v>46293</v>
      </c>
      <c r="B487" s="6" t="s">
        <v>51</v>
      </c>
      <c r="C487" s="6" t="s">
        <v>149</v>
      </c>
      <c r="D487" s="7" t="n">
        <v>0.1984</v>
      </c>
      <c r="E487" s="6" t="str">
        <f aca="false">IF(D487&gt;Settings!$C$4,"Bullish",IF(D487&lt;-Settings!$C$4,"Bearish","Neutral"))</f>
        <v>Bullish</v>
      </c>
      <c r="F487" s="8" t="n">
        <v>0.534</v>
      </c>
      <c r="G487" s="20" t="n">
        <v>-0.0077283372365339</v>
      </c>
      <c r="H487" s="6" t="str">
        <f aca="false">IF(G487="","",IF(G487&gt;0,"Bullish",IF(G487&lt;0,"Bearish","Flat")))</f>
        <v>Bearish</v>
      </c>
      <c r="I487" s="6" t="n">
        <f aca="false">IF(OR(G487="",E487="Neutral"),"",IF(E487=H487,1,0))</f>
        <v>0</v>
      </c>
      <c r="J487" s="6" t="s">
        <v>150</v>
      </c>
    </row>
    <row r="488" customFormat="false" ht="15" hidden="false" customHeight="false" outlineLevel="0" collapsed="false">
      <c r="A488" s="19" t="n">
        <v>46294</v>
      </c>
      <c r="B488" s="6" t="s">
        <v>18</v>
      </c>
      <c r="C488" s="6" t="s">
        <v>154</v>
      </c>
      <c r="D488" s="7" t="n">
        <v>-0.272</v>
      </c>
      <c r="E488" s="6" t="str">
        <f aca="false">IF(D488&gt;Settings!$C$4,"Bullish",IF(D488&lt;-Settings!$C$4,"Bearish","Neutral"))</f>
        <v>Bearish</v>
      </c>
      <c r="F488" s="8" t="n">
        <v>0.481</v>
      </c>
      <c r="G488" s="20" t="n">
        <v>-0.0007148371600949</v>
      </c>
      <c r="H488" s="6" t="str">
        <f aca="false">IF(G488="","",IF(G488&gt;0,"Bullish",IF(G488&lt;0,"Bearish","Flat")))</f>
        <v>Bearish</v>
      </c>
      <c r="I488" s="6" t="n">
        <f aca="false">IF(OR(G488="",E488="Neutral"),"",IF(E488=H488,1,0))</f>
        <v>1</v>
      </c>
      <c r="J488" s="6" t="s">
        <v>150</v>
      </c>
    </row>
    <row r="489" customFormat="false" ht="15" hidden="false" customHeight="false" outlineLevel="0" collapsed="false">
      <c r="A489" s="19" t="n">
        <v>46294</v>
      </c>
      <c r="B489" s="6" t="s">
        <v>18</v>
      </c>
      <c r="C489" s="6" t="s">
        <v>149</v>
      </c>
      <c r="D489" s="7" t="n">
        <v>0.5463</v>
      </c>
      <c r="E489" s="6" t="str">
        <f aca="false">IF(D489&gt;Settings!$C$4,"Bullish",IF(D489&lt;-Settings!$C$4,"Bearish","Neutral"))</f>
        <v>Bullish</v>
      </c>
      <c r="F489" s="8" t="n">
        <v>0.476</v>
      </c>
      <c r="G489" s="20" t="n">
        <v>0.0019201625869627</v>
      </c>
      <c r="H489" s="6" t="str">
        <f aca="false">IF(G489="","",IF(G489&gt;0,"Bullish",IF(G489&lt;0,"Bearish","Flat")))</f>
        <v>Bullish</v>
      </c>
      <c r="I489" s="6" t="n">
        <f aca="false">IF(OR(G489="",E489="Neutral"),"",IF(E489=H489,1,0))</f>
        <v>1</v>
      </c>
      <c r="J489" s="6" t="s">
        <v>150</v>
      </c>
    </row>
    <row r="490" customFormat="false" ht="15" hidden="false" customHeight="false" outlineLevel="0" collapsed="false">
      <c r="A490" s="19" t="n">
        <v>46294</v>
      </c>
      <c r="B490" s="6" t="s">
        <v>51</v>
      </c>
      <c r="C490" s="6" t="s">
        <v>149</v>
      </c>
      <c r="D490" s="7" t="n">
        <v>0.1879</v>
      </c>
      <c r="E490" s="6" t="str">
        <f aca="false">IF(D490&gt;Settings!$C$4,"Bullish",IF(D490&lt;-Settings!$C$4,"Bearish","Neutral"))</f>
        <v>Bullish</v>
      </c>
      <c r="F490" s="8" t="n">
        <v>0.534</v>
      </c>
      <c r="G490" s="20" t="n">
        <v>0.0040505122706695</v>
      </c>
      <c r="H490" s="6" t="str">
        <f aca="false">IF(G490="","",IF(G490&gt;0,"Bullish",IF(G490&lt;0,"Bearish","Flat")))</f>
        <v>Bullish</v>
      </c>
      <c r="I490" s="6" t="n">
        <f aca="false">IF(OR(G490="",E490="Neutral"),"",IF(E490=H490,1,0))</f>
        <v>1</v>
      </c>
      <c r="J490" s="6" t="s">
        <v>150</v>
      </c>
    </row>
    <row r="491" customFormat="false" ht="15" hidden="false" customHeight="false" outlineLevel="0" collapsed="false">
      <c r="A491" s="19" t="n">
        <v>46295</v>
      </c>
      <c r="B491" s="6" t="s">
        <v>18</v>
      </c>
      <c r="C491" s="6" t="s">
        <v>154</v>
      </c>
      <c r="D491" s="7" t="n">
        <v>-0.1321</v>
      </c>
      <c r="E491" s="6" t="str">
        <f aca="false">IF(D491&gt;Settings!$C$4,"Bullish",IF(D491&lt;-Settings!$C$4,"Bearish","Neutral"))</f>
        <v>Neutral</v>
      </c>
      <c r="F491" s="8"/>
      <c r="G491" s="20" t="n">
        <v>-0.0019655857048311</v>
      </c>
      <c r="H491" s="6" t="str">
        <f aca="false">IF(G491="","",IF(G491&gt;0,"Bullish",IF(G491&lt;0,"Bearish","Flat")))</f>
        <v>Bearish</v>
      </c>
      <c r="I491" s="6" t="str">
        <f aca="false">IF(OR(G491="",E491="Neutral"),"",IF(E491=H491,1,0))</f>
        <v/>
      </c>
      <c r="J491" s="6" t="s">
        <v>150</v>
      </c>
    </row>
    <row r="492" customFormat="false" ht="15" hidden="false" customHeight="false" outlineLevel="0" collapsed="false">
      <c r="A492" s="19" t="n">
        <v>46295</v>
      </c>
      <c r="B492" s="6" t="s">
        <v>18</v>
      </c>
      <c r="C492" s="6" t="s">
        <v>149</v>
      </c>
      <c r="D492" s="7" t="n">
        <v>0.5548</v>
      </c>
      <c r="E492" s="6" t="str">
        <f aca="false">IF(D492&gt;Settings!$C$4,"Bullish",IF(D492&lt;-Settings!$C$4,"Bearish","Neutral"))</f>
        <v>Bullish</v>
      </c>
      <c r="F492" s="8" t="n">
        <v>0.476</v>
      </c>
      <c r="G492" s="20" t="n">
        <v>-0.002733289212442</v>
      </c>
      <c r="H492" s="6" t="str">
        <f aca="false">IF(G492="","",IF(G492&gt;0,"Bullish",IF(G492&lt;0,"Bearish","Flat")))</f>
        <v>Bearish</v>
      </c>
      <c r="I492" s="6" t="n">
        <f aca="false">IF(OR(G492="",E492="Neutral"),"",IF(E492=H492,1,0))</f>
        <v>0</v>
      </c>
      <c r="J492" s="6" t="s">
        <v>150</v>
      </c>
    </row>
    <row r="493" customFormat="false" ht="15" hidden="false" customHeight="false" outlineLevel="0" collapsed="false">
      <c r="A493" s="19" t="n">
        <v>46295</v>
      </c>
      <c r="B493" s="6" t="s">
        <v>51</v>
      </c>
      <c r="C493" s="6" t="s">
        <v>149</v>
      </c>
      <c r="D493" s="7" t="n">
        <v>0.1763</v>
      </c>
      <c r="E493" s="6" t="str">
        <f aca="false">IF(D493&gt;Settings!$C$4,"Bullish",IF(D493&lt;-Settings!$C$4,"Bearish","Neutral"))</f>
        <v>Bullish</v>
      </c>
      <c r="F493" s="8" t="n">
        <v>0.534</v>
      </c>
      <c r="G493" s="20" t="n">
        <v>-0.0023387905111926</v>
      </c>
      <c r="H493" s="6" t="str">
        <f aca="false">IF(G493="","",IF(G493&gt;0,"Bullish",IF(G493&lt;0,"Bearish","Flat")))</f>
        <v>Bearish</v>
      </c>
      <c r="I493" s="6" t="n">
        <f aca="false">IF(OR(G493="",E493="Neutral"),"",IF(E493=H493,1,0))</f>
        <v>0</v>
      </c>
      <c r="J493" s="6" t="s">
        <v>150</v>
      </c>
    </row>
    <row r="494" customFormat="false" ht="15" hidden="false" customHeight="false" outlineLevel="0" collapsed="false">
      <c r="A494" s="19" t="n">
        <v>46296</v>
      </c>
      <c r="B494" s="6" t="s">
        <v>18</v>
      </c>
      <c r="C494" s="6" t="s">
        <v>154</v>
      </c>
      <c r="D494" s="7" t="n">
        <v>0.4884</v>
      </c>
      <c r="E494" s="6" t="str">
        <f aca="false">IF(D494&gt;Settings!$C$4,"Bullish",IF(D494&lt;-Settings!$C$4,"Bearish","Neutral"))</f>
        <v>Bullish</v>
      </c>
      <c r="F494" s="8" t="n">
        <v>0.529</v>
      </c>
      <c r="G494" s="20" t="n">
        <v>-0.0054006219032368</v>
      </c>
      <c r="H494" s="6" t="str">
        <f aca="false">IF(G494="","",IF(G494&gt;0,"Bullish",IF(G494&lt;0,"Bearish","Flat")))</f>
        <v>Bearish</v>
      </c>
      <c r="I494" s="6" t="n">
        <f aca="false">IF(OR(G494="",E494="Neutral"),"",IF(E494=H494,1,0))</f>
        <v>0</v>
      </c>
      <c r="J494" s="6" t="s">
        <v>150</v>
      </c>
    </row>
    <row r="495" customFormat="false" ht="15" hidden="false" customHeight="false" outlineLevel="0" collapsed="false">
      <c r="A495" s="19" t="n">
        <v>46296</v>
      </c>
      <c r="B495" s="6" t="s">
        <v>18</v>
      </c>
      <c r="C495" s="6" t="s">
        <v>149</v>
      </c>
      <c r="D495" s="7" t="n">
        <v>0.5489</v>
      </c>
      <c r="E495" s="6" t="str">
        <f aca="false">IF(D495&gt;Settings!$C$4,"Bullish",IF(D495&lt;-Settings!$C$4,"Bearish","Neutral"))</f>
        <v>Bullish</v>
      </c>
      <c r="F495" s="8" t="n">
        <v>0.476</v>
      </c>
      <c r="G495" s="20" t="n">
        <v>-0.0138353508962593</v>
      </c>
      <c r="H495" s="6" t="str">
        <f aca="false">IF(G495="","",IF(G495&gt;0,"Bullish",IF(G495&lt;0,"Bearish","Flat")))</f>
        <v>Bearish</v>
      </c>
      <c r="I495" s="6" t="n">
        <f aca="false">IF(OR(G495="",E495="Neutral"),"",IF(E495=H495,1,0))</f>
        <v>0</v>
      </c>
      <c r="J495" s="6" t="s">
        <v>150</v>
      </c>
    </row>
    <row r="496" customFormat="false" ht="15" hidden="false" customHeight="false" outlineLevel="0" collapsed="false">
      <c r="A496" s="19" t="n">
        <v>46296</v>
      </c>
      <c r="B496" s="6" t="s">
        <v>51</v>
      </c>
      <c r="C496" s="6" t="s">
        <v>149</v>
      </c>
      <c r="D496" s="7" t="n">
        <v>0.1577</v>
      </c>
      <c r="E496" s="6" t="str">
        <f aca="false">IF(D496&gt;Settings!$C$4,"Bullish",IF(D496&lt;-Settings!$C$4,"Bearish","Neutral"))</f>
        <v>Bullish</v>
      </c>
      <c r="F496" s="8" t="n">
        <v>0.534</v>
      </c>
      <c r="G496" s="20" t="n">
        <v>-0.018170545593285</v>
      </c>
      <c r="H496" s="6" t="str">
        <f aca="false">IF(G496="","",IF(G496&gt;0,"Bullish",IF(G496&lt;0,"Bearish","Flat")))</f>
        <v>Bearish</v>
      </c>
      <c r="I496" s="6" t="n">
        <f aca="false">IF(OR(G496="",E496="Neutral"),"",IF(E496=H496,1,0))</f>
        <v>0</v>
      </c>
      <c r="J496" s="6" t="s">
        <v>150</v>
      </c>
    </row>
    <row r="497" customFormat="false" ht="15" hidden="false" customHeight="false" outlineLevel="0" collapsed="false">
      <c r="A497" s="19" t="n">
        <v>46297</v>
      </c>
      <c r="B497" s="6" t="s">
        <v>18</v>
      </c>
      <c r="C497" s="6" t="s">
        <v>154</v>
      </c>
      <c r="D497" s="7" t="n">
        <v>0.8403</v>
      </c>
      <c r="E497" s="6" t="str">
        <f aca="false">IF(D497&gt;Settings!$C$4,"Bullish",IF(D497&lt;-Settings!$C$4,"Bearish","Neutral"))</f>
        <v>Bullish</v>
      </c>
      <c r="F497" s="8" t="n">
        <v>0.501</v>
      </c>
      <c r="G497" s="20"/>
      <c r="H497" s="6" t="str">
        <f aca="false">IF(G497="","",IF(G497&gt;0,"Bullish",IF(G497&lt;0,"Bearish","Flat")))</f>
        <v/>
      </c>
      <c r="I497" s="6" t="str">
        <f aca="false">IF(OR(G497="",E497="Neutral"),"",IF(E497=H497,1,0))</f>
        <v/>
      </c>
      <c r="J497" s="6" t="s">
        <v>150</v>
      </c>
    </row>
    <row r="498" customFormat="false" ht="15" hidden="false" customHeight="false" outlineLevel="0" collapsed="false">
      <c r="A498" s="19" t="n">
        <v>46297</v>
      </c>
      <c r="B498" s="6" t="s">
        <v>18</v>
      </c>
      <c r="C498" s="6" t="s">
        <v>149</v>
      </c>
      <c r="D498" s="7" t="n">
        <v>0.5389</v>
      </c>
      <c r="E498" s="6" t="str">
        <f aca="false">IF(D498&gt;Settings!$C$4,"Bullish",IF(D498&lt;-Settings!$C$4,"Bearish","Neutral"))</f>
        <v>Bullish</v>
      </c>
      <c r="F498" s="8" t="n">
        <v>0.476</v>
      </c>
      <c r="G498" s="20"/>
      <c r="H498" s="6" t="str">
        <f aca="false">IF(G498="","",IF(G498&gt;0,"Bullish",IF(G498&lt;0,"Bearish","Flat")))</f>
        <v/>
      </c>
      <c r="I498" s="6" t="str">
        <f aca="false">IF(OR(G498="",E498="Neutral"),"",IF(E498=H498,1,0))</f>
        <v/>
      </c>
      <c r="J498" s="6" t="s">
        <v>150</v>
      </c>
    </row>
    <row r="499" customFormat="false" ht="15" hidden="false" customHeight="false" outlineLevel="0" collapsed="false">
      <c r="A499" s="19" t="n">
        <v>46300</v>
      </c>
      <c r="B499" s="6" t="s">
        <v>22</v>
      </c>
      <c r="C499" s="6" t="s">
        <v>154</v>
      </c>
      <c r="D499" s="7" t="n">
        <v>0.4913</v>
      </c>
      <c r="E499" s="6" t="str">
        <f aca="false">IF(D499&gt;Settings!$C$4,"Bullish",IF(D499&lt;-Settings!$C$4,"Bearish","Neutral"))</f>
        <v>Bullish</v>
      </c>
      <c r="F499" s="8" t="n">
        <v>0.533</v>
      </c>
      <c r="G499" s="20" t="n">
        <v>-0.0023075948224537</v>
      </c>
      <c r="H499" s="6" t="str">
        <f aca="false">IF(G499="","",IF(G499&gt;0,"Bullish",IF(G499&lt;0,"Bearish","Flat")))</f>
        <v>Bearish</v>
      </c>
      <c r="I499" s="6" t="n">
        <f aca="false">IF(OR(G499="",E499="Neutral"),"",IF(E499=H499,1,0))</f>
        <v>0</v>
      </c>
      <c r="J499" s="6" t="s">
        <v>150</v>
      </c>
    </row>
    <row r="500" customFormat="false" ht="15" hidden="false" customHeight="false" outlineLevel="0" collapsed="false">
      <c r="A500" s="19" t="n">
        <v>46300</v>
      </c>
      <c r="B500" s="6" t="s">
        <v>18</v>
      </c>
      <c r="C500" s="6" t="s">
        <v>154</v>
      </c>
      <c r="D500" s="7" t="n">
        <v>0.2564</v>
      </c>
      <c r="E500" s="6" t="str">
        <f aca="false">IF(D500&gt;Settings!$C$4,"Bullish",IF(D500&lt;-Settings!$C$4,"Bearish","Neutral"))</f>
        <v>Bullish</v>
      </c>
      <c r="F500" s="8" t="n">
        <v>0.481</v>
      </c>
      <c r="G500" s="20" t="n">
        <v>0.0010362855266192</v>
      </c>
      <c r="H500" s="6" t="str">
        <f aca="false">IF(G500="","",IF(G500&gt;0,"Bullish",IF(G500&lt;0,"Bearish","Flat")))</f>
        <v>Bullish</v>
      </c>
      <c r="I500" s="6" t="n">
        <f aca="false">IF(OR(G500="",E500="Neutral"),"",IF(E500=H500,1,0))</f>
        <v>1</v>
      </c>
      <c r="J500" s="6" t="s">
        <v>150</v>
      </c>
    </row>
    <row r="501" customFormat="false" ht="15" hidden="false" customHeight="false" outlineLevel="0" collapsed="false">
      <c r="A501" s="19" t="n">
        <v>46300</v>
      </c>
      <c r="B501" s="6" t="s">
        <v>18</v>
      </c>
      <c r="C501" s="6" t="s">
        <v>149</v>
      </c>
      <c r="D501" s="7" t="n">
        <v>0.5336</v>
      </c>
      <c r="E501" s="6" t="str">
        <f aca="false">IF(D501&gt;Settings!$C$4,"Bullish",IF(D501&lt;-Settings!$C$4,"Bearish","Neutral"))</f>
        <v>Bullish</v>
      </c>
      <c r="F501" s="8" t="n">
        <v>0.476</v>
      </c>
      <c r="G501" s="20" t="n">
        <v>-0.0005303474108395</v>
      </c>
      <c r="H501" s="6" t="str">
        <f aca="false">IF(G501="","",IF(G501&gt;0,"Bullish",IF(G501&lt;0,"Bearish","Flat")))</f>
        <v>Bearish</v>
      </c>
      <c r="I501" s="6" t="n">
        <f aca="false">IF(OR(G501="",E501="Neutral"),"",IF(E501=H501,1,0))</f>
        <v>0</v>
      </c>
      <c r="J501" s="6" t="s">
        <v>150</v>
      </c>
    </row>
    <row r="502" customFormat="false" ht="15" hidden="false" customHeight="false" outlineLevel="0" collapsed="false">
      <c r="A502" s="19" t="n">
        <v>46301</v>
      </c>
      <c r="B502" s="6" t="s">
        <v>53</v>
      </c>
      <c r="C502" s="6" t="s">
        <v>154</v>
      </c>
      <c r="D502" s="7" t="n">
        <v>0.4861</v>
      </c>
      <c r="E502" s="6" t="str">
        <f aca="false">IF(D502&gt;Settings!$C$4,"Bullish",IF(D502&lt;-Settings!$C$4,"Bearish","Neutral"))</f>
        <v>Bullish</v>
      </c>
      <c r="F502" s="8" t="n">
        <v>0.535</v>
      </c>
      <c r="G502" s="20" t="n">
        <v>0.0236486486486486</v>
      </c>
      <c r="H502" s="6" t="str">
        <f aca="false">IF(G502="","",IF(G502&gt;0,"Bullish",IF(G502&lt;0,"Bearish","Flat")))</f>
        <v>Bullish</v>
      </c>
      <c r="I502" s="6" t="n">
        <f aca="false">IF(OR(G502="",E502="Neutral"),"",IF(E502=H502,1,0))</f>
        <v>1</v>
      </c>
      <c r="J502" s="6" t="s">
        <v>150</v>
      </c>
    </row>
    <row r="503" customFormat="false" ht="15" hidden="false" customHeight="false" outlineLevel="0" collapsed="false">
      <c r="A503" s="19" t="n">
        <v>46301</v>
      </c>
      <c r="B503" s="6" t="s">
        <v>18</v>
      </c>
      <c r="C503" s="6" t="s">
        <v>154</v>
      </c>
      <c r="D503" s="7" t="n">
        <v>1</v>
      </c>
      <c r="E503" s="6" t="str">
        <f aca="false">IF(D503&gt;Settings!$C$4,"Bullish",IF(D503&lt;-Settings!$C$4,"Bearish","Neutral"))</f>
        <v>Bullish</v>
      </c>
      <c r="F503" s="8" t="n">
        <v>0.501</v>
      </c>
      <c r="G503" s="20" t="n">
        <v>0.0076471303905412</v>
      </c>
      <c r="H503" s="6" t="str">
        <f aca="false">IF(G503="","",IF(G503&gt;0,"Bullish",IF(G503&lt;0,"Bearish","Flat")))</f>
        <v>Bullish</v>
      </c>
      <c r="I503" s="6" t="n">
        <f aca="false">IF(OR(G503="",E503="Neutral"),"",IF(E503=H503,1,0))</f>
        <v>1</v>
      </c>
      <c r="J503" s="6" t="s">
        <v>150</v>
      </c>
    </row>
    <row r="504" customFormat="false" ht="15" hidden="false" customHeight="false" outlineLevel="0" collapsed="false">
      <c r="A504" s="19" t="n">
        <v>46301</v>
      </c>
      <c r="B504" s="6" t="s">
        <v>18</v>
      </c>
      <c r="C504" s="6" t="s">
        <v>149</v>
      </c>
      <c r="D504" s="7" t="n">
        <v>0.4951</v>
      </c>
      <c r="E504" s="6" t="str">
        <f aca="false">IF(D504&gt;Settings!$C$4,"Bullish",IF(D504&lt;-Settings!$C$4,"Bearish","Neutral"))</f>
        <v>Bullish</v>
      </c>
      <c r="F504" s="8" t="n">
        <v>0.51</v>
      </c>
      <c r="G504" s="20" t="n">
        <v>-0.0106135179675489</v>
      </c>
      <c r="H504" s="6" t="str">
        <f aca="false">IF(G504="","",IF(G504&gt;0,"Bullish",IF(G504&lt;0,"Bearish","Flat")))</f>
        <v>Bearish</v>
      </c>
      <c r="I504" s="6" t="n">
        <f aca="false">IF(OR(G504="",E504="Neutral"),"",IF(E504=H504,1,0))</f>
        <v>0</v>
      </c>
      <c r="J504" s="6" t="s">
        <v>150</v>
      </c>
    </row>
    <row r="505" customFormat="false" ht="15" hidden="false" customHeight="false" outlineLevel="0" collapsed="false">
      <c r="A505" s="19" t="n">
        <v>46302</v>
      </c>
      <c r="B505" s="6" t="s">
        <v>18</v>
      </c>
      <c r="C505" s="6" t="s">
        <v>154</v>
      </c>
      <c r="D505" s="7" t="n">
        <v>-0.3666</v>
      </c>
      <c r="E505" s="6" t="str">
        <f aca="false">IF(D505&gt;Settings!$C$4,"Bullish",IF(D505&lt;-Settings!$C$4,"Bearish","Neutral"))</f>
        <v>Bearish</v>
      </c>
      <c r="F505" s="8" t="n">
        <v>0.529</v>
      </c>
      <c r="G505" s="20" t="n">
        <v>-0.003851840752387</v>
      </c>
      <c r="H505" s="6" t="str">
        <f aca="false">IF(G505="","",IF(G505&gt;0,"Bullish",IF(G505&lt;0,"Bearish","Flat")))</f>
        <v>Bearish</v>
      </c>
      <c r="I505" s="6" t="n">
        <f aca="false">IF(OR(G505="",E505="Neutral"),"",IF(E505=H505,1,0))</f>
        <v>1</v>
      </c>
      <c r="J505" s="6" t="s">
        <v>150</v>
      </c>
    </row>
    <row r="506" customFormat="false" ht="15" hidden="false" customHeight="false" outlineLevel="0" collapsed="false">
      <c r="A506" s="19" t="n">
        <v>46302</v>
      </c>
      <c r="B506" s="6" t="s">
        <v>18</v>
      </c>
      <c r="C506" s="6" t="s">
        <v>149</v>
      </c>
      <c r="D506" s="7" t="n">
        <v>0.4544</v>
      </c>
      <c r="E506" s="6" t="str">
        <f aca="false">IF(D506&gt;Settings!$C$4,"Bullish",IF(D506&lt;-Settings!$C$4,"Bearish","Neutral"))</f>
        <v>Bullish</v>
      </c>
      <c r="F506" s="8" t="n">
        <v>0.51</v>
      </c>
      <c r="G506" s="20" t="n">
        <v>0.001388249241421</v>
      </c>
      <c r="H506" s="6" t="str">
        <f aca="false">IF(G506="","",IF(G506&gt;0,"Bullish",IF(G506&lt;0,"Bearish","Flat")))</f>
        <v>Bullish</v>
      </c>
      <c r="I506" s="6" t="n">
        <f aca="false">IF(OR(G506="",E506="Neutral"),"",IF(E506=H506,1,0))</f>
        <v>1</v>
      </c>
      <c r="J506" s="6" t="s">
        <v>150</v>
      </c>
    </row>
    <row r="507" customFormat="false" ht="15" hidden="false" customHeight="false" outlineLevel="0" collapsed="false">
      <c r="A507" s="19" t="n">
        <v>46303</v>
      </c>
      <c r="B507" s="6" t="s">
        <v>35</v>
      </c>
      <c r="C507" s="6" t="s">
        <v>149</v>
      </c>
      <c r="D507" s="7" t="n">
        <v>0.2915</v>
      </c>
      <c r="E507" s="6" t="str">
        <f aca="false">IF(D507&gt;Settings!$C$4,"Bullish",IF(D507&lt;-Settings!$C$4,"Bearish","Neutral"))</f>
        <v>Bullish</v>
      </c>
      <c r="F507" s="8" t="n">
        <v>0.563</v>
      </c>
      <c r="G507" s="20" t="n">
        <v>0.0805883764491832</v>
      </c>
      <c r="H507" s="6" t="str">
        <f aca="false">IF(G507="","",IF(G507&gt;0,"Bullish",IF(G507&lt;0,"Bearish","Flat")))</f>
        <v>Bullish</v>
      </c>
      <c r="I507" s="6" t="n">
        <f aca="false">IF(OR(G507="",E507="Neutral"),"",IF(E507=H507,1,0))</f>
        <v>1</v>
      </c>
      <c r="J507" s="6" t="s">
        <v>150</v>
      </c>
    </row>
    <row r="508" customFormat="false" ht="15" hidden="false" customHeight="false" outlineLevel="0" collapsed="false">
      <c r="A508" s="19" t="n">
        <v>46303</v>
      </c>
      <c r="B508" s="6" t="s">
        <v>18</v>
      </c>
      <c r="C508" s="6" t="s">
        <v>154</v>
      </c>
      <c r="D508" s="7" t="n">
        <v>0.73</v>
      </c>
      <c r="E508" s="6" t="str">
        <f aca="false">IF(D508&gt;Settings!$C$4,"Bullish",IF(D508&lt;-Settings!$C$4,"Bearish","Neutral"))</f>
        <v>Bullish</v>
      </c>
      <c r="F508" s="8" t="n">
        <v>0.501</v>
      </c>
      <c r="G508" s="20" t="n">
        <v>-0.0162506831039357</v>
      </c>
      <c r="H508" s="6" t="str">
        <f aca="false">IF(G508="","",IF(G508&gt;0,"Bullish",IF(G508&lt;0,"Bearish","Flat")))</f>
        <v>Bearish</v>
      </c>
      <c r="I508" s="6" t="n">
        <f aca="false">IF(OR(G508="",E508="Neutral"),"",IF(E508=H508,1,0))</f>
        <v>0</v>
      </c>
      <c r="J508" s="6" t="s">
        <v>150</v>
      </c>
    </row>
    <row r="509" customFormat="false" ht="15" hidden="false" customHeight="false" outlineLevel="0" collapsed="false">
      <c r="A509" s="19" t="n">
        <v>46303</v>
      </c>
      <c r="B509" s="6" t="s">
        <v>18</v>
      </c>
      <c r="C509" s="6" t="s">
        <v>149</v>
      </c>
      <c r="D509" s="7" t="n">
        <v>0.4285</v>
      </c>
      <c r="E509" s="6" t="str">
        <f aca="false">IF(D509&gt;Settings!$C$4,"Bullish",IF(D509&lt;-Settings!$C$4,"Bearish","Neutral"))</f>
        <v>Bullish</v>
      </c>
      <c r="F509" s="8" t="n">
        <v>0.51</v>
      </c>
      <c r="G509" s="20" t="n">
        <v>0.0010465041672105</v>
      </c>
      <c r="H509" s="6" t="str">
        <f aca="false">IF(G509="","",IF(G509&gt;0,"Bullish",IF(G509&lt;0,"Bearish","Flat")))</f>
        <v>Bullish</v>
      </c>
      <c r="I509" s="6" t="n">
        <f aca="false">IF(OR(G509="",E509="Neutral"),"",IF(E509=H509,1,0))</f>
        <v>1</v>
      </c>
      <c r="J509" s="6" t="s">
        <v>150</v>
      </c>
    </row>
    <row r="510" customFormat="false" ht="15" hidden="false" customHeight="false" outlineLevel="0" collapsed="false">
      <c r="A510" s="19" t="n">
        <v>46304</v>
      </c>
      <c r="B510" s="6" t="s">
        <v>35</v>
      </c>
      <c r="C510" s="6" t="s">
        <v>149</v>
      </c>
      <c r="D510" s="7" t="n">
        <v>0.2681</v>
      </c>
      <c r="E510" s="6" t="str">
        <f aca="false">IF(D510&gt;Settings!$C$4,"Bullish",IF(D510&lt;-Settings!$C$4,"Bearish","Neutral"))</f>
        <v>Bullish</v>
      </c>
      <c r="F510" s="8" t="n">
        <v>0.563</v>
      </c>
      <c r="G510" s="20" t="n">
        <v>0.100837279638499</v>
      </c>
      <c r="H510" s="6" t="str">
        <f aca="false">IF(G510="","",IF(G510&gt;0,"Bullish",IF(G510&lt;0,"Bearish","Flat")))</f>
        <v>Bullish</v>
      </c>
      <c r="I510" s="6" t="n">
        <f aca="false">IF(OR(G510="",E510="Neutral"),"",IF(E510=H510,1,0))</f>
        <v>1</v>
      </c>
      <c r="J510" s="6" t="s">
        <v>150</v>
      </c>
    </row>
    <row r="511" customFormat="false" ht="15" hidden="false" customHeight="false" outlineLevel="0" collapsed="false">
      <c r="A511" s="19" t="n">
        <v>46304</v>
      </c>
      <c r="B511" s="6" t="s">
        <v>18</v>
      </c>
      <c r="C511" s="6" t="s">
        <v>154</v>
      </c>
      <c r="D511" s="7" t="n">
        <v>0.463</v>
      </c>
      <c r="E511" s="6" t="str">
        <f aca="false">IF(D511&gt;Settings!$C$4,"Bullish",IF(D511&lt;-Settings!$C$4,"Bearish","Neutral"))</f>
        <v>Bullish</v>
      </c>
      <c r="F511" s="8" t="n">
        <v>0.529</v>
      </c>
      <c r="G511" s="20" t="n">
        <v>0.0092090728413014</v>
      </c>
      <c r="H511" s="6" t="str">
        <f aca="false">IF(G511="","",IF(G511&gt;0,"Bullish",IF(G511&lt;0,"Bearish","Flat")))</f>
        <v>Bullish</v>
      </c>
      <c r="I511" s="6" t="n">
        <f aca="false">IF(OR(G511="",E511="Neutral"),"",IF(E511=H511,1,0))</f>
        <v>1</v>
      </c>
      <c r="J511" s="6" t="s">
        <v>150</v>
      </c>
    </row>
    <row r="512" customFormat="false" ht="15" hidden="false" customHeight="false" outlineLevel="0" collapsed="false">
      <c r="A512" s="19" t="n">
        <v>46304</v>
      </c>
      <c r="B512" s="6" t="s">
        <v>18</v>
      </c>
      <c r="C512" s="6" t="s">
        <v>149</v>
      </c>
      <c r="D512" s="7" t="n">
        <v>0.4014</v>
      </c>
      <c r="E512" s="6" t="str">
        <f aca="false">IF(D512&gt;Settings!$C$4,"Bullish",IF(D512&lt;-Settings!$C$4,"Bearish","Neutral"))</f>
        <v>Bullish</v>
      </c>
      <c r="F512" s="8" t="n">
        <v>0.51</v>
      </c>
      <c r="G512" s="20" t="n">
        <v>0.0305803956540344</v>
      </c>
      <c r="H512" s="6" t="str">
        <f aca="false">IF(G512="","",IF(G512&gt;0,"Bullish",IF(G512&lt;0,"Bearish","Flat")))</f>
        <v>Bullish</v>
      </c>
      <c r="I512" s="6" t="n">
        <f aca="false">IF(OR(G512="",E512="Neutral"),"",IF(E512=H512,1,0))</f>
        <v>1</v>
      </c>
      <c r="J512" s="6" t="s">
        <v>150</v>
      </c>
    </row>
    <row r="513" customFormat="false" ht="15" hidden="false" customHeight="false" outlineLevel="0" collapsed="false">
      <c r="A513" s="19" t="n">
        <v>46307</v>
      </c>
      <c r="B513" s="6" t="s">
        <v>35</v>
      </c>
      <c r="C513" s="6" t="s">
        <v>149</v>
      </c>
      <c r="D513" s="7" t="n">
        <v>0.2438</v>
      </c>
      <c r="E513" s="6" t="str">
        <f aca="false">IF(D513&gt;Settings!$C$4,"Bullish",IF(D513&lt;-Settings!$C$4,"Bearish","Neutral"))</f>
        <v>Bullish</v>
      </c>
      <c r="F513" s="8" t="n">
        <v>0.563</v>
      </c>
      <c r="G513" s="20" t="n">
        <v>0.11278774696393</v>
      </c>
      <c r="H513" s="6" t="str">
        <f aca="false">IF(G513="","",IF(G513&gt;0,"Bullish",IF(G513&lt;0,"Bearish","Flat")))</f>
        <v>Bullish</v>
      </c>
      <c r="I513" s="6" t="n">
        <f aca="false">IF(OR(G513="",E513="Neutral"),"",IF(E513=H513,1,0))</f>
        <v>1</v>
      </c>
      <c r="J513" s="6" t="s">
        <v>150</v>
      </c>
    </row>
    <row r="514" customFormat="false" ht="15" hidden="false" customHeight="false" outlineLevel="0" collapsed="false">
      <c r="A514" s="19" t="n">
        <v>46307</v>
      </c>
      <c r="B514" s="6" t="s">
        <v>18</v>
      </c>
      <c r="C514" s="6" t="s">
        <v>154</v>
      </c>
      <c r="D514" s="7" t="n">
        <v>-0.8516</v>
      </c>
      <c r="E514" s="6" t="str">
        <f aca="false">IF(D514&gt;Settings!$C$4,"Bullish",IF(D514&lt;-Settings!$C$4,"Bearish","Neutral"))</f>
        <v>Bearish</v>
      </c>
      <c r="F514" s="8" t="n">
        <v>0.501</v>
      </c>
      <c r="G514" s="20" t="n">
        <v>-0.010173415009826</v>
      </c>
      <c r="H514" s="6" t="str">
        <f aca="false">IF(G514="","",IF(G514&gt;0,"Bullish",IF(G514&lt;0,"Bearish","Flat")))</f>
        <v>Bearish</v>
      </c>
      <c r="I514" s="6" t="n">
        <f aca="false">IF(OR(G514="",E514="Neutral"),"",IF(E514=H514,1,0))</f>
        <v>1</v>
      </c>
      <c r="J514" s="6" t="s">
        <v>150</v>
      </c>
    </row>
    <row r="515" customFormat="false" ht="15" hidden="false" customHeight="false" outlineLevel="0" collapsed="false">
      <c r="A515" s="19" t="n">
        <v>46307</v>
      </c>
      <c r="B515" s="6" t="s">
        <v>18</v>
      </c>
      <c r="C515" s="6" t="s">
        <v>149</v>
      </c>
      <c r="D515" s="7" t="n">
        <v>0.3653</v>
      </c>
      <c r="E515" s="6" t="str">
        <f aca="false">IF(D515&gt;Settings!$C$4,"Bullish",IF(D515&lt;-Settings!$C$4,"Bearish","Neutral"))</f>
        <v>Bullish</v>
      </c>
      <c r="F515" s="8" t="n">
        <v>0.51</v>
      </c>
      <c r="G515" s="20" t="n">
        <v>0.024474178071278</v>
      </c>
      <c r="H515" s="6" t="str">
        <f aca="false">IF(G515="","",IF(G515&gt;0,"Bullish",IF(G515&lt;0,"Bearish","Flat")))</f>
        <v>Bullish</v>
      </c>
      <c r="I515" s="6" t="n">
        <f aca="false">IF(OR(G515="",E515="Neutral"),"",IF(E515=H515,1,0))</f>
        <v>1</v>
      </c>
      <c r="J515" s="6" t="s">
        <v>150</v>
      </c>
    </row>
    <row r="516" customFormat="false" ht="15" hidden="false" customHeight="false" outlineLevel="0" collapsed="false">
      <c r="A516" s="19" t="n">
        <v>46308</v>
      </c>
      <c r="B516" s="6" t="s">
        <v>35</v>
      </c>
      <c r="C516" s="6" t="s">
        <v>149</v>
      </c>
      <c r="D516" s="7" t="n">
        <v>0.2131</v>
      </c>
      <c r="E516" s="6" t="str">
        <f aca="false">IF(D516&gt;Settings!$C$4,"Bullish",IF(D516&lt;-Settings!$C$4,"Bearish","Neutral"))</f>
        <v>Bullish</v>
      </c>
      <c r="F516" s="8" t="n">
        <v>0.563</v>
      </c>
      <c r="G516" s="20" t="n">
        <v>0.0998380758949446</v>
      </c>
      <c r="H516" s="6" t="str">
        <f aca="false">IF(G516="","",IF(G516&gt;0,"Bullish",IF(G516&lt;0,"Bearish","Flat")))</f>
        <v>Bullish</v>
      </c>
      <c r="I516" s="6" t="n">
        <f aca="false">IF(OR(G516="",E516="Neutral"),"",IF(E516=H516,1,0))</f>
        <v>1</v>
      </c>
      <c r="J516" s="6" t="s">
        <v>150</v>
      </c>
    </row>
    <row r="517" customFormat="false" ht="15" hidden="false" customHeight="false" outlineLevel="0" collapsed="false">
      <c r="A517" s="19" t="n">
        <v>46308</v>
      </c>
      <c r="B517" s="6" t="s">
        <v>18</v>
      </c>
      <c r="C517" s="6" t="s">
        <v>154</v>
      </c>
      <c r="D517" s="7" t="n">
        <v>-0.08</v>
      </c>
      <c r="E517" s="6" t="str">
        <f aca="false">IF(D517&gt;Settings!$C$4,"Bullish",IF(D517&lt;-Settings!$C$4,"Bearish","Neutral"))</f>
        <v>Neutral</v>
      </c>
      <c r="F517" s="8"/>
      <c r="G517" s="20" t="n">
        <v>0.0159988195393072</v>
      </c>
      <c r="H517" s="6" t="str">
        <f aca="false">IF(G517="","",IF(G517&gt;0,"Bullish",IF(G517&lt;0,"Bearish","Flat")))</f>
        <v>Bullish</v>
      </c>
      <c r="I517" s="6" t="str">
        <f aca="false">IF(OR(G517="",E517="Neutral"),"",IF(E517=H517,1,0))</f>
        <v/>
      </c>
      <c r="J517" s="6" t="s">
        <v>150</v>
      </c>
    </row>
    <row r="518" customFormat="false" ht="15" hidden="false" customHeight="false" outlineLevel="0" collapsed="false">
      <c r="A518" s="19" t="n">
        <v>46308</v>
      </c>
      <c r="B518" s="6" t="s">
        <v>18</v>
      </c>
      <c r="C518" s="6" t="s">
        <v>149</v>
      </c>
      <c r="D518" s="7" t="n">
        <v>0.3535</v>
      </c>
      <c r="E518" s="6" t="str">
        <f aca="false">IF(D518&gt;Settings!$C$4,"Bullish",IF(D518&lt;-Settings!$C$4,"Bearish","Neutral"))</f>
        <v>Bullish</v>
      </c>
      <c r="F518" s="8" t="n">
        <v>0.51</v>
      </c>
      <c r="G518" s="20" t="n">
        <v>0.0234661277088554</v>
      </c>
      <c r="H518" s="6" t="str">
        <f aca="false">IF(G518="","",IF(G518&gt;0,"Bullish",IF(G518&lt;0,"Bearish","Flat")))</f>
        <v>Bullish</v>
      </c>
      <c r="I518" s="6" t="n">
        <f aca="false">IF(OR(G518="",E518="Neutral"),"",IF(E518=H518,1,0))</f>
        <v>1</v>
      </c>
      <c r="J518" s="6" t="s">
        <v>150</v>
      </c>
    </row>
    <row r="519" customFormat="false" ht="15" hidden="false" customHeight="false" outlineLevel="0" collapsed="false">
      <c r="A519" s="19" t="n">
        <v>46309</v>
      </c>
      <c r="B519" s="6" t="s">
        <v>35</v>
      </c>
      <c r="C519" s="6" t="s">
        <v>154</v>
      </c>
      <c r="D519" s="7" t="n">
        <v>0.2619</v>
      </c>
      <c r="E519" s="6" t="str">
        <f aca="false">IF(D519&gt;Settings!$C$4,"Bullish",IF(D519&lt;-Settings!$C$4,"Bearish","Neutral"))</f>
        <v>Bullish</v>
      </c>
      <c r="F519" s="8" t="n">
        <v>0.531</v>
      </c>
      <c r="G519" s="20" t="n">
        <v>0.0077995824634655</v>
      </c>
      <c r="H519" s="6" t="str">
        <f aca="false">IF(G519="","",IF(G519&gt;0,"Bullish",IF(G519&lt;0,"Bearish","Flat")))</f>
        <v>Bullish</v>
      </c>
      <c r="I519" s="6" t="n">
        <f aca="false">IF(OR(G519="",E519="Neutral"),"",IF(E519=H519,1,0))</f>
        <v>1</v>
      </c>
      <c r="J519" s="6" t="s">
        <v>150</v>
      </c>
    </row>
    <row r="520" customFormat="false" ht="15" hidden="false" customHeight="false" outlineLevel="0" collapsed="false">
      <c r="A520" s="19" t="n">
        <v>46309</v>
      </c>
      <c r="B520" s="6" t="s">
        <v>35</v>
      </c>
      <c r="C520" s="6" t="s">
        <v>149</v>
      </c>
      <c r="D520" s="7" t="n">
        <v>0.1848</v>
      </c>
      <c r="E520" s="6" t="str">
        <f aca="false">IF(D520&gt;Settings!$C$4,"Bullish",IF(D520&lt;-Settings!$C$4,"Bearish","Neutral"))</f>
        <v>Bullish</v>
      </c>
      <c r="F520" s="8" t="n">
        <v>0.563</v>
      </c>
      <c r="G520" s="20" t="n">
        <v>0.0830062630480166</v>
      </c>
      <c r="H520" s="6" t="str">
        <f aca="false">IF(G520="","",IF(G520&gt;0,"Bullish",IF(G520&lt;0,"Bearish","Flat")))</f>
        <v>Bullish</v>
      </c>
      <c r="I520" s="6" t="n">
        <f aca="false">IF(OR(G520="",E520="Neutral"),"",IF(E520=H520,1,0))</f>
        <v>1</v>
      </c>
      <c r="J520" s="6" t="s">
        <v>150</v>
      </c>
    </row>
    <row r="521" customFormat="false" ht="15" hidden="false" customHeight="false" outlineLevel="0" collapsed="false">
      <c r="A521" s="19" t="n">
        <v>46309</v>
      </c>
      <c r="B521" s="6" t="s">
        <v>18</v>
      </c>
      <c r="C521" s="6" t="s">
        <v>154</v>
      </c>
      <c r="D521" s="7" t="n">
        <v>-0.0296</v>
      </c>
      <c r="E521" s="6" t="str">
        <f aca="false">IF(D521&gt;Settings!$C$4,"Bullish",IF(D521&lt;-Settings!$C$4,"Bearish","Neutral"))</f>
        <v>Neutral</v>
      </c>
      <c r="F521" s="8"/>
      <c r="G521" s="20" t="n">
        <v>-0.0040962768123438</v>
      </c>
      <c r="H521" s="6" t="str">
        <f aca="false">IF(G521="","",IF(G521&gt;0,"Bullish",IF(G521&lt;0,"Bearish","Flat")))</f>
        <v>Bearish</v>
      </c>
      <c r="I521" s="6" t="str">
        <f aca="false">IF(OR(G521="",E521="Neutral"),"",IF(E521=H521,1,0))</f>
        <v/>
      </c>
      <c r="J521" s="6" t="s">
        <v>150</v>
      </c>
    </row>
    <row r="522" customFormat="false" ht="15" hidden="false" customHeight="false" outlineLevel="0" collapsed="false">
      <c r="A522" s="19" t="n">
        <v>46309</v>
      </c>
      <c r="B522" s="6" t="s">
        <v>18</v>
      </c>
      <c r="C522" s="6" t="s">
        <v>149</v>
      </c>
      <c r="D522" s="7" t="n">
        <v>0.3477</v>
      </c>
      <c r="E522" s="6" t="str">
        <f aca="false">IF(D522&gt;Settings!$C$4,"Bullish",IF(D522&lt;-Settings!$C$4,"Bearish","Neutral"))</f>
        <v>Bullish</v>
      </c>
      <c r="F522" s="8" t="n">
        <v>0.51</v>
      </c>
      <c r="G522" s="20" t="n">
        <v>0.0042085337265993</v>
      </c>
      <c r="H522" s="6" t="str">
        <f aca="false">IF(G522="","",IF(G522&gt;0,"Bullish",IF(G522&lt;0,"Bearish","Flat")))</f>
        <v>Bullish</v>
      </c>
      <c r="I522" s="6" t="n">
        <f aca="false">IF(OR(G522="",E522="Neutral"),"",IF(E522=H522,1,0))</f>
        <v>1</v>
      </c>
      <c r="J522" s="6" t="s">
        <v>150</v>
      </c>
    </row>
    <row r="523" customFormat="false" ht="15" hidden="false" customHeight="false" outlineLevel="0" collapsed="false">
      <c r="A523" s="19" t="n">
        <v>46310</v>
      </c>
      <c r="B523" s="6" t="s">
        <v>35</v>
      </c>
      <c r="C523" s="6" t="s">
        <v>149</v>
      </c>
      <c r="D523" s="7" t="n">
        <v>0.1591</v>
      </c>
      <c r="E523" s="6" t="str">
        <f aca="false">IF(D523&gt;Settings!$C$4,"Bullish",IF(D523&lt;-Settings!$C$4,"Bearish","Neutral"))</f>
        <v>Bullish</v>
      </c>
      <c r="F523" s="8" t="n">
        <v>0.563</v>
      </c>
      <c r="G523" s="20" t="n">
        <v>0.0502980857688188</v>
      </c>
      <c r="H523" s="6" t="str">
        <f aca="false">IF(G523="","",IF(G523&gt;0,"Bullish",IF(G523&lt;0,"Bearish","Flat")))</f>
        <v>Bullish</v>
      </c>
      <c r="I523" s="6" t="n">
        <f aca="false">IF(OR(G523="",E523="Neutral"),"",IF(E523=H523,1,0))</f>
        <v>1</v>
      </c>
      <c r="J523" s="6" t="s">
        <v>150</v>
      </c>
    </row>
    <row r="524" customFormat="false" ht="15" hidden="false" customHeight="false" outlineLevel="0" collapsed="false">
      <c r="A524" s="19" t="n">
        <v>46310</v>
      </c>
      <c r="B524" s="6" t="s">
        <v>18</v>
      </c>
      <c r="C524" s="6" t="s">
        <v>154</v>
      </c>
      <c r="D524" s="7" t="n">
        <v>1</v>
      </c>
      <c r="E524" s="6" t="str">
        <f aca="false">IF(D524&gt;Settings!$C$4,"Bullish",IF(D524&lt;-Settings!$C$4,"Bearish","Neutral"))</f>
        <v>Bullish</v>
      </c>
      <c r="F524" s="8" t="n">
        <v>0.501</v>
      </c>
      <c r="G524" s="20" t="n">
        <v>0.0143816190513996</v>
      </c>
      <c r="H524" s="6" t="str">
        <f aca="false">IF(G524="","",IF(G524&gt;0,"Bullish",IF(G524&lt;0,"Bearish","Flat")))</f>
        <v>Bullish</v>
      </c>
      <c r="I524" s="6" t="n">
        <f aca="false">IF(OR(G524="",E524="Neutral"),"",IF(E524=H524,1,0))</f>
        <v>1</v>
      </c>
      <c r="J524" s="6" t="s">
        <v>150</v>
      </c>
    </row>
    <row r="525" customFormat="false" ht="15" hidden="false" customHeight="false" outlineLevel="0" collapsed="false">
      <c r="A525" s="19" t="n">
        <v>46310</v>
      </c>
      <c r="B525" s="6" t="s">
        <v>18</v>
      </c>
      <c r="C525" s="6" t="s">
        <v>149</v>
      </c>
      <c r="D525" s="7" t="n">
        <v>0.3281</v>
      </c>
      <c r="E525" s="6" t="str">
        <f aca="false">IF(D525&gt;Settings!$C$4,"Bullish",IF(D525&lt;-Settings!$C$4,"Bearish","Neutral"))</f>
        <v>Bullish</v>
      </c>
      <c r="F525" s="8" t="n">
        <v>0.51</v>
      </c>
      <c r="G525" s="20" t="n">
        <v>0.00072117611253</v>
      </c>
      <c r="H525" s="6" t="str">
        <f aca="false">IF(G525="","",IF(G525&gt;0,"Bullish",IF(G525&lt;0,"Bearish","Flat")))</f>
        <v>Bullish</v>
      </c>
      <c r="I525" s="6" t="n">
        <f aca="false">IF(OR(G525="",E525="Neutral"),"",IF(E525=H525,1,0))</f>
        <v>1</v>
      </c>
      <c r="J525" s="6" t="s">
        <v>150</v>
      </c>
    </row>
    <row r="526" customFormat="false" ht="15" hidden="false" customHeight="false" outlineLevel="0" collapsed="false">
      <c r="A526" s="19" t="n">
        <v>46311</v>
      </c>
      <c r="B526" s="6" t="s">
        <v>18</v>
      </c>
      <c r="C526" s="6" t="s">
        <v>154</v>
      </c>
      <c r="D526" s="7" t="n">
        <v>-0.4004</v>
      </c>
      <c r="E526" s="6" t="str">
        <f aca="false">IF(D526&gt;Settings!$C$4,"Bullish",IF(D526&lt;-Settings!$C$4,"Bearish","Neutral"))</f>
        <v>Bearish</v>
      </c>
      <c r="F526" s="8" t="n">
        <v>0.529</v>
      </c>
      <c r="G526" s="20" t="n">
        <v>0.0035139669890875</v>
      </c>
      <c r="H526" s="6" t="str">
        <f aca="false">IF(G526="","",IF(G526&gt;0,"Bullish",IF(G526&lt;0,"Bearish","Flat")))</f>
        <v>Bullish</v>
      </c>
      <c r="I526" s="6" t="n">
        <f aca="false">IF(OR(G526="",E526="Neutral"),"",IF(E526=H526,1,0))</f>
        <v>0</v>
      </c>
      <c r="J526" s="6" t="s">
        <v>150</v>
      </c>
    </row>
    <row r="527" customFormat="false" ht="15" hidden="false" customHeight="false" outlineLevel="0" collapsed="false">
      <c r="A527" s="19" t="n">
        <v>46311</v>
      </c>
      <c r="B527" s="6" t="s">
        <v>18</v>
      </c>
      <c r="C527" s="6" t="s">
        <v>149</v>
      </c>
      <c r="D527" s="7" t="n">
        <v>0.3137</v>
      </c>
      <c r="E527" s="6" t="str">
        <f aca="false">IF(D527&gt;Settings!$C$4,"Bullish",IF(D527&lt;-Settings!$C$4,"Bearish","Neutral"))</f>
        <v>Bullish</v>
      </c>
      <c r="F527" s="8" t="n">
        <v>0.51</v>
      </c>
      <c r="G527" s="20" t="n">
        <v>-0.0201646643630419</v>
      </c>
      <c r="H527" s="6" t="str">
        <f aca="false">IF(G527="","",IF(G527&gt;0,"Bullish",IF(G527&lt;0,"Bearish","Flat")))</f>
        <v>Bearish</v>
      </c>
      <c r="I527" s="6" t="n">
        <f aca="false">IF(OR(G527="",E527="Neutral"),"",IF(E527=H527,1,0))</f>
        <v>0</v>
      </c>
      <c r="J527" s="6" t="s">
        <v>150</v>
      </c>
    </row>
    <row r="528" customFormat="false" ht="15" hidden="false" customHeight="false" outlineLevel="0" collapsed="false">
      <c r="A528" s="19" t="n">
        <v>46314</v>
      </c>
      <c r="B528" s="6" t="s">
        <v>22</v>
      </c>
      <c r="C528" s="6" t="s">
        <v>154</v>
      </c>
      <c r="D528" s="7" t="n">
        <v>-0.3654</v>
      </c>
      <c r="E528" s="6" t="str">
        <f aca="false">IF(D528&gt;Settings!$C$4,"Bullish",IF(D528&lt;-Settings!$C$4,"Bearish","Neutral"))</f>
        <v>Bearish</v>
      </c>
      <c r="F528" s="8" t="n">
        <v>0.533</v>
      </c>
      <c r="G528" s="20" t="n">
        <v>-0.0060785509637284</v>
      </c>
      <c r="H528" s="6" t="str">
        <f aca="false">IF(G528="","",IF(G528&gt;0,"Bullish",IF(G528&lt;0,"Bearish","Flat")))</f>
        <v>Bearish</v>
      </c>
      <c r="I528" s="6" t="n">
        <f aca="false">IF(OR(G528="",E528="Neutral"),"",IF(E528=H528,1,0))</f>
        <v>1</v>
      </c>
      <c r="J528" s="6" t="s">
        <v>150</v>
      </c>
    </row>
    <row r="529" customFormat="false" ht="15" hidden="false" customHeight="false" outlineLevel="0" collapsed="false">
      <c r="A529" s="19" t="n">
        <v>46314</v>
      </c>
      <c r="B529" s="6" t="s">
        <v>35</v>
      </c>
      <c r="C529" s="6" t="s">
        <v>154</v>
      </c>
      <c r="D529" s="7" t="n">
        <v>0.1723</v>
      </c>
      <c r="E529" s="6" t="str">
        <f aca="false">IF(D529&gt;Settings!$C$4,"Bullish",IF(D529&lt;-Settings!$C$4,"Bearish","Neutral"))</f>
        <v>Bullish</v>
      </c>
      <c r="F529" s="8" t="n">
        <v>0.531</v>
      </c>
      <c r="G529" s="20" t="n">
        <v>-0.0081353777207094</v>
      </c>
      <c r="H529" s="6" t="str">
        <f aca="false">IF(G529="","",IF(G529&gt;0,"Bullish",IF(G529&lt;0,"Bearish","Flat")))</f>
        <v>Bearish</v>
      </c>
      <c r="I529" s="6" t="n">
        <f aca="false">IF(OR(G529="",E529="Neutral"),"",IF(E529=H529,1,0))</f>
        <v>0</v>
      </c>
      <c r="J529" s="6" t="s">
        <v>150</v>
      </c>
    </row>
    <row r="530" customFormat="false" ht="15" hidden="false" customHeight="false" outlineLevel="0" collapsed="false">
      <c r="A530" s="19" t="n">
        <v>46314</v>
      </c>
      <c r="B530" s="6" t="s">
        <v>18</v>
      </c>
      <c r="C530" s="6" t="s">
        <v>154</v>
      </c>
      <c r="D530" s="7" t="n">
        <v>-0.3262</v>
      </c>
      <c r="E530" s="6" t="str">
        <f aca="false">IF(D530&gt;Settings!$C$4,"Bullish",IF(D530&lt;-Settings!$C$4,"Bearish","Neutral"))</f>
        <v>Bearish</v>
      </c>
      <c r="F530" s="8" t="n">
        <v>0.529</v>
      </c>
      <c r="G530" s="20" t="n">
        <v>-0.0113127595747023</v>
      </c>
      <c r="H530" s="6" t="str">
        <f aca="false">IF(G530="","",IF(G530&gt;0,"Bullish",IF(G530&lt;0,"Bearish","Flat")))</f>
        <v>Bearish</v>
      </c>
      <c r="I530" s="6" t="n">
        <f aca="false">IF(OR(G530="",E530="Neutral"),"",IF(E530=H530,1,0))</f>
        <v>1</v>
      </c>
      <c r="J530" s="6" t="s">
        <v>150</v>
      </c>
    </row>
    <row r="531" customFormat="false" ht="15" hidden="false" customHeight="false" outlineLevel="0" collapsed="false">
      <c r="A531" s="19" t="n">
        <v>46314</v>
      </c>
      <c r="B531" s="6" t="s">
        <v>18</v>
      </c>
      <c r="C531" s="6" t="s">
        <v>149</v>
      </c>
      <c r="D531" s="7" t="n">
        <v>0.3078</v>
      </c>
      <c r="E531" s="6" t="str">
        <f aca="false">IF(D531&gt;Settings!$C$4,"Bullish",IF(D531&lt;-Settings!$C$4,"Bearish","Neutral"))</f>
        <v>Bullish</v>
      </c>
      <c r="F531" s="8" t="n">
        <v>0.51</v>
      </c>
      <c r="G531" s="20"/>
      <c r="H531" s="6" t="str">
        <f aca="false">IF(G531="","",IF(G531&gt;0,"Bullish",IF(G531&lt;0,"Bearish","Flat")))</f>
        <v/>
      </c>
      <c r="I531" s="6" t="str">
        <f aca="false">IF(OR(G531="",E531="Neutral"),"",IF(E531=H531,1,0))</f>
        <v/>
      </c>
      <c r="J531" s="6" t="s">
        <v>150</v>
      </c>
    </row>
    <row r="532" customFormat="false" ht="15" hidden="false" customHeight="false" outlineLevel="0" collapsed="false">
      <c r="A532" s="19" t="n">
        <v>46315</v>
      </c>
      <c r="B532" s="6" t="s">
        <v>35</v>
      </c>
      <c r="C532" s="6" t="s">
        <v>154</v>
      </c>
      <c r="D532" s="7" t="n">
        <v>0.1883</v>
      </c>
      <c r="E532" s="6" t="str">
        <f aca="false">IF(D532&gt;Settings!$C$4,"Bullish",IF(D532&lt;-Settings!$C$4,"Bearish","Neutral"))</f>
        <v>Bullish</v>
      </c>
      <c r="F532" s="8" t="n">
        <v>0.531</v>
      </c>
      <c r="G532" s="20"/>
      <c r="H532" s="6" t="str">
        <f aca="false">IF(G532="","",IF(G532&gt;0,"Bullish",IF(G532&lt;0,"Bearish","Flat")))</f>
        <v/>
      </c>
      <c r="I532" s="6" t="str">
        <f aca="false">IF(OR(G532="",E532="Neutral"),"",IF(E532=H532,1,0))</f>
        <v/>
      </c>
      <c r="J532" s="6" t="s">
        <v>150</v>
      </c>
    </row>
    <row r="533" customFormat="false" ht="15" hidden="false" customHeight="false" outlineLevel="0" collapsed="false">
      <c r="A533" s="19" t="n">
        <v>46315</v>
      </c>
      <c r="B533" s="6" t="s">
        <v>18</v>
      </c>
      <c r="C533" s="6" t="s">
        <v>154</v>
      </c>
      <c r="D533" s="7" t="n">
        <v>0.0752</v>
      </c>
      <c r="E533" s="6" t="str">
        <f aca="false">IF(D533&gt;Settings!$C$4,"Bullish",IF(D533&lt;-Settings!$C$4,"Bearish","Neutral"))</f>
        <v>Neutral</v>
      </c>
      <c r="F533" s="8"/>
      <c r="G533" s="20"/>
      <c r="H533" s="6" t="str">
        <f aca="false">IF(G533="","",IF(G533&gt;0,"Bullish",IF(G533&lt;0,"Bearish","Flat")))</f>
        <v/>
      </c>
      <c r="I533" s="6" t="str">
        <f aca="false">IF(OR(G533="",E533="Neutral"),"",IF(E533=H533,1,0))</f>
        <v/>
      </c>
      <c r="J533" s="6" t="s">
        <v>150</v>
      </c>
    </row>
    <row r="534" customFormat="false" ht="15" hidden="false" customHeight="false" outlineLevel="0" collapsed="false">
      <c r="A534" s="19" t="n">
        <v>46315</v>
      </c>
      <c r="B534" s="6" t="s">
        <v>18</v>
      </c>
      <c r="C534" s="6" t="s">
        <v>149</v>
      </c>
      <c r="D534" s="7" t="n">
        <v>0.3146</v>
      </c>
      <c r="E534" s="6" t="str">
        <f aca="false">IF(D534&gt;Settings!$C$4,"Bullish",IF(D534&lt;-Settings!$C$4,"Bearish","Neutral"))</f>
        <v>Bullish</v>
      </c>
      <c r="F534" s="8" t="n">
        <v>0.51</v>
      </c>
      <c r="G534" s="20"/>
      <c r="H534" s="6" t="str">
        <f aca="false">IF(G534="","",IF(G534&gt;0,"Bullish",IF(G534&lt;0,"Bearish","Flat")))</f>
        <v/>
      </c>
      <c r="I534" s="6" t="str">
        <f aca="false">IF(OR(G534="",E534="Neutral"),"",IF(E534=H534,1,0))</f>
        <v/>
      </c>
      <c r="J534" s="6" t="s">
        <v>150</v>
      </c>
    </row>
    <row r="535" customFormat="false" ht="15" hidden="false" customHeight="false" outlineLevel="0" collapsed="false">
      <c r="A535" s="19" t="n">
        <v>46316</v>
      </c>
      <c r="B535" s="6" t="s">
        <v>22</v>
      </c>
      <c r="C535" s="6" t="s">
        <v>154</v>
      </c>
      <c r="D535" s="7" t="n">
        <v>-0.3596</v>
      </c>
      <c r="E535" s="6" t="str">
        <f aca="false">IF(D535&gt;Settings!$C$4,"Bullish",IF(D535&lt;-Settings!$C$4,"Bearish","Neutral"))</f>
        <v>Bearish</v>
      </c>
      <c r="F535" s="8" t="n">
        <v>0.533</v>
      </c>
      <c r="G535" s="20" t="n">
        <v>-0.0131211310434704</v>
      </c>
      <c r="H535" s="6" t="str">
        <f aca="false">IF(G535="","",IF(G535&gt;0,"Bullish",IF(G535&lt;0,"Bearish","Flat")))</f>
        <v>Bearish</v>
      </c>
      <c r="I535" s="6" t="n">
        <f aca="false">IF(OR(G535="",E535="Neutral"),"",IF(E535=H535,1,0))</f>
        <v>1</v>
      </c>
      <c r="J535" s="6" t="s">
        <v>150</v>
      </c>
    </row>
    <row r="536" customFormat="false" ht="15" hidden="false" customHeight="false" outlineLevel="0" collapsed="false">
      <c r="A536" s="19" t="n">
        <v>46316</v>
      </c>
      <c r="B536" s="6" t="s">
        <v>53</v>
      </c>
      <c r="C536" s="6" t="s">
        <v>154</v>
      </c>
      <c r="D536" s="7" t="n">
        <v>-0.4849</v>
      </c>
      <c r="E536" s="6" t="str">
        <f aca="false">IF(D536&gt;Settings!$C$4,"Bullish",IF(D536&lt;-Settings!$C$4,"Bearish","Neutral"))</f>
        <v>Bearish</v>
      </c>
      <c r="F536" s="8" t="n">
        <v>0.535</v>
      </c>
      <c r="G536" s="20"/>
      <c r="H536" s="6" t="str">
        <f aca="false">IF(G536="","",IF(G536&gt;0,"Bullish",IF(G536&lt;0,"Bearish","Flat")))</f>
        <v/>
      </c>
      <c r="I536" s="6" t="str">
        <f aca="false">IF(OR(G536="",E536="Neutral"),"",IF(E536=H536,1,0))</f>
        <v/>
      </c>
      <c r="J536" s="6" t="s">
        <v>150</v>
      </c>
    </row>
    <row r="537" customFormat="false" ht="15" hidden="false" customHeight="false" outlineLevel="0" collapsed="false">
      <c r="A537" s="19" t="n">
        <v>46316</v>
      </c>
      <c r="B537" s="6" t="s">
        <v>18</v>
      </c>
      <c r="C537" s="6" t="s">
        <v>154</v>
      </c>
      <c r="D537" s="7" t="n">
        <v>-0.5878</v>
      </c>
      <c r="E537" s="6" t="str">
        <f aca="false">IF(D537&gt;Settings!$C$4,"Bullish",IF(D537&lt;-Settings!$C$4,"Bearish","Neutral"))</f>
        <v>Bearish</v>
      </c>
      <c r="F537" s="8" t="n">
        <v>0.501</v>
      </c>
      <c r="G537" s="20" t="n">
        <v>-0.008891640597845</v>
      </c>
      <c r="H537" s="6" t="str">
        <f aca="false">IF(G537="","",IF(G537&gt;0,"Bullish",IF(G537&lt;0,"Bearish","Flat")))</f>
        <v>Bearish</v>
      </c>
      <c r="I537" s="6" t="n">
        <f aca="false">IF(OR(G537="",E537="Neutral"),"",IF(E537=H537,1,0))</f>
        <v>1</v>
      </c>
      <c r="J537" s="6" t="s">
        <v>150</v>
      </c>
    </row>
    <row r="538" customFormat="false" ht="15" hidden="false" customHeight="false" outlineLevel="0" collapsed="false">
      <c r="A538" s="19" t="n">
        <v>46316</v>
      </c>
      <c r="B538" s="6" t="s">
        <v>18</v>
      </c>
      <c r="C538" s="6" t="s">
        <v>149</v>
      </c>
      <c r="D538" s="7" t="n">
        <v>0.2976</v>
      </c>
      <c r="E538" s="6" t="str">
        <f aca="false">IF(D538&gt;Settings!$C$4,"Bullish",IF(D538&lt;-Settings!$C$4,"Bearish","Neutral"))</f>
        <v>Bullish</v>
      </c>
      <c r="F538" s="8" t="n">
        <v>0.495</v>
      </c>
      <c r="G538" s="20"/>
      <c r="H538" s="6" t="str">
        <f aca="false">IF(G538="","",IF(G538&gt;0,"Bullish",IF(G538&lt;0,"Bearish","Flat")))</f>
        <v/>
      </c>
      <c r="I538" s="6" t="str">
        <f aca="false">IF(OR(G538="",E538="Neutral"),"",IF(E538=H538,1,0))</f>
        <v/>
      </c>
      <c r="J538" s="6" t="s">
        <v>150</v>
      </c>
    </row>
    <row r="539" customFormat="false" ht="15" hidden="false" customHeight="false" outlineLevel="0" collapsed="false">
      <c r="A539" s="19" t="n">
        <v>46317</v>
      </c>
      <c r="B539" s="6" t="s">
        <v>22</v>
      </c>
      <c r="C539" s="6" t="s">
        <v>154</v>
      </c>
      <c r="D539" s="7" t="n">
        <v>-0.3597</v>
      </c>
      <c r="E539" s="6" t="str">
        <f aca="false">IF(D539&gt;Settings!$C$4,"Bullish",IF(D539&lt;-Settings!$C$4,"Bearish","Neutral"))</f>
        <v>Bearish</v>
      </c>
      <c r="F539" s="8" t="n">
        <v>0.533</v>
      </c>
      <c r="G539" s="20" t="n">
        <v>0.0034941430853876</v>
      </c>
      <c r="H539" s="6" t="str">
        <f aca="false">IF(G539="","",IF(G539&gt;0,"Bullish",IF(G539&lt;0,"Bearish","Flat")))</f>
        <v>Bullish</v>
      </c>
      <c r="I539" s="6" t="n">
        <f aca="false">IF(OR(G539="",E539="Neutral"),"",IF(E539=H539,1,0))</f>
        <v>0</v>
      </c>
      <c r="J539" s="6" t="s">
        <v>150</v>
      </c>
    </row>
    <row r="540" customFormat="false" ht="15" hidden="false" customHeight="false" outlineLevel="0" collapsed="false">
      <c r="A540" s="19" t="n">
        <v>46317</v>
      </c>
      <c r="B540" s="6" t="s">
        <v>18</v>
      </c>
      <c r="C540" s="6" t="s">
        <v>154</v>
      </c>
      <c r="D540" s="7" t="n">
        <v>-0.7617</v>
      </c>
      <c r="E540" s="6" t="str">
        <f aca="false">IF(D540&gt;Settings!$C$4,"Bullish",IF(D540&lt;-Settings!$C$4,"Bearish","Neutral"))</f>
        <v>Bearish</v>
      </c>
      <c r="F540" s="8" t="n">
        <v>0.501</v>
      </c>
      <c r="G540" s="20" t="n">
        <v>-4.40766492926237E-006</v>
      </c>
      <c r="H540" s="6" t="str">
        <f aca="false">IF(G540="","",IF(G540&gt;0,"Bullish",IF(G540&lt;0,"Bearish","Flat")))</f>
        <v>Bearish</v>
      </c>
      <c r="I540" s="6" t="n">
        <f aca="false">IF(OR(G540="",E540="Neutral"),"",IF(E540=H540,1,0))</f>
        <v>1</v>
      </c>
      <c r="J540" s="6" t="s">
        <v>150</v>
      </c>
    </row>
    <row r="541" customFormat="false" ht="15" hidden="false" customHeight="false" outlineLevel="0" collapsed="false">
      <c r="A541" s="19" t="n">
        <v>46317</v>
      </c>
      <c r="B541" s="6" t="s">
        <v>18</v>
      </c>
      <c r="C541" s="6" t="s">
        <v>149</v>
      </c>
      <c r="D541" s="7" t="n">
        <v>0.2892</v>
      </c>
      <c r="E541" s="6" t="str">
        <f aca="false">IF(D541&gt;Settings!$C$4,"Bullish",IF(D541&lt;-Settings!$C$4,"Bearish","Neutral"))</f>
        <v>Bullish</v>
      </c>
      <c r="F541" s="8" t="n">
        <v>0.495</v>
      </c>
      <c r="G541" s="20"/>
      <c r="H541" s="6" t="str">
        <f aca="false">IF(G541="","",IF(G541&gt;0,"Bullish",IF(G541&lt;0,"Bearish","Flat")))</f>
        <v/>
      </c>
      <c r="I541" s="6" t="str">
        <f aca="false">IF(OR(G541="",E541="Neutral"),"",IF(E541=H541,1,0))</f>
        <v/>
      </c>
      <c r="J541" s="6" t="s">
        <v>150</v>
      </c>
    </row>
    <row r="542" customFormat="false" ht="15" hidden="false" customHeight="false" outlineLevel="0" collapsed="false">
      <c r="A542" s="19" t="n">
        <v>46318</v>
      </c>
      <c r="B542" s="6" t="s">
        <v>53</v>
      </c>
      <c r="C542" s="6" t="s">
        <v>154</v>
      </c>
      <c r="D542" s="7" t="n">
        <v>-0.3691</v>
      </c>
      <c r="E542" s="6" t="str">
        <f aca="false">IF(D542&gt;Settings!$C$4,"Bullish",IF(D542&lt;-Settings!$C$4,"Bearish","Neutral"))</f>
        <v>Bearish</v>
      </c>
      <c r="F542" s="8" t="n">
        <v>0.535</v>
      </c>
      <c r="G542" s="20"/>
      <c r="H542" s="6" t="str">
        <f aca="false">IF(G542="","",IF(G542&gt;0,"Bullish",IF(G542&lt;0,"Bearish","Flat")))</f>
        <v/>
      </c>
      <c r="I542" s="6" t="str">
        <f aca="false">IF(OR(G542="",E542="Neutral"),"",IF(E542=H542,1,0))</f>
        <v/>
      </c>
      <c r="J542" s="6" t="s">
        <v>150</v>
      </c>
    </row>
    <row r="543" customFormat="false" ht="15" hidden="false" customHeight="false" outlineLevel="0" collapsed="false">
      <c r="A543" s="19" t="n">
        <v>46318</v>
      </c>
      <c r="B543" s="6" t="s">
        <v>18</v>
      </c>
      <c r="C543" s="6" t="s">
        <v>154</v>
      </c>
      <c r="D543" s="7" t="n">
        <v>0.0515</v>
      </c>
      <c r="E543" s="6" t="str">
        <f aca="false">IF(D543&gt;Settings!$C$4,"Bullish",IF(D543&lt;-Settings!$C$4,"Bearish","Neutral"))</f>
        <v>Neutral</v>
      </c>
      <c r="F543" s="8"/>
      <c r="G543" s="20" t="n">
        <v>-0.0062526932310859</v>
      </c>
      <c r="H543" s="6" t="str">
        <f aca="false">IF(G543="","",IF(G543&gt;0,"Bullish",IF(G543&lt;0,"Bearish","Flat")))</f>
        <v>Bearish</v>
      </c>
      <c r="I543" s="6" t="str">
        <f aca="false">IF(OR(G543="",E543="Neutral"),"",IF(E543=H543,1,0))</f>
        <v/>
      </c>
      <c r="J543" s="6" t="s">
        <v>150</v>
      </c>
    </row>
    <row r="544" customFormat="false" ht="15" hidden="false" customHeight="false" outlineLevel="0" collapsed="false">
      <c r="A544" s="19" t="n">
        <v>46318</v>
      </c>
      <c r="B544" s="6" t="s">
        <v>18</v>
      </c>
      <c r="C544" s="6" t="s">
        <v>149</v>
      </c>
      <c r="D544" s="7" t="n">
        <v>0.2796</v>
      </c>
      <c r="E544" s="6" t="str">
        <f aca="false">IF(D544&gt;Settings!$C$4,"Bullish",IF(D544&lt;-Settings!$C$4,"Bearish","Neutral"))</f>
        <v>Bullish</v>
      </c>
      <c r="F544" s="8" t="n">
        <v>0.495</v>
      </c>
      <c r="G544" s="20"/>
      <c r="H544" s="6" t="str">
        <f aca="false">IF(G544="","",IF(G544&gt;0,"Bullish",IF(G544&lt;0,"Bearish","Flat")))</f>
        <v/>
      </c>
      <c r="I544" s="6" t="str">
        <f aca="false">IF(OR(G544="",E544="Neutral"),"",IF(E544=H544,1,0))</f>
        <v/>
      </c>
      <c r="J544" s="6" t="s">
        <v>150</v>
      </c>
    </row>
    <row r="545" customFormat="false" ht="15" hidden="false" customHeight="false" outlineLevel="0" collapsed="false">
      <c r="A545" s="19" t="n">
        <v>46322</v>
      </c>
      <c r="B545" s="6" t="s">
        <v>20</v>
      </c>
      <c r="C545" s="6" t="s">
        <v>154</v>
      </c>
      <c r="D545" s="7" t="n">
        <v>0.0028</v>
      </c>
      <c r="E545" s="6" t="str">
        <f aca="false">IF(D545&gt;Settings!$C$4,"Bullish",IF(D545&lt;-Settings!$C$4,"Bearish","Neutral"))</f>
        <v>Neutral</v>
      </c>
      <c r="F545" s="8"/>
      <c r="G545" s="20"/>
      <c r="H545" s="6" t="str">
        <f aca="false">IF(G545="","",IF(G545&gt;0,"Bullish",IF(G545&lt;0,"Bearish","Flat")))</f>
        <v/>
      </c>
      <c r="I545" s="6" t="str">
        <f aca="false">IF(OR(G545="",E545="Neutral"),"",IF(E545=H545,1,0))</f>
        <v/>
      </c>
      <c r="J545" s="6" t="s">
        <v>161</v>
      </c>
    </row>
    <row r="546" customFormat="false" ht="15" hidden="false" customHeight="false" outlineLevel="0" collapsed="false">
      <c r="A546" s="19" t="n">
        <v>46322</v>
      </c>
      <c r="B546" s="6" t="s">
        <v>20</v>
      </c>
      <c r="C546" s="6" t="s">
        <v>149</v>
      </c>
      <c r="D546" s="7" t="n">
        <v>0.0319</v>
      </c>
      <c r="E546" s="6" t="str">
        <f aca="false">IF(D546&gt;Settings!$C$4,"Bullish",IF(D546&lt;-Settings!$C$4,"Bearish","Neutral"))</f>
        <v>Neutral</v>
      </c>
      <c r="F546" s="8"/>
      <c r="G546" s="20"/>
      <c r="H546" s="6" t="str">
        <f aca="false">IF(G546="","",IF(G546&gt;0,"Bullish",IF(G546&lt;0,"Bearish","Flat")))</f>
        <v/>
      </c>
      <c r="I546" s="6" t="str">
        <f aca="false">IF(OR(G546="",E546="Neutral"),"",IF(E546=H546,1,0))</f>
        <v/>
      </c>
      <c r="J546" s="6" t="s">
        <v>161</v>
      </c>
    </row>
    <row r="547" customFormat="false" ht="15" hidden="false" customHeight="false" outlineLevel="0" collapsed="false">
      <c r="A547" s="19" t="n">
        <v>46322</v>
      </c>
      <c r="B547" s="6" t="s">
        <v>22</v>
      </c>
      <c r="C547" s="6" t="s">
        <v>154</v>
      </c>
      <c r="D547" s="7" t="n">
        <v>-0.7115</v>
      </c>
      <c r="E547" s="6" t="str">
        <f aca="false">IF(D547&gt;Settings!$C$4,"Bullish",IF(D547&lt;-Settings!$C$4,"Bearish","Neutral"))</f>
        <v>Bearish</v>
      </c>
      <c r="F547" s="8" t="n">
        <v>0.488</v>
      </c>
      <c r="G547" s="20"/>
      <c r="H547" s="6" t="str">
        <f aca="false">IF(G547="","",IF(G547&gt;0,"Bullish",IF(G547&lt;0,"Bearish","Flat")))</f>
        <v/>
      </c>
      <c r="I547" s="6" t="str">
        <f aca="false">IF(OR(G547="",E547="Neutral"),"",IF(E547=H547,1,0))</f>
        <v/>
      </c>
      <c r="J547" s="6" t="s">
        <v>161</v>
      </c>
    </row>
    <row r="548" customFormat="false" ht="15" hidden="false" customHeight="false" outlineLevel="0" collapsed="false">
      <c r="A548" s="19" t="n">
        <v>46322</v>
      </c>
      <c r="B548" s="6" t="s">
        <v>22</v>
      </c>
      <c r="C548" s="6" t="s">
        <v>149</v>
      </c>
      <c r="D548" s="7" t="n">
        <v>0.1462</v>
      </c>
      <c r="E548" s="6" t="str">
        <f aca="false">IF(D548&gt;Settings!$C$4,"Bullish",IF(D548&lt;-Settings!$C$4,"Bearish","Neutral"))</f>
        <v>Neutral</v>
      </c>
      <c r="F548" s="8"/>
      <c r="G548" s="20"/>
      <c r="H548" s="6" t="str">
        <f aca="false">IF(G548="","",IF(G548&gt;0,"Bullish",IF(G548&lt;0,"Bearish","Flat")))</f>
        <v/>
      </c>
      <c r="I548" s="6" t="str">
        <f aca="false">IF(OR(G548="",E548="Neutral"),"",IF(E548=H548,1,0))</f>
        <v/>
      </c>
      <c r="J548" s="6" t="s">
        <v>161</v>
      </c>
    </row>
    <row r="549" customFormat="false" ht="15" hidden="false" customHeight="false" outlineLevel="0" collapsed="false">
      <c r="A549" s="19" t="n">
        <v>46322</v>
      </c>
      <c r="B549" s="6" t="s">
        <v>52</v>
      </c>
      <c r="C549" s="6" t="s">
        <v>154</v>
      </c>
      <c r="D549" s="7" t="n">
        <v>0.0624</v>
      </c>
      <c r="E549" s="6" t="str">
        <f aca="false">IF(D549&gt;Settings!$C$4,"Bullish",IF(D549&lt;-Settings!$C$4,"Bearish","Neutral"))</f>
        <v>Neutral</v>
      </c>
      <c r="F549" s="8"/>
      <c r="G549" s="20"/>
      <c r="H549" s="6" t="str">
        <f aca="false">IF(G549="","",IF(G549&gt;0,"Bullish",IF(G549&lt;0,"Bearish","Flat")))</f>
        <v/>
      </c>
      <c r="I549" s="6" t="str">
        <f aca="false">IF(OR(G549="",E549="Neutral"),"",IF(E549=H549,1,0))</f>
        <v/>
      </c>
      <c r="J549" s="6" t="s">
        <v>161</v>
      </c>
    </row>
    <row r="550" customFormat="false" ht="15" hidden="false" customHeight="false" outlineLevel="0" collapsed="false">
      <c r="A550" s="19" t="n">
        <v>46322</v>
      </c>
      <c r="B550" s="6" t="s">
        <v>52</v>
      </c>
      <c r="C550" s="6" t="s">
        <v>149</v>
      </c>
      <c r="D550" s="7" t="n">
        <v>0.1337</v>
      </c>
      <c r="E550" s="6" t="str">
        <f aca="false">IF(D550&gt;Settings!$C$4,"Bullish",IF(D550&lt;-Settings!$C$4,"Bearish","Neutral"))</f>
        <v>Neutral</v>
      </c>
      <c r="F550" s="8"/>
      <c r="G550" s="20"/>
      <c r="H550" s="6" t="str">
        <f aca="false">IF(G550="","",IF(G550&gt;0,"Bullish",IF(G550&lt;0,"Bearish","Flat")))</f>
        <v/>
      </c>
      <c r="I550" s="6" t="str">
        <f aca="false">IF(OR(G550="",E550="Neutral"),"",IF(E550=H550,1,0))</f>
        <v/>
      </c>
      <c r="J550" s="6" t="s">
        <v>161</v>
      </c>
    </row>
    <row r="551" customFormat="false" ht="15" hidden="false" customHeight="false" outlineLevel="0" collapsed="false">
      <c r="A551" s="19" t="n">
        <v>46322</v>
      </c>
      <c r="B551" s="6" t="s">
        <v>30</v>
      </c>
      <c r="C551" s="6" t="s">
        <v>154</v>
      </c>
      <c r="D551" s="7" t="n">
        <v>-0.4593</v>
      </c>
      <c r="E551" s="6" t="str">
        <f aca="false">IF(D551&gt;Settings!$C$4,"Bullish",IF(D551&lt;-Settings!$C$4,"Bearish","Neutral"))</f>
        <v>Bearish</v>
      </c>
      <c r="F551" s="8" t="n">
        <v>0.482</v>
      </c>
      <c r="G551" s="20"/>
      <c r="H551" s="6" t="str">
        <f aca="false">IF(G551="","",IF(G551&gt;0,"Bullish",IF(G551&lt;0,"Bearish","Flat")))</f>
        <v/>
      </c>
      <c r="I551" s="6" t="str">
        <f aca="false">IF(OR(G551="",E551="Neutral"),"",IF(E551=H551,1,0))</f>
        <v/>
      </c>
      <c r="J551" s="6" t="s">
        <v>161</v>
      </c>
    </row>
    <row r="552" customFormat="false" ht="15" hidden="false" customHeight="false" outlineLevel="0" collapsed="false">
      <c r="A552" s="19" t="n">
        <v>46322</v>
      </c>
      <c r="B552" s="6" t="s">
        <v>30</v>
      </c>
      <c r="C552" s="6" t="s">
        <v>149</v>
      </c>
      <c r="D552" s="7" t="n">
        <v>0.2841</v>
      </c>
      <c r="E552" s="6" t="str">
        <f aca="false">IF(D552&gt;Settings!$C$4,"Bullish",IF(D552&lt;-Settings!$C$4,"Bearish","Neutral"))</f>
        <v>Bullish</v>
      </c>
      <c r="F552" s="8" t="n">
        <v>0.531</v>
      </c>
      <c r="G552" s="20"/>
      <c r="H552" s="6" t="str">
        <f aca="false">IF(G552="","",IF(G552&gt;0,"Bullish",IF(G552&lt;0,"Bearish","Flat")))</f>
        <v/>
      </c>
      <c r="I552" s="6" t="str">
        <f aca="false">IF(OR(G552="",E552="Neutral"),"",IF(E552=H552,1,0))</f>
        <v/>
      </c>
      <c r="J552" s="6" t="s">
        <v>161</v>
      </c>
    </row>
    <row r="553" customFormat="false" ht="15" hidden="false" customHeight="false" outlineLevel="0" collapsed="false">
      <c r="A553" s="19" t="n">
        <v>46322</v>
      </c>
      <c r="B553" s="6" t="s">
        <v>50</v>
      </c>
      <c r="C553" s="6" t="s">
        <v>154</v>
      </c>
      <c r="D553" s="7" t="n">
        <v>0.0587</v>
      </c>
      <c r="E553" s="6" t="str">
        <f aca="false">IF(D553&gt;Settings!$C$4,"Bullish",IF(D553&lt;-Settings!$C$4,"Bearish","Neutral"))</f>
        <v>Neutral</v>
      </c>
      <c r="F553" s="8"/>
      <c r="G553" s="20"/>
      <c r="H553" s="6" t="str">
        <f aca="false">IF(G553="","",IF(G553&gt;0,"Bullish",IF(G553&lt;0,"Bearish","Flat")))</f>
        <v/>
      </c>
      <c r="I553" s="6" t="str">
        <f aca="false">IF(OR(G553="",E553="Neutral"),"",IF(E553=H553,1,0))</f>
        <v/>
      </c>
      <c r="J553" s="6" t="s">
        <v>161</v>
      </c>
    </row>
    <row r="554" customFormat="false" ht="15" hidden="false" customHeight="false" outlineLevel="0" collapsed="false">
      <c r="A554" s="19" t="n">
        <v>46322</v>
      </c>
      <c r="B554" s="6" t="s">
        <v>50</v>
      </c>
      <c r="C554" s="6" t="s">
        <v>149</v>
      </c>
      <c r="D554" s="7" t="n">
        <v>0.642</v>
      </c>
      <c r="E554" s="6" t="str">
        <f aca="false">IF(D554&gt;Settings!$C$4,"Bullish",IF(D554&lt;-Settings!$C$4,"Bearish","Neutral"))</f>
        <v>Bullish</v>
      </c>
      <c r="F554" s="8" t="n">
        <v>0.442</v>
      </c>
      <c r="G554" s="20"/>
      <c r="H554" s="6" t="str">
        <f aca="false">IF(G554="","",IF(G554&gt;0,"Bullish",IF(G554&lt;0,"Bearish","Flat")))</f>
        <v/>
      </c>
      <c r="I554" s="6" t="str">
        <f aca="false">IF(OR(G554="",E554="Neutral"),"",IF(E554=H554,1,0))</f>
        <v/>
      </c>
      <c r="J554" s="6" t="s">
        <v>161</v>
      </c>
    </row>
    <row r="555" customFormat="false" ht="15" hidden="false" customHeight="false" outlineLevel="0" collapsed="false">
      <c r="A555" s="19" t="n">
        <v>46322</v>
      </c>
      <c r="B555" s="6" t="s">
        <v>34</v>
      </c>
      <c r="C555" s="6" t="s">
        <v>154</v>
      </c>
      <c r="D555" s="7" t="n">
        <v>0.0201</v>
      </c>
      <c r="E555" s="6" t="str">
        <f aca="false">IF(D555&gt;Settings!$C$4,"Bullish",IF(D555&lt;-Settings!$C$4,"Bearish","Neutral"))</f>
        <v>Neutral</v>
      </c>
      <c r="F555" s="8"/>
      <c r="G555" s="20"/>
      <c r="H555" s="6" t="str">
        <f aca="false">IF(G555="","",IF(G555&gt;0,"Bullish",IF(G555&lt;0,"Bearish","Flat")))</f>
        <v/>
      </c>
      <c r="I555" s="6" t="str">
        <f aca="false">IF(OR(G555="",E555="Neutral"),"",IF(E555=H555,1,0))</f>
        <v/>
      </c>
      <c r="J555" s="6" t="s">
        <v>161</v>
      </c>
    </row>
    <row r="556" customFormat="false" ht="15" hidden="false" customHeight="false" outlineLevel="0" collapsed="false">
      <c r="A556" s="19" t="n">
        <v>46322</v>
      </c>
      <c r="B556" s="6" t="s">
        <v>34</v>
      </c>
      <c r="C556" s="6" t="s">
        <v>149</v>
      </c>
      <c r="D556" s="7" t="n">
        <v>0.0517</v>
      </c>
      <c r="E556" s="6" t="str">
        <f aca="false">IF(D556&gt;Settings!$C$4,"Bullish",IF(D556&lt;-Settings!$C$4,"Bearish","Neutral"))</f>
        <v>Neutral</v>
      </c>
      <c r="F556" s="8"/>
      <c r="G556" s="20"/>
      <c r="H556" s="6" t="str">
        <f aca="false">IF(G556="","",IF(G556&gt;0,"Bullish",IF(G556&lt;0,"Bearish","Flat")))</f>
        <v/>
      </c>
      <c r="I556" s="6" t="str">
        <f aca="false">IF(OR(G556="",E556="Neutral"),"",IF(E556=H556,1,0))</f>
        <v/>
      </c>
      <c r="J556" s="6" t="s">
        <v>161</v>
      </c>
    </row>
    <row r="557" customFormat="false" ht="15" hidden="false" customHeight="false" outlineLevel="0" collapsed="false">
      <c r="A557" s="19" t="n">
        <v>46322</v>
      </c>
      <c r="B557" s="6" t="s">
        <v>35</v>
      </c>
      <c r="C557" s="6" t="s">
        <v>154</v>
      </c>
      <c r="D557" s="7" t="n">
        <v>0.038</v>
      </c>
      <c r="E557" s="6" t="str">
        <f aca="false">IF(D557&gt;Settings!$C$4,"Bullish",IF(D557&lt;-Settings!$C$4,"Bearish","Neutral"))</f>
        <v>Neutral</v>
      </c>
      <c r="F557" s="8"/>
      <c r="G557" s="20"/>
      <c r="H557" s="6" t="str">
        <f aca="false">IF(G557="","",IF(G557&gt;0,"Bullish",IF(G557&lt;0,"Bearish","Flat")))</f>
        <v/>
      </c>
      <c r="I557" s="6" t="str">
        <f aca="false">IF(OR(G557="",E557="Neutral"),"",IF(E557=H557,1,0))</f>
        <v/>
      </c>
      <c r="J557" s="6" t="s">
        <v>161</v>
      </c>
    </row>
    <row r="558" customFormat="false" ht="15" hidden="false" customHeight="false" outlineLevel="0" collapsed="false">
      <c r="A558" s="19" t="n">
        <v>46322</v>
      </c>
      <c r="B558" s="6" t="s">
        <v>35</v>
      </c>
      <c r="C558" s="6" t="s">
        <v>149</v>
      </c>
      <c r="D558" s="7" t="n">
        <v>0.0319</v>
      </c>
      <c r="E558" s="6" t="str">
        <f aca="false">IF(D558&gt;Settings!$C$4,"Bullish",IF(D558&lt;-Settings!$C$4,"Bearish","Neutral"))</f>
        <v>Neutral</v>
      </c>
      <c r="F558" s="8"/>
      <c r="G558" s="20"/>
      <c r="H558" s="6" t="str">
        <f aca="false">IF(G558="","",IF(G558&gt;0,"Bullish",IF(G558&lt;0,"Bearish","Flat")))</f>
        <v/>
      </c>
      <c r="I558" s="6" t="str">
        <f aca="false">IF(OR(G558="",E558="Neutral"),"",IF(E558=H558,1,0))</f>
        <v/>
      </c>
      <c r="J558" s="6" t="s">
        <v>161</v>
      </c>
    </row>
    <row r="559" customFormat="false" ht="15" hidden="false" customHeight="false" outlineLevel="0" collapsed="false">
      <c r="A559" s="19" t="n">
        <v>46322</v>
      </c>
      <c r="B559" s="6" t="s">
        <v>37</v>
      </c>
      <c r="C559" s="6" t="s">
        <v>154</v>
      </c>
      <c r="D559" s="7" t="n">
        <v>-0.7813</v>
      </c>
      <c r="E559" s="6" t="str">
        <f aca="false">IF(D559&gt;Settings!$C$4,"Bullish",IF(D559&lt;-Settings!$C$4,"Bearish","Neutral"))</f>
        <v>Bearish</v>
      </c>
      <c r="F559" s="8" t="n">
        <v>0.52</v>
      </c>
      <c r="G559" s="20"/>
      <c r="H559" s="6" t="str">
        <f aca="false">IF(G559="","",IF(G559&gt;0,"Bullish",IF(G559&lt;0,"Bearish","Flat")))</f>
        <v/>
      </c>
      <c r="I559" s="6" t="str">
        <f aca="false">IF(OR(G559="",E559="Neutral"),"",IF(E559=H559,1,0))</f>
        <v/>
      </c>
      <c r="J559" s="6" t="s">
        <v>161</v>
      </c>
    </row>
    <row r="560" customFormat="false" ht="15" hidden="false" customHeight="false" outlineLevel="0" collapsed="false">
      <c r="A560" s="19" t="n">
        <v>46322</v>
      </c>
      <c r="B560" s="6" t="s">
        <v>37</v>
      </c>
      <c r="C560" s="6" t="s">
        <v>149</v>
      </c>
      <c r="D560" s="7" t="n">
        <v>-0.1205</v>
      </c>
      <c r="E560" s="6" t="str">
        <f aca="false">IF(D560&gt;Settings!$C$4,"Bullish",IF(D560&lt;-Settings!$C$4,"Bearish","Neutral"))</f>
        <v>Neutral</v>
      </c>
      <c r="F560" s="8"/>
      <c r="G560" s="20"/>
      <c r="H560" s="6" t="str">
        <f aca="false">IF(G560="","",IF(G560&gt;0,"Bullish",IF(G560&lt;0,"Bearish","Flat")))</f>
        <v/>
      </c>
      <c r="I560" s="6" t="str">
        <f aca="false">IF(OR(G560="",E560="Neutral"),"",IF(E560=H560,1,0))</f>
        <v/>
      </c>
      <c r="J560" s="6" t="s">
        <v>161</v>
      </c>
    </row>
    <row r="561" customFormat="false" ht="15" hidden="false" customHeight="false" outlineLevel="0" collapsed="false">
      <c r="A561" s="19" t="n">
        <v>46322</v>
      </c>
      <c r="B561" s="6" t="s">
        <v>38</v>
      </c>
      <c r="C561" s="6" t="s">
        <v>154</v>
      </c>
      <c r="D561" s="7" t="n">
        <v>0.1042</v>
      </c>
      <c r="E561" s="6" t="str">
        <f aca="false">IF(D561&gt;Settings!$C$4,"Bullish",IF(D561&lt;-Settings!$C$4,"Bearish","Neutral"))</f>
        <v>Neutral</v>
      </c>
      <c r="F561" s="8"/>
      <c r="G561" s="20"/>
      <c r="H561" s="6" t="str">
        <f aca="false">IF(G561="","",IF(G561&gt;0,"Bullish",IF(G561&lt;0,"Bearish","Flat")))</f>
        <v/>
      </c>
      <c r="I561" s="6" t="str">
        <f aca="false">IF(OR(G561="",E561="Neutral"),"",IF(E561=H561,1,0))</f>
        <v/>
      </c>
      <c r="J561" s="6" t="s">
        <v>161</v>
      </c>
    </row>
    <row r="562" customFormat="false" ht="15" hidden="false" customHeight="false" outlineLevel="0" collapsed="false">
      <c r="A562" s="19" t="n">
        <v>46322</v>
      </c>
      <c r="B562" s="6" t="s">
        <v>38</v>
      </c>
      <c r="C562" s="6" t="s">
        <v>149</v>
      </c>
      <c r="D562" s="7" t="n">
        <v>0.0969</v>
      </c>
      <c r="E562" s="6" t="str">
        <f aca="false">IF(D562&gt;Settings!$C$4,"Bullish",IF(D562&lt;-Settings!$C$4,"Bearish","Neutral"))</f>
        <v>Neutral</v>
      </c>
      <c r="F562" s="8"/>
      <c r="G562" s="20"/>
      <c r="H562" s="6" t="str">
        <f aca="false">IF(G562="","",IF(G562&gt;0,"Bullish",IF(G562&lt;0,"Bearish","Flat")))</f>
        <v/>
      </c>
      <c r="I562" s="6" t="str">
        <f aca="false">IF(OR(G562="",E562="Neutral"),"",IF(E562=H562,1,0))</f>
        <v/>
      </c>
      <c r="J562" s="6" t="s">
        <v>161</v>
      </c>
    </row>
    <row r="563" customFormat="false" ht="15" hidden="false" customHeight="false" outlineLevel="0" collapsed="false">
      <c r="A563" s="19" t="n">
        <v>46322</v>
      </c>
      <c r="B563" s="6" t="s">
        <v>53</v>
      </c>
      <c r="C563" s="6" t="s">
        <v>154</v>
      </c>
      <c r="D563" s="7" t="n">
        <v>0.2569</v>
      </c>
      <c r="E563" s="6" t="str">
        <f aca="false">IF(D563&gt;Settings!$C$4,"Bullish",IF(D563&lt;-Settings!$C$4,"Bearish","Neutral"))</f>
        <v>Bullish</v>
      </c>
      <c r="F563" s="8" t="n">
        <v>0.516</v>
      </c>
      <c r="G563" s="20"/>
      <c r="H563" s="6" t="str">
        <f aca="false">IF(G563="","",IF(G563&gt;0,"Bullish",IF(G563&lt;0,"Bearish","Flat")))</f>
        <v/>
      </c>
      <c r="I563" s="6" t="str">
        <f aca="false">IF(OR(G563="",E563="Neutral"),"",IF(E563=H563,1,0))</f>
        <v/>
      </c>
      <c r="J563" s="6" t="s">
        <v>161</v>
      </c>
    </row>
    <row r="564" customFormat="false" ht="15" hidden="false" customHeight="false" outlineLevel="0" collapsed="false">
      <c r="A564" s="19" t="n">
        <v>46322</v>
      </c>
      <c r="B564" s="6" t="s">
        <v>53</v>
      </c>
      <c r="C564" s="6" t="s">
        <v>149</v>
      </c>
      <c r="D564" s="7" t="n">
        <v>0.1417</v>
      </c>
      <c r="E564" s="6" t="str">
        <f aca="false">IF(D564&gt;Settings!$C$4,"Bullish",IF(D564&lt;-Settings!$C$4,"Bearish","Neutral"))</f>
        <v>Neutral</v>
      </c>
      <c r="F564" s="8"/>
      <c r="G564" s="20"/>
      <c r="H564" s="6" t="str">
        <f aca="false">IF(G564="","",IF(G564&gt;0,"Bullish",IF(G564&lt;0,"Bearish","Flat")))</f>
        <v/>
      </c>
      <c r="I564" s="6" t="str">
        <f aca="false">IF(OR(G564="",E564="Neutral"),"",IF(E564=H564,1,0))</f>
        <v/>
      </c>
      <c r="J564" s="6" t="s">
        <v>161</v>
      </c>
    </row>
    <row r="565" customFormat="false" ht="15" hidden="false" customHeight="false" outlineLevel="0" collapsed="false">
      <c r="A565" s="19" t="n">
        <v>46322</v>
      </c>
      <c r="B565" s="6" t="s">
        <v>18</v>
      </c>
      <c r="C565" s="6" t="s">
        <v>154</v>
      </c>
      <c r="D565" s="7" t="n">
        <v>-0.4931</v>
      </c>
      <c r="E565" s="6" t="str">
        <f aca="false">IF(D565&gt;Settings!$C$4,"Bullish",IF(D565&lt;-Settings!$C$4,"Bearish","Neutral"))</f>
        <v>Bearish</v>
      </c>
      <c r="F565" s="8" t="n">
        <v>0.529</v>
      </c>
      <c r="G565" s="20"/>
      <c r="H565" s="6" t="str">
        <f aca="false">IF(G565="","",IF(G565&gt;0,"Bullish",IF(G565&lt;0,"Bearish","Flat")))</f>
        <v/>
      </c>
      <c r="I565" s="6" t="str">
        <f aca="false">IF(OR(G565="",E565="Neutral"),"",IF(E565=H565,1,0))</f>
        <v/>
      </c>
      <c r="J565" s="6" t="s">
        <v>161</v>
      </c>
    </row>
    <row r="566" customFormat="false" ht="15" hidden="false" customHeight="false" outlineLevel="0" collapsed="false">
      <c r="A566" s="19" t="n">
        <v>46322</v>
      </c>
      <c r="B566" s="6" t="s">
        <v>18</v>
      </c>
      <c r="C566" s="6" t="s">
        <v>149</v>
      </c>
      <c r="D566" s="7" t="n">
        <v>0.2031</v>
      </c>
      <c r="E566" s="6" t="str">
        <f aca="false">IF(D566&gt;Settings!$C$4,"Bullish",IF(D566&lt;-Settings!$C$4,"Bearish","Neutral"))</f>
        <v>Bullish</v>
      </c>
      <c r="F566" s="8" t="n">
        <v>0.495</v>
      </c>
      <c r="G566" s="20"/>
      <c r="H566" s="6" t="str">
        <f aca="false">IF(G566="","",IF(G566&gt;0,"Bullish",IF(G566&lt;0,"Bearish","Flat")))</f>
        <v/>
      </c>
      <c r="I566" s="6" t="str">
        <f aca="false">IF(OR(G566="",E566="Neutral"),"",IF(E566=H566,1,0))</f>
        <v/>
      </c>
      <c r="J566" s="6" t="s">
        <v>161</v>
      </c>
    </row>
    <row r="567" customFormat="false" ht="15" hidden="false" customHeight="false" outlineLevel="0" collapsed="false">
      <c r="A567" s="19" t="n">
        <v>46322</v>
      </c>
      <c r="B567" s="6" t="s">
        <v>40</v>
      </c>
      <c r="C567" s="6" t="s">
        <v>154</v>
      </c>
      <c r="D567" s="7" t="n">
        <v>-0.261</v>
      </c>
      <c r="E567" s="6" t="str">
        <f aca="false">IF(D567&gt;Settings!$C$4,"Bullish",IF(D567&lt;-Settings!$C$4,"Bearish","Neutral"))</f>
        <v>Bearish</v>
      </c>
      <c r="F567" s="8" t="n">
        <v>0.527</v>
      </c>
      <c r="G567" s="20"/>
      <c r="H567" s="6" t="str">
        <f aca="false">IF(G567="","",IF(G567&gt;0,"Bullish",IF(G567&lt;0,"Bearish","Flat")))</f>
        <v/>
      </c>
      <c r="I567" s="6" t="str">
        <f aca="false">IF(OR(G567="",E567="Neutral"),"",IF(E567=H567,1,0))</f>
        <v/>
      </c>
      <c r="J567" s="6" t="s">
        <v>161</v>
      </c>
    </row>
    <row r="568" customFormat="false" ht="15" hidden="false" customHeight="false" outlineLevel="0" collapsed="false">
      <c r="A568" s="19" t="n">
        <v>46322</v>
      </c>
      <c r="B568" s="6" t="s">
        <v>40</v>
      </c>
      <c r="C568" s="6" t="s">
        <v>149</v>
      </c>
      <c r="D568" s="7" t="n">
        <v>0.0319</v>
      </c>
      <c r="E568" s="6" t="str">
        <f aca="false">IF(D568&gt;Settings!$C$4,"Bullish",IF(D568&lt;-Settings!$C$4,"Bearish","Neutral"))</f>
        <v>Neutral</v>
      </c>
      <c r="F568" s="8"/>
      <c r="G568" s="20"/>
      <c r="H568" s="6" t="str">
        <f aca="false">IF(G568="","",IF(G568&gt;0,"Bullish",IF(G568&lt;0,"Bearish","Flat")))</f>
        <v/>
      </c>
      <c r="I568" s="6" t="str">
        <f aca="false">IF(OR(G568="",E568="Neutral"),"",IF(E568=H568,1,0))</f>
        <v/>
      </c>
      <c r="J568" s="6" t="s">
        <v>161</v>
      </c>
    </row>
    <row r="569" customFormat="false" ht="15" hidden="false" customHeight="false" outlineLevel="0" collapsed="false">
      <c r="A569" s="19" t="n">
        <v>46322</v>
      </c>
      <c r="B569" s="6" t="s">
        <v>49</v>
      </c>
      <c r="C569" s="6" t="s">
        <v>154</v>
      </c>
      <c r="D569" s="7" t="n">
        <v>-0.2302</v>
      </c>
      <c r="E569" s="6" t="str">
        <f aca="false">IF(D569&gt;Settings!$C$4,"Bullish",IF(D569&lt;-Settings!$C$4,"Bearish","Neutral"))</f>
        <v>Bearish</v>
      </c>
      <c r="F569" s="8" t="n">
        <v>0.478</v>
      </c>
      <c r="G569" s="20"/>
      <c r="H569" s="6" t="str">
        <f aca="false">IF(G569="","",IF(G569&gt;0,"Bullish",IF(G569&lt;0,"Bearish","Flat")))</f>
        <v/>
      </c>
      <c r="I569" s="6" t="str">
        <f aca="false">IF(OR(G569="",E569="Neutral"),"",IF(E569=H569,1,0))</f>
        <v/>
      </c>
      <c r="J569" s="6" t="s">
        <v>161</v>
      </c>
    </row>
    <row r="570" customFormat="false" ht="15" hidden="false" customHeight="false" outlineLevel="0" collapsed="false">
      <c r="A570" s="19" t="n">
        <v>46322</v>
      </c>
      <c r="B570" s="6" t="s">
        <v>49</v>
      </c>
      <c r="C570" s="6" t="s">
        <v>149</v>
      </c>
      <c r="D570" s="7" t="n">
        <v>0.0319</v>
      </c>
      <c r="E570" s="6" t="str">
        <f aca="false">IF(D570&gt;Settings!$C$4,"Bullish",IF(D570&lt;-Settings!$C$4,"Bearish","Neutral"))</f>
        <v>Neutral</v>
      </c>
      <c r="F570" s="8"/>
      <c r="G570" s="20"/>
      <c r="H570" s="6" t="str">
        <f aca="false">IF(G570="","",IF(G570&gt;0,"Bullish",IF(G570&lt;0,"Bearish","Flat")))</f>
        <v/>
      </c>
      <c r="I570" s="6" t="str">
        <f aca="false">IF(OR(G570="",E570="Neutral"),"",IF(E570=H570,1,0))</f>
        <v/>
      </c>
      <c r="J570" s="6" t="s">
        <v>161</v>
      </c>
    </row>
    <row r="571" customFormat="false" ht="15" hidden="false" customHeight="false" outlineLevel="0" collapsed="false">
      <c r="A571" s="19" t="n">
        <v>46322</v>
      </c>
      <c r="B571" s="6" t="s">
        <v>43</v>
      </c>
      <c r="C571" s="6" t="s">
        <v>154</v>
      </c>
      <c r="D571" s="7" t="n">
        <v>0.2169</v>
      </c>
      <c r="E571" s="6" t="str">
        <f aca="false">IF(D571&gt;Settings!$C$4,"Bullish",IF(D571&lt;-Settings!$C$4,"Bearish","Neutral"))</f>
        <v>Bullish</v>
      </c>
      <c r="F571" s="8" t="n">
        <v>0.468</v>
      </c>
      <c r="G571" s="20"/>
      <c r="H571" s="6" t="str">
        <f aca="false">IF(G571="","",IF(G571&gt;0,"Bullish",IF(G571&lt;0,"Bearish","Flat")))</f>
        <v/>
      </c>
      <c r="I571" s="6" t="str">
        <f aca="false">IF(OR(G571="",E571="Neutral"),"",IF(E571=H571,1,0))</f>
        <v/>
      </c>
      <c r="J571" s="6" t="s">
        <v>161</v>
      </c>
    </row>
    <row r="572" customFormat="false" ht="15" hidden="false" customHeight="false" outlineLevel="0" collapsed="false">
      <c r="A572" s="19" t="n">
        <v>46322</v>
      </c>
      <c r="B572" s="6" t="s">
        <v>43</v>
      </c>
      <c r="C572" s="6" t="s">
        <v>149</v>
      </c>
      <c r="D572" s="7" t="n">
        <v>0.0517</v>
      </c>
      <c r="E572" s="6" t="str">
        <f aca="false">IF(D572&gt;Settings!$C$4,"Bullish",IF(D572&lt;-Settings!$C$4,"Bearish","Neutral"))</f>
        <v>Neutral</v>
      </c>
      <c r="F572" s="8"/>
      <c r="G572" s="20"/>
      <c r="H572" s="6" t="str">
        <f aca="false">IF(G572="","",IF(G572&gt;0,"Bullish",IF(G572&lt;0,"Bearish","Flat")))</f>
        <v/>
      </c>
      <c r="I572" s="6" t="str">
        <f aca="false">IF(OR(G572="",E572="Neutral"),"",IF(E572=H572,1,0))</f>
        <v/>
      </c>
      <c r="J572" s="6" t="s">
        <v>161</v>
      </c>
    </row>
    <row r="573" customFormat="false" ht="15" hidden="false" customHeight="false" outlineLevel="0" collapsed="false">
      <c r="A573" s="19" t="n">
        <v>46322</v>
      </c>
      <c r="B573" s="6" t="s">
        <v>51</v>
      </c>
      <c r="C573" s="6" t="s">
        <v>154</v>
      </c>
      <c r="D573" s="7" t="n">
        <v>-0.463</v>
      </c>
      <c r="E573" s="6" t="str">
        <f aca="false">IF(D573&gt;Settings!$C$4,"Bullish",IF(D573&lt;-Settings!$C$4,"Bearish","Neutral"))</f>
        <v>Bearish</v>
      </c>
      <c r="F573" s="8" t="n">
        <v>0.494</v>
      </c>
      <c r="G573" s="20"/>
      <c r="H573" s="6" t="str">
        <f aca="false">IF(G573="","",IF(G573&gt;0,"Bullish",IF(G573&lt;0,"Bearish","Flat")))</f>
        <v/>
      </c>
      <c r="I573" s="6" t="str">
        <f aca="false">IF(OR(G573="",E573="Neutral"),"",IF(E573=H573,1,0))</f>
        <v/>
      </c>
      <c r="J573" s="6" t="s">
        <v>161</v>
      </c>
    </row>
    <row r="574" customFormat="false" ht="15" hidden="false" customHeight="false" outlineLevel="0" collapsed="false">
      <c r="A574" s="19" t="n">
        <v>46322</v>
      </c>
      <c r="B574" s="6" t="s">
        <v>51</v>
      </c>
      <c r="C574" s="6" t="s">
        <v>149</v>
      </c>
      <c r="D574" s="7" t="n">
        <v>-0.0561</v>
      </c>
      <c r="E574" s="6" t="str">
        <f aca="false">IF(D574&gt;Settings!$C$4,"Bullish",IF(D574&lt;-Settings!$C$4,"Bearish","Neutral"))</f>
        <v>Neutral</v>
      </c>
      <c r="F574" s="8"/>
      <c r="G574" s="20"/>
      <c r="H574" s="6" t="str">
        <f aca="false">IF(G574="","",IF(G574&gt;0,"Bullish",IF(G574&lt;0,"Bearish","Flat")))</f>
        <v/>
      </c>
      <c r="I574" s="6" t="str">
        <f aca="false">IF(OR(G574="",E574="Neutral"),"",IF(E574=H574,1,0))</f>
        <v/>
      </c>
      <c r="J574" s="6" t="s">
        <v>161</v>
      </c>
    </row>
    <row r="575" customFormat="false" ht="15" hidden="false" customHeight="false" outlineLevel="0" collapsed="false">
      <c r="A575" s="19" t="n">
        <v>46323</v>
      </c>
      <c r="B575" s="6" t="s">
        <v>20</v>
      </c>
      <c r="C575" s="6" t="s">
        <v>154</v>
      </c>
      <c r="D575" s="7" t="n">
        <v>-0.2179</v>
      </c>
      <c r="E575" s="6" t="str">
        <f aca="false">IF(D575&gt;Settings!$C$4,"Bullish",IF(D575&lt;-Settings!$C$4,"Bearish","Neutral"))</f>
        <v>Bearish</v>
      </c>
      <c r="F575" s="8" t="n">
        <v>0.491</v>
      </c>
      <c r="G575" s="20"/>
      <c r="H575" s="6" t="str">
        <f aca="false">IF(G575="","",IF(G575&gt;0,"Bullish",IF(G575&lt;0,"Bearish","Flat")))</f>
        <v/>
      </c>
      <c r="I575" s="6" t="str">
        <f aca="false">IF(OR(G575="",E575="Neutral"),"",IF(E575=H575,1,0))</f>
        <v/>
      </c>
      <c r="J575" s="6" t="s">
        <v>161</v>
      </c>
    </row>
    <row r="576" customFormat="false" ht="15" hidden="false" customHeight="false" outlineLevel="0" collapsed="false">
      <c r="A576" s="19" t="n">
        <v>46323</v>
      </c>
      <c r="B576" s="6" t="s">
        <v>20</v>
      </c>
      <c r="C576" s="6" t="s">
        <v>149</v>
      </c>
      <c r="D576" s="7" t="n">
        <v>0.0262</v>
      </c>
      <c r="E576" s="6" t="str">
        <f aca="false">IF(D576&gt;Settings!$C$4,"Bullish",IF(D576&lt;-Settings!$C$4,"Bearish","Neutral"))</f>
        <v>Neutral</v>
      </c>
      <c r="F576" s="8"/>
      <c r="G576" s="20"/>
      <c r="H576" s="6" t="str">
        <f aca="false">IF(G576="","",IF(G576&gt;0,"Bullish",IF(G576&lt;0,"Bearish","Flat")))</f>
        <v/>
      </c>
      <c r="I576" s="6" t="str">
        <f aca="false">IF(OR(G576="",E576="Neutral"),"",IF(E576=H576,1,0))</f>
        <v/>
      </c>
      <c r="J576" s="6" t="s">
        <v>161</v>
      </c>
    </row>
    <row r="577" customFormat="false" ht="15" hidden="false" customHeight="false" outlineLevel="0" collapsed="false">
      <c r="A577" s="19" t="n">
        <v>46323</v>
      </c>
      <c r="B577" s="6" t="s">
        <v>22</v>
      </c>
      <c r="C577" s="6" t="s">
        <v>154</v>
      </c>
      <c r="D577" s="7" t="n">
        <v>0.222</v>
      </c>
      <c r="E577" s="6" t="str">
        <f aca="false">IF(D577&gt;Settings!$C$4,"Bullish",IF(D577&lt;-Settings!$C$4,"Bearish","Neutral"))</f>
        <v>Bullish</v>
      </c>
      <c r="F577" s="8" t="n">
        <v>0.514</v>
      </c>
      <c r="G577" s="20"/>
      <c r="H577" s="6" t="str">
        <f aca="false">IF(G577="","",IF(G577&gt;0,"Bullish",IF(G577&lt;0,"Bearish","Flat")))</f>
        <v/>
      </c>
      <c r="I577" s="6" t="str">
        <f aca="false">IF(OR(G577="",E577="Neutral"),"",IF(E577=H577,1,0))</f>
        <v/>
      </c>
      <c r="J577" s="6" t="s">
        <v>161</v>
      </c>
    </row>
    <row r="578" customFormat="false" ht="15" hidden="false" customHeight="false" outlineLevel="0" collapsed="false">
      <c r="A578" s="19" t="n">
        <v>46323</v>
      </c>
      <c r="B578" s="6" t="s">
        <v>22</v>
      </c>
      <c r="C578" s="6" t="s">
        <v>149</v>
      </c>
      <c r="D578" s="7" t="n">
        <v>0.1042</v>
      </c>
      <c r="E578" s="6" t="str">
        <f aca="false">IF(D578&gt;Settings!$C$4,"Bullish",IF(D578&lt;-Settings!$C$4,"Bearish","Neutral"))</f>
        <v>Neutral</v>
      </c>
      <c r="F578" s="8"/>
      <c r="G578" s="20"/>
      <c r="H578" s="6" t="str">
        <f aca="false">IF(G578="","",IF(G578&gt;0,"Bullish",IF(G578&lt;0,"Bearish","Flat")))</f>
        <v/>
      </c>
      <c r="I578" s="6" t="str">
        <f aca="false">IF(OR(G578="",E578="Neutral"),"",IF(E578=H578,1,0))</f>
        <v/>
      </c>
      <c r="J578" s="6" t="s">
        <v>161</v>
      </c>
    </row>
    <row r="579" customFormat="false" ht="15" hidden="false" customHeight="false" outlineLevel="0" collapsed="false">
      <c r="A579" s="19" t="n">
        <v>46323</v>
      </c>
      <c r="B579" s="6" t="s">
        <v>52</v>
      </c>
      <c r="C579" s="6" t="s">
        <v>154</v>
      </c>
      <c r="D579" s="7" t="n">
        <v>-0.1113</v>
      </c>
      <c r="E579" s="6" t="str">
        <f aca="false">IF(D579&gt;Settings!$C$4,"Bullish",IF(D579&lt;-Settings!$C$4,"Bearish","Neutral"))</f>
        <v>Neutral</v>
      </c>
      <c r="F579" s="8"/>
      <c r="G579" s="20"/>
      <c r="H579" s="6" t="str">
        <f aca="false">IF(G579="","",IF(G579&gt;0,"Bullish",IF(G579&lt;0,"Bearish","Flat")))</f>
        <v/>
      </c>
      <c r="I579" s="6" t="str">
        <f aca="false">IF(OR(G579="",E579="Neutral"),"",IF(E579=H579,1,0))</f>
        <v/>
      </c>
      <c r="J579" s="6" t="s">
        <v>161</v>
      </c>
    </row>
    <row r="580" customFormat="false" ht="15" hidden="false" customHeight="false" outlineLevel="0" collapsed="false">
      <c r="A580" s="19" t="n">
        <v>46323</v>
      </c>
      <c r="B580" s="6" t="s">
        <v>52</v>
      </c>
      <c r="C580" s="6" t="s">
        <v>149</v>
      </c>
      <c r="D580" s="7" t="n">
        <v>0.0732</v>
      </c>
      <c r="E580" s="6" t="str">
        <f aca="false">IF(D580&gt;Settings!$C$4,"Bullish",IF(D580&lt;-Settings!$C$4,"Bearish","Neutral"))</f>
        <v>Neutral</v>
      </c>
      <c r="F580" s="8"/>
      <c r="G580" s="20"/>
      <c r="H580" s="6" t="str">
        <f aca="false">IF(G580="","",IF(G580&gt;0,"Bullish",IF(G580&lt;0,"Bearish","Flat")))</f>
        <v/>
      </c>
      <c r="I580" s="6" t="str">
        <f aca="false">IF(OR(G580="",E580="Neutral"),"",IF(E580=H580,1,0))</f>
        <v/>
      </c>
      <c r="J580" s="6" t="s">
        <v>161</v>
      </c>
    </row>
    <row r="581" customFormat="false" ht="15" hidden="false" customHeight="false" outlineLevel="0" collapsed="false">
      <c r="A581" s="19" t="n">
        <v>46323</v>
      </c>
      <c r="B581" s="6" t="s">
        <v>30</v>
      </c>
      <c r="C581" s="6" t="s">
        <v>154</v>
      </c>
      <c r="D581" s="7" t="n">
        <v>0.5508</v>
      </c>
      <c r="E581" s="6" t="str">
        <f aca="false">IF(D581&gt;Settings!$C$4,"Bullish",IF(D581&lt;-Settings!$C$4,"Bearish","Neutral"))</f>
        <v>Bullish</v>
      </c>
      <c r="F581" s="8" t="n">
        <v>0.51</v>
      </c>
      <c r="G581" s="20"/>
      <c r="H581" s="6" t="str">
        <f aca="false">IF(G581="","",IF(G581&gt;0,"Bullish",IF(G581&lt;0,"Bearish","Flat")))</f>
        <v/>
      </c>
      <c r="I581" s="6" t="str">
        <f aca="false">IF(OR(G581="",E581="Neutral"),"",IF(E581=H581,1,0))</f>
        <v/>
      </c>
      <c r="J581" s="6" t="s">
        <v>161</v>
      </c>
    </row>
    <row r="582" customFormat="false" ht="15" hidden="false" customHeight="false" outlineLevel="0" collapsed="false">
      <c r="A582" s="19" t="n">
        <v>46323</v>
      </c>
      <c r="B582" s="6" t="s">
        <v>30</v>
      </c>
      <c r="C582" s="6" t="s">
        <v>149</v>
      </c>
      <c r="D582" s="7" t="n">
        <v>0.1789</v>
      </c>
      <c r="E582" s="6" t="str">
        <f aca="false">IF(D582&gt;Settings!$C$4,"Bullish",IF(D582&lt;-Settings!$C$4,"Bearish","Neutral"))</f>
        <v>Bullish</v>
      </c>
      <c r="F582" s="8" t="n">
        <v>0.531</v>
      </c>
      <c r="G582" s="20"/>
      <c r="H582" s="6" t="str">
        <f aca="false">IF(G582="","",IF(G582&gt;0,"Bullish",IF(G582&lt;0,"Bearish","Flat")))</f>
        <v/>
      </c>
      <c r="I582" s="6" t="str">
        <f aca="false">IF(OR(G582="",E582="Neutral"),"",IF(E582=H582,1,0))</f>
        <v/>
      </c>
      <c r="J582" s="6" t="s">
        <v>161</v>
      </c>
    </row>
    <row r="583" customFormat="false" ht="15" hidden="false" customHeight="false" outlineLevel="0" collapsed="false">
      <c r="A583" s="19" t="n">
        <v>46323</v>
      </c>
      <c r="B583" s="6" t="s">
        <v>50</v>
      </c>
      <c r="C583" s="6" t="s">
        <v>154</v>
      </c>
      <c r="D583" s="7" t="n">
        <v>-0.7967</v>
      </c>
      <c r="E583" s="6" t="str">
        <f aca="false">IF(D583&gt;Settings!$C$4,"Bullish",IF(D583&lt;-Settings!$C$4,"Bearish","Neutral"))</f>
        <v>Bearish</v>
      </c>
      <c r="F583" s="8" t="n">
        <v>0.518</v>
      </c>
      <c r="G583" s="20"/>
      <c r="H583" s="6" t="str">
        <f aca="false">IF(G583="","",IF(G583&gt;0,"Bullish",IF(G583&lt;0,"Bearish","Flat")))</f>
        <v/>
      </c>
      <c r="I583" s="6" t="str">
        <f aca="false">IF(OR(G583="",E583="Neutral"),"",IF(E583=H583,1,0))</f>
        <v/>
      </c>
      <c r="J583" s="6" t="s">
        <v>161</v>
      </c>
    </row>
    <row r="584" customFormat="false" ht="15" hidden="false" customHeight="false" outlineLevel="0" collapsed="false">
      <c r="A584" s="19" t="n">
        <v>46323</v>
      </c>
      <c r="B584" s="6" t="s">
        <v>50</v>
      </c>
      <c r="C584" s="6" t="s">
        <v>149</v>
      </c>
      <c r="D584" s="7" t="n">
        <v>0.6277</v>
      </c>
      <c r="E584" s="6" t="str">
        <f aca="false">IF(D584&gt;Settings!$C$4,"Bullish",IF(D584&lt;-Settings!$C$4,"Bearish","Neutral"))</f>
        <v>Bullish</v>
      </c>
      <c r="F584" s="8" t="n">
        <v>0.442</v>
      </c>
      <c r="G584" s="20"/>
      <c r="H584" s="6" t="str">
        <f aca="false">IF(G584="","",IF(G584&gt;0,"Bullish",IF(G584&lt;0,"Bearish","Flat")))</f>
        <v/>
      </c>
      <c r="I584" s="6" t="str">
        <f aca="false">IF(OR(G584="",E584="Neutral"),"",IF(E584=H584,1,0))</f>
        <v/>
      </c>
      <c r="J584" s="6" t="s">
        <v>161</v>
      </c>
    </row>
    <row r="585" customFormat="false" ht="15" hidden="false" customHeight="false" outlineLevel="0" collapsed="false">
      <c r="A585" s="19" t="n">
        <v>46323</v>
      </c>
      <c r="B585" s="6" t="s">
        <v>34</v>
      </c>
      <c r="C585" s="6" t="s">
        <v>154</v>
      </c>
      <c r="D585" s="7" t="n">
        <v>-0.0236</v>
      </c>
      <c r="E585" s="6" t="str">
        <f aca="false">IF(D585&gt;Settings!$C$4,"Bullish",IF(D585&lt;-Settings!$C$4,"Bearish","Neutral"))</f>
        <v>Neutral</v>
      </c>
      <c r="F585" s="8"/>
      <c r="G585" s="20"/>
      <c r="H585" s="6" t="str">
        <f aca="false">IF(G585="","",IF(G585&gt;0,"Bullish",IF(G585&lt;0,"Bearish","Flat")))</f>
        <v/>
      </c>
      <c r="I585" s="6" t="str">
        <f aca="false">IF(OR(G585="",E585="Neutral"),"",IF(E585=H585,1,0))</f>
        <v/>
      </c>
      <c r="J585" s="6" t="s">
        <v>161</v>
      </c>
    </row>
    <row r="586" customFormat="false" ht="15" hidden="false" customHeight="false" outlineLevel="0" collapsed="false">
      <c r="A586" s="19" t="n">
        <v>46323</v>
      </c>
      <c r="B586" s="6" t="s">
        <v>34</v>
      </c>
      <c r="C586" s="6" t="s">
        <v>149</v>
      </c>
      <c r="D586" s="7" t="n">
        <v>0.0038</v>
      </c>
      <c r="E586" s="6" t="str">
        <f aca="false">IF(D586&gt;Settings!$C$4,"Bullish",IF(D586&lt;-Settings!$C$4,"Bearish","Neutral"))</f>
        <v>Neutral</v>
      </c>
      <c r="F586" s="8"/>
      <c r="G586" s="20"/>
      <c r="H586" s="6" t="str">
        <f aca="false">IF(G586="","",IF(G586&gt;0,"Bullish",IF(G586&lt;0,"Bearish","Flat")))</f>
        <v/>
      </c>
      <c r="I586" s="6" t="str">
        <f aca="false">IF(OR(G586="",E586="Neutral"),"",IF(E586=H586,1,0))</f>
        <v/>
      </c>
      <c r="J586" s="6" t="s">
        <v>161</v>
      </c>
    </row>
    <row r="587" customFormat="false" ht="15" hidden="false" customHeight="false" outlineLevel="0" collapsed="false">
      <c r="A587" s="19" t="n">
        <v>46323</v>
      </c>
      <c r="B587" s="6" t="s">
        <v>35</v>
      </c>
      <c r="C587" s="6" t="s">
        <v>154</v>
      </c>
      <c r="D587" s="7" t="n">
        <v>0.1162</v>
      </c>
      <c r="E587" s="6" t="str">
        <f aca="false">IF(D587&gt;Settings!$C$4,"Bullish",IF(D587&lt;-Settings!$C$4,"Bearish","Neutral"))</f>
        <v>Neutral</v>
      </c>
      <c r="F587" s="8"/>
      <c r="G587" s="20"/>
      <c r="H587" s="6" t="str">
        <f aca="false">IF(G587="","",IF(G587&gt;0,"Bullish",IF(G587&lt;0,"Bearish","Flat")))</f>
        <v/>
      </c>
      <c r="I587" s="6" t="str">
        <f aca="false">IF(OR(G587="",E587="Neutral"),"",IF(E587=H587,1,0))</f>
        <v/>
      </c>
      <c r="J587" s="6" t="s">
        <v>161</v>
      </c>
    </row>
    <row r="588" customFormat="false" ht="15" hidden="false" customHeight="false" outlineLevel="0" collapsed="false">
      <c r="A588" s="19" t="n">
        <v>46323</v>
      </c>
      <c r="B588" s="6" t="s">
        <v>35</v>
      </c>
      <c r="C588" s="6" t="s">
        <v>149</v>
      </c>
      <c r="D588" s="7" t="n">
        <v>0.0262</v>
      </c>
      <c r="E588" s="6" t="str">
        <f aca="false">IF(D588&gt;Settings!$C$4,"Bullish",IF(D588&lt;-Settings!$C$4,"Bearish","Neutral"))</f>
        <v>Neutral</v>
      </c>
      <c r="F588" s="8"/>
      <c r="G588" s="20"/>
      <c r="H588" s="6" t="str">
        <f aca="false">IF(G588="","",IF(G588&gt;0,"Bullish",IF(G588&lt;0,"Bearish","Flat")))</f>
        <v/>
      </c>
      <c r="I588" s="6" t="str">
        <f aca="false">IF(OR(G588="",E588="Neutral"),"",IF(E588=H588,1,0))</f>
        <v/>
      </c>
      <c r="J588" s="6" t="s">
        <v>161</v>
      </c>
    </row>
    <row r="589" customFormat="false" ht="15" hidden="false" customHeight="false" outlineLevel="0" collapsed="false">
      <c r="A589" s="19" t="n">
        <v>46323</v>
      </c>
      <c r="B589" s="6" t="s">
        <v>37</v>
      </c>
      <c r="C589" s="6" t="s">
        <v>154</v>
      </c>
      <c r="D589" s="7" t="n">
        <v>-0.8546</v>
      </c>
      <c r="E589" s="6" t="str">
        <f aca="false">IF(D589&gt;Settings!$C$4,"Bullish",IF(D589&lt;-Settings!$C$4,"Bearish","Neutral"))</f>
        <v>Bearish</v>
      </c>
      <c r="F589" s="8" t="n">
        <v>0.52</v>
      </c>
      <c r="G589" s="20"/>
      <c r="H589" s="6" t="str">
        <f aca="false">IF(G589="","",IF(G589&gt;0,"Bullish",IF(G589&lt;0,"Bearish","Flat")))</f>
        <v/>
      </c>
      <c r="I589" s="6" t="str">
        <f aca="false">IF(OR(G589="",E589="Neutral"),"",IF(E589=H589,1,0))</f>
        <v/>
      </c>
      <c r="J589" s="6" t="s">
        <v>161</v>
      </c>
    </row>
    <row r="590" customFormat="false" ht="15" hidden="false" customHeight="false" outlineLevel="0" collapsed="false">
      <c r="A590" s="19" t="n">
        <v>46323</v>
      </c>
      <c r="B590" s="6" t="s">
        <v>37</v>
      </c>
      <c r="C590" s="6" t="s">
        <v>149</v>
      </c>
      <c r="D590" s="7" t="n">
        <v>-0.0973</v>
      </c>
      <c r="E590" s="6" t="str">
        <f aca="false">IF(D590&gt;Settings!$C$4,"Bullish",IF(D590&lt;-Settings!$C$4,"Bearish","Neutral"))</f>
        <v>Neutral</v>
      </c>
      <c r="F590" s="8"/>
      <c r="G590" s="20"/>
      <c r="H590" s="6" t="str">
        <f aca="false">IF(G590="","",IF(G590&gt;0,"Bullish",IF(G590&lt;0,"Bearish","Flat")))</f>
        <v/>
      </c>
      <c r="I590" s="6" t="str">
        <f aca="false">IF(OR(G590="",E590="Neutral"),"",IF(E590=H590,1,0))</f>
        <v/>
      </c>
      <c r="J590" s="6" t="s">
        <v>161</v>
      </c>
    </row>
    <row r="591" customFormat="false" ht="15" hidden="false" customHeight="false" outlineLevel="0" collapsed="false">
      <c r="A591" s="19" t="n">
        <v>46323</v>
      </c>
      <c r="B591" s="6" t="s">
        <v>38</v>
      </c>
      <c r="C591" s="6" t="s">
        <v>154</v>
      </c>
      <c r="D591" s="7" t="n">
        <v>-0.8416</v>
      </c>
      <c r="E591" s="6" t="str">
        <f aca="false">IF(D591&gt;Settings!$C$4,"Bullish",IF(D591&lt;-Settings!$C$4,"Bearish","Neutral"))</f>
        <v>Bearish</v>
      </c>
      <c r="F591" s="8" t="n">
        <v>0.478</v>
      </c>
      <c r="G591" s="20"/>
      <c r="H591" s="6" t="str">
        <f aca="false">IF(G591="","",IF(G591&gt;0,"Bullish",IF(G591&lt;0,"Bearish","Flat")))</f>
        <v/>
      </c>
      <c r="I591" s="6" t="str">
        <f aca="false">IF(OR(G591="",E591="Neutral"),"",IF(E591=H591,1,0))</f>
        <v/>
      </c>
      <c r="J591" s="6" t="s">
        <v>161</v>
      </c>
    </row>
    <row r="592" customFormat="false" ht="15" hidden="false" customHeight="false" outlineLevel="0" collapsed="false">
      <c r="A592" s="19" t="n">
        <v>46323</v>
      </c>
      <c r="B592" s="6" t="s">
        <v>38</v>
      </c>
      <c r="C592" s="6" t="s">
        <v>149</v>
      </c>
      <c r="D592" s="7" t="n">
        <v>0.0805</v>
      </c>
      <c r="E592" s="6" t="str">
        <f aca="false">IF(D592&gt;Settings!$C$4,"Bullish",IF(D592&lt;-Settings!$C$4,"Bearish","Neutral"))</f>
        <v>Neutral</v>
      </c>
      <c r="F592" s="8"/>
      <c r="G592" s="20"/>
      <c r="H592" s="6" t="str">
        <f aca="false">IF(G592="","",IF(G592&gt;0,"Bullish",IF(G592&lt;0,"Bearish","Flat")))</f>
        <v/>
      </c>
      <c r="I592" s="6" t="str">
        <f aca="false">IF(OR(G592="",E592="Neutral"),"",IF(E592=H592,1,0))</f>
        <v/>
      </c>
      <c r="J592" s="6" t="s">
        <v>161</v>
      </c>
    </row>
    <row r="593" customFormat="false" ht="15" hidden="false" customHeight="false" outlineLevel="0" collapsed="false">
      <c r="A593" s="19" t="n">
        <v>46323</v>
      </c>
      <c r="B593" s="6" t="s">
        <v>53</v>
      </c>
      <c r="C593" s="6" t="s">
        <v>154</v>
      </c>
      <c r="D593" s="7" t="n">
        <v>0.1778</v>
      </c>
      <c r="E593" s="6" t="str">
        <f aca="false">IF(D593&gt;Settings!$C$4,"Bullish",IF(D593&lt;-Settings!$C$4,"Bearish","Neutral"))</f>
        <v>Bullish</v>
      </c>
      <c r="F593" s="8" t="n">
        <v>0.516</v>
      </c>
      <c r="G593" s="20"/>
      <c r="H593" s="6" t="str">
        <f aca="false">IF(G593="","",IF(G593&gt;0,"Bullish",IF(G593&lt;0,"Bearish","Flat")))</f>
        <v/>
      </c>
      <c r="I593" s="6" t="str">
        <f aca="false">IF(OR(G593="",E593="Neutral"),"",IF(E593=H593,1,0))</f>
        <v/>
      </c>
      <c r="J593" s="6" t="s">
        <v>161</v>
      </c>
    </row>
    <row r="594" customFormat="false" ht="15" hidden="false" customHeight="false" outlineLevel="0" collapsed="false">
      <c r="A594" s="19" t="n">
        <v>46323</v>
      </c>
      <c r="B594" s="6" t="s">
        <v>53</v>
      </c>
      <c r="C594" s="6" t="s">
        <v>149</v>
      </c>
      <c r="D594" s="7" t="n">
        <v>0.0791</v>
      </c>
      <c r="E594" s="6" t="str">
        <f aca="false">IF(D594&gt;Settings!$C$4,"Bullish",IF(D594&lt;-Settings!$C$4,"Bearish","Neutral"))</f>
        <v>Neutral</v>
      </c>
      <c r="F594" s="8"/>
      <c r="G594" s="20"/>
      <c r="H594" s="6" t="str">
        <f aca="false">IF(G594="","",IF(G594&gt;0,"Bullish",IF(G594&lt;0,"Bearish","Flat")))</f>
        <v/>
      </c>
      <c r="I594" s="6" t="str">
        <f aca="false">IF(OR(G594="",E594="Neutral"),"",IF(E594=H594,1,0))</f>
        <v/>
      </c>
      <c r="J594" s="6" t="s">
        <v>161</v>
      </c>
    </row>
    <row r="595" customFormat="false" ht="15" hidden="false" customHeight="false" outlineLevel="0" collapsed="false">
      <c r="A595" s="19" t="n">
        <v>46323</v>
      </c>
      <c r="B595" s="6" t="s">
        <v>18</v>
      </c>
      <c r="C595" s="6" t="s">
        <v>154</v>
      </c>
      <c r="D595" s="7" t="n">
        <v>-0.0289</v>
      </c>
      <c r="E595" s="6" t="str">
        <f aca="false">IF(D595&gt;Settings!$C$4,"Bullish",IF(D595&lt;-Settings!$C$4,"Bearish","Neutral"))</f>
        <v>Neutral</v>
      </c>
      <c r="F595" s="8"/>
      <c r="G595" s="20"/>
      <c r="H595" s="6" t="str">
        <f aca="false">IF(G595="","",IF(G595&gt;0,"Bullish",IF(G595&lt;0,"Bearish","Flat")))</f>
        <v/>
      </c>
      <c r="I595" s="6" t="str">
        <f aca="false">IF(OR(G595="",E595="Neutral"),"",IF(E595=H595,1,0))</f>
        <v/>
      </c>
      <c r="J595" s="6" t="s">
        <v>161</v>
      </c>
    </row>
    <row r="596" customFormat="false" ht="15" hidden="false" customHeight="false" outlineLevel="0" collapsed="false">
      <c r="A596" s="19" t="n">
        <v>46323</v>
      </c>
      <c r="B596" s="6" t="s">
        <v>18</v>
      </c>
      <c r="C596" s="6" t="s">
        <v>149</v>
      </c>
      <c r="D596" s="7" t="n">
        <v>0.1435</v>
      </c>
      <c r="E596" s="6" t="str">
        <f aca="false">IF(D596&gt;Settings!$C$4,"Bullish",IF(D596&lt;-Settings!$C$4,"Bearish","Neutral"))</f>
        <v>Neutral</v>
      </c>
      <c r="F596" s="8"/>
      <c r="G596" s="20"/>
      <c r="H596" s="6" t="str">
        <f aca="false">IF(G596="","",IF(G596&gt;0,"Bullish",IF(G596&lt;0,"Bearish","Flat")))</f>
        <v/>
      </c>
      <c r="I596" s="6" t="str">
        <f aca="false">IF(OR(G596="",E596="Neutral"),"",IF(E596=H596,1,0))</f>
        <v/>
      </c>
      <c r="J596" s="6" t="s">
        <v>161</v>
      </c>
    </row>
    <row r="597" customFormat="false" ht="15" hidden="false" customHeight="false" outlineLevel="0" collapsed="false">
      <c r="A597" s="19" t="n">
        <v>46323</v>
      </c>
      <c r="B597" s="6" t="s">
        <v>40</v>
      </c>
      <c r="C597" s="6" t="s">
        <v>154</v>
      </c>
      <c r="D597" s="7" t="n">
        <v>-0.2835</v>
      </c>
      <c r="E597" s="6" t="str">
        <f aca="false">IF(D597&gt;Settings!$C$4,"Bullish",IF(D597&lt;-Settings!$C$4,"Bearish","Neutral"))</f>
        <v>Bearish</v>
      </c>
      <c r="F597" s="8" t="n">
        <v>0.527</v>
      </c>
      <c r="G597" s="20"/>
      <c r="H597" s="6" t="str">
        <f aca="false">IF(G597="","",IF(G597&gt;0,"Bullish",IF(G597&lt;0,"Bearish","Flat")))</f>
        <v/>
      </c>
      <c r="I597" s="6" t="str">
        <f aca="false">IF(OR(G597="",E597="Neutral"),"",IF(E597=H597,1,0))</f>
        <v/>
      </c>
      <c r="J597" s="6" t="s">
        <v>161</v>
      </c>
    </row>
    <row r="598" customFormat="false" ht="15" hidden="false" customHeight="false" outlineLevel="0" collapsed="false">
      <c r="A598" s="19" t="n">
        <v>46323</v>
      </c>
      <c r="B598" s="6" t="s">
        <v>40</v>
      </c>
      <c r="C598" s="6" t="s">
        <v>149</v>
      </c>
      <c r="D598" s="7" t="n">
        <v>0.0262</v>
      </c>
      <c r="E598" s="6" t="str">
        <f aca="false">IF(D598&gt;Settings!$C$4,"Bullish",IF(D598&lt;-Settings!$C$4,"Bearish","Neutral"))</f>
        <v>Neutral</v>
      </c>
      <c r="F598" s="8"/>
      <c r="G598" s="20"/>
      <c r="H598" s="6" t="str">
        <f aca="false">IF(G598="","",IF(G598&gt;0,"Bullish",IF(G598&lt;0,"Bearish","Flat")))</f>
        <v/>
      </c>
      <c r="I598" s="6" t="str">
        <f aca="false">IF(OR(G598="",E598="Neutral"),"",IF(E598=H598,1,0))</f>
        <v/>
      </c>
      <c r="J598" s="6" t="s">
        <v>161</v>
      </c>
    </row>
    <row r="599" customFormat="false" ht="15" hidden="false" customHeight="false" outlineLevel="0" collapsed="false">
      <c r="A599" s="19" t="n">
        <v>46323</v>
      </c>
      <c r="B599" s="6" t="s">
        <v>49</v>
      </c>
      <c r="C599" s="6" t="s">
        <v>154</v>
      </c>
      <c r="D599" s="7" t="n">
        <v>-0.8894</v>
      </c>
      <c r="E599" s="6" t="str">
        <f aca="false">IF(D599&gt;Settings!$C$4,"Bullish",IF(D599&lt;-Settings!$C$4,"Bearish","Neutral"))</f>
        <v>Bearish</v>
      </c>
      <c r="F599" s="8" t="n">
        <v>0.523</v>
      </c>
      <c r="G599" s="20"/>
      <c r="H599" s="6" t="str">
        <f aca="false">IF(G599="","",IF(G599&gt;0,"Bullish",IF(G599&lt;0,"Bearish","Flat")))</f>
        <v/>
      </c>
      <c r="I599" s="6" t="str">
        <f aca="false">IF(OR(G599="",E599="Neutral"),"",IF(E599=H599,1,0))</f>
        <v/>
      </c>
      <c r="J599" s="6" t="s">
        <v>161</v>
      </c>
    </row>
    <row r="600" customFormat="false" ht="15" hidden="false" customHeight="false" outlineLevel="0" collapsed="false">
      <c r="A600" s="19" t="n">
        <v>46323</v>
      </c>
      <c r="B600" s="6" t="s">
        <v>49</v>
      </c>
      <c r="C600" s="6" t="s">
        <v>149</v>
      </c>
      <c r="D600" s="7" t="n">
        <v>0.0262</v>
      </c>
      <c r="E600" s="6" t="str">
        <f aca="false">IF(D600&gt;Settings!$C$4,"Bullish",IF(D600&lt;-Settings!$C$4,"Bearish","Neutral"))</f>
        <v>Neutral</v>
      </c>
      <c r="F600" s="8"/>
      <c r="G600" s="20"/>
      <c r="H600" s="6" t="str">
        <f aca="false">IF(G600="","",IF(G600&gt;0,"Bullish",IF(G600&lt;0,"Bearish","Flat")))</f>
        <v/>
      </c>
      <c r="I600" s="6" t="str">
        <f aca="false">IF(OR(G600="",E600="Neutral"),"",IF(E600=H600,1,0))</f>
        <v/>
      </c>
      <c r="J600" s="6" t="s">
        <v>161</v>
      </c>
    </row>
    <row r="601" customFormat="false" ht="15" hidden="false" customHeight="false" outlineLevel="0" collapsed="false">
      <c r="A601" s="19" t="n">
        <v>46323</v>
      </c>
      <c r="B601" s="6" t="s">
        <v>43</v>
      </c>
      <c r="C601" s="6" t="s">
        <v>154</v>
      </c>
      <c r="D601" s="7" t="n">
        <v>0.2616</v>
      </c>
      <c r="E601" s="6" t="str">
        <f aca="false">IF(D601&gt;Settings!$C$4,"Bullish",IF(D601&lt;-Settings!$C$4,"Bearish","Neutral"))</f>
        <v>Bullish</v>
      </c>
      <c r="F601" s="8" t="n">
        <v>0.468</v>
      </c>
      <c r="G601" s="20"/>
      <c r="H601" s="6" t="str">
        <f aca="false">IF(G601="","",IF(G601&gt;0,"Bullish",IF(G601&lt;0,"Bearish","Flat")))</f>
        <v/>
      </c>
      <c r="I601" s="6" t="str">
        <f aca="false">IF(OR(G601="",E601="Neutral"),"",IF(E601=H601,1,0))</f>
        <v/>
      </c>
      <c r="J601" s="6" t="s">
        <v>161</v>
      </c>
    </row>
    <row r="602" customFormat="false" ht="15" hidden="false" customHeight="false" outlineLevel="0" collapsed="false">
      <c r="A602" s="19" t="n">
        <v>46323</v>
      </c>
      <c r="B602" s="6" t="s">
        <v>43</v>
      </c>
      <c r="C602" s="6" t="s">
        <v>149</v>
      </c>
      <c r="D602" s="7" t="n">
        <v>0.0038</v>
      </c>
      <c r="E602" s="6" t="str">
        <f aca="false">IF(D602&gt;Settings!$C$4,"Bullish",IF(D602&lt;-Settings!$C$4,"Bearish","Neutral"))</f>
        <v>Neutral</v>
      </c>
      <c r="F602" s="8"/>
      <c r="G602" s="20"/>
      <c r="H602" s="6" t="str">
        <f aca="false">IF(G602="","",IF(G602&gt;0,"Bullish",IF(G602&lt;0,"Bearish","Flat")))</f>
        <v/>
      </c>
      <c r="I602" s="6" t="str">
        <f aca="false">IF(OR(G602="",E602="Neutral"),"",IF(E602=H602,1,0))</f>
        <v/>
      </c>
      <c r="J602" s="6" t="s">
        <v>161</v>
      </c>
    </row>
    <row r="603" customFormat="false" ht="15" hidden="false" customHeight="false" outlineLevel="0" collapsed="false">
      <c r="A603" s="19" t="n">
        <v>46323</v>
      </c>
      <c r="B603" s="6" t="s">
        <v>51</v>
      </c>
      <c r="C603" s="6" t="s">
        <v>154</v>
      </c>
      <c r="D603" s="7" t="n">
        <v>0.0675</v>
      </c>
      <c r="E603" s="6" t="str">
        <f aca="false">IF(D603&gt;Settings!$C$4,"Bullish",IF(D603&lt;-Settings!$C$4,"Bearish","Neutral"))</f>
        <v>Neutral</v>
      </c>
      <c r="F603" s="8"/>
      <c r="G603" s="20"/>
      <c r="H603" s="6" t="str">
        <f aca="false">IF(G603="","",IF(G603&gt;0,"Bullish",IF(G603&lt;0,"Bearish","Flat")))</f>
        <v/>
      </c>
      <c r="I603" s="6" t="str">
        <f aca="false">IF(OR(G603="",E603="Neutral"),"",IF(E603=H603,1,0))</f>
        <v/>
      </c>
      <c r="J603" s="6" t="s">
        <v>161</v>
      </c>
    </row>
    <row r="604" customFormat="false" ht="15" hidden="false" customHeight="false" outlineLevel="0" collapsed="false">
      <c r="A604" s="19" t="n">
        <v>46323</v>
      </c>
      <c r="B604" s="6" t="s">
        <v>51</v>
      </c>
      <c r="C604" s="6" t="s">
        <v>149</v>
      </c>
      <c r="D604" s="7" t="n">
        <v>-0.1094</v>
      </c>
      <c r="E604" s="6" t="str">
        <f aca="false">IF(D604&gt;Settings!$C$4,"Bullish",IF(D604&lt;-Settings!$C$4,"Bearish","Neutral"))</f>
        <v>Neutral</v>
      </c>
      <c r="F604" s="8"/>
      <c r="G604" s="20"/>
      <c r="H604" s="6" t="str">
        <f aca="false">IF(G604="","",IF(G604&gt;0,"Bullish",IF(G604&lt;0,"Bearish","Flat")))</f>
        <v/>
      </c>
      <c r="I604" s="6" t="str">
        <f aca="false">IF(OR(G604="",E604="Neutral"),"",IF(E604=H604,1,0))</f>
        <v/>
      </c>
      <c r="J604" s="6" t="s">
        <v>161</v>
      </c>
    </row>
    <row r="605" customFormat="false" ht="15" hidden="false" customHeight="false" outlineLevel="0" collapsed="false">
      <c r="A605" s="19" t="n">
        <v>46324</v>
      </c>
      <c r="B605" s="6" t="s">
        <v>20</v>
      </c>
      <c r="C605" s="6" t="s">
        <v>154</v>
      </c>
      <c r="D605" s="7" t="n">
        <v>0.1487</v>
      </c>
      <c r="E605" s="6" t="str">
        <f aca="false">IF(D605&gt;Settings!$C$4,"Bullish",IF(D605&lt;-Settings!$C$4,"Bearish","Neutral"))</f>
        <v>Neutral</v>
      </c>
      <c r="F605" s="8"/>
      <c r="G605" s="20"/>
      <c r="H605" s="6" t="str">
        <f aca="false">IF(G605="","",IF(G605&gt;0,"Bullish",IF(G605&lt;0,"Bearish","Flat")))</f>
        <v/>
      </c>
      <c r="I605" s="6" t="str">
        <f aca="false">IF(OR(G605="",E605="Neutral"),"",IF(E605=H605,1,0))</f>
        <v/>
      </c>
      <c r="J605" s="6" t="s">
        <v>161</v>
      </c>
    </row>
    <row r="606" customFormat="false" ht="15" hidden="false" customHeight="false" outlineLevel="0" collapsed="false">
      <c r="A606" s="19" t="n">
        <v>46324</v>
      </c>
      <c r="B606" s="6" t="s">
        <v>20</v>
      </c>
      <c r="C606" s="6" t="s">
        <v>149</v>
      </c>
      <c r="D606" s="7" t="n">
        <v>0.0206</v>
      </c>
      <c r="E606" s="6" t="str">
        <f aca="false">IF(D606&gt;Settings!$C$4,"Bullish",IF(D606&lt;-Settings!$C$4,"Bearish","Neutral"))</f>
        <v>Neutral</v>
      </c>
      <c r="F606" s="8"/>
      <c r="G606" s="20"/>
      <c r="H606" s="6" t="str">
        <f aca="false">IF(G606="","",IF(G606&gt;0,"Bullish",IF(G606&lt;0,"Bearish","Flat")))</f>
        <v/>
      </c>
      <c r="I606" s="6" t="str">
        <f aca="false">IF(OR(G606="",E606="Neutral"),"",IF(E606=H606,1,0))</f>
        <v/>
      </c>
      <c r="J606" s="6" t="s">
        <v>161</v>
      </c>
    </row>
    <row r="607" customFormat="false" ht="15" hidden="false" customHeight="false" outlineLevel="0" collapsed="false">
      <c r="A607" s="19" t="n">
        <v>46324</v>
      </c>
      <c r="B607" s="6" t="s">
        <v>22</v>
      </c>
      <c r="C607" s="6" t="s">
        <v>154</v>
      </c>
      <c r="D607" s="7" t="n">
        <v>-0.1507</v>
      </c>
      <c r="E607" s="6" t="str">
        <f aca="false">IF(D607&gt;Settings!$C$4,"Bullish",IF(D607&lt;-Settings!$C$4,"Bearish","Neutral"))</f>
        <v>Bearish</v>
      </c>
      <c r="F607" s="8" t="n">
        <v>0.514</v>
      </c>
      <c r="G607" s="20"/>
      <c r="H607" s="6" t="str">
        <f aca="false">IF(G607="","",IF(G607&gt;0,"Bullish",IF(G607&lt;0,"Bearish","Flat")))</f>
        <v/>
      </c>
      <c r="I607" s="6" t="str">
        <f aca="false">IF(OR(G607="",E607="Neutral"),"",IF(E607=H607,1,0))</f>
        <v/>
      </c>
      <c r="J607" s="6" t="s">
        <v>161</v>
      </c>
    </row>
    <row r="608" customFormat="false" ht="15" hidden="false" customHeight="false" outlineLevel="0" collapsed="false">
      <c r="A608" s="19" t="n">
        <v>46324</v>
      </c>
      <c r="B608" s="6" t="s">
        <v>22</v>
      </c>
      <c r="C608" s="6" t="s">
        <v>149</v>
      </c>
      <c r="D608" s="7" t="n">
        <v>0.0709</v>
      </c>
      <c r="E608" s="6" t="str">
        <f aca="false">IF(D608&gt;Settings!$C$4,"Bullish",IF(D608&lt;-Settings!$C$4,"Bearish","Neutral"))</f>
        <v>Neutral</v>
      </c>
      <c r="F608" s="8"/>
      <c r="G608" s="20"/>
      <c r="H608" s="6" t="str">
        <f aca="false">IF(G608="","",IF(G608&gt;0,"Bullish",IF(G608&lt;0,"Bearish","Flat")))</f>
        <v/>
      </c>
      <c r="I608" s="6" t="str">
        <f aca="false">IF(OR(G608="",E608="Neutral"),"",IF(E608=H608,1,0))</f>
        <v/>
      </c>
      <c r="J608" s="6" t="s">
        <v>161</v>
      </c>
    </row>
    <row r="609" customFormat="false" ht="15" hidden="false" customHeight="false" outlineLevel="0" collapsed="false">
      <c r="A609" s="19" t="n">
        <v>46324</v>
      </c>
      <c r="B609" s="6" t="s">
        <v>52</v>
      </c>
      <c r="C609" s="6" t="s">
        <v>154</v>
      </c>
      <c r="D609" s="7" t="n">
        <v>0.0543</v>
      </c>
      <c r="E609" s="6" t="str">
        <f aca="false">IF(D609&gt;Settings!$C$4,"Bullish",IF(D609&lt;-Settings!$C$4,"Bearish","Neutral"))</f>
        <v>Neutral</v>
      </c>
      <c r="F609" s="8"/>
      <c r="G609" s="20"/>
      <c r="H609" s="6" t="str">
        <f aca="false">IF(G609="","",IF(G609&gt;0,"Bullish",IF(G609&lt;0,"Bearish","Flat")))</f>
        <v/>
      </c>
      <c r="I609" s="6" t="str">
        <f aca="false">IF(OR(G609="",E609="Neutral"),"",IF(E609=H609,1,0))</f>
        <v/>
      </c>
      <c r="J609" s="6" t="s">
        <v>161</v>
      </c>
    </row>
    <row r="610" customFormat="false" ht="15" hidden="false" customHeight="false" outlineLevel="0" collapsed="false">
      <c r="A610" s="19" t="n">
        <v>46324</v>
      </c>
      <c r="B610" s="6" t="s">
        <v>52</v>
      </c>
      <c r="C610" s="6" t="s">
        <v>149</v>
      </c>
      <c r="D610" s="7" t="n">
        <v>0.01</v>
      </c>
      <c r="E610" s="6" t="str">
        <f aca="false">IF(D610&gt;Settings!$C$4,"Bullish",IF(D610&lt;-Settings!$C$4,"Bearish","Neutral"))</f>
        <v>Neutral</v>
      </c>
      <c r="F610" s="8"/>
      <c r="G610" s="20"/>
      <c r="H610" s="6" t="str">
        <f aca="false">IF(G610="","",IF(G610&gt;0,"Bullish",IF(G610&lt;0,"Bearish","Flat")))</f>
        <v/>
      </c>
      <c r="I610" s="6" t="str">
        <f aca="false">IF(OR(G610="",E610="Neutral"),"",IF(E610=H610,1,0))</f>
        <v/>
      </c>
      <c r="J610" s="6" t="s">
        <v>161</v>
      </c>
    </row>
    <row r="611" customFormat="false" ht="15" hidden="false" customHeight="false" outlineLevel="0" collapsed="false">
      <c r="A611" s="19" t="n">
        <v>46324</v>
      </c>
      <c r="B611" s="6" t="s">
        <v>30</v>
      </c>
      <c r="C611" s="6" t="s">
        <v>154</v>
      </c>
      <c r="D611" s="7" t="n">
        <v>0.2373</v>
      </c>
      <c r="E611" s="6" t="str">
        <f aca="false">IF(D611&gt;Settings!$C$4,"Bullish",IF(D611&lt;-Settings!$C$4,"Bearish","Neutral"))</f>
        <v>Bullish</v>
      </c>
      <c r="F611" s="8" t="n">
        <v>0.481</v>
      </c>
      <c r="G611" s="20"/>
      <c r="H611" s="6" t="str">
        <f aca="false">IF(G611="","",IF(G611&gt;0,"Bullish",IF(G611&lt;0,"Bearish","Flat")))</f>
        <v/>
      </c>
      <c r="I611" s="6" t="str">
        <f aca="false">IF(OR(G611="",E611="Neutral"),"",IF(E611=H611,1,0))</f>
        <v/>
      </c>
      <c r="J611" s="6" t="s">
        <v>161</v>
      </c>
    </row>
    <row r="612" customFormat="false" ht="15" hidden="false" customHeight="false" outlineLevel="0" collapsed="false">
      <c r="A612" s="19" t="n">
        <v>46324</v>
      </c>
      <c r="B612" s="6" t="s">
        <v>30</v>
      </c>
      <c r="C612" s="6" t="s">
        <v>149</v>
      </c>
      <c r="D612" s="7" t="n">
        <v>0.0801</v>
      </c>
      <c r="E612" s="6" t="str">
        <f aca="false">IF(D612&gt;Settings!$C$4,"Bullish",IF(D612&lt;-Settings!$C$4,"Bearish","Neutral"))</f>
        <v>Neutral</v>
      </c>
      <c r="F612" s="8"/>
      <c r="G612" s="20"/>
      <c r="H612" s="6" t="str">
        <f aca="false">IF(G612="","",IF(G612&gt;0,"Bullish",IF(G612&lt;0,"Bearish","Flat")))</f>
        <v/>
      </c>
      <c r="I612" s="6" t="str">
        <f aca="false">IF(OR(G612="",E612="Neutral"),"",IF(E612=H612,1,0))</f>
        <v/>
      </c>
      <c r="J612" s="6" t="s">
        <v>161</v>
      </c>
    </row>
    <row r="613" customFormat="false" ht="15" hidden="false" customHeight="false" outlineLevel="0" collapsed="false">
      <c r="A613" s="19" t="n">
        <v>46324</v>
      </c>
      <c r="B613" s="6" t="s">
        <v>50</v>
      </c>
      <c r="C613" s="6" t="s">
        <v>154</v>
      </c>
      <c r="D613" s="7" t="n">
        <v>0.0452</v>
      </c>
      <c r="E613" s="6" t="str">
        <f aca="false">IF(D613&gt;Settings!$C$4,"Bullish",IF(D613&lt;-Settings!$C$4,"Bearish","Neutral"))</f>
        <v>Neutral</v>
      </c>
      <c r="F613" s="8"/>
      <c r="G613" s="20"/>
      <c r="H613" s="6" t="str">
        <f aca="false">IF(G613="","",IF(G613&gt;0,"Bullish",IF(G613&lt;0,"Bearish","Flat")))</f>
        <v/>
      </c>
      <c r="I613" s="6" t="str">
        <f aca="false">IF(OR(G613="",E613="Neutral"),"",IF(E613=H613,1,0))</f>
        <v/>
      </c>
      <c r="J613" s="6" t="s">
        <v>161</v>
      </c>
    </row>
    <row r="614" customFormat="false" ht="15" hidden="false" customHeight="false" outlineLevel="0" collapsed="false">
      <c r="A614" s="19" t="n">
        <v>46324</v>
      </c>
      <c r="B614" s="6" t="s">
        <v>50</v>
      </c>
      <c r="C614" s="6" t="s">
        <v>149</v>
      </c>
      <c r="D614" s="7" t="n">
        <v>0.6131</v>
      </c>
      <c r="E614" s="6" t="str">
        <f aca="false">IF(D614&gt;Settings!$C$4,"Bullish",IF(D614&lt;-Settings!$C$4,"Bearish","Neutral"))</f>
        <v>Bullish</v>
      </c>
      <c r="F614" s="8" t="n">
        <v>0.442</v>
      </c>
      <c r="G614" s="20"/>
      <c r="H614" s="6" t="str">
        <f aca="false">IF(G614="","",IF(G614&gt;0,"Bullish",IF(G614&lt;0,"Bearish","Flat")))</f>
        <v/>
      </c>
      <c r="I614" s="6" t="str">
        <f aca="false">IF(OR(G614="",E614="Neutral"),"",IF(E614=H614,1,0))</f>
        <v/>
      </c>
      <c r="J614" s="6" t="s">
        <v>161</v>
      </c>
    </row>
    <row r="615" customFormat="false" ht="15" hidden="false" customHeight="false" outlineLevel="0" collapsed="false">
      <c r="A615" s="19" t="n">
        <v>46324</v>
      </c>
      <c r="B615" s="6" t="s">
        <v>34</v>
      </c>
      <c r="C615" s="6" t="s">
        <v>154</v>
      </c>
      <c r="D615" s="7" t="n">
        <v>0.1321</v>
      </c>
      <c r="E615" s="6" t="str">
        <f aca="false">IF(D615&gt;Settings!$C$4,"Bullish",IF(D615&lt;-Settings!$C$4,"Bearish","Neutral"))</f>
        <v>Neutral</v>
      </c>
      <c r="F615" s="8"/>
      <c r="G615" s="20"/>
      <c r="H615" s="6" t="str">
        <f aca="false">IF(G615="","",IF(G615&gt;0,"Bullish",IF(G615&lt;0,"Bearish","Flat")))</f>
        <v/>
      </c>
      <c r="I615" s="6" t="str">
        <f aca="false">IF(OR(G615="",E615="Neutral"),"",IF(E615=H615,1,0))</f>
        <v/>
      </c>
      <c r="J615" s="6" t="s">
        <v>161</v>
      </c>
    </row>
    <row r="616" customFormat="false" ht="15" hidden="false" customHeight="false" outlineLevel="0" collapsed="false">
      <c r="A616" s="19" t="n">
        <v>46324</v>
      </c>
      <c r="B616" s="6" t="s">
        <v>34</v>
      </c>
      <c r="C616" s="6" t="s">
        <v>149</v>
      </c>
      <c r="D616" s="7" t="n">
        <v>-0.0483</v>
      </c>
      <c r="E616" s="6" t="str">
        <f aca="false">IF(D616&gt;Settings!$C$4,"Bullish",IF(D616&lt;-Settings!$C$4,"Bearish","Neutral"))</f>
        <v>Neutral</v>
      </c>
      <c r="F616" s="8"/>
      <c r="G616" s="20"/>
      <c r="H616" s="6" t="str">
        <f aca="false">IF(G616="","",IF(G616&gt;0,"Bullish",IF(G616&lt;0,"Bearish","Flat")))</f>
        <v/>
      </c>
      <c r="I616" s="6" t="str">
        <f aca="false">IF(OR(G616="",E616="Neutral"),"",IF(E616=H616,1,0))</f>
        <v/>
      </c>
      <c r="J616" s="6" t="s">
        <v>161</v>
      </c>
    </row>
    <row r="617" customFormat="false" ht="15" hidden="false" customHeight="false" outlineLevel="0" collapsed="false">
      <c r="A617" s="19" t="n">
        <v>46324</v>
      </c>
      <c r="B617" s="6" t="s">
        <v>35</v>
      </c>
      <c r="C617" s="6" t="s">
        <v>154</v>
      </c>
      <c r="D617" s="7" t="n">
        <v>0.1173</v>
      </c>
      <c r="E617" s="6" t="str">
        <f aca="false">IF(D617&gt;Settings!$C$4,"Bullish",IF(D617&lt;-Settings!$C$4,"Bearish","Neutral"))</f>
        <v>Neutral</v>
      </c>
      <c r="F617" s="8"/>
      <c r="G617" s="20"/>
      <c r="H617" s="6" t="str">
        <f aca="false">IF(G617="","",IF(G617&gt;0,"Bullish",IF(G617&lt;0,"Bearish","Flat")))</f>
        <v/>
      </c>
      <c r="I617" s="6" t="str">
        <f aca="false">IF(OR(G617="",E617="Neutral"),"",IF(E617=H617,1,0))</f>
        <v/>
      </c>
      <c r="J617" s="6" t="s">
        <v>161</v>
      </c>
    </row>
    <row r="618" customFormat="false" ht="15" hidden="false" customHeight="false" outlineLevel="0" collapsed="false">
      <c r="A618" s="19" t="n">
        <v>46324</v>
      </c>
      <c r="B618" s="6" t="s">
        <v>35</v>
      </c>
      <c r="C618" s="6" t="s">
        <v>149</v>
      </c>
      <c r="D618" s="7" t="n">
        <v>0.0206</v>
      </c>
      <c r="E618" s="6" t="str">
        <f aca="false">IF(D618&gt;Settings!$C$4,"Bullish",IF(D618&lt;-Settings!$C$4,"Bearish","Neutral"))</f>
        <v>Neutral</v>
      </c>
      <c r="F618" s="8"/>
      <c r="G618" s="20"/>
      <c r="H618" s="6" t="str">
        <f aca="false">IF(G618="","",IF(G618&gt;0,"Bullish",IF(G618&lt;0,"Bearish","Flat")))</f>
        <v/>
      </c>
      <c r="I618" s="6" t="str">
        <f aca="false">IF(OR(G618="",E618="Neutral"),"",IF(E618=H618,1,0))</f>
        <v/>
      </c>
      <c r="J618" s="6" t="s">
        <v>161</v>
      </c>
    </row>
    <row r="619" customFormat="false" ht="15" hidden="false" customHeight="false" outlineLevel="0" collapsed="false">
      <c r="A619" s="19" t="n">
        <v>46324</v>
      </c>
      <c r="B619" s="6" t="s">
        <v>37</v>
      </c>
      <c r="C619" s="6" t="s">
        <v>154</v>
      </c>
      <c r="D619" s="7" t="n">
        <v>-0.5034</v>
      </c>
      <c r="E619" s="6" t="str">
        <f aca="false">IF(D619&gt;Settings!$C$4,"Bullish",IF(D619&lt;-Settings!$C$4,"Bearish","Neutral"))</f>
        <v>Bearish</v>
      </c>
      <c r="F619" s="8" t="n">
        <v>0.52</v>
      </c>
      <c r="G619" s="20"/>
      <c r="H619" s="6" t="str">
        <f aca="false">IF(G619="","",IF(G619&gt;0,"Bullish",IF(G619&lt;0,"Bearish","Flat")))</f>
        <v/>
      </c>
      <c r="I619" s="6" t="str">
        <f aca="false">IF(OR(G619="",E619="Neutral"),"",IF(E619=H619,1,0))</f>
        <v/>
      </c>
      <c r="J619" s="6" t="s">
        <v>161</v>
      </c>
    </row>
    <row r="620" customFormat="false" ht="15" hidden="false" customHeight="false" outlineLevel="0" collapsed="false">
      <c r="A620" s="19" t="n">
        <v>46324</v>
      </c>
      <c r="B620" s="6" t="s">
        <v>37</v>
      </c>
      <c r="C620" s="6" t="s">
        <v>149</v>
      </c>
      <c r="D620" s="7" t="n">
        <v>-0.0685</v>
      </c>
      <c r="E620" s="6" t="str">
        <f aca="false">IF(D620&gt;Settings!$C$4,"Bullish",IF(D620&lt;-Settings!$C$4,"Bearish","Neutral"))</f>
        <v>Neutral</v>
      </c>
      <c r="F620" s="8"/>
      <c r="G620" s="20"/>
      <c r="H620" s="6" t="str">
        <f aca="false">IF(G620="","",IF(G620&gt;0,"Bullish",IF(G620&lt;0,"Bearish","Flat")))</f>
        <v/>
      </c>
      <c r="I620" s="6" t="str">
        <f aca="false">IF(OR(G620="",E620="Neutral"),"",IF(E620=H620,1,0))</f>
        <v/>
      </c>
      <c r="J620" s="6" t="s">
        <v>161</v>
      </c>
    </row>
    <row r="621" customFormat="false" ht="15" hidden="false" customHeight="false" outlineLevel="0" collapsed="false">
      <c r="A621" s="19" t="n">
        <v>46324</v>
      </c>
      <c r="B621" s="6" t="s">
        <v>38</v>
      </c>
      <c r="C621" s="6" t="s">
        <v>154</v>
      </c>
      <c r="D621" s="7" t="n">
        <v>-0.0217</v>
      </c>
      <c r="E621" s="6" t="str">
        <f aca="false">IF(D621&gt;Settings!$C$4,"Bullish",IF(D621&lt;-Settings!$C$4,"Bearish","Neutral"))</f>
        <v>Neutral</v>
      </c>
      <c r="F621" s="8"/>
      <c r="G621" s="20"/>
      <c r="H621" s="6" t="str">
        <f aca="false">IF(G621="","",IF(G621&gt;0,"Bullish",IF(G621&lt;0,"Bearish","Flat")))</f>
        <v/>
      </c>
      <c r="I621" s="6" t="str">
        <f aca="false">IF(OR(G621="",E621="Neutral"),"",IF(E621=H621,1,0))</f>
        <v/>
      </c>
      <c r="J621" s="6" t="s">
        <v>161</v>
      </c>
    </row>
    <row r="622" customFormat="false" ht="15" hidden="false" customHeight="false" outlineLevel="0" collapsed="false">
      <c r="A622" s="19" t="n">
        <v>46324</v>
      </c>
      <c r="B622" s="6" t="s">
        <v>38</v>
      </c>
      <c r="C622" s="6" t="s">
        <v>149</v>
      </c>
      <c r="D622" s="7" t="n">
        <v>0.0789</v>
      </c>
      <c r="E622" s="6" t="str">
        <f aca="false">IF(D622&gt;Settings!$C$4,"Bullish",IF(D622&lt;-Settings!$C$4,"Bearish","Neutral"))</f>
        <v>Neutral</v>
      </c>
      <c r="F622" s="8"/>
      <c r="G622" s="20"/>
      <c r="H622" s="6" t="str">
        <f aca="false">IF(G622="","",IF(G622&gt;0,"Bullish",IF(G622&lt;0,"Bearish","Flat")))</f>
        <v/>
      </c>
      <c r="I622" s="6" t="str">
        <f aca="false">IF(OR(G622="",E622="Neutral"),"",IF(E622=H622,1,0))</f>
        <v/>
      </c>
      <c r="J622" s="6" t="s">
        <v>161</v>
      </c>
    </row>
    <row r="623" customFormat="false" ht="15" hidden="false" customHeight="false" outlineLevel="0" collapsed="false">
      <c r="A623" s="19" t="n">
        <v>46324</v>
      </c>
      <c r="B623" s="6" t="s">
        <v>53</v>
      </c>
      <c r="C623" s="6" t="s">
        <v>154</v>
      </c>
      <c r="D623" s="7" t="n">
        <v>0.1276</v>
      </c>
      <c r="E623" s="6" t="str">
        <f aca="false">IF(D623&gt;Settings!$C$4,"Bullish",IF(D623&lt;-Settings!$C$4,"Bearish","Neutral"))</f>
        <v>Neutral</v>
      </c>
      <c r="F623" s="8"/>
      <c r="G623" s="20"/>
      <c r="H623" s="6" t="str">
        <f aca="false">IF(G623="","",IF(G623&gt;0,"Bullish",IF(G623&lt;0,"Bearish","Flat")))</f>
        <v/>
      </c>
      <c r="I623" s="6" t="str">
        <f aca="false">IF(OR(G623="",E623="Neutral"),"",IF(E623=H623,1,0))</f>
        <v/>
      </c>
      <c r="J623" s="6" t="s">
        <v>161</v>
      </c>
    </row>
    <row r="624" customFormat="false" ht="15" hidden="false" customHeight="false" outlineLevel="0" collapsed="false">
      <c r="A624" s="19" t="n">
        <v>46324</v>
      </c>
      <c r="B624" s="6" t="s">
        <v>53</v>
      </c>
      <c r="C624" s="6" t="s">
        <v>149</v>
      </c>
      <c r="D624" s="7" t="n">
        <v>0.014</v>
      </c>
      <c r="E624" s="6" t="str">
        <f aca="false">IF(D624&gt;Settings!$C$4,"Bullish",IF(D624&lt;-Settings!$C$4,"Bearish","Neutral"))</f>
        <v>Neutral</v>
      </c>
      <c r="F624" s="8"/>
      <c r="G624" s="20"/>
      <c r="H624" s="6" t="str">
        <f aca="false">IF(G624="","",IF(G624&gt;0,"Bullish",IF(G624&lt;0,"Bearish","Flat")))</f>
        <v/>
      </c>
      <c r="I624" s="6" t="str">
        <f aca="false">IF(OR(G624="",E624="Neutral"),"",IF(E624=H624,1,0))</f>
        <v/>
      </c>
      <c r="J624" s="6" t="s">
        <v>161</v>
      </c>
    </row>
    <row r="625" customFormat="false" ht="15" hidden="false" customHeight="false" outlineLevel="0" collapsed="false">
      <c r="A625" s="19" t="n">
        <v>46324</v>
      </c>
      <c r="B625" s="6" t="s">
        <v>18</v>
      </c>
      <c r="C625" s="6" t="s">
        <v>154</v>
      </c>
      <c r="D625" s="7" t="n">
        <v>-0.0569</v>
      </c>
      <c r="E625" s="6" t="str">
        <f aca="false">IF(D625&gt;Settings!$C$4,"Bullish",IF(D625&lt;-Settings!$C$4,"Bearish","Neutral"))</f>
        <v>Neutral</v>
      </c>
      <c r="F625" s="8"/>
      <c r="G625" s="20"/>
      <c r="H625" s="6" t="str">
        <f aca="false">IF(G625="","",IF(G625&gt;0,"Bullish",IF(G625&lt;0,"Bearish","Flat")))</f>
        <v/>
      </c>
      <c r="I625" s="6" t="str">
        <f aca="false">IF(OR(G625="",E625="Neutral"),"",IF(E625=H625,1,0))</f>
        <v/>
      </c>
      <c r="J625" s="6" t="s">
        <v>161</v>
      </c>
    </row>
    <row r="626" customFormat="false" ht="15" hidden="false" customHeight="false" outlineLevel="0" collapsed="false">
      <c r="A626" s="19" t="n">
        <v>46324</v>
      </c>
      <c r="B626" s="6" t="s">
        <v>18</v>
      </c>
      <c r="C626" s="6" t="s">
        <v>149</v>
      </c>
      <c r="D626" s="7" t="n">
        <v>0.0917</v>
      </c>
      <c r="E626" s="6" t="str">
        <f aca="false">IF(D626&gt;Settings!$C$4,"Bullish",IF(D626&lt;-Settings!$C$4,"Bearish","Neutral"))</f>
        <v>Neutral</v>
      </c>
      <c r="F626" s="8"/>
      <c r="G626" s="20"/>
      <c r="H626" s="6" t="str">
        <f aca="false">IF(G626="","",IF(G626&gt;0,"Bullish",IF(G626&lt;0,"Bearish","Flat")))</f>
        <v/>
      </c>
      <c r="I626" s="6" t="str">
        <f aca="false">IF(OR(G626="",E626="Neutral"),"",IF(E626=H626,1,0))</f>
        <v/>
      </c>
      <c r="J626" s="6" t="s">
        <v>161</v>
      </c>
    </row>
    <row r="627" customFormat="false" ht="15" hidden="false" customHeight="false" outlineLevel="0" collapsed="false">
      <c r="A627" s="19" t="n">
        <v>46324</v>
      </c>
      <c r="B627" s="6" t="s">
        <v>40</v>
      </c>
      <c r="C627" s="6" t="s">
        <v>154</v>
      </c>
      <c r="D627" s="7" t="n">
        <v>-0.1335</v>
      </c>
      <c r="E627" s="6" t="str">
        <f aca="false">IF(D627&gt;Settings!$C$4,"Bullish",IF(D627&lt;-Settings!$C$4,"Bearish","Neutral"))</f>
        <v>Neutral</v>
      </c>
      <c r="F627" s="8"/>
      <c r="G627" s="20"/>
      <c r="H627" s="6" t="str">
        <f aca="false">IF(G627="","",IF(G627&gt;0,"Bullish",IF(G627&lt;0,"Bearish","Flat")))</f>
        <v/>
      </c>
      <c r="I627" s="6" t="str">
        <f aca="false">IF(OR(G627="",E627="Neutral"),"",IF(E627=H627,1,0))</f>
        <v/>
      </c>
      <c r="J627" s="6" t="s">
        <v>161</v>
      </c>
    </row>
    <row r="628" customFormat="false" ht="15" hidden="false" customHeight="false" outlineLevel="0" collapsed="false">
      <c r="A628" s="19" t="n">
        <v>46324</v>
      </c>
      <c r="B628" s="6" t="s">
        <v>40</v>
      </c>
      <c r="C628" s="6" t="s">
        <v>149</v>
      </c>
      <c r="D628" s="7" t="n">
        <v>0.0206</v>
      </c>
      <c r="E628" s="6" t="str">
        <f aca="false">IF(D628&gt;Settings!$C$4,"Bullish",IF(D628&lt;-Settings!$C$4,"Bearish","Neutral"))</f>
        <v>Neutral</v>
      </c>
      <c r="F628" s="8"/>
      <c r="G628" s="20"/>
      <c r="H628" s="6" t="str">
        <f aca="false">IF(G628="","",IF(G628&gt;0,"Bullish",IF(G628&lt;0,"Bearish","Flat")))</f>
        <v/>
      </c>
      <c r="I628" s="6" t="str">
        <f aca="false">IF(OR(G628="",E628="Neutral"),"",IF(E628=H628,1,0))</f>
        <v/>
      </c>
      <c r="J628" s="6" t="s">
        <v>161</v>
      </c>
    </row>
    <row r="629" customFormat="false" ht="15" hidden="false" customHeight="false" outlineLevel="0" collapsed="false">
      <c r="A629" s="19" t="n">
        <v>46324</v>
      </c>
      <c r="B629" s="6" t="s">
        <v>49</v>
      </c>
      <c r="C629" s="6" t="s">
        <v>154</v>
      </c>
      <c r="D629" s="7" t="n">
        <v>-0.3168</v>
      </c>
      <c r="E629" s="6" t="str">
        <f aca="false">IF(D629&gt;Settings!$C$4,"Bullish",IF(D629&lt;-Settings!$C$4,"Bearish","Neutral"))</f>
        <v>Bearish</v>
      </c>
      <c r="F629" s="8" t="n">
        <v>0.505</v>
      </c>
      <c r="G629" s="20"/>
      <c r="H629" s="6" t="str">
        <f aca="false">IF(G629="","",IF(G629&gt;0,"Bullish",IF(G629&lt;0,"Bearish","Flat")))</f>
        <v/>
      </c>
      <c r="I629" s="6" t="str">
        <f aca="false">IF(OR(G629="",E629="Neutral"),"",IF(E629=H629,1,0))</f>
        <v/>
      </c>
      <c r="J629" s="6" t="s">
        <v>161</v>
      </c>
    </row>
    <row r="630" customFormat="false" ht="15" hidden="false" customHeight="false" outlineLevel="0" collapsed="false">
      <c r="A630" s="19" t="n">
        <v>46324</v>
      </c>
      <c r="B630" s="6" t="s">
        <v>49</v>
      </c>
      <c r="C630" s="6" t="s">
        <v>149</v>
      </c>
      <c r="D630" s="7" t="n">
        <v>0.0206</v>
      </c>
      <c r="E630" s="6" t="str">
        <f aca="false">IF(D630&gt;Settings!$C$4,"Bullish",IF(D630&lt;-Settings!$C$4,"Bearish","Neutral"))</f>
        <v>Neutral</v>
      </c>
      <c r="F630" s="8"/>
      <c r="G630" s="20"/>
      <c r="H630" s="6" t="str">
        <f aca="false">IF(G630="","",IF(G630&gt;0,"Bullish",IF(G630&lt;0,"Bearish","Flat")))</f>
        <v/>
      </c>
      <c r="I630" s="6" t="str">
        <f aca="false">IF(OR(G630="",E630="Neutral"),"",IF(E630=H630,1,0))</f>
        <v/>
      </c>
      <c r="J630" s="6" t="s">
        <v>161</v>
      </c>
    </row>
    <row r="631" customFormat="false" ht="15" hidden="false" customHeight="false" outlineLevel="0" collapsed="false">
      <c r="A631" s="19" t="n">
        <v>46324</v>
      </c>
      <c r="B631" s="6" t="s">
        <v>43</v>
      </c>
      <c r="C631" s="6" t="s">
        <v>154</v>
      </c>
      <c r="D631" s="7" t="n">
        <v>0.2039</v>
      </c>
      <c r="E631" s="6" t="str">
        <f aca="false">IF(D631&gt;Settings!$C$4,"Bullish",IF(D631&lt;-Settings!$C$4,"Bearish","Neutral"))</f>
        <v>Bullish</v>
      </c>
      <c r="F631" s="8" t="n">
        <v>0.468</v>
      </c>
      <c r="G631" s="20"/>
      <c r="H631" s="6" t="str">
        <f aca="false">IF(G631="","",IF(G631&gt;0,"Bullish",IF(G631&lt;0,"Bearish","Flat")))</f>
        <v/>
      </c>
      <c r="I631" s="6" t="str">
        <f aca="false">IF(OR(G631="",E631="Neutral"),"",IF(E631=H631,1,0))</f>
        <v/>
      </c>
      <c r="J631" s="6" t="s">
        <v>161</v>
      </c>
    </row>
    <row r="632" customFormat="false" ht="15" hidden="false" customHeight="false" outlineLevel="0" collapsed="false">
      <c r="A632" s="19" t="n">
        <v>46324</v>
      </c>
      <c r="B632" s="6" t="s">
        <v>43</v>
      </c>
      <c r="C632" s="6" t="s">
        <v>149</v>
      </c>
      <c r="D632" s="7" t="n">
        <v>-0.0483</v>
      </c>
      <c r="E632" s="6" t="str">
        <f aca="false">IF(D632&gt;Settings!$C$4,"Bullish",IF(D632&lt;-Settings!$C$4,"Bearish","Neutral"))</f>
        <v>Neutral</v>
      </c>
      <c r="F632" s="8"/>
      <c r="G632" s="20"/>
      <c r="H632" s="6" t="str">
        <f aca="false">IF(G632="","",IF(G632&gt;0,"Bullish",IF(G632&lt;0,"Bearish","Flat")))</f>
        <v/>
      </c>
      <c r="I632" s="6" t="str">
        <f aca="false">IF(OR(G632="",E632="Neutral"),"",IF(E632=H632,1,0))</f>
        <v/>
      </c>
      <c r="J632" s="6" t="s">
        <v>161</v>
      </c>
    </row>
    <row r="633" customFormat="false" ht="15" hidden="false" customHeight="false" outlineLevel="0" collapsed="false">
      <c r="A633" s="19" t="n">
        <v>46324</v>
      </c>
      <c r="B633" s="6" t="s">
        <v>51</v>
      </c>
      <c r="C633" s="6" t="s">
        <v>154</v>
      </c>
      <c r="D633" s="7" t="n">
        <v>-0.2805</v>
      </c>
      <c r="E633" s="6" t="str">
        <f aca="false">IF(D633&gt;Settings!$C$4,"Bullish",IF(D633&lt;-Settings!$C$4,"Bearish","Neutral"))</f>
        <v>Bearish</v>
      </c>
      <c r="F633" s="8" t="n">
        <v>0.532</v>
      </c>
      <c r="G633" s="20"/>
      <c r="H633" s="6" t="str">
        <f aca="false">IF(G633="","",IF(G633&gt;0,"Bullish",IF(G633&lt;0,"Bearish","Flat")))</f>
        <v/>
      </c>
      <c r="I633" s="6" t="str">
        <f aca="false">IF(OR(G633="",E633="Neutral"),"",IF(E633=H633,1,0))</f>
        <v/>
      </c>
      <c r="J633" s="6" t="s">
        <v>161</v>
      </c>
    </row>
    <row r="634" customFormat="false" ht="15" hidden="false" customHeight="false" outlineLevel="0" collapsed="false">
      <c r="A634" s="19" t="n">
        <v>46324</v>
      </c>
      <c r="B634" s="6" t="s">
        <v>51</v>
      </c>
      <c r="C634" s="6" t="s">
        <v>149</v>
      </c>
      <c r="D634" s="7" t="n">
        <v>-0.1602</v>
      </c>
      <c r="E634" s="6" t="str">
        <f aca="false">IF(D634&gt;Settings!$C$4,"Bullish",IF(D634&lt;-Settings!$C$4,"Bearish","Neutral"))</f>
        <v>Bearish</v>
      </c>
      <c r="F634" s="8" t="n">
        <v>0.534</v>
      </c>
      <c r="G634" s="20"/>
      <c r="H634" s="6" t="str">
        <f aca="false">IF(G634="","",IF(G634&gt;0,"Bullish",IF(G634&lt;0,"Bearish","Flat")))</f>
        <v/>
      </c>
      <c r="I634" s="6" t="str">
        <f aca="false">IF(OR(G634="",E634="Neutral"),"",IF(E634=H634,1,0))</f>
        <v/>
      </c>
      <c r="J634" s="6" t="s">
        <v>161</v>
      </c>
    </row>
    <row r="635" customFormat="false" ht="15" hidden="false" customHeight="false" outlineLevel="0" collapsed="false">
      <c r="A635" s="19" t="n">
        <v>46325</v>
      </c>
      <c r="B635" s="6" t="s">
        <v>20</v>
      </c>
      <c r="C635" s="6" t="s">
        <v>154</v>
      </c>
      <c r="D635" s="7" t="n">
        <v>0.0009</v>
      </c>
      <c r="E635" s="6" t="str">
        <f aca="false">IF(D635&gt;Settings!$C$4,"Bullish",IF(D635&lt;-Settings!$C$4,"Bearish","Neutral"))</f>
        <v>Neutral</v>
      </c>
      <c r="F635" s="8"/>
      <c r="G635" s="20"/>
      <c r="H635" s="6" t="str">
        <f aca="false">IF(G635="","",IF(G635&gt;0,"Bullish",IF(G635&lt;0,"Bearish","Flat")))</f>
        <v/>
      </c>
      <c r="I635" s="6" t="str">
        <f aca="false">IF(OR(G635="",E635="Neutral"),"",IF(E635=H635,1,0))</f>
        <v/>
      </c>
      <c r="J635" s="6" t="s">
        <v>161</v>
      </c>
    </row>
    <row r="636" customFormat="false" ht="15" hidden="false" customHeight="false" outlineLevel="0" collapsed="false">
      <c r="A636" s="19" t="n">
        <v>46325</v>
      </c>
      <c r="B636" s="6" t="s">
        <v>20</v>
      </c>
      <c r="C636" s="6" t="s">
        <v>149</v>
      </c>
      <c r="D636" s="7" t="n">
        <v>0.015</v>
      </c>
      <c r="E636" s="6" t="str">
        <f aca="false">IF(D636&gt;Settings!$C$4,"Bullish",IF(D636&lt;-Settings!$C$4,"Bearish","Neutral"))</f>
        <v>Neutral</v>
      </c>
      <c r="F636" s="8"/>
      <c r="G636" s="20"/>
      <c r="H636" s="6" t="str">
        <f aca="false">IF(G636="","",IF(G636&gt;0,"Bullish",IF(G636&lt;0,"Bearish","Flat")))</f>
        <v/>
      </c>
      <c r="I636" s="6" t="str">
        <f aca="false">IF(OR(G636="",E636="Neutral"),"",IF(E636=H636,1,0))</f>
        <v/>
      </c>
      <c r="J636" s="6" t="s">
        <v>161</v>
      </c>
    </row>
    <row r="637" customFormat="false" ht="15" hidden="false" customHeight="false" outlineLevel="0" collapsed="false">
      <c r="A637" s="19" t="n">
        <v>46325</v>
      </c>
      <c r="B637" s="6" t="s">
        <v>22</v>
      </c>
      <c r="C637" s="6" t="s">
        <v>154</v>
      </c>
      <c r="D637" s="7" t="n">
        <v>-0.2893</v>
      </c>
      <c r="E637" s="6" t="str">
        <f aca="false">IF(D637&gt;Settings!$C$4,"Bullish",IF(D637&lt;-Settings!$C$4,"Bearish","Neutral"))</f>
        <v>Bearish</v>
      </c>
      <c r="F637" s="8" t="n">
        <v>0.514</v>
      </c>
      <c r="G637" s="20"/>
      <c r="H637" s="6" t="str">
        <f aca="false">IF(G637="","",IF(G637&gt;0,"Bullish",IF(G637&lt;0,"Bearish","Flat")))</f>
        <v/>
      </c>
      <c r="I637" s="6" t="str">
        <f aca="false">IF(OR(G637="",E637="Neutral"),"",IF(E637=H637,1,0))</f>
        <v/>
      </c>
      <c r="J637" s="6" t="s">
        <v>161</v>
      </c>
    </row>
    <row r="638" customFormat="false" ht="15" hidden="false" customHeight="false" outlineLevel="0" collapsed="false">
      <c r="A638" s="19" t="n">
        <v>46325</v>
      </c>
      <c r="B638" s="6" t="s">
        <v>22</v>
      </c>
      <c r="C638" s="6" t="s">
        <v>149</v>
      </c>
      <c r="D638" s="7" t="n">
        <v>0.043</v>
      </c>
      <c r="E638" s="6" t="str">
        <f aca="false">IF(D638&gt;Settings!$C$4,"Bullish",IF(D638&lt;-Settings!$C$4,"Bearish","Neutral"))</f>
        <v>Neutral</v>
      </c>
      <c r="F638" s="8"/>
      <c r="G638" s="20"/>
      <c r="H638" s="6" t="str">
        <f aca="false">IF(G638="","",IF(G638&gt;0,"Bullish",IF(G638&lt;0,"Bearish","Flat")))</f>
        <v/>
      </c>
      <c r="I638" s="6" t="str">
        <f aca="false">IF(OR(G638="",E638="Neutral"),"",IF(E638=H638,1,0))</f>
        <v/>
      </c>
      <c r="J638" s="6" t="s">
        <v>161</v>
      </c>
    </row>
    <row r="639" customFormat="false" ht="15" hidden="false" customHeight="false" outlineLevel="0" collapsed="false">
      <c r="A639" s="19" t="n">
        <v>46325</v>
      </c>
      <c r="B639" s="6" t="s">
        <v>52</v>
      </c>
      <c r="C639" s="6" t="s">
        <v>154</v>
      </c>
      <c r="D639" s="7" t="n">
        <v>0.1883</v>
      </c>
      <c r="E639" s="6" t="str">
        <f aca="false">IF(D639&gt;Settings!$C$4,"Bullish",IF(D639&lt;-Settings!$C$4,"Bearish","Neutral"))</f>
        <v>Bullish</v>
      </c>
      <c r="F639" s="8" t="n">
        <v>0.494</v>
      </c>
      <c r="G639" s="20"/>
      <c r="H639" s="6" t="str">
        <f aca="false">IF(G639="","",IF(G639&gt;0,"Bullish",IF(G639&lt;0,"Bearish","Flat")))</f>
        <v/>
      </c>
      <c r="I639" s="6" t="str">
        <f aca="false">IF(OR(G639="",E639="Neutral"),"",IF(E639=H639,1,0))</f>
        <v/>
      </c>
      <c r="J639" s="6" t="s">
        <v>161</v>
      </c>
    </row>
    <row r="640" customFormat="false" ht="15" hidden="false" customHeight="false" outlineLevel="0" collapsed="false">
      <c r="A640" s="19" t="n">
        <v>46325</v>
      </c>
      <c r="B640" s="6" t="s">
        <v>52</v>
      </c>
      <c r="C640" s="6" t="s">
        <v>149</v>
      </c>
      <c r="D640" s="7" t="n">
        <v>-0.056</v>
      </c>
      <c r="E640" s="6" t="str">
        <f aca="false">IF(D640&gt;Settings!$C$4,"Bullish",IF(D640&lt;-Settings!$C$4,"Bearish","Neutral"))</f>
        <v>Neutral</v>
      </c>
      <c r="F640" s="8"/>
      <c r="G640" s="20"/>
      <c r="H640" s="6" t="str">
        <f aca="false">IF(G640="","",IF(G640&gt;0,"Bullish",IF(G640&lt;0,"Bearish","Flat")))</f>
        <v/>
      </c>
      <c r="I640" s="6" t="str">
        <f aca="false">IF(OR(G640="",E640="Neutral"),"",IF(E640=H640,1,0))</f>
        <v/>
      </c>
      <c r="J640" s="6" t="s">
        <v>161</v>
      </c>
    </row>
    <row r="641" customFormat="false" ht="15" hidden="false" customHeight="false" outlineLevel="0" collapsed="false">
      <c r="A641" s="19" t="n">
        <v>46325</v>
      </c>
      <c r="B641" s="6" t="s">
        <v>30</v>
      </c>
      <c r="C641" s="6" t="s">
        <v>154</v>
      </c>
      <c r="D641" s="7" t="n">
        <v>-0.0025</v>
      </c>
      <c r="E641" s="6" t="str">
        <f aca="false">IF(D641&gt;Settings!$C$4,"Bullish",IF(D641&lt;-Settings!$C$4,"Bearish","Neutral"))</f>
        <v>Neutral</v>
      </c>
      <c r="F641" s="8"/>
      <c r="G641" s="20"/>
      <c r="H641" s="6" t="str">
        <f aca="false">IF(G641="","",IF(G641&gt;0,"Bullish",IF(G641&lt;0,"Bearish","Flat")))</f>
        <v/>
      </c>
      <c r="I641" s="6" t="str">
        <f aca="false">IF(OR(G641="",E641="Neutral"),"",IF(E641=H641,1,0))</f>
        <v/>
      </c>
      <c r="J641" s="6" t="s">
        <v>161</v>
      </c>
    </row>
    <row r="642" customFormat="false" ht="15" hidden="false" customHeight="false" outlineLevel="0" collapsed="false">
      <c r="A642" s="19" t="n">
        <v>46325</v>
      </c>
      <c r="B642" s="6" t="s">
        <v>30</v>
      </c>
      <c r="C642" s="6" t="s">
        <v>149</v>
      </c>
      <c r="D642" s="7" t="n">
        <v>-0.0151</v>
      </c>
      <c r="E642" s="6" t="str">
        <f aca="false">IF(D642&gt;Settings!$C$4,"Bullish",IF(D642&lt;-Settings!$C$4,"Bearish","Neutral"))</f>
        <v>Neutral</v>
      </c>
      <c r="F642" s="8"/>
      <c r="G642" s="20"/>
      <c r="H642" s="6" t="str">
        <f aca="false">IF(G642="","",IF(G642&gt;0,"Bullish",IF(G642&lt;0,"Bearish","Flat")))</f>
        <v/>
      </c>
      <c r="I642" s="6" t="str">
        <f aca="false">IF(OR(G642="",E642="Neutral"),"",IF(E642=H642,1,0))</f>
        <v/>
      </c>
      <c r="J642" s="6" t="s">
        <v>161</v>
      </c>
    </row>
    <row r="643" customFormat="false" ht="15" hidden="false" customHeight="false" outlineLevel="0" collapsed="false">
      <c r="A643" s="19" t="n">
        <v>46325</v>
      </c>
      <c r="B643" s="6" t="s">
        <v>50</v>
      </c>
      <c r="C643" s="6" t="s">
        <v>154</v>
      </c>
      <c r="D643" s="7" t="n">
        <v>0.0611</v>
      </c>
      <c r="E643" s="6" t="str">
        <f aca="false">IF(D643&gt;Settings!$C$4,"Bullish",IF(D643&lt;-Settings!$C$4,"Bearish","Neutral"))</f>
        <v>Neutral</v>
      </c>
      <c r="F643" s="8"/>
      <c r="G643" s="20"/>
      <c r="H643" s="6" t="str">
        <f aca="false">IF(G643="","",IF(G643&gt;0,"Bullish",IF(G643&lt;0,"Bearish","Flat")))</f>
        <v/>
      </c>
      <c r="I643" s="6" t="str">
        <f aca="false">IF(OR(G643="",E643="Neutral"),"",IF(E643=H643,1,0))</f>
        <v/>
      </c>
      <c r="J643" s="6" t="s">
        <v>161</v>
      </c>
    </row>
    <row r="644" customFormat="false" ht="15" hidden="false" customHeight="false" outlineLevel="0" collapsed="false">
      <c r="A644" s="19" t="n">
        <v>46325</v>
      </c>
      <c r="B644" s="6" t="s">
        <v>50</v>
      </c>
      <c r="C644" s="6" t="s">
        <v>149</v>
      </c>
      <c r="D644" s="7" t="n">
        <v>0.5984</v>
      </c>
      <c r="E644" s="6" t="str">
        <f aca="false">IF(D644&gt;Settings!$C$4,"Bullish",IF(D644&lt;-Settings!$C$4,"Bearish","Neutral"))</f>
        <v>Bullish</v>
      </c>
      <c r="F644" s="8" t="n">
        <v>0.442</v>
      </c>
      <c r="G644" s="20"/>
      <c r="H644" s="6" t="str">
        <f aca="false">IF(G644="","",IF(G644&gt;0,"Bullish",IF(G644&lt;0,"Bearish","Flat")))</f>
        <v/>
      </c>
      <c r="I644" s="6" t="str">
        <f aca="false">IF(OR(G644="",E644="Neutral"),"",IF(E644=H644,1,0))</f>
        <v/>
      </c>
      <c r="J644" s="6" t="s">
        <v>161</v>
      </c>
    </row>
    <row r="645" customFormat="false" ht="15" hidden="false" customHeight="false" outlineLevel="0" collapsed="false">
      <c r="A645" s="19" t="n">
        <v>46325</v>
      </c>
      <c r="B645" s="6" t="s">
        <v>34</v>
      </c>
      <c r="C645" s="6" t="s">
        <v>154</v>
      </c>
      <c r="D645" s="7" t="n">
        <v>-0.0751</v>
      </c>
      <c r="E645" s="6" t="str">
        <f aca="false">IF(D645&gt;Settings!$C$4,"Bullish",IF(D645&lt;-Settings!$C$4,"Bearish","Neutral"))</f>
        <v>Neutral</v>
      </c>
      <c r="F645" s="8"/>
      <c r="G645" s="20"/>
      <c r="H645" s="6" t="str">
        <f aca="false">IF(G645="","",IF(G645&gt;0,"Bullish",IF(G645&lt;0,"Bearish","Flat")))</f>
        <v/>
      </c>
      <c r="I645" s="6" t="str">
        <f aca="false">IF(OR(G645="",E645="Neutral"),"",IF(E645=H645,1,0))</f>
        <v/>
      </c>
      <c r="J645" s="6" t="s">
        <v>161</v>
      </c>
    </row>
    <row r="646" customFormat="false" ht="15" hidden="false" customHeight="false" outlineLevel="0" collapsed="false">
      <c r="A646" s="19" t="n">
        <v>46325</v>
      </c>
      <c r="B646" s="6" t="s">
        <v>34</v>
      </c>
      <c r="C646" s="6" t="s">
        <v>149</v>
      </c>
      <c r="D646" s="7" t="n">
        <v>-0.1046</v>
      </c>
      <c r="E646" s="6" t="str">
        <f aca="false">IF(D646&gt;Settings!$C$4,"Bullish",IF(D646&lt;-Settings!$C$4,"Bearish","Neutral"))</f>
        <v>Neutral</v>
      </c>
      <c r="F646" s="8"/>
      <c r="G646" s="20"/>
      <c r="H646" s="6" t="str">
        <f aca="false">IF(G646="","",IF(G646&gt;0,"Bullish",IF(G646&lt;0,"Bearish","Flat")))</f>
        <v/>
      </c>
      <c r="I646" s="6" t="str">
        <f aca="false">IF(OR(G646="",E646="Neutral"),"",IF(E646=H646,1,0))</f>
        <v/>
      </c>
      <c r="J646" s="6" t="s">
        <v>161</v>
      </c>
    </row>
    <row r="647" customFormat="false" ht="15" hidden="false" customHeight="false" outlineLevel="0" collapsed="false">
      <c r="A647" s="19" t="n">
        <v>46325</v>
      </c>
      <c r="B647" s="6" t="s">
        <v>35</v>
      </c>
      <c r="C647" s="6" t="s">
        <v>154</v>
      </c>
      <c r="D647" s="7" t="n">
        <v>0.1284</v>
      </c>
      <c r="E647" s="6" t="str">
        <f aca="false">IF(D647&gt;Settings!$C$4,"Bullish",IF(D647&lt;-Settings!$C$4,"Bearish","Neutral"))</f>
        <v>Neutral</v>
      </c>
      <c r="F647" s="8"/>
      <c r="G647" s="20"/>
      <c r="H647" s="6" t="str">
        <f aca="false">IF(G647="","",IF(G647&gt;0,"Bullish",IF(G647&lt;0,"Bearish","Flat")))</f>
        <v/>
      </c>
      <c r="I647" s="6" t="str">
        <f aca="false">IF(OR(G647="",E647="Neutral"),"",IF(E647=H647,1,0))</f>
        <v/>
      </c>
      <c r="J647" s="6" t="s">
        <v>161</v>
      </c>
    </row>
    <row r="648" customFormat="false" ht="15" hidden="false" customHeight="false" outlineLevel="0" collapsed="false">
      <c r="A648" s="19" t="n">
        <v>46325</v>
      </c>
      <c r="B648" s="6" t="s">
        <v>35</v>
      </c>
      <c r="C648" s="6" t="s">
        <v>149</v>
      </c>
      <c r="D648" s="7" t="n">
        <v>0.015</v>
      </c>
      <c r="E648" s="6" t="str">
        <f aca="false">IF(D648&gt;Settings!$C$4,"Bullish",IF(D648&lt;-Settings!$C$4,"Bearish","Neutral"))</f>
        <v>Neutral</v>
      </c>
      <c r="F648" s="8"/>
      <c r="G648" s="20"/>
      <c r="H648" s="6" t="str">
        <f aca="false">IF(G648="","",IF(G648&gt;0,"Bullish",IF(G648&lt;0,"Bearish","Flat")))</f>
        <v/>
      </c>
      <c r="I648" s="6" t="str">
        <f aca="false">IF(OR(G648="",E648="Neutral"),"",IF(E648=H648,1,0))</f>
        <v/>
      </c>
      <c r="J648" s="6" t="s">
        <v>161</v>
      </c>
    </row>
    <row r="649" customFormat="false" ht="15" hidden="false" customHeight="false" outlineLevel="0" collapsed="false">
      <c r="A649" s="19" t="n">
        <v>46325</v>
      </c>
      <c r="B649" s="6" t="s">
        <v>37</v>
      </c>
      <c r="C649" s="6" t="s">
        <v>154</v>
      </c>
      <c r="D649" s="7" t="n">
        <v>-0.7404</v>
      </c>
      <c r="E649" s="6" t="str">
        <f aca="false">IF(D649&gt;Settings!$C$4,"Bullish",IF(D649&lt;-Settings!$C$4,"Bearish","Neutral"))</f>
        <v>Bearish</v>
      </c>
      <c r="F649" s="8" t="n">
        <v>0.52</v>
      </c>
      <c r="G649" s="20"/>
      <c r="H649" s="6" t="str">
        <f aca="false">IF(G649="","",IF(G649&gt;0,"Bullish",IF(G649&lt;0,"Bearish","Flat")))</f>
        <v/>
      </c>
      <c r="I649" s="6" t="str">
        <f aca="false">IF(OR(G649="",E649="Neutral"),"",IF(E649=H649,1,0))</f>
        <v/>
      </c>
      <c r="J649" s="6" t="s">
        <v>161</v>
      </c>
    </row>
    <row r="650" customFormat="false" ht="15" hidden="false" customHeight="false" outlineLevel="0" collapsed="false">
      <c r="A650" s="19" t="n">
        <v>46325</v>
      </c>
      <c r="B650" s="6" t="s">
        <v>37</v>
      </c>
      <c r="C650" s="6" t="s">
        <v>149</v>
      </c>
      <c r="D650" s="7" t="n">
        <v>-0.0364</v>
      </c>
      <c r="E650" s="6" t="str">
        <f aca="false">IF(D650&gt;Settings!$C$4,"Bullish",IF(D650&lt;-Settings!$C$4,"Bearish","Neutral"))</f>
        <v>Neutral</v>
      </c>
      <c r="F650" s="8"/>
      <c r="G650" s="20"/>
      <c r="H650" s="6" t="str">
        <f aca="false">IF(G650="","",IF(G650&gt;0,"Bullish",IF(G650&lt;0,"Bearish","Flat")))</f>
        <v/>
      </c>
      <c r="I650" s="6" t="str">
        <f aca="false">IF(OR(G650="",E650="Neutral"),"",IF(E650=H650,1,0))</f>
        <v/>
      </c>
      <c r="J650" s="6" t="s">
        <v>161</v>
      </c>
    </row>
    <row r="651" customFormat="false" ht="15" hidden="false" customHeight="false" outlineLevel="0" collapsed="false">
      <c r="A651" s="19" t="n">
        <v>46325</v>
      </c>
      <c r="B651" s="6" t="s">
        <v>38</v>
      </c>
      <c r="C651" s="6" t="s">
        <v>154</v>
      </c>
      <c r="D651" s="7" t="n">
        <v>-0.0859</v>
      </c>
      <c r="E651" s="6" t="str">
        <f aca="false">IF(D651&gt;Settings!$C$4,"Bullish",IF(D651&lt;-Settings!$C$4,"Bearish","Neutral"))</f>
        <v>Neutral</v>
      </c>
      <c r="F651" s="8"/>
      <c r="G651" s="20"/>
      <c r="H651" s="6" t="str">
        <f aca="false">IF(G651="","",IF(G651&gt;0,"Bullish",IF(G651&lt;0,"Bearish","Flat")))</f>
        <v/>
      </c>
      <c r="I651" s="6" t="str">
        <f aca="false">IF(OR(G651="",E651="Neutral"),"",IF(E651=H651,1,0))</f>
        <v/>
      </c>
      <c r="J651" s="6" t="s">
        <v>161</v>
      </c>
    </row>
    <row r="652" customFormat="false" ht="15" hidden="false" customHeight="false" outlineLevel="0" collapsed="false">
      <c r="A652" s="19" t="n">
        <v>46325</v>
      </c>
      <c r="B652" s="6" t="s">
        <v>38</v>
      </c>
      <c r="C652" s="6" t="s">
        <v>149</v>
      </c>
      <c r="D652" s="7" t="n">
        <v>0.0751</v>
      </c>
      <c r="E652" s="6" t="str">
        <f aca="false">IF(D652&gt;Settings!$C$4,"Bullish",IF(D652&lt;-Settings!$C$4,"Bearish","Neutral"))</f>
        <v>Neutral</v>
      </c>
      <c r="F652" s="8"/>
      <c r="G652" s="20"/>
      <c r="H652" s="6" t="str">
        <f aca="false">IF(G652="","",IF(G652&gt;0,"Bullish",IF(G652&lt;0,"Bearish","Flat")))</f>
        <v/>
      </c>
      <c r="I652" s="6" t="str">
        <f aca="false">IF(OR(G652="",E652="Neutral"),"",IF(E652=H652,1,0))</f>
        <v/>
      </c>
      <c r="J652" s="6" t="s">
        <v>161</v>
      </c>
    </row>
    <row r="653" customFormat="false" ht="15" hidden="false" customHeight="false" outlineLevel="0" collapsed="false">
      <c r="A653" s="19" t="n">
        <v>46325</v>
      </c>
      <c r="B653" s="6" t="s">
        <v>53</v>
      </c>
      <c r="C653" s="6" t="s">
        <v>154</v>
      </c>
      <c r="D653" s="7" t="n">
        <v>0.254</v>
      </c>
      <c r="E653" s="6" t="str">
        <f aca="false">IF(D653&gt;Settings!$C$4,"Bullish",IF(D653&lt;-Settings!$C$4,"Bearish","Neutral"))</f>
        <v>Bullish</v>
      </c>
      <c r="F653" s="8" t="n">
        <v>0.516</v>
      </c>
      <c r="G653" s="20"/>
      <c r="H653" s="6" t="str">
        <f aca="false">IF(G653="","",IF(G653&gt;0,"Bullish",IF(G653&lt;0,"Bearish","Flat")))</f>
        <v/>
      </c>
      <c r="I653" s="6" t="str">
        <f aca="false">IF(OR(G653="",E653="Neutral"),"",IF(E653=H653,1,0))</f>
        <v/>
      </c>
      <c r="J653" s="6" t="s">
        <v>161</v>
      </c>
    </row>
    <row r="654" customFormat="false" ht="15" hidden="false" customHeight="false" outlineLevel="0" collapsed="false">
      <c r="A654" s="19" t="n">
        <v>46325</v>
      </c>
      <c r="B654" s="6" t="s">
        <v>53</v>
      </c>
      <c r="C654" s="6" t="s">
        <v>149</v>
      </c>
      <c r="D654" s="7" t="n">
        <v>-0.0538</v>
      </c>
      <c r="E654" s="6" t="str">
        <f aca="false">IF(D654&gt;Settings!$C$4,"Bullish",IF(D654&lt;-Settings!$C$4,"Bearish","Neutral"))</f>
        <v>Neutral</v>
      </c>
      <c r="F654" s="8"/>
      <c r="G654" s="20"/>
      <c r="H654" s="6" t="str">
        <f aca="false">IF(G654="","",IF(G654&gt;0,"Bullish",IF(G654&lt;0,"Bearish","Flat")))</f>
        <v/>
      </c>
      <c r="I654" s="6" t="str">
        <f aca="false">IF(OR(G654="",E654="Neutral"),"",IF(E654=H654,1,0))</f>
        <v/>
      </c>
      <c r="J654" s="6" t="s">
        <v>161</v>
      </c>
    </row>
    <row r="655" customFormat="false" ht="15" hidden="false" customHeight="false" outlineLevel="0" collapsed="false">
      <c r="A655" s="19" t="n">
        <v>46325</v>
      </c>
      <c r="B655" s="6" t="s">
        <v>18</v>
      </c>
      <c r="C655" s="6" t="s">
        <v>154</v>
      </c>
      <c r="D655" s="7" t="n">
        <v>-0.181</v>
      </c>
      <c r="E655" s="6" t="str">
        <f aca="false">IF(D655&gt;Settings!$C$4,"Bullish",IF(D655&lt;-Settings!$C$4,"Bearish","Neutral"))</f>
        <v>Bearish</v>
      </c>
      <c r="F655" s="8" t="n">
        <v>0.481</v>
      </c>
      <c r="G655" s="20"/>
      <c r="H655" s="6" t="str">
        <f aca="false">IF(G655="","",IF(G655&gt;0,"Bullish",IF(G655&lt;0,"Bearish","Flat")))</f>
        <v/>
      </c>
      <c r="I655" s="6" t="str">
        <f aca="false">IF(OR(G655="",E655="Neutral"),"",IF(E655=H655,1,0))</f>
        <v/>
      </c>
      <c r="J655" s="6" t="s">
        <v>161</v>
      </c>
    </row>
    <row r="656" customFormat="false" ht="15" hidden="false" customHeight="false" outlineLevel="0" collapsed="false">
      <c r="A656" s="19" t="n">
        <v>46325</v>
      </c>
      <c r="B656" s="6" t="s">
        <v>18</v>
      </c>
      <c r="C656" s="6" t="s">
        <v>149</v>
      </c>
      <c r="D656" s="7" t="n">
        <v>0.042</v>
      </c>
      <c r="E656" s="6" t="str">
        <f aca="false">IF(D656&gt;Settings!$C$4,"Bullish",IF(D656&lt;-Settings!$C$4,"Bearish","Neutral"))</f>
        <v>Neutral</v>
      </c>
      <c r="F656" s="8"/>
      <c r="G656" s="20"/>
      <c r="H656" s="6" t="str">
        <f aca="false">IF(G656="","",IF(G656&gt;0,"Bullish",IF(G656&lt;0,"Bearish","Flat")))</f>
        <v/>
      </c>
      <c r="I656" s="6" t="str">
        <f aca="false">IF(OR(G656="",E656="Neutral"),"",IF(E656=H656,1,0))</f>
        <v/>
      </c>
      <c r="J656" s="6" t="s">
        <v>161</v>
      </c>
    </row>
    <row r="657" customFormat="false" ht="15" hidden="false" customHeight="false" outlineLevel="0" collapsed="false">
      <c r="A657" s="19" t="n">
        <v>46325</v>
      </c>
      <c r="B657" s="6" t="s">
        <v>40</v>
      </c>
      <c r="C657" s="6" t="s">
        <v>154</v>
      </c>
      <c r="D657" s="7" t="n">
        <v>-0.119</v>
      </c>
      <c r="E657" s="6" t="str">
        <f aca="false">IF(D657&gt;Settings!$C$4,"Bullish",IF(D657&lt;-Settings!$C$4,"Bearish","Neutral"))</f>
        <v>Neutral</v>
      </c>
      <c r="F657" s="8"/>
      <c r="G657" s="20"/>
      <c r="H657" s="6" t="str">
        <f aca="false">IF(G657="","",IF(G657&gt;0,"Bullish",IF(G657&lt;0,"Bearish","Flat")))</f>
        <v/>
      </c>
      <c r="I657" s="6" t="str">
        <f aca="false">IF(OR(G657="",E657="Neutral"),"",IF(E657=H657,1,0))</f>
        <v/>
      </c>
      <c r="J657" s="6" t="s">
        <v>161</v>
      </c>
    </row>
    <row r="658" customFormat="false" ht="15" hidden="false" customHeight="false" outlineLevel="0" collapsed="false">
      <c r="A658" s="19" t="n">
        <v>46325</v>
      </c>
      <c r="B658" s="6" t="s">
        <v>40</v>
      </c>
      <c r="C658" s="6" t="s">
        <v>149</v>
      </c>
      <c r="D658" s="7" t="n">
        <v>0.015</v>
      </c>
      <c r="E658" s="6" t="str">
        <f aca="false">IF(D658&gt;Settings!$C$4,"Bullish",IF(D658&lt;-Settings!$C$4,"Bearish","Neutral"))</f>
        <v>Neutral</v>
      </c>
      <c r="F658" s="8"/>
      <c r="G658" s="20"/>
      <c r="H658" s="6" t="str">
        <f aca="false">IF(G658="","",IF(G658&gt;0,"Bullish",IF(G658&lt;0,"Bearish","Flat")))</f>
        <v/>
      </c>
      <c r="I658" s="6" t="str">
        <f aca="false">IF(OR(G658="",E658="Neutral"),"",IF(E658=H658,1,0))</f>
        <v/>
      </c>
      <c r="J658" s="6" t="s">
        <v>161</v>
      </c>
    </row>
    <row r="659" customFormat="false" ht="15" hidden="false" customHeight="false" outlineLevel="0" collapsed="false">
      <c r="A659" s="19" t="n">
        <v>46325</v>
      </c>
      <c r="B659" s="6" t="s">
        <v>49</v>
      </c>
      <c r="C659" s="6" t="s">
        <v>154</v>
      </c>
      <c r="D659" s="7" t="n">
        <v>-0.1397</v>
      </c>
      <c r="E659" s="6" t="str">
        <f aca="false">IF(D659&gt;Settings!$C$4,"Bullish",IF(D659&lt;-Settings!$C$4,"Bearish","Neutral"))</f>
        <v>Neutral</v>
      </c>
      <c r="F659" s="8"/>
      <c r="G659" s="20"/>
      <c r="H659" s="6" t="str">
        <f aca="false">IF(G659="","",IF(G659&gt;0,"Bullish",IF(G659&lt;0,"Bearish","Flat")))</f>
        <v/>
      </c>
      <c r="I659" s="6" t="str">
        <f aca="false">IF(OR(G659="",E659="Neutral"),"",IF(E659=H659,1,0))</f>
        <v/>
      </c>
      <c r="J659" s="6" t="s">
        <v>161</v>
      </c>
    </row>
    <row r="660" customFormat="false" ht="15" hidden="false" customHeight="false" outlineLevel="0" collapsed="false">
      <c r="A660" s="19" t="n">
        <v>46325</v>
      </c>
      <c r="B660" s="6" t="s">
        <v>49</v>
      </c>
      <c r="C660" s="6" t="s">
        <v>149</v>
      </c>
      <c r="D660" s="7" t="n">
        <v>0.015</v>
      </c>
      <c r="E660" s="6" t="str">
        <f aca="false">IF(D660&gt;Settings!$C$4,"Bullish",IF(D660&lt;-Settings!$C$4,"Bearish","Neutral"))</f>
        <v>Neutral</v>
      </c>
      <c r="F660" s="8"/>
      <c r="G660" s="20"/>
      <c r="H660" s="6" t="str">
        <f aca="false">IF(G660="","",IF(G660&gt;0,"Bullish",IF(G660&lt;0,"Bearish","Flat")))</f>
        <v/>
      </c>
      <c r="I660" s="6" t="str">
        <f aca="false">IF(OR(G660="",E660="Neutral"),"",IF(E660=H660,1,0))</f>
        <v/>
      </c>
      <c r="J660" s="6" t="s">
        <v>161</v>
      </c>
    </row>
    <row r="661" customFormat="false" ht="15" hidden="false" customHeight="false" outlineLevel="0" collapsed="false">
      <c r="A661" s="19" t="n">
        <v>46325</v>
      </c>
      <c r="B661" s="6" t="s">
        <v>43</v>
      </c>
      <c r="C661" s="6" t="s">
        <v>154</v>
      </c>
      <c r="D661" s="7" t="n">
        <v>-0.0061</v>
      </c>
      <c r="E661" s="6" t="str">
        <f aca="false">IF(D661&gt;Settings!$C$4,"Bullish",IF(D661&lt;-Settings!$C$4,"Bearish","Neutral"))</f>
        <v>Neutral</v>
      </c>
      <c r="F661" s="8"/>
      <c r="G661" s="20"/>
      <c r="H661" s="6" t="str">
        <f aca="false">IF(G661="","",IF(G661&gt;0,"Bullish",IF(G661&lt;0,"Bearish","Flat")))</f>
        <v/>
      </c>
      <c r="I661" s="6" t="str">
        <f aca="false">IF(OR(G661="",E661="Neutral"),"",IF(E661=H661,1,0))</f>
        <v/>
      </c>
      <c r="J661" s="6" t="s">
        <v>161</v>
      </c>
    </row>
    <row r="662" customFormat="false" ht="15" hidden="false" customHeight="false" outlineLevel="0" collapsed="false">
      <c r="A662" s="19" t="n">
        <v>46325</v>
      </c>
      <c r="B662" s="6" t="s">
        <v>43</v>
      </c>
      <c r="C662" s="6" t="s">
        <v>149</v>
      </c>
      <c r="D662" s="7" t="n">
        <v>-0.1046</v>
      </c>
      <c r="E662" s="6" t="str">
        <f aca="false">IF(D662&gt;Settings!$C$4,"Bullish",IF(D662&lt;-Settings!$C$4,"Bearish","Neutral"))</f>
        <v>Neutral</v>
      </c>
      <c r="F662" s="8"/>
      <c r="G662" s="20"/>
      <c r="H662" s="6" t="str">
        <f aca="false">IF(G662="","",IF(G662&gt;0,"Bullish",IF(G662&lt;0,"Bearish","Flat")))</f>
        <v/>
      </c>
      <c r="I662" s="6" t="str">
        <f aca="false">IF(OR(G662="",E662="Neutral"),"",IF(E662=H662,1,0))</f>
        <v/>
      </c>
      <c r="J662" s="6" t="s">
        <v>161</v>
      </c>
    </row>
    <row r="663" customFormat="false" ht="15" hidden="false" customHeight="false" outlineLevel="0" collapsed="false">
      <c r="A663" s="19" t="n">
        <v>46325</v>
      </c>
      <c r="B663" s="6" t="s">
        <v>51</v>
      </c>
      <c r="C663" s="6" t="s">
        <v>154</v>
      </c>
      <c r="D663" s="7" t="n">
        <v>-0.0957</v>
      </c>
      <c r="E663" s="6" t="str">
        <f aca="false">IF(D663&gt;Settings!$C$4,"Bullish",IF(D663&lt;-Settings!$C$4,"Bearish","Neutral"))</f>
        <v>Neutral</v>
      </c>
      <c r="F663" s="8"/>
      <c r="G663" s="20"/>
      <c r="H663" s="6" t="str">
        <f aca="false">IF(G663="","",IF(G663&gt;0,"Bullish",IF(G663&lt;0,"Bearish","Flat")))</f>
        <v/>
      </c>
      <c r="I663" s="6" t="str">
        <f aca="false">IF(OR(G663="",E663="Neutral"),"",IF(E663=H663,1,0))</f>
        <v/>
      </c>
      <c r="J663" s="6" t="s">
        <v>161</v>
      </c>
    </row>
    <row r="664" customFormat="false" ht="15" hidden="false" customHeight="false" outlineLevel="0" collapsed="false">
      <c r="A664" s="19" t="n">
        <v>46325</v>
      </c>
      <c r="B664" s="6" t="s">
        <v>51</v>
      </c>
      <c r="C664" s="6" t="s">
        <v>149</v>
      </c>
      <c r="D664" s="7" t="n">
        <v>-0.2091</v>
      </c>
      <c r="E664" s="6" t="str">
        <f aca="false">IF(D664&gt;Settings!$C$4,"Bullish",IF(D664&lt;-Settings!$C$4,"Bearish","Neutral"))</f>
        <v>Bearish</v>
      </c>
      <c r="F664" s="8" t="n">
        <v>0.534</v>
      </c>
      <c r="G664" s="20"/>
      <c r="H664" s="6" t="str">
        <f aca="false">IF(G664="","",IF(G664&gt;0,"Bullish",IF(G664&lt;0,"Bearish","Flat")))</f>
        <v/>
      </c>
      <c r="I664" s="6" t="str">
        <f aca="false">IF(OR(G664="",E664="Neutral"),"",IF(E664=H664,1,0))</f>
        <v/>
      </c>
      <c r="J664" s="6" t="s">
        <v>161</v>
      </c>
    </row>
    <row r="665" customFormat="false" ht="15" hidden="false" customHeight="false" outlineLevel="0" collapsed="false">
      <c r="A665" s="19" t="n">
        <v>46328</v>
      </c>
      <c r="B665" s="6" t="s">
        <v>20</v>
      </c>
      <c r="C665" s="6" t="s">
        <v>154</v>
      </c>
      <c r="D665" s="7" t="n">
        <v>-0.2701</v>
      </c>
      <c r="E665" s="6" t="str">
        <f aca="false">IF(D665&gt;Settings!$C$4,"Bullish",IF(D665&lt;-Settings!$C$4,"Bearish","Neutral"))</f>
        <v>Bearish</v>
      </c>
      <c r="F665" s="8" t="n">
        <v>0.491</v>
      </c>
      <c r="G665" s="20"/>
      <c r="H665" s="6" t="str">
        <f aca="false">IF(G665="","",IF(G665&gt;0,"Bullish",IF(G665&lt;0,"Bearish","Flat")))</f>
        <v/>
      </c>
      <c r="I665" s="6" t="str">
        <f aca="false">IF(OR(G665="",E665="Neutral"),"",IF(E665=H665,1,0))</f>
        <v/>
      </c>
      <c r="J665" s="6" t="s">
        <v>161</v>
      </c>
    </row>
    <row r="666" customFormat="false" ht="15" hidden="false" customHeight="false" outlineLevel="0" collapsed="false">
      <c r="A666" s="19" t="n">
        <v>46328</v>
      </c>
      <c r="B666" s="6" t="s">
        <v>20</v>
      </c>
      <c r="C666" s="6" t="s">
        <v>149</v>
      </c>
      <c r="D666" s="7" t="n">
        <v>0.0094</v>
      </c>
      <c r="E666" s="6" t="str">
        <f aca="false">IF(D666&gt;Settings!$C$4,"Bullish",IF(D666&lt;-Settings!$C$4,"Bearish","Neutral"))</f>
        <v>Neutral</v>
      </c>
      <c r="F666" s="8"/>
      <c r="G666" s="20"/>
      <c r="H666" s="6" t="str">
        <f aca="false">IF(G666="","",IF(G666&gt;0,"Bullish",IF(G666&lt;0,"Bearish","Flat")))</f>
        <v/>
      </c>
      <c r="I666" s="6" t="str">
        <f aca="false">IF(OR(G666="",E666="Neutral"),"",IF(E666=H666,1,0))</f>
        <v/>
      </c>
      <c r="J666" s="6" t="s">
        <v>161</v>
      </c>
    </row>
    <row r="667" customFormat="false" ht="15" hidden="false" customHeight="false" outlineLevel="0" collapsed="false">
      <c r="A667" s="19" t="n">
        <v>46328</v>
      </c>
      <c r="B667" s="6" t="s">
        <v>22</v>
      </c>
      <c r="C667" s="6" t="s">
        <v>154</v>
      </c>
      <c r="D667" s="7" t="n">
        <v>0.2525</v>
      </c>
      <c r="E667" s="6" t="str">
        <f aca="false">IF(D667&gt;Settings!$C$4,"Bullish",IF(D667&lt;-Settings!$C$4,"Bearish","Neutral"))</f>
        <v>Bullish</v>
      </c>
      <c r="F667" s="8" t="n">
        <v>0.514</v>
      </c>
      <c r="G667" s="20"/>
      <c r="H667" s="6" t="str">
        <f aca="false">IF(G667="","",IF(G667&gt;0,"Bullish",IF(G667&lt;0,"Bearish","Flat")))</f>
        <v/>
      </c>
      <c r="I667" s="6" t="str">
        <f aca="false">IF(OR(G667="",E667="Neutral"),"",IF(E667=H667,1,0))</f>
        <v/>
      </c>
      <c r="J667" s="6" t="s">
        <v>161</v>
      </c>
    </row>
    <row r="668" customFormat="false" ht="15" hidden="false" customHeight="false" outlineLevel="0" collapsed="false">
      <c r="A668" s="19" t="n">
        <v>46328</v>
      </c>
      <c r="B668" s="6" t="s">
        <v>22</v>
      </c>
      <c r="C668" s="6" t="s">
        <v>149</v>
      </c>
      <c r="D668" s="7" t="n">
        <v>0.11</v>
      </c>
      <c r="E668" s="6" t="str">
        <f aca="false">IF(D668&gt;Settings!$C$4,"Bullish",IF(D668&lt;-Settings!$C$4,"Bearish","Neutral"))</f>
        <v>Neutral</v>
      </c>
      <c r="F668" s="8"/>
      <c r="G668" s="20"/>
      <c r="H668" s="6" t="str">
        <f aca="false">IF(G668="","",IF(G668&gt;0,"Bullish",IF(G668&lt;0,"Bearish","Flat")))</f>
        <v/>
      </c>
      <c r="I668" s="6" t="str">
        <f aca="false">IF(OR(G668="",E668="Neutral"),"",IF(E668=H668,1,0))</f>
        <v/>
      </c>
      <c r="J668" s="6" t="s">
        <v>161</v>
      </c>
    </row>
    <row r="669" customFormat="false" ht="15" hidden="false" customHeight="false" outlineLevel="0" collapsed="false">
      <c r="A669" s="19" t="n">
        <v>46328</v>
      </c>
      <c r="B669" s="6" t="s">
        <v>52</v>
      </c>
      <c r="C669" s="6" t="s">
        <v>154</v>
      </c>
      <c r="D669" s="7" t="n">
        <v>0.0385</v>
      </c>
      <c r="E669" s="6" t="str">
        <f aca="false">IF(D669&gt;Settings!$C$4,"Bullish",IF(D669&lt;-Settings!$C$4,"Bearish","Neutral"))</f>
        <v>Neutral</v>
      </c>
      <c r="F669" s="8"/>
      <c r="G669" s="20"/>
      <c r="H669" s="6" t="str">
        <f aca="false">IF(G669="","",IF(G669&gt;0,"Bullish",IF(G669&lt;0,"Bearish","Flat")))</f>
        <v/>
      </c>
      <c r="I669" s="6" t="str">
        <f aca="false">IF(OR(G669="",E669="Neutral"),"",IF(E669=H669,1,0))</f>
        <v/>
      </c>
      <c r="J669" s="6" t="s">
        <v>161</v>
      </c>
    </row>
    <row r="670" customFormat="false" ht="15" hidden="false" customHeight="false" outlineLevel="0" collapsed="false">
      <c r="A670" s="19" t="n">
        <v>46328</v>
      </c>
      <c r="B670" s="6" t="s">
        <v>52</v>
      </c>
      <c r="C670" s="6" t="s">
        <v>149</v>
      </c>
      <c r="D670" s="7" t="n">
        <v>-0.1532</v>
      </c>
      <c r="E670" s="6" t="str">
        <f aca="false">IF(D670&gt;Settings!$C$4,"Bullish",IF(D670&lt;-Settings!$C$4,"Bearish","Neutral"))</f>
        <v>Bearish</v>
      </c>
      <c r="F670" s="8" t="n">
        <v>0.509</v>
      </c>
      <c r="G670" s="20"/>
      <c r="H670" s="6" t="str">
        <f aca="false">IF(G670="","",IF(G670&gt;0,"Bullish",IF(G670&lt;0,"Bearish","Flat")))</f>
        <v/>
      </c>
      <c r="I670" s="6" t="str">
        <f aca="false">IF(OR(G670="",E670="Neutral"),"",IF(E670=H670,1,0))</f>
        <v/>
      </c>
      <c r="J670" s="6" t="s">
        <v>161</v>
      </c>
    </row>
    <row r="671" customFormat="false" ht="15" hidden="false" customHeight="false" outlineLevel="0" collapsed="false">
      <c r="A671" s="19" t="n">
        <v>46328</v>
      </c>
      <c r="B671" s="6" t="s">
        <v>30</v>
      </c>
      <c r="C671" s="6" t="s">
        <v>154</v>
      </c>
      <c r="D671" s="7" t="n">
        <v>0.7025</v>
      </c>
      <c r="E671" s="6" t="str">
        <f aca="false">IF(D671&gt;Settings!$C$4,"Bullish",IF(D671&lt;-Settings!$C$4,"Bearish","Neutral"))</f>
        <v>Bullish</v>
      </c>
      <c r="F671" s="8" t="n">
        <v>0.51</v>
      </c>
      <c r="G671" s="20"/>
      <c r="H671" s="6" t="str">
        <f aca="false">IF(G671="","",IF(G671&gt;0,"Bullish",IF(G671&lt;0,"Bearish","Flat")))</f>
        <v/>
      </c>
      <c r="I671" s="6" t="str">
        <f aca="false">IF(OR(G671="",E671="Neutral"),"",IF(E671=H671,1,0))</f>
        <v/>
      </c>
      <c r="J671" s="6" t="s">
        <v>161</v>
      </c>
    </row>
    <row r="672" customFormat="false" ht="15" hidden="false" customHeight="false" outlineLevel="0" collapsed="false">
      <c r="A672" s="19" t="n">
        <v>46328</v>
      </c>
      <c r="B672" s="6" t="s">
        <v>30</v>
      </c>
      <c r="C672" s="6" t="s">
        <v>149</v>
      </c>
      <c r="D672" s="7" t="n">
        <v>-0.0312</v>
      </c>
      <c r="E672" s="6" t="str">
        <f aca="false">IF(D672&gt;Settings!$C$4,"Bullish",IF(D672&lt;-Settings!$C$4,"Bearish","Neutral"))</f>
        <v>Neutral</v>
      </c>
      <c r="F672" s="8"/>
      <c r="G672" s="20"/>
      <c r="H672" s="6" t="str">
        <f aca="false">IF(G672="","",IF(G672&gt;0,"Bullish",IF(G672&lt;0,"Bearish","Flat")))</f>
        <v/>
      </c>
      <c r="I672" s="6" t="str">
        <f aca="false">IF(OR(G672="",E672="Neutral"),"",IF(E672=H672,1,0))</f>
        <v/>
      </c>
      <c r="J672" s="6" t="s">
        <v>161</v>
      </c>
    </row>
    <row r="673" customFormat="false" ht="15" hidden="false" customHeight="false" outlineLevel="0" collapsed="false">
      <c r="A673" s="19" t="n">
        <v>46328</v>
      </c>
      <c r="B673" s="6" t="s">
        <v>50</v>
      </c>
      <c r="C673" s="6" t="s">
        <v>154</v>
      </c>
      <c r="D673" s="7" t="n">
        <v>-0.083</v>
      </c>
      <c r="E673" s="6" t="str">
        <f aca="false">IF(D673&gt;Settings!$C$4,"Bullish",IF(D673&lt;-Settings!$C$4,"Bearish","Neutral"))</f>
        <v>Neutral</v>
      </c>
      <c r="F673" s="8"/>
      <c r="G673" s="20"/>
      <c r="H673" s="6" t="str">
        <f aca="false">IF(G673="","",IF(G673&gt;0,"Bullish",IF(G673&lt;0,"Bearish","Flat")))</f>
        <v/>
      </c>
      <c r="I673" s="6" t="str">
        <f aca="false">IF(OR(G673="",E673="Neutral"),"",IF(E673=H673,1,0))</f>
        <v/>
      </c>
      <c r="J673" s="6" t="s">
        <v>161</v>
      </c>
    </row>
    <row r="674" customFormat="false" ht="15" hidden="false" customHeight="false" outlineLevel="0" collapsed="false">
      <c r="A674" s="19" t="n">
        <v>46328</v>
      </c>
      <c r="B674" s="6" t="s">
        <v>50</v>
      </c>
      <c r="C674" s="6" t="s">
        <v>149</v>
      </c>
      <c r="D674" s="7" t="n">
        <v>0.5837</v>
      </c>
      <c r="E674" s="6" t="str">
        <f aca="false">IF(D674&gt;Settings!$C$4,"Bullish",IF(D674&lt;-Settings!$C$4,"Bearish","Neutral"))</f>
        <v>Bullish</v>
      </c>
      <c r="F674" s="8" t="n">
        <v>0.442</v>
      </c>
      <c r="G674" s="20"/>
      <c r="H674" s="6" t="str">
        <f aca="false">IF(G674="","",IF(G674&gt;0,"Bullish",IF(G674&lt;0,"Bearish","Flat")))</f>
        <v/>
      </c>
      <c r="I674" s="6" t="str">
        <f aca="false">IF(OR(G674="",E674="Neutral"),"",IF(E674=H674,1,0))</f>
        <v/>
      </c>
      <c r="J674" s="6" t="s">
        <v>161</v>
      </c>
    </row>
    <row r="675" customFormat="false" ht="15" hidden="false" customHeight="false" outlineLevel="0" collapsed="false">
      <c r="A675" s="19" t="n">
        <v>46328</v>
      </c>
      <c r="B675" s="6" t="s">
        <v>34</v>
      </c>
      <c r="C675" s="6" t="s">
        <v>154</v>
      </c>
      <c r="D675" s="7" t="n">
        <v>-0.1388</v>
      </c>
      <c r="E675" s="6" t="str">
        <f aca="false">IF(D675&gt;Settings!$C$4,"Bullish",IF(D675&lt;-Settings!$C$4,"Bearish","Neutral"))</f>
        <v>Neutral</v>
      </c>
      <c r="F675" s="8"/>
      <c r="G675" s="20"/>
      <c r="H675" s="6" t="str">
        <f aca="false">IF(G675="","",IF(G675&gt;0,"Bullish",IF(G675&lt;0,"Bearish","Flat")))</f>
        <v/>
      </c>
      <c r="I675" s="6" t="str">
        <f aca="false">IF(OR(G675="",E675="Neutral"),"",IF(E675=H675,1,0))</f>
        <v/>
      </c>
      <c r="J675" s="6" t="s">
        <v>161</v>
      </c>
    </row>
    <row r="676" customFormat="false" ht="15" hidden="false" customHeight="false" outlineLevel="0" collapsed="false">
      <c r="A676" s="19" t="n">
        <v>46328</v>
      </c>
      <c r="B676" s="6" t="s">
        <v>34</v>
      </c>
      <c r="C676" s="6" t="s">
        <v>149</v>
      </c>
      <c r="D676" s="7" t="n">
        <v>-0.1645</v>
      </c>
      <c r="E676" s="6" t="str">
        <f aca="false">IF(D676&gt;Settings!$C$4,"Bullish",IF(D676&lt;-Settings!$C$4,"Bearish","Neutral"))</f>
        <v>Bearish</v>
      </c>
      <c r="F676" s="8" t="n">
        <v>0.455</v>
      </c>
      <c r="G676" s="20"/>
      <c r="H676" s="6" t="str">
        <f aca="false">IF(G676="","",IF(G676&gt;0,"Bullish",IF(G676&lt;0,"Bearish","Flat")))</f>
        <v/>
      </c>
      <c r="I676" s="6" t="str">
        <f aca="false">IF(OR(G676="",E676="Neutral"),"",IF(E676=H676,1,0))</f>
        <v/>
      </c>
      <c r="J676" s="6" t="s">
        <v>161</v>
      </c>
    </row>
    <row r="677" customFormat="false" ht="15" hidden="false" customHeight="false" outlineLevel="0" collapsed="false">
      <c r="A677" s="19" t="n">
        <v>46328</v>
      </c>
      <c r="B677" s="6" t="s">
        <v>35</v>
      </c>
      <c r="C677" s="6" t="s">
        <v>154</v>
      </c>
      <c r="D677" s="7" t="n">
        <v>0.671</v>
      </c>
      <c r="E677" s="6" t="str">
        <f aca="false">IF(D677&gt;Settings!$C$4,"Bullish",IF(D677&lt;-Settings!$C$4,"Bearish","Neutral"))</f>
        <v>Bullish</v>
      </c>
      <c r="F677" s="8" t="n">
        <v>0.498</v>
      </c>
      <c r="G677" s="20"/>
      <c r="H677" s="6" t="str">
        <f aca="false">IF(G677="","",IF(G677&gt;0,"Bullish",IF(G677&lt;0,"Bearish","Flat")))</f>
        <v/>
      </c>
      <c r="I677" s="6" t="str">
        <f aca="false">IF(OR(G677="",E677="Neutral"),"",IF(E677=H677,1,0))</f>
        <v/>
      </c>
      <c r="J677" s="6" t="s">
        <v>161</v>
      </c>
    </row>
    <row r="678" customFormat="false" ht="15" hidden="false" customHeight="false" outlineLevel="0" collapsed="false">
      <c r="A678" s="19" t="n">
        <v>46328</v>
      </c>
      <c r="B678" s="6" t="s">
        <v>35</v>
      </c>
      <c r="C678" s="6" t="s">
        <v>149</v>
      </c>
      <c r="D678" s="7" t="n">
        <v>0.0741</v>
      </c>
      <c r="E678" s="6" t="str">
        <f aca="false">IF(D678&gt;Settings!$C$4,"Bullish",IF(D678&lt;-Settings!$C$4,"Bearish","Neutral"))</f>
        <v>Neutral</v>
      </c>
      <c r="F678" s="8"/>
      <c r="G678" s="20"/>
      <c r="H678" s="6" t="str">
        <f aca="false">IF(G678="","",IF(G678&gt;0,"Bullish",IF(G678&lt;0,"Bearish","Flat")))</f>
        <v/>
      </c>
      <c r="I678" s="6" t="str">
        <f aca="false">IF(OR(G678="",E678="Neutral"),"",IF(E678=H678,1,0))</f>
        <v/>
      </c>
      <c r="J678" s="6" t="s">
        <v>161</v>
      </c>
    </row>
    <row r="679" customFormat="false" ht="15" hidden="false" customHeight="false" outlineLevel="0" collapsed="false">
      <c r="A679" s="19" t="n">
        <v>46328</v>
      </c>
      <c r="B679" s="6" t="s">
        <v>37</v>
      </c>
      <c r="C679" s="6" t="s">
        <v>154</v>
      </c>
      <c r="D679" s="7" t="n">
        <v>-0.2674</v>
      </c>
      <c r="E679" s="6" t="str">
        <f aca="false">IF(D679&gt;Settings!$C$4,"Bullish",IF(D679&lt;-Settings!$C$4,"Bearish","Neutral"))</f>
        <v>Bearish</v>
      </c>
      <c r="F679" s="8" t="n">
        <v>0.541</v>
      </c>
      <c r="G679" s="20"/>
      <c r="H679" s="6" t="str">
        <f aca="false">IF(G679="","",IF(G679&gt;0,"Bullish",IF(G679&lt;0,"Bearish","Flat")))</f>
        <v/>
      </c>
      <c r="I679" s="6" t="str">
        <f aca="false">IF(OR(G679="",E679="Neutral"),"",IF(E679=H679,1,0))</f>
        <v/>
      </c>
      <c r="J679" s="6" t="s">
        <v>161</v>
      </c>
    </row>
    <row r="680" customFormat="false" ht="15" hidden="false" customHeight="false" outlineLevel="0" collapsed="false">
      <c r="A680" s="19" t="n">
        <v>46328</v>
      </c>
      <c r="B680" s="6" t="s">
        <v>37</v>
      </c>
      <c r="C680" s="6" t="s">
        <v>149</v>
      </c>
      <c r="D680" s="7" t="n">
        <v>0.1019</v>
      </c>
      <c r="E680" s="6" t="str">
        <f aca="false">IF(D680&gt;Settings!$C$4,"Bullish",IF(D680&lt;-Settings!$C$4,"Bearish","Neutral"))</f>
        <v>Neutral</v>
      </c>
      <c r="F680" s="8"/>
      <c r="G680" s="20"/>
      <c r="H680" s="6" t="str">
        <f aca="false">IF(G680="","",IF(G680&gt;0,"Bullish",IF(G680&lt;0,"Bearish","Flat")))</f>
        <v/>
      </c>
      <c r="I680" s="6" t="str">
        <f aca="false">IF(OR(G680="",E680="Neutral"),"",IF(E680=H680,1,0))</f>
        <v/>
      </c>
      <c r="J680" s="6" t="s">
        <v>161</v>
      </c>
    </row>
    <row r="681" customFormat="false" ht="15" hidden="false" customHeight="false" outlineLevel="0" collapsed="false">
      <c r="A681" s="19" t="n">
        <v>46328</v>
      </c>
      <c r="B681" s="6" t="s">
        <v>38</v>
      </c>
      <c r="C681" s="6" t="s">
        <v>154</v>
      </c>
      <c r="D681" s="7" t="n">
        <v>-0.0011</v>
      </c>
      <c r="E681" s="6" t="str">
        <f aca="false">IF(D681&gt;Settings!$C$4,"Bullish",IF(D681&lt;-Settings!$C$4,"Bearish","Neutral"))</f>
        <v>Neutral</v>
      </c>
      <c r="F681" s="8"/>
      <c r="G681" s="20"/>
      <c r="H681" s="6" t="str">
        <f aca="false">IF(G681="","",IF(G681&gt;0,"Bullish",IF(G681&lt;0,"Bearish","Flat")))</f>
        <v/>
      </c>
      <c r="I681" s="6" t="str">
        <f aca="false">IF(OR(G681="",E681="Neutral"),"",IF(E681=H681,1,0))</f>
        <v/>
      </c>
      <c r="J681" s="6" t="s">
        <v>161</v>
      </c>
    </row>
    <row r="682" customFormat="false" ht="15" hidden="false" customHeight="false" outlineLevel="0" collapsed="false">
      <c r="A682" s="19" t="n">
        <v>46328</v>
      </c>
      <c r="B682" s="6" t="s">
        <v>38</v>
      </c>
      <c r="C682" s="6" t="s">
        <v>149</v>
      </c>
      <c r="D682" s="7" t="n">
        <v>0.0288</v>
      </c>
      <c r="E682" s="6" t="str">
        <f aca="false">IF(D682&gt;Settings!$C$4,"Bullish",IF(D682&lt;-Settings!$C$4,"Bearish","Neutral"))</f>
        <v>Neutral</v>
      </c>
      <c r="F682" s="8"/>
      <c r="G682" s="20"/>
      <c r="H682" s="6" t="str">
        <f aca="false">IF(G682="","",IF(G682&gt;0,"Bullish",IF(G682&lt;0,"Bearish","Flat")))</f>
        <v/>
      </c>
      <c r="I682" s="6" t="str">
        <f aca="false">IF(OR(G682="",E682="Neutral"),"",IF(E682=H682,1,0))</f>
        <v/>
      </c>
      <c r="J682" s="6" t="s">
        <v>161</v>
      </c>
    </row>
    <row r="683" customFormat="false" ht="15" hidden="false" customHeight="false" outlineLevel="0" collapsed="false">
      <c r="A683" s="19" t="n">
        <v>46328</v>
      </c>
      <c r="B683" s="6" t="s">
        <v>53</v>
      </c>
      <c r="C683" s="6" t="s">
        <v>154</v>
      </c>
      <c r="D683" s="7" t="n">
        <v>0.3675</v>
      </c>
      <c r="E683" s="6" t="str">
        <f aca="false">IF(D683&gt;Settings!$C$4,"Bullish",IF(D683&lt;-Settings!$C$4,"Bearish","Neutral"))</f>
        <v>Bullish</v>
      </c>
      <c r="F683" s="8" t="n">
        <v>0.535</v>
      </c>
      <c r="G683" s="20"/>
      <c r="H683" s="6" t="str">
        <f aca="false">IF(G683="","",IF(G683&gt;0,"Bullish",IF(G683&lt;0,"Bearish","Flat")))</f>
        <v/>
      </c>
      <c r="I683" s="6" t="str">
        <f aca="false">IF(OR(G683="",E683="Neutral"),"",IF(E683=H683,1,0))</f>
        <v/>
      </c>
      <c r="J683" s="6" t="s">
        <v>161</v>
      </c>
    </row>
    <row r="684" customFormat="false" ht="15" hidden="false" customHeight="false" outlineLevel="0" collapsed="false">
      <c r="A684" s="19" t="n">
        <v>46328</v>
      </c>
      <c r="B684" s="6" t="s">
        <v>53</v>
      </c>
      <c r="C684" s="6" t="s">
        <v>149</v>
      </c>
      <c r="D684" s="7" t="n">
        <v>-0.1515</v>
      </c>
      <c r="E684" s="6" t="str">
        <f aca="false">IF(D684&gt;Settings!$C$4,"Bullish",IF(D684&lt;-Settings!$C$4,"Bearish","Neutral"))</f>
        <v>Bearish</v>
      </c>
      <c r="F684" s="8" t="n">
        <v>0.522</v>
      </c>
      <c r="G684" s="20"/>
      <c r="H684" s="6" t="str">
        <f aca="false">IF(G684="","",IF(G684&gt;0,"Bullish",IF(G684&lt;0,"Bearish","Flat")))</f>
        <v/>
      </c>
      <c r="I684" s="6" t="str">
        <f aca="false">IF(OR(G684="",E684="Neutral"),"",IF(E684=H684,1,0))</f>
        <v/>
      </c>
      <c r="J684" s="6" t="s">
        <v>161</v>
      </c>
    </row>
    <row r="685" customFormat="false" ht="15" hidden="false" customHeight="false" outlineLevel="0" collapsed="false">
      <c r="A685" s="19" t="n">
        <v>46328</v>
      </c>
      <c r="B685" s="6" t="s">
        <v>18</v>
      </c>
      <c r="C685" s="6" t="s">
        <v>154</v>
      </c>
      <c r="D685" s="7" t="n">
        <v>0.2703</v>
      </c>
      <c r="E685" s="6" t="str">
        <f aca="false">IF(D685&gt;Settings!$C$4,"Bullish",IF(D685&lt;-Settings!$C$4,"Bearish","Neutral"))</f>
        <v>Bullish</v>
      </c>
      <c r="F685" s="8" t="n">
        <v>0.481</v>
      </c>
      <c r="G685" s="20"/>
      <c r="H685" s="6" t="str">
        <f aca="false">IF(G685="","",IF(G685&gt;0,"Bullish",IF(G685&lt;0,"Bearish","Flat")))</f>
        <v/>
      </c>
      <c r="I685" s="6" t="str">
        <f aca="false">IF(OR(G685="",E685="Neutral"),"",IF(E685=H685,1,0))</f>
        <v/>
      </c>
      <c r="J685" s="6" t="s">
        <v>161</v>
      </c>
    </row>
    <row r="686" customFormat="false" ht="15" hidden="false" customHeight="false" outlineLevel="0" collapsed="false">
      <c r="A686" s="19" t="n">
        <v>46328</v>
      </c>
      <c r="B686" s="6" t="s">
        <v>18</v>
      </c>
      <c r="C686" s="6" t="s">
        <v>149</v>
      </c>
      <c r="D686" s="7" t="n">
        <v>0.0599</v>
      </c>
      <c r="E686" s="6" t="str">
        <f aca="false">IF(D686&gt;Settings!$C$4,"Bullish",IF(D686&lt;-Settings!$C$4,"Bearish","Neutral"))</f>
        <v>Neutral</v>
      </c>
      <c r="F686" s="8"/>
      <c r="G686" s="20"/>
      <c r="H686" s="6" t="str">
        <f aca="false">IF(G686="","",IF(G686&gt;0,"Bullish",IF(G686&lt;0,"Bearish","Flat")))</f>
        <v/>
      </c>
      <c r="I686" s="6" t="str">
        <f aca="false">IF(OR(G686="",E686="Neutral"),"",IF(E686=H686,1,0))</f>
        <v/>
      </c>
      <c r="J686" s="6" t="s">
        <v>161</v>
      </c>
    </row>
    <row r="687" customFormat="false" ht="15" hidden="false" customHeight="false" outlineLevel="0" collapsed="false">
      <c r="A687" s="19" t="n">
        <v>46328</v>
      </c>
      <c r="B687" s="6" t="s">
        <v>40</v>
      </c>
      <c r="C687" s="6" t="s">
        <v>154</v>
      </c>
      <c r="D687" s="7" t="n">
        <v>-0.3337</v>
      </c>
      <c r="E687" s="6" t="str">
        <f aca="false">IF(D687&gt;Settings!$C$4,"Bullish",IF(D687&lt;-Settings!$C$4,"Bearish","Neutral"))</f>
        <v>Bearish</v>
      </c>
      <c r="F687" s="8" t="n">
        <v>0.509</v>
      </c>
      <c r="G687" s="20"/>
      <c r="H687" s="6" t="str">
        <f aca="false">IF(G687="","",IF(G687&gt;0,"Bullish",IF(G687&lt;0,"Bearish","Flat")))</f>
        <v/>
      </c>
      <c r="I687" s="6" t="str">
        <f aca="false">IF(OR(G687="",E687="Neutral"),"",IF(E687=H687,1,0))</f>
        <v/>
      </c>
      <c r="J687" s="6" t="s">
        <v>161</v>
      </c>
    </row>
    <row r="688" customFormat="false" ht="15" hidden="false" customHeight="false" outlineLevel="0" collapsed="false">
      <c r="A688" s="19" t="n">
        <v>46328</v>
      </c>
      <c r="B688" s="6" t="s">
        <v>40</v>
      </c>
      <c r="C688" s="6" t="s">
        <v>149</v>
      </c>
      <c r="D688" s="7" t="n">
        <v>0.0094</v>
      </c>
      <c r="E688" s="6" t="str">
        <f aca="false">IF(D688&gt;Settings!$C$4,"Bullish",IF(D688&lt;-Settings!$C$4,"Bearish","Neutral"))</f>
        <v>Neutral</v>
      </c>
      <c r="F688" s="8"/>
      <c r="G688" s="20"/>
      <c r="H688" s="6" t="str">
        <f aca="false">IF(G688="","",IF(G688&gt;0,"Bullish",IF(G688&lt;0,"Bearish","Flat")))</f>
        <v/>
      </c>
      <c r="I688" s="6" t="str">
        <f aca="false">IF(OR(G688="",E688="Neutral"),"",IF(E688=H688,1,0))</f>
        <v/>
      </c>
      <c r="J688" s="6" t="s">
        <v>161</v>
      </c>
    </row>
    <row r="689" customFormat="false" ht="15" hidden="false" customHeight="false" outlineLevel="0" collapsed="false">
      <c r="A689" s="19" t="n">
        <v>46328</v>
      </c>
      <c r="B689" s="6" t="s">
        <v>49</v>
      </c>
      <c r="C689" s="6" t="s">
        <v>154</v>
      </c>
      <c r="D689" s="7" t="n">
        <v>-0.3985</v>
      </c>
      <c r="E689" s="6" t="str">
        <f aca="false">IF(D689&gt;Settings!$C$4,"Bullish",IF(D689&lt;-Settings!$C$4,"Bearish","Neutral"))</f>
        <v>Bearish</v>
      </c>
      <c r="F689" s="8" t="n">
        <v>0.505</v>
      </c>
      <c r="G689" s="20"/>
      <c r="H689" s="6" t="str">
        <f aca="false">IF(G689="","",IF(G689&gt;0,"Bullish",IF(G689&lt;0,"Bearish","Flat")))</f>
        <v/>
      </c>
      <c r="I689" s="6" t="str">
        <f aca="false">IF(OR(G689="",E689="Neutral"),"",IF(E689=H689,1,0))</f>
        <v/>
      </c>
      <c r="J689" s="6" t="s">
        <v>161</v>
      </c>
    </row>
    <row r="690" customFormat="false" ht="15" hidden="false" customHeight="false" outlineLevel="0" collapsed="false">
      <c r="A690" s="19" t="n">
        <v>46328</v>
      </c>
      <c r="B690" s="6" t="s">
        <v>49</v>
      </c>
      <c r="C690" s="6" t="s">
        <v>149</v>
      </c>
      <c r="D690" s="7" t="n">
        <v>0.0094</v>
      </c>
      <c r="E690" s="6" t="str">
        <f aca="false">IF(D690&gt;Settings!$C$4,"Bullish",IF(D690&lt;-Settings!$C$4,"Bearish","Neutral"))</f>
        <v>Neutral</v>
      </c>
      <c r="F690" s="8"/>
      <c r="G690" s="20"/>
      <c r="H690" s="6" t="str">
        <f aca="false">IF(G690="","",IF(G690&gt;0,"Bullish",IF(G690&lt;0,"Bearish","Flat")))</f>
        <v/>
      </c>
      <c r="I690" s="6" t="str">
        <f aca="false">IF(OR(G690="",E690="Neutral"),"",IF(E690=H690,1,0))</f>
        <v/>
      </c>
      <c r="J690" s="6" t="s">
        <v>161</v>
      </c>
    </row>
    <row r="691" customFormat="false" ht="15" hidden="false" customHeight="false" outlineLevel="0" collapsed="false">
      <c r="A691" s="19" t="n">
        <v>46328</v>
      </c>
      <c r="B691" s="6" t="s">
        <v>43</v>
      </c>
      <c r="C691" s="6" t="s">
        <v>154</v>
      </c>
      <c r="D691" s="7" t="n">
        <v>0.2044</v>
      </c>
      <c r="E691" s="6" t="str">
        <f aca="false">IF(D691&gt;Settings!$C$4,"Bullish",IF(D691&lt;-Settings!$C$4,"Bearish","Neutral"))</f>
        <v>Bullish</v>
      </c>
      <c r="F691" s="8" t="n">
        <v>0.468</v>
      </c>
      <c r="G691" s="20"/>
      <c r="H691" s="6" t="str">
        <f aca="false">IF(G691="","",IF(G691&gt;0,"Bullish",IF(G691&lt;0,"Bearish","Flat")))</f>
        <v/>
      </c>
      <c r="I691" s="6" t="str">
        <f aca="false">IF(OR(G691="",E691="Neutral"),"",IF(E691=H691,1,0))</f>
        <v/>
      </c>
      <c r="J691" s="6" t="s">
        <v>161</v>
      </c>
    </row>
    <row r="692" customFormat="false" ht="15" hidden="false" customHeight="false" outlineLevel="0" collapsed="false">
      <c r="A692" s="19" t="n">
        <v>46328</v>
      </c>
      <c r="B692" s="6" t="s">
        <v>43</v>
      </c>
      <c r="C692" s="6" t="s">
        <v>149</v>
      </c>
      <c r="D692" s="7" t="n">
        <v>-0.1645</v>
      </c>
      <c r="E692" s="6" t="str">
        <f aca="false">IF(D692&gt;Settings!$C$4,"Bullish",IF(D692&lt;-Settings!$C$4,"Bearish","Neutral"))</f>
        <v>Bearish</v>
      </c>
      <c r="F692" s="8" t="n">
        <v>0.485</v>
      </c>
      <c r="G692" s="20"/>
      <c r="H692" s="6" t="str">
        <f aca="false">IF(G692="","",IF(G692&gt;0,"Bullish",IF(G692&lt;0,"Bearish","Flat")))</f>
        <v/>
      </c>
      <c r="I692" s="6" t="str">
        <f aca="false">IF(OR(G692="",E692="Neutral"),"",IF(E692=H692,1,0))</f>
        <v/>
      </c>
      <c r="J692" s="6" t="s">
        <v>161</v>
      </c>
    </row>
    <row r="693" customFormat="false" ht="15" hidden="false" customHeight="false" outlineLevel="0" collapsed="false">
      <c r="A693" s="19" t="n">
        <v>46328</v>
      </c>
      <c r="B693" s="6" t="s">
        <v>51</v>
      </c>
      <c r="C693" s="6" t="s">
        <v>154</v>
      </c>
      <c r="D693" s="7" t="n">
        <v>0.1293</v>
      </c>
      <c r="E693" s="6" t="str">
        <f aca="false">IF(D693&gt;Settings!$C$4,"Bullish",IF(D693&lt;-Settings!$C$4,"Bearish","Neutral"))</f>
        <v>Neutral</v>
      </c>
      <c r="F693" s="8"/>
      <c r="G693" s="20"/>
      <c r="H693" s="6" t="str">
        <f aca="false">IF(G693="","",IF(G693&gt;0,"Bullish",IF(G693&lt;0,"Bearish","Flat")))</f>
        <v/>
      </c>
      <c r="I693" s="6" t="str">
        <f aca="false">IF(OR(G693="",E693="Neutral"),"",IF(E693=H693,1,0))</f>
        <v/>
      </c>
      <c r="J693" s="6" t="s">
        <v>161</v>
      </c>
    </row>
    <row r="694" customFormat="false" ht="15" hidden="false" customHeight="false" outlineLevel="0" collapsed="false">
      <c r="A694" s="19" t="n">
        <v>46328</v>
      </c>
      <c r="B694" s="6" t="s">
        <v>51</v>
      </c>
      <c r="C694" s="6" t="s">
        <v>149</v>
      </c>
      <c r="D694" s="7" t="n">
        <v>-0.2599</v>
      </c>
      <c r="E694" s="6" t="str">
        <f aca="false">IF(D694&gt;Settings!$C$4,"Bullish",IF(D694&lt;-Settings!$C$4,"Bearish","Neutral"))</f>
        <v>Bearish</v>
      </c>
      <c r="F694" s="8" t="n">
        <v>0.534</v>
      </c>
      <c r="G694" s="20"/>
      <c r="H694" s="6" t="str">
        <f aca="false">IF(G694="","",IF(G694&gt;0,"Bullish",IF(G694&lt;0,"Bearish","Flat")))</f>
        <v/>
      </c>
      <c r="I694" s="6" t="str">
        <f aca="false">IF(OR(G694="",E694="Neutral"),"",IF(E694=H694,1,0))</f>
        <v/>
      </c>
      <c r="J694" s="6" t="s">
        <v>161</v>
      </c>
    </row>
    <row r="695" customFormat="false" ht="15" hidden="false" customHeight="false" outlineLevel="0" collapsed="false">
      <c r="A695" s="19" t="n">
        <v>46329</v>
      </c>
      <c r="B695" s="6" t="s">
        <v>20</v>
      </c>
      <c r="C695" s="6" t="s">
        <v>154</v>
      </c>
      <c r="D695" s="7" t="n">
        <v>-0.9594</v>
      </c>
      <c r="E695" s="6" t="str">
        <f aca="false">IF(D695&gt;Settings!$C$4,"Bullish",IF(D695&lt;-Settings!$C$4,"Bearish","Neutral"))</f>
        <v>Bearish</v>
      </c>
      <c r="F695" s="8" t="n">
        <v>0.523</v>
      </c>
      <c r="G695" s="20"/>
      <c r="H695" s="6" t="str">
        <f aca="false">IF(G695="","",IF(G695&gt;0,"Bullish",IF(G695&lt;0,"Bearish","Flat")))</f>
        <v/>
      </c>
      <c r="I695" s="6" t="str">
        <f aca="false">IF(OR(G695="",E695="Neutral"),"",IF(E695=H695,1,0))</f>
        <v/>
      </c>
      <c r="J695" s="6" t="s">
        <v>161</v>
      </c>
    </row>
    <row r="696" customFormat="false" ht="15" hidden="false" customHeight="false" outlineLevel="0" collapsed="false">
      <c r="A696" s="19" t="n">
        <v>46329</v>
      </c>
      <c r="B696" s="6" t="s">
        <v>20</v>
      </c>
      <c r="C696" s="6" t="s">
        <v>149</v>
      </c>
      <c r="D696" s="7" t="n">
        <v>0.0094</v>
      </c>
      <c r="E696" s="6" t="str">
        <f aca="false">IF(D696&gt;Settings!$C$4,"Bullish",IF(D696&lt;-Settings!$C$4,"Bearish","Neutral"))</f>
        <v>Neutral</v>
      </c>
      <c r="F696" s="8"/>
      <c r="G696" s="20"/>
      <c r="H696" s="6" t="str">
        <f aca="false">IF(G696="","",IF(G696&gt;0,"Bullish",IF(G696&lt;0,"Bearish","Flat")))</f>
        <v/>
      </c>
      <c r="I696" s="6" t="str">
        <f aca="false">IF(OR(G696="",E696="Neutral"),"",IF(E696=H696,1,0))</f>
        <v/>
      </c>
      <c r="J696" s="6" t="s">
        <v>161</v>
      </c>
    </row>
    <row r="697" customFormat="false" ht="15" hidden="false" customHeight="false" outlineLevel="0" collapsed="false">
      <c r="A697" s="19" t="n">
        <v>46329</v>
      </c>
      <c r="B697" s="6" t="s">
        <v>22</v>
      </c>
      <c r="C697" s="6" t="s">
        <v>154</v>
      </c>
      <c r="D697" s="7" t="n">
        <v>-0.2399</v>
      </c>
      <c r="E697" s="6" t="str">
        <f aca="false">IF(D697&gt;Settings!$C$4,"Bullish",IF(D697&lt;-Settings!$C$4,"Bearish","Neutral"))</f>
        <v>Bearish</v>
      </c>
      <c r="F697" s="8" t="n">
        <v>0.514</v>
      </c>
      <c r="G697" s="20"/>
      <c r="H697" s="6" t="str">
        <f aca="false">IF(G697="","",IF(G697&gt;0,"Bullish",IF(G697&lt;0,"Bearish","Flat")))</f>
        <v/>
      </c>
      <c r="I697" s="6" t="str">
        <f aca="false">IF(OR(G697="",E697="Neutral"),"",IF(E697=H697,1,0))</f>
        <v/>
      </c>
      <c r="J697" s="6" t="s">
        <v>161</v>
      </c>
    </row>
    <row r="698" customFormat="false" ht="15" hidden="false" customHeight="false" outlineLevel="0" collapsed="false">
      <c r="A698" s="19" t="n">
        <v>46329</v>
      </c>
      <c r="B698" s="6" t="s">
        <v>22</v>
      </c>
      <c r="C698" s="6" t="s">
        <v>149</v>
      </c>
      <c r="D698" s="7" t="n">
        <v>0.2297</v>
      </c>
      <c r="E698" s="6" t="str">
        <f aca="false">IF(D698&gt;Settings!$C$4,"Bullish",IF(D698&lt;-Settings!$C$4,"Bearish","Neutral"))</f>
        <v>Bullish</v>
      </c>
      <c r="F698" s="8" t="n">
        <v>0.477</v>
      </c>
      <c r="G698" s="20"/>
      <c r="H698" s="6" t="str">
        <f aca="false">IF(G698="","",IF(G698&gt;0,"Bullish",IF(G698&lt;0,"Bearish","Flat")))</f>
        <v/>
      </c>
      <c r="I698" s="6" t="str">
        <f aca="false">IF(OR(G698="",E698="Neutral"),"",IF(E698=H698,1,0))</f>
        <v/>
      </c>
      <c r="J698" s="6" t="s">
        <v>161</v>
      </c>
    </row>
    <row r="699" customFormat="false" ht="15" hidden="false" customHeight="false" outlineLevel="0" collapsed="false">
      <c r="A699" s="19" t="n">
        <v>46329</v>
      </c>
      <c r="B699" s="6" t="s">
        <v>52</v>
      </c>
      <c r="C699" s="6" t="s">
        <v>154</v>
      </c>
      <c r="D699" s="7" t="n">
        <v>-0.8247</v>
      </c>
      <c r="E699" s="6" t="str">
        <f aca="false">IF(D699&gt;Settings!$C$4,"Bullish",IF(D699&lt;-Settings!$C$4,"Bearish","Neutral"))</f>
        <v>Bearish</v>
      </c>
      <c r="F699" s="8" t="n">
        <v>0.467</v>
      </c>
      <c r="G699" s="20"/>
      <c r="H699" s="6" t="str">
        <f aca="false">IF(G699="","",IF(G699&gt;0,"Bullish",IF(G699&lt;0,"Bearish","Flat")))</f>
        <v/>
      </c>
      <c r="I699" s="6" t="str">
        <f aca="false">IF(OR(G699="",E699="Neutral"),"",IF(E699=H699,1,0))</f>
        <v/>
      </c>
      <c r="J699" s="6" t="s">
        <v>161</v>
      </c>
    </row>
    <row r="700" customFormat="false" ht="15" hidden="false" customHeight="false" outlineLevel="0" collapsed="false">
      <c r="A700" s="19" t="n">
        <v>46329</v>
      </c>
      <c r="B700" s="6" t="s">
        <v>52</v>
      </c>
      <c r="C700" s="6" t="s">
        <v>149</v>
      </c>
      <c r="D700" s="7" t="n">
        <v>-0.1519</v>
      </c>
      <c r="E700" s="6" t="str">
        <f aca="false">IF(D700&gt;Settings!$C$4,"Bullish",IF(D700&lt;-Settings!$C$4,"Bearish","Neutral"))</f>
        <v>Bearish</v>
      </c>
      <c r="F700" s="8" t="n">
        <v>0.509</v>
      </c>
      <c r="G700" s="20"/>
      <c r="H700" s="6" t="str">
        <f aca="false">IF(G700="","",IF(G700&gt;0,"Bullish",IF(G700&lt;0,"Bearish","Flat")))</f>
        <v/>
      </c>
      <c r="I700" s="6" t="str">
        <f aca="false">IF(OR(G700="",E700="Neutral"),"",IF(E700=H700,1,0))</f>
        <v/>
      </c>
      <c r="J700" s="6" t="s">
        <v>161</v>
      </c>
    </row>
    <row r="701" customFormat="false" ht="15" hidden="false" customHeight="false" outlineLevel="0" collapsed="false">
      <c r="A701" s="19" t="n">
        <v>46329</v>
      </c>
      <c r="B701" s="6" t="s">
        <v>30</v>
      </c>
      <c r="C701" s="6" t="s">
        <v>154</v>
      </c>
      <c r="D701" s="7" t="n">
        <v>0.0506</v>
      </c>
      <c r="E701" s="6" t="str">
        <f aca="false">IF(D701&gt;Settings!$C$4,"Bullish",IF(D701&lt;-Settings!$C$4,"Bearish","Neutral"))</f>
        <v>Neutral</v>
      </c>
      <c r="F701" s="8"/>
      <c r="G701" s="20"/>
      <c r="H701" s="6" t="str">
        <f aca="false">IF(G701="","",IF(G701&gt;0,"Bullish",IF(G701&lt;0,"Bearish","Flat")))</f>
        <v/>
      </c>
      <c r="I701" s="6" t="str">
        <f aca="false">IF(OR(G701="",E701="Neutral"),"",IF(E701=H701,1,0))</f>
        <v/>
      </c>
      <c r="J701" s="6" t="s">
        <v>161</v>
      </c>
    </row>
    <row r="702" customFormat="false" ht="15" hidden="false" customHeight="false" outlineLevel="0" collapsed="false">
      <c r="A702" s="19" t="n">
        <v>46329</v>
      </c>
      <c r="B702" s="6" t="s">
        <v>30</v>
      </c>
      <c r="C702" s="6" t="s">
        <v>149</v>
      </c>
      <c r="D702" s="7" t="n">
        <v>0.0944</v>
      </c>
      <c r="E702" s="6" t="str">
        <f aca="false">IF(D702&gt;Settings!$C$4,"Bullish",IF(D702&lt;-Settings!$C$4,"Bearish","Neutral"))</f>
        <v>Neutral</v>
      </c>
      <c r="F702" s="8"/>
      <c r="G702" s="20"/>
      <c r="H702" s="6" t="str">
        <f aca="false">IF(G702="","",IF(G702&gt;0,"Bullish",IF(G702&lt;0,"Bearish","Flat")))</f>
        <v/>
      </c>
      <c r="I702" s="6" t="str">
        <f aca="false">IF(OR(G702="",E702="Neutral"),"",IF(E702=H702,1,0))</f>
        <v/>
      </c>
      <c r="J702" s="6" t="s">
        <v>161</v>
      </c>
    </row>
    <row r="703" customFormat="false" ht="15" hidden="false" customHeight="false" outlineLevel="0" collapsed="false">
      <c r="A703" s="19" t="n">
        <v>46329</v>
      </c>
      <c r="B703" s="6" t="s">
        <v>50</v>
      </c>
      <c r="C703" s="6" t="s">
        <v>154</v>
      </c>
      <c r="D703" s="7" t="n">
        <v>-0.026</v>
      </c>
      <c r="E703" s="6" t="str">
        <f aca="false">IF(D703&gt;Settings!$C$4,"Bullish",IF(D703&lt;-Settings!$C$4,"Bearish","Neutral"))</f>
        <v>Neutral</v>
      </c>
      <c r="F703" s="8"/>
      <c r="G703" s="20"/>
      <c r="H703" s="6" t="str">
        <f aca="false">IF(G703="","",IF(G703&gt;0,"Bullish",IF(G703&lt;0,"Bearish","Flat")))</f>
        <v/>
      </c>
      <c r="I703" s="6" t="str">
        <f aca="false">IF(OR(G703="",E703="Neutral"),"",IF(E703=H703,1,0))</f>
        <v/>
      </c>
      <c r="J703" s="6" t="s">
        <v>161</v>
      </c>
    </row>
    <row r="704" customFormat="false" ht="15" hidden="false" customHeight="false" outlineLevel="0" collapsed="false">
      <c r="A704" s="19" t="n">
        <v>46329</v>
      </c>
      <c r="B704" s="6" t="s">
        <v>50</v>
      </c>
      <c r="C704" s="6" t="s">
        <v>149</v>
      </c>
      <c r="D704" s="7" t="n">
        <v>0.5864</v>
      </c>
      <c r="E704" s="6" t="str">
        <f aca="false">IF(D704&gt;Settings!$C$4,"Bullish",IF(D704&lt;-Settings!$C$4,"Bearish","Neutral"))</f>
        <v>Bullish</v>
      </c>
      <c r="F704" s="8" t="n">
        <v>0.442</v>
      </c>
      <c r="G704" s="20"/>
      <c r="H704" s="6" t="str">
        <f aca="false">IF(G704="","",IF(G704&gt;0,"Bullish",IF(G704&lt;0,"Bearish","Flat")))</f>
        <v/>
      </c>
      <c r="I704" s="6" t="str">
        <f aca="false">IF(OR(G704="",E704="Neutral"),"",IF(E704=H704,1,0))</f>
        <v/>
      </c>
      <c r="J704" s="6" t="s">
        <v>161</v>
      </c>
    </row>
    <row r="705" customFormat="false" ht="15" hidden="false" customHeight="false" outlineLevel="0" collapsed="false">
      <c r="A705" s="19" t="n">
        <v>46329</v>
      </c>
      <c r="B705" s="6" t="s">
        <v>34</v>
      </c>
      <c r="C705" s="6" t="s">
        <v>154</v>
      </c>
      <c r="D705" s="7" t="n">
        <v>-0.9314</v>
      </c>
      <c r="E705" s="6" t="str">
        <f aca="false">IF(D705&gt;Settings!$C$4,"Bullish",IF(D705&lt;-Settings!$C$4,"Bearish","Neutral"))</f>
        <v>Bearish</v>
      </c>
      <c r="F705" s="8" t="n">
        <v>0.489</v>
      </c>
      <c r="G705" s="20"/>
      <c r="H705" s="6" t="str">
        <f aca="false">IF(G705="","",IF(G705&gt;0,"Bullish",IF(G705&lt;0,"Bearish","Flat")))</f>
        <v/>
      </c>
      <c r="I705" s="6" t="str">
        <f aca="false">IF(OR(G705="",E705="Neutral"),"",IF(E705=H705,1,0))</f>
        <v/>
      </c>
      <c r="J705" s="6" t="s">
        <v>161</v>
      </c>
    </row>
    <row r="706" customFormat="false" ht="15" hidden="false" customHeight="false" outlineLevel="0" collapsed="false">
      <c r="A706" s="19" t="n">
        <v>46329</v>
      </c>
      <c r="B706" s="6" t="s">
        <v>34</v>
      </c>
      <c r="C706" s="6" t="s">
        <v>149</v>
      </c>
      <c r="D706" s="7" t="n">
        <v>-0.1265</v>
      </c>
      <c r="E706" s="6" t="str">
        <f aca="false">IF(D706&gt;Settings!$C$4,"Bullish",IF(D706&lt;-Settings!$C$4,"Bearish","Neutral"))</f>
        <v>Neutral</v>
      </c>
      <c r="F706" s="8"/>
      <c r="G706" s="20"/>
      <c r="H706" s="6" t="str">
        <f aca="false">IF(G706="","",IF(G706&gt;0,"Bullish",IF(G706&lt;0,"Bearish","Flat")))</f>
        <v/>
      </c>
      <c r="I706" s="6" t="str">
        <f aca="false">IF(OR(G706="",E706="Neutral"),"",IF(E706=H706,1,0))</f>
        <v/>
      </c>
      <c r="J706" s="6" t="s">
        <v>161</v>
      </c>
    </row>
    <row r="707" customFormat="false" ht="15" hidden="false" customHeight="false" outlineLevel="0" collapsed="false">
      <c r="A707" s="19" t="n">
        <v>46329</v>
      </c>
      <c r="B707" s="6" t="s">
        <v>35</v>
      </c>
      <c r="C707" s="6" t="s">
        <v>154</v>
      </c>
      <c r="D707" s="7" t="n">
        <v>-0.8166</v>
      </c>
      <c r="E707" s="6" t="str">
        <f aca="false">IF(D707&gt;Settings!$C$4,"Bullish",IF(D707&lt;-Settings!$C$4,"Bearish","Neutral"))</f>
        <v>Bearish</v>
      </c>
      <c r="F707" s="8" t="n">
        <v>0.498</v>
      </c>
      <c r="G707" s="20"/>
      <c r="H707" s="6" t="str">
        <f aca="false">IF(G707="","",IF(G707&gt;0,"Bullish",IF(G707&lt;0,"Bearish","Flat")))</f>
        <v/>
      </c>
      <c r="I707" s="6" t="str">
        <f aca="false">IF(OR(G707="",E707="Neutral"),"",IF(E707=H707,1,0))</f>
        <v/>
      </c>
      <c r="J707" s="6" t="s">
        <v>161</v>
      </c>
    </row>
    <row r="708" customFormat="false" ht="15" hidden="false" customHeight="false" outlineLevel="0" collapsed="false">
      <c r="A708" s="19" t="n">
        <v>46329</v>
      </c>
      <c r="B708" s="6" t="s">
        <v>35</v>
      </c>
      <c r="C708" s="6" t="s">
        <v>149</v>
      </c>
      <c r="D708" s="7" t="n">
        <v>0.1293</v>
      </c>
      <c r="E708" s="6" t="str">
        <f aca="false">IF(D708&gt;Settings!$C$4,"Bullish",IF(D708&lt;-Settings!$C$4,"Bearish","Neutral"))</f>
        <v>Neutral</v>
      </c>
      <c r="F708" s="8"/>
      <c r="G708" s="20"/>
      <c r="H708" s="6" t="str">
        <f aca="false">IF(G708="","",IF(G708&gt;0,"Bullish",IF(G708&lt;0,"Bearish","Flat")))</f>
        <v/>
      </c>
      <c r="I708" s="6" t="str">
        <f aca="false">IF(OR(G708="",E708="Neutral"),"",IF(E708=H708,1,0))</f>
        <v/>
      </c>
      <c r="J708" s="6" t="s">
        <v>161</v>
      </c>
    </row>
    <row r="709" customFormat="false" ht="15" hidden="false" customHeight="false" outlineLevel="0" collapsed="false">
      <c r="A709" s="19" t="n">
        <v>46329</v>
      </c>
      <c r="B709" s="6" t="s">
        <v>37</v>
      </c>
      <c r="C709" s="6" t="s">
        <v>154</v>
      </c>
      <c r="D709" s="7" t="n">
        <v>-0.2373</v>
      </c>
      <c r="E709" s="6" t="str">
        <f aca="false">IF(D709&gt;Settings!$C$4,"Bullish",IF(D709&lt;-Settings!$C$4,"Bearish","Neutral"))</f>
        <v>Bearish</v>
      </c>
      <c r="F709" s="8" t="n">
        <v>0.541</v>
      </c>
      <c r="G709" s="20"/>
      <c r="H709" s="6" t="str">
        <f aca="false">IF(G709="","",IF(G709&gt;0,"Bullish",IF(G709&lt;0,"Bearish","Flat")))</f>
        <v/>
      </c>
      <c r="I709" s="6" t="str">
        <f aca="false">IF(OR(G709="",E709="Neutral"),"",IF(E709=H709,1,0))</f>
        <v/>
      </c>
      <c r="J709" s="6" t="s">
        <v>161</v>
      </c>
    </row>
    <row r="710" customFormat="false" ht="15" hidden="false" customHeight="false" outlineLevel="0" collapsed="false">
      <c r="A710" s="19" t="n">
        <v>46329</v>
      </c>
      <c r="B710" s="6" t="s">
        <v>37</v>
      </c>
      <c r="C710" s="6" t="s">
        <v>149</v>
      </c>
      <c r="D710" s="7" t="n">
        <v>0.2356</v>
      </c>
      <c r="E710" s="6" t="str">
        <f aca="false">IF(D710&gt;Settings!$C$4,"Bullish",IF(D710&lt;-Settings!$C$4,"Bearish","Neutral"))</f>
        <v>Bullish</v>
      </c>
      <c r="F710" s="8" t="n">
        <v>0.502</v>
      </c>
      <c r="G710" s="20"/>
      <c r="H710" s="6" t="str">
        <f aca="false">IF(G710="","",IF(G710&gt;0,"Bullish",IF(G710&lt;0,"Bearish","Flat")))</f>
        <v/>
      </c>
      <c r="I710" s="6" t="str">
        <f aca="false">IF(OR(G710="",E710="Neutral"),"",IF(E710=H710,1,0))</f>
        <v/>
      </c>
      <c r="J710" s="6" t="s">
        <v>161</v>
      </c>
    </row>
    <row r="711" customFormat="false" ht="15" hidden="false" customHeight="false" outlineLevel="0" collapsed="false">
      <c r="A711" s="19" t="n">
        <v>46329</v>
      </c>
      <c r="B711" s="6" t="s">
        <v>38</v>
      </c>
      <c r="C711" s="6" t="s">
        <v>154</v>
      </c>
      <c r="D711" s="7" t="n">
        <v>-0.8247</v>
      </c>
      <c r="E711" s="6" t="str">
        <f aca="false">IF(D711&gt;Settings!$C$4,"Bullish",IF(D711&lt;-Settings!$C$4,"Bearish","Neutral"))</f>
        <v>Bearish</v>
      </c>
      <c r="F711" s="8" t="n">
        <v>0.478</v>
      </c>
      <c r="G711" s="20"/>
      <c r="H711" s="6" t="str">
        <f aca="false">IF(G711="","",IF(G711&gt;0,"Bullish",IF(G711&lt;0,"Bearish","Flat")))</f>
        <v/>
      </c>
      <c r="I711" s="6" t="str">
        <f aca="false">IF(OR(G711="",E711="Neutral"),"",IF(E711=H711,1,0))</f>
        <v/>
      </c>
      <c r="J711" s="6" t="s">
        <v>161</v>
      </c>
    </row>
    <row r="712" customFormat="false" ht="15" hidden="false" customHeight="false" outlineLevel="0" collapsed="false">
      <c r="A712" s="19" t="n">
        <v>46329</v>
      </c>
      <c r="B712" s="6" t="s">
        <v>38</v>
      </c>
      <c r="C712" s="6" t="s">
        <v>149</v>
      </c>
      <c r="D712" s="7" t="n">
        <v>0.0096</v>
      </c>
      <c r="E712" s="6" t="str">
        <f aca="false">IF(D712&gt;Settings!$C$4,"Bullish",IF(D712&lt;-Settings!$C$4,"Bearish","Neutral"))</f>
        <v>Neutral</v>
      </c>
      <c r="F712" s="8"/>
      <c r="G712" s="20"/>
      <c r="H712" s="6" t="str">
        <f aca="false">IF(G712="","",IF(G712&gt;0,"Bullish",IF(G712&lt;0,"Bearish","Flat")))</f>
        <v/>
      </c>
      <c r="I712" s="6" t="str">
        <f aca="false">IF(OR(G712="",E712="Neutral"),"",IF(E712=H712,1,0))</f>
        <v/>
      </c>
      <c r="J712" s="6" t="s">
        <v>161</v>
      </c>
    </row>
    <row r="713" customFormat="false" ht="15" hidden="false" customHeight="false" outlineLevel="0" collapsed="false">
      <c r="A713" s="19" t="n">
        <v>46329</v>
      </c>
      <c r="B713" s="6" t="s">
        <v>53</v>
      </c>
      <c r="C713" s="6" t="s">
        <v>154</v>
      </c>
      <c r="D713" s="7" t="n">
        <v>-0.7115</v>
      </c>
      <c r="E713" s="6" t="str">
        <f aca="false">IF(D713&gt;Settings!$C$4,"Bullish",IF(D713&lt;-Settings!$C$4,"Bearish","Neutral"))</f>
        <v>Bearish</v>
      </c>
      <c r="F713" s="8" t="n">
        <v>0.478</v>
      </c>
      <c r="G713" s="20"/>
      <c r="H713" s="6" t="str">
        <f aca="false">IF(G713="","",IF(G713&gt;0,"Bullish",IF(G713&lt;0,"Bearish","Flat")))</f>
        <v/>
      </c>
      <c r="I713" s="6" t="str">
        <f aca="false">IF(OR(G713="",E713="Neutral"),"",IF(E713=H713,1,0))</f>
        <v/>
      </c>
      <c r="J713" s="6" t="s">
        <v>161</v>
      </c>
    </row>
    <row r="714" customFormat="false" ht="15" hidden="false" customHeight="false" outlineLevel="0" collapsed="false">
      <c r="A714" s="19" t="n">
        <v>46329</v>
      </c>
      <c r="B714" s="6" t="s">
        <v>53</v>
      </c>
      <c r="C714" s="6" t="s">
        <v>149</v>
      </c>
      <c r="D714" s="7" t="n">
        <v>-0.1507</v>
      </c>
      <c r="E714" s="6" t="str">
        <f aca="false">IF(D714&gt;Settings!$C$4,"Bullish",IF(D714&lt;-Settings!$C$4,"Bearish","Neutral"))</f>
        <v>Bearish</v>
      </c>
      <c r="F714" s="8" t="n">
        <v>0.522</v>
      </c>
      <c r="G714" s="20"/>
      <c r="H714" s="6" t="str">
        <f aca="false">IF(G714="","",IF(G714&gt;0,"Bullish",IF(G714&lt;0,"Bearish","Flat")))</f>
        <v/>
      </c>
      <c r="I714" s="6" t="str">
        <f aca="false">IF(OR(G714="",E714="Neutral"),"",IF(E714=H714,1,0))</f>
        <v/>
      </c>
      <c r="J714" s="6" t="s">
        <v>161</v>
      </c>
    </row>
    <row r="715" customFormat="false" ht="15" hidden="false" customHeight="false" outlineLevel="0" collapsed="false">
      <c r="A715" s="19" t="n">
        <v>46329</v>
      </c>
      <c r="B715" s="6" t="s">
        <v>18</v>
      </c>
      <c r="C715" s="6" t="s">
        <v>154</v>
      </c>
      <c r="D715" s="7" t="n">
        <v>-0.8204</v>
      </c>
      <c r="E715" s="6" t="str">
        <f aca="false">IF(D715&gt;Settings!$C$4,"Bullish",IF(D715&lt;-Settings!$C$4,"Bearish","Neutral"))</f>
        <v>Bearish</v>
      </c>
      <c r="F715" s="8" t="n">
        <v>0.501</v>
      </c>
      <c r="G715" s="20"/>
      <c r="H715" s="6" t="str">
        <f aca="false">IF(G715="","",IF(G715&gt;0,"Bullish",IF(G715&lt;0,"Bearish","Flat")))</f>
        <v/>
      </c>
      <c r="I715" s="6" t="str">
        <f aca="false">IF(OR(G715="",E715="Neutral"),"",IF(E715=H715,1,0))</f>
        <v/>
      </c>
      <c r="J715" s="6" t="s">
        <v>161</v>
      </c>
    </row>
    <row r="716" customFormat="false" ht="15" hidden="false" customHeight="false" outlineLevel="0" collapsed="false">
      <c r="A716" s="19" t="n">
        <v>46329</v>
      </c>
      <c r="B716" s="6" t="s">
        <v>18</v>
      </c>
      <c r="C716" s="6" t="s">
        <v>149</v>
      </c>
      <c r="D716" s="7" t="n">
        <v>0.1566</v>
      </c>
      <c r="E716" s="6" t="str">
        <f aca="false">IF(D716&gt;Settings!$C$4,"Bullish",IF(D716&lt;-Settings!$C$4,"Bearish","Neutral"))</f>
        <v>Bullish</v>
      </c>
      <c r="F716" s="8" t="n">
        <v>0.495</v>
      </c>
      <c r="G716" s="20"/>
      <c r="H716" s="6" t="str">
        <f aca="false">IF(G716="","",IF(G716&gt;0,"Bullish",IF(G716&lt;0,"Bearish","Flat")))</f>
        <v/>
      </c>
      <c r="I716" s="6" t="str">
        <f aca="false">IF(OR(G716="",E716="Neutral"),"",IF(E716=H716,1,0))</f>
        <v/>
      </c>
      <c r="J716" s="6" t="s">
        <v>161</v>
      </c>
    </row>
    <row r="717" customFormat="false" ht="15" hidden="false" customHeight="false" outlineLevel="0" collapsed="false">
      <c r="A717" s="19" t="n">
        <v>46329</v>
      </c>
      <c r="B717" s="6" t="s">
        <v>40</v>
      </c>
      <c r="C717" s="6" t="s">
        <v>154</v>
      </c>
      <c r="D717" s="7" t="n">
        <v>-0.9513</v>
      </c>
      <c r="E717" s="6" t="str">
        <f aca="false">IF(D717&gt;Settings!$C$4,"Bullish",IF(D717&lt;-Settings!$C$4,"Bearish","Neutral"))</f>
        <v>Bearish</v>
      </c>
      <c r="F717" s="8" t="n">
        <v>0.52</v>
      </c>
      <c r="G717" s="20"/>
      <c r="H717" s="6" t="str">
        <f aca="false">IF(G717="","",IF(G717&gt;0,"Bullish",IF(G717&lt;0,"Bearish","Flat")))</f>
        <v/>
      </c>
      <c r="I717" s="6" t="str">
        <f aca="false">IF(OR(G717="",E717="Neutral"),"",IF(E717=H717,1,0))</f>
        <v/>
      </c>
      <c r="J717" s="6" t="s">
        <v>161</v>
      </c>
    </row>
    <row r="718" customFormat="false" ht="15" hidden="false" customHeight="false" outlineLevel="0" collapsed="false">
      <c r="A718" s="19" t="n">
        <v>46329</v>
      </c>
      <c r="B718" s="6" t="s">
        <v>40</v>
      </c>
      <c r="C718" s="6" t="s">
        <v>149</v>
      </c>
      <c r="D718" s="7" t="n">
        <v>0.0094</v>
      </c>
      <c r="E718" s="6" t="str">
        <f aca="false">IF(D718&gt;Settings!$C$4,"Bullish",IF(D718&lt;-Settings!$C$4,"Bearish","Neutral"))</f>
        <v>Neutral</v>
      </c>
      <c r="F718" s="8"/>
      <c r="G718" s="20"/>
      <c r="H718" s="6" t="str">
        <f aca="false">IF(G718="","",IF(G718&gt;0,"Bullish",IF(G718&lt;0,"Bearish","Flat")))</f>
        <v/>
      </c>
      <c r="I718" s="6" t="str">
        <f aca="false">IF(OR(G718="",E718="Neutral"),"",IF(E718=H718,1,0))</f>
        <v/>
      </c>
      <c r="J718" s="6" t="s">
        <v>161</v>
      </c>
    </row>
    <row r="719" customFormat="false" ht="15" hidden="false" customHeight="false" outlineLevel="0" collapsed="false">
      <c r="A719" s="19" t="n">
        <v>46329</v>
      </c>
      <c r="B719" s="6" t="s">
        <v>49</v>
      </c>
      <c r="C719" s="6" t="s">
        <v>154</v>
      </c>
      <c r="D719" s="7" t="n">
        <v>-0.2741</v>
      </c>
      <c r="E719" s="6" t="str">
        <f aca="false">IF(D719&gt;Settings!$C$4,"Bullish",IF(D719&lt;-Settings!$C$4,"Bearish","Neutral"))</f>
        <v>Bearish</v>
      </c>
      <c r="F719" s="8" t="n">
        <v>0.478</v>
      </c>
      <c r="G719" s="20"/>
      <c r="H719" s="6" t="str">
        <f aca="false">IF(G719="","",IF(G719&gt;0,"Bullish",IF(G719&lt;0,"Bearish","Flat")))</f>
        <v/>
      </c>
      <c r="I719" s="6" t="str">
        <f aca="false">IF(OR(G719="",E719="Neutral"),"",IF(E719=H719,1,0))</f>
        <v/>
      </c>
      <c r="J719" s="6" t="s">
        <v>161</v>
      </c>
    </row>
    <row r="720" customFormat="false" ht="15" hidden="false" customHeight="false" outlineLevel="0" collapsed="false">
      <c r="A720" s="19" t="n">
        <v>46329</v>
      </c>
      <c r="B720" s="6" t="s">
        <v>49</v>
      </c>
      <c r="C720" s="6" t="s">
        <v>149</v>
      </c>
      <c r="D720" s="7" t="n">
        <v>0.0094</v>
      </c>
      <c r="E720" s="6" t="str">
        <f aca="false">IF(D720&gt;Settings!$C$4,"Bullish",IF(D720&lt;-Settings!$C$4,"Bearish","Neutral"))</f>
        <v>Neutral</v>
      </c>
      <c r="F720" s="8"/>
      <c r="G720" s="20"/>
      <c r="H720" s="6" t="str">
        <f aca="false">IF(G720="","",IF(G720&gt;0,"Bullish",IF(G720&lt;0,"Bearish","Flat")))</f>
        <v/>
      </c>
      <c r="I720" s="6" t="str">
        <f aca="false">IF(OR(G720="",E720="Neutral"),"",IF(E720=H720,1,0))</f>
        <v/>
      </c>
      <c r="J720" s="6" t="s">
        <v>161</v>
      </c>
    </row>
    <row r="721" customFormat="false" ht="15" hidden="false" customHeight="false" outlineLevel="0" collapsed="false">
      <c r="A721" s="19" t="n">
        <v>46329</v>
      </c>
      <c r="B721" s="6" t="s">
        <v>43</v>
      </c>
      <c r="C721" s="6" t="s">
        <v>154</v>
      </c>
      <c r="D721" s="7" t="n">
        <v>-0.8826</v>
      </c>
      <c r="E721" s="6" t="str">
        <f aca="false">IF(D721&gt;Settings!$C$4,"Bullish",IF(D721&lt;-Settings!$C$4,"Bearish","Neutral"))</f>
        <v>Bearish</v>
      </c>
      <c r="F721" s="8" t="n">
        <v>0.523</v>
      </c>
      <c r="G721" s="20"/>
      <c r="H721" s="6" t="str">
        <f aca="false">IF(G721="","",IF(G721&gt;0,"Bullish",IF(G721&lt;0,"Bearish","Flat")))</f>
        <v/>
      </c>
      <c r="I721" s="6" t="str">
        <f aca="false">IF(OR(G721="",E721="Neutral"),"",IF(E721=H721,1,0))</f>
        <v/>
      </c>
      <c r="J721" s="6" t="s">
        <v>161</v>
      </c>
    </row>
    <row r="722" customFormat="false" ht="15" hidden="false" customHeight="false" outlineLevel="0" collapsed="false">
      <c r="A722" s="19" t="n">
        <v>46329</v>
      </c>
      <c r="B722" s="6" t="s">
        <v>43</v>
      </c>
      <c r="C722" s="6" t="s">
        <v>149</v>
      </c>
      <c r="D722" s="7" t="n">
        <v>-0.1265</v>
      </c>
      <c r="E722" s="6" t="str">
        <f aca="false">IF(D722&gt;Settings!$C$4,"Bullish",IF(D722&lt;-Settings!$C$4,"Bearish","Neutral"))</f>
        <v>Neutral</v>
      </c>
      <c r="F722" s="8"/>
      <c r="G722" s="20"/>
      <c r="H722" s="6" t="str">
        <f aca="false">IF(G722="","",IF(G722&gt;0,"Bullish",IF(G722&lt;0,"Bearish","Flat")))</f>
        <v/>
      </c>
      <c r="I722" s="6" t="str">
        <f aca="false">IF(OR(G722="",E722="Neutral"),"",IF(E722=H722,1,0))</f>
        <v/>
      </c>
      <c r="J722" s="6" t="s">
        <v>161</v>
      </c>
    </row>
    <row r="723" customFormat="false" ht="15" hidden="false" customHeight="false" outlineLevel="0" collapsed="false">
      <c r="A723" s="19" t="n">
        <v>46329</v>
      </c>
      <c r="B723" s="6" t="s">
        <v>51</v>
      </c>
      <c r="C723" s="6" t="s">
        <v>154</v>
      </c>
      <c r="D723" s="7" t="n">
        <v>-0.0191</v>
      </c>
      <c r="E723" s="6" t="str">
        <f aca="false">IF(D723&gt;Settings!$C$4,"Bullish",IF(D723&lt;-Settings!$C$4,"Bearish","Neutral"))</f>
        <v>Neutral</v>
      </c>
      <c r="F723" s="8"/>
      <c r="G723" s="20"/>
      <c r="H723" s="6" t="str">
        <f aca="false">IF(G723="","",IF(G723&gt;0,"Bullish",IF(G723&lt;0,"Bearish","Flat")))</f>
        <v/>
      </c>
      <c r="I723" s="6" t="str">
        <f aca="false">IF(OR(G723="",E723="Neutral"),"",IF(E723=H723,1,0))</f>
        <v/>
      </c>
      <c r="J723" s="6" t="s">
        <v>161</v>
      </c>
    </row>
    <row r="724" customFormat="false" ht="15" hidden="false" customHeight="false" outlineLevel="0" collapsed="false">
      <c r="A724" s="19" t="n">
        <v>46329</v>
      </c>
      <c r="B724" s="6" t="s">
        <v>51</v>
      </c>
      <c r="C724" s="6" t="s">
        <v>149</v>
      </c>
      <c r="D724" s="7" t="n">
        <v>-0.218</v>
      </c>
      <c r="E724" s="6" t="str">
        <f aca="false">IF(D724&gt;Settings!$C$4,"Bullish",IF(D724&lt;-Settings!$C$4,"Bearish","Neutral"))</f>
        <v>Bearish</v>
      </c>
      <c r="F724" s="8" t="n">
        <v>0.534</v>
      </c>
      <c r="G724" s="20"/>
      <c r="H724" s="6" t="str">
        <f aca="false">IF(G724="","",IF(G724&gt;0,"Bullish",IF(G724&lt;0,"Bearish","Flat")))</f>
        <v/>
      </c>
      <c r="I724" s="6" t="str">
        <f aca="false">IF(OR(G724="",E724="Neutral"),"",IF(E724=H724,1,0))</f>
        <v/>
      </c>
      <c r="J724" s="6" t="s">
        <v>161</v>
      </c>
    </row>
    <row r="725" customFormat="false" ht="15" hidden="false" customHeight="false" outlineLevel="0" collapsed="false">
      <c r="A725" s="19" t="n">
        <v>46330</v>
      </c>
      <c r="B725" s="6" t="s">
        <v>20</v>
      </c>
      <c r="C725" s="6" t="s">
        <v>154</v>
      </c>
      <c r="D725" s="7" t="n">
        <v>-0.2082</v>
      </c>
      <c r="E725" s="6" t="str">
        <f aca="false">IF(D725&gt;Settings!$C$4,"Bullish",IF(D725&lt;-Settings!$C$4,"Bearish","Neutral"))</f>
        <v>Bearish</v>
      </c>
      <c r="F725" s="8" t="n">
        <v>0.491</v>
      </c>
      <c r="G725" s="20"/>
      <c r="H725" s="6" t="str">
        <f aca="false">IF(G725="","",IF(G725&gt;0,"Bullish",IF(G725&lt;0,"Bearish","Flat")))</f>
        <v/>
      </c>
      <c r="I725" s="6" t="str">
        <f aca="false">IF(OR(G725="",E725="Neutral"),"",IF(E725=H725,1,0))</f>
        <v/>
      </c>
      <c r="J725" s="6" t="s">
        <v>161</v>
      </c>
    </row>
    <row r="726" customFormat="false" ht="15" hidden="false" customHeight="false" outlineLevel="0" collapsed="false">
      <c r="A726" s="19" t="n">
        <v>46330</v>
      </c>
      <c r="B726" s="6" t="s">
        <v>20</v>
      </c>
      <c r="C726" s="6" t="s">
        <v>149</v>
      </c>
      <c r="D726" s="7" t="n">
        <v>0.0094</v>
      </c>
      <c r="E726" s="6" t="str">
        <f aca="false">IF(D726&gt;Settings!$C$4,"Bullish",IF(D726&lt;-Settings!$C$4,"Bearish","Neutral"))</f>
        <v>Neutral</v>
      </c>
      <c r="F726" s="8"/>
      <c r="G726" s="20"/>
      <c r="H726" s="6" t="str">
        <f aca="false">IF(G726="","",IF(G726&gt;0,"Bullish",IF(G726&lt;0,"Bearish","Flat")))</f>
        <v/>
      </c>
      <c r="I726" s="6" t="str">
        <f aca="false">IF(OR(G726="",E726="Neutral"),"",IF(E726=H726,1,0))</f>
        <v/>
      </c>
      <c r="J726" s="6" t="s">
        <v>161</v>
      </c>
    </row>
    <row r="727" customFormat="false" ht="15" hidden="false" customHeight="false" outlineLevel="0" collapsed="false">
      <c r="A727" s="19" t="n">
        <v>46330</v>
      </c>
      <c r="B727" s="6" t="s">
        <v>22</v>
      </c>
      <c r="C727" s="6" t="s">
        <v>154</v>
      </c>
      <c r="D727" s="7" t="n">
        <v>0.0031</v>
      </c>
      <c r="E727" s="6" t="str">
        <f aca="false">IF(D727&gt;Settings!$C$4,"Bullish",IF(D727&lt;-Settings!$C$4,"Bearish","Neutral"))</f>
        <v>Neutral</v>
      </c>
      <c r="F727" s="8"/>
      <c r="G727" s="20"/>
      <c r="H727" s="6" t="str">
        <f aca="false">IF(G727="","",IF(G727&gt;0,"Bullish",IF(G727&lt;0,"Bearish","Flat")))</f>
        <v/>
      </c>
      <c r="I727" s="6" t="str">
        <f aca="false">IF(OR(G727="",E727="Neutral"),"",IF(E727=H727,1,0))</f>
        <v/>
      </c>
      <c r="J727" s="6" t="s">
        <v>161</v>
      </c>
    </row>
    <row r="728" customFormat="false" ht="15" hidden="false" customHeight="false" outlineLevel="0" collapsed="false">
      <c r="A728" s="19" t="n">
        <v>46330</v>
      </c>
      <c r="B728" s="6" t="s">
        <v>22</v>
      </c>
      <c r="C728" s="6" t="s">
        <v>149</v>
      </c>
      <c r="D728" s="7" t="n">
        <v>0.3394</v>
      </c>
      <c r="E728" s="6" t="str">
        <f aca="false">IF(D728&gt;Settings!$C$4,"Bullish",IF(D728&lt;-Settings!$C$4,"Bearish","Neutral"))</f>
        <v>Bullish</v>
      </c>
      <c r="F728" s="8" t="n">
        <v>0.527</v>
      </c>
      <c r="G728" s="20"/>
      <c r="H728" s="6" t="str">
        <f aca="false">IF(G728="","",IF(G728&gt;0,"Bullish",IF(G728&lt;0,"Bearish","Flat")))</f>
        <v/>
      </c>
      <c r="I728" s="6" t="str">
        <f aca="false">IF(OR(G728="",E728="Neutral"),"",IF(E728=H728,1,0))</f>
        <v/>
      </c>
      <c r="J728" s="6" t="s">
        <v>161</v>
      </c>
    </row>
    <row r="729" customFormat="false" ht="15" hidden="false" customHeight="false" outlineLevel="0" collapsed="false">
      <c r="A729" s="19" t="n">
        <v>46330</v>
      </c>
      <c r="B729" s="6" t="s">
        <v>52</v>
      </c>
      <c r="C729" s="6" t="s">
        <v>154</v>
      </c>
      <c r="D729" s="7" t="n">
        <v>-0.053</v>
      </c>
      <c r="E729" s="6" t="str">
        <f aca="false">IF(D729&gt;Settings!$C$4,"Bullish",IF(D729&lt;-Settings!$C$4,"Bearish","Neutral"))</f>
        <v>Neutral</v>
      </c>
      <c r="F729" s="8"/>
      <c r="G729" s="20"/>
      <c r="H729" s="6" t="str">
        <f aca="false">IF(G729="","",IF(G729&gt;0,"Bullish",IF(G729&lt;0,"Bearish","Flat")))</f>
        <v/>
      </c>
      <c r="I729" s="6" t="str">
        <f aca="false">IF(OR(G729="",E729="Neutral"),"",IF(E729=H729,1,0))</f>
        <v/>
      </c>
      <c r="J729" s="6" t="s">
        <v>161</v>
      </c>
    </row>
    <row r="730" customFormat="false" ht="15" hidden="false" customHeight="false" outlineLevel="0" collapsed="false">
      <c r="A730" s="19" t="n">
        <v>46330</v>
      </c>
      <c r="B730" s="6" t="s">
        <v>52</v>
      </c>
      <c r="C730" s="6" t="s">
        <v>149</v>
      </c>
      <c r="D730" s="7" t="n">
        <v>-0.1505</v>
      </c>
      <c r="E730" s="6" t="str">
        <f aca="false">IF(D730&gt;Settings!$C$4,"Bullish",IF(D730&lt;-Settings!$C$4,"Bearish","Neutral"))</f>
        <v>Bearish</v>
      </c>
      <c r="F730" s="8" t="n">
        <v>0.509</v>
      </c>
      <c r="G730" s="20"/>
      <c r="H730" s="6" t="str">
        <f aca="false">IF(G730="","",IF(G730&gt;0,"Bullish",IF(G730&lt;0,"Bearish","Flat")))</f>
        <v/>
      </c>
      <c r="I730" s="6" t="str">
        <f aca="false">IF(OR(G730="",E730="Neutral"),"",IF(E730=H730,1,0))</f>
        <v/>
      </c>
      <c r="J730" s="6" t="s">
        <v>161</v>
      </c>
    </row>
    <row r="731" customFormat="false" ht="15" hidden="false" customHeight="false" outlineLevel="0" collapsed="false">
      <c r="A731" s="19" t="n">
        <v>46330</v>
      </c>
      <c r="B731" s="6" t="s">
        <v>30</v>
      </c>
      <c r="C731" s="6" t="s">
        <v>154</v>
      </c>
      <c r="D731" s="7" t="n">
        <v>0.2899</v>
      </c>
      <c r="E731" s="6" t="str">
        <f aca="false">IF(D731&gt;Settings!$C$4,"Bullish",IF(D731&lt;-Settings!$C$4,"Bearish","Neutral"))</f>
        <v>Bullish</v>
      </c>
      <c r="F731" s="8" t="n">
        <v>0.481</v>
      </c>
      <c r="G731" s="20"/>
      <c r="H731" s="6" t="str">
        <f aca="false">IF(G731="","",IF(G731&gt;0,"Bullish",IF(G731&lt;0,"Bearish","Flat")))</f>
        <v/>
      </c>
      <c r="I731" s="6" t="str">
        <f aca="false">IF(OR(G731="",E731="Neutral"),"",IF(E731=H731,1,0))</f>
        <v/>
      </c>
      <c r="J731" s="6" t="s">
        <v>161</v>
      </c>
    </row>
    <row r="732" customFormat="false" ht="15" hidden="false" customHeight="false" outlineLevel="0" collapsed="false">
      <c r="A732" s="19" t="n">
        <v>46330</v>
      </c>
      <c r="B732" s="6" t="s">
        <v>30</v>
      </c>
      <c r="C732" s="6" t="s">
        <v>149</v>
      </c>
      <c r="D732" s="7" t="n">
        <v>0.2103</v>
      </c>
      <c r="E732" s="6" t="str">
        <f aca="false">IF(D732&gt;Settings!$C$4,"Bullish",IF(D732&lt;-Settings!$C$4,"Bearish","Neutral"))</f>
        <v>Bullish</v>
      </c>
      <c r="F732" s="8" t="n">
        <v>0.531</v>
      </c>
      <c r="G732" s="20"/>
      <c r="H732" s="6" t="str">
        <f aca="false">IF(G732="","",IF(G732&gt;0,"Bullish",IF(G732&lt;0,"Bearish","Flat")))</f>
        <v/>
      </c>
      <c r="I732" s="6" t="str">
        <f aca="false">IF(OR(G732="",E732="Neutral"),"",IF(E732=H732,1,0))</f>
        <v/>
      </c>
      <c r="J732" s="6" t="s">
        <v>161</v>
      </c>
    </row>
    <row r="733" customFormat="false" ht="15" hidden="false" customHeight="false" outlineLevel="0" collapsed="false">
      <c r="A733" s="19" t="n">
        <v>46330</v>
      </c>
      <c r="B733" s="6" t="s">
        <v>50</v>
      </c>
      <c r="C733" s="6" t="s">
        <v>154</v>
      </c>
      <c r="D733" s="7" t="n">
        <v>-0.0589</v>
      </c>
      <c r="E733" s="6" t="str">
        <f aca="false">IF(D733&gt;Settings!$C$4,"Bullish",IF(D733&lt;-Settings!$C$4,"Bearish","Neutral"))</f>
        <v>Neutral</v>
      </c>
      <c r="F733" s="8"/>
      <c r="G733" s="20"/>
      <c r="H733" s="6" t="str">
        <f aca="false">IF(G733="","",IF(G733&gt;0,"Bullish",IF(G733&lt;0,"Bearish","Flat")))</f>
        <v/>
      </c>
      <c r="I733" s="6" t="str">
        <f aca="false">IF(OR(G733="",E733="Neutral"),"",IF(E733=H733,1,0))</f>
        <v/>
      </c>
      <c r="J733" s="6" t="s">
        <v>161</v>
      </c>
    </row>
    <row r="734" customFormat="false" ht="15" hidden="false" customHeight="false" outlineLevel="0" collapsed="false">
      <c r="A734" s="19" t="n">
        <v>46330</v>
      </c>
      <c r="B734" s="6" t="s">
        <v>50</v>
      </c>
      <c r="C734" s="6" t="s">
        <v>149</v>
      </c>
      <c r="D734" s="7" t="n">
        <v>0.5894</v>
      </c>
      <c r="E734" s="6" t="str">
        <f aca="false">IF(D734&gt;Settings!$C$4,"Bullish",IF(D734&lt;-Settings!$C$4,"Bearish","Neutral"))</f>
        <v>Bullish</v>
      </c>
      <c r="F734" s="8" t="n">
        <v>0.442</v>
      </c>
      <c r="G734" s="20"/>
      <c r="H734" s="6" t="str">
        <f aca="false">IF(G734="","",IF(G734&gt;0,"Bullish",IF(G734&lt;0,"Bearish","Flat")))</f>
        <v/>
      </c>
      <c r="I734" s="6" t="str">
        <f aca="false">IF(OR(G734="",E734="Neutral"),"",IF(E734=H734,1,0))</f>
        <v/>
      </c>
      <c r="J734" s="6" t="s">
        <v>161</v>
      </c>
    </row>
    <row r="735" customFormat="false" ht="15" hidden="false" customHeight="false" outlineLevel="0" collapsed="false">
      <c r="A735" s="19" t="n">
        <v>46330</v>
      </c>
      <c r="B735" s="6" t="s">
        <v>34</v>
      </c>
      <c r="C735" s="6" t="s">
        <v>154</v>
      </c>
      <c r="D735" s="7" t="n">
        <v>-0.053</v>
      </c>
      <c r="E735" s="6" t="str">
        <f aca="false">IF(D735&gt;Settings!$C$4,"Bullish",IF(D735&lt;-Settings!$C$4,"Bearish","Neutral"))</f>
        <v>Neutral</v>
      </c>
      <c r="F735" s="8"/>
      <c r="G735" s="20"/>
      <c r="H735" s="6" t="str">
        <f aca="false">IF(G735="","",IF(G735&gt;0,"Bullish",IF(G735&lt;0,"Bearish","Flat")))</f>
        <v/>
      </c>
      <c r="I735" s="6" t="str">
        <f aca="false">IF(OR(G735="",E735="Neutral"),"",IF(E735=H735,1,0))</f>
        <v/>
      </c>
      <c r="J735" s="6" t="s">
        <v>161</v>
      </c>
    </row>
    <row r="736" customFormat="false" ht="15" hidden="false" customHeight="false" outlineLevel="0" collapsed="false">
      <c r="A736" s="19" t="n">
        <v>46330</v>
      </c>
      <c r="B736" s="6" t="s">
        <v>34</v>
      </c>
      <c r="C736" s="6" t="s">
        <v>149</v>
      </c>
      <c r="D736" s="7" t="n">
        <v>-0.0878</v>
      </c>
      <c r="E736" s="6" t="str">
        <f aca="false">IF(D736&gt;Settings!$C$4,"Bullish",IF(D736&lt;-Settings!$C$4,"Bearish","Neutral"))</f>
        <v>Neutral</v>
      </c>
      <c r="F736" s="8"/>
      <c r="G736" s="20"/>
      <c r="H736" s="6" t="str">
        <f aca="false">IF(G736="","",IF(G736&gt;0,"Bullish",IF(G736&lt;0,"Bearish","Flat")))</f>
        <v/>
      </c>
      <c r="I736" s="6" t="str">
        <f aca="false">IF(OR(G736="",E736="Neutral"),"",IF(E736=H736,1,0))</f>
        <v/>
      </c>
      <c r="J736" s="6" t="s">
        <v>161</v>
      </c>
    </row>
    <row r="737" customFormat="false" ht="15" hidden="false" customHeight="false" outlineLevel="0" collapsed="false">
      <c r="A737" s="19" t="n">
        <v>46330</v>
      </c>
      <c r="B737" s="6" t="s">
        <v>35</v>
      </c>
      <c r="C737" s="6" t="s">
        <v>154</v>
      </c>
      <c r="D737" s="7" t="n">
        <v>0.145</v>
      </c>
      <c r="E737" s="6" t="str">
        <f aca="false">IF(D737&gt;Settings!$C$4,"Bullish",IF(D737&lt;-Settings!$C$4,"Bearish","Neutral"))</f>
        <v>Neutral</v>
      </c>
      <c r="F737" s="8"/>
      <c r="G737" s="20"/>
      <c r="H737" s="6" t="str">
        <f aca="false">IF(G737="","",IF(G737&gt;0,"Bullish",IF(G737&lt;0,"Bearish","Flat")))</f>
        <v/>
      </c>
      <c r="I737" s="6" t="str">
        <f aca="false">IF(OR(G737="",E737="Neutral"),"",IF(E737=H737,1,0))</f>
        <v/>
      </c>
      <c r="J737" s="6" t="s">
        <v>161</v>
      </c>
    </row>
    <row r="738" customFormat="false" ht="15" hidden="false" customHeight="false" outlineLevel="0" collapsed="false">
      <c r="A738" s="19" t="n">
        <v>46330</v>
      </c>
      <c r="B738" s="6" t="s">
        <v>35</v>
      </c>
      <c r="C738" s="6" t="s">
        <v>149</v>
      </c>
      <c r="D738" s="7" t="n">
        <v>0.1846</v>
      </c>
      <c r="E738" s="6" t="str">
        <f aca="false">IF(D738&gt;Settings!$C$4,"Bullish",IF(D738&lt;-Settings!$C$4,"Bearish","Neutral"))</f>
        <v>Bullish</v>
      </c>
      <c r="F738" s="8" t="n">
        <v>0.563</v>
      </c>
      <c r="G738" s="20"/>
      <c r="H738" s="6" t="str">
        <f aca="false">IF(G738="","",IF(G738&gt;0,"Bullish",IF(G738&lt;0,"Bearish","Flat")))</f>
        <v/>
      </c>
      <c r="I738" s="6" t="str">
        <f aca="false">IF(OR(G738="",E738="Neutral"),"",IF(E738=H738,1,0))</f>
        <v/>
      </c>
      <c r="J738" s="6" t="s">
        <v>161</v>
      </c>
    </row>
    <row r="739" customFormat="false" ht="15" hidden="false" customHeight="false" outlineLevel="0" collapsed="false">
      <c r="A739" s="19" t="n">
        <v>46330</v>
      </c>
      <c r="B739" s="6" t="s">
        <v>37</v>
      </c>
      <c r="C739" s="6" t="s">
        <v>154</v>
      </c>
      <c r="D739" s="7" t="n">
        <v>-0.226</v>
      </c>
      <c r="E739" s="6" t="str">
        <f aca="false">IF(D739&gt;Settings!$C$4,"Bullish",IF(D739&lt;-Settings!$C$4,"Bearish","Neutral"))</f>
        <v>Bearish</v>
      </c>
      <c r="F739" s="8" t="n">
        <v>0.541</v>
      </c>
      <c r="G739" s="20"/>
      <c r="H739" s="6" t="str">
        <f aca="false">IF(G739="","",IF(G739&gt;0,"Bullish",IF(G739&lt;0,"Bearish","Flat")))</f>
        <v/>
      </c>
      <c r="I739" s="6" t="str">
        <f aca="false">IF(OR(G739="",E739="Neutral"),"",IF(E739=H739,1,0))</f>
        <v/>
      </c>
      <c r="J739" s="6" t="s">
        <v>161</v>
      </c>
    </row>
    <row r="740" customFormat="false" ht="15" hidden="false" customHeight="false" outlineLevel="0" collapsed="false">
      <c r="A740" s="19" t="n">
        <v>46330</v>
      </c>
      <c r="B740" s="6" t="s">
        <v>37</v>
      </c>
      <c r="C740" s="6" t="s">
        <v>149</v>
      </c>
      <c r="D740" s="7" t="n">
        <v>0.3606</v>
      </c>
      <c r="E740" s="6" t="str">
        <f aca="false">IF(D740&gt;Settings!$C$4,"Bullish",IF(D740&lt;-Settings!$C$4,"Bearish","Neutral"))</f>
        <v>Bullish</v>
      </c>
      <c r="F740" s="8" t="n">
        <v>0.509</v>
      </c>
      <c r="G740" s="20"/>
      <c r="H740" s="6" t="str">
        <f aca="false">IF(G740="","",IF(G740&gt;0,"Bullish",IF(G740&lt;0,"Bearish","Flat")))</f>
        <v/>
      </c>
      <c r="I740" s="6" t="str">
        <f aca="false">IF(OR(G740="",E740="Neutral"),"",IF(E740=H740,1,0))</f>
        <v/>
      </c>
      <c r="J740" s="6" t="s">
        <v>161</v>
      </c>
    </row>
    <row r="741" customFormat="false" ht="15" hidden="false" customHeight="false" outlineLevel="0" collapsed="false">
      <c r="A741" s="19" t="n">
        <v>46330</v>
      </c>
      <c r="B741" s="6" t="s">
        <v>38</v>
      </c>
      <c r="C741" s="6" t="s">
        <v>154</v>
      </c>
      <c r="D741" s="7" t="n">
        <v>-0.053</v>
      </c>
      <c r="E741" s="6" t="str">
        <f aca="false">IF(D741&gt;Settings!$C$4,"Bullish",IF(D741&lt;-Settings!$C$4,"Bearish","Neutral"))</f>
        <v>Neutral</v>
      </c>
      <c r="F741" s="8"/>
      <c r="G741" s="20"/>
      <c r="H741" s="6" t="str">
        <f aca="false">IF(G741="","",IF(G741&gt;0,"Bullish",IF(G741&lt;0,"Bearish","Flat")))</f>
        <v/>
      </c>
      <c r="I741" s="6" t="str">
        <f aca="false">IF(OR(G741="",E741="Neutral"),"",IF(E741=H741,1,0))</f>
        <v/>
      </c>
      <c r="J741" s="6" t="s">
        <v>161</v>
      </c>
    </row>
    <row r="742" customFormat="false" ht="15" hidden="false" customHeight="false" outlineLevel="0" collapsed="false">
      <c r="A742" s="19" t="n">
        <v>46330</v>
      </c>
      <c r="B742" s="6" t="s">
        <v>38</v>
      </c>
      <c r="C742" s="6" t="s">
        <v>149</v>
      </c>
      <c r="D742" s="7" t="n">
        <v>0.0002</v>
      </c>
      <c r="E742" s="6" t="str">
        <f aca="false">IF(D742&gt;Settings!$C$4,"Bullish",IF(D742&lt;-Settings!$C$4,"Bearish","Neutral"))</f>
        <v>Neutral</v>
      </c>
      <c r="F742" s="8"/>
      <c r="G742" s="20"/>
      <c r="H742" s="6" t="str">
        <f aca="false">IF(G742="","",IF(G742&gt;0,"Bullish",IF(G742&lt;0,"Bearish","Flat")))</f>
        <v/>
      </c>
      <c r="I742" s="6" t="str">
        <f aca="false">IF(OR(G742="",E742="Neutral"),"",IF(E742=H742,1,0))</f>
        <v/>
      </c>
      <c r="J742" s="6" t="s">
        <v>161</v>
      </c>
    </row>
    <row r="743" customFormat="false" ht="15" hidden="false" customHeight="false" outlineLevel="0" collapsed="false">
      <c r="A743" s="19" t="n">
        <v>46330</v>
      </c>
      <c r="B743" s="6" t="s">
        <v>53</v>
      </c>
      <c r="C743" s="6" t="s">
        <v>154</v>
      </c>
      <c r="D743" s="7" t="n">
        <v>0.2243</v>
      </c>
      <c r="E743" s="6" t="str">
        <f aca="false">IF(D743&gt;Settings!$C$4,"Bullish",IF(D743&lt;-Settings!$C$4,"Bearish","Neutral"))</f>
        <v>Bullish</v>
      </c>
      <c r="F743" s="8" t="n">
        <v>0.516</v>
      </c>
      <c r="G743" s="20"/>
      <c r="H743" s="6" t="str">
        <f aca="false">IF(G743="","",IF(G743&gt;0,"Bullish",IF(G743&lt;0,"Bearish","Flat")))</f>
        <v/>
      </c>
      <c r="I743" s="6" t="str">
        <f aca="false">IF(OR(G743="",E743="Neutral"),"",IF(E743=H743,1,0))</f>
        <v/>
      </c>
      <c r="J743" s="6" t="s">
        <v>161</v>
      </c>
    </row>
    <row r="744" customFormat="false" ht="15" hidden="false" customHeight="false" outlineLevel="0" collapsed="false">
      <c r="A744" s="19" t="n">
        <v>46330</v>
      </c>
      <c r="B744" s="6" t="s">
        <v>53</v>
      </c>
      <c r="C744" s="6" t="s">
        <v>149</v>
      </c>
      <c r="D744" s="7" t="n">
        <v>-0.1499</v>
      </c>
      <c r="E744" s="6" t="str">
        <f aca="false">IF(D744&gt;Settings!$C$4,"Bullish",IF(D744&lt;-Settings!$C$4,"Bearish","Neutral"))</f>
        <v>Neutral</v>
      </c>
      <c r="F744" s="8"/>
      <c r="G744" s="20"/>
      <c r="H744" s="6" t="str">
        <f aca="false">IF(G744="","",IF(G744&gt;0,"Bullish",IF(G744&lt;0,"Bearish","Flat")))</f>
        <v/>
      </c>
      <c r="I744" s="6" t="str">
        <f aca="false">IF(OR(G744="",E744="Neutral"),"",IF(E744=H744,1,0))</f>
        <v/>
      </c>
      <c r="J744" s="6" t="s">
        <v>161</v>
      </c>
    </row>
    <row r="745" customFormat="false" ht="15" hidden="false" customHeight="false" outlineLevel="0" collapsed="false">
      <c r="A745" s="19" t="n">
        <v>46330</v>
      </c>
      <c r="B745" s="6" t="s">
        <v>18</v>
      </c>
      <c r="C745" s="6" t="s">
        <v>154</v>
      </c>
      <c r="D745" s="7" t="n">
        <v>-0.0728</v>
      </c>
      <c r="E745" s="6" t="str">
        <f aca="false">IF(D745&gt;Settings!$C$4,"Bullish",IF(D745&lt;-Settings!$C$4,"Bearish","Neutral"))</f>
        <v>Neutral</v>
      </c>
      <c r="F745" s="8"/>
      <c r="G745" s="20"/>
      <c r="H745" s="6" t="str">
        <f aca="false">IF(G745="","",IF(G745&gt;0,"Bullish",IF(G745&lt;0,"Bearish","Flat")))</f>
        <v/>
      </c>
      <c r="I745" s="6" t="str">
        <f aca="false">IF(OR(G745="",E745="Neutral"),"",IF(E745=H745,1,0))</f>
        <v/>
      </c>
      <c r="J745" s="6" t="s">
        <v>161</v>
      </c>
    </row>
    <row r="746" customFormat="false" ht="15" hidden="false" customHeight="false" outlineLevel="0" collapsed="false">
      <c r="A746" s="19" t="n">
        <v>46330</v>
      </c>
      <c r="B746" s="6" t="s">
        <v>18</v>
      </c>
      <c r="C746" s="6" t="s">
        <v>149</v>
      </c>
      <c r="D746" s="7" t="n">
        <v>0.2483</v>
      </c>
      <c r="E746" s="6" t="str">
        <f aca="false">IF(D746&gt;Settings!$C$4,"Bullish",IF(D746&lt;-Settings!$C$4,"Bearish","Neutral"))</f>
        <v>Bullish</v>
      </c>
      <c r="F746" s="8" t="n">
        <v>0.495</v>
      </c>
      <c r="G746" s="20"/>
      <c r="H746" s="6" t="str">
        <f aca="false">IF(G746="","",IF(G746&gt;0,"Bullish",IF(G746&lt;0,"Bearish","Flat")))</f>
        <v/>
      </c>
      <c r="I746" s="6" t="str">
        <f aca="false">IF(OR(G746="",E746="Neutral"),"",IF(E746=H746,1,0))</f>
        <v/>
      </c>
      <c r="J746" s="6" t="s">
        <v>161</v>
      </c>
    </row>
    <row r="747" customFormat="false" ht="15" hidden="false" customHeight="false" outlineLevel="0" collapsed="false">
      <c r="A747" s="19" t="n">
        <v>46330</v>
      </c>
      <c r="B747" s="6" t="s">
        <v>40</v>
      </c>
      <c r="C747" s="6" t="s">
        <v>154</v>
      </c>
      <c r="D747" s="7" t="n">
        <v>-0.2741</v>
      </c>
      <c r="E747" s="6" t="str">
        <f aca="false">IF(D747&gt;Settings!$C$4,"Bullish",IF(D747&lt;-Settings!$C$4,"Bearish","Neutral"))</f>
        <v>Bearish</v>
      </c>
      <c r="F747" s="8" t="n">
        <v>0.527</v>
      </c>
      <c r="G747" s="20"/>
      <c r="H747" s="6" t="str">
        <f aca="false">IF(G747="","",IF(G747&gt;0,"Bullish",IF(G747&lt;0,"Bearish","Flat")))</f>
        <v/>
      </c>
      <c r="I747" s="6" t="str">
        <f aca="false">IF(OR(G747="",E747="Neutral"),"",IF(E747=H747,1,0))</f>
        <v/>
      </c>
      <c r="J747" s="6" t="s">
        <v>161</v>
      </c>
    </row>
    <row r="748" customFormat="false" ht="15" hidden="false" customHeight="false" outlineLevel="0" collapsed="false">
      <c r="A748" s="19" t="n">
        <v>46330</v>
      </c>
      <c r="B748" s="6" t="s">
        <v>40</v>
      </c>
      <c r="C748" s="6" t="s">
        <v>149</v>
      </c>
      <c r="D748" s="7" t="n">
        <v>0.0094</v>
      </c>
      <c r="E748" s="6" t="str">
        <f aca="false">IF(D748&gt;Settings!$C$4,"Bullish",IF(D748&lt;-Settings!$C$4,"Bearish","Neutral"))</f>
        <v>Neutral</v>
      </c>
      <c r="F748" s="8"/>
      <c r="G748" s="20"/>
      <c r="H748" s="6" t="str">
        <f aca="false">IF(G748="","",IF(G748&gt;0,"Bullish",IF(G748&lt;0,"Bearish","Flat")))</f>
        <v/>
      </c>
      <c r="I748" s="6" t="str">
        <f aca="false">IF(OR(G748="",E748="Neutral"),"",IF(E748=H748,1,0))</f>
        <v/>
      </c>
      <c r="J748" s="6" t="s">
        <v>161</v>
      </c>
    </row>
    <row r="749" customFormat="false" ht="15" hidden="false" customHeight="false" outlineLevel="0" collapsed="false">
      <c r="A749" s="19" t="n">
        <v>46330</v>
      </c>
      <c r="B749" s="6" t="s">
        <v>49</v>
      </c>
      <c r="C749" s="6" t="s">
        <v>154</v>
      </c>
      <c r="D749" s="7" t="n">
        <v>-0.2741</v>
      </c>
      <c r="E749" s="6" t="str">
        <f aca="false">IF(D749&gt;Settings!$C$4,"Bullish",IF(D749&lt;-Settings!$C$4,"Bearish","Neutral"))</f>
        <v>Bearish</v>
      </c>
      <c r="F749" s="8" t="n">
        <v>0.478</v>
      </c>
      <c r="G749" s="20"/>
      <c r="H749" s="6" t="str">
        <f aca="false">IF(G749="","",IF(G749&gt;0,"Bullish",IF(G749&lt;0,"Bearish","Flat")))</f>
        <v/>
      </c>
      <c r="I749" s="6" t="str">
        <f aca="false">IF(OR(G749="",E749="Neutral"),"",IF(E749=H749,1,0))</f>
        <v/>
      </c>
      <c r="J749" s="6" t="s">
        <v>161</v>
      </c>
    </row>
    <row r="750" customFormat="false" ht="15" hidden="false" customHeight="false" outlineLevel="0" collapsed="false">
      <c r="A750" s="19" t="n">
        <v>46330</v>
      </c>
      <c r="B750" s="6" t="s">
        <v>49</v>
      </c>
      <c r="C750" s="6" t="s">
        <v>149</v>
      </c>
      <c r="D750" s="7" t="n">
        <v>0.0094</v>
      </c>
      <c r="E750" s="6" t="str">
        <f aca="false">IF(D750&gt;Settings!$C$4,"Bullish",IF(D750&lt;-Settings!$C$4,"Bearish","Neutral"))</f>
        <v>Neutral</v>
      </c>
      <c r="F750" s="8"/>
      <c r="G750" s="20"/>
      <c r="H750" s="6" t="str">
        <f aca="false">IF(G750="","",IF(G750&gt;0,"Bullish",IF(G750&lt;0,"Bearish","Flat")))</f>
        <v/>
      </c>
      <c r="I750" s="6" t="str">
        <f aca="false">IF(OR(G750="",E750="Neutral"),"",IF(E750=H750,1,0))</f>
        <v/>
      </c>
      <c r="J750" s="6" t="s">
        <v>161</v>
      </c>
    </row>
    <row r="751" customFormat="false" ht="15" hidden="false" customHeight="false" outlineLevel="0" collapsed="false">
      <c r="A751" s="19" t="n">
        <v>46330</v>
      </c>
      <c r="B751" s="6" t="s">
        <v>43</v>
      </c>
      <c r="C751" s="6" t="s">
        <v>154</v>
      </c>
      <c r="D751" s="7" t="n">
        <v>0.2243</v>
      </c>
      <c r="E751" s="6" t="str">
        <f aca="false">IF(D751&gt;Settings!$C$4,"Bullish",IF(D751&lt;-Settings!$C$4,"Bearish","Neutral"))</f>
        <v>Bullish</v>
      </c>
      <c r="F751" s="8" t="n">
        <v>0.468</v>
      </c>
      <c r="G751" s="20"/>
      <c r="H751" s="6" t="str">
        <f aca="false">IF(G751="","",IF(G751&gt;0,"Bullish",IF(G751&lt;0,"Bearish","Flat")))</f>
        <v/>
      </c>
      <c r="I751" s="6" t="str">
        <f aca="false">IF(OR(G751="",E751="Neutral"),"",IF(E751=H751,1,0))</f>
        <v/>
      </c>
      <c r="J751" s="6" t="s">
        <v>161</v>
      </c>
    </row>
    <row r="752" customFormat="false" ht="15" hidden="false" customHeight="false" outlineLevel="0" collapsed="false">
      <c r="A752" s="19" t="n">
        <v>46330</v>
      </c>
      <c r="B752" s="6" t="s">
        <v>43</v>
      </c>
      <c r="C752" s="6" t="s">
        <v>149</v>
      </c>
      <c r="D752" s="7" t="n">
        <v>-0.0878</v>
      </c>
      <c r="E752" s="6" t="str">
        <f aca="false">IF(D752&gt;Settings!$C$4,"Bullish",IF(D752&lt;-Settings!$C$4,"Bearish","Neutral"))</f>
        <v>Neutral</v>
      </c>
      <c r="F752" s="8"/>
      <c r="G752" s="20"/>
      <c r="H752" s="6" t="str">
        <f aca="false">IF(G752="","",IF(G752&gt;0,"Bullish",IF(G752&lt;0,"Bearish","Flat")))</f>
        <v/>
      </c>
      <c r="I752" s="6" t="str">
        <f aca="false">IF(OR(G752="",E752="Neutral"),"",IF(E752=H752,1,0))</f>
        <v/>
      </c>
      <c r="J752" s="6" t="s">
        <v>161</v>
      </c>
    </row>
    <row r="753" customFormat="false" ht="15" hidden="false" customHeight="false" outlineLevel="0" collapsed="false">
      <c r="A753" s="19" t="n">
        <v>46330</v>
      </c>
      <c r="B753" s="6" t="s">
        <v>51</v>
      </c>
      <c r="C753" s="6" t="s">
        <v>154</v>
      </c>
      <c r="D753" s="7" t="n">
        <v>-0.0621</v>
      </c>
      <c r="E753" s="6" t="str">
        <f aca="false">IF(D753&gt;Settings!$C$4,"Bullish",IF(D753&lt;-Settings!$C$4,"Bearish","Neutral"))</f>
        <v>Neutral</v>
      </c>
      <c r="F753" s="8"/>
      <c r="G753" s="20"/>
      <c r="H753" s="6" t="str">
        <f aca="false">IF(G753="","",IF(G753&gt;0,"Bullish",IF(G753&lt;0,"Bearish","Flat")))</f>
        <v/>
      </c>
      <c r="I753" s="6" t="str">
        <f aca="false">IF(OR(G753="",E753="Neutral"),"",IF(E753=H753,1,0))</f>
        <v/>
      </c>
      <c r="J753" s="6" t="s">
        <v>161</v>
      </c>
    </row>
    <row r="754" customFormat="false" ht="15" hidden="false" customHeight="false" outlineLevel="0" collapsed="false">
      <c r="A754" s="19" t="n">
        <v>46330</v>
      </c>
      <c r="B754" s="6" t="s">
        <v>51</v>
      </c>
      <c r="C754" s="6" t="s">
        <v>149</v>
      </c>
      <c r="D754" s="7" t="n">
        <v>-0.18</v>
      </c>
      <c r="E754" s="6" t="str">
        <f aca="false">IF(D754&gt;Settings!$C$4,"Bullish",IF(D754&lt;-Settings!$C$4,"Bearish","Neutral"))</f>
        <v>Bearish</v>
      </c>
      <c r="F754" s="8" t="n">
        <v>0.534</v>
      </c>
      <c r="G754" s="20"/>
      <c r="H754" s="6" t="str">
        <f aca="false">IF(G754="","",IF(G754&gt;0,"Bullish",IF(G754&lt;0,"Bearish","Flat")))</f>
        <v/>
      </c>
      <c r="I754" s="6" t="str">
        <f aca="false">IF(OR(G754="",E754="Neutral"),"",IF(E754=H754,1,0))</f>
        <v/>
      </c>
      <c r="J754" s="6" t="s">
        <v>161</v>
      </c>
    </row>
    <row r="755" customFormat="false" ht="15" hidden="false" customHeight="false" outlineLevel="0" collapsed="false">
      <c r="A755" s="19" t="n">
        <v>46331</v>
      </c>
      <c r="B755" s="6" t="s">
        <v>20</v>
      </c>
      <c r="C755" s="6" t="s">
        <v>154</v>
      </c>
      <c r="D755" s="7" t="n">
        <v>-0.2082</v>
      </c>
      <c r="E755" s="6" t="str">
        <f aca="false">IF(D755&gt;Settings!$C$4,"Bullish",IF(D755&lt;-Settings!$C$4,"Bearish","Neutral"))</f>
        <v>Bearish</v>
      </c>
      <c r="F755" s="8" t="n">
        <v>0.491</v>
      </c>
      <c r="G755" s="20"/>
      <c r="H755" s="6" t="str">
        <f aca="false">IF(G755="","",IF(G755&gt;0,"Bullish",IF(G755&lt;0,"Bearish","Flat")))</f>
        <v/>
      </c>
      <c r="I755" s="6" t="str">
        <f aca="false">IF(OR(G755="",E755="Neutral"),"",IF(E755=H755,1,0))</f>
        <v/>
      </c>
      <c r="J755" s="6" t="s">
        <v>161</v>
      </c>
    </row>
    <row r="756" customFormat="false" ht="15" hidden="false" customHeight="false" outlineLevel="0" collapsed="false">
      <c r="A756" s="19" t="n">
        <v>46331</v>
      </c>
      <c r="B756" s="6" t="s">
        <v>20</v>
      </c>
      <c r="C756" s="6" t="s">
        <v>149</v>
      </c>
      <c r="D756" s="7" t="n">
        <v>0.0094</v>
      </c>
      <c r="E756" s="6" t="str">
        <f aca="false">IF(D756&gt;Settings!$C$4,"Bullish",IF(D756&lt;-Settings!$C$4,"Bearish","Neutral"))</f>
        <v>Neutral</v>
      </c>
      <c r="F756" s="8"/>
      <c r="G756" s="20"/>
      <c r="H756" s="6" t="str">
        <f aca="false">IF(G756="","",IF(G756&gt;0,"Bullish",IF(G756&lt;0,"Bearish","Flat")))</f>
        <v/>
      </c>
      <c r="I756" s="6" t="str">
        <f aca="false">IF(OR(G756="",E756="Neutral"),"",IF(E756=H756,1,0))</f>
        <v/>
      </c>
      <c r="J756" s="6" t="s">
        <v>161</v>
      </c>
    </row>
    <row r="757" customFormat="false" ht="15" hidden="false" customHeight="false" outlineLevel="0" collapsed="false">
      <c r="A757" s="19" t="n">
        <v>46331</v>
      </c>
      <c r="B757" s="6" t="s">
        <v>22</v>
      </c>
      <c r="C757" s="6" t="s">
        <v>154</v>
      </c>
      <c r="D757" s="7" t="n">
        <v>-0.2456</v>
      </c>
      <c r="E757" s="6" t="str">
        <f aca="false">IF(D757&gt;Settings!$C$4,"Bullish",IF(D757&lt;-Settings!$C$4,"Bearish","Neutral"))</f>
        <v>Bearish</v>
      </c>
      <c r="F757" s="8" t="n">
        <v>0.514</v>
      </c>
      <c r="G757" s="20"/>
      <c r="H757" s="6" t="str">
        <f aca="false">IF(G757="","",IF(G757&gt;0,"Bullish",IF(G757&lt;0,"Bearish","Flat")))</f>
        <v/>
      </c>
      <c r="I757" s="6" t="str">
        <f aca="false">IF(OR(G757="",E757="Neutral"),"",IF(E757=H757,1,0))</f>
        <v/>
      </c>
      <c r="J757" s="6" t="s">
        <v>161</v>
      </c>
    </row>
    <row r="758" customFormat="false" ht="15" hidden="false" customHeight="false" outlineLevel="0" collapsed="false">
      <c r="A758" s="19" t="n">
        <v>46331</v>
      </c>
      <c r="B758" s="6" t="s">
        <v>22</v>
      </c>
      <c r="C758" s="6" t="s">
        <v>149</v>
      </c>
      <c r="D758" s="7" t="n">
        <v>0.4387</v>
      </c>
      <c r="E758" s="6" t="str">
        <f aca="false">IF(D758&gt;Settings!$C$4,"Bullish",IF(D758&lt;-Settings!$C$4,"Bearish","Neutral"))</f>
        <v>Bullish</v>
      </c>
      <c r="F758" s="8" t="n">
        <v>0.527</v>
      </c>
      <c r="G758" s="20"/>
      <c r="H758" s="6" t="str">
        <f aca="false">IF(G758="","",IF(G758&gt;0,"Bullish",IF(G758&lt;0,"Bearish","Flat")))</f>
        <v/>
      </c>
      <c r="I758" s="6" t="str">
        <f aca="false">IF(OR(G758="",E758="Neutral"),"",IF(E758=H758,1,0))</f>
        <v/>
      </c>
      <c r="J758" s="6" t="s">
        <v>161</v>
      </c>
    </row>
    <row r="759" customFormat="false" ht="15" hidden="false" customHeight="false" outlineLevel="0" collapsed="false">
      <c r="A759" s="19" t="n">
        <v>46331</v>
      </c>
      <c r="B759" s="6" t="s">
        <v>52</v>
      </c>
      <c r="C759" s="6" t="s">
        <v>154</v>
      </c>
      <c r="D759" s="7" t="n">
        <v>-0.1809</v>
      </c>
      <c r="E759" s="6" t="str">
        <f aca="false">IF(D759&gt;Settings!$C$4,"Bullish",IF(D759&lt;-Settings!$C$4,"Bearish","Neutral"))</f>
        <v>Bearish</v>
      </c>
      <c r="F759" s="8" t="n">
        <v>0.494</v>
      </c>
      <c r="G759" s="20"/>
      <c r="H759" s="6" t="str">
        <f aca="false">IF(G759="","",IF(G759&gt;0,"Bullish",IF(G759&lt;0,"Bearish","Flat")))</f>
        <v/>
      </c>
      <c r="I759" s="6" t="str">
        <f aca="false">IF(OR(G759="",E759="Neutral"),"",IF(E759=H759,1,0))</f>
        <v/>
      </c>
      <c r="J759" s="6" t="s">
        <v>161</v>
      </c>
    </row>
    <row r="760" customFormat="false" ht="15" hidden="false" customHeight="false" outlineLevel="0" collapsed="false">
      <c r="A760" s="19" t="n">
        <v>46331</v>
      </c>
      <c r="B760" s="6" t="s">
        <v>52</v>
      </c>
      <c r="C760" s="6" t="s">
        <v>149</v>
      </c>
      <c r="D760" s="7" t="n">
        <v>-0.1493</v>
      </c>
      <c r="E760" s="6" t="str">
        <f aca="false">IF(D760&gt;Settings!$C$4,"Bullish",IF(D760&lt;-Settings!$C$4,"Bearish","Neutral"))</f>
        <v>Neutral</v>
      </c>
      <c r="F760" s="8"/>
      <c r="G760" s="20"/>
      <c r="H760" s="6" t="str">
        <f aca="false">IF(G760="","",IF(G760&gt;0,"Bullish",IF(G760&lt;0,"Bearish","Flat")))</f>
        <v/>
      </c>
      <c r="I760" s="6" t="str">
        <f aca="false">IF(OR(G760="",E760="Neutral"),"",IF(E760=H760,1,0))</f>
        <v/>
      </c>
      <c r="J760" s="6" t="s">
        <v>161</v>
      </c>
    </row>
    <row r="761" customFormat="false" ht="15" hidden="false" customHeight="false" outlineLevel="0" collapsed="false">
      <c r="A761" s="19" t="n">
        <v>46331</v>
      </c>
      <c r="B761" s="6" t="s">
        <v>30</v>
      </c>
      <c r="C761" s="6" t="s">
        <v>154</v>
      </c>
      <c r="D761" s="7" t="n">
        <v>0.0446</v>
      </c>
      <c r="E761" s="6" t="str">
        <f aca="false">IF(D761&gt;Settings!$C$4,"Bullish",IF(D761&lt;-Settings!$C$4,"Bearish","Neutral"))</f>
        <v>Neutral</v>
      </c>
      <c r="F761" s="8"/>
      <c r="G761" s="20"/>
      <c r="H761" s="6" t="str">
        <f aca="false">IF(G761="","",IF(G761&gt;0,"Bullish",IF(G761&lt;0,"Bearish","Flat")))</f>
        <v/>
      </c>
      <c r="I761" s="6" t="str">
        <f aca="false">IF(OR(G761="",E761="Neutral"),"",IF(E761=H761,1,0))</f>
        <v/>
      </c>
      <c r="J761" s="6" t="s">
        <v>161</v>
      </c>
    </row>
    <row r="762" customFormat="false" ht="15" hidden="false" customHeight="false" outlineLevel="0" collapsed="false">
      <c r="A762" s="19" t="n">
        <v>46331</v>
      </c>
      <c r="B762" s="6" t="s">
        <v>30</v>
      </c>
      <c r="C762" s="6" t="s">
        <v>149</v>
      </c>
      <c r="D762" s="7" t="n">
        <v>0.316</v>
      </c>
      <c r="E762" s="6" t="str">
        <f aca="false">IF(D762&gt;Settings!$C$4,"Bullish",IF(D762&lt;-Settings!$C$4,"Bearish","Neutral"))</f>
        <v>Bullish</v>
      </c>
      <c r="F762" s="8" t="n">
        <v>0.525</v>
      </c>
      <c r="G762" s="20"/>
      <c r="H762" s="6" t="str">
        <f aca="false">IF(G762="","",IF(G762&gt;0,"Bullish",IF(G762&lt;0,"Bearish","Flat")))</f>
        <v/>
      </c>
      <c r="I762" s="6" t="str">
        <f aca="false">IF(OR(G762="",E762="Neutral"),"",IF(E762=H762,1,0))</f>
        <v/>
      </c>
      <c r="J762" s="6" t="s">
        <v>161</v>
      </c>
    </row>
    <row r="763" customFormat="false" ht="15" hidden="false" customHeight="false" outlineLevel="0" collapsed="false">
      <c r="A763" s="19" t="n">
        <v>46331</v>
      </c>
      <c r="B763" s="6" t="s">
        <v>50</v>
      </c>
      <c r="C763" s="6" t="s">
        <v>154</v>
      </c>
      <c r="D763" s="7" t="n">
        <v>-0.6837</v>
      </c>
      <c r="E763" s="6" t="str">
        <f aca="false">IF(D763&gt;Settings!$C$4,"Bullish",IF(D763&lt;-Settings!$C$4,"Bearish","Neutral"))</f>
        <v>Bearish</v>
      </c>
      <c r="F763" s="8" t="n">
        <v>0.518</v>
      </c>
      <c r="G763" s="20"/>
      <c r="H763" s="6" t="str">
        <f aca="false">IF(G763="","",IF(G763&gt;0,"Bullish",IF(G763&lt;0,"Bearish","Flat")))</f>
        <v/>
      </c>
      <c r="I763" s="6" t="str">
        <f aca="false">IF(OR(G763="",E763="Neutral"),"",IF(E763=H763,1,0))</f>
        <v/>
      </c>
      <c r="J763" s="6" t="s">
        <v>161</v>
      </c>
    </row>
    <row r="764" customFormat="false" ht="15" hidden="false" customHeight="false" outlineLevel="0" collapsed="false">
      <c r="A764" s="19" t="n">
        <v>46331</v>
      </c>
      <c r="B764" s="6" t="s">
        <v>50</v>
      </c>
      <c r="C764" s="6" t="s">
        <v>149</v>
      </c>
      <c r="D764" s="7" t="n">
        <v>0.5928</v>
      </c>
      <c r="E764" s="6" t="str">
        <f aca="false">IF(D764&gt;Settings!$C$4,"Bullish",IF(D764&lt;-Settings!$C$4,"Bearish","Neutral"))</f>
        <v>Bullish</v>
      </c>
      <c r="F764" s="8" t="n">
        <v>0.442</v>
      </c>
      <c r="G764" s="20"/>
      <c r="H764" s="6" t="str">
        <f aca="false">IF(G764="","",IF(G764&gt;0,"Bullish",IF(G764&lt;0,"Bearish","Flat")))</f>
        <v/>
      </c>
      <c r="I764" s="6" t="str">
        <f aca="false">IF(OR(G764="",E764="Neutral"),"",IF(E764=H764,1,0))</f>
        <v/>
      </c>
      <c r="J764" s="6" t="s">
        <v>161</v>
      </c>
    </row>
    <row r="765" customFormat="false" ht="15" hidden="false" customHeight="false" outlineLevel="0" collapsed="false">
      <c r="A765" s="19" t="n">
        <v>46331</v>
      </c>
      <c r="B765" s="6" t="s">
        <v>34</v>
      </c>
      <c r="C765" s="6" t="s">
        <v>154</v>
      </c>
      <c r="D765" s="7" t="n">
        <v>-0.12</v>
      </c>
      <c r="E765" s="6" t="str">
        <f aca="false">IF(D765&gt;Settings!$C$4,"Bullish",IF(D765&lt;-Settings!$C$4,"Bearish","Neutral"))</f>
        <v>Neutral</v>
      </c>
      <c r="F765" s="8"/>
      <c r="G765" s="20"/>
      <c r="H765" s="6" t="str">
        <f aca="false">IF(G765="","",IF(G765&gt;0,"Bullish",IF(G765&lt;0,"Bearish","Flat")))</f>
        <v/>
      </c>
      <c r="I765" s="6" t="str">
        <f aca="false">IF(OR(G765="",E765="Neutral"),"",IF(E765=H765,1,0))</f>
        <v/>
      </c>
      <c r="J765" s="6" t="s">
        <v>161</v>
      </c>
    </row>
    <row r="766" customFormat="false" ht="15" hidden="false" customHeight="false" outlineLevel="0" collapsed="false">
      <c r="A766" s="19" t="n">
        <v>46331</v>
      </c>
      <c r="B766" s="6" t="s">
        <v>34</v>
      </c>
      <c r="C766" s="6" t="s">
        <v>149</v>
      </c>
      <c r="D766" s="7" t="n">
        <v>-0.0483</v>
      </c>
      <c r="E766" s="6" t="str">
        <f aca="false">IF(D766&gt;Settings!$C$4,"Bullish",IF(D766&lt;-Settings!$C$4,"Bearish","Neutral"))</f>
        <v>Neutral</v>
      </c>
      <c r="F766" s="8"/>
      <c r="G766" s="20"/>
      <c r="H766" s="6" t="str">
        <f aca="false">IF(G766="","",IF(G766&gt;0,"Bullish",IF(G766&lt;0,"Bearish","Flat")))</f>
        <v/>
      </c>
      <c r="I766" s="6" t="str">
        <f aca="false">IF(OR(G766="",E766="Neutral"),"",IF(E766=H766,1,0))</f>
        <v/>
      </c>
      <c r="J766" s="6" t="s">
        <v>161</v>
      </c>
    </row>
    <row r="767" customFormat="false" ht="15" hidden="false" customHeight="false" outlineLevel="0" collapsed="false">
      <c r="A767" s="19" t="n">
        <v>46331</v>
      </c>
      <c r="B767" s="6" t="s">
        <v>35</v>
      </c>
      <c r="C767" s="6" t="s">
        <v>154</v>
      </c>
      <c r="D767" s="7" t="n">
        <v>0.2283</v>
      </c>
      <c r="E767" s="6" t="str">
        <f aca="false">IF(D767&gt;Settings!$C$4,"Bullish",IF(D767&lt;-Settings!$C$4,"Bearish","Neutral"))</f>
        <v>Bullish</v>
      </c>
      <c r="F767" s="8" t="n">
        <v>0.531</v>
      </c>
      <c r="G767" s="20"/>
      <c r="H767" s="6" t="str">
        <f aca="false">IF(G767="","",IF(G767&gt;0,"Bullish",IF(G767&lt;0,"Bearish","Flat")))</f>
        <v/>
      </c>
      <c r="I767" s="6" t="str">
        <f aca="false">IF(OR(G767="",E767="Neutral"),"",IF(E767=H767,1,0))</f>
        <v/>
      </c>
      <c r="J767" s="6" t="s">
        <v>161</v>
      </c>
    </row>
    <row r="768" customFormat="false" ht="15" hidden="false" customHeight="false" outlineLevel="0" collapsed="false">
      <c r="A768" s="19" t="n">
        <v>46331</v>
      </c>
      <c r="B768" s="6" t="s">
        <v>35</v>
      </c>
      <c r="C768" s="6" t="s">
        <v>149</v>
      </c>
      <c r="D768" s="7" t="n">
        <v>0.2401</v>
      </c>
      <c r="E768" s="6" t="str">
        <f aca="false">IF(D768&gt;Settings!$C$4,"Bullish",IF(D768&lt;-Settings!$C$4,"Bearish","Neutral"))</f>
        <v>Bullish</v>
      </c>
      <c r="F768" s="8" t="n">
        <v>0.563</v>
      </c>
      <c r="G768" s="20"/>
      <c r="H768" s="6" t="str">
        <f aca="false">IF(G768="","",IF(G768&gt;0,"Bullish",IF(G768&lt;0,"Bearish","Flat")))</f>
        <v/>
      </c>
      <c r="I768" s="6" t="str">
        <f aca="false">IF(OR(G768="",E768="Neutral"),"",IF(E768=H768,1,0))</f>
        <v/>
      </c>
      <c r="J768" s="6" t="s">
        <v>161</v>
      </c>
    </row>
    <row r="769" customFormat="false" ht="15" hidden="false" customHeight="false" outlineLevel="0" collapsed="false">
      <c r="A769" s="19" t="n">
        <v>46331</v>
      </c>
      <c r="B769" s="6" t="s">
        <v>37</v>
      </c>
      <c r="C769" s="6" t="s">
        <v>154</v>
      </c>
      <c r="D769" s="7" t="n">
        <v>-0.7095</v>
      </c>
      <c r="E769" s="6" t="str">
        <f aca="false">IF(D769&gt;Settings!$C$4,"Bullish",IF(D769&lt;-Settings!$C$4,"Bearish","Neutral"))</f>
        <v>Bearish</v>
      </c>
      <c r="F769" s="8" t="n">
        <v>0.52</v>
      </c>
      <c r="G769" s="20"/>
      <c r="H769" s="6" t="str">
        <f aca="false">IF(G769="","",IF(G769&gt;0,"Bullish",IF(G769&lt;0,"Bearish","Flat")))</f>
        <v/>
      </c>
      <c r="I769" s="6" t="str">
        <f aca="false">IF(OR(G769="",E769="Neutral"),"",IF(E769=H769,1,0))</f>
        <v/>
      </c>
      <c r="J769" s="6" t="s">
        <v>161</v>
      </c>
    </row>
    <row r="770" customFormat="false" ht="15" hidden="false" customHeight="false" outlineLevel="0" collapsed="false">
      <c r="A770" s="19" t="n">
        <v>46331</v>
      </c>
      <c r="B770" s="6" t="s">
        <v>37</v>
      </c>
      <c r="C770" s="6" t="s">
        <v>149</v>
      </c>
      <c r="D770" s="7" t="n">
        <v>0.4764</v>
      </c>
      <c r="E770" s="6" t="str">
        <f aca="false">IF(D770&gt;Settings!$C$4,"Bullish",IF(D770&lt;-Settings!$C$4,"Bearish","Neutral"))</f>
        <v>Bullish</v>
      </c>
      <c r="F770" s="8" t="n">
        <v>0.509</v>
      </c>
      <c r="G770" s="20"/>
      <c r="H770" s="6" t="str">
        <f aca="false">IF(G770="","",IF(G770&gt;0,"Bullish",IF(G770&lt;0,"Bearish","Flat")))</f>
        <v/>
      </c>
      <c r="I770" s="6" t="str">
        <f aca="false">IF(OR(G770="",E770="Neutral"),"",IF(E770=H770,1,0))</f>
        <v/>
      </c>
      <c r="J770" s="6" t="s">
        <v>161</v>
      </c>
    </row>
    <row r="771" customFormat="false" ht="15" hidden="false" customHeight="false" outlineLevel="0" collapsed="false">
      <c r="A771" s="19" t="n">
        <v>46331</v>
      </c>
      <c r="B771" s="6" t="s">
        <v>38</v>
      </c>
      <c r="C771" s="6" t="s">
        <v>154</v>
      </c>
      <c r="D771" s="7" t="n">
        <v>-0.12</v>
      </c>
      <c r="E771" s="6" t="str">
        <f aca="false">IF(D771&gt;Settings!$C$4,"Bullish",IF(D771&lt;-Settings!$C$4,"Bearish","Neutral"))</f>
        <v>Neutral</v>
      </c>
      <c r="F771" s="8"/>
      <c r="G771" s="20"/>
      <c r="H771" s="6" t="str">
        <f aca="false">IF(G771="","",IF(G771&gt;0,"Bullish",IF(G771&lt;0,"Bearish","Flat")))</f>
        <v/>
      </c>
      <c r="I771" s="6" t="str">
        <f aca="false">IF(OR(G771="",E771="Neutral"),"",IF(E771=H771,1,0))</f>
        <v/>
      </c>
      <c r="J771" s="6" t="s">
        <v>161</v>
      </c>
    </row>
    <row r="772" customFormat="false" ht="15" hidden="false" customHeight="false" outlineLevel="0" collapsed="false">
      <c r="A772" s="19" t="n">
        <v>46331</v>
      </c>
      <c r="B772" s="6" t="s">
        <v>38</v>
      </c>
      <c r="C772" s="6" t="s">
        <v>149</v>
      </c>
      <c r="D772" s="7" t="n">
        <v>-0.0089</v>
      </c>
      <c r="E772" s="6" t="str">
        <f aca="false">IF(D772&gt;Settings!$C$4,"Bullish",IF(D772&lt;-Settings!$C$4,"Bearish","Neutral"))</f>
        <v>Neutral</v>
      </c>
      <c r="F772" s="8"/>
      <c r="G772" s="20"/>
      <c r="H772" s="6" t="str">
        <f aca="false">IF(G772="","",IF(G772&gt;0,"Bullish",IF(G772&lt;0,"Bearish","Flat")))</f>
        <v/>
      </c>
      <c r="I772" s="6" t="str">
        <f aca="false">IF(OR(G772="",E772="Neutral"),"",IF(E772=H772,1,0))</f>
        <v/>
      </c>
      <c r="J772" s="6" t="s">
        <v>161</v>
      </c>
    </row>
    <row r="773" customFormat="false" ht="15" hidden="false" customHeight="false" outlineLevel="0" collapsed="false">
      <c r="A773" s="19" t="n">
        <v>46331</v>
      </c>
      <c r="B773" s="6" t="s">
        <v>53</v>
      </c>
      <c r="C773" s="6" t="s">
        <v>154</v>
      </c>
      <c r="D773" s="7" t="n">
        <v>0.098</v>
      </c>
      <c r="E773" s="6" t="str">
        <f aca="false">IF(D773&gt;Settings!$C$4,"Bullish",IF(D773&lt;-Settings!$C$4,"Bearish","Neutral"))</f>
        <v>Neutral</v>
      </c>
      <c r="F773" s="8"/>
      <c r="G773" s="20"/>
      <c r="H773" s="6" t="str">
        <f aca="false">IF(G773="","",IF(G773&gt;0,"Bullish",IF(G773&lt;0,"Bearish","Flat")))</f>
        <v/>
      </c>
      <c r="I773" s="6" t="str">
        <f aca="false">IF(OR(G773="",E773="Neutral"),"",IF(E773=H773,1,0))</f>
        <v/>
      </c>
      <c r="J773" s="6" t="s">
        <v>161</v>
      </c>
    </row>
    <row r="774" customFormat="false" ht="15" hidden="false" customHeight="false" outlineLevel="0" collapsed="false">
      <c r="A774" s="19" t="n">
        <v>46331</v>
      </c>
      <c r="B774" s="6" t="s">
        <v>53</v>
      </c>
      <c r="C774" s="6" t="s">
        <v>149</v>
      </c>
      <c r="D774" s="7" t="n">
        <v>-0.1491</v>
      </c>
      <c r="E774" s="6" t="str">
        <f aca="false">IF(D774&gt;Settings!$C$4,"Bullish",IF(D774&lt;-Settings!$C$4,"Bearish","Neutral"))</f>
        <v>Neutral</v>
      </c>
      <c r="F774" s="8"/>
      <c r="G774" s="20"/>
      <c r="H774" s="6" t="str">
        <f aca="false">IF(G774="","",IF(G774&gt;0,"Bullish",IF(G774&lt;0,"Bearish","Flat")))</f>
        <v/>
      </c>
      <c r="I774" s="6" t="str">
        <f aca="false">IF(OR(G774="",E774="Neutral"),"",IF(E774=H774,1,0))</f>
        <v/>
      </c>
      <c r="J774" s="6" t="s">
        <v>161</v>
      </c>
    </row>
    <row r="775" customFormat="false" ht="15" hidden="false" customHeight="false" outlineLevel="0" collapsed="false">
      <c r="A775" s="19" t="n">
        <v>46331</v>
      </c>
      <c r="B775" s="6" t="s">
        <v>18</v>
      </c>
      <c r="C775" s="6" t="s">
        <v>154</v>
      </c>
      <c r="D775" s="7" t="n">
        <v>-0.277</v>
      </c>
      <c r="E775" s="6" t="str">
        <f aca="false">IF(D775&gt;Settings!$C$4,"Bullish",IF(D775&lt;-Settings!$C$4,"Bearish","Neutral"))</f>
        <v>Bearish</v>
      </c>
      <c r="F775" s="8" t="n">
        <v>0.481</v>
      </c>
      <c r="G775" s="20"/>
      <c r="H775" s="6" t="str">
        <f aca="false">IF(G775="","",IF(G775&gt;0,"Bullish",IF(G775&lt;0,"Bearish","Flat")))</f>
        <v/>
      </c>
      <c r="I775" s="6" t="str">
        <f aca="false">IF(OR(G775="",E775="Neutral"),"",IF(E775=H775,1,0))</f>
        <v/>
      </c>
      <c r="J775" s="6" t="s">
        <v>161</v>
      </c>
    </row>
    <row r="776" customFormat="false" ht="15" hidden="false" customHeight="false" outlineLevel="0" collapsed="false">
      <c r="A776" s="19" t="n">
        <v>46331</v>
      </c>
      <c r="B776" s="6" t="s">
        <v>18</v>
      </c>
      <c r="C776" s="6" t="s">
        <v>149</v>
      </c>
      <c r="D776" s="7" t="n">
        <v>0.3325</v>
      </c>
      <c r="E776" s="6" t="str">
        <f aca="false">IF(D776&gt;Settings!$C$4,"Bullish",IF(D776&lt;-Settings!$C$4,"Bearish","Neutral"))</f>
        <v>Bullish</v>
      </c>
      <c r="F776" s="8" t="n">
        <v>0.51</v>
      </c>
      <c r="G776" s="20"/>
      <c r="H776" s="6" t="str">
        <f aca="false">IF(G776="","",IF(G776&gt;0,"Bullish",IF(G776&lt;0,"Bearish","Flat")))</f>
        <v/>
      </c>
      <c r="I776" s="6" t="str">
        <f aca="false">IF(OR(G776="",E776="Neutral"),"",IF(E776=H776,1,0))</f>
        <v/>
      </c>
      <c r="J776" s="6" t="s">
        <v>161</v>
      </c>
    </row>
    <row r="777" customFormat="false" ht="15" hidden="false" customHeight="false" outlineLevel="0" collapsed="false">
      <c r="A777" s="19" t="n">
        <v>46331</v>
      </c>
      <c r="B777" s="6" t="s">
        <v>40</v>
      </c>
      <c r="C777" s="6" t="s">
        <v>154</v>
      </c>
      <c r="D777" s="7" t="n">
        <v>-0.2741</v>
      </c>
      <c r="E777" s="6" t="str">
        <f aca="false">IF(D777&gt;Settings!$C$4,"Bullish",IF(D777&lt;-Settings!$C$4,"Bearish","Neutral"))</f>
        <v>Bearish</v>
      </c>
      <c r="F777" s="8" t="n">
        <v>0.527</v>
      </c>
      <c r="G777" s="20"/>
      <c r="H777" s="6" t="str">
        <f aca="false">IF(G777="","",IF(G777&gt;0,"Bullish",IF(G777&lt;0,"Bearish","Flat")))</f>
        <v/>
      </c>
      <c r="I777" s="6" t="str">
        <f aca="false">IF(OR(G777="",E777="Neutral"),"",IF(E777=H777,1,0))</f>
        <v/>
      </c>
      <c r="J777" s="6" t="s">
        <v>161</v>
      </c>
    </row>
    <row r="778" customFormat="false" ht="15" hidden="false" customHeight="false" outlineLevel="0" collapsed="false">
      <c r="A778" s="19" t="n">
        <v>46331</v>
      </c>
      <c r="B778" s="6" t="s">
        <v>40</v>
      </c>
      <c r="C778" s="6" t="s">
        <v>149</v>
      </c>
      <c r="D778" s="7" t="n">
        <v>0.0094</v>
      </c>
      <c r="E778" s="6" t="str">
        <f aca="false">IF(D778&gt;Settings!$C$4,"Bullish",IF(D778&lt;-Settings!$C$4,"Bearish","Neutral"))</f>
        <v>Neutral</v>
      </c>
      <c r="F778" s="8"/>
      <c r="G778" s="20"/>
      <c r="H778" s="6" t="str">
        <f aca="false">IF(G778="","",IF(G778&gt;0,"Bullish",IF(G778&lt;0,"Bearish","Flat")))</f>
        <v/>
      </c>
      <c r="I778" s="6" t="str">
        <f aca="false">IF(OR(G778="",E778="Neutral"),"",IF(E778=H778,1,0))</f>
        <v/>
      </c>
      <c r="J778" s="6" t="s">
        <v>161</v>
      </c>
    </row>
    <row r="779" customFormat="false" ht="15" hidden="false" customHeight="false" outlineLevel="0" collapsed="false">
      <c r="A779" s="19" t="n">
        <v>46331</v>
      </c>
      <c r="B779" s="6" t="s">
        <v>49</v>
      </c>
      <c r="C779" s="6" t="s">
        <v>154</v>
      </c>
      <c r="D779" s="7" t="n">
        <v>-0.7707</v>
      </c>
      <c r="E779" s="6" t="str">
        <f aca="false">IF(D779&gt;Settings!$C$4,"Bullish",IF(D779&lt;-Settings!$C$4,"Bearish","Neutral"))</f>
        <v>Bearish</v>
      </c>
      <c r="F779" s="8" t="n">
        <v>0.523</v>
      </c>
      <c r="G779" s="20"/>
      <c r="H779" s="6" t="str">
        <f aca="false">IF(G779="","",IF(G779&gt;0,"Bullish",IF(G779&lt;0,"Bearish","Flat")))</f>
        <v/>
      </c>
      <c r="I779" s="6" t="str">
        <f aca="false">IF(OR(G779="",E779="Neutral"),"",IF(E779=H779,1,0))</f>
        <v/>
      </c>
      <c r="J779" s="6" t="s">
        <v>161</v>
      </c>
    </row>
    <row r="780" customFormat="false" ht="15" hidden="false" customHeight="false" outlineLevel="0" collapsed="false">
      <c r="A780" s="19" t="n">
        <v>46331</v>
      </c>
      <c r="B780" s="6" t="s">
        <v>49</v>
      </c>
      <c r="C780" s="6" t="s">
        <v>149</v>
      </c>
      <c r="D780" s="7" t="n">
        <v>0.0094</v>
      </c>
      <c r="E780" s="6" t="str">
        <f aca="false">IF(D780&gt;Settings!$C$4,"Bullish",IF(D780&lt;-Settings!$C$4,"Bearish","Neutral"))</f>
        <v>Neutral</v>
      </c>
      <c r="F780" s="8"/>
      <c r="G780" s="20"/>
      <c r="H780" s="6" t="str">
        <f aca="false">IF(G780="","",IF(G780&gt;0,"Bullish",IF(G780&lt;0,"Bearish","Flat")))</f>
        <v/>
      </c>
      <c r="I780" s="6" t="str">
        <f aca="false">IF(OR(G780="",E780="Neutral"),"",IF(E780=H780,1,0))</f>
        <v/>
      </c>
      <c r="J780" s="6" t="s">
        <v>161</v>
      </c>
    </row>
    <row r="781" customFormat="false" ht="15" hidden="false" customHeight="false" outlineLevel="0" collapsed="false">
      <c r="A781" s="19" t="n">
        <v>46331</v>
      </c>
      <c r="B781" s="6" t="s">
        <v>43</v>
      </c>
      <c r="C781" s="6" t="s">
        <v>154</v>
      </c>
      <c r="D781" s="7" t="n">
        <v>0.1593</v>
      </c>
      <c r="E781" s="6" t="str">
        <f aca="false">IF(D781&gt;Settings!$C$4,"Bullish",IF(D781&lt;-Settings!$C$4,"Bearish","Neutral"))</f>
        <v>Bullish</v>
      </c>
      <c r="F781" s="8" t="n">
        <v>0.468</v>
      </c>
      <c r="G781" s="20"/>
      <c r="H781" s="6" t="str">
        <f aca="false">IF(G781="","",IF(G781&gt;0,"Bullish",IF(G781&lt;0,"Bearish","Flat")))</f>
        <v/>
      </c>
      <c r="I781" s="6" t="str">
        <f aca="false">IF(OR(G781="",E781="Neutral"),"",IF(E781=H781,1,0))</f>
        <v/>
      </c>
      <c r="J781" s="6" t="s">
        <v>161</v>
      </c>
    </row>
    <row r="782" customFormat="false" ht="15" hidden="false" customHeight="false" outlineLevel="0" collapsed="false">
      <c r="A782" s="19" t="n">
        <v>46331</v>
      </c>
      <c r="B782" s="6" t="s">
        <v>43</v>
      </c>
      <c r="C782" s="6" t="s">
        <v>149</v>
      </c>
      <c r="D782" s="7" t="n">
        <v>-0.0483</v>
      </c>
      <c r="E782" s="6" t="str">
        <f aca="false">IF(D782&gt;Settings!$C$4,"Bullish",IF(D782&lt;-Settings!$C$4,"Bearish","Neutral"))</f>
        <v>Neutral</v>
      </c>
      <c r="F782" s="8"/>
      <c r="G782" s="20"/>
      <c r="H782" s="6" t="str">
        <f aca="false">IF(G782="","",IF(G782&gt;0,"Bullish",IF(G782&lt;0,"Bearish","Flat")))</f>
        <v/>
      </c>
      <c r="I782" s="6" t="str">
        <f aca="false">IF(OR(G782="",E782="Neutral"),"",IF(E782=H782,1,0))</f>
        <v/>
      </c>
      <c r="J782" s="6" t="s">
        <v>161</v>
      </c>
    </row>
    <row r="783" customFormat="false" ht="15" hidden="false" customHeight="false" outlineLevel="0" collapsed="false">
      <c r="A783" s="19" t="n">
        <v>46331</v>
      </c>
      <c r="B783" s="6" t="s">
        <v>51</v>
      </c>
      <c r="C783" s="6" t="s">
        <v>154</v>
      </c>
      <c r="D783" s="7" t="n">
        <v>-0.098</v>
      </c>
      <c r="E783" s="6" t="str">
        <f aca="false">IF(D783&gt;Settings!$C$4,"Bullish",IF(D783&lt;-Settings!$C$4,"Bearish","Neutral"))</f>
        <v>Neutral</v>
      </c>
      <c r="F783" s="8"/>
      <c r="G783" s="20"/>
      <c r="H783" s="6" t="str">
        <f aca="false">IF(G783="","",IF(G783&gt;0,"Bullish",IF(G783&lt;0,"Bearish","Flat")))</f>
        <v/>
      </c>
      <c r="I783" s="6" t="str">
        <f aca="false">IF(OR(G783="",E783="Neutral"),"",IF(E783=H783,1,0))</f>
        <v/>
      </c>
      <c r="J783" s="6" t="s">
        <v>161</v>
      </c>
    </row>
    <row r="784" customFormat="false" ht="15" hidden="false" customHeight="false" outlineLevel="0" collapsed="false">
      <c r="A784" s="19" t="n">
        <v>46331</v>
      </c>
      <c r="B784" s="6" t="s">
        <v>51</v>
      </c>
      <c r="C784" s="6" t="s">
        <v>149</v>
      </c>
      <c r="D784" s="7" t="n">
        <v>-0.146</v>
      </c>
      <c r="E784" s="6" t="str">
        <f aca="false">IF(D784&gt;Settings!$C$4,"Bullish",IF(D784&lt;-Settings!$C$4,"Bearish","Neutral"))</f>
        <v>Neutral</v>
      </c>
      <c r="F784" s="8"/>
      <c r="G784" s="20"/>
      <c r="H784" s="6" t="str">
        <f aca="false">IF(G784="","",IF(G784&gt;0,"Bullish",IF(G784&lt;0,"Bearish","Flat")))</f>
        <v/>
      </c>
      <c r="I784" s="6" t="str">
        <f aca="false">IF(OR(G784="",E784="Neutral"),"",IF(E784=H784,1,0))</f>
        <v/>
      </c>
      <c r="J784" s="6" t="s">
        <v>161</v>
      </c>
    </row>
    <row r="785" customFormat="false" ht="15" hidden="false" customHeight="false" outlineLevel="0" collapsed="false">
      <c r="A785" s="19" t="n">
        <v>46332</v>
      </c>
      <c r="B785" s="6" t="s">
        <v>20</v>
      </c>
      <c r="C785" s="6" t="s">
        <v>154</v>
      </c>
      <c r="D785" s="7" t="n">
        <v>-0.2082</v>
      </c>
      <c r="E785" s="6" t="str">
        <f aca="false">IF(D785&gt;Settings!$C$4,"Bullish",IF(D785&lt;-Settings!$C$4,"Bearish","Neutral"))</f>
        <v>Bearish</v>
      </c>
      <c r="F785" s="8" t="n">
        <v>0.491</v>
      </c>
      <c r="G785" s="20"/>
      <c r="H785" s="6" t="str">
        <f aca="false">IF(G785="","",IF(G785&gt;0,"Bullish",IF(G785&lt;0,"Bearish","Flat")))</f>
        <v/>
      </c>
      <c r="I785" s="6" t="str">
        <f aca="false">IF(OR(G785="",E785="Neutral"),"",IF(E785=H785,1,0))</f>
        <v/>
      </c>
      <c r="J785" s="6" t="s">
        <v>161</v>
      </c>
    </row>
    <row r="786" customFormat="false" ht="15" hidden="false" customHeight="false" outlineLevel="0" collapsed="false">
      <c r="A786" s="19" t="n">
        <v>46332</v>
      </c>
      <c r="B786" s="6" t="s">
        <v>20</v>
      </c>
      <c r="C786" s="6" t="s">
        <v>149</v>
      </c>
      <c r="D786" s="7" t="n">
        <v>0.0094</v>
      </c>
      <c r="E786" s="6" t="str">
        <f aca="false">IF(D786&gt;Settings!$C$4,"Bullish",IF(D786&lt;-Settings!$C$4,"Bearish","Neutral"))</f>
        <v>Neutral</v>
      </c>
      <c r="F786" s="8"/>
      <c r="G786" s="20"/>
      <c r="H786" s="6" t="str">
        <f aca="false">IF(G786="","",IF(G786&gt;0,"Bullish",IF(G786&lt;0,"Bearish","Flat")))</f>
        <v/>
      </c>
      <c r="I786" s="6" t="str">
        <f aca="false">IF(OR(G786="",E786="Neutral"),"",IF(E786=H786,1,0))</f>
        <v/>
      </c>
      <c r="J786" s="6" t="s">
        <v>161</v>
      </c>
    </row>
    <row r="787" customFormat="false" ht="15" hidden="false" customHeight="false" outlineLevel="0" collapsed="false">
      <c r="A787" s="19" t="n">
        <v>46332</v>
      </c>
      <c r="B787" s="6" t="s">
        <v>22</v>
      </c>
      <c r="C787" s="6" t="s">
        <v>154</v>
      </c>
      <c r="D787" s="7" t="n">
        <v>-0.5133</v>
      </c>
      <c r="E787" s="6" t="str">
        <f aca="false">IF(D787&gt;Settings!$C$4,"Bullish",IF(D787&lt;-Settings!$C$4,"Bearish","Neutral"))</f>
        <v>Bearish</v>
      </c>
      <c r="F787" s="8" t="n">
        <v>0.488</v>
      </c>
      <c r="G787" s="20"/>
      <c r="H787" s="6" t="str">
        <f aca="false">IF(G787="","",IF(G787&gt;0,"Bullish",IF(G787&lt;0,"Bearish","Flat")))</f>
        <v/>
      </c>
      <c r="I787" s="6" t="str">
        <f aca="false">IF(OR(G787="",E787="Neutral"),"",IF(E787=H787,1,0))</f>
        <v/>
      </c>
      <c r="J787" s="6" t="s">
        <v>161</v>
      </c>
    </row>
    <row r="788" customFormat="false" ht="15" hidden="false" customHeight="false" outlineLevel="0" collapsed="false">
      <c r="A788" s="19" t="n">
        <v>46332</v>
      </c>
      <c r="B788" s="6" t="s">
        <v>22</v>
      </c>
      <c r="C788" s="6" t="s">
        <v>149</v>
      </c>
      <c r="D788" s="7" t="n">
        <v>0.5296</v>
      </c>
      <c r="E788" s="6" t="str">
        <f aca="false">IF(D788&gt;Settings!$C$4,"Bullish",IF(D788&lt;-Settings!$C$4,"Bearish","Neutral"))</f>
        <v>Bullish</v>
      </c>
      <c r="F788" s="8" t="n">
        <v>0.496</v>
      </c>
      <c r="G788" s="20"/>
      <c r="H788" s="6" t="str">
        <f aca="false">IF(G788="","",IF(G788&gt;0,"Bullish",IF(G788&lt;0,"Bearish","Flat")))</f>
        <v/>
      </c>
      <c r="I788" s="6" t="str">
        <f aca="false">IF(OR(G788="",E788="Neutral"),"",IF(E788=H788,1,0))</f>
        <v/>
      </c>
      <c r="J788" s="6" t="s">
        <v>161</v>
      </c>
    </row>
    <row r="789" customFormat="false" ht="15" hidden="false" customHeight="false" outlineLevel="0" collapsed="false">
      <c r="A789" s="19" t="n">
        <v>46332</v>
      </c>
      <c r="B789" s="6" t="s">
        <v>52</v>
      </c>
      <c r="C789" s="6" t="s">
        <v>154</v>
      </c>
      <c r="D789" s="7" t="n">
        <v>-0.8465</v>
      </c>
      <c r="E789" s="6" t="str">
        <f aca="false">IF(D789&gt;Settings!$C$4,"Bullish",IF(D789&lt;-Settings!$C$4,"Bearish","Neutral"))</f>
        <v>Bearish</v>
      </c>
      <c r="F789" s="8" t="n">
        <v>0.467</v>
      </c>
      <c r="G789" s="20"/>
      <c r="H789" s="6" t="str">
        <f aca="false">IF(G789="","",IF(G789&gt;0,"Bullish",IF(G789&lt;0,"Bearish","Flat")))</f>
        <v/>
      </c>
      <c r="I789" s="6" t="str">
        <f aca="false">IF(OR(G789="",E789="Neutral"),"",IF(E789=H789,1,0))</f>
        <v/>
      </c>
      <c r="J789" s="6" t="s">
        <v>161</v>
      </c>
    </row>
    <row r="790" customFormat="false" ht="15" hidden="false" customHeight="false" outlineLevel="0" collapsed="false">
      <c r="A790" s="19" t="n">
        <v>46332</v>
      </c>
      <c r="B790" s="6" t="s">
        <v>52</v>
      </c>
      <c r="C790" s="6" t="s">
        <v>149</v>
      </c>
      <c r="D790" s="7" t="n">
        <v>-0.148</v>
      </c>
      <c r="E790" s="6" t="str">
        <f aca="false">IF(D790&gt;Settings!$C$4,"Bullish",IF(D790&lt;-Settings!$C$4,"Bearish","Neutral"))</f>
        <v>Neutral</v>
      </c>
      <c r="F790" s="8"/>
      <c r="G790" s="20"/>
      <c r="H790" s="6" t="str">
        <f aca="false">IF(G790="","",IF(G790&gt;0,"Bullish",IF(G790&lt;0,"Bearish","Flat")))</f>
        <v/>
      </c>
      <c r="I790" s="6" t="str">
        <f aca="false">IF(OR(G790="",E790="Neutral"),"",IF(E790=H790,1,0))</f>
        <v/>
      </c>
      <c r="J790" s="6" t="s">
        <v>161</v>
      </c>
    </row>
    <row r="791" customFormat="false" ht="15" hidden="false" customHeight="false" outlineLevel="0" collapsed="false">
      <c r="A791" s="19" t="n">
        <v>46332</v>
      </c>
      <c r="B791" s="6" t="s">
        <v>30</v>
      </c>
      <c r="C791" s="6" t="s">
        <v>154</v>
      </c>
      <c r="D791" s="7" t="n">
        <v>-0.8368</v>
      </c>
      <c r="E791" s="6" t="str">
        <f aca="false">IF(D791&gt;Settings!$C$4,"Bullish",IF(D791&lt;-Settings!$C$4,"Bearish","Neutral"))</f>
        <v>Bearish</v>
      </c>
      <c r="F791" s="8" t="n">
        <v>0.51</v>
      </c>
      <c r="G791" s="20"/>
      <c r="H791" s="6" t="str">
        <f aca="false">IF(G791="","",IF(G791&gt;0,"Bullish",IF(G791&lt;0,"Bearish","Flat")))</f>
        <v/>
      </c>
      <c r="I791" s="6" t="str">
        <f aca="false">IF(OR(G791="",E791="Neutral"),"",IF(E791=H791,1,0))</f>
        <v/>
      </c>
      <c r="J791" s="6" t="s">
        <v>161</v>
      </c>
    </row>
    <row r="792" customFormat="false" ht="15" hidden="false" customHeight="false" outlineLevel="0" collapsed="false">
      <c r="A792" s="19" t="n">
        <v>46332</v>
      </c>
      <c r="B792" s="6" t="s">
        <v>30</v>
      </c>
      <c r="C792" s="6" t="s">
        <v>149</v>
      </c>
      <c r="D792" s="7" t="n">
        <v>0.4133</v>
      </c>
      <c r="E792" s="6" t="str">
        <f aca="false">IF(D792&gt;Settings!$C$4,"Bullish",IF(D792&lt;-Settings!$C$4,"Bearish","Neutral"))</f>
        <v>Bullish</v>
      </c>
      <c r="F792" s="8" t="n">
        <v>0.525</v>
      </c>
      <c r="G792" s="20"/>
      <c r="H792" s="6" t="str">
        <f aca="false">IF(G792="","",IF(G792&gt;0,"Bullish",IF(G792&lt;0,"Bearish","Flat")))</f>
        <v/>
      </c>
      <c r="I792" s="6" t="str">
        <f aca="false">IF(OR(G792="",E792="Neutral"),"",IF(E792=H792,1,0))</f>
        <v/>
      </c>
      <c r="J792" s="6" t="s">
        <v>161</v>
      </c>
    </row>
    <row r="793" customFormat="false" ht="15" hidden="false" customHeight="false" outlineLevel="0" collapsed="false">
      <c r="A793" s="19" t="n">
        <v>46332</v>
      </c>
      <c r="B793" s="6" t="s">
        <v>50</v>
      </c>
      <c r="C793" s="6" t="s">
        <v>154</v>
      </c>
      <c r="D793" s="7" t="n">
        <v>-0.0606</v>
      </c>
      <c r="E793" s="6" t="str">
        <f aca="false">IF(D793&gt;Settings!$C$4,"Bullish",IF(D793&lt;-Settings!$C$4,"Bearish","Neutral"))</f>
        <v>Neutral</v>
      </c>
      <c r="F793" s="8"/>
      <c r="G793" s="20"/>
      <c r="H793" s="6" t="str">
        <f aca="false">IF(G793="","",IF(G793&gt;0,"Bullish",IF(G793&lt;0,"Bearish","Flat")))</f>
        <v/>
      </c>
      <c r="I793" s="6" t="str">
        <f aca="false">IF(OR(G793="",E793="Neutral"),"",IF(E793=H793,1,0))</f>
        <v/>
      </c>
      <c r="J793" s="6" t="s">
        <v>161</v>
      </c>
    </row>
    <row r="794" customFormat="false" ht="15" hidden="false" customHeight="false" outlineLevel="0" collapsed="false">
      <c r="A794" s="19" t="n">
        <v>46332</v>
      </c>
      <c r="B794" s="6" t="s">
        <v>50</v>
      </c>
      <c r="C794" s="6" t="s">
        <v>149</v>
      </c>
      <c r="D794" s="7" t="n">
        <v>0.5963</v>
      </c>
      <c r="E794" s="6" t="str">
        <f aca="false">IF(D794&gt;Settings!$C$4,"Bullish",IF(D794&lt;-Settings!$C$4,"Bearish","Neutral"))</f>
        <v>Bullish</v>
      </c>
      <c r="F794" s="8" t="n">
        <v>0.442</v>
      </c>
      <c r="G794" s="20"/>
      <c r="H794" s="6" t="str">
        <f aca="false">IF(G794="","",IF(G794&gt;0,"Bullish",IF(G794&lt;0,"Bearish","Flat")))</f>
        <v/>
      </c>
      <c r="I794" s="6" t="str">
        <f aca="false">IF(OR(G794="",E794="Neutral"),"",IF(E794=H794,1,0))</f>
        <v/>
      </c>
      <c r="J794" s="6" t="s">
        <v>161</v>
      </c>
    </row>
    <row r="795" customFormat="false" ht="15" hidden="false" customHeight="false" outlineLevel="0" collapsed="false">
      <c r="A795" s="19" t="n">
        <v>46332</v>
      </c>
      <c r="B795" s="6" t="s">
        <v>34</v>
      </c>
      <c r="C795" s="6" t="s">
        <v>154</v>
      </c>
      <c r="D795" s="7" t="n">
        <v>-0.0822</v>
      </c>
      <c r="E795" s="6" t="str">
        <f aca="false">IF(D795&gt;Settings!$C$4,"Bullish",IF(D795&lt;-Settings!$C$4,"Bearish","Neutral"))</f>
        <v>Neutral</v>
      </c>
      <c r="F795" s="8"/>
      <c r="G795" s="20"/>
      <c r="H795" s="6" t="str">
        <f aca="false">IF(G795="","",IF(G795&gt;0,"Bullish",IF(G795&lt;0,"Bearish","Flat")))</f>
        <v/>
      </c>
      <c r="I795" s="6" t="str">
        <f aca="false">IF(OR(G795="",E795="Neutral"),"",IF(E795=H795,1,0))</f>
        <v/>
      </c>
      <c r="J795" s="6" t="s">
        <v>161</v>
      </c>
    </row>
    <row r="796" customFormat="false" ht="15" hidden="false" customHeight="false" outlineLevel="0" collapsed="false">
      <c r="A796" s="19" t="n">
        <v>46332</v>
      </c>
      <c r="B796" s="6" t="s">
        <v>34</v>
      </c>
      <c r="C796" s="6" t="s">
        <v>149</v>
      </c>
      <c r="D796" s="7" t="n">
        <v>-0.0083</v>
      </c>
      <c r="E796" s="6" t="str">
        <f aca="false">IF(D796&gt;Settings!$C$4,"Bullish",IF(D796&lt;-Settings!$C$4,"Bearish","Neutral"))</f>
        <v>Neutral</v>
      </c>
      <c r="F796" s="8"/>
      <c r="G796" s="20"/>
      <c r="H796" s="6" t="str">
        <f aca="false">IF(G796="","",IF(G796&gt;0,"Bullish",IF(G796&lt;0,"Bearish","Flat")))</f>
        <v/>
      </c>
      <c r="I796" s="6" t="str">
        <f aca="false">IF(OR(G796="",E796="Neutral"),"",IF(E796=H796,1,0))</f>
        <v/>
      </c>
      <c r="J796" s="6" t="s">
        <v>161</v>
      </c>
    </row>
    <row r="797" customFormat="false" ht="15" hidden="false" customHeight="false" outlineLevel="0" collapsed="false">
      <c r="A797" s="19" t="n">
        <v>46332</v>
      </c>
      <c r="B797" s="6" t="s">
        <v>35</v>
      </c>
      <c r="C797" s="6" t="s">
        <v>154</v>
      </c>
      <c r="D797" s="7" t="n">
        <v>-0.083</v>
      </c>
      <c r="E797" s="6" t="str">
        <f aca="false">IF(D797&gt;Settings!$C$4,"Bullish",IF(D797&lt;-Settings!$C$4,"Bearish","Neutral"))</f>
        <v>Neutral</v>
      </c>
      <c r="F797" s="8"/>
      <c r="G797" s="20"/>
      <c r="H797" s="6" t="str">
        <f aca="false">IF(G797="","",IF(G797&gt;0,"Bullish",IF(G797&lt;0,"Bearish","Flat")))</f>
        <v/>
      </c>
      <c r="I797" s="6" t="str">
        <f aca="false">IF(OR(G797="",E797="Neutral"),"",IF(E797=H797,1,0))</f>
        <v/>
      </c>
      <c r="J797" s="6" t="s">
        <v>161</v>
      </c>
    </row>
    <row r="798" customFormat="false" ht="15" hidden="false" customHeight="false" outlineLevel="0" collapsed="false">
      <c r="A798" s="19" t="n">
        <v>46332</v>
      </c>
      <c r="B798" s="6" t="s">
        <v>35</v>
      </c>
      <c r="C798" s="6" t="s">
        <v>149</v>
      </c>
      <c r="D798" s="7" t="n">
        <v>0.2956</v>
      </c>
      <c r="E798" s="6" t="str">
        <f aca="false">IF(D798&gt;Settings!$C$4,"Bullish",IF(D798&lt;-Settings!$C$4,"Bearish","Neutral"))</f>
        <v>Bullish</v>
      </c>
      <c r="F798" s="8" t="n">
        <v>0.563</v>
      </c>
      <c r="G798" s="20"/>
      <c r="H798" s="6" t="str">
        <f aca="false">IF(G798="","",IF(G798&gt;0,"Bullish",IF(G798&lt;0,"Bearish","Flat")))</f>
        <v/>
      </c>
      <c r="I798" s="6" t="str">
        <f aca="false">IF(OR(G798="",E798="Neutral"),"",IF(E798=H798,1,0))</f>
        <v/>
      </c>
      <c r="J798" s="6" t="s">
        <v>161</v>
      </c>
    </row>
    <row r="799" customFormat="false" ht="15" hidden="false" customHeight="false" outlineLevel="0" collapsed="false">
      <c r="A799" s="19" t="n">
        <v>46332</v>
      </c>
      <c r="B799" s="6" t="s">
        <v>37</v>
      </c>
      <c r="C799" s="6" t="s">
        <v>154</v>
      </c>
      <c r="D799" s="7" t="n">
        <v>-0.0298</v>
      </c>
      <c r="E799" s="6" t="str">
        <f aca="false">IF(D799&gt;Settings!$C$4,"Bullish",IF(D799&lt;-Settings!$C$4,"Bearish","Neutral"))</f>
        <v>Neutral</v>
      </c>
      <c r="F799" s="8"/>
      <c r="G799" s="20"/>
      <c r="H799" s="6" t="str">
        <f aca="false">IF(G799="","",IF(G799&gt;0,"Bullish",IF(G799&lt;0,"Bearish","Flat")))</f>
        <v/>
      </c>
      <c r="I799" s="6" t="str">
        <f aca="false">IF(OR(G799="",E799="Neutral"),"",IF(E799=H799,1,0))</f>
        <v/>
      </c>
      <c r="J799" s="6" t="s">
        <v>161</v>
      </c>
    </row>
    <row r="800" customFormat="false" ht="15" hidden="false" customHeight="false" outlineLevel="0" collapsed="false">
      <c r="A800" s="19" t="n">
        <v>46332</v>
      </c>
      <c r="B800" s="6" t="s">
        <v>37</v>
      </c>
      <c r="C800" s="6" t="s">
        <v>149</v>
      </c>
      <c r="D800" s="7" t="n">
        <v>0.5846</v>
      </c>
      <c r="E800" s="6" t="str">
        <f aca="false">IF(D800&gt;Settings!$C$4,"Bullish",IF(D800&lt;-Settings!$C$4,"Bearish","Neutral"))</f>
        <v>Bullish</v>
      </c>
      <c r="F800" s="8" t="n">
        <v>0.523</v>
      </c>
      <c r="G800" s="20"/>
      <c r="H800" s="6" t="str">
        <f aca="false">IF(G800="","",IF(G800&gt;0,"Bullish",IF(G800&lt;0,"Bearish","Flat")))</f>
        <v/>
      </c>
      <c r="I800" s="6" t="str">
        <f aca="false">IF(OR(G800="",E800="Neutral"),"",IF(E800=H800,1,0))</f>
        <v/>
      </c>
      <c r="J800" s="6" t="s">
        <v>161</v>
      </c>
    </row>
    <row r="801" customFormat="false" ht="15" hidden="false" customHeight="false" outlineLevel="0" collapsed="false">
      <c r="A801" s="19" t="n">
        <v>46332</v>
      </c>
      <c r="B801" s="6" t="s">
        <v>38</v>
      </c>
      <c r="C801" s="6" t="s">
        <v>154</v>
      </c>
      <c r="D801" s="7" t="n">
        <v>-0.2933</v>
      </c>
      <c r="E801" s="6" t="str">
        <f aca="false">IF(D801&gt;Settings!$C$4,"Bullish",IF(D801&lt;-Settings!$C$4,"Bearish","Neutral"))</f>
        <v>Bearish</v>
      </c>
      <c r="F801" s="8" t="n">
        <v>0.492</v>
      </c>
      <c r="G801" s="20"/>
      <c r="H801" s="6" t="str">
        <f aca="false">IF(G801="","",IF(G801&gt;0,"Bullish",IF(G801&lt;0,"Bearish","Flat")))</f>
        <v/>
      </c>
      <c r="I801" s="6" t="str">
        <f aca="false">IF(OR(G801="",E801="Neutral"),"",IF(E801=H801,1,0))</f>
        <v/>
      </c>
      <c r="J801" s="6" t="s">
        <v>161</v>
      </c>
    </row>
    <row r="802" customFormat="false" ht="15" hidden="false" customHeight="false" outlineLevel="0" collapsed="false">
      <c r="A802" s="19" t="n">
        <v>46332</v>
      </c>
      <c r="B802" s="6" t="s">
        <v>38</v>
      </c>
      <c r="C802" s="6" t="s">
        <v>149</v>
      </c>
      <c r="D802" s="7" t="n">
        <v>-0.0021</v>
      </c>
      <c r="E802" s="6" t="str">
        <f aca="false">IF(D802&gt;Settings!$C$4,"Bullish",IF(D802&lt;-Settings!$C$4,"Bearish","Neutral"))</f>
        <v>Neutral</v>
      </c>
      <c r="F802" s="8"/>
      <c r="G802" s="20"/>
      <c r="H802" s="6" t="str">
        <f aca="false">IF(G802="","",IF(G802&gt;0,"Bullish",IF(G802&lt;0,"Bearish","Flat")))</f>
        <v/>
      </c>
      <c r="I802" s="6" t="str">
        <f aca="false">IF(OR(G802="",E802="Neutral"),"",IF(E802=H802,1,0))</f>
        <v/>
      </c>
      <c r="J802" s="6" t="s">
        <v>161</v>
      </c>
    </row>
    <row r="803" customFormat="false" ht="15" hidden="false" customHeight="false" outlineLevel="0" collapsed="false">
      <c r="A803" s="19" t="n">
        <v>46332</v>
      </c>
      <c r="B803" s="6" t="s">
        <v>53</v>
      </c>
      <c r="C803" s="6" t="s">
        <v>154</v>
      </c>
      <c r="D803" s="7" t="n">
        <v>-0.7454</v>
      </c>
      <c r="E803" s="6" t="str">
        <f aca="false">IF(D803&gt;Settings!$C$4,"Bullish",IF(D803&lt;-Settings!$C$4,"Bearish","Neutral"))</f>
        <v>Bearish</v>
      </c>
      <c r="F803" s="8" t="n">
        <v>0.478</v>
      </c>
      <c r="G803" s="20"/>
      <c r="H803" s="6" t="str">
        <f aca="false">IF(G803="","",IF(G803&gt;0,"Bullish",IF(G803&lt;0,"Bearish","Flat")))</f>
        <v/>
      </c>
      <c r="I803" s="6" t="str">
        <f aca="false">IF(OR(G803="",E803="Neutral"),"",IF(E803=H803,1,0))</f>
        <v/>
      </c>
      <c r="J803" s="6" t="s">
        <v>161</v>
      </c>
    </row>
    <row r="804" customFormat="false" ht="15" hidden="false" customHeight="false" outlineLevel="0" collapsed="false">
      <c r="A804" s="19" t="n">
        <v>46332</v>
      </c>
      <c r="B804" s="6" t="s">
        <v>53</v>
      </c>
      <c r="C804" s="6" t="s">
        <v>149</v>
      </c>
      <c r="D804" s="7" t="n">
        <v>-0.1483</v>
      </c>
      <c r="E804" s="6" t="str">
        <f aca="false">IF(D804&gt;Settings!$C$4,"Bullish",IF(D804&lt;-Settings!$C$4,"Bearish","Neutral"))</f>
        <v>Neutral</v>
      </c>
      <c r="F804" s="8"/>
      <c r="G804" s="20"/>
      <c r="H804" s="6" t="str">
        <f aca="false">IF(G804="","",IF(G804&gt;0,"Bullish",IF(G804&lt;0,"Bearish","Flat")))</f>
        <v/>
      </c>
      <c r="I804" s="6" t="str">
        <f aca="false">IF(OR(G804="",E804="Neutral"),"",IF(E804=H804,1,0))</f>
        <v/>
      </c>
      <c r="J804" s="6" t="s">
        <v>161</v>
      </c>
    </row>
    <row r="805" customFormat="false" ht="15" hidden="false" customHeight="false" outlineLevel="0" collapsed="false">
      <c r="A805" s="19" t="n">
        <v>46332</v>
      </c>
      <c r="B805" s="6" t="s">
        <v>18</v>
      </c>
      <c r="C805" s="6" t="s">
        <v>154</v>
      </c>
      <c r="D805" s="7" t="n">
        <v>-0.6827</v>
      </c>
      <c r="E805" s="6" t="str">
        <f aca="false">IF(D805&gt;Settings!$C$4,"Bullish",IF(D805&lt;-Settings!$C$4,"Bearish","Neutral"))</f>
        <v>Bearish</v>
      </c>
      <c r="F805" s="8" t="n">
        <v>0.501</v>
      </c>
      <c r="G805" s="20"/>
      <c r="H805" s="6" t="str">
        <f aca="false">IF(G805="","",IF(G805&gt;0,"Bullish",IF(G805&lt;0,"Bearish","Flat")))</f>
        <v/>
      </c>
      <c r="I805" s="6" t="str">
        <f aca="false">IF(OR(G805="",E805="Neutral"),"",IF(E805=H805,1,0))</f>
        <v/>
      </c>
      <c r="J805" s="6" t="s">
        <v>161</v>
      </c>
    </row>
    <row r="806" customFormat="false" ht="15" hidden="false" customHeight="false" outlineLevel="0" collapsed="false">
      <c r="A806" s="19" t="n">
        <v>46332</v>
      </c>
      <c r="B806" s="6" t="s">
        <v>18</v>
      </c>
      <c r="C806" s="6" t="s">
        <v>149</v>
      </c>
      <c r="D806" s="7" t="n">
        <v>0.414</v>
      </c>
      <c r="E806" s="6" t="str">
        <f aca="false">IF(D806&gt;Settings!$C$4,"Bullish",IF(D806&lt;-Settings!$C$4,"Bearish","Neutral"))</f>
        <v>Bullish</v>
      </c>
      <c r="F806" s="8" t="n">
        <v>0.51</v>
      </c>
      <c r="G806" s="20"/>
      <c r="H806" s="6" t="str">
        <f aca="false">IF(G806="","",IF(G806&gt;0,"Bullish",IF(G806&lt;0,"Bearish","Flat")))</f>
        <v/>
      </c>
      <c r="I806" s="6" t="str">
        <f aca="false">IF(OR(G806="",E806="Neutral"),"",IF(E806=H806,1,0))</f>
        <v/>
      </c>
      <c r="J806" s="6" t="s">
        <v>161</v>
      </c>
    </row>
    <row r="807" customFormat="false" ht="15" hidden="false" customHeight="false" outlineLevel="0" collapsed="false">
      <c r="A807" s="19" t="n">
        <v>46332</v>
      </c>
      <c r="B807" s="6" t="s">
        <v>40</v>
      </c>
      <c r="C807" s="6" t="s">
        <v>154</v>
      </c>
      <c r="D807" s="7" t="n">
        <v>-0.2741</v>
      </c>
      <c r="E807" s="6" t="str">
        <f aca="false">IF(D807&gt;Settings!$C$4,"Bullish",IF(D807&lt;-Settings!$C$4,"Bearish","Neutral"))</f>
        <v>Bearish</v>
      </c>
      <c r="F807" s="8" t="n">
        <v>0.527</v>
      </c>
      <c r="G807" s="20"/>
      <c r="H807" s="6" t="str">
        <f aca="false">IF(G807="","",IF(G807&gt;0,"Bullish",IF(G807&lt;0,"Bearish","Flat")))</f>
        <v/>
      </c>
      <c r="I807" s="6" t="str">
        <f aca="false">IF(OR(G807="",E807="Neutral"),"",IF(E807=H807,1,0))</f>
        <v/>
      </c>
      <c r="J807" s="6" t="s">
        <v>161</v>
      </c>
    </row>
    <row r="808" customFormat="false" ht="15" hidden="false" customHeight="false" outlineLevel="0" collapsed="false">
      <c r="A808" s="19" t="n">
        <v>46332</v>
      </c>
      <c r="B808" s="6" t="s">
        <v>40</v>
      </c>
      <c r="C808" s="6" t="s">
        <v>149</v>
      </c>
      <c r="D808" s="7" t="n">
        <v>0.0094</v>
      </c>
      <c r="E808" s="6" t="str">
        <f aca="false">IF(D808&gt;Settings!$C$4,"Bullish",IF(D808&lt;-Settings!$C$4,"Bearish","Neutral"))</f>
        <v>Neutral</v>
      </c>
      <c r="F808" s="8"/>
      <c r="G808" s="20"/>
      <c r="H808" s="6" t="str">
        <f aca="false">IF(G808="","",IF(G808&gt;0,"Bullish",IF(G808&lt;0,"Bearish","Flat")))</f>
        <v/>
      </c>
      <c r="I808" s="6" t="str">
        <f aca="false">IF(OR(G808="",E808="Neutral"),"",IF(E808=H808,1,0))</f>
        <v/>
      </c>
      <c r="J808" s="6" t="s">
        <v>161</v>
      </c>
    </row>
    <row r="809" customFormat="false" ht="15" hidden="false" customHeight="false" outlineLevel="0" collapsed="false">
      <c r="A809" s="19" t="n">
        <v>46332</v>
      </c>
      <c r="B809" s="6" t="s">
        <v>49</v>
      </c>
      <c r="C809" s="6" t="s">
        <v>154</v>
      </c>
      <c r="D809" s="7" t="n">
        <v>-0.2741</v>
      </c>
      <c r="E809" s="6" t="str">
        <f aca="false">IF(D809&gt;Settings!$C$4,"Bullish",IF(D809&lt;-Settings!$C$4,"Bearish","Neutral"))</f>
        <v>Bearish</v>
      </c>
      <c r="F809" s="8" t="n">
        <v>0.478</v>
      </c>
      <c r="G809" s="20"/>
      <c r="H809" s="6" t="str">
        <f aca="false">IF(G809="","",IF(G809&gt;0,"Bullish",IF(G809&lt;0,"Bearish","Flat")))</f>
        <v/>
      </c>
      <c r="I809" s="6" t="str">
        <f aca="false">IF(OR(G809="",E809="Neutral"),"",IF(E809=H809,1,0))</f>
        <v/>
      </c>
      <c r="J809" s="6" t="s">
        <v>161</v>
      </c>
    </row>
    <row r="810" customFormat="false" ht="15" hidden="false" customHeight="false" outlineLevel="0" collapsed="false">
      <c r="A810" s="19" t="n">
        <v>46332</v>
      </c>
      <c r="B810" s="6" t="s">
        <v>49</v>
      </c>
      <c r="C810" s="6" t="s">
        <v>149</v>
      </c>
      <c r="D810" s="7" t="n">
        <v>0.0094</v>
      </c>
      <c r="E810" s="6" t="str">
        <f aca="false">IF(D810&gt;Settings!$C$4,"Bullish",IF(D810&lt;-Settings!$C$4,"Bearish","Neutral"))</f>
        <v>Neutral</v>
      </c>
      <c r="F810" s="8"/>
      <c r="G810" s="20"/>
      <c r="H810" s="6" t="str">
        <f aca="false">IF(G810="","",IF(G810&gt;0,"Bullish",IF(G810&lt;0,"Bearish","Flat")))</f>
        <v/>
      </c>
      <c r="I810" s="6" t="str">
        <f aca="false">IF(OR(G810="",E810="Neutral"),"",IF(E810=H810,1,0))</f>
        <v/>
      </c>
      <c r="J810" s="6" t="s">
        <v>161</v>
      </c>
    </row>
    <row r="811" customFormat="false" ht="15" hidden="false" customHeight="false" outlineLevel="0" collapsed="false">
      <c r="A811" s="19" t="n">
        <v>46332</v>
      </c>
      <c r="B811" s="6" t="s">
        <v>43</v>
      </c>
      <c r="C811" s="6" t="s">
        <v>154</v>
      </c>
      <c r="D811" s="7" t="n">
        <v>0.1963</v>
      </c>
      <c r="E811" s="6" t="str">
        <f aca="false">IF(D811&gt;Settings!$C$4,"Bullish",IF(D811&lt;-Settings!$C$4,"Bearish","Neutral"))</f>
        <v>Bullish</v>
      </c>
      <c r="F811" s="8" t="n">
        <v>0.468</v>
      </c>
      <c r="G811" s="20"/>
      <c r="H811" s="6" t="str">
        <f aca="false">IF(G811="","",IF(G811&gt;0,"Bullish",IF(G811&lt;0,"Bearish","Flat")))</f>
        <v/>
      </c>
      <c r="I811" s="6" t="str">
        <f aca="false">IF(OR(G811="",E811="Neutral"),"",IF(E811=H811,1,0))</f>
        <v/>
      </c>
      <c r="J811" s="6" t="s">
        <v>161</v>
      </c>
    </row>
    <row r="812" customFormat="false" ht="15" hidden="false" customHeight="false" outlineLevel="0" collapsed="false">
      <c r="A812" s="19" t="n">
        <v>46332</v>
      </c>
      <c r="B812" s="6" t="s">
        <v>43</v>
      </c>
      <c r="C812" s="6" t="s">
        <v>149</v>
      </c>
      <c r="D812" s="7" t="n">
        <v>-0.0083</v>
      </c>
      <c r="E812" s="6" t="str">
        <f aca="false">IF(D812&gt;Settings!$C$4,"Bullish",IF(D812&lt;-Settings!$C$4,"Bearish","Neutral"))</f>
        <v>Neutral</v>
      </c>
      <c r="F812" s="8"/>
      <c r="G812" s="20"/>
      <c r="H812" s="6" t="str">
        <f aca="false">IF(G812="","",IF(G812&gt;0,"Bullish",IF(G812&lt;0,"Bearish","Flat")))</f>
        <v/>
      </c>
      <c r="I812" s="6" t="str">
        <f aca="false">IF(OR(G812="",E812="Neutral"),"",IF(E812=H812,1,0))</f>
        <v/>
      </c>
      <c r="J812" s="6" t="s">
        <v>161</v>
      </c>
    </row>
    <row r="813" customFormat="false" ht="15" hidden="false" customHeight="false" outlineLevel="0" collapsed="false">
      <c r="A813" s="19" t="n">
        <v>46332</v>
      </c>
      <c r="B813" s="6" t="s">
        <v>51</v>
      </c>
      <c r="C813" s="6" t="s">
        <v>154</v>
      </c>
      <c r="D813" s="7" t="n">
        <v>-0.8215</v>
      </c>
      <c r="E813" s="6" t="str">
        <f aca="false">IF(D813&gt;Settings!$C$4,"Bullish",IF(D813&lt;-Settings!$C$4,"Bearish","Neutral"))</f>
        <v>Bearish</v>
      </c>
      <c r="F813" s="8" t="n">
        <v>0.5</v>
      </c>
      <c r="G813" s="20"/>
      <c r="H813" s="6" t="str">
        <f aca="false">IF(G813="","",IF(G813&gt;0,"Bullish",IF(G813&lt;0,"Bearish","Flat")))</f>
        <v/>
      </c>
      <c r="I813" s="6" t="str">
        <f aca="false">IF(OR(G813="",E813="Neutral"),"",IF(E813=H813,1,0))</f>
        <v/>
      </c>
      <c r="J813" s="6" t="s">
        <v>161</v>
      </c>
    </row>
    <row r="814" customFormat="false" ht="15" hidden="false" customHeight="false" outlineLevel="0" collapsed="false">
      <c r="A814" s="19" t="n">
        <v>46332</v>
      </c>
      <c r="B814" s="6" t="s">
        <v>51</v>
      </c>
      <c r="C814" s="6" t="s">
        <v>149</v>
      </c>
      <c r="D814" s="7" t="n">
        <v>-0.1162</v>
      </c>
      <c r="E814" s="6" t="str">
        <f aca="false">IF(D814&gt;Settings!$C$4,"Bullish",IF(D814&lt;-Settings!$C$4,"Bearish","Neutral"))</f>
        <v>Neutral</v>
      </c>
      <c r="F814" s="8"/>
      <c r="G814" s="20"/>
      <c r="H814" s="6" t="str">
        <f aca="false">IF(G814="","",IF(G814&gt;0,"Bullish",IF(G814&lt;0,"Bearish","Flat")))</f>
        <v/>
      </c>
      <c r="I814" s="6" t="str">
        <f aca="false">IF(OR(G814="",E814="Neutral"),"",IF(E814=H814,1,0))</f>
        <v/>
      </c>
      <c r="J814" s="6" t="s">
        <v>161</v>
      </c>
    </row>
    <row r="815" customFormat="false" ht="15" hidden="false" customHeight="false" outlineLevel="0" collapsed="false">
      <c r="A815" s="19" t="n">
        <v>46335</v>
      </c>
      <c r="B815" s="6" t="s">
        <v>20</v>
      </c>
      <c r="C815" s="6" t="s">
        <v>154</v>
      </c>
      <c r="D815" s="7" t="n">
        <v>-0.2082</v>
      </c>
      <c r="E815" s="6" t="str">
        <f aca="false">IF(D815&gt;Settings!$C$4,"Bullish",IF(D815&lt;-Settings!$C$4,"Bearish","Neutral"))</f>
        <v>Bearish</v>
      </c>
      <c r="F815" s="8" t="n">
        <v>0.491</v>
      </c>
      <c r="G815" s="20"/>
      <c r="H815" s="6" t="str">
        <f aca="false">IF(G815="","",IF(G815&gt;0,"Bullish",IF(G815&lt;0,"Bearish","Flat")))</f>
        <v/>
      </c>
      <c r="I815" s="6" t="str">
        <f aca="false">IF(OR(G815="",E815="Neutral"),"",IF(E815=H815,1,0))</f>
        <v/>
      </c>
      <c r="J815" s="6" t="s">
        <v>161</v>
      </c>
    </row>
    <row r="816" customFormat="false" ht="15" hidden="false" customHeight="false" outlineLevel="0" collapsed="false">
      <c r="A816" s="19" t="n">
        <v>46335</v>
      </c>
      <c r="B816" s="6" t="s">
        <v>20</v>
      </c>
      <c r="C816" s="6" t="s">
        <v>149</v>
      </c>
      <c r="D816" s="7" t="n">
        <v>0.0094</v>
      </c>
      <c r="E816" s="6" t="str">
        <f aca="false">IF(D816&gt;Settings!$C$4,"Bullish",IF(D816&lt;-Settings!$C$4,"Bearish","Neutral"))</f>
        <v>Neutral</v>
      </c>
      <c r="F816" s="8"/>
      <c r="G816" s="20"/>
      <c r="H816" s="6" t="str">
        <f aca="false">IF(G816="","",IF(G816&gt;0,"Bullish",IF(G816&lt;0,"Bearish","Flat")))</f>
        <v/>
      </c>
      <c r="I816" s="6" t="str">
        <f aca="false">IF(OR(G816="",E816="Neutral"),"",IF(E816=H816,1,0))</f>
        <v/>
      </c>
      <c r="J816" s="6" t="s">
        <v>161</v>
      </c>
    </row>
    <row r="817" customFormat="false" ht="15" hidden="false" customHeight="false" outlineLevel="0" collapsed="false">
      <c r="A817" s="19" t="n">
        <v>46335</v>
      </c>
      <c r="B817" s="6" t="s">
        <v>22</v>
      </c>
      <c r="C817" s="6" t="s">
        <v>154</v>
      </c>
      <c r="D817" s="7" t="n">
        <v>-0.9422</v>
      </c>
      <c r="E817" s="6" t="str">
        <f aca="false">IF(D817&gt;Settings!$C$4,"Bullish",IF(D817&lt;-Settings!$C$4,"Bearish","Neutral"))</f>
        <v>Bearish</v>
      </c>
      <c r="F817" s="8" t="n">
        <v>0.488</v>
      </c>
      <c r="G817" s="20"/>
      <c r="H817" s="6" t="str">
        <f aca="false">IF(G817="","",IF(G817&gt;0,"Bullish",IF(G817&lt;0,"Bearish","Flat")))</f>
        <v/>
      </c>
      <c r="I817" s="6" t="str">
        <f aca="false">IF(OR(G817="",E817="Neutral"),"",IF(E817=H817,1,0))</f>
        <v/>
      </c>
      <c r="J817" s="6" t="s">
        <v>161</v>
      </c>
    </row>
    <row r="818" customFormat="false" ht="15" hidden="false" customHeight="false" outlineLevel="0" collapsed="false">
      <c r="A818" s="19" t="n">
        <v>46335</v>
      </c>
      <c r="B818" s="6" t="s">
        <v>22</v>
      </c>
      <c r="C818" s="6" t="s">
        <v>149</v>
      </c>
      <c r="D818" s="7" t="n">
        <v>0.5419</v>
      </c>
      <c r="E818" s="6" t="str">
        <f aca="false">IF(D818&gt;Settings!$C$4,"Bullish",IF(D818&lt;-Settings!$C$4,"Bearish","Neutral"))</f>
        <v>Bullish</v>
      </c>
      <c r="F818" s="8" t="n">
        <v>0.496</v>
      </c>
      <c r="G818" s="20"/>
      <c r="H818" s="6" t="str">
        <f aca="false">IF(G818="","",IF(G818&gt;0,"Bullish",IF(G818&lt;0,"Bearish","Flat")))</f>
        <v/>
      </c>
      <c r="I818" s="6" t="str">
        <f aca="false">IF(OR(G818="",E818="Neutral"),"",IF(E818=H818,1,0))</f>
        <v/>
      </c>
      <c r="J818" s="6" t="s">
        <v>161</v>
      </c>
    </row>
    <row r="819" customFormat="false" ht="15" hidden="false" customHeight="false" outlineLevel="0" collapsed="false">
      <c r="A819" s="19" t="n">
        <v>46335</v>
      </c>
      <c r="B819" s="6" t="s">
        <v>52</v>
      </c>
      <c r="C819" s="6" t="s">
        <v>154</v>
      </c>
      <c r="D819" s="7" t="n">
        <v>0.0213</v>
      </c>
      <c r="E819" s="6" t="str">
        <f aca="false">IF(D819&gt;Settings!$C$4,"Bullish",IF(D819&lt;-Settings!$C$4,"Bearish","Neutral"))</f>
        <v>Neutral</v>
      </c>
      <c r="F819" s="8"/>
      <c r="G819" s="20"/>
      <c r="H819" s="6" t="str">
        <f aca="false">IF(G819="","",IF(G819&gt;0,"Bullish",IF(G819&lt;0,"Bearish","Flat")))</f>
        <v/>
      </c>
      <c r="I819" s="6" t="str">
        <f aca="false">IF(OR(G819="",E819="Neutral"),"",IF(E819=H819,1,0))</f>
        <v/>
      </c>
      <c r="J819" s="6" t="s">
        <v>161</v>
      </c>
    </row>
    <row r="820" customFormat="false" ht="15" hidden="false" customHeight="false" outlineLevel="0" collapsed="false">
      <c r="A820" s="19" t="n">
        <v>46335</v>
      </c>
      <c r="B820" s="6" t="s">
        <v>52</v>
      </c>
      <c r="C820" s="6" t="s">
        <v>149</v>
      </c>
      <c r="D820" s="7" t="n">
        <v>-0.1261</v>
      </c>
      <c r="E820" s="6" t="str">
        <f aca="false">IF(D820&gt;Settings!$C$4,"Bullish",IF(D820&lt;-Settings!$C$4,"Bearish","Neutral"))</f>
        <v>Neutral</v>
      </c>
      <c r="F820" s="8"/>
      <c r="G820" s="20"/>
      <c r="H820" s="6" t="str">
        <f aca="false">IF(G820="","",IF(G820&gt;0,"Bullish",IF(G820&lt;0,"Bearish","Flat")))</f>
        <v/>
      </c>
      <c r="I820" s="6" t="str">
        <f aca="false">IF(OR(G820="",E820="Neutral"),"",IF(E820=H820,1,0))</f>
        <v/>
      </c>
      <c r="J820" s="6" t="s">
        <v>161</v>
      </c>
    </row>
    <row r="821" customFormat="false" ht="15" hidden="false" customHeight="false" outlineLevel="0" collapsed="false">
      <c r="A821" s="19" t="n">
        <v>46335</v>
      </c>
      <c r="B821" s="6" t="s">
        <v>30</v>
      </c>
      <c r="C821" s="6" t="s">
        <v>154</v>
      </c>
      <c r="D821" s="7" t="n">
        <v>-0.898</v>
      </c>
      <c r="E821" s="6" t="str">
        <f aca="false">IF(D821&gt;Settings!$C$4,"Bullish",IF(D821&lt;-Settings!$C$4,"Bearish","Neutral"))</f>
        <v>Bearish</v>
      </c>
      <c r="F821" s="8" t="n">
        <v>0.51</v>
      </c>
      <c r="G821" s="20"/>
      <c r="H821" s="6" t="str">
        <f aca="false">IF(G821="","",IF(G821&gt;0,"Bullish",IF(G821&lt;0,"Bearish","Flat")))</f>
        <v/>
      </c>
      <c r="I821" s="6" t="str">
        <f aca="false">IF(OR(G821="",E821="Neutral"),"",IF(E821=H821,1,0))</f>
        <v/>
      </c>
      <c r="J821" s="6" t="s">
        <v>161</v>
      </c>
    </row>
    <row r="822" customFormat="false" ht="15" hidden="false" customHeight="false" outlineLevel="0" collapsed="false">
      <c r="A822" s="19" t="n">
        <v>46335</v>
      </c>
      <c r="B822" s="6" t="s">
        <v>30</v>
      </c>
      <c r="C822" s="6" t="s">
        <v>149</v>
      </c>
      <c r="D822" s="7" t="n">
        <v>0.4481</v>
      </c>
      <c r="E822" s="6" t="str">
        <f aca="false">IF(D822&gt;Settings!$C$4,"Bullish",IF(D822&lt;-Settings!$C$4,"Bearish","Neutral"))</f>
        <v>Bullish</v>
      </c>
      <c r="F822" s="8" t="n">
        <v>0.525</v>
      </c>
      <c r="G822" s="20"/>
      <c r="H822" s="6" t="str">
        <f aca="false">IF(G822="","",IF(G822&gt;0,"Bullish",IF(G822&lt;0,"Bearish","Flat")))</f>
        <v/>
      </c>
      <c r="I822" s="6" t="str">
        <f aca="false">IF(OR(G822="",E822="Neutral"),"",IF(E822=H822,1,0))</f>
        <v/>
      </c>
      <c r="J822" s="6" t="s">
        <v>161</v>
      </c>
    </row>
    <row r="823" customFormat="false" ht="15" hidden="false" customHeight="false" outlineLevel="0" collapsed="false">
      <c r="A823" s="19" t="n">
        <v>46335</v>
      </c>
      <c r="B823" s="6" t="s">
        <v>50</v>
      </c>
      <c r="C823" s="6" t="s">
        <v>154</v>
      </c>
      <c r="D823" s="7" t="n">
        <v>-0.6969</v>
      </c>
      <c r="E823" s="6" t="str">
        <f aca="false">IF(D823&gt;Settings!$C$4,"Bullish",IF(D823&lt;-Settings!$C$4,"Bearish","Neutral"))</f>
        <v>Bearish</v>
      </c>
      <c r="F823" s="8" t="n">
        <v>0.518</v>
      </c>
      <c r="G823" s="20"/>
      <c r="H823" s="6" t="str">
        <f aca="false">IF(G823="","",IF(G823&gt;0,"Bullish",IF(G823&lt;0,"Bearish","Flat")))</f>
        <v/>
      </c>
      <c r="I823" s="6" t="str">
        <f aca="false">IF(OR(G823="",E823="Neutral"),"",IF(E823=H823,1,0))</f>
        <v/>
      </c>
      <c r="J823" s="6" t="s">
        <v>161</v>
      </c>
    </row>
    <row r="824" customFormat="false" ht="15" hidden="false" customHeight="false" outlineLevel="0" collapsed="false">
      <c r="A824" s="19" t="n">
        <v>46335</v>
      </c>
      <c r="B824" s="6" t="s">
        <v>50</v>
      </c>
      <c r="C824" s="6" t="s">
        <v>149</v>
      </c>
      <c r="D824" s="7" t="n">
        <v>0.602</v>
      </c>
      <c r="E824" s="6" t="str">
        <f aca="false">IF(D824&gt;Settings!$C$4,"Bullish",IF(D824&lt;-Settings!$C$4,"Bearish","Neutral"))</f>
        <v>Bullish</v>
      </c>
      <c r="F824" s="8" t="n">
        <v>0.442</v>
      </c>
      <c r="G824" s="20"/>
      <c r="H824" s="6" t="str">
        <f aca="false">IF(G824="","",IF(G824&gt;0,"Bullish",IF(G824&lt;0,"Bearish","Flat")))</f>
        <v/>
      </c>
      <c r="I824" s="6" t="str">
        <f aca="false">IF(OR(G824="",E824="Neutral"),"",IF(E824=H824,1,0))</f>
        <v/>
      </c>
      <c r="J824" s="6" t="s">
        <v>161</v>
      </c>
    </row>
    <row r="825" customFormat="false" ht="15" hidden="false" customHeight="false" outlineLevel="0" collapsed="false">
      <c r="A825" s="19" t="n">
        <v>46335</v>
      </c>
      <c r="B825" s="6" t="s">
        <v>34</v>
      </c>
      <c r="C825" s="6" t="s">
        <v>154</v>
      </c>
      <c r="D825" s="7" t="n">
        <v>-0.0193</v>
      </c>
      <c r="E825" s="6" t="str">
        <f aca="false">IF(D825&gt;Settings!$C$4,"Bullish",IF(D825&lt;-Settings!$C$4,"Bearish","Neutral"))</f>
        <v>Neutral</v>
      </c>
      <c r="F825" s="8"/>
      <c r="G825" s="20"/>
      <c r="H825" s="6" t="str">
        <f aca="false">IF(G825="","",IF(G825&gt;0,"Bullish",IF(G825&lt;0,"Bearish","Flat")))</f>
        <v/>
      </c>
      <c r="I825" s="6" t="str">
        <f aca="false">IF(OR(G825="",E825="Neutral"),"",IF(E825=H825,1,0))</f>
        <v/>
      </c>
      <c r="J825" s="6" t="s">
        <v>161</v>
      </c>
    </row>
    <row r="826" customFormat="false" ht="15" hidden="false" customHeight="false" outlineLevel="0" collapsed="false">
      <c r="A826" s="19" t="n">
        <v>46335</v>
      </c>
      <c r="B826" s="6" t="s">
        <v>34</v>
      </c>
      <c r="C826" s="6" t="s">
        <v>149</v>
      </c>
      <c r="D826" s="7" t="n">
        <v>0.0094</v>
      </c>
      <c r="E826" s="6" t="str">
        <f aca="false">IF(D826&gt;Settings!$C$4,"Bullish",IF(D826&lt;-Settings!$C$4,"Bearish","Neutral"))</f>
        <v>Neutral</v>
      </c>
      <c r="F826" s="8"/>
      <c r="G826" s="20"/>
      <c r="H826" s="6" t="str">
        <f aca="false">IF(G826="","",IF(G826&gt;0,"Bullish",IF(G826&lt;0,"Bearish","Flat")))</f>
        <v/>
      </c>
      <c r="I826" s="6" t="str">
        <f aca="false">IF(OR(G826="",E826="Neutral"),"",IF(E826=H826,1,0))</f>
        <v/>
      </c>
      <c r="J826" s="6" t="s">
        <v>161</v>
      </c>
    </row>
    <row r="827" customFormat="false" ht="15" hidden="false" customHeight="false" outlineLevel="0" collapsed="false">
      <c r="A827" s="19" t="n">
        <v>46335</v>
      </c>
      <c r="B827" s="6" t="s">
        <v>35</v>
      </c>
      <c r="C827" s="6" t="s">
        <v>154</v>
      </c>
      <c r="D827" s="7" t="n">
        <v>0.0198</v>
      </c>
      <c r="E827" s="6" t="str">
        <f aca="false">IF(D827&gt;Settings!$C$4,"Bullish",IF(D827&lt;-Settings!$C$4,"Bearish","Neutral"))</f>
        <v>Neutral</v>
      </c>
      <c r="F827" s="8"/>
      <c r="G827" s="20"/>
      <c r="H827" s="6" t="str">
        <f aca="false">IF(G827="","",IF(G827&gt;0,"Bullish",IF(G827&lt;0,"Bearish","Flat")))</f>
        <v/>
      </c>
      <c r="I827" s="6" t="str">
        <f aca="false">IF(OR(G827="",E827="Neutral"),"",IF(E827=H827,1,0))</f>
        <v/>
      </c>
      <c r="J827" s="6" t="s">
        <v>161</v>
      </c>
    </row>
    <row r="828" customFormat="false" ht="15" hidden="false" customHeight="false" outlineLevel="0" collapsed="false">
      <c r="A828" s="19" t="n">
        <v>46335</v>
      </c>
      <c r="B828" s="6" t="s">
        <v>35</v>
      </c>
      <c r="C828" s="6" t="s">
        <v>149</v>
      </c>
      <c r="D828" s="7" t="n">
        <v>0.2864</v>
      </c>
      <c r="E828" s="6" t="str">
        <f aca="false">IF(D828&gt;Settings!$C$4,"Bullish",IF(D828&lt;-Settings!$C$4,"Bearish","Neutral"))</f>
        <v>Bullish</v>
      </c>
      <c r="F828" s="8" t="n">
        <v>0.563</v>
      </c>
      <c r="G828" s="20"/>
      <c r="H828" s="6" t="str">
        <f aca="false">IF(G828="","",IF(G828&gt;0,"Bullish",IF(G828&lt;0,"Bearish","Flat")))</f>
        <v/>
      </c>
      <c r="I828" s="6" t="str">
        <f aca="false">IF(OR(G828="",E828="Neutral"),"",IF(E828=H828,1,0))</f>
        <v/>
      </c>
      <c r="J828" s="6" t="s">
        <v>161</v>
      </c>
    </row>
    <row r="829" customFormat="false" ht="15" hidden="false" customHeight="false" outlineLevel="0" collapsed="false">
      <c r="A829" s="19" t="n">
        <v>46335</v>
      </c>
      <c r="B829" s="6" t="s">
        <v>37</v>
      </c>
      <c r="C829" s="6" t="s">
        <v>154</v>
      </c>
      <c r="D829" s="7" t="n">
        <v>-0.3434</v>
      </c>
      <c r="E829" s="6" t="str">
        <f aca="false">IF(D829&gt;Settings!$C$4,"Bullish",IF(D829&lt;-Settings!$C$4,"Bearish","Neutral"))</f>
        <v>Bearish</v>
      </c>
      <c r="F829" s="8" t="n">
        <v>0.511</v>
      </c>
      <c r="G829" s="20"/>
      <c r="H829" s="6" t="str">
        <f aca="false">IF(G829="","",IF(G829&gt;0,"Bullish",IF(G829&lt;0,"Bearish","Flat")))</f>
        <v/>
      </c>
      <c r="I829" s="6" t="str">
        <f aca="false">IF(OR(G829="",E829="Neutral"),"",IF(E829=H829,1,0))</f>
        <v/>
      </c>
      <c r="J829" s="6" t="s">
        <v>161</v>
      </c>
    </row>
    <row r="830" customFormat="false" ht="15" hidden="false" customHeight="false" outlineLevel="0" collapsed="false">
      <c r="A830" s="19" t="n">
        <v>46335</v>
      </c>
      <c r="B830" s="6" t="s">
        <v>37</v>
      </c>
      <c r="C830" s="6" t="s">
        <v>149</v>
      </c>
      <c r="D830" s="7" t="n">
        <v>0.5537</v>
      </c>
      <c r="E830" s="6" t="str">
        <f aca="false">IF(D830&gt;Settings!$C$4,"Bullish",IF(D830&lt;-Settings!$C$4,"Bearish","Neutral"))</f>
        <v>Bullish</v>
      </c>
      <c r="F830" s="8" t="n">
        <v>0.523</v>
      </c>
      <c r="G830" s="20"/>
      <c r="H830" s="6" t="str">
        <f aca="false">IF(G830="","",IF(G830&gt;0,"Bullish",IF(G830&lt;0,"Bearish","Flat")))</f>
        <v/>
      </c>
      <c r="I830" s="6" t="str">
        <f aca="false">IF(OR(G830="",E830="Neutral"),"",IF(E830=H830,1,0))</f>
        <v/>
      </c>
      <c r="J830" s="6" t="s">
        <v>161</v>
      </c>
    </row>
    <row r="831" customFormat="false" ht="15" hidden="false" customHeight="false" outlineLevel="0" collapsed="false">
      <c r="A831" s="19" t="n">
        <v>46335</v>
      </c>
      <c r="B831" s="6" t="s">
        <v>38</v>
      </c>
      <c r="C831" s="6" t="s">
        <v>154</v>
      </c>
      <c r="D831" s="7" t="n">
        <v>-0.0193</v>
      </c>
      <c r="E831" s="6" t="str">
        <f aca="false">IF(D831&gt;Settings!$C$4,"Bullish",IF(D831&lt;-Settings!$C$4,"Bearish","Neutral"))</f>
        <v>Neutral</v>
      </c>
      <c r="F831" s="8"/>
      <c r="G831" s="20"/>
      <c r="H831" s="6" t="str">
        <f aca="false">IF(G831="","",IF(G831&gt;0,"Bullish",IF(G831&lt;0,"Bearish","Flat")))</f>
        <v/>
      </c>
      <c r="I831" s="6" t="str">
        <f aca="false">IF(OR(G831="",E831="Neutral"),"",IF(E831=H831,1,0))</f>
        <v/>
      </c>
      <c r="J831" s="6" t="s">
        <v>161</v>
      </c>
    </row>
    <row r="832" customFormat="false" ht="15" hidden="false" customHeight="false" outlineLevel="0" collapsed="false">
      <c r="A832" s="19" t="n">
        <v>46335</v>
      </c>
      <c r="B832" s="6" t="s">
        <v>38</v>
      </c>
      <c r="C832" s="6" t="s">
        <v>149</v>
      </c>
      <c r="D832" s="7" t="n">
        <v>0.0094</v>
      </c>
      <c r="E832" s="6" t="str">
        <f aca="false">IF(D832&gt;Settings!$C$4,"Bullish",IF(D832&lt;-Settings!$C$4,"Bearish","Neutral"))</f>
        <v>Neutral</v>
      </c>
      <c r="F832" s="8"/>
      <c r="G832" s="20"/>
      <c r="H832" s="6" t="str">
        <f aca="false">IF(G832="","",IF(G832&gt;0,"Bullish",IF(G832&lt;0,"Bearish","Flat")))</f>
        <v/>
      </c>
      <c r="I832" s="6" t="str">
        <f aca="false">IF(OR(G832="",E832="Neutral"),"",IF(E832=H832,1,0))</f>
        <v/>
      </c>
      <c r="J832" s="6" t="s">
        <v>161</v>
      </c>
    </row>
    <row r="833" customFormat="false" ht="15" hidden="false" customHeight="false" outlineLevel="0" collapsed="false">
      <c r="A833" s="19" t="n">
        <v>46335</v>
      </c>
      <c r="B833" s="6" t="s">
        <v>53</v>
      </c>
      <c r="C833" s="6" t="s">
        <v>154</v>
      </c>
      <c r="D833" s="7" t="n">
        <v>0.2936</v>
      </c>
      <c r="E833" s="6" t="str">
        <f aca="false">IF(D833&gt;Settings!$C$4,"Bullish",IF(D833&lt;-Settings!$C$4,"Bearish","Neutral"))</f>
        <v>Bullish</v>
      </c>
      <c r="F833" s="8" t="n">
        <v>0.516</v>
      </c>
      <c r="G833" s="20"/>
      <c r="H833" s="6" t="str">
        <f aca="false">IF(G833="","",IF(G833&gt;0,"Bullish",IF(G833&lt;0,"Bearish","Flat")))</f>
        <v/>
      </c>
      <c r="I833" s="6" t="str">
        <f aca="false">IF(OR(G833="",E833="Neutral"),"",IF(E833=H833,1,0))</f>
        <v/>
      </c>
      <c r="J833" s="6" t="s">
        <v>161</v>
      </c>
    </row>
    <row r="834" customFormat="false" ht="15" hidden="false" customHeight="false" outlineLevel="0" collapsed="false">
      <c r="A834" s="19" t="n">
        <v>46335</v>
      </c>
      <c r="B834" s="6" t="s">
        <v>53</v>
      </c>
      <c r="C834" s="6" t="s">
        <v>149</v>
      </c>
      <c r="D834" s="7" t="n">
        <v>-0.1233</v>
      </c>
      <c r="E834" s="6" t="str">
        <f aca="false">IF(D834&gt;Settings!$C$4,"Bullish",IF(D834&lt;-Settings!$C$4,"Bearish","Neutral"))</f>
        <v>Neutral</v>
      </c>
      <c r="F834" s="8"/>
      <c r="G834" s="20"/>
      <c r="H834" s="6" t="str">
        <f aca="false">IF(G834="","",IF(G834&gt;0,"Bullish",IF(G834&lt;0,"Bearish","Flat")))</f>
        <v/>
      </c>
      <c r="I834" s="6" t="str">
        <f aca="false">IF(OR(G834="",E834="Neutral"),"",IF(E834=H834,1,0))</f>
        <v/>
      </c>
      <c r="J834" s="6" t="s">
        <v>161</v>
      </c>
    </row>
    <row r="835" customFormat="false" ht="15" hidden="false" customHeight="false" outlineLevel="0" collapsed="false">
      <c r="A835" s="19" t="n">
        <v>46335</v>
      </c>
      <c r="B835" s="6" t="s">
        <v>18</v>
      </c>
      <c r="C835" s="6" t="s">
        <v>154</v>
      </c>
      <c r="D835" s="7" t="n">
        <v>-0.7542</v>
      </c>
      <c r="E835" s="6" t="str">
        <f aca="false">IF(D835&gt;Settings!$C$4,"Bullish",IF(D835&lt;-Settings!$C$4,"Bearish","Neutral"))</f>
        <v>Bearish</v>
      </c>
      <c r="F835" s="8" t="n">
        <v>0.501</v>
      </c>
      <c r="G835" s="20"/>
      <c r="H835" s="6" t="str">
        <f aca="false">IF(G835="","",IF(G835&gt;0,"Bullish",IF(G835&lt;0,"Bearish","Flat")))</f>
        <v/>
      </c>
      <c r="I835" s="6" t="str">
        <f aca="false">IF(OR(G835="",E835="Neutral"),"",IF(E835=H835,1,0))</f>
        <v/>
      </c>
      <c r="J835" s="6" t="s">
        <v>161</v>
      </c>
    </row>
    <row r="836" customFormat="false" ht="15" hidden="false" customHeight="false" outlineLevel="0" collapsed="false">
      <c r="A836" s="19" t="n">
        <v>46335</v>
      </c>
      <c r="B836" s="6" t="s">
        <v>18</v>
      </c>
      <c r="C836" s="6" t="s">
        <v>149</v>
      </c>
      <c r="D836" s="7" t="n">
        <v>0.4276</v>
      </c>
      <c r="E836" s="6" t="str">
        <f aca="false">IF(D836&gt;Settings!$C$4,"Bullish",IF(D836&lt;-Settings!$C$4,"Bearish","Neutral"))</f>
        <v>Bullish</v>
      </c>
      <c r="F836" s="8" t="n">
        <v>0.51</v>
      </c>
      <c r="G836" s="20"/>
      <c r="H836" s="6" t="str">
        <f aca="false">IF(G836="","",IF(G836&gt;0,"Bullish",IF(G836&lt;0,"Bearish","Flat")))</f>
        <v/>
      </c>
      <c r="I836" s="6" t="str">
        <f aca="false">IF(OR(G836="",E836="Neutral"),"",IF(E836=H836,1,0))</f>
        <v/>
      </c>
      <c r="J836" s="6" t="s">
        <v>161</v>
      </c>
    </row>
    <row r="837" customFormat="false" ht="15" hidden="false" customHeight="false" outlineLevel="0" collapsed="false">
      <c r="A837" s="19" t="n">
        <v>46335</v>
      </c>
      <c r="B837" s="6" t="s">
        <v>40</v>
      </c>
      <c r="C837" s="6" t="s">
        <v>154</v>
      </c>
      <c r="D837" s="7" t="n">
        <v>-0.2741</v>
      </c>
      <c r="E837" s="6" t="str">
        <f aca="false">IF(D837&gt;Settings!$C$4,"Bullish",IF(D837&lt;-Settings!$C$4,"Bearish","Neutral"))</f>
        <v>Bearish</v>
      </c>
      <c r="F837" s="8" t="n">
        <v>0.527</v>
      </c>
      <c r="G837" s="20"/>
      <c r="H837" s="6" t="str">
        <f aca="false">IF(G837="","",IF(G837&gt;0,"Bullish",IF(G837&lt;0,"Bearish","Flat")))</f>
        <v/>
      </c>
      <c r="I837" s="6" t="str">
        <f aca="false">IF(OR(G837="",E837="Neutral"),"",IF(E837=H837,1,0))</f>
        <v/>
      </c>
      <c r="J837" s="6" t="s">
        <v>161</v>
      </c>
    </row>
    <row r="838" customFormat="false" ht="15" hidden="false" customHeight="false" outlineLevel="0" collapsed="false">
      <c r="A838" s="19" t="n">
        <v>46335</v>
      </c>
      <c r="B838" s="6" t="s">
        <v>40</v>
      </c>
      <c r="C838" s="6" t="s">
        <v>149</v>
      </c>
      <c r="D838" s="7" t="n">
        <v>0.0094</v>
      </c>
      <c r="E838" s="6" t="str">
        <f aca="false">IF(D838&gt;Settings!$C$4,"Bullish",IF(D838&lt;-Settings!$C$4,"Bearish","Neutral"))</f>
        <v>Neutral</v>
      </c>
      <c r="F838" s="8"/>
      <c r="G838" s="20"/>
      <c r="H838" s="6" t="str">
        <f aca="false">IF(G838="","",IF(G838&gt;0,"Bullish",IF(G838&lt;0,"Bearish","Flat")))</f>
        <v/>
      </c>
      <c r="I838" s="6" t="str">
        <f aca="false">IF(OR(G838="",E838="Neutral"),"",IF(E838=H838,1,0))</f>
        <v/>
      </c>
      <c r="J838" s="6" t="s">
        <v>161</v>
      </c>
    </row>
    <row r="839" customFormat="false" ht="15" hidden="false" customHeight="false" outlineLevel="0" collapsed="false">
      <c r="A839" s="19" t="n">
        <v>46335</v>
      </c>
      <c r="B839" s="6" t="s">
        <v>49</v>
      </c>
      <c r="C839" s="6" t="s">
        <v>154</v>
      </c>
      <c r="D839" s="7" t="n">
        <v>-0.2741</v>
      </c>
      <c r="E839" s="6" t="str">
        <f aca="false">IF(D839&gt;Settings!$C$4,"Bullish",IF(D839&lt;-Settings!$C$4,"Bearish","Neutral"))</f>
        <v>Bearish</v>
      </c>
      <c r="F839" s="8" t="n">
        <v>0.478</v>
      </c>
      <c r="G839" s="20"/>
      <c r="H839" s="6" t="str">
        <f aca="false">IF(G839="","",IF(G839&gt;0,"Bullish",IF(G839&lt;0,"Bearish","Flat")))</f>
        <v/>
      </c>
      <c r="I839" s="6" t="str">
        <f aca="false">IF(OR(G839="",E839="Neutral"),"",IF(E839=H839,1,0))</f>
        <v/>
      </c>
      <c r="J839" s="6" t="s">
        <v>161</v>
      </c>
    </row>
    <row r="840" customFormat="false" ht="15" hidden="false" customHeight="false" outlineLevel="0" collapsed="false">
      <c r="A840" s="19" t="n">
        <v>46335</v>
      </c>
      <c r="B840" s="6" t="s">
        <v>49</v>
      </c>
      <c r="C840" s="6" t="s">
        <v>149</v>
      </c>
      <c r="D840" s="7" t="n">
        <v>0.0094</v>
      </c>
      <c r="E840" s="6" t="str">
        <f aca="false">IF(D840&gt;Settings!$C$4,"Bullish",IF(D840&lt;-Settings!$C$4,"Bearish","Neutral"))</f>
        <v>Neutral</v>
      </c>
      <c r="F840" s="8"/>
      <c r="G840" s="20"/>
      <c r="H840" s="6" t="str">
        <f aca="false">IF(G840="","",IF(G840&gt;0,"Bullish",IF(G840&lt;0,"Bearish","Flat")))</f>
        <v/>
      </c>
      <c r="I840" s="6" t="str">
        <f aca="false">IF(OR(G840="",E840="Neutral"),"",IF(E840=H840,1,0))</f>
        <v/>
      </c>
      <c r="J840" s="6" t="s">
        <v>161</v>
      </c>
    </row>
    <row r="841" customFormat="false" ht="15" hidden="false" customHeight="false" outlineLevel="0" collapsed="false">
      <c r="A841" s="19" t="n">
        <v>46335</v>
      </c>
      <c r="B841" s="6" t="s">
        <v>43</v>
      </c>
      <c r="C841" s="6" t="s">
        <v>154</v>
      </c>
      <c r="D841" s="7" t="n">
        <v>0.2561</v>
      </c>
      <c r="E841" s="6" t="str">
        <f aca="false">IF(D841&gt;Settings!$C$4,"Bullish",IF(D841&lt;-Settings!$C$4,"Bearish","Neutral"))</f>
        <v>Bullish</v>
      </c>
      <c r="F841" s="8" t="n">
        <v>0.468</v>
      </c>
      <c r="G841" s="20"/>
      <c r="H841" s="6" t="str">
        <f aca="false">IF(G841="","",IF(G841&gt;0,"Bullish",IF(G841&lt;0,"Bearish","Flat")))</f>
        <v/>
      </c>
      <c r="I841" s="6" t="str">
        <f aca="false">IF(OR(G841="",E841="Neutral"),"",IF(E841=H841,1,0))</f>
        <v/>
      </c>
      <c r="J841" s="6" t="s">
        <v>161</v>
      </c>
    </row>
    <row r="842" customFormat="false" ht="15" hidden="false" customHeight="false" outlineLevel="0" collapsed="false">
      <c r="A842" s="19" t="n">
        <v>46335</v>
      </c>
      <c r="B842" s="6" t="s">
        <v>43</v>
      </c>
      <c r="C842" s="6" t="s">
        <v>149</v>
      </c>
      <c r="D842" s="7" t="n">
        <v>0.0094</v>
      </c>
      <c r="E842" s="6" t="str">
        <f aca="false">IF(D842&gt;Settings!$C$4,"Bullish",IF(D842&lt;-Settings!$C$4,"Bearish","Neutral"))</f>
        <v>Neutral</v>
      </c>
      <c r="F842" s="8"/>
      <c r="G842" s="20"/>
      <c r="H842" s="6" t="str">
        <f aca="false">IF(G842="","",IF(G842&gt;0,"Bullish",IF(G842&lt;0,"Bearish","Flat")))</f>
        <v/>
      </c>
      <c r="I842" s="6" t="str">
        <f aca="false">IF(OR(G842="",E842="Neutral"),"",IF(E842=H842,1,0))</f>
        <v/>
      </c>
      <c r="J842" s="6" t="s">
        <v>161</v>
      </c>
    </row>
    <row r="843" customFormat="false" ht="15" hidden="false" customHeight="false" outlineLevel="0" collapsed="false">
      <c r="A843" s="19" t="n">
        <v>46335</v>
      </c>
      <c r="B843" s="6" t="s">
        <v>51</v>
      </c>
      <c r="C843" s="6" t="s">
        <v>154</v>
      </c>
      <c r="D843" s="7" t="n">
        <v>-0.4562</v>
      </c>
      <c r="E843" s="6" t="str">
        <f aca="false">IF(D843&gt;Settings!$C$4,"Bullish",IF(D843&lt;-Settings!$C$4,"Bearish","Neutral"))</f>
        <v>Bearish</v>
      </c>
      <c r="F843" s="8" t="n">
        <v>0.494</v>
      </c>
      <c r="G843" s="20"/>
      <c r="H843" s="6" t="str">
        <f aca="false">IF(G843="","",IF(G843&gt;0,"Bullish",IF(G843&lt;0,"Bearish","Flat")))</f>
        <v/>
      </c>
      <c r="I843" s="6" t="str">
        <f aca="false">IF(OR(G843="",E843="Neutral"),"",IF(E843=H843,1,0))</f>
        <v/>
      </c>
      <c r="J843" s="6" t="s">
        <v>161</v>
      </c>
    </row>
    <row r="844" customFormat="false" ht="15" hidden="false" customHeight="false" outlineLevel="0" collapsed="false">
      <c r="A844" s="19" t="n">
        <v>46335</v>
      </c>
      <c r="B844" s="6" t="s">
        <v>51</v>
      </c>
      <c r="C844" s="6" t="s">
        <v>149</v>
      </c>
      <c r="D844" s="7" t="n">
        <v>-0.1203</v>
      </c>
      <c r="E844" s="6" t="str">
        <f aca="false">IF(D844&gt;Settings!$C$4,"Bullish",IF(D844&lt;-Settings!$C$4,"Bearish","Neutral"))</f>
        <v>Neutral</v>
      </c>
      <c r="F844" s="8"/>
      <c r="G844" s="20"/>
      <c r="H844" s="6" t="str">
        <f aca="false">IF(G844="","",IF(G844&gt;0,"Bullish",IF(G844&lt;0,"Bearish","Flat")))</f>
        <v/>
      </c>
      <c r="I844" s="6" t="str">
        <f aca="false">IF(OR(G844="",E844="Neutral"),"",IF(E844=H844,1,0))</f>
        <v/>
      </c>
      <c r="J844" s="6" t="s">
        <v>161</v>
      </c>
    </row>
    <row r="845" customFormat="false" ht="15" hidden="false" customHeight="false" outlineLevel="0" collapsed="false">
      <c r="A845" s="19" t="n">
        <v>46336</v>
      </c>
      <c r="B845" s="6" t="s">
        <v>20</v>
      </c>
      <c r="C845" s="6" t="s">
        <v>154</v>
      </c>
      <c r="D845" s="7" t="n">
        <v>-0.4782</v>
      </c>
      <c r="E845" s="6" t="str">
        <f aca="false">IF(D845&gt;Settings!$C$4,"Bullish",IF(D845&lt;-Settings!$C$4,"Bearish","Neutral"))</f>
        <v>Bearish</v>
      </c>
      <c r="F845" s="8" t="n">
        <v>0.515</v>
      </c>
      <c r="G845" s="20"/>
      <c r="H845" s="6" t="str">
        <f aca="false">IF(G845="","",IF(G845&gt;0,"Bullish",IF(G845&lt;0,"Bearish","Flat")))</f>
        <v/>
      </c>
      <c r="I845" s="6" t="str">
        <f aca="false">IF(OR(G845="",E845="Neutral"),"",IF(E845=H845,1,0))</f>
        <v/>
      </c>
      <c r="J845" s="6" t="s">
        <v>161</v>
      </c>
    </row>
    <row r="846" customFormat="false" ht="15" hidden="false" customHeight="false" outlineLevel="0" collapsed="false">
      <c r="A846" s="19" t="n">
        <v>46336</v>
      </c>
      <c r="B846" s="6" t="s">
        <v>20</v>
      </c>
      <c r="C846" s="6" t="s">
        <v>149</v>
      </c>
      <c r="D846" s="7" t="n">
        <v>0.0094</v>
      </c>
      <c r="E846" s="6" t="str">
        <f aca="false">IF(D846&gt;Settings!$C$4,"Bullish",IF(D846&lt;-Settings!$C$4,"Bearish","Neutral"))</f>
        <v>Neutral</v>
      </c>
      <c r="F846" s="8"/>
      <c r="G846" s="20"/>
      <c r="H846" s="6" t="str">
        <f aca="false">IF(G846="","",IF(G846&gt;0,"Bullish",IF(G846&lt;0,"Bearish","Flat")))</f>
        <v/>
      </c>
      <c r="I846" s="6" t="str">
        <f aca="false">IF(OR(G846="",E846="Neutral"),"",IF(E846=H846,1,0))</f>
        <v/>
      </c>
      <c r="J846" s="6" t="s">
        <v>161</v>
      </c>
    </row>
    <row r="847" customFormat="false" ht="15" hidden="false" customHeight="false" outlineLevel="0" collapsed="false">
      <c r="A847" s="19" t="n">
        <v>46336</v>
      </c>
      <c r="B847" s="6" t="s">
        <v>22</v>
      </c>
      <c r="C847" s="6" t="s">
        <v>154</v>
      </c>
      <c r="D847" s="7" t="n">
        <v>-0.2161</v>
      </c>
      <c r="E847" s="6" t="str">
        <f aca="false">IF(D847&gt;Settings!$C$4,"Bullish",IF(D847&lt;-Settings!$C$4,"Bearish","Neutral"))</f>
        <v>Bearish</v>
      </c>
      <c r="F847" s="8" t="n">
        <v>0.514</v>
      </c>
      <c r="G847" s="20"/>
      <c r="H847" s="6" t="str">
        <f aca="false">IF(G847="","",IF(G847&gt;0,"Bullish",IF(G847&lt;0,"Bearish","Flat")))</f>
        <v/>
      </c>
      <c r="I847" s="6" t="str">
        <f aca="false">IF(OR(G847="",E847="Neutral"),"",IF(E847=H847,1,0))</f>
        <v/>
      </c>
      <c r="J847" s="6" t="s">
        <v>161</v>
      </c>
    </row>
    <row r="848" customFormat="false" ht="15" hidden="false" customHeight="false" outlineLevel="0" collapsed="false">
      <c r="A848" s="19" t="n">
        <v>46336</v>
      </c>
      <c r="B848" s="6" t="s">
        <v>22</v>
      </c>
      <c r="C848" s="6" t="s">
        <v>149</v>
      </c>
      <c r="D848" s="7" t="n">
        <v>0.5436</v>
      </c>
      <c r="E848" s="6" t="str">
        <f aca="false">IF(D848&gt;Settings!$C$4,"Bullish",IF(D848&lt;-Settings!$C$4,"Bearish","Neutral"))</f>
        <v>Bullish</v>
      </c>
      <c r="F848" s="8" t="n">
        <v>0.496</v>
      </c>
      <c r="G848" s="20"/>
      <c r="H848" s="6" t="str">
        <f aca="false">IF(G848="","",IF(G848&gt;0,"Bullish",IF(G848&lt;0,"Bearish","Flat")))</f>
        <v/>
      </c>
      <c r="I848" s="6" t="str">
        <f aca="false">IF(OR(G848="",E848="Neutral"),"",IF(E848=H848,1,0))</f>
        <v/>
      </c>
      <c r="J848" s="6" t="s">
        <v>161</v>
      </c>
    </row>
    <row r="849" customFormat="false" ht="15" hidden="false" customHeight="false" outlineLevel="0" collapsed="false">
      <c r="A849" s="19" t="n">
        <v>46336</v>
      </c>
      <c r="B849" s="6" t="s">
        <v>52</v>
      </c>
      <c r="C849" s="6" t="s">
        <v>154</v>
      </c>
      <c r="D849" s="7" t="n">
        <v>0.1338</v>
      </c>
      <c r="E849" s="6" t="str">
        <f aca="false">IF(D849&gt;Settings!$C$4,"Bullish",IF(D849&lt;-Settings!$C$4,"Bearish","Neutral"))</f>
        <v>Neutral</v>
      </c>
      <c r="F849" s="8"/>
      <c r="G849" s="20"/>
      <c r="H849" s="6" t="str">
        <f aca="false">IF(G849="","",IF(G849&gt;0,"Bullish",IF(G849&lt;0,"Bearish","Flat")))</f>
        <v/>
      </c>
      <c r="I849" s="6" t="str">
        <f aca="false">IF(OR(G849="",E849="Neutral"),"",IF(E849=H849,1,0))</f>
        <v/>
      </c>
      <c r="J849" s="6" t="s">
        <v>161</v>
      </c>
    </row>
    <row r="850" customFormat="false" ht="15" hidden="false" customHeight="false" outlineLevel="0" collapsed="false">
      <c r="A850" s="19" t="n">
        <v>46336</v>
      </c>
      <c r="B850" s="6" t="s">
        <v>52</v>
      </c>
      <c r="C850" s="6" t="s">
        <v>149</v>
      </c>
      <c r="D850" s="7" t="n">
        <v>-0.099</v>
      </c>
      <c r="E850" s="6" t="str">
        <f aca="false">IF(D850&gt;Settings!$C$4,"Bullish",IF(D850&lt;-Settings!$C$4,"Bearish","Neutral"))</f>
        <v>Neutral</v>
      </c>
      <c r="F850" s="8"/>
      <c r="G850" s="20"/>
      <c r="H850" s="6" t="str">
        <f aca="false">IF(G850="","",IF(G850&gt;0,"Bullish",IF(G850&lt;0,"Bearish","Flat")))</f>
        <v/>
      </c>
      <c r="I850" s="6" t="str">
        <f aca="false">IF(OR(G850="",E850="Neutral"),"",IF(E850=H850,1,0))</f>
        <v/>
      </c>
      <c r="J850" s="6" t="s">
        <v>161</v>
      </c>
    </row>
    <row r="851" customFormat="false" ht="15" hidden="false" customHeight="false" outlineLevel="0" collapsed="false">
      <c r="A851" s="19" t="n">
        <v>46336</v>
      </c>
      <c r="B851" s="6" t="s">
        <v>30</v>
      </c>
      <c r="C851" s="6" t="s">
        <v>154</v>
      </c>
      <c r="D851" s="7" t="n">
        <v>-0.0339</v>
      </c>
      <c r="E851" s="6" t="str">
        <f aca="false">IF(D851&gt;Settings!$C$4,"Bullish",IF(D851&lt;-Settings!$C$4,"Bearish","Neutral"))</f>
        <v>Neutral</v>
      </c>
      <c r="F851" s="8"/>
      <c r="G851" s="20"/>
      <c r="H851" s="6" t="str">
        <f aca="false">IF(G851="","",IF(G851&gt;0,"Bullish",IF(G851&lt;0,"Bearish","Flat")))</f>
        <v/>
      </c>
      <c r="I851" s="6" t="str">
        <f aca="false">IF(OR(G851="",E851="Neutral"),"",IF(E851=H851,1,0))</f>
        <v/>
      </c>
      <c r="J851" s="6" t="s">
        <v>161</v>
      </c>
    </row>
    <row r="852" customFormat="false" ht="15" hidden="false" customHeight="false" outlineLevel="0" collapsed="false">
      <c r="A852" s="19" t="n">
        <v>46336</v>
      </c>
      <c r="B852" s="6" t="s">
        <v>30</v>
      </c>
      <c r="C852" s="6" t="s">
        <v>149</v>
      </c>
      <c r="D852" s="7" t="n">
        <v>0.4732</v>
      </c>
      <c r="E852" s="6" t="str">
        <f aca="false">IF(D852&gt;Settings!$C$4,"Bullish",IF(D852&lt;-Settings!$C$4,"Bearish","Neutral"))</f>
        <v>Bullish</v>
      </c>
      <c r="F852" s="8" t="n">
        <v>0.525</v>
      </c>
      <c r="G852" s="20"/>
      <c r="H852" s="6" t="str">
        <f aca="false">IF(G852="","",IF(G852&gt;0,"Bullish",IF(G852&lt;0,"Bearish","Flat")))</f>
        <v/>
      </c>
      <c r="I852" s="6" t="str">
        <f aca="false">IF(OR(G852="",E852="Neutral"),"",IF(E852=H852,1,0))</f>
        <v/>
      </c>
      <c r="J852" s="6" t="s">
        <v>161</v>
      </c>
    </row>
    <row r="853" customFormat="false" ht="15" hidden="false" customHeight="false" outlineLevel="0" collapsed="false">
      <c r="A853" s="19" t="n">
        <v>46336</v>
      </c>
      <c r="B853" s="6" t="s">
        <v>50</v>
      </c>
      <c r="C853" s="6" t="s">
        <v>154</v>
      </c>
      <c r="D853" s="7" t="n">
        <v>-0.0609</v>
      </c>
      <c r="E853" s="6" t="str">
        <f aca="false">IF(D853&gt;Settings!$C$4,"Bullish",IF(D853&lt;-Settings!$C$4,"Bearish","Neutral"))</f>
        <v>Neutral</v>
      </c>
      <c r="F853" s="8"/>
      <c r="G853" s="20"/>
      <c r="H853" s="6" t="str">
        <f aca="false">IF(G853="","",IF(G853&gt;0,"Bullish",IF(G853&lt;0,"Bearish","Flat")))</f>
        <v/>
      </c>
      <c r="I853" s="6" t="str">
        <f aca="false">IF(OR(G853="",E853="Neutral"),"",IF(E853=H853,1,0))</f>
        <v/>
      </c>
      <c r="J853" s="6" t="s">
        <v>161</v>
      </c>
    </row>
    <row r="854" customFormat="false" ht="15" hidden="false" customHeight="false" outlineLevel="0" collapsed="false">
      <c r="A854" s="19" t="n">
        <v>46336</v>
      </c>
      <c r="B854" s="6" t="s">
        <v>50</v>
      </c>
      <c r="C854" s="6" t="s">
        <v>149</v>
      </c>
      <c r="D854" s="7" t="n">
        <v>0.6061</v>
      </c>
      <c r="E854" s="6" t="str">
        <f aca="false">IF(D854&gt;Settings!$C$4,"Bullish",IF(D854&lt;-Settings!$C$4,"Bearish","Neutral"))</f>
        <v>Bullish</v>
      </c>
      <c r="F854" s="8" t="n">
        <v>0.442</v>
      </c>
      <c r="G854" s="20"/>
      <c r="H854" s="6" t="str">
        <f aca="false">IF(G854="","",IF(G854&gt;0,"Bullish",IF(G854&lt;0,"Bearish","Flat")))</f>
        <v/>
      </c>
      <c r="I854" s="6" t="str">
        <f aca="false">IF(OR(G854="",E854="Neutral"),"",IF(E854=H854,1,0))</f>
        <v/>
      </c>
      <c r="J854" s="6" t="s">
        <v>161</v>
      </c>
    </row>
    <row r="855" customFormat="false" ht="15" hidden="false" customHeight="false" outlineLevel="0" collapsed="false">
      <c r="A855" s="19" t="n">
        <v>46336</v>
      </c>
      <c r="B855" s="6" t="s">
        <v>34</v>
      </c>
      <c r="C855" s="6" t="s">
        <v>154</v>
      </c>
      <c r="D855" s="7" t="n">
        <v>0.0096</v>
      </c>
      <c r="E855" s="6" t="str">
        <f aca="false">IF(D855&gt;Settings!$C$4,"Bullish",IF(D855&lt;-Settings!$C$4,"Bearish","Neutral"))</f>
        <v>Neutral</v>
      </c>
      <c r="F855" s="8"/>
      <c r="G855" s="20"/>
      <c r="H855" s="6" t="str">
        <f aca="false">IF(G855="","",IF(G855&gt;0,"Bullish",IF(G855&lt;0,"Bearish","Flat")))</f>
        <v/>
      </c>
      <c r="I855" s="6" t="str">
        <f aca="false">IF(OR(G855="",E855="Neutral"),"",IF(E855=H855,1,0))</f>
        <v/>
      </c>
      <c r="J855" s="6" t="s">
        <v>161</v>
      </c>
    </row>
    <row r="856" customFormat="false" ht="15" hidden="false" customHeight="false" outlineLevel="0" collapsed="false">
      <c r="A856" s="19" t="n">
        <v>46336</v>
      </c>
      <c r="B856" s="6" t="s">
        <v>34</v>
      </c>
      <c r="C856" s="6" t="s">
        <v>149</v>
      </c>
      <c r="D856" s="7" t="n">
        <v>0.0094</v>
      </c>
      <c r="E856" s="6" t="str">
        <f aca="false">IF(D856&gt;Settings!$C$4,"Bullish",IF(D856&lt;-Settings!$C$4,"Bearish","Neutral"))</f>
        <v>Neutral</v>
      </c>
      <c r="F856" s="8"/>
      <c r="G856" s="20"/>
      <c r="H856" s="6" t="str">
        <f aca="false">IF(G856="","",IF(G856&gt;0,"Bullish",IF(G856&lt;0,"Bearish","Flat")))</f>
        <v/>
      </c>
      <c r="I856" s="6" t="str">
        <f aca="false">IF(OR(G856="",E856="Neutral"),"",IF(E856=H856,1,0))</f>
        <v/>
      </c>
      <c r="J856" s="6" t="s">
        <v>161</v>
      </c>
    </row>
    <row r="857" customFormat="false" ht="15" hidden="false" customHeight="false" outlineLevel="0" collapsed="false">
      <c r="A857" s="19" t="n">
        <v>46336</v>
      </c>
      <c r="B857" s="6" t="s">
        <v>35</v>
      </c>
      <c r="C857" s="6" t="s">
        <v>154</v>
      </c>
      <c r="D857" s="7" t="n">
        <v>0.0318</v>
      </c>
      <c r="E857" s="6" t="str">
        <f aca="false">IF(D857&gt;Settings!$C$4,"Bullish",IF(D857&lt;-Settings!$C$4,"Bearish","Neutral"))</f>
        <v>Neutral</v>
      </c>
      <c r="F857" s="8"/>
      <c r="G857" s="20"/>
      <c r="H857" s="6" t="str">
        <f aca="false">IF(G857="","",IF(G857&gt;0,"Bullish",IF(G857&lt;0,"Bearish","Flat")))</f>
        <v/>
      </c>
      <c r="I857" s="6" t="str">
        <f aca="false">IF(OR(G857="",E857="Neutral"),"",IF(E857=H857,1,0))</f>
        <v/>
      </c>
      <c r="J857" s="6" t="s">
        <v>161</v>
      </c>
    </row>
    <row r="858" customFormat="false" ht="15" hidden="false" customHeight="false" outlineLevel="0" collapsed="false">
      <c r="A858" s="19" t="n">
        <v>46336</v>
      </c>
      <c r="B858" s="6" t="s">
        <v>35</v>
      </c>
      <c r="C858" s="6" t="s">
        <v>149</v>
      </c>
      <c r="D858" s="7" t="n">
        <v>0.2758</v>
      </c>
      <c r="E858" s="6" t="str">
        <f aca="false">IF(D858&gt;Settings!$C$4,"Bullish",IF(D858&lt;-Settings!$C$4,"Bearish","Neutral"))</f>
        <v>Bullish</v>
      </c>
      <c r="F858" s="8" t="n">
        <v>0.563</v>
      </c>
      <c r="G858" s="20"/>
      <c r="H858" s="6" t="str">
        <f aca="false">IF(G858="","",IF(G858&gt;0,"Bullish",IF(G858&lt;0,"Bearish","Flat")))</f>
        <v/>
      </c>
      <c r="I858" s="6" t="str">
        <f aca="false">IF(OR(G858="",E858="Neutral"),"",IF(E858=H858,1,0))</f>
        <v/>
      </c>
      <c r="J858" s="6" t="s">
        <v>161</v>
      </c>
    </row>
    <row r="859" customFormat="false" ht="15" hidden="false" customHeight="false" outlineLevel="0" collapsed="false">
      <c r="A859" s="19" t="n">
        <v>46336</v>
      </c>
      <c r="B859" s="6" t="s">
        <v>37</v>
      </c>
      <c r="C859" s="6" t="s">
        <v>154</v>
      </c>
      <c r="D859" s="7" t="n">
        <v>-0.0521</v>
      </c>
      <c r="E859" s="6" t="str">
        <f aca="false">IF(D859&gt;Settings!$C$4,"Bullish",IF(D859&lt;-Settings!$C$4,"Bearish","Neutral"))</f>
        <v>Neutral</v>
      </c>
      <c r="F859" s="8"/>
      <c r="G859" s="20"/>
      <c r="H859" s="6" t="str">
        <f aca="false">IF(G859="","",IF(G859&gt;0,"Bullish",IF(G859&lt;0,"Bearish","Flat")))</f>
        <v/>
      </c>
      <c r="I859" s="6" t="str">
        <f aca="false">IF(OR(G859="",E859="Neutral"),"",IF(E859=H859,1,0))</f>
        <v/>
      </c>
      <c r="J859" s="6" t="s">
        <v>161</v>
      </c>
    </row>
    <row r="860" customFormat="false" ht="15" hidden="false" customHeight="false" outlineLevel="0" collapsed="false">
      <c r="A860" s="19" t="n">
        <v>46336</v>
      </c>
      <c r="B860" s="6" t="s">
        <v>37</v>
      </c>
      <c r="C860" s="6" t="s">
        <v>149</v>
      </c>
      <c r="D860" s="7" t="n">
        <v>0.5081</v>
      </c>
      <c r="E860" s="6" t="str">
        <f aca="false">IF(D860&gt;Settings!$C$4,"Bullish",IF(D860&lt;-Settings!$C$4,"Bearish","Neutral"))</f>
        <v>Bullish</v>
      </c>
      <c r="F860" s="8" t="n">
        <v>0.523</v>
      </c>
      <c r="G860" s="20"/>
      <c r="H860" s="6" t="str">
        <f aca="false">IF(G860="","",IF(G860&gt;0,"Bullish",IF(G860&lt;0,"Bearish","Flat")))</f>
        <v/>
      </c>
      <c r="I860" s="6" t="str">
        <f aca="false">IF(OR(G860="",E860="Neutral"),"",IF(E860=H860,1,0))</f>
        <v/>
      </c>
      <c r="J860" s="6" t="s">
        <v>161</v>
      </c>
    </row>
    <row r="861" customFormat="false" ht="15" hidden="false" customHeight="false" outlineLevel="0" collapsed="false">
      <c r="A861" s="19" t="n">
        <v>46336</v>
      </c>
      <c r="B861" s="6" t="s">
        <v>38</v>
      </c>
      <c r="C861" s="6" t="s">
        <v>154</v>
      </c>
      <c r="D861" s="7" t="n">
        <v>0.1093</v>
      </c>
      <c r="E861" s="6" t="str">
        <f aca="false">IF(D861&gt;Settings!$C$4,"Bullish",IF(D861&lt;-Settings!$C$4,"Bearish","Neutral"))</f>
        <v>Neutral</v>
      </c>
      <c r="F861" s="8"/>
      <c r="G861" s="20"/>
      <c r="H861" s="6" t="str">
        <f aca="false">IF(G861="","",IF(G861&gt;0,"Bullish",IF(G861&lt;0,"Bearish","Flat")))</f>
        <v/>
      </c>
      <c r="I861" s="6" t="str">
        <f aca="false">IF(OR(G861="",E861="Neutral"),"",IF(E861=H861,1,0))</f>
        <v/>
      </c>
      <c r="J861" s="6" t="s">
        <v>161</v>
      </c>
    </row>
    <row r="862" customFormat="false" ht="15" hidden="false" customHeight="false" outlineLevel="0" collapsed="false">
      <c r="A862" s="19" t="n">
        <v>46336</v>
      </c>
      <c r="B862" s="6" t="s">
        <v>38</v>
      </c>
      <c r="C862" s="6" t="s">
        <v>149</v>
      </c>
      <c r="D862" s="7" t="n">
        <v>0.0094</v>
      </c>
      <c r="E862" s="6" t="str">
        <f aca="false">IF(D862&gt;Settings!$C$4,"Bullish",IF(D862&lt;-Settings!$C$4,"Bearish","Neutral"))</f>
        <v>Neutral</v>
      </c>
      <c r="F862" s="8"/>
      <c r="G862" s="20"/>
      <c r="H862" s="6" t="str">
        <f aca="false">IF(G862="","",IF(G862&gt;0,"Bullish",IF(G862&lt;0,"Bearish","Flat")))</f>
        <v/>
      </c>
      <c r="I862" s="6" t="str">
        <f aca="false">IF(OR(G862="",E862="Neutral"),"",IF(E862=H862,1,0))</f>
        <v/>
      </c>
      <c r="J862" s="6" t="s">
        <v>161</v>
      </c>
    </row>
    <row r="863" customFormat="false" ht="15" hidden="false" customHeight="false" outlineLevel="0" collapsed="false">
      <c r="A863" s="19" t="n">
        <v>46336</v>
      </c>
      <c r="B863" s="6" t="s">
        <v>53</v>
      </c>
      <c r="C863" s="6" t="s">
        <v>154</v>
      </c>
      <c r="D863" s="7" t="n">
        <v>0.3934</v>
      </c>
      <c r="E863" s="6" t="str">
        <f aca="false">IF(D863&gt;Settings!$C$4,"Bullish",IF(D863&lt;-Settings!$C$4,"Bearish","Neutral"))</f>
        <v>Bullish</v>
      </c>
      <c r="F863" s="8" t="n">
        <v>0.535</v>
      </c>
      <c r="G863" s="20"/>
      <c r="H863" s="6" t="str">
        <f aca="false">IF(G863="","",IF(G863&gt;0,"Bullish",IF(G863&lt;0,"Bearish","Flat")))</f>
        <v/>
      </c>
      <c r="I863" s="6" t="str">
        <f aca="false">IF(OR(G863="",E863="Neutral"),"",IF(E863=H863,1,0))</f>
        <v/>
      </c>
      <c r="J863" s="6" t="s">
        <v>161</v>
      </c>
    </row>
    <row r="864" customFormat="false" ht="15" hidden="false" customHeight="false" outlineLevel="0" collapsed="false">
      <c r="A864" s="19" t="n">
        <v>46336</v>
      </c>
      <c r="B864" s="6" t="s">
        <v>53</v>
      </c>
      <c r="C864" s="6" t="s">
        <v>149</v>
      </c>
      <c r="D864" s="7" t="n">
        <v>-0.0951</v>
      </c>
      <c r="E864" s="6" t="str">
        <f aca="false">IF(D864&gt;Settings!$C$4,"Bullish",IF(D864&lt;-Settings!$C$4,"Bearish","Neutral"))</f>
        <v>Neutral</v>
      </c>
      <c r="F864" s="8"/>
      <c r="G864" s="20"/>
      <c r="H864" s="6" t="str">
        <f aca="false">IF(G864="","",IF(G864&gt;0,"Bullish",IF(G864&lt;0,"Bearish","Flat")))</f>
        <v/>
      </c>
      <c r="I864" s="6" t="str">
        <f aca="false">IF(OR(G864="",E864="Neutral"),"",IF(E864=H864,1,0))</f>
        <v/>
      </c>
      <c r="J864" s="6" t="s">
        <v>161</v>
      </c>
    </row>
    <row r="865" customFormat="false" ht="15" hidden="false" customHeight="false" outlineLevel="0" collapsed="false">
      <c r="A865" s="19" t="n">
        <v>46336</v>
      </c>
      <c r="B865" s="6" t="s">
        <v>18</v>
      </c>
      <c r="C865" s="6" t="s">
        <v>154</v>
      </c>
      <c r="D865" s="7" t="n">
        <v>-0.2809</v>
      </c>
      <c r="E865" s="6" t="str">
        <f aca="false">IF(D865&gt;Settings!$C$4,"Bullish",IF(D865&lt;-Settings!$C$4,"Bearish","Neutral"))</f>
        <v>Bearish</v>
      </c>
      <c r="F865" s="8" t="n">
        <v>0.481</v>
      </c>
      <c r="G865" s="20"/>
      <c r="H865" s="6" t="str">
        <f aca="false">IF(G865="","",IF(G865&gt;0,"Bullish",IF(G865&lt;0,"Bearish","Flat")))</f>
        <v/>
      </c>
      <c r="I865" s="6" t="str">
        <f aca="false">IF(OR(G865="",E865="Neutral"),"",IF(E865=H865,1,0))</f>
        <v/>
      </c>
      <c r="J865" s="6" t="s">
        <v>161</v>
      </c>
    </row>
    <row r="866" customFormat="false" ht="15" hidden="false" customHeight="false" outlineLevel="0" collapsed="false">
      <c r="A866" s="19" t="n">
        <v>46336</v>
      </c>
      <c r="B866" s="6" t="s">
        <v>18</v>
      </c>
      <c r="C866" s="6" t="s">
        <v>149</v>
      </c>
      <c r="D866" s="7" t="n">
        <v>0.4331</v>
      </c>
      <c r="E866" s="6" t="str">
        <f aca="false">IF(D866&gt;Settings!$C$4,"Bullish",IF(D866&lt;-Settings!$C$4,"Bearish","Neutral"))</f>
        <v>Bullish</v>
      </c>
      <c r="F866" s="8" t="n">
        <v>0.51</v>
      </c>
      <c r="G866" s="20"/>
      <c r="H866" s="6" t="str">
        <f aca="false">IF(G866="","",IF(G866&gt;0,"Bullish",IF(G866&lt;0,"Bearish","Flat")))</f>
        <v/>
      </c>
      <c r="I866" s="6" t="str">
        <f aca="false">IF(OR(G866="",E866="Neutral"),"",IF(E866=H866,1,0))</f>
        <v/>
      </c>
      <c r="J866" s="6" t="s">
        <v>161</v>
      </c>
    </row>
    <row r="867" customFormat="false" ht="15" hidden="false" customHeight="false" outlineLevel="0" collapsed="false">
      <c r="A867" s="19" t="n">
        <v>46336</v>
      </c>
      <c r="B867" s="6" t="s">
        <v>40</v>
      </c>
      <c r="C867" s="6" t="s">
        <v>154</v>
      </c>
      <c r="D867" s="7" t="n">
        <v>-0.5207</v>
      </c>
      <c r="E867" s="6" t="str">
        <f aca="false">IF(D867&gt;Settings!$C$4,"Bullish",IF(D867&lt;-Settings!$C$4,"Bearish","Neutral"))</f>
        <v>Bearish</v>
      </c>
      <c r="F867" s="8" t="n">
        <v>0.52</v>
      </c>
      <c r="G867" s="20"/>
      <c r="H867" s="6" t="str">
        <f aca="false">IF(G867="","",IF(G867&gt;0,"Bullish",IF(G867&lt;0,"Bearish","Flat")))</f>
        <v/>
      </c>
      <c r="I867" s="6" t="str">
        <f aca="false">IF(OR(G867="",E867="Neutral"),"",IF(E867=H867,1,0))</f>
        <v/>
      </c>
      <c r="J867" s="6" t="s">
        <v>161</v>
      </c>
    </row>
    <row r="868" customFormat="false" ht="15" hidden="false" customHeight="false" outlineLevel="0" collapsed="false">
      <c r="A868" s="19" t="n">
        <v>46336</v>
      </c>
      <c r="B868" s="6" t="s">
        <v>40</v>
      </c>
      <c r="C868" s="6" t="s">
        <v>149</v>
      </c>
      <c r="D868" s="7" t="n">
        <v>0.0094</v>
      </c>
      <c r="E868" s="6" t="str">
        <f aca="false">IF(D868&gt;Settings!$C$4,"Bullish",IF(D868&lt;-Settings!$C$4,"Bearish","Neutral"))</f>
        <v>Neutral</v>
      </c>
      <c r="F868" s="8"/>
      <c r="G868" s="20"/>
      <c r="H868" s="6" t="str">
        <f aca="false">IF(G868="","",IF(G868&gt;0,"Bullish",IF(G868&lt;0,"Bearish","Flat")))</f>
        <v/>
      </c>
      <c r="I868" s="6" t="str">
        <f aca="false">IF(OR(G868="",E868="Neutral"),"",IF(E868=H868,1,0))</f>
        <v/>
      </c>
      <c r="J868" s="6" t="s">
        <v>161</v>
      </c>
    </row>
    <row r="869" customFormat="false" ht="15" hidden="false" customHeight="false" outlineLevel="0" collapsed="false">
      <c r="A869" s="19" t="n">
        <v>46336</v>
      </c>
      <c r="B869" s="6" t="s">
        <v>49</v>
      </c>
      <c r="C869" s="6" t="s">
        <v>154</v>
      </c>
      <c r="D869" s="7" t="n">
        <v>-0.2741</v>
      </c>
      <c r="E869" s="6" t="str">
        <f aca="false">IF(D869&gt;Settings!$C$4,"Bullish",IF(D869&lt;-Settings!$C$4,"Bearish","Neutral"))</f>
        <v>Bearish</v>
      </c>
      <c r="F869" s="8" t="n">
        <v>0.478</v>
      </c>
      <c r="G869" s="20"/>
      <c r="H869" s="6" t="str">
        <f aca="false">IF(G869="","",IF(G869&gt;0,"Bullish",IF(G869&lt;0,"Bearish","Flat")))</f>
        <v/>
      </c>
      <c r="I869" s="6" t="str">
        <f aca="false">IF(OR(G869="",E869="Neutral"),"",IF(E869=H869,1,0))</f>
        <v/>
      </c>
      <c r="J869" s="6" t="s">
        <v>161</v>
      </c>
    </row>
    <row r="870" customFormat="false" ht="15" hidden="false" customHeight="false" outlineLevel="0" collapsed="false">
      <c r="A870" s="19" t="n">
        <v>46336</v>
      </c>
      <c r="B870" s="6" t="s">
        <v>49</v>
      </c>
      <c r="C870" s="6" t="s">
        <v>149</v>
      </c>
      <c r="D870" s="7" t="n">
        <v>0.0094</v>
      </c>
      <c r="E870" s="6" t="str">
        <f aca="false">IF(D870&gt;Settings!$C$4,"Bullish",IF(D870&lt;-Settings!$C$4,"Bearish","Neutral"))</f>
        <v>Neutral</v>
      </c>
      <c r="F870" s="8"/>
      <c r="G870" s="20"/>
      <c r="H870" s="6" t="str">
        <f aca="false">IF(G870="","",IF(G870&gt;0,"Bullish",IF(G870&lt;0,"Bearish","Flat")))</f>
        <v/>
      </c>
      <c r="I870" s="6" t="str">
        <f aca="false">IF(OR(G870="",E870="Neutral"),"",IF(E870=H870,1,0))</f>
        <v/>
      </c>
      <c r="J870" s="6" t="s">
        <v>161</v>
      </c>
    </row>
    <row r="871" customFormat="false" ht="15" hidden="false" customHeight="false" outlineLevel="0" collapsed="false">
      <c r="A871" s="19" t="n">
        <v>46336</v>
      </c>
      <c r="B871" s="6" t="s">
        <v>43</v>
      </c>
      <c r="C871" s="6" t="s">
        <v>154</v>
      </c>
      <c r="D871" s="7" t="n">
        <v>0.2829</v>
      </c>
      <c r="E871" s="6" t="str">
        <f aca="false">IF(D871&gt;Settings!$C$4,"Bullish",IF(D871&lt;-Settings!$C$4,"Bearish","Neutral"))</f>
        <v>Bullish</v>
      </c>
      <c r="F871" s="8" t="n">
        <v>0.468</v>
      </c>
      <c r="G871" s="20"/>
      <c r="H871" s="6" t="str">
        <f aca="false">IF(G871="","",IF(G871&gt;0,"Bullish",IF(G871&lt;0,"Bearish","Flat")))</f>
        <v/>
      </c>
      <c r="I871" s="6" t="str">
        <f aca="false">IF(OR(G871="",E871="Neutral"),"",IF(E871=H871,1,0))</f>
        <v/>
      </c>
      <c r="J871" s="6" t="s">
        <v>161</v>
      </c>
    </row>
    <row r="872" customFormat="false" ht="15" hidden="false" customHeight="false" outlineLevel="0" collapsed="false">
      <c r="A872" s="19" t="n">
        <v>46336</v>
      </c>
      <c r="B872" s="6" t="s">
        <v>43</v>
      </c>
      <c r="C872" s="6" t="s">
        <v>149</v>
      </c>
      <c r="D872" s="7" t="n">
        <v>0.0094</v>
      </c>
      <c r="E872" s="6" t="str">
        <f aca="false">IF(D872&gt;Settings!$C$4,"Bullish",IF(D872&lt;-Settings!$C$4,"Bearish","Neutral"))</f>
        <v>Neutral</v>
      </c>
      <c r="F872" s="8"/>
      <c r="G872" s="20"/>
      <c r="H872" s="6" t="str">
        <f aca="false">IF(G872="","",IF(G872&gt;0,"Bullish",IF(G872&lt;0,"Bearish","Flat")))</f>
        <v/>
      </c>
      <c r="I872" s="6" t="str">
        <f aca="false">IF(OR(G872="",E872="Neutral"),"",IF(E872=H872,1,0))</f>
        <v/>
      </c>
      <c r="J872" s="6" t="s">
        <v>161</v>
      </c>
    </row>
    <row r="873" customFormat="false" ht="15" hidden="false" customHeight="false" outlineLevel="0" collapsed="false">
      <c r="A873" s="19" t="n">
        <v>46336</v>
      </c>
      <c r="B873" s="6" t="s">
        <v>51</v>
      </c>
      <c r="C873" s="6" t="s">
        <v>154</v>
      </c>
      <c r="D873" s="7" t="n">
        <v>-0.0028</v>
      </c>
      <c r="E873" s="6" t="str">
        <f aca="false">IF(D873&gt;Settings!$C$4,"Bullish",IF(D873&lt;-Settings!$C$4,"Bearish","Neutral"))</f>
        <v>Neutral</v>
      </c>
      <c r="F873" s="8"/>
      <c r="G873" s="20"/>
      <c r="H873" s="6" t="str">
        <f aca="false">IF(G873="","",IF(G873&gt;0,"Bullish",IF(G873&lt;0,"Bearish","Flat")))</f>
        <v/>
      </c>
      <c r="I873" s="6" t="str">
        <f aca="false">IF(OR(G873="",E873="Neutral"),"",IF(E873=H873,1,0))</f>
        <v/>
      </c>
      <c r="J873" s="6" t="s">
        <v>161</v>
      </c>
    </row>
    <row r="874" customFormat="false" ht="15" hidden="false" customHeight="false" outlineLevel="0" collapsed="false">
      <c r="A874" s="19" t="n">
        <v>46336</v>
      </c>
      <c r="B874" s="6" t="s">
        <v>51</v>
      </c>
      <c r="C874" s="6" t="s">
        <v>149</v>
      </c>
      <c r="D874" s="7" t="n">
        <v>-0.1394</v>
      </c>
      <c r="E874" s="6" t="str">
        <f aca="false">IF(D874&gt;Settings!$C$4,"Bullish",IF(D874&lt;-Settings!$C$4,"Bearish","Neutral"))</f>
        <v>Neutral</v>
      </c>
      <c r="F874" s="8"/>
      <c r="G874" s="20"/>
      <c r="H874" s="6" t="str">
        <f aca="false">IF(G874="","",IF(G874&gt;0,"Bullish",IF(G874&lt;0,"Bearish","Flat")))</f>
        <v/>
      </c>
      <c r="I874" s="6" t="str">
        <f aca="false">IF(OR(G874="",E874="Neutral"),"",IF(E874=H874,1,0))</f>
        <v/>
      </c>
      <c r="J874" s="6" t="s">
        <v>161</v>
      </c>
    </row>
    <row r="875" customFormat="false" ht="15" hidden="false" customHeight="false" outlineLevel="0" collapsed="false">
      <c r="A875" s="19" t="n">
        <v>46337</v>
      </c>
      <c r="B875" s="6" t="s">
        <v>20</v>
      </c>
      <c r="C875" s="6" t="s">
        <v>154</v>
      </c>
      <c r="D875" s="7" t="n">
        <v>-0.4794</v>
      </c>
      <c r="E875" s="6" t="str">
        <f aca="false">IF(D875&gt;Settings!$C$4,"Bullish",IF(D875&lt;-Settings!$C$4,"Bearish","Neutral"))</f>
        <v>Bearish</v>
      </c>
      <c r="F875" s="8" t="n">
        <v>0.515</v>
      </c>
      <c r="G875" s="20"/>
      <c r="H875" s="6" t="str">
        <f aca="false">IF(G875="","",IF(G875&gt;0,"Bullish",IF(G875&lt;0,"Bearish","Flat")))</f>
        <v/>
      </c>
      <c r="I875" s="6" t="str">
        <f aca="false">IF(OR(G875="",E875="Neutral"),"",IF(E875=H875,1,0))</f>
        <v/>
      </c>
      <c r="J875" s="6" t="s">
        <v>161</v>
      </c>
    </row>
    <row r="876" customFormat="false" ht="15" hidden="false" customHeight="false" outlineLevel="0" collapsed="false">
      <c r="A876" s="19" t="n">
        <v>46337</v>
      </c>
      <c r="B876" s="6" t="s">
        <v>20</v>
      </c>
      <c r="C876" s="6" t="s">
        <v>149</v>
      </c>
      <c r="D876" s="7" t="n">
        <v>0.0233</v>
      </c>
      <c r="E876" s="6" t="str">
        <f aca="false">IF(D876&gt;Settings!$C$4,"Bullish",IF(D876&lt;-Settings!$C$4,"Bearish","Neutral"))</f>
        <v>Neutral</v>
      </c>
      <c r="F876" s="8"/>
      <c r="G876" s="20"/>
      <c r="H876" s="6" t="str">
        <f aca="false">IF(G876="","",IF(G876&gt;0,"Bullish",IF(G876&lt;0,"Bearish","Flat")))</f>
        <v/>
      </c>
      <c r="I876" s="6" t="str">
        <f aca="false">IF(OR(G876="",E876="Neutral"),"",IF(E876=H876,1,0))</f>
        <v/>
      </c>
      <c r="J876" s="6" t="s">
        <v>161</v>
      </c>
    </row>
    <row r="877" customFormat="false" ht="15" hidden="false" customHeight="false" outlineLevel="0" collapsed="false">
      <c r="A877" s="19" t="n">
        <v>46337</v>
      </c>
      <c r="B877" s="6" t="s">
        <v>22</v>
      </c>
      <c r="C877" s="6" t="s">
        <v>154</v>
      </c>
      <c r="D877" s="7" t="n">
        <v>-0.1874</v>
      </c>
      <c r="E877" s="6" t="str">
        <f aca="false">IF(D877&gt;Settings!$C$4,"Bullish",IF(D877&lt;-Settings!$C$4,"Bearish","Neutral"))</f>
        <v>Bearish</v>
      </c>
      <c r="F877" s="8" t="n">
        <v>0.514</v>
      </c>
      <c r="G877" s="20"/>
      <c r="H877" s="6" t="str">
        <f aca="false">IF(G877="","",IF(G877&gt;0,"Bullish",IF(G877&lt;0,"Bearish","Flat")))</f>
        <v/>
      </c>
      <c r="I877" s="6" t="str">
        <f aca="false">IF(OR(G877="",E877="Neutral"),"",IF(E877=H877,1,0))</f>
        <v/>
      </c>
      <c r="J877" s="6" t="s">
        <v>161</v>
      </c>
    </row>
    <row r="878" customFormat="false" ht="15" hidden="false" customHeight="false" outlineLevel="0" collapsed="false">
      <c r="A878" s="19" t="n">
        <v>46337</v>
      </c>
      <c r="B878" s="6" t="s">
        <v>22</v>
      </c>
      <c r="C878" s="6" t="s">
        <v>149</v>
      </c>
      <c r="D878" s="7" t="n">
        <v>0.5603</v>
      </c>
      <c r="E878" s="6" t="str">
        <f aca="false">IF(D878&gt;Settings!$C$4,"Bullish",IF(D878&lt;-Settings!$C$4,"Bearish","Neutral"))</f>
        <v>Bullish</v>
      </c>
      <c r="F878" s="8" t="n">
        <v>0.496</v>
      </c>
      <c r="G878" s="20"/>
      <c r="H878" s="6" t="str">
        <f aca="false">IF(G878="","",IF(G878&gt;0,"Bullish",IF(G878&lt;0,"Bearish","Flat")))</f>
        <v/>
      </c>
      <c r="I878" s="6" t="str">
        <f aca="false">IF(OR(G878="",E878="Neutral"),"",IF(E878=H878,1,0))</f>
        <v/>
      </c>
      <c r="J878" s="6" t="s">
        <v>161</v>
      </c>
    </row>
    <row r="879" customFormat="false" ht="15" hidden="false" customHeight="false" outlineLevel="0" collapsed="false">
      <c r="A879" s="19" t="n">
        <v>46337</v>
      </c>
      <c r="B879" s="6" t="s">
        <v>52</v>
      </c>
      <c r="C879" s="6" t="s">
        <v>154</v>
      </c>
      <c r="D879" s="7" t="n">
        <v>-0.0988</v>
      </c>
      <c r="E879" s="6" t="str">
        <f aca="false">IF(D879&gt;Settings!$C$4,"Bullish",IF(D879&lt;-Settings!$C$4,"Bearish","Neutral"))</f>
        <v>Neutral</v>
      </c>
      <c r="F879" s="8"/>
      <c r="G879" s="20"/>
      <c r="H879" s="6" t="str">
        <f aca="false">IF(G879="","",IF(G879&gt;0,"Bullish",IF(G879&lt;0,"Bearish","Flat")))</f>
        <v/>
      </c>
      <c r="I879" s="6" t="str">
        <f aca="false">IF(OR(G879="",E879="Neutral"),"",IF(E879=H879,1,0))</f>
        <v/>
      </c>
      <c r="J879" s="6" t="s">
        <v>161</v>
      </c>
    </row>
    <row r="880" customFormat="false" ht="15" hidden="false" customHeight="false" outlineLevel="0" collapsed="false">
      <c r="A880" s="19" t="n">
        <v>46337</v>
      </c>
      <c r="B880" s="6" t="s">
        <v>52</v>
      </c>
      <c r="C880" s="6" t="s">
        <v>149</v>
      </c>
      <c r="D880" s="7" t="n">
        <v>-0.0089</v>
      </c>
      <c r="E880" s="6" t="str">
        <f aca="false">IF(D880&gt;Settings!$C$4,"Bullish",IF(D880&lt;-Settings!$C$4,"Bearish","Neutral"))</f>
        <v>Neutral</v>
      </c>
      <c r="F880" s="8"/>
      <c r="G880" s="20"/>
      <c r="H880" s="6" t="str">
        <f aca="false">IF(G880="","",IF(G880&gt;0,"Bullish",IF(G880&lt;0,"Bearish","Flat")))</f>
        <v/>
      </c>
      <c r="I880" s="6" t="str">
        <f aca="false">IF(OR(G880="",E880="Neutral"),"",IF(E880=H880,1,0))</f>
        <v/>
      </c>
      <c r="J880" s="6" t="s">
        <v>161</v>
      </c>
    </row>
    <row r="881" customFormat="false" ht="15" hidden="false" customHeight="false" outlineLevel="0" collapsed="false">
      <c r="A881" s="19" t="n">
        <v>46337</v>
      </c>
      <c r="B881" s="6" t="s">
        <v>30</v>
      </c>
      <c r="C881" s="6" t="s">
        <v>154</v>
      </c>
      <c r="D881" s="7" t="n">
        <v>0.1235</v>
      </c>
      <c r="E881" s="6" t="str">
        <f aca="false">IF(D881&gt;Settings!$C$4,"Bullish",IF(D881&lt;-Settings!$C$4,"Bearish","Neutral"))</f>
        <v>Neutral</v>
      </c>
      <c r="F881" s="8"/>
      <c r="G881" s="20"/>
      <c r="H881" s="6" t="str">
        <f aca="false">IF(G881="","",IF(G881&gt;0,"Bullish",IF(G881&lt;0,"Bearish","Flat")))</f>
        <v/>
      </c>
      <c r="I881" s="6" t="str">
        <f aca="false">IF(OR(G881="",E881="Neutral"),"",IF(E881=H881,1,0))</f>
        <v/>
      </c>
      <c r="J881" s="6" t="s">
        <v>161</v>
      </c>
    </row>
    <row r="882" customFormat="false" ht="15" hidden="false" customHeight="false" outlineLevel="0" collapsed="false">
      <c r="A882" s="19" t="n">
        <v>46337</v>
      </c>
      <c r="B882" s="6" t="s">
        <v>30</v>
      </c>
      <c r="C882" s="6" t="s">
        <v>149</v>
      </c>
      <c r="D882" s="7" t="n">
        <v>0.5134</v>
      </c>
      <c r="E882" s="6" t="str">
        <f aca="false">IF(D882&gt;Settings!$C$4,"Bullish",IF(D882&lt;-Settings!$C$4,"Bearish","Neutral"))</f>
        <v>Bullish</v>
      </c>
      <c r="F882" s="8" t="n">
        <v>0.467</v>
      </c>
      <c r="G882" s="20"/>
      <c r="H882" s="6" t="str">
        <f aca="false">IF(G882="","",IF(G882&gt;0,"Bullish",IF(G882&lt;0,"Bearish","Flat")))</f>
        <v/>
      </c>
      <c r="I882" s="6" t="str">
        <f aca="false">IF(OR(G882="",E882="Neutral"),"",IF(E882=H882,1,0))</f>
        <v/>
      </c>
      <c r="J882" s="6" t="s">
        <v>161</v>
      </c>
    </row>
    <row r="883" customFormat="false" ht="15" hidden="false" customHeight="false" outlineLevel="0" collapsed="false">
      <c r="A883" s="19" t="n">
        <v>46337</v>
      </c>
      <c r="B883" s="6" t="s">
        <v>50</v>
      </c>
      <c r="C883" s="6" t="s">
        <v>154</v>
      </c>
      <c r="D883" s="7" t="n">
        <v>-0.0537</v>
      </c>
      <c r="E883" s="6" t="str">
        <f aca="false">IF(D883&gt;Settings!$C$4,"Bullish",IF(D883&lt;-Settings!$C$4,"Bearish","Neutral"))</f>
        <v>Neutral</v>
      </c>
      <c r="F883" s="8"/>
      <c r="G883" s="20"/>
      <c r="H883" s="6" t="str">
        <f aca="false">IF(G883="","",IF(G883&gt;0,"Bullish",IF(G883&lt;0,"Bearish","Flat")))</f>
        <v/>
      </c>
      <c r="I883" s="6" t="str">
        <f aca="false">IF(OR(G883="",E883="Neutral"),"",IF(E883=H883,1,0))</f>
        <v/>
      </c>
      <c r="J883" s="6" t="s">
        <v>161</v>
      </c>
    </row>
    <row r="884" customFormat="false" ht="15" hidden="false" customHeight="false" outlineLevel="0" collapsed="false">
      <c r="A884" s="19" t="n">
        <v>46337</v>
      </c>
      <c r="B884" s="6" t="s">
        <v>50</v>
      </c>
      <c r="C884" s="6" t="s">
        <v>149</v>
      </c>
      <c r="D884" s="7" t="n">
        <v>0.6095</v>
      </c>
      <c r="E884" s="6" t="str">
        <f aca="false">IF(D884&gt;Settings!$C$4,"Bullish",IF(D884&lt;-Settings!$C$4,"Bearish","Neutral"))</f>
        <v>Bullish</v>
      </c>
      <c r="F884" s="8" t="n">
        <v>0.442</v>
      </c>
      <c r="G884" s="20"/>
      <c r="H884" s="6" t="str">
        <f aca="false">IF(G884="","",IF(G884&gt;0,"Bullish",IF(G884&lt;0,"Bearish","Flat")))</f>
        <v/>
      </c>
      <c r="I884" s="6" t="str">
        <f aca="false">IF(OR(G884="",E884="Neutral"),"",IF(E884=H884,1,0))</f>
        <v/>
      </c>
      <c r="J884" s="6" t="s">
        <v>161</v>
      </c>
    </row>
    <row r="885" customFormat="false" ht="15" hidden="false" customHeight="false" outlineLevel="0" collapsed="false">
      <c r="A885" s="19" t="n">
        <v>46337</v>
      </c>
      <c r="B885" s="6" t="s">
        <v>34</v>
      </c>
      <c r="C885" s="6" t="s">
        <v>154</v>
      </c>
      <c r="D885" s="7" t="n">
        <v>-0.2514</v>
      </c>
      <c r="E885" s="6" t="str">
        <f aca="false">IF(D885&gt;Settings!$C$4,"Bullish",IF(D885&lt;-Settings!$C$4,"Bearish","Neutral"))</f>
        <v>Bearish</v>
      </c>
      <c r="F885" s="8" t="n">
        <v>0.472</v>
      </c>
      <c r="G885" s="20"/>
      <c r="H885" s="6" t="str">
        <f aca="false">IF(G885="","",IF(G885&gt;0,"Bullish",IF(G885&lt;0,"Bearish","Flat")))</f>
        <v/>
      </c>
      <c r="I885" s="6" t="str">
        <f aca="false">IF(OR(G885="",E885="Neutral"),"",IF(E885=H885,1,0))</f>
        <v/>
      </c>
      <c r="J885" s="6" t="s">
        <v>161</v>
      </c>
    </row>
    <row r="886" customFormat="false" ht="15" hidden="false" customHeight="false" outlineLevel="0" collapsed="false">
      <c r="A886" s="19" t="n">
        <v>46337</v>
      </c>
      <c r="B886" s="6" t="s">
        <v>34</v>
      </c>
      <c r="C886" s="6" t="s">
        <v>149</v>
      </c>
      <c r="D886" s="7" t="n">
        <v>0.0452</v>
      </c>
      <c r="E886" s="6" t="str">
        <f aca="false">IF(D886&gt;Settings!$C$4,"Bullish",IF(D886&lt;-Settings!$C$4,"Bearish","Neutral"))</f>
        <v>Neutral</v>
      </c>
      <c r="F886" s="8"/>
      <c r="G886" s="20"/>
      <c r="H886" s="6" t="str">
        <f aca="false">IF(G886="","",IF(G886&gt;0,"Bullish",IF(G886&lt;0,"Bearish","Flat")))</f>
        <v/>
      </c>
      <c r="I886" s="6" t="str">
        <f aca="false">IF(OR(G886="",E886="Neutral"),"",IF(E886=H886,1,0))</f>
        <v/>
      </c>
      <c r="J886" s="6" t="s">
        <v>161</v>
      </c>
    </row>
    <row r="887" customFormat="false" ht="15" hidden="false" customHeight="false" outlineLevel="0" collapsed="false">
      <c r="A887" s="19" t="n">
        <v>46337</v>
      </c>
      <c r="B887" s="6" t="s">
        <v>35</v>
      </c>
      <c r="C887" s="6" t="s">
        <v>154</v>
      </c>
      <c r="D887" s="7" t="n">
        <v>-0.0943</v>
      </c>
      <c r="E887" s="6" t="str">
        <f aca="false">IF(D887&gt;Settings!$C$4,"Bullish",IF(D887&lt;-Settings!$C$4,"Bearish","Neutral"))</f>
        <v>Neutral</v>
      </c>
      <c r="F887" s="8"/>
      <c r="G887" s="20"/>
      <c r="H887" s="6" t="str">
        <f aca="false">IF(G887="","",IF(G887&gt;0,"Bullish",IF(G887&lt;0,"Bearish","Flat")))</f>
        <v/>
      </c>
      <c r="I887" s="6" t="str">
        <f aca="false">IF(OR(G887="",E887="Neutral"),"",IF(E887=H887,1,0))</f>
        <v/>
      </c>
      <c r="J887" s="6" t="s">
        <v>161</v>
      </c>
    </row>
    <row r="888" customFormat="false" ht="15" hidden="false" customHeight="false" outlineLevel="0" collapsed="false">
      <c r="A888" s="19" t="n">
        <v>46337</v>
      </c>
      <c r="B888" s="6" t="s">
        <v>35</v>
      </c>
      <c r="C888" s="6" t="s">
        <v>149</v>
      </c>
      <c r="D888" s="7" t="n">
        <v>0.2423</v>
      </c>
      <c r="E888" s="6" t="str">
        <f aca="false">IF(D888&gt;Settings!$C$4,"Bullish",IF(D888&lt;-Settings!$C$4,"Bearish","Neutral"))</f>
        <v>Bullish</v>
      </c>
      <c r="F888" s="8" t="n">
        <v>0.563</v>
      </c>
      <c r="G888" s="20"/>
      <c r="H888" s="6" t="str">
        <f aca="false">IF(G888="","",IF(G888&gt;0,"Bullish",IF(G888&lt;0,"Bearish","Flat")))</f>
        <v/>
      </c>
      <c r="I888" s="6" t="str">
        <f aca="false">IF(OR(G888="",E888="Neutral"),"",IF(E888=H888,1,0))</f>
        <v/>
      </c>
      <c r="J888" s="6" t="s">
        <v>161</v>
      </c>
    </row>
    <row r="889" customFormat="false" ht="15" hidden="false" customHeight="false" outlineLevel="0" collapsed="false">
      <c r="A889" s="19" t="n">
        <v>46337</v>
      </c>
      <c r="B889" s="6" t="s">
        <v>37</v>
      </c>
      <c r="C889" s="6" t="s">
        <v>154</v>
      </c>
      <c r="D889" s="7" t="n">
        <v>0.1906</v>
      </c>
      <c r="E889" s="6" t="str">
        <f aca="false">IF(D889&gt;Settings!$C$4,"Bullish",IF(D889&lt;-Settings!$C$4,"Bearish","Neutral"))</f>
        <v>Bullish</v>
      </c>
      <c r="F889" s="8" t="n">
        <v>0.541</v>
      </c>
      <c r="G889" s="20"/>
      <c r="H889" s="6" t="str">
        <f aca="false">IF(G889="","",IF(G889&gt;0,"Bullish",IF(G889&lt;0,"Bearish","Flat")))</f>
        <v/>
      </c>
      <c r="I889" s="6" t="str">
        <f aca="false">IF(OR(G889="",E889="Neutral"),"",IF(E889=H889,1,0))</f>
        <v/>
      </c>
      <c r="J889" s="6" t="s">
        <v>161</v>
      </c>
    </row>
    <row r="890" customFormat="false" ht="15" hidden="false" customHeight="false" outlineLevel="0" collapsed="false">
      <c r="A890" s="19" t="n">
        <v>46337</v>
      </c>
      <c r="B890" s="6" t="s">
        <v>37</v>
      </c>
      <c r="C890" s="6" t="s">
        <v>149</v>
      </c>
      <c r="D890" s="7" t="n">
        <v>0.4526</v>
      </c>
      <c r="E890" s="6" t="str">
        <f aca="false">IF(D890&gt;Settings!$C$4,"Bullish",IF(D890&lt;-Settings!$C$4,"Bearish","Neutral"))</f>
        <v>Bullish</v>
      </c>
      <c r="F890" s="8" t="n">
        <v>0.509</v>
      </c>
      <c r="G890" s="20"/>
      <c r="H890" s="6" t="str">
        <f aca="false">IF(G890="","",IF(G890&gt;0,"Bullish",IF(G890&lt;0,"Bearish","Flat")))</f>
        <v/>
      </c>
      <c r="I890" s="6" t="str">
        <f aca="false">IF(OR(G890="",E890="Neutral"),"",IF(E890=H890,1,0))</f>
        <v/>
      </c>
      <c r="J890" s="6" t="s">
        <v>161</v>
      </c>
    </row>
    <row r="891" customFormat="false" ht="15" hidden="false" customHeight="false" outlineLevel="0" collapsed="false">
      <c r="A891" s="19" t="n">
        <v>46337</v>
      </c>
      <c r="B891" s="6" t="s">
        <v>38</v>
      </c>
      <c r="C891" s="6" t="s">
        <v>154</v>
      </c>
      <c r="D891" s="7" t="n">
        <v>-0.1646</v>
      </c>
      <c r="E891" s="6" t="str">
        <f aca="false">IF(D891&gt;Settings!$C$4,"Bullish",IF(D891&lt;-Settings!$C$4,"Bearish","Neutral"))</f>
        <v>Bearish</v>
      </c>
      <c r="F891" s="8" t="n">
        <v>0.492</v>
      </c>
      <c r="G891" s="20"/>
      <c r="H891" s="6" t="str">
        <f aca="false">IF(G891="","",IF(G891&gt;0,"Bullish",IF(G891&lt;0,"Bearish","Flat")))</f>
        <v/>
      </c>
      <c r="I891" s="6" t="str">
        <f aca="false">IF(OR(G891="",E891="Neutral"),"",IF(E891=H891,1,0))</f>
        <v/>
      </c>
      <c r="J891" s="6" t="s">
        <v>161</v>
      </c>
    </row>
    <row r="892" customFormat="false" ht="15" hidden="false" customHeight="false" outlineLevel="0" collapsed="false">
      <c r="A892" s="19" t="n">
        <v>46337</v>
      </c>
      <c r="B892" s="6" t="s">
        <v>38</v>
      </c>
      <c r="C892" s="6" t="s">
        <v>149</v>
      </c>
      <c r="D892" s="7" t="n">
        <v>0.0612</v>
      </c>
      <c r="E892" s="6" t="str">
        <f aca="false">IF(D892&gt;Settings!$C$4,"Bullish",IF(D892&lt;-Settings!$C$4,"Bearish","Neutral"))</f>
        <v>Neutral</v>
      </c>
      <c r="F892" s="8"/>
      <c r="G892" s="20"/>
      <c r="H892" s="6" t="str">
        <f aca="false">IF(G892="","",IF(G892&gt;0,"Bullish",IF(G892&lt;0,"Bearish","Flat")))</f>
        <v/>
      </c>
      <c r="I892" s="6" t="str">
        <f aca="false">IF(OR(G892="",E892="Neutral"),"",IF(E892=H892,1,0))</f>
        <v/>
      </c>
      <c r="J892" s="6" t="s">
        <v>161</v>
      </c>
    </row>
    <row r="893" customFormat="false" ht="15" hidden="false" customHeight="false" outlineLevel="0" collapsed="false">
      <c r="A893" s="19" t="n">
        <v>46337</v>
      </c>
      <c r="B893" s="6" t="s">
        <v>53</v>
      </c>
      <c r="C893" s="6" t="s">
        <v>154</v>
      </c>
      <c r="D893" s="7" t="n">
        <v>0.1802</v>
      </c>
      <c r="E893" s="6" t="str">
        <f aca="false">IF(D893&gt;Settings!$C$4,"Bullish",IF(D893&lt;-Settings!$C$4,"Bearish","Neutral"))</f>
        <v>Bullish</v>
      </c>
      <c r="F893" s="8" t="n">
        <v>0.516</v>
      </c>
      <c r="G893" s="20"/>
      <c r="H893" s="6" t="str">
        <f aca="false">IF(G893="","",IF(G893&gt;0,"Bullish",IF(G893&lt;0,"Bearish","Flat")))</f>
        <v/>
      </c>
      <c r="I893" s="6" t="str">
        <f aca="false">IF(OR(G893="",E893="Neutral"),"",IF(E893=H893,1,0))</f>
        <v/>
      </c>
      <c r="J893" s="6" t="s">
        <v>161</v>
      </c>
    </row>
    <row r="894" customFormat="false" ht="15" hidden="false" customHeight="false" outlineLevel="0" collapsed="false">
      <c r="A894" s="19" t="n">
        <v>46337</v>
      </c>
      <c r="B894" s="6" t="s">
        <v>53</v>
      </c>
      <c r="C894" s="6" t="s">
        <v>149</v>
      </c>
      <c r="D894" s="7" t="n">
        <v>-0.0728</v>
      </c>
      <c r="E894" s="6" t="str">
        <f aca="false">IF(D894&gt;Settings!$C$4,"Bullish",IF(D894&lt;-Settings!$C$4,"Bearish","Neutral"))</f>
        <v>Neutral</v>
      </c>
      <c r="F894" s="8"/>
      <c r="G894" s="20"/>
      <c r="H894" s="6" t="str">
        <f aca="false">IF(G894="","",IF(G894&gt;0,"Bullish",IF(G894&lt;0,"Bearish","Flat")))</f>
        <v/>
      </c>
      <c r="I894" s="6" t="str">
        <f aca="false">IF(OR(G894="",E894="Neutral"),"",IF(E894=H894,1,0))</f>
        <v/>
      </c>
      <c r="J894" s="6" t="s">
        <v>161</v>
      </c>
    </row>
    <row r="895" customFormat="false" ht="15" hidden="false" customHeight="false" outlineLevel="0" collapsed="false">
      <c r="A895" s="19" t="n">
        <v>46337</v>
      </c>
      <c r="B895" s="6" t="s">
        <v>18</v>
      </c>
      <c r="C895" s="6" t="s">
        <v>154</v>
      </c>
      <c r="D895" s="7" t="n">
        <v>-0.3789</v>
      </c>
      <c r="E895" s="6" t="str">
        <f aca="false">IF(D895&gt;Settings!$C$4,"Bullish",IF(D895&lt;-Settings!$C$4,"Bearish","Neutral"))</f>
        <v>Bearish</v>
      </c>
      <c r="F895" s="8" t="n">
        <v>0.529</v>
      </c>
      <c r="G895" s="20"/>
      <c r="H895" s="6" t="str">
        <f aca="false">IF(G895="","",IF(G895&gt;0,"Bullish",IF(G895&lt;0,"Bearish","Flat")))</f>
        <v/>
      </c>
      <c r="I895" s="6" t="str">
        <f aca="false">IF(OR(G895="",E895="Neutral"),"",IF(E895=H895,1,0))</f>
        <v/>
      </c>
      <c r="J895" s="6" t="s">
        <v>161</v>
      </c>
    </row>
    <row r="896" customFormat="false" ht="15" hidden="false" customHeight="false" outlineLevel="0" collapsed="false">
      <c r="A896" s="19" t="n">
        <v>46337</v>
      </c>
      <c r="B896" s="6" t="s">
        <v>18</v>
      </c>
      <c r="C896" s="6" t="s">
        <v>149</v>
      </c>
      <c r="D896" s="7" t="n">
        <v>0.4748</v>
      </c>
      <c r="E896" s="6" t="str">
        <f aca="false">IF(D896&gt;Settings!$C$4,"Bullish",IF(D896&lt;-Settings!$C$4,"Bearish","Neutral"))</f>
        <v>Bullish</v>
      </c>
      <c r="F896" s="8" t="n">
        <v>0.51</v>
      </c>
      <c r="G896" s="20"/>
      <c r="H896" s="6" t="str">
        <f aca="false">IF(G896="","",IF(G896&gt;0,"Bullish",IF(G896&lt;0,"Bearish","Flat")))</f>
        <v/>
      </c>
      <c r="I896" s="6" t="str">
        <f aca="false">IF(OR(G896="",E896="Neutral"),"",IF(E896=H896,1,0))</f>
        <v/>
      </c>
      <c r="J896" s="6" t="s">
        <v>161</v>
      </c>
    </row>
    <row r="897" customFormat="false" ht="15" hidden="false" customHeight="false" outlineLevel="0" collapsed="false">
      <c r="A897" s="19" t="n">
        <v>46337</v>
      </c>
      <c r="B897" s="6" t="s">
        <v>40</v>
      </c>
      <c r="C897" s="6" t="s">
        <v>154</v>
      </c>
      <c r="D897" s="7" t="n">
        <v>-0.5892</v>
      </c>
      <c r="E897" s="6" t="str">
        <f aca="false">IF(D897&gt;Settings!$C$4,"Bullish",IF(D897&lt;-Settings!$C$4,"Bearish","Neutral"))</f>
        <v>Bearish</v>
      </c>
      <c r="F897" s="8" t="n">
        <v>0.52</v>
      </c>
      <c r="G897" s="20"/>
      <c r="H897" s="6" t="str">
        <f aca="false">IF(G897="","",IF(G897&gt;0,"Bullish",IF(G897&lt;0,"Bearish","Flat")))</f>
        <v/>
      </c>
      <c r="I897" s="6" t="str">
        <f aca="false">IF(OR(G897="",E897="Neutral"),"",IF(E897=H897,1,0))</f>
        <v/>
      </c>
      <c r="J897" s="6" t="s">
        <v>161</v>
      </c>
    </row>
    <row r="898" customFormat="false" ht="15" hidden="false" customHeight="false" outlineLevel="0" collapsed="false">
      <c r="A898" s="19" t="n">
        <v>46337</v>
      </c>
      <c r="B898" s="6" t="s">
        <v>40</v>
      </c>
      <c r="C898" s="6" t="s">
        <v>149</v>
      </c>
      <c r="D898" s="7" t="n">
        <v>0.0211</v>
      </c>
      <c r="E898" s="6" t="str">
        <f aca="false">IF(D898&gt;Settings!$C$4,"Bullish",IF(D898&lt;-Settings!$C$4,"Bearish","Neutral"))</f>
        <v>Neutral</v>
      </c>
      <c r="F898" s="8"/>
      <c r="G898" s="20"/>
      <c r="H898" s="6" t="str">
        <f aca="false">IF(G898="","",IF(G898&gt;0,"Bullish",IF(G898&lt;0,"Bearish","Flat")))</f>
        <v/>
      </c>
      <c r="I898" s="6" t="str">
        <f aca="false">IF(OR(G898="",E898="Neutral"),"",IF(E898=H898,1,0))</f>
        <v/>
      </c>
      <c r="J898" s="6" t="s">
        <v>161</v>
      </c>
    </row>
    <row r="899" customFormat="false" ht="15" hidden="false" customHeight="false" outlineLevel="0" collapsed="false">
      <c r="A899" s="19" t="n">
        <v>46337</v>
      </c>
      <c r="B899" s="6" t="s">
        <v>49</v>
      </c>
      <c r="C899" s="6" t="s">
        <v>154</v>
      </c>
      <c r="D899" s="7" t="n">
        <v>-0.3854</v>
      </c>
      <c r="E899" s="6" t="str">
        <f aca="false">IF(D899&gt;Settings!$C$4,"Bullish",IF(D899&lt;-Settings!$C$4,"Bearish","Neutral"))</f>
        <v>Bearish</v>
      </c>
      <c r="F899" s="8" t="n">
        <v>0.505</v>
      </c>
      <c r="G899" s="20"/>
      <c r="H899" s="6" t="str">
        <f aca="false">IF(G899="","",IF(G899&gt;0,"Bullish",IF(G899&lt;0,"Bearish","Flat")))</f>
        <v/>
      </c>
      <c r="I899" s="6" t="str">
        <f aca="false">IF(OR(G899="",E899="Neutral"),"",IF(E899=H899,1,0))</f>
        <v/>
      </c>
      <c r="J899" s="6" t="s">
        <v>161</v>
      </c>
    </row>
    <row r="900" customFormat="false" ht="15" hidden="false" customHeight="false" outlineLevel="0" collapsed="false">
      <c r="A900" s="19" t="n">
        <v>46337</v>
      </c>
      <c r="B900" s="6" t="s">
        <v>49</v>
      </c>
      <c r="C900" s="6" t="s">
        <v>149</v>
      </c>
      <c r="D900" s="7" t="n">
        <v>0.0805</v>
      </c>
      <c r="E900" s="6" t="str">
        <f aca="false">IF(D900&gt;Settings!$C$4,"Bullish",IF(D900&lt;-Settings!$C$4,"Bearish","Neutral"))</f>
        <v>Neutral</v>
      </c>
      <c r="F900" s="8"/>
      <c r="G900" s="20"/>
      <c r="H900" s="6" t="str">
        <f aca="false">IF(G900="","",IF(G900&gt;0,"Bullish",IF(G900&lt;0,"Bearish","Flat")))</f>
        <v/>
      </c>
      <c r="I900" s="6" t="str">
        <f aca="false">IF(OR(G900="",E900="Neutral"),"",IF(E900=H900,1,0))</f>
        <v/>
      </c>
      <c r="J900" s="6" t="s">
        <v>161</v>
      </c>
    </row>
    <row r="901" customFormat="false" ht="15" hidden="false" customHeight="false" outlineLevel="0" collapsed="false">
      <c r="A901" s="19" t="n">
        <v>46337</v>
      </c>
      <c r="B901" s="6" t="s">
        <v>43</v>
      </c>
      <c r="C901" s="6" t="s">
        <v>154</v>
      </c>
      <c r="D901" s="7" t="n">
        <v>0.0243</v>
      </c>
      <c r="E901" s="6" t="str">
        <f aca="false">IF(D901&gt;Settings!$C$4,"Bullish",IF(D901&lt;-Settings!$C$4,"Bearish","Neutral"))</f>
        <v>Neutral</v>
      </c>
      <c r="F901" s="8"/>
      <c r="G901" s="20"/>
      <c r="H901" s="6" t="str">
        <f aca="false">IF(G901="","",IF(G901&gt;0,"Bullish",IF(G901&lt;0,"Bearish","Flat")))</f>
        <v/>
      </c>
      <c r="I901" s="6" t="str">
        <f aca="false">IF(OR(G901="",E901="Neutral"),"",IF(E901=H901,1,0))</f>
        <v/>
      </c>
      <c r="J901" s="6" t="s">
        <v>161</v>
      </c>
    </row>
    <row r="902" customFormat="false" ht="15" hidden="false" customHeight="false" outlineLevel="0" collapsed="false">
      <c r="A902" s="19" t="n">
        <v>46337</v>
      </c>
      <c r="B902" s="6" t="s">
        <v>43</v>
      </c>
      <c r="C902" s="6" t="s">
        <v>149</v>
      </c>
      <c r="D902" s="7" t="n">
        <v>-0.0286</v>
      </c>
      <c r="E902" s="6" t="str">
        <f aca="false">IF(D902&gt;Settings!$C$4,"Bullish",IF(D902&lt;-Settings!$C$4,"Bearish","Neutral"))</f>
        <v>Neutral</v>
      </c>
      <c r="F902" s="8"/>
      <c r="G902" s="20"/>
      <c r="H902" s="6" t="str">
        <f aca="false">IF(G902="","",IF(G902&gt;0,"Bullish",IF(G902&lt;0,"Bearish","Flat")))</f>
        <v/>
      </c>
      <c r="I902" s="6" t="str">
        <f aca="false">IF(OR(G902="",E902="Neutral"),"",IF(E902=H902,1,0))</f>
        <v/>
      </c>
      <c r="J902" s="6" t="s">
        <v>161</v>
      </c>
    </row>
    <row r="903" customFormat="false" ht="15" hidden="false" customHeight="false" outlineLevel="0" collapsed="false">
      <c r="A903" s="19" t="n">
        <v>46337</v>
      </c>
      <c r="B903" s="6" t="s">
        <v>51</v>
      </c>
      <c r="C903" s="6" t="s">
        <v>154</v>
      </c>
      <c r="D903" s="7" t="n">
        <v>0.0212</v>
      </c>
      <c r="E903" s="6" t="str">
        <f aca="false">IF(D903&gt;Settings!$C$4,"Bullish",IF(D903&lt;-Settings!$C$4,"Bearish","Neutral"))</f>
        <v>Neutral</v>
      </c>
      <c r="F903" s="8"/>
      <c r="G903" s="20"/>
      <c r="H903" s="6" t="str">
        <f aca="false">IF(G903="","",IF(G903&gt;0,"Bullish",IF(G903&lt;0,"Bearish","Flat")))</f>
        <v/>
      </c>
      <c r="I903" s="6" t="str">
        <f aca="false">IF(OR(G903="",E903="Neutral"),"",IF(E903=H903,1,0))</f>
        <v/>
      </c>
      <c r="J903" s="6" t="s">
        <v>161</v>
      </c>
    </row>
    <row r="904" customFormat="false" ht="15" hidden="false" customHeight="false" outlineLevel="0" collapsed="false">
      <c r="A904" s="19" t="n">
        <v>46337</v>
      </c>
      <c r="B904" s="6" t="s">
        <v>51</v>
      </c>
      <c r="C904" s="6" t="s">
        <v>149</v>
      </c>
      <c r="D904" s="7" t="n">
        <v>-0.1075</v>
      </c>
      <c r="E904" s="6" t="str">
        <f aca="false">IF(D904&gt;Settings!$C$4,"Bullish",IF(D904&lt;-Settings!$C$4,"Bearish","Neutral"))</f>
        <v>Neutral</v>
      </c>
      <c r="F904" s="8"/>
      <c r="G904" s="20"/>
      <c r="H904" s="6" t="str">
        <f aca="false">IF(G904="","",IF(G904&gt;0,"Bullish",IF(G904&lt;0,"Bearish","Flat")))</f>
        <v/>
      </c>
      <c r="I904" s="6" t="str">
        <f aca="false">IF(OR(G904="",E904="Neutral"),"",IF(E904=H904,1,0))</f>
        <v/>
      </c>
      <c r="J904" s="6" t="s">
        <v>161</v>
      </c>
    </row>
    <row r="905" customFormat="false" ht="15" hidden="false" customHeight="false" outlineLevel="0" collapsed="false">
      <c r="A905" s="19" t="n">
        <v>46338</v>
      </c>
      <c r="B905" s="6" t="s">
        <v>20</v>
      </c>
      <c r="C905" s="6" t="s">
        <v>154</v>
      </c>
      <c r="D905" s="7" t="n">
        <v>0.2186</v>
      </c>
      <c r="E905" s="6" t="str">
        <f aca="false">IF(D905&gt;Settings!$C$4,"Bullish",IF(D905&lt;-Settings!$C$4,"Bearish","Neutral"))</f>
        <v>Bullish</v>
      </c>
      <c r="F905" s="8" t="n">
        <v>0.491</v>
      </c>
      <c r="G905" s="20"/>
      <c r="H905" s="6" t="str">
        <f aca="false">IF(G905="","",IF(G905&gt;0,"Bullish",IF(G905&lt;0,"Bearish","Flat")))</f>
        <v/>
      </c>
      <c r="I905" s="6" t="str">
        <f aca="false">IF(OR(G905="",E905="Neutral"),"",IF(E905=H905,1,0))</f>
        <v/>
      </c>
      <c r="J905" s="6" t="s">
        <v>161</v>
      </c>
    </row>
    <row r="906" customFormat="false" ht="15" hidden="false" customHeight="false" outlineLevel="0" collapsed="false">
      <c r="A906" s="19" t="n">
        <v>46338</v>
      </c>
      <c r="B906" s="6" t="s">
        <v>20</v>
      </c>
      <c r="C906" s="6" t="s">
        <v>149</v>
      </c>
      <c r="D906" s="7" t="n">
        <v>0.038</v>
      </c>
      <c r="E906" s="6" t="str">
        <f aca="false">IF(D906&gt;Settings!$C$4,"Bullish",IF(D906&lt;-Settings!$C$4,"Bearish","Neutral"))</f>
        <v>Neutral</v>
      </c>
      <c r="F906" s="8"/>
      <c r="G906" s="20"/>
      <c r="H906" s="6" t="str">
        <f aca="false">IF(G906="","",IF(G906&gt;0,"Bullish",IF(G906&lt;0,"Bearish","Flat")))</f>
        <v/>
      </c>
      <c r="I906" s="6" t="str">
        <f aca="false">IF(OR(G906="",E906="Neutral"),"",IF(E906=H906,1,0))</f>
        <v/>
      </c>
      <c r="J906" s="6" t="s">
        <v>161</v>
      </c>
    </row>
    <row r="907" customFormat="false" ht="15" hidden="false" customHeight="false" outlineLevel="0" collapsed="false">
      <c r="A907" s="19" t="n">
        <v>46338</v>
      </c>
      <c r="B907" s="6" t="s">
        <v>22</v>
      </c>
      <c r="C907" s="6" t="s">
        <v>154</v>
      </c>
      <c r="D907" s="7" t="n">
        <v>0.3892</v>
      </c>
      <c r="E907" s="6" t="str">
        <f aca="false">IF(D907&gt;Settings!$C$4,"Bullish",IF(D907&lt;-Settings!$C$4,"Bearish","Neutral"))</f>
        <v>Bullish</v>
      </c>
      <c r="F907" s="8" t="n">
        <v>0.533</v>
      </c>
      <c r="G907" s="20"/>
      <c r="H907" s="6" t="str">
        <f aca="false">IF(G907="","",IF(G907&gt;0,"Bullish",IF(G907&lt;0,"Bearish","Flat")))</f>
        <v/>
      </c>
      <c r="I907" s="6" t="str">
        <f aca="false">IF(OR(G907="",E907="Neutral"),"",IF(E907=H907,1,0))</f>
        <v/>
      </c>
      <c r="J907" s="6" t="s">
        <v>161</v>
      </c>
    </row>
    <row r="908" customFormat="false" ht="15" hidden="false" customHeight="false" outlineLevel="0" collapsed="false">
      <c r="A908" s="19" t="n">
        <v>46338</v>
      </c>
      <c r="B908" s="6" t="s">
        <v>22</v>
      </c>
      <c r="C908" s="6" t="s">
        <v>149</v>
      </c>
      <c r="D908" s="7" t="n">
        <v>0.5767</v>
      </c>
      <c r="E908" s="6" t="str">
        <f aca="false">IF(D908&gt;Settings!$C$4,"Bullish",IF(D908&lt;-Settings!$C$4,"Bearish","Neutral"))</f>
        <v>Bullish</v>
      </c>
      <c r="F908" s="8" t="n">
        <v>0.496</v>
      </c>
      <c r="G908" s="20"/>
      <c r="H908" s="6" t="str">
        <f aca="false">IF(G908="","",IF(G908&gt;0,"Bullish",IF(G908&lt;0,"Bearish","Flat")))</f>
        <v/>
      </c>
      <c r="I908" s="6" t="str">
        <f aca="false">IF(OR(G908="",E908="Neutral"),"",IF(E908=H908,1,0))</f>
        <v/>
      </c>
      <c r="J908" s="6" t="s">
        <v>161</v>
      </c>
    </row>
    <row r="909" customFormat="false" ht="15" hidden="false" customHeight="false" outlineLevel="0" collapsed="false">
      <c r="A909" s="19" t="n">
        <v>46338</v>
      </c>
      <c r="B909" s="6" t="s">
        <v>52</v>
      </c>
      <c r="C909" s="6" t="s">
        <v>154</v>
      </c>
      <c r="D909" s="7" t="n">
        <v>0.6544</v>
      </c>
      <c r="E909" s="6" t="str">
        <f aca="false">IF(D909&gt;Settings!$C$4,"Bullish",IF(D909&lt;-Settings!$C$4,"Bearish","Neutral"))</f>
        <v>Bullish</v>
      </c>
      <c r="F909" s="8" t="n">
        <v>0.467</v>
      </c>
      <c r="G909" s="20"/>
      <c r="H909" s="6" t="str">
        <f aca="false">IF(G909="","",IF(G909&gt;0,"Bullish",IF(G909&lt;0,"Bearish","Flat")))</f>
        <v/>
      </c>
      <c r="I909" s="6" t="str">
        <f aca="false">IF(OR(G909="",E909="Neutral"),"",IF(E909=H909,1,0))</f>
        <v/>
      </c>
      <c r="J909" s="6" t="s">
        <v>161</v>
      </c>
    </row>
    <row r="910" customFormat="false" ht="15" hidden="false" customHeight="false" outlineLevel="0" collapsed="false">
      <c r="A910" s="19" t="n">
        <v>46338</v>
      </c>
      <c r="B910" s="6" t="s">
        <v>52</v>
      </c>
      <c r="C910" s="6" t="s">
        <v>149</v>
      </c>
      <c r="D910" s="7" t="n">
        <v>0.0819</v>
      </c>
      <c r="E910" s="6" t="str">
        <f aca="false">IF(D910&gt;Settings!$C$4,"Bullish",IF(D910&lt;-Settings!$C$4,"Bearish","Neutral"))</f>
        <v>Neutral</v>
      </c>
      <c r="F910" s="8"/>
      <c r="G910" s="20"/>
      <c r="H910" s="6" t="str">
        <f aca="false">IF(G910="","",IF(G910&gt;0,"Bullish",IF(G910&lt;0,"Bearish","Flat")))</f>
        <v/>
      </c>
      <c r="I910" s="6" t="str">
        <f aca="false">IF(OR(G910="",E910="Neutral"),"",IF(E910=H910,1,0))</f>
        <v/>
      </c>
      <c r="J910" s="6" t="s">
        <v>161</v>
      </c>
    </row>
    <row r="911" customFormat="false" ht="15" hidden="false" customHeight="false" outlineLevel="0" collapsed="false">
      <c r="A911" s="19" t="n">
        <v>46338</v>
      </c>
      <c r="B911" s="6" t="s">
        <v>30</v>
      </c>
      <c r="C911" s="6" t="s">
        <v>154</v>
      </c>
      <c r="D911" s="7" t="n">
        <v>0.6082</v>
      </c>
      <c r="E911" s="6" t="str">
        <f aca="false">IF(D911&gt;Settings!$C$4,"Bullish",IF(D911&lt;-Settings!$C$4,"Bearish","Neutral"))</f>
        <v>Bullish</v>
      </c>
      <c r="F911" s="8" t="n">
        <v>0.51</v>
      </c>
      <c r="G911" s="20"/>
      <c r="H911" s="6" t="str">
        <f aca="false">IF(G911="","",IF(G911&gt;0,"Bullish",IF(G911&lt;0,"Bearish","Flat")))</f>
        <v/>
      </c>
      <c r="I911" s="6" t="str">
        <f aca="false">IF(OR(G911="",E911="Neutral"),"",IF(E911=H911,1,0))</f>
        <v/>
      </c>
      <c r="J911" s="6" t="s">
        <v>161</v>
      </c>
    </row>
    <row r="912" customFormat="false" ht="15" hidden="false" customHeight="false" outlineLevel="0" collapsed="false">
      <c r="A912" s="19" t="n">
        <v>46338</v>
      </c>
      <c r="B912" s="6" t="s">
        <v>30</v>
      </c>
      <c r="C912" s="6" t="s">
        <v>149</v>
      </c>
      <c r="D912" s="7" t="n">
        <v>0.5532</v>
      </c>
      <c r="E912" s="6" t="str">
        <f aca="false">IF(D912&gt;Settings!$C$4,"Bullish",IF(D912&lt;-Settings!$C$4,"Bearish","Neutral"))</f>
        <v>Bullish</v>
      </c>
      <c r="F912" s="8" t="n">
        <v>0.467</v>
      </c>
      <c r="G912" s="20"/>
      <c r="H912" s="6" t="str">
        <f aca="false">IF(G912="","",IF(G912&gt;0,"Bullish",IF(G912&lt;0,"Bearish","Flat")))</f>
        <v/>
      </c>
      <c r="I912" s="6" t="str">
        <f aca="false">IF(OR(G912="",E912="Neutral"),"",IF(E912=H912,1,0))</f>
        <v/>
      </c>
      <c r="J912" s="6" t="s">
        <v>161</v>
      </c>
    </row>
    <row r="913" customFormat="false" ht="15" hidden="false" customHeight="false" outlineLevel="0" collapsed="false">
      <c r="A913" s="19" t="n">
        <v>46338</v>
      </c>
      <c r="B913" s="6" t="s">
        <v>50</v>
      </c>
      <c r="C913" s="6" t="s">
        <v>154</v>
      </c>
      <c r="D913" s="7" t="n">
        <v>-0.0125</v>
      </c>
      <c r="E913" s="6" t="str">
        <f aca="false">IF(D913&gt;Settings!$C$4,"Bullish",IF(D913&lt;-Settings!$C$4,"Bearish","Neutral"))</f>
        <v>Neutral</v>
      </c>
      <c r="F913" s="8"/>
      <c r="G913" s="20"/>
      <c r="H913" s="6" t="str">
        <f aca="false">IF(G913="","",IF(G913&gt;0,"Bullish",IF(G913&lt;0,"Bearish","Flat")))</f>
        <v/>
      </c>
      <c r="I913" s="6" t="str">
        <f aca="false">IF(OR(G913="",E913="Neutral"),"",IF(E913=H913,1,0))</f>
        <v/>
      </c>
      <c r="J913" s="6" t="s">
        <v>161</v>
      </c>
    </row>
    <row r="914" customFormat="false" ht="15" hidden="false" customHeight="false" outlineLevel="0" collapsed="false">
      <c r="A914" s="19" t="n">
        <v>46338</v>
      </c>
      <c r="B914" s="6" t="s">
        <v>50</v>
      </c>
      <c r="C914" s="6" t="s">
        <v>149</v>
      </c>
      <c r="D914" s="7" t="n">
        <v>0.6123</v>
      </c>
      <c r="E914" s="6" t="str">
        <f aca="false">IF(D914&gt;Settings!$C$4,"Bullish",IF(D914&lt;-Settings!$C$4,"Bearish","Neutral"))</f>
        <v>Bullish</v>
      </c>
      <c r="F914" s="8" t="n">
        <v>0.442</v>
      </c>
      <c r="G914" s="20"/>
      <c r="H914" s="6" t="str">
        <f aca="false">IF(G914="","",IF(G914&gt;0,"Bullish",IF(G914&lt;0,"Bearish","Flat")))</f>
        <v/>
      </c>
      <c r="I914" s="6" t="str">
        <f aca="false">IF(OR(G914="",E914="Neutral"),"",IF(E914=H914,1,0))</f>
        <v/>
      </c>
      <c r="J914" s="6" t="s">
        <v>161</v>
      </c>
    </row>
    <row r="915" customFormat="false" ht="15" hidden="false" customHeight="false" outlineLevel="0" collapsed="false">
      <c r="A915" s="19" t="n">
        <v>46338</v>
      </c>
      <c r="B915" s="6" t="s">
        <v>34</v>
      </c>
      <c r="C915" s="6" t="s">
        <v>154</v>
      </c>
      <c r="D915" s="7" t="n">
        <v>0.5662</v>
      </c>
      <c r="E915" s="6" t="str">
        <f aca="false">IF(D915&gt;Settings!$C$4,"Bullish",IF(D915&lt;-Settings!$C$4,"Bearish","Neutral"))</f>
        <v>Bullish</v>
      </c>
      <c r="F915" s="8" t="n">
        <v>0.489</v>
      </c>
      <c r="G915" s="20"/>
      <c r="H915" s="6" t="str">
        <f aca="false">IF(G915="","",IF(G915&gt;0,"Bullish",IF(G915&lt;0,"Bearish","Flat")))</f>
        <v/>
      </c>
      <c r="I915" s="6" t="str">
        <f aca="false">IF(OR(G915="",E915="Neutral"),"",IF(E915=H915,1,0))</f>
        <v/>
      </c>
      <c r="J915" s="6" t="s">
        <v>161</v>
      </c>
    </row>
    <row r="916" customFormat="false" ht="15" hidden="false" customHeight="false" outlineLevel="0" collapsed="false">
      <c r="A916" s="19" t="n">
        <v>46338</v>
      </c>
      <c r="B916" s="6" t="s">
        <v>34</v>
      </c>
      <c r="C916" s="6" t="s">
        <v>149</v>
      </c>
      <c r="D916" s="7" t="n">
        <v>0.0818</v>
      </c>
      <c r="E916" s="6" t="str">
        <f aca="false">IF(D916&gt;Settings!$C$4,"Bullish",IF(D916&lt;-Settings!$C$4,"Bearish","Neutral"))</f>
        <v>Neutral</v>
      </c>
      <c r="F916" s="8"/>
      <c r="G916" s="20"/>
      <c r="H916" s="6" t="str">
        <f aca="false">IF(G916="","",IF(G916&gt;0,"Bullish",IF(G916&lt;0,"Bearish","Flat")))</f>
        <v/>
      </c>
      <c r="I916" s="6" t="str">
        <f aca="false">IF(OR(G916="",E916="Neutral"),"",IF(E916=H916,1,0))</f>
        <v/>
      </c>
      <c r="J916" s="6" t="s">
        <v>161</v>
      </c>
    </row>
    <row r="917" customFormat="false" ht="15" hidden="false" customHeight="false" outlineLevel="0" collapsed="false">
      <c r="A917" s="19" t="n">
        <v>46338</v>
      </c>
      <c r="B917" s="6" t="s">
        <v>35</v>
      </c>
      <c r="C917" s="6" t="s">
        <v>154</v>
      </c>
      <c r="D917" s="7" t="n">
        <v>0.0827</v>
      </c>
      <c r="E917" s="6" t="str">
        <f aca="false">IF(D917&gt;Settings!$C$4,"Bullish",IF(D917&lt;-Settings!$C$4,"Bearish","Neutral"))</f>
        <v>Neutral</v>
      </c>
      <c r="F917" s="8"/>
      <c r="G917" s="20"/>
      <c r="H917" s="6" t="str">
        <f aca="false">IF(G917="","",IF(G917&gt;0,"Bullish",IF(G917&lt;0,"Bearish","Flat")))</f>
        <v/>
      </c>
      <c r="I917" s="6" t="str">
        <f aca="false">IF(OR(G917="",E917="Neutral"),"",IF(E917=H917,1,0))</f>
        <v/>
      </c>
      <c r="J917" s="6" t="s">
        <v>161</v>
      </c>
    </row>
    <row r="918" customFormat="false" ht="15" hidden="false" customHeight="false" outlineLevel="0" collapsed="false">
      <c r="A918" s="19" t="n">
        <v>46338</v>
      </c>
      <c r="B918" s="6" t="s">
        <v>35</v>
      </c>
      <c r="C918" s="6" t="s">
        <v>149</v>
      </c>
      <c r="D918" s="7" t="n">
        <v>0.2081</v>
      </c>
      <c r="E918" s="6" t="str">
        <f aca="false">IF(D918&gt;Settings!$C$4,"Bullish",IF(D918&lt;-Settings!$C$4,"Bearish","Neutral"))</f>
        <v>Bullish</v>
      </c>
      <c r="F918" s="8" t="n">
        <v>0.563</v>
      </c>
      <c r="G918" s="20"/>
      <c r="H918" s="6" t="str">
        <f aca="false">IF(G918="","",IF(G918&gt;0,"Bullish",IF(G918&lt;0,"Bearish","Flat")))</f>
        <v/>
      </c>
      <c r="I918" s="6" t="str">
        <f aca="false">IF(OR(G918="",E918="Neutral"),"",IF(E918=H918,1,0))</f>
        <v/>
      </c>
      <c r="J918" s="6" t="s">
        <v>161</v>
      </c>
    </row>
    <row r="919" customFormat="false" ht="15" hidden="false" customHeight="false" outlineLevel="0" collapsed="false">
      <c r="A919" s="19" t="n">
        <v>46338</v>
      </c>
      <c r="B919" s="6" t="s">
        <v>37</v>
      </c>
      <c r="C919" s="6" t="s">
        <v>154</v>
      </c>
      <c r="D919" s="7" t="n">
        <v>0.199</v>
      </c>
      <c r="E919" s="6" t="str">
        <f aca="false">IF(D919&gt;Settings!$C$4,"Bullish",IF(D919&lt;-Settings!$C$4,"Bearish","Neutral"))</f>
        <v>Bullish</v>
      </c>
      <c r="F919" s="8" t="n">
        <v>0.541</v>
      </c>
      <c r="G919" s="20"/>
      <c r="H919" s="6" t="str">
        <f aca="false">IF(G919="","",IF(G919&gt;0,"Bullish",IF(G919&lt;0,"Bearish","Flat")))</f>
        <v/>
      </c>
      <c r="I919" s="6" t="str">
        <f aca="false">IF(OR(G919="",E919="Neutral"),"",IF(E919=H919,1,0))</f>
        <v/>
      </c>
      <c r="J919" s="6" t="s">
        <v>161</v>
      </c>
    </row>
    <row r="920" customFormat="false" ht="15" hidden="false" customHeight="false" outlineLevel="0" collapsed="false">
      <c r="A920" s="19" t="n">
        <v>46338</v>
      </c>
      <c r="B920" s="6" t="s">
        <v>37</v>
      </c>
      <c r="C920" s="6" t="s">
        <v>149</v>
      </c>
      <c r="D920" s="7" t="n">
        <v>0.3964</v>
      </c>
      <c r="E920" s="6" t="str">
        <f aca="false">IF(D920&gt;Settings!$C$4,"Bullish",IF(D920&lt;-Settings!$C$4,"Bearish","Neutral"))</f>
        <v>Bullish</v>
      </c>
      <c r="F920" s="8" t="n">
        <v>0.509</v>
      </c>
      <c r="G920" s="20"/>
      <c r="H920" s="6" t="str">
        <f aca="false">IF(G920="","",IF(G920&gt;0,"Bullish",IF(G920&lt;0,"Bearish","Flat")))</f>
        <v/>
      </c>
      <c r="I920" s="6" t="str">
        <f aca="false">IF(OR(G920="",E920="Neutral"),"",IF(E920=H920,1,0))</f>
        <v/>
      </c>
      <c r="J920" s="6" t="s">
        <v>161</v>
      </c>
    </row>
    <row r="921" customFormat="false" ht="15" hidden="false" customHeight="false" outlineLevel="0" collapsed="false">
      <c r="A921" s="19" t="n">
        <v>46338</v>
      </c>
      <c r="B921" s="6" t="s">
        <v>38</v>
      </c>
      <c r="C921" s="6" t="s">
        <v>154</v>
      </c>
      <c r="D921" s="7" t="n">
        <v>0.7618</v>
      </c>
      <c r="E921" s="6" t="str">
        <f aca="false">IF(D921&gt;Settings!$C$4,"Bullish",IF(D921&lt;-Settings!$C$4,"Bearish","Neutral"))</f>
        <v>Bullish</v>
      </c>
      <c r="F921" s="8" t="n">
        <v>0.478</v>
      </c>
      <c r="G921" s="20"/>
      <c r="H921" s="6" t="str">
        <f aca="false">IF(G921="","",IF(G921&gt;0,"Bullish",IF(G921&lt;0,"Bearish","Flat")))</f>
        <v/>
      </c>
      <c r="I921" s="6" t="str">
        <f aca="false">IF(OR(G921="",E921="Neutral"),"",IF(E921=H921,1,0))</f>
        <v/>
      </c>
      <c r="J921" s="6" t="s">
        <v>161</v>
      </c>
    </row>
    <row r="922" customFormat="false" ht="15" hidden="false" customHeight="false" outlineLevel="0" collapsed="false">
      <c r="A922" s="19" t="n">
        <v>46338</v>
      </c>
      <c r="B922" s="6" t="s">
        <v>38</v>
      </c>
      <c r="C922" s="6" t="s">
        <v>149</v>
      </c>
      <c r="D922" s="7" t="n">
        <v>0.1428</v>
      </c>
      <c r="E922" s="6" t="str">
        <f aca="false">IF(D922&gt;Settings!$C$4,"Bullish",IF(D922&lt;-Settings!$C$4,"Bearish","Neutral"))</f>
        <v>Neutral</v>
      </c>
      <c r="F922" s="8"/>
      <c r="G922" s="20"/>
      <c r="H922" s="6" t="str">
        <f aca="false">IF(G922="","",IF(G922&gt;0,"Bullish",IF(G922&lt;0,"Bearish","Flat")))</f>
        <v/>
      </c>
      <c r="I922" s="6" t="str">
        <f aca="false">IF(OR(G922="",E922="Neutral"),"",IF(E922=H922,1,0))</f>
        <v/>
      </c>
      <c r="J922" s="6" t="s">
        <v>161</v>
      </c>
    </row>
    <row r="923" customFormat="false" ht="15" hidden="false" customHeight="false" outlineLevel="0" collapsed="false">
      <c r="A923" s="19" t="n">
        <v>46338</v>
      </c>
      <c r="B923" s="6" t="s">
        <v>53</v>
      </c>
      <c r="C923" s="6" t="s">
        <v>154</v>
      </c>
      <c r="D923" s="7" t="n">
        <v>0.322</v>
      </c>
      <c r="E923" s="6" t="str">
        <f aca="false">IF(D923&gt;Settings!$C$4,"Bullish",IF(D923&lt;-Settings!$C$4,"Bearish","Neutral"))</f>
        <v>Bullish</v>
      </c>
      <c r="F923" s="8" t="n">
        <v>0.535</v>
      </c>
      <c r="G923" s="20"/>
      <c r="H923" s="6" t="str">
        <f aca="false">IF(G923="","",IF(G923&gt;0,"Bullish",IF(G923&lt;0,"Bearish","Flat")))</f>
        <v/>
      </c>
      <c r="I923" s="6" t="str">
        <f aca="false">IF(OR(G923="",E923="Neutral"),"",IF(E923=H923,1,0))</f>
        <v/>
      </c>
      <c r="J923" s="6" t="s">
        <v>161</v>
      </c>
    </row>
    <row r="924" customFormat="false" ht="15" hidden="false" customHeight="false" outlineLevel="0" collapsed="false">
      <c r="A924" s="19" t="n">
        <v>46338</v>
      </c>
      <c r="B924" s="6" t="s">
        <v>53</v>
      </c>
      <c r="C924" s="6" t="s">
        <v>149</v>
      </c>
      <c r="D924" s="7" t="n">
        <v>-0.0504</v>
      </c>
      <c r="E924" s="6" t="str">
        <f aca="false">IF(D924&gt;Settings!$C$4,"Bullish",IF(D924&lt;-Settings!$C$4,"Bearish","Neutral"))</f>
        <v>Neutral</v>
      </c>
      <c r="F924" s="8"/>
      <c r="G924" s="20"/>
      <c r="H924" s="6" t="str">
        <f aca="false">IF(G924="","",IF(G924&gt;0,"Bullish",IF(G924&lt;0,"Bearish","Flat")))</f>
        <v/>
      </c>
      <c r="I924" s="6" t="str">
        <f aca="false">IF(OR(G924="",E924="Neutral"),"",IF(E924=H924,1,0))</f>
        <v/>
      </c>
      <c r="J924" s="6" t="s">
        <v>161</v>
      </c>
    </row>
    <row r="925" customFormat="false" ht="15" hidden="false" customHeight="false" outlineLevel="0" collapsed="false">
      <c r="A925" s="19" t="n">
        <v>46338</v>
      </c>
      <c r="B925" s="6" t="s">
        <v>18</v>
      </c>
      <c r="C925" s="6" t="s">
        <v>154</v>
      </c>
      <c r="D925" s="7" t="n">
        <v>0.6607</v>
      </c>
      <c r="E925" s="6" t="str">
        <f aca="false">IF(D925&gt;Settings!$C$4,"Bullish",IF(D925&lt;-Settings!$C$4,"Bearish","Neutral"))</f>
        <v>Bullish</v>
      </c>
      <c r="F925" s="8" t="n">
        <v>0.501</v>
      </c>
      <c r="G925" s="20"/>
      <c r="H925" s="6" t="str">
        <f aca="false">IF(G925="","",IF(G925&gt;0,"Bullish",IF(G925&lt;0,"Bearish","Flat")))</f>
        <v/>
      </c>
      <c r="I925" s="6" t="str">
        <f aca="false">IF(OR(G925="",E925="Neutral"),"",IF(E925=H925,1,0))</f>
        <v/>
      </c>
      <c r="J925" s="6" t="s">
        <v>161</v>
      </c>
    </row>
    <row r="926" customFormat="false" ht="15" hidden="false" customHeight="false" outlineLevel="0" collapsed="false">
      <c r="A926" s="19" t="n">
        <v>46338</v>
      </c>
      <c r="B926" s="6" t="s">
        <v>18</v>
      </c>
      <c r="C926" s="6" t="s">
        <v>149</v>
      </c>
      <c r="D926" s="7" t="n">
        <v>0.5229</v>
      </c>
      <c r="E926" s="6" t="str">
        <f aca="false">IF(D926&gt;Settings!$C$4,"Bullish",IF(D926&lt;-Settings!$C$4,"Bearish","Neutral"))</f>
        <v>Bullish</v>
      </c>
      <c r="F926" s="8" t="n">
        <v>0.476</v>
      </c>
      <c r="G926" s="20"/>
      <c r="H926" s="6" t="str">
        <f aca="false">IF(G926="","",IF(G926&gt;0,"Bullish",IF(G926&lt;0,"Bearish","Flat")))</f>
        <v/>
      </c>
      <c r="I926" s="6" t="str">
        <f aca="false">IF(OR(G926="",E926="Neutral"),"",IF(E926=H926,1,0))</f>
        <v/>
      </c>
      <c r="J926" s="6" t="s">
        <v>161</v>
      </c>
    </row>
    <row r="927" customFormat="false" ht="15" hidden="false" customHeight="false" outlineLevel="0" collapsed="false">
      <c r="A927" s="19" t="n">
        <v>46338</v>
      </c>
      <c r="B927" s="6" t="s">
        <v>40</v>
      </c>
      <c r="C927" s="6" t="s">
        <v>154</v>
      </c>
      <c r="D927" s="7" t="n">
        <v>0.0605</v>
      </c>
      <c r="E927" s="6" t="str">
        <f aca="false">IF(D927&gt;Settings!$C$4,"Bullish",IF(D927&lt;-Settings!$C$4,"Bearish","Neutral"))</f>
        <v>Neutral</v>
      </c>
      <c r="F927" s="8"/>
      <c r="G927" s="20"/>
      <c r="H927" s="6" t="str">
        <f aca="false">IF(G927="","",IF(G927&gt;0,"Bullish",IF(G927&lt;0,"Bearish","Flat")))</f>
        <v/>
      </c>
      <c r="I927" s="6" t="str">
        <f aca="false">IF(OR(G927="",E927="Neutral"),"",IF(E927=H927,1,0))</f>
        <v/>
      </c>
      <c r="J927" s="6" t="s">
        <v>161</v>
      </c>
    </row>
    <row r="928" customFormat="false" ht="15" hidden="false" customHeight="false" outlineLevel="0" collapsed="false">
      <c r="A928" s="19" t="n">
        <v>46338</v>
      </c>
      <c r="B928" s="6" t="s">
        <v>40</v>
      </c>
      <c r="C928" s="6" t="s">
        <v>149</v>
      </c>
      <c r="D928" s="7" t="n">
        <v>0.0349</v>
      </c>
      <c r="E928" s="6" t="str">
        <f aca="false">IF(D928&gt;Settings!$C$4,"Bullish",IF(D928&lt;-Settings!$C$4,"Bearish","Neutral"))</f>
        <v>Neutral</v>
      </c>
      <c r="F928" s="8"/>
      <c r="G928" s="20"/>
      <c r="H928" s="6" t="str">
        <f aca="false">IF(G928="","",IF(G928&gt;0,"Bullish",IF(G928&lt;0,"Bearish","Flat")))</f>
        <v/>
      </c>
      <c r="I928" s="6" t="str">
        <f aca="false">IF(OR(G928="",E928="Neutral"),"",IF(E928=H928,1,0))</f>
        <v/>
      </c>
      <c r="J928" s="6" t="s">
        <v>161</v>
      </c>
    </row>
    <row r="929" customFormat="false" ht="15" hidden="false" customHeight="false" outlineLevel="0" collapsed="false">
      <c r="A929" s="19" t="n">
        <v>46338</v>
      </c>
      <c r="B929" s="6" t="s">
        <v>49</v>
      </c>
      <c r="C929" s="6" t="s">
        <v>154</v>
      </c>
      <c r="D929" s="7" t="n">
        <v>0.3854</v>
      </c>
      <c r="E929" s="6" t="str">
        <f aca="false">IF(D929&gt;Settings!$C$4,"Bullish",IF(D929&lt;-Settings!$C$4,"Bearish","Neutral"))</f>
        <v>Bullish</v>
      </c>
      <c r="F929" s="8" t="n">
        <v>0.505</v>
      </c>
      <c r="G929" s="20"/>
      <c r="H929" s="6" t="str">
        <f aca="false">IF(G929="","",IF(G929&gt;0,"Bullish",IF(G929&lt;0,"Bearish","Flat")))</f>
        <v/>
      </c>
      <c r="I929" s="6" t="str">
        <f aca="false">IF(OR(G929="",E929="Neutral"),"",IF(E929=H929,1,0))</f>
        <v/>
      </c>
      <c r="J929" s="6" t="s">
        <v>161</v>
      </c>
    </row>
    <row r="930" customFormat="false" ht="15" hidden="false" customHeight="false" outlineLevel="0" collapsed="false">
      <c r="A930" s="19" t="n">
        <v>46338</v>
      </c>
      <c r="B930" s="6" t="s">
        <v>49</v>
      </c>
      <c r="C930" s="6" t="s">
        <v>149</v>
      </c>
      <c r="D930" s="7" t="n">
        <v>0.1523</v>
      </c>
      <c r="E930" s="6" t="str">
        <f aca="false">IF(D930&gt;Settings!$C$4,"Bullish",IF(D930&lt;-Settings!$C$4,"Bearish","Neutral"))</f>
        <v>Bullish</v>
      </c>
      <c r="F930" s="8" t="n">
        <v>0.523</v>
      </c>
      <c r="G930" s="20"/>
      <c r="H930" s="6" t="str">
        <f aca="false">IF(G930="","",IF(G930&gt;0,"Bullish",IF(G930&lt;0,"Bearish","Flat")))</f>
        <v/>
      </c>
      <c r="I930" s="6" t="str">
        <f aca="false">IF(OR(G930="",E930="Neutral"),"",IF(E930=H930,1,0))</f>
        <v/>
      </c>
      <c r="J930" s="6" t="s">
        <v>161</v>
      </c>
    </row>
    <row r="931" customFormat="false" ht="15" hidden="false" customHeight="false" outlineLevel="0" collapsed="false">
      <c r="A931" s="19" t="n">
        <v>46338</v>
      </c>
      <c r="B931" s="6" t="s">
        <v>43</v>
      </c>
      <c r="C931" s="6" t="s">
        <v>154</v>
      </c>
      <c r="D931" s="7" t="n">
        <v>0.1906</v>
      </c>
      <c r="E931" s="6" t="str">
        <f aca="false">IF(D931&gt;Settings!$C$4,"Bullish",IF(D931&lt;-Settings!$C$4,"Bearish","Neutral"))</f>
        <v>Bullish</v>
      </c>
      <c r="F931" s="8" t="n">
        <v>0.468</v>
      </c>
      <c r="G931" s="20"/>
      <c r="H931" s="6" t="str">
        <f aca="false">IF(G931="","",IF(G931&gt;0,"Bullish",IF(G931&lt;0,"Bearish","Flat")))</f>
        <v/>
      </c>
      <c r="I931" s="6" t="str">
        <f aca="false">IF(OR(G931="",E931="Neutral"),"",IF(E931=H931,1,0))</f>
        <v/>
      </c>
      <c r="J931" s="6" t="s">
        <v>161</v>
      </c>
    </row>
    <row r="932" customFormat="false" ht="15" hidden="false" customHeight="false" outlineLevel="0" collapsed="false">
      <c r="A932" s="19" t="n">
        <v>46338</v>
      </c>
      <c r="B932" s="6" t="s">
        <v>43</v>
      </c>
      <c r="C932" s="6" t="s">
        <v>149</v>
      </c>
      <c r="D932" s="7" t="n">
        <v>-0.0666</v>
      </c>
      <c r="E932" s="6" t="str">
        <f aca="false">IF(D932&gt;Settings!$C$4,"Bullish",IF(D932&lt;-Settings!$C$4,"Bearish","Neutral"))</f>
        <v>Neutral</v>
      </c>
      <c r="F932" s="8"/>
      <c r="G932" s="20"/>
      <c r="H932" s="6" t="str">
        <f aca="false">IF(G932="","",IF(G932&gt;0,"Bullish",IF(G932&lt;0,"Bearish","Flat")))</f>
        <v/>
      </c>
      <c r="I932" s="6" t="str">
        <f aca="false">IF(OR(G932="",E932="Neutral"),"",IF(E932=H932,1,0))</f>
        <v/>
      </c>
      <c r="J932" s="6" t="s">
        <v>161</v>
      </c>
    </row>
    <row r="933" customFormat="false" ht="15" hidden="false" customHeight="false" outlineLevel="0" collapsed="false">
      <c r="A933" s="19" t="n">
        <v>46338</v>
      </c>
      <c r="B933" s="6" t="s">
        <v>51</v>
      </c>
      <c r="C933" s="6" t="s">
        <v>154</v>
      </c>
      <c r="D933" s="7" t="n">
        <v>0.114</v>
      </c>
      <c r="E933" s="6" t="str">
        <f aca="false">IF(D933&gt;Settings!$C$4,"Bullish",IF(D933&lt;-Settings!$C$4,"Bearish","Neutral"))</f>
        <v>Neutral</v>
      </c>
      <c r="F933" s="8"/>
      <c r="G933" s="20"/>
      <c r="H933" s="6" t="str">
        <f aca="false">IF(G933="","",IF(G933&gt;0,"Bullish",IF(G933&lt;0,"Bearish","Flat")))</f>
        <v/>
      </c>
      <c r="I933" s="6" t="str">
        <f aca="false">IF(OR(G933="",E933="Neutral"),"",IF(E933=H933,1,0))</f>
        <v/>
      </c>
      <c r="J933" s="6" t="s">
        <v>161</v>
      </c>
    </row>
    <row r="934" customFormat="false" ht="15" hidden="false" customHeight="false" outlineLevel="0" collapsed="false">
      <c r="A934" s="19" t="n">
        <v>46338</v>
      </c>
      <c r="B934" s="6" t="s">
        <v>51</v>
      </c>
      <c r="C934" s="6" t="s">
        <v>149</v>
      </c>
      <c r="D934" s="7" t="n">
        <v>-0.0758</v>
      </c>
      <c r="E934" s="6" t="str">
        <f aca="false">IF(D934&gt;Settings!$C$4,"Bullish",IF(D934&lt;-Settings!$C$4,"Bearish","Neutral"))</f>
        <v>Neutral</v>
      </c>
      <c r="F934" s="8"/>
      <c r="G934" s="20"/>
      <c r="H934" s="6" t="str">
        <f aca="false">IF(G934="","",IF(G934&gt;0,"Bullish",IF(G934&lt;0,"Bearish","Flat")))</f>
        <v/>
      </c>
      <c r="I934" s="6" t="str">
        <f aca="false">IF(OR(G934="",E934="Neutral"),"",IF(E934=H934,1,0))</f>
        <v/>
      </c>
      <c r="J934" s="6" t="s">
        <v>161</v>
      </c>
    </row>
    <row r="935" customFormat="false" ht="15" hidden="false" customHeight="false" outlineLevel="0" collapsed="false">
      <c r="A935" s="19" t="n">
        <v>46339</v>
      </c>
      <c r="B935" s="6" t="s">
        <v>20</v>
      </c>
      <c r="C935" s="6" t="s">
        <v>154</v>
      </c>
      <c r="D935" s="7" t="n">
        <v>-0.946</v>
      </c>
      <c r="E935" s="6" t="str">
        <f aca="false">IF(D935&gt;Settings!$C$4,"Bullish",IF(D935&lt;-Settings!$C$4,"Bearish","Neutral"))</f>
        <v>Bearish</v>
      </c>
      <c r="F935" s="8" t="n">
        <v>0.523</v>
      </c>
      <c r="G935" s="20"/>
      <c r="H935" s="6" t="str">
        <f aca="false">IF(G935="","",IF(G935&gt;0,"Bullish",IF(G935&lt;0,"Bearish","Flat")))</f>
        <v/>
      </c>
      <c r="I935" s="6" t="str">
        <f aca="false">IF(OR(G935="",E935="Neutral"),"",IF(E935=H935,1,0))</f>
        <v/>
      </c>
      <c r="J935" s="6" t="s">
        <v>161</v>
      </c>
    </row>
    <row r="936" customFormat="false" ht="15" hidden="false" customHeight="false" outlineLevel="0" collapsed="false">
      <c r="A936" s="19" t="n">
        <v>46339</v>
      </c>
      <c r="B936" s="6" t="s">
        <v>20</v>
      </c>
      <c r="C936" s="6" t="s">
        <v>149</v>
      </c>
      <c r="D936" s="7" t="n">
        <v>0.0538</v>
      </c>
      <c r="E936" s="6" t="str">
        <f aca="false">IF(D936&gt;Settings!$C$4,"Bullish",IF(D936&lt;-Settings!$C$4,"Bearish","Neutral"))</f>
        <v>Neutral</v>
      </c>
      <c r="F936" s="8"/>
      <c r="G936" s="20"/>
      <c r="H936" s="6" t="str">
        <f aca="false">IF(G936="","",IF(G936&gt;0,"Bullish",IF(G936&lt;0,"Bearish","Flat")))</f>
        <v/>
      </c>
      <c r="I936" s="6" t="str">
        <f aca="false">IF(OR(G936="",E936="Neutral"),"",IF(E936=H936,1,0))</f>
        <v/>
      </c>
      <c r="J936" s="6" t="s">
        <v>161</v>
      </c>
    </row>
    <row r="937" customFormat="false" ht="15" hidden="false" customHeight="false" outlineLevel="0" collapsed="false">
      <c r="A937" s="19" t="n">
        <v>46339</v>
      </c>
      <c r="B937" s="6" t="s">
        <v>22</v>
      </c>
      <c r="C937" s="6" t="s">
        <v>154</v>
      </c>
      <c r="D937" s="7" t="n">
        <v>0.2703</v>
      </c>
      <c r="E937" s="6" t="str">
        <f aca="false">IF(D937&gt;Settings!$C$4,"Bullish",IF(D937&lt;-Settings!$C$4,"Bearish","Neutral"))</f>
        <v>Bullish</v>
      </c>
      <c r="F937" s="8" t="n">
        <v>0.514</v>
      </c>
      <c r="G937" s="20"/>
      <c r="H937" s="6" t="str">
        <f aca="false">IF(G937="","",IF(G937&gt;0,"Bullish",IF(G937&lt;0,"Bearish","Flat")))</f>
        <v/>
      </c>
      <c r="I937" s="6" t="str">
        <f aca="false">IF(OR(G937="",E937="Neutral"),"",IF(E937=H937,1,0))</f>
        <v/>
      </c>
      <c r="J937" s="6" t="s">
        <v>161</v>
      </c>
    </row>
    <row r="938" customFormat="false" ht="15" hidden="false" customHeight="false" outlineLevel="0" collapsed="false">
      <c r="A938" s="19" t="n">
        <v>46339</v>
      </c>
      <c r="B938" s="6" t="s">
        <v>22</v>
      </c>
      <c r="C938" s="6" t="s">
        <v>149</v>
      </c>
      <c r="D938" s="7" t="n">
        <v>0.5929</v>
      </c>
      <c r="E938" s="6" t="str">
        <f aca="false">IF(D938&gt;Settings!$C$4,"Bullish",IF(D938&lt;-Settings!$C$4,"Bearish","Neutral"))</f>
        <v>Bullish</v>
      </c>
      <c r="F938" s="8" t="n">
        <v>0.496</v>
      </c>
      <c r="G938" s="20"/>
      <c r="H938" s="6" t="str">
        <f aca="false">IF(G938="","",IF(G938&gt;0,"Bullish",IF(G938&lt;0,"Bearish","Flat")))</f>
        <v/>
      </c>
      <c r="I938" s="6" t="str">
        <f aca="false">IF(OR(G938="",E938="Neutral"),"",IF(E938=H938,1,0))</f>
        <v/>
      </c>
      <c r="J938" s="6" t="s">
        <v>161</v>
      </c>
    </row>
    <row r="939" customFormat="false" ht="15" hidden="false" customHeight="false" outlineLevel="0" collapsed="false">
      <c r="A939" s="19" t="n">
        <v>46339</v>
      </c>
      <c r="B939" s="6" t="s">
        <v>52</v>
      </c>
      <c r="C939" s="6" t="s">
        <v>154</v>
      </c>
      <c r="D939" s="7" t="n">
        <v>-0.8523</v>
      </c>
      <c r="E939" s="6" t="str">
        <f aca="false">IF(D939&gt;Settings!$C$4,"Bullish",IF(D939&lt;-Settings!$C$4,"Bearish","Neutral"))</f>
        <v>Bearish</v>
      </c>
      <c r="F939" s="8" t="n">
        <v>0.467</v>
      </c>
      <c r="G939" s="20"/>
      <c r="H939" s="6" t="str">
        <f aca="false">IF(G939="","",IF(G939&gt;0,"Bullish",IF(G939&lt;0,"Bearish","Flat")))</f>
        <v/>
      </c>
      <c r="I939" s="6" t="str">
        <f aca="false">IF(OR(G939="",E939="Neutral"),"",IF(E939=H939,1,0))</f>
        <v/>
      </c>
      <c r="J939" s="6" t="s">
        <v>161</v>
      </c>
    </row>
    <row r="940" customFormat="false" ht="15" hidden="false" customHeight="false" outlineLevel="0" collapsed="false">
      <c r="A940" s="19" t="n">
        <v>46339</v>
      </c>
      <c r="B940" s="6" t="s">
        <v>52</v>
      </c>
      <c r="C940" s="6" t="s">
        <v>149</v>
      </c>
      <c r="D940" s="7" t="n">
        <v>0.1693</v>
      </c>
      <c r="E940" s="6" t="str">
        <f aca="false">IF(D940&gt;Settings!$C$4,"Bullish",IF(D940&lt;-Settings!$C$4,"Bearish","Neutral"))</f>
        <v>Bullish</v>
      </c>
      <c r="F940" s="8" t="n">
        <v>0.509</v>
      </c>
      <c r="G940" s="20"/>
      <c r="H940" s="6" t="str">
        <f aca="false">IF(G940="","",IF(G940&gt;0,"Bullish",IF(G940&lt;0,"Bearish","Flat")))</f>
        <v/>
      </c>
      <c r="I940" s="6" t="str">
        <f aca="false">IF(OR(G940="",E940="Neutral"),"",IF(E940=H940,1,0))</f>
        <v/>
      </c>
      <c r="J940" s="6" t="s">
        <v>161</v>
      </c>
    </row>
    <row r="941" customFormat="false" ht="15" hidden="false" customHeight="false" outlineLevel="0" collapsed="false">
      <c r="A941" s="19" t="n">
        <v>46339</v>
      </c>
      <c r="B941" s="6" t="s">
        <v>30</v>
      </c>
      <c r="C941" s="6" t="s">
        <v>154</v>
      </c>
      <c r="D941" s="7" t="n">
        <v>0.5856</v>
      </c>
      <c r="E941" s="6" t="str">
        <f aca="false">IF(D941&gt;Settings!$C$4,"Bullish",IF(D941&lt;-Settings!$C$4,"Bearish","Neutral"))</f>
        <v>Bullish</v>
      </c>
      <c r="F941" s="8" t="n">
        <v>0.51</v>
      </c>
      <c r="G941" s="20"/>
      <c r="H941" s="6" t="str">
        <f aca="false">IF(G941="","",IF(G941&gt;0,"Bullish",IF(G941&lt;0,"Bearish","Flat")))</f>
        <v/>
      </c>
      <c r="I941" s="6" t="str">
        <f aca="false">IF(OR(G941="",E941="Neutral"),"",IF(E941=H941,1,0))</f>
        <v/>
      </c>
      <c r="J941" s="6" t="s">
        <v>161</v>
      </c>
    </row>
    <row r="942" customFormat="false" ht="15" hidden="false" customHeight="false" outlineLevel="0" collapsed="false">
      <c r="A942" s="19" t="n">
        <v>46339</v>
      </c>
      <c r="B942" s="6" t="s">
        <v>30</v>
      </c>
      <c r="C942" s="6" t="s">
        <v>149</v>
      </c>
      <c r="D942" s="7" t="n">
        <v>0.5929</v>
      </c>
      <c r="E942" s="6" t="str">
        <f aca="false">IF(D942&gt;Settings!$C$4,"Bullish",IF(D942&lt;-Settings!$C$4,"Bearish","Neutral"))</f>
        <v>Bullish</v>
      </c>
      <c r="F942" s="8" t="n">
        <v>0.467</v>
      </c>
      <c r="G942" s="20"/>
      <c r="H942" s="6" t="str">
        <f aca="false">IF(G942="","",IF(G942&gt;0,"Bullish",IF(G942&lt;0,"Bearish","Flat")))</f>
        <v/>
      </c>
      <c r="I942" s="6" t="str">
        <f aca="false">IF(OR(G942="",E942="Neutral"),"",IF(E942=H942,1,0))</f>
        <v/>
      </c>
      <c r="J942" s="6" t="s">
        <v>161</v>
      </c>
    </row>
    <row r="943" customFormat="false" ht="15" hidden="false" customHeight="false" outlineLevel="0" collapsed="false">
      <c r="A943" s="19" t="n">
        <v>46339</v>
      </c>
      <c r="B943" s="6" t="s">
        <v>50</v>
      </c>
      <c r="C943" s="6" t="s">
        <v>154</v>
      </c>
      <c r="D943" s="7" t="n">
        <v>-0.125</v>
      </c>
      <c r="E943" s="6" t="str">
        <f aca="false">IF(D943&gt;Settings!$C$4,"Bullish",IF(D943&lt;-Settings!$C$4,"Bearish","Neutral"))</f>
        <v>Neutral</v>
      </c>
      <c r="F943" s="8"/>
      <c r="G943" s="20"/>
      <c r="H943" s="6" t="str">
        <f aca="false">IF(G943="","",IF(G943&gt;0,"Bullish",IF(G943&lt;0,"Bearish","Flat")))</f>
        <v/>
      </c>
      <c r="I943" s="6" t="str">
        <f aca="false">IF(OR(G943="",E943="Neutral"),"",IF(E943=H943,1,0))</f>
        <v/>
      </c>
      <c r="J943" s="6" t="s">
        <v>161</v>
      </c>
    </row>
    <row r="944" customFormat="false" ht="15" hidden="false" customHeight="false" outlineLevel="0" collapsed="false">
      <c r="A944" s="19" t="n">
        <v>46339</v>
      </c>
      <c r="B944" s="6" t="s">
        <v>50</v>
      </c>
      <c r="C944" s="6" t="s">
        <v>149</v>
      </c>
      <c r="D944" s="7" t="n">
        <v>0.6145</v>
      </c>
      <c r="E944" s="6" t="str">
        <f aca="false">IF(D944&gt;Settings!$C$4,"Bullish",IF(D944&lt;-Settings!$C$4,"Bearish","Neutral"))</f>
        <v>Bullish</v>
      </c>
      <c r="F944" s="8" t="n">
        <v>0.442</v>
      </c>
      <c r="G944" s="20"/>
      <c r="H944" s="6" t="str">
        <f aca="false">IF(G944="","",IF(G944&gt;0,"Bullish",IF(G944&lt;0,"Bearish","Flat")))</f>
        <v/>
      </c>
      <c r="I944" s="6" t="str">
        <f aca="false">IF(OR(G944="",E944="Neutral"),"",IF(E944=H944,1,0))</f>
        <v/>
      </c>
      <c r="J944" s="6" t="s">
        <v>161</v>
      </c>
    </row>
    <row r="945" customFormat="false" ht="15" hidden="false" customHeight="false" outlineLevel="0" collapsed="false">
      <c r="A945" s="19" t="n">
        <v>46339</v>
      </c>
      <c r="B945" s="6" t="s">
        <v>34</v>
      </c>
      <c r="C945" s="6" t="s">
        <v>154</v>
      </c>
      <c r="D945" s="7" t="n">
        <v>-0.8961</v>
      </c>
      <c r="E945" s="6" t="str">
        <f aca="false">IF(D945&gt;Settings!$C$4,"Bullish",IF(D945&lt;-Settings!$C$4,"Bearish","Neutral"))</f>
        <v>Bearish</v>
      </c>
      <c r="F945" s="8" t="n">
        <v>0.489</v>
      </c>
      <c r="G945" s="20"/>
      <c r="H945" s="6" t="str">
        <f aca="false">IF(G945="","",IF(G945&gt;0,"Bullish",IF(G945&lt;0,"Bearish","Flat")))</f>
        <v/>
      </c>
      <c r="I945" s="6" t="str">
        <f aca="false">IF(OR(G945="",E945="Neutral"),"",IF(E945=H945,1,0))</f>
        <v/>
      </c>
      <c r="J945" s="6" t="s">
        <v>161</v>
      </c>
    </row>
    <row r="946" customFormat="false" ht="15" hidden="false" customHeight="false" outlineLevel="0" collapsed="false">
      <c r="A946" s="19" t="n">
        <v>46339</v>
      </c>
      <c r="B946" s="6" t="s">
        <v>34</v>
      </c>
      <c r="C946" s="6" t="s">
        <v>149</v>
      </c>
      <c r="D946" s="7" t="n">
        <v>0.1072</v>
      </c>
      <c r="E946" s="6" t="str">
        <f aca="false">IF(D946&gt;Settings!$C$4,"Bullish",IF(D946&lt;-Settings!$C$4,"Bearish","Neutral"))</f>
        <v>Neutral</v>
      </c>
      <c r="F946" s="8"/>
      <c r="G946" s="20"/>
      <c r="H946" s="6" t="str">
        <f aca="false">IF(G946="","",IF(G946&gt;0,"Bullish",IF(G946&lt;0,"Bearish","Flat")))</f>
        <v/>
      </c>
      <c r="I946" s="6" t="str">
        <f aca="false">IF(OR(G946="",E946="Neutral"),"",IF(E946=H946,1,0))</f>
        <v/>
      </c>
      <c r="J946" s="6" t="s">
        <v>161</v>
      </c>
    </row>
    <row r="947" customFormat="false" ht="15" hidden="false" customHeight="false" outlineLevel="0" collapsed="false">
      <c r="A947" s="19" t="n">
        <v>46339</v>
      </c>
      <c r="B947" s="6" t="s">
        <v>35</v>
      </c>
      <c r="C947" s="6" t="s">
        <v>154</v>
      </c>
      <c r="D947" s="7" t="n">
        <v>-0.7703</v>
      </c>
      <c r="E947" s="6" t="str">
        <f aca="false">IF(D947&gt;Settings!$C$4,"Bullish",IF(D947&lt;-Settings!$C$4,"Bearish","Neutral"))</f>
        <v>Bearish</v>
      </c>
      <c r="F947" s="8" t="n">
        <v>0.498</v>
      </c>
      <c r="G947" s="20"/>
      <c r="H947" s="6" t="str">
        <f aca="false">IF(G947="","",IF(G947&gt;0,"Bullish",IF(G947&lt;0,"Bearish","Flat")))</f>
        <v/>
      </c>
      <c r="I947" s="6" t="str">
        <f aca="false">IF(OR(G947="",E947="Neutral"),"",IF(E947=H947,1,0))</f>
        <v/>
      </c>
      <c r="J947" s="6" t="s">
        <v>161</v>
      </c>
    </row>
    <row r="948" customFormat="false" ht="15" hidden="false" customHeight="false" outlineLevel="0" collapsed="false">
      <c r="A948" s="19" t="n">
        <v>46339</v>
      </c>
      <c r="B948" s="6" t="s">
        <v>35</v>
      </c>
      <c r="C948" s="6" t="s">
        <v>149</v>
      </c>
      <c r="D948" s="7" t="n">
        <v>0.1732</v>
      </c>
      <c r="E948" s="6" t="str">
        <f aca="false">IF(D948&gt;Settings!$C$4,"Bullish",IF(D948&lt;-Settings!$C$4,"Bearish","Neutral"))</f>
        <v>Bullish</v>
      </c>
      <c r="F948" s="8" t="n">
        <v>0.563</v>
      </c>
      <c r="G948" s="20"/>
      <c r="H948" s="6" t="str">
        <f aca="false">IF(G948="","",IF(G948&gt;0,"Bullish",IF(G948&lt;0,"Bearish","Flat")))</f>
        <v/>
      </c>
      <c r="I948" s="6" t="str">
        <f aca="false">IF(OR(G948="",E948="Neutral"),"",IF(E948=H948,1,0))</f>
        <v/>
      </c>
      <c r="J948" s="6" t="s">
        <v>161</v>
      </c>
    </row>
    <row r="949" customFormat="false" ht="15" hidden="false" customHeight="false" outlineLevel="0" collapsed="false">
      <c r="A949" s="19" t="n">
        <v>46339</v>
      </c>
      <c r="B949" s="6" t="s">
        <v>37</v>
      </c>
      <c r="C949" s="6" t="s">
        <v>154</v>
      </c>
      <c r="D949" s="7" t="n">
        <v>-0.2487</v>
      </c>
      <c r="E949" s="6" t="str">
        <f aca="false">IF(D949&gt;Settings!$C$4,"Bullish",IF(D949&lt;-Settings!$C$4,"Bearish","Neutral"))</f>
        <v>Bearish</v>
      </c>
      <c r="F949" s="8" t="n">
        <v>0.541</v>
      </c>
      <c r="G949" s="20"/>
      <c r="H949" s="6" t="str">
        <f aca="false">IF(G949="","",IF(G949&gt;0,"Bullish",IF(G949&lt;0,"Bearish","Flat")))</f>
        <v/>
      </c>
      <c r="I949" s="6" t="str">
        <f aca="false">IF(OR(G949="",E949="Neutral"),"",IF(E949=H949,1,0))</f>
        <v/>
      </c>
      <c r="J949" s="6" t="s">
        <v>161</v>
      </c>
    </row>
    <row r="950" customFormat="false" ht="15" hidden="false" customHeight="false" outlineLevel="0" collapsed="false">
      <c r="A950" s="19" t="n">
        <v>46339</v>
      </c>
      <c r="B950" s="6" t="s">
        <v>37</v>
      </c>
      <c r="C950" s="6" t="s">
        <v>149</v>
      </c>
      <c r="D950" s="7" t="n">
        <v>0.3396</v>
      </c>
      <c r="E950" s="6" t="str">
        <f aca="false">IF(D950&gt;Settings!$C$4,"Bullish",IF(D950&lt;-Settings!$C$4,"Bearish","Neutral"))</f>
        <v>Bullish</v>
      </c>
      <c r="F950" s="8" t="n">
        <v>0.509</v>
      </c>
      <c r="G950" s="20"/>
      <c r="H950" s="6" t="str">
        <f aca="false">IF(G950="","",IF(G950&gt;0,"Bullish",IF(G950&lt;0,"Bearish","Flat")))</f>
        <v/>
      </c>
      <c r="I950" s="6" t="str">
        <f aca="false">IF(OR(G950="",E950="Neutral"),"",IF(E950=H950,1,0))</f>
        <v/>
      </c>
      <c r="J950" s="6" t="s">
        <v>161</v>
      </c>
    </row>
    <row r="951" customFormat="false" ht="15" hidden="false" customHeight="false" outlineLevel="0" collapsed="false">
      <c r="A951" s="19" t="n">
        <v>46339</v>
      </c>
      <c r="B951" s="6" t="s">
        <v>38</v>
      </c>
      <c r="C951" s="6" t="s">
        <v>154</v>
      </c>
      <c r="D951" s="7" t="n">
        <v>-0.832</v>
      </c>
      <c r="E951" s="6" t="str">
        <f aca="false">IF(D951&gt;Settings!$C$4,"Bullish",IF(D951&lt;-Settings!$C$4,"Bearish","Neutral"))</f>
        <v>Bearish</v>
      </c>
      <c r="F951" s="8" t="n">
        <v>0.478</v>
      </c>
      <c r="G951" s="20"/>
      <c r="H951" s="6" t="str">
        <f aca="false">IF(G951="","",IF(G951&gt;0,"Bullish",IF(G951&lt;0,"Bearish","Flat")))</f>
        <v/>
      </c>
      <c r="I951" s="6" t="str">
        <f aca="false">IF(OR(G951="",E951="Neutral"),"",IF(E951=H951,1,0))</f>
        <v/>
      </c>
      <c r="J951" s="6" t="s">
        <v>161</v>
      </c>
    </row>
    <row r="952" customFormat="false" ht="15" hidden="false" customHeight="false" outlineLevel="0" collapsed="false">
      <c r="A952" s="19" t="n">
        <v>46339</v>
      </c>
      <c r="B952" s="6" t="s">
        <v>38</v>
      </c>
      <c r="C952" s="6" t="s">
        <v>149</v>
      </c>
      <c r="D952" s="7" t="n">
        <v>0.2229</v>
      </c>
      <c r="E952" s="6" t="str">
        <f aca="false">IF(D952&gt;Settings!$C$4,"Bullish",IF(D952&lt;-Settings!$C$4,"Bearish","Neutral"))</f>
        <v>Bullish</v>
      </c>
      <c r="F952" s="8" t="n">
        <v>0.492</v>
      </c>
      <c r="G952" s="20"/>
      <c r="H952" s="6" t="str">
        <f aca="false">IF(G952="","",IF(G952&gt;0,"Bullish",IF(G952&lt;0,"Bearish","Flat")))</f>
        <v/>
      </c>
      <c r="I952" s="6" t="str">
        <f aca="false">IF(OR(G952="",E952="Neutral"),"",IF(E952=H952,1,0))</f>
        <v/>
      </c>
      <c r="J952" s="6" t="s">
        <v>161</v>
      </c>
    </row>
    <row r="953" customFormat="false" ht="15" hidden="false" customHeight="false" outlineLevel="0" collapsed="false">
      <c r="A953" s="19" t="n">
        <v>46339</v>
      </c>
      <c r="B953" s="6" t="s">
        <v>53</v>
      </c>
      <c r="C953" s="6" t="s">
        <v>154</v>
      </c>
      <c r="D953" s="7" t="n">
        <v>-0.7171</v>
      </c>
      <c r="E953" s="6" t="str">
        <f aca="false">IF(D953&gt;Settings!$C$4,"Bullish",IF(D953&lt;-Settings!$C$4,"Bearish","Neutral"))</f>
        <v>Bearish</v>
      </c>
      <c r="F953" s="8" t="n">
        <v>0.478</v>
      </c>
      <c r="G953" s="20"/>
      <c r="H953" s="6" t="str">
        <f aca="false">IF(G953="","",IF(G953&gt;0,"Bullish",IF(G953&lt;0,"Bearish","Flat")))</f>
        <v/>
      </c>
      <c r="I953" s="6" t="str">
        <f aca="false">IF(OR(G953="",E953="Neutral"),"",IF(E953=H953,1,0))</f>
        <v/>
      </c>
      <c r="J953" s="6" t="s">
        <v>161</v>
      </c>
    </row>
    <row r="954" customFormat="false" ht="15" hidden="false" customHeight="false" outlineLevel="0" collapsed="false">
      <c r="A954" s="19" t="n">
        <v>46339</v>
      </c>
      <c r="B954" s="6" t="s">
        <v>53</v>
      </c>
      <c r="C954" s="6" t="s">
        <v>149</v>
      </c>
      <c r="D954" s="7" t="n">
        <v>-0.0308</v>
      </c>
      <c r="E954" s="6" t="str">
        <f aca="false">IF(D954&gt;Settings!$C$4,"Bullish",IF(D954&lt;-Settings!$C$4,"Bearish","Neutral"))</f>
        <v>Neutral</v>
      </c>
      <c r="F954" s="8"/>
      <c r="G954" s="20"/>
      <c r="H954" s="6" t="str">
        <f aca="false">IF(G954="","",IF(G954&gt;0,"Bullish",IF(G954&lt;0,"Bearish","Flat")))</f>
        <v/>
      </c>
      <c r="I954" s="6" t="str">
        <f aca="false">IF(OR(G954="",E954="Neutral"),"",IF(E954=H954,1,0))</f>
        <v/>
      </c>
      <c r="J954" s="6" t="s">
        <v>161</v>
      </c>
    </row>
    <row r="955" customFormat="false" ht="15" hidden="false" customHeight="false" outlineLevel="0" collapsed="false">
      <c r="A955" s="19" t="n">
        <v>46339</v>
      </c>
      <c r="B955" s="6" t="s">
        <v>18</v>
      </c>
      <c r="C955" s="6" t="s">
        <v>154</v>
      </c>
      <c r="D955" s="7" t="n">
        <v>-0.4171</v>
      </c>
      <c r="E955" s="6" t="str">
        <f aca="false">IF(D955&gt;Settings!$C$4,"Bullish",IF(D955&lt;-Settings!$C$4,"Bearish","Neutral"))</f>
        <v>Bearish</v>
      </c>
      <c r="F955" s="8" t="n">
        <v>0.529</v>
      </c>
      <c r="G955" s="20"/>
      <c r="H955" s="6" t="str">
        <f aca="false">IF(G955="","",IF(G955&gt;0,"Bullish",IF(G955&lt;0,"Bearish","Flat")))</f>
        <v/>
      </c>
      <c r="I955" s="6" t="str">
        <f aca="false">IF(OR(G955="",E955="Neutral"),"",IF(E955=H955,1,0))</f>
        <v/>
      </c>
      <c r="J955" s="6" t="s">
        <v>161</v>
      </c>
    </row>
    <row r="956" customFormat="false" ht="15" hidden="false" customHeight="false" outlineLevel="0" collapsed="false">
      <c r="A956" s="19" t="n">
        <v>46339</v>
      </c>
      <c r="B956" s="6" t="s">
        <v>18</v>
      </c>
      <c r="C956" s="6" t="s">
        <v>149</v>
      </c>
      <c r="D956" s="7" t="n">
        <v>0.5688</v>
      </c>
      <c r="E956" s="6" t="str">
        <f aca="false">IF(D956&gt;Settings!$C$4,"Bullish",IF(D956&lt;-Settings!$C$4,"Bearish","Neutral"))</f>
        <v>Bullish</v>
      </c>
      <c r="F956" s="8" t="n">
        <v>0.476</v>
      </c>
      <c r="G956" s="20"/>
      <c r="H956" s="6" t="str">
        <f aca="false">IF(G956="","",IF(G956&gt;0,"Bullish",IF(G956&lt;0,"Bearish","Flat")))</f>
        <v/>
      </c>
      <c r="I956" s="6" t="str">
        <f aca="false">IF(OR(G956="",E956="Neutral"),"",IF(E956=H956,1,0))</f>
        <v/>
      </c>
      <c r="J956" s="6" t="s">
        <v>161</v>
      </c>
    </row>
    <row r="957" customFormat="false" ht="15" hidden="false" customHeight="false" outlineLevel="0" collapsed="false">
      <c r="A957" s="19" t="n">
        <v>46339</v>
      </c>
      <c r="B957" s="6" t="s">
        <v>40</v>
      </c>
      <c r="C957" s="6" t="s">
        <v>154</v>
      </c>
      <c r="D957" s="7" t="n">
        <v>-0.9548</v>
      </c>
      <c r="E957" s="6" t="str">
        <f aca="false">IF(D957&gt;Settings!$C$4,"Bullish",IF(D957&lt;-Settings!$C$4,"Bearish","Neutral"))</f>
        <v>Bearish</v>
      </c>
      <c r="F957" s="8" t="n">
        <v>0.52</v>
      </c>
      <c r="G957" s="20"/>
      <c r="H957" s="6" t="str">
        <f aca="false">IF(G957="","",IF(G957&gt;0,"Bullish",IF(G957&lt;0,"Bearish","Flat")))</f>
        <v/>
      </c>
      <c r="I957" s="6" t="str">
        <f aca="false">IF(OR(G957="",E957="Neutral"),"",IF(E957=H957,1,0))</f>
        <v/>
      </c>
      <c r="J957" s="6" t="s">
        <v>161</v>
      </c>
    </row>
    <row r="958" customFormat="false" ht="15" hidden="false" customHeight="false" outlineLevel="0" collapsed="false">
      <c r="A958" s="19" t="n">
        <v>46339</v>
      </c>
      <c r="B958" s="6" t="s">
        <v>40</v>
      </c>
      <c r="C958" s="6" t="s">
        <v>149</v>
      </c>
      <c r="D958" s="7" t="n">
        <v>0.0508</v>
      </c>
      <c r="E958" s="6" t="str">
        <f aca="false">IF(D958&gt;Settings!$C$4,"Bullish",IF(D958&lt;-Settings!$C$4,"Bearish","Neutral"))</f>
        <v>Neutral</v>
      </c>
      <c r="F958" s="8"/>
      <c r="G958" s="20"/>
      <c r="H958" s="6" t="str">
        <f aca="false">IF(G958="","",IF(G958&gt;0,"Bullish",IF(G958&lt;0,"Bearish","Flat")))</f>
        <v/>
      </c>
      <c r="I958" s="6" t="str">
        <f aca="false">IF(OR(G958="",E958="Neutral"),"",IF(E958=H958,1,0))</f>
        <v/>
      </c>
      <c r="J958" s="6" t="s">
        <v>161</v>
      </c>
    </row>
    <row r="959" customFormat="false" ht="15" hidden="false" customHeight="false" outlineLevel="0" collapsed="false">
      <c r="A959" s="19" t="n">
        <v>46339</v>
      </c>
      <c r="B959" s="6" t="s">
        <v>49</v>
      </c>
      <c r="C959" s="6" t="s">
        <v>154</v>
      </c>
      <c r="D959" s="7" t="n">
        <v>-0.2913</v>
      </c>
      <c r="E959" s="6" t="str">
        <f aca="false">IF(D959&gt;Settings!$C$4,"Bullish",IF(D959&lt;-Settings!$C$4,"Bearish","Neutral"))</f>
        <v>Bearish</v>
      </c>
      <c r="F959" s="8" t="n">
        <v>0.478</v>
      </c>
      <c r="G959" s="20"/>
      <c r="H959" s="6" t="str">
        <f aca="false">IF(G959="","",IF(G959&gt;0,"Bullish",IF(G959&lt;0,"Bearish","Flat")))</f>
        <v/>
      </c>
      <c r="I959" s="6" t="str">
        <f aca="false">IF(OR(G959="",E959="Neutral"),"",IF(E959=H959,1,0))</f>
        <v/>
      </c>
      <c r="J959" s="6" t="s">
        <v>161</v>
      </c>
    </row>
    <row r="960" customFormat="false" ht="15" hidden="false" customHeight="false" outlineLevel="0" collapsed="false">
      <c r="A960" s="19" t="n">
        <v>46339</v>
      </c>
      <c r="B960" s="6" t="s">
        <v>49</v>
      </c>
      <c r="C960" s="6" t="s">
        <v>149</v>
      </c>
      <c r="D960" s="7" t="n">
        <v>0.2247</v>
      </c>
      <c r="E960" s="6" t="str">
        <f aca="false">IF(D960&gt;Settings!$C$4,"Bullish",IF(D960&lt;-Settings!$C$4,"Bearish","Neutral"))</f>
        <v>Bullish</v>
      </c>
      <c r="F960" s="8" t="n">
        <v>0.523</v>
      </c>
      <c r="G960" s="20"/>
      <c r="H960" s="6" t="str">
        <f aca="false">IF(G960="","",IF(G960&gt;0,"Bullish",IF(G960&lt;0,"Bearish","Flat")))</f>
        <v/>
      </c>
      <c r="I960" s="6" t="str">
        <f aca="false">IF(OR(G960="",E960="Neutral"),"",IF(E960=H960,1,0))</f>
        <v/>
      </c>
      <c r="J960" s="6" t="s">
        <v>161</v>
      </c>
    </row>
    <row r="961" customFormat="false" ht="15" hidden="false" customHeight="false" outlineLevel="0" collapsed="false">
      <c r="A961" s="19" t="n">
        <v>46339</v>
      </c>
      <c r="B961" s="6" t="s">
        <v>43</v>
      </c>
      <c r="C961" s="6" t="s">
        <v>154</v>
      </c>
      <c r="D961" s="7" t="n">
        <v>-0.8185</v>
      </c>
      <c r="E961" s="6" t="str">
        <f aca="false">IF(D961&gt;Settings!$C$4,"Bullish",IF(D961&lt;-Settings!$C$4,"Bearish","Neutral"))</f>
        <v>Bearish</v>
      </c>
      <c r="F961" s="8" t="n">
        <v>0.523</v>
      </c>
      <c r="G961" s="20"/>
      <c r="H961" s="6" t="str">
        <f aca="false">IF(G961="","",IF(G961&gt;0,"Bullish",IF(G961&lt;0,"Bearish","Flat")))</f>
        <v/>
      </c>
      <c r="I961" s="6" t="str">
        <f aca="false">IF(OR(G961="",E961="Neutral"),"",IF(E961=H961,1,0))</f>
        <v/>
      </c>
      <c r="J961" s="6" t="s">
        <v>161</v>
      </c>
    </row>
    <row r="962" customFormat="false" ht="15" hidden="false" customHeight="false" outlineLevel="0" collapsed="false">
      <c r="A962" s="19" t="n">
        <v>46339</v>
      </c>
      <c r="B962" s="6" t="s">
        <v>43</v>
      </c>
      <c r="C962" s="6" t="s">
        <v>149</v>
      </c>
      <c r="D962" s="7" t="n">
        <v>-0.1162</v>
      </c>
      <c r="E962" s="6" t="str">
        <f aca="false">IF(D962&gt;Settings!$C$4,"Bullish",IF(D962&lt;-Settings!$C$4,"Bearish","Neutral"))</f>
        <v>Neutral</v>
      </c>
      <c r="F962" s="8"/>
      <c r="G962" s="20"/>
      <c r="H962" s="6" t="str">
        <f aca="false">IF(G962="","",IF(G962&gt;0,"Bullish",IF(G962&lt;0,"Bearish","Flat")))</f>
        <v/>
      </c>
      <c r="I962" s="6" t="str">
        <f aca="false">IF(OR(G962="",E962="Neutral"),"",IF(E962=H962,1,0))</f>
        <v/>
      </c>
      <c r="J962" s="6" t="s">
        <v>161</v>
      </c>
    </row>
    <row r="963" customFormat="false" ht="15" hidden="false" customHeight="false" outlineLevel="0" collapsed="false">
      <c r="A963" s="19" t="n">
        <v>46339</v>
      </c>
      <c r="B963" s="6" t="s">
        <v>51</v>
      </c>
      <c r="C963" s="6" t="s">
        <v>154</v>
      </c>
      <c r="D963" s="7" t="n">
        <v>-0.009</v>
      </c>
      <c r="E963" s="6" t="str">
        <f aca="false">IF(D963&gt;Settings!$C$4,"Bullish",IF(D963&lt;-Settings!$C$4,"Bearish","Neutral"))</f>
        <v>Neutral</v>
      </c>
      <c r="F963" s="8"/>
      <c r="G963" s="20"/>
      <c r="H963" s="6" t="str">
        <f aca="false">IF(G963="","",IF(G963&gt;0,"Bullish",IF(G963&lt;0,"Bearish","Flat")))</f>
        <v/>
      </c>
      <c r="I963" s="6" t="str">
        <f aca="false">IF(OR(G963="",E963="Neutral"),"",IF(E963=H963,1,0))</f>
        <v/>
      </c>
      <c r="J963" s="6" t="s">
        <v>161</v>
      </c>
    </row>
    <row r="964" customFormat="false" ht="15" hidden="false" customHeight="false" outlineLevel="0" collapsed="false">
      <c r="A964" s="19" t="n">
        <v>46339</v>
      </c>
      <c r="B964" s="6" t="s">
        <v>51</v>
      </c>
      <c r="C964" s="6" t="s">
        <v>149</v>
      </c>
      <c r="D964" s="7" t="n">
        <v>-0.044</v>
      </c>
      <c r="E964" s="6" t="str">
        <f aca="false">IF(D964&gt;Settings!$C$4,"Bullish",IF(D964&lt;-Settings!$C$4,"Bearish","Neutral"))</f>
        <v>Neutral</v>
      </c>
      <c r="F964" s="8"/>
      <c r="G964" s="20"/>
      <c r="H964" s="6" t="str">
        <f aca="false">IF(G964="","",IF(G964&gt;0,"Bullish",IF(G964&lt;0,"Bearish","Flat")))</f>
        <v/>
      </c>
      <c r="I964" s="6" t="str">
        <f aca="false">IF(OR(G964="",E964="Neutral"),"",IF(E964=H964,1,0))</f>
        <v/>
      </c>
      <c r="J964" s="6" t="s">
        <v>161</v>
      </c>
    </row>
    <row r="965" customFormat="false" ht="15" hidden="false" customHeight="false" outlineLevel="0" collapsed="false">
      <c r="A965" s="19" t="n">
        <v>46342</v>
      </c>
      <c r="B965" s="6" t="s">
        <v>20</v>
      </c>
      <c r="C965" s="6" t="s">
        <v>154</v>
      </c>
      <c r="D965" s="7" t="n">
        <v>-0.1099</v>
      </c>
      <c r="E965" s="6" t="str">
        <f aca="false">IF(D965&gt;Settings!$C$4,"Bullish",IF(D965&lt;-Settings!$C$4,"Bearish","Neutral"))</f>
        <v>Neutral</v>
      </c>
      <c r="F965" s="8"/>
      <c r="G965" s="20"/>
      <c r="H965" s="6" t="str">
        <f aca="false">IF(G965="","",IF(G965&gt;0,"Bullish",IF(G965&lt;0,"Bearish","Flat")))</f>
        <v/>
      </c>
      <c r="I965" s="6" t="str">
        <f aca="false">IF(OR(G965="",E965="Neutral"),"",IF(E965=H965,1,0))</f>
        <v/>
      </c>
      <c r="J965" s="6" t="s">
        <v>161</v>
      </c>
    </row>
    <row r="966" customFormat="false" ht="15" hidden="false" customHeight="false" outlineLevel="0" collapsed="false">
      <c r="A966" s="19" t="n">
        <v>46342</v>
      </c>
      <c r="B966" s="6" t="s">
        <v>20</v>
      </c>
      <c r="C966" s="6" t="s">
        <v>149</v>
      </c>
      <c r="D966" s="7" t="n">
        <v>0.0697</v>
      </c>
      <c r="E966" s="6" t="str">
        <f aca="false">IF(D966&gt;Settings!$C$4,"Bullish",IF(D966&lt;-Settings!$C$4,"Bearish","Neutral"))</f>
        <v>Neutral</v>
      </c>
      <c r="F966" s="8"/>
      <c r="G966" s="20"/>
      <c r="H966" s="6" t="str">
        <f aca="false">IF(G966="","",IF(G966&gt;0,"Bullish",IF(G966&lt;0,"Bearish","Flat")))</f>
        <v/>
      </c>
      <c r="I966" s="6" t="str">
        <f aca="false">IF(OR(G966="",E966="Neutral"),"",IF(E966=H966,1,0))</f>
        <v/>
      </c>
      <c r="J966" s="6" t="s">
        <v>161</v>
      </c>
    </row>
    <row r="967" customFormat="false" ht="15" hidden="false" customHeight="false" outlineLevel="0" collapsed="false">
      <c r="A967" s="19" t="n">
        <v>46342</v>
      </c>
      <c r="B967" s="6" t="s">
        <v>22</v>
      </c>
      <c r="C967" s="6" t="s">
        <v>154</v>
      </c>
      <c r="D967" s="7" t="n">
        <v>0.1552</v>
      </c>
      <c r="E967" s="6" t="str">
        <f aca="false">IF(D967&gt;Settings!$C$4,"Bullish",IF(D967&lt;-Settings!$C$4,"Bearish","Neutral"))</f>
        <v>Bullish</v>
      </c>
      <c r="F967" s="8" t="n">
        <v>0.514</v>
      </c>
      <c r="G967" s="20"/>
      <c r="H967" s="6" t="str">
        <f aca="false">IF(G967="","",IF(G967&gt;0,"Bullish",IF(G967&lt;0,"Bearish","Flat")))</f>
        <v/>
      </c>
      <c r="I967" s="6" t="str">
        <f aca="false">IF(OR(G967="",E967="Neutral"),"",IF(E967=H967,1,0))</f>
        <v/>
      </c>
      <c r="J967" s="6" t="s">
        <v>161</v>
      </c>
    </row>
    <row r="968" customFormat="false" ht="15" hidden="false" customHeight="false" outlineLevel="0" collapsed="false">
      <c r="A968" s="19" t="n">
        <v>46342</v>
      </c>
      <c r="B968" s="6" t="s">
        <v>22</v>
      </c>
      <c r="C968" s="6" t="s">
        <v>149</v>
      </c>
      <c r="D968" s="7" t="n">
        <v>0.5235</v>
      </c>
      <c r="E968" s="6" t="str">
        <f aca="false">IF(D968&gt;Settings!$C$4,"Bullish",IF(D968&lt;-Settings!$C$4,"Bearish","Neutral"))</f>
        <v>Bullish</v>
      </c>
      <c r="F968" s="8" t="n">
        <v>0.496</v>
      </c>
      <c r="G968" s="20"/>
      <c r="H968" s="6" t="str">
        <f aca="false">IF(G968="","",IF(G968&gt;0,"Bullish",IF(G968&lt;0,"Bearish","Flat")))</f>
        <v/>
      </c>
      <c r="I968" s="6" t="str">
        <f aca="false">IF(OR(G968="",E968="Neutral"),"",IF(E968=H968,1,0))</f>
        <v/>
      </c>
      <c r="J968" s="6" t="s">
        <v>161</v>
      </c>
    </row>
    <row r="969" customFormat="false" ht="15" hidden="false" customHeight="false" outlineLevel="0" collapsed="false">
      <c r="A969" s="19" t="n">
        <v>46342</v>
      </c>
      <c r="B969" s="6" t="s">
        <v>52</v>
      </c>
      <c r="C969" s="6" t="s">
        <v>154</v>
      </c>
      <c r="D969" s="7" t="n">
        <v>-0.1001</v>
      </c>
      <c r="E969" s="6" t="str">
        <f aca="false">IF(D969&gt;Settings!$C$4,"Bullish",IF(D969&lt;-Settings!$C$4,"Bearish","Neutral"))</f>
        <v>Neutral</v>
      </c>
      <c r="F969" s="8"/>
      <c r="G969" s="20"/>
      <c r="H969" s="6" t="str">
        <f aca="false">IF(G969="","",IF(G969&gt;0,"Bullish",IF(G969&lt;0,"Bearish","Flat")))</f>
        <v/>
      </c>
      <c r="I969" s="6" t="str">
        <f aca="false">IF(OR(G969="",E969="Neutral"),"",IF(E969=H969,1,0))</f>
        <v/>
      </c>
      <c r="J969" s="6" t="s">
        <v>161</v>
      </c>
    </row>
    <row r="970" customFormat="false" ht="15" hidden="false" customHeight="false" outlineLevel="0" collapsed="false">
      <c r="A970" s="19" t="n">
        <v>46342</v>
      </c>
      <c r="B970" s="6" t="s">
        <v>52</v>
      </c>
      <c r="C970" s="6" t="s">
        <v>149</v>
      </c>
      <c r="D970" s="7" t="n">
        <v>0.2345</v>
      </c>
      <c r="E970" s="6" t="str">
        <f aca="false">IF(D970&gt;Settings!$C$4,"Bullish",IF(D970&lt;-Settings!$C$4,"Bearish","Neutral"))</f>
        <v>Bullish</v>
      </c>
      <c r="F970" s="8" t="n">
        <v>0.509</v>
      </c>
      <c r="G970" s="20"/>
      <c r="H970" s="6" t="str">
        <f aca="false">IF(G970="","",IF(G970&gt;0,"Bullish",IF(G970&lt;0,"Bearish","Flat")))</f>
        <v/>
      </c>
      <c r="I970" s="6" t="str">
        <f aca="false">IF(OR(G970="",E970="Neutral"),"",IF(E970=H970,1,0))</f>
        <v/>
      </c>
      <c r="J970" s="6" t="s">
        <v>161</v>
      </c>
    </row>
    <row r="971" customFormat="false" ht="15" hidden="false" customHeight="false" outlineLevel="0" collapsed="false">
      <c r="A971" s="19" t="n">
        <v>46342</v>
      </c>
      <c r="B971" s="6" t="s">
        <v>30</v>
      </c>
      <c r="C971" s="6" t="s">
        <v>154</v>
      </c>
      <c r="D971" s="7" t="n">
        <v>-0.0263</v>
      </c>
      <c r="E971" s="6" t="str">
        <f aca="false">IF(D971&gt;Settings!$C$4,"Bullish",IF(D971&lt;-Settings!$C$4,"Bearish","Neutral"))</f>
        <v>Neutral</v>
      </c>
      <c r="F971" s="8"/>
      <c r="G971" s="20"/>
      <c r="H971" s="6" t="str">
        <f aca="false">IF(G971="","",IF(G971&gt;0,"Bullish",IF(G971&lt;0,"Bearish","Flat")))</f>
        <v/>
      </c>
      <c r="I971" s="6" t="str">
        <f aca="false">IF(OR(G971="",E971="Neutral"),"",IF(E971=H971,1,0))</f>
        <v/>
      </c>
      <c r="J971" s="6" t="s">
        <v>161</v>
      </c>
    </row>
    <row r="972" customFormat="false" ht="15" hidden="false" customHeight="false" outlineLevel="0" collapsed="false">
      <c r="A972" s="19" t="n">
        <v>46342</v>
      </c>
      <c r="B972" s="6" t="s">
        <v>30</v>
      </c>
      <c r="C972" s="6" t="s">
        <v>149</v>
      </c>
      <c r="D972" s="7" t="n">
        <v>0.5235</v>
      </c>
      <c r="E972" s="6" t="str">
        <f aca="false">IF(D972&gt;Settings!$C$4,"Bullish",IF(D972&lt;-Settings!$C$4,"Bearish","Neutral"))</f>
        <v>Bullish</v>
      </c>
      <c r="F972" s="8" t="n">
        <v>0.467</v>
      </c>
      <c r="G972" s="20"/>
      <c r="H972" s="6" t="str">
        <f aca="false">IF(G972="","",IF(G972&gt;0,"Bullish",IF(G972&lt;0,"Bearish","Flat")))</f>
        <v/>
      </c>
      <c r="I972" s="6" t="str">
        <f aca="false">IF(OR(G972="",E972="Neutral"),"",IF(E972=H972,1,0))</f>
        <v/>
      </c>
      <c r="J972" s="6" t="s">
        <v>161</v>
      </c>
    </row>
    <row r="973" customFormat="false" ht="15" hidden="false" customHeight="false" outlineLevel="0" collapsed="false">
      <c r="A973" s="19" t="n">
        <v>46342</v>
      </c>
      <c r="B973" s="6" t="s">
        <v>50</v>
      </c>
      <c r="C973" s="6" t="s">
        <v>154</v>
      </c>
      <c r="D973" s="7" t="n">
        <v>-0.3196</v>
      </c>
      <c r="E973" s="6" t="str">
        <f aca="false">IF(D973&gt;Settings!$C$4,"Bullish",IF(D973&lt;-Settings!$C$4,"Bearish","Neutral"))</f>
        <v>Bearish</v>
      </c>
      <c r="F973" s="8" t="n">
        <v>0.574</v>
      </c>
      <c r="G973" s="20"/>
      <c r="H973" s="6" t="str">
        <f aca="false">IF(G973="","",IF(G973&gt;0,"Bullish",IF(G973&lt;0,"Bearish","Flat")))</f>
        <v/>
      </c>
      <c r="I973" s="6" t="str">
        <f aca="false">IF(OR(G973="",E973="Neutral"),"",IF(E973=H973,1,0))</f>
        <v/>
      </c>
      <c r="J973" s="6" t="s">
        <v>161</v>
      </c>
    </row>
    <row r="974" customFormat="false" ht="15" hidden="false" customHeight="false" outlineLevel="0" collapsed="false">
      <c r="A974" s="19" t="n">
        <v>46342</v>
      </c>
      <c r="B974" s="6" t="s">
        <v>50</v>
      </c>
      <c r="C974" s="6" t="s">
        <v>149</v>
      </c>
      <c r="D974" s="7" t="n">
        <v>0.6141</v>
      </c>
      <c r="E974" s="6" t="str">
        <f aca="false">IF(D974&gt;Settings!$C$4,"Bullish",IF(D974&lt;-Settings!$C$4,"Bearish","Neutral"))</f>
        <v>Bullish</v>
      </c>
      <c r="F974" s="8" t="n">
        <v>0.442</v>
      </c>
      <c r="G974" s="20"/>
      <c r="H974" s="6" t="str">
        <f aca="false">IF(G974="","",IF(G974&gt;0,"Bullish",IF(G974&lt;0,"Bearish","Flat")))</f>
        <v/>
      </c>
      <c r="I974" s="6" t="str">
        <f aca="false">IF(OR(G974="",E974="Neutral"),"",IF(E974=H974,1,0))</f>
        <v/>
      </c>
      <c r="J974" s="6" t="s">
        <v>161</v>
      </c>
    </row>
    <row r="975" customFormat="false" ht="15" hidden="false" customHeight="false" outlineLevel="0" collapsed="false">
      <c r="A975" s="19" t="n">
        <v>46342</v>
      </c>
      <c r="B975" s="6" t="s">
        <v>34</v>
      </c>
      <c r="C975" s="6" t="s">
        <v>154</v>
      </c>
      <c r="D975" s="7" t="n">
        <v>-0.2846</v>
      </c>
      <c r="E975" s="6" t="str">
        <f aca="false">IF(D975&gt;Settings!$C$4,"Bullish",IF(D975&lt;-Settings!$C$4,"Bearish","Neutral"))</f>
        <v>Bearish</v>
      </c>
      <c r="F975" s="8" t="n">
        <v>0.472</v>
      </c>
      <c r="G975" s="20"/>
      <c r="H975" s="6" t="str">
        <f aca="false">IF(G975="","",IF(G975&gt;0,"Bullish",IF(G975&lt;0,"Bearish","Flat")))</f>
        <v/>
      </c>
      <c r="I975" s="6" t="str">
        <f aca="false">IF(OR(G975="",E975="Neutral"),"",IF(E975=H975,1,0))</f>
        <v/>
      </c>
      <c r="J975" s="6" t="s">
        <v>161</v>
      </c>
    </row>
    <row r="976" customFormat="false" ht="15" hidden="false" customHeight="false" outlineLevel="0" collapsed="false">
      <c r="A976" s="19" t="n">
        <v>46342</v>
      </c>
      <c r="B976" s="6" t="s">
        <v>34</v>
      </c>
      <c r="C976" s="6" t="s">
        <v>149</v>
      </c>
      <c r="D976" s="7" t="n">
        <v>0.1319</v>
      </c>
      <c r="E976" s="6" t="str">
        <f aca="false">IF(D976&gt;Settings!$C$4,"Bullish",IF(D976&lt;-Settings!$C$4,"Bearish","Neutral"))</f>
        <v>Neutral</v>
      </c>
      <c r="F976" s="8"/>
      <c r="G976" s="20"/>
      <c r="H976" s="6" t="str">
        <f aca="false">IF(G976="","",IF(G976&gt;0,"Bullish",IF(G976&lt;0,"Bearish","Flat")))</f>
        <v/>
      </c>
      <c r="I976" s="6" t="str">
        <f aca="false">IF(OR(G976="",E976="Neutral"),"",IF(E976=H976,1,0))</f>
        <v/>
      </c>
      <c r="J976" s="6" t="s">
        <v>161</v>
      </c>
    </row>
    <row r="977" customFormat="false" ht="15" hidden="false" customHeight="false" outlineLevel="0" collapsed="false">
      <c r="A977" s="19" t="n">
        <v>46342</v>
      </c>
      <c r="B977" s="6" t="s">
        <v>35</v>
      </c>
      <c r="C977" s="6" t="s">
        <v>154</v>
      </c>
      <c r="D977" s="7" t="n">
        <v>-0.0547</v>
      </c>
      <c r="E977" s="6" t="str">
        <f aca="false">IF(D977&gt;Settings!$C$4,"Bullish",IF(D977&lt;-Settings!$C$4,"Bearish","Neutral"))</f>
        <v>Neutral</v>
      </c>
      <c r="F977" s="8"/>
      <c r="G977" s="20"/>
      <c r="H977" s="6" t="str">
        <f aca="false">IF(G977="","",IF(G977&gt;0,"Bullish",IF(G977&lt;0,"Bearish","Flat")))</f>
        <v/>
      </c>
      <c r="I977" s="6" t="str">
        <f aca="false">IF(OR(G977="",E977="Neutral"),"",IF(E977=H977,1,0))</f>
        <v/>
      </c>
      <c r="J977" s="6" t="s">
        <v>161</v>
      </c>
    </row>
    <row r="978" customFormat="false" ht="15" hidden="false" customHeight="false" outlineLevel="0" collapsed="false">
      <c r="A978" s="19" t="n">
        <v>46342</v>
      </c>
      <c r="B978" s="6" t="s">
        <v>35</v>
      </c>
      <c r="C978" s="6" t="s">
        <v>149</v>
      </c>
      <c r="D978" s="7" t="n">
        <v>0.1373</v>
      </c>
      <c r="E978" s="6" t="str">
        <f aca="false">IF(D978&gt;Settings!$C$4,"Bullish",IF(D978&lt;-Settings!$C$4,"Bearish","Neutral"))</f>
        <v>Neutral</v>
      </c>
      <c r="F978" s="8"/>
      <c r="G978" s="20"/>
      <c r="H978" s="6" t="str">
        <f aca="false">IF(G978="","",IF(G978&gt;0,"Bullish",IF(G978&lt;0,"Bearish","Flat")))</f>
        <v/>
      </c>
      <c r="I978" s="6" t="str">
        <f aca="false">IF(OR(G978="",E978="Neutral"),"",IF(E978=H978,1,0))</f>
        <v/>
      </c>
      <c r="J978" s="6" t="s">
        <v>161</v>
      </c>
    </row>
    <row r="979" customFormat="false" ht="15" hidden="false" customHeight="false" outlineLevel="0" collapsed="false">
      <c r="A979" s="19" t="n">
        <v>46342</v>
      </c>
      <c r="B979" s="6" t="s">
        <v>37</v>
      </c>
      <c r="C979" s="6" t="s">
        <v>154</v>
      </c>
      <c r="D979" s="7" t="n">
        <v>-0.0253</v>
      </c>
      <c r="E979" s="6" t="str">
        <f aca="false">IF(D979&gt;Settings!$C$4,"Bullish",IF(D979&lt;-Settings!$C$4,"Bearish","Neutral"))</f>
        <v>Neutral</v>
      </c>
      <c r="F979" s="8"/>
      <c r="G979" s="20"/>
      <c r="H979" s="6" t="str">
        <f aca="false">IF(G979="","",IF(G979&gt;0,"Bullish",IF(G979&lt;0,"Bearish","Flat")))</f>
        <v/>
      </c>
      <c r="I979" s="6" t="str">
        <f aca="false">IF(OR(G979="",E979="Neutral"),"",IF(E979=H979,1,0))</f>
        <v/>
      </c>
      <c r="J979" s="6" t="s">
        <v>161</v>
      </c>
    </row>
    <row r="980" customFormat="false" ht="15" hidden="false" customHeight="false" outlineLevel="0" collapsed="false">
      <c r="A980" s="19" t="n">
        <v>46342</v>
      </c>
      <c r="B980" s="6" t="s">
        <v>37</v>
      </c>
      <c r="C980" s="6" t="s">
        <v>149</v>
      </c>
      <c r="D980" s="7" t="n">
        <v>0.3103</v>
      </c>
      <c r="E980" s="6" t="str">
        <f aca="false">IF(D980&gt;Settings!$C$4,"Bullish",IF(D980&lt;-Settings!$C$4,"Bearish","Neutral"))</f>
        <v>Bullish</v>
      </c>
      <c r="F980" s="8" t="n">
        <v>0.509</v>
      </c>
      <c r="G980" s="20"/>
      <c r="H980" s="6" t="str">
        <f aca="false">IF(G980="","",IF(G980&gt;0,"Bullish",IF(G980&lt;0,"Bearish","Flat")))</f>
        <v/>
      </c>
      <c r="I980" s="6" t="str">
        <f aca="false">IF(OR(G980="",E980="Neutral"),"",IF(E980=H980,1,0))</f>
        <v/>
      </c>
      <c r="J980" s="6" t="s">
        <v>161</v>
      </c>
    </row>
    <row r="981" customFormat="false" ht="15" hidden="false" customHeight="false" outlineLevel="0" collapsed="false">
      <c r="A981" s="19" t="n">
        <v>46342</v>
      </c>
      <c r="B981" s="6" t="s">
        <v>38</v>
      </c>
      <c r="C981" s="6" t="s">
        <v>154</v>
      </c>
      <c r="D981" s="7" t="n">
        <v>-0.0914</v>
      </c>
      <c r="E981" s="6" t="str">
        <f aca="false">IF(D981&gt;Settings!$C$4,"Bullish",IF(D981&lt;-Settings!$C$4,"Bearish","Neutral"))</f>
        <v>Neutral</v>
      </c>
      <c r="F981" s="8"/>
      <c r="G981" s="20"/>
      <c r="H981" s="6" t="str">
        <f aca="false">IF(G981="","",IF(G981&gt;0,"Bullish",IF(G981&lt;0,"Bearish","Flat")))</f>
        <v/>
      </c>
      <c r="I981" s="6" t="str">
        <f aca="false">IF(OR(G981="",E981="Neutral"),"",IF(E981=H981,1,0))</f>
        <v/>
      </c>
      <c r="J981" s="6" t="s">
        <v>161</v>
      </c>
    </row>
    <row r="982" customFormat="false" ht="15" hidden="false" customHeight="false" outlineLevel="0" collapsed="false">
      <c r="A982" s="19" t="n">
        <v>46342</v>
      </c>
      <c r="B982" s="6" t="s">
        <v>38</v>
      </c>
      <c r="C982" s="6" t="s">
        <v>149</v>
      </c>
      <c r="D982" s="7" t="n">
        <v>0.281</v>
      </c>
      <c r="E982" s="6" t="str">
        <f aca="false">IF(D982&gt;Settings!$C$4,"Bullish",IF(D982&lt;-Settings!$C$4,"Bearish","Neutral"))</f>
        <v>Bullish</v>
      </c>
      <c r="F982" s="8" t="n">
        <v>0.492</v>
      </c>
      <c r="G982" s="20"/>
      <c r="H982" s="6" t="str">
        <f aca="false">IF(G982="","",IF(G982&gt;0,"Bullish",IF(G982&lt;0,"Bearish","Flat")))</f>
        <v/>
      </c>
      <c r="I982" s="6" t="str">
        <f aca="false">IF(OR(G982="",E982="Neutral"),"",IF(E982=H982,1,0))</f>
        <v/>
      </c>
      <c r="J982" s="6" t="s">
        <v>161</v>
      </c>
    </row>
    <row r="983" customFormat="false" ht="15" hidden="false" customHeight="false" outlineLevel="0" collapsed="false">
      <c r="A983" s="19" t="n">
        <v>46342</v>
      </c>
      <c r="B983" s="6" t="s">
        <v>53</v>
      </c>
      <c r="C983" s="6" t="s">
        <v>154</v>
      </c>
      <c r="D983" s="7" t="n">
        <v>-0.1001</v>
      </c>
      <c r="E983" s="6" t="str">
        <f aca="false">IF(D983&gt;Settings!$C$4,"Bullish",IF(D983&lt;-Settings!$C$4,"Bearish","Neutral"))</f>
        <v>Neutral</v>
      </c>
      <c r="F983" s="8"/>
      <c r="G983" s="20"/>
      <c r="H983" s="6" t="str">
        <f aca="false">IF(G983="","",IF(G983&gt;0,"Bullish",IF(G983&lt;0,"Bearish","Flat")))</f>
        <v/>
      </c>
      <c r="I983" s="6" t="str">
        <f aca="false">IF(OR(G983="",E983="Neutral"),"",IF(E983=H983,1,0))</f>
        <v/>
      </c>
      <c r="J983" s="6" t="s">
        <v>161</v>
      </c>
    </row>
    <row r="984" customFormat="false" ht="15" hidden="false" customHeight="false" outlineLevel="0" collapsed="false">
      <c r="A984" s="19" t="n">
        <v>46342</v>
      </c>
      <c r="B984" s="6" t="s">
        <v>53</v>
      </c>
      <c r="C984" s="6" t="s">
        <v>149</v>
      </c>
      <c r="D984" s="7" t="n">
        <v>-0.0363</v>
      </c>
      <c r="E984" s="6" t="str">
        <f aca="false">IF(D984&gt;Settings!$C$4,"Bullish",IF(D984&lt;-Settings!$C$4,"Bearish","Neutral"))</f>
        <v>Neutral</v>
      </c>
      <c r="F984" s="8"/>
      <c r="G984" s="20"/>
      <c r="H984" s="6" t="str">
        <f aca="false">IF(G984="","",IF(G984&gt;0,"Bullish",IF(G984&lt;0,"Bearish","Flat")))</f>
        <v/>
      </c>
      <c r="I984" s="6" t="str">
        <f aca="false">IF(OR(G984="",E984="Neutral"),"",IF(E984=H984,1,0))</f>
        <v/>
      </c>
      <c r="J984" s="6" t="s">
        <v>161</v>
      </c>
    </row>
    <row r="985" customFormat="false" ht="15" hidden="false" customHeight="false" outlineLevel="0" collapsed="false">
      <c r="A985" s="19" t="n">
        <v>46342</v>
      </c>
      <c r="B985" s="6" t="s">
        <v>18</v>
      </c>
      <c r="C985" s="6" t="s">
        <v>154</v>
      </c>
      <c r="D985" s="7" t="n">
        <v>-0.0013</v>
      </c>
      <c r="E985" s="6" t="str">
        <f aca="false">IF(D985&gt;Settings!$C$4,"Bullish",IF(D985&lt;-Settings!$C$4,"Bearish","Neutral"))</f>
        <v>Neutral</v>
      </c>
      <c r="F985" s="8"/>
      <c r="G985" s="20"/>
      <c r="H985" s="6" t="str">
        <f aca="false">IF(G985="","",IF(G985&gt;0,"Bullish",IF(G985&lt;0,"Bearish","Flat")))</f>
        <v/>
      </c>
      <c r="I985" s="6" t="str">
        <f aca="false">IF(OR(G985="",E985="Neutral"),"",IF(E985=H985,1,0))</f>
        <v/>
      </c>
      <c r="J985" s="6" t="s">
        <v>161</v>
      </c>
    </row>
    <row r="986" customFormat="false" ht="15" hidden="false" customHeight="false" outlineLevel="0" collapsed="false">
      <c r="A986" s="19" t="n">
        <v>46342</v>
      </c>
      <c r="B986" s="6" t="s">
        <v>18</v>
      </c>
      <c r="C986" s="6" t="s">
        <v>149</v>
      </c>
      <c r="D986" s="7" t="n">
        <v>0.5431</v>
      </c>
      <c r="E986" s="6" t="str">
        <f aca="false">IF(D986&gt;Settings!$C$4,"Bullish",IF(D986&lt;-Settings!$C$4,"Bearish","Neutral"))</f>
        <v>Bullish</v>
      </c>
      <c r="F986" s="8" t="n">
        <v>0.476</v>
      </c>
      <c r="G986" s="20"/>
      <c r="H986" s="6" t="str">
        <f aca="false">IF(G986="","",IF(G986&gt;0,"Bullish",IF(G986&lt;0,"Bearish","Flat")))</f>
        <v/>
      </c>
      <c r="I986" s="6" t="str">
        <f aca="false">IF(OR(G986="",E986="Neutral"),"",IF(E986=H986,1,0))</f>
        <v/>
      </c>
      <c r="J986" s="6" t="s">
        <v>161</v>
      </c>
    </row>
    <row r="987" customFormat="false" ht="15" hidden="false" customHeight="false" outlineLevel="0" collapsed="false">
      <c r="A987" s="19" t="n">
        <v>46342</v>
      </c>
      <c r="B987" s="6" t="s">
        <v>40</v>
      </c>
      <c r="C987" s="6" t="s">
        <v>154</v>
      </c>
      <c r="D987" s="7" t="n">
        <v>-0.1305</v>
      </c>
      <c r="E987" s="6" t="str">
        <f aca="false">IF(D987&gt;Settings!$C$4,"Bullish",IF(D987&lt;-Settings!$C$4,"Bearish","Neutral"))</f>
        <v>Neutral</v>
      </c>
      <c r="F987" s="8"/>
      <c r="G987" s="20"/>
      <c r="H987" s="6" t="str">
        <f aca="false">IF(G987="","",IF(G987&gt;0,"Bullish",IF(G987&lt;0,"Bearish","Flat")))</f>
        <v/>
      </c>
      <c r="I987" s="6" t="str">
        <f aca="false">IF(OR(G987="",E987="Neutral"),"",IF(E987=H987,1,0))</f>
        <v/>
      </c>
      <c r="J987" s="6" t="s">
        <v>161</v>
      </c>
    </row>
    <row r="988" customFormat="false" ht="15" hidden="false" customHeight="false" outlineLevel="0" collapsed="false">
      <c r="A988" s="19" t="n">
        <v>46342</v>
      </c>
      <c r="B988" s="6" t="s">
        <v>40</v>
      </c>
      <c r="C988" s="6" t="s">
        <v>149</v>
      </c>
      <c r="D988" s="7" t="n">
        <v>0.0681</v>
      </c>
      <c r="E988" s="6" t="str">
        <f aca="false">IF(D988&gt;Settings!$C$4,"Bullish",IF(D988&lt;-Settings!$C$4,"Bearish","Neutral"))</f>
        <v>Neutral</v>
      </c>
      <c r="F988" s="8"/>
      <c r="G988" s="20"/>
      <c r="H988" s="6" t="str">
        <f aca="false">IF(G988="","",IF(G988&gt;0,"Bullish",IF(G988&lt;0,"Bearish","Flat")))</f>
        <v/>
      </c>
      <c r="I988" s="6" t="str">
        <f aca="false">IF(OR(G988="",E988="Neutral"),"",IF(E988=H988,1,0))</f>
        <v/>
      </c>
      <c r="J988" s="6" t="s">
        <v>161</v>
      </c>
    </row>
    <row r="989" customFormat="false" ht="15" hidden="false" customHeight="false" outlineLevel="0" collapsed="false">
      <c r="A989" s="19" t="n">
        <v>46342</v>
      </c>
      <c r="B989" s="6" t="s">
        <v>49</v>
      </c>
      <c r="C989" s="6" t="s">
        <v>154</v>
      </c>
      <c r="D989" s="7" t="n">
        <v>0</v>
      </c>
      <c r="E989" s="6" t="str">
        <f aca="false">IF(D989&gt;Settings!$C$4,"Bullish",IF(D989&lt;-Settings!$C$4,"Bearish","Neutral"))</f>
        <v>Neutral</v>
      </c>
      <c r="F989" s="8"/>
      <c r="G989" s="20"/>
      <c r="H989" s="6" t="str">
        <f aca="false">IF(G989="","",IF(G989&gt;0,"Bullish",IF(G989&lt;0,"Bearish","Flat")))</f>
        <v/>
      </c>
      <c r="I989" s="6" t="str">
        <f aca="false">IF(OR(G989="",E989="Neutral"),"",IF(E989=H989,1,0))</f>
        <v/>
      </c>
      <c r="J989" s="6" t="s">
        <v>161</v>
      </c>
    </row>
    <row r="990" customFormat="false" ht="15" hidden="false" customHeight="false" outlineLevel="0" collapsed="false">
      <c r="A990" s="19" t="n">
        <v>46342</v>
      </c>
      <c r="B990" s="6" t="s">
        <v>49</v>
      </c>
      <c r="C990" s="6" t="s">
        <v>149</v>
      </c>
      <c r="D990" s="7" t="n">
        <v>0.2971</v>
      </c>
      <c r="E990" s="6" t="str">
        <f aca="false">IF(D990&gt;Settings!$C$4,"Bullish",IF(D990&lt;-Settings!$C$4,"Bearish","Neutral"))</f>
        <v>Bullish</v>
      </c>
      <c r="F990" s="8" t="n">
        <v>0.523</v>
      </c>
      <c r="G990" s="20"/>
      <c r="H990" s="6" t="str">
        <f aca="false">IF(G990="","",IF(G990&gt;0,"Bullish",IF(G990&lt;0,"Bearish","Flat")))</f>
        <v/>
      </c>
      <c r="I990" s="6" t="str">
        <f aca="false">IF(OR(G990="",E990="Neutral"),"",IF(E990=H990,1,0))</f>
        <v/>
      </c>
      <c r="J990" s="6" t="s">
        <v>161</v>
      </c>
    </row>
    <row r="991" customFormat="false" ht="15" hidden="false" customHeight="false" outlineLevel="0" collapsed="false">
      <c r="A991" s="19" t="n">
        <v>46342</v>
      </c>
      <c r="B991" s="6" t="s">
        <v>43</v>
      </c>
      <c r="C991" s="6" t="s">
        <v>154</v>
      </c>
      <c r="D991" s="7" t="n">
        <v>-0.2846</v>
      </c>
      <c r="E991" s="6" t="str">
        <f aca="false">IF(D991&gt;Settings!$C$4,"Bullish",IF(D991&lt;-Settings!$C$4,"Bearish","Neutral"))</f>
        <v>Bearish</v>
      </c>
      <c r="F991" s="8" t="n">
        <v>0.468</v>
      </c>
      <c r="G991" s="20"/>
      <c r="H991" s="6" t="str">
        <f aca="false">IF(G991="","",IF(G991&gt;0,"Bullish",IF(G991&lt;0,"Bearish","Flat")))</f>
        <v/>
      </c>
      <c r="I991" s="6" t="str">
        <f aca="false">IF(OR(G991="",E991="Neutral"),"",IF(E991=H991,1,0))</f>
        <v/>
      </c>
      <c r="J991" s="6" t="s">
        <v>161</v>
      </c>
    </row>
    <row r="992" customFormat="false" ht="15" hidden="false" customHeight="false" outlineLevel="0" collapsed="false">
      <c r="A992" s="19" t="n">
        <v>46342</v>
      </c>
      <c r="B992" s="6" t="s">
        <v>43</v>
      </c>
      <c r="C992" s="6" t="s">
        <v>149</v>
      </c>
      <c r="D992" s="7" t="n">
        <v>-0.1665</v>
      </c>
      <c r="E992" s="6" t="str">
        <f aca="false">IF(D992&gt;Settings!$C$4,"Bullish",IF(D992&lt;-Settings!$C$4,"Bearish","Neutral"))</f>
        <v>Bearish</v>
      </c>
      <c r="F992" s="8" t="n">
        <v>0.485</v>
      </c>
      <c r="G992" s="20"/>
      <c r="H992" s="6" t="str">
        <f aca="false">IF(G992="","",IF(G992&gt;0,"Bullish",IF(G992&lt;0,"Bearish","Flat")))</f>
        <v/>
      </c>
      <c r="I992" s="6" t="str">
        <f aca="false">IF(OR(G992="",E992="Neutral"),"",IF(E992=H992,1,0))</f>
        <v/>
      </c>
      <c r="J992" s="6" t="s">
        <v>161</v>
      </c>
    </row>
    <row r="993" customFormat="false" ht="15" hidden="false" customHeight="false" outlineLevel="0" collapsed="false">
      <c r="A993" s="19" t="n">
        <v>46342</v>
      </c>
      <c r="B993" s="6" t="s">
        <v>51</v>
      </c>
      <c r="C993" s="6" t="s">
        <v>154</v>
      </c>
      <c r="D993" s="7" t="n">
        <v>0.0606</v>
      </c>
      <c r="E993" s="6" t="str">
        <f aca="false">IF(D993&gt;Settings!$C$4,"Bullish",IF(D993&lt;-Settings!$C$4,"Bearish","Neutral"))</f>
        <v>Neutral</v>
      </c>
      <c r="F993" s="8"/>
      <c r="G993" s="20"/>
      <c r="H993" s="6" t="str">
        <f aca="false">IF(G993="","",IF(G993&gt;0,"Bullish",IF(G993&lt;0,"Bearish","Flat")))</f>
        <v/>
      </c>
      <c r="I993" s="6" t="str">
        <f aca="false">IF(OR(G993="",E993="Neutral"),"",IF(E993=H993,1,0))</f>
        <v/>
      </c>
      <c r="J993" s="6" t="s">
        <v>161</v>
      </c>
    </row>
    <row r="994" customFormat="false" ht="15" hidden="false" customHeight="false" outlineLevel="0" collapsed="false">
      <c r="A994" s="19" t="n">
        <v>46342</v>
      </c>
      <c r="B994" s="6" t="s">
        <v>51</v>
      </c>
      <c r="C994" s="6" t="s">
        <v>149</v>
      </c>
      <c r="D994" s="7" t="n">
        <v>-0.0061</v>
      </c>
      <c r="E994" s="6" t="str">
        <f aca="false">IF(D994&gt;Settings!$C$4,"Bullish",IF(D994&lt;-Settings!$C$4,"Bearish","Neutral"))</f>
        <v>Neutral</v>
      </c>
      <c r="F994" s="8"/>
      <c r="G994" s="20"/>
      <c r="H994" s="6" t="str">
        <f aca="false">IF(G994="","",IF(G994&gt;0,"Bullish",IF(G994&lt;0,"Bearish","Flat")))</f>
        <v/>
      </c>
      <c r="I994" s="6" t="str">
        <f aca="false">IF(OR(G994="",E994="Neutral"),"",IF(E994=H994,1,0))</f>
        <v/>
      </c>
      <c r="J994" s="6" t="s">
        <v>161</v>
      </c>
    </row>
    <row r="995" customFormat="false" ht="15" hidden="false" customHeight="false" outlineLevel="0" collapsed="false">
      <c r="A995" s="19" t="n">
        <v>46343</v>
      </c>
      <c r="B995" s="6" t="s">
        <v>20</v>
      </c>
      <c r="C995" s="6" t="s">
        <v>154</v>
      </c>
      <c r="D995" s="7" t="n">
        <v>-0.5865</v>
      </c>
      <c r="E995" s="6" t="str">
        <f aca="false">IF(D995&gt;Settings!$C$4,"Bullish",IF(D995&lt;-Settings!$C$4,"Bearish","Neutral"))</f>
        <v>Bearish</v>
      </c>
      <c r="F995" s="8" t="n">
        <v>0.523</v>
      </c>
      <c r="G995" s="20"/>
      <c r="H995" s="6" t="str">
        <f aca="false">IF(G995="","",IF(G995&gt;0,"Bullish",IF(G995&lt;0,"Bearish","Flat")))</f>
        <v/>
      </c>
      <c r="I995" s="6" t="str">
        <f aca="false">IF(OR(G995="",E995="Neutral"),"",IF(E995=H995,1,0))</f>
        <v/>
      </c>
      <c r="J995" s="6" t="s">
        <v>161</v>
      </c>
    </row>
    <row r="996" customFormat="false" ht="15" hidden="false" customHeight="false" outlineLevel="0" collapsed="false">
      <c r="A996" s="19" t="n">
        <v>46343</v>
      </c>
      <c r="B996" s="6" t="s">
        <v>20</v>
      </c>
      <c r="C996" s="6" t="s">
        <v>149</v>
      </c>
      <c r="D996" s="7" t="n">
        <v>0.0846</v>
      </c>
      <c r="E996" s="6" t="str">
        <f aca="false">IF(D996&gt;Settings!$C$4,"Bullish",IF(D996&lt;-Settings!$C$4,"Bearish","Neutral"))</f>
        <v>Neutral</v>
      </c>
      <c r="F996" s="8"/>
      <c r="G996" s="20"/>
      <c r="H996" s="6" t="str">
        <f aca="false">IF(G996="","",IF(G996&gt;0,"Bullish",IF(G996&lt;0,"Bearish","Flat")))</f>
        <v/>
      </c>
      <c r="I996" s="6" t="str">
        <f aca="false">IF(OR(G996="",E996="Neutral"),"",IF(E996=H996,1,0))</f>
        <v/>
      </c>
      <c r="J996" s="6" t="s">
        <v>161</v>
      </c>
    </row>
    <row r="997" customFormat="false" ht="15" hidden="false" customHeight="false" outlineLevel="0" collapsed="false">
      <c r="A997" s="19" t="n">
        <v>46343</v>
      </c>
      <c r="B997" s="6" t="s">
        <v>22</v>
      </c>
      <c r="C997" s="6" t="s">
        <v>154</v>
      </c>
      <c r="D997" s="7" t="n">
        <v>-0.1415</v>
      </c>
      <c r="E997" s="6" t="str">
        <f aca="false">IF(D997&gt;Settings!$C$4,"Bullish",IF(D997&lt;-Settings!$C$4,"Bearish","Neutral"))</f>
        <v>Neutral</v>
      </c>
      <c r="F997" s="8"/>
      <c r="G997" s="20"/>
      <c r="H997" s="6" t="str">
        <f aca="false">IF(G997="","",IF(G997&gt;0,"Bullish",IF(G997&lt;0,"Bearish","Flat")))</f>
        <v/>
      </c>
      <c r="I997" s="6" t="str">
        <f aca="false">IF(OR(G997="",E997="Neutral"),"",IF(E997=H997,1,0))</f>
        <v/>
      </c>
      <c r="J997" s="6" t="s">
        <v>161</v>
      </c>
    </row>
    <row r="998" customFormat="false" ht="15" hidden="false" customHeight="false" outlineLevel="0" collapsed="false">
      <c r="A998" s="19" t="n">
        <v>46343</v>
      </c>
      <c r="B998" s="6" t="s">
        <v>22</v>
      </c>
      <c r="C998" s="6" t="s">
        <v>149</v>
      </c>
      <c r="D998" s="7" t="n">
        <v>0.5132</v>
      </c>
      <c r="E998" s="6" t="str">
        <f aca="false">IF(D998&gt;Settings!$C$4,"Bullish",IF(D998&lt;-Settings!$C$4,"Bearish","Neutral"))</f>
        <v>Bullish</v>
      </c>
      <c r="F998" s="8" t="n">
        <v>0.496</v>
      </c>
      <c r="G998" s="20"/>
      <c r="H998" s="6" t="str">
        <f aca="false">IF(G998="","",IF(G998&gt;0,"Bullish",IF(G998&lt;0,"Bearish","Flat")))</f>
        <v/>
      </c>
      <c r="I998" s="6" t="str">
        <f aca="false">IF(OR(G998="",E998="Neutral"),"",IF(E998=H998,1,0))</f>
        <v/>
      </c>
      <c r="J998" s="6" t="s">
        <v>161</v>
      </c>
    </row>
    <row r="999" customFormat="false" ht="15" hidden="false" customHeight="false" outlineLevel="0" collapsed="false">
      <c r="A999" s="19" t="n">
        <v>46343</v>
      </c>
      <c r="B999" s="6" t="s">
        <v>52</v>
      </c>
      <c r="C999" s="6" t="s">
        <v>154</v>
      </c>
      <c r="D999" s="7" t="n">
        <v>-0.4104</v>
      </c>
      <c r="E999" s="6" t="str">
        <f aca="false">IF(D999&gt;Settings!$C$4,"Bullish",IF(D999&lt;-Settings!$C$4,"Bearish","Neutral"))</f>
        <v>Bearish</v>
      </c>
      <c r="F999" s="8" t="n">
        <v>0.505</v>
      </c>
      <c r="G999" s="20"/>
      <c r="H999" s="6" t="str">
        <f aca="false">IF(G999="","",IF(G999&gt;0,"Bullish",IF(G999&lt;0,"Bearish","Flat")))</f>
        <v/>
      </c>
      <c r="I999" s="6" t="str">
        <f aca="false">IF(OR(G999="",E999="Neutral"),"",IF(E999=H999,1,0))</f>
        <v/>
      </c>
      <c r="J999" s="6" t="s">
        <v>161</v>
      </c>
    </row>
    <row r="1000" customFormat="false" ht="15" hidden="false" customHeight="false" outlineLevel="0" collapsed="false">
      <c r="A1000" s="19" t="n">
        <v>46343</v>
      </c>
      <c r="B1000" s="6" t="s">
        <v>52</v>
      </c>
      <c r="C1000" s="6" t="s">
        <v>149</v>
      </c>
      <c r="D1000" s="7" t="n">
        <v>0.2905</v>
      </c>
      <c r="E1000" s="6" t="str">
        <f aca="false">IF(D1000&gt;Settings!$C$4,"Bullish",IF(D1000&lt;-Settings!$C$4,"Bearish","Neutral"))</f>
        <v>Bullish</v>
      </c>
      <c r="F1000" s="8" t="n">
        <v>0.509</v>
      </c>
      <c r="G1000" s="20"/>
      <c r="H1000" s="6" t="str">
        <f aca="false">IF(G1000="","",IF(G1000&gt;0,"Bullish",IF(G1000&lt;0,"Bearish","Flat")))</f>
        <v/>
      </c>
      <c r="I1000" s="6" t="str">
        <f aca="false">IF(OR(G1000="",E1000="Neutral"),"",IF(E1000=H1000,1,0))</f>
        <v/>
      </c>
      <c r="J1000" s="6" t="s">
        <v>161</v>
      </c>
    </row>
    <row r="1001" customFormat="false" ht="15" hidden="false" customHeight="false" outlineLevel="0" collapsed="false">
      <c r="A1001" s="19" t="n">
        <v>46343</v>
      </c>
      <c r="B1001" s="6" t="s">
        <v>30</v>
      </c>
      <c r="C1001" s="6" t="s">
        <v>154</v>
      </c>
      <c r="D1001" s="7" t="n">
        <v>-0.1415</v>
      </c>
      <c r="E1001" s="6" t="str">
        <f aca="false">IF(D1001&gt;Settings!$C$4,"Bullish",IF(D1001&lt;-Settings!$C$4,"Bearish","Neutral"))</f>
        <v>Neutral</v>
      </c>
      <c r="F1001" s="8"/>
      <c r="G1001" s="20"/>
      <c r="H1001" s="6" t="str">
        <f aca="false">IF(G1001="","",IF(G1001&gt;0,"Bullish",IF(G1001&lt;0,"Bearish","Flat")))</f>
        <v/>
      </c>
      <c r="I1001" s="6" t="str">
        <f aca="false">IF(OR(G1001="",E1001="Neutral"),"",IF(E1001=H1001,1,0))</f>
        <v/>
      </c>
      <c r="J1001" s="6" t="s">
        <v>161</v>
      </c>
    </row>
    <row r="1002" customFormat="false" ht="15" hidden="false" customHeight="false" outlineLevel="0" collapsed="false">
      <c r="A1002" s="19" t="n">
        <v>46343</v>
      </c>
      <c r="B1002" s="6" t="s">
        <v>30</v>
      </c>
      <c r="C1002" s="6" t="s">
        <v>149</v>
      </c>
      <c r="D1002" s="7" t="n">
        <v>0.5132</v>
      </c>
      <c r="E1002" s="6" t="str">
        <f aca="false">IF(D1002&gt;Settings!$C$4,"Bullish",IF(D1002&lt;-Settings!$C$4,"Bearish","Neutral"))</f>
        <v>Bullish</v>
      </c>
      <c r="F1002" s="8" t="n">
        <v>0.467</v>
      </c>
      <c r="G1002" s="20"/>
      <c r="H1002" s="6" t="str">
        <f aca="false">IF(G1002="","",IF(G1002&gt;0,"Bullish",IF(G1002&lt;0,"Bearish","Flat")))</f>
        <v/>
      </c>
      <c r="I1002" s="6" t="str">
        <f aca="false">IF(OR(G1002="",E1002="Neutral"),"",IF(E1002=H1002,1,0))</f>
        <v/>
      </c>
      <c r="J1002" s="6" t="s">
        <v>161</v>
      </c>
    </row>
    <row r="1003" customFormat="false" ht="15" hidden="false" customHeight="false" outlineLevel="0" collapsed="false">
      <c r="A1003" s="19" t="n">
        <v>46343</v>
      </c>
      <c r="B1003" s="6" t="s">
        <v>50</v>
      </c>
      <c r="C1003" s="6" t="s">
        <v>154</v>
      </c>
      <c r="D1003" s="7" t="n">
        <v>-0.2483</v>
      </c>
      <c r="E1003" s="6" t="str">
        <f aca="false">IF(D1003&gt;Settings!$C$4,"Bullish",IF(D1003&lt;-Settings!$C$4,"Bearish","Neutral"))</f>
        <v>Bearish</v>
      </c>
      <c r="F1003" s="8" t="n">
        <v>0.505</v>
      </c>
      <c r="G1003" s="20"/>
      <c r="H1003" s="6" t="str">
        <f aca="false">IF(G1003="","",IF(G1003&gt;0,"Bullish",IF(G1003&lt;0,"Bearish","Flat")))</f>
        <v/>
      </c>
      <c r="I1003" s="6" t="str">
        <f aca="false">IF(OR(G1003="",E1003="Neutral"),"",IF(E1003=H1003,1,0))</f>
        <v/>
      </c>
      <c r="J1003" s="6" t="s">
        <v>161</v>
      </c>
    </row>
    <row r="1004" customFormat="false" ht="15" hidden="false" customHeight="false" outlineLevel="0" collapsed="false">
      <c r="A1004" s="19" t="n">
        <v>46343</v>
      </c>
      <c r="B1004" s="6" t="s">
        <v>50</v>
      </c>
      <c r="C1004" s="6" t="s">
        <v>149</v>
      </c>
      <c r="D1004" s="7" t="n">
        <v>0.6131</v>
      </c>
      <c r="E1004" s="6" t="str">
        <f aca="false">IF(D1004&gt;Settings!$C$4,"Bullish",IF(D1004&lt;-Settings!$C$4,"Bearish","Neutral"))</f>
        <v>Bullish</v>
      </c>
      <c r="F1004" s="8" t="n">
        <v>0.442</v>
      </c>
      <c r="G1004" s="20"/>
      <c r="H1004" s="6" t="str">
        <f aca="false">IF(G1004="","",IF(G1004&gt;0,"Bullish",IF(G1004&lt;0,"Bearish","Flat")))</f>
        <v/>
      </c>
      <c r="I1004" s="6" t="str">
        <f aca="false">IF(OR(G1004="",E1004="Neutral"),"",IF(E1004=H1004,1,0))</f>
        <v/>
      </c>
      <c r="J1004" s="6" t="s">
        <v>161</v>
      </c>
    </row>
    <row r="1005" customFormat="false" ht="15" hidden="false" customHeight="false" outlineLevel="0" collapsed="false">
      <c r="A1005" s="19" t="n">
        <v>46343</v>
      </c>
      <c r="B1005" s="6" t="s">
        <v>34</v>
      </c>
      <c r="C1005" s="6" t="s">
        <v>154</v>
      </c>
      <c r="D1005" s="7" t="n">
        <v>-0.5566</v>
      </c>
      <c r="E1005" s="6" t="str">
        <f aca="false">IF(D1005&gt;Settings!$C$4,"Bullish",IF(D1005&lt;-Settings!$C$4,"Bearish","Neutral"))</f>
        <v>Bearish</v>
      </c>
      <c r="F1005" s="8" t="n">
        <v>0.489</v>
      </c>
      <c r="G1005" s="20"/>
      <c r="H1005" s="6" t="str">
        <f aca="false">IF(G1005="","",IF(G1005&gt;0,"Bullish",IF(G1005&lt;0,"Bearish","Flat")))</f>
        <v/>
      </c>
      <c r="I1005" s="6" t="str">
        <f aca="false">IF(OR(G1005="",E1005="Neutral"),"",IF(E1005=H1005,1,0))</f>
        <v/>
      </c>
      <c r="J1005" s="6" t="s">
        <v>161</v>
      </c>
    </row>
    <row r="1006" customFormat="false" ht="15" hidden="false" customHeight="false" outlineLevel="0" collapsed="false">
      <c r="A1006" s="19" t="n">
        <v>46343</v>
      </c>
      <c r="B1006" s="6" t="s">
        <v>34</v>
      </c>
      <c r="C1006" s="6" t="s">
        <v>149</v>
      </c>
      <c r="D1006" s="7" t="n">
        <v>0.1303</v>
      </c>
      <c r="E1006" s="6" t="str">
        <f aca="false">IF(D1006&gt;Settings!$C$4,"Bullish",IF(D1006&lt;-Settings!$C$4,"Bearish","Neutral"))</f>
        <v>Neutral</v>
      </c>
      <c r="F1006" s="8"/>
      <c r="G1006" s="20"/>
      <c r="H1006" s="6" t="str">
        <f aca="false">IF(G1006="","",IF(G1006&gt;0,"Bullish",IF(G1006&lt;0,"Bearish","Flat")))</f>
        <v/>
      </c>
      <c r="I1006" s="6" t="str">
        <f aca="false">IF(OR(G1006="",E1006="Neutral"),"",IF(E1006=H1006,1,0))</f>
        <v/>
      </c>
      <c r="J1006" s="6" t="s">
        <v>161</v>
      </c>
    </row>
    <row r="1007" customFormat="false" ht="15" hidden="false" customHeight="false" outlineLevel="0" collapsed="false">
      <c r="A1007" s="19" t="n">
        <v>46343</v>
      </c>
      <c r="B1007" s="6" t="s">
        <v>35</v>
      </c>
      <c r="C1007" s="6" t="s">
        <v>154</v>
      </c>
      <c r="D1007" s="7" t="n">
        <v>-0.1092</v>
      </c>
      <c r="E1007" s="6" t="str">
        <f aca="false">IF(D1007&gt;Settings!$C$4,"Bullish",IF(D1007&lt;-Settings!$C$4,"Bearish","Neutral"))</f>
        <v>Neutral</v>
      </c>
      <c r="F1007" s="8"/>
      <c r="G1007" s="20"/>
      <c r="H1007" s="6" t="str">
        <f aca="false">IF(G1007="","",IF(G1007&gt;0,"Bullish",IF(G1007&lt;0,"Bearish","Flat")))</f>
        <v/>
      </c>
      <c r="I1007" s="6" t="str">
        <f aca="false">IF(OR(G1007="",E1007="Neutral"),"",IF(E1007=H1007,1,0))</f>
        <v/>
      </c>
      <c r="J1007" s="6" t="s">
        <v>161</v>
      </c>
    </row>
    <row r="1008" customFormat="false" ht="15" hidden="false" customHeight="false" outlineLevel="0" collapsed="false">
      <c r="A1008" s="19" t="n">
        <v>46343</v>
      </c>
      <c r="B1008" s="6" t="s">
        <v>35</v>
      </c>
      <c r="C1008" s="6" t="s">
        <v>149</v>
      </c>
      <c r="D1008" s="7" t="n">
        <v>0.1101</v>
      </c>
      <c r="E1008" s="6" t="str">
        <f aca="false">IF(D1008&gt;Settings!$C$4,"Bullish",IF(D1008&lt;-Settings!$C$4,"Bearish","Neutral"))</f>
        <v>Neutral</v>
      </c>
      <c r="F1008" s="8"/>
      <c r="G1008" s="20"/>
      <c r="H1008" s="6" t="str">
        <f aca="false">IF(G1008="","",IF(G1008&gt;0,"Bullish",IF(G1008&lt;0,"Bearish","Flat")))</f>
        <v/>
      </c>
      <c r="I1008" s="6" t="str">
        <f aca="false">IF(OR(G1008="",E1008="Neutral"),"",IF(E1008=H1008,1,0))</f>
        <v/>
      </c>
      <c r="J1008" s="6" t="s">
        <v>161</v>
      </c>
    </row>
    <row r="1009" customFormat="false" ht="15" hidden="false" customHeight="false" outlineLevel="0" collapsed="false">
      <c r="A1009" s="19" t="n">
        <v>46343</v>
      </c>
      <c r="B1009" s="6" t="s">
        <v>37</v>
      </c>
      <c r="C1009" s="6" t="s">
        <v>154</v>
      </c>
      <c r="D1009" s="7" t="n">
        <v>-0.0632</v>
      </c>
      <c r="E1009" s="6" t="str">
        <f aca="false">IF(D1009&gt;Settings!$C$4,"Bullish",IF(D1009&lt;-Settings!$C$4,"Bearish","Neutral"))</f>
        <v>Neutral</v>
      </c>
      <c r="F1009" s="8"/>
      <c r="G1009" s="20"/>
      <c r="H1009" s="6" t="str">
        <f aca="false">IF(G1009="","",IF(G1009&gt;0,"Bullish",IF(G1009&lt;0,"Bearish","Flat")))</f>
        <v/>
      </c>
      <c r="I1009" s="6" t="str">
        <f aca="false">IF(OR(G1009="",E1009="Neutral"),"",IF(E1009=H1009,1,0))</f>
        <v/>
      </c>
      <c r="J1009" s="6" t="s">
        <v>161</v>
      </c>
    </row>
    <row r="1010" customFormat="false" ht="15" hidden="false" customHeight="false" outlineLevel="0" collapsed="false">
      <c r="A1010" s="19" t="n">
        <v>46343</v>
      </c>
      <c r="B1010" s="6" t="s">
        <v>37</v>
      </c>
      <c r="C1010" s="6" t="s">
        <v>149</v>
      </c>
      <c r="D1010" s="7" t="n">
        <v>0.3418</v>
      </c>
      <c r="E1010" s="6" t="str">
        <f aca="false">IF(D1010&gt;Settings!$C$4,"Bullish",IF(D1010&lt;-Settings!$C$4,"Bearish","Neutral"))</f>
        <v>Bullish</v>
      </c>
      <c r="F1010" s="8" t="n">
        <v>0.509</v>
      </c>
      <c r="G1010" s="20"/>
      <c r="H1010" s="6" t="str">
        <f aca="false">IF(G1010="","",IF(G1010&gt;0,"Bullish",IF(G1010&lt;0,"Bearish","Flat")))</f>
        <v/>
      </c>
      <c r="I1010" s="6" t="str">
        <f aca="false">IF(OR(G1010="",E1010="Neutral"),"",IF(E1010=H1010,1,0))</f>
        <v/>
      </c>
      <c r="J1010" s="6" t="s">
        <v>161</v>
      </c>
    </row>
    <row r="1011" customFormat="false" ht="15" hidden="false" customHeight="false" outlineLevel="0" collapsed="false">
      <c r="A1011" s="19" t="n">
        <v>46343</v>
      </c>
      <c r="B1011" s="6" t="s">
        <v>38</v>
      </c>
      <c r="C1011" s="6" t="s">
        <v>154</v>
      </c>
      <c r="D1011" s="7" t="n">
        <v>-0.4959</v>
      </c>
      <c r="E1011" s="6" t="str">
        <f aca="false">IF(D1011&gt;Settings!$C$4,"Bullish",IF(D1011&lt;-Settings!$C$4,"Bearish","Neutral"))</f>
        <v>Bearish</v>
      </c>
      <c r="F1011" s="8" t="n">
        <v>0.521</v>
      </c>
      <c r="G1011" s="20"/>
      <c r="H1011" s="6" t="str">
        <f aca="false">IF(G1011="","",IF(G1011&gt;0,"Bullish",IF(G1011&lt;0,"Bearish","Flat")))</f>
        <v/>
      </c>
      <c r="I1011" s="6" t="str">
        <f aca="false">IF(OR(G1011="",E1011="Neutral"),"",IF(E1011=H1011,1,0))</f>
        <v/>
      </c>
      <c r="J1011" s="6" t="s">
        <v>161</v>
      </c>
    </row>
    <row r="1012" customFormat="false" ht="15" hidden="false" customHeight="false" outlineLevel="0" collapsed="false">
      <c r="A1012" s="19" t="n">
        <v>46343</v>
      </c>
      <c r="B1012" s="6" t="s">
        <v>38</v>
      </c>
      <c r="C1012" s="6" t="s">
        <v>149</v>
      </c>
      <c r="D1012" s="7" t="n">
        <v>0.3177</v>
      </c>
      <c r="E1012" s="6" t="str">
        <f aca="false">IF(D1012&gt;Settings!$C$4,"Bullish",IF(D1012&lt;-Settings!$C$4,"Bearish","Neutral"))</f>
        <v>Bullish</v>
      </c>
      <c r="F1012" s="8" t="n">
        <v>0.529</v>
      </c>
      <c r="G1012" s="20"/>
      <c r="H1012" s="6" t="str">
        <f aca="false">IF(G1012="","",IF(G1012&gt;0,"Bullish",IF(G1012&lt;0,"Bearish","Flat")))</f>
        <v/>
      </c>
      <c r="I1012" s="6" t="str">
        <f aca="false">IF(OR(G1012="",E1012="Neutral"),"",IF(E1012=H1012,1,0))</f>
        <v/>
      </c>
      <c r="J1012" s="6" t="s">
        <v>161</v>
      </c>
    </row>
    <row r="1013" customFormat="false" ht="15" hidden="false" customHeight="false" outlineLevel="0" collapsed="false">
      <c r="A1013" s="19" t="n">
        <v>46343</v>
      </c>
      <c r="B1013" s="6" t="s">
        <v>53</v>
      </c>
      <c r="C1013" s="6" t="s">
        <v>154</v>
      </c>
      <c r="D1013" s="7" t="n">
        <v>-0.1753</v>
      </c>
      <c r="E1013" s="6" t="str">
        <f aca="false">IF(D1013&gt;Settings!$C$4,"Bullish",IF(D1013&lt;-Settings!$C$4,"Bearish","Neutral"))</f>
        <v>Bearish</v>
      </c>
      <c r="F1013" s="8" t="n">
        <v>0.516</v>
      </c>
      <c r="G1013" s="20"/>
      <c r="H1013" s="6" t="str">
        <f aca="false">IF(G1013="","",IF(G1013&gt;0,"Bullish",IF(G1013&lt;0,"Bearish","Flat")))</f>
        <v/>
      </c>
      <c r="I1013" s="6" t="str">
        <f aca="false">IF(OR(G1013="",E1013="Neutral"),"",IF(E1013=H1013,1,0))</f>
        <v/>
      </c>
      <c r="J1013" s="6" t="s">
        <v>161</v>
      </c>
    </row>
    <row r="1014" customFormat="false" ht="15" hidden="false" customHeight="false" outlineLevel="0" collapsed="false">
      <c r="A1014" s="19" t="n">
        <v>46343</v>
      </c>
      <c r="B1014" s="6" t="s">
        <v>53</v>
      </c>
      <c r="C1014" s="6" t="s">
        <v>149</v>
      </c>
      <c r="D1014" s="7" t="n">
        <v>-0.0462</v>
      </c>
      <c r="E1014" s="6" t="str">
        <f aca="false">IF(D1014&gt;Settings!$C$4,"Bullish",IF(D1014&lt;-Settings!$C$4,"Bearish","Neutral"))</f>
        <v>Neutral</v>
      </c>
      <c r="F1014" s="8"/>
      <c r="G1014" s="20"/>
      <c r="H1014" s="6" t="str">
        <f aca="false">IF(G1014="","",IF(G1014&gt;0,"Bullish",IF(G1014&lt;0,"Bearish","Flat")))</f>
        <v/>
      </c>
      <c r="I1014" s="6" t="str">
        <f aca="false">IF(OR(G1014="",E1014="Neutral"),"",IF(E1014=H1014,1,0))</f>
        <v/>
      </c>
      <c r="J1014" s="6" t="s">
        <v>161</v>
      </c>
    </row>
    <row r="1015" customFormat="false" ht="15" hidden="false" customHeight="false" outlineLevel="0" collapsed="false">
      <c r="A1015" s="19" t="n">
        <v>46343</v>
      </c>
      <c r="B1015" s="6" t="s">
        <v>18</v>
      </c>
      <c r="C1015" s="6" t="s">
        <v>154</v>
      </c>
      <c r="D1015" s="7" t="n">
        <v>-0.4443</v>
      </c>
      <c r="E1015" s="6" t="str">
        <f aca="false">IF(D1015&gt;Settings!$C$4,"Bullish",IF(D1015&lt;-Settings!$C$4,"Bearish","Neutral"))</f>
        <v>Bearish</v>
      </c>
      <c r="F1015" s="8" t="n">
        <v>0.529</v>
      </c>
      <c r="G1015" s="20"/>
      <c r="H1015" s="6" t="str">
        <f aca="false">IF(G1015="","",IF(G1015&gt;0,"Bullish",IF(G1015&lt;0,"Bearish","Flat")))</f>
        <v/>
      </c>
      <c r="I1015" s="6" t="str">
        <f aca="false">IF(OR(G1015="",E1015="Neutral"),"",IF(E1015=H1015,1,0))</f>
        <v/>
      </c>
      <c r="J1015" s="6" t="s">
        <v>161</v>
      </c>
    </row>
    <row r="1016" customFormat="false" ht="15" hidden="false" customHeight="false" outlineLevel="0" collapsed="false">
      <c r="A1016" s="19" t="n">
        <v>46343</v>
      </c>
      <c r="B1016" s="6" t="s">
        <v>18</v>
      </c>
      <c r="C1016" s="6" t="s">
        <v>149</v>
      </c>
      <c r="D1016" s="7" t="n">
        <v>0.5548</v>
      </c>
      <c r="E1016" s="6" t="str">
        <f aca="false">IF(D1016&gt;Settings!$C$4,"Bullish",IF(D1016&lt;-Settings!$C$4,"Bearish","Neutral"))</f>
        <v>Bullish</v>
      </c>
      <c r="F1016" s="8" t="n">
        <v>0.476</v>
      </c>
      <c r="G1016" s="20"/>
      <c r="H1016" s="6" t="str">
        <f aca="false">IF(G1016="","",IF(G1016&gt;0,"Bullish",IF(G1016&lt;0,"Bearish","Flat")))</f>
        <v/>
      </c>
      <c r="I1016" s="6" t="str">
        <f aca="false">IF(OR(G1016="",E1016="Neutral"),"",IF(E1016=H1016,1,0))</f>
        <v/>
      </c>
      <c r="J1016" s="6" t="s">
        <v>161</v>
      </c>
    </row>
    <row r="1017" customFormat="false" ht="15" hidden="false" customHeight="false" outlineLevel="0" collapsed="false">
      <c r="A1017" s="19" t="n">
        <v>46343</v>
      </c>
      <c r="B1017" s="6" t="s">
        <v>40</v>
      </c>
      <c r="C1017" s="6" t="s">
        <v>154</v>
      </c>
      <c r="D1017" s="7" t="n">
        <v>-0.6073</v>
      </c>
      <c r="E1017" s="6" t="str">
        <f aca="false">IF(D1017&gt;Settings!$C$4,"Bullish",IF(D1017&lt;-Settings!$C$4,"Bearish","Neutral"))</f>
        <v>Bearish</v>
      </c>
      <c r="F1017" s="8" t="n">
        <v>0.52</v>
      </c>
      <c r="G1017" s="20"/>
      <c r="H1017" s="6" t="str">
        <f aca="false">IF(G1017="","",IF(G1017&gt;0,"Bullish",IF(G1017&lt;0,"Bearish","Flat")))</f>
        <v/>
      </c>
      <c r="I1017" s="6" t="str">
        <f aca="false">IF(OR(G1017="",E1017="Neutral"),"",IF(E1017=H1017,1,0))</f>
        <v/>
      </c>
      <c r="J1017" s="6" t="s">
        <v>161</v>
      </c>
    </row>
    <row r="1018" customFormat="false" ht="15" hidden="false" customHeight="false" outlineLevel="0" collapsed="false">
      <c r="A1018" s="19" t="n">
        <v>46343</v>
      </c>
      <c r="B1018" s="6" t="s">
        <v>40</v>
      </c>
      <c r="C1018" s="6" t="s">
        <v>149</v>
      </c>
      <c r="D1018" s="7" t="n">
        <v>0.1066</v>
      </c>
      <c r="E1018" s="6" t="str">
        <f aca="false">IF(D1018&gt;Settings!$C$4,"Bullish",IF(D1018&lt;-Settings!$C$4,"Bearish","Neutral"))</f>
        <v>Neutral</v>
      </c>
      <c r="F1018" s="8"/>
      <c r="G1018" s="20"/>
      <c r="H1018" s="6" t="str">
        <f aca="false">IF(G1018="","",IF(G1018&gt;0,"Bullish",IF(G1018&lt;0,"Bearish","Flat")))</f>
        <v/>
      </c>
      <c r="I1018" s="6" t="str">
        <f aca="false">IF(OR(G1018="",E1018="Neutral"),"",IF(E1018=H1018,1,0))</f>
        <v/>
      </c>
      <c r="J1018" s="6" t="s">
        <v>161</v>
      </c>
    </row>
    <row r="1019" customFormat="false" ht="15" hidden="false" customHeight="false" outlineLevel="0" collapsed="false">
      <c r="A1019" s="19" t="n">
        <v>46343</v>
      </c>
      <c r="B1019" s="6" t="s">
        <v>49</v>
      </c>
      <c r="C1019" s="6" t="s">
        <v>154</v>
      </c>
      <c r="D1019" s="7" t="n">
        <v>-0.0914</v>
      </c>
      <c r="E1019" s="6" t="str">
        <f aca="false">IF(D1019&gt;Settings!$C$4,"Bullish",IF(D1019&lt;-Settings!$C$4,"Bearish","Neutral"))</f>
        <v>Neutral</v>
      </c>
      <c r="F1019" s="8"/>
      <c r="G1019" s="20"/>
      <c r="H1019" s="6" t="str">
        <f aca="false">IF(G1019="","",IF(G1019&gt;0,"Bullish",IF(G1019&lt;0,"Bearish","Flat")))</f>
        <v/>
      </c>
      <c r="I1019" s="6" t="str">
        <f aca="false">IF(OR(G1019="",E1019="Neutral"),"",IF(E1019=H1019,1,0))</f>
        <v/>
      </c>
      <c r="J1019" s="6" t="s">
        <v>161</v>
      </c>
    </row>
    <row r="1020" customFormat="false" ht="15" hidden="false" customHeight="false" outlineLevel="0" collapsed="false">
      <c r="A1020" s="19" t="n">
        <v>46343</v>
      </c>
      <c r="B1020" s="6" t="s">
        <v>49</v>
      </c>
      <c r="C1020" s="6" t="s">
        <v>149</v>
      </c>
      <c r="D1020" s="7" t="n">
        <v>0.3675</v>
      </c>
      <c r="E1020" s="6" t="str">
        <f aca="false">IF(D1020&gt;Settings!$C$4,"Bullish",IF(D1020&lt;-Settings!$C$4,"Bearish","Neutral"))</f>
        <v>Bullish</v>
      </c>
      <c r="F1020" s="8" t="n">
        <v>0.53</v>
      </c>
      <c r="G1020" s="20"/>
      <c r="H1020" s="6" t="str">
        <f aca="false">IF(G1020="","",IF(G1020&gt;0,"Bullish",IF(G1020&lt;0,"Bearish","Flat")))</f>
        <v/>
      </c>
      <c r="I1020" s="6" t="str">
        <f aca="false">IF(OR(G1020="",E1020="Neutral"),"",IF(E1020=H1020,1,0))</f>
        <v/>
      </c>
      <c r="J1020" s="6" t="s">
        <v>161</v>
      </c>
    </row>
    <row r="1021" customFormat="false" ht="15" hidden="false" customHeight="false" outlineLevel="0" collapsed="false">
      <c r="A1021" s="19" t="n">
        <v>46343</v>
      </c>
      <c r="B1021" s="6" t="s">
        <v>43</v>
      </c>
      <c r="C1021" s="6" t="s">
        <v>154</v>
      </c>
      <c r="D1021" s="7" t="n">
        <v>-0.3532</v>
      </c>
      <c r="E1021" s="6" t="str">
        <f aca="false">IF(D1021&gt;Settings!$C$4,"Bullish",IF(D1021&lt;-Settings!$C$4,"Bearish","Neutral"))</f>
        <v>Bearish</v>
      </c>
      <c r="F1021" s="8" t="n">
        <v>0.526</v>
      </c>
      <c r="G1021" s="20"/>
      <c r="H1021" s="6" t="str">
        <f aca="false">IF(G1021="","",IF(G1021&gt;0,"Bullish",IF(G1021&lt;0,"Bearish","Flat")))</f>
        <v/>
      </c>
      <c r="I1021" s="6" t="str">
        <f aca="false">IF(OR(G1021="",E1021="Neutral"),"",IF(E1021=H1021,1,0))</f>
        <v/>
      </c>
      <c r="J1021" s="6" t="s">
        <v>161</v>
      </c>
    </row>
    <row r="1022" customFormat="false" ht="15" hidden="false" customHeight="false" outlineLevel="0" collapsed="false">
      <c r="A1022" s="19" t="n">
        <v>46343</v>
      </c>
      <c r="B1022" s="6" t="s">
        <v>43</v>
      </c>
      <c r="C1022" s="6" t="s">
        <v>149</v>
      </c>
      <c r="D1022" s="7" t="n">
        <v>-0.2387</v>
      </c>
      <c r="E1022" s="6" t="str">
        <f aca="false">IF(D1022&gt;Settings!$C$4,"Bullish",IF(D1022&lt;-Settings!$C$4,"Bearish","Neutral"))</f>
        <v>Bearish</v>
      </c>
      <c r="F1022" s="8" t="n">
        <v>0.485</v>
      </c>
      <c r="G1022" s="20"/>
      <c r="H1022" s="6" t="str">
        <f aca="false">IF(G1022="","",IF(G1022&gt;0,"Bullish",IF(G1022&lt;0,"Bearish","Flat")))</f>
        <v/>
      </c>
      <c r="I1022" s="6" t="str">
        <f aca="false">IF(OR(G1022="",E1022="Neutral"),"",IF(E1022=H1022,1,0))</f>
        <v/>
      </c>
      <c r="J1022" s="6" t="s">
        <v>161</v>
      </c>
    </row>
    <row r="1023" customFormat="false" ht="15" hidden="false" customHeight="false" outlineLevel="0" collapsed="false">
      <c r="A1023" s="19" t="n">
        <v>46343</v>
      </c>
      <c r="B1023" s="6" t="s">
        <v>51</v>
      </c>
      <c r="C1023" s="6" t="s">
        <v>154</v>
      </c>
      <c r="D1023" s="7" t="n">
        <v>0</v>
      </c>
      <c r="E1023" s="6" t="str">
        <f aca="false">IF(D1023&gt;Settings!$C$4,"Bullish",IF(D1023&lt;-Settings!$C$4,"Bearish","Neutral"))</f>
        <v>Neutral</v>
      </c>
      <c r="F1023" s="8"/>
      <c r="G1023" s="20"/>
      <c r="H1023" s="6" t="str">
        <f aca="false">IF(G1023="","",IF(G1023&gt;0,"Bullish",IF(G1023&lt;0,"Bearish","Flat")))</f>
        <v/>
      </c>
      <c r="I1023" s="6" t="str">
        <f aca="false">IF(OR(G1023="",E1023="Neutral"),"",IF(E1023=H1023,1,0))</f>
        <v/>
      </c>
      <c r="J1023" s="6" t="s">
        <v>161</v>
      </c>
    </row>
    <row r="1024" customFormat="false" ht="15" hidden="false" customHeight="false" outlineLevel="0" collapsed="false">
      <c r="A1024" s="19" t="n">
        <v>46343</v>
      </c>
      <c r="B1024" s="6" t="s">
        <v>51</v>
      </c>
      <c r="C1024" s="6" t="s">
        <v>149</v>
      </c>
      <c r="D1024" s="7" t="n">
        <v>0.1305</v>
      </c>
      <c r="E1024" s="6" t="str">
        <f aca="false">IF(D1024&gt;Settings!$C$4,"Bullish",IF(D1024&lt;-Settings!$C$4,"Bearish","Neutral"))</f>
        <v>Neutral</v>
      </c>
      <c r="F1024" s="8"/>
      <c r="G1024" s="20"/>
      <c r="H1024" s="6" t="str">
        <f aca="false">IF(G1024="","",IF(G1024&gt;0,"Bullish",IF(G1024&lt;0,"Bearish","Flat")))</f>
        <v/>
      </c>
      <c r="I1024" s="6" t="str">
        <f aca="false">IF(OR(G1024="",E1024="Neutral"),"",IF(E1024=H1024,1,0))</f>
        <v/>
      </c>
      <c r="J1024" s="6" t="s">
        <v>161</v>
      </c>
    </row>
    <row r="1025" customFormat="false" ht="15" hidden="false" customHeight="false" outlineLevel="0" collapsed="false">
      <c r="A1025" s="19" t="n">
        <v>46344</v>
      </c>
      <c r="B1025" s="6" t="s">
        <v>20</v>
      </c>
      <c r="C1025" s="6" t="s">
        <v>154</v>
      </c>
      <c r="D1025" s="7" t="n">
        <v>-0.0235</v>
      </c>
      <c r="E1025" s="6" t="str">
        <f aca="false">IF(D1025&gt;Settings!$C$4,"Bullish",IF(D1025&lt;-Settings!$C$4,"Bearish","Neutral"))</f>
        <v>Neutral</v>
      </c>
      <c r="F1025" s="8"/>
      <c r="G1025" s="20"/>
      <c r="H1025" s="6" t="str">
        <f aca="false">IF(G1025="","",IF(G1025&gt;0,"Bullish",IF(G1025&lt;0,"Bearish","Flat")))</f>
        <v/>
      </c>
      <c r="I1025" s="6" t="str">
        <f aca="false">IF(OR(G1025="",E1025="Neutral"),"",IF(E1025=H1025,1,0))</f>
        <v/>
      </c>
      <c r="J1025" s="6" t="s">
        <v>161</v>
      </c>
    </row>
    <row r="1026" customFormat="false" ht="15" hidden="false" customHeight="false" outlineLevel="0" collapsed="false">
      <c r="A1026" s="19" t="n">
        <v>46344</v>
      </c>
      <c r="B1026" s="6" t="s">
        <v>20</v>
      </c>
      <c r="C1026" s="6" t="s">
        <v>149</v>
      </c>
      <c r="D1026" s="7" t="n">
        <v>0.0854</v>
      </c>
      <c r="E1026" s="6" t="str">
        <f aca="false">IF(D1026&gt;Settings!$C$4,"Bullish",IF(D1026&lt;-Settings!$C$4,"Bearish","Neutral"))</f>
        <v>Neutral</v>
      </c>
      <c r="F1026" s="8"/>
      <c r="G1026" s="20"/>
      <c r="H1026" s="6" t="str">
        <f aca="false">IF(G1026="","",IF(G1026&gt;0,"Bullish",IF(G1026&lt;0,"Bearish","Flat")))</f>
        <v/>
      </c>
      <c r="I1026" s="6" t="str">
        <f aca="false">IF(OR(G1026="",E1026="Neutral"),"",IF(E1026=H1026,1,0))</f>
        <v/>
      </c>
      <c r="J1026" s="6" t="s">
        <v>161</v>
      </c>
    </row>
    <row r="1027" customFormat="false" ht="15" hidden="false" customHeight="false" outlineLevel="0" collapsed="false">
      <c r="A1027" s="19" t="n">
        <v>46344</v>
      </c>
      <c r="B1027" s="6" t="s">
        <v>22</v>
      </c>
      <c r="C1027" s="6" t="s">
        <v>154</v>
      </c>
      <c r="D1027" s="7" t="n">
        <v>-0.1945</v>
      </c>
      <c r="E1027" s="6" t="str">
        <f aca="false">IF(D1027&gt;Settings!$C$4,"Bullish",IF(D1027&lt;-Settings!$C$4,"Bearish","Neutral"))</f>
        <v>Bearish</v>
      </c>
      <c r="F1027" s="8" t="n">
        <v>0.514</v>
      </c>
      <c r="G1027" s="20"/>
      <c r="H1027" s="6" t="str">
        <f aca="false">IF(G1027="","",IF(G1027&gt;0,"Bullish",IF(G1027&lt;0,"Bearish","Flat")))</f>
        <v/>
      </c>
      <c r="I1027" s="6" t="str">
        <f aca="false">IF(OR(G1027="",E1027="Neutral"),"",IF(E1027=H1027,1,0))</f>
        <v/>
      </c>
      <c r="J1027" s="6" t="s">
        <v>161</v>
      </c>
    </row>
    <row r="1028" customFormat="false" ht="15" hidden="false" customHeight="false" outlineLevel="0" collapsed="false">
      <c r="A1028" s="19" t="n">
        <v>46344</v>
      </c>
      <c r="B1028" s="6" t="s">
        <v>22</v>
      </c>
      <c r="C1028" s="6" t="s">
        <v>149</v>
      </c>
      <c r="D1028" s="7" t="n">
        <v>0.4862</v>
      </c>
      <c r="E1028" s="6" t="str">
        <f aca="false">IF(D1028&gt;Settings!$C$4,"Bullish",IF(D1028&lt;-Settings!$C$4,"Bearish","Neutral"))</f>
        <v>Bullish</v>
      </c>
      <c r="F1028" s="8" t="n">
        <v>0.527</v>
      </c>
      <c r="G1028" s="20"/>
      <c r="H1028" s="6" t="str">
        <f aca="false">IF(G1028="","",IF(G1028&gt;0,"Bullish",IF(G1028&lt;0,"Bearish","Flat")))</f>
        <v/>
      </c>
      <c r="I1028" s="6" t="str">
        <f aca="false">IF(OR(G1028="",E1028="Neutral"),"",IF(E1028=H1028,1,0))</f>
        <v/>
      </c>
      <c r="J1028" s="6" t="s">
        <v>161</v>
      </c>
    </row>
    <row r="1029" customFormat="false" ht="15" hidden="false" customHeight="false" outlineLevel="0" collapsed="false">
      <c r="A1029" s="19" t="n">
        <v>46344</v>
      </c>
      <c r="B1029" s="6" t="s">
        <v>52</v>
      </c>
      <c r="C1029" s="6" t="s">
        <v>154</v>
      </c>
      <c r="D1029" s="7" t="n">
        <v>-0.5362</v>
      </c>
      <c r="E1029" s="6" t="str">
        <f aca="false">IF(D1029&gt;Settings!$C$4,"Bullish",IF(D1029&lt;-Settings!$C$4,"Bearish","Neutral"))</f>
        <v>Bearish</v>
      </c>
      <c r="F1029" s="8" t="n">
        <v>0.467</v>
      </c>
      <c r="G1029" s="20"/>
      <c r="H1029" s="6" t="str">
        <f aca="false">IF(G1029="","",IF(G1029&gt;0,"Bullish",IF(G1029&lt;0,"Bearish","Flat")))</f>
        <v/>
      </c>
      <c r="I1029" s="6" t="str">
        <f aca="false">IF(OR(G1029="",E1029="Neutral"),"",IF(E1029=H1029,1,0))</f>
        <v/>
      </c>
      <c r="J1029" s="6" t="s">
        <v>161</v>
      </c>
    </row>
    <row r="1030" customFormat="false" ht="15" hidden="false" customHeight="false" outlineLevel="0" collapsed="false">
      <c r="A1030" s="19" t="n">
        <v>46344</v>
      </c>
      <c r="B1030" s="6" t="s">
        <v>52</v>
      </c>
      <c r="C1030" s="6" t="s">
        <v>149</v>
      </c>
      <c r="D1030" s="7" t="n">
        <v>0.2824</v>
      </c>
      <c r="E1030" s="6" t="str">
        <f aca="false">IF(D1030&gt;Settings!$C$4,"Bullish",IF(D1030&lt;-Settings!$C$4,"Bearish","Neutral"))</f>
        <v>Bullish</v>
      </c>
      <c r="F1030" s="8" t="n">
        <v>0.509</v>
      </c>
      <c r="G1030" s="20"/>
      <c r="H1030" s="6" t="str">
        <f aca="false">IF(G1030="","",IF(G1030&gt;0,"Bullish",IF(G1030&lt;0,"Bearish","Flat")))</f>
        <v/>
      </c>
      <c r="I1030" s="6" t="str">
        <f aca="false">IF(OR(G1030="",E1030="Neutral"),"",IF(E1030=H1030,1,0))</f>
        <v/>
      </c>
      <c r="J1030" s="6" t="s">
        <v>161</v>
      </c>
    </row>
    <row r="1031" customFormat="false" ht="15" hidden="false" customHeight="false" outlineLevel="0" collapsed="false">
      <c r="A1031" s="19" t="n">
        <v>46344</v>
      </c>
      <c r="B1031" s="6" t="s">
        <v>30</v>
      </c>
      <c r="C1031" s="6" t="s">
        <v>154</v>
      </c>
      <c r="D1031" s="7" t="n">
        <v>-0.5794</v>
      </c>
      <c r="E1031" s="6" t="str">
        <f aca="false">IF(D1031&gt;Settings!$C$4,"Bullish",IF(D1031&lt;-Settings!$C$4,"Bearish","Neutral"))</f>
        <v>Bearish</v>
      </c>
      <c r="F1031" s="8" t="n">
        <v>0.51</v>
      </c>
      <c r="G1031" s="20"/>
      <c r="H1031" s="6" t="str">
        <f aca="false">IF(G1031="","",IF(G1031&gt;0,"Bullish",IF(G1031&lt;0,"Bearish","Flat")))</f>
        <v/>
      </c>
      <c r="I1031" s="6" t="str">
        <f aca="false">IF(OR(G1031="",E1031="Neutral"),"",IF(E1031=H1031,1,0))</f>
        <v/>
      </c>
      <c r="J1031" s="6" t="s">
        <v>161</v>
      </c>
    </row>
    <row r="1032" customFormat="false" ht="15" hidden="false" customHeight="false" outlineLevel="0" collapsed="false">
      <c r="A1032" s="19" t="n">
        <v>46344</v>
      </c>
      <c r="B1032" s="6" t="s">
        <v>30</v>
      </c>
      <c r="C1032" s="6" t="s">
        <v>149</v>
      </c>
      <c r="D1032" s="7" t="n">
        <v>0.4862</v>
      </c>
      <c r="E1032" s="6" t="str">
        <f aca="false">IF(D1032&gt;Settings!$C$4,"Bullish",IF(D1032&lt;-Settings!$C$4,"Bearish","Neutral"))</f>
        <v>Bullish</v>
      </c>
      <c r="F1032" s="8" t="n">
        <v>0.525</v>
      </c>
      <c r="G1032" s="20"/>
      <c r="H1032" s="6" t="str">
        <f aca="false">IF(G1032="","",IF(G1032&gt;0,"Bullish",IF(G1032&lt;0,"Bearish","Flat")))</f>
        <v/>
      </c>
      <c r="I1032" s="6" t="str">
        <f aca="false">IF(OR(G1032="",E1032="Neutral"),"",IF(E1032=H1032,1,0))</f>
        <v/>
      </c>
      <c r="J1032" s="6" t="s">
        <v>161</v>
      </c>
    </row>
    <row r="1033" customFormat="false" ht="15" hidden="false" customHeight="false" outlineLevel="0" collapsed="false">
      <c r="A1033" s="19" t="n">
        <v>46344</v>
      </c>
      <c r="B1033" s="6" t="s">
        <v>50</v>
      </c>
      <c r="C1033" s="6" t="s">
        <v>154</v>
      </c>
      <c r="D1033" s="7" t="n">
        <v>-0.1631</v>
      </c>
      <c r="E1033" s="6" t="str">
        <f aca="false">IF(D1033&gt;Settings!$C$4,"Bullish",IF(D1033&lt;-Settings!$C$4,"Bearish","Neutral"))</f>
        <v>Bearish</v>
      </c>
      <c r="F1033" s="8" t="n">
        <v>0.505</v>
      </c>
      <c r="G1033" s="20"/>
      <c r="H1033" s="6" t="str">
        <f aca="false">IF(G1033="","",IF(G1033&gt;0,"Bullish",IF(G1033&lt;0,"Bearish","Flat")))</f>
        <v/>
      </c>
      <c r="I1033" s="6" t="str">
        <f aca="false">IF(OR(G1033="",E1033="Neutral"),"",IF(E1033=H1033,1,0))</f>
        <v/>
      </c>
      <c r="J1033" s="6" t="s">
        <v>161</v>
      </c>
    </row>
    <row r="1034" customFormat="false" ht="15" hidden="false" customHeight="false" outlineLevel="0" collapsed="false">
      <c r="A1034" s="19" t="n">
        <v>46344</v>
      </c>
      <c r="B1034" s="6" t="s">
        <v>50</v>
      </c>
      <c r="C1034" s="6" t="s">
        <v>149</v>
      </c>
      <c r="D1034" s="7" t="n">
        <v>0.6119</v>
      </c>
      <c r="E1034" s="6" t="str">
        <f aca="false">IF(D1034&gt;Settings!$C$4,"Bullish",IF(D1034&lt;-Settings!$C$4,"Bearish","Neutral"))</f>
        <v>Bullish</v>
      </c>
      <c r="F1034" s="8" t="n">
        <v>0.442</v>
      </c>
      <c r="G1034" s="20"/>
      <c r="H1034" s="6" t="str">
        <f aca="false">IF(G1034="","",IF(G1034&gt;0,"Bullish",IF(G1034&lt;0,"Bearish","Flat")))</f>
        <v/>
      </c>
      <c r="I1034" s="6" t="str">
        <f aca="false">IF(OR(G1034="",E1034="Neutral"),"",IF(E1034=H1034,1,0))</f>
        <v/>
      </c>
      <c r="J1034" s="6" t="s">
        <v>161</v>
      </c>
    </row>
    <row r="1035" customFormat="false" ht="15" hidden="false" customHeight="false" outlineLevel="0" collapsed="false">
      <c r="A1035" s="19" t="n">
        <v>46344</v>
      </c>
      <c r="B1035" s="6" t="s">
        <v>34</v>
      </c>
      <c r="C1035" s="6" t="s">
        <v>154</v>
      </c>
      <c r="D1035" s="7" t="n">
        <v>-0.9669</v>
      </c>
      <c r="E1035" s="6" t="str">
        <f aca="false">IF(D1035&gt;Settings!$C$4,"Bullish",IF(D1035&lt;-Settings!$C$4,"Bearish","Neutral"))</f>
        <v>Bearish</v>
      </c>
      <c r="F1035" s="8" t="n">
        <v>0.489</v>
      </c>
      <c r="G1035" s="20"/>
      <c r="H1035" s="6" t="str">
        <f aca="false">IF(G1035="","",IF(G1035&gt;0,"Bullish",IF(G1035&lt;0,"Bearish","Flat")))</f>
        <v/>
      </c>
      <c r="I1035" s="6" t="str">
        <f aca="false">IF(OR(G1035="",E1035="Neutral"),"",IF(E1035=H1035,1,0))</f>
        <v/>
      </c>
      <c r="J1035" s="6" t="s">
        <v>161</v>
      </c>
    </row>
    <row r="1036" customFormat="false" ht="15" hidden="false" customHeight="false" outlineLevel="0" collapsed="false">
      <c r="A1036" s="19" t="n">
        <v>46344</v>
      </c>
      <c r="B1036" s="6" t="s">
        <v>34</v>
      </c>
      <c r="C1036" s="6" t="s">
        <v>149</v>
      </c>
      <c r="D1036" s="7" t="n">
        <v>0.091</v>
      </c>
      <c r="E1036" s="6" t="str">
        <f aca="false">IF(D1036&gt;Settings!$C$4,"Bullish",IF(D1036&lt;-Settings!$C$4,"Bearish","Neutral"))</f>
        <v>Neutral</v>
      </c>
      <c r="F1036" s="8"/>
      <c r="G1036" s="20"/>
      <c r="H1036" s="6" t="str">
        <f aca="false">IF(G1036="","",IF(G1036&gt;0,"Bullish",IF(G1036&lt;0,"Bearish","Flat")))</f>
        <v/>
      </c>
      <c r="I1036" s="6" t="str">
        <f aca="false">IF(OR(G1036="",E1036="Neutral"),"",IF(E1036=H1036,1,0))</f>
        <v/>
      </c>
      <c r="J1036" s="6" t="s">
        <v>161</v>
      </c>
    </row>
    <row r="1037" customFormat="false" ht="15" hidden="false" customHeight="false" outlineLevel="0" collapsed="false">
      <c r="A1037" s="19" t="n">
        <v>46344</v>
      </c>
      <c r="B1037" s="6" t="s">
        <v>35</v>
      </c>
      <c r="C1037" s="6" t="s">
        <v>154</v>
      </c>
      <c r="D1037" s="7" t="n">
        <v>-0.6301</v>
      </c>
      <c r="E1037" s="6" t="str">
        <f aca="false">IF(D1037&gt;Settings!$C$4,"Bullish",IF(D1037&lt;-Settings!$C$4,"Bearish","Neutral"))</f>
        <v>Bearish</v>
      </c>
      <c r="F1037" s="8" t="n">
        <v>0.498</v>
      </c>
      <c r="G1037" s="20"/>
      <c r="H1037" s="6" t="str">
        <f aca="false">IF(G1037="","",IF(G1037&gt;0,"Bullish",IF(G1037&lt;0,"Bearish","Flat")))</f>
        <v/>
      </c>
      <c r="I1037" s="6" t="str">
        <f aca="false">IF(OR(G1037="",E1037="Neutral"),"",IF(E1037=H1037,1,0))</f>
        <v/>
      </c>
      <c r="J1037" s="6" t="s">
        <v>161</v>
      </c>
    </row>
    <row r="1038" customFormat="false" ht="15" hidden="false" customHeight="false" outlineLevel="0" collapsed="false">
      <c r="A1038" s="19" t="n">
        <v>46344</v>
      </c>
      <c r="B1038" s="6" t="s">
        <v>35</v>
      </c>
      <c r="C1038" s="6" t="s">
        <v>149</v>
      </c>
      <c r="D1038" s="7" t="n">
        <v>0.1039</v>
      </c>
      <c r="E1038" s="6" t="str">
        <f aca="false">IF(D1038&gt;Settings!$C$4,"Bullish",IF(D1038&lt;-Settings!$C$4,"Bearish","Neutral"))</f>
        <v>Neutral</v>
      </c>
      <c r="F1038" s="8"/>
      <c r="G1038" s="20"/>
      <c r="H1038" s="6" t="str">
        <f aca="false">IF(G1038="","",IF(G1038&gt;0,"Bullish",IF(G1038&lt;0,"Bearish","Flat")))</f>
        <v/>
      </c>
      <c r="I1038" s="6" t="str">
        <f aca="false">IF(OR(G1038="",E1038="Neutral"),"",IF(E1038=H1038,1,0))</f>
        <v/>
      </c>
      <c r="J1038" s="6" t="s">
        <v>161</v>
      </c>
    </row>
    <row r="1039" customFormat="false" ht="15" hidden="false" customHeight="false" outlineLevel="0" collapsed="false">
      <c r="A1039" s="19" t="n">
        <v>46344</v>
      </c>
      <c r="B1039" s="6" t="s">
        <v>37</v>
      </c>
      <c r="C1039" s="6" t="s">
        <v>154</v>
      </c>
      <c r="D1039" s="7" t="n">
        <v>-0.7559</v>
      </c>
      <c r="E1039" s="6" t="str">
        <f aca="false">IF(D1039&gt;Settings!$C$4,"Bullish",IF(D1039&lt;-Settings!$C$4,"Bearish","Neutral"))</f>
        <v>Bearish</v>
      </c>
      <c r="F1039" s="8" t="n">
        <v>0.52</v>
      </c>
      <c r="G1039" s="20"/>
      <c r="H1039" s="6" t="str">
        <f aca="false">IF(G1039="","",IF(G1039&gt;0,"Bullish",IF(G1039&lt;0,"Bearish","Flat")))</f>
        <v/>
      </c>
      <c r="I1039" s="6" t="str">
        <f aca="false">IF(OR(G1039="",E1039="Neutral"),"",IF(E1039=H1039,1,0))</f>
        <v/>
      </c>
      <c r="J1039" s="6" t="s">
        <v>161</v>
      </c>
    </row>
    <row r="1040" customFormat="false" ht="15" hidden="false" customHeight="false" outlineLevel="0" collapsed="false">
      <c r="A1040" s="19" t="n">
        <v>46344</v>
      </c>
      <c r="B1040" s="6" t="s">
        <v>37</v>
      </c>
      <c r="C1040" s="6" t="s">
        <v>149</v>
      </c>
      <c r="D1040" s="7" t="n">
        <v>0.3814</v>
      </c>
      <c r="E1040" s="6" t="str">
        <f aca="false">IF(D1040&gt;Settings!$C$4,"Bullish",IF(D1040&lt;-Settings!$C$4,"Bearish","Neutral"))</f>
        <v>Bullish</v>
      </c>
      <c r="F1040" s="8" t="n">
        <v>0.509</v>
      </c>
      <c r="G1040" s="20"/>
      <c r="H1040" s="6" t="str">
        <f aca="false">IF(G1040="","",IF(G1040&gt;0,"Bullish",IF(G1040&lt;0,"Bearish","Flat")))</f>
        <v/>
      </c>
      <c r="I1040" s="6" t="str">
        <f aca="false">IF(OR(G1040="",E1040="Neutral"),"",IF(E1040=H1040,1,0))</f>
        <v/>
      </c>
      <c r="J1040" s="6" t="s">
        <v>161</v>
      </c>
    </row>
    <row r="1041" customFormat="false" ht="15" hidden="false" customHeight="false" outlineLevel="0" collapsed="false">
      <c r="A1041" s="19" t="n">
        <v>46344</v>
      </c>
      <c r="B1041" s="6" t="s">
        <v>38</v>
      </c>
      <c r="C1041" s="6" t="s">
        <v>154</v>
      </c>
      <c r="D1041" s="7" t="n">
        <v>-0.9306</v>
      </c>
      <c r="E1041" s="6" t="str">
        <f aca="false">IF(D1041&gt;Settings!$C$4,"Bullish",IF(D1041&lt;-Settings!$C$4,"Bearish","Neutral"))</f>
        <v>Bearish</v>
      </c>
      <c r="F1041" s="8" t="n">
        <v>0.478</v>
      </c>
      <c r="G1041" s="20"/>
      <c r="H1041" s="6" t="str">
        <f aca="false">IF(G1041="","",IF(G1041&gt;0,"Bullish",IF(G1041&lt;0,"Bearish","Flat")))</f>
        <v/>
      </c>
      <c r="I1041" s="6" t="str">
        <f aca="false">IF(OR(G1041="",E1041="Neutral"),"",IF(E1041=H1041,1,0))</f>
        <v/>
      </c>
      <c r="J1041" s="6" t="s">
        <v>161</v>
      </c>
    </row>
    <row r="1042" customFormat="false" ht="15" hidden="false" customHeight="false" outlineLevel="0" collapsed="false">
      <c r="A1042" s="19" t="n">
        <v>46344</v>
      </c>
      <c r="B1042" s="6" t="s">
        <v>38</v>
      </c>
      <c r="C1042" s="6" t="s">
        <v>149</v>
      </c>
      <c r="D1042" s="7" t="n">
        <v>0.3082</v>
      </c>
      <c r="E1042" s="6" t="str">
        <f aca="false">IF(D1042&gt;Settings!$C$4,"Bullish",IF(D1042&lt;-Settings!$C$4,"Bearish","Neutral"))</f>
        <v>Bullish</v>
      </c>
      <c r="F1042" s="8" t="n">
        <v>0.529</v>
      </c>
      <c r="G1042" s="20"/>
      <c r="H1042" s="6" t="str">
        <f aca="false">IF(G1042="","",IF(G1042&gt;0,"Bullish",IF(G1042&lt;0,"Bearish","Flat")))</f>
        <v/>
      </c>
      <c r="I1042" s="6" t="str">
        <f aca="false">IF(OR(G1042="",E1042="Neutral"),"",IF(E1042=H1042,1,0))</f>
        <v/>
      </c>
      <c r="J1042" s="6" t="s">
        <v>161</v>
      </c>
    </row>
    <row r="1043" customFormat="false" ht="15" hidden="false" customHeight="false" outlineLevel="0" collapsed="false">
      <c r="A1043" s="19" t="n">
        <v>46344</v>
      </c>
      <c r="B1043" s="6" t="s">
        <v>53</v>
      </c>
      <c r="C1043" s="6" t="s">
        <v>154</v>
      </c>
      <c r="D1043" s="7" t="n">
        <v>-0.5844</v>
      </c>
      <c r="E1043" s="6" t="str">
        <f aca="false">IF(D1043&gt;Settings!$C$4,"Bullish",IF(D1043&lt;-Settings!$C$4,"Bearish","Neutral"))</f>
        <v>Bearish</v>
      </c>
      <c r="F1043" s="8" t="n">
        <v>0.478</v>
      </c>
      <c r="G1043" s="20"/>
      <c r="H1043" s="6" t="str">
        <f aca="false">IF(G1043="","",IF(G1043&gt;0,"Bullish",IF(G1043&lt;0,"Bearish","Flat")))</f>
        <v/>
      </c>
      <c r="I1043" s="6" t="str">
        <f aca="false">IF(OR(G1043="",E1043="Neutral"),"",IF(E1043=H1043,1,0))</f>
        <v/>
      </c>
      <c r="J1043" s="6" t="s">
        <v>161</v>
      </c>
    </row>
    <row r="1044" customFormat="false" ht="15" hidden="false" customHeight="false" outlineLevel="0" collapsed="false">
      <c r="A1044" s="19" t="n">
        <v>46344</v>
      </c>
      <c r="B1044" s="6" t="s">
        <v>53</v>
      </c>
      <c r="C1044" s="6" t="s">
        <v>149</v>
      </c>
      <c r="D1044" s="7" t="n">
        <v>-0.0504</v>
      </c>
      <c r="E1044" s="6" t="str">
        <f aca="false">IF(D1044&gt;Settings!$C$4,"Bullish",IF(D1044&lt;-Settings!$C$4,"Bearish","Neutral"))</f>
        <v>Neutral</v>
      </c>
      <c r="F1044" s="8"/>
      <c r="G1044" s="20"/>
      <c r="H1044" s="6" t="str">
        <f aca="false">IF(G1044="","",IF(G1044&gt;0,"Bullish",IF(G1044&lt;0,"Bearish","Flat")))</f>
        <v/>
      </c>
      <c r="I1044" s="6" t="str">
        <f aca="false">IF(OR(G1044="",E1044="Neutral"),"",IF(E1044=H1044,1,0))</f>
        <v/>
      </c>
      <c r="J1044" s="6" t="s">
        <v>161</v>
      </c>
    </row>
    <row r="1045" customFormat="false" ht="15" hidden="false" customHeight="false" outlineLevel="0" collapsed="false">
      <c r="A1045" s="19" t="n">
        <v>46344</v>
      </c>
      <c r="B1045" s="6" t="s">
        <v>18</v>
      </c>
      <c r="C1045" s="6" t="s">
        <v>154</v>
      </c>
      <c r="D1045" s="7" t="n">
        <v>-0.6633</v>
      </c>
      <c r="E1045" s="6" t="str">
        <f aca="false">IF(D1045&gt;Settings!$C$4,"Bullish",IF(D1045&lt;-Settings!$C$4,"Bearish","Neutral"))</f>
        <v>Bearish</v>
      </c>
      <c r="F1045" s="8" t="n">
        <v>0.501</v>
      </c>
      <c r="G1045" s="20"/>
      <c r="H1045" s="6" t="str">
        <f aca="false">IF(G1045="","",IF(G1045&gt;0,"Bullish",IF(G1045&lt;0,"Bearish","Flat")))</f>
        <v/>
      </c>
      <c r="I1045" s="6" t="str">
        <f aca="false">IF(OR(G1045="",E1045="Neutral"),"",IF(E1045=H1045,1,0))</f>
        <v/>
      </c>
      <c r="J1045" s="6" t="s">
        <v>161</v>
      </c>
    </row>
    <row r="1046" customFormat="false" ht="15" hidden="false" customHeight="false" outlineLevel="0" collapsed="false">
      <c r="A1046" s="19" t="n">
        <v>46344</v>
      </c>
      <c r="B1046" s="6" t="s">
        <v>18</v>
      </c>
      <c r="C1046" s="6" t="s">
        <v>149</v>
      </c>
      <c r="D1046" s="7" t="n">
        <v>0.5297</v>
      </c>
      <c r="E1046" s="6" t="str">
        <f aca="false">IF(D1046&gt;Settings!$C$4,"Bullish",IF(D1046&lt;-Settings!$C$4,"Bearish","Neutral"))</f>
        <v>Bullish</v>
      </c>
      <c r="F1046" s="8" t="n">
        <v>0.476</v>
      </c>
      <c r="G1046" s="20"/>
      <c r="H1046" s="6" t="str">
        <f aca="false">IF(G1046="","",IF(G1046&gt;0,"Bullish",IF(G1046&lt;0,"Bearish","Flat")))</f>
        <v/>
      </c>
      <c r="I1046" s="6" t="str">
        <f aca="false">IF(OR(G1046="",E1046="Neutral"),"",IF(E1046=H1046,1,0))</f>
        <v/>
      </c>
      <c r="J1046" s="6" t="s">
        <v>161</v>
      </c>
    </row>
    <row r="1047" customFormat="false" ht="15" hidden="false" customHeight="false" outlineLevel="0" collapsed="false">
      <c r="A1047" s="19" t="n">
        <v>46344</v>
      </c>
      <c r="B1047" s="6" t="s">
        <v>40</v>
      </c>
      <c r="C1047" s="6" t="s">
        <v>154</v>
      </c>
      <c r="D1047" s="7" t="n">
        <v>-0.0609</v>
      </c>
      <c r="E1047" s="6" t="str">
        <f aca="false">IF(D1047&gt;Settings!$C$4,"Bullish",IF(D1047&lt;-Settings!$C$4,"Bearish","Neutral"))</f>
        <v>Neutral</v>
      </c>
      <c r="F1047" s="8"/>
      <c r="G1047" s="20"/>
      <c r="H1047" s="6" t="str">
        <f aca="false">IF(G1047="","",IF(G1047&gt;0,"Bullish",IF(G1047&lt;0,"Bearish","Flat")))</f>
        <v/>
      </c>
      <c r="I1047" s="6" t="str">
        <f aca="false">IF(OR(G1047="",E1047="Neutral"),"",IF(E1047=H1047,1,0))</f>
        <v/>
      </c>
      <c r="J1047" s="6" t="s">
        <v>161</v>
      </c>
    </row>
    <row r="1048" customFormat="false" ht="15" hidden="false" customHeight="false" outlineLevel="0" collapsed="false">
      <c r="A1048" s="19" t="n">
        <v>46344</v>
      </c>
      <c r="B1048" s="6" t="s">
        <v>40</v>
      </c>
      <c r="C1048" s="6" t="s">
        <v>149</v>
      </c>
      <c r="D1048" s="7" t="n">
        <v>0.1334</v>
      </c>
      <c r="E1048" s="6" t="str">
        <f aca="false">IF(D1048&gt;Settings!$C$4,"Bullish",IF(D1048&lt;-Settings!$C$4,"Bearish","Neutral"))</f>
        <v>Neutral</v>
      </c>
      <c r="F1048" s="8"/>
      <c r="G1048" s="20"/>
      <c r="H1048" s="6" t="str">
        <f aca="false">IF(G1048="","",IF(G1048&gt;0,"Bullish",IF(G1048&lt;0,"Bearish","Flat")))</f>
        <v/>
      </c>
      <c r="I1048" s="6" t="str">
        <f aca="false">IF(OR(G1048="",E1048="Neutral"),"",IF(E1048=H1048,1,0))</f>
        <v/>
      </c>
      <c r="J1048" s="6" t="s">
        <v>161</v>
      </c>
    </row>
    <row r="1049" customFormat="false" ht="15" hidden="false" customHeight="false" outlineLevel="0" collapsed="false">
      <c r="A1049" s="19" t="n">
        <v>46344</v>
      </c>
      <c r="B1049" s="6" t="s">
        <v>49</v>
      </c>
      <c r="C1049" s="6" t="s">
        <v>154</v>
      </c>
      <c r="D1049" s="7" t="n">
        <v>-0.5326</v>
      </c>
      <c r="E1049" s="6" t="str">
        <f aca="false">IF(D1049&gt;Settings!$C$4,"Bullish",IF(D1049&lt;-Settings!$C$4,"Bearish","Neutral"))</f>
        <v>Bearish</v>
      </c>
      <c r="F1049" s="8" t="n">
        <v>0.523</v>
      </c>
      <c r="G1049" s="20"/>
      <c r="H1049" s="6" t="str">
        <f aca="false">IF(G1049="","",IF(G1049&gt;0,"Bullish",IF(G1049&lt;0,"Bearish","Flat")))</f>
        <v/>
      </c>
      <c r="I1049" s="6" t="str">
        <f aca="false">IF(OR(G1049="",E1049="Neutral"),"",IF(E1049=H1049,1,0))</f>
        <v/>
      </c>
      <c r="J1049" s="6" t="s">
        <v>161</v>
      </c>
    </row>
    <row r="1050" customFormat="false" ht="15" hidden="false" customHeight="false" outlineLevel="0" collapsed="false">
      <c r="A1050" s="19" t="n">
        <v>46344</v>
      </c>
      <c r="B1050" s="6" t="s">
        <v>49</v>
      </c>
      <c r="C1050" s="6" t="s">
        <v>149</v>
      </c>
      <c r="D1050" s="7" t="n">
        <v>0.3661</v>
      </c>
      <c r="E1050" s="6" t="str">
        <f aca="false">IF(D1050&gt;Settings!$C$4,"Bullish",IF(D1050&lt;-Settings!$C$4,"Bearish","Neutral"))</f>
        <v>Bullish</v>
      </c>
      <c r="F1050" s="8" t="n">
        <v>0.53</v>
      </c>
      <c r="G1050" s="20"/>
      <c r="H1050" s="6" t="str">
        <f aca="false">IF(G1050="","",IF(G1050&gt;0,"Bullish",IF(G1050&lt;0,"Bearish","Flat")))</f>
        <v/>
      </c>
      <c r="I1050" s="6" t="str">
        <f aca="false">IF(OR(G1050="",E1050="Neutral"),"",IF(E1050=H1050,1,0))</f>
        <v/>
      </c>
      <c r="J1050" s="6" t="s">
        <v>161</v>
      </c>
    </row>
    <row r="1051" customFormat="false" ht="15" hidden="false" customHeight="false" outlineLevel="0" collapsed="false">
      <c r="A1051" s="19" t="n">
        <v>46344</v>
      </c>
      <c r="B1051" s="6" t="s">
        <v>43</v>
      </c>
      <c r="C1051" s="6" t="s">
        <v>154</v>
      </c>
      <c r="D1051" s="7" t="n">
        <v>-0.9712</v>
      </c>
      <c r="E1051" s="6" t="str">
        <f aca="false">IF(D1051&gt;Settings!$C$4,"Bullish",IF(D1051&lt;-Settings!$C$4,"Bearish","Neutral"))</f>
        <v>Bearish</v>
      </c>
      <c r="F1051" s="8" t="n">
        <v>0.523</v>
      </c>
      <c r="G1051" s="20"/>
      <c r="H1051" s="6" t="str">
        <f aca="false">IF(G1051="","",IF(G1051&gt;0,"Bullish",IF(G1051&lt;0,"Bearish","Flat")))</f>
        <v/>
      </c>
      <c r="I1051" s="6" t="str">
        <f aca="false">IF(OR(G1051="",E1051="Neutral"),"",IF(E1051=H1051,1,0))</f>
        <v/>
      </c>
      <c r="J1051" s="6" t="s">
        <v>161</v>
      </c>
    </row>
    <row r="1052" customFormat="false" ht="15" hidden="false" customHeight="false" outlineLevel="0" collapsed="false">
      <c r="A1052" s="19" t="n">
        <v>46344</v>
      </c>
      <c r="B1052" s="6" t="s">
        <v>43</v>
      </c>
      <c r="C1052" s="6" t="s">
        <v>149</v>
      </c>
      <c r="D1052" s="7" t="n">
        <v>-0.274</v>
      </c>
      <c r="E1052" s="6" t="str">
        <f aca="false">IF(D1052&gt;Settings!$C$4,"Bullish",IF(D1052&lt;-Settings!$C$4,"Bearish","Neutral"))</f>
        <v>Bearish</v>
      </c>
      <c r="F1052" s="8" t="n">
        <v>0.485</v>
      </c>
      <c r="G1052" s="20"/>
      <c r="H1052" s="6" t="str">
        <f aca="false">IF(G1052="","",IF(G1052&gt;0,"Bullish",IF(G1052&lt;0,"Bearish","Flat")))</f>
        <v/>
      </c>
      <c r="I1052" s="6" t="str">
        <f aca="false">IF(OR(G1052="",E1052="Neutral"),"",IF(E1052=H1052,1,0))</f>
        <v/>
      </c>
      <c r="J1052" s="6" t="s">
        <v>161</v>
      </c>
    </row>
    <row r="1053" customFormat="false" ht="15" hidden="false" customHeight="false" outlineLevel="0" collapsed="false">
      <c r="A1053" s="19" t="n">
        <v>46344</v>
      </c>
      <c r="B1053" s="6" t="s">
        <v>51</v>
      </c>
      <c r="C1053" s="6" t="s">
        <v>154</v>
      </c>
      <c r="D1053" s="7" t="n">
        <v>0.0602</v>
      </c>
      <c r="E1053" s="6" t="str">
        <f aca="false">IF(D1053&gt;Settings!$C$4,"Bullish",IF(D1053&lt;-Settings!$C$4,"Bearish","Neutral"))</f>
        <v>Neutral</v>
      </c>
      <c r="F1053" s="8"/>
      <c r="G1053" s="20"/>
      <c r="H1053" s="6" t="str">
        <f aca="false">IF(G1053="","",IF(G1053&gt;0,"Bullish",IF(G1053&lt;0,"Bearish","Flat")))</f>
        <v/>
      </c>
      <c r="I1053" s="6" t="str">
        <f aca="false">IF(OR(G1053="",E1053="Neutral"),"",IF(E1053=H1053,1,0))</f>
        <v/>
      </c>
      <c r="J1053" s="6" t="s">
        <v>161</v>
      </c>
    </row>
    <row r="1054" customFormat="false" ht="15" hidden="false" customHeight="false" outlineLevel="0" collapsed="false">
      <c r="A1054" s="19" t="n">
        <v>46344</v>
      </c>
      <c r="B1054" s="6" t="s">
        <v>51</v>
      </c>
      <c r="C1054" s="6" t="s">
        <v>149</v>
      </c>
      <c r="D1054" s="7" t="n">
        <v>0.2144</v>
      </c>
      <c r="E1054" s="6" t="str">
        <f aca="false">IF(D1054&gt;Settings!$C$4,"Bullish",IF(D1054&lt;-Settings!$C$4,"Bearish","Neutral"))</f>
        <v>Bullish</v>
      </c>
      <c r="F1054" s="8" t="n">
        <v>0.534</v>
      </c>
      <c r="G1054" s="20"/>
      <c r="H1054" s="6" t="str">
        <f aca="false">IF(G1054="","",IF(G1054&gt;0,"Bullish",IF(G1054&lt;0,"Bearish","Flat")))</f>
        <v/>
      </c>
      <c r="I1054" s="6" t="str">
        <f aca="false">IF(OR(G1054="",E1054="Neutral"),"",IF(E1054=H1054,1,0))</f>
        <v/>
      </c>
      <c r="J1054" s="6" t="s">
        <v>161</v>
      </c>
    </row>
    <row r="1055" customFormat="false" ht="15" hidden="false" customHeight="false" outlineLevel="0" collapsed="false">
      <c r="A1055" s="19" t="n">
        <v>46345</v>
      </c>
      <c r="B1055" s="6" t="s">
        <v>20</v>
      </c>
      <c r="C1055" s="6" t="s">
        <v>154</v>
      </c>
      <c r="D1055" s="7" t="n">
        <v>-0.0564</v>
      </c>
      <c r="E1055" s="6" t="str">
        <f aca="false">IF(D1055&gt;Settings!$C$4,"Bullish",IF(D1055&lt;-Settings!$C$4,"Bearish","Neutral"))</f>
        <v>Neutral</v>
      </c>
      <c r="F1055" s="8"/>
      <c r="G1055" s="20"/>
      <c r="H1055" s="6" t="str">
        <f aca="false">IF(G1055="","",IF(G1055&gt;0,"Bullish",IF(G1055&lt;0,"Bearish","Flat")))</f>
        <v/>
      </c>
      <c r="I1055" s="6" t="str">
        <f aca="false">IF(OR(G1055="",E1055="Neutral"),"",IF(E1055=H1055,1,0))</f>
        <v/>
      </c>
      <c r="J1055" s="6" t="s">
        <v>161</v>
      </c>
    </row>
    <row r="1056" customFormat="false" ht="15" hidden="false" customHeight="false" outlineLevel="0" collapsed="false">
      <c r="A1056" s="19" t="n">
        <v>46345</v>
      </c>
      <c r="B1056" s="6" t="s">
        <v>20</v>
      </c>
      <c r="C1056" s="6" t="s">
        <v>149</v>
      </c>
      <c r="D1056" s="7" t="n">
        <v>0.085</v>
      </c>
      <c r="E1056" s="6" t="str">
        <f aca="false">IF(D1056&gt;Settings!$C$4,"Bullish",IF(D1056&lt;-Settings!$C$4,"Bearish","Neutral"))</f>
        <v>Neutral</v>
      </c>
      <c r="F1056" s="8"/>
      <c r="G1056" s="20"/>
      <c r="H1056" s="6" t="str">
        <f aca="false">IF(G1056="","",IF(G1056&gt;0,"Bullish",IF(G1056&lt;0,"Bearish","Flat")))</f>
        <v/>
      </c>
      <c r="I1056" s="6" t="str">
        <f aca="false">IF(OR(G1056="",E1056="Neutral"),"",IF(E1056=H1056,1,0))</f>
        <v/>
      </c>
      <c r="J1056" s="6" t="s">
        <v>161</v>
      </c>
    </row>
    <row r="1057" customFormat="false" ht="15" hidden="false" customHeight="false" outlineLevel="0" collapsed="false">
      <c r="A1057" s="19" t="n">
        <v>46345</v>
      </c>
      <c r="B1057" s="6" t="s">
        <v>22</v>
      </c>
      <c r="C1057" s="6" t="s">
        <v>154</v>
      </c>
      <c r="D1057" s="7" t="n">
        <v>0.86</v>
      </c>
      <c r="E1057" s="6" t="str">
        <f aca="false">IF(D1057&gt;Settings!$C$4,"Bullish",IF(D1057&lt;-Settings!$C$4,"Bearish","Neutral"))</f>
        <v>Bullish</v>
      </c>
      <c r="F1057" s="8" t="n">
        <v>0.488</v>
      </c>
      <c r="G1057" s="20"/>
      <c r="H1057" s="6" t="str">
        <f aca="false">IF(G1057="","",IF(G1057&gt;0,"Bullish",IF(G1057&lt;0,"Bearish","Flat")))</f>
        <v/>
      </c>
      <c r="I1057" s="6" t="str">
        <f aca="false">IF(OR(G1057="",E1057="Neutral"),"",IF(E1057=H1057,1,0))</f>
        <v/>
      </c>
      <c r="J1057" s="6" t="s">
        <v>161</v>
      </c>
    </row>
    <row r="1058" customFormat="false" ht="15" hidden="false" customHeight="false" outlineLevel="0" collapsed="false">
      <c r="A1058" s="19" t="n">
        <v>46345</v>
      </c>
      <c r="B1058" s="6" t="s">
        <v>22</v>
      </c>
      <c r="C1058" s="6" t="s">
        <v>149</v>
      </c>
      <c r="D1058" s="7" t="n">
        <v>0.458</v>
      </c>
      <c r="E1058" s="6" t="str">
        <f aca="false">IF(D1058&gt;Settings!$C$4,"Bullish",IF(D1058&lt;-Settings!$C$4,"Bearish","Neutral"))</f>
        <v>Bullish</v>
      </c>
      <c r="F1058" s="8" t="n">
        <v>0.527</v>
      </c>
      <c r="G1058" s="20"/>
      <c r="H1058" s="6" t="str">
        <f aca="false">IF(G1058="","",IF(G1058&gt;0,"Bullish",IF(G1058&lt;0,"Bearish","Flat")))</f>
        <v/>
      </c>
      <c r="I1058" s="6" t="str">
        <f aca="false">IF(OR(G1058="",E1058="Neutral"),"",IF(E1058=H1058,1,0))</f>
        <v/>
      </c>
      <c r="J1058" s="6" t="s">
        <v>161</v>
      </c>
    </row>
    <row r="1059" customFormat="false" ht="15" hidden="false" customHeight="false" outlineLevel="0" collapsed="false">
      <c r="A1059" s="19" t="n">
        <v>46345</v>
      </c>
      <c r="B1059" s="6" t="s">
        <v>52</v>
      </c>
      <c r="C1059" s="6" t="s">
        <v>154</v>
      </c>
      <c r="D1059" s="7" t="n">
        <v>-0.5095</v>
      </c>
      <c r="E1059" s="6" t="str">
        <f aca="false">IF(D1059&gt;Settings!$C$4,"Bullish",IF(D1059&lt;-Settings!$C$4,"Bearish","Neutral"))</f>
        <v>Bearish</v>
      </c>
      <c r="F1059" s="8" t="n">
        <v>0.467</v>
      </c>
      <c r="G1059" s="20"/>
      <c r="H1059" s="6" t="str">
        <f aca="false">IF(G1059="","",IF(G1059&gt;0,"Bullish",IF(G1059&lt;0,"Bearish","Flat")))</f>
        <v/>
      </c>
      <c r="I1059" s="6" t="str">
        <f aca="false">IF(OR(G1059="",E1059="Neutral"),"",IF(E1059=H1059,1,0))</f>
        <v/>
      </c>
      <c r="J1059" s="6" t="s">
        <v>161</v>
      </c>
    </row>
    <row r="1060" customFormat="false" ht="15" hidden="false" customHeight="false" outlineLevel="0" collapsed="false">
      <c r="A1060" s="19" t="n">
        <v>46345</v>
      </c>
      <c r="B1060" s="6" t="s">
        <v>52</v>
      </c>
      <c r="C1060" s="6" t="s">
        <v>149</v>
      </c>
      <c r="D1060" s="7" t="n">
        <v>0.2718</v>
      </c>
      <c r="E1060" s="6" t="str">
        <f aca="false">IF(D1060&gt;Settings!$C$4,"Bullish",IF(D1060&lt;-Settings!$C$4,"Bearish","Neutral"))</f>
        <v>Bullish</v>
      </c>
      <c r="F1060" s="8" t="n">
        <v>0.509</v>
      </c>
      <c r="G1060" s="20"/>
      <c r="H1060" s="6" t="str">
        <f aca="false">IF(G1060="","",IF(G1060&gt;0,"Bullish",IF(G1060&lt;0,"Bearish","Flat")))</f>
        <v/>
      </c>
      <c r="I1060" s="6" t="str">
        <f aca="false">IF(OR(G1060="",E1060="Neutral"),"",IF(E1060=H1060,1,0))</f>
        <v/>
      </c>
      <c r="J1060" s="6" t="s">
        <v>161</v>
      </c>
    </row>
    <row r="1061" customFormat="false" ht="15" hidden="false" customHeight="false" outlineLevel="0" collapsed="false">
      <c r="A1061" s="19" t="n">
        <v>46345</v>
      </c>
      <c r="B1061" s="6" t="s">
        <v>30</v>
      </c>
      <c r="C1061" s="6" t="s">
        <v>154</v>
      </c>
      <c r="D1061" s="7" t="n">
        <v>0.6828</v>
      </c>
      <c r="E1061" s="6" t="str">
        <f aca="false">IF(D1061&gt;Settings!$C$4,"Bullish",IF(D1061&lt;-Settings!$C$4,"Bearish","Neutral"))</f>
        <v>Bullish</v>
      </c>
      <c r="F1061" s="8" t="n">
        <v>0.51</v>
      </c>
      <c r="G1061" s="20"/>
      <c r="H1061" s="6" t="str">
        <f aca="false">IF(G1061="","",IF(G1061&gt;0,"Bullish",IF(G1061&lt;0,"Bearish","Flat")))</f>
        <v/>
      </c>
      <c r="I1061" s="6" t="str">
        <f aca="false">IF(OR(G1061="",E1061="Neutral"),"",IF(E1061=H1061,1,0))</f>
        <v/>
      </c>
      <c r="J1061" s="6" t="s">
        <v>161</v>
      </c>
    </row>
    <row r="1062" customFormat="false" ht="15" hidden="false" customHeight="false" outlineLevel="0" collapsed="false">
      <c r="A1062" s="19" t="n">
        <v>46345</v>
      </c>
      <c r="B1062" s="6" t="s">
        <v>30</v>
      </c>
      <c r="C1062" s="6" t="s">
        <v>149</v>
      </c>
      <c r="D1062" s="7" t="n">
        <v>0.458</v>
      </c>
      <c r="E1062" s="6" t="str">
        <f aca="false">IF(D1062&gt;Settings!$C$4,"Bullish",IF(D1062&lt;-Settings!$C$4,"Bearish","Neutral"))</f>
        <v>Bullish</v>
      </c>
      <c r="F1062" s="8" t="n">
        <v>0.525</v>
      </c>
      <c r="G1062" s="20"/>
      <c r="H1062" s="6" t="str">
        <f aca="false">IF(G1062="","",IF(G1062&gt;0,"Bullish",IF(G1062&lt;0,"Bearish","Flat")))</f>
        <v/>
      </c>
      <c r="I1062" s="6" t="str">
        <f aca="false">IF(OR(G1062="",E1062="Neutral"),"",IF(E1062=H1062,1,0))</f>
        <v/>
      </c>
      <c r="J1062" s="6" t="s">
        <v>161</v>
      </c>
    </row>
    <row r="1063" customFormat="false" ht="15" hidden="false" customHeight="false" outlineLevel="0" collapsed="false">
      <c r="A1063" s="19" t="n">
        <v>46345</v>
      </c>
      <c r="B1063" s="6" t="s">
        <v>50</v>
      </c>
      <c r="C1063" s="6" t="s">
        <v>154</v>
      </c>
      <c r="D1063" s="7" t="n">
        <v>0.5744</v>
      </c>
      <c r="E1063" s="6" t="str">
        <f aca="false">IF(D1063&gt;Settings!$C$4,"Bullish",IF(D1063&lt;-Settings!$C$4,"Bearish","Neutral"))</f>
        <v>Bullish</v>
      </c>
      <c r="F1063" s="8" t="n">
        <v>0.518</v>
      </c>
      <c r="G1063" s="20"/>
      <c r="H1063" s="6" t="str">
        <f aca="false">IF(G1063="","",IF(G1063&gt;0,"Bullish",IF(G1063&lt;0,"Bearish","Flat")))</f>
        <v/>
      </c>
      <c r="I1063" s="6" t="str">
        <f aca="false">IF(OR(G1063="",E1063="Neutral"),"",IF(E1063=H1063,1,0))</f>
        <v/>
      </c>
      <c r="J1063" s="6" t="s">
        <v>161</v>
      </c>
    </row>
    <row r="1064" customFormat="false" ht="15" hidden="false" customHeight="false" outlineLevel="0" collapsed="false">
      <c r="A1064" s="19" t="n">
        <v>46345</v>
      </c>
      <c r="B1064" s="6" t="s">
        <v>50</v>
      </c>
      <c r="C1064" s="6" t="s">
        <v>149</v>
      </c>
      <c r="D1064" s="7" t="n">
        <v>0.6107</v>
      </c>
      <c r="E1064" s="6" t="str">
        <f aca="false">IF(D1064&gt;Settings!$C$4,"Bullish",IF(D1064&lt;-Settings!$C$4,"Bearish","Neutral"))</f>
        <v>Bullish</v>
      </c>
      <c r="F1064" s="8" t="n">
        <v>0.442</v>
      </c>
      <c r="G1064" s="20"/>
      <c r="H1064" s="6" t="str">
        <f aca="false">IF(G1064="","",IF(G1064&gt;0,"Bullish",IF(G1064&lt;0,"Bearish","Flat")))</f>
        <v/>
      </c>
      <c r="I1064" s="6" t="str">
        <f aca="false">IF(OR(G1064="",E1064="Neutral"),"",IF(E1064=H1064,1,0))</f>
        <v/>
      </c>
      <c r="J1064" s="6" t="s">
        <v>161</v>
      </c>
    </row>
    <row r="1065" customFormat="false" ht="15" hidden="false" customHeight="false" outlineLevel="0" collapsed="false">
      <c r="A1065" s="19" t="n">
        <v>46345</v>
      </c>
      <c r="B1065" s="6" t="s">
        <v>34</v>
      </c>
      <c r="C1065" s="6" t="s">
        <v>154</v>
      </c>
      <c r="D1065" s="7" t="n">
        <v>-0.7387</v>
      </c>
      <c r="E1065" s="6" t="str">
        <f aca="false">IF(D1065&gt;Settings!$C$4,"Bullish",IF(D1065&lt;-Settings!$C$4,"Bearish","Neutral"))</f>
        <v>Bearish</v>
      </c>
      <c r="F1065" s="8" t="n">
        <v>0.489</v>
      </c>
      <c r="G1065" s="20"/>
      <c r="H1065" s="6" t="str">
        <f aca="false">IF(G1065="","",IF(G1065&gt;0,"Bullish",IF(G1065&lt;0,"Bearish","Flat")))</f>
        <v/>
      </c>
      <c r="I1065" s="6" t="str">
        <f aca="false">IF(OR(G1065="",E1065="Neutral"),"",IF(E1065=H1065,1,0))</f>
        <v/>
      </c>
      <c r="J1065" s="6" t="s">
        <v>161</v>
      </c>
    </row>
    <row r="1066" customFormat="false" ht="15" hidden="false" customHeight="false" outlineLevel="0" collapsed="false">
      <c r="A1066" s="19" t="n">
        <v>46345</v>
      </c>
      <c r="B1066" s="6" t="s">
        <v>34</v>
      </c>
      <c r="C1066" s="6" t="s">
        <v>149</v>
      </c>
      <c r="D1066" s="7" t="n">
        <v>0.0485</v>
      </c>
      <c r="E1066" s="6" t="str">
        <f aca="false">IF(D1066&gt;Settings!$C$4,"Bullish",IF(D1066&lt;-Settings!$C$4,"Bearish","Neutral"))</f>
        <v>Neutral</v>
      </c>
      <c r="F1066" s="8"/>
      <c r="G1066" s="20"/>
      <c r="H1066" s="6" t="str">
        <f aca="false">IF(G1066="","",IF(G1066&gt;0,"Bullish",IF(G1066&lt;0,"Bearish","Flat")))</f>
        <v/>
      </c>
      <c r="I1066" s="6" t="str">
        <f aca="false">IF(OR(G1066="",E1066="Neutral"),"",IF(E1066=H1066,1,0))</f>
        <v/>
      </c>
      <c r="J1066" s="6" t="s">
        <v>161</v>
      </c>
    </row>
    <row r="1067" customFormat="false" ht="15" hidden="false" customHeight="false" outlineLevel="0" collapsed="false">
      <c r="A1067" s="19" t="n">
        <v>46345</v>
      </c>
      <c r="B1067" s="6" t="s">
        <v>35</v>
      </c>
      <c r="C1067" s="6" t="s">
        <v>154</v>
      </c>
      <c r="D1067" s="7" t="n">
        <v>-0.5651</v>
      </c>
      <c r="E1067" s="6" t="str">
        <f aca="false">IF(D1067&gt;Settings!$C$4,"Bullish",IF(D1067&lt;-Settings!$C$4,"Bearish","Neutral"))</f>
        <v>Bearish</v>
      </c>
      <c r="F1067" s="8" t="n">
        <v>0.498</v>
      </c>
      <c r="G1067" s="20"/>
      <c r="H1067" s="6" t="str">
        <f aca="false">IF(G1067="","",IF(G1067&gt;0,"Bullish",IF(G1067&lt;0,"Bearish","Flat")))</f>
        <v/>
      </c>
      <c r="I1067" s="6" t="str">
        <f aca="false">IF(OR(G1067="",E1067="Neutral"),"",IF(E1067=H1067,1,0))</f>
        <v/>
      </c>
      <c r="J1067" s="6" t="s">
        <v>161</v>
      </c>
    </row>
    <row r="1068" customFormat="false" ht="15" hidden="false" customHeight="false" outlineLevel="0" collapsed="false">
      <c r="A1068" s="19" t="n">
        <v>46345</v>
      </c>
      <c r="B1068" s="6" t="s">
        <v>35</v>
      </c>
      <c r="C1068" s="6" t="s">
        <v>149</v>
      </c>
      <c r="D1068" s="7" t="n">
        <v>0.0966</v>
      </c>
      <c r="E1068" s="6" t="str">
        <f aca="false">IF(D1068&gt;Settings!$C$4,"Bullish",IF(D1068&lt;-Settings!$C$4,"Bearish","Neutral"))</f>
        <v>Neutral</v>
      </c>
      <c r="F1068" s="8"/>
      <c r="G1068" s="20"/>
      <c r="H1068" s="6" t="str">
        <f aca="false">IF(G1068="","",IF(G1068&gt;0,"Bullish",IF(G1068&lt;0,"Bearish","Flat")))</f>
        <v/>
      </c>
      <c r="I1068" s="6" t="str">
        <f aca="false">IF(OR(G1068="",E1068="Neutral"),"",IF(E1068=H1068,1,0))</f>
        <v/>
      </c>
      <c r="J1068" s="6" t="s">
        <v>161</v>
      </c>
    </row>
    <row r="1069" customFormat="false" ht="15" hidden="false" customHeight="false" outlineLevel="0" collapsed="false">
      <c r="A1069" s="19" t="n">
        <v>46345</v>
      </c>
      <c r="B1069" s="6" t="s">
        <v>37</v>
      </c>
      <c r="C1069" s="6" t="s">
        <v>154</v>
      </c>
      <c r="D1069" s="7" t="n">
        <v>0.0096</v>
      </c>
      <c r="E1069" s="6" t="str">
        <f aca="false">IF(D1069&gt;Settings!$C$4,"Bullish",IF(D1069&lt;-Settings!$C$4,"Bearish","Neutral"))</f>
        <v>Neutral</v>
      </c>
      <c r="F1069" s="8"/>
      <c r="G1069" s="20"/>
      <c r="H1069" s="6" t="str">
        <f aca="false">IF(G1069="","",IF(G1069&gt;0,"Bullish",IF(G1069&lt;0,"Bearish","Flat")))</f>
        <v/>
      </c>
      <c r="I1069" s="6" t="str">
        <f aca="false">IF(OR(G1069="",E1069="Neutral"),"",IF(E1069=H1069,1,0))</f>
        <v/>
      </c>
      <c r="J1069" s="6" t="s">
        <v>161</v>
      </c>
    </row>
    <row r="1070" customFormat="false" ht="15" hidden="false" customHeight="false" outlineLevel="0" collapsed="false">
      <c r="A1070" s="19" t="n">
        <v>46345</v>
      </c>
      <c r="B1070" s="6" t="s">
        <v>37</v>
      </c>
      <c r="C1070" s="6" t="s">
        <v>149</v>
      </c>
      <c r="D1070" s="7" t="n">
        <v>0.4199</v>
      </c>
      <c r="E1070" s="6" t="str">
        <f aca="false">IF(D1070&gt;Settings!$C$4,"Bullish",IF(D1070&lt;-Settings!$C$4,"Bearish","Neutral"))</f>
        <v>Bullish</v>
      </c>
      <c r="F1070" s="8" t="n">
        <v>0.509</v>
      </c>
      <c r="G1070" s="20"/>
      <c r="H1070" s="6" t="str">
        <f aca="false">IF(G1070="","",IF(G1070&gt;0,"Bullish",IF(G1070&lt;0,"Bearish","Flat")))</f>
        <v/>
      </c>
      <c r="I1070" s="6" t="str">
        <f aca="false">IF(OR(G1070="",E1070="Neutral"),"",IF(E1070=H1070,1,0))</f>
        <v/>
      </c>
      <c r="J1070" s="6" t="s">
        <v>161</v>
      </c>
    </row>
    <row r="1071" customFormat="false" ht="15" hidden="false" customHeight="false" outlineLevel="0" collapsed="false">
      <c r="A1071" s="19" t="n">
        <v>46345</v>
      </c>
      <c r="B1071" s="6" t="s">
        <v>38</v>
      </c>
      <c r="C1071" s="6" t="s">
        <v>154</v>
      </c>
      <c r="D1071" s="7" t="n">
        <v>-0.5031</v>
      </c>
      <c r="E1071" s="6" t="str">
        <f aca="false">IF(D1071&gt;Settings!$C$4,"Bullish",IF(D1071&lt;-Settings!$C$4,"Bearish","Neutral"))</f>
        <v>Bearish</v>
      </c>
      <c r="F1071" s="8" t="n">
        <v>0.478</v>
      </c>
      <c r="G1071" s="20"/>
      <c r="H1071" s="6" t="str">
        <f aca="false">IF(G1071="","",IF(G1071&gt;0,"Bullish",IF(G1071&lt;0,"Bearish","Flat")))</f>
        <v/>
      </c>
      <c r="I1071" s="6" t="str">
        <f aca="false">IF(OR(G1071="",E1071="Neutral"),"",IF(E1071=H1071,1,0))</f>
        <v/>
      </c>
      <c r="J1071" s="6" t="s">
        <v>161</v>
      </c>
    </row>
    <row r="1072" customFormat="false" ht="15" hidden="false" customHeight="false" outlineLevel="0" collapsed="false">
      <c r="A1072" s="19" t="n">
        <v>46345</v>
      </c>
      <c r="B1072" s="6" t="s">
        <v>38</v>
      </c>
      <c r="C1072" s="6" t="s">
        <v>149</v>
      </c>
      <c r="D1072" s="7" t="n">
        <v>0.2633</v>
      </c>
      <c r="E1072" s="6" t="str">
        <f aca="false">IF(D1072&gt;Settings!$C$4,"Bullish",IF(D1072&lt;-Settings!$C$4,"Bearish","Neutral"))</f>
        <v>Bullish</v>
      </c>
      <c r="F1072" s="8" t="n">
        <v>0.492</v>
      </c>
      <c r="G1072" s="20"/>
      <c r="H1072" s="6" t="str">
        <f aca="false">IF(G1072="","",IF(G1072&gt;0,"Bullish",IF(G1072&lt;0,"Bearish","Flat")))</f>
        <v/>
      </c>
      <c r="I1072" s="6" t="str">
        <f aca="false">IF(OR(G1072="",E1072="Neutral"),"",IF(E1072=H1072,1,0))</f>
        <v/>
      </c>
      <c r="J1072" s="6" t="s">
        <v>161</v>
      </c>
    </row>
    <row r="1073" customFormat="false" ht="15" hidden="false" customHeight="false" outlineLevel="0" collapsed="false">
      <c r="A1073" s="19" t="n">
        <v>46345</v>
      </c>
      <c r="B1073" s="6" t="s">
        <v>53</v>
      </c>
      <c r="C1073" s="6" t="s">
        <v>154</v>
      </c>
      <c r="D1073" s="7" t="n">
        <v>-0.5362</v>
      </c>
      <c r="E1073" s="6" t="str">
        <f aca="false">IF(D1073&gt;Settings!$C$4,"Bullish",IF(D1073&lt;-Settings!$C$4,"Bearish","Neutral"))</f>
        <v>Bearish</v>
      </c>
      <c r="F1073" s="8" t="n">
        <v>0.478</v>
      </c>
      <c r="G1073" s="20"/>
      <c r="H1073" s="6" t="str">
        <f aca="false">IF(G1073="","",IF(G1073&gt;0,"Bullish",IF(G1073&lt;0,"Bearish","Flat")))</f>
        <v/>
      </c>
      <c r="I1073" s="6" t="str">
        <f aca="false">IF(OR(G1073="",E1073="Neutral"),"",IF(E1073=H1073,1,0))</f>
        <v/>
      </c>
      <c r="J1073" s="6" t="s">
        <v>161</v>
      </c>
    </row>
    <row r="1074" customFormat="false" ht="15" hidden="false" customHeight="false" outlineLevel="0" collapsed="false">
      <c r="A1074" s="19" t="n">
        <v>46345</v>
      </c>
      <c r="B1074" s="6" t="s">
        <v>53</v>
      </c>
      <c r="C1074" s="6" t="s">
        <v>149</v>
      </c>
      <c r="D1074" s="7" t="n">
        <v>-0.0555</v>
      </c>
      <c r="E1074" s="6" t="str">
        <f aca="false">IF(D1074&gt;Settings!$C$4,"Bullish",IF(D1074&lt;-Settings!$C$4,"Bearish","Neutral"))</f>
        <v>Neutral</v>
      </c>
      <c r="F1074" s="8"/>
      <c r="G1074" s="20"/>
      <c r="H1074" s="6" t="str">
        <f aca="false">IF(G1074="","",IF(G1074&gt;0,"Bullish",IF(G1074&lt;0,"Bearish","Flat")))</f>
        <v/>
      </c>
      <c r="I1074" s="6" t="str">
        <f aca="false">IF(OR(G1074="",E1074="Neutral"),"",IF(E1074=H1074,1,0))</f>
        <v/>
      </c>
      <c r="J1074" s="6" t="s">
        <v>161</v>
      </c>
    </row>
    <row r="1075" customFormat="false" ht="15" hidden="false" customHeight="false" outlineLevel="0" collapsed="false">
      <c r="A1075" s="19" t="n">
        <v>46345</v>
      </c>
      <c r="B1075" s="6" t="s">
        <v>18</v>
      </c>
      <c r="C1075" s="6" t="s">
        <v>154</v>
      </c>
      <c r="D1075" s="7" t="n">
        <v>0.2061</v>
      </c>
      <c r="E1075" s="6" t="str">
        <f aca="false">IF(D1075&gt;Settings!$C$4,"Bullish",IF(D1075&lt;-Settings!$C$4,"Bearish","Neutral"))</f>
        <v>Bullish</v>
      </c>
      <c r="F1075" s="8" t="n">
        <v>0.481</v>
      </c>
      <c r="G1075" s="20"/>
      <c r="H1075" s="6" t="str">
        <f aca="false">IF(G1075="","",IF(G1075&gt;0,"Bullish",IF(G1075&lt;0,"Bearish","Flat")))</f>
        <v/>
      </c>
      <c r="I1075" s="6" t="str">
        <f aca="false">IF(OR(G1075="",E1075="Neutral"),"",IF(E1075=H1075,1,0))</f>
        <v/>
      </c>
      <c r="J1075" s="6" t="s">
        <v>161</v>
      </c>
    </row>
    <row r="1076" customFormat="false" ht="15" hidden="false" customHeight="false" outlineLevel="0" collapsed="false">
      <c r="A1076" s="19" t="n">
        <v>46345</v>
      </c>
      <c r="B1076" s="6" t="s">
        <v>18</v>
      </c>
      <c r="C1076" s="6" t="s">
        <v>149</v>
      </c>
      <c r="D1076" s="7" t="n">
        <v>0.4948</v>
      </c>
      <c r="E1076" s="6" t="str">
        <f aca="false">IF(D1076&gt;Settings!$C$4,"Bullish",IF(D1076&lt;-Settings!$C$4,"Bearish","Neutral"))</f>
        <v>Bullish</v>
      </c>
      <c r="F1076" s="8" t="n">
        <v>0.51</v>
      </c>
      <c r="G1076" s="20"/>
      <c r="H1076" s="6" t="str">
        <f aca="false">IF(G1076="","",IF(G1076&gt;0,"Bullish",IF(G1076&lt;0,"Bearish","Flat")))</f>
        <v/>
      </c>
      <c r="I1076" s="6" t="str">
        <f aca="false">IF(OR(G1076="",E1076="Neutral"),"",IF(E1076=H1076,1,0))</f>
        <v/>
      </c>
      <c r="J1076" s="6" t="s">
        <v>161</v>
      </c>
    </row>
    <row r="1077" customFormat="false" ht="15" hidden="false" customHeight="false" outlineLevel="0" collapsed="false">
      <c r="A1077" s="19" t="n">
        <v>46345</v>
      </c>
      <c r="B1077" s="6" t="s">
        <v>40</v>
      </c>
      <c r="C1077" s="6" t="s">
        <v>154</v>
      </c>
      <c r="D1077" s="7" t="n">
        <v>-0.0942</v>
      </c>
      <c r="E1077" s="6" t="str">
        <f aca="false">IF(D1077&gt;Settings!$C$4,"Bullish",IF(D1077&lt;-Settings!$C$4,"Bearish","Neutral"))</f>
        <v>Neutral</v>
      </c>
      <c r="F1077" s="8"/>
      <c r="G1077" s="20"/>
      <c r="H1077" s="6" t="str">
        <f aca="false">IF(G1077="","",IF(G1077&gt;0,"Bullish",IF(G1077&lt;0,"Bearish","Flat")))</f>
        <v/>
      </c>
      <c r="I1077" s="6" t="str">
        <f aca="false">IF(OR(G1077="",E1077="Neutral"),"",IF(E1077=H1077,1,0))</f>
        <v/>
      </c>
      <c r="J1077" s="6" t="s">
        <v>161</v>
      </c>
    </row>
    <row r="1078" customFormat="false" ht="15" hidden="false" customHeight="false" outlineLevel="0" collapsed="false">
      <c r="A1078" s="19" t="n">
        <v>46345</v>
      </c>
      <c r="B1078" s="6" t="s">
        <v>40</v>
      </c>
      <c r="C1078" s="6" t="s">
        <v>149</v>
      </c>
      <c r="D1078" s="7" t="n">
        <v>0.1565</v>
      </c>
      <c r="E1078" s="6" t="str">
        <f aca="false">IF(D1078&gt;Settings!$C$4,"Bullish",IF(D1078&lt;-Settings!$C$4,"Bearish","Neutral"))</f>
        <v>Bullish</v>
      </c>
      <c r="F1078" s="8" t="n">
        <v>0.521</v>
      </c>
      <c r="G1078" s="20"/>
      <c r="H1078" s="6" t="str">
        <f aca="false">IF(G1078="","",IF(G1078&gt;0,"Bullish",IF(G1078&lt;0,"Bearish","Flat")))</f>
        <v/>
      </c>
      <c r="I1078" s="6" t="str">
        <f aca="false">IF(OR(G1078="",E1078="Neutral"),"",IF(E1078=H1078,1,0))</f>
        <v/>
      </c>
      <c r="J1078" s="6" t="s">
        <v>161</v>
      </c>
    </row>
    <row r="1079" customFormat="false" ht="15" hidden="false" customHeight="false" outlineLevel="0" collapsed="false">
      <c r="A1079" s="19" t="n">
        <v>46345</v>
      </c>
      <c r="B1079" s="6" t="s">
        <v>49</v>
      </c>
      <c r="C1079" s="6" t="s">
        <v>154</v>
      </c>
      <c r="D1079" s="7" t="n">
        <v>-0.4984</v>
      </c>
      <c r="E1079" s="6" t="str">
        <f aca="false">IF(D1079&gt;Settings!$C$4,"Bullish",IF(D1079&lt;-Settings!$C$4,"Bearish","Neutral"))</f>
        <v>Bearish</v>
      </c>
      <c r="F1079" s="8" t="n">
        <v>0.505</v>
      </c>
      <c r="G1079" s="20"/>
      <c r="H1079" s="6" t="str">
        <f aca="false">IF(G1079="","",IF(G1079&gt;0,"Bullish",IF(G1079&lt;0,"Bearish","Flat")))</f>
        <v/>
      </c>
      <c r="I1079" s="6" t="str">
        <f aca="false">IF(OR(G1079="",E1079="Neutral"),"",IF(E1079=H1079,1,0))</f>
        <v/>
      </c>
      <c r="J1079" s="6" t="s">
        <v>161</v>
      </c>
    </row>
    <row r="1080" customFormat="false" ht="15" hidden="false" customHeight="false" outlineLevel="0" collapsed="false">
      <c r="A1080" s="19" t="n">
        <v>46345</v>
      </c>
      <c r="B1080" s="6" t="s">
        <v>49</v>
      </c>
      <c r="C1080" s="6" t="s">
        <v>149</v>
      </c>
      <c r="D1080" s="7" t="n">
        <v>0.3634</v>
      </c>
      <c r="E1080" s="6" t="str">
        <f aca="false">IF(D1080&gt;Settings!$C$4,"Bullish",IF(D1080&lt;-Settings!$C$4,"Bearish","Neutral"))</f>
        <v>Bullish</v>
      </c>
      <c r="F1080" s="8" t="n">
        <v>0.53</v>
      </c>
      <c r="G1080" s="20"/>
      <c r="H1080" s="6" t="str">
        <f aca="false">IF(G1080="","",IF(G1080&gt;0,"Bullish",IF(G1080&lt;0,"Bearish","Flat")))</f>
        <v/>
      </c>
      <c r="I1080" s="6" t="str">
        <f aca="false">IF(OR(G1080="",E1080="Neutral"),"",IF(E1080=H1080,1,0))</f>
        <v/>
      </c>
      <c r="J1080" s="6" t="s">
        <v>161</v>
      </c>
    </row>
    <row r="1081" customFormat="false" ht="15" hidden="false" customHeight="false" outlineLevel="0" collapsed="false">
      <c r="A1081" s="19" t="n">
        <v>46345</v>
      </c>
      <c r="B1081" s="6" t="s">
        <v>43</v>
      </c>
      <c r="C1081" s="6" t="s">
        <v>154</v>
      </c>
      <c r="D1081" s="7" t="n">
        <v>-0.755</v>
      </c>
      <c r="E1081" s="6" t="str">
        <f aca="false">IF(D1081&gt;Settings!$C$4,"Bullish",IF(D1081&lt;-Settings!$C$4,"Bearish","Neutral"))</f>
        <v>Bearish</v>
      </c>
      <c r="F1081" s="8" t="n">
        <v>0.523</v>
      </c>
      <c r="G1081" s="20"/>
      <c r="H1081" s="6" t="str">
        <f aca="false">IF(G1081="","",IF(G1081&gt;0,"Bullish",IF(G1081&lt;0,"Bearish","Flat")))</f>
        <v/>
      </c>
      <c r="I1081" s="6" t="str">
        <f aca="false">IF(OR(G1081="",E1081="Neutral"),"",IF(E1081=H1081,1,0))</f>
        <v/>
      </c>
      <c r="J1081" s="6" t="s">
        <v>161</v>
      </c>
    </row>
    <row r="1082" customFormat="false" ht="15" hidden="false" customHeight="false" outlineLevel="0" collapsed="false">
      <c r="A1082" s="19" t="n">
        <v>46345</v>
      </c>
      <c r="B1082" s="6" t="s">
        <v>43</v>
      </c>
      <c r="C1082" s="6" t="s">
        <v>149</v>
      </c>
      <c r="D1082" s="7" t="n">
        <v>-0.3108</v>
      </c>
      <c r="E1082" s="6" t="str">
        <f aca="false">IF(D1082&gt;Settings!$C$4,"Bullish",IF(D1082&lt;-Settings!$C$4,"Bearish","Neutral"))</f>
        <v>Bearish</v>
      </c>
      <c r="F1082" s="8" t="n">
        <v>0.552</v>
      </c>
      <c r="G1082" s="20"/>
      <c r="H1082" s="6" t="str">
        <f aca="false">IF(G1082="","",IF(G1082&gt;0,"Bullish",IF(G1082&lt;0,"Bearish","Flat")))</f>
        <v/>
      </c>
      <c r="I1082" s="6" t="str">
        <f aca="false">IF(OR(G1082="",E1082="Neutral"),"",IF(E1082=H1082,1,0))</f>
        <v/>
      </c>
      <c r="J1082" s="6" t="s">
        <v>161</v>
      </c>
    </row>
    <row r="1083" customFormat="false" ht="15" hidden="false" customHeight="false" outlineLevel="0" collapsed="false">
      <c r="A1083" s="19" t="n">
        <v>46345</v>
      </c>
      <c r="B1083" s="6" t="s">
        <v>51</v>
      </c>
      <c r="C1083" s="6" t="s">
        <v>154</v>
      </c>
      <c r="D1083" s="7" t="n">
        <v>0.0999</v>
      </c>
      <c r="E1083" s="6" t="str">
        <f aca="false">IF(D1083&gt;Settings!$C$4,"Bullish",IF(D1083&lt;-Settings!$C$4,"Bearish","Neutral"))</f>
        <v>Neutral</v>
      </c>
      <c r="F1083" s="8"/>
      <c r="G1083" s="20"/>
      <c r="H1083" s="6" t="str">
        <f aca="false">IF(G1083="","",IF(G1083&gt;0,"Bullish",IF(G1083&lt;0,"Bearish","Flat")))</f>
        <v/>
      </c>
      <c r="I1083" s="6" t="str">
        <f aca="false">IF(OR(G1083="",E1083="Neutral"),"",IF(E1083=H1083,1,0))</f>
        <v/>
      </c>
      <c r="J1083" s="6" t="s">
        <v>161</v>
      </c>
    </row>
    <row r="1084" customFormat="false" ht="15" hidden="false" customHeight="false" outlineLevel="0" collapsed="false">
      <c r="A1084" s="19" t="n">
        <v>46345</v>
      </c>
      <c r="B1084" s="6" t="s">
        <v>51</v>
      </c>
      <c r="C1084" s="6" t="s">
        <v>149</v>
      </c>
      <c r="D1084" s="7" t="n">
        <v>0.2968</v>
      </c>
      <c r="E1084" s="6" t="str">
        <f aca="false">IF(D1084&gt;Settings!$C$4,"Bullish",IF(D1084&lt;-Settings!$C$4,"Bearish","Neutral"))</f>
        <v>Bullish</v>
      </c>
      <c r="F1084" s="8" t="n">
        <v>0.534</v>
      </c>
      <c r="G1084" s="20"/>
      <c r="H1084" s="6" t="str">
        <f aca="false">IF(G1084="","",IF(G1084&gt;0,"Bullish",IF(G1084&lt;0,"Bearish","Flat")))</f>
        <v/>
      </c>
      <c r="I1084" s="6" t="str">
        <f aca="false">IF(OR(G1084="",E1084="Neutral"),"",IF(E1084=H1084,1,0))</f>
        <v/>
      </c>
      <c r="J1084" s="6" t="s">
        <v>161</v>
      </c>
    </row>
    <row r="1085" customFormat="false" ht="15" hidden="false" customHeight="false" outlineLevel="0" collapsed="false">
      <c r="A1085" s="19" t="n">
        <v>46346</v>
      </c>
      <c r="B1085" s="6" t="s">
        <v>20</v>
      </c>
      <c r="C1085" s="6" t="s">
        <v>154</v>
      </c>
      <c r="D1085" s="7" t="n">
        <v>-0.1067</v>
      </c>
      <c r="E1085" s="6" t="str">
        <f aca="false">IF(D1085&gt;Settings!$C$4,"Bullish",IF(D1085&lt;-Settings!$C$4,"Bearish","Neutral"))</f>
        <v>Neutral</v>
      </c>
      <c r="F1085" s="8"/>
      <c r="G1085" s="20"/>
      <c r="H1085" s="6" t="str">
        <f aca="false">IF(G1085="","",IF(G1085&gt;0,"Bullish",IF(G1085&lt;0,"Bearish","Flat")))</f>
        <v/>
      </c>
      <c r="I1085" s="6" t="str">
        <f aca="false">IF(OR(G1085="",E1085="Neutral"),"",IF(E1085=H1085,1,0))</f>
        <v/>
      </c>
      <c r="J1085" s="6" t="s">
        <v>161</v>
      </c>
    </row>
    <row r="1086" customFormat="false" ht="15" hidden="false" customHeight="false" outlineLevel="0" collapsed="false">
      <c r="A1086" s="19" t="n">
        <v>46346</v>
      </c>
      <c r="B1086" s="6" t="s">
        <v>20</v>
      </c>
      <c r="C1086" s="6" t="s">
        <v>149</v>
      </c>
      <c r="D1086" s="7" t="n">
        <v>0.1833</v>
      </c>
      <c r="E1086" s="6" t="str">
        <f aca="false">IF(D1086&gt;Settings!$C$4,"Bullish",IF(D1086&lt;-Settings!$C$4,"Bearish","Neutral"))</f>
        <v>Bullish</v>
      </c>
      <c r="F1086" s="8" t="n">
        <v>0.508</v>
      </c>
      <c r="G1086" s="20"/>
      <c r="H1086" s="6" t="str">
        <f aca="false">IF(G1086="","",IF(G1086&gt;0,"Bullish",IF(G1086&lt;0,"Bearish","Flat")))</f>
        <v/>
      </c>
      <c r="I1086" s="6" t="str">
        <f aca="false">IF(OR(G1086="",E1086="Neutral"),"",IF(E1086=H1086,1,0))</f>
        <v/>
      </c>
      <c r="J1086" s="6" t="s">
        <v>161</v>
      </c>
    </row>
    <row r="1087" customFormat="false" ht="15" hidden="false" customHeight="false" outlineLevel="0" collapsed="false">
      <c r="A1087" s="19" t="n">
        <v>46346</v>
      </c>
      <c r="B1087" s="6" t="s">
        <v>22</v>
      </c>
      <c r="C1087" s="6" t="s">
        <v>154</v>
      </c>
      <c r="D1087" s="7" t="n">
        <v>0.1863</v>
      </c>
      <c r="E1087" s="6" t="str">
        <f aca="false">IF(D1087&gt;Settings!$C$4,"Bullish",IF(D1087&lt;-Settings!$C$4,"Bearish","Neutral"))</f>
        <v>Bullish</v>
      </c>
      <c r="F1087" s="8" t="n">
        <v>0.514</v>
      </c>
      <c r="G1087" s="20"/>
      <c r="H1087" s="6" t="str">
        <f aca="false">IF(G1087="","",IF(G1087&gt;0,"Bullish",IF(G1087&lt;0,"Bearish","Flat")))</f>
        <v/>
      </c>
      <c r="I1087" s="6" t="str">
        <f aca="false">IF(OR(G1087="",E1087="Neutral"),"",IF(E1087=H1087,1,0))</f>
        <v/>
      </c>
      <c r="J1087" s="6" t="s">
        <v>161</v>
      </c>
    </row>
    <row r="1088" customFormat="false" ht="15" hidden="false" customHeight="false" outlineLevel="0" collapsed="false">
      <c r="A1088" s="19" t="n">
        <v>46346</v>
      </c>
      <c r="B1088" s="6" t="s">
        <v>22</v>
      </c>
      <c r="C1088" s="6" t="s">
        <v>149</v>
      </c>
      <c r="D1088" s="7" t="n">
        <v>0.4285</v>
      </c>
      <c r="E1088" s="6" t="str">
        <f aca="false">IF(D1088&gt;Settings!$C$4,"Bullish",IF(D1088&lt;-Settings!$C$4,"Bearish","Neutral"))</f>
        <v>Bullish</v>
      </c>
      <c r="F1088" s="8" t="n">
        <v>0.527</v>
      </c>
      <c r="G1088" s="20"/>
      <c r="H1088" s="6" t="str">
        <f aca="false">IF(G1088="","",IF(G1088&gt;0,"Bullish",IF(G1088&lt;0,"Bearish","Flat")))</f>
        <v/>
      </c>
      <c r="I1088" s="6" t="str">
        <f aca="false">IF(OR(G1088="",E1088="Neutral"),"",IF(E1088=H1088,1,0))</f>
        <v/>
      </c>
      <c r="J1088" s="6" t="s">
        <v>161</v>
      </c>
    </row>
    <row r="1089" customFormat="false" ht="15" hidden="false" customHeight="false" outlineLevel="0" collapsed="false">
      <c r="A1089" s="19" t="n">
        <v>46346</v>
      </c>
      <c r="B1089" s="6" t="s">
        <v>52</v>
      </c>
      <c r="C1089" s="6" t="s">
        <v>154</v>
      </c>
      <c r="D1089" s="7" t="n">
        <v>-0.8127</v>
      </c>
      <c r="E1089" s="6" t="str">
        <f aca="false">IF(D1089&gt;Settings!$C$4,"Bullish",IF(D1089&lt;-Settings!$C$4,"Bearish","Neutral"))</f>
        <v>Bearish</v>
      </c>
      <c r="F1089" s="8" t="n">
        <v>0.467</v>
      </c>
      <c r="G1089" s="20"/>
      <c r="H1089" s="6" t="str">
        <f aca="false">IF(G1089="","",IF(G1089&gt;0,"Bullish",IF(G1089&lt;0,"Bearish","Flat")))</f>
        <v/>
      </c>
      <c r="I1089" s="6" t="str">
        <f aca="false">IF(OR(G1089="",E1089="Neutral"),"",IF(E1089=H1089,1,0))</f>
        <v/>
      </c>
      <c r="J1089" s="6" t="s">
        <v>161</v>
      </c>
    </row>
    <row r="1090" customFormat="false" ht="15" hidden="false" customHeight="false" outlineLevel="0" collapsed="false">
      <c r="A1090" s="19" t="n">
        <v>46346</v>
      </c>
      <c r="B1090" s="6" t="s">
        <v>52</v>
      </c>
      <c r="C1090" s="6" t="s">
        <v>149</v>
      </c>
      <c r="D1090" s="7" t="n">
        <v>0.2458</v>
      </c>
      <c r="E1090" s="6" t="str">
        <f aca="false">IF(D1090&gt;Settings!$C$4,"Bullish",IF(D1090&lt;-Settings!$C$4,"Bearish","Neutral"))</f>
        <v>Bullish</v>
      </c>
      <c r="F1090" s="8" t="n">
        <v>0.509</v>
      </c>
      <c r="G1090" s="20"/>
      <c r="H1090" s="6" t="str">
        <f aca="false">IF(G1090="","",IF(G1090&gt;0,"Bullish",IF(G1090&lt;0,"Bearish","Flat")))</f>
        <v/>
      </c>
      <c r="I1090" s="6" t="str">
        <f aca="false">IF(OR(G1090="",E1090="Neutral"),"",IF(E1090=H1090,1,0))</f>
        <v/>
      </c>
      <c r="J1090" s="6" t="s">
        <v>161</v>
      </c>
    </row>
    <row r="1091" customFormat="false" ht="15" hidden="false" customHeight="false" outlineLevel="0" collapsed="false">
      <c r="A1091" s="19" t="n">
        <v>46346</v>
      </c>
      <c r="B1091" s="6" t="s">
        <v>30</v>
      </c>
      <c r="C1091" s="6" t="s">
        <v>154</v>
      </c>
      <c r="D1091" s="7" t="n">
        <v>0.1863</v>
      </c>
      <c r="E1091" s="6" t="str">
        <f aca="false">IF(D1091&gt;Settings!$C$4,"Bullish",IF(D1091&lt;-Settings!$C$4,"Bearish","Neutral"))</f>
        <v>Bullish</v>
      </c>
      <c r="F1091" s="8" t="n">
        <v>0.481</v>
      </c>
      <c r="G1091" s="20"/>
      <c r="H1091" s="6" t="str">
        <f aca="false">IF(G1091="","",IF(G1091&gt;0,"Bullish",IF(G1091&lt;0,"Bearish","Flat")))</f>
        <v/>
      </c>
      <c r="I1091" s="6" t="str">
        <f aca="false">IF(OR(G1091="",E1091="Neutral"),"",IF(E1091=H1091,1,0))</f>
        <v/>
      </c>
      <c r="J1091" s="6" t="s">
        <v>161</v>
      </c>
    </row>
    <row r="1092" customFormat="false" ht="15" hidden="false" customHeight="false" outlineLevel="0" collapsed="false">
      <c r="A1092" s="19" t="n">
        <v>46346</v>
      </c>
      <c r="B1092" s="6" t="s">
        <v>30</v>
      </c>
      <c r="C1092" s="6" t="s">
        <v>149</v>
      </c>
      <c r="D1092" s="7" t="n">
        <v>0.4285</v>
      </c>
      <c r="E1092" s="6" t="str">
        <f aca="false">IF(D1092&gt;Settings!$C$4,"Bullish",IF(D1092&lt;-Settings!$C$4,"Bearish","Neutral"))</f>
        <v>Bullish</v>
      </c>
      <c r="F1092" s="8" t="n">
        <v>0.525</v>
      </c>
      <c r="G1092" s="20"/>
      <c r="H1092" s="6" t="str">
        <f aca="false">IF(G1092="","",IF(G1092&gt;0,"Bullish",IF(G1092&lt;0,"Bearish","Flat")))</f>
        <v/>
      </c>
      <c r="I1092" s="6" t="str">
        <f aca="false">IF(OR(G1092="",E1092="Neutral"),"",IF(E1092=H1092,1,0))</f>
        <v/>
      </c>
      <c r="J1092" s="6" t="s">
        <v>161</v>
      </c>
    </row>
    <row r="1093" customFormat="false" ht="15" hidden="false" customHeight="false" outlineLevel="0" collapsed="false">
      <c r="A1093" s="19" t="n">
        <v>46346</v>
      </c>
      <c r="B1093" s="6" t="s">
        <v>50</v>
      </c>
      <c r="C1093" s="6" t="s">
        <v>154</v>
      </c>
      <c r="D1093" s="7" t="n">
        <v>-0.179</v>
      </c>
      <c r="E1093" s="6" t="str">
        <f aca="false">IF(D1093&gt;Settings!$C$4,"Bullish",IF(D1093&lt;-Settings!$C$4,"Bearish","Neutral"))</f>
        <v>Bearish</v>
      </c>
      <c r="F1093" s="8" t="n">
        <v>0.505</v>
      </c>
      <c r="G1093" s="20"/>
      <c r="H1093" s="6" t="str">
        <f aca="false">IF(G1093="","",IF(G1093&gt;0,"Bullish",IF(G1093&lt;0,"Bearish","Flat")))</f>
        <v/>
      </c>
      <c r="I1093" s="6" t="str">
        <f aca="false">IF(OR(G1093="",E1093="Neutral"),"",IF(E1093=H1093,1,0))</f>
        <v/>
      </c>
      <c r="J1093" s="6" t="s">
        <v>161</v>
      </c>
    </row>
    <row r="1094" customFormat="false" ht="15" hidden="false" customHeight="false" outlineLevel="0" collapsed="false">
      <c r="A1094" s="19" t="n">
        <v>46346</v>
      </c>
      <c r="B1094" s="6" t="s">
        <v>50</v>
      </c>
      <c r="C1094" s="6" t="s">
        <v>149</v>
      </c>
      <c r="D1094" s="7" t="n">
        <v>0.6435</v>
      </c>
      <c r="E1094" s="6" t="str">
        <f aca="false">IF(D1094&gt;Settings!$C$4,"Bullish",IF(D1094&lt;-Settings!$C$4,"Bearish","Neutral"))</f>
        <v>Bullish</v>
      </c>
      <c r="F1094" s="8" t="n">
        <v>0.442</v>
      </c>
      <c r="G1094" s="20"/>
      <c r="H1094" s="6" t="str">
        <f aca="false">IF(G1094="","",IF(G1094&gt;0,"Bullish",IF(G1094&lt;0,"Bearish","Flat")))</f>
        <v/>
      </c>
      <c r="I1094" s="6" t="str">
        <f aca="false">IF(OR(G1094="",E1094="Neutral"),"",IF(E1094=H1094,1,0))</f>
        <v/>
      </c>
      <c r="J1094" s="6" t="s">
        <v>161</v>
      </c>
    </row>
    <row r="1095" customFormat="false" ht="15" hidden="false" customHeight="false" outlineLevel="0" collapsed="false">
      <c r="A1095" s="19" t="n">
        <v>46346</v>
      </c>
      <c r="B1095" s="6" t="s">
        <v>34</v>
      </c>
      <c r="C1095" s="6" t="s">
        <v>154</v>
      </c>
      <c r="D1095" s="7" t="n">
        <v>-0.9137</v>
      </c>
      <c r="E1095" s="6" t="str">
        <f aca="false">IF(D1095&gt;Settings!$C$4,"Bullish",IF(D1095&lt;-Settings!$C$4,"Bearish","Neutral"))</f>
        <v>Bearish</v>
      </c>
      <c r="F1095" s="8" t="n">
        <v>0.489</v>
      </c>
      <c r="G1095" s="20"/>
      <c r="H1095" s="6" t="str">
        <f aca="false">IF(G1095="","",IF(G1095&gt;0,"Bullish",IF(G1095&lt;0,"Bearish","Flat")))</f>
        <v/>
      </c>
      <c r="I1095" s="6" t="str">
        <f aca="false">IF(OR(G1095="",E1095="Neutral"),"",IF(E1095=H1095,1,0))</f>
        <v/>
      </c>
      <c r="J1095" s="6" t="s">
        <v>161</v>
      </c>
    </row>
    <row r="1096" customFormat="false" ht="15" hidden="false" customHeight="false" outlineLevel="0" collapsed="false">
      <c r="A1096" s="19" t="n">
        <v>46346</v>
      </c>
      <c r="B1096" s="6" t="s">
        <v>34</v>
      </c>
      <c r="C1096" s="6" t="s">
        <v>149</v>
      </c>
      <c r="D1096" s="7" t="n">
        <v>0.0985</v>
      </c>
      <c r="E1096" s="6" t="str">
        <f aca="false">IF(D1096&gt;Settings!$C$4,"Bullish",IF(D1096&lt;-Settings!$C$4,"Bearish","Neutral"))</f>
        <v>Neutral</v>
      </c>
      <c r="F1096" s="8"/>
      <c r="G1096" s="20"/>
      <c r="H1096" s="6" t="str">
        <f aca="false">IF(G1096="","",IF(G1096&gt;0,"Bullish",IF(G1096&lt;0,"Bearish","Flat")))</f>
        <v/>
      </c>
      <c r="I1096" s="6" t="str">
        <f aca="false">IF(OR(G1096="",E1096="Neutral"),"",IF(E1096=H1096,1,0))</f>
        <v/>
      </c>
      <c r="J1096" s="6" t="s">
        <v>161</v>
      </c>
    </row>
    <row r="1097" customFormat="false" ht="15" hidden="false" customHeight="false" outlineLevel="0" collapsed="false">
      <c r="A1097" s="19" t="n">
        <v>46346</v>
      </c>
      <c r="B1097" s="6" t="s">
        <v>35</v>
      </c>
      <c r="C1097" s="6" t="s">
        <v>154</v>
      </c>
      <c r="D1097" s="7" t="n">
        <v>-0.1067</v>
      </c>
      <c r="E1097" s="6" t="str">
        <f aca="false">IF(D1097&gt;Settings!$C$4,"Bullish",IF(D1097&lt;-Settings!$C$4,"Bearish","Neutral"))</f>
        <v>Neutral</v>
      </c>
      <c r="F1097" s="8"/>
      <c r="G1097" s="20"/>
      <c r="H1097" s="6" t="str">
        <f aca="false">IF(G1097="","",IF(G1097&gt;0,"Bullish",IF(G1097&lt;0,"Bearish","Flat")))</f>
        <v/>
      </c>
      <c r="I1097" s="6" t="str">
        <f aca="false">IF(OR(G1097="",E1097="Neutral"),"",IF(E1097=H1097,1,0))</f>
        <v/>
      </c>
      <c r="J1097" s="6" t="s">
        <v>161</v>
      </c>
    </row>
    <row r="1098" customFormat="false" ht="15" hidden="false" customHeight="false" outlineLevel="0" collapsed="false">
      <c r="A1098" s="19" t="n">
        <v>46346</v>
      </c>
      <c r="B1098" s="6" t="s">
        <v>35</v>
      </c>
      <c r="C1098" s="6" t="s">
        <v>149</v>
      </c>
      <c r="D1098" s="7" t="n">
        <v>0.1173</v>
      </c>
      <c r="E1098" s="6" t="str">
        <f aca="false">IF(D1098&gt;Settings!$C$4,"Bullish",IF(D1098&lt;-Settings!$C$4,"Bearish","Neutral"))</f>
        <v>Neutral</v>
      </c>
      <c r="F1098" s="8"/>
      <c r="G1098" s="20"/>
      <c r="H1098" s="6" t="str">
        <f aca="false">IF(G1098="","",IF(G1098&gt;0,"Bullish",IF(G1098&lt;0,"Bearish","Flat")))</f>
        <v/>
      </c>
      <c r="I1098" s="6" t="str">
        <f aca="false">IF(OR(G1098="",E1098="Neutral"),"",IF(E1098=H1098,1,0))</f>
        <v/>
      </c>
      <c r="J1098" s="6" t="s">
        <v>161</v>
      </c>
    </row>
    <row r="1099" customFormat="false" ht="15" hidden="false" customHeight="false" outlineLevel="0" collapsed="false">
      <c r="A1099" s="19" t="n">
        <v>46346</v>
      </c>
      <c r="B1099" s="6" t="s">
        <v>37</v>
      </c>
      <c r="C1099" s="6" t="s">
        <v>154</v>
      </c>
      <c r="D1099" s="7" t="n">
        <v>-0.0088</v>
      </c>
      <c r="E1099" s="6" t="str">
        <f aca="false">IF(D1099&gt;Settings!$C$4,"Bullish",IF(D1099&lt;-Settings!$C$4,"Bearish","Neutral"))</f>
        <v>Neutral</v>
      </c>
      <c r="F1099" s="8"/>
      <c r="G1099" s="20"/>
      <c r="H1099" s="6" t="str">
        <f aca="false">IF(G1099="","",IF(G1099&gt;0,"Bullish",IF(G1099&lt;0,"Bearish","Flat")))</f>
        <v/>
      </c>
      <c r="I1099" s="6" t="str">
        <f aca="false">IF(OR(G1099="",E1099="Neutral"),"",IF(E1099=H1099,1,0))</f>
        <v/>
      </c>
      <c r="J1099" s="6" t="s">
        <v>161</v>
      </c>
    </row>
    <row r="1100" customFormat="false" ht="15" hidden="false" customHeight="false" outlineLevel="0" collapsed="false">
      <c r="A1100" s="19" t="n">
        <v>46346</v>
      </c>
      <c r="B1100" s="6" t="s">
        <v>37</v>
      </c>
      <c r="C1100" s="6" t="s">
        <v>149</v>
      </c>
      <c r="D1100" s="7" t="n">
        <v>0.4999</v>
      </c>
      <c r="E1100" s="6" t="str">
        <f aca="false">IF(D1100&gt;Settings!$C$4,"Bullish",IF(D1100&lt;-Settings!$C$4,"Bearish","Neutral"))</f>
        <v>Bullish</v>
      </c>
      <c r="F1100" s="8" t="n">
        <v>0.509</v>
      </c>
      <c r="G1100" s="20"/>
      <c r="H1100" s="6" t="str">
        <f aca="false">IF(G1100="","",IF(G1100&gt;0,"Bullish",IF(G1100&lt;0,"Bearish","Flat")))</f>
        <v/>
      </c>
      <c r="I1100" s="6" t="str">
        <f aca="false">IF(OR(G1100="",E1100="Neutral"),"",IF(E1100=H1100,1,0))</f>
        <v/>
      </c>
      <c r="J1100" s="6" t="s">
        <v>161</v>
      </c>
    </row>
    <row r="1101" customFormat="false" ht="15" hidden="false" customHeight="false" outlineLevel="0" collapsed="false">
      <c r="A1101" s="19" t="n">
        <v>46346</v>
      </c>
      <c r="B1101" s="6" t="s">
        <v>38</v>
      </c>
      <c r="C1101" s="6" t="s">
        <v>154</v>
      </c>
      <c r="D1101" s="7" t="n">
        <v>-0.8688</v>
      </c>
      <c r="E1101" s="6" t="str">
        <f aca="false">IF(D1101&gt;Settings!$C$4,"Bullish",IF(D1101&lt;-Settings!$C$4,"Bearish","Neutral"))</f>
        <v>Bearish</v>
      </c>
      <c r="F1101" s="8" t="n">
        <v>0.478</v>
      </c>
      <c r="G1101" s="20"/>
      <c r="H1101" s="6" t="str">
        <f aca="false">IF(G1101="","",IF(G1101&gt;0,"Bullish",IF(G1101&lt;0,"Bearish","Flat")))</f>
        <v/>
      </c>
      <c r="I1101" s="6" t="str">
        <f aca="false">IF(OR(G1101="",E1101="Neutral"),"",IF(E1101=H1101,1,0))</f>
        <v/>
      </c>
      <c r="J1101" s="6" t="s">
        <v>161</v>
      </c>
    </row>
    <row r="1102" customFormat="false" ht="15" hidden="false" customHeight="false" outlineLevel="0" collapsed="false">
      <c r="A1102" s="19" t="n">
        <v>46346</v>
      </c>
      <c r="B1102" s="6" t="s">
        <v>38</v>
      </c>
      <c r="C1102" s="6" t="s">
        <v>149</v>
      </c>
      <c r="D1102" s="7" t="n">
        <v>0.2277</v>
      </c>
      <c r="E1102" s="6" t="str">
        <f aca="false">IF(D1102&gt;Settings!$C$4,"Bullish",IF(D1102&lt;-Settings!$C$4,"Bearish","Neutral"))</f>
        <v>Bullish</v>
      </c>
      <c r="F1102" s="8" t="n">
        <v>0.492</v>
      </c>
      <c r="G1102" s="20"/>
      <c r="H1102" s="6" t="str">
        <f aca="false">IF(G1102="","",IF(G1102&gt;0,"Bullish",IF(G1102&lt;0,"Bearish","Flat")))</f>
        <v/>
      </c>
      <c r="I1102" s="6" t="str">
        <f aca="false">IF(OR(G1102="",E1102="Neutral"),"",IF(E1102=H1102,1,0))</f>
        <v/>
      </c>
      <c r="J1102" s="6" t="s">
        <v>161</v>
      </c>
    </row>
    <row r="1103" customFormat="false" ht="15" hidden="false" customHeight="false" outlineLevel="0" collapsed="false">
      <c r="A1103" s="19" t="n">
        <v>46346</v>
      </c>
      <c r="B1103" s="6" t="s">
        <v>53</v>
      </c>
      <c r="C1103" s="6" t="s">
        <v>154</v>
      </c>
      <c r="D1103" s="7" t="n">
        <v>-0.8127</v>
      </c>
      <c r="E1103" s="6" t="str">
        <f aca="false">IF(D1103&gt;Settings!$C$4,"Bullish",IF(D1103&lt;-Settings!$C$4,"Bearish","Neutral"))</f>
        <v>Bearish</v>
      </c>
      <c r="F1103" s="8" t="n">
        <v>0.478</v>
      </c>
      <c r="G1103" s="20"/>
      <c r="H1103" s="6" t="str">
        <f aca="false">IF(G1103="","",IF(G1103&gt;0,"Bullish",IF(G1103&lt;0,"Bearish","Flat")))</f>
        <v/>
      </c>
      <c r="I1103" s="6" t="str">
        <f aca="false">IF(OR(G1103="",E1103="Neutral"),"",IF(E1103=H1103,1,0))</f>
        <v/>
      </c>
      <c r="J1103" s="6" t="s">
        <v>161</v>
      </c>
    </row>
    <row r="1104" customFormat="false" ht="15" hidden="false" customHeight="false" outlineLevel="0" collapsed="false">
      <c r="A1104" s="19" t="n">
        <v>46346</v>
      </c>
      <c r="B1104" s="6" t="s">
        <v>53</v>
      </c>
      <c r="C1104" s="6" t="s">
        <v>149</v>
      </c>
      <c r="D1104" s="7" t="n">
        <v>-0.0691</v>
      </c>
      <c r="E1104" s="6" t="str">
        <f aca="false">IF(D1104&gt;Settings!$C$4,"Bullish",IF(D1104&lt;-Settings!$C$4,"Bearish","Neutral"))</f>
        <v>Neutral</v>
      </c>
      <c r="F1104" s="8"/>
      <c r="G1104" s="20"/>
      <c r="H1104" s="6" t="str">
        <f aca="false">IF(G1104="","",IF(G1104&gt;0,"Bullish",IF(G1104&lt;0,"Bearish","Flat")))</f>
        <v/>
      </c>
      <c r="I1104" s="6" t="str">
        <f aca="false">IF(OR(G1104="",E1104="Neutral"),"",IF(E1104=H1104,1,0))</f>
        <v/>
      </c>
      <c r="J1104" s="6" t="s">
        <v>161</v>
      </c>
    </row>
    <row r="1105" customFormat="false" ht="15" hidden="false" customHeight="false" outlineLevel="0" collapsed="false">
      <c r="A1105" s="19" t="n">
        <v>46346</v>
      </c>
      <c r="B1105" s="6" t="s">
        <v>18</v>
      </c>
      <c r="C1105" s="6" t="s">
        <v>154</v>
      </c>
      <c r="D1105" s="7" t="n">
        <v>-0.1955</v>
      </c>
      <c r="E1105" s="6" t="str">
        <f aca="false">IF(D1105&gt;Settings!$C$4,"Bullish",IF(D1105&lt;-Settings!$C$4,"Bearish","Neutral"))</f>
        <v>Bearish</v>
      </c>
      <c r="F1105" s="8" t="n">
        <v>0.481</v>
      </c>
      <c r="G1105" s="20"/>
      <c r="H1105" s="6" t="str">
        <f aca="false">IF(G1105="","",IF(G1105&gt;0,"Bullish",IF(G1105&lt;0,"Bearish","Flat")))</f>
        <v/>
      </c>
      <c r="I1105" s="6" t="str">
        <f aca="false">IF(OR(G1105="",E1105="Neutral"),"",IF(E1105=H1105,1,0))</f>
        <v/>
      </c>
      <c r="J1105" s="6" t="s">
        <v>161</v>
      </c>
    </row>
    <row r="1106" customFormat="false" ht="15" hidden="false" customHeight="false" outlineLevel="0" collapsed="false">
      <c r="A1106" s="19" t="n">
        <v>46346</v>
      </c>
      <c r="B1106" s="6" t="s">
        <v>18</v>
      </c>
      <c r="C1106" s="6" t="s">
        <v>149</v>
      </c>
      <c r="D1106" s="7" t="n">
        <v>0.4961</v>
      </c>
      <c r="E1106" s="6" t="str">
        <f aca="false">IF(D1106&gt;Settings!$C$4,"Bullish",IF(D1106&lt;-Settings!$C$4,"Bearish","Neutral"))</f>
        <v>Bullish</v>
      </c>
      <c r="F1106" s="8" t="n">
        <v>0.51</v>
      </c>
      <c r="G1106" s="20"/>
      <c r="H1106" s="6" t="str">
        <f aca="false">IF(G1106="","",IF(G1106&gt;0,"Bullish",IF(G1106&lt;0,"Bearish","Flat")))</f>
        <v/>
      </c>
      <c r="I1106" s="6" t="str">
        <f aca="false">IF(OR(G1106="",E1106="Neutral"),"",IF(E1106=H1106,1,0))</f>
        <v/>
      </c>
      <c r="J1106" s="6" t="s">
        <v>161</v>
      </c>
    </row>
    <row r="1107" customFormat="false" ht="15" hidden="false" customHeight="false" outlineLevel="0" collapsed="false">
      <c r="A1107" s="19" t="n">
        <v>46346</v>
      </c>
      <c r="B1107" s="6" t="s">
        <v>40</v>
      </c>
      <c r="C1107" s="6" t="s">
        <v>154</v>
      </c>
      <c r="D1107" s="7" t="n">
        <v>-0.2362</v>
      </c>
      <c r="E1107" s="6" t="str">
        <f aca="false">IF(D1107&gt;Settings!$C$4,"Bullish",IF(D1107&lt;-Settings!$C$4,"Bearish","Neutral"))</f>
        <v>Bearish</v>
      </c>
      <c r="F1107" s="8" t="n">
        <v>0.527</v>
      </c>
      <c r="G1107" s="20"/>
      <c r="H1107" s="6" t="str">
        <f aca="false">IF(G1107="","",IF(G1107&gt;0,"Bullish",IF(G1107&lt;0,"Bearish","Flat")))</f>
        <v/>
      </c>
      <c r="I1107" s="6" t="str">
        <f aca="false">IF(OR(G1107="",E1107="Neutral"),"",IF(E1107=H1107,1,0))</f>
        <v/>
      </c>
      <c r="J1107" s="6" t="s">
        <v>161</v>
      </c>
    </row>
    <row r="1108" customFormat="false" ht="15" hidden="false" customHeight="false" outlineLevel="0" collapsed="false">
      <c r="A1108" s="19" t="n">
        <v>46346</v>
      </c>
      <c r="B1108" s="6" t="s">
        <v>40</v>
      </c>
      <c r="C1108" s="6" t="s">
        <v>149</v>
      </c>
      <c r="D1108" s="7" t="n">
        <v>0.2277</v>
      </c>
      <c r="E1108" s="6" t="str">
        <f aca="false">IF(D1108&gt;Settings!$C$4,"Bullish",IF(D1108&lt;-Settings!$C$4,"Bearish","Neutral"))</f>
        <v>Bullish</v>
      </c>
      <c r="F1108" s="8" t="n">
        <v>0.521</v>
      </c>
      <c r="G1108" s="20"/>
      <c r="H1108" s="6" t="str">
        <f aca="false">IF(G1108="","",IF(G1108&gt;0,"Bullish",IF(G1108&lt;0,"Bearish","Flat")))</f>
        <v/>
      </c>
      <c r="I1108" s="6" t="str">
        <f aca="false">IF(OR(G1108="",E1108="Neutral"),"",IF(E1108=H1108,1,0))</f>
        <v/>
      </c>
      <c r="J1108" s="6" t="s">
        <v>161</v>
      </c>
    </row>
    <row r="1109" customFormat="false" ht="15" hidden="false" customHeight="false" outlineLevel="0" collapsed="false">
      <c r="A1109" s="19" t="n">
        <v>46346</v>
      </c>
      <c r="B1109" s="6" t="s">
        <v>49</v>
      </c>
      <c r="C1109" s="6" t="s">
        <v>154</v>
      </c>
      <c r="D1109" s="7" t="n">
        <v>0</v>
      </c>
      <c r="E1109" s="6" t="str">
        <f aca="false">IF(D1109&gt;Settings!$C$4,"Bullish",IF(D1109&lt;-Settings!$C$4,"Bearish","Neutral"))</f>
        <v>Neutral</v>
      </c>
      <c r="F1109" s="8"/>
      <c r="G1109" s="20"/>
      <c r="H1109" s="6" t="str">
        <f aca="false">IF(G1109="","",IF(G1109&gt;0,"Bullish",IF(G1109&lt;0,"Bearish","Flat")))</f>
        <v/>
      </c>
      <c r="I1109" s="6" t="str">
        <f aca="false">IF(OR(G1109="",E1109="Neutral"),"",IF(E1109=H1109,1,0))</f>
        <v/>
      </c>
      <c r="J1109" s="6" t="s">
        <v>161</v>
      </c>
    </row>
    <row r="1110" customFormat="false" ht="15" hidden="false" customHeight="false" outlineLevel="0" collapsed="false">
      <c r="A1110" s="19" t="n">
        <v>46346</v>
      </c>
      <c r="B1110" s="6" t="s">
        <v>49</v>
      </c>
      <c r="C1110" s="6" t="s">
        <v>149</v>
      </c>
      <c r="D1110" s="7" t="n">
        <v>0.3594</v>
      </c>
      <c r="E1110" s="6" t="str">
        <f aca="false">IF(D1110&gt;Settings!$C$4,"Bullish",IF(D1110&lt;-Settings!$C$4,"Bearish","Neutral"))</f>
        <v>Bullish</v>
      </c>
      <c r="F1110" s="8" t="n">
        <v>0.53</v>
      </c>
      <c r="G1110" s="20"/>
      <c r="H1110" s="6" t="str">
        <f aca="false">IF(G1110="","",IF(G1110&gt;0,"Bullish",IF(G1110&lt;0,"Bearish","Flat")))</f>
        <v/>
      </c>
      <c r="I1110" s="6" t="str">
        <f aca="false">IF(OR(G1110="",E1110="Neutral"),"",IF(E1110=H1110,1,0))</f>
        <v/>
      </c>
      <c r="J1110" s="6" t="s">
        <v>161</v>
      </c>
    </row>
    <row r="1111" customFormat="false" ht="15" hidden="false" customHeight="false" outlineLevel="0" collapsed="false">
      <c r="A1111" s="19" t="n">
        <v>46346</v>
      </c>
      <c r="B1111" s="6" t="s">
        <v>43</v>
      </c>
      <c r="C1111" s="6" t="s">
        <v>154</v>
      </c>
      <c r="D1111" s="7" t="n">
        <v>-0.9137</v>
      </c>
      <c r="E1111" s="6" t="str">
        <f aca="false">IF(D1111&gt;Settings!$C$4,"Bullish",IF(D1111&lt;-Settings!$C$4,"Bearish","Neutral"))</f>
        <v>Bearish</v>
      </c>
      <c r="F1111" s="8" t="n">
        <v>0.523</v>
      </c>
      <c r="G1111" s="20"/>
      <c r="H1111" s="6" t="str">
        <f aca="false">IF(G1111="","",IF(G1111&gt;0,"Bullish",IF(G1111&lt;0,"Bearish","Flat")))</f>
        <v/>
      </c>
      <c r="I1111" s="6" t="str">
        <f aca="false">IF(OR(G1111="",E1111="Neutral"),"",IF(E1111=H1111,1,0))</f>
        <v/>
      </c>
      <c r="J1111" s="6" t="s">
        <v>161</v>
      </c>
    </row>
    <row r="1112" customFormat="false" ht="15" hidden="false" customHeight="false" outlineLevel="0" collapsed="false">
      <c r="A1112" s="19" t="n">
        <v>46346</v>
      </c>
      <c r="B1112" s="6" t="s">
        <v>43</v>
      </c>
      <c r="C1112" s="6" t="s">
        <v>149</v>
      </c>
      <c r="D1112" s="7" t="n">
        <v>-0.2531</v>
      </c>
      <c r="E1112" s="6" t="str">
        <f aca="false">IF(D1112&gt;Settings!$C$4,"Bullish",IF(D1112&lt;-Settings!$C$4,"Bearish","Neutral"))</f>
        <v>Bearish</v>
      </c>
      <c r="F1112" s="8" t="n">
        <v>0.485</v>
      </c>
      <c r="G1112" s="20"/>
      <c r="H1112" s="6" t="str">
        <f aca="false">IF(G1112="","",IF(G1112&gt;0,"Bullish",IF(G1112&lt;0,"Bearish","Flat")))</f>
        <v/>
      </c>
      <c r="I1112" s="6" t="str">
        <f aca="false">IF(OR(G1112="",E1112="Neutral"),"",IF(E1112=H1112,1,0))</f>
        <v/>
      </c>
      <c r="J1112" s="6" t="s">
        <v>161</v>
      </c>
    </row>
    <row r="1113" customFormat="false" ht="15" hidden="false" customHeight="false" outlineLevel="0" collapsed="false">
      <c r="A1113" s="19" t="n">
        <v>46346</v>
      </c>
      <c r="B1113" s="6" t="s">
        <v>51</v>
      </c>
      <c r="C1113" s="6" t="s">
        <v>154</v>
      </c>
      <c r="D1113" s="7" t="n">
        <v>0.0014</v>
      </c>
      <c r="E1113" s="6" t="str">
        <f aca="false">IF(D1113&gt;Settings!$C$4,"Bullish",IF(D1113&lt;-Settings!$C$4,"Bearish","Neutral"))</f>
        <v>Neutral</v>
      </c>
      <c r="F1113" s="8"/>
      <c r="G1113" s="20"/>
      <c r="H1113" s="6" t="str">
        <f aca="false">IF(G1113="","",IF(G1113&gt;0,"Bullish",IF(G1113&lt;0,"Bearish","Flat")))</f>
        <v/>
      </c>
      <c r="I1113" s="6" t="str">
        <f aca="false">IF(OR(G1113="",E1113="Neutral"),"",IF(E1113=H1113,1,0))</f>
        <v/>
      </c>
      <c r="J1113" s="6" t="s">
        <v>161</v>
      </c>
    </row>
    <row r="1114" customFormat="false" ht="15" hidden="false" customHeight="false" outlineLevel="0" collapsed="false">
      <c r="A1114" s="19" t="n">
        <v>46346</v>
      </c>
      <c r="B1114" s="6" t="s">
        <v>51</v>
      </c>
      <c r="C1114" s="6" t="s">
        <v>149</v>
      </c>
      <c r="D1114" s="7" t="n">
        <v>0.3774</v>
      </c>
      <c r="E1114" s="6" t="str">
        <f aca="false">IF(D1114&gt;Settings!$C$4,"Bullish",IF(D1114&lt;-Settings!$C$4,"Bearish","Neutral"))</f>
        <v>Bullish</v>
      </c>
      <c r="F1114" s="8" t="n">
        <v>0.538</v>
      </c>
      <c r="G1114" s="20"/>
      <c r="H1114" s="6" t="str">
        <f aca="false">IF(G1114="","",IF(G1114&gt;0,"Bullish",IF(G1114&lt;0,"Bearish","Flat")))</f>
        <v/>
      </c>
      <c r="I1114" s="6" t="str">
        <f aca="false">IF(OR(G1114="",E1114="Neutral"),"",IF(E1114=H1114,1,0))</f>
        <v/>
      </c>
      <c r="J1114" s="6" t="s">
        <v>161</v>
      </c>
    </row>
    <row r="1115" customFormat="false" ht="15" hidden="false" customHeight="false" outlineLevel="0" collapsed="false">
      <c r="A1115" s="19" t="n">
        <v>46349</v>
      </c>
      <c r="B1115" s="6" t="s">
        <v>20</v>
      </c>
      <c r="C1115" s="6" t="s">
        <v>154</v>
      </c>
      <c r="D1115" s="7" t="n">
        <v>-0.5299</v>
      </c>
      <c r="E1115" s="6" t="str">
        <f aca="false">IF(D1115&gt;Settings!$C$4,"Bullish",IF(D1115&lt;-Settings!$C$4,"Bearish","Neutral"))</f>
        <v>Bearish</v>
      </c>
      <c r="F1115" s="8" t="n">
        <v>0.523</v>
      </c>
      <c r="G1115" s="20"/>
      <c r="H1115" s="6" t="str">
        <f aca="false">IF(G1115="","",IF(G1115&gt;0,"Bullish",IF(G1115&lt;0,"Bearish","Flat")))</f>
        <v/>
      </c>
      <c r="I1115" s="6" t="str">
        <f aca="false">IF(OR(G1115="",E1115="Neutral"),"",IF(E1115=H1115,1,0))</f>
        <v/>
      </c>
      <c r="J1115" s="6" t="s">
        <v>161</v>
      </c>
    </row>
    <row r="1116" customFormat="false" ht="15" hidden="false" customHeight="false" outlineLevel="0" collapsed="false">
      <c r="A1116" s="19" t="n">
        <v>46349</v>
      </c>
      <c r="B1116" s="6" t="s">
        <v>20</v>
      </c>
      <c r="C1116" s="6" t="s">
        <v>149</v>
      </c>
      <c r="D1116" s="7" t="n">
        <v>0.2805</v>
      </c>
      <c r="E1116" s="6" t="str">
        <f aca="false">IF(D1116&gt;Settings!$C$4,"Bullish",IF(D1116&lt;-Settings!$C$4,"Bearish","Neutral"))</f>
        <v>Bullish</v>
      </c>
      <c r="F1116" s="8" t="n">
        <v>0.508</v>
      </c>
      <c r="G1116" s="20"/>
      <c r="H1116" s="6" t="str">
        <f aca="false">IF(G1116="","",IF(G1116&gt;0,"Bullish",IF(G1116&lt;0,"Bearish","Flat")))</f>
        <v/>
      </c>
      <c r="I1116" s="6" t="str">
        <f aca="false">IF(OR(G1116="",E1116="Neutral"),"",IF(E1116=H1116,1,0))</f>
        <v/>
      </c>
      <c r="J1116" s="6" t="s">
        <v>161</v>
      </c>
    </row>
    <row r="1117" customFormat="false" ht="15" hidden="false" customHeight="false" outlineLevel="0" collapsed="false">
      <c r="A1117" s="19" t="n">
        <v>46349</v>
      </c>
      <c r="B1117" s="6" t="s">
        <v>22</v>
      </c>
      <c r="C1117" s="6" t="s">
        <v>154</v>
      </c>
      <c r="D1117" s="7" t="n">
        <v>0.3467</v>
      </c>
      <c r="E1117" s="6" t="str">
        <f aca="false">IF(D1117&gt;Settings!$C$4,"Bullish",IF(D1117&lt;-Settings!$C$4,"Bearish","Neutral"))</f>
        <v>Bullish</v>
      </c>
      <c r="F1117" s="8" t="n">
        <v>0.533</v>
      </c>
      <c r="G1117" s="20"/>
      <c r="H1117" s="6" t="str">
        <f aca="false">IF(G1117="","",IF(G1117&gt;0,"Bullish",IF(G1117&lt;0,"Bearish","Flat")))</f>
        <v/>
      </c>
      <c r="I1117" s="6" t="str">
        <f aca="false">IF(OR(G1117="",E1117="Neutral"),"",IF(E1117=H1117,1,0))</f>
        <v/>
      </c>
      <c r="J1117" s="6" t="s">
        <v>161</v>
      </c>
    </row>
    <row r="1118" customFormat="false" ht="15" hidden="false" customHeight="false" outlineLevel="0" collapsed="false">
      <c r="A1118" s="19" t="n">
        <v>46349</v>
      </c>
      <c r="B1118" s="6" t="s">
        <v>22</v>
      </c>
      <c r="C1118" s="6" t="s">
        <v>149</v>
      </c>
      <c r="D1118" s="7" t="n">
        <v>0.4637</v>
      </c>
      <c r="E1118" s="6" t="str">
        <f aca="false">IF(D1118&gt;Settings!$C$4,"Bullish",IF(D1118&lt;-Settings!$C$4,"Bearish","Neutral"))</f>
        <v>Bullish</v>
      </c>
      <c r="F1118" s="8" t="n">
        <v>0.527</v>
      </c>
      <c r="G1118" s="20"/>
      <c r="H1118" s="6" t="str">
        <f aca="false">IF(G1118="","",IF(G1118&gt;0,"Bullish",IF(G1118&lt;0,"Bearish","Flat")))</f>
        <v/>
      </c>
      <c r="I1118" s="6" t="str">
        <f aca="false">IF(OR(G1118="",E1118="Neutral"),"",IF(E1118=H1118,1,0))</f>
        <v/>
      </c>
      <c r="J1118" s="6" t="s">
        <v>161</v>
      </c>
    </row>
    <row r="1119" customFormat="false" ht="15" hidden="false" customHeight="false" outlineLevel="0" collapsed="false">
      <c r="A1119" s="19" t="n">
        <v>46349</v>
      </c>
      <c r="B1119" s="6" t="s">
        <v>52</v>
      </c>
      <c r="C1119" s="6" t="s">
        <v>154</v>
      </c>
      <c r="D1119" s="7" t="n">
        <v>-0.2196</v>
      </c>
      <c r="E1119" s="6" t="str">
        <f aca="false">IF(D1119&gt;Settings!$C$4,"Bullish",IF(D1119&lt;-Settings!$C$4,"Bearish","Neutral"))</f>
        <v>Bearish</v>
      </c>
      <c r="F1119" s="8" t="n">
        <v>0.494</v>
      </c>
      <c r="G1119" s="20"/>
      <c r="H1119" s="6" t="str">
        <f aca="false">IF(G1119="","",IF(G1119&gt;0,"Bullish",IF(G1119&lt;0,"Bearish","Flat")))</f>
        <v/>
      </c>
      <c r="I1119" s="6" t="str">
        <f aca="false">IF(OR(G1119="",E1119="Neutral"),"",IF(E1119=H1119,1,0))</f>
        <v/>
      </c>
      <c r="J1119" s="6" t="s">
        <v>161</v>
      </c>
    </row>
    <row r="1120" customFormat="false" ht="15" hidden="false" customHeight="false" outlineLevel="0" collapsed="false">
      <c r="A1120" s="19" t="n">
        <v>46349</v>
      </c>
      <c r="B1120" s="6" t="s">
        <v>52</v>
      </c>
      <c r="C1120" s="6" t="s">
        <v>149</v>
      </c>
      <c r="D1120" s="7" t="n">
        <v>0.2185</v>
      </c>
      <c r="E1120" s="6" t="str">
        <f aca="false">IF(D1120&gt;Settings!$C$4,"Bullish",IF(D1120&lt;-Settings!$C$4,"Bearish","Neutral"))</f>
        <v>Bullish</v>
      </c>
      <c r="F1120" s="8" t="n">
        <v>0.509</v>
      </c>
      <c r="G1120" s="20"/>
      <c r="H1120" s="6" t="str">
        <f aca="false">IF(G1120="","",IF(G1120&gt;0,"Bullish",IF(G1120&lt;0,"Bearish","Flat")))</f>
        <v/>
      </c>
      <c r="I1120" s="6" t="str">
        <f aca="false">IF(OR(G1120="",E1120="Neutral"),"",IF(E1120=H1120,1,0))</f>
        <v/>
      </c>
      <c r="J1120" s="6" t="s">
        <v>161</v>
      </c>
    </row>
    <row r="1121" customFormat="false" ht="15" hidden="false" customHeight="false" outlineLevel="0" collapsed="false">
      <c r="A1121" s="19" t="n">
        <v>46349</v>
      </c>
      <c r="B1121" s="6" t="s">
        <v>30</v>
      </c>
      <c r="C1121" s="6" t="s">
        <v>154</v>
      </c>
      <c r="D1121" s="7" t="n">
        <v>0.3305</v>
      </c>
      <c r="E1121" s="6" t="str">
        <f aca="false">IF(D1121&gt;Settings!$C$4,"Bullish",IF(D1121&lt;-Settings!$C$4,"Bearish","Neutral"))</f>
        <v>Bullish</v>
      </c>
      <c r="F1121" s="8" t="n">
        <v>0.482</v>
      </c>
      <c r="G1121" s="20"/>
      <c r="H1121" s="6" t="str">
        <f aca="false">IF(G1121="","",IF(G1121&gt;0,"Bullish",IF(G1121&lt;0,"Bearish","Flat")))</f>
        <v/>
      </c>
      <c r="I1121" s="6" t="str">
        <f aca="false">IF(OR(G1121="",E1121="Neutral"),"",IF(E1121=H1121,1,0))</f>
        <v/>
      </c>
      <c r="J1121" s="6" t="s">
        <v>161</v>
      </c>
    </row>
    <row r="1122" customFormat="false" ht="15" hidden="false" customHeight="false" outlineLevel="0" collapsed="false">
      <c r="A1122" s="19" t="n">
        <v>46349</v>
      </c>
      <c r="B1122" s="6" t="s">
        <v>30</v>
      </c>
      <c r="C1122" s="6" t="s">
        <v>149</v>
      </c>
      <c r="D1122" s="7" t="n">
        <v>0.4637</v>
      </c>
      <c r="E1122" s="6" t="str">
        <f aca="false">IF(D1122&gt;Settings!$C$4,"Bullish",IF(D1122&lt;-Settings!$C$4,"Bearish","Neutral"))</f>
        <v>Bullish</v>
      </c>
      <c r="F1122" s="8" t="n">
        <v>0.525</v>
      </c>
      <c r="G1122" s="20"/>
      <c r="H1122" s="6" t="str">
        <f aca="false">IF(G1122="","",IF(G1122&gt;0,"Bullish",IF(G1122&lt;0,"Bearish","Flat")))</f>
        <v/>
      </c>
      <c r="I1122" s="6" t="str">
        <f aca="false">IF(OR(G1122="",E1122="Neutral"),"",IF(E1122=H1122,1,0))</f>
        <v/>
      </c>
      <c r="J1122" s="6" t="s">
        <v>161</v>
      </c>
    </row>
    <row r="1123" customFormat="false" ht="15" hidden="false" customHeight="false" outlineLevel="0" collapsed="false">
      <c r="A1123" s="19" t="n">
        <v>46349</v>
      </c>
      <c r="B1123" s="6" t="s">
        <v>50</v>
      </c>
      <c r="C1123" s="6" t="s">
        <v>154</v>
      </c>
      <c r="D1123" s="7" t="n">
        <v>-0.1349</v>
      </c>
      <c r="E1123" s="6" t="str">
        <f aca="false">IF(D1123&gt;Settings!$C$4,"Bullish",IF(D1123&lt;-Settings!$C$4,"Bearish","Neutral"))</f>
        <v>Neutral</v>
      </c>
      <c r="F1123" s="8"/>
      <c r="G1123" s="20"/>
      <c r="H1123" s="6" t="str">
        <f aca="false">IF(G1123="","",IF(G1123&gt;0,"Bullish",IF(G1123&lt;0,"Bearish","Flat")))</f>
        <v/>
      </c>
      <c r="I1123" s="6" t="str">
        <f aca="false">IF(OR(G1123="",E1123="Neutral"),"",IF(E1123=H1123,1,0))</f>
        <v/>
      </c>
      <c r="J1123" s="6" t="s">
        <v>161</v>
      </c>
    </row>
    <row r="1124" customFormat="false" ht="15" hidden="false" customHeight="false" outlineLevel="0" collapsed="false">
      <c r="A1124" s="19" t="n">
        <v>46349</v>
      </c>
      <c r="B1124" s="6" t="s">
        <v>50</v>
      </c>
      <c r="C1124" s="6" t="s">
        <v>149</v>
      </c>
      <c r="D1124" s="7" t="n">
        <v>0.6762</v>
      </c>
      <c r="E1124" s="6" t="str">
        <f aca="false">IF(D1124&gt;Settings!$C$4,"Bullish",IF(D1124&lt;-Settings!$C$4,"Bearish","Neutral"))</f>
        <v>Bullish</v>
      </c>
      <c r="F1124" s="8" t="n">
        <v>0.442</v>
      </c>
      <c r="G1124" s="20"/>
      <c r="H1124" s="6" t="str">
        <f aca="false">IF(G1124="","",IF(G1124&gt;0,"Bullish",IF(G1124&lt;0,"Bearish","Flat")))</f>
        <v/>
      </c>
      <c r="I1124" s="6" t="str">
        <f aca="false">IF(OR(G1124="",E1124="Neutral"),"",IF(E1124=H1124,1,0))</f>
        <v/>
      </c>
      <c r="J1124" s="6" t="s">
        <v>161</v>
      </c>
    </row>
    <row r="1125" customFormat="false" ht="15" hidden="false" customHeight="false" outlineLevel="0" collapsed="false">
      <c r="A1125" s="19" t="n">
        <v>46349</v>
      </c>
      <c r="B1125" s="6" t="s">
        <v>34</v>
      </c>
      <c r="C1125" s="6" t="s">
        <v>154</v>
      </c>
      <c r="D1125" s="7" t="n">
        <v>-0.5678</v>
      </c>
      <c r="E1125" s="6" t="str">
        <f aca="false">IF(D1125&gt;Settings!$C$4,"Bullish",IF(D1125&lt;-Settings!$C$4,"Bearish","Neutral"))</f>
        <v>Bearish</v>
      </c>
      <c r="F1125" s="8" t="n">
        <v>0.489</v>
      </c>
      <c r="G1125" s="20"/>
      <c r="H1125" s="6" t="str">
        <f aca="false">IF(G1125="","",IF(G1125&gt;0,"Bullish",IF(G1125&lt;0,"Bearish","Flat")))</f>
        <v/>
      </c>
      <c r="I1125" s="6" t="str">
        <f aca="false">IF(OR(G1125="",E1125="Neutral"),"",IF(E1125=H1125,1,0))</f>
        <v/>
      </c>
      <c r="J1125" s="6" t="s">
        <v>161</v>
      </c>
    </row>
    <row r="1126" customFormat="false" ht="15" hidden="false" customHeight="false" outlineLevel="0" collapsed="false">
      <c r="A1126" s="19" t="n">
        <v>46349</v>
      </c>
      <c r="B1126" s="6" t="s">
        <v>34</v>
      </c>
      <c r="C1126" s="6" t="s">
        <v>149</v>
      </c>
      <c r="D1126" s="7" t="n">
        <v>0.1466</v>
      </c>
      <c r="E1126" s="6" t="str">
        <f aca="false">IF(D1126&gt;Settings!$C$4,"Bullish",IF(D1126&lt;-Settings!$C$4,"Bearish","Neutral"))</f>
        <v>Neutral</v>
      </c>
      <c r="F1126" s="8"/>
      <c r="G1126" s="20"/>
      <c r="H1126" s="6" t="str">
        <f aca="false">IF(G1126="","",IF(G1126&gt;0,"Bullish",IF(G1126&lt;0,"Bearish","Flat")))</f>
        <v/>
      </c>
      <c r="I1126" s="6" t="str">
        <f aca="false">IF(OR(G1126="",E1126="Neutral"),"",IF(E1126=H1126,1,0))</f>
        <v/>
      </c>
      <c r="J1126" s="6" t="s">
        <v>161</v>
      </c>
    </row>
    <row r="1127" customFormat="false" ht="15" hidden="false" customHeight="false" outlineLevel="0" collapsed="false">
      <c r="A1127" s="19" t="n">
        <v>46349</v>
      </c>
      <c r="B1127" s="6" t="s">
        <v>35</v>
      </c>
      <c r="C1127" s="6" t="s">
        <v>154</v>
      </c>
      <c r="D1127" s="7" t="n">
        <v>-0.1227</v>
      </c>
      <c r="E1127" s="6" t="str">
        <f aca="false">IF(D1127&gt;Settings!$C$4,"Bullish",IF(D1127&lt;-Settings!$C$4,"Bearish","Neutral"))</f>
        <v>Neutral</v>
      </c>
      <c r="F1127" s="8"/>
      <c r="G1127" s="20"/>
      <c r="H1127" s="6" t="str">
        <f aca="false">IF(G1127="","",IF(G1127&gt;0,"Bullish",IF(G1127&lt;0,"Bearish","Flat")))</f>
        <v/>
      </c>
      <c r="I1127" s="6" t="str">
        <f aca="false">IF(OR(G1127="",E1127="Neutral"),"",IF(E1127=H1127,1,0))</f>
        <v/>
      </c>
      <c r="J1127" s="6" t="s">
        <v>161</v>
      </c>
    </row>
    <row r="1128" customFormat="false" ht="15" hidden="false" customHeight="false" outlineLevel="0" collapsed="false">
      <c r="A1128" s="19" t="n">
        <v>46349</v>
      </c>
      <c r="B1128" s="6" t="s">
        <v>35</v>
      </c>
      <c r="C1128" s="6" t="s">
        <v>149</v>
      </c>
      <c r="D1128" s="7" t="n">
        <v>0.1379</v>
      </c>
      <c r="E1128" s="6" t="str">
        <f aca="false">IF(D1128&gt;Settings!$C$4,"Bullish",IF(D1128&lt;-Settings!$C$4,"Bearish","Neutral"))</f>
        <v>Neutral</v>
      </c>
      <c r="F1128" s="8"/>
      <c r="G1128" s="20"/>
      <c r="H1128" s="6" t="str">
        <f aca="false">IF(G1128="","",IF(G1128&gt;0,"Bullish",IF(G1128&lt;0,"Bearish","Flat")))</f>
        <v/>
      </c>
      <c r="I1128" s="6" t="str">
        <f aca="false">IF(OR(G1128="",E1128="Neutral"),"",IF(E1128=H1128,1,0))</f>
        <v/>
      </c>
      <c r="J1128" s="6" t="s">
        <v>161</v>
      </c>
    </row>
    <row r="1129" customFormat="false" ht="15" hidden="false" customHeight="false" outlineLevel="0" collapsed="false">
      <c r="A1129" s="19" t="n">
        <v>46349</v>
      </c>
      <c r="B1129" s="6" t="s">
        <v>37</v>
      </c>
      <c r="C1129" s="6" t="s">
        <v>154</v>
      </c>
      <c r="D1129" s="7" t="n">
        <v>0.2528</v>
      </c>
      <c r="E1129" s="6" t="str">
        <f aca="false">IF(D1129&gt;Settings!$C$4,"Bullish",IF(D1129&lt;-Settings!$C$4,"Bearish","Neutral"))</f>
        <v>Bullish</v>
      </c>
      <c r="F1129" s="8" t="n">
        <v>0.541</v>
      </c>
      <c r="G1129" s="20"/>
      <c r="H1129" s="6" t="str">
        <f aca="false">IF(G1129="","",IF(G1129&gt;0,"Bullish",IF(G1129&lt;0,"Bearish","Flat")))</f>
        <v/>
      </c>
      <c r="I1129" s="6" t="str">
        <f aca="false">IF(OR(G1129="",E1129="Neutral"),"",IF(E1129=H1129,1,0))</f>
        <v/>
      </c>
      <c r="J1129" s="6" t="s">
        <v>161</v>
      </c>
    </row>
    <row r="1130" customFormat="false" ht="15" hidden="false" customHeight="false" outlineLevel="0" collapsed="false">
      <c r="A1130" s="19" t="n">
        <v>46349</v>
      </c>
      <c r="B1130" s="6" t="s">
        <v>37</v>
      </c>
      <c r="C1130" s="6" t="s">
        <v>149</v>
      </c>
      <c r="D1130" s="7" t="n">
        <v>0.5787</v>
      </c>
      <c r="E1130" s="6" t="str">
        <f aca="false">IF(D1130&gt;Settings!$C$4,"Bullish",IF(D1130&lt;-Settings!$C$4,"Bearish","Neutral"))</f>
        <v>Bullish</v>
      </c>
      <c r="F1130" s="8" t="n">
        <v>0.523</v>
      </c>
      <c r="G1130" s="20"/>
      <c r="H1130" s="6" t="str">
        <f aca="false">IF(G1130="","",IF(G1130&gt;0,"Bullish",IF(G1130&lt;0,"Bearish","Flat")))</f>
        <v/>
      </c>
      <c r="I1130" s="6" t="str">
        <f aca="false">IF(OR(G1130="",E1130="Neutral"),"",IF(E1130=H1130,1,0))</f>
        <v/>
      </c>
      <c r="J1130" s="6" t="s">
        <v>161</v>
      </c>
    </row>
    <row r="1131" customFormat="false" ht="15" hidden="false" customHeight="false" outlineLevel="0" collapsed="false">
      <c r="A1131" s="19" t="n">
        <v>46349</v>
      </c>
      <c r="B1131" s="6" t="s">
        <v>38</v>
      </c>
      <c r="C1131" s="6" t="s">
        <v>154</v>
      </c>
      <c r="D1131" s="7" t="n">
        <v>-0.4222</v>
      </c>
      <c r="E1131" s="6" t="str">
        <f aca="false">IF(D1131&gt;Settings!$C$4,"Bullish",IF(D1131&lt;-Settings!$C$4,"Bearish","Neutral"))</f>
        <v>Bearish</v>
      </c>
      <c r="F1131" s="8" t="n">
        <v>0.521</v>
      </c>
      <c r="G1131" s="20"/>
      <c r="H1131" s="6" t="str">
        <f aca="false">IF(G1131="","",IF(G1131&gt;0,"Bullish",IF(G1131&lt;0,"Bearish","Flat")))</f>
        <v/>
      </c>
      <c r="I1131" s="6" t="str">
        <f aca="false">IF(OR(G1131="",E1131="Neutral"),"",IF(E1131=H1131,1,0))</f>
        <v/>
      </c>
      <c r="J1131" s="6" t="s">
        <v>161</v>
      </c>
    </row>
    <row r="1132" customFormat="false" ht="15" hidden="false" customHeight="false" outlineLevel="0" collapsed="false">
      <c r="A1132" s="19" t="n">
        <v>46349</v>
      </c>
      <c r="B1132" s="6" t="s">
        <v>38</v>
      </c>
      <c r="C1132" s="6" t="s">
        <v>149</v>
      </c>
      <c r="D1132" s="7" t="n">
        <v>0.2373</v>
      </c>
      <c r="E1132" s="6" t="str">
        <f aca="false">IF(D1132&gt;Settings!$C$4,"Bullish",IF(D1132&lt;-Settings!$C$4,"Bearish","Neutral"))</f>
        <v>Bullish</v>
      </c>
      <c r="F1132" s="8" t="n">
        <v>0.492</v>
      </c>
      <c r="G1132" s="20"/>
      <c r="H1132" s="6" t="str">
        <f aca="false">IF(G1132="","",IF(G1132&gt;0,"Bullish",IF(G1132&lt;0,"Bearish","Flat")))</f>
        <v/>
      </c>
      <c r="I1132" s="6" t="str">
        <f aca="false">IF(OR(G1132="",E1132="Neutral"),"",IF(E1132=H1132,1,0))</f>
        <v/>
      </c>
      <c r="J1132" s="6" t="s">
        <v>161</v>
      </c>
    </row>
    <row r="1133" customFormat="false" ht="15" hidden="false" customHeight="false" outlineLevel="0" collapsed="false">
      <c r="A1133" s="19" t="n">
        <v>46349</v>
      </c>
      <c r="B1133" s="6" t="s">
        <v>53</v>
      </c>
      <c r="C1133" s="6" t="s">
        <v>154</v>
      </c>
      <c r="D1133" s="7" t="n">
        <v>-0.029</v>
      </c>
      <c r="E1133" s="6" t="str">
        <f aca="false">IF(D1133&gt;Settings!$C$4,"Bullish",IF(D1133&lt;-Settings!$C$4,"Bearish","Neutral"))</f>
        <v>Neutral</v>
      </c>
      <c r="F1133" s="8"/>
      <c r="G1133" s="20"/>
      <c r="H1133" s="6" t="str">
        <f aca="false">IF(G1133="","",IF(G1133&gt;0,"Bullish",IF(G1133&lt;0,"Bearish","Flat")))</f>
        <v/>
      </c>
      <c r="I1133" s="6" t="str">
        <f aca="false">IF(OR(G1133="",E1133="Neutral"),"",IF(E1133=H1133,1,0))</f>
        <v/>
      </c>
      <c r="J1133" s="6" t="s">
        <v>161</v>
      </c>
    </row>
    <row r="1134" customFormat="false" ht="15" hidden="false" customHeight="false" outlineLevel="0" collapsed="false">
      <c r="A1134" s="19" t="n">
        <v>46349</v>
      </c>
      <c r="B1134" s="6" t="s">
        <v>53</v>
      </c>
      <c r="C1134" s="6" t="s">
        <v>149</v>
      </c>
      <c r="D1134" s="7" t="n">
        <v>-0.083</v>
      </c>
      <c r="E1134" s="6" t="str">
        <f aca="false">IF(D1134&gt;Settings!$C$4,"Bullish",IF(D1134&lt;-Settings!$C$4,"Bearish","Neutral"))</f>
        <v>Neutral</v>
      </c>
      <c r="F1134" s="8"/>
      <c r="G1134" s="20"/>
      <c r="H1134" s="6" t="str">
        <f aca="false">IF(G1134="","",IF(G1134&gt;0,"Bullish",IF(G1134&lt;0,"Bearish","Flat")))</f>
        <v/>
      </c>
      <c r="I1134" s="6" t="str">
        <f aca="false">IF(OR(G1134="",E1134="Neutral"),"",IF(E1134=H1134,1,0))</f>
        <v/>
      </c>
      <c r="J1134" s="6" t="s">
        <v>161</v>
      </c>
    </row>
    <row r="1135" customFormat="false" ht="15" hidden="false" customHeight="false" outlineLevel="0" collapsed="false">
      <c r="A1135" s="19" t="n">
        <v>46349</v>
      </c>
      <c r="B1135" s="6" t="s">
        <v>18</v>
      </c>
      <c r="C1135" s="6" t="s">
        <v>154</v>
      </c>
      <c r="D1135" s="7" t="n">
        <v>-0.0593</v>
      </c>
      <c r="E1135" s="6" t="str">
        <f aca="false">IF(D1135&gt;Settings!$C$4,"Bullish",IF(D1135&lt;-Settings!$C$4,"Bearish","Neutral"))</f>
        <v>Neutral</v>
      </c>
      <c r="F1135" s="8"/>
      <c r="G1135" s="20"/>
      <c r="H1135" s="6" t="str">
        <f aca="false">IF(G1135="","",IF(G1135&gt;0,"Bullish",IF(G1135&lt;0,"Bearish","Flat")))</f>
        <v/>
      </c>
      <c r="I1135" s="6" t="str">
        <f aca="false">IF(OR(G1135="",E1135="Neutral"),"",IF(E1135=H1135,1,0))</f>
        <v/>
      </c>
      <c r="J1135" s="6" t="s">
        <v>161</v>
      </c>
    </row>
    <row r="1136" customFormat="false" ht="15" hidden="false" customHeight="false" outlineLevel="0" collapsed="false">
      <c r="A1136" s="19" t="n">
        <v>46349</v>
      </c>
      <c r="B1136" s="6" t="s">
        <v>18</v>
      </c>
      <c r="C1136" s="6" t="s">
        <v>149</v>
      </c>
      <c r="D1136" s="7" t="n">
        <v>0.5518</v>
      </c>
      <c r="E1136" s="6" t="str">
        <f aca="false">IF(D1136&gt;Settings!$C$4,"Bullish",IF(D1136&lt;-Settings!$C$4,"Bearish","Neutral"))</f>
        <v>Bullish</v>
      </c>
      <c r="F1136" s="8" t="n">
        <v>0.476</v>
      </c>
      <c r="G1136" s="20"/>
      <c r="H1136" s="6" t="str">
        <f aca="false">IF(G1136="","",IF(G1136&gt;0,"Bullish",IF(G1136&lt;0,"Bearish","Flat")))</f>
        <v/>
      </c>
      <c r="I1136" s="6" t="str">
        <f aca="false">IF(OR(G1136="",E1136="Neutral"),"",IF(E1136=H1136,1,0))</f>
        <v/>
      </c>
      <c r="J1136" s="6" t="s">
        <v>161</v>
      </c>
    </row>
    <row r="1137" customFormat="false" ht="15" hidden="false" customHeight="false" outlineLevel="0" collapsed="false">
      <c r="A1137" s="19" t="n">
        <v>46349</v>
      </c>
      <c r="B1137" s="6" t="s">
        <v>40</v>
      </c>
      <c r="C1137" s="6" t="s">
        <v>154</v>
      </c>
      <c r="D1137" s="7" t="n">
        <v>-0.4615</v>
      </c>
      <c r="E1137" s="6" t="str">
        <f aca="false">IF(D1137&gt;Settings!$C$4,"Bullish",IF(D1137&lt;-Settings!$C$4,"Bearish","Neutral"))</f>
        <v>Bearish</v>
      </c>
      <c r="F1137" s="8" t="n">
        <v>0.509</v>
      </c>
      <c r="G1137" s="20"/>
      <c r="H1137" s="6" t="str">
        <f aca="false">IF(G1137="","",IF(G1137&gt;0,"Bullish",IF(G1137&lt;0,"Bearish","Flat")))</f>
        <v/>
      </c>
      <c r="I1137" s="6" t="str">
        <f aca="false">IF(OR(G1137="",E1137="Neutral"),"",IF(E1137=H1137,1,0))</f>
        <v/>
      </c>
      <c r="J1137" s="6" t="s">
        <v>161</v>
      </c>
    </row>
    <row r="1138" customFormat="false" ht="15" hidden="false" customHeight="false" outlineLevel="0" collapsed="false">
      <c r="A1138" s="19" t="n">
        <v>46349</v>
      </c>
      <c r="B1138" s="6" t="s">
        <v>40</v>
      </c>
      <c r="C1138" s="6" t="s">
        <v>149</v>
      </c>
      <c r="D1138" s="7" t="n">
        <v>0.2957</v>
      </c>
      <c r="E1138" s="6" t="str">
        <f aca="false">IF(D1138&gt;Settings!$C$4,"Bullish",IF(D1138&lt;-Settings!$C$4,"Bearish","Neutral"))</f>
        <v>Bullish</v>
      </c>
      <c r="F1138" s="8" t="n">
        <v>0.521</v>
      </c>
      <c r="G1138" s="20"/>
      <c r="H1138" s="6" t="str">
        <f aca="false">IF(G1138="","",IF(G1138&gt;0,"Bullish",IF(G1138&lt;0,"Bearish","Flat")))</f>
        <v/>
      </c>
      <c r="I1138" s="6" t="str">
        <f aca="false">IF(OR(G1138="",E1138="Neutral"),"",IF(E1138=H1138,1,0))</f>
        <v/>
      </c>
      <c r="J1138" s="6" t="s">
        <v>161</v>
      </c>
    </row>
    <row r="1139" customFormat="false" ht="15" hidden="false" customHeight="false" outlineLevel="0" collapsed="false">
      <c r="A1139" s="19" t="n">
        <v>46349</v>
      </c>
      <c r="B1139" s="6" t="s">
        <v>49</v>
      </c>
      <c r="C1139" s="6" t="s">
        <v>154</v>
      </c>
      <c r="D1139" s="7" t="n">
        <v>-0.1918</v>
      </c>
      <c r="E1139" s="6" t="str">
        <f aca="false">IF(D1139&gt;Settings!$C$4,"Bullish",IF(D1139&lt;-Settings!$C$4,"Bearish","Neutral"))</f>
        <v>Bearish</v>
      </c>
      <c r="F1139" s="8" t="n">
        <v>0.478</v>
      </c>
      <c r="G1139" s="20"/>
      <c r="H1139" s="6" t="str">
        <f aca="false">IF(G1139="","",IF(G1139&gt;0,"Bullish",IF(G1139&lt;0,"Bearish","Flat")))</f>
        <v/>
      </c>
      <c r="I1139" s="6" t="str">
        <f aca="false">IF(OR(G1139="",E1139="Neutral"),"",IF(E1139=H1139,1,0))</f>
        <v/>
      </c>
      <c r="J1139" s="6" t="s">
        <v>161</v>
      </c>
    </row>
    <row r="1140" customFormat="false" ht="15" hidden="false" customHeight="false" outlineLevel="0" collapsed="false">
      <c r="A1140" s="19" t="n">
        <v>46349</v>
      </c>
      <c r="B1140" s="6" t="s">
        <v>49</v>
      </c>
      <c r="C1140" s="6" t="s">
        <v>149</v>
      </c>
      <c r="D1140" s="7" t="n">
        <v>0.3547</v>
      </c>
      <c r="E1140" s="6" t="str">
        <f aca="false">IF(D1140&gt;Settings!$C$4,"Bullish",IF(D1140&lt;-Settings!$C$4,"Bearish","Neutral"))</f>
        <v>Bullish</v>
      </c>
      <c r="F1140" s="8" t="n">
        <v>0.53</v>
      </c>
      <c r="G1140" s="20"/>
      <c r="H1140" s="6" t="str">
        <f aca="false">IF(G1140="","",IF(G1140&gt;0,"Bullish",IF(G1140&lt;0,"Bearish","Flat")))</f>
        <v/>
      </c>
      <c r="I1140" s="6" t="str">
        <f aca="false">IF(OR(G1140="",E1140="Neutral"),"",IF(E1140=H1140,1,0))</f>
        <v/>
      </c>
      <c r="J1140" s="6" t="s">
        <v>161</v>
      </c>
    </row>
    <row r="1141" customFormat="false" ht="15" hidden="false" customHeight="false" outlineLevel="0" collapsed="false">
      <c r="A1141" s="19" t="n">
        <v>46349</v>
      </c>
      <c r="B1141" s="6" t="s">
        <v>43</v>
      </c>
      <c r="C1141" s="6" t="s">
        <v>154</v>
      </c>
      <c r="D1141" s="7" t="n">
        <v>-0.4219</v>
      </c>
      <c r="E1141" s="6" t="str">
        <f aca="false">IF(D1141&gt;Settings!$C$4,"Bullish",IF(D1141&lt;-Settings!$C$4,"Bearish","Neutral"))</f>
        <v>Bearish</v>
      </c>
      <c r="F1141" s="8" t="n">
        <v>0.526</v>
      </c>
      <c r="G1141" s="20"/>
      <c r="H1141" s="6" t="str">
        <f aca="false">IF(G1141="","",IF(G1141&gt;0,"Bullish",IF(G1141&lt;0,"Bearish","Flat")))</f>
        <v/>
      </c>
      <c r="I1141" s="6" t="str">
        <f aca="false">IF(OR(G1141="",E1141="Neutral"),"",IF(E1141=H1141,1,0))</f>
        <v/>
      </c>
      <c r="J1141" s="6" t="s">
        <v>161</v>
      </c>
    </row>
    <row r="1142" customFormat="false" ht="15" hidden="false" customHeight="false" outlineLevel="0" collapsed="false">
      <c r="A1142" s="19" t="n">
        <v>46349</v>
      </c>
      <c r="B1142" s="6" t="s">
        <v>43</v>
      </c>
      <c r="C1142" s="6" t="s">
        <v>149</v>
      </c>
      <c r="D1142" s="7" t="n">
        <v>-0.1969</v>
      </c>
      <c r="E1142" s="6" t="str">
        <f aca="false">IF(D1142&gt;Settings!$C$4,"Bullish",IF(D1142&lt;-Settings!$C$4,"Bearish","Neutral"))</f>
        <v>Bearish</v>
      </c>
      <c r="F1142" s="8" t="n">
        <v>0.485</v>
      </c>
      <c r="G1142" s="20"/>
      <c r="H1142" s="6" t="str">
        <f aca="false">IF(G1142="","",IF(G1142&gt;0,"Bullish",IF(G1142&lt;0,"Bearish","Flat")))</f>
        <v/>
      </c>
      <c r="I1142" s="6" t="str">
        <f aca="false">IF(OR(G1142="",E1142="Neutral"),"",IF(E1142=H1142,1,0))</f>
        <v/>
      </c>
      <c r="J1142" s="6" t="s">
        <v>161</v>
      </c>
    </row>
    <row r="1143" customFormat="false" ht="15" hidden="false" customHeight="false" outlineLevel="0" collapsed="false">
      <c r="A1143" s="19" t="n">
        <v>46349</v>
      </c>
      <c r="B1143" s="6" t="s">
        <v>51</v>
      </c>
      <c r="C1143" s="6" t="s">
        <v>154</v>
      </c>
      <c r="D1143" s="7" t="n">
        <v>0.1978</v>
      </c>
      <c r="E1143" s="6" t="str">
        <f aca="false">IF(D1143&gt;Settings!$C$4,"Bullish",IF(D1143&lt;-Settings!$C$4,"Bearish","Neutral"))</f>
        <v>Bullish</v>
      </c>
      <c r="F1143" s="8" t="n">
        <v>0.532</v>
      </c>
      <c r="G1143" s="20"/>
      <c r="H1143" s="6" t="str">
        <f aca="false">IF(G1143="","",IF(G1143&gt;0,"Bullish",IF(G1143&lt;0,"Bearish","Flat")))</f>
        <v/>
      </c>
      <c r="I1143" s="6" t="str">
        <f aca="false">IF(OR(G1143="",E1143="Neutral"),"",IF(E1143=H1143,1,0))</f>
        <v/>
      </c>
      <c r="J1143" s="6" t="s">
        <v>161</v>
      </c>
    </row>
    <row r="1144" customFormat="false" ht="15" hidden="false" customHeight="false" outlineLevel="0" collapsed="false">
      <c r="A1144" s="19" t="n">
        <v>46349</v>
      </c>
      <c r="B1144" s="6" t="s">
        <v>51</v>
      </c>
      <c r="C1144" s="6" t="s">
        <v>149</v>
      </c>
      <c r="D1144" s="7" t="n">
        <v>0.4563</v>
      </c>
      <c r="E1144" s="6" t="str">
        <f aca="false">IF(D1144&gt;Settings!$C$4,"Bullish",IF(D1144&lt;-Settings!$C$4,"Bearish","Neutral"))</f>
        <v>Bullish</v>
      </c>
      <c r="F1144" s="8" t="n">
        <v>0.538</v>
      </c>
      <c r="G1144" s="20"/>
      <c r="H1144" s="6" t="str">
        <f aca="false">IF(G1144="","",IF(G1144&gt;0,"Bullish",IF(G1144&lt;0,"Bearish","Flat")))</f>
        <v/>
      </c>
      <c r="I1144" s="6" t="str">
        <f aca="false">IF(OR(G1144="",E1144="Neutral"),"",IF(E1144=H1144,1,0))</f>
        <v/>
      </c>
      <c r="J1144" s="6" t="s">
        <v>161</v>
      </c>
    </row>
    <row r="1145" customFormat="false" ht="15" hidden="false" customHeight="false" outlineLevel="0" collapsed="false">
      <c r="A1145" s="19" t="n">
        <v>46350</v>
      </c>
      <c r="B1145" s="6" t="s">
        <v>20</v>
      </c>
      <c r="C1145" s="6" t="s">
        <v>154</v>
      </c>
      <c r="D1145" s="7" t="n">
        <v>-0.1004</v>
      </c>
      <c r="E1145" s="6" t="str">
        <f aca="false">IF(D1145&gt;Settings!$C$4,"Bullish",IF(D1145&lt;-Settings!$C$4,"Bearish","Neutral"))</f>
        <v>Neutral</v>
      </c>
      <c r="F1145" s="8"/>
      <c r="G1145" s="20"/>
      <c r="H1145" s="6" t="str">
        <f aca="false">IF(G1145="","",IF(G1145&gt;0,"Bullish",IF(G1145&lt;0,"Bearish","Flat")))</f>
        <v/>
      </c>
      <c r="I1145" s="6" t="str">
        <f aca="false">IF(OR(G1145="",E1145="Neutral"),"",IF(E1145=H1145,1,0))</f>
        <v/>
      </c>
      <c r="J1145" s="6" t="s">
        <v>161</v>
      </c>
    </row>
    <row r="1146" customFormat="false" ht="15" hidden="false" customHeight="false" outlineLevel="0" collapsed="false">
      <c r="A1146" s="19" t="n">
        <v>46350</v>
      </c>
      <c r="B1146" s="6" t="s">
        <v>20</v>
      </c>
      <c r="C1146" s="6" t="s">
        <v>149</v>
      </c>
      <c r="D1146" s="7" t="n">
        <v>0.3764</v>
      </c>
      <c r="E1146" s="6" t="str">
        <f aca="false">IF(D1146&gt;Settings!$C$4,"Bullish",IF(D1146&lt;-Settings!$C$4,"Bearish","Neutral"))</f>
        <v>Bullish</v>
      </c>
      <c r="F1146" s="8" t="n">
        <v>0.465</v>
      </c>
      <c r="G1146" s="20"/>
      <c r="H1146" s="6" t="str">
        <f aca="false">IF(G1146="","",IF(G1146&gt;0,"Bullish",IF(G1146&lt;0,"Bearish","Flat")))</f>
        <v/>
      </c>
      <c r="I1146" s="6" t="str">
        <f aca="false">IF(OR(G1146="",E1146="Neutral"),"",IF(E1146=H1146,1,0))</f>
        <v/>
      </c>
      <c r="J1146" s="6" t="s">
        <v>161</v>
      </c>
    </row>
    <row r="1147" customFormat="false" ht="15" hidden="false" customHeight="false" outlineLevel="0" collapsed="false">
      <c r="A1147" s="19" t="n">
        <v>46350</v>
      </c>
      <c r="B1147" s="6" t="s">
        <v>22</v>
      </c>
      <c r="C1147" s="6" t="s">
        <v>154</v>
      </c>
      <c r="D1147" s="7" t="n">
        <v>0.3789</v>
      </c>
      <c r="E1147" s="6" t="str">
        <f aca="false">IF(D1147&gt;Settings!$C$4,"Bullish",IF(D1147&lt;-Settings!$C$4,"Bearish","Neutral"))</f>
        <v>Bullish</v>
      </c>
      <c r="F1147" s="8" t="n">
        <v>0.533</v>
      </c>
      <c r="G1147" s="20"/>
      <c r="H1147" s="6" t="str">
        <f aca="false">IF(G1147="","",IF(G1147&gt;0,"Bullish",IF(G1147&lt;0,"Bearish","Flat")))</f>
        <v/>
      </c>
      <c r="I1147" s="6" t="str">
        <f aca="false">IF(OR(G1147="",E1147="Neutral"),"",IF(E1147=H1147,1,0))</f>
        <v/>
      </c>
      <c r="J1147" s="6" t="s">
        <v>161</v>
      </c>
    </row>
    <row r="1148" customFormat="false" ht="15" hidden="false" customHeight="false" outlineLevel="0" collapsed="false">
      <c r="A1148" s="19" t="n">
        <v>46350</v>
      </c>
      <c r="B1148" s="6" t="s">
        <v>22</v>
      </c>
      <c r="C1148" s="6" t="s">
        <v>149</v>
      </c>
      <c r="D1148" s="7" t="n">
        <v>0.4519</v>
      </c>
      <c r="E1148" s="6" t="str">
        <f aca="false">IF(D1148&gt;Settings!$C$4,"Bullish",IF(D1148&lt;-Settings!$C$4,"Bearish","Neutral"))</f>
        <v>Bullish</v>
      </c>
      <c r="F1148" s="8" t="n">
        <v>0.527</v>
      </c>
      <c r="G1148" s="20"/>
      <c r="H1148" s="6" t="str">
        <f aca="false">IF(G1148="","",IF(G1148&gt;0,"Bullish",IF(G1148&lt;0,"Bearish","Flat")))</f>
        <v/>
      </c>
      <c r="I1148" s="6" t="str">
        <f aca="false">IF(OR(G1148="",E1148="Neutral"),"",IF(E1148=H1148,1,0))</f>
        <v/>
      </c>
      <c r="J1148" s="6" t="s">
        <v>161</v>
      </c>
    </row>
    <row r="1149" customFormat="false" ht="15" hidden="false" customHeight="false" outlineLevel="0" collapsed="false">
      <c r="A1149" s="19" t="n">
        <v>46350</v>
      </c>
      <c r="B1149" s="6" t="s">
        <v>52</v>
      </c>
      <c r="C1149" s="6" t="s">
        <v>154</v>
      </c>
      <c r="D1149" s="7" t="n">
        <v>-0.0798</v>
      </c>
      <c r="E1149" s="6" t="str">
        <f aca="false">IF(D1149&gt;Settings!$C$4,"Bullish",IF(D1149&lt;-Settings!$C$4,"Bearish","Neutral"))</f>
        <v>Neutral</v>
      </c>
      <c r="F1149" s="8"/>
      <c r="G1149" s="20"/>
      <c r="H1149" s="6" t="str">
        <f aca="false">IF(G1149="","",IF(G1149&gt;0,"Bullish",IF(G1149&lt;0,"Bearish","Flat")))</f>
        <v/>
      </c>
      <c r="I1149" s="6" t="str">
        <f aca="false">IF(OR(G1149="",E1149="Neutral"),"",IF(E1149=H1149,1,0))</f>
        <v/>
      </c>
      <c r="J1149" s="6" t="s">
        <v>161</v>
      </c>
    </row>
    <row r="1150" customFormat="false" ht="15" hidden="false" customHeight="false" outlineLevel="0" collapsed="false">
      <c r="A1150" s="19" t="n">
        <v>46350</v>
      </c>
      <c r="B1150" s="6" t="s">
        <v>52</v>
      </c>
      <c r="C1150" s="6" t="s">
        <v>149</v>
      </c>
      <c r="D1150" s="7" t="n">
        <v>0.1908</v>
      </c>
      <c r="E1150" s="6" t="str">
        <f aca="false">IF(D1150&gt;Settings!$C$4,"Bullish",IF(D1150&lt;-Settings!$C$4,"Bearish","Neutral"))</f>
        <v>Bullish</v>
      </c>
      <c r="F1150" s="8" t="n">
        <v>0.509</v>
      </c>
      <c r="G1150" s="20"/>
      <c r="H1150" s="6" t="str">
        <f aca="false">IF(G1150="","",IF(G1150&gt;0,"Bullish",IF(G1150&lt;0,"Bearish","Flat")))</f>
        <v/>
      </c>
      <c r="I1150" s="6" t="str">
        <f aca="false">IF(OR(G1150="",E1150="Neutral"),"",IF(E1150=H1150,1,0))</f>
        <v/>
      </c>
      <c r="J1150" s="6" t="s">
        <v>161</v>
      </c>
    </row>
    <row r="1151" customFormat="false" ht="15" hidden="false" customHeight="false" outlineLevel="0" collapsed="false">
      <c r="A1151" s="19" t="n">
        <v>46350</v>
      </c>
      <c r="B1151" s="6" t="s">
        <v>30</v>
      </c>
      <c r="C1151" s="6" t="s">
        <v>154</v>
      </c>
      <c r="D1151" s="7" t="n">
        <v>0.0675</v>
      </c>
      <c r="E1151" s="6" t="str">
        <f aca="false">IF(D1151&gt;Settings!$C$4,"Bullish",IF(D1151&lt;-Settings!$C$4,"Bearish","Neutral"))</f>
        <v>Neutral</v>
      </c>
      <c r="F1151" s="8"/>
      <c r="G1151" s="20"/>
      <c r="H1151" s="6" t="str">
        <f aca="false">IF(G1151="","",IF(G1151&gt;0,"Bullish",IF(G1151&lt;0,"Bearish","Flat")))</f>
        <v/>
      </c>
      <c r="I1151" s="6" t="str">
        <f aca="false">IF(OR(G1151="",E1151="Neutral"),"",IF(E1151=H1151,1,0))</f>
        <v/>
      </c>
      <c r="J1151" s="6" t="s">
        <v>161</v>
      </c>
    </row>
    <row r="1152" customFormat="false" ht="15" hidden="false" customHeight="false" outlineLevel="0" collapsed="false">
      <c r="A1152" s="19" t="n">
        <v>46350</v>
      </c>
      <c r="B1152" s="6" t="s">
        <v>30</v>
      </c>
      <c r="C1152" s="6" t="s">
        <v>149</v>
      </c>
      <c r="D1152" s="7" t="n">
        <v>0.4519</v>
      </c>
      <c r="E1152" s="6" t="str">
        <f aca="false">IF(D1152&gt;Settings!$C$4,"Bullish",IF(D1152&lt;-Settings!$C$4,"Bearish","Neutral"))</f>
        <v>Bullish</v>
      </c>
      <c r="F1152" s="8" t="n">
        <v>0.525</v>
      </c>
      <c r="G1152" s="20"/>
      <c r="H1152" s="6" t="str">
        <f aca="false">IF(G1152="","",IF(G1152&gt;0,"Bullish",IF(G1152&lt;0,"Bearish","Flat")))</f>
        <v/>
      </c>
      <c r="I1152" s="6" t="str">
        <f aca="false">IF(OR(G1152="",E1152="Neutral"),"",IF(E1152=H1152,1,0))</f>
        <v/>
      </c>
      <c r="J1152" s="6" t="s">
        <v>161</v>
      </c>
    </row>
    <row r="1153" customFormat="false" ht="15" hidden="false" customHeight="false" outlineLevel="0" collapsed="false">
      <c r="A1153" s="19" t="n">
        <v>46350</v>
      </c>
      <c r="B1153" s="6" t="s">
        <v>50</v>
      </c>
      <c r="C1153" s="6" t="s">
        <v>154</v>
      </c>
      <c r="D1153" s="7" t="n">
        <v>0.7086</v>
      </c>
      <c r="E1153" s="6" t="str">
        <f aca="false">IF(D1153&gt;Settings!$C$4,"Bullish",IF(D1153&lt;-Settings!$C$4,"Bearish","Neutral"))</f>
        <v>Bullish</v>
      </c>
      <c r="F1153" s="8" t="n">
        <v>0.518</v>
      </c>
      <c r="G1153" s="20"/>
      <c r="H1153" s="6" t="str">
        <f aca="false">IF(G1153="","",IF(G1153&gt;0,"Bullish",IF(G1153&lt;0,"Bearish","Flat")))</f>
        <v/>
      </c>
      <c r="I1153" s="6" t="str">
        <f aca="false">IF(OR(G1153="",E1153="Neutral"),"",IF(E1153=H1153,1,0))</f>
        <v/>
      </c>
      <c r="J1153" s="6" t="s">
        <v>161</v>
      </c>
    </row>
    <row r="1154" customFormat="false" ht="15" hidden="false" customHeight="false" outlineLevel="0" collapsed="false">
      <c r="A1154" s="19" t="n">
        <v>46350</v>
      </c>
      <c r="B1154" s="6" t="s">
        <v>50</v>
      </c>
      <c r="C1154" s="6" t="s">
        <v>149</v>
      </c>
      <c r="D1154" s="7" t="n">
        <v>0.7142</v>
      </c>
      <c r="E1154" s="6" t="str">
        <f aca="false">IF(D1154&gt;Settings!$C$4,"Bullish",IF(D1154&lt;-Settings!$C$4,"Bearish","Neutral"))</f>
        <v>Bullish</v>
      </c>
      <c r="F1154" s="8" t="n">
        <v>0.442</v>
      </c>
      <c r="G1154" s="20"/>
      <c r="H1154" s="6" t="str">
        <f aca="false">IF(G1154="","",IF(G1154&gt;0,"Bullish",IF(G1154&lt;0,"Bearish","Flat")))</f>
        <v/>
      </c>
      <c r="I1154" s="6" t="str">
        <f aca="false">IF(OR(G1154="",E1154="Neutral"),"",IF(E1154=H1154,1,0))</f>
        <v/>
      </c>
      <c r="J1154" s="6" t="s">
        <v>161</v>
      </c>
    </row>
    <row r="1155" customFormat="false" ht="15" hidden="false" customHeight="false" outlineLevel="0" collapsed="false">
      <c r="A1155" s="19" t="n">
        <v>46350</v>
      </c>
      <c r="B1155" s="6" t="s">
        <v>34</v>
      </c>
      <c r="C1155" s="6" t="s">
        <v>154</v>
      </c>
      <c r="D1155" s="7" t="n">
        <v>-0.447</v>
      </c>
      <c r="E1155" s="6" t="str">
        <f aca="false">IF(D1155&gt;Settings!$C$4,"Bullish",IF(D1155&lt;-Settings!$C$4,"Bearish","Neutral"))</f>
        <v>Bearish</v>
      </c>
      <c r="F1155" s="8" t="n">
        <v>0.492</v>
      </c>
      <c r="G1155" s="20"/>
      <c r="H1155" s="6" t="str">
        <f aca="false">IF(G1155="","",IF(G1155&gt;0,"Bullish",IF(G1155&lt;0,"Bearish","Flat")))</f>
        <v/>
      </c>
      <c r="I1155" s="6" t="str">
        <f aca="false">IF(OR(G1155="",E1155="Neutral"),"",IF(E1155=H1155,1,0))</f>
        <v/>
      </c>
      <c r="J1155" s="6" t="s">
        <v>161</v>
      </c>
    </row>
    <row r="1156" customFormat="false" ht="15" hidden="false" customHeight="false" outlineLevel="0" collapsed="false">
      <c r="A1156" s="19" t="n">
        <v>46350</v>
      </c>
      <c r="B1156" s="6" t="s">
        <v>34</v>
      </c>
      <c r="C1156" s="6" t="s">
        <v>149</v>
      </c>
      <c r="D1156" s="7" t="n">
        <v>0.2133</v>
      </c>
      <c r="E1156" s="6" t="str">
        <f aca="false">IF(D1156&gt;Settings!$C$4,"Bullish",IF(D1156&lt;-Settings!$C$4,"Bearish","Neutral"))</f>
        <v>Bullish</v>
      </c>
      <c r="F1156" s="8" t="n">
        <v>0.455</v>
      </c>
      <c r="G1156" s="20"/>
      <c r="H1156" s="6" t="str">
        <f aca="false">IF(G1156="","",IF(G1156&gt;0,"Bullish",IF(G1156&lt;0,"Bearish","Flat")))</f>
        <v/>
      </c>
      <c r="I1156" s="6" t="str">
        <f aca="false">IF(OR(G1156="",E1156="Neutral"),"",IF(E1156=H1156,1,0))</f>
        <v/>
      </c>
      <c r="J1156" s="6" t="s">
        <v>161</v>
      </c>
    </row>
    <row r="1157" customFormat="false" ht="15" hidden="false" customHeight="false" outlineLevel="0" collapsed="false">
      <c r="A1157" s="19" t="n">
        <v>46350</v>
      </c>
      <c r="B1157" s="6" t="s">
        <v>35</v>
      </c>
      <c r="C1157" s="6" t="s">
        <v>154</v>
      </c>
      <c r="D1157" s="7" t="n">
        <v>-0.0448</v>
      </c>
      <c r="E1157" s="6" t="str">
        <f aca="false">IF(D1157&gt;Settings!$C$4,"Bullish",IF(D1157&lt;-Settings!$C$4,"Bearish","Neutral"))</f>
        <v>Neutral</v>
      </c>
      <c r="F1157" s="8"/>
      <c r="G1157" s="20"/>
      <c r="H1157" s="6" t="str">
        <f aca="false">IF(G1157="","",IF(G1157&gt;0,"Bullish",IF(G1157&lt;0,"Bearish","Flat")))</f>
        <v/>
      </c>
      <c r="I1157" s="6" t="str">
        <f aca="false">IF(OR(G1157="",E1157="Neutral"),"",IF(E1157=H1157,1,0))</f>
        <v/>
      </c>
      <c r="J1157" s="6" t="s">
        <v>161</v>
      </c>
    </row>
    <row r="1158" customFormat="false" ht="15" hidden="false" customHeight="false" outlineLevel="0" collapsed="false">
      <c r="A1158" s="19" t="n">
        <v>46350</v>
      </c>
      <c r="B1158" s="6" t="s">
        <v>35</v>
      </c>
      <c r="C1158" s="6" t="s">
        <v>149</v>
      </c>
      <c r="D1158" s="7" t="n">
        <v>0.1581</v>
      </c>
      <c r="E1158" s="6" t="str">
        <f aca="false">IF(D1158&gt;Settings!$C$4,"Bullish",IF(D1158&lt;-Settings!$C$4,"Bearish","Neutral"))</f>
        <v>Bullish</v>
      </c>
      <c r="F1158" s="8" t="n">
        <v>0.563</v>
      </c>
      <c r="G1158" s="20"/>
      <c r="H1158" s="6" t="str">
        <f aca="false">IF(G1158="","",IF(G1158&gt;0,"Bullish",IF(G1158&lt;0,"Bearish","Flat")))</f>
        <v/>
      </c>
      <c r="I1158" s="6" t="str">
        <f aca="false">IF(OR(G1158="",E1158="Neutral"),"",IF(E1158=H1158,1,0))</f>
        <v/>
      </c>
      <c r="J1158" s="6" t="s">
        <v>161</v>
      </c>
    </row>
    <row r="1159" customFormat="false" ht="15" hidden="false" customHeight="false" outlineLevel="0" collapsed="false">
      <c r="A1159" s="19" t="n">
        <v>46350</v>
      </c>
      <c r="B1159" s="6" t="s">
        <v>37</v>
      </c>
      <c r="C1159" s="6" t="s">
        <v>154</v>
      </c>
      <c r="D1159" s="7" t="n">
        <v>0.8631</v>
      </c>
      <c r="E1159" s="6" t="str">
        <f aca="false">IF(D1159&gt;Settings!$C$4,"Bullish",IF(D1159&lt;-Settings!$C$4,"Bearish","Neutral"))</f>
        <v>Bullish</v>
      </c>
      <c r="F1159" s="8" t="n">
        <v>0.52</v>
      </c>
      <c r="G1159" s="20"/>
      <c r="H1159" s="6" t="str">
        <f aca="false">IF(G1159="","",IF(G1159&gt;0,"Bullish",IF(G1159&lt;0,"Bearish","Flat")))</f>
        <v/>
      </c>
      <c r="I1159" s="6" t="str">
        <f aca="false">IF(OR(G1159="",E1159="Neutral"),"",IF(E1159=H1159,1,0))</f>
        <v/>
      </c>
      <c r="J1159" s="6" t="s">
        <v>161</v>
      </c>
    </row>
    <row r="1160" customFormat="false" ht="15" hidden="false" customHeight="false" outlineLevel="0" collapsed="false">
      <c r="A1160" s="19" t="n">
        <v>46350</v>
      </c>
      <c r="B1160" s="6" t="s">
        <v>37</v>
      </c>
      <c r="C1160" s="6" t="s">
        <v>149</v>
      </c>
      <c r="D1160" s="7" t="n">
        <v>0.6196</v>
      </c>
      <c r="E1160" s="6" t="str">
        <f aca="false">IF(D1160&gt;Settings!$C$4,"Bullish",IF(D1160&lt;-Settings!$C$4,"Bearish","Neutral"))</f>
        <v>Bullish</v>
      </c>
      <c r="F1160" s="8" t="n">
        <v>0.523</v>
      </c>
      <c r="G1160" s="20"/>
      <c r="H1160" s="6" t="str">
        <f aca="false">IF(G1160="","",IF(G1160&gt;0,"Bullish",IF(G1160&lt;0,"Bearish","Flat")))</f>
        <v/>
      </c>
      <c r="I1160" s="6" t="str">
        <f aca="false">IF(OR(G1160="",E1160="Neutral"),"",IF(E1160=H1160,1,0))</f>
        <v/>
      </c>
      <c r="J1160" s="6" t="s">
        <v>161</v>
      </c>
    </row>
    <row r="1161" customFormat="false" ht="15" hidden="false" customHeight="false" outlineLevel="0" collapsed="false">
      <c r="A1161" s="19" t="n">
        <v>46350</v>
      </c>
      <c r="B1161" s="6" t="s">
        <v>38</v>
      </c>
      <c r="C1161" s="6" t="s">
        <v>154</v>
      </c>
      <c r="D1161" s="7" t="n">
        <v>0.6549</v>
      </c>
      <c r="E1161" s="6" t="str">
        <f aca="false">IF(D1161&gt;Settings!$C$4,"Bullish",IF(D1161&lt;-Settings!$C$4,"Bearish","Neutral"))</f>
        <v>Bullish</v>
      </c>
      <c r="F1161" s="8" t="n">
        <v>0.478</v>
      </c>
      <c r="G1161" s="20"/>
      <c r="H1161" s="6" t="str">
        <f aca="false">IF(G1161="","",IF(G1161&gt;0,"Bullish",IF(G1161&lt;0,"Bearish","Flat")))</f>
        <v/>
      </c>
      <c r="I1161" s="6" t="str">
        <f aca="false">IF(OR(G1161="",E1161="Neutral"),"",IF(E1161=H1161,1,0))</f>
        <v/>
      </c>
      <c r="J1161" s="6" t="s">
        <v>161</v>
      </c>
    </row>
    <row r="1162" customFormat="false" ht="15" hidden="false" customHeight="false" outlineLevel="0" collapsed="false">
      <c r="A1162" s="19" t="n">
        <v>46350</v>
      </c>
      <c r="B1162" s="6" t="s">
        <v>38</v>
      </c>
      <c r="C1162" s="6" t="s">
        <v>149</v>
      </c>
      <c r="D1162" s="7" t="n">
        <v>0.296</v>
      </c>
      <c r="E1162" s="6" t="str">
        <f aca="false">IF(D1162&gt;Settings!$C$4,"Bullish",IF(D1162&lt;-Settings!$C$4,"Bearish","Neutral"))</f>
        <v>Bullish</v>
      </c>
      <c r="F1162" s="8" t="n">
        <v>0.492</v>
      </c>
      <c r="G1162" s="20"/>
      <c r="H1162" s="6" t="str">
        <f aca="false">IF(G1162="","",IF(G1162&gt;0,"Bullish",IF(G1162&lt;0,"Bearish","Flat")))</f>
        <v/>
      </c>
      <c r="I1162" s="6" t="str">
        <f aca="false">IF(OR(G1162="",E1162="Neutral"),"",IF(E1162=H1162,1,0))</f>
        <v/>
      </c>
      <c r="J1162" s="6" t="s">
        <v>161</v>
      </c>
    </row>
    <row r="1163" customFormat="false" ht="15" hidden="false" customHeight="false" outlineLevel="0" collapsed="false">
      <c r="A1163" s="19" t="n">
        <v>46350</v>
      </c>
      <c r="B1163" s="6" t="s">
        <v>53</v>
      </c>
      <c r="C1163" s="6" t="s">
        <v>154</v>
      </c>
      <c r="D1163" s="7" t="n">
        <v>-0.0798</v>
      </c>
      <c r="E1163" s="6" t="str">
        <f aca="false">IF(D1163&gt;Settings!$C$4,"Bullish",IF(D1163&lt;-Settings!$C$4,"Bearish","Neutral"))</f>
        <v>Neutral</v>
      </c>
      <c r="F1163" s="8"/>
      <c r="G1163" s="20"/>
      <c r="H1163" s="6" t="str">
        <f aca="false">IF(G1163="","",IF(G1163&gt;0,"Bullish",IF(G1163&lt;0,"Bearish","Flat")))</f>
        <v/>
      </c>
      <c r="I1163" s="6" t="str">
        <f aca="false">IF(OR(G1163="",E1163="Neutral"),"",IF(E1163=H1163,1,0))</f>
        <v/>
      </c>
      <c r="J1163" s="6" t="s">
        <v>161</v>
      </c>
    </row>
    <row r="1164" customFormat="false" ht="15" hidden="false" customHeight="false" outlineLevel="0" collapsed="false">
      <c r="A1164" s="19" t="n">
        <v>46350</v>
      </c>
      <c r="B1164" s="6" t="s">
        <v>53</v>
      </c>
      <c r="C1164" s="6" t="s">
        <v>149</v>
      </c>
      <c r="D1164" s="7" t="n">
        <v>-0.0969</v>
      </c>
      <c r="E1164" s="6" t="str">
        <f aca="false">IF(D1164&gt;Settings!$C$4,"Bullish",IF(D1164&lt;-Settings!$C$4,"Bearish","Neutral"))</f>
        <v>Neutral</v>
      </c>
      <c r="F1164" s="8"/>
      <c r="G1164" s="20"/>
      <c r="H1164" s="6" t="str">
        <f aca="false">IF(G1164="","",IF(G1164&gt;0,"Bullish",IF(G1164&lt;0,"Bearish","Flat")))</f>
        <v/>
      </c>
      <c r="I1164" s="6" t="str">
        <f aca="false">IF(OR(G1164="",E1164="Neutral"),"",IF(E1164=H1164,1,0))</f>
        <v/>
      </c>
      <c r="J1164" s="6" t="s">
        <v>161</v>
      </c>
    </row>
    <row r="1165" customFormat="false" ht="15" hidden="false" customHeight="false" outlineLevel="0" collapsed="false">
      <c r="A1165" s="19" t="n">
        <v>46350</v>
      </c>
      <c r="B1165" s="6" t="s">
        <v>18</v>
      </c>
      <c r="C1165" s="6" t="s">
        <v>154</v>
      </c>
      <c r="D1165" s="7" t="n">
        <v>0.1969</v>
      </c>
      <c r="E1165" s="6" t="str">
        <f aca="false">IF(D1165&gt;Settings!$C$4,"Bullish",IF(D1165&lt;-Settings!$C$4,"Bearish","Neutral"))</f>
        <v>Bullish</v>
      </c>
      <c r="F1165" s="8" t="n">
        <v>0.481</v>
      </c>
      <c r="G1165" s="20"/>
      <c r="H1165" s="6" t="str">
        <f aca="false">IF(G1165="","",IF(G1165&gt;0,"Bullish",IF(G1165&lt;0,"Bearish","Flat")))</f>
        <v/>
      </c>
      <c r="I1165" s="6" t="str">
        <f aca="false">IF(OR(G1165="",E1165="Neutral"),"",IF(E1165=H1165,1,0))</f>
        <v/>
      </c>
      <c r="J1165" s="6" t="s">
        <v>161</v>
      </c>
    </row>
    <row r="1166" customFormat="false" ht="15" hidden="false" customHeight="false" outlineLevel="0" collapsed="false">
      <c r="A1166" s="19" t="n">
        <v>46350</v>
      </c>
      <c r="B1166" s="6" t="s">
        <v>18</v>
      </c>
      <c r="C1166" s="6" t="s">
        <v>149</v>
      </c>
      <c r="D1166" s="7" t="n">
        <v>0.5848</v>
      </c>
      <c r="E1166" s="6" t="str">
        <f aca="false">IF(D1166&gt;Settings!$C$4,"Bullish",IF(D1166&lt;-Settings!$C$4,"Bearish","Neutral"))</f>
        <v>Bullish</v>
      </c>
      <c r="F1166" s="8" t="n">
        <v>0.476</v>
      </c>
      <c r="G1166" s="20"/>
      <c r="H1166" s="6" t="str">
        <f aca="false">IF(G1166="","",IF(G1166&gt;0,"Bullish",IF(G1166&lt;0,"Bearish","Flat")))</f>
        <v/>
      </c>
      <c r="I1166" s="6" t="str">
        <f aca="false">IF(OR(G1166="",E1166="Neutral"),"",IF(E1166=H1166,1,0))</f>
        <v/>
      </c>
      <c r="J1166" s="6" t="s">
        <v>161</v>
      </c>
    </row>
    <row r="1167" customFormat="false" ht="15" hidden="false" customHeight="false" outlineLevel="0" collapsed="false">
      <c r="A1167" s="19" t="n">
        <v>46350</v>
      </c>
      <c r="B1167" s="6" t="s">
        <v>40</v>
      </c>
      <c r="C1167" s="6" t="s">
        <v>154</v>
      </c>
      <c r="D1167" s="7" t="n">
        <v>-0.1553</v>
      </c>
      <c r="E1167" s="6" t="str">
        <f aca="false">IF(D1167&gt;Settings!$C$4,"Bullish",IF(D1167&lt;-Settings!$C$4,"Bearish","Neutral"))</f>
        <v>Bearish</v>
      </c>
      <c r="F1167" s="8" t="n">
        <v>0.527</v>
      </c>
      <c r="G1167" s="20"/>
      <c r="H1167" s="6" t="str">
        <f aca="false">IF(G1167="","",IF(G1167&gt;0,"Bullish",IF(G1167&lt;0,"Bearish","Flat")))</f>
        <v/>
      </c>
      <c r="I1167" s="6" t="str">
        <f aca="false">IF(OR(G1167="",E1167="Neutral"),"",IF(E1167=H1167,1,0))</f>
        <v/>
      </c>
      <c r="J1167" s="6" t="s">
        <v>161</v>
      </c>
    </row>
    <row r="1168" customFormat="false" ht="15" hidden="false" customHeight="false" outlineLevel="0" collapsed="false">
      <c r="A1168" s="19" t="n">
        <v>46350</v>
      </c>
      <c r="B1168" s="6" t="s">
        <v>40</v>
      </c>
      <c r="C1168" s="6" t="s">
        <v>149</v>
      </c>
      <c r="D1168" s="7" t="n">
        <v>0.3371</v>
      </c>
      <c r="E1168" s="6" t="str">
        <f aca="false">IF(D1168&gt;Settings!$C$4,"Bullish",IF(D1168&lt;-Settings!$C$4,"Bearish","Neutral"))</f>
        <v>Bullish</v>
      </c>
      <c r="F1168" s="8" t="n">
        <v>0.475</v>
      </c>
      <c r="G1168" s="20"/>
      <c r="H1168" s="6" t="str">
        <f aca="false">IF(G1168="","",IF(G1168&gt;0,"Bullish",IF(G1168&lt;0,"Bearish","Flat")))</f>
        <v/>
      </c>
      <c r="I1168" s="6" t="str">
        <f aca="false">IF(OR(G1168="",E1168="Neutral"),"",IF(E1168=H1168,1,0))</f>
        <v/>
      </c>
      <c r="J1168" s="6" t="s">
        <v>161</v>
      </c>
    </row>
    <row r="1169" customFormat="false" ht="15" hidden="false" customHeight="false" outlineLevel="0" collapsed="false">
      <c r="A1169" s="19" t="n">
        <v>46350</v>
      </c>
      <c r="B1169" s="6" t="s">
        <v>49</v>
      </c>
      <c r="C1169" s="6" t="s">
        <v>154</v>
      </c>
      <c r="D1169" s="7" t="n">
        <v>0.8093</v>
      </c>
      <c r="E1169" s="6" t="str">
        <f aca="false">IF(D1169&gt;Settings!$C$4,"Bullish",IF(D1169&lt;-Settings!$C$4,"Bearish","Neutral"))</f>
        <v>Bullish</v>
      </c>
      <c r="F1169" s="8" t="n">
        <v>0.523</v>
      </c>
      <c r="G1169" s="20"/>
      <c r="H1169" s="6" t="str">
        <f aca="false">IF(G1169="","",IF(G1169&gt;0,"Bullish",IF(G1169&lt;0,"Bearish","Flat")))</f>
        <v/>
      </c>
      <c r="I1169" s="6" t="str">
        <f aca="false">IF(OR(G1169="",E1169="Neutral"),"",IF(E1169=H1169,1,0))</f>
        <v/>
      </c>
      <c r="J1169" s="6" t="s">
        <v>161</v>
      </c>
    </row>
    <row r="1170" customFormat="false" ht="15" hidden="false" customHeight="false" outlineLevel="0" collapsed="false">
      <c r="A1170" s="19" t="n">
        <v>46350</v>
      </c>
      <c r="B1170" s="6" t="s">
        <v>49</v>
      </c>
      <c r="C1170" s="6" t="s">
        <v>149</v>
      </c>
      <c r="D1170" s="7" t="n">
        <v>0.3499</v>
      </c>
      <c r="E1170" s="6" t="str">
        <f aca="false">IF(D1170&gt;Settings!$C$4,"Bullish",IF(D1170&lt;-Settings!$C$4,"Bearish","Neutral"))</f>
        <v>Bullish</v>
      </c>
      <c r="F1170" s="8" t="n">
        <v>0.53</v>
      </c>
      <c r="G1170" s="20"/>
      <c r="H1170" s="6" t="str">
        <f aca="false">IF(G1170="","",IF(G1170&gt;0,"Bullish",IF(G1170&lt;0,"Bearish","Flat")))</f>
        <v/>
      </c>
      <c r="I1170" s="6" t="str">
        <f aca="false">IF(OR(G1170="",E1170="Neutral"),"",IF(E1170=H1170,1,0))</f>
        <v/>
      </c>
      <c r="J1170" s="6" t="s">
        <v>161</v>
      </c>
    </row>
    <row r="1171" customFormat="false" ht="15" hidden="false" customHeight="false" outlineLevel="0" collapsed="false">
      <c r="A1171" s="19" t="n">
        <v>46350</v>
      </c>
      <c r="B1171" s="6" t="s">
        <v>43</v>
      </c>
      <c r="C1171" s="6" t="s">
        <v>154</v>
      </c>
      <c r="D1171" s="7" t="n">
        <v>-0.447</v>
      </c>
      <c r="E1171" s="6" t="str">
        <f aca="false">IF(D1171&gt;Settings!$C$4,"Bullish",IF(D1171&lt;-Settings!$C$4,"Bearish","Neutral"))</f>
        <v>Bearish</v>
      </c>
      <c r="F1171" s="8" t="n">
        <v>0.526</v>
      </c>
      <c r="G1171" s="20"/>
      <c r="H1171" s="6" t="str">
        <f aca="false">IF(G1171="","",IF(G1171&gt;0,"Bullish",IF(G1171&lt;0,"Bearish","Flat")))</f>
        <v/>
      </c>
      <c r="I1171" s="6" t="str">
        <f aca="false">IF(OR(G1171="",E1171="Neutral"),"",IF(E1171=H1171,1,0))</f>
        <v/>
      </c>
      <c r="J1171" s="6" t="s">
        <v>161</v>
      </c>
    </row>
    <row r="1172" customFormat="false" ht="15" hidden="false" customHeight="false" outlineLevel="0" collapsed="false">
      <c r="A1172" s="19" t="n">
        <v>46350</v>
      </c>
      <c r="B1172" s="6" t="s">
        <v>43</v>
      </c>
      <c r="C1172" s="6" t="s">
        <v>149</v>
      </c>
      <c r="D1172" s="7" t="n">
        <v>-0.1252</v>
      </c>
      <c r="E1172" s="6" t="str">
        <f aca="false">IF(D1172&gt;Settings!$C$4,"Bullish",IF(D1172&lt;-Settings!$C$4,"Bearish","Neutral"))</f>
        <v>Neutral</v>
      </c>
      <c r="F1172" s="8"/>
      <c r="G1172" s="20"/>
      <c r="H1172" s="6" t="str">
        <f aca="false">IF(G1172="","",IF(G1172&gt;0,"Bullish",IF(G1172&lt;0,"Bearish","Flat")))</f>
        <v/>
      </c>
      <c r="I1172" s="6" t="str">
        <f aca="false">IF(OR(G1172="",E1172="Neutral"),"",IF(E1172=H1172,1,0))</f>
        <v/>
      </c>
      <c r="J1172" s="6" t="s">
        <v>161</v>
      </c>
    </row>
    <row r="1173" customFormat="false" ht="15" hidden="false" customHeight="false" outlineLevel="0" collapsed="false">
      <c r="A1173" s="19" t="n">
        <v>46350</v>
      </c>
      <c r="B1173" s="6" t="s">
        <v>51</v>
      </c>
      <c r="C1173" s="6" t="s">
        <v>154</v>
      </c>
      <c r="D1173" s="7" t="n">
        <v>-0.3622</v>
      </c>
      <c r="E1173" s="6" t="str">
        <f aca="false">IF(D1173&gt;Settings!$C$4,"Bullish",IF(D1173&lt;-Settings!$C$4,"Bearish","Neutral"))</f>
        <v>Bearish</v>
      </c>
      <c r="F1173" s="8" t="n">
        <v>0.494</v>
      </c>
      <c r="G1173" s="20"/>
      <c r="H1173" s="6" t="str">
        <f aca="false">IF(G1173="","",IF(G1173&gt;0,"Bullish",IF(G1173&lt;0,"Bearish","Flat")))</f>
        <v/>
      </c>
      <c r="I1173" s="6" t="str">
        <f aca="false">IF(OR(G1173="",E1173="Neutral"),"",IF(E1173=H1173,1,0))</f>
        <v/>
      </c>
      <c r="J1173" s="6" t="s">
        <v>161</v>
      </c>
    </row>
    <row r="1174" customFormat="false" ht="15" hidden="false" customHeight="false" outlineLevel="0" collapsed="false">
      <c r="A1174" s="19" t="n">
        <v>46350</v>
      </c>
      <c r="B1174" s="6" t="s">
        <v>51</v>
      </c>
      <c r="C1174" s="6" t="s">
        <v>149</v>
      </c>
      <c r="D1174" s="7" t="n">
        <v>0.4444</v>
      </c>
      <c r="E1174" s="6" t="str">
        <f aca="false">IF(D1174&gt;Settings!$C$4,"Bullish",IF(D1174&lt;-Settings!$C$4,"Bearish","Neutral"))</f>
        <v>Bullish</v>
      </c>
      <c r="F1174" s="8" t="n">
        <v>0.538</v>
      </c>
      <c r="G1174" s="20"/>
      <c r="H1174" s="6" t="str">
        <f aca="false">IF(G1174="","",IF(G1174&gt;0,"Bullish",IF(G1174&lt;0,"Bearish","Flat")))</f>
        <v/>
      </c>
      <c r="I1174" s="6" t="str">
        <f aca="false">IF(OR(G1174="",E1174="Neutral"),"",IF(E1174=H1174,1,0))</f>
        <v/>
      </c>
      <c r="J1174" s="6" t="s">
        <v>161</v>
      </c>
    </row>
    <row r="1175" customFormat="false" ht="15" hidden="false" customHeight="false" outlineLevel="0" collapsed="false">
      <c r="A1175" s="19" t="n">
        <v>46351</v>
      </c>
      <c r="B1175" s="6" t="s">
        <v>20</v>
      </c>
      <c r="C1175" s="6" t="s">
        <v>154</v>
      </c>
      <c r="D1175" s="7" t="n">
        <v>-0.1017</v>
      </c>
      <c r="E1175" s="6" t="str">
        <f aca="false">IF(D1175&gt;Settings!$C$4,"Bullish",IF(D1175&lt;-Settings!$C$4,"Bearish","Neutral"))</f>
        <v>Neutral</v>
      </c>
      <c r="F1175" s="8"/>
      <c r="G1175" s="20"/>
      <c r="H1175" s="6" t="str">
        <f aca="false">IF(G1175="","",IF(G1175&gt;0,"Bullish",IF(G1175&lt;0,"Bearish","Flat")))</f>
        <v/>
      </c>
      <c r="I1175" s="6" t="str">
        <f aca="false">IF(OR(G1175="",E1175="Neutral"),"",IF(E1175=H1175,1,0))</f>
        <v/>
      </c>
      <c r="J1175" s="6" t="s">
        <v>161</v>
      </c>
    </row>
    <row r="1176" customFormat="false" ht="15" hidden="false" customHeight="false" outlineLevel="0" collapsed="false">
      <c r="A1176" s="19" t="n">
        <v>46351</v>
      </c>
      <c r="B1176" s="6" t="s">
        <v>20</v>
      </c>
      <c r="C1176" s="6" t="s">
        <v>149</v>
      </c>
      <c r="D1176" s="7" t="n">
        <v>0.4718</v>
      </c>
      <c r="E1176" s="6" t="str">
        <f aca="false">IF(D1176&gt;Settings!$C$4,"Bullish",IF(D1176&lt;-Settings!$C$4,"Bearish","Neutral"))</f>
        <v>Bullish</v>
      </c>
      <c r="F1176" s="8" t="n">
        <v>0.465</v>
      </c>
      <c r="G1176" s="20"/>
      <c r="H1176" s="6" t="str">
        <f aca="false">IF(G1176="","",IF(G1176&gt;0,"Bullish",IF(G1176&lt;0,"Bearish","Flat")))</f>
        <v/>
      </c>
      <c r="I1176" s="6" t="str">
        <f aca="false">IF(OR(G1176="",E1176="Neutral"),"",IF(E1176=H1176,1,0))</f>
        <v/>
      </c>
      <c r="J1176" s="6" t="s">
        <v>161</v>
      </c>
    </row>
    <row r="1177" customFormat="false" ht="15" hidden="false" customHeight="false" outlineLevel="0" collapsed="false">
      <c r="A1177" s="19" t="n">
        <v>46351</v>
      </c>
      <c r="B1177" s="6" t="s">
        <v>22</v>
      </c>
      <c r="C1177" s="6" t="s">
        <v>154</v>
      </c>
      <c r="D1177" s="7" t="n">
        <v>0.4103</v>
      </c>
      <c r="E1177" s="6" t="str">
        <f aca="false">IF(D1177&gt;Settings!$C$4,"Bullish",IF(D1177&lt;-Settings!$C$4,"Bearish","Neutral"))</f>
        <v>Bullish</v>
      </c>
      <c r="F1177" s="8" t="n">
        <v>0.533</v>
      </c>
      <c r="G1177" s="20"/>
      <c r="H1177" s="6" t="str">
        <f aca="false">IF(G1177="","",IF(G1177&gt;0,"Bullish",IF(G1177&lt;0,"Bearish","Flat")))</f>
        <v/>
      </c>
      <c r="I1177" s="6" t="str">
        <f aca="false">IF(OR(G1177="",E1177="Neutral"),"",IF(E1177=H1177,1,0))</f>
        <v/>
      </c>
      <c r="J1177" s="6" t="s">
        <v>161</v>
      </c>
    </row>
    <row r="1178" customFormat="false" ht="15" hidden="false" customHeight="false" outlineLevel="0" collapsed="false">
      <c r="A1178" s="19" t="n">
        <v>46351</v>
      </c>
      <c r="B1178" s="6" t="s">
        <v>22</v>
      </c>
      <c r="C1178" s="6" t="s">
        <v>149</v>
      </c>
      <c r="D1178" s="7" t="n">
        <v>0.4399</v>
      </c>
      <c r="E1178" s="6" t="str">
        <f aca="false">IF(D1178&gt;Settings!$C$4,"Bullish",IF(D1178&lt;-Settings!$C$4,"Bearish","Neutral"))</f>
        <v>Bullish</v>
      </c>
      <c r="F1178" s="8" t="n">
        <v>0.527</v>
      </c>
      <c r="G1178" s="20"/>
      <c r="H1178" s="6" t="str">
        <f aca="false">IF(G1178="","",IF(G1178&gt;0,"Bullish",IF(G1178&lt;0,"Bearish","Flat")))</f>
        <v/>
      </c>
      <c r="I1178" s="6" t="str">
        <f aca="false">IF(OR(G1178="",E1178="Neutral"),"",IF(E1178=H1178,1,0))</f>
        <v/>
      </c>
      <c r="J1178" s="6" t="s">
        <v>161</v>
      </c>
    </row>
    <row r="1179" customFormat="false" ht="15" hidden="false" customHeight="false" outlineLevel="0" collapsed="false">
      <c r="A1179" s="19" t="n">
        <v>46351</v>
      </c>
      <c r="B1179" s="6" t="s">
        <v>52</v>
      </c>
      <c r="C1179" s="6" t="s">
        <v>154</v>
      </c>
      <c r="D1179" s="7" t="n">
        <v>-0.0328</v>
      </c>
      <c r="E1179" s="6" t="str">
        <f aca="false">IF(D1179&gt;Settings!$C$4,"Bullish",IF(D1179&lt;-Settings!$C$4,"Bearish","Neutral"))</f>
        <v>Neutral</v>
      </c>
      <c r="F1179" s="8"/>
      <c r="G1179" s="20"/>
      <c r="H1179" s="6" t="str">
        <f aca="false">IF(G1179="","",IF(G1179&gt;0,"Bullish",IF(G1179&lt;0,"Bearish","Flat")))</f>
        <v/>
      </c>
      <c r="I1179" s="6" t="str">
        <f aca="false">IF(OR(G1179="",E1179="Neutral"),"",IF(E1179=H1179,1,0))</f>
        <v/>
      </c>
      <c r="J1179" s="6" t="s">
        <v>161</v>
      </c>
    </row>
    <row r="1180" customFormat="false" ht="15" hidden="false" customHeight="false" outlineLevel="0" collapsed="false">
      <c r="A1180" s="19" t="n">
        <v>46351</v>
      </c>
      <c r="B1180" s="6" t="s">
        <v>52</v>
      </c>
      <c r="C1180" s="6" t="s">
        <v>149</v>
      </c>
      <c r="D1180" s="7" t="n">
        <v>0.1634</v>
      </c>
      <c r="E1180" s="6" t="str">
        <f aca="false">IF(D1180&gt;Settings!$C$4,"Bullish",IF(D1180&lt;-Settings!$C$4,"Bearish","Neutral"))</f>
        <v>Bullish</v>
      </c>
      <c r="F1180" s="8" t="n">
        <v>0.509</v>
      </c>
      <c r="G1180" s="20"/>
      <c r="H1180" s="6" t="str">
        <f aca="false">IF(G1180="","",IF(G1180&gt;0,"Bullish",IF(G1180&lt;0,"Bearish","Flat")))</f>
        <v/>
      </c>
      <c r="I1180" s="6" t="str">
        <f aca="false">IF(OR(G1180="",E1180="Neutral"),"",IF(E1180=H1180,1,0))</f>
        <v/>
      </c>
      <c r="J1180" s="6" t="s">
        <v>161</v>
      </c>
    </row>
    <row r="1181" customFormat="false" ht="15" hidden="false" customHeight="false" outlineLevel="0" collapsed="false">
      <c r="A1181" s="19" t="n">
        <v>46351</v>
      </c>
      <c r="B1181" s="6" t="s">
        <v>30</v>
      </c>
      <c r="C1181" s="6" t="s">
        <v>154</v>
      </c>
      <c r="D1181" s="7" t="n">
        <v>0.1512</v>
      </c>
      <c r="E1181" s="6" t="str">
        <f aca="false">IF(D1181&gt;Settings!$C$4,"Bullish",IF(D1181&lt;-Settings!$C$4,"Bearish","Neutral"))</f>
        <v>Bullish</v>
      </c>
      <c r="F1181" s="8" t="n">
        <v>0.481</v>
      </c>
      <c r="G1181" s="20"/>
      <c r="H1181" s="6" t="str">
        <f aca="false">IF(G1181="","",IF(G1181&gt;0,"Bullish",IF(G1181&lt;0,"Bearish","Flat")))</f>
        <v/>
      </c>
      <c r="I1181" s="6" t="str">
        <f aca="false">IF(OR(G1181="",E1181="Neutral"),"",IF(E1181=H1181,1,0))</f>
        <v/>
      </c>
      <c r="J1181" s="6" t="s">
        <v>161</v>
      </c>
    </row>
    <row r="1182" customFormat="false" ht="15" hidden="false" customHeight="false" outlineLevel="0" collapsed="false">
      <c r="A1182" s="19" t="n">
        <v>46351</v>
      </c>
      <c r="B1182" s="6" t="s">
        <v>30</v>
      </c>
      <c r="C1182" s="6" t="s">
        <v>149</v>
      </c>
      <c r="D1182" s="7" t="n">
        <v>0.4399</v>
      </c>
      <c r="E1182" s="6" t="str">
        <f aca="false">IF(D1182&gt;Settings!$C$4,"Bullish",IF(D1182&lt;-Settings!$C$4,"Bearish","Neutral"))</f>
        <v>Bullish</v>
      </c>
      <c r="F1182" s="8" t="n">
        <v>0.525</v>
      </c>
      <c r="G1182" s="20"/>
      <c r="H1182" s="6" t="str">
        <f aca="false">IF(G1182="","",IF(G1182&gt;0,"Bullish",IF(G1182&lt;0,"Bearish","Flat")))</f>
        <v/>
      </c>
      <c r="I1182" s="6" t="str">
        <f aca="false">IF(OR(G1182="",E1182="Neutral"),"",IF(E1182=H1182,1,0))</f>
        <v/>
      </c>
      <c r="J1182" s="6" t="s">
        <v>161</v>
      </c>
    </row>
    <row r="1183" customFormat="false" ht="15" hidden="false" customHeight="false" outlineLevel="0" collapsed="false">
      <c r="A1183" s="19" t="n">
        <v>46351</v>
      </c>
      <c r="B1183" s="6" t="s">
        <v>50</v>
      </c>
      <c r="C1183" s="6" t="s">
        <v>154</v>
      </c>
      <c r="D1183" s="7" t="n">
        <v>-0.2121</v>
      </c>
      <c r="E1183" s="6" t="str">
        <f aca="false">IF(D1183&gt;Settings!$C$4,"Bullish",IF(D1183&lt;-Settings!$C$4,"Bearish","Neutral"))</f>
        <v>Bearish</v>
      </c>
      <c r="F1183" s="8" t="n">
        <v>0.505</v>
      </c>
      <c r="G1183" s="20"/>
      <c r="H1183" s="6" t="str">
        <f aca="false">IF(G1183="","",IF(G1183&gt;0,"Bullish",IF(G1183&lt;0,"Bearish","Flat")))</f>
        <v/>
      </c>
      <c r="I1183" s="6" t="str">
        <f aca="false">IF(OR(G1183="",E1183="Neutral"),"",IF(E1183=H1183,1,0))</f>
        <v/>
      </c>
      <c r="J1183" s="6" t="s">
        <v>161</v>
      </c>
    </row>
    <row r="1184" customFormat="false" ht="15" hidden="false" customHeight="false" outlineLevel="0" collapsed="false">
      <c r="A1184" s="19" t="n">
        <v>46351</v>
      </c>
      <c r="B1184" s="6" t="s">
        <v>50</v>
      </c>
      <c r="C1184" s="6" t="s">
        <v>149</v>
      </c>
      <c r="D1184" s="7" t="n">
        <v>0.7523</v>
      </c>
      <c r="E1184" s="6" t="str">
        <f aca="false">IF(D1184&gt;Settings!$C$4,"Bullish",IF(D1184&lt;-Settings!$C$4,"Bearish","Neutral"))</f>
        <v>Bullish</v>
      </c>
      <c r="F1184" s="8" t="n">
        <v>0.442</v>
      </c>
      <c r="G1184" s="20"/>
      <c r="H1184" s="6" t="str">
        <f aca="false">IF(G1184="","",IF(G1184&gt;0,"Bullish",IF(G1184&lt;0,"Bearish","Flat")))</f>
        <v/>
      </c>
      <c r="I1184" s="6" t="str">
        <f aca="false">IF(OR(G1184="",E1184="Neutral"),"",IF(E1184=H1184,1,0))</f>
        <v/>
      </c>
      <c r="J1184" s="6" t="s">
        <v>161</v>
      </c>
    </row>
    <row r="1185" customFormat="false" ht="15" hidden="false" customHeight="false" outlineLevel="0" collapsed="false">
      <c r="A1185" s="19" t="n">
        <v>46351</v>
      </c>
      <c r="B1185" s="6" t="s">
        <v>34</v>
      </c>
      <c r="C1185" s="6" t="s">
        <v>154</v>
      </c>
      <c r="D1185" s="7" t="n">
        <v>-0.4358</v>
      </c>
      <c r="E1185" s="6" t="str">
        <f aca="false">IF(D1185&gt;Settings!$C$4,"Bullish",IF(D1185&lt;-Settings!$C$4,"Bearish","Neutral"))</f>
        <v>Bearish</v>
      </c>
      <c r="F1185" s="8" t="n">
        <v>0.492</v>
      </c>
      <c r="G1185" s="20"/>
      <c r="H1185" s="6" t="str">
        <f aca="false">IF(G1185="","",IF(G1185&gt;0,"Bullish",IF(G1185&lt;0,"Bearish","Flat")))</f>
        <v/>
      </c>
      <c r="I1185" s="6" t="str">
        <f aca="false">IF(OR(G1185="",E1185="Neutral"),"",IF(E1185=H1185,1,0))</f>
        <v/>
      </c>
      <c r="J1185" s="6" t="s">
        <v>161</v>
      </c>
    </row>
    <row r="1186" customFormat="false" ht="15" hidden="false" customHeight="false" outlineLevel="0" collapsed="false">
      <c r="A1186" s="19" t="n">
        <v>46351</v>
      </c>
      <c r="B1186" s="6" t="s">
        <v>34</v>
      </c>
      <c r="C1186" s="6" t="s">
        <v>149</v>
      </c>
      <c r="D1186" s="7" t="n">
        <v>0.281</v>
      </c>
      <c r="E1186" s="6" t="str">
        <f aca="false">IF(D1186&gt;Settings!$C$4,"Bullish",IF(D1186&lt;-Settings!$C$4,"Bearish","Neutral"))</f>
        <v>Bullish</v>
      </c>
      <c r="F1186" s="8" t="n">
        <v>0.455</v>
      </c>
      <c r="G1186" s="20"/>
      <c r="H1186" s="6" t="str">
        <f aca="false">IF(G1186="","",IF(G1186&gt;0,"Bullish",IF(G1186&lt;0,"Bearish","Flat")))</f>
        <v/>
      </c>
      <c r="I1186" s="6" t="str">
        <f aca="false">IF(OR(G1186="",E1186="Neutral"),"",IF(E1186=H1186,1,0))</f>
        <v/>
      </c>
      <c r="J1186" s="6" t="s">
        <v>161</v>
      </c>
    </row>
    <row r="1187" customFormat="false" ht="15" hidden="false" customHeight="false" outlineLevel="0" collapsed="false">
      <c r="A1187" s="19" t="n">
        <v>46351</v>
      </c>
      <c r="B1187" s="6" t="s">
        <v>35</v>
      </c>
      <c r="C1187" s="6" t="s">
        <v>154</v>
      </c>
      <c r="D1187" s="7" t="n">
        <v>-0.0472</v>
      </c>
      <c r="E1187" s="6" t="str">
        <f aca="false">IF(D1187&gt;Settings!$C$4,"Bullish",IF(D1187&lt;-Settings!$C$4,"Bearish","Neutral"))</f>
        <v>Neutral</v>
      </c>
      <c r="F1187" s="8"/>
      <c r="G1187" s="20"/>
      <c r="H1187" s="6" t="str">
        <f aca="false">IF(G1187="","",IF(G1187&gt;0,"Bullish",IF(G1187&lt;0,"Bearish","Flat")))</f>
        <v/>
      </c>
      <c r="I1187" s="6" t="str">
        <f aca="false">IF(OR(G1187="",E1187="Neutral"),"",IF(E1187=H1187,1,0))</f>
        <v/>
      </c>
      <c r="J1187" s="6" t="s">
        <v>161</v>
      </c>
    </row>
    <row r="1188" customFormat="false" ht="15" hidden="false" customHeight="false" outlineLevel="0" collapsed="false">
      <c r="A1188" s="19" t="n">
        <v>46351</v>
      </c>
      <c r="B1188" s="6" t="s">
        <v>35</v>
      </c>
      <c r="C1188" s="6" t="s">
        <v>149</v>
      </c>
      <c r="D1188" s="7" t="n">
        <v>0.1791</v>
      </c>
      <c r="E1188" s="6" t="str">
        <f aca="false">IF(D1188&gt;Settings!$C$4,"Bullish",IF(D1188&lt;-Settings!$C$4,"Bearish","Neutral"))</f>
        <v>Bullish</v>
      </c>
      <c r="F1188" s="8" t="n">
        <v>0.563</v>
      </c>
      <c r="G1188" s="20"/>
      <c r="H1188" s="6" t="str">
        <f aca="false">IF(G1188="","",IF(G1188&gt;0,"Bullish",IF(G1188&lt;0,"Bearish","Flat")))</f>
        <v/>
      </c>
      <c r="I1188" s="6" t="str">
        <f aca="false">IF(OR(G1188="",E1188="Neutral"),"",IF(E1188=H1188,1,0))</f>
        <v/>
      </c>
      <c r="J1188" s="6" t="s">
        <v>161</v>
      </c>
    </row>
    <row r="1189" customFormat="false" ht="15" hidden="false" customHeight="false" outlineLevel="0" collapsed="false">
      <c r="A1189" s="19" t="n">
        <v>46351</v>
      </c>
      <c r="B1189" s="6" t="s">
        <v>37</v>
      </c>
      <c r="C1189" s="6" t="s">
        <v>154</v>
      </c>
      <c r="D1189" s="7" t="n">
        <v>0.2254</v>
      </c>
      <c r="E1189" s="6" t="str">
        <f aca="false">IF(D1189&gt;Settings!$C$4,"Bullish",IF(D1189&lt;-Settings!$C$4,"Bearish","Neutral"))</f>
        <v>Bullish</v>
      </c>
      <c r="F1189" s="8" t="n">
        <v>0.541</v>
      </c>
      <c r="G1189" s="20"/>
      <c r="H1189" s="6" t="str">
        <f aca="false">IF(G1189="","",IF(G1189&gt;0,"Bullish",IF(G1189&lt;0,"Bearish","Flat")))</f>
        <v/>
      </c>
      <c r="I1189" s="6" t="str">
        <f aca="false">IF(OR(G1189="",E1189="Neutral"),"",IF(E1189=H1189,1,0))</f>
        <v/>
      </c>
      <c r="J1189" s="6" t="s">
        <v>161</v>
      </c>
    </row>
    <row r="1190" customFormat="false" ht="15" hidden="false" customHeight="false" outlineLevel="0" collapsed="false">
      <c r="A1190" s="19" t="n">
        <v>46351</v>
      </c>
      <c r="B1190" s="6" t="s">
        <v>37</v>
      </c>
      <c r="C1190" s="6" t="s">
        <v>149</v>
      </c>
      <c r="D1190" s="7" t="n">
        <v>0.6606</v>
      </c>
      <c r="E1190" s="6" t="str">
        <f aca="false">IF(D1190&gt;Settings!$C$4,"Bullish",IF(D1190&lt;-Settings!$C$4,"Bearish","Neutral"))</f>
        <v>Bullish</v>
      </c>
      <c r="F1190" s="8" t="n">
        <v>0.523</v>
      </c>
      <c r="G1190" s="20"/>
      <c r="H1190" s="6" t="str">
        <f aca="false">IF(G1190="","",IF(G1190&gt;0,"Bullish",IF(G1190&lt;0,"Bearish","Flat")))</f>
        <v/>
      </c>
      <c r="I1190" s="6" t="str">
        <f aca="false">IF(OR(G1190="",E1190="Neutral"),"",IF(E1190=H1190,1,0))</f>
        <v/>
      </c>
      <c r="J1190" s="6" t="s">
        <v>161</v>
      </c>
    </row>
    <row r="1191" customFormat="false" ht="15" hidden="false" customHeight="false" outlineLevel="0" collapsed="false">
      <c r="A1191" s="19" t="n">
        <v>46351</v>
      </c>
      <c r="B1191" s="6" t="s">
        <v>38</v>
      </c>
      <c r="C1191" s="6" t="s">
        <v>154</v>
      </c>
      <c r="D1191" s="7" t="n">
        <v>-0.3281</v>
      </c>
      <c r="E1191" s="6" t="str">
        <f aca="false">IF(D1191&gt;Settings!$C$4,"Bullish",IF(D1191&lt;-Settings!$C$4,"Bearish","Neutral"))</f>
        <v>Bearish</v>
      </c>
      <c r="F1191" s="8" t="n">
        <v>0.521</v>
      </c>
      <c r="G1191" s="20"/>
      <c r="H1191" s="6" t="str">
        <f aca="false">IF(G1191="","",IF(G1191&gt;0,"Bullish",IF(G1191&lt;0,"Bearish","Flat")))</f>
        <v/>
      </c>
      <c r="I1191" s="6" t="str">
        <f aca="false">IF(OR(G1191="",E1191="Neutral"),"",IF(E1191=H1191,1,0))</f>
        <v/>
      </c>
      <c r="J1191" s="6" t="s">
        <v>161</v>
      </c>
    </row>
    <row r="1192" customFormat="false" ht="15" hidden="false" customHeight="false" outlineLevel="0" collapsed="false">
      <c r="A1192" s="19" t="n">
        <v>46351</v>
      </c>
      <c r="B1192" s="6" t="s">
        <v>38</v>
      </c>
      <c r="C1192" s="6" t="s">
        <v>149</v>
      </c>
      <c r="D1192" s="7" t="n">
        <v>0.3451</v>
      </c>
      <c r="E1192" s="6" t="str">
        <f aca="false">IF(D1192&gt;Settings!$C$4,"Bullish",IF(D1192&lt;-Settings!$C$4,"Bearish","Neutral"))</f>
        <v>Bullish</v>
      </c>
      <c r="F1192" s="8" t="n">
        <v>0.529</v>
      </c>
      <c r="G1192" s="20"/>
      <c r="H1192" s="6" t="str">
        <f aca="false">IF(G1192="","",IF(G1192&gt;0,"Bullish",IF(G1192&lt;0,"Bearish","Flat")))</f>
        <v/>
      </c>
      <c r="I1192" s="6" t="str">
        <f aca="false">IF(OR(G1192="",E1192="Neutral"),"",IF(E1192=H1192,1,0))</f>
        <v/>
      </c>
      <c r="J1192" s="6" t="s">
        <v>161</v>
      </c>
    </row>
    <row r="1193" customFormat="false" ht="15" hidden="false" customHeight="false" outlineLevel="0" collapsed="false">
      <c r="A1193" s="19" t="n">
        <v>46351</v>
      </c>
      <c r="B1193" s="6" t="s">
        <v>53</v>
      </c>
      <c r="C1193" s="6" t="s">
        <v>154</v>
      </c>
      <c r="D1193" s="7" t="n">
        <v>-0.0328</v>
      </c>
      <c r="E1193" s="6" t="str">
        <f aca="false">IF(D1193&gt;Settings!$C$4,"Bullish",IF(D1193&lt;-Settings!$C$4,"Bearish","Neutral"))</f>
        <v>Neutral</v>
      </c>
      <c r="F1193" s="8"/>
      <c r="G1193" s="20"/>
      <c r="H1193" s="6" t="str">
        <f aca="false">IF(G1193="","",IF(G1193&gt;0,"Bullish",IF(G1193&lt;0,"Bearish","Flat")))</f>
        <v/>
      </c>
      <c r="I1193" s="6" t="str">
        <f aca="false">IF(OR(G1193="",E1193="Neutral"),"",IF(E1193=H1193,1,0))</f>
        <v/>
      </c>
      <c r="J1193" s="6" t="s">
        <v>161</v>
      </c>
    </row>
    <row r="1194" customFormat="false" ht="15" hidden="false" customHeight="false" outlineLevel="0" collapsed="false">
      <c r="A1194" s="19" t="n">
        <v>46351</v>
      </c>
      <c r="B1194" s="6" t="s">
        <v>53</v>
      </c>
      <c r="C1194" s="6" t="s">
        <v>149</v>
      </c>
      <c r="D1194" s="7" t="n">
        <v>-0.1105</v>
      </c>
      <c r="E1194" s="6" t="str">
        <f aca="false">IF(D1194&gt;Settings!$C$4,"Bullish",IF(D1194&lt;-Settings!$C$4,"Bearish","Neutral"))</f>
        <v>Neutral</v>
      </c>
      <c r="F1194" s="8"/>
      <c r="G1194" s="20"/>
      <c r="H1194" s="6" t="str">
        <f aca="false">IF(G1194="","",IF(G1194&gt;0,"Bullish",IF(G1194&lt;0,"Bearish","Flat")))</f>
        <v/>
      </c>
      <c r="I1194" s="6" t="str">
        <f aca="false">IF(OR(G1194="",E1194="Neutral"),"",IF(E1194=H1194,1,0))</f>
        <v/>
      </c>
      <c r="J1194" s="6" t="s">
        <v>161</v>
      </c>
    </row>
    <row r="1195" customFormat="false" ht="15" hidden="false" customHeight="false" outlineLevel="0" collapsed="false">
      <c r="A1195" s="19" t="n">
        <v>46351</v>
      </c>
      <c r="B1195" s="6" t="s">
        <v>18</v>
      </c>
      <c r="C1195" s="6" t="s">
        <v>154</v>
      </c>
      <c r="D1195" s="7" t="n">
        <v>0.0795</v>
      </c>
      <c r="E1195" s="6" t="str">
        <f aca="false">IF(D1195&gt;Settings!$C$4,"Bullish",IF(D1195&lt;-Settings!$C$4,"Bearish","Neutral"))</f>
        <v>Neutral</v>
      </c>
      <c r="F1195" s="8"/>
      <c r="G1195" s="20"/>
      <c r="H1195" s="6" t="str">
        <f aca="false">IF(G1195="","",IF(G1195&gt;0,"Bullish",IF(G1195&lt;0,"Bearish","Flat")))</f>
        <v/>
      </c>
      <c r="I1195" s="6" t="str">
        <f aca="false">IF(OR(G1195="",E1195="Neutral"),"",IF(E1195=H1195,1,0))</f>
        <v/>
      </c>
      <c r="J1195" s="6" t="s">
        <v>161</v>
      </c>
    </row>
    <row r="1196" customFormat="false" ht="15" hidden="false" customHeight="false" outlineLevel="0" collapsed="false">
      <c r="A1196" s="19" t="n">
        <v>46351</v>
      </c>
      <c r="B1196" s="6" t="s">
        <v>18</v>
      </c>
      <c r="C1196" s="6" t="s">
        <v>149</v>
      </c>
      <c r="D1196" s="7" t="n">
        <v>0.6157</v>
      </c>
      <c r="E1196" s="6" t="str">
        <f aca="false">IF(D1196&gt;Settings!$C$4,"Bullish",IF(D1196&lt;-Settings!$C$4,"Bearish","Neutral"))</f>
        <v>Bullish</v>
      </c>
      <c r="F1196" s="8" t="n">
        <v>0.476</v>
      </c>
      <c r="G1196" s="20"/>
      <c r="H1196" s="6" t="str">
        <f aca="false">IF(G1196="","",IF(G1196&gt;0,"Bullish",IF(G1196&lt;0,"Bearish","Flat")))</f>
        <v/>
      </c>
      <c r="I1196" s="6" t="str">
        <f aca="false">IF(OR(G1196="",E1196="Neutral"),"",IF(E1196=H1196,1,0))</f>
        <v/>
      </c>
      <c r="J1196" s="6" t="s">
        <v>161</v>
      </c>
    </row>
    <row r="1197" customFormat="false" ht="15" hidden="false" customHeight="false" outlineLevel="0" collapsed="false">
      <c r="A1197" s="19" t="n">
        <v>46351</v>
      </c>
      <c r="B1197" s="6" t="s">
        <v>40</v>
      </c>
      <c r="C1197" s="6" t="s">
        <v>154</v>
      </c>
      <c r="D1197" s="7" t="n">
        <v>-0.1756</v>
      </c>
      <c r="E1197" s="6" t="str">
        <f aca="false">IF(D1197&gt;Settings!$C$4,"Bullish",IF(D1197&lt;-Settings!$C$4,"Bearish","Neutral"))</f>
        <v>Bearish</v>
      </c>
      <c r="F1197" s="8" t="n">
        <v>0.527</v>
      </c>
      <c r="G1197" s="20"/>
      <c r="H1197" s="6" t="str">
        <f aca="false">IF(G1197="","",IF(G1197&gt;0,"Bullish",IF(G1197&lt;0,"Bearish","Flat")))</f>
        <v/>
      </c>
      <c r="I1197" s="6" t="str">
        <f aca="false">IF(OR(G1197="",E1197="Neutral"),"",IF(E1197=H1197,1,0))</f>
        <v/>
      </c>
      <c r="J1197" s="6" t="s">
        <v>161</v>
      </c>
    </row>
    <row r="1198" customFormat="false" ht="15" hidden="false" customHeight="false" outlineLevel="0" collapsed="false">
      <c r="A1198" s="19" t="n">
        <v>46351</v>
      </c>
      <c r="B1198" s="6" t="s">
        <v>40</v>
      </c>
      <c r="C1198" s="6" t="s">
        <v>149</v>
      </c>
      <c r="D1198" s="7" t="n">
        <v>0.3767</v>
      </c>
      <c r="E1198" s="6" t="str">
        <f aca="false">IF(D1198&gt;Settings!$C$4,"Bullish",IF(D1198&lt;-Settings!$C$4,"Bearish","Neutral"))</f>
        <v>Bullish</v>
      </c>
      <c r="F1198" s="8" t="n">
        <v>0.475</v>
      </c>
      <c r="G1198" s="20"/>
      <c r="H1198" s="6" t="str">
        <f aca="false">IF(G1198="","",IF(G1198&gt;0,"Bullish",IF(G1198&lt;0,"Bearish","Flat")))</f>
        <v/>
      </c>
      <c r="I1198" s="6" t="str">
        <f aca="false">IF(OR(G1198="",E1198="Neutral"),"",IF(E1198=H1198,1,0))</f>
        <v/>
      </c>
      <c r="J1198" s="6" t="s">
        <v>161</v>
      </c>
    </row>
    <row r="1199" customFormat="false" ht="15" hidden="false" customHeight="false" outlineLevel="0" collapsed="false">
      <c r="A1199" s="19" t="n">
        <v>46351</v>
      </c>
      <c r="B1199" s="6" t="s">
        <v>49</v>
      </c>
      <c r="C1199" s="6" t="s">
        <v>154</v>
      </c>
      <c r="D1199" s="7" t="n">
        <v>0</v>
      </c>
      <c r="E1199" s="6" t="str">
        <f aca="false">IF(D1199&gt;Settings!$C$4,"Bullish",IF(D1199&lt;-Settings!$C$4,"Bearish","Neutral"))</f>
        <v>Neutral</v>
      </c>
      <c r="F1199" s="8"/>
      <c r="G1199" s="20"/>
      <c r="H1199" s="6" t="str">
        <f aca="false">IF(G1199="","",IF(G1199&gt;0,"Bullish",IF(G1199&lt;0,"Bearish","Flat")))</f>
        <v/>
      </c>
      <c r="I1199" s="6" t="str">
        <f aca="false">IF(OR(G1199="",E1199="Neutral"),"",IF(E1199=H1199,1,0))</f>
        <v/>
      </c>
      <c r="J1199" s="6" t="s">
        <v>161</v>
      </c>
    </row>
    <row r="1200" customFormat="false" ht="15" hidden="false" customHeight="false" outlineLevel="0" collapsed="false">
      <c r="A1200" s="19" t="n">
        <v>46351</v>
      </c>
      <c r="B1200" s="6" t="s">
        <v>49</v>
      </c>
      <c r="C1200" s="6" t="s">
        <v>149</v>
      </c>
      <c r="D1200" s="7" t="n">
        <v>0.345</v>
      </c>
      <c r="E1200" s="6" t="str">
        <f aca="false">IF(D1200&gt;Settings!$C$4,"Bullish",IF(D1200&lt;-Settings!$C$4,"Bearish","Neutral"))</f>
        <v>Bullish</v>
      </c>
      <c r="F1200" s="8" t="n">
        <v>0.53</v>
      </c>
      <c r="G1200" s="20"/>
      <c r="H1200" s="6" t="str">
        <f aca="false">IF(G1200="","",IF(G1200&gt;0,"Bullish",IF(G1200&lt;0,"Bearish","Flat")))</f>
        <v/>
      </c>
      <c r="I1200" s="6" t="str">
        <f aca="false">IF(OR(G1200="",E1200="Neutral"),"",IF(E1200=H1200,1,0))</f>
        <v/>
      </c>
      <c r="J1200" s="6" t="s">
        <v>161</v>
      </c>
    </row>
    <row r="1201" customFormat="false" ht="15" hidden="false" customHeight="false" outlineLevel="0" collapsed="false">
      <c r="A1201" s="19" t="n">
        <v>46351</v>
      </c>
      <c r="B1201" s="6" t="s">
        <v>43</v>
      </c>
      <c r="C1201" s="6" t="s">
        <v>154</v>
      </c>
      <c r="D1201" s="7" t="n">
        <v>-0.4358</v>
      </c>
      <c r="E1201" s="6" t="str">
        <f aca="false">IF(D1201&gt;Settings!$C$4,"Bullish",IF(D1201&lt;-Settings!$C$4,"Bearish","Neutral"))</f>
        <v>Bearish</v>
      </c>
      <c r="F1201" s="8" t="n">
        <v>0.526</v>
      </c>
      <c r="G1201" s="20"/>
      <c r="H1201" s="6" t="str">
        <f aca="false">IF(G1201="","",IF(G1201&gt;0,"Bullish",IF(G1201&lt;0,"Bearish","Flat")))</f>
        <v/>
      </c>
      <c r="I1201" s="6" t="str">
        <f aca="false">IF(OR(G1201="",E1201="Neutral"),"",IF(E1201=H1201,1,0))</f>
        <v/>
      </c>
      <c r="J1201" s="6" t="s">
        <v>161</v>
      </c>
    </row>
    <row r="1202" customFormat="false" ht="15" hidden="false" customHeight="false" outlineLevel="0" collapsed="false">
      <c r="A1202" s="19" t="n">
        <v>46351</v>
      </c>
      <c r="B1202" s="6" t="s">
        <v>43</v>
      </c>
      <c r="C1202" s="6" t="s">
        <v>149</v>
      </c>
      <c r="D1202" s="7" t="n">
        <v>-0.0525</v>
      </c>
      <c r="E1202" s="6" t="str">
        <f aca="false">IF(D1202&gt;Settings!$C$4,"Bullish",IF(D1202&lt;-Settings!$C$4,"Bearish","Neutral"))</f>
        <v>Neutral</v>
      </c>
      <c r="F1202" s="8"/>
      <c r="G1202" s="20"/>
      <c r="H1202" s="6" t="str">
        <f aca="false">IF(G1202="","",IF(G1202&gt;0,"Bullish",IF(G1202&lt;0,"Bearish","Flat")))</f>
        <v/>
      </c>
      <c r="I1202" s="6" t="str">
        <f aca="false">IF(OR(G1202="",E1202="Neutral"),"",IF(E1202=H1202,1,0))</f>
        <v/>
      </c>
      <c r="J1202" s="6" t="s">
        <v>161</v>
      </c>
    </row>
    <row r="1203" customFormat="false" ht="15" hidden="false" customHeight="false" outlineLevel="0" collapsed="false">
      <c r="A1203" s="19" t="n">
        <v>46351</v>
      </c>
      <c r="B1203" s="6" t="s">
        <v>51</v>
      </c>
      <c r="C1203" s="6" t="s">
        <v>154</v>
      </c>
      <c r="D1203" s="7" t="n">
        <v>-0.2892</v>
      </c>
      <c r="E1203" s="6" t="str">
        <f aca="false">IF(D1203&gt;Settings!$C$4,"Bullish",IF(D1203&lt;-Settings!$C$4,"Bearish","Neutral"))</f>
        <v>Bearish</v>
      </c>
      <c r="F1203" s="8" t="n">
        <v>0.532</v>
      </c>
      <c r="G1203" s="20"/>
      <c r="H1203" s="6" t="str">
        <f aca="false">IF(G1203="","",IF(G1203&gt;0,"Bullish",IF(G1203&lt;0,"Bearish","Flat")))</f>
        <v/>
      </c>
      <c r="I1203" s="6" t="str">
        <f aca="false">IF(OR(G1203="",E1203="Neutral"),"",IF(E1203=H1203,1,0))</f>
        <v/>
      </c>
      <c r="J1203" s="6" t="s">
        <v>161</v>
      </c>
    </row>
    <row r="1204" customFormat="false" ht="15" hidden="false" customHeight="false" outlineLevel="0" collapsed="false">
      <c r="A1204" s="19" t="n">
        <v>46351</v>
      </c>
      <c r="B1204" s="6" t="s">
        <v>51</v>
      </c>
      <c r="C1204" s="6" t="s">
        <v>149</v>
      </c>
      <c r="D1204" s="7" t="n">
        <v>0.4323</v>
      </c>
      <c r="E1204" s="6" t="str">
        <f aca="false">IF(D1204&gt;Settings!$C$4,"Bullish",IF(D1204&lt;-Settings!$C$4,"Bearish","Neutral"))</f>
        <v>Bullish</v>
      </c>
      <c r="F1204" s="8" t="n">
        <v>0.538</v>
      </c>
      <c r="G1204" s="20"/>
      <c r="H1204" s="6" t="str">
        <f aca="false">IF(G1204="","",IF(G1204&gt;0,"Bullish",IF(G1204&lt;0,"Bearish","Flat")))</f>
        <v/>
      </c>
      <c r="I1204" s="6" t="str">
        <f aca="false">IF(OR(G1204="",E1204="Neutral"),"",IF(E1204=H1204,1,0))</f>
        <v/>
      </c>
      <c r="J1204" s="6" t="s">
        <v>161</v>
      </c>
    </row>
  </sheetData>
  <conditionalFormatting sqref="D6:D1204">
    <cfRule type="expression" priority="2" aboveAverage="0" equalAverage="0" bottom="0" percent="0" rank="0" text="" dxfId="0">
      <formula>AND(ISNUMBER(D6),D6&gt;Settings!$C$4)</formula>
    </cfRule>
    <cfRule type="expression" priority="3" aboveAverage="0" equalAverage="0" bottom="0" percent="0" rank="0" text="" dxfId="1">
      <formula>AND(ISNUMBER(D6),D6&lt;-Settings!$C$4)</formula>
    </cfRule>
    <cfRule type="expression" priority="4" aboveAverage="0" equalAverage="0" bottom="0" percent="0" rank="0" text="" dxfId="2">
      <formula>AND(ISNUMBER(D6),ABS(D6)&lt;=Settings!$C$4)</formula>
    </cfRule>
  </conditionalFormatting>
  <dataValidations count="1">
    <dataValidation allowBlank="true" errorStyle="stop" operator="between" showDropDown="false" showErrorMessage="false" showInputMessage="false" sqref="G6:G1204" type="decimal">
      <formula1>-1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48" min="7" style="0" width="9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64.9" hidden="false" customHeight="false" outlineLevel="0" collapsed="false">
      <c r="A4" s="5" t="s">
        <v>139</v>
      </c>
      <c r="B4" s="5" t="s">
        <v>164</v>
      </c>
      <c r="C4" s="5" t="s">
        <v>165</v>
      </c>
      <c r="D4" s="5" t="s">
        <v>166</v>
      </c>
      <c r="E4" s="5" t="s">
        <v>167</v>
      </c>
      <c r="F4" s="5" t="s">
        <v>168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5" t="s">
        <v>24</v>
      </c>
      <c r="N4" s="5" t="s">
        <v>25</v>
      </c>
      <c r="O4" s="5" t="s">
        <v>26</v>
      </c>
      <c r="P4" s="5" t="s">
        <v>27</v>
      </c>
      <c r="Q4" s="5" t="s">
        <v>28</v>
      </c>
      <c r="R4" s="5" t="s">
        <v>29</v>
      </c>
      <c r="S4" s="5" t="s">
        <v>30</v>
      </c>
      <c r="T4" s="5" t="s">
        <v>31</v>
      </c>
      <c r="U4" s="5" t="s">
        <v>32</v>
      </c>
      <c r="V4" s="5" t="s">
        <v>33</v>
      </c>
      <c r="W4" s="5" t="s">
        <v>34</v>
      </c>
      <c r="X4" s="5" t="s">
        <v>35</v>
      </c>
      <c r="Y4" s="5" t="s">
        <v>36</v>
      </c>
      <c r="Z4" s="5" t="s">
        <v>37</v>
      </c>
      <c r="AA4" s="5" t="s">
        <v>38</v>
      </c>
      <c r="AB4" s="5" t="s">
        <v>39</v>
      </c>
      <c r="AC4" s="5" t="s">
        <v>40</v>
      </c>
      <c r="AD4" s="5" t="s">
        <v>41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Q4" s="5" t="s">
        <v>54</v>
      </c>
      <c r="AR4" s="5" t="s">
        <v>55</v>
      </c>
      <c r="AS4" s="5" t="s">
        <v>56</v>
      </c>
      <c r="AT4" s="5" t="s">
        <v>57</v>
      </c>
      <c r="AU4" s="5" t="s">
        <v>58</v>
      </c>
      <c r="AV4" s="5" t="s">
        <v>59</v>
      </c>
    </row>
    <row r="5" customFormat="false" ht="15" hidden="false" customHeight="false" outlineLevel="0" collapsed="false">
      <c r="A5" s="19" t="n">
        <v>46322</v>
      </c>
      <c r="B5" s="6" t="n">
        <v>1</v>
      </c>
      <c r="C5" s="6" t="s">
        <v>169</v>
      </c>
      <c r="D5" s="6" t="s">
        <v>170</v>
      </c>
      <c r="E5" s="6" t="s">
        <v>171</v>
      </c>
      <c r="F5" s="6" t="s">
        <v>172</v>
      </c>
      <c r="G5" s="7" t="n">
        <v>-0.173</v>
      </c>
      <c r="H5" s="7" t="n">
        <v>-0.217</v>
      </c>
      <c r="I5" s="7" t="n">
        <v>0.011</v>
      </c>
      <c r="J5" s="7" t="n">
        <v>0.062</v>
      </c>
      <c r="K5" s="7" t="n">
        <v>-0.289</v>
      </c>
      <c r="L5" s="7" t="n">
        <v>0.054</v>
      </c>
      <c r="M5" s="7" t="n">
        <v>0.031</v>
      </c>
      <c r="N5" s="7" t="n">
        <v>0.067</v>
      </c>
      <c r="O5" s="7" t="n">
        <v>0.073</v>
      </c>
      <c r="P5" s="7" t="n">
        <v>-0.171</v>
      </c>
      <c r="Q5" s="7" t="n">
        <v>-0.377</v>
      </c>
      <c r="R5" s="7" t="n">
        <v>-0.117</v>
      </c>
      <c r="S5" s="7" t="n">
        <v>-0.126</v>
      </c>
      <c r="T5" s="7" t="n">
        <v>-0.088</v>
      </c>
      <c r="U5" s="7" t="n">
        <v>-0.326</v>
      </c>
      <c r="V5" s="7" t="n">
        <v>-0.379</v>
      </c>
      <c r="W5" s="7" t="n">
        <v>-0.003</v>
      </c>
      <c r="X5" s="7" t="n">
        <v>0.043</v>
      </c>
      <c r="Y5" s="7" t="n">
        <v>0.032</v>
      </c>
      <c r="Z5" s="7" t="n">
        <v>-0.354</v>
      </c>
      <c r="AA5" s="7" t="n">
        <v>0.072</v>
      </c>
      <c r="AB5" s="7" t="n">
        <v>-0.268</v>
      </c>
      <c r="AC5" s="7" t="n">
        <v>-0.146</v>
      </c>
      <c r="AD5" s="7" t="n">
        <v>-0.05</v>
      </c>
      <c r="AE5" s="7" t="n">
        <v>0.049</v>
      </c>
      <c r="AF5" s="7" t="n">
        <v>0.095</v>
      </c>
      <c r="AG5" s="7" t="n">
        <v>0.133</v>
      </c>
      <c r="AH5" s="7" t="n">
        <v>-0.439</v>
      </c>
      <c r="AI5" s="7" t="n">
        <v>0.062</v>
      </c>
      <c r="AJ5" s="7" t="n">
        <v>-0.162</v>
      </c>
      <c r="AK5" s="7" t="n">
        <v>-0.244</v>
      </c>
      <c r="AL5" s="7" t="n">
        <v>-0.116</v>
      </c>
      <c r="AM5" s="7" t="n">
        <v>0.372</v>
      </c>
      <c r="AN5" s="7" t="n">
        <v>-0.231</v>
      </c>
      <c r="AO5" s="7" t="n">
        <v>0.017</v>
      </c>
      <c r="AP5" s="7" t="n">
        <v>0.126</v>
      </c>
      <c r="AQ5" s="7" t="n">
        <v>-0.357</v>
      </c>
      <c r="AR5" s="7" t="n">
        <v>0.077</v>
      </c>
      <c r="AS5" s="7" t="n">
        <v>-0.019</v>
      </c>
      <c r="AT5" s="7" t="n">
        <v>0.029</v>
      </c>
      <c r="AU5" s="7" t="n">
        <v>-0.016</v>
      </c>
      <c r="AV5" s="7" t="n">
        <v>-0.301</v>
      </c>
    </row>
    <row r="6" customFormat="false" ht="15" hidden="false" customHeight="false" outlineLevel="0" collapsed="false">
      <c r="A6" s="19" t="n">
        <v>46323</v>
      </c>
      <c r="B6" s="6" t="n">
        <v>1</v>
      </c>
      <c r="C6" s="6" t="s">
        <v>173</v>
      </c>
      <c r="D6" s="6" t="s">
        <v>174</v>
      </c>
      <c r="E6" s="6" t="s">
        <v>171</v>
      </c>
      <c r="F6" s="6" t="s">
        <v>172</v>
      </c>
      <c r="G6" s="7" t="n">
        <v>0.04</v>
      </c>
      <c r="H6" s="7" t="n">
        <v>0.295</v>
      </c>
      <c r="I6" s="7" t="n">
        <v>-0.099</v>
      </c>
      <c r="J6" s="7" t="n">
        <v>0.099</v>
      </c>
      <c r="K6" s="7" t="n">
        <v>0.163</v>
      </c>
      <c r="L6" s="7" t="n">
        <v>-0.125</v>
      </c>
      <c r="M6" s="7" t="n">
        <v>0.006</v>
      </c>
      <c r="N6" s="7" t="n">
        <v>-0.135</v>
      </c>
      <c r="O6" s="7" t="n">
        <v>0.016</v>
      </c>
      <c r="P6" s="7" t="n">
        <v>-0.142</v>
      </c>
      <c r="Q6" s="7" t="n">
        <v>0.028</v>
      </c>
      <c r="R6" s="7" t="n">
        <v>-0.191</v>
      </c>
      <c r="S6" s="7" t="n">
        <v>0.343</v>
      </c>
      <c r="T6" s="7" t="n">
        <v>-0.203</v>
      </c>
      <c r="U6" s="7" t="n">
        <v>-0.048</v>
      </c>
      <c r="V6" s="7" t="n">
        <v>0.096</v>
      </c>
      <c r="W6" s="7" t="n">
        <v>-0.039</v>
      </c>
      <c r="X6" s="7" t="n">
        <v>0.081</v>
      </c>
      <c r="Y6" s="7" t="n">
        <v>0.023</v>
      </c>
      <c r="Z6" s="7" t="n">
        <v>-0.381</v>
      </c>
      <c r="AA6" s="7" t="n">
        <v>-0.407</v>
      </c>
      <c r="AB6" s="7" t="n">
        <v>0.041</v>
      </c>
      <c r="AC6" s="7" t="n">
        <v>-0.159</v>
      </c>
      <c r="AD6" s="7" t="n">
        <v>-0.442</v>
      </c>
      <c r="AE6" s="7" t="n">
        <v>0.083</v>
      </c>
      <c r="AF6" s="7" t="n">
        <v>0.104</v>
      </c>
      <c r="AG6" s="7" t="n">
        <v>0.054</v>
      </c>
      <c r="AH6" s="7" t="n">
        <v>-0.003</v>
      </c>
      <c r="AI6" s="7" t="n">
        <v>0.16</v>
      </c>
      <c r="AJ6" s="7" t="n">
        <v>0.327</v>
      </c>
      <c r="AK6" s="7" t="n">
        <v>0.302</v>
      </c>
      <c r="AL6" s="7" t="n">
        <v>-0.447</v>
      </c>
      <c r="AM6" s="7" t="n">
        <v>-0.059</v>
      </c>
      <c r="AN6" s="7" t="n">
        <v>0.015</v>
      </c>
      <c r="AO6" s="7" t="n">
        <v>-0.091</v>
      </c>
      <c r="AP6" s="7" t="n">
        <v>0.065</v>
      </c>
      <c r="AQ6" s="7" t="n">
        <v>-0.462</v>
      </c>
      <c r="AR6" s="7" t="n">
        <v>-0.003</v>
      </c>
      <c r="AS6" s="7" t="n">
        <v>-0.049</v>
      </c>
      <c r="AT6" s="7" t="n">
        <v>-0.362</v>
      </c>
      <c r="AU6" s="7" t="n">
        <v>0.023</v>
      </c>
      <c r="AV6" s="7" t="n">
        <v>0.016</v>
      </c>
    </row>
    <row r="7" customFormat="false" ht="15" hidden="false" customHeight="false" outlineLevel="0" collapsed="false">
      <c r="A7" s="19" t="n">
        <v>46324</v>
      </c>
      <c r="B7" s="6" t="n">
        <v>1</v>
      </c>
      <c r="C7" s="6" t="s">
        <v>173</v>
      </c>
      <c r="D7" s="6" t="s">
        <v>175</v>
      </c>
      <c r="E7" s="6" t="s">
        <v>171</v>
      </c>
      <c r="F7" s="6" t="s">
        <v>172</v>
      </c>
      <c r="G7" s="7" t="n">
        <v>0.009</v>
      </c>
      <c r="H7" s="7" t="n">
        <v>0.125</v>
      </c>
      <c r="I7" s="7" t="n">
        <v>0.084</v>
      </c>
      <c r="J7" s="7" t="n">
        <v>0.097</v>
      </c>
      <c r="K7" s="7" t="n">
        <v>-0.035</v>
      </c>
      <c r="L7" s="7" t="n">
        <v>0.129</v>
      </c>
      <c r="M7" s="7" t="n">
        <v>0.067</v>
      </c>
      <c r="N7" s="7" t="n">
        <v>-0.105</v>
      </c>
      <c r="O7" s="7" t="n">
        <v>-0.006</v>
      </c>
      <c r="P7" s="7" t="n">
        <v>-0.146</v>
      </c>
      <c r="Q7" s="7" t="n">
        <v>-0.241</v>
      </c>
      <c r="R7" s="7" t="n">
        <v>-0.192</v>
      </c>
      <c r="S7" s="7" t="n">
        <v>0.153</v>
      </c>
      <c r="T7" s="7" t="n">
        <v>0.157</v>
      </c>
      <c r="U7" s="7" t="n">
        <v>-0.122</v>
      </c>
      <c r="V7" s="7" t="n">
        <v>-0.144</v>
      </c>
      <c r="W7" s="7" t="n">
        <v>0.024</v>
      </c>
      <c r="X7" s="7" t="n">
        <v>0.081</v>
      </c>
      <c r="Y7" s="7" t="n">
        <v>0.012</v>
      </c>
      <c r="Z7" s="7" t="n">
        <v>-0.194</v>
      </c>
      <c r="AA7" s="7" t="n">
        <v>0.003</v>
      </c>
      <c r="AB7" s="7" t="n">
        <v>-0.184</v>
      </c>
      <c r="AC7" s="7" t="n">
        <v>-0.085</v>
      </c>
      <c r="AD7" s="7" t="n">
        <v>-0.211</v>
      </c>
      <c r="AE7" s="7" t="n">
        <v>0.079</v>
      </c>
      <c r="AF7" s="7" t="n">
        <v>0.06</v>
      </c>
      <c r="AG7" s="7" t="n">
        <v>0.012</v>
      </c>
      <c r="AH7" s="7" t="n">
        <v>-0.234</v>
      </c>
      <c r="AI7" s="7" t="n">
        <v>0.248</v>
      </c>
      <c r="AJ7" s="7" t="n">
        <v>0.159</v>
      </c>
      <c r="AK7" s="7" t="n">
        <v>0.126</v>
      </c>
      <c r="AL7" s="7" t="n">
        <v>-0.163</v>
      </c>
      <c r="AM7" s="7" t="n">
        <v>0.358</v>
      </c>
      <c r="AN7" s="7" t="n">
        <v>-0.177</v>
      </c>
      <c r="AO7" s="7" t="n">
        <v>-0.03</v>
      </c>
      <c r="AP7" s="7" t="n">
        <v>0.018</v>
      </c>
      <c r="AQ7" s="7" t="n">
        <v>-0.163</v>
      </c>
      <c r="AR7" s="7" t="n">
        <v>-0.046</v>
      </c>
      <c r="AS7" s="7" t="n">
        <v>0.054</v>
      </c>
      <c r="AT7" s="7" t="n">
        <v>0.076</v>
      </c>
      <c r="AU7" s="7" t="n">
        <v>0.024</v>
      </c>
      <c r="AV7" s="7" t="n">
        <v>-0.136</v>
      </c>
    </row>
    <row r="8" customFormat="false" ht="15" hidden="false" customHeight="false" outlineLevel="0" collapsed="false">
      <c r="A8" s="19" t="n">
        <v>46325</v>
      </c>
      <c r="B8" s="6" t="n">
        <v>1</v>
      </c>
      <c r="C8" s="6" t="s">
        <v>176</v>
      </c>
      <c r="D8" s="6" t="s">
        <v>177</v>
      </c>
      <c r="E8" s="6" t="s">
        <v>171</v>
      </c>
      <c r="F8" s="6" t="s">
        <v>172</v>
      </c>
      <c r="G8" s="7" t="n">
        <v>-0.07</v>
      </c>
      <c r="H8" s="7" t="n">
        <v>0.059</v>
      </c>
      <c r="I8" s="7" t="n">
        <v>0.01</v>
      </c>
      <c r="J8" s="7" t="n">
        <v>0.23</v>
      </c>
      <c r="K8" s="7" t="n">
        <v>-0.115</v>
      </c>
      <c r="L8" s="7" t="n">
        <v>-0.022</v>
      </c>
      <c r="M8" s="7" t="n">
        <v>-0.027</v>
      </c>
      <c r="N8" s="7" t="n">
        <v>0.057</v>
      </c>
      <c r="O8" s="7" t="n">
        <v>0.039</v>
      </c>
      <c r="P8" s="7" t="n">
        <v>0.218</v>
      </c>
      <c r="Q8" s="7" t="n">
        <v>-0.195</v>
      </c>
      <c r="R8" s="7" t="n">
        <v>-0.209</v>
      </c>
      <c r="S8" s="7" t="n">
        <v>0.001</v>
      </c>
      <c r="T8" s="7" t="n">
        <v>-0.018</v>
      </c>
      <c r="U8" s="7" t="n">
        <v>-0.044</v>
      </c>
      <c r="V8" s="7" t="n">
        <v>0.07</v>
      </c>
      <c r="W8" s="7" t="n">
        <v>-0.096</v>
      </c>
      <c r="X8" s="7" t="n">
        <v>0.085</v>
      </c>
      <c r="Y8" s="7" t="n">
        <v>0.041</v>
      </c>
      <c r="Z8" s="7" t="n">
        <v>-0.301</v>
      </c>
      <c r="AA8" s="7" t="n">
        <v>-0.03</v>
      </c>
      <c r="AB8" s="7" t="n">
        <v>0.009</v>
      </c>
      <c r="AC8" s="7" t="n">
        <v>-0.08</v>
      </c>
      <c r="AD8" s="7" t="n">
        <v>-0.214</v>
      </c>
      <c r="AE8" s="7" t="n">
        <v>0.235</v>
      </c>
      <c r="AF8" s="7" t="n">
        <v>-0.062</v>
      </c>
      <c r="AG8" s="7" t="n">
        <v>0.058</v>
      </c>
      <c r="AH8" s="7" t="n">
        <v>-0.048</v>
      </c>
      <c r="AI8" s="7" t="n">
        <v>-0.02</v>
      </c>
      <c r="AJ8" s="7" t="n">
        <v>0.029</v>
      </c>
      <c r="AK8" s="7" t="n">
        <v>0.204</v>
      </c>
      <c r="AL8" s="7" t="n">
        <v>-0.076</v>
      </c>
      <c r="AM8" s="7" t="n">
        <v>0.362</v>
      </c>
      <c r="AN8" s="7" t="n">
        <v>-0.102</v>
      </c>
      <c r="AO8" s="7" t="n">
        <v>0.014</v>
      </c>
      <c r="AP8" s="7" t="n">
        <v>0.059</v>
      </c>
      <c r="AQ8" s="7" t="n">
        <v>-0.097</v>
      </c>
      <c r="AR8" s="7" t="n">
        <v>-0.024</v>
      </c>
      <c r="AS8" s="7" t="n">
        <v>-0.106</v>
      </c>
      <c r="AT8" s="7" t="n">
        <v>-0.084</v>
      </c>
      <c r="AU8" s="7" t="n">
        <v>-0.138</v>
      </c>
      <c r="AV8" s="7" t="n">
        <v>-0.081</v>
      </c>
    </row>
    <row r="9" customFormat="false" ht="15" hidden="false" customHeight="false" outlineLevel="0" collapsed="false">
      <c r="A9" s="19" t="n">
        <v>46326</v>
      </c>
      <c r="B9" s="6" t="n">
        <v>0</v>
      </c>
      <c r="C9" s="6" t="s">
        <v>176</v>
      </c>
      <c r="D9" s="6" t="s">
        <v>178</v>
      </c>
      <c r="E9" s="6" t="s">
        <v>171</v>
      </c>
      <c r="F9" s="6" t="s">
        <v>179</v>
      </c>
      <c r="G9" s="7" t="n">
        <v>-0.326</v>
      </c>
      <c r="H9" s="7" t="n">
        <v>-0.315</v>
      </c>
      <c r="I9" s="7" t="n">
        <v>-0.026</v>
      </c>
      <c r="J9" s="7" t="n">
        <v>0.179</v>
      </c>
      <c r="K9" s="7" t="n">
        <v>-0.415</v>
      </c>
      <c r="L9" s="7" t="n">
        <v>-0.06</v>
      </c>
      <c r="M9" s="7" t="n">
        <v>0.041</v>
      </c>
      <c r="N9" s="7" t="n">
        <v>-0.023</v>
      </c>
      <c r="O9" s="7" t="n">
        <v>-0.424</v>
      </c>
      <c r="P9" s="7" t="n">
        <v>-0.015</v>
      </c>
      <c r="Q9" s="7" t="n">
        <v>-0.114</v>
      </c>
      <c r="R9" s="7" t="n">
        <v>-0.461</v>
      </c>
      <c r="S9" s="7" t="n">
        <v>-0.442</v>
      </c>
      <c r="T9" s="7" t="n">
        <v>-0.462</v>
      </c>
      <c r="U9" s="7" t="n">
        <v>-0.014</v>
      </c>
      <c r="V9" s="7" t="n">
        <v>0.149</v>
      </c>
      <c r="W9" s="7" t="n">
        <v>-0.018</v>
      </c>
      <c r="X9" s="7" t="n">
        <v>-0.117</v>
      </c>
      <c r="Y9" s="7" t="n">
        <v>0.045</v>
      </c>
      <c r="Z9" s="7" t="n">
        <v>-0.151</v>
      </c>
      <c r="AA9" s="7" t="n">
        <v>0.056</v>
      </c>
      <c r="AB9" s="7" t="n">
        <v>0.062</v>
      </c>
      <c r="AC9" s="7" t="n">
        <v>-0.091</v>
      </c>
      <c r="AD9" s="7" t="n">
        <v>-0.078</v>
      </c>
      <c r="AE9" s="7" t="n">
        <v>0.08</v>
      </c>
      <c r="AF9" s="7" t="n">
        <v>0.05</v>
      </c>
      <c r="AG9" s="7" t="n">
        <v>-0.479</v>
      </c>
      <c r="AH9" s="7" t="n">
        <v>0.025</v>
      </c>
      <c r="AI9" s="7" t="n">
        <v>0.046</v>
      </c>
      <c r="AJ9" s="7" t="n">
        <v>-0.388</v>
      </c>
      <c r="AK9" s="7" t="n">
        <v>0.231</v>
      </c>
      <c r="AL9" s="7" t="n">
        <v>-0.077</v>
      </c>
      <c r="AM9" s="7" t="n">
        <v>-0.048</v>
      </c>
      <c r="AN9" s="7" t="n">
        <v>-0.1</v>
      </c>
      <c r="AO9" s="7" t="n">
        <v>-0.054</v>
      </c>
      <c r="AP9" s="7" t="n">
        <v>0.026</v>
      </c>
      <c r="AQ9" s="7" t="n">
        <v>-0.395</v>
      </c>
      <c r="AR9" s="7" t="n">
        <v>-0.056</v>
      </c>
      <c r="AS9" s="7" t="n">
        <v>0.04</v>
      </c>
      <c r="AT9" s="7" t="n">
        <v>-0.371</v>
      </c>
      <c r="AU9" s="7" t="n">
        <v>-0.089</v>
      </c>
      <c r="AV9" s="7" t="n">
        <v>-0.046</v>
      </c>
    </row>
    <row r="10" customFormat="false" ht="15" hidden="false" customHeight="false" outlineLevel="0" collapsed="false">
      <c r="A10" s="19" t="n">
        <v>46327</v>
      </c>
      <c r="B10" s="6" t="n">
        <v>0</v>
      </c>
      <c r="C10" s="6" t="s">
        <v>180</v>
      </c>
      <c r="D10" s="6" t="s">
        <v>181</v>
      </c>
      <c r="E10" s="6" t="s">
        <v>171</v>
      </c>
      <c r="F10" s="6" t="s">
        <v>179</v>
      </c>
      <c r="G10" s="7" t="n">
        <v>-0.215</v>
      </c>
      <c r="H10" s="7" t="n">
        <v>0.033</v>
      </c>
      <c r="I10" s="7" t="n">
        <v>-0.134</v>
      </c>
      <c r="J10" s="7" t="n">
        <v>-0.083</v>
      </c>
      <c r="K10" s="7" t="n">
        <v>-0.126</v>
      </c>
      <c r="L10" s="7" t="n">
        <v>-0.233</v>
      </c>
      <c r="M10" s="7" t="n">
        <v>-0.311</v>
      </c>
      <c r="N10" s="7" t="n">
        <v>-0.305</v>
      </c>
      <c r="O10" s="7" t="n">
        <v>-0.162</v>
      </c>
      <c r="P10" s="7" t="n">
        <v>-0.109</v>
      </c>
      <c r="Q10" s="7" t="n">
        <v>0.059</v>
      </c>
      <c r="R10" s="7" t="n">
        <v>-0.283</v>
      </c>
      <c r="S10" s="7" t="n">
        <v>0.013</v>
      </c>
      <c r="T10" s="7" t="n">
        <v>-0.024</v>
      </c>
      <c r="U10" s="7" t="n">
        <v>-0.139</v>
      </c>
      <c r="V10" s="7" t="n">
        <v>0.136</v>
      </c>
      <c r="W10" s="7" t="n">
        <v>-0.409</v>
      </c>
      <c r="X10" s="7" t="n">
        <v>0.086</v>
      </c>
      <c r="Y10" s="7" t="n">
        <v>-0.381</v>
      </c>
      <c r="Z10" s="7" t="n">
        <v>-0.019</v>
      </c>
      <c r="AA10" s="7" t="n">
        <v>-0.242</v>
      </c>
      <c r="AB10" s="7" t="n">
        <v>0.062</v>
      </c>
      <c r="AC10" s="7" t="n">
        <v>-0.196</v>
      </c>
      <c r="AD10" s="7" t="n">
        <v>-0.283</v>
      </c>
      <c r="AE10" s="7" t="n">
        <v>0.077</v>
      </c>
      <c r="AF10" s="7" t="n">
        <v>-0.281</v>
      </c>
      <c r="AG10" s="7" t="n">
        <v>-0.279</v>
      </c>
      <c r="AH10" s="7" t="n">
        <v>0.031</v>
      </c>
      <c r="AI10" s="7" t="n">
        <v>0.001</v>
      </c>
      <c r="AJ10" s="7" t="n">
        <v>0</v>
      </c>
      <c r="AK10" s="7" t="n">
        <v>-0.029</v>
      </c>
      <c r="AL10" s="7" t="n">
        <v>-0.207</v>
      </c>
      <c r="AM10" s="7" t="n">
        <v>0.262</v>
      </c>
      <c r="AN10" s="7" t="n">
        <v>-0.046</v>
      </c>
      <c r="AO10" s="7" t="n">
        <v>-0.341</v>
      </c>
      <c r="AP10" s="7" t="n">
        <v>-0.165</v>
      </c>
      <c r="AQ10" s="7" t="n">
        <v>-0.209</v>
      </c>
      <c r="AR10" s="7" t="n">
        <v>-0.008</v>
      </c>
      <c r="AS10" s="7" t="n">
        <v>-0.283</v>
      </c>
      <c r="AT10" s="7" t="n">
        <v>0.017</v>
      </c>
      <c r="AU10" s="7" t="n">
        <v>0.031</v>
      </c>
      <c r="AV10" s="7" t="n">
        <v>-0.04</v>
      </c>
    </row>
    <row r="11" customFormat="false" ht="15" hidden="false" customHeight="false" outlineLevel="0" collapsed="false">
      <c r="A11" s="19" t="n">
        <v>46328</v>
      </c>
      <c r="B11" s="6" t="n">
        <v>1</v>
      </c>
      <c r="C11" s="6" t="s">
        <v>180</v>
      </c>
      <c r="D11" s="6" t="s">
        <v>182</v>
      </c>
      <c r="E11" s="6" t="s">
        <v>171</v>
      </c>
      <c r="F11" s="6" t="s">
        <v>179</v>
      </c>
      <c r="G11" s="7" t="n">
        <v>0.159</v>
      </c>
      <c r="H11" s="7" t="n">
        <v>0.451</v>
      </c>
      <c r="I11" s="7" t="n">
        <v>-0.126</v>
      </c>
      <c r="J11" s="7" t="n">
        <v>0.391</v>
      </c>
      <c r="K11" s="7" t="n">
        <v>0.174</v>
      </c>
      <c r="L11" s="7" t="n">
        <v>-0.227</v>
      </c>
      <c r="M11" s="7" t="n">
        <v>-0.087</v>
      </c>
      <c r="N11" s="7" t="n">
        <v>-0.075</v>
      </c>
      <c r="O11" s="7" t="n">
        <v>-0.12</v>
      </c>
      <c r="P11" s="7" t="n">
        <v>0.403</v>
      </c>
      <c r="Q11" s="7" t="n">
        <v>0.342</v>
      </c>
      <c r="R11" s="7" t="n">
        <v>-0.294</v>
      </c>
      <c r="S11" s="7" t="n">
        <v>0.345</v>
      </c>
      <c r="T11" s="7" t="n">
        <v>0.273</v>
      </c>
      <c r="U11" s="7" t="n">
        <v>-0.131</v>
      </c>
      <c r="V11" s="7" t="n">
        <v>0.136</v>
      </c>
      <c r="W11" s="7" t="n">
        <v>-0.146</v>
      </c>
      <c r="X11" s="7" t="n">
        <v>0.375</v>
      </c>
      <c r="Y11" s="7" t="n">
        <v>0.01</v>
      </c>
      <c r="Z11" s="7" t="n">
        <v>-0.02</v>
      </c>
      <c r="AA11" s="7" t="n">
        <v>-0.002</v>
      </c>
      <c r="AB11" s="7" t="n">
        <v>0.062</v>
      </c>
      <c r="AC11" s="7" t="n">
        <v>-0.188</v>
      </c>
      <c r="AD11" s="7" t="n">
        <v>-0.282</v>
      </c>
      <c r="AE11" s="7" t="n">
        <v>0.484</v>
      </c>
      <c r="AF11" s="7" t="n">
        <v>0.026</v>
      </c>
      <c r="AG11" s="7" t="n">
        <v>-0.322</v>
      </c>
      <c r="AH11" s="7" t="n">
        <v>0.029</v>
      </c>
      <c r="AI11" s="7" t="n">
        <v>0.446</v>
      </c>
      <c r="AJ11" s="7" t="n">
        <v>0.334</v>
      </c>
      <c r="AK11" s="7" t="n">
        <v>0.127</v>
      </c>
      <c r="AL11" s="7" t="n">
        <v>-0.207</v>
      </c>
      <c r="AM11" s="7" t="n">
        <v>0.286</v>
      </c>
      <c r="AN11" s="7" t="n">
        <v>-0.007</v>
      </c>
      <c r="AO11" s="7" t="n">
        <v>-0.092</v>
      </c>
      <c r="AP11" s="7" t="n">
        <v>0.084</v>
      </c>
      <c r="AQ11" s="7" t="n">
        <v>-0.202</v>
      </c>
      <c r="AR11" s="7" t="n">
        <v>0.033</v>
      </c>
      <c r="AS11" s="7" t="n">
        <v>-0.087</v>
      </c>
      <c r="AT11" s="7" t="n">
        <v>0.311</v>
      </c>
      <c r="AU11" s="7" t="n">
        <v>0.299</v>
      </c>
      <c r="AV11" s="7" t="n">
        <v>-0.042</v>
      </c>
    </row>
    <row r="12" customFormat="false" ht="15" hidden="false" customHeight="false" outlineLevel="0" collapsed="false">
      <c r="A12" s="19" t="n">
        <v>46329</v>
      </c>
      <c r="B12" s="6" t="n">
        <v>1</v>
      </c>
      <c r="C12" s="6" t="s">
        <v>183</v>
      </c>
      <c r="D12" s="6" t="s">
        <v>184</v>
      </c>
      <c r="E12" s="6" t="s">
        <v>171</v>
      </c>
      <c r="F12" s="6" t="s">
        <v>179</v>
      </c>
      <c r="G12" s="7" t="n">
        <v>-0.356</v>
      </c>
      <c r="H12" s="7" t="n">
        <v>0.22</v>
      </c>
      <c r="I12" s="7" t="n">
        <v>-0.468</v>
      </c>
      <c r="J12" s="7" t="n">
        <v>0.115</v>
      </c>
      <c r="K12" s="7" t="n">
        <v>-0.035</v>
      </c>
      <c r="L12" s="7" t="n">
        <v>-0.165</v>
      </c>
      <c r="M12" s="7" t="n">
        <v>-0.037</v>
      </c>
      <c r="N12" s="7" t="n">
        <v>-0.5</v>
      </c>
      <c r="O12" s="7" t="n">
        <v>-0.038</v>
      </c>
      <c r="P12" s="7" t="n">
        <v>-0.101</v>
      </c>
      <c r="Q12" s="7" t="n">
        <v>0.107</v>
      </c>
      <c r="R12" s="7" t="n">
        <v>-0.133</v>
      </c>
      <c r="S12" s="7" t="n">
        <v>0.057</v>
      </c>
      <c r="T12" s="7" t="n">
        <v>-0.008</v>
      </c>
      <c r="U12" s="7" t="n">
        <v>-0.265</v>
      </c>
      <c r="V12" s="7" t="n">
        <v>0.2</v>
      </c>
      <c r="W12" s="7" t="n">
        <v>-0.53</v>
      </c>
      <c r="X12" s="7" t="n">
        <v>-0.351</v>
      </c>
      <c r="Y12" s="7" t="n">
        <v>-0.524</v>
      </c>
      <c r="Z12" s="7" t="n">
        <v>0.04</v>
      </c>
      <c r="AA12" s="7" t="n">
        <v>-0.42</v>
      </c>
      <c r="AB12" s="7" t="n">
        <v>0.111</v>
      </c>
      <c r="AC12" s="7" t="n">
        <v>-0.495</v>
      </c>
      <c r="AD12" s="7" t="n">
        <v>-0.463</v>
      </c>
      <c r="AE12" s="7" t="n">
        <v>0.116</v>
      </c>
      <c r="AF12" s="7" t="n">
        <v>-0.505</v>
      </c>
      <c r="AG12" s="7" t="n">
        <v>-0.068</v>
      </c>
      <c r="AH12" s="7" t="n">
        <v>0.093</v>
      </c>
      <c r="AI12" s="7" t="n">
        <v>-0.299</v>
      </c>
      <c r="AJ12" s="7" t="n">
        <v>0.11</v>
      </c>
      <c r="AK12" s="7" t="n">
        <v>0.158</v>
      </c>
      <c r="AL12" s="7" t="n">
        <v>-0.145</v>
      </c>
      <c r="AM12" s="7" t="n">
        <v>0.318</v>
      </c>
      <c r="AN12" s="7" t="n">
        <v>-0.069</v>
      </c>
      <c r="AO12" s="7" t="n">
        <v>-0.524</v>
      </c>
      <c r="AP12" s="7" t="n">
        <v>-0.456</v>
      </c>
      <c r="AQ12" s="7" t="n">
        <v>-0.132</v>
      </c>
      <c r="AR12" s="7" t="n">
        <v>-0.056</v>
      </c>
      <c r="AS12" s="7" t="n">
        <v>-0.43</v>
      </c>
      <c r="AT12" s="7" t="n">
        <v>0.107</v>
      </c>
      <c r="AU12" s="7" t="n">
        <v>0.071</v>
      </c>
      <c r="AV12" s="7" t="n">
        <v>-0.014</v>
      </c>
    </row>
    <row r="13" customFormat="false" ht="15" hidden="false" customHeight="false" outlineLevel="0" collapsed="false">
      <c r="A13" s="19" t="n">
        <v>46330</v>
      </c>
      <c r="B13" s="6" t="n">
        <v>1</v>
      </c>
      <c r="C13" s="6" t="s">
        <v>183</v>
      </c>
      <c r="D13" s="6" t="s">
        <v>185</v>
      </c>
      <c r="E13" s="6" t="s">
        <v>171</v>
      </c>
      <c r="F13" s="6" t="s">
        <v>179</v>
      </c>
      <c r="G13" s="7" t="n">
        <v>0.047</v>
      </c>
      <c r="H13" s="7" t="n">
        <v>0.381</v>
      </c>
      <c r="I13" s="7" t="n">
        <v>-0.089</v>
      </c>
      <c r="J13" s="7" t="n">
        <v>0.134</v>
      </c>
      <c r="K13" s="7" t="n">
        <v>0.12</v>
      </c>
      <c r="L13" s="7" t="n">
        <v>-0.206</v>
      </c>
      <c r="M13" s="7" t="n">
        <v>-0.037</v>
      </c>
      <c r="N13" s="7" t="n">
        <v>-0.116</v>
      </c>
      <c r="O13" s="7" t="n">
        <v>-0.087</v>
      </c>
      <c r="P13" s="7" t="n">
        <v>-0.098</v>
      </c>
      <c r="Q13" s="7" t="n">
        <v>0.215</v>
      </c>
      <c r="R13" s="7" t="n">
        <v>-0.167</v>
      </c>
      <c r="S13" s="7" t="n">
        <v>0.212</v>
      </c>
      <c r="T13" s="7" t="n">
        <v>-0.014</v>
      </c>
      <c r="U13" s="7" t="n">
        <v>-0.075</v>
      </c>
      <c r="V13" s="7" t="n">
        <v>0.292</v>
      </c>
      <c r="W13" s="7" t="n">
        <v>-0.078</v>
      </c>
      <c r="X13" s="7" t="n">
        <v>0.147</v>
      </c>
      <c r="Y13" s="7" t="n">
        <v>0.03</v>
      </c>
      <c r="Z13" s="7" t="n">
        <v>0.089</v>
      </c>
      <c r="AA13" s="7" t="n">
        <v>-0.037</v>
      </c>
      <c r="AB13" s="7" t="n">
        <v>0.226</v>
      </c>
      <c r="AC13" s="7" t="n">
        <v>-0.154</v>
      </c>
      <c r="AD13" s="7" t="n">
        <v>-0.308</v>
      </c>
      <c r="AE13" s="7" t="n">
        <v>0.135</v>
      </c>
      <c r="AF13" s="7" t="n">
        <v>0.061</v>
      </c>
      <c r="AG13" s="7" t="n">
        <v>-0.108</v>
      </c>
      <c r="AH13" s="7" t="n">
        <v>0.188</v>
      </c>
      <c r="AI13" s="7" t="n">
        <v>0.054</v>
      </c>
      <c r="AJ13" s="7" t="n">
        <v>0.264</v>
      </c>
      <c r="AK13" s="7" t="n">
        <v>0.407</v>
      </c>
      <c r="AL13" s="7" t="n">
        <v>-0.145</v>
      </c>
      <c r="AM13" s="7" t="n">
        <v>0.306</v>
      </c>
      <c r="AN13" s="7" t="n">
        <v>-0.08</v>
      </c>
      <c r="AO13" s="7" t="n">
        <v>-0.139</v>
      </c>
      <c r="AP13" s="7" t="n">
        <v>0.012</v>
      </c>
      <c r="AQ13" s="7" t="n">
        <v>-0.139</v>
      </c>
      <c r="AR13" s="7" t="n">
        <v>-0.056</v>
      </c>
      <c r="AS13" s="7" t="n">
        <v>-0.044</v>
      </c>
      <c r="AT13" s="7" t="n">
        <v>0.119</v>
      </c>
      <c r="AU13" s="7" t="n">
        <v>0.091</v>
      </c>
      <c r="AV13" s="7" t="n">
        <v>-0.024</v>
      </c>
    </row>
    <row r="14" customFormat="false" ht="15" hidden="false" customHeight="false" outlineLevel="0" collapsed="false">
      <c r="A14" s="19" t="n">
        <v>46331</v>
      </c>
      <c r="B14" s="6" t="n">
        <v>1</v>
      </c>
      <c r="C14" s="6" t="s">
        <v>186</v>
      </c>
      <c r="D14" s="6" t="s">
        <v>187</v>
      </c>
      <c r="E14" s="6" t="s">
        <v>171</v>
      </c>
      <c r="F14" s="6" t="s">
        <v>179</v>
      </c>
      <c r="G14" s="7" t="n">
        <v>-0.028</v>
      </c>
      <c r="H14" s="7" t="n">
        <v>0.275</v>
      </c>
      <c r="I14" s="7" t="n">
        <v>-0.086</v>
      </c>
      <c r="J14" s="7" t="n">
        <v>0.404</v>
      </c>
      <c r="K14" s="7" t="n">
        <v>0.027</v>
      </c>
      <c r="L14" s="7" t="n">
        <v>-0.244</v>
      </c>
      <c r="M14" s="7" t="n">
        <v>-0.067</v>
      </c>
      <c r="N14" s="7" t="n">
        <v>-0.183</v>
      </c>
      <c r="O14" s="7" t="n">
        <v>-0.185</v>
      </c>
      <c r="P14" s="7" t="n">
        <v>0.319</v>
      </c>
      <c r="Q14" s="7" t="n">
        <v>0.136</v>
      </c>
      <c r="R14" s="7" t="n">
        <v>-0.261</v>
      </c>
      <c r="S14" s="7" t="n">
        <v>0.121</v>
      </c>
      <c r="T14" s="7" t="n">
        <v>-0.284</v>
      </c>
      <c r="U14" s="7" t="n">
        <v>-0.049</v>
      </c>
      <c r="V14" s="7" t="n">
        <v>0.283</v>
      </c>
      <c r="W14" s="7" t="n">
        <v>-0.098</v>
      </c>
      <c r="X14" s="7" t="n">
        <v>0.206</v>
      </c>
      <c r="Y14" s="7" t="n">
        <v>0.001</v>
      </c>
      <c r="Z14" s="7" t="n">
        <v>-0.114</v>
      </c>
      <c r="AA14" s="7" t="n">
        <v>-0.073</v>
      </c>
      <c r="AB14" s="7" t="n">
        <v>0.2</v>
      </c>
      <c r="AC14" s="7" t="n">
        <v>-0.152</v>
      </c>
      <c r="AD14" s="7" t="n">
        <v>-0.405</v>
      </c>
      <c r="AE14" s="7" t="n">
        <v>0.458</v>
      </c>
      <c r="AF14" s="7" t="n">
        <v>0.041</v>
      </c>
      <c r="AG14" s="7" t="n">
        <v>-0.198</v>
      </c>
      <c r="AH14" s="7" t="n">
        <v>0.175</v>
      </c>
      <c r="AI14" s="7" t="n">
        <v>0.206</v>
      </c>
      <c r="AJ14" s="7" t="n">
        <v>0.172</v>
      </c>
      <c r="AK14" s="7" t="n">
        <v>0.443</v>
      </c>
      <c r="AL14" s="7" t="n">
        <v>-0.393</v>
      </c>
      <c r="AM14" s="7" t="n">
        <v>-0.003</v>
      </c>
      <c r="AN14" s="7" t="n">
        <v>-0.088</v>
      </c>
      <c r="AO14" s="7" t="n">
        <v>-0.203</v>
      </c>
      <c r="AP14" s="7" t="n">
        <v>-0.051</v>
      </c>
      <c r="AQ14" s="7" t="n">
        <v>-0.338</v>
      </c>
      <c r="AR14" s="7" t="n">
        <v>-0.088</v>
      </c>
      <c r="AS14" s="7" t="n">
        <v>-0.078</v>
      </c>
      <c r="AT14" s="7" t="n">
        <v>-0.231</v>
      </c>
      <c r="AU14" s="7" t="n">
        <v>0.06</v>
      </c>
      <c r="AV14" s="7" t="n">
        <v>0</v>
      </c>
    </row>
    <row r="15" customFormat="false" ht="15" hidden="false" customHeight="false" outlineLevel="0" collapsed="false">
      <c r="A15" s="19" t="n">
        <v>46332</v>
      </c>
      <c r="B15" s="6" t="n">
        <v>1</v>
      </c>
      <c r="C15" s="6" t="s">
        <v>186</v>
      </c>
      <c r="D15" s="6" t="s">
        <v>188</v>
      </c>
      <c r="E15" s="6" t="s">
        <v>171</v>
      </c>
      <c r="F15" s="6" t="s">
        <v>179</v>
      </c>
      <c r="G15" s="7" t="n">
        <v>-0.205</v>
      </c>
      <c r="H15" s="7" t="n">
        <v>-0.16</v>
      </c>
      <c r="I15" s="7" t="n">
        <v>-0.084</v>
      </c>
      <c r="J15" s="7" t="n">
        <v>0.236</v>
      </c>
      <c r="K15" s="7" t="n">
        <v>-0.079</v>
      </c>
      <c r="L15" s="7" t="n">
        <v>-0.201</v>
      </c>
      <c r="M15" s="7" t="n">
        <v>-0.044</v>
      </c>
      <c r="N15" s="7" t="n">
        <v>-0.551</v>
      </c>
      <c r="O15" s="7" t="n">
        <v>-0.526</v>
      </c>
      <c r="P15" s="7" t="n">
        <v>0.165</v>
      </c>
      <c r="Q15" s="7" t="n">
        <v>-0.18</v>
      </c>
      <c r="R15" s="7" t="n">
        <v>-0.325</v>
      </c>
      <c r="S15" s="7" t="n">
        <v>-0.29</v>
      </c>
      <c r="T15" s="7" t="n">
        <v>-0.327</v>
      </c>
      <c r="U15" s="7" t="n">
        <v>-0.039</v>
      </c>
      <c r="V15" s="7" t="n">
        <v>0.322</v>
      </c>
      <c r="W15" s="7" t="n">
        <v>-0.067</v>
      </c>
      <c r="X15" s="7" t="n">
        <v>0.067</v>
      </c>
      <c r="Y15" s="7" t="n">
        <v>0.004</v>
      </c>
      <c r="Z15" s="7" t="n">
        <v>0.263</v>
      </c>
      <c r="AA15" s="7" t="n">
        <v>-0.158</v>
      </c>
      <c r="AB15" s="7" t="n">
        <v>0.24</v>
      </c>
      <c r="AC15" s="7" t="n">
        <v>-0.15</v>
      </c>
      <c r="AD15" s="7" t="n">
        <v>-0.149</v>
      </c>
      <c r="AE15" s="7" t="n">
        <v>0.319</v>
      </c>
      <c r="AF15" s="7" t="n">
        <v>0.073</v>
      </c>
      <c r="AG15" s="7" t="n">
        <v>-0.621</v>
      </c>
      <c r="AH15" s="7" t="n">
        <v>0.234</v>
      </c>
      <c r="AI15" s="7" t="n">
        <v>0.022</v>
      </c>
      <c r="AJ15" s="7" t="n">
        <v>0.135</v>
      </c>
      <c r="AK15" s="7" t="n">
        <v>0.424</v>
      </c>
      <c r="AL15" s="7" t="n">
        <v>-0.145</v>
      </c>
      <c r="AM15" s="7" t="n">
        <v>0.312</v>
      </c>
      <c r="AN15" s="7" t="n">
        <v>-0.441</v>
      </c>
      <c r="AO15" s="7" t="n">
        <v>-0.536</v>
      </c>
      <c r="AP15" s="7" t="n">
        <v>-0.472</v>
      </c>
      <c r="AQ15" s="7" t="n">
        <v>-0.057</v>
      </c>
      <c r="AR15" s="7" t="n">
        <v>-0.468</v>
      </c>
      <c r="AS15" s="7" t="n">
        <v>-0.059</v>
      </c>
      <c r="AT15" s="7" t="n">
        <v>0.04</v>
      </c>
      <c r="AU15" s="7" t="n">
        <v>0.032</v>
      </c>
      <c r="AV15" s="7" t="n">
        <v>0.027</v>
      </c>
    </row>
    <row r="16" customFormat="false" ht="15" hidden="false" customHeight="false" outlineLevel="0" collapsed="false">
      <c r="A16" s="19" t="n">
        <v>46333</v>
      </c>
      <c r="B16" s="6" t="n">
        <v>0</v>
      </c>
      <c r="C16" s="6" t="s">
        <v>186</v>
      </c>
      <c r="D16" s="6" t="s">
        <v>189</v>
      </c>
      <c r="E16" s="6" t="s">
        <v>171</v>
      </c>
      <c r="F16" s="6" t="s">
        <v>179</v>
      </c>
      <c r="G16" s="7" t="n">
        <v>-0.179</v>
      </c>
      <c r="H16" s="7" t="n">
        <v>0.323</v>
      </c>
      <c r="I16" s="7" t="n">
        <v>-0.214</v>
      </c>
      <c r="J16" s="7" t="n">
        <v>0.31</v>
      </c>
      <c r="K16" s="7" t="n">
        <v>-0.121</v>
      </c>
      <c r="L16" s="7" t="n">
        <v>-0.201</v>
      </c>
      <c r="M16" s="7" t="n">
        <v>-0.138</v>
      </c>
      <c r="N16" s="7" t="n">
        <v>-0.316</v>
      </c>
      <c r="O16" s="7" t="n">
        <v>-0.258</v>
      </c>
      <c r="P16" s="7" t="n">
        <v>0.147</v>
      </c>
      <c r="Q16" s="7" t="n">
        <v>0.137</v>
      </c>
      <c r="R16" s="7" t="n">
        <v>-0.348</v>
      </c>
      <c r="S16" s="7" t="n">
        <v>0.075</v>
      </c>
      <c r="T16" s="7" t="n">
        <v>0.067</v>
      </c>
      <c r="U16" s="7" t="n">
        <v>-0.189</v>
      </c>
      <c r="V16" s="7" t="n">
        <v>0.307</v>
      </c>
      <c r="W16" s="7" t="n">
        <v>-0.196</v>
      </c>
      <c r="X16" s="7" t="n">
        <v>0.067</v>
      </c>
      <c r="Y16" s="7" t="n">
        <v>0.011</v>
      </c>
      <c r="Z16" s="7" t="n">
        <v>0.17</v>
      </c>
      <c r="AA16" s="7" t="n">
        <v>-0.165</v>
      </c>
      <c r="AB16" s="7" t="n">
        <v>0.235</v>
      </c>
      <c r="AC16" s="7" t="n">
        <v>-0.266</v>
      </c>
      <c r="AD16" s="7" t="n">
        <v>-0.139</v>
      </c>
      <c r="AE16" s="7" t="n">
        <v>0.317</v>
      </c>
      <c r="AF16" s="7" t="n">
        <v>-0.063</v>
      </c>
      <c r="AG16" s="7" t="n">
        <v>-0.23</v>
      </c>
      <c r="AH16" s="7" t="n">
        <v>0.222</v>
      </c>
      <c r="AI16" s="7" t="n">
        <v>0.005</v>
      </c>
      <c r="AJ16" s="7" t="n">
        <v>0.117</v>
      </c>
      <c r="AK16" s="7" t="n">
        <v>0.387</v>
      </c>
      <c r="AL16" s="7" t="n">
        <v>-0.145</v>
      </c>
      <c r="AM16" s="7" t="n">
        <v>0.325</v>
      </c>
      <c r="AN16" s="7" t="n">
        <v>-0.088</v>
      </c>
      <c r="AO16" s="7" t="n">
        <v>-0.186</v>
      </c>
      <c r="AP16" s="7" t="n">
        <v>-0.032</v>
      </c>
      <c r="AQ16" s="7" t="n">
        <v>-0.068</v>
      </c>
      <c r="AR16" s="7" t="n">
        <v>-0.096</v>
      </c>
      <c r="AS16" s="7" t="n">
        <v>-0.05</v>
      </c>
      <c r="AT16" s="7" t="n">
        <v>0.054</v>
      </c>
      <c r="AU16" s="7" t="n">
        <v>0.03</v>
      </c>
      <c r="AV16" s="7" t="n">
        <v>0.008</v>
      </c>
    </row>
    <row r="17" customFormat="false" ht="15" hidden="false" customHeight="false" outlineLevel="0" collapsed="false">
      <c r="A17" s="19" t="n">
        <v>46334</v>
      </c>
      <c r="B17" s="6" t="n">
        <v>0</v>
      </c>
      <c r="C17" s="6" t="s">
        <v>190</v>
      </c>
      <c r="D17" s="6" t="s">
        <v>191</v>
      </c>
      <c r="E17" s="6" t="s">
        <v>171</v>
      </c>
      <c r="F17" s="6" t="s">
        <v>179</v>
      </c>
      <c r="G17" s="7" t="n">
        <v>-0.227</v>
      </c>
      <c r="H17" s="7" t="n">
        <v>0.207</v>
      </c>
      <c r="I17" s="7" t="n">
        <v>-0.081</v>
      </c>
      <c r="J17" s="7" t="n">
        <v>0.113</v>
      </c>
      <c r="K17" s="7" t="n">
        <v>-0.173</v>
      </c>
      <c r="L17" s="7" t="n">
        <v>-0.202</v>
      </c>
      <c r="M17" s="7" t="n">
        <v>-0.331</v>
      </c>
      <c r="N17" s="7" t="n">
        <v>-0.086</v>
      </c>
      <c r="O17" s="7" t="n">
        <v>-0.213</v>
      </c>
      <c r="P17" s="7" t="n">
        <v>-0.146</v>
      </c>
      <c r="Q17" s="7" t="n">
        <v>0.388</v>
      </c>
      <c r="R17" s="7" t="n">
        <v>-0.322</v>
      </c>
      <c r="S17" s="7" t="n">
        <v>-0.127</v>
      </c>
      <c r="T17" s="7" t="n">
        <v>-0.126</v>
      </c>
      <c r="U17" s="7" t="n">
        <v>-0.276</v>
      </c>
      <c r="V17" s="7" t="n">
        <v>0.46</v>
      </c>
      <c r="W17" s="7" t="n">
        <v>-0.382</v>
      </c>
      <c r="X17" s="7" t="n">
        <v>0.129</v>
      </c>
      <c r="Y17" s="7" t="n">
        <v>0.047</v>
      </c>
      <c r="Z17" s="7" t="n">
        <v>-0.149</v>
      </c>
      <c r="AA17" s="7" t="n">
        <v>-0.276</v>
      </c>
      <c r="AB17" s="7" t="n">
        <v>0.363</v>
      </c>
      <c r="AC17" s="7" t="n">
        <v>-0.147</v>
      </c>
      <c r="AD17" s="7" t="n">
        <v>-0.337</v>
      </c>
      <c r="AE17" s="7" t="n">
        <v>0.115</v>
      </c>
      <c r="AF17" s="7" t="n">
        <v>-0.301</v>
      </c>
      <c r="AG17" s="7" t="n">
        <v>-0.185</v>
      </c>
      <c r="AH17" s="7" t="n">
        <v>0.38</v>
      </c>
      <c r="AI17" s="7" t="n">
        <v>-0.293</v>
      </c>
      <c r="AJ17" s="7" t="n">
        <v>-0.084</v>
      </c>
      <c r="AK17" s="7" t="n">
        <v>0.134</v>
      </c>
      <c r="AL17" s="7" t="n">
        <v>-0.145</v>
      </c>
      <c r="AM17" s="7" t="n">
        <v>0.349</v>
      </c>
      <c r="AN17" s="7" t="n">
        <v>-0.276</v>
      </c>
      <c r="AO17" s="7" t="n">
        <v>-0.103</v>
      </c>
      <c r="AP17" s="7" t="n">
        <v>0.048</v>
      </c>
      <c r="AQ17" s="7" t="n">
        <v>-0.248</v>
      </c>
      <c r="AR17" s="7" t="n">
        <v>-0.042</v>
      </c>
      <c r="AS17" s="7" t="n">
        <v>-0.336</v>
      </c>
      <c r="AT17" s="7" t="n">
        <v>0.084</v>
      </c>
      <c r="AU17" s="7" t="n">
        <v>0.07</v>
      </c>
      <c r="AV17" s="7" t="n">
        <v>-0.232</v>
      </c>
    </row>
    <row r="18" customFormat="false" ht="15" hidden="false" customHeight="false" outlineLevel="0" collapsed="false">
      <c r="A18" s="19" t="n">
        <v>46335</v>
      </c>
      <c r="B18" s="6" t="n">
        <v>1</v>
      </c>
      <c r="C18" s="6" t="s">
        <v>190</v>
      </c>
      <c r="D18" s="6" t="s">
        <v>192</v>
      </c>
      <c r="E18" s="6" t="s">
        <v>171</v>
      </c>
      <c r="F18" s="6" t="s">
        <v>179</v>
      </c>
      <c r="G18" s="7" t="n">
        <v>-0.235</v>
      </c>
      <c r="H18" s="7" t="n">
        <v>-0.156</v>
      </c>
      <c r="I18" s="7" t="n">
        <v>-0.081</v>
      </c>
      <c r="J18" s="7" t="n">
        <v>0.101</v>
      </c>
      <c r="K18" s="7" t="n">
        <v>-0.289</v>
      </c>
      <c r="L18" s="7" t="n">
        <v>-0.202</v>
      </c>
      <c r="M18" s="7" t="n">
        <v>-0.017</v>
      </c>
      <c r="N18" s="7" t="n">
        <v>-0.068</v>
      </c>
      <c r="O18" s="7" t="n">
        <v>-0.519</v>
      </c>
      <c r="P18" s="7" t="n">
        <v>-0.156</v>
      </c>
      <c r="Q18" s="7" t="n">
        <v>0.398</v>
      </c>
      <c r="R18" s="7" t="n">
        <v>-0.604</v>
      </c>
      <c r="S18" s="7" t="n">
        <v>-0.309</v>
      </c>
      <c r="T18" s="7" t="n">
        <v>-0.333</v>
      </c>
      <c r="U18" s="7" t="n">
        <v>-0.265</v>
      </c>
      <c r="V18" s="7" t="n">
        <v>0.474</v>
      </c>
      <c r="W18" s="7" t="n">
        <v>-0.029</v>
      </c>
      <c r="X18" s="7" t="n">
        <v>0.118</v>
      </c>
      <c r="Y18" s="7" t="n">
        <v>0.049</v>
      </c>
      <c r="Z18" s="7" t="n">
        <v>0.101</v>
      </c>
      <c r="AA18" s="7" t="n">
        <v>-0.017</v>
      </c>
      <c r="AB18" s="7" t="n">
        <v>0.364</v>
      </c>
      <c r="AC18" s="7" t="n">
        <v>-0.147</v>
      </c>
      <c r="AD18" s="7" t="n">
        <v>-0.107</v>
      </c>
      <c r="AE18" s="7" t="n">
        <v>0.103</v>
      </c>
      <c r="AF18" s="7" t="n">
        <v>0.108</v>
      </c>
      <c r="AG18" s="7" t="n">
        <v>-0.565</v>
      </c>
      <c r="AH18" s="7" t="n">
        <v>0.387</v>
      </c>
      <c r="AI18" s="7" t="n">
        <v>-0.036</v>
      </c>
      <c r="AJ18" s="7" t="n">
        <v>-0.267</v>
      </c>
      <c r="AK18" s="7" t="n">
        <v>0.158</v>
      </c>
      <c r="AL18" s="7" t="n">
        <v>-0.145</v>
      </c>
      <c r="AM18" s="7" t="n">
        <v>-0.002</v>
      </c>
      <c r="AN18" s="7" t="n">
        <v>-0.26</v>
      </c>
      <c r="AO18" s="7" t="n">
        <v>-0.096</v>
      </c>
      <c r="AP18" s="7" t="n">
        <v>0.055</v>
      </c>
      <c r="AQ18" s="7" t="n">
        <v>-0.396</v>
      </c>
      <c r="AR18" s="7" t="n">
        <v>-0.028</v>
      </c>
      <c r="AS18" s="7" t="n">
        <v>-0.028</v>
      </c>
      <c r="AT18" s="7" t="n">
        <v>-0.246</v>
      </c>
      <c r="AU18" s="7" t="n">
        <v>0.058</v>
      </c>
      <c r="AV18" s="7" t="n">
        <v>-0.227</v>
      </c>
    </row>
    <row r="19" customFormat="false" ht="15" hidden="false" customHeight="false" outlineLevel="0" collapsed="false">
      <c r="A19" s="19" t="n">
        <v>46336</v>
      </c>
      <c r="B19" s="6" t="n">
        <v>1</v>
      </c>
      <c r="C19" s="6" t="s">
        <v>171</v>
      </c>
      <c r="D19" s="6" t="s">
        <v>193</v>
      </c>
      <c r="E19" s="6" t="s">
        <v>171</v>
      </c>
      <c r="F19" s="6" t="s">
        <v>179</v>
      </c>
      <c r="G19" s="7" t="n">
        <v>0.005</v>
      </c>
      <c r="H19" s="7" t="n">
        <v>0.549</v>
      </c>
      <c r="I19" s="7" t="n">
        <v>-0.213</v>
      </c>
      <c r="J19" s="7" t="n">
        <v>0.131</v>
      </c>
      <c r="K19" s="7" t="n">
        <v>0.076</v>
      </c>
      <c r="L19" s="7" t="n">
        <v>-0.202</v>
      </c>
      <c r="M19" s="7" t="n">
        <v>0.073</v>
      </c>
      <c r="N19" s="7" t="n">
        <v>-0.111</v>
      </c>
      <c r="O19" s="7" t="n">
        <v>-0.215</v>
      </c>
      <c r="P19" s="7" t="n">
        <v>-0.074</v>
      </c>
      <c r="Q19" s="7" t="n">
        <v>0.248</v>
      </c>
      <c r="R19" s="7" t="n">
        <v>-0.282</v>
      </c>
      <c r="S19" s="7" t="n">
        <v>0.131</v>
      </c>
      <c r="T19" s="7" t="n">
        <v>0.095</v>
      </c>
      <c r="U19" s="7" t="n">
        <v>-0.188</v>
      </c>
      <c r="V19" s="7" t="n">
        <v>0.32</v>
      </c>
      <c r="W19" s="7" t="n">
        <v>-0.014</v>
      </c>
      <c r="X19" s="7" t="n">
        <v>0.122</v>
      </c>
      <c r="Y19" s="7" t="n">
        <v>0.024</v>
      </c>
      <c r="Z19" s="7" t="n">
        <v>0.236</v>
      </c>
      <c r="AA19" s="7" t="n">
        <v>0.047</v>
      </c>
      <c r="AB19" s="7" t="n">
        <v>0.227</v>
      </c>
      <c r="AC19" s="7" t="n">
        <v>-0.268</v>
      </c>
      <c r="AD19" s="7" t="n">
        <v>-0.191</v>
      </c>
      <c r="AE19" s="7" t="n">
        <v>0.133</v>
      </c>
      <c r="AF19" s="7" t="n">
        <v>0.122</v>
      </c>
      <c r="AG19" s="7" t="n">
        <v>-0.197</v>
      </c>
      <c r="AH19" s="7" t="n">
        <v>0.238</v>
      </c>
      <c r="AI19" s="7" t="n">
        <v>-0.009</v>
      </c>
      <c r="AJ19" s="7" t="n">
        <v>0.167</v>
      </c>
      <c r="AK19" s="7" t="n">
        <v>0.223</v>
      </c>
      <c r="AL19" s="7" t="n">
        <v>-0.145</v>
      </c>
      <c r="AM19" s="7" t="n">
        <v>0.319</v>
      </c>
      <c r="AN19" s="7" t="n">
        <v>-0.039</v>
      </c>
      <c r="AO19" s="7" t="n">
        <v>-0.032</v>
      </c>
      <c r="AP19" s="7" t="n">
        <v>0.113</v>
      </c>
      <c r="AQ19" s="7" t="n">
        <v>-0.055</v>
      </c>
      <c r="AR19" s="7" t="n">
        <v>-0.056</v>
      </c>
      <c r="AS19" s="7" t="n">
        <v>0.065</v>
      </c>
      <c r="AT19" s="7" t="n">
        <v>0.109</v>
      </c>
      <c r="AU19" s="7" t="n">
        <v>0.088</v>
      </c>
      <c r="AV19" s="7" t="n">
        <v>0.017</v>
      </c>
    </row>
    <row r="20" customFormat="false" ht="15" hidden="false" customHeight="false" outlineLevel="0" collapsed="false">
      <c r="A20" s="19" t="n">
        <v>46337</v>
      </c>
      <c r="B20" s="6" t="n">
        <v>1</v>
      </c>
      <c r="C20" s="6" t="s">
        <v>171</v>
      </c>
      <c r="D20" s="6" t="s">
        <v>194</v>
      </c>
      <c r="E20" s="6" t="s">
        <v>171</v>
      </c>
      <c r="F20" s="6" t="s">
        <v>179</v>
      </c>
      <c r="G20" s="7" t="n">
        <v>-0.029</v>
      </c>
      <c r="H20" s="7" t="n">
        <v>0.417</v>
      </c>
      <c r="I20" s="7" t="n">
        <v>-0.207</v>
      </c>
      <c r="J20" s="7" t="n">
        <v>0.176</v>
      </c>
      <c r="K20" s="7" t="n">
        <v>0.096</v>
      </c>
      <c r="L20" s="7" t="n">
        <v>-0.181</v>
      </c>
      <c r="M20" s="7" t="n">
        <v>-0.047</v>
      </c>
      <c r="N20" s="7" t="n">
        <v>-0.25</v>
      </c>
      <c r="O20" s="7" t="n">
        <v>-0.197</v>
      </c>
      <c r="P20" s="7" t="n">
        <v>0.053</v>
      </c>
      <c r="Q20" s="7" t="n">
        <v>0.168</v>
      </c>
      <c r="R20" s="7" t="n">
        <v>-0.259</v>
      </c>
      <c r="S20" s="7" t="n">
        <v>0.222</v>
      </c>
      <c r="T20" s="7" t="n">
        <v>0.077</v>
      </c>
      <c r="U20" s="7" t="n">
        <v>-0.211</v>
      </c>
      <c r="V20" s="7" t="n">
        <v>0.295</v>
      </c>
      <c r="W20" s="7" t="n">
        <v>-0.134</v>
      </c>
      <c r="X20" s="7" t="n">
        <v>0.051</v>
      </c>
      <c r="Y20" s="7" t="n">
        <v>-0.146</v>
      </c>
      <c r="Z20" s="7" t="n">
        <v>0.345</v>
      </c>
      <c r="AA20" s="7" t="n">
        <v>-0.075</v>
      </c>
      <c r="AB20" s="7" t="n">
        <v>0.187</v>
      </c>
      <c r="AC20" s="7" t="n">
        <v>-0.296</v>
      </c>
      <c r="AD20" s="7" t="n">
        <v>-0.205</v>
      </c>
      <c r="AE20" s="7" t="n">
        <v>0.306</v>
      </c>
      <c r="AF20" s="7" t="n">
        <v>-0.018</v>
      </c>
      <c r="AG20" s="7" t="n">
        <v>-0.183</v>
      </c>
      <c r="AH20" s="7" t="n">
        <v>0.215</v>
      </c>
      <c r="AI20" s="7" t="n">
        <v>-0.018</v>
      </c>
      <c r="AJ20" s="7" t="n">
        <v>0.252</v>
      </c>
      <c r="AK20" s="7" t="n">
        <v>0.491</v>
      </c>
      <c r="AL20" s="7" t="n">
        <v>-0.179</v>
      </c>
      <c r="AM20" s="7" t="n">
        <v>0.327</v>
      </c>
      <c r="AN20" s="7" t="n">
        <v>-0.018</v>
      </c>
      <c r="AO20" s="7" t="n">
        <v>-0.121</v>
      </c>
      <c r="AP20" s="7" t="n">
        <v>0.013</v>
      </c>
      <c r="AQ20" s="7" t="n">
        <v>-0.008</v>
      </c>
      <c r="AR20" s="7" t="n">
        <v>-0.051</v>
      </c>
      <c r="AS20" s="7" t="n">
        <v>-0.026</v>
      </c>
      <c r="AT20" s="7" t="n">
        <v>0.052</v>
      </c>
      <c r="AU20" s="7" t="n">
        <v>0.024</v>
      </c>
      <c r="AV20" s="7" t="n">
        <v>0.033</v>
      </c>
    </row>
    <row r="21" customFormat="false" ht="15" hidden="false" customHeight="false" outlineLevel="0" collapsed="false">
      <c r="A21" s="19" t="n">
        <v>46338</v>
      </c>
      <c r="B21" s="6" t="n">
        <v>1</v>
      </c>
      <c r="C21" s="6" t="s">
        <v>171</v>
      </c>
      <c r="D21" s="6" t="s">
        <v>194</v>
      </c>
      <c r="E21" s="6" t="s">
        <v>171</v>
      </c>
      <c r="F21" s="6" t="s">
        <v>179</v>
      </c>
      <c r="G21" s="7" t="n">
        <v>0.507</v>
      </c>
      <c r="H21" s="7" t="n">
        <v>0.554</v>
      </c>
      <c r="I21" s="7" t="n">
        <v>0.15</v>
      </c>
      <c r="J21" s="7" t="n">
        <v>0.288</v>
      </c>
      <c r="K21" s="7" t="n">
        <v>0.391</v>
      </c>
      <c r="L21" s="7" t="n">
        <v>0.433</v>
      </c>
      <c r="M21" s="7" t="n">
        <v>0.402</v>
      </c>
      <c r="N21" s="7" t="n">
        <v>0.305</v>
      </c>
      <c r="O21" s="7" t="n">
        <v>-0.101</v>
      </c>
      <c r="P21" s="7" t="n">
        <v>0.237</v>
      </c>
      <c r="Q21" s="7" t="n">
        <v>0.37</v>
      </c>
      <c r="R21" s="7" t="n">
        <v>-0.294</v>
      </c>
      <c r="S21" s="7" t="n">
        <v>0.477</v>
      </c>
      <c r="T21" s="7" t="n">
        <v>0.322</v>
      </c>
      <c r="U21" s="7" t="n">
        <v>0.146</v>
      </c>
      <c r="V21" s="7" t="n">
        <v>0.255</v>
      </c>
      <c r="W21" s="7" t="n">
        <v>0.287</v>
      </c>
      <c r="X21" s="7" t="n">
        <v>0.131</v>
      </c>
      <c r="Y21" s="7" t="n">
        <v>-0.138</v>
      </c>
      <c r="Z21" s="7" t="n">
        <v>0.336</v>
      </c>
      <c r="AA21" s="7" t="n">
        <v>0.413</v>
      </c>
      <c r="AB21" s="7" t="n">
        <v>0.148</v>
      </c>
      <c r="AC21" s="7" t="n">
        <v>0.035</v>
      </c>
      <c r="AD21" s="7" t="n">
        <v>0.274</v>
      </c>
      <c r="AE21" s="7" t="n">
        <v>0.43</v>
      </c>
      <c r="AF21" s="7" t="n">
        <v>0.055</v>
      </c>
      <c r="AG21" s="7" t="n">
        <v>-0.167</v>
      </c>
      <c r="AH21" s="7" t="n">
        <v>0.176</v>
      </c>
      <c r="AI21" s="7" t="n">
        <v>0.48</v>
      </c>
      <c r="AJ21" s="7" t="n">
        <v>0.5</v>
      </c>
      <c r="AK21" s="7" t="n">
        <v>0.391</v>
      </c>
      <c r="AL21" s="7" t="n">
        <v>0.228</v>
      </c>
      <c r="AM21" s="7" t="n">
        <v>0.351</v>
      </c>
      <c r="AN21" s="7" t="n">
        <v>0.038</v>
      </c>
      <c r="AO21" s="7" t="n">
        <v>0.282</v>
      </c>
      <c r="AP21" s="7" t="n">
        <v>0.09</v>
      </c>
      <c r="AQ21" s="7" t="n">
        <v>0.356</v>
      </c>
      <c r="AR21" s="7" t="n">
        <v>0.004</v>
      </c>
      <c r="AS21" s="7" t="n">
        <v>0.336</v>
      </c>
      <c r="AT21" s="7" t="n">
        <v>0.274</v>
      </c>
      <c r="AU21" s="7" t="n">
        <v>0.212</v>
      </c>
      <c r="AV21" s="7" t="n">
        <v>0.034</v>
      </c>
    </row>
    <row r="22" customFormat="false" ht="15" hidden="false" customHeight="false" outlineLevel="0" collapsed="false">
      <c r="A22" s="19" t="n">
        <v>46339</v>
      </c>
      <c r="B22" s="6" t="n">
        <v>1</v>
      </c>
      <c r="C22" s="6" t="s">
        <v>195</v>
      </c>
      <c r="D22" s="6" t="s">
        <v>196</v>
      </c>
      <c r="E22" s="6" t="s">
        <v>171</v>
      </c>
      <c r="F22" s="6" t="s">
        <v>179</v>
      </c>
      <c r="G22" s="7" t="n">
        <v>-0.016</v>
      </c>
      <c r="H22" s="7" t="n">
        <v>0.261</v>
      </c>
      <c r="I22" s="7" t="n">
        <v>-0.424</v>
      </c>
      <c r="J22" s="7" t="n">
        <v>0.133</v>
      </c>
      <c r="K22" s="7" t="n">
        <v>0.337</v>
      </c>
      <c r="L22" s="7" t="n">
        <v>0.228</v>
      </c>
      <c r="M22" s="7" t="n">
        <v>0.009</v>
      </c>
      <c r="N22" s="7" t="n">
        <v>-0.411</v>
      </c>
      <c r="O22" s="7" t="n">
        <v>-0.105</v>
      </c>
      <c r="P22" s="7" t="n">
        <v>-0.158</v>
      </c>
      <c r="Q22" s="7" t="n">
        <v>0.198</v>
      </c>
      <c r="R22" s="7" t="n">
        <v>-0.316</v>
      </c>
      <c r="S22" s="7" t="n">
        <v>0.478</v>
      </c>
      <c r="T22" s="7" t="n">
        <v>0.467</v>
      </c>
      <c r="U22" s="7" t="n">
        <v>-0.269</v>
      </c>
      <c r="V22" s="7" t="n">
        <v>0.161</v>
      </c>
      <c r="W22" s="7" t="n">
        <v>-0.436</v>
      </c>
      <c r="X22" s="7" t="n">
        <v>-0.303</v>
      </c>
      <c r="Y22" s="7" t="n">
        <v>-0.58</v>
      </c>
      <c r="Z22" s="7" t="n">
        <v>0.099</v>
      </c>
      <c r="AA22" s="7" t="n">
        <v>-0.36</v>
      </c>
      <c r="AB22" s="7" t="n">
        <v>0.108</v>
      </c>
      <c r="AC22" s="7" t="n">
        <v>-0.465</v>
      </c>
      <c r="AD22" s="7" t="n">
        <v>-0.241</v>
      </c>
      <c r="AE22" s="7" t="n">
        <v>0.137</v>
      </c>
      <c r="AF22" s="7" t="n">
        <v>-0.464</v>
      </c>
      <c r="AG22" s="7" t="n">
        <v>-0.208</v>
      </c>
      <c r="AH22" s="7" t="n">
        <v>0.137</v>
      </c>
      <c r="AI22" s="7" t="n">
        <v>-0.299</v>
      </c>
      <c r="AJ22" s="7" t="n">
        <v>0.515</v>
      </c>
      <c r="AK22" s="7" t="n">
        <v>0.137</v>
      </c>
      <c r="AL22" s="7" t="n">
        <v>-0.089</v>
      </c>
      <c r="AM22" s="7" t="n">
        <v>0.298</v>
      </c>
      <c r="AN22" s="7" t="n">
        <v>-0.014</v>
      </c>
      <c r="AO22" s="7" t="n">
        <v>-0.445</v>
      </c>
      <c r="AP22" s="7" t="n">
        <v>-0.423</v>
      </c>
      <c r="AQ22" s="7" t="n">
        <v>0.011</v>
      </c>
      <c r="AR22" s="7" t="n">
        <v>-0.049</v>
      </c>
      <c r="AS22" s="7" t="n">
        <v>-0.379</v>
      </c>
      <c r="AT22" s="7" t="n">
        <v>0.159</v>
      </c>
      <c r="AU22" s="7" t="n">
        <v>0.092</v>
      </c>
      <c r="AV22" s="7" t="n">
        <v>0.035</v>
      </c>
    </row>
    <row r="23" customFormat="false" ht="15" hidden="false" customHeight="false" outlineLevel="0" collapsed="false">
      <c r="A23" s="19" t="n">
        <v>46340</v>
      </c>
      <c r="B23" s="6" t="n">
        <v>0</v>
      </c>
      <c r="C23" s="6" t="s">
        <v>195</v>
      </c>
      <c r="D23" s="6" t="s">
        <v>197</v>
      </c>
      <c r="E23" s="6" t="s">
        <v>195</v>
      </c>
      <c r="F23" s="6" t="s">
        <v>179</v>
      </c>
      <c r="G23" s="7" t="n">
        <v>0.461</v>
      </c>
      <c r="H23" s="7" t="n">
        <v>0.479</v>
      </c>
      <c r="I23" s="7" t="n">
        <v>0.002</v>
      </c>
      <c r="J23" s="7" t="n">
        <v>-0.102</v>
      </c>
      <c r="K23" s="7" t="n">
        <v>0.637</v>
      </c>
      <c r="L23" s="7" t="n">
        <v>0.198</v>
      </c>
      <c r="M23" s="7" t="n">
        <v>-0.065</v>
      </c>
      <c r="N23" s="7" t="n">
        <v>-0.102</v>
      </c>
      <c r="O23" s="7" t="n">
        <v>-0.215</v>
      </c>
      <c r="P23" s="7" t="n">
        <v>0.039</v>
      </c>
      <c r="Q23" s="7" t="n">
        <v>0.586</v>
      </c>
      <c r="R23" s="7" t="n">
        <v>-0.34</v>
      </c>
      <c r="S23" s="7" t="n">
        <v>0.601</v>
      </c>
      <c r="T23" s="7" t="n">
        <v>0.596</v>
      </c>
      <c r="U23" s="7" t="n">
        <v>0.318</v>
      </c>
      <c r="V23" s="7" t="n">
        <v>0.538</v>
      </c>
      <c r="W23" s="7" t="n">
        <v>-0.103</v>
      </c>
      <c r="X23" s="7" t="n">
        <v>0.046</v>
      </c>
      <c r="Y23" s="7" t="n">
        <v>-0.149</v>
      </c>
      <c r="Z23" s="7" t="n">
        <v>0.595</v>
      </c>
      <c r="AA23" s="7" t="n">
        <v>-0.05</v>
      </c>
      <c r="AB23" s="7" t="n">
        <v>0.426</v>
      </c>
      <c r="AC23" s="7" t="n">
        <v>-0.046</v>
      </c>
      <c r="AD23" s="7" t="n">
        <v>0.269</v>
      </c>
      <c r="AE23" s="7" t="n">
        <v>0.05</v>
      </c>
      <c r="AF23" s="7" t="n">
        <v>-0.192</v>
      </c>
      <c r="AG23" s="7" t="n">
        <v>-0.381</v>
      </c>
      <c r="AH23" s="7" t="n">
        <v>0.537</v>
      </c>
      <c r="AI23" s="7" t="n">
        <v>0.123</v>
      </c>
      <c r="AJ23" s="7" t="n">
        <v>0.574</v>
      </c>
      <c r="AK23" s="7" t="n">
        <v>0.505</v>
      </c>
      <c r="AL23" s="7" t="n">
        <v>0.036</v>
      </c>
      <c r="AM23" s="7" t="n">
        <v>0.24</v>
      </c>
      <c r="AN23" s="7" t="n">
        <v>0.32</v>
      </c>
      <c r="AO23" s="7" t="n">
        <v>-0.133</v>
      </c>
      <c r="AP23" s="7" t="n">
        <v>-0.2</v>
      </c>
      <c r="AQ23" s="7" t="n">
        <v>0.494</v>
      </c>
      <c r="AR23" s="7" t="n">
        <v>-0.024</v>
      </c>
      <c r="AS23" s="7" t="n">
        <v>-0.055</v>
      </c>
      <c r="AT23" s="7" t="n">
        <v>0.074</v>
      </c>
      <c r="AU23" s="7" t="n">
        <v>0.095</v>
      </c>
      <c r="AV23" s="7" t="n">
        <v>0.34</v>
      </c>
    </row>
    <row r="24" customFormat="false" ht="15" hidden="false" customHeight="false" outlineLevel="0" collapsed="false">
      <c r="A24" s="19" t="n">
        <v>46341</v>
      </c>
      <c r="B24" s="6" t="n">
        <v>0</v>
      </c>
      <c r="C24" s="6" t="s">
        <v>198</v>
      </c>
      <c r="D24" s="6" t="s">
        <v>199</v>
      </c>
      <c r="E24" s="6" t="s">
        <v>195</v>
      </c>
      <c r="F24" s="6" t="s">
        <v>179</v>
      </c>
      <c r="G24" s="7" t="n">
        <v>0.145</v>
      </c>
      <c r="H24" s="7" t="n">
        <v>0.231</v>
      </c>
      <c r="I24" s="7" t="n">
        <v>0.002</v>
      </c>
      <c r="J24" s="7" t="n">
        <v>-0.113</v>
      </c>
      <c r="K24" s="7" t="n">
        <v>0.24</v>
      </c>
      <c r="L24" s="7" t="n">
        <v>0.198</v>
      </c>
      <c r="M24" s="7" t="n">
        <v>-0.022</v>
      </c>
      <c r="N24" s="7" t="n">
        <v>-0.111</v>
      </c>
      <c r="O24" s="7" t="n">
        <v>-0.21</v>
      </c>
      <c r="P24" s="7" t="n">
        <v>0.025</v>
      </c>
      <c r="Q24" s="7" t="n">
        <v>0.156</v>
      </c>
      <c r="R24" s="7" t="n">
        <v>-0.261</v>
      </c>
      <c r="S24" s="7" t="n">
        <v>0.13</v>
      </c>
      <c r="T24" s="7" t="n">
        <v>-0.004</v>
      </c>
      <c r="U24" s="7" t="n">
        <v>-0.008</v>
      </c>
      <c r="V24" s="7" t="n">
        <v>0.095</v>
      </c>
      <c r="W24" s="7" t="n">
        <v>-0.126</v>
      </c>
      <c r="X24" s="7" t="n">
        <v>0.033</v>
      </c>
      <c r="Y24" s="7" t="n">
        <v>-0.286</v>
      </c>
      <c r="Z24" s="7" t="n">
        <v>0.185</v>
      </c>
      <c r="AA24" s="7" t="n">
        <v>0.02</v>
      </c>
      <c r="AB24" s="7" t="n">
        <v>0.074</v>
      </c>
      <c r="AC24" s="7" t="n">
        <v>-0.046</v>
      </c>
      <c r="AD24" s="7" t="n">
        <v>0.073</v>
      </c>
      <c r="AE24" s="7" t="n">
        <v>0.036</v>
      </c>
      <c r="AF24" s="7" t="n">
        <v>-0.216</v>
      </c>
      <c r="AG24" s="7" t="n">
        <v>-0.311</v>
      </c>
      <c r="AH24" s="7" t="n">
        <v>0.095</v>
      </c>
      <c r="AI24" s="7" t="n">
        <v>0.109</v>
      </c>
      <c r="AJ24" s="7" t="n">
        <v>0.01</v>
      </c>
      <c r="AK24" s="7" t="n">
        <v>-0.059</v>
      </c>
      <c r="AL24" s="7" t="n">
        <v>-0.068</v>
      </c>
      <c r="AM24" s="7" t="n">
        <v>0.08</v>
      </c>
      <c r="AN24" s="7" t="n">
        <v>0.024</v>
      </c>
      <c r="AO24" s="7" t="n">
        <v>-0.055</v>
      </c>
      <c r="AP24" s="7" t="n">
        <v>-0.122</v>
      </c>
      <c r="AQ24" s="7" t="n">
        <v>0.038</v>
      </c>
      <c r="AR24" s="7" t="n">
        <v>-0.014</v>
      </c>
      <c r="AS24" s="7" t="n">
        <v>0.014</v>
      </c>
      <c r="AT24" s="7" t="n">
        <v>-0.107</v>
      </c>
      <c r="AU24" s="7" t="n">
        <v>0.082</v>
      </c>
      <c r="AV24" s="7" t="n">
        <v>0.038</v>
      </c>
    </row>
    <row r="25" customFormat="false" ht="15" hidden="false" customHeight="false" outlineLevel="0" collapsed="false">
      <c r="A25" s="19" t="n">
        <v>46342</v>
      </c>
      <c r="B25" s="6" t="n">
        <v>1</v>
      </c>
      <c r="C25" s="6" t="s">
        <v>198</v>
      </c>
      <c r="D25" s="6" t="s">
        <v>200</v>
      </c>
      <c r="E25" s="6" t="s">
        <v>195</v>
      </c>
      <c r="F25" s="6" t="s">
        <v>179</v>
      </c>
      <c r="G25" s="7" t="n">
        <v>0.186</v>
      </c>
      <c r="H25" s="7" t="n">
        <v>0.253</v>
      </c>
      <c r="I25" s="7" t="n">
        <v>0.002</v>
      </c>
      <c r="J25" s="7" t="n">
        <v>-0.102</v>
      </c>
      <c r="K25" s="7" t="n">
        <v>0.259</v>
      </c>
      <c r="L25" s="7" t="n">
        <v>0.198</v>
      </c>
      <c r="M25" s="7" t="n">
        <v>-0.016</v>
      </c>
      <c r="N25" s="7" t="n">
        <v>-0.101</v>
      </c>
      <c r="O25" s="7" t="n">
        <v>-0.208</v>
      </c>
      <c r="P25" s="7" t="n">
        <v>0.038</v>
      </c>
      <c r="Q25" s="7" t="n">
        <v>0.177</v>
      </c>
      <c r="R25" s="7" t="n">
        <v>-0.252</v>
      </c>
      <c r="S25" s="7" t="n">
        <v>0.151</v>
      </c>
      <c r="T25" s="7" t="n">
        <v>0.146</v>
      </c>
      <c r="U25" s="7" t="n">
        <v>0</v>
      </c>
      <c r="V25" s="7" t="n">
        <v>0.104</v>
      </c>
      <c r="W25" s="7" t="n">
        <v>-0.12</v>
      </c>
      <c r="X25" s="7" t="n">
        <v>0.046</v>
      </c>
      <c r="Y25" s="7" t="n">
        <v>-0.288</v>
      </c>
      <c r="Z25" s="7" t="n">
        <v>0.203</v>
      </c>
      <c r="AA25" s="7" t="n">
        <v>0.029</v>
      </c>
      <c r="AB25" s="7" t="n">
        <v>0.074</v>
      </c>
      <c r="AC25" s="7" t="n">
        <v>-0.046</v>
      </c>
      <c r="AD25" s="7" t="n">
        <v>0.31</v>
      </c>
      <c r="AE25" s="7" t="n">
        <v>0.049</v>
      </c>
      <c r="AF25" s="7" t="n">
        <v>-0.21</v>
      </c>
      <c r="AG25" s="7" t="n">
        <v>-0.379</v>
      </c>
      <c r="AH25" s="7" t="n">
        <v>0.103</v>
      </c>
      <c r="AI25" s="7" t="n">
        <v>0.122</v>
      </c>
      <c r="AJ25" s="7" t="n">
        <v>0.029</v>
      </c>
      <c r="AK25" s="7" t="n">
        <v>-0.05</v>
      </c>
      <c r="AL25" s="7" t="n">
        <v>0.079</v>
      </c>
      <c r="AM25" s="7" t="n">
        <v>0.201</v>
      </c>
      <c r="AN25" s="7" t="n">
        <v>0.032</v>
      </c>
      <c r="AO25" s="7" t="n">
        <v>-0.05</v>
      </c>
      <c r="AP25" s="7" t="n">
        <v>-0.116</v>
      </c>
      <c r="AQ25" s="7" t="n">
        <v>0.195</v>
      </c>
      <c r="AR25" s="7" t="n">
        <v>-0.014</v>
      </c>
      <c r="AS25" s="7" t="n">
        <v>0.019</v>
      </c>
      <c r="AT25" s="7" t="n">
        <v>0.032</v>
      </c>
      <c r="AU25" s="7" t="n">
        <v>0.094</v>
      </c>
      <c r="AV25" s="7" t="n">
        <v>0.046</v>
      </c>
    </row>
    <row r="26" customFormat="false" ht="15" hidden="false" customHeight="false" outlineLevel="0" collapsed="false">
      <c r="A26" s="19" t="n">
        <v>46343</v>
      </c>
      <c r="B26" s="6" t="n">
        <v>1</v>
      </c>
      <c r="C26" s="6" t="s">
        <v>198</v>
      </c>
      <c r="D26" s="6" t="s">
        <v>201</v>
      </c>
      <c r="E26" s="6" t="s">
        <v>195</v>
      </c>
      <c r="F26" s="6" t="s">
        <v>179</v>
      </c>
      <c r="G26" s="7" t="n">
        <v>-0.031</v>
      </c>
      <c r="H26" s="7" t="n">
        <v>0.021</v>
      </c>
      <c r="I26" s="7" t="n">
        <v>-0.227</v>
      </c>
      <c r="J26" s="7" t="n">
        <v>-0.138</v>
      </c>
      <c r="K26" s="7" t="n">
        <v>0.108</v>
      </c>
      <c r="L26" s="7" t="n">
        <v>-0.012</v>
      </c>
      <c r="M26" s="7" t="n">
        <v>-0.161</v>
      </c>
      <c r="N26" s="7" t="n">
        <v>-0.268</v>
      </c>
      <c r="O26" s="7" t="n">
        <v>-0.191</v>
      </c>
      <c r="P26" s="7" t="n">
        <v>0.01</v>
      </c>
      <c r="Q26" s="7" t="n">
        <v>0.105</v>
      </c>
      <c r="R26" s="7" t="n">
        <v>-0.265</v>
      </c>
      <c r="S26" s="7" t="n">
        <v>0.09</v>
      </c>
      <c r="T26" s="7" t="n">
        <v>0.01</v>
      </c>
      <c r="U26" s="7" t="n">
        <v>-0.178</v>
      </c>
      <c r="V26" s="7" t="n">
        <v>0.125</v>
      </c>
      <c r="W26" s="7" t="n">
        <v>-0.253</v>
      </c>
      <c r="X26" s="7" t="n">
        <v>0.012</v>
      </c>
      <c r="Y26" s="7" t="n">
        <v>-0.31</v>
      </c>
      <c r="Z26" s="7" t="n">
        <v>0.195</v>
      </c>
      <c r="AA26" s="7" t="n">
        <v>-0.161</v>
      </c>
      <c r="AB26" s="7" t="n">
        <v>0.067</v>
      </c>
      <c r="AC26" s="7" t="n">
        <v>-0.272</v>
      </c>
      <c r="AD26" s="7" t="n">
        <v>0.261</v>
      </c>
      <c r="AE26" s="7" t="n">
        <v>0.009</v>
      </c>
      <c r="AF26" s="7" t="n">
        <v>-0.262</v>
      </c>
      <c r="AG26" s="7" t="n">
        <v>-0.299</v>
      </c>
      <c r="AH26" s="7" t="n">
        <v>0.066</v>
      </c>
      <c r="AI26" s="7" t="n">
        <v>-0.019</v>
      </c>
      <c r="AJ26" s="7" t="n">
        <v>-0.025</v>
      </c>
      <c r="AK26" s="7" t="n">
        <v>-0.084</v>
      </c>
      <c r="AL26" s="7" t="n">
        <v>0.056</v>
      </c>
      <c r="AM26" s="7" t="n">
        <v>0.237</v>
      </c>
      <c r="AN26" s="7" t="n">
        <v>0.042</v>
      </c>
      <c r="AO26" s="7" t="n">
        <v>-0.188</v>
      </c>
      <c r="AP26" s="7" t="n">
        <v>-0.157</v>
      </c>
      <c r="AQ26" s="7" t="n">
        <v>0.132</v>
      </c>
      <c r="AR26" s="7" t="n">
        <v>-0.015</v>
      </c>
      <c r="AS26" s="7" t="n">
        <v>-0.113</v>
      </c>
      <c r="AT26" s="7" t="n">
        <v>-0.005</v>
      </c>
      <c r="AU26" s="7" t="n">
        <v>0.053</v>
      </c>
      <c r="AV26" s="7" t="n">
        <v>0.057</v>
      </c>
    </row>
    <row r="27" customFormat="false" ht="15" hidden="false" customHeight="false" outlineLevel="0" collapsed="false">
      <c r="A27" s="19" t="n">
        <v>46344</v>
      </c>
      <c r="B27" s="6" t="n">
        <v>1</v>
      </c>
      <c r="C27" s="6" t="s">
        <v>202</v>
      </c>
      <c r="D27" s="6" t="s">
        <v>203</v>
      </c>
      <c r="E27" s="6" t="s">
        <v>195</v>
      </c>
      <c r="F27" s="6" t="s">
        <v>179</v>
      </c>
      <c r="G27" s="7" t="n">
        <v>-0.146</v>
      </c>
      <c r="H27" s="7" t="n">
        <v>-0.128</v>
      </c>
      <c r="I27" s="7" t="n">
        <v>0.058</v>
      </c>
      <c r="J27" s="7" t="n">
        <v>-0.352</v>
      </c>
      <c r="K27" s="7" t="n">
        <v>0.074</v>
      </c>
      <c r="L27" s="7" t="n">
        <v>0.252</v>
      </c>
      <c r="M27" s="7" t="n">
        <v>-0.421</v>
      </c>
      <c r="N27" s="7" t="n">
        <v>-0.269</v>
      </c>
      <c r="O27" s="7" t="n">
        <v>-0.14</v>
      </c>
      <c r="P27" s="7" t="n">
        <v>-0.017</v>
      </c>
      <c r="Q27" s="7" t="n">
        <v>0.12</v>
      </c>
      <c r="R27" s="7" t="n">
        <v>-0.255</v>
      </c>
      <c r="S27" s="7" t="n">
        <v>-0.137</v>
      </c>
      <c r="T27" s="7" t="n">
        <v>0.194</v>
      </c>
      <c r="U27" s="7" t="n">
        <v>0.177</v>
      </c>
      <c r="V27" s="7" t="n">
        <v>0.181</v>
      </c>
      <c r="W27" s="7" t="n">
        <v>-0.466</v>
      </c>
      <c r="X27" s="7" t="n">
        <v>-0.247</v>
      </c>
      <c r="Y27" s="7" t="n">
        <v>-0.588</v>
      </c>
      <c r="Z27" s="7" t="n">
        <v>-0.138</v>
      </c>
      <c r="AA27" s="7" t="n">
        <v>-0.38</v>
      </c>
      <c r="AB27" s="7" t="n">
        <v>0.093</v>
      </c>
      <c r="AC27" s="7" t="n">
        <v>0.011</v>
      </c>
      <c r="AD27" s="7" t="n">
        <v>-0.277</v>
      </c>
      <c r="AE27" s="7" t="n">
        <v>-0.023</v>
      </c>
      <c r="AF27" s="7" t="n">
        <v>-0.578</v>
      </c>
      <c r="AG27" s="7" t="n">
        <v>-0.253</v>
      </c>
      <c r="AH27" s="7" t="n">
        <v>0.122</v>
      </c>
      <c r="AI27" s="7" t="n">
        <v>-0.337</v>
      </c>
      <c r="AJ27" s="7" t="n">
        <v>0</v>
      </c>
      <c r="AK27" s="7" t="n">
        <v>-0.029</v>
      </c>
      <c r="AL27" s="7" t="n">
        <v>-0.163</v>
      </c>
      <c r="AM27" s="7" t="n">
        <v>0.28</v>
      </c>
      <c r="AN27" s="7" t="n">
        <v>0.097</v>
      </c>
      <c r="AO27" s="7" t="n">
        <v>-0.253</v>
      </c>
      <c r="AP27" s="7" t="n">
        <v>-0.362</v>
      </c>
      <c r="AQ27" s="7" t="n">
        <v>0.355</v>
      </c>
      <c r="AR27" s="7" t="n">
        <v>-0.016</v>
      </c>
      <c r="AS27" s="7" t="n">
        <v>-0.376</v>
      </c>
      <c r="AT27" s="7" t="n">
        <v>-0.009</v>
      </c>
      <c r="AU27" s="7" t="n">
        <v>0.013</v>
      </c>
      <c r="AV27" s="7" t="n">
        <v>0.113</v>
      </c>
    </row>
    <row r="28" customFormat="false" ht="15" hidden="false" customHeight="false" outlineLevel="0" collapsed="false">
      <c r="A28" s="19" t="n">
        <v>46345</v>
      </c>
      <c r="B28" s="6" t="n">
        <v>1</v>
      </c>
      <c r="C28" s="6" t="s">
        <v>202</v>
      </c>
      <c r="D28" s="6" t="s">
        <v>204</v>
      </c>
      <c r="E28" s="6" t="s">
        <v>195</v>
      </c>
      <c r="F28" s="6" t="s">
        <v>179</v>
      </c>
      <c r="G28" s="7" t="n">
        <v>0.28</v>
      </c>
      <c r="H28" s="7" t="n">
        <v>0.346</v>
      </c>
      <c r="I28" s="7" t="n">
        <v>0.045</v>
      </c>
      <c r="J28" s="7" t="n">
        <v>-0.295</v>
      </c>
      <c r="K28" s="7" t="n">
        <v>0.593</v>
      </c>
      <c r="L28" s="7" t="n">
        <v>0.236</v>
      </c>
      <c r="M28" s="7" t="n">
        <v>-0.275</v>
      </c>
      <c r="N28" s="7" t="n">
        <v>-0.275</v>
      </c>
      <c r="O28" s="7" t="n">
        <v>0.411</v>
      </c>
      <c r="P28" s="7" t="n">
        <v>0.01</v>
      </c>
      <c r="Q28" s="7" t="n">
        <v>0.177</v>
      </c>
      <c r="R28" s="7" t="n">
        <v>0.117</v>
      </c>
      <c r="S28" s="7" t="n">
        <v>0.486</v>
      </c>
      <c r="T28" s="7" t="n">
        <v>0.65</v>
      </c>
      <c r="U28" s="7" t="n">
        <v>0.177</v>
      </c>
      <c r="V28" s="7" t="n">
        <v>0.192</v>
      </c>
      <c r="W28" s="7" t="n">
        <v>-0.361</v>
      </c>
      <c r="X28" s="7" t="n">
        <v>-0.214</v>
      </c>
      <c r="Y28" s="7" t="n">
        <v>-0.618</v>
      </c>
      <c r="Z28" s="7" t="n">
        <v>0.258</v>
      </c>
      <c r="AA28" s="7" t="n">
        <v>-0.178</v>
      </c>
      <c r="AB28" s="7" t="n">
        <v>0.119</v>
      </c>
      <c r="AC28" s="7" t="n">
        <v>0.002</v>
      </c>
      <c r="AD28" s="7" t="n">
        <v>-0.002</v>
      </c>
      <c r="AE28" s="7" t="n">
        <v>-0.01</v>
      </c>
      <c r="AF28" s="7" t="n">
        <v>-0.477</v>
      </c>
      <c r="AG28" s="7" t="n">
        <v>0.232</v>
      </c>
      <c r="AH28" s="7" t="n">
        <v>0.147</v>
      </c>
      <c r="AI28" s="7" t="n">
        <v>-0.165</v>
      </c>
      <c r="AJ28" s="7" t="n">
        <v>0.562</v>
      </c>
      <c r="AK28" s="7" t="n">
        <v>-0.004</v>
      </c>
      <c r="AL28" s="7" t="n">
        <v>-0.146</v>
      </c>
      <c r="AM28" s="7" t="n">
        <v>0.649</v>
      </c>
      <c r="AN28" s="7" t="n">
        <v>0.141</v>
      </c>
      <c r="AO28" s="7" t="n">
        <v>-0.243</v>
      </c>
      <c r="AP28" s="7" t="n">
        <v>-0.34</v>
      </c>
      <c r="AQ28" s="7" t="n">
        <v>0.659</v>
      </c>
      <c r="AR28" s="7" t="n">
        <v>0.003</v>
      </c>
      <c r="AS28" s="7" t="n">
        <v>-0.176</v>
      </c>
      <c r="AT28" s="7" t="n">
        <v>0.392</v>
      </c>
      <c r="AU28" s="7" t="n">
        <v>0.026</v>
      </c>
      <c r="AV28" s="7" t="n">
        <v>0.139</v>
      </c>
    </row>
    <row r="29" customFormat="false" ht="15" hidden="false" customHeight="false" outlineLevel="0" collapsed="false">
      <c r="A29" s="19" t="n">
        <v>46346</v>
      </c>
      <c r="B29" s="6" t="n">
        <v>1</v>
      </c>
      <c r="C29" s="6" t="s">
        <v>205</v>
      </c>
      <c r="D29" s="6" t="s">
        <v>206</v>
      </c>
      <c r="E29" s="6" t="s">
        <v>195</v>
      </c>
      <c r="F29" s="6" t="s">
        <v>179</v>
      </c>
      <c r="G29" s="7" t="n">
        <v>0.082</v>
      </c>
      <c r="H29" s="7" t="n">
        <v>-0.259</v>
      </c>
      <c r="I29" s="7" t="n">
        <v>0.053</v>
      </c>
      <c r="J29" s="7" t="n">
        <v>-0.176</v>
      </c>
      <c r="K29" s="7" t="n">
        <v>0.248</v>
      </c>
      <c r="L29" s="7" t="n">
        <v>0.144</v>
      </c>
      <c r="M29" s="7" t="n">
        <v>-0.404</v>
      </c>
      <c r="N29" s="7" t="n">
        <v>-0.431</v>
      </c>
      <c r="O29" s="7" t="n">
        <v>-0.127</v>
      </c>
      <c r="P29" s="7" t="n">
        <v>0.01</v>
      </c>
      <c r="Q29" s="7" t="n">
        <v>0.139</v>
      </c>
      <c r="R29" s="7" t="n">
        <v>-0.233</v>
      </c>
      <c r="S29" s="7" t="n">
        <v>0.228</v>
      </c>
      <c r="T29" s="7" t="n">
        <v>0.274</v>
      </c>
      <c r="U29" s="7" t="n">
        <v>0.101</v>
      </c>
      <c r="V29" s="7" t="n">
        <v>0.191</v>
      </c>
      <c r="W29" s="7" t="n">
        <v>-0.429</v>
      </c>
      <c r="X29" s="7" t="n">
        <v>0.024</v>
      </c>
      <c r="Y29" s="7" t="n">
        <v>-0.691</v>
      </c>
      <c r="Z29" s="7" t="n">
        <v>0.275</v>
      </c>
      <c r="AA29" s="7" t="n">
        <v>-0.37</v>
      </c>
      <c r="AB29" s="7" t="n">
        <v>0.143</v>
      </c>
      <c r="AC29" s="7" t="n">
        <v>-0.046</v>
      </c>
      <c r="AD29" s="7" t="n">
        <v>0.318</v>
      </c>
      <c r="AE29" s="7" t="n">
        <v>-0.03</v>
      </c>
      <c r="AF29" s="7" t="n">
        <v>-0.535</v>
      </c>
      <c r="AG29" s="7" t="n">
        <v>-0.27</v>
      </c>
      <c r="AH29" s="7" t="n">
        <v>0.162</v>
      </c>
      <c r="AI29" s="7" t="n">
        <v>0.071</v>
      </c>
      <c r="AJ29" s="7" t="n">
        <v>0.105</v>
      </c>
      <c r="AK29" s="7" t="n">
        <v>-0.003</v>
      </c>
      <c r="AL29" s="7" t="n">
        <v>0.104</v>
      </c>
      <c r="AM29" s="7" t="n">
        <v>0.282</v>
      </c>
      <c r="AN29" s="7" t="n">
        <v>0.116</v>
      </c>
      <c r="AO29" s="7" t="n">
        <v>-0.402</v>
      </c>
      <c r="AP29" s="7" t="n">
        <v>-0.482</v>
      </c>
      <c r="AQ29" s="7" t="n">
        <v>0.355</v>
      </c>
      <c r="AR29" s="7" t="n">
        <v>-0.023</v>
      </c>
      <c r="AS29" s="7" t="n">
        <v>-0.316</v>
      </c>
      <c r="AT29" s="7" t="n">
        <v>-0.003</v>
      </c>
      <c r="AU29" s="7" t="n">
        <v>0.013</v>
      </c>
      <c r="AV29" s="7" t="n">
        <v>0.139</v>
      </c>
    </row>
    <row r="30" customFormat="false" ht="15" hidden="false" customHeight="false" outlineLevel="0" collapsed="false">
      <c r="A30" s="19" t="n">
        <v>46347</v>
      </c>
      <c r="B30" s="6" t="n">
        <v>0</v>
      </c>
      <c r="C30" s="6" t="s">
        <v>205</v>
      </c>
      <c r="D30" s="6" t="s">
        <v>207</v>
      </c>
      <c r="E30" s="6" t="s">
        <v>195</v>
      </c>
      <c r="F30" s="6" t="s">
        <v>179</v>
      </c>
      <c r="G30" s="7" t="n">
        <v>0.337</v>
      </c>
      <c r="H30" s="7" t="n">
        <v>0.121</v>
      </c>
      <c r="I30" s="7" t="n">
        <v>0.085</v>
      </c>
      <c r="J30" s="7" t="n">
        <v>0.146</v>
      </c>
      <c r="K30" s="7" t="n">
        <v>0.395</v>
      </c>
      <c r="L30" s="7" t="n">
        <v>0.128</v>
      </c>
      <c r="M30" s="7" t="n">
        <v>-0.035</v>
      </c>
      <c r="N30" s="7" t="n">
        <v>-0.188</v>
      </c>
      <c r="O30" s="7" t="n">
        <v>-0.345</v>
      </c>
      <c r="P30" s="7" t="n">
        <v>0.372</v>
      </c>
      <c r="Q30" s="7" t="n">
        <v>0.371</v>
      </c>
      <c r="R30" s="7" t="n">
        <v>-0.323</v>
      </c>
      <c r="S30" s="7" t="n">
        <v>0.374</v>
      </c>
      <c r="T30" s="7" t="n">
        <v>0.428</v>
      </c>
      <c r="U30" s="7" t="n">
        <v>0.117</v>
      </c>
      <c r="V30" s="7" t="n">
        <v>0.204</v>
      </c>
      <c r="W30" s="7" t="n">
        <v>-0.046</v>
      </c>
      <c r="X30" s="7" t="n">
        <v>0.245</v>
      </c>
      <c r="Y30" s="7" t="n">
        <v>-0.222</v>
      </c>
      <c r="Z30" s="7" t="n">
        <v>0.362</v>
      </c>
      <c r="AA30" s="7" t="n">
        <v>-0.023</v>
      </c>
      <c r="AB30" s="7" t="n">
        <v>0.167</v>
      </c>
      <c r="AC30" s="7" t="n">
        <v>-0.117</v>
      </c>
      <c r="AD30" s="7" t="n">
        <v>0.278</v>
      </c>
      <c r="AE30" s="7" t="n">
        <v>0.345</v>
      </c>
      <c r="AF30" s="7" t="n">
        <v>-0.149</v>
      </c>
      <c r="AG30" s="7" t="n">
        <v>-0.41</v>
      </c>
      <c r="AH30" s="7" t="n">
        <v>0.084</v>
      </c>
      <c r="AI30" s="7" t="n">
        <v>0.339</v>
      </c>
      <c r="AJ30" s="7" t="n">
        <v>0.267</v>
      </c>
      <c r="AK30" s="7" t="n">
        <v>0.191</v>
      </c>
      <c r="AL30" s="7" t="n">
        <v>0.103</v>
      </c>
      <c r="AM30" s="7" t="n">
        <v>0.181</v>
      </c>
      <c r="AN30" s="7" t="n">
        <v>0.098</v>
      </c>
      <c r="AO30" s="7" t="n">
        <v>-0.2</v>
      </c>
      <c r="AP30" s="7" t="n">
        <v>-0.275</v>
      </c>
      <c r="AQ30" s="7" t="n">
        <v>0.345</v>
      </c>
      <c r="AR30" s="7" t="n">
        <v>-0.056</v>
      </c>
      <c r="AS30" s="7" t="n">
        <v>0.003</v>
      </c>
      <c r="AT30" s="7" t="n">
        <v>0.189</v>
      </c>
      <c r="AU30" s="7" t="n">
        <v>0.254</v>
      </c>
      <c r="AV30" s="7" t="n">
        <v>0.154</v>
      </c>
    </row>
    <row r="31" customFormat="false" ht="15" hidden="false" customHeight="false" outlineLevel="0" collapsed="false">
      <c r="A31" s="19" t="n">
        <v>46348</v>
      </c>
      <c r="B31" s="6" t="n">
        <v>0</v>
      </c>
      <c r="C31" s="6" t="s">
        <v>169</v>
      </c>
      <c r="D31" s="6" t="s">
        <v>208</v>
      </c>
      <c r="E31" s="6" t="s">
        <v>195</v>
      </c>
      <c r="F31" s="6" t="s">
        <v>179</v>
      </c>
      <c r="G31" s="7" t="n">
        <v>-0.141</v>
      </c>
      <c r="H31" s="7" t="n">
        <v>0.098</v>
      </c>
      <c r="I31" s="7" t="n">
        <v>-0.294</v>
      </c>
      <c r="J31" s="7" t="n">
        <v>-0.201</v>
      </c>
      <c r="K31" s="7" t="n">
        <v>0.079</v>
      </c>
      <c r="L31" s="7" t="n">
        <v>0.511</v>
      </c>
      <c r="M31" s="7" t="n">
        <v>0.122</v>
      </c>
      <c r="N31" s="7" t="n">
        <v>-0.379</v>
      </c>
      <c r="O31" s="7" t="n">
        <v>-0.015</v>
      </c>
      <c r="P31" s="7" t="n">
        <v>-0.042</v>
      </c>
      <c r="Q31" s="7" t="n">
        <v>0.177</v>
      </c>
      <c r="R31" s="7" t="n">
        <v>-0.203</v>
      </c>
      <c r="S31" s="7" t="n">
        <v>0.171</v>
      </c>
      <c r="T31" s="7" t="n">
        <v>0.267</v>
      </c>
      <c r="U31" s="7" t="n">
        <v>0.169</v>
      </c>
      <c r="V31" s="7" t="n">
        <v>0.213</v>
      </c>
      <c r="W31" s="7" t="n">
        <v>-0.379</v>
      </c>
      <c r="X31" s="7" t="n">
        <v>-0.388</v>
      </c>
      <c r="Y31" s="7" t="n">
        <v>-0.685</v>
      </c>
      <c r="Z31" s="7" t="n">
        <v>0.234</v>
      </c>
      <c r="AA31" s="7" t="n">
        <v>-0.28</v>
      </c>
      <c r="AB31" s="7" t="n">
        <v>0.167</v>
      </c>
      <c r="AC31" s="7" t="n">
        <v>-0.341</v>
      </c>
      <c r="AD31" s="7" t="n">
        <v>-0.092</v>
      </c>
      <c r="AE31" s="7" t="n">
        <v>-0.06</v>
      </c>
      <c r="AF31" s="7" t="n">
        <v>-0.505</v>
      </c>
      <c r="AG31" s="7" t="n">
        <v>-0.182</v>
      </c>
      <c r="AH31" s="7" t="n">
        <v>0.185</v>
      </c>
      <c r="AI31" s="7" t="n">
        <v>-0.283</v>
      </c>
      <c r="AJ31" s="7" t="n">
        <v>0.05</v>
      </c>
      <c r="AK31" s="7" t="n">
        <v>0.036</v>
      </c>
      <c r="AL31" s="7" t="n">
        <v>0.167</v>
      </c>
      <c r="AM31" s="7" t="n">
        <v>0.343</v>
      </c>
      <c r="AN31" s="7" t="n">
        <v>0.186</v>
      </c>
      <c r="AO31" s="7" t="n">
        <v>-0.372</v>
      </c>
      <c r="AP31" s="7" t="n">
        <v>-0.486</v>
      </c>
      <c r="AQ31" s="7" t="n">
        <v>0.458</v>
      </c>
      <c r="AR31" s="7" t="n">
        <v>0.009</v>
      </c>
      <c r="AS31" s="7" t="n">
        <v>-0.287</v>
      </c>
      <c r="AT31" s="7" t="n">
        <v>0.066</v>
      </c>
      <c r="AU31" s="7" t="n">
        <v>-0.019</v>
      </c>
      <c r="AV31" s="7" t="n">
        <v>0.177</v>
      </c>
    </row>
    <row r="32" customFormat="false" ht="15" hidden="false" customHeight="false" outlineLevel="0" collapsed="false">
      <c r="A32" s="19" t="n">
        <v>46349</v>
      </c>
      <c r="B32" s="6" t="n">
        <v>1</v>
      </c>
      <c r="C32" s="6" t="s">
        <v>169</v>
      </c>
      <c r="D32" s="6" t="s">
        <v>170</v>
      </c>
      <c r="E32" s="6" t="s">
        <v>195</v>
      </c>
      <c r="F32" s="6" t="s">
        <v>179</v>
      </c>
      <c r="G32" s="7" t="n">
        <v>0.168</v>
      </c>
      <c r="H32" s="7" t="n">
        <v>0.11</v>
      </c>
      <c r="I32" s="7" t="n">
        <v>-0.127</v>
      </c>
      <c r="J32" s="7" t="n">
        <v>-0.195</v>
      </c>
      <c r="K32" s="7" t="n">
        <v>0.339</v>
      </c>
      <c r="L32" s="7" t="n">
        <v>0.015</v>
      </c>
      <c r="M32" s="7" t="n">
        <v>-0.202</v>
      </c>
      <c r="N32" s="7" t="n">
        <v>-0.225</v>
      </c>
      <c r="O32" s="7" t="n">
        <v>-0.049</v>
      </c>
      <c r="P32" s="7" t="n">
        <v>0.015</v>
      </c>
      <c r="Q32" s="7" t="n">
        <v>0.435</v>
      </c>
      <c r="R32" s="7" t="n">
        <v>-0.22</v>
      </c>
      <c r="S32" s="7" t="n">
        <v>0.31</v>
      </c>
      <c r="T32" s="7" t="n">
        <v>0.407</v>
      </c>
      <c r="U32" s="7" t="n">
        <v>0.082</v>
      </c>
      <c r="V32" s="7" t="n">
        <v>0.463</v>
      </c>
      <c r="W32" s="7" t="n">
        <v>-0.24</v>
      </c>
      <c r="X32" s="7" t="n">
        <v>0.026</v>
      </c>
      <c r="Y32" s="7" t="n">
        <v>-0.221</v>
      </c>
      <c r="Z32" s="7" t="n">
        <v>0.431</v>
      </c>
      <c r="AA32" s="7" t="n">
        <v>-0.143</v>
      </c>
      <c r="AB32" s="7" t="n">
        <v>0.389</v>
      </c>
      <c r="AC32" s="7" t="n">
        <v>-0.137</v>
      </c>
      <c r="AD32" s="7" t="n">
        <v>0.245</v>
      </c>
      <c r="AE32" s="7" t="n">
        <v>-0.051</v>
      </c>
      <c r="AF32" s="7" t="n">
        <v>-0.27</v>
      </c>
      <c r="AG32" s="7" t="n">
        <v>-0.212</v>
      </c>
      <c r="AH32" s="7" t="n">
        <v>0.445</v>
      </c>
      <c r="AI32" s="7" t="n">
        <v>-0.04</v>
      </c>
      <c r="AJ32" s="7" t="n">
        <v>0.193</v>
      </c>
      <c r="AK32" s="7" t="n">
        <v>0.25</v>
      </c>
      <c r="AL32" s="7" t="n">
        <v>0.007</v>
      </c>
      <c r="AM32" s="7" t="n">
        <v>0.315</v>
      </c>
      <c r="AN32" s="7" t="n">
        <v>0.237</v>
      </c>
      <c r="AO32" s="7" t="n">
        <v>-0.114</v>
      </c>
      <c r="AP32" s="7" t="n">
        <v>-0.095</v>
      </c>
      <c r="AQ32" s="7" t="n">
        <v>0.326</v>
      </c>
      <c r="AR32" s="7" t="n">
        <v>0.002</v>
      </c>
      <c r="AS32" s="7" t="n">
        <v>-0.037</v>
      </c>
      <c r="AT32" s="7" t="n">
        <v>0.048</v>
      </c>
      <c r="AU32" s="7" t="n">
        <v>-0.011</v>
      </c>
      <c r="AV32" s="7" t="n">
        <v>0.235</v>
      </c>
    </row>
    <row r="33" customFormat="false" ht="15" hidden="false" customHeight="false" outlineLevel="0" collapsed="false">
      <c r="A33" s="19" t="n">
        <v>46350</v>
      </c>
      <c r="B33" s="6" t="n">
        <v>1</v>
      </c>
      <c r="C33" s="6" t="s">
        <v>173</v>
      </c>
      <c r="D33" s="6" t="s">
        <v>174</v>
      </c>
      <c r="E33" s="6" t="s">
        <v>195</v>
      </c>
      <c r="F33" s="6" t="s">
        <v>179</v>
      </c>
      <c r="G33" s="7" t="n">
        <v>0.307</v>
      </c>
      <c r="H33" s="7" t="n">
        <v>-0.044</v>
      </c>
      <c r="I33" s="7" t="n">
        <v>0.119</v>
      </c>
      <c r="J33" s="7" t="n">
        <v>-0.16</v>
      </c>
      <c r="K33" s="7" t="n">
        <v>0.352</v>
      </c>
      <c r="L33" s="7" t="n">
        <v>0.107</v>
      </c>
      <c r="M33" s="7" t="n">
        <v>-0.122</v>
      </c>
      <c r="N33" s="7" t="n">
        <v>-0.175</v>
      </c>
      <c r="O33" s="7" t="n">
        <v>-0.129</v>
      </c>
      <c r="P33" s="7" t="n">
        <v>0.038</v>
      </c>
      <c r="Q33" s="7" t="n">
        <v>0.404</v>
      </c>
      <c r="R33" s="7" t="n">
        <v>-0.244</v>
      </c>
      <c r="S33" s="7" t="n">
        <v>0.174</v>
      </c>
      <c r="T33" s="7" t="n">
        <v>0.604</v>
      </c>
      <c r="U33" s="7" t="n">
        <v>0.007</v>
      </c>
      <c r="V33" s="7" t="n">
        <v>0.423</v>
      </c>
      <c r="W33" s="7" t="n">
        <v>-0.156</v>
      </c>
      <c r="X33" s="7" t="n">
        <v>0.073</v>
      </c>
      <c r="Y33" s="7" t="n">
        <v>-0.215</v>
      </c>
      <c r="Z33" s="7" t="n">
        <v>0.75</v>
      </c>
      <c r="AA33" s="7" t="n">
        <v>0.413</v>
      </c>
      <c r="AB33" s="7" t="n">
        <v>0.384</v>
      </c>
      <c r="AC33" s="7" t="n">
        <v>0.029</v>
      </c>
      <c r="AD33" s="7" t="n">
        <v>0.65</v>
      </c>
      <c r="AE33" s="7" t="n">
        <v>-0.012</v>
      </c>
      <c r="AF33" s="7" t="n">
        <v>-0.258</v>
      </c>
      <c r="AG33" s="7" t="n">
        <v>-0.279</v>
      </c>
      <c r="AH33" s="7" t="n">
        <v>0.395</v>
      </c>
      <c r="AI33" s="7" t="n">
        <v>0.08</v>
      </c>
      <c r="AJ33" s="7" t="n">
        <v>0.042</v>
      </c>
      <c r="AK33" s="7" t="n">
        <v>0.227</v>
      </c>
      <c r="AL33" s="7" t="n">
        <v>0.507</v>
      </c>
      <c r="AM33" s="7" t="n">
        <v>0.748</v>
      </c>
      <c r="AN33" s="7" t="n">
        <v>-0.047</v>
      </c>
      <c r="AO33" s="7" t="n">
        <v>-0.054</v>
      </c>
      <c r="AP33" s="7" t="n">
        <v>-0.125</v>
      </c>
      <c r="AQ33" s="7" t="n">
        <v>0.672</v>
      </c>
      <c r="AR33" s="7" t="n">
        <v>-0.012</v>
      </c>
      <c r="AS33" s="7" t="n">
        <v>0.043</v>
      </c>
      <c r="AT33" s="7" t="n">
        <v>0.516</v>
      </c>
      <c r="AU33" s="7" t="n">
        <v>0.028</v>
      </c>
      <c r="AV33" s="7" t="n">
        <v>-0.034</v>
      </c>
    </row>
    <row r="34" customFormat="false" ht="15" hidden="false" customHeight="false" outlineLevel="0" collapsed="false">
      <c r="A34" s="19" t="n">
        <v>46351</v>
      </c>
      <c r="B34" s="6" t="n">
        <v>1</v>
      </c>
      <c r="C34" s="6" t="s">
        <v>173</v>
      </c>
      <c r="D34" s="6" t="s">
        <v>209</v>
      </c>
      <c r="E34" s="6" t="s">
        <v>195</v>
      </c>
      <c r="F34" s="6" t="s">
        <v>179</v>
      </c>
      <c r="G34" s="7" t="n">
        <v>0.259</v>
      </c>
      <c r="H34" s="7" t="n">
        <v>-0.015</v>
      </c>
      <c r="I34" s="7" t="n">
        <v>0.151</v>
      </c>
      <c r="J34" s="7" t="n">
        <v>-0.161</v>
      </c>
      <c r="K34" s="7" t="n">
        <v>0.364</v>
      </c>
      <c r="L34" s="7" t="n">
        <v>0.118</v>
      </c>
      <c r="M34" s="7" t="n">
        <v>-0.101</v>
      </c>
      <c r="N34" s="7" t="n">
        <v>-0.154</v>
      </c>
      <c r="O34" s="7" t="n">
        <v>-0.131</v>
      </c>
      <c r="P34" s="7" t="n">
        <v>0.038</v>
      </c>
      <c r="Q34" s="7" t="n">
        <v>0.423</v>
      </c>
      <c r="R34" s="7" t="n">
        <v>-0.244</v>
      </c>
      <c r="S34" s="7" t="n">
        <v>0.211</v>
      </c>
      <c r="T34" s="7" t="n">
        <v>0.21</v>
      </c>
      <c r="U34" s="7" t="n">
        <v>0.026</v>
      </c>
      <c r="V34" s="7" t="n">
        <v>0.434</v>
      </c>
      <c r="W34" s="7" t="n">
        <v>-0.127</v>
      </c>
      <c r="X34" s="7" t="n">
        <v>0.081</v>
      </c>
      <c r="Y34" s="7" t="n">
        <v>-0.186</v>
      </c>
      <c r="Z34" s="7" t="n">
        <v>0.444</v>
      </c>
      <c r="AA34" s="7" t="n">
        <v>-0.063</v>
      </c>
      <c r="AB34" s="7" t="n">
        <v>0.39</v>
      </c>
      <c r="AC34" s="7" t="n">
        <v>0.032</v>
      </c>
      <c r="AD34" s="7" t="n">
        <v>0.252</v>
      </c>
      <c r="AE34" s="7" t="n">
        <v>-0.013</v>
      </c>
      <c r="AF34" s="7" t="n">
        <v>-0.227</v>
      </c>
      <c r="AG34" s="7" t="n">
        <v>-0.283</v>
      </c>
      <c r="AH34" s="7" t="n">
        <v>0.409</v>
      </c>
      <c r="AI34" s="7" t="n">
        <v>0.074</v>
      </c>
      <c r="AJ34" s="7" t="n">
        <v>0.049</v>
      </c>
      <c r="AK34" s="7" t="n">
        <v>0.243</v>
      </c>
      <c r="AL34" s="7" t="n">
        <v>0.101</v>
      </c>
      <c r="AM34" s="7" t="n">
        <v>0.3</v>
      </c>
      <c r="AN34" s="7" t="n">
        <v>-0.016</v>
      </c>
      <c r="AO34" s="7" t="n">
        <v>-0.04</v>
      </c>
      <c r="AP34" s="7" t="n">
        <v>-0.107</v>
      </c>
      <c r="AQ34" s="7" t="n">
        <v>0.228</v>
      </c>
      <c r="AR34" s="7" t="n">
        <v>-0.001</v>
      </c>
      <c r="AS34" s="7" t="n">
        <v>0.053</v>
      </c>
      <c r="AT34" s="7" t="n">
        <v>0.067</v>
      </c>
      <c r="AU34" s="7" t="n">
        <v>0.027</v>
      </c>
      <c r="AV34" s="7" t="n">
        <v>-0.012</v>
      </c>
    </row>
    <row r="35" customFormat="false" ht="15" hidden="false" customHeight="false" outlineLevel="0" collapsed="false">
      <c r="A35" s="19" t="n">
        <v>46352</v>
      </c>
      <c r="B35" s="6" t="n">
        <v>1</v>
      </c>
      <c r="C35" s="6" t="s">
        <v>176</v>
      </c>
      <c r="D35" s="6" t="s">
        <v>175</v>
      </c>
      <c r="E35" s="6" t="s">
        <v>195</v>
      </c>
      <c r="F35" s="6" t="s">
        <v>179</v>
      </c>
      <c r="G35" s="7" t="n">
        <v>0.531</v>
      </c>
      <c r="H35" s="7" t="n">
        <v>-0.107</v>
      </c>
      <c r="I35" s="7" t="n">
        <v>0.623</v>
      </c>
      <c r="J35" s="7" t="n">
        <v>0.093</v>
      </c>
      <c r="K35" s="7" t="n">
        <v>0.34</v>
      </c>
      <c r="L35" s="7" t="n">
        <v>0.645</v>
      </c>
      <c r="M35" s="7" t="n">
        <v>0.355</v>
      </c>
      <c r="N35" s="7" t="n">
        <v>0.212</v>
      </c>
      <c r="O35" s="7" t="n">
        <v>-0.148</v>
      </c>
      <c r="P35" s="7" t="n">
        <v>0.23</v>
      </c>
      <c r="Q35" s="7" t="n">
        <v>0.073</v>
      </c>
      <c r="R35" s="7" t="n">
        <v>-0.215</v>
      </c>
      <c r="S35" s="7" t="n">
        <v>0.238</v>
      </c>
      <c r="T35" s="7" t="n">
        <v>0.446</v>
      </c>
      <c r="U35" s="7" t="n">
        <v>0.552</v>
      </c>
      <c r="V35" s="7" t="n">
        <v>0.148</v>
      </c>
      <c r="W35" s="7" t="n">
        <v>0.372</v>
      </c>
      <c r="X35" s="7" t="n">
        <v>0.183</v>
      </c>
      <c r="Y35" s="7" t="n">
        <v>-0.229</v>
      </c>
      <c r="Z35" s="7" t="n">
        <v>0.397</v>
      </c>
      <c r="AA35" s="7" t="n">
        <v>0.319</v>
      </c>
      <c r="AB35" s="7" t="n">
        <v>0.158</v>
      </c>
      <c r="AC35" s="7" t="n">
        <v>0.444</v>
      </c>
      <c r="AD35" s="7" t="n">
        <v>0.288</v>
      </c>
      <c r="AE35" s="7" t="n">
        <v>0.177</v>
      </c>
      <c r="AF35" s="7" t="n">
        <v>-0.074</v>
      </c>
      <c r="AG35" s="7" t="n">
        <v>-0.129</v>
      </c>
      <c r="AH35" s="7" t="n">
        <v>0.156</v>
      </c>
      <c r="AI35" s="7" t="n">
        <v>0.416</v>
      </c>
      <c r="AJ35" s="7" t="n">
        <v>0.156</v>
      </c>
      <c r="AK35" s="7" t="n">
        <v>0.394</v>
      </c>
      <c r="AL35" s="7" t="n">
        <v>0.1</v>
      </c>
      <c r="AM35" s="7" t="n">
        <v>0.256</v>
      </c>
      <c r="AN35" s="7" t="n">
        <v>0.099</v>
      </c>
      <c r="AO35" s="7" t="n">
        <v>0.228</v>
      </c>
      <c r="AP35" s="7" t="n">
        <v>-0.182</v>
      </c>
      <c r="AQ35" s="7" t="n">
        <v>0.684</v>
      </c>
      <c r="AR35" s="7" t="n">
        <v>-0.049</v>
      </c>
      <c r="AS35" s="7" t="n">
        <v>0.368</v>
      </c>
      <c r="AT35" s="7" t="n">
        <v>0.047</v>
      </c>
      <c r="AU35" s="7" t="n">
        <v>-0.036</v>
      </c>
      <c r="AV35" s="7" t="n">
        <v>0.149</v>
      </c>
    </row>
    <row r="36" customFormat="false" ht="15" hidden="false" customHeight="false" outlineLevel="0" collapsed="false">
      <c r="A36" s="19" t="n">
        <v>46353</v>
      </c>
      <c r="B36" s="6" t="n">
        <v>1</v>
      </c>
      <c r="C36" s="6" t="s">
        <v>176</v>
      </c>
      <c r="D36" s="6" t="s">
        <v>177</v>
      </c>
      <c r="E36" s="6" t="s">
        <v>195</v>
      </c>
      <c r="F36" s="6" t="s">
        <v>179</v>
      </c>
      <c r="G36" s="7" t="n">
        <v>0.473</v>
      </c>
      <c r="H36" s="7" t="n">
        <v>-0.036</v>
      </c>
      <c r="I36" s="7" t="n">
        <v>0.252</v>
      </c>
      <c r="J36" s="7" t="n">
        <v>0.092</v>
      </c>
      <c r="K36" s="7" t="n">
        <v>0.455</v>
      </c>
      <c r="L36" s="7" t="n">
        <v>0.184</v>
      </c>
      <c r="M36" s="7" t="n">
        <v>0.295</v>
      </c>
      <c r="N36" s="7" t="n">
        <v>-0.056</v>
      </c>
      <c r="O36" s="7" t="n">
        <v>-0.125</v>
      </c>
      <c r="P36" s="7" t="n">
        <v>0.035</v>
      </c>
      <c r="Q36" s="7" t="n">
        <v>0.178</v>
      </c>
      <c r="R36" s="7" t="n">
        <v>0.001</v>
      </c>
      <c r="S36" s="7" t="n">
        <v>0.357</v>
      </c>
      <c r="T36" s="7" t="n">
        <v>0.155</v>
      </c>
      <c r="U36" s="7" t="n">
        <v>0.199</v>
      </c>
      <c r="V36" s="7" t="n">
        <v>0.154</v>
      </c>
      <c r="W36" s="7" t="n">
        <v>0.302</v>
      </c>
      <c r="X36" s="7" t="n">
        <v>0.155</v>
      </c>
      <c r="Y36" s="7" t="n">
        <v>-0.229</v>
      </c>
      <c r="Z36" s="7" t="n">
        <v>0.687</v>
      </c>
      <c r="AA36" s="7" t="n">
        <v>0.296</v>
      </c>
      <c r="AB36" s="7" t="n">
        <v>0.138</v>
      </c>
      <c r="AC36" s="7" t="n">
        <v>0.08</v>
      </c>
      <c r="AD36" s="7" t="n">
        <v>0.534</v>
      </c>
      <c r="AE36" s="7" t="n">
        <v>0.072</v>
      </c>
      <c r="AF36" s="7" t="n">
        <v>0.194</v>
      </c>
      <c r="AG36" s="7" t="n">
        <v>-0.107</v>
      </c>
      <c r="AH36" s="7" t="n">
        <v>0.162</v>
      </c>
      <c r="AI36" s="7" t="n">
        <v>0.421</v>
      </c>
      <c r="AJ36" s="7" t="n">
        <v>0.255</v>
      </c>
      <c r="AK36" s="7" t="n">
        <v>0.407</v>
      </c>
      <c r="AL36" s="7" t="n">
        <v>0.077</v>
      </c>
      <c r="AM36" s="7" t="n">
        <v>0.29</v>
      </c>
      <c r="AN36" s="7" t="n">
        <v>0.13</v>
      </c>
      <c r="AO36" s="7" t="n">
        <v>-0.085</v>
      </c>
      <c r="AP36" s="7" t="n">
        <v>-0.165</v>
      </c>
      <c r="AQ36" s="7" t="n">
        <v>0.407</v>
      </c>
      <c r="AR36" s="7" t="n">
        <v>-0.025</v>
      </c>
      <c r="AS36" s="7" t="n">
        <v>0.267</v>
      </c>
      <c r="AT36" s="7" t="n">
        <v>0.116</v>
      </c>
      <c r="AU36" s="7" t="n">
        <v>0.039</v>
      </c>
      <c r="AV36" s="7" t="n">
        <v>0.155</v>
      </c>
    </row>
    <row r="37" customFormat="false" ht="15" hidden="false" customHeight="false" outlineLevel="0" collapsed="false">
      <c r="A37" s="19" t="n">
        <v>46354</v>
      </c>
      <c r="B37" s="6" t="n">
        <v>0</v>
      </c>
      <c r="C37" s="6" t="s">
        <v>180</v>
      </c>
      <c r="D37" s="6" t="s">
        <v>178</v>
      </c>
      <c r="E37" s="6" t="s">
        <v>195</v>
      </c>
      <c r="F37" s="6" t="s">
        <v>179</v>
      </c>
      <c r="G37" s="7" t="n">
        <v>0.485</v>
      </c>
      <c r="H37" s="7" t="n">
        <v>0.322</v>
      </c>
      <c r="I37" s="7" t="n">
        <v>0.214</v>
      </c>
      <c r="J37" s="7" t="n">
        <v>0.095</v>
      </c>
      <c r="K37" s="7" t="n">
        <v>0.612</v>
      </c>
      <c r="L37" s="7" t="n">
        <v>0.156</v>
      </c>
      <c r="M37" s="7" t="n">
        <v>0.073</v>
      </c>
      <c r="N37" s="7" t="n">
        <v>-0.134</v>
      </c>
      <c r="O37" s="7" t="n">
        <v>0.394</v>
      </c>
      <c r="P37" s="7" t="n">
        <v>0.019</v>
      </c>
      <c r="Q37" s="7" t="n">
        <v>0.031</v>
      </c>
      <c r="R37" s="7" t="n">
        <v>0.429</v>
      </c>
      <c r="S37" s="7" t="n">
        <v>0.545</v>
      </c>
      <c r="T37" s="7" t="n">
        <v>0.609</v>
      </c>
      <c r="U37" s="7" t="n">
        <v>0.095</v>
      </c>
      <c r="V37" s="7" t="n">
        <v>0.149</v>
      </c>
      <c r="W37" s="7" t="n">
        <v>0.083</v>
      </c>
      <c r="X37" s="7" t="n">
        <v>0.096</v>
      </c>
      <c r="Y37" s="7" t="n">
        <v>-0.219</v>
      </c>
      <c r="Z37" s="7" t="n">
        <v>0.379</v>
      </c>
      <c r="AA37" s="7" t="n">
        <v>0.054</v>
      </c>
      <c r="AB37" s="7" t="n">
        <v>0.119</v>
      </c>
      <c r="AC37" s="7" t="n">
        <v>-0.026</v>
      </c>
      <c r="AD37" s="7" t="n">
        <v>0.308</v>
      </c>
      <c r="AE37" s="7" t="n">
        <v>0.019</v>
      </c>
      <c r="AF37" s="7" t="n">
        <v>0.003</v>
      </c>
      <c r="AG37" s="7" t="n">
        <v>0.336</v>
      </c>
      <c r="AH37" s="7" t="n">
        <v>0.142</v>
      </c>
      <c r="AI37" s="7" t="n">
        <v>0.103</v>
      </c>
      <c r="AJ37" s="7" t="n">
        <v>0.566</v>
      </c>
      <c r="AK37" s="7" t="n">
        <v>0.207</v>
      </c>
      <c r="AL37" s="7" t="n">
        <v>0.054</v>
      </c>
      <c r="AM37" s="7" t="n">
        <v>0.735</v>
      </c>
      <c r="AN37" s="7" t="n">
        <v>0.011</v>
      </c>
      <c r="AO37" s="7" t="n">
        <v>-0.152</v>
      </c>
      <c r="AP37" s="7" t="n">
        <v>-0.196</v>
      </c>
      <c r="AQ37" s="7" t="n">
        <v>0.699</v>
      </c>
      <c r="AR37" s="7" t="n">
        <v>-0.123</v>
      </c>
      <c r="AS37" s="7" t="n">
        <v>0.065</v>
      </c>
      <c r="AT37" s="7" t="n">
        <v>0.536</v>
      </c>
      <c r="AU37" s="7" t="n">
        <v>0.01</v>
      </c>
      <c r="AV37" s="7" t="n">
        <v>0.135</v>
      </c>
    </row>
    <row r="38" customFormat="false" ht="15" hidden="false" customHeight="false" outlineLevel="0" collapsed="false">
      <c r="A38" s="19" t="n">
        <v>46355</v>
      </c>
      <c r="B38" s="6" t="n">
        <v>0</v>
      </c>
      <c r="C38" s="6" t="s">
        <v>180</v>
      </c>
      <c r="D38" s="6" t="s">
        <v>182</v>
      </c>
      <c r="E38" s="6" t="s">
        <v>195</v>
      </c>
      <c r="F38" s="6" t="s">
        <v>179</v>
      </c>
      <c r="G38" s="7" t="n">
        <v>0.52</v>
      </c>
      <c r="H38" s="7" t="n">
        <v>0.195</v>
      </c>
      <c r="I38" s="7" t="n">
        <v>0.226</v>
      </c>
      <c r="J38" s="7" t="n">
        <v>0.394</v>
      </c>
      <c r="K38" s="7" t="n">
        <v>0.604</v>
      </c>
      <c r="L38" s="7" t="n">
        <v>0.169</v>
      </c>
      <c r="M38" s="7" t="n">
        <v>0.075</v>
      </c>
      <c r="N38" s="7" t="n">
        <v>-0.243</v>
      </c>
      <c r="O38" s="7" t="n">
        <v>-0.047</v>
      </c>
      <c r="P38" s="7" t="n">
        <v>0.398</v>
      </c>
      <c r="Q38" s="7" t="n">
        <v>0.305</v>
      </c>
      <c r="R38" s="7" t="n">
        <v>0.027</v>
      </c>
      <c r="S38" s="7" t="n">
        <v>0.519</v>
      </c>
      <c r="T38" s="7" t="n">
        <v>0.387</v>
      </c>
      <c r="U38" s="7" t="n">
        <v>0.072</v>
      </c>
      <c r="V38" s="7" t="n">
        <v>0.138</v>
      </c>
      <c r="W38" s="7" t="n">
        <v>0.085</v>
      </c>
      <c r="X38" s="7" t="n">
        <v>0.352</v>
      </c>
      <c r="Y38" s="7" t="n">
        <v>-0.219</v>
      </c>
      <c r="Z38" s="7" t="n">
        <v>0.507</v>
      </c>
      <c r="AA38" s="7" t="n">
        <v>-0.029</v>
      </c>
      <c r="AB38" s="7" t="n">
        <v>0.119</v>
      </c>
      <c r="AC38" s="7" t="n">
        <v>-0.038</v>
      </c>
      <c r="AD38" s="7" t="n">
        <v>0.311</v>
      </c>
      <c r="AE38" s="7" t="n">
        <v>0.398</v>
      </c>
      <c r="AF38" s="7" t="n">
        <v>-0.007</v>
      </c>
      <c r="AG38" s="7" t="n">
        <v>-0.148</v>
      </c>
      <c r="AH38" s="7" t="n">
        <v>0.131</v>
      </c>
      <c r="AI38" s="7" t="n">
        <v>0.398</v>
      </c>
      <c r="AJ38" s="7" t="n">
        <v>0.536</v>
      </c>
      <c r="AK38" s="7" t="n">
        <v>0.437</v>
      </c>
      <c r="AL38" s="7" t="n">
        <v>0.054</v>
      </c>
      <c r="AM38" s="7" t="n">
        <v>0.361</v>
      </c>
      <c r="AN38" s="7" t="n">
        <v>-0.013</v>
      </c>
      <c r="AO38" s="7" t="n">
        <v>-0.163</v>
      </c>
      <c r="AP38" s="7" t="n">
        <v>-0.219</v>
      </c>
      <c r="AQ38" s="7" t="n">
        <v>0.391</v>
      </c>
      <c r="AR38" s="7" t="n">
        <v>-0.136</v>
      </c>
      <c r="AS38" s="7" t="n">
        <v>0.067</v>
      </c>
      <c r="AT38" s="7" t="n">
        <v>0.465</v>
      </c>
      <c r="AU38" s="7" t="n">
        <v>0.285</v>
      </c>
      <c r="AV38" s="7" t="n">
        <v>0.124</v>
      </c>
    </row>
    <row r="39" customFormat="false" ht="15" hidden="false" customHeight="false" outlineLevel="0" collapsed="false">
      <c r="A39" s="19" t="n">
        <v>46356</v>
      </c>
      <c r="B39" s="6" t="n">
        <v>1</v>
      </c>
      <c r="C39" s="6" t="s">
        <v>183</v>
      </c>
      <c r="D39" s="6" t="s">
        <v>184</v>
      </c>
      <c r="E39" s="6" t="s">
        <v>195</v>
      </c>
      <c r="F39" s="6" t="s">
        <v>179</v>
      </c>
      <c r="G39" s="7" t="n">
        <v>0.369</v>
      </c>
      <c r="H39" s="7" t="n">
        <v>-0.054</v>
      </c>
      <c r="I39" s="7" t="n">
        <v>0.48</v>
      </c>
      <c r="J39" s="7" t="n">
        <v>0.108</v>
      </c>
      <c r="K39" s="7" t="n">
        <v>0.314</v>
      </c>
      <c r="L39" s="7" t="n">
        <v>0.18</v>
      </c>
      <c r="M39" s="7" t="n">
        <v>0.032</v>
      </c>
      <c r="N39" s="7" t="n">
        <v>0.099</v>
      </c>
      <c r="O39" s="7" t="n">
        <v>0</v>
      </c>
      <c r="P39" s="7" t="n">
        <v>0.034</v>
      </c>
      <c r="Q39" s="7" t="n">
        <v>0.18</v>
      </c>
      <c r="R39" s="7" t="n">
        <v>0.03</v>
      </c>
      <c r="S39" s="7" t="n">
        <v>0.149</v>
      </c>
      <c r="T39" s="7" t="n">
        <v>0.169</v>
      </c>
      <c r="U39" s="7" t="n">
        <v>0.149</v>
      </c>
      <c r="V39" s="7" t="n">
        <v>0.131</v>
      </c>
      <c r="W39" s="7" t="n">
        <v>0.111</v>
      </c>
      <c r="X39" s="7" t="n">
        <v>0.204</v>
      </c>
      <c r="Y39" s="7" t="n">
        <v>-0.426</v>
      </c>
      <c r="Z39" s="7" t="n">
        <v>0.697</v>
      </c>
      <c r="AA39" s="7" t="n">
        <v>0.047</v>
      </c>
      <c r="AB39" s="7" t="n">
        <v>0.119</v>
      </c>
      <c r="AC39" s="7" t="n">
        <v>0.045</v>
      </c>
      <c r="AD39" s="7" t="n">
        <v>0.548</v>
      </c>
      <c r="AE39" s="7" t="n">
        <v>0.034</v>
      </c>
      <c r="AF39" s="7" t="n">
        <v>0.008</v>
      </c>
      <c r="AG39" s="7" t="n">
        <v>0.018</v>
      </c>
      <c r="AH39" s="7" t="n">
        <v>0.141</v>
      </c>
      <c r="AI39" s="7" t="n">
        <v>0.116</v>
      </c>
      <c r="AJ39" s="7" t="n">
        <v>0.084</v>
      </c>
      <c r="AK39" s="7" t="n">
        <v>0.205</v>
      </c>
      <c r="AL39" s="7" t="n">
        <v>0.054</v>
      </c>
      <c r="AM39" s="7" t="n">
        <v>0.608</v>
      </c>
      <c r="AN39" s="7" t="n">
        <v>0.146</v>
      </c>
      <c r="AO39" s="7" t="n">
        <v>-0.056</v>
      </c>
      <c r="AP39" s="7" t="n">
        <v>-0.125</v>
      </c>
      <c r="AQ39" s="7" t="n">
        <v>0.63</v>
      </c>
      <c r="AR39" s="7" t="n">
        <v>0.012</v>
      </c>
      <c r="AS39" s="7" t="n">
        <v>0.024</v>
      </c>
      <c r="AT39" s="7" t="n">
        <v>0.462</v>
      </c>
      <c r="AU39" s="7" t="n">
        <v>0.024</v>
      </c>
      <c r="AV39" s="7" t="n">
        <v>0.134</v>
      </c>
    </row>
    <row r="40" customFormat="false" ht="15" hidden="false" customHeight="false" outlineLevel="0" collapsed="false">
      <c r="A40" s="19" t="n">
        <v>46357</v>
      </c>
      <c r="B40" s="6" t="n">
        <v>1</v>
      </c>
      <c r="C40" s="6" t="s">
        <v>183</v>
      </c>
      <c r="D40" s="6" t="s">
        <v>185</v>
      </c>
      <c r="E40" s="6" t="s">
        <v>195</v>
      </c>
      <c r="F40" s="6" t="s">
        <v>179</v>
      </c>
      <c r="G40" s="7" t="n">
        <v>0.524</v>
      </c>
      <c r="H40" s="7" t="n">
        <v>0.226</v>
      </c>
      <c r="I40" s="7" t="n">
        <v>0.209</v>
      </c>
      <c r="J40" s="7" t="n">
        <v>0.139</v>
      </c>
      <c r="K40" s="7" t="n">
        <v>0.616</v>
      </c>
      <c r="L40" s="7" t="n">
        <v>0.166</v>
      </c>
      <c r="M40" s="7" t="n">
        <v>-0.016</v>
      </c>
      <c r="N40" s="7" t="n">
        <v>-0.036</v>
      </c>
      <c r="O40" s="7" t="n">
        <v>-0.066</v>
      </c>
      <c r="P40" s="7" t="n">
        <v>0.052</v>
      </c>
      <c r="Q40" s="7" t="n">
        <v>0.527</v>
      </c>
      <c r="R40" s="7" t="n">
        <v>-0.021</v>
      </c>
      <c r="S40" s="7" t="n">
        <v>0.564</v>
      </c>
      <c r="T40" s="7" t="n">
        <v>0.602</v>
      </c>
      <c r="U40" s="7" t="n">
        <v>0.421</v>
      </c>
      <c r="V40" s="7" t="n">
        <v>0.542</v>
      </c>
      <c r="W40" s="7" t="n">
        <v>-0.011</v>
      </c>
      <c r="X40" s="7" t="n">
        <v>0.099</v>
      </c>
      <c r="Y40" s="7" t="n">
        <v>-0.232</v>
      </c>
      <c r="Z40" s="7" t="n">
        <v>0.764</v>
      </c>
      <c r="AA40" s="7" t="n">
        <v>0.005</v>
      </c>
      <c r="AB40" s="7" t="n">
        <v>0.407</v>
      </c>
      <c r="AC40" s="7" t="n">
        <v>0.041</v>
      </c>
      <c r="AD40" s="7" t="n">
        <v>0.529</v>
      </c>
      <c r="AE40" s="7" t="n">
        <v>0.052</v>
      </c>
      <c r="AF40" s="7" t="n">
        <v>-0.092</v>
      </c>
      <c r="AG40" s="7" t="n">
        <v>-0.044</v>
      </c>
      <c r="AH40" s="7" t="n">
        <v>0.542</v>
      </c>
      <c r="AI40" s="7" t="n">
        <v>0.166</v>
      </c>
      <c r="AJ40" s="7" t="n">
        <v>0.554</v>
      </c>
      <c r="AK40" s="7" t="n">
        <v>0.562</v>
      </c>
      <c r="AL40" s="7" t="n">
        <v>0.033</v>
      </c>
      <c r="AM40" s="7" t="n">
        <v>0.604</v>
      </c>
      <c r="AN40" s="7" t="n">
        <v>0.383</v>
      </c>
      <c r="AO40" s="7" t="n">
        <v>-0.108</v>
      </c>
      <c r="AP40" s="7" t="n">
        <v>-0.158</v>
      </c>
      <c r="AQ40" s="7" t="n">
        <v>0.727</v>
      </c>
      <c r="AR40" s="7" t="n">
        <v>0.003</v>
      </c>
      <c r="AS40" s="7" t="n">
        <v>-0.025</v>
      </c>
      <c r="AT40" s="7" t="n">
        <v>0.411</v>
      </c>
      <c r="AU40" s="7" t="n">
        <v>0.024</v>
      </c>
      <c r="AV40" s="7" t="n">
        <v>0.393</v>
      </c>
    </row>
    <row r="41" customFormat="false" ht="15" hidden="false" customHeight="false" outlineLevel="0" collapsed="false">
      <c r="A41" s="19" t="n">
        <v>46358</v>
      </c>
      <c r="B41" s="6" t="n">
        <v>1</v>
      </c>
      <c r="C41" s="6" t="s">
        <v>183</v>
      </c>
      <c r="D41" s="6" t="s">
        <v>187</v>
      </c>
      <c r="E41" s="6" t="s">
        <v>195</v>
      </c>
      <c r="F41" s="6" t="s">
        <v>179</v>
      </c>
      <c r="G41" s="7" t="n">
        <v>0.279</v>
      </c>
      <c r="H41" s="7" t="n">
        <v>-0.134</v>
      </c>
      <c r="I41" s="7" t="n">
        <v>0.179</v>
      </c>
      <c r="J41" s="7" t="n">
        <v>0.168</v>
      </c>
      <c r="K41" s="7" t="n">
        <v>0.305</v>
      </c>
      <c r="L41" s="7" t="n">
        <v>0.151</v>
      </c>
      <c r="M41" s="7" t="n">
        <v>-0.029</v>
      </c>
      <c r="N41" s="7" t="n">
        <v>-0.065</v>
      </c>
      <c r="O41" s="7" t="n">
        <v>-0.088</v>
      </c>
      <c r="P41" s="7" t="n">
        <v>0.072</v>
      </c>
      <c r="Q41" s="7" t="n">
        <v>0.11</v>
      </c>
      <c r="R41" s="7" t="n">
        <v>-0.021</v>
      </c>
      <c r="S41" s="7" t="n">
        <v>0.141</v>
      </c>
      <c r="T41" s="7" t="n">
        <v>0.28</v>
      </c>
      <c r="U41" s="7" t="n">
        <v>0.093</v>
      </c>
      <c r="V41" s="7" t="n">
        <v>0.092</v>
      </c>
      <c r="W41" s="7" t="n">
        <v>-0.03</v>
      </c>
      <c r="X41" s="7" t="n">
        <v>0.088</v>
      </c>
      <c r="Y41" s="7" t="n">
        <v>-0.213</v>
      </c>
      <c r="Z41" s="7" t="n">
        <v>0.713</v>
      </c>
      <c r="AA41" s="7" t="n">
        <v>-0.006</v>
      </c>
      <c r="AB41" s="7" t="n">
        <v>0.083</v>
      </c>
      <c r="AC41" s="7" t="n">
        <v>0.016</v>
      </c>
      <c r="AD41" s="7" t="n">
        <v>0.606</v>
      </c>
      <c r="AE41" s="7" t="n">
        <v>0.072</v>
      </c>
      <c r="AF41" s="7" t="n">
        <v>-0.089</v>
      </c>
      <c r="AG41" s="7" t="n">
        <v>-0.067</v>
      </c>
      <c r="AH41" s="7" t="n">
        <v>0.103</v>
      </c>
      <c r="AI41" s="7" t="n">
        <v>0.163</v>
      </c>
      <c r="AJ41" s="7" t="n">
        <v>0.03</v>
      </c>
      <c r="AK41" s="7" t="n">
        <v>0.19</v>
      </c>
      <c r="AL41" s="7" t="n">
        <v>0.166</v>
      </c>
      <c r="AM41" s="7" t="n">
        <v>0.724</v>
      </c>
      <c r="AN41" s="7" t="n">
        <v>0.076</v>
      </c>
      <c r="AO41" s="7" t="n">
        <v>-0.137</v>
      </c>
      <c r="AP41" s="7" t="n">
        <v>-0.167</v>
      </c>
      <c r="AQ41" s="7" t="n">
        <v>0.649</v>
      </c>
      <c r="AR41" s="7" t="n">
        <v>-0.018</v>
      </c>
      <c r="AS41" s="7" t="n">
        <v>-0.041</v>
      </c>
      <c r="AT41" s="7" t="n">
        <v>0.517</v>
      </c>
      <c r="AU41" s="7" t="n">
        <v>0.023</v>
      </c>
      <c r="AV41" s="7" t="n">
        <v>0.095</v>
      </c>
    </row>
    <row r="42" customFormat="false" ht="15" hidden="false" customHeight="false" outlineLevel="0" collapsed="false">
      <c r="A42" s="19" t="n">
        <v>46359</v>
      </c>
      <c r="B42" s="6" t="n">
        <v>1</v>
      </c>
      <c r="C42" s="6" t="s">
        <v>186</v>
      </c>
      <c r="D42" s="6" t="s">
        <v>188</v>
      </c>
      <c r="E42" s="6" t="s">
        <v>195</v>
      </c>
      <c r="F42" s="6" t="s">
        <v>179</v>
      </c>
      <c r="G42" s="7" t="n">
        <v>0.058</v>
      </c>
      <c r="H42" s="7" t="n">
        <v>-0.488</v>
      </c>
      <c r="I42" s="7" t="n">
        <v>0.118</v>
      </c>
      <c r="J42" s="7" t="n">
        <v>0.128</v>
      </c>
      <c r="K42" s="7" t="n">
        <v>0.267</v>
      </c>
      <c r="L42" s="7" t="n">
        <v>-0.046</v>
      </c>
      <c r="M42" s="7" t="n">
        <v>0.005</v>
      </c>
      <c r="N42" s="7" t="n">
        <v>-0.492</v>
      </c>
      <c r="O42" s="7" t="n">
        <v>-0.178</v>
      </c>
      <c r="P42" s="7" t="n">
        <v>0.069</v>
      </c>
      <c r="Q42" s="7" t="n">
        <v>-0.404</v>
      </c>
      <c r="R42" s="7" t="n">
        <v>-0.053</v>
      </c>
      <c r="S42" s="7" t="n">
        <v>-0.235</v>
      </c>
      <c r="T42" s="7" t="n">
        <v>-0.284</v>
      </c>
      <c r="U42" s="7" t="n">
        <v>0.053</v>
      </c>
      <c r="V42" s="7" t="n">
        <v>0.102</v>
      </c>
      <c r="W42" s="7" t="n">
        <v>-0.001</v>
      </c>
      <c r="X42" s="7" t="n">
        <v>-0.009</v>
      </c>
      <c r="Y42" s="7" t="n">
        <v>-0.172</v>
      </c>
      <c r="Z42" s="7" t="n">
        <v>0.245</v>
      </c>
      <c r="AA42" s="7" t="n">
        <v>-0.082</v>
      </c>
      <c r="AB42" s="7" t="n">
        <v>0.065</v>
      </c>
      <c r="AC42" s="7" t="n">
        <v>-0.04</v>
      </c>
      <c r="AD42" s="7" t="n">
        <v>0.068</v>
      </c>
      <c r="AE42" s="7" t="n">
        <v>0.007</v>
      </c>
      <c r="AF42" s="7" t="n">
        <v>-0.009</v>
      </c>
      <c r="AG42" s="7" t="n">
        <v>-0.454</v>
      </c>
      <c r="AH42" s="7" t="n">
        <v>0.062</v>
      </c>
      <c r="AI42" s="7" t="n">
        <v>0.111</v>
      </c>
      <c r="AJ42" s="7" t="n">
        <v>0.125</v>
      </c>
      <c r="AK42" s="7" t="n">
        <v>0.229</v>
      </c>
      <c r="AL42" s="7" t="n">
        <v>-0.013</v>
      </c>
      <c r="AM42" s="7" t="n">
        <v>0.373</v>
      </c>
      <c r="AN42" s="7" t="n">
        <v>-0.398</v>
      </c>
      <c r="AO42" s="7" t="n">
        <v>-0.542</v>
      </c>
      <c r="AP42" s="7" t="n">
        <v>-0.509</v>
      </c>
      <c r="AQ42" s="7" t="n">
        <v>0.246</v>
      </c>
      <c r="AR42" s="7" t="n">
        <v>-0.451</v>
      </c>
      <c r="AS42" s="7" t="n">
        <v>-0.009</v>
      </c>
      <c r="AT42" s="7" t="n">
        <v>0.085</v>
      </c>
      <c r="AU42" s="7" t="n">
        <v>-0.062</v>
      </c>
      <c r="AV42" s="7" t="n">
        <v>0.053</v>
      </c>
    </row>
    <row r="43" customFormat="false" ht="15" hidden="false" customHeight="false" outlineLevel="0" collapsed="false">
      <c r="A43" s="19" t="n">
        <v>46360</v>
      </c>
      <c r="B43" s="6" t="n">
        <v>1</v>
      </c>
      <c r="C43" s="6" t="s">
        <v>186</v>
      </c>
      <c r="D43" s="6" t="s">
        <v>189</v>
      </c>
      <c r="E43" s="6" t="s">
        <v>195</v>
      </c>
      <c r="F43" s="6" t="s">
        <v>179</v>
      </c>
      <c r="G43" s="7" t="n">
        <v>0.346</v>
      </c>
      <c r="H43" s="7" t="n">
        <v>-0.297</v>
      </c>
      <c r="I43" s="7" t="n">
        <v>0.445</v>
      </c>
      <c r="J43" s="7" t="n">
        <v>0.246</v>
      </c>
      <c r="K43" s="7" t="n">
        <v>0.239</v>
      </c>
      <c r="L43" s="7" t="n">
        <v>0.497</v>
      </c>
      <c r="M43" s="7" t="n">
        <v>0.198</v>
      </c>
      <c r="N43" s="7" t="n">
        <v>0.177</v>
      </c>
      <c r="O43" s="7" t="n">
        <v>-0.082</v>
      </c>
      <c r="P43" s="7" t="n">
        <v>0.087</v>
      </c>
      <c r="Q43" s="7" t="n">
        <v>-0.066</v>
      </c>
      <c r="R43" s="7" t="n">
        <v>-0.052</v>
      </c>
      <c r="S43" s="7" t="n">
        <v>0.205</v>
      </c>
      <c r="T43" s="7" t="n">
        <v>0.404</v>
      </c>
      <c r="U43" s="7" t="n">
        <v>0.377</v>
      </c>
      <c r="V43" s="7" t="n">
        <v>0.102</v>
      </c>
      <c r="W43" s="7" t="n">
        <v>0.19</v>
      </c>
      <c r="X43" s="7" t="n">
        <v>-0.07</v>
      </c>
      <c r="Y43" s="7" t="n">
        <v>-0.168</v>
      </c>
      <c r="Z43" s="7" t="n">
        <v>0.193</v>
      </c>
      <c r="AA43" s="7" t="n">
        <v>0.273</v>
      </c>
      <c r="AB43" s="7" t="n">
        <v>0.065</v>
      </c>
      <c r="AC43" s="7" t="n">
        <v>0.299</v>
      </c>
      <c r="AD43" s="7" t="n">
        <v>0.065</v>
      </c>
      <c r="AE43" s="7" t="n">
        <v>0.025</v>
      </c>
      <c r="AF43" s="7" t="n">
        <v>-0.152</v>
      </c>
      <c r="AG43" s="7" t="n">
        <v>-0.068</v>
      </c>
      <c r="AH43" s="7" t="n">
        <v>0.062</v>
      </c>
      <c r="AI43" s="7" t="n">
        <v>0.398</v>
      </c>
      <c r="AJ43" s="7" t="n">
        <v>0.122</v>
      </c>
      <c r="AK43" s="7" t="n">
        <v>0.222</v>
      </c>
      <c r="AL43" s="7" t="n">
        <v>-0.014</v>
      </c>
      <c r="AM43" s="7" t="n">
        <v>0.349</v>
      </c>
      <c r="AN43" s="7" t="n">
        <v>-0.017</v>
      </c>
      <c r="AO43" s="7" t="n">
        <v>0.166</v>
      </c>
      <c r="AP43" s="7" t="n">
        <v>-0.129</v>
      </c>
      <c r="AQ43" s="7" t="n">
        <v>0.539</v>
      </c>
      <c r="AR43" s="7" t="n">
        <v>-0.069</v>
      </c>
      <c r="AS43" s="7" t="n">
        <v>0.287</v>
      </c>
      <c r="AT43" s="7" t="n">
        <v>0.082</v>
      </c>
      <c r="AU43" s="7" t="n">
        <v>-0.062</v>
      </c>
      <c r="AV43" s="7" t="n">
        <v>0.052</v>
      </c>
    </row>
    <row r="44" customFormat="false" ht="15" hidden="false" customHeight="false" outlineLevel="0" collapsed="false">
      <c r="A44" s="19" t="n">
        <v>46361</v>
      </c>
      <c r="B44" s="6" t="n">
        <v>0</v>
      </c>
      <c r="C44" s="6" t="s">
        <v>190</v>
      </c>
      <c r="D44" s="6" t="s">
        <v>191</v>
      </c>
      <c r="E44" s="6" t="s">
        <v>195</v>
      </c>
      <c r="F44" s="6" t="s">
        <v>179</v>
      </c>
      <c r="G44" s="7" t="n">
        <v>-0.049</v>
      </c>
      <c r="H44" s="7" t="n">
        <v>-0.376</v>
      </c>
      <c r="I44" s="7" t="n">
        <v>0.107</v>
      </c>
      <c r="J44" s="7" t="n">
        <v>0.199</v>
      </c>
      <c r="K44" s="7" t="n">
        <v>-0.042</v>
      </c>
      <c r="L44" s="7" t="n">
        <v>0.113</v>
      </c>
      <c r="M44" s="7" t="n">
        <v>-0.217</v>
      </c>
      <c r="N44" s="7" t="n">
        <v>-0.187</v>
      </c>
      <c r="O44" s="7" t="n">
        <v>-0.086</v>
      </c>
      <c r="P44" s="7" t="n">
        <v>0.116</v>
      </c>
      <c r="Q44" s="7" t="n">
        <v>-0.24</v>
      </c>
      <c r="R44" s="7" t="n">
        <v>-0.007</v>
      </c>
      <c r="S44" s="7" t="n">
        <v>0.043</v>
      </c>
      <c r="T44" s="7" t="n">
        <v>0.041</v>
      </c>
      <c r="U44" s="7" t="n">
        <v>-0.077</v>
      </c>
      <c r="V44" s="7" t="n">
        <v>-0.162</v>
      </c>
      <c r="W44" s="7" t="n">
        <v>-0.249</v>
      </c>
      <c r="X44" s="7" t="n">
        <v>0.06</v>
      </c>
      <c r="Y44" s="7" t="n">
        <v>-0.157</v>
      </c>
      <c r="Z44" s="7" t="n">
        <v>-0.007</v>
      </c>
      <c r="AA44" s="7" t="n">
        <v>-0.167</v>
      </c>
      <c r="AB44" s="7" t="n">
        <v>-0.16</v>
      </c>
      <c r="AC44" s="7" t="n">
        <v>-0.068</v>
      </c>
      <c r="AD44" s="7" t="n">
        <v>0.106</v>
      </c>
      <c r="AE44" s="7" t="n">
        <v>0.116</v>
      </c>
      <c r="AF44" s="7" t="n">
        <v>-0.258</v>
      </c>
      <c r="AG44" s="7" t="n">
        <v>-0.072</v>
      </c>
      <c r="AH44" s="7" t="n">
        <v>-0.193</v>
      </c>
      <c r="AI44" s="7" t="n">
        <v>0.065</v>
      </c>
      <c r="AJ44" s="7" t="n">
        <v>-0.028</v>
      </c>
      <c r="AK44" s="7" t="n">
        <v>-0.033</v>
      </c>
      <c r="AL44" s="7" t="n">
        <v>-0.016</v>
      </c>
      <c r="AM44" s="7" t="n">
        <v>0.333</v>
      </c>
      <c r="AN44" s="7" t="n">
        <v>-0.104</v>
      </c>
      <c r="AO44" s="7" t="n">
        <v>-0.203</v>
      </c>
      <c r="AP44" s="7" t="n">
        <v>-0.194</v>
      </c>
      <c r="AQ44" s="7" t="n">
        <v>0.146</v>
      </c>
      <c r="AR44" s="7" t="n">
        <v>-0.055</v>
      </c>
      <c r="AS44" s="7" t="n">
        <v>-0.193</v>
      </c>
      <c r="AT44" s="7" t="n">
        <v>0.123</v>
      </c>
      <c r="AU44" s="7" t="n">
        <v>0</v>
      </c>
      <c r="AV44" s="7" t="n">
        <v>-0.05</v>
      </c>
    </row>
    <row r="45" customFormat="false" ht="15" hidden="false" customHeight="false" outlineLevel="0" collapsed="false">
      <c r="A45" s="19" t="n">
        <v>46362</v>
      </c>
      <c r="B45" s="6" t="n">
        <v>0</v>
      </c>
      <c r="C45" s="6" t="s">
        <v>190</v>
      </c>
      <c r="D45" s="6" t="s">
        <v>191</v>
      </c>
      <c r="E45" s="6" t="s">
        <v>195</v>
      </c>
      <c r="F45" s="6" t="s">
        <v>179</v>
      </c>
      <c r="G45" s="7" t="n">
        <v>0.142</v>
      </c>
      <c r="H45" s="7" t="n">
        <v>-0.315</v>
      </c>
      <c r="I45" s="7" t="n">
        <v>0.116</v>
      </c>
      <c r="J45" s="7" t="n">
        <v>0.198</v>
      </c>
      <c r="K45" s="7" t="n">
        <v>0.094</v>
      </c>
      <c r="L45" s="7" t="n">
        <v>0.123</v>
      </c>
      <c r="M45" s="7" t="n">
        <v>0.096</v>
      </c>
      <c r="N45" s="7" t="n">
        <v>-0.107</v>
      </c>
      <c r="O45" s="7" t="n">
        <v>-0.051</v>
      </c>
      <c r="P45" s="7" t="n">
        <v>0.116</v>
      </c>
      <c r="Q45" s="7" t="n">
        <v>-0.158</v>
      </c>
      <c r="R45" s="7" t="n">
        <v>0.01</v>
      </c>
      <c r="S45" s="7" t="n">
        <v>0.139</v>
      </c>
      <c r="T45" s="7" t="n">
        <v>0.146</v>
      </c>
      <c r="U45" s="7" t="n">
        <v>-0.036</v>
      </c>
      <c r="V45" s="7" t="n">
        <v>-0.089</v>
      </c>
      <c r="W45" s="7" t="n">
        <v>0.046</v>
      </c>
      <c r="X45" s="7" t="n">
        <v>0.06</v>
      </c>
      <c r="Y45" s="7" t="n">
        <v>-0.157</v>
      </c>
      <c r="Z45" s="7" t="n">
        <v>0.3</v>
      </c>
      <c r="AA45" s="7" t="n">
        <v>0.157</v>
      </c>
      <c r="AB45" s="7" t="n">
        <v>-0.108</v>
      </c>
      <c r="AC45" s="7" t="n">
        <v>-0.061</v>
      </c>
      <c r="AD45" s="7" t="n">
        <v>0.381</v>
      </c>
      <c r="AE45" s="7" t="n">
        <v>0.116</v>
      </c>
      <c r="AF45" s="7" t="n">
        <v>0.022</v>
      </c>
      <c r="AG45" s="7" t="n">
        <v>-0.037</v>
      </c>
      <c r="AH45" s="7" t="n">
        <v>-0.125</v>
      </c>
      <c r="AI45" s="7" t="n">
        <v>0.372</v>
      </c>
      <c r="AJ45" s="7" t="n">
        <v>0.033</v>
      </c>
      <c r="AK45" s="7" t="n">
        <v>0.022</v>
      </c>
      <c r="AL45" s="7" t="n">
        <v>-0.016</v>
      </c>
      <c r="AM45" s="7" t="n">
        <v>0.378</v>
      </c>
      <c r="AN45" s="7" t="n">
        <v>-0.05</v>
      </c>
      <c r="AO45" s="7" t="n">
        <v>-0.158</v>
      </c>
      <c r="AP45" s="7" t="n">
        <v>-0.159</v>
      </c>
      <c r="AQ45" s="7" t="n">
        <v>0.192</v>
      </c>
      <c r="AR45" s="7" t="n">
        <v>-0.036</v>
      </c>
      <c r="AS45" s="7" t="n">
        <v>0.079</v>
      </c>
      <c r="AT45" s="7" t="n">
        <v>0.14</v>
      </c>
      <c r="AU45" s="7" t="n">
        <v>0</v>
      </c>
      <c r="AV45" s="7" t="n">
        <v>-0.014</v>
      </c>
    </row>
    <row r="46" customFormat="false" ht="15" hidden="false" customHeight="false" outlineLevel="0" collapsed="false">
      <c r="A46" s="19" t="n">
        <v>46363</v>
      </c>
      <c r="B46" s="6" t="n">
        <v>1</v>
      </c>
      <c r="C46" s="6" t="s">
        <v>171</v>
      </c>
      <c r="D46" s="6" t="s">
        <v>192</v>
      </c>
      <c r="E46" s="6" t="s">
        <v>195</v>
      </c>
      <c r="F46" s="6" t="s">
        <v>179</v>
      </c>
      <c r="G46" s="7" t="n">
        <v>0.508</v>
      </c>
      <c r="H46" s="7" t="n">
        <v>0.381</v>
      </c>
      <c r="I46" s="7" t="n">
        <v>0.217</v>
      </c>
      <c r="J46" s="7" t="n">
        <v>0.184</v>
      </c>
      <c r="K46" s="7" t="n">
        <v>0.588</v>
      </c>
      <c r="L46" s="7" t="n">
        <v>0.414</v>
      </c>
      <c r="M46" s="7" t="n">
        <v>0.101</v>
      </c>
      <c r="N46" s="7" t="n">
        <v>0.174</v>
      </c>
      <c r="O46" s="7" t="n">
        <v>0.473</v>
      </c>
      <c r="P46" s="7" t="n">
        <v>0.078</v>
      </c>
      <c r="Q46" s="7" t="n">
        <v>0.017</v>
      </c>
      <c r="R46" s="7" t="n">
        <v>0.471</v>
      </c>
      <c r="S46" s="7" t="n">
        <v>0.552</v>
      </c>
      <c r="T46" s="7" t="n">
        <v>0.564</v>
      </c>
      <c r="U46" s="7" t="n">
        <v>0.157</v>
      </c>
      <c r="V46" s="7" t="n">
        <v>0.131</v>
      </c>
      <c r="W46" s="7" t="n">
        <v>0.047</v>
      </c>
      <c r="X46" s="7" t="n">
        <v>-0.125</v>
      </c>
      <c r="Y46" s="7" t="n">
        <v>-0.305</v>
      </c>
      <c r="Z46" s="7" t="n">
        <v>0.27</v>
      </c>
      <c r="AA46" s="7" t="n">
        <v>0.224</v>
      </c>
      <c r="AB46" s="7" t="n">
        <v>0.064</v>
      </c>
      <c r="AC46" s="7" t="n">
        <v>0.037</v>
      </c>
      <c r="AD46" s="7" t="n">
        <v>0.318</v>
      </c>
      <c r="AE46" s="7" t="n">
        <v>0.078</v>
      </c>
      <c r="AF46" s="7" t="n">
        <v>-0.022</v>
      </c>
      <c r="AG46" s="7" t="n">
        <v>0.44</v>
      </c>
      <c r="AH46" s="7" t="n">
        <v>0.061</v>
      </c>
      <c r="AI46" s="7" t="n">
        <v>0.139</v>
      </c>
      <c r="AJ46" s="7" t="n">
        <v>0.539</v>
      </c>
      <c r="AK46" s="7" t="n">
        <v>0.179</v>
      </c>
      <c r="AL46" s="7" t="n">
        <v>0.029</v>
      </c>
      <c r="AM46" s="7" t="n">
        <v>0.823</v>
      </c>
      <c r="AN46" s="7" t="n">
        <v>0.042</v>
      </c>
      <c r="AO46" s="7" t="n">
        <v>0.006</v>
      </c>
      <c r="AP46" s="7" t="n">
        <v>-0.037</v>
      </c>
      <c r="AQ46" s="7" t="n">
        <v>0.658</v>
      </c>
      <c r="AR46" s="7" t="n">
        <v>-0.009</v>
      </c>
      <c r="AS46" s="7" t="n">
        <v>0.076</v>
      </c>
      <c r="AT46" s="7" t="n">
        <v>0.556</v>
      </c>
      <c r="AU46" s="7" t="n">
        <v>-0.038</v>
      </c>
      <c r="AV46" s="7" t="n">
        <v>0.051</v>
      </c>
    </row>
    <row r="47" customFormat="false" ht="15" hidden="false" customHeight="false" outlineLevel="0" collapsed="false">
      <c r="A47" s="19" t="n">
        <v>46364</v>
      </c>
      <c r="B47" s="6" t="n">
        <v>1</v>
      </c>
      <c r="C47" s="6" t="s">
        <v>171</v>
      </c>
      <c r="D47" s="6" t="s">
        <v>193</v>
      </c>
      <c r="E47" s="6" t="s">
        <v>195</v>
      </c>
      <c r="F47" s="6" t="s">
        <v>179</v>
      </c>
      <c r="G47" s="7" t="n">
        <v>0.04</v>
      </c>
      <c r="H47" s="7" t="n">
        <v>-0.462</v>
      </c>
      <c r="I47" s="7" t="n">
        <v>0.198</v>
      </c>
      <c r="J47" s="7" t="n">
        <v>0.187</v>
      </c>
      <c r="K47" s="7" t="n">
        <v>0.173</v>
      </c>
      <c r="L47" s="7" t="n">
        <v>0.406</v>
      </c>
      <c r="M47" s="7" t="n">
        <v>-0.406</v>
      </c>
      <c r="N47" s="7" t="n">
        <v>-0.411</v>
      </c>
      <c r="O47" s="7" t="n">
        <v>-0.035</v>
      </c>
      <c r="P47" s="7" t="n">
        <v>0.083</v>
      </c>
      <c r="Q47" s="7" t="n">
        <v>-0.006</v>
      </c>
      <c r="R47" s="7" t="n">
        <v>0.008</v>
      </c>
      <c r="S47" s="7" t="n">
        <v>0.136</v>
      </c>
      <c r="T47" s="7" t="n">
        <v>0.151</v>
      </c>
      <c r="U47" s="7" t="n">
        <v>0.089</v>
      </c>
      <c r="V47" s="7" t="n">
        <v>0.093</v>
      </c>
      <c r="W47" s="7" t="n">
        <v>-0.434</v>
      </c>
      <c r="X47" s="7" t="n">
        <v>-0.127</v>
      </c>
      <c r="Y47" s="7" t="n">
        <v>-0.613</v>
      </c>
      <c r="Z47" s="7" t="n">
        <v>0.246</v>
      </c>
      <c r="AA47" s="7" t="n">
        <v>-0.338</v>
      </c>
      <c r="AB47" s="7" t="n">
        <v>0.065</v>
      </c>
      <c r="AC47" s="7" t="n">
        <v>0.007</v>
      </c>
      <c r="AD47" s="7" t="n">
        <v>0.298</v>
      </c>
      <c r="AE47" s="7" t="n">
        <v>0.083</v>
      </c>
      <c r="AF47" s="7" t="n">
        <v>-0.441</v>
      </c>
      <c r="AG47" s="7" t="n">
        <v>0.003</v>
      </c>
      <c r="AH47" s="7" t="n">
        <v>0.062</v>
      </c>
      <c r="AI47" s="7" t="n">
        <v>0.132</v>
      </c>
      <c r="AJ47" s="7" t="n">
        <v>0.032</v>
      </c>
      <c r="AK47" s="7" t="n">
        <v>0.185</v>
      </c>
      <c r="AL47" s="7" t="n">
        <v>0.021</v>
      </c>
      <c r="AM47" s="7" t="n">
        <v>0.408</v>
      </c>
      <c r="AN47" s="7" t="n">
        <v>0.019</v>
      </c>
      <c r="AO47" s="7" t="n">
        <v>-0.506</v>
      </c>
      <c r="AP47" s="7" t="n">
        <v>-0.498</v>
      </c>
      <c r="AQ47" s="7" t="n">
        <v>0.31</v>
      </c>
      <c r="AR47" s="7" t="n">
        <v>-0.032</v>
      </c>
      <c r="AS47" s="7" t="n">
        <v>-0.411</v>
      </c>
      <c r="AT47" s="7" t="n">
        <v>0.111</v>
      </c>
      <c r="AU47" s="7" t="n">
        <v>-0.039</v>
      </c>
      <c r="AV47" s="7" t="n">
        <v>0.052</v>
      </c>
    </row>
    <row r="48" customFormat="false" ht="15" hidden="false" customHeight="false" outlineLevel="0" collapsed="false">
      <c r="A48" s="19" t="n">
        <v>46365</v>
      </c>
      <c r="B48" s="6" t="n">
        <v>1</v>
      </c>
      <c r="C48" s="6" t="s">
        <v>171</v>
      </c>
      <c r="D48" s="6" t="s">
        <v>194</v>
      </c>
      <c r="E48" s="6" t="s">
        <v>195</v>
      </c>
      <c r="F48" s="6" t="s">
        <v>179</v>
      </c>
      <c r="G48" s="7" t="n">
        <v>0.07</v>
      </c>
      <c r="H48" s="7" t="n">
        <v>-0.359</v>
      </c>
      <c r="I48" s="7" t="n">
        <v>0.135</v>
      </c>
      <c r="J48" s="7" t="n">
        <v>-0.047</v>
      </c>
      <c r="K48" s="7" t="n">
        <v>0.085</v>
      </c>
      <c r="L48" s="7" t="n">
        <v>0.437</v>
      </c>
      <c r="M48" s="7" t="n">
        <v>0.094</v>
      </c>
      <c r="N48" s="7" t="n">
        <v>0.109</v>
      </c>
      <c r="O48" s="7" t="n">
        <v>-0.019</v>
      </c>
      <c r="P48" s="7" t="n">
        <v>-0.188</v>
      </c>
      <c r="Q48" s="7" t="n">
        <v>-0.222</v>
      </c>
      <c r="R48" s="7" t="n">
        <v>0.016</v>
      </c>
      <c r="S48" s="7" t="n">
        <v>0.047</v>
      </c>
      <c r="T48" s="7" t="n">
        <v>-0.101</v>
      </c>
      <c r="U48" s="7" t="n">
        <v>0</v>
      </c>
      <c r="V48" s="7" t="n">
        <v>0.095</v>
      </c>
      <c r="W48" s="7" t="n">
        <v>-0.029</v>
      </c>
      <c r="X48" s="7" t="n">
        <v>-0.337</v>
      </c>
      <c r="Y48" s="7" t="n">
        <v>-0.396</v>
      </c>
      <c r="Z48" s="7" t="n">
        <v>0.334</v>
      </c>
      <c r="AA48" s="7" t="n">
        <v>0.228</v>
      </c>
      <c r="AB48" s="7" t="n">
        <v>0.066</v>
      </c>
      <c r="AC48" s="7" t="n">
        <v>-0.082</v>
      </c>
      <c r="AD48" s="7" t="n">
        <v>0.345</v>
      </c>
      <c r="AE48" s="7" t="n">
        <v>-0.188</v>
      </c>
      <c r="AF48" s="7" t="n">
        <v>-0.134</v>
      </c>
      <c r="AG48" s="7" t="n">
        <v>0.019</v>
      </c>
      <c r="AH48" s="7" t="n">
        <v>0.063</v>
      </c>
      <c r="AI48" s="7" t="n">
        <v>-0.068</v>
      </c>
      <c r="AJ48" s="7" t="n">
        <v>-0.045</v>
      </c>
      <c r="AK48" s="7" t="n">
        <v>0.155</v>
      </c>
      <c r="AL48" s="7" t="n">
        <v>0.065</v>
      </c>
      <c r="AM48" s="7" t="n">
        <v>0.426</v>
      </c>
      <c r="AN48" s="7" t="n">
        <v>0.037</v>
      </c>
      <c r="AO48" s="7" t="n">
        <v>-0.039</v>
      </c>
      <c r="AP48" s="7" t="n">
        <v>-0.123</v>
      </c>
      <c r="AQ48" s="7" t="n">
        <v>0.373</v>
      </c>
      <c r="AR48" s="7" t="n">
        <v>-0.015</v>
      </c>
      <c r="AS48" s="7" t="n">
        <v>0.037</v>
      </c>
      <c r="AT48" s="7" t="n">
        <v>-0.11</v>
      </c>
      <c r="AU48" s="7" t="n">
        <v>-0.266</v>
      </c>
      <c r="AV48" s="7" t="n">
        <v>0.052</v>
      </c>
    </row>
    <row r="49" customFormat="false" ht="15" hidden="false" customHeight="false" outlineLevel="0" collapsed="false">
      <c r="A49" s="19" t="n">
        <v>46366</v>
      </c>
      <c r="B49" s="6" t="n">
        <v>1</v>
      </c>
      <c r="C49" s="6" t="s">
        <v>195</v>
      </c>
      <c r="D49" s="6" t="s">
        <v>196</v>
      </c>
      <c r="E49" s="6" t="s">
        <v>195</v>
      </c>
      <c r="F49" s="6" t="s">
        <v>179</v>
      </c>
      <c r="G49" s="7" t="n">
        <v>0.086</v>
      </c>
      <c r="H49" s="7" t="n">
        <v>0.075</v>
      </c>
      <c r="I49" s="7" t="n">
        <v>-0.289</v>
      </c>
      <c r="J49" s="7" t="n">
        <v>0.182</v>
      </c>
      <c r="K49" s="7" t="n">
        <v>0.533</v>
      </c>
      <c r="L49" s="7" t="n">
        <v>0.068</v>
      </c>
      <c r="M49" s="7" t="n">
        <v>-0.056</v>
      </c>
      <c r="N49" s="7" t="n">
        <v>-0.459</v>
      </c>
      <c r="O49" s="7" t="n">
        <v>0.39</v>
      </c>
      <c r="P49" s="7" t="n">
        <v>0.101</v>
      </c>
      <c r="Q49" s="7" t="n">
        <v>0.025</v>
      </c>
      <c r="R49" s="7" t="n">
        <v>0.367</v>
      </c>
      <c r="S49" s="7" t="n">
        <v>0.495</v>
      </c>
      <c r="T49" s="7" t="n">
        <v>0.518</v>
      </c>
      <c r="U49" s="7" t="n">
        <v>-0.023</v>
      </c>
      <c r="V49" s="7" t="n">
        <v>0.127</v>
      </c>
      <c r="W49" s="7" t="n">
        <v>-0.439</v>
      </c>
      <c r="X49" s="7" t="n">
        <v>-0.377</v>
      </c>
      <c r="Y49" s="7" t="n">
        <v>-0.577</v>
      </c>
      <c r="Z49" s="7" t="n">
        <v>0.276</v>
      </c>
      <c r="AA49" s="7" t="n">
        <v>-0.408</v>
      </c>
      <c r="AB49" s="7" t="n">
        <v>0.067</v>
      </c>
      <c r="AC49" s="7" t="n">
        <v>-0.46</v>
      </c>
      <c r="AD49" s="7" t="n">
        <v>-0.192</v>
      </c>
      <c r="AE49" s="7" t="n">
        <v>0.101</v>
      </c>
      <c r="AF49" s="7" t="n">
        <v>-0.423</v>
      </c>
      <c r="AG49" s="7" t="n">
        <v>0.309</v>
      </c>
      <c r="AH49" s="7" t="n">
        <v>0.065</v>
      </c>
      <c r="AI49" s="7" t="n">
        <v>-0.321</v>
      </c>
      <c r="AJ49" s="7" t="n">
        <v>0.453</v>
      </c>
      <c r="AK49" s="7" t="n">
        <v>0.16</v>
      </c>
      <c r="AL49" s="7" t="n">
        <v>-0.057</v>
      </c>
      <c r="AM49" s="7" t="n">
        <v>0.554</v>
      </c>
      <c r="AN49" s="7" t="n">
        <v>0.011</v>
      </c>
      <c r="AO49" s="7" t="n">
        <v>-0.555</v>
      </c>
      <c r="AP49" s="7" t="n">
        <v>-0.516</v>
      </c>
      <c r="AQ49" s="7" t="n">
        <v>0.243</v>
      </c>
      <c r="AR49" s="7" t="n">
        <v>-0.041</v>
      </c>
      <c r="AS49" s="7" t="n">
        <v>-0.457</v>
      </c>
      <c r="AT49" s="7" t="n">
        <v>0.308</v>
      </c>
      <c r="AU49" s="7" t="n">
        <v>0</v>
      </c>
      <c r="AV49" s="7" t="n">
        <v>0.052</v>
      </c>
    </row>
    <row r="50" customFormat="false" ht="15" hidden="false" customHeight="false" outlineLevel="0" collapsed="false">
      <c r="A50" s="19" t="n">
        <v>46367</v>
      </c>
      <c r="B50" s="6" t="n">
        <v>1</v>
      </c>
      <c r="C50" s="6" t="s">
        <v>195</v>
      </c>
      <c r="D50" s="6" t="s">
        <v>197</v>
      </c>
      <c r="E50" s="6" t="s">
        <v>195</v>
      </c>
      <c r="F50" s="6" t="s">
        <v>179</v>
      </c>
      <c r="G50" s="7" t="n">
        <v>0.348</v>
      </c>
      <c r="H50" s="7" t="n">
        <v>0.079</v>
      </c>
      <c r="I50" s="7" t="n">
        <v>0.119</v>
      </c>
      <c r="J50" s="7" t="n">
        <v>0.155</v>
      </c>
      <c r="K50" s="7" t="n">
        <v>0.497</v>
      </c>
      <c r="L50" s="7" t="n">
        <v>0.063</v>
      </c>
      <c r="M50" s="7" t="n">
        <v>-0.05</v>
      </c>
      <c r="N50" s="7" t="n">
        <v>-0.123</v>
      </c>
      <c r="O50" s="7" t="n">
        <v>0.327</v>
      </c>
      <c r="P50" s="7" t="n">
        <v>0.077</v>
      </c>
      <c r="Q50" s="7" t="n">
        <v>0.022</v>
      </c>
      <c r="R50" s="7" t="n">
        <v>0.315</v>
      </c>
      <c r="S50" s="7" t="n">
        <v>0.458</v>
      </c>
      <c r="T50" s="7" t="n">
        <v>0.502</v>
      </c>
      <c r="U50" s="7" t="n">
        <v>0.022</v>
      </c>
      <c r="V50" s="7" t="n">
        <v>0.128</v>
      </c>
      <c r="W50" s="7" t="n">
        <v>-0.06</v>
      </c>
      <c r="X50" s="7" t="n">
        <v>0.02</v>
      </c>
      <c r="Y50" s="7" t="n">
        <v>-0.08</v>
      </c>
      <c r="Z50" s="7" t="n">
        <v>0.334</v>
      </c>
      <c r="AA50" s="7" t="n">
        <v>-0.047</v>
      </c>
      <c r="AB50" s="7" t="n">
        <v>0.068</v>
      </c>
      <c r="AC50" s="7" t="n">
        <v>-0.092</v>
      </c>
      <c r="AD50" s="7" t="n">
        <v>0.214</v>
      </c>
      <c r="AE50" s="7" t="n">
        <v>0.077</v>
      </c>
      <c r="AF50" s="7" t="n">
        <v>-0.083</v>
      </c>
      <c r="AG50" s="7" t="n">
        <v>0.24</v>
      </c>
      <c r="AH50" s="7" t="n">
        <v>0.066</v>
      </c>
      <c r="AI50" s="7" t="n">
        <v>0.09</v>
      </c>
      <c r="AJ50" s="7" t="n">
        <v>0.405</v>
      </c>
      <c r="AK50" s="7" t="n">
        <v>0.255</v>
      </c>
      <c r="AL50" s="7" t="n">
        <v>-0.055</v>
      </c>
      <c r="AM50" s="7" t="n">
        <v>0.549</v>
      </c>
      <c r="AN50" s="7" t="n">
        <v>0.007</v>
      </c>
      <c r="AO50" s="7" t="n">
        <v>-0.188</v>
      </c>
      <c r="AP50" s="7" t="n">
        <v>-0.188</v>
      </c>
      <c r="AQ50" s="7" t="n">
        <v>0.273</v>
      </c>
      <c r="AR50" s="7" t="n">
        <v>-0.046</v>
      </c>
      <c r="AS50" s="7" t="n">
        <v>-0.083</v>
      </c>
      <c r="AT50" s="7" t="n">
        <v>0.3</v>
      </c>
      <c r="AU50" s="7" t="n">
        <v>0</v>
      </c>
      <c r="AV50" s="7" t="n">
        <v>0.053</v>
      </c>
    </row>
    <row r="51" customFormat="false" ht="15" hidden="false" customHeight="false" outlineLevel="0" collapsed="false">
      <c r="A51" s="19" t="n">
        <v>46368</v>
      </c>
      <c r="B51" s="6" t="n">
        <v>0</v>
      </c>
      <c r="C51" s="6" t="s">
        <v>198</v>
      </c>
      <c r="D51" s="6" t="s">
        <v>199</v>
      </c>
      <c r="E51" s="6" t="s">
        <v>195</v>
      </c>
      <c r="F51" s="6" t="s">
        <v>179</v>
      </c>
      <c r="G51" s="7" t="n">
        <v>0.161</v>
      </c>
      <c r="H51" s="7" t="n">
        <v>-0.059</v>
      </c>
      <c r="I51" s="7" t="n">
        <v>0.115</v>
      </c>
      <c r="J51" s="7" t="n">
        <v>0.147</v>
      </c>
      <c r="K51" s="7" t="n">
        <v>0.261</v>
      </c>
      <c r="L51" s="7" t="n">
        <v>0.013</v>
      </c>
      <c r="M51" s="7" t="n">
        <v>-0.146</v>
      </c>
      <c r="N51" s="7" t="n">
        <v>-0.317</v>
      </c>
      <c r="O51" s="7" t="n">
        <v>0.05</v>
      </c>
      <c r="P51" s="7" t="n">
        <v>0.049</v>
      </c>
      <c r="Q51" s="7" t="n">
        <v>0.008</v>
      </c>
      <c r="R51" s="7" t="n">
        <v>0.168</v>
      </c>
      <c r="S51" s="7" t="n">
        <v>0.223</v>
      </c>
      <c r="T51" s="7" t="n">
        <v>0.596</v>
      </c>
      <c r="U51" s="7" t="n">
        <v>0.024</v>
      </c>
      <c r="V51" s="7" t="n">
        <v>0.147</v>
      </c>
      <c r="W51" s="7" t="n">
        <v>-0.235</v>
      </c>
      <c r="X51" s="7" t="n">
        <v>0.002</v>
      </c>
      <c r="Y51" s="7" t="n">
        <v>-0.283</v>
      </c>
      <c r="Z51" s="7" t="n">
        <v>0.633</v>
      </c>
      <c r="AA51" s="7" t="n">
        <v>-0.157</v>
      </c>
      <c r="AB51" s="7" t="n">
        <v>0.069</v>
      </c>
      <c r="AC51" s="7" t="n">
        <v>-0.108</v>
      </c>
      <c r="AD51" s="7" t="n">
        <v>0.554</v>
      </c>
      <c r="AE51" s="7" t="n">
        <v>0.049</v>
      </c>
      <c r="AF51" s="7" t="n">
        <v>-0.232</v>
      </c>
      <c r="AG51" s="7" t="n">
        <v>0.087</v>
      </c>
      <c r="AH51" s="7" t="n">
        <v>0.067</v>
      </c>
      <c r="AI51" s="7" t="n">
        <v>0.047</v>
      </c>
      <c r="AJ51" s="7" t="n">
        <v>0.119</v>
      </c>
      <c r="AK51" s="7" t="n">
        <v>0.156</v>
      </c>
      <c r="AL51" s="7" t="n">
        <v>0.29</v>
      </c>
      <c r="AM51" s="7" t="n">
        <v>0.789</v>
      </c>
      <c r="AN51" s="7" t="n">
        <v>-0.008</v>
      </c>
      <c r="AO51" s="7" t="n">
        <v>-0.31</v>
      </c>
      <c r="AP51" s="7" t="n">
        <v>-0.286</v>
      </c>
      <c r="AQ51" s="7" t="n">
        <v>0.584</v>
      </c>
      <c r="AR51" s="7" t="n">
        <v>-0.061</v>
      </c>
      <c r="AS51" s="7" t="n">
        <v>-0.191</v>
      </c>
      <c r="AT51" s="7" t="n">
        <v>0.557</v>
      </c>
      <c r="AU51" s="7" t="n">
        <v>0</v>
      </c>
      <c r="AV51" s="7" t="n">
        <v>0.053</v>
      </c>
    </row>
    <row r="52" customFormat="false" ht="15" hidden="false" customHeight="false" outlineLevel="0" collapsed="false">
      <c r="A52" s="19" t="n">
        <v>46369</v>
      </c>
      <c r="B52" s="6" t="n">
        <v>0</v>
      </c>
      <c r="C52" s="6" t="s">
        <v>198</v>
      </c>
      <c r="D52" s="6" t="s">
        <v>200</v>
      </c>
      <c r="E52" s="6" t="s">
        <v>195</v>
      </c>
      <c r="F52" s="6" t="s">
        <v>179</v>
      </c>
      <c r="G52" s="7" t="n">
        <v>-0.064</v>
      </c>
      <c r="H52" s="7" t="n">
        <v>-0.361</v>
      </c>
      <c r="I52" s="7" t="n">
        <v>0.122</v>
      </c>
      <c r="J52" s="7" t="n">
        <v>0.148</v>
      </c>
      <c r="K52" s="7" t="n">
        <v>0.093</v>
      </c>
      <c r="L52" s="7" t="n">
        <v>0.019</v>
      </c>
      <c r="M52" s="7" t="n">
        <v>-0.181</v>
      </c>
      <c r="N52" s="7" t="n">
        <v>-0.522</v>
      </c>
      <c r="O52" s="7" t="n">
        <v>0.013</v>
      </c>
      <c r="P52" s="7" t="n">
        <v>0.049</v>
      </c>
      <c r="Q52" s="7" t="n">
        <v>-0.247</v>
      </c>
      <c r="R52" s="7" t="n">
        <v>0.103</v>
      </c>
      <c r="S52" s="7" t="n">
        <v>-0.184</v>
      </c>
      <c r="T52" s="7" t="n">
        <v>-0.055</v>
      </c>
      <c r="U52" s="7" t="n">
        <v>0.01</v>
      </c>
      <c r="V52" s="7" t="n">
        <v>0.147</v>
      </c>
      <c r="W52" s="7" t="n">
        <v>-0.273</v>
      </c>
      <c r="X52" s="7" t="n">
        <v>0.002</v>
      </c>
      <c r="Y52" s="7" t="n">
        <v>-0.337</v>
      </c>
      <c r="Z52" s="7" t="n">
        <v>0.284</v>
      </c>
      <c r="AA52" s="7" t="n">
        <v>-0.195</v>
      </c>
      <c r="AB52" s="7" t="n">
        <v>0.069</v>
      </c>
      <c r="AC52" s="7" t="n">
        <v>-0.122</v>
      </c>
      <c r="AD52" s="7" t="n">
        <v>0.258</v>
      </c>
      <c r="AE52" s="7" t="n">
        <v>0.049</v>
      </c>
      <c r="AF52" s="7" t="n">
        <v>-0.273</v>
      </c>
      <c r="AG52" s="7" t="n">
        <v>-0.262</v>
      </c>
      <c r="AH52" s="7" t="n">
        <v>0.067</v>
      </c>
      <c r="AI52" s="7" t="n">
        <v>0.016</v>
      </c>
      <c r="AJ52" s="7" t="n">
        <v>0.053</v>
      </c>
      <c r="AK52" s="7" t="n">
        <v>0.157</v>
      </c>
      <c r="AL52" s="7" t="n">
        <v>-0.084</v>
      </c>
      <c r="AM52" s="7" t="n">
        <v>0.311</v>
      </c>
      <c r="AN52" s="7" t="n">
        <v>-0.305</v>
      </c>
      <c r="AO52" s="7" t="n">
        <v>-0.543</v>
      </c>
      <c r="AP52" s="7" t="n">
        <v>-0.482</v>
      </c>
      <c r="AQ52" s="7" t="n">
        <v>0.277</v>
      </c>
      <c r="AR52" s="7" t="n">
        <v>-0.358</v>
      </c>
      <c r="AS52" s="7" t="n">
        <v>-0.257</v>
      </c>
      <c r="AT52" s="7" t="n">
        <v>0.154</v>
      </c>
      <c r="AU52" s="7" t="n">
        <v>0</v>
      </c>
      <c r="AV52" s="7" t="n">
        <v>0.053</v>
      </c>
    </row>
    <row r="53" customFormat="false" ht="15" hidden="false" customHeight="false" outlineLevel="0" collapsed="false">
      <c r="A53" s="19" t="n">
        <v>46370</v>
      </c>
      <c r="B53" s="6" t="n">
        <v>1</v>
      </c>
      <c r="C53" s="6" t="s">
        <v>198</v>
      </c>
      <c r="D53" s="6" t="s">
        <v>201</v>
      </c>
      <c r="E53" s="6" t="s">
        <v>195</v>
      </c>
      <c r="F53" s="6" t="s">
        <v>179</v>
      </c>
      <c r="G53" s="7" t="n">
        <v>0.135</v>
      </c>
      <c r="H53" s="7" t="n">
        <v>-0.213</v>
      </c>
      <c r="I53" s="7" t="n">
        <v>0.293</v>
      </c>
      <c r="J53" s="7" t="n">
        <v>0.151</v>
      </c>
      <c r="K53" s="7" t="n">
        <v>0.077</v>
      </c>
      <c r="L53" s="7" t="n">
        <v>0.451</v>
      </c>
      <c r="M53" s="7" t="n">
        <v>0.091</v>
      </c>
      <c r="N53" s="7" t="n">
        <v>-0.148</v>
      </c>
      <c r="O53" s="7" t="n">
        <v>-0.104</v>
      </c>
      <c r="P53" s="7" t="n">
        <v>0.052</v>
      </c>
      <c r="Q53" s="7" t="n">
        <v>-0.006</v>
      </c>
      <c r="R53" s="7" t="n">
        <v>0.098</v>
      </c>
      <c r="S53" s="7" t="n">
        <v>0.038</v>
      </c>
      <c r="T53" s="7" t="n">
        <v>0.467</v>
      </c>
      <c r="U53" s="7" t="n">
        <v>0.185</v>
      </c>
      <c r="V53" s="7" t="n">
        <v>0.147</v>
      </c>
      <c r="W53" s="7" t="n">
        <v>-0.029</v>
      </c>
      <c r="X53" s="7" t="n">
        <v>0.004</v>
      </c>
      <c r="Y53" s="7" t="n">
        <v>-0.381</v>
      </c>
      <c r="Z53" s="7" t="n">
        <v>0.287</v>
      </c>
      <c r="AA53" s="7" t="n">
        <v>0.107</v>
      </c>
      <c r="AB53" s="7" t="n">
        <v>0.069</v>
      </c>
      <c r="AC53" s="7" t="n">
        <v>0.056</v>
      </c>
      <c r="AD53" s="7" t="n">
        <v>0.258</v>
      </c>
      <c r="AE53" s="7" t="n">
        <v>0.052</v>
      </c>
      <c r="AF53" s="7" t="n">
        <v>-0.305</v>
      </c>
      <c r="AG53" s="7" t="n">
        <v>-0.003</v>
      </c>
      <c r="AH53" s="7" t="n">
        <v>0.067</v>
      </c>
      <c r="AI53" s="7" t="n">
        <v>0.292</v>
      </c>
      <c r="AJ53" s="7" t="n">
        <v>0.047</v>
      </c>
      <c r="AK53" s="7" t="n">
        <v>0.158</v>
      </c>
      <c r="AL53" s="7" t="n">
        <v>-0.096</v>
      </c>
      <c r="AM53" s="7" t="n">
        <v>0.293</v>
      </c>
      <c r="AN53" s="7" t="n">
        <v>-0.088</v>
      </c>
      <c r="AO53" s="7" t="n">
        <v>-0.099</v>
      </c>
      <c r="AP53" s="7" t="n">
        <v>-0.32</v>
      </c>
      <c r="AQ53" s="7" t="n">
        <v>0.527</v>
      </c>
      <c r="AR53" s="7" t="n">
        <v>-0.141</v>
      </c>
      <c r="AS53" s="7" t="n">
        <v>0.037</v>
      </c>
      <c r="AT53" s="7" t="n">
        <v>0.148</v>
      </c>
      <c r="AU53" s="7" t="n">
        <v>0.003</v>
      </c>
      <c r="AV53" s="7" t="n">
        <v>0.053</v>
      </c>
    </row>
    <row r="54" customFormat="false" ht="15" hidden="false" customHeight="false" outlineLevel="0" collapsed="false">
      <c r="A54" s="19" t="n">
        <v>46371</v>
      </c>
      <c r="B54" s="6" t="n">
        <v>1</v>
      </c>
      <c r="C54" s="6" t="s">
        <v>202</v>
      </c>
      <c r="D54" s="6" t="s">
        <v>203</v>
      </c>
      <c r="E54" s="6" t="s">
        <v>195</v>
      </c>
      <c r="F54" s="6" t="s">
        <v>179</v>
      </c>
      <c r="G54" s="7" t="n">
        <v>-0.088</v>
      </c>
      <c r="H54" s="7" t="n">
        <v>-0.388</v>
      </c>
      <c r="I54" s="7" t="n">
        <v>0.204</v>
      </c>
      <c r="J54" s="7" t="n">
        <v>0.037</v>
      </c>
      <c r="K54" s="7" t="n">
        <v>0.131</v>
      </c>
      <c r="L54" s="7" t="n">
        <v>0.006</v>
      </c>
      <c r="M54" s="7" t="n">
        <v>-0.295</v>
      </c>
      <c r="N54" s="7" t="n">
        <v>-0.363</v>
      </c>
      <c r="O54" s="7" t="n">
        <v>0.05</v>
      </c>
      <c r="P54" s="7" t="n">
        <v>0.029</v>
      </c>
      <c r="Q54" s="7" t="n">
        <v>0.055</v>
      </c>
      <c r="R54" s="7" t="n">
        <v>0.094</v>
      </c>
      <c r="S54" s="7" t="n">
        <v>-0.176</v>
      </c>
      <c r="T54" s="7" t="n">
        <v>0.249</v>
      </c>
      <c r="U54" s="7" t="n">
        <v>0.044</v>
      </c>
      <c r="V54" s="7" t="n">
        <v>0.134</v>
      </c>
      <c r="W54" s="7" t="n">
        <v>-0.34</v>
      </c>
      <c r="X54" s="7" t="n">
        <v>-0.275</v>
      </c>
      <c r="Y54" s="7" t="n">
        <v>-0.466</v>
      </c>
      <c r="Z54" s="7" t="n">
        <v>0.322</v>
      </c>
      <c r="AA54" s="7" t="n">
        <v>-0.259</v>
      </c>
      <c r="AB54" s="7" t="n">
        <v>0.07</v>
      </c>
      <c r="AC54" s="7" t="n">
        <v>-0.074</v>
      </c>
      <c r="AD54" s="7" t="n">
        <v>-0.034</v>
      </c>
      <c r="AE54" s="7" t="n">
        <v>0.07</v>
      </c>
      <c r="AF54" s="7" t="n">
        <v>-0.343</v>
      </c>
      <c r="AG54" s="7" t="n">
        <v>0.063</v>
      </c>
      <c r="AH54" s="7" t="n">
        <v>0.052</v>
      </c>
      <c r="AI54" s="7" t="n">
        <v>-0.09</v>
      </c>
      <c r="AJ54" s="7" t="n">
        <v>0.03</v>
      </c>
      <c r="AK54" s="7" t="n">
        <v>0.108</v>
      </c>
      <c r="AL54" s="7" t="n">
        <v>-0.334</v>
      </c>
      <c r="AM54" s="7" t="n">
        <v>0.384</v>
      </c>
      <c r="AN54" s="7" t="n">
        <v>0.036</v>
      </c>
      <c r="AO54" s="7" t="n">
        <v>-0.484</v>
      </c>
      <c r="AP54" s="7" t="n">
        <v>-0.463</v>
      </c>
      <c r="AQ54" s="7" t="n">
        <v>0.251</v>
      </c>
      <c r="AR54" s="7" t="n">
        <v>-0.001</v>
      </c>
      <c r="AS54" s="7" t="n">
        <v>-0.405</v>
      </c>
      <c r="AT54" s="7" t="n">
        <v>0.165</v>
      </c>
      <c r="AU54" s="7" t="n">
        <v>0.004</v>
      </c>
      <c r="AV54" s="7" t="n">
        <v>0.038</v>
      </c>
    </row>
    <row r="55" customFormat="false" ht="15" hidden="false" customHeight="false" outlineLevel="0" collapsed="false">
      <c r="A55" s="19" t="n">
        <v>46372</v>
      </c>
      <c r="B55" s="6" t="n">
        <v>1</v>
      </c>
      <c r="C55" s="6" t="s">
        <v>202</v>
      </c>
      <c r="D55" s="6" t="s">
        <v>203</v>
      </c>
      <c r="E55" s="6" t="s">
        <v>198</v>
      </c>
      <c r="F55" s="6" t="s">
        <v>179</v>
      </c>
      <c r="G55" s="7" t="n">
        <v>-0.11</v>
      </c>
      <c r="H55" s="7" t="n">
        <v>-0.44</v>
      </c>
      <c r="I55" s="7" t="n">
        <v>0.113</v>
      </c>
      <c r="J55" s="7" t="n">
        <v>-0.218</v>
      </c>
      <c r="K55" s="7" t="n">
        <v>0.132</v>
      </c>
      <c r="L55" s="7" t="n">
        <v>-0.056</v>
      </c>
      <c r="M55" s="7" t="n">
        <v>-0.348</v>
      </c>
      <c r="N55" s="7" t="n">
        <v>-0.39</v>
      </c>
      <c r="O55" s="7" t="n">
        <v>0.132</v>
      </c>
      <c r="P55" s="7" t="n">
        <v>-0.21</v>
      </c>
      <c r="Q55" s="7" t="n">
        <v>-0.009</v>
      </c>
      <c r="R55" s="7" t="n">
        <v>0.015</v>
      </c>
      <c r="S55" s="7" t="n">
        <v>-0.185</v>
      </c>
      <c r="T55" s="7" t="n">
        <v>0.25</v>
      </c>
      <c r="U55" s="7" t="n">
        <v>0.326</v>
      </c>
      <c r="V55" s="7" t="n">
        <v>0.048</v>
      </c>
      <c r="W55" s="7" t="n">
        <v>-0.349</v>
      </c>
      <c r="X55" s="7" t="n">
        <v>-0.342</v>
      </c>
      <c r="Y55" s="7" t="n">
        <v>-0.539</v>
      </c>
      <c r="Z55" s="7" t="n">
        <v>-0.139</v>
      </c>
      <c r="AA55" s="7" t="n">
        <v>-0.228</v>
      </c>
      <c r="AB55" s="7" t="n">
        <v>0.07</v>
      </c>
      <c r="AC55" s="7" t="n">
        <v>0.288</v>
      </c>
      <c r="AD55" s="7" t="n">
        <v>-0.045</v>
      </c>
      <c r="AE55" s="7" t="n">
        <v>-0.104</v>
      </c>
      <c r="AF55" s="7" t="n">
        <v>-0.355</v>
      </c>
      <c r="AG55" s="7" t="n">
        <v>0.043</v>
      </c>
      <c r="AH55" s="7" t="n">
        <v>0.046</v>
      </c>
      <c r="AI55" s="7" t="n">
        <v>-0.269</v>
      </c>
      <c r="AJ55" s="7" t="n">
        <v>0.13</v>
      </c>
      <c r="AK55" s="7" t="n">
        <v>0.041</v>
      </c>
      <c r="AL55" s="7" t="n">
        <v>-0.381</v>
      </c>
      <c r="AM55" s="7" t="n">
        <v>0.482</v>
      </c>
      <c r="AN55" s="7" t="n">
        <v>0.043</v>
      </c>
      <c r="AO55" s="7" t="n">
        <v>-0.51</v>
      </c>
      <c r="AP55" s="7" t="n">
        <v>-0.505</v>
      </c>
      <c r="AQ55" s="7" t="n">
        <v>0.231</v>
      </c>
      <c r="AR55" s="7" t="n">
        <v>0.013</v>
      </c>
      <c r="AS55" s="7" t="n">
        <v>-0.415</v>
      </c>
      <c r="AT55" s="7" t="n">
        <v>0.205</v>
      </c>
      <c r="AU55" s="7" t="n">
        <v>-0.029</v>
      </c>
      <c r="AV55" s="7" t="n">
        <v>0.031</v>
      </c>
    </row>
    <row r="56" customFormat="false" ht="15" hidden="false" customHeight="false" outlineLevel="0" collapsed="false">
      <c r="A56" s="19" t="n">
        <v>46373</v>
      </c>
      <c r="B56" s="6" t="n">
        <v>1</v>
      </c>
      <c r="C56" s="6" t="s">
        <v>205</v>
      </c>
      <c r="D56" s="6" t="s">
        <v>204</v>
      </c>
      <c r="E56" s="6" t="s">
        <v>198</v>
      </c>
      <c r="F56" s="6" t="s">
        <v>179</v>
      </c>
      <c r="G56" s="7" t="n">
        <v>0.294</v>
      </c>
      <c r="H56" s="7" t="n">
        <v>0.277</v>
      </c>
      <c r="I56" s="7" t="n">
        <v>0.128</v>
      </c>
      <c r="J56" s="7" t="n">
        <v>-0.056</v>
      </c>
      <c r="K56" s="7" t="n">
        <v>0.456</v>
      </c>
      <c r="L56" s="7" t="n">
        <v>0.023</v>
      </c>
      <c r="M56" s="7" t="n">
        <v>-0.234</v>
      </c>
      <c r="N56" s="7" t="n">
        <v>-0.335</v>
      </c>
      <c r="O56" s="7" t="n">
        <v>0.465</v>
      </c>
      <c r="P56" s="7" t="n">
        <v>-0.211</v>
      </c>
      <c r="Q56" s="7" t="n">
        <v>-0.028</v>
      </c>
      <c r="R56" s="7" t="n">
        <v>0.486</v>
      </c>
      <c r="S56" s="7" t="n">
        <v>0.528</v>
      </c>
      <c r="T56" s="7" t="n">
        <v>0.669</v>
      </c>
      <c r="U56" s="7" t="n">
        <v>0.352</v>
      </c>
      <c r="V56" s="7" t="n">
        <v>0.056</v>
      </c>
      <c r="W56" s="7" t="n">
        <v>-0.201</v>
      </c>
      <c r="X56" s="7" t="n">
        <v>-0.022</v>
      </c>
      <c r="Y56" s="7" t="n">
        <v>-0.338</v>
      </c>
      <c r="Z56" s="7" t="n">
        <v>-0.035</v>
      </c>
      <c r="AA56" s="7" t="n">
        <v>-0.149</v>
      </c>
      <c r="AB56" s="7" t="n">
        <v>0.071</v>
      </c>
      <c r="AC56" s="7" t="n">
        <v>0.299</v>
      </c>
      <c r="AD56" s="7" t="n">
        <v>0.343</v>
      </c>
      <c r="AE56" s="7" t="n">
        <v>-0.08</v>
      </c>
      <c r="AF56" s="7" t="n">
        <v>-0.204</v>
      </c>
      <c r="AG56" s="7" t="n">
        <v>0.38</v>
      </c>
      <c r="AH56" s="7" t="n">
        <v>0.055</v>
      </c>
      <c r="AI56" s="7" t="n">
        <v>-0.073</v>
      </c>
      <c r="AJ56" s="7" t="n">
        <v>0.566</v>
      </c>
      <c r="AK56" s="7" t="n">
        <v>0.063</v>
      </c>
      <c r="AL56" s="7" t="n">
        <v>-0.103</v>
      </c>
      <c r="AM56" s="7" t="n">
        <v>0.803</v>
      </c>
      <c r="AN56" s="7" t="n">
        <v>-0.017</v>
      </c>
      <c r="AO56" s="7" t="n">
        <v>-0.392</v>
      </c>
      <c r="AP56" s="7" t="n">
        <v>-0.367</v>
      </c>
      <c r="AQ56" s="7" t="n">
        <v>0.623</v>
      </c>
      <c r="AR56" s="7" t="n">
        <v>-0.07</v>
      </c>
      <c r="AS56" s="7" t="n">
        <v>-0.251</v>
      </c>
      <c r="AT56" s="7" t="n">
        <v>0.582</v>
      </c>
      <c r="AU56" s="7" t="n">
        <v>-0.028</v>
      </c>
      <c r="AV56" s="7" t="n">
        <v>0.054</v>
      </c>
    </row>
    <row r="57" customFormat="false" ht="15" hidden="false" customHeight="false" outlineLevel="0" collapsed="false">
      <c r="A57" s="19" t="n">
        <v>46374</v>
      </c>
      <c r="B57" s="6" t="n">
        <v>1</v>
      </c>
      <c r="C57" s="6" t="s">
        <v>205</v>
      </c>
      <c r="D57" s="6" t="s">
        <v>206</v>
      </c>
      <c r="E57" s="6" t="s">
        <v>198</v>
      </c>
      <c r="F57" s="6" t="s">
        <v>179</v>
      </c>
      <c r="G57" s="7" t="n">
        <v>-0.094</v>
      </c>
      <c r="H57" s="7" t="n">
        <v>-0.516</v>
      </c>
      <c r="I57" s="7" t="n">
        <v>0.178</v>
      </c>
      <c r="J57" s="7" t="n">
        <v>-0.042</v>
      </c>
      <c r="K57" s="7" t="n">
        <v>-0.061</v>
      </c>
      <c r="L57" s="7" t="n">
        <v>0.06</v>
      </c>
      <c r="M57" s="7" t="n">
        <v>-0.488</v>
      </c>
      <c r="N57" s="7" t="n">
        <v>-0.566</v>
      </c>
      <c r="O57" s="7" t="n">
        <v>0.174</v>
      </c>
      <c r="P57" s="7" t="n">
        <v>-0.204</v>
      </c>
      <c r="Q57" s="7" t="n">
        <v>-0.017</v>
      </c>
      <c r="R57" s="7" t="n">
        <v>0.161</v>
      </c>
      <c r="S57" s="7" t="n">
        <v>0.16</v>
      </c>
      <c r="T57" s="7" t="n">
        <v>0.424</v>
      </c>
      <c r="U57" s="7" t="n">
        <v>0.427</v>
      </c>
      <c r="V57" s="7" t="n">
        <v>0.075</v>
      </c>
      <c r="W57" s="7" t="n">
        <v>-0.446</v>
      </c>
      <c r="X57" s="7" t="n">
        <v>0.034</v>
      </c>
      <c r="Y57" s="7" t="n">
        <v>-0.591</v>
      </c>
      <c r="Z57" s="7" t="n">
        <v>-0.013</v>
      </c>
      <c r="AA57" s="7" t="n">
        <v>-0.456</v>
      </c>
      <c r="AB57" s="7" t="n">
        <v>0.071</v>
      </c>
      <c r="AC57" s="7" t="n">
        <v>0.358</v>
      </c>
      <c r="AD57" s="7" t="n">
        <v>0.361</v>
      </c>
      <c r="AE57" s="7" t="n">
        <v>-0.069</v>
      </c>
      <c r="AF57" s="7" t="n">
        <v>-0.447</v>
      </c>
      <c r="AG57" s="7" t="n">
        <v>0.057</v>
      </c>
      <c r="AH57" s="7" t="n">
        <v>0.046</v>
      </c>
      <c r="AI57" s="7" t="n">
        <v>-0.024</v>
      </c>
      <c r="AJ57" s="7" t="n">
        <v>0.197</v>
      </c>
      <c r="AK57" s="7" t="n">
        <v>0.062</v>
      </c>
      <c r="AL57" s="7" t="n">
        <v>-0.102</v>
      </c>
      <c r="AM57" s="7" t="n">
        <v>0.431</v>
      </c>
      <c r="AN57" s="7" t="n">
        <v>-0.018</v>
      </c>
      <c r="AO57" s="7" t="n">
        <v>-0.61</v>
      </c>
      <c r="AP57" s="7" t="n">
        <v>-0.583</v>
      </c>
      <c r="AQ57" s="7" t="n">
        <v>0.281</v>
      </c>
      <c r="AR57" s="7" t="n">
        <v>-0.071</v>
      </c>
      <c r="AS57" s="7" t="n">
        <v>-0.494</v>
      </c>
      <c r="AT57" s="7" t="n">
        <v>0.172</v>
      </c>
      <c r="AU57" s="7" t="n">
        <v>-0.017</v>
      </c>
      <c r="AV57" s="7" t="n">
        <v>0.053</v>
      </c>
    </row>
    <row r="58" customFormat="false" ht="15" hidden="false" customHeight="false" outlineLevel="0" collapsed="false">
      <c r="A58" s="19" t="n">
        <v>46375</v>
      </c>
      <c r="B58" s="6" t="n">
        <v>0</v>
      </c>
      <c r="C58" s="6" t="s">
        <v>205</v>
      </c>
      <c r="D58" s="6" t="s">
        <v>207</v>
      </c>
      <c r="E58" s="6" t="s">
        <v>198</v>
      </c>
      <c r="F58" s="6" t="s">
        <v>179</v>
      </c>
      <c r="G58" s="7" t="n">
        <v>-0.273</v>
      </c>
      <c r="H58" s="7" t="n">
        <v>-0.537</v>
      </c>
      <c r="I58" s="7" t="n">
        <v>0.205</v>
      </c>
      <c r="J58" s="7" t="n">
        <v>-0.395</v>
      </c>
      <c r="K58" s="7" t="n">
        <v>-0.311</v>
      </c>
      <c r="L58" s="7" t="n">
        <v>0.057</v>
      </c>
      <c r="M58" s="7" t="n">
        <v>-0.208</v>
      </c>
      <c r="N58" s="7" t="n">
        <v>-0.15</v>
      </c>
      <c r="O58" s="7" t="n">
        <v>0.338</v>
      </c>
      <c r="P58" s="7" t="n">
        <v>-0.497</v>
      </c>
      <c r="Q58" s="7" t="n">
        <v>-0.38</v>
      </c>
      <c r="R58" s="7" t="n">
        <v>0.138</v>
      </c>
      <c r="S58" s="7" t="n">
        <v>-0.271</v>
      </c>
      <c r="T58" s="7" t="n">
        <v>-0.042</v>
      </c>
      <c r="U58" s="7" t="n">
        <v>0.37</v>
      </c>
      <c r="V58" s="7" t="n">
        <v>0.076</v>
      </c>
      <c r="W58" s="7" t="n">
        <v>-0.166</v>
      </c>
      <c r="X58" s="7" t="n">
        <v>-0.337</v>
      </c>
      <c r="Y58" s="7" t="n">
        <v>-0.318</v>
      </c>
      <c r="Z58" s="7" t="n">
        <v>-0.052</v>
      </c>
      <c r="AA58" s="7" t="n">
        <v>-0.122</v>
      </c>
      <c r="AB58" s="7" t="n">
        <v>0.071</v>
      </c>
      <c r="AC58" s="7" t="n">
        <v>0.361</v>
      </c>
      <c r="AD58" s="7" t="n">
        <v>0.381</v>
      </c>
      <c r="AE58" s="7" t="n">
        <v>-0.49</v>
      </c>
      <c r="AF58" s="7" t="n">
        <v>-0.198</v>
      </c>
      <c r="AG58" s="7" t="n">
        <v>0.216</v>
      </c>
      <c r="AH58" s="7" t="n">
        <v>0.141</v>
      </c>
      <c r="AI58" s="7" t="n">
        <v>-0.414</v>
      </c>
      <c r="AJ58" s="7" t="n">
        <v>-0.235</v>
      </c>
      <c r="AK58" s="7" t="n">
        <v>-0.136</v>
      </c>
      <c r="AL58" s="7" t="n">
        <v>-0.101</v>
      </c>
      <c r="AM58" s="7" t="n">
        <v>0.515</v>
      </c>
      <c r="AN58" s="7" t="n">
        <v>0.034</v>
      </c>
      <c r="AO58" s="7" t="n">
        <v>-0.253</v>
      </c>
      <c r="AP58" s="7" t="n">
        <v>-0.26</v>
      </c>
      <c r="AQ58" s="7" t="n">
        <v>0.298</v>
      </c>
      <c r="AR58" s="7" t="n">
        <v>-0.019</v>
      </c>
      <c r="AS58" s="7" t="n">
        <v>-0.225</v>
      </c>
      <c r="AT58" s="7" t="n">
        <v>-0.245</v>
      </c>
      <c r="AU58" s="7" t="n">
        <v>-0.42</v>
      </c>
      <c r="AV58" s="7" t="n">
        <v>0.053</v>
      </c>
    </row>
    <row r="59" customFormat="false" ht="15" hidden="false" customHeight="false" outlineLevel="0" collapsed="false">
      <c r="A59" s="19" t="n">
        <v>46376</v>
      </c>
      <c r="B59" s="6" t="n">
        <v>0</v>
      </c>
      <c r="C59" s="6" t="s">
        <v>169</v>
      </c>
      <c r="D59" s="6" t="s">
        <v>208</v>
      </c>
      <c r="E59" s="6" t="s">
        <v>198</v>
      </c>
      <c r="F59" s="6" t="s">
        <v>179</v>
      </c>
      <c r="G59" s="7" t="n">
        <v>0.202</v>
      </c>
      <c r="H59" s="7" t="n">
        <v>-0.085</v>
      </c>
      <c r="I59" s="7" t="n">
        <v>0.54</v>
      </c>
      <c r="J59" s="7" t="n">
        <v>-0.076</v>
      </c>
      <c r="K59" s="7" t="n">
        <v>-0.045</v>
      </c>
      <c r="L59" s="7" t="n">
        <v>0.355</v>
      </c>
      <c r="M59" s="7" t="n">
        <v>0.127</v>
      </c>
      <c r="N59" s="7" t="n">
        <v>0.185</v>
      </c>
      <c r="O59" s="7" t="n">
        <v>0.034</v>
      </c>
      <c r="P59" s="7" t="n">
        <v>-0.212</v>
      </c>
      <c r="Q59" s="7" t="n">
        <v>0.045</v>
      </c>
      <c r="R59" s="7" t="n">
        <v>-0.116</v>
      </c>
      <c r="S59" s="7" t="n">
        <v>0.113</v>
      </c>
      <c r="T59" s="7" t="n">
        <v>0.186</v>
      </c>
      <c r="U59" s="7" t="n">
        <v>0.432</v>
      </c>
      <c r="V59" s="7" t="n">
        <v>0.062</v>
      </c>
      <c r="W59" s="7" t="n">
        <v>0.245</v>
      </c>
      <c r="X59" s="7" t="n">
        <v>0.067</v>
      </c>
      <c r="Y59" s="7" t="n">
        <v>-0.308</v>
      </c>
      <c r="Z59" s="7" t="n">
        <v>-0.038</v>
      </c>
      <c r="AA59" s="7" t="n">
        <v>0.314</v>
      </c>
      <c r="AB59" s="7" t="n">
        <v>0.071</v>
      </c>
      <c r="AC59" s="7" t="n">
        <v>0.432</v>
      </c>
      <c r="AD59" s="7" t="n">
        <v>0.343</v>
      </c>
      <c r="AE59" s="7" t="n">
        <v>-0.105</v>
      </c>
      <c r="AF59" s="7" t="n">
        <v>0.173</v>
      </c>
      <c r="AG59" s="7" t="n">
        <v>-0.007</v>
      </c>
      <c r="AH59" s="7" t="n">
        <v>0.057</v>
      </c>
      <c r="AI59" s="7" t="n">
        <v>0.085</v>
      </c>
      <c r="AJ59" s="7" t="n">
        <v>0.149</v>
      </c>
      <c r="AK59" s="7" t="n">
        <v>0.048</v>
      </c>
      <c r="AL59" s="7" t="n">
        <v>-0.062</v>
      </c>
      <c r="AM59" s="7" t="n">
        <v>0.473</v>
      </c>
      <c r="AN59" s="7" t="n">
        <v>0.05</v>
      </c>
      <c r="AO59" s="7" t="n">
        <v>0.035</v>
      </c>
      <c r="AP59" s="7" t="n">
        <v>-0.013</v>
      </c>
      <c r="AQ59" s="7" t="n">
        <v>0.327</v>
      </c>
      <c r="AR59" s="7" t="n">
        <v>0.011</v>
      </c>
      <c r="AS59" s="7" t="n">
        <v>0.101</v>
      </c>
      <c r="AT59" s="7" t="n">
        <v>0.169</v>
      </c>
      <c r="AU59" s="7" t="n">
        <v>-0.023</v>
      </c>
      <c r="AV59" s="7" t="n">
        <v>0.04</v>
      </c>
    </row>
    <row r="60" customFormat="false" ht="15" hidden="false" customHeight="false" outlineLevel="0" collapsed="false">
      <c r="A60" s="19" t="n">
        <v>46377</v>
      </c>
      <c r="B60" s="6" t="n">
        <v>1</v>
      </c>
      <c r="C60" s="6" t="s">
        <v>169</v>
      </c>
      <c r="D60" s="6" t="s">
        <v>170</v>
      </c>
      <c r="E60" s="6" t="s">
        <v>198</v>
      </c>
      <c r="F60" s="6" t="s">
        <v>179</v>
      </c>
      <c r="G60" s="7" t="n">
        <v>-0.179</v>
      </c>
      <c r="H60" s="7" t="n">
        <v>-0.498</v>
      </c>
      <c r="I60" s="7" t="n">
        <v>0.289</v>
      </c>
      <c r="J60" s="7" t="n">
        <v>-0.079</v>
      </c>
      <c r="K60" s="7" t="n">
        <v>-0.283</v>
      </c>
      <c r="L60" s="7" t="n">
        <v>0.21</v>
      </c>
      <c r="M60" s="7" t="n">
        <v>-0.138</v>
      </c>
      <c r="N60" s="7" t="n">
        <v>-0.212</v>
      </c>
      <c r="O60" s="7" t="n">
        <v>-0.009</v>
      </c>
      <c r="P60" s="7" t="n">
        <v>-0.214</v>
      </c>
      <c r="Q60" s="7" t="n">
        <v>-0.395</v>
      </c>
      <c r="R60" s="7" t="n">
        <v>-0.134</v>
      </c>
      <c r="S60" s="7" t="n">
        <v>-0.242</v>
      </c>
      <c r="T60" s="7" t="n">
        <v>-0.136</v>
      </c>
      <c r="U60" s="7" t="n">
        <v>-0.033</v>
      </c>
      <c r="V60" s="7" t="n">
        <v>-0.356</v>
      </c>
      <c r="W60" s="7" t="n">
        <v>-0.093</v>
      </c>
      <c r="X60" s="7" t="n">
        <v>0.038</v>
      </c>
      <c r="Y60" s="7" t="n">
        <v>-0.288</v>
      </c>
      <c r="Z60" s="7" t="n">
        <v>-0.246</v>
      </c>
      <c r="AA60" s="7" t="n">
        <v>-0.015</v>
      </c>
      <c r="AB60" s="7" t="n">
        <v>-0.179</v>
      </c>
      <c r="AC60" s="7" t="n">
        <v>0.258</v>
      </c>
      <c r="AD60" s="7" t="n">
        <v>0.212</v>
      </c>
      <c r="AE60" s="7" t="n">
        <v>-0.108</v>
      </c>
      <c r="AF60" s="7" t="n">
        <v>-0.046</v>
      </c>
      <c r="AG60" s="7" t="n">
        <v>-0.05</v>
      </c>
      <c r="AH60" s="7" t="n">
        <v>-0.358</v>
      </c>
      <c r="AI60" s="7" t="n">
        <v>-0.149</v>
      </c>
      <c r="AJ60" s="7" t="n">
        <v>-0.206</v>
      </c>
      <c r="AK60" s="7" t="n">
        <v>-0.356</v>
      </c>
      <c r="AL60" s="7" t="n">
        <v>-0.188</v>
      </c>
      <c r="AM60" s="7" t="n">
        <v>0.437</v>
      </c>
      <c r="AN60" s="7" t="n">
        <v>-0.284</v>
      </c>
      <c r="AO60" s="7" t="n">
        <v>-0.287</v>
      </c>
      <c r="AP60" s="7" t="n">
        <v>-0.213</v>
      </c>
      <c r="AQ60" s="7" t="n">
        <v>-0.113</v>
      </c>
      <c r="AR60" s="7" t="n">
        <v>-0.018</v>
      </c>
      <c r="AS60" s="7" t="n">
        <v>-0.196</v>
      </c>
      <c r="AT60" s="7" t="n">
        <v>0.151</v>
      </c>
      <c r="AU60" s="7" t="n">
        <v>-0.025</v>
      </c>
      <c r="AV60" s="7" t="n">
        <v>-0.259</v>
      </c>
    </row>
    <row r="61" customFormat="false" ht="15" hidden="false" customHeight="false" outlineLevel="0" collapsed="false">
      <c r="A61" s="19" t="n">
        <v>46378</v>
      </c>
      <c r="B61" s="6" t="n">
        <v>1</v>
      </c>
      <c r="C61" s="6" t="s">
        <v>173</v>
      </c>
      <c r="D61" s="6" t="s">
        <v>209</v>
      </c>
      <c r="E61" s="6" t="s">
        <v>198</v>
      </c>
      <c r="F61" s="6" t="s">
        <v>179</v>
      </c>
      <c r="G61" s="7" t="n">
        <v>0.021</v>
      </c>
      <c r="H61" s="7" t="n">
        <v>-0.474</v>
      </c>
      <c r="I61" s="7" t="n">
        <v>0.148</v>
      </c>
      <c r="J61" s="7" t="n">
        <v>-0.017</v>
      </c>
      <c r="K61" s="7" t="n">
        <v>0.075</v>
      </c>
      <c r="L61" s="7" t="n">
        <v>0.067</v>
      </c>
      <c r="M61" s="7" t="n">
        <v>-0.075</v>
      </c>
      <c r="N61" s="7" t="n">
        <v>-0.562</v>
      </c>
      <c r="O61" s="7" t="n">
        <v>-0.185</v>
      </c>
      <c r="P61" s="7" t="n">
        <v>-0.279</v>
      </c>
      <c r="Q61" s="7" t="n">
        <v>-0.368</v>
      </c>
      <c r="R61" s="7" t="n">
        <v>-0.084</v>
      </c>
      <c r="S61" s="7" t="n">
        <v>-0.112</v>
      </c>
      <c r="T61" s="7" t="n">
        <v>-0.193</v>
      </c>
      <c r="U61" s="7" t="n">
        <v>0.367</v>
      </c>
      <c r="V61" s="7" t="n">
        <v>0.105</v>
      </c>
      <c r="W61" s="7" t="n">
        <v>-0.039</v>
      </c>
      <c r="X61" s="7" t="n">
        <v>0.13</v>
      </c>
      <c r="Y61" s="7" t="n">
        <v>-0.186</v>
      </c>
      <c r="Z61" s="7" t="n">
        <v>-0.052</v>
      </c>
      <c r="AA61" s="7" t="n">
        <v>-0.085</v>
      </c>
      <c r="AB61" s="7" t="n">
        <v>0.038</v>
      </c>
      <c r="AC61" s="7" t="n">
        <v>0.291</v>
      </c>
      <c r="AD61" s="7" t="n">
        <v>0.345</v>
      </c>
      <c r="AE61" s="7" t="n">
        <v>-0.047</v>
      </c>
      <c r="AF61" s="7" t="n">
        <v>-0.086</v>
      </c>
      <c r="AG61" s="7" t="n">
        <v>-0.527</v>
      </c>
      <c r="AH61" s="7" t="n">
        <v>0.037</v>
      </c>
      <c r="AI61" s="7" t="n">
        <v>0.143</v>
      </c>
      <c r="AJ61" s="7" t="n">
        <v>0.393</v>
      </c>
      <c r="AK61" s="7" t="n">
        <v>0.261</v>
      </c>
      <c r="AL61" s="7" t="n">
        <v>-0.027</v>
      </c>
      <c r="AM61" s="7" t="n">
        <v>0.423</v>
      </c>
      <c r="AN61" s="7" t="n">
        <v>-0.399</v>
      </c>
      <c r="AO61" s="7" t="n">
        <v>-0.581</v>
      </c>
      <c r="AP61" s="7" t="n">
        <v>-0.563</v>
      </c>
      <c r="AQ61" s="7" t="n">
        <v>0.239</v>
      </c>
      <c r="AR61" s="7" t="n">
        <v>-0.439</v>
      </c>
      <c r="AS61" s="7" t="n">
        <v>-0.139</v>
      </c>
      <c r="AT61" s="7" t="n">
        <v>0.195</v>
      </c>
      <c r="AU61" s="7" t="n">
        <v>0.036</v>
      </c>
      <c r="AV61" s="7" t="n">
        <v>0.019</v>
      </c>
    </row>
    <row r="62" customFormat="false" ht="15" hidden="false" customHeight="false" outlineLevel="0" collapsed="false">
      <c r="A62" s="19" t="n">
        <v>46379</v>
      </c>
      <c r="B62" s="6" t="n">
        <v>1</v>
      </c>
      <c r="C62" s="6" t="s">
        <v>173</v>
      </c>
      <c r="D62" s="6" t="s">
        <v>175</v>
      </c>
      <c r="E62" s="6" t="s">
        <v>198</v>
      </c>
      <c r="F62" s="6" t="s">
        <v>179</v>
      </c>
      <c r="G62" s="7" t="n">
        <v>0.325</v>
      </c>
      <c r="H62" s="7" t="n">
        <v>-0.131</v>
      </c>
      <c r="I62" s="7" t="n">
        <v>0.608</v>
      </c>
      <c r="J62" s="7" t="n">
        <v>-0.015</v>
      </c>
      <c r="K62" s="7" t="n">
        <v>0.047</v>
      </c>
      <c r="L62" s="7" t="n">
        <v>0.498</v>
      </c>
      <c r="M62" s="7" t="n">
        <v>0.298</v>
      </c>
      <c r="N62" s="7" t="n">
        <v>0.154</v>
      </c>
      <c r="O62" s="7" t="n">
        <v>-0.074</v>
      </c>
      <c r="P62" s="7" t="n">
        <v>-0.278</v>
      </c>
      <c r="Q62" s="7" t="n">
        <v>0.006</v>
      </c>
      <c r="R62" s="7" t="n">
        <v>-0.073</v>
      </c>
      <c r="S62" s="7" t="n">
        <v>0.331</v>
      </c>
      <c r="T62" s="7" t="n">
        <v>0.544</v>
      </c>
      <c r="U62" s="7" t="n">
        <v>0.554</v>
      </c>
      <c r="V62" s="7" t="n">
        <v>0.094</v>
      </c>
      <c r="W62" s="7" t="n">
        <v>0.337</v>
      </c>
      <c r="X62" s="7" t="n">
        <v>0.12</v>
      </c>
      <c r="Y62" s="7" t="n">
        <v>-0.183</v>
      </c>
      <c r="Z62" s="7" t="n">
        <v>-0.084</v>
      </c>
      <c r="AA62" s="7" t="n">
        <v>0.233</v>
      </c>
      <c r="AB62" s="7" t="n">
        <v>0.026</v>
      </c>
      <c r="AC62" s="7" t="n">
        <v>0.499</v>
      </c>
      <c r="AD62" s="7" t="n">
        <v>0.208</v>
      </c>
      <c r="AE62" s="7" t="n">
        <v>-0.046</v>
      </c>
      <c r="AF62" s="7" t="n">
        <v>-0.139</v>
      </c>
      <c r="AG62" s="7" t="n">
        <v>-0.044</v>
      </c>
      <c r="AH62" s="7" t="n">
        <v>0.026</v>
      </c>
      <c r="AI62" s="7" t="n">
        <v>0.37</v>
      </c>
      <c r="AJ62" s="7" t="n">
        <v>0.371</v>
      </c>
      <c r="AK62" s="7" t="n">
        <v>0.257</v>
      </c>
      <c r="AL62" s="7" t="n">
        <v>-0.148</v>
      </c>
      <c r="AM62" s="7" t="n">
        <v>0.437</v>
      </c>
      <c r="AN62" s="7" t="n">
        <v>-0.049</v>
      </c>
      <c r="AO62" s="7" t="n">
        <v>0.171</v>
      </c>
      <c r="AP62" s="7" t="n">
        <v>-0.278</v>
      </c>
      <c r="AQ62" s="7" t="n">
        <v>0.607</v>
      </c>
      <c r="AR62" s="7" t="n">
        <v>-0.055</v>
      </c>
      <c r="AS62" s="7" t="n">
        <v>0.293</v>
      </c>
      <c r="AT62" s="7" t="n">
        <v>0.187</v>
      </c>
      <c r="AU62" s="7" t="n">
        <v>0.036</v>
      </c>
      <c r="AV62" s="7" t="n">
        <v>0.007</v>
      </c>
    </row>
    <row r="63" customFormat="false" ht="15" hidden="false" customHeight="false" outlineLevel="0" collapsed="false">
      <c r="A63" s="19" t="n">
        <v>46380</v>
      </c>
      <c r="B63" s="6" t="n">
        <v>1</v>
      </c>
      <c r="C63" s="6" t="s">
        <v>176</v>
      </c>
      <c r="D63" s="6" t="s">
        <v>177</v>
      </c>
      <c r="E63" s="6" t="s">
        <v>198</v>
      </c>
      <c r="F63" s="6" t="s">
        <v>179</v>
      </c>
      <c r="G63" s="7" t="n">
        <v>-0.001</v>
      </c>
      <c r="H63" s="7" t="n">
        <v>-0.383</v>
      </c>
      <c r="I63" s="7" t="n">
        <v>0.08</v>
      </c>
      <c r="J63" s="7" t="n">
        <v>0.043</v>
      </c>
      <c r="K63" s="7" t="n">
        <v>-0.036</v>
      </c>
      <c r="L63" s="7" t="n">
        <v>0.071</v>
      </c>
      <c r="M63" s="7" t="n">
        <v>-0.166</v>
      </c>
      <c r="N63" s="7" t="n">
        <v>-0.272</v>
      </c>
      <c r="O63" s="7" t="n">
        <v>-0.027</v>
      </c>
      <c r="P63" s="7" t="n">
        <v>0.037</v>
      </c>
      <c r="Q63" s="7" t="n">
        <v>-0.075</v>
      </c>
      <c r="R63" s="7" t="n">
        <v>-0.237</v>
      </c>
      <c r="S63" s="7" t="n">
        <v>0.114</v>
      </c>
      <c r="T63" s="7" t="n">
        <v>0.154</v>
      </c>
      <c r="U63" s="7" t="n">
        <v>0.38</v>
      </c>
      <c r="V63" s="7" t="n">
        <v>0.141</v>
      </c>
      <c r="W63" s="7" t="n">
        <v>-0.148</v>
      </c>
      <c r="X63" s="7" t="n">
        <v>0.034</v>
      </c>
      <c r="Y63" s="7" t="n">
        <v>-0.236</v>
      </c>
      <c r="Z63" s="7" t="n">
        <v>-0.001</v>
      </c>
      <c r="AA63" s="7" t="n">
        <v>-0.015</v>
      </c>
      <c r="AB63" s="7" t="n">
        <v>0.072</v>
      </c>
      <c r="AC63" s="7" t="n">
        <v>0.28</v>
      </c>
      <c r="AD63" s="7" t="n">
        <v>0.474</v>
      </c>
      <c r="AE63" s="7" t="n">
        <v>0.008</v>
      </c>
      <c r="AF63" s="7" t="n">
        <v>-0.162</v>
      </c>
      <c r="AG63" s="7" t="n">
        <v>0.003</v>
      </c>
      <c r="AH63" s="7" t="n">
        <v>0.073</v>
      </c>
      <c r="AI63" s="7" t="n">
        <v>-0.05</v>
      </c>
      <c r="AJ63" s="7" t="n">
        <v>0.19</v>
      </c>
      <c r="AK63" s="7" t="n">
        <v>0.202</v>
      </c>
      <c r="AL63" s="7" t="n">
        <v>-0.095</v>
      </c>
      <c r="AM63" s="7" t="n">
        <v>0.464</v>
      </c>
      <c r="AN63" s="7" t="n">
        <v>0.049</v>
      </c>
      <c r="AO63" s="7" t="n">
        <v>-0.311</v>
      </c>
      <c r="AP63" s="7" t="n">
        <v>-0.296</v>
      </c>
      <c r="AQ63" s="7" t="n">
        <v>0.277</v>
      </c>
      <c r="AR63" s="7" t="n">
        <v>-0.003</v>
      </c>
      <c r="AS63" s="7" t="n">
        <v>-0.231</v>
      </c>
      <c r="AT63" s="7" t="n">
        <v>-0.001</v>
      </c>
      <c r="AU63" s="7" t="n">
        <v>-0.142</v>
      </c>
      <c r="AV63" s="7" t="n">
        <v>0.053</v>
      </c>
    </row>
    <row r="64" customFormat="false" ht="15" hidden="false" customHeight="false" outlineLevel="0" collapsed="false">
      <c r="A64" s="19" t="n">
        <v>46381</v>
      </c>
      <c r="B64" s="6" t="n">
        <v>1</v>
      </c>
      <c r="C64" s="6" t="s">
        <v>176</v>
      </c>
      <c r="D64" s="6" t="s">
        <v>178</v>
      </c>
      <c r="E64" s="6" t="s">
        <v>198</v>
      </c>
      <c r="F64" s="6" t="s">
        <v>179</v>
      </c>
      <c r="G64" s="7" t="n">
        <v>0.194</v>
      </c>
      <c r="H64" s="7" t="n">
        <v>-0.115</v>
      </c>
      <c r="I64" s="7" t="n">
        <v>0.085</v>
      </c>
      <c r="J64" s="7" t="n">
        <v>0.086</v>
      </c>
      <c r="K64" s="7" t="n">
        <v>0.267</v>
      </c>
      <c r="L64" s="7" t="n">
        <v>-0.005</v>
      </c>
      <c r="M64" s="7" t="n">
        <v>-0.184</v>
      </c>
      <c r="N64" s="7" t="n">
        <v>-0.256</v>
      </c>
      <c r="O64" s="7" t="n">
        <v>0.307</v>
      </c>
      <c r="P64" s="7" t="n">
        <v>0.118</v>
      </c>
      <c r="Q64" s="7" t="n">
        <v>-0.109</v>
      </c>
      <c r="R64" s="7" t="n">
        <v>0.107</v>
      </c>
      <c r="S64" s="7" t="n">
        <v>0.377</v>
      </c>
      <c r="T64" s="7" t="n">
        <v>0.453</v>
      </c>
      <c r="U64" s="7" t="n">
        <v>0.384</v>
      </c>
      <c r="V64" s="7" t="n">
        <v>0.118</v>
      </c>
      <c r="W64" s="7" t="n">
        <v>-0.163</v>
      </c>
      <c r="X64" s="7" t="n">
        <v>0.037</v>
      </c>
      <c r="Y64" s="7" t="n">
        <v>-0.219</v>
      </c>
      <c r="Z64" s="7" t="n">
        <v>-0.039</v>
      </c>
      <c r="AA64" s="7" t="n">
        <v>-0.099</v>
      </c>
      <c r="AB64" s="7" t="n">
        <v>0.073</v>
      </c>
      <c r="AC64" s="7" t="n">
        <v>0.302</v>
      </c>
      <c r="AD64" s="7" t="n">
        <v>0.269</v>
      </c>
      <c r="AE64" s="7" t="n">
        <v>0.09</v>
      </c>
      <c r="AF64" s="7" t="n">
        <v>-0.205</v>
      </c>
      <c r="AG64" s="7" t="n">
        <v>0.247</v>
      </c>
      <c r="AH64" s="7" t="n">
        <v>0.05</v>
      </c>
      <c r="AI64" s="7" t="n">
        <v>0.011</v>
      </c>
      <c r="AJ64" s="7" t="n">
        <v>0.442</v>
      </c>
      <c r="AK64" s="7" t="n">
        <v>0.15</v>
      </c>
      <c r="AL64" s="7" t="n">
        <v>-0.095</v>
      </c>
      <c r="AM64" s="7" t="n">
        <v>0.734</v>
      </c>
      <c r="AN64" s="7" t="n">
        <v>0.011</v>
      </c>
      <c r="AO64" s="7" t="n">
        <v>-0.294</v>
      </c>
      <c r="AP64" s="7" t="n">
        <v>-0.308</v>
      </c>
      <c r="AQ64" s="7" t="n">
        <v>0.569</v>
      </c>
      <c r="AR64" s="7" t="n">
        <v>-0.017</v>
      </c>
      <c r="AS64" s="7" t="n">
        <v>-0.203</v>
      </c>
      <c r="AT64" s="7" t="n">
        <v>0.345</v>
      </c>
      <c r="AU64" s="7" t="n">
        <v>-0.14</v>
      </c>
      <c r="AV64" s="7" t="n">
        <v>0.029</v>
      </c>
    </row>
    <row r="65" customFormat="false" ht="15" hidden="false" customHeight="false" outlineLevel="0" collapsed="false">
      <c r="A65" s="19" t="n">
        <v>46382</v>
      </c>
      <c r="B65" s="6" t="n">
        <v>0</v>
      </c>
      <c r="C65" s="6" t="s">
        <v>180</v>
      </c>
      <c r="D65" s="6" t="s">
        <v>181</v>
      </c>
      <c r="E65" s="6" t="s">
        <v>198</v>
      </c>
      <c r="F65" s="6" t="s">
        <v>179</v>
      </c>
      <c r="G65" s="7" t="n">
        <v>-0.157</v>
      </c>
      <c r="H65" s="7" t="n">
        <v>-0.567</v>
      </c>
      <c r="I65" s="7" t="n">
        <v>0.101</v>
      </c>
      <c r="J65" s="7" t="n">
        <v>0.036</v>
      </c>
      <c r="K65" s="7" t="n">
        <v>-0.034</v>
      </c>
      <c r="L65" s="7" t="n">
        <v>0.066</v>
      </c>
      <c r="M65" s="7" t="n">
        <v>-0.488</v>
      </c>
      <c r="N65" s="7" t="n">
        <v>-0.605</v>
      </c>
      <c r="O65" s="7" t="n">
        <v>-0.239</v>
      </c>
      <c r="P65" s="7" t="n">
        <v>-0.157</v>
      </c>
      <c r="Q65" s="7" t="n">
        <v>-0.199</v>
      </c>
      <c r="R65" s="7" t="n">
        <v>-0.166</v>
      </c>
      <c r="S65" s="7" t="n">
        <v>-0.114</v>
      </c>
      <c r="T65" s="7" t="n">
        <v>-0.089</v>
      </c>
      <c r="U65" s="7" t="n">
        <v>0.383</v>
      </c>
      <c r="V65" s="7" t="n">
        <v>0.157</v>
      </c>
      <c r="W65" s="7" t="n">
        <v>-0.477</v>
      </c>
      <c r="X65" s="7" t="n">
        <v>0.072</v>
      </c>
      <c r="Y65" s="7" t="n">
        <v>-0.543</v>
      </c>
      <c r="Z65" s="7" t="n">
        <v>0.072</v>
      </c>
      <c r="AA65" s="7" t="n">
        <v>-0.51</v>
      </c>
      <c r="AB65" s="7" t="n">
        <v>0.074</v>
      </c>
      <c r="AC65" s="7" t="n">
        <v>0.274</v>
      </c>
      <c r="AD65" s="7" t="n">
        <v>0.202</v>
      </c>
      <c r="AE65" s="7" t="n">
        <v>0.001</v>
      </c>
      <c r="AF65" s="7" t="n">
        <v>-0.481</v>
      </c>
      <c r="AG65" s="7" t="n">
        <v>-0.433</v>
      </c>
      <c r="AH65" s="7" t="n">
        <v>0.075</v>
      </c>
      <c r="AI65" s="7" t="n">
        <v>-0.091</v>
      </c>
      <c r="AJ65" s="7" t="n">
        <v>0.158</v>
      </c>
      <c r="AK65" s="7" t="n">
        <v>0.128</v>
      </c>
      <c r="AL65" s="7" t="n">
        <v>-0.252</v>
      </c>
      <c r="AM65" s="7" t="n">
        <v>0.39</v>
      </c>
      <c r="AN65" s="7" t="n">
        <v>-0.248</v>
      </c>
      <c r="AO65" s="7" t="n">
        <v>-0.639</v>
      </c>
      <c r="AP65" s="7" t="n">
        <v>-0.612</v>
      </c>
      <c r="AQ65" s="7" t="n">
        <v>0.275</v>
      </c>
      <c r="AR65" s="7" t="n">
        <v>-0.301</v>
      </c>
      <c r="AS65" s="7" t="n">
        <v>-0.496</v>
      </c>
      <c r="AT65" s="7" t="n">
        <v>0.15</v>
      </c>
      <c r="AU65" s="7" t="n">
        <v>0.037</v>
      </c>
      <c r="AV65" s="7" t="n">
        <v>0.054</v>
      </c>
    </row>
    <row r="66" customFormat="false" ht="15" hidden="false" customHeight="false" outlineLevel="0" collapsed="false">
      <c r="A66" s="19" t="n">
        <v>46383</v>
      </c>
      <c r="B66" s="6" t="n">
        <v>0</v>
      </c>
      <c r="C66" s="6" t="s">
        <v>180</v>
      </c>
      <c r="D66" s="6" t="s">
        <v>182</v>
      </c>
      <c r="E66" s="6" t="s">
        <v>198</v>
      </c>
      <c r="F66" s="6" t="s">
        <v>179</v>
      </c>
      <c r="G66" s="7" t="n">
        <v>0.088</v>
      </c>
      <c r="H66" s="7" t="n">
        <v>-0.369</v>
      </c>
      <c r="I66" s="7" t="n">
        <v>0.053</v>
      </c>
      <c r="J66" s="7" t="n">
        <v>0.323</v>
      </c>
      <c r="K66" s="7" t="n">
        <v>0.247</v>
      </c>
      <c r="L66" s="7" t="n">
        <v>0.062</v>
      </c>
      <c r="M66" s="7" t="n">
        <v>-0.222</v>
      </c>
      <c r="N66" s="7" t="n">
        <v>-0.528</v>
      </c>
      <c r="O66" s="7" t="n">
        <v>-0.139</v>
      </c>
      <c r="P66" s="7" t="n">
        <v>0.266</v>
      </c>
      <c r="Q66" s="7" t="n">
        <v>-0.15</v>
      </c>
      <c r="R66" s="7" t="n">
        <v>-0.162</v>
      </c>
      <c r="S66" s="7" t="n">
        <v>0.168</v>
      </c>
      <c r="T66" s="7" t="n">
        <v>-0.011</v>
      </c>
      <c r="U66" s="7" t="n">
        <v>0.367</v>
      </c>
      <c r="V66" s="7" t="n">
        <v>0.157</v>
      </c>
      <c r="W66" s="7" t="n">
        <v>-0.207</v>
      </c>
      <c r="X66" s="7" t="n">
        <v>0.126</v>
      </c>
      <c r="Y66" s="7" t="n">
        <v>-0.223</v>
      </c>
      <c r="Z66" s="7" t="n">
        <v>0.072</v>
      </c>
      <c r="AA66" s="7" t="n">
        <v>-0.338</v>
      </c>
      <c r="AB66" s="7" t="n">
        <v>0.074</v>
      </c>
      <c r="AC66" s="7" t="n">
        <v>0.255</v>
      </c>
      <c r="AD66" s="7" t="n">
        <v>0.154</v>
      </c>
      <c r="AE66" s="7" t="n">
        <v>0.34</v>
      </c>
      <c r="AF66" s="7" t="n">
        <v>-0.24</v>
      </c>
      <c r="AG66" s="7" t="n">
        <v>-0.419</v>
      </c>
      <c r="AH66" s="7" t="n">
        <v>0.075</v>
      </c>
      <c r="AI66" s="7" t="n">
        <v>-0.027</v>
      </c>
      <c r="AJ66" s="7" t="n">
        <v>0.404</v>
      </c>
      <c r="AK66" s="7" t="n">
        <v>0.324</v>
      </c>
      <c r="AL66" s="7" t="n">
        <v>-0.288</v>
      </c>
      <c r="AM66" s="7" t="n">
        <v>0.411</v>
      </c>
      <c r="AN66" s="7" t="n">
        <v>-0.24</v>
      </c>
      <c r="AO66" s="7" t="n">
        <v>-0.529</v>
      </c>
      <c r="AP66" s="7" t="n">
        <v>-0.517</v>
      </c>
      <c r="AQ66" s="7" t="n">
        <v>0.271</v>
      </c>
      <c r="AR66" s="7" t="n">
        <v>-0.292</v>
      </c>
      <c r="AS66" s="7" t="n">
        <v>-0.242</v>
      </c>
      <c r="AT66" s="7" t="n">
        <v>0.218</v>
      </c>
      <c r="AU66" s="7" t="n">
        <v>0.085</v>
      </c>
      <c r="AV66" s="7" t="n">
        <v>0.054</v>
      </c>
    </row>
    <row r="67" customFormat="false" ht="15" hidden="false" customHeight="false" outlineLevel="0" collapsed="false">
      <c r="A67" s="19" t="n">
        <v>46384</v>
      </c>
      <c r="B67" s="6" t="n">
        <v>1</v>
      </c>
      <c r="C67" s="6" t="s">
        <v>183</v>
      </c>
      <c r="D67" s="6" t="s">
        <v>184</v>
      </c>
      <c r="E67" s="6" t="s">
        <v>198</v>
      </c>
      <c r="F67" s="6" t="s">
        <v>179</v>
      </c>
      <c r="G67" s="7" t="n">
        <v>0.08</v>
      </c>
      <c r="H67" s="7" t="n">
        <v>-0.24</v>
      </c>
      <c r="I67" s="7" t="n">
        <v>0.334</v>
      </c>
      <c r="J67" s="7" t="n">
        <v>-0.055</v>
      </c>
      <c r="K67" s="7" t="n">
        <v>-0.044</v>
      </c>
      <c r="L67" s="7" t="n">
        <v>0.069</v>
      </c>
      <c r="M67" s="7" t="n">
        <v>-0.162</v>
      </c>
      <c r="N67" s="7" t="n">
        <v>-0.038</v>
      </c>
      <c r="O67" s="7" t="n">
        <v>-0.007</v>
      </c>
      <c r="P67" s="7" t="n">
        <v>-0.197</v>
      </c>
      <c r="Q67" s="7" t="n">
        <v>0.067</v>
      </c>
      <c r="R67" s="7" t="n">
        <v>-0.015</v>
      </c>
      <c r="S67" s="7" t="n">
        <v>0.102</v>
      </c>
      <c r="T67" s="7" t="n">
        <v>0.166</v>
      </c>
      <c r="U67" s="7" t="n">
        <v>0.436</v>
      </c>
      <c r="V67" s="7" t="n">
        <v>0.156</v>
      </c>
      <c r="W67" s="7" t="n">
        <v>-0.068</v>
      </c>
      <c r="X67" s="7" t="n">
        <v>0.07</v>
      </c>
      <c r="Y67" s="7" t="n">
        <v>-0.282</v>
      </c>
      <c r="Z67" s="7" t="n">
        <v>0.429</v>
      </c>
      <c r="AA67" s="7" t="n">
        <v>-0.077</v>
      </c>
      <c r="AB67" s="7" t="n">
        <v>0.074</v>
      </c>
      <c r="AC67" s="7" t="n">
        <v>0.34</v>
      </c>
      <c r="AD67" s="7" t="n">
        <v>0.624</v>
      </c>
      <c r="AE67" s="7" t="n">
        <v>-0.089</v>
      </c>
      <c r="AF67" s="7" t="n">
        <v>-0.114</v>
      </c>
      <c r="AG67" s="7" t="n">
        <v>-0.022</v>
      </c>
      <c r="AH67" s="7" t="n">
        <v>0.075</v>
      </c>
      <c r="AI67" s="7" t="n">
        <v>-0.04</v>
      </c>
      <c r="AJ67" s="7" t="n">
        <v>0.148</v>
      </c>
      <c r="AK67" s="7" t="n">
        <v>0.128</v>
      </c>
      <c r="AL67" s="7" t="n">
        <v>-0.094</v>
      </c>
      <c r="AM67" s="7" t="n">
        <v>0.689</v>
      </c>
      <c r="AN67" s="7" t="n">
        <v>0.055</v>
      </c>
      <c r="AO67" s="7" t="n">
        <v>-0.253</v>
      </c>
      <c r="AP67" s="7" t="n">
        <v>-0.269</v>
      </c>
      <c r="AQ67" s="7" t="n">
        <v>0.542</v>
      </c>
      <c r="AR67" s="7" t="n">
        <v>0.003</v>
      </c>
      <c r="AS67" s="7" t="n">
        <v>-0.182</v>
      </c>
      <c r="AT67" s="7" t="n">
        <v>0.397</v>
      </c>
      <c r="AU67" s="7" t="n">
        <v>-0.009</v>
      </c>
      <c r="AV67" s="7" t="n">
        <v>0.054</v>
      </c>
    </row>
    <row r="68" customFormat="false" ht="15" hidden="false" customHeight="false" outlineLevel="0" collapsed="false">
      <c r="A68" s="19" t="n">
        <v>46385</v>
      </c>
      <c r="B68" s="6" t="n">
        <v>1</v>
      </c>
      <c r="C68" s="6" t="s">
        <v>183</v>
      </c>
      <c r="D68" s="6" t="s">
        <v>185</v>
      </c>
      <c r="E68" s="6" t="s">
        <v>198</v>
      </c>
      <c r="F68" s="6" t="s">
        <v>179</v>
      </c>
      <c r="G68" s="7" t="n">
        <v>0.202</v>
      </c>
      <c r="H68" s="7" t="n">
        <v>-0.205</v>
      </c>
      <c r="I68" s="7" t="n">
        <v>0.038</v>
      </c>
      <c r="J68" s="7" t="n">
        <v>-0.028</v>
      </c>
      <c r="K68" s="7" t="n">
        <v>0.278</v>
      </c>
      <c r="L68" s="7" t="n">
        <v>0.067</v>
      </c>
      <c r="M68" s="7" t="n">
        <v>-0.185</v>
      </c>
      <c r="N68" s="7" t="n">
        <v>-0.246</v>
      </c>
      <c r="O68" s="7" t="n">
        <v>-0.018</v>
      </c>
      <c r="P68" s="7" t="n">
        <v>-0.175</v>
      </c>
      <c r="Q68" s="7" t="n">
        <v>0.056</v>
      </c>
      <c r="R68" s="7" t="n">
        <v>0.007</v>
      </c>
      <c r="S68" s="7" t="n">
        <v>0.373</v>
      </c>
      <c r="T68" s="7" t="n">
        <v>0.393</v>
      </c>
      <c r="U68" s="7" t="n">
        <v>0.388</v>
      </c>
      <c r="V68" s="7" t="n">
        <v>0.128</v>
      </c>
      <c r="W68" s="7" t="n">
        <v>-0.172</v>
      </c>
      <c r="X68" s="7" t="n">
        <v>-0.019</v>
      </c>
      <c r="Y68" s="7" t="n">
        <v>-0.172</v>
      </c>
      <c r="Z68" s="7" t="n">
        <v>0.442</v>
      </c>
      <c r="AA68" s="7" t="n">
        <v>-0.102</v>
      </c>
      <c r="AB68" s="7" t="n">
        <v>0.046</v>
      </c>
      <c r="AC68" s="7" t="n">
        <v>0.287</v>
      </c>
      <c r="AD68" s="7" t="n">
        <v>0.589</v>
      </c>
      <c r="AE68" s="7" t="n">
        <v>-0.064</v>
      </c>
      <c r="AF68" s="7" t="n">
        <v>-0.21</v>
      </c>
      <c r="AG68" s="7" t="n">
        <v>-0.07</v>
      </c>
      <c r="AH68" s="7" t="n">
        <v>0.047</v>
      </c>
      <c r="AI68" s="7" t="n">
        <v>-0.017</v>
      </c>
      <c r="AJ68" s="7" t="n">
        <v>0.422</v>
      </c>
      <c r="AK68" s="7" t="n">
        <v>0.319</v>
      </c>
      <c r="AL68" s="7" t="n">
        <v>-0.097</v>
      </c>
      <c r="AM68" s="7" t="n">
        <v>0.654</v>
      </c>
      <c r="AN68" s="7" t="n">
        <v>0.042</v>
      </c>
      <c r="AO68" s="7" t="n">
        <v>-0.283</v>
      </c>
      <c r="AP68" s="7" t="n">
        <v>-0.296</v>
      </c>
      <c r="AQ68" s="7" t="n">
        <v>0.507</v>
      </c>
      <c r="AR68" s="7" t="n">
        <v>-0.005</v>
      </c>
      <c r="AS68" s="7" t="n">
        <v>-0.206</v>
      </c>
      <c r="AT68" s="7" t="n">
        <v>0.409</v>
      </c>
      <c r="AU68" s="7" t="n">
        <v>0.017</v>
      </c>
      <c r="AV68" s="7" t="n">
        <v>0.048</v>
      </c>
    </row>
    <row r="69" customFormat="false" ht="15" hidden="false" customHeight="false" outlineLevel="0" collapsed="false">
      <c r="A69" s="19" t="n">
        <v>46386</v>
      </c>
      <c r="B69" s="6" t="n">
        <v>1</v>
      </c>
      <c r="C69" s="6" t="s">
        <v>186</v>
      </c>
      <c r="D69" s="6" t="s">
        <v>187</v>
      </c>
      <c r="E69" s="6" t="s">
        <v>198</v>
      </c>
      <c r="F69" s="6" t="s">
        <v>179</v>
      </c>
      <c r="G69" s="7" t="n">
        <v>0.062</v>
      </c>
      <c r="H69" s="7" t="n">
        <v>-0.397</v>
      </c>
      <c r="I69" s="7" t="n">
        <v>0.073</v>
      </c>
      <c r="J69" s="7" t="n">
        <v>0.018</v>
      </c>
      <c r="K69" s="7" t="n">
        <v>0.077</v>
      </c>
      <c r="L69" s="7" t="n">
        <v>0.051</v>
      </c>
      <c r="M69" s="7" t="n">
        <v>-0.242</v>
      </c>
      <c r="N69" s="7" t="n">
        <v>-0.354</v>
      </c>
      <c r="O69" s="7" t="n">
        <v>-0.106</v>
      </c>
      <c r="P69" s="7" t="n">
        <v>0.178</v>
      </c>
      <c r="Q69" s="7" t="n">
        <v>-0.096</v>
      </c>
      <c r="R69" s="7" t="n">
        <v>-0.228</v>
      </c>
      <c r="S69" s="7" t="n">
        <v>0.214</v>
      </c>
      <c r="T69" s="7" t="n">
        <v>0.126</v>
      </c>
      <c r="U69" s="7" t="n">
        <v>0.358</v>
      </c>
      <c r="V69" s="7" t="n">
        <v>0.1</v>
      </c>
      <c r="W69" s="7" t="n">
        <v>-0.229</v>
      </c>
      <c r="X69" s="7" t="n">
        <v>0.143</v>
      </c>
      <c r="Y69" s="7" t="n">
        <v>-0.2</v>
      </c>
      <c r="Z69" s="7" t="n">
        <v>0.145</v>
      </c>
      <c r="AA69" s="7" t="n">
        <v>-0.166</v>
      </c>
      <c r="AB69" s="7" t="n">
        <v>0.018</v>
      </c>
      <c r="AC69" s="7" t="n">
        <v>0.259</v>
      </c>
      <c r="AD69" s="7" t="n">
        <v>0.351</v>
      </c>
      <c r="AE69" s="7" t="n">
        <v>0.276</v>
      </c>
      <c r="AF69" s="7" t="n">
        <v>-0.25</v>
      </c>
      <c r="AG69" s="7" t="n">
        <v>-0.321</v>
      </c>
      <c r="AH69" s="7" t="n">
        <v>0.019</v>
      </c>
      <c r="AI69" s="7" t="n">
        <v>0.095</v>
      </c>
      <c r="AJ69" s="7" t="n">
        <v>0.266</v>
      </c>
      <c r="AK69" s="7" t="n">
        <v>0.181</v>
      </c>
      <c r="AL69" s="7" t="n">
        <v>-0.119</v>
      </c>
      <c r="AM69" s="7" t="n">
        <v>0.409</v>
      </c>
      <c r="AN69" s="7" t="n">
        <v>-0.022</v>
      </c>
      <c r="AO69" s="7" t="n">
        <v>-0.39</v>
      </c>
      <c r="AP69" s="7" t="n">
        <v>-0.383</v>
      </c>
      <c r="AQ69" s="7" t="n">
        <v>0.256</v>
      </c>
      <c r="AR69" s="7" t="n">
        <v>-0.064</v>
      </c>
      <c r="AS69" s="7" t="n">
        <v>-0.263</v>
      </c>
      <c r="AT69" s="7" t="n">
        <v>0.093</v>
      </c>
      <c r="AU69" s="7" t="n">
        <v>-0.048</v>
      </c>
      <c r="AV69" s="7" t="n">
        <v>0.043</v>
      </c>
    </row>
    <row r="70" customFormat="false" ht="15" hidden="false" customHeight="false" outlineLevel="0" collapsed="false">
      <c r="A70" s="19" t="n">
        <v>46387</v>
      </c>
      <c r="B70" s="6" t="n">
        <v>1</v>
      </c>
      <c r="C70" s="6" t="s">
        <v>186</v>
      </c>
      <c r="D70" s="6" t="s">
        <v>188</v>
      </c>
      <c r="E70" s="6" t="s">
        <v>198</v>
      </c>
      <c r="F70" s="6" t="s">
        <v>179</v>
      </c>
      <c r="G70" s="7" t="n">
        <v>-0.094</v>
      </c>
      <c r="H70" s="7" t="n">
        <v>-0.575</v>
      </c>
      <c r="I70" s="7" t="n">
        <v>0.031</v>
      </c>
      <c r="J70" s="7" t="n">
        <v>0.112</v>
      </c>
      <c r="K70" s="7" t="n">
        <v>0.067</v>
      </c>
      <c r="L70" s="7" t="n">
        <v>0.024</v>
      </c>
      <c r="M70" s="7" t="n">
        <v>-0.264</v>
      </c>
      <c r="N70" s="7" t="n">
        <v>-0.606</v>
      </c>
      <c r="O70" s="7" t="n">
        <v>-0.265</v>
      </c>
      <c r="P70" s="7" t="n">
        <v>0.164</v>
      </c>
      <c r="Q70" s="7" t="n">
        <v>-0.5</v>
      </c>
      <c r="R70" s="7" t="n">
        <v>-0.234</v>
      </c>
      <c r="S70" s="7" t="n">
        <v>-0.292</v>
      </c>
      <c r="T70" s="7" t="n">
        <v>-0.33</v>
      </c>
      <c r="U70" s="7" t="n">
        <v>0.321</v>
      </c>
      <c r="V70" s="7" t="n">
        <v>0.072</v>
      </c>
      <c r="W70" s="7" t="n">
        <v>-0.252</v>
      </c>
      <c r="X70" s="7" t="n">
        <v>0.121</v>
      </c>
      <c r="Y70" s="7" t="n">
        <v>-0.198</v>
      </c>
      <c r="Z70" s="7" t="n">
        <v>0.068</v>
      </c>
      <c r="AA70" s="7" t="n">
        <v>-0.355</v>
      </c>
      <c r="AB70" s="7" t="n">
        <v>-0.011</v>
      </c>
      <c r="AC70" s="7" t="n">
        <v>0.22</v>
      </c>
      <c r="AD70" s="7" t="n">
        <v>0.212</v>
      </c>
      <c r="AE70" s="7" t="n">
        <v>0.255</v>
      </c>
      <c r="AF70" s="7" t="n">
        <v>-0.25</v>
      </c>
      <c r="AG70" s="7" t="n">
        <v>-0.639</v>
      </c>
      <c r="AH70" s="7" t="n">
        <v>-0.01</v>
      </c>
      <c r="AI70" s="7" t="n">
        <v>-0.023</v>
      </c>
      <c r="AJ70" s="7" t="n">
        <v>0.257</v>
      </c>
      <c r="AK70" s="7" t="n">
        <v>0.167</v>
      </c>
      <c r="AL70" s="7" t="n">
        <v>-0.221</v>
      </c>
      <c r="AM70" s="7" t="n">
        <v>0.396</v>
      </c>
      <c r="AN70" s="7" t="n">
        <v>-0.436</v>
      </c>
      <c r="AO70" s="7" t="n">
        <v>-0.632</v>
      </c>
      <c r="AP70" s="7" t="n">
        <v>-0.598</v>
      </c>
      <c r="AQ70" s="7" t="n">
        <v>0.206</v>
      </c>
      <c r="AR70" s="7" t="n">
        <v>-0.473</v>
      </c>
      <c r="AS70" s="7" t="n">
        <v>-0.286</v>
      </c>
      <c r="AT70" s="7" t="n">
        <v>0.078</v>
      </c>
      <c r="AU70" s="7" t="n">
        <v>-0.051</v>
      </c>
      <c r="AV70" s="7" t="n">
        <v>0.038</v>
      </c>
    </row>
    <row r="71" customFormat="false" ht="15" hidden="false" customHeight="false" outlineLevel="0" collapsed="false">
      <c r="A71" s="19" t="n">
        <v>46388</v>
      </c>
      <c r="B71" s="6" t="n">
        <v>1</v>
      </c>
      <c r="C71" s="6" t="s">
        <v>190</v>
      </c>
      <c r="D71" s="6" t="s">
        <v>189</v>
      </c>
      <c r="E71" s="6" t="s">
        <v>198</v>
      </c>
      <c r="F71" s="6" t="s">
        <v>179</v>
      </c>
      <c r="G71" s="7" t="n">
        <v>-0.01</v>
      </c>
      <c r="H71" s="7" t="n">
        <v>-0.371</v>
      </c>
      <c r="I71" s="7" t="n">
        <v>0.254</v>
      </c>
      <c r="J71" s="7" t="n">
        <v>-0.034</v>
      </c>
      <c r="K71" s="7" t="n">
        <v>-0.026</v>
      </c>
      <c r="L71" s="7" t="n">
        <v>0.238</v>
      </c>
      <c r="M71" s="7" t="n">
        <v>-0.116</v>
      </c>
      <c r="N71" s="7" t="n">
        <v>-0.247</v>
      </c>
      <c r="O71" s="7" t="n">
        <v>-0.126</v>
      </c>
      <c r="P71" s="7" t="n">
        <v>-0.18</v>
      </c>
      <c r="Q71" s="7" t="n">
        <v>-0.355</v>
      </c>
      <c r="R71" s="7" t="n">
        <v>-0.042</v>
      </c>
      <c r="S71" s="7" t="n">
        <v>0.109</v>
      </c>
      <c r="T71" s="7" t="n">
        <v>0.179</v>
      </c>
      <c r="U71" s="7" t="n">
        <v>0.365</v>
      </c>
      <c r="V71" s="7" t="n">
        <v>-0.212</v>
      </c>
      <c r="W71" s="7" t="n">
        <v>-0.09</v>
      </c>
      <c r="X71" s="7" t="n">
        <v>-0.054</v>
      </c>
      <c r="Y71" s="7" t="n">
        <v>-0.146</v>
      </c>
      <c r="Z71" s="7" t="n">
        <v>-0.046</v>
      </c>
      <c r="AA71" s="7" t="n">
        <v>-0.127</v>
      </c>
      <c r="AB71" s="7" t="n">
        <v>-0.265</v>
      </c>
      <c r="AC71" s="7" t="n">
        <v>0.335</v>
      </c>
      <c r="AD71" s="7" t="n">
        <v>0.012</v>
      </c>
      <c r="AE71" s="7" t="n">
        <v>-0.07</v>
      </c>
      <c r="AF71" s="7" t="n">
        <v>-0.241</v>
      </c>
      <c r="AG71" s="7" t="n">
        <v>-0.135</v>
      </c>
      <c r="AH71" s="7" t="n">
        <v>-0.281</v>
      </c>
      <c r="AI71" s="7" t="n">
        <v>-0.009</v>
      </c>
      <c r="AJ71" s="7" t="n">
        <v>0.168</v>
      </c>
      <c r="AK71" s="7" t="n">
        <v>0.128</v>
      </c>
      <c r="AL71" s="7" t="n">
        <v>-0.205</v>
      </c>
      <c r="AM71" s="7" t="n">
        <v>0.41</v>
      </c>
      <c r="AN71" s="7" t="n">
        <v>-0.128</v>
      </c>
      <c r="AO71" s="7" t="n">
        <v>-0.219</v>
      </c>
      <c r="AP71" s="7" t="n">
        <v>-0.35</v>
      </c>
      <c r="AQ71" s="7" t="n">
        <v>0.285</v>
      </c>
      <c r="AR71" s="7" t="n">
        <v>-0.075</v>
      </c>
      <c r="AS71" s="7" t="n">
        <v>-0.081</v>
      </c>
      <c r="AT71" s="7" t="n">
        <v>0.136</v>
      </c>
      <c r="AU71" s="7" t="n">
        <v>0.003</v>
      </c>
      <c r="AV71" s="7" t="n">
        <v>-0.051</v>
      </c>
    </row>
    <row r="72" customFormat="false" ht="15" hidden="false" customHeight="false" outlineLevel="0" collapsed="false">
      <c r="A72" s="19" t="n">
        <v>46389</v>
      </c>
      <c r="B72" s="6" t="n">
        <v>0</v>
      </c>
      <c r="C72" s="6" t="s">
        <v>190</v>
      </c>
      <c r="D72" s="6" t="s">
        <v>191</v>
      </c>
      <c r="E72" s="6" t="s">
        <v>198</v>
      </c>
      <c r="F72" s="6" t="s">
        <v>179</v>
      </c>
      <c r="G72" s="7" t="n">
        <v>-0.035</v>
      </c>
      <c r="H72" s="7" t="n">
        <v>-0.327</v>
      </c>
      <c r="I72" s="7" t="n">
        <v>-0.019</v>
      </c>
      <c r="J72" s="7" t="n">
        <v>-0.02</v>
      </c>
      <c r="K72" s="7" t="n">
        <v>-0.037</v>
      </c>
      <c r="L72" s="7" t="n">
        <v>0.032</v>
      </c>
      <c r="M72" s="7" t="n">
        <v>-0.214</v>
      </c>
      <c r="N72" s="7" t="n">
        <v>-0.32</v>
      </c>
      <c r="O72" s="7" t="n">
        <v>-0.138</v>
      </c>
      <c r="P72" s="7" t="n">
        <v>-0.167</v>
      </c>
      <c r="Q72" s="7" t="n">
        <v>-0.319</v>
      </c>
      <c r="R72" s="7" t="n">
        <v>-0.059</v>
      </c>
      <c r="S72" s="7" t="n">
        <v>0.155</v>
      </c>
      <c r="T72" s="7" t="n">
        <v>0.047</v>
      </c>
      <c r="U72" s="7" t="n">
        <v>0.297</v>
      </c>
      <c r="V72" s="7" t="n">
        <v>-0.191</v>
      </c>
      <c r="W72" s="7" t="n">
        <v>-0.202</v>
      </c>
      <c r="X72" s="7" t="n">
        <v>-0.042</v>
      </c>
      <c r="Y72" s="7" t="n">
        <v>-0.141</v>
      </c>
      <c r="Z72" s="7" t="n">
        <v>0.034</v>
      </c>
      <c r="AA72" s="7" t="n">
        <v>-0.047</v>
      </c>
      <c r="AB72" s="7" t="n">
        <v>-0.246</v>
      </c>
      <c r="AC72" s="7" t="n">
        <v>0.226</v>
      </c>
      <c r="AD72" s="7" t="n">
        <v>0.397</v>
      </c>
      <c r="AE72" s="7" t="n">
        <v>-0.056</v>
      </c>
      <c r="AF72" s="7" t="n">
        <v>-0.205</v>
      </c>
      <c r="AG72" s="7" t="n">
        <v>-0.124</v>
      </c>
      <c r="AH72" s="7" t="n">
        <v>-0.266</v>
      </c>
      <c r="AI72" s="7" t="n">
        <v>0.22</v>
      </c>
      <c r="AJ72" s="7" t="n">
        <v>0.217</v>
      </c>
      <c r="AK72" s="7" t="n">
        <v>0.188</v>
      </c>
      <c r="AL72" s="7" t="n">
        <v>-0.111</v>
      </c>
      <c r="AM72" s="7" t="n">
        <v>0.401</v>
      </c>
      <c r="AN72" s="7" t="n">
        <v>-0.059</v>
      </c>
      <c r="AO72" s="7" t="n">
        <v>-0.355</v>
      </c>
      <c r="AP72" s="7" t="n">
        <v>-0.334</v>
      </c>
      <c r="AQ72" s="7" t="n">
        <v>0.175</v>
      </c>
      <c r="AR72" s="7" t="n">
        <v>-0.059</v>
      </c>
      <c r="AS72" s="7" t="n">
        <v>-0.236</v>
      </c>
      <c r="AT72" s="7" t="n">
        <v>0.129</v>
      </c>
      <c r="AU72" s="7" t="n">
        <v>0.014</v>
      </c>
      <c r="AV72" s="7" t="n">
        <v>0.002</v>
      </c>
    </row>
    <row r="73" customFormat="false" ht="15" hidden="false" customHeight="false" outlineLevel="0" collapsed="false">
      <c r="A73" s="19" t="n">
        <v>46390</v>
      </c>
      <c r="B73" s="6" t="n">
        <v>0</v>
      </c>
      <c r="C73" s="6" t="s">
        <v>190</v>
      </c>
      <c r="D73" s="6" t="s">
        <v>192</v>
      </c>
      <c r="E73" s="6" t="s">
        <v>198</v>
      </c>
      <c r="F73" s="6" t="s">
        <v>179</v>
      </c>
      <c r="G73" s="7" t="n">
        <v>0.151</v>
      </c>
      <c r="H73" s="7" t="n">
        <v>-0.013</v>
      </c>
      <c r="I73" s="7" t="n">
        <v>-0.016</v>
      </c>
      <c r="J73" s="7" t="n">
        <v>-0.018</v>
      </c>
      <c r="K73" s="7" t="n">
        <v>0.283</v>
      </c>
      <c r="L73" s="7" t="n">
        <v>0.035</v>
      </c>
      <c r="M73" s="7" t="n">
        <v>-0.211</v>
      </c>
      <c r="N73" s="7" t="n">
        <v>-0.317</v>
      </c>
      <c r="O73" s="7" t="n">
        <v>0.207</v>
      </c>
      <c r="P73" s="7" t="n">
        <v>-0.165</v>
      </c>
      <c r="Q73" s="7" t="n">
        <v>-0.304</v>
      </c>
      <c r="R73" s="7" t="n">
        <v>0.156</v>
      </c>
      <c r="S73" s="7" t="n">
        <v>0.392</v>
      </c>
      <c r="T73" s="7" t="n">
        <v>0.333</v>
      </c>
      <c r="U73" s="7" t="n">
        <v>0.315</v>
      </c>
      <c r="V73" s="7" t="n">
        <v>-0.178</v>
      </c>
      <c r="W73" s="7" t="n">
        <v>-0.199</v>
      </c>
      <c r="X73" s="7" t="n">
        <v>-0.039</v>
      </c>
      <c r="Y73" s="7" t="n">
        <v>-0.141</v>
      </c>
      <c r="Z73" s="7" t="n">
        <v>0.051</v>
      </c>
      <c r="AA73" s="7" t="n">
        <v>-0.129</v>
      </c>
      <c r="AB73" s="7" t="n">
        <v>-0.25</v>
      </c>
      <c r="AC73" s="7" t="n">
        <v>0.232</v>
      </c>
      <c r="AD73" s="7" t="n">
        <v>0.283</v>
      </c>
      <c r="AE73" s="7" t="n">
        <v>-0.054</v>
      </c>
      <c r="AF73" s="7" t="n">
        <v>-0.204</v>
      </c>
      <c r="AG73" s="7" t="n">
        <v>0.112</v>
      </c>
      <c r="AH73" s="7" t="n">
        <v>-0.254</v>
      </c>
      <c r="AI73" s="7" t="n">
        <v>-0.044</v>
      </c>
      <c r="AJ73" s="7" t="n">
        <v>0.454</v>
      </c>
      <c r="AK73" s="7" t="n">
        <v>0.211</v>
      </c>
      <c r="AL73" s="7" t="n">
        <v>-0.111</v>
      </c>
      <c r="AM73" s="7" t="n">
        <v>0.667</v>
      </c>
      <c r="AN73" s="7" t="n">
        <v>-0.041</v>
      </c>
      <c r="AO73" s="7" t="n">
        <v>-0.353</v>
      </c>
      <c r="AP73" s="7" t="n">
        <v>-0.334</v>
      </c>
      <c r="AQ73" s="7" t="n">
        <v>0.441</v>
      </c>
      <c r="AR73" s="7" t="n">
        <v>-0.059</v>
      </c>
      <c r="AS73" s="7" t="n">
        <v>-0.234</v>
      </c>
      <c r="AT73" s="7" t="n">
        <v>0.4</v>
      </c>
      <c r="AU73" s="7" t="n">
        <v>0.016</v>
      </c>
      <c r="AV73" s="7" t="n">
        <v>0.02</v>
      </c>
    </row>
    <row r="74" customFormat="false" ht="15" hidden="false" customHeight="false" outlineLevel="0" collapsed="false">
      <c r="A74" s="19" t="n">
        <v>46391</v>
      </c>
      <c r="B74" s="6" t="n">
        <v>1</v>
      </c>
      <c r="C74" s="6" t="s">
        <v>171</v>
      </c>
      <c r="D74" s="6" t="s">
        <v>193</v>
      </c>
      <c r="E74" s="6" t="s">
        <v>198</v>
      </c>
      <c r="F74" s="6" t="s">
        <v>179</v>
      </c>
      <c r="G74" s="7" t="n">
        <v>-0.191</v>
      </c>
      <c r="H74" s="7" t="n">
        <v>-0.568</v>
      </c>
      <c r="I74" s="7" t="n">
        <v>0.164</v>
      </c>
      <c r="J74" s="7" t="n">
        <v>0.032</v>
      </c>
      <c r="K74" s="7" t="n">
        <v>-0.219</v>
      </c>
      <c r="L74" s="7" t="n">
        <v>0.278</v>
      </c>
      <c r="M74" s="7" t="n">
        <v>-0.493</v>
      </c>
      <c r="N74" s="7" t="n">
        <v>-0.604</v>
      </c>
      <c r="O74" s="7" t="n">
        <v>-0.141</v>
      </c>
      <c r="P74" s="7" t="n">
        <v>-0.162</v>
      </c>
      <c r="Q74" s="7" t="n">
        <v>-0.174</v>
      </c>
      <c r="R74" s="7" t="n">
        <v>-0.032</v>
      </c>
      <c r="S74" s="7" t="n">
        <v>0.028</v>
      </c>
      <c r="T74" s="7" t="n">
        <v>0.025</v>
      </c>
      <c r="U74" s="7" t="n">
        <v>0.296</v>
      </c>
      <c r="V74" s="7" t="n">
        <v>-0.019</v>
      </c>
      <c r="W74" s="7" t="n">
        <v>-0.478</v>
      </c>
      <c r="X74" s="7" t="n">
        <v>0.197</v>
      </c>
      <c r="Y74" s="7" t="n">
        <v>-0.484</v>
      </c>
      <c r="Z74" s="7" t="n">
        <v>-0.006</v>
      </c>
      <c r="AA74" s="7" t="n">
        <v>-0.485</v>
      </c>
      <c r="AB74" s="7" t="n">
        <v>-0.058</v>
      </c>
      <c r="AC74" s="7" t="n">
        <v>0.243</v>
      </c>
      <c r="AD74" s="7" t="n">
        <v>0.337</v>
      </c>
      <c r="AE74" s="7" t="n">
        <v>-0.003</v>
      </c>
      <c r="AF74" s="7" t="n">
        <v>-0.458</v>
      </c>
      <c r="AG74" s="7" t="n">
        <v>-0.127</v>
      </c>
      <c r="AH74" s="7" t="n">
        <v>-0.104</v>
      </c>
      <c r="AI74" s="7" t="n">
        <v>0</v>
      </c>
      <c r="AJ74" s="7" t="n">
        <v>0.09</v>
      </c>
      <c r="AK74" s="7" t="n">
        <v>0.086</v>
      </c>
      <c r="AL74" s="7" t="n">
        <v>-0.119</v>
      </c>
      <c r="AM74" s="7" t="n">
        <v>0.42</v>
      </c>
      <c r="AN74" s="7" t="n">
        <v>-0.107</v>
      </c>
      <c r="AO74" s="7" t="n">
        <v>-0.629</v>
      </c>
      <c r="AP74" s="7" t="n">
        <v>-0.585</v>
      </c>
      <c r="AQ74" s="7" t="n">
        <v>0.146</v>
      </c>
      <c r="AR74" s="7" t="n">
        <v>-0.084</v>
      </c>
      <c r="AS74" s="7" t="n">
        <v>-0.506</v>
      </c>
      <c r="AT74" s="7" t="n">
        <v>0.156</v>
      </c>
      <c r="AU74" s="7" t="n">
        <v>0.019</v>
      </c>
      <c r="AV74" s="7" t="n">
        <v>-0.021</v>
      </c>
    </row>
    <row r="75" customFormat="false" ht="15" hidden="false" customHeight="false" outlineLevel="0" collapsed="false">
      <c r="A75" s="19" t="n">
        <v>46392</v>
      </c>
      <c r="B75" s="6" t="n">
        <v>1</v>
      </c>
      <c r="C75" s="6" t="s">
        <v>171</v>
      </c>
      <c r="D75" s="6" t="s">
        <v>194</v>
      </c>
      <c r="E75" s="6" t="s">
        <v>198</v>
      </c>
      <c r="F75" s="6" t="s">
        <v>179</v>
      </c>
      <c r="G75" s="7" t="n">
        <v>0.156</v>
      </c>
      <c r="H75" s="7" t="n">
        <v>-0.222</v>
      </c>
      <c r="I75" s="7" t="n">
        <v>0.136</v>
      </c>
      <c r="J75" s="7" t="n">
        <v>0.416</v>
      </c>
      <c r="K75" s="7" t="n">
        <v>0.064</v>
      </c>
      <c r="L75" s="7" t="n">
        <v>0.345</v>
      </c>
      <c r="M75" s="7" t="n">
        <v>-0.152</v>
      </c>
      <c r="N75" s="7" t="n">
        <v>-0.292</v>
      </c>
      <c r="O75" s="7" t="n">
        <v>-0.087</v>
      </c>
      <c r="P75" s="7" t="n">
        <v>0.349</v>
      </c>
      <c r="Q75" s="7" t="n">
        <v>0.043</v>
      </c>
      <c r="R75" s="7" t="n">
        <v>0.004</v>
      </c>
      <c r="S75" s="7" t="n">
        <v>0.322</v>
      </c>
      <c r="T75" s="7" t="n">
        <v>0.241</v>
      </c>
      <c r="U75" s="7" t="n">
        <v>0.304</v>
      </c>
      <c r="V75" s="7" t="n">
        <v>-0.003</v>
      </c>
      <c r="W75" s="7" t="n">
        <v>-0.176</v>
      </c>
      <c r="X75" s="7" t="n">
        <v>0.241</v>
      </c>
      <c r="Y75" s="7" t="n">
        <v>-0.35</v>
      </c>
      <c r="Z75" s="7" t="n">
        <v>-0.03</v>
      </c>
      <c r="AA75" s="7" t="n">
        <v>0.004</v>
      </c>
      <c r="AB75" s="7" t="n">
        <v>-0.043</v>
      </c>
      <c r="AC75" s="7" t="n">
        <v>0.253</v>
      </c>
      <c r="AD75" s="7" t="n">
        <v>0.387</v>
      </c>
      <c r="AE75" s="7" t="n">
        <v>0.404</v>
      </c>
      <c r="AF75" s="7" t="n">
        <v>-0.258</v>
      </c>
      <c r="AG75" s="7" t="n">
        <v>-0.044</v>
      </c>
      <c r="AH75" s="7" t="n">
        <v>-0.087</v>
      </c>
      <c r="AI75" s="7" t="n">
        <v>0.357</v>
      </c>
      <c r="AJ75" s="7" t="n">
        <v>0.388</v>
      </c>
      <c r="AK75" s="7" t="n">
        <v>0.075</v>
      </c>
      <c r="AL75" s="7" t="n">
        <v>-0.003</v>
      </c>
      <c r="AM75" s="7" t="n">
        <v>0.444</v>
      </c>
      <c r="AN75" s="7" t="n">
        <v>-0.085</v>
      </c>
      <c r="AO75" s="7" t="n">
        <v>-0.262</v>
      </c>
      <c r="AP75" s="7" t="n">
        <v>-0.334</v>
      </c>
      <c r="AQ75" s="7" t="n">
        <v>0.238</v>
      </c>
      <c r="AR75" s="7" t="n">
        <v>-0.062</v>
      </c>
      <c r="AS75" s="7" t="n">
        <v>-0.144</v>
      </c>
      <c r="AT75" s="7" t="n">
        <v>0.353</v>
      </c>
      <c r="AU75" s="7" t="n">
        <v>0.193</v>
      </c>
      <c r="AV75" s="7" t="n">
        <v>-0.02</v>
      </c>
    </row>
    <row r="76" customFormat="false" ht="15" hidden="false" customHeight="false" outlineLevel="0" collapsed="false">
      <c r="A76" s="19" t="n">
        <v>46393</v>
      </c>
      <c r="B76" s="6" t="n">
        <v>1</v>
      </c>
      <c r="C76" s="6" t="s">
        <v>195</v>
      </c>
      <c r="D76" s="6" t="s">
        <v>196</v>
      </c>
      <c r="E76" s="6" t="s">
        <v>198</v>
      </c>
      <c r="F76" s="6" t="s">
        <v>179</v>
      </c>
      <c r="G76" s="7" t="n">
        <v>-0.04</v>
      </c>
      <c r="H76" s="7" t="n">
        <v>-0.123</v>
      </c>
      <c r="I76" s="7" t="n">
        <v>-0.13</v>
      </c>
      <c r="J76" s="7" t="n">
        <v>-0.015</v>
      </c>
      <c r="K76" s="7" t="n">
        <v>0.156</v>
      </c>
      <c r="L76" s="7" t="n">
        <v>0.024</v>
      </c>
      <c r="M76" s="7" t="n">
        <v>-0.198</v>
      </c>
      <c r="N76" s="7" t="n">
        <v>-0.441</v>
      </c>
      <c r="O76" s="7" t="n">
        <v>0.243</v>
      </c>
      <c r="P76" s="7" t="n">
        <v>-0.161</v>
      </c>
      <c r="Q76" s="7" t="n">
        <v>-0.096</v>
      </c>
      <c r="R76" s="7" t="n">
        <v>0.088</v>
      </c>
      <c r="S76" s="7" t="n">
        <v>0.317</v>
      </c>
      <c r="T76" s="7" t="n">
        <v>0.297</v>
      </c>
      <c r="U76" s="7" t="n">
        <v>0.271</v>
      </c>
      <c r="V76" s="7" t="n">
        <v>0.011</v>
      </c>
      <c r="W76" s="7" t="n">
        <v>-0.356</v>
      </c>
      <c r="X76" s="7" t="n">
        <v>-0.184</v>
      </c>
      <c r="Y76" s="7" t="n">
        <v>-0.4</v>
      </c>
      <c r="Z76" s="7" t="n">
        <v>-0.017</v>
      </c>
      <c r="AA76" s="7" t="n">
        <v>-0.32</v>
      </c>
      <c r="AB76" s="7" t="n">
        <v>-0.018</v>
      </c>
      <c r="AC76" s="7" t="n">
        <v>0.011</v>
      </c>
      <c r="AD76" s="7" t="n">
        <v>0.202</v>
      </c>
      <c r="AE76" s="7" t="n">
        <v>-0.051</v>
      </c>
      <c r="AF76" s="7" t="n">
        <v>-0.331</v>
      </c>
      <c r="AG76" s="7" t="n">
        <v>0.143</v>
      </c>
      <c r="AH76" s="7" t="n">
        <v>-0.043</v>
      </c>
      <c r="AI76" s="7" t="n">
        <v>-0.272</v>
      </c>
      <c r="AJ76" s="7" t="n">
        <v>0.386</v>
      </c>
      <c r="AK76" s="7" t="n">
        <v>0.097</v>
      </c>
      <c r="AL76" s="7" t="n">
        <v>-0.11</v>
      </c>
      <c r="AM76" s="7" t="n">
        <v>0.573</v>
      </c>
      <c r="AN76" s="7" t="n">
        <v>-0.061</v>
      </c>
      <c r="AO76" s="7" t="n">
        <v>-0.507</v>
      </c>
      <c r="AP76" s="7" t="n">
        <v>-0.461</v>
      </c>
      <c r="AQ76" s="7" t="n">
        <v>0.178</v>
      </c>
      <c r="AR76" s="7" t="n">
        <v>-0.057</v>
      </c>
      <c r="AS76" s="7" t="n">
        <v>-0.394</v>
      </c>
      <c r="AT76" s="7" t="n">
        <v>0.274</v>
      </c>
      <c r="AU76" s="7" t="n">
        <v>0.011</v>
      </c>
      <c r="AV76" s="7" t="n">
        <v>0</v>
      </c>
    </row>
    <row r="77" customFormat="false" ht="15" hidden="false" customHeight="false" outlineLevel="0" collapsed="false">
      <c r="A77" s="19" t="n">
        <v>46394</v>
      </c>
      <c r="B77" s="6" t="n">
        <v>1</v>
      </c>
      <c r="C77" s="6" t="s">
        <v>195</v>
      </c>
      <c r="D77" s="6" t="s">
        <v>197</v>
      </c>
      <c r="E77" s="6" t="s">
        <v>198</v>
      </c>
      <c r="F77" s="6" t="s">
        <v>179</v>
      </c>
      <c r="G77" s="7" t="n">
        <v>-0.048</v>
      </c>
      <c r="H77" s="7" t="n">
        <v>-0.228</v>
      </c>
      <c r="I77" s="7" t="n">
        <v>-0.08</v>
      </c>
      <c r="J77" s="7" t="n">
        <v>-0.018</v>
      </c>
      <c r="K77" s="7" t="n">
        <v>0.008</v>
      </c>
      <c r="L77" s="7" t="n">
        <v>-0.025</v>
      </c>
      <c r="M77" s="7" t="n">
        <v>-0.23</v>
      </c>
      <c r="N77" s="7" t="n">
        <v>-0.314</v>
      </c>
      <c r="O77" s="7" t="n">
        <v>0.231</v>
      </c>
      <c r="P77" s="7" t="n">
        <v>-0.164</v>
      </c>
      <c r="Q77" s="7" t="n">
        <v>-0.271</v>
      </c>
      <c r="R77" s="7" t="n">
        <v>-0.069</v>
      </c>
      <c r="S77" s="7" t="n">
        <v>0.195</v>
      </c>
      <c r="T77" s="7" t="n">
        <v>0.169</v>
      </c>
      <c r="U77" s="7" t="n">
        <v>0.26</v>
      </c>
      <c r="V77" s="7" t="n">
        <v>-0.166</v>
      </c>
      <c r="W77" s="7" t="n">
        <v>-0.218</v>
      </c>
      <c r="X77" s="7" t="n">
        <v>-0.046</v>
      </c>
      <c r="Y77" s="7" t="n">
        <v>-0.115</v>
      </c>
      <c r="Z77" s="7" t="n">
        <v>0.06</v>
      </c>
      <c r="AA77" s="7" t="n">
        <v>-0.148</v>
      </c>
      <c r="AB77" s="7" t="n">
        <v>-0.2</v>
      </c>
      <c r="AC77" s="7" t="n">
        <v>0.209</v>
      </c>
      <c r="AD77" s="7" t="n">
        <v>0.298</v>
      </c>
      <c r="AE77" s="7" t="n">
        <v>-0.054</v>
      </c>
      <c r="AF77" s="7" t="n">
        <v>-0.164</v>
      </c>
      <c r="AG77" s="7" t="n">
        <v>0.121</v>
      </c>
      <c r="AH77" s="7" t="n">
        <v>-0.219</v>
      </c>
      <c r="AI77" s="7" t="n">
        <v>-0.107</v>
      </c>
      <c r="AJ77" s="7" t="n">
        <v>0.267</v>
      </c>
      <c r="AK77" s="7" t="n">
        <v>0.096</v>
      </c>
      <c r="AL77" s="7" t="n">
        <v>-0.111</v>
      </c>
      <c r="AM77" s="7" t="n">
        <v>0.533</v>
      </c>
      <c r="AN77" s="7" t="n">
        <v>-0.046</v>
      </c>
      <c r="AO77" s="7" t="n">
        <v>-0.349</v>
      </c>
      <c r="AP77" s="7" t="n">
        <v>-0.275</v>
      </c>
      <c r="AQ77" s="7" t="n">
        <v>0.126</v>
      </c>
      <c r="AR77" s="7" t="n">
        <v>-0.042</v>
      </c>
      <c r="AS77" s="7" t="n">
        <v>-0.254</v>
      </c>
      <c r="AT77" s="7" t="n">
        <v>0.218</v>
      </c>
      <c r="AU77" s="7" t="n">
        <v>0.004</v>
      </c>
      <c r="AV77" s="7" t="n">
        <v>-0.001</v>
      </c>
    </row>
    <row r="78" customFormat="false" ht="15" hidden="false" customHeight="false" outlineLevel="0" collapsed="false">
      <c r="A78" s="19" t="n">
        <v>46395</v>
      </c>
      <c r="B78" s="6" t="n">
        <v>1</v>
      </c>
      <c r="C78" s="6" t="s">
        <v>195</v>
      </c>
      <c r="D78" s="6" t="s">
        <v>199</v>
      </c>
      <c r="E78" s="6" t="s">
        <v>198</v>
      </c>
      <c r="F78" s="6" t="s">
        <v>179</v>
      </c>
      <c r="G78" s="7" t="n">
        <v>0.065</v>
      </c>
      <c r="H78" s="7" t="n">
        <v>-0.078</v>
      </c>
      <c r="I78" s="7" t="n">
        <v>-0.061</v>
      </c>
      <c r="J78" s="7" t="n">
        <v>-0.019</v>
      </c>
      <c r="K78" s="7" t="n">
        <v>0.082</v>
      </c>
      <c r="L78" s="7" t="n">
        <v>-0.004</v>
      </c>
      <c r="M78" s="7" t="n">
        <v>-0.187</v>
      </c>
      <c r="N78" s="7" t="n">
        <v>-0.269</v>
      </c>
      <c r="O78" s="7" t="n">
        <v>0.202</v>
      </c>
      <c r="P78" s="7" t="n">
        <v>-0.164</v>
      </c>
      <c r="Q78" s="7" t="n">
        <v>-0.03</v>
      </c>
      <c r="R78" s="7" t="n">
        <v>-0.03</v>
      </c>
      <c r="S78" s="7" t="n">
        <v>0.256</v>
      </c>
      <c r="T78" s="7" t="n">
        <v>0.554</v>
      </c>
      <c r="U78" s="7" t="n">
        <v>0.287</v>
      </c>
      <c r="V78" s="7" t="n">
        <v>0.097</v>
      </c>
      <c r="W78" s="7" t="n">
        <v>-0.175</v>
      </c>
      <c r="X78" s="7" t="n">
        <v>-0.049</v>
      </c>
      <c r="Y78" s="7" t="n">
        <v>-0.075</v>
      </c>
      <c r="Z78" s="7" t="n">
        <v>0.552</v>
      </c>
      <c r="AA78" s="7" t="n">
        <v>-0.099</v>
      </c>
      <c r="AB78" s="7" t="n">
        <v>0.032</v>
      </c>
      <c r="AC78" s="7" t="n">
        <v>0.221</v>
      </c>
      <c r="AD78" s="7" t="n">
        <v>0.618</v>
      </c>
      <c r="AE78" s="7" t="n">
        <v>-0.055</v>
      </c>
      <c r="AF78" s="7" t="n">
        <v>-0.138</v>
      </c>
      <c r="AG78" s="7" t="n">
        <v>0.068</v>
      </c>
      <c r="AH78" s="7" t="n">
        <v>0.023</v>
      </c>
      <c r="AI78" s="7" t="n">
        <v>-0.088</v>
      </c>
      <c r="AJ78" s="7" t="n">
        <v>0.332</v>
      </c>
      <c r="AK78" s="7" t="n">
        <v>0.084</v>
      </c>
      <c r="AL78" s="7" t="n">
        <v>0.339</v>
      </c>
      <c r="AM78" s="7" t="n">
        <v>0.841</v>
      </c>
      <c r="AN78" s="7" t="n">
        <v>-0.033</v>
      </c>
      <c r="AO78" s="7" t="n">
        <v>-0.301</v>
      </c>
      <c r="AP78" s="7" t="n">
        <v>-0.247</v>
      </c>
      <c r="AQ78" s="7" t="n">
        <v>0.501</v>
      </c>
      <c r="AR78" s="7" t="n">
        <v>-0.043</v>
      </c>
      <c r="AS78" s="7" t="n">
        <v>-0.211</v>
      </c>
      <c r="AT78" s="7" t="n">
        <v>0.555</v>
      </c>
      <c r="AU78" s="7" t="n">
        <v>-0.001</v>
      </c>
      <c r="AV78" s="7" t="n">
        <v>0.014</v>
      </c>
    </row>
    <row r="79" customFormat="false" ht="15" hidden="false" customHeight="false" outlineLevel="0" collapsed="false">
      <c r="A79" s="19" t="n">
        <v>46396</v>
      </c>
      <c r="B79" s="6" t="n">
        <v>0</v>
      </c>
      <c r="C79" s="6" t="s">
        <v>198</v>
      </c>
      <c r="D79" s="6" t="s">
        <v>200</v>
      </c>
      <c r="E79" s="6" t="s">
        <v>198</v>
      </c>
      <c r="F79" s="6" t="s">
        <v>179</v>
      </c>
      <c r="G79" s="7" t="n">
        <v>-0.217</v>
      </c>
      <c r="H79" s="7" t="n">
        <v>-0.277</v>
      </c>
      <c r="I79" s="7" t="n">
        <v>-0.07</v>
      </c>
      <c r="J79" s="7" t="n">
        <v>0.022</v>
      </c>
      <c r="K79" s="7" t="n">
        <v>-0.128</v>
      </c>
      <c r="L79" s="7" t="n">
        <v>-0.011</v>
      </c>
      <c r="M79" s="7" t="n">
        <v>-0.14</v>
      </c>
      <c r="N79" s="7" t="n">
        <v>-0.512</v>
      </c>
      <c r="O79" s="7" t="n">
        <v>-0.127</v>
      </c>
      <c r="P79" s="7" t="n">
        <v>-0.127</v>
      </c>
      <c r="Q79" s="7" t="n">
        <v>-0.286</v>
      </c>
      <c r="R79" s="7" t="n">
        <v>0.02</v>
      </c>
      <c r="S79" s="7" t="n">
        <v>-0.21</v>
      </c>
      <c r="T79" s="7" t="n">
        <v>-0.156</v>
      </c>
      <c r="U79" s="7" t="n">
        <v>0.284</v>
      </c>
      <c r="V79" s="7" t="n">
        <v>0.116</v>
      </c>
      <c r="W79" s="7" t="n">
        <v>-0.186</v>
      </c>
      <c r="X79" s="7" t="n">
        <v>-0.011</v>
      </c>
      <c r="Y79" s="7" t="n">
        <v>-0.192</v>
      </c>
      <c r="Z79" s="7" t="n">
        <v>-0.035</v>
      </c>
      <c r="AA79" s="7" t="n">
        <v>-0.163</v>
      </c>
      <c r="AB79" s="7" t="n">
        <v>0.045</v>
      </c>
      <c r="AC79" s="7" t="n">
        <v>0.215</v>
      </c>
      <c r="AD79" s="7" t="n">
        <v>0.03</v>
      </c>
      <c r="AE79" s="7" t="n">
        <v>-0.014</v>
      </c>
      <c r="AF79" s="7" t="n">
        <v>-0.143</v>
      </c>
      <c r="AG79" s="7" t="n">
        <v>-0.445</v>
      </c>
      <c r="AH79" s="7" t="n">
        <v>0.037</v>
      </c>
      <c r="AI79" s="7" t="n">
        <v>-0.189</v>
      </c>
      <c r="AJ79" s="7" t="n">
        <v>0.124</v>
      </c>
      <c r="AK79" s="7" t="n">
        <v>0.065</v>
      </c>
      <c r="AL79" s="7" t="n">
        <v>-0.289</v>
      </c>
      <c r="AM79" s="7" t="n">
        <v>0.404</v>
      </c>
      <c r="AN79" s="7" t="n">
        <v>-0.328</v>
      </c>
      <c r="AO79" s="7" t="n">
        <v>-0.529</v>
      </c>
      <c r="AP79" s="7" t="n">
        <v>-0.453</v>
      </c>
      <c r="AQ79" s="7" t="n">
        <v>0.101</v>
      </c>
      <c r="AR79" s="7" t="n">
        <v>-0.343</v>
      </c>
      <c r="AS79" s="7" t="n">
        <v>-0.184</v>
      </c>
      <c r="AT79" s="7" t="n">
        <v>0.154</v>
      </c>
      <c r="AU79" s="7" t="n">
        <v>0.037</v>
      </c>
      <c r="AV79" s="7" t="n">
        <v>0.016</v>
      </c>
    </row>
    <row r="80" customFormat="false" ht="15" hidden="false" customHeight="false" outlineLevel="0" collapsed="false">
      <c r="A80" s="19" t="n">
        <v>46397</v>
      </c>
      <c r="B80" s="6" t="n">
        <v>0</v>
      </c>
      <c r="C80" s="6" t="s">
        <v>198</v>
      </c>
      <c r="D80" s="6" t="s">
        <v>200</v>
      </c>
      <c r="E80" s="6" t="s">
        <v>198</v>
      </c>
      <c r="F80" s="6" t="s">
        <v>179</v>
      </c>
      <c r="G80" s="7" t="n">
        <v>-0.237</v>
      </c>
      <c r="H80" s="7" t="n">
        <v>-0.385</v>
      </c>
      <c r="I80" s="7" t="n">
        <v>-0.07</v>
      </c>
      <c r="J80" s="7" t="n">
        <v>-0.057</v>
      </c>
      <c r="K80" s="7" t="n">
        <v>-0.167</v>
      </c>
      <c r="L80" s="7" t="n">
        <v>-0.011</v>
      </c>
      <c r="M80" s="7" t="n">
        <v>-0.023</v>
      </c>
      <c r="N80" s="7" t="n">
        <v>-0.492</v>
      </c>
      <c r="O80" s="7" t="n">
        <v>-0.144</v>
      </c>
      <c r="P80" s="7" t="n">
        <v>-0.182</v>
      </c>
      <c r="Q80" s="7" t="n">
        <v>-0.374</v>
      </c>
      <c r="R80" s="7" t="n">
        <v>-0.113</v>
      </c>
      <c r="S80" s="7" t="n">
        <v>-0.287</v>
      </c>
      <c r="T80" s="7" t="n">
        <v>-0.186</v>
      </c>
      <c r="U80" s="7" t="n">
        <v>0.246</v>
      </c>
      <c r="V80" s="7" t="n">
        <v>0.059</v>
      </c>
      <c r="W80" s="7" t="n">
        <v>-0.054</v>
      </c>
      <c r="X80" s="7" t="n">
        <v>-0.089</v>
      </c>
      <c r="Y80" s="7" t="n">
        <v>-0.127</v>
      </c>
      <c r="Z80" s="7" t="n">
        <v>-0.076</v>
      </c>
      <c r="AA80" s="7" t="n">
        <v>-0.033</v>
      </c>
      <c r="AB80" s="7" t="n">
        <v>0.045</v>
      </c>
      <c r="AC80" s="7" t="n">
        <v>0.214</v>
      </c>
      <c r="AD80" s="7" t="n">
        <v>0.097</v>
      </c>
      <c r="AE80" s="7" t="n">
        <v>-0.076</v>
      </c>
      <c r="AF80" s="7" t="n">
        <v>-0.015</v>
      </c>
      <c r="AG80" s="7" t="n">
        <v>-0.476</v>
      </c>
      <c r="AH80" s="7" t="n">
        <v>0.046</v>
      </c>
      <c r="AI80" s="7" t="n">
        <v>-0.252</v>
      </c>
      <c r="AJ80" s="7" t="n">
        <v>0.093</v>
      </c>
      <c r="AK80" s="7" t="n">
        <v>0.075</v>
      </c>
      <c r="AL80" s="7" t="n">
        <v>-0.178</v>
      </c>
      <c r="AM80" s="7" t="n">
        <v>0.426</v>
      </c>
      <c r="AN80" s="7" t="n">
        <v>-0.375</v>
      </c>
      <c r="AO80" s="7" t="n">
        <v>-0.531</v>
      </c>
      <c r="AP80" s="7" t="n">
        <v>-0.455</v>
      </c>
      <c r="AQ80" s="7" t="n">
        <v>0.108</v>
      </c>
      <c r="AR80" s="7" t="n">
        <v>-0.397</v>
      </c>
      <c r="AS80" s="7" t="n">
        <v>-0.107</v>
      </c>
      <c r="AT80" s="7" t="n">
        <v>0.114</v>
      </c>
      <c r="AU80" s="7" t="n">
        <v>-0.026</v>
      </c>
      <c r="AV80" s="7" t="n">
        <v>0.025</v>
      </c>
    </row>
    <row r="81" customFormat="false" ht="15" hidden="false" customHeight="false" outlineLevel="0" collapsed="false">
      <c r="A81" s="19" t="n">
        <v>46398</v>
      </c>
      <c r="B81" s="6" t="n">
        <v>1</v>
      </c>
      <c r="C81" s="6" t="s">
        <v>202</v>
      </c>
      <c r="D81" s="6" t="s">
        <v>201</v>
      </c>
      <c r="E81" s="6" t="s">
        <v>198</v>
      </c>
      <c r="F81" s="6" t="s">
        <v>179</v>
      </c>
      <c r="G81" s="7" t="n">
        <v>0.188</v>
      </c>
      <c r="H81" s="7" t="n">
        <v>-0.312</v>
      </c>
      <c r="I81" s="7" t="n">
        <v>0.437</v>
      </c>
      <c r="J81" s="7" t="n">
        <v>0.208</v>
      </c>
      <c r="K81" s="7" t="n">
        <v>0.016</v>
      </c>
      <c r="L81" s="7" t="n">
        <v>0.428</v>
      </c>
      <c r="M81" s="7" t="n">
        <v>0.309</v>
      </c>
      <c r="N81" s="7" t="n">
        <v>0.251</v>
      </c>
      <c r="O81" s="7" t="n">
        <v>0.024</v>
      </c>
      <c r="P81" s="7" t="n">
        <v>-0.16</v>
      </c>
      <c r="Q81" s="7" t="n">
        <v>-0.006</v>
      </c>
      <c r="R81" s="7" t="n">
        <v>-0.074</v>
      </c>
      <c r="S81" s="7" t="n">
        <v>-0.19</v>
      </c>
      <c r="T81" s="7" t="n">
        <v>0.513</v>
      </c>
      <c r="U81" s="7" t="n">
        <v>0.449</v>
      </c>
      <c r="V81" s="7" t="n">
        <v>0.05</v>
      </c>
      <c r="W81" s="7" t="n">
        <v>0.313</v>
      </c>
      <c r="X81" s="7" t="n">
        <v>-0.223</v>
      </c>
      <c r="Y81" s="7" t="n">
        <v>-0.26</v>
      </c>
      <c r="Z81" s="7" t="n">
        <v>-0.063</v>
      </c>
      <c r="AA81" s="7" t="n">
        <v>0.386</v>
      </c>
      <c r="AB81" s="7" t="n">
        <v>0.045</v>
      </c>
      <c r="AC81" s="7" t="n">
        <v>0.427</v>
      </c>
      <c r="AD81" s="7" t="n">
        <v>0.217</v>
      </c>
      <c r="AE81" s="7" t="n">
        <v>-0.051</v>
      </c>
      <c r="AF81" s="7" t="n">
        <v>-0.122</v>
      </c>
      <c r="AG81" s="7" t="n">
        <v>0.004</v>
      </c>
      <c r="AH81" s="7" t="n">
        <v>0.04</v>
      </c>
      <c r="AI81" s="7" t="n">
        <v>0.389</v>
      </c>
      <c r="AJ81" s="7" t="n">
        <v>0.13</v>
      </c>
      <c r="AK81" s="7" t="n">
        <v>0.068</v>
      </c>
      <c r="AL81" s="7" t="n">
        <v>-0.184</v>
      </c>
      <c r="AM81" s="7" t="n">
        <v>0.492</v>
      </c>
      <c r="AN81" s="7" t="n">
        <v>0.029</v>
      </c>
      <c r="AO81" s="7" t="n">
        <v>0.076</v>
      </c>
      <c r="AP81" s="7" t="n">
        <v>-0.402</v>
      </c>
      <c r="AQ81" s="7" t="n">
        <v>0.475</v>
      </c>
      <c r="AR81" s="7" t="n">
        <v>0.015</v>
      </c>
      <c r="AS81" s="7" t="n">
        <v>0.16</v>
      </c>
      <c r="AT81" s="7" t="n">
        <v>0.158</v>
      </c>
      <c r="AU81" s="7" t="n">
        <v>0</v>
      </c>
      <c r="AV81" s="7" t="n">
        <v>0.018</v>
      </c>
    </row>
    <row r="82" customFormat="false" ht="15" hidden="false" customHeight="false" outlineLevel="0" collapsed="false">
      <c r="A82" s="19" t="n">
        <v>46399</v>
      </c>
      <c r="B82" s="6" t="n">
        <v>1</v>
      </c>
      <c r="C82" s="6" t="s">
        <v>202</v>
      </c>
      <c r="D82" s="6" t="s">
        <v>203</v>
      </c>
      <c r="E82" s="6" t="s">
        <v>198</v>
      </c>
      <c r="F82" s="6" t="s">
        <v>179</v>
      </c>
      <c r="G82" s="7" t="n">
        <v>-0.01</v>
      </c>
      <c r="H82" s="7" t="n">
        <v>-0.324</v>
      </c>
      <c r="I82" s="7" t="n">
        <v>-0.075</v>
      </c>
      <c r="J82" s="7" t="n">
        <v>0.232</v>
      </c>
      <c r="K82" s="7" t="n">
        <v>-0.009</v>
      </c>
      <c r="L82" s="7" t="n">
        <v>-0.013</v>
      </c>
      <c r="M82" s="7" t="n">
        <v>0.14</v>
      </c>
      <c r="N82" s="7" t="n">
        <v>-0.213</v>
      </c>
      <c r="O82" s="7" t="n">
        <v>0.01</v>
      </c>
      <c r="P82" s="7" t="n">
        <v>-0.156</v>
      </c>
      <c r="Q82" s="7" t="n">
        <v>-0.007</v>
      </c>
      <c r="R82" s="7" t="n">
        <v>-0.071</v>
      </c>
      <c r="S82" s="7" t="n">
        <v>-0.219</v>
      </c>
      <c r="T82" s="7" t="n">
        <v>0.117</v>
      </c>
      <c r="U82" s="7" t="n">
        <v>0.23</v>
      </c>
      <c r="V82" s="7" t="n">
        <v>0.032</v>
      </c>
      <c r="W82" s="7" t="n">
        <v>0.143</v>
      </c>
      <c r="X82" s="7" t="n">
        <v>-0.217</v>
      </c>
      <c r="Y82" s="7" t="n">
        <v>-0.299</v>
      </c>
      <c r="Z82" s="7" t="n">
        <v>0.307</v>
      </c>
      <c r="AA82" s="7" t="n">
        <v>0.296</v>
      </c>
      <c r="AB82" s="7" t="n">
        <v>0.054</v>
      </c>
      <c r="AC82" s="7" t="n">
        <v>0.225</v>
      </c>
      <c r="AD82" s="7" t="n">
        <v>0.464</v>
      </c>
      <c r="AE82" s="7" t="n">
        <v>-0.047</v>
      </c>
      <c r="AF82" s="7" t="n">
        <v>0.189</v>
      </c>
      <c r="AG82" s="7" t="n">
        <v>-0.026</v>
      </c>
      <c r="AH82" s="7" t="n">
        <v>0.05</v>
      </c>
      <c r="AI82" s="7" t="n">
        <v>0.338</v>
      </c>
      <c r="AJ82" s="7" t="n">
        <v>0.113</v>
      </c>
      <c r="AK82" s="7" t="n">
        <v>0.065</v>
      </c>
      <c r="AL82" s="7" t="n">
        <v>-0.2</v>
      </c>
      <c r="AM82" s="7" t="n">
        <v>0.468</v>
      </c>
      <c r="AN82" s="7" t="n">
        <v>0.009</v>
      </c>
      <c r="AO82" s="7" t="n">
        <v>-0.479</v>
      </c>
      <c r="AP82" s="7" t="n">
        <v>-0.437</v>
      </c>
      <c r="AQ82" s="7" t="n">
        <v>0.082</v>
      </c>
      <c r="AR82" s="7" t="n">
        <v>-0.005</v>
      </c>
      <c r="AS82" s="7" t="n">
        <v>-0.068</v>
      </c>
      <c r="AT82" s="7" t="n">
        <v>0.145</v>
      </c>
      <c r="AU82" s="7" t="n">
        <v>0</v>
      </c>
      <c r="AV82" s="7" t="n">
        <v>0.019</v>
      </c>
    </row>
    <row r="83" customFormat="false" ht="15" hidden="false" customHeight="false" outlineLevel="0" collapsed="false">
      <c r="A83" s="19" t="n">
        <v>46400</v>
      </c>
      <c r="B83" s="6" t="n">
        <v>1</v>
      </c>
      <c r="C83" s="6" t="s">
        <v>202</v>
      </c>
      <c r="D83" s="6" t="s">
        <v>204</v>
      </c>
      <c r="E83" s="6" t="s">
        <v>202</v>
      </c>
      <c r="F83" s="6" t="s">
        <v>179</v>
      </c>
      <c r="G83" s="7" t="n">
        <v>0.251</v>
      </c>
      <c r="H83" s="7" t="n">
        <v>0.106</v>
      </c>
      <c r="I83" s="7" t="n">
        <v>0.002</v>
      </c>
      <c r="J83" s="7" t="n">
        <v>0.25</v>
      </c>
      <c r="K83" s="7" t="n">
        <v>0.496</v>
      </c>
      <c r="L83" s="7" t="n">
        <v>0.154</v>
      </c>
      <c r="M83" s="7" t="n">
        <v>-0.199</v>
      </c>
      <c r="N83" s="7" t="n">
        <v>-0.319</v>
      </c>
      <c r="O83" s="7" t="n">
        <v>0.382</v>
      </c>
      <c r="P83" s="7" t="n">
        <v>0.035</v>
      </c>
      <c r="Q83" s="7" t="n">
        <v>-0.033</v>
      </c>
      <c r="R83" s="7" t="n">
        <v>0.434</v>
      </c>
      <c r="S83" s="7" t="n">
        <v>0.343</v>
      </c>
      <c r="T83" s="7" t="n">
        <v>0.504</v>
      </c>
      <c r="U83" s="7" t="n">
        <v>0.116</v>
      </c>
      <c r="V83" s="7" t="n">
        <v>0.113</v>
      </c>
      <c r="W83" s="7" t="n">
        <v>-0.19</v>
      </c>
      <c r="X83" s="7" t="n">
        <v>-0.165</v>
      </c>
      <c r="Y83" s="7" t="n">
        <v>-0.086</v>
      </c>
      <c r="Z83" s="7" t="n">
        <v>0.159</v>
      </c>
      <c r="AA83" s="7" t="n">
        <v>-0.159</v>
      </c>
      <c r="AB83" s="7" t="n">
        <v>0.054</v>
      </c>
      <c r="AC83" s="7" t="n">
        <v>0.039</v>
      </c>
      <c r="AD83" s="7" t="n">
        <v>0.248</v>
      </c>
      <c r="AE83" s="7" t="n">
        <v>0.035</v>
      </c>
      <c r="AF83" s="7" t="n">
        <v>-0.146</v>
      </c>
      <c r="AG83" s="7" t="n">
        <v>0.338</v>
      </c>
      <c r="AH83" s="7" t="n">
        <v>0.052</v>
      </c>
      <c r="AI83" s="7" t="n">
        <v>0.108</v>
      </c>
      <c r="AJ83" s="7" t="n">
        <v>0.53</v>
      </c>
      <c r="AK83" s="7" t="n">
        <v>0.07</v>
      </c>
      <c r="AL83" s="7" t="n">
        <v>-0.253</v>
      </c>
      <c r="AM83" s="7" t="n">
        <v>0.757</v>
      </c>
      <c r="AN83" s="7" t="n">
        <v>-0.058</v>
      </c>
      <c r="AO83" s="7" t="n">
        <v>-0.532</v>
      </c>
      <c r="AP83" s="7" t="n">
        <v>-0.463</v>
      </c>
      <c r="AQ83" s="7" t="n">
        <v>0.457</v>
      </c>
      <c r="AR83" s="7" t="n">
        <v>-0.073</v>
      </c>
      <c r="AS83" s="7" t="n">
        <v>-0.416</v>
      </c>
      <c r="AT83" s="7" t="n">
        <v>0.52</v>
      </c>
      <c r="AU83" s="7" t="n">
        <v>0</v>
      </c>
      <c r="AV83" s="7" t="n">
        <v>0.02</v>
      </c>
    </row>
    <row r="84" customFormat="false" ht="15" hidden="false" customHeight="false" outlineLevel="0" collapsed="false">
      <c r="A84" s="19" t="n">
        <v>46401</v>
      </c>
      <c r="B84" s="6" t="n">
        <v>1</v>
      </c>
      <c r="C84" s="6" t="s">
        <v>205</v>
      </c>
      <c r="D84" s="6" t="s">
        <v>206</v>
      </c>
      <c r="E84" s="6" t="s">
        <v>202</v>
      </c>
      <c r="F84" s="6" t="s">
        <v>179</v>
      </c>
      <c r="G84" s="7" t="n">
        <v>-0.2</v>
      </c>
      <c r="H84" s="7" t="n">
        <v>-0.513</v>
      </c>
      <c r="I84" s="7" t="n">
        <v>-0.038</v>
      </c>
      <c r="J84" s="7" t="n">
        <v>0.073</v>
      </c>
      <c r="K84" s="7" t="n">
        <v>-0.023</v>
      </c>
      <c r="L84" s="7" t="n">
        <v>0.043</v>
      </c>
      <c r="M84" s="7" t="n">
        <v>-0.536</v>
      </c>
      <c r="N84" s="7" t="n">
        <v>-0.663</v>
      </c>
      <c r="O84" s="7" t="n">
        <v>-0.215</v>
      </c>
      <c r="P84" s="7" t="n">
        <v>0.038</v>
      </c>
      <c r="Q84" s="7" t="n">
        <v>-0.101</v>
      </c>
      <c r="R84" s="7" t="n">
        <v>0.206</v>
      </c>
      <c r="S84" s="7" t="n">
        <v>-0.088</v>
      </c>
      <c r="T84" s="7" t="n">
        <v>-0.098</v>
      </c>
      <c r="U84" s="7" t="n">
        <v>0.138</v>
      </c>
      <c r="V84" s="7" t="n">
        <v>0.09</v>
      </c>
      <c r="W84" s="7" t="n">
        <v>-0.515</v>
      </c>
      <c r="X84" s="7" t="n">
        <v>0.036</v>
      </c>
      <c r="Y84" s="7" t="n">
        <v>-0.44</v>
      </c>
      <c r="Z84" s="7" t="n">
        <v>0.129</v>
      </c>
      <c r="AA84" s="7" t="n">
        <v>-0.551</v>
      </c>
      <c r="AB84" s="7" t="n">
        <v>0.054</v>
      </c>
      <c r="AC84" s="7" t="n">
        <v>0.047</v>
      </c>
      <c r="AD84" s="7" t="n">
        <v>0.12</v>
      </c>
      <c r="AE84" s="7" t="n">
        <v>0.038</v>
      </c>
      <c r="AF84" s="7" t="n">
        <v>-0.431</v>
      </c>
      <c r="AG84" s="7" t="n">
        <v>-0.211</v>
      </c>
      <c r="AH84" s="7" t="n">
        <v>-0.012</v>
      </c>
      <c r="AI84" s="7" t="n">
        <v>-0.045</v>
      </c>
      <c r="AJ84" s="7" t="n">
        <v>0.126</v>
      </c>
      <c r="AK84" s="7" t="n">
        <v>0.047</v>
      </c>
      <c r="AL84" s="7" t="n">
        <v>-0.117</v>
      </c>
      <c r="AM84" s="7" t="n">
        <v>0.193</v>
      </c>
      <c r="AN84" s="7" t="n">
        <v>-0.189</v>
      </c>
      <c r="AO84" s="7" t="n">
        <v>-0.727</v>
      </c>
      <c r="AP84" s="7" t="n">
        <v>-0.638</v>
      </c>
      <c r="AQ84" s="7" t="n">
        <v>0.008</v>
      </c>
      <c r="AR84" s="7" t="n">
        <v>-0.181</v>
      </c>
      <c r="AS84" s="7" t="n">
        <v>-0.608</v>
      </c>
      <c r="AT84" s="7" t="n">
        <v>0.093</v>
      </c>
      <c r="AU84" s="7" t="n">
        <v>0</v>
      </c>
      <c r="AV84" s="7" t="n">
        <v>-0.005</v>
      </c>
    </row>
    <row r="85" customFormat="false" ht="15" hidden="false" customHeight="false" outlineLevel="0" collapsed="false">
      <c r="A85" s="19" t="n">
        <v>46402</v>
      </c>
      <c r="B85" s="6" t="n">
        <v>1</v>
      </c>
      <c r="C85" s="6" t="s">
        <v>205</v>
      </c>
      <c r="D85" s="6" t="s">
        <v>207</v>
      </c>
      <c r="E85" s="6" t="s">
        <v>202</v>
      </c>
      <c r="F85" s="6" t="s">
        <v>179</v>
      </c>
      <c r="G85" s="7" t="n">
        <v>0.367</v>
      </c>
      <c r="H85" s="7" t="n">
        <v>0.187</v>
      </c>
      <c r="I85" s="7" t="n">
        <v>-0.013</v>
      </c>
      <c r="J85" s="7" t="n">
        <v>0.546</v>
      </c>
      <c r="K85" s="7" t="n">
        <v>0.488</v>
      </c>
      <c r="L85" s="7" t="n">
        <v>0.044</v>
      </c>
      <c r="M85" s="7" t="n">
        <v>-0.265</v>
      </c>
      <c r="N85" s="7" t="n">
        <v>-0.254</v>
      </c>
      <c r="O85" s="7" t="n">
        <v>0.168</v>
      </c>
      <c r="P85" s="7" t="n">
        <v>0.511</v>
      </c>
      <c r="Q85" s="7" t="n">
        <v>0.294</v>
      </c>
      <c r="R85" s="7" t="n">
        <v>0.394</v>
      </c>
      <c r="S85" s="7" t="n">
        <v>0.401</v>
      </c>
      <c r="T85" s="7" t="n">
        <v>0.458</v>
      </c>
      <c r="U85" s="7" t="n">
        <v>0.034</v>
      </c>
      <c r="V85" s="7" t="n">
        <v>0.094</v>
      </c>
      <c r="W85" s="7" t="n">
        <v>-0.25</v>
      </c>
      <c r="X85" s="7" t="n">
        <v>0.446</v>
      </c>
      <c r="Y85" s="7" t="n">
        <v>-0.035</v>
      </c>
      <c r="Z85" s="7" t="n">
        <v>0.184</v>
      </c>
      <c r="AA85" s="7" t="n">
        <v>-0.287</v>
      </c>
      <c r="AB85" s="7" t="n">
        <v>0.055</v>
      </c>
      <c r="AC85" s="7" t="n">
        <v>0.025</v>
      </c>
      <c r="AD85" s="7" t="n">
        <v>0.126</v>
      </c>
      <c r="AE85" s="7" t="n">
        <v>0.511</v>
      </c>
      <c r="AF85" s="7" t="n">
        <v>-0.194</v>
      </c>
      <c r="AG85" s="7" t="n">
        <v>0.119</v>
      </c>
      <c r="AH85" s="7" t="n">
        <v>0.106</v>
      </c>
      <c r="AI85" s="7" t="n">
        <v>0.416</v>
      </c>
      <c r="AJ85" s="7" t="n">
        <v>0.501</v>
      </c>
      <c r="AK85" s="7" t="n">
        <v>0.292</v>
      </c>
      <c r="AL85" s="7" t="n">
        <v>-0.135</v>
      </c>
      <c r="AM85" s="7" t="n">
        <v>0.303</v>
      </c>
      <c r="AN85" s="7" t="n">
        <v>-0.12</v>
      </c>
      <c r="AO85" s="7" t="n">
        <v>-0.385</v>
      </c>
      <c r="AP85" s="7" t="n">
        <v>-0.357</v>
      </c>
      <c r="AQ85" s="7" t="n">
        <v>0.048</v>
      </c>
      <c r="AR85" s="7" t="n">
        <v>-0.138</v>
      </c>
      <c r="AS85" s="7" t="n">
        <v>-0.365</v>
      </c>
      <c r="AT85" s="7" t="n">
        <v>0.49</v>
      </c>
      <c r="AU85" s="7" t="n">
        <v>0.337</v>
      </c>
      <c r="AV85" s="7" t="n">
        <v>0.023</v>
      </c>
    </row>
    <row r="86" customFormat="false" ht="15" hidden="false" customHeight="false" outlineLevel="0" collapsed="false">
      <c r="A86" s="19" t="n">
        <v>46403</v>
      </c>
      <c r="B86" s="6" t="n">
        <v>0</v>
      </c>
      <c r="C86" s="6" t="s">
        <v>169</v>
      </c>
      <c r="D86" s="6" t="s">
        <v>208</v>
      </c>
      <c r="E86" s="6" t="s">
        <v>202</v>
      </c>
      <c r="F86" s="6" t="s">
        <v>179</v>
      </c>
      <c r="G86" s="7" t="n">
        <v>0.179</v>
      </c>
      <c r="H86" s="7" t="n">
        <v>-0.257</v>
      </c>
      <c r="I86" s="7" t="n">
        <v>0.348</v>
      </c>
      <c r="J86" s="7" t="n">
        <v>0.126</v>
      </c>
      <c r="K86" s="7" t="n">
        <v>-0.031</v>
      </c>
      <c r="L86" s="7" t="n">
        <v>0.414</v>
      </c>
      <c r="M86" s="7" t="n">
        <v>0.144</v>
      </c>
      <c r="N86" s="7" t="n">
        <v>0.08</v>
      </c>
      <c r="O86" s="7" t="n">
        <v>-0.147</v>
      </c>
      <c r="P86" s="7" t="n">
        <v>0.075</v>
      </c>
      <c r="Q86" s="7" t="n">
        <v>0.023</v>
      </c>
      <c r="R86" s="7" t="n">
        <v>0.173</v>
      </c>
      <c r="S86" s="7" t="n">
        <v>-0.12</v>
      </c>
      <c r="T86" s="7" t="n">
        <v>-0.053</v>
      </c>
      <c r="U86" s="7" t="n">
        <v>0.266</v>
      </c>
      <c r="V86" s="7" t="n">
        <v>0.094</v>
      </c>
      <c r="W86" s="7" t="n">
        <v>0.169</v>
      </c>
      <c r="X86" s="7" t="n">
        <v>0.316</v>
      </c>
      <c r="Y86" s="7" t="n">
        <v>0.015</v>
      </c>
      <c r="Z86" s="7" t="n">
        <v>0.183</v>
      </c>
      <c r="AA86" s="7" t="n">
        <v>0.209</v>
      </c>
      <c r="AB86" s="7" t="n">
        <v>0.056</v>
      </c>
      <c r="AC86" s="7" t="n">
        <v>0.256</v>
      </c>
      <c r="AD86" s="7" t="n">
        <v>0.248</v>
      </c>
      <c r="AE86" s="7" t="n">
        <v>0.09</v>
      </c>
      <c r="AF86" s="7" t="n">
        <v>-0.029</v>
      </c>
      <c r="AG86" s="7" t="n">
        <v>-0.064</v>
      </c>
      <c r="AH86" s="7" t="n">
        <v>0.056</v>
      </c>
      <c r="AI86" s="7" t="n">
        <v>0.293</v>
      </c>
      <c r="AJ86" s="7" t="n">
        <v>0.072</v>
      </c>
      <c r="AK86" s="7" t="n">
        <v>0.078</v>
      </c>
      <c r="AL86" s="7" t="n">
        <v>0.107</v>
      </c>
      <c r="AM86" s="7" t="n">
        <v>0.26</v>
      </c>
      <c r="AN86" s="7" t="n">
        <v>-0.037</v>
      </c>
      <c r="AO86" s="7" t="n">
        <v>-0.084</v>
      </c>
      <c r="AP86" s="7" t="n">
        <v>-0.28</v>
      </c>
      <c r="AQ86" s="7" t="n">
        <v>0.294</v>
      </c>
      <c r="AR86" s="7" t="n">
        <v>-0.055</v>
      </c>
      <c r="AS86" s="7" t="n">
        <v>0.024</v>
      </c>
      <c r="AT86" s="7" t="n">
        <v>0.15</v>
      </c>
      <c r="AU86" s="7" t="n">
        <v>0.034</v>
      </c>
      <c r="AV86" s="7" t="n">
        <v>0.023</v>
      </c>
    </row>
    <row r="87" customFormat="false" ht="15" hidden="false" customHeight="false" outlineLevel="0" collapsed="false">
      <c r="A87" s="19" t="n">
        <v>46404</v>
      </c>
      <c r="B87" s="6" t="n">
        <v>0</v>
      </c>
      <c r="C87" s="6" t="s">
        <v>169</v>
      </c>
      <c r="D87" s="6" t="s">
        <v>170</v>
      </c>
      <c r="E87" s="6" t="s">
        <v>202</v>
      </c>
      <c r="F87" s="6" t="s">
        <v>179</v>
      </c>
      <c r="G87" s="7" t="n">
        <v>0.47</v>
      </c>
      <c r="H87" s="7" t="n">
        <v>0.233</v>
      </c>
      <c r="I87" s="7" t="n">
        <v>0.364</v>
      </c>
      <c r="J87" s="7" t="n">
        <v>0.133</v>
      </c>
      <c r="K87" s="7" t="n">
        <v>0.447</v>
      </c>
      <c r="L87" s="7" t="n">
        <v>0.424</v>
      </c>
      <c r="M87" s="7" t="n">
        <v>0.154</v>
      </c>
      <c r="N87" s="7" t="n">
        <v>0.076</v>
      </c>
      <c r="O87" s="7" t="n">
        <v>-0.12</v>
      </c>
      <c r="P87" s="7" t="n">
        <v>0.075</v>
      </c>
      <c r="Q87" s="7" t="n">
        <v>0.301</v>
      </c>
      <c r="R87" s="7" t="n">
        <v>0.098</v>
      </c>
      <c r="S87" s="7" t="n">
        <v>0.359</v>
      </c>
      <c r="T87" s="7" t="n">
        <v>0.38</v>
      </c>
      <c r="U87" s="7" t="n">
        <v>0.439</v>
      </c>
      <c r="V87" s="7" t="n">
        <v>0.374</v>
      </c>
      <c r="W87" s="7" t="n">
        <v>0.158</v>
      </c>
      <c r="X87" s="7" t="n">
        <v>0.092</v>
      </c>
      <c r="Y87" s="7" t="n">
        <v>0.009</v>
      </c>
      <c r="Z87" s="7" t="n">
        <v>0.541</v>
      </c>
      <c r="AA87" s="7" t="n">
        <v>0.188</v>
      </c>
      <c r="AB87" s="7" t="n">
        <v>0.006</v>
      </c>
      <c r="AC87" s="7" t="n">
        <v>0.268</v>
      </c>
      <c r="AD87" s="7" t="n">
        <v>0.204</v>
      </c>
      <c r="AE87" s="7" t="n">
        <v>0.097</v>
      </c>
      <c r="AF87" s="7" t="n">
        <v>-0.046</v>
      </c>
      <c r="AG87" s="7" t="n">
        <v>-0.037</v>
      </c>
      <c r="AH87" s="7" t="n">
        <v>0.352</v>
      </c>
      <c r="AI87" s="7" t="n">
        <v>0.266</v>
      </c>
      <c r="AJ87" s="7" t="n">
        <v>0.485</v>
      </c>
      <c r="AK87" s="7" t="n">
        <v>0.502</v>
      </c>
      <c r="AL87" s="7" t="n">
        <v>0.107</v>
      </c>
      <c r="AM87" s="7" t="n">
        <v>0.293</v>
      </c>
      <c r="AN87" s="7" t="n">
        <v>0.283</v>
      </c>
      <c r="AO87" s="7" t="n">
        <v>-0.123</v>
      </c>
      <c r="AP87" s="7" t="n">
        <v>-0.325</v>
      </c>
      <c r="AQ87" s="7" t="n">
        <v>0.486</v>
      </c>
      <c r="AR87" s="7" t="n">
        <v>-0.045</v>
      </c>
      <c r="AS87" s="7" t="n">
        <v>-0.026</v>
      </c>
      <c r="AT87" s="7" t="n">
        <v>0.167</v>
      </c>
      <c r="AU87" s="7" t="n">
        <v>0.033</v>
      </c>
      <c r="AV87" s="7" t="n">
        <v>0.349</v>
      </c>
    </row>
    <row r="88" customFormat="false" ht="15" hidden="false" customHeight="false" outlineLevel="0" collapsed="false">
      <c r="A88" s="19" t="n">
        <v>46405</v>
      </c>
      <c r="B88" s="6" t="n">
        <v>1</v>
      </c>
      <c r="C88" s="6" t="s">
        <v>173</v>
      </c>
      <c r="D88" s="6" t="s">
        <v>174</v>
      </c>
      <c r="E88" s="6" t="s">
        <v>202</v>
      </c>
      <c r="F88" s="6" t="s">
        <v>179</v>
      </c>
      <c r="G88" s="7" t="n">
        <v>-0.224</v>
      </c>
      <c r="H88" s="7" t="n">
        <v>-0.426</v>
      </c>
      <c r="I88" s="7" t="n">
        <v>-0.008</v>
      </c>
      <c r="J88" s="7" t="n">
        <v>0.095</v>
      </c>
      <c r="K88" s="7" t="n">
        <v>-0.175</v>
      </c>
      <c r="L88" s="7" t="n">
        <v>0.013</v>
      </c>
      <c r="M88" s="7" t="n">
        <v>-0.185</v>
      </c>
      <c r="N88" s="7" t="n">
        <v>-0.462</v>
      </c>
      <c r="O88" s="7" t="n">
        <v>-0.174</v>
      </c>
      <c r="P88" s="7" t="n">
        <v>0.059</v>
      </c>
      <c r="Q88" s="7" t="n">
        <v>-0.443</v>
      </c>
      <c r="R88" s="7" t="n">
        <v>0.123</v>
      </c>
      <c r="S88" s="7" t="n">
        <v>-0.263</v>
      </c>
      <c r="T88" s="7" t="n">
        <v>-0.263</v>
      </c>
      <c r="U88" s="7" t="n">
        <v>-0.149</v>
      </c>
      <c r="V88" s="7" t="n">
        <v>-0.318</v>
      </c>
      <c r="W88" s="7" t="n">
        <v>-0.17</v>
      </c>
      <c r="X88" s="7" t="n">
        <v>0.054</v>
      </c>
      <c r="Y88" s="7" t="n">
        <v>0.063</v>
      </c>
      <c r="Z88" s="7" t="n">
        <v>-0.058</v>
      </c>
      <c r="AA88" s="7" t="n">
        <v>-0.288</v>
      </c>
      <c r="AB88" s="7" t="n">
        <v>-0.34</v>
      </c>
      <c r="AC88" s="7" t="n">
        <v>0.005</v>
      </c>
      <c r="AD88" s="7" t="n">
        <v>0.095</v>
      </c>
      <c r="AE88" s="7" t="n">
        <v>0.059</v>
      </c>
      <c r="AF88" s="7" t="n">
        <v>-0.122</v>
      </c>
      <c r="AG88" s="7" t="n">
        <v>-0.092</v>
      </c>
      <c r="AH88" s="7" t="n">
        <v>-0.349</v>
      </c>
      <c r="AI88" s="7" t="n">
        <v>0.15</v>
      </c>
      <c r="AJ88" s="7" t="n">
        <v>-0.057</v>
      </c>
      <c r="AK88" s="7" t="n">
        <v>-0.132</v>
      </c>
      <c r="AL88" s="7" t="n">
        <v>-0.105</v>
      </c>
      <c r="AM88" s="7" t="n">
        <v>0.322</v>
      </c>
      <c r="AN88" s="7" t="n">
        <v>-0.32</v>
      </c>
      <c r="AO88" s="7" t="n">
        <v>-0.464</v>
      </c>
      <c r="AP88" s="7" t="n">
        <v>-0.402</v>
      </c>
      <c r="AQ88" s="7" t="n">
        <v>-0.156</v>
      </c>
      <c r="AR88" s="7" t="n">
        <v>-0.1</v>
      </c>
      <c r="AS88" s="7" t="n">
        <v>-0.317</v>
      </c>
      <c r="AT88" s="7" t="n">
        <v>0.17</v>
      </c>
      <c r="AU88" s="7" t="n">
        <v>0.018</v>
      </c>
      <c r="AV88" s="7" t="n">
        <v>-0.22</v>
      </c>
    </row>
    <row r="89" customFormat="false" ht="15" hidden="false" customHeight="false" outlineLevel="0" collapsed="false">
      <c r="A89" s="19" t="n">
        <v>46406</v>
      </c>
      <c r="B89" s="6" t="n">
        <v>1</v>
      </c>
      <c r="C89" s="6" t="s">
        <v>173</v>
      </c>
      <c r="D89" s="6" t="s">
        <v>209</v>
      </c>
      <c r="E89" s="6" t="s">
        <v>202</v>
      </c>
      <c r="F89" s="6" t="s">
        <v>179</v>
      </c>
      <c r="G89" s="7" t="n">
        <v>-0.249</v>
      </c>
      <c r="H89" s="7" t="n">
        <v>-0.535</v>
      </c>
      <c r="I89" s="7" t="n">
        <v>0.006</v>
      </c>
      <c r="J89" s="7" t="n">
        <v>0.087</v>
      </c>
      <c r="K89" s="7" t="n">
        <v>-0.084</v>
      </c>
      <c r="L89" s="7" t="n">
        <v>-0.018</v>
      </c>
      <c r="M89" s="7" t="n">
        <v>-0.221</v>
      </c>
      <c r="N89" s="7" t="n">
        <v>-0.692</v>
      </c>
      <c r="O89" s="7" t="n">
        <v>-0.441</v>
      </c>
      <c r="P89" s="7" t="n">
        <v>0.05</v>
      </c>
      <c r="Q89" s="7" t="n">
        <v>-0.519</v>
      </c>
      <c r="R89" s="7" t="n">
        <v>0.116</v>
      </c>
      <c r="S89" s="7" t="n">
        <v>-0.485</v>
      </c>
      <c r="T89" s="7" t="n">
        <v>-0.408</v>
      </c>
      <c r="U89" s="7" t="n">
        <v>-0.012</v>
      </c>
      <c r="V89" s="7" t="n">
        <v>-0.291</v>
      </c>
      <c r="W89" s="7" t="n">
        <v>-0.16</v>
      </c>
      <c r="X89" s="7" t="n">
        <v>0.044</v>
      </c>
      <c r="Y89" s="7" t="n">
        <v>-0.003</v>
      </c>
      <c r="Z89" s="7" t="n">
        <v>-0.085</v>
      </c>
      <c r="AA89" s="7" t="n">
        <v>-0.344</v>
      </c>
      <c r="AB89" s="7" t="n">
        <v>-0.295</v>
      </c>
      <c r="AC89" s="7" t="n">
        <v>0.021</v>
      </c>
      <c r="AD89" s="7" t="n">
        <v>-0.03</v>
      </c>
      <c r="AE89" s="7" t="n">
        <v>0.05</v>
      </c>
      <c r="AF89" s="7" t="n">
        <v>-0.126</v>
      </c>
      <c r="AG89" s="7" t="n">
        <v>-0.592</v>
      </c>
      <c r="AH89" s="7" t="n">
        <v>-0.313</v>
      </c>
      <c r="AI89" s="7" t="n">
        <v>0.099</v>
      </c>
      <c r="AJ89" s="7" t="n">
        <v>0.047</v>
      </c>
      <c r="AK89" s="7" t="n">
        <v>-0.052</v>
      </c>
      <c r="AL89" s="7" t="n">
        <v>-0.123</v>
      </c>
      <c r="AM89" s="7" t="n">
        <v>0.291</v>
      </c>
      <c r="AN89" s="7" t="n">
        <v>-0.507</v>
      </c>
      <c r="AO89" s="7" t="n">
        <v>-0.736</v>
      </c>
      <c r="AP89" s="7" t="n">
        <v>-0.665</v>
      </c>
      <c r="AQ89" s="7" t="n">
        <v>-0.04</v>
      </c>
      <c r="AR89" s="7" t="n">
        <v>-0.502</v>
      </c>
      <c r="AS89" s="7" t="n">
        <v>-0.282</v>
      </c>
      <c r="AT89" s="7" t="n">
        <v>0.126</v>
      </c>
      <c r="AU89" s="7" t="n">
        <v>0.008</v>
      </c>
      <c r="AV89" s="7" t="n">
        <v>-0.082</v>
      </c>
    </row>
    <row r="90" customFormat="false" ht="15" hidden="false" customHeight="false" outlineLevel="0" collapsed="false">
      <c r="A90" s="19" t="n">
        <v>46407</v>
      </c>
      <c r="B90" s="6" t="n">
        <v>1</v>
      </c>
      <c r="C90" s="6" t="s">
        <v>176</v>
      </c>
      <c r="D90" s="6" t="s">
        <v>175</v>
      </c>
      <c r="E90" s="6" t="s">
        <v>202</v>
      </c>
      <c r="F90" s="6" t="s">
        <v>179</v>
      </c>
      <c r="G90" s="7" t="n">
        <v>0.285</v>
      </c>
      <c r="H90" s="7" t="n">
        <v>-0.169</v>
      </c>
      <c r="I90" s="7" t="n">
        <v>0.38</v>
      </c>
      <c r="J90" s="7" t="n">
        <v>0.448</v>
      </c>
      <c r="K90" s="7" t="n">
        <v>0.096</v>
      </c>
      <c r="L90" s="7" t="n">
        <v>0.423</v>
      </c>
      <c r="M90" s="7" t="n">
        <v>0.079</v>
      </c>
      <c r="N90" s="7" t="n">
        <v>-0.013</v>
      </c>
      <c r="O90" s="7" t="n">
        <v>-0.242</v>
      </c>
      <c r="P90" s="7" t="n">
        <v>0.386</v>
      </c>
      <c r="Q90" s="7" t="n">
        <v>-0.042</v>
      </c>
      <c r="R90" s="7" t="n">
        <v>0.113</v>
      </c>
      <c r="S90" s="7" t="n">
        <v>0.147</v>
      </c>
      <c r="T90" s="7" t="n">
        <v>0.234</v>
      </c>
      <c r="U90" s="7" t="n">
        <v>0.34</v>
      </c>
      <c r="V90" s="7" t="n">
        <v>0.08</v>
      </c>
      <c r="W90" s="7" t="n">
        <v>0.137</v>
      </c>
      <c r="X90" s="7" t="n">
        <v>0.383</v>
      </c>
      <c r="Y90" s="7" t="n">
        <v>0.007</v>
      </c>
      <c r="Z90" s="7" t="n">
        <v>0.003</v>
      </c>
      <c r="AA90" s="7" t="n">
        <v>0.097</v>
      </c>
      <c r="AB90" s="7" t="n">
        <v>0.061</v>
      </c>
      <c r="AC90" s="7" t="n">
        <v>0.309</v>
      </c>
      <c r="AD90" s="7" t="n">
        <v>0.212</v>
      </c>
      <c r="AE90" s="7" t="n">
        <v>0.411</v>
      </c>
      <c r="AF90" s="7" t="n">
        <v>-0.102</v>
      </c>
      <c r="AG90" s="7" t="n">
        <v>-0.135</v>
      </c>
      <c r="AH90" s="7" t="n">
        <v>0.056</v>
      </c>
      <c r="AI90" s="7" t="n">
        <v>0.413</v>
      </c>
      <c r="AJ90" s="7" t="n">
        <v>0.296</v>
      </c>
      <c r="AK90" s="7" t="n">
        <v>0.284</v>
      </c>
      <c r="AL90" s="7" t="n">
        <v>-0.055</v>
      </c>
      <c r="AM90" s="7" t="n">
        <v>0.269</v>
      </c>
      <c r="AN90" s="7" t="n">
        <v>-0.075</v>
      </c>
      <c r="AO90" s="7" t="n">
        <v>-0.099</v>
      </c>
      <c r="AP90" s="7" t="n">
        <v>-0.333</v>
      </c>
      <c r="AQ90" s="7" t="n">
        <v>0.293</v>
      </c>
      <c r="AR90" s="7" t="n">
        <v>-0.087</v>
      </c>
      <c r="AS90" s="7" t="n">
        <v>0.039</v>
      </c>
      <c r="AT90" s="7" t="n">
        <v>0.106</v>
      </c>
      <c r="AU90" s="7" t="n">
        <v>0.003</v>
      </c>
      <c r="AV90" s="7" t="n">
        <v>0.017</v>
      </c>
    </row>
    <row r="91" customFormat="false" ht="15" hidden="false" customHeight="false" outlineLevel="0" collapsed="false">
      <c r="A91" s="19" t="n">
        <v>46408</v>
      </c>
      <c r="B91" s="6" t="n">
        <v>1</v>
      </c>
      <c r="C91" s="6" t="s">
        <v>176</v>
      </c>
      <c r="D91" s="6" t="s">
        <v>177</v>
      </c>
      <c r="E91" s="6" t="s">
        <v>202</v>
      </c>
      <c r="F91" s="6" t="s">
        <v>179</v>
      </c>
      <c r="G91" s="7" t="n">
        <v>0.216</v>
      </c>
      <c r="H91" s="7" t="n">
        <v>-0.141</v>
      </c>
      <c r="I91" s="7" t="n">
        <v>0.007</v>
      </c>
      <c r="J91" s="7" t="n">
        <v>0.476</v>
      </c>
      <c r="K91" s="7" t="n">
        <v>0.232</v>
      </c>
      <c r="L91" s="7" t="n">
        <v>0.134</v>
      </c>
      <c r="M91" s="7" t="n">
        <v>-0.113</v>
      </c>
      <c r="N91" s="7" t="n">
        <v>-0.345</v>
      </c>
      <c r="O91" s="7" t="n">
        <v>-0.279</v>
      </c>
      <c r="P91" s="7" t="n">
        <v>0.424</v>
      </c>
      <c r="Q91" s="7" t="n">
        <v>0.03</v>
      </c>
      <c r="R91" s="7" t="n">
        <v>0.179</v>
      </c>
      <c r="S91" s="7" t="n">
        <v>0.199</v>
      </c>
      <c r="T91" s="7" t="n">
        <v>-0.038</v>
      </c>
      <c r="U91" s="7" t="n">
        <v>0.086</v>
      </c>
      <c r="V91" s="7" t="n">
        <v>0.093</v>
      </c>
      <c r="W91" s="7" t="n">
        <v>-0.055</v>
      </c>
      <c r="X91" s="7" t="n">
        <v>0.419</v>
      </c>
      <c r="Y91" s="7" t="n">
        <v>-0.017</v>
      </c>
      <c r="Z91" s="7" t="n">
        <v>0.239</v>
      </c>
      <c r="AA91" s="7" t="n">
        <v>-0.088</v>
      </c>
      <c r="AB91" s="7" t="n">
        <v>0.063</v>
      </c>
      <c r="AC91" s="7" t="n">
        <v>0.036</v>
      </c>
      <c r="AD91" s="7" t="n">
        <v>0.288</v>
      </c>
      <c r="AE91" s="7" t="n">
        <v>0.439</v>
      </c>
      <c r="AF91" s="7" t="n">
        <v>-0.026</v>
      </c>
      <c r="AG91" s="7" t="n">
        <v>-0.169</v>
      </c>
      <c r="AH91" s="7" t="n">
        <v>0.058</v>
      </c>
      <c r="AI91" s="7" t="n">
        <v>0.387</v>
      </c>
      <c r="AJ91" s="7" t="n">
        <v>0.342</v>
      </c>
      <c r="AK91" s="7" t="n">
        <v>0.282</v>
      </c>
      <c r="AL91" s="7" t="n">
        <v>-0.058</v>
      </c>
      <c r="AM91" s="7" t="n">
        <v>0.266</v>
      </c>
      <c r="AN91" s="7" t="n">
        <v>-0.073</v>
      </c>
      <c r="AO91" s="7" t="n">
        <v>-0.395</v>
      </c>
      <c r="AP91" s="7" t="n">
        <v>-0.347</v>
      </c>
      <c r="AQ91" s="7" t="n">
        <v>0.009</v>
      </c>
      <c r="AR91" s="7" t="n">
        <v>-0.084</v>
      </c>
      <c r="AS91" s="7" t="n">
        <v>-0.183</v>
      </c>
      <c r="AT91" s="7" t="n">
        <v>0.157</v>
      </c>
      <c r="AU91" s="7" t="n">
        <v>0.069</v>
      </c>
      <c r="AV91" s="7" t="n">
        <v>0.016</v>
      </c>
    </row>
    <row r="92" customFormat="false" ht="15" hidden="false" customHeight="false" outlineLevel="0" collapsed="false">
      <c r="A92" s="19" t="n">
        <v>46409</v>
      </c>
      <c r="B92" s="6" t="n">
        <v>1</v>
      </c>
      <c r="C92" s="6" t="s">
        <v>180</v>
      </c>
      <c r="D92" s="6" t="s">
        <v>181</v>
      </c>
      <c r="E92" s="6" t="s">
        <v>202</v>
      </c>
      <c r="F92" s="6" t="s">
        <v>179</v>
      </c>
      <c r="G92" s="7" t="n">
        <v>-0.132</v>
      </c>
      <c r="H92" s="7" t="n">
        <v>-0.512</v>
      </c>
      <c r="I92" s="7" t="n">
        <v>0.04</v>
      </c>
      <c r="J92" s="7" t="n">
        <v>0.065</v>
      </c>
      <c r="K92" s="7" t="n">
        <v>0.004</v>
      </c>
      <c r="L92" s="7" t="n">
        <v>0.108</v>
      </c>
      <c r="M92" s="7" t="n">
        <v>-0.484</v>
      </c>
      <c r="N92" s="7" t="n">
        <v>-0.46</v>
      </c>
      <c r="O92" s="7" t="n">
        <v>-0.081</v>
      </c>
      <c r="P92" s="7" t="n">
        <v>0.044</v>
      </c>
      <c r="Q92" s="7" t="n">
        <v>-0.022</v>
      </c>
      <c r="R92" s="7" t="n">
        <v>0.169</v>
      </c>
      <c r="S92" s="7" t="n">
        <v>-0.105</v>
      </c>
      <c r="T92" s="7" t="n">
        <v>-0.034</v>
      </c>
      <c r="U92" s="7" t="n">
        <v>0.119</v>
      </c>
      <c r="V92" s="7" t="n">
        <v>0.146</v>
      </c>
      <c r="W92" s="7" t="n">
        <v>-0.462</v>
      </c>
      <c r="X92" s="7" t="n">
        <v>0.012</v>
      </c>
      <c r="Y92" s="7" t="n">
        <v>-0.302</v>
      </c>
      <c r="Z92" s="7" t="n">
        <v>0.094</v>
      </c>
      <c r="AA92" s="7" t="n">
        <v>-0.423</v>
      </c>
      <c r="AB92" s="7" t="n">
        <v>0.066</v>
      </c>
      <c r="AC92" s="7" t="n">
        <v>0.018</v>
      </c>
      <c r="AD92" s="7" t="n">
        <v>0.132</v>
      </c>
      <c r="AE92" s="7" t="n">
        <v>0.044</v>
      </c>
      <c r="AF92" s="7" t="n">
        <v>-0.459</v>
      </c>
      <c r="AG92" s="7" t="n">
        <v>-0.1</v>
      </c>
      <c r="AH92" s="7" t="n">
        <v>0.059</v>
      </c>
      <c r="AI92" s="7" t="n">
        <v>0.026</v>
      </c>
      <c r="AJ92" s="7" t="n">
        <v>0.041</v>
      </c>
      <c r="AK92" s="7" t="n">
        <v>0.077</v>
      </c>
      <c r="AL92" s="7" t="n">
        <v>-0.147</v>
      </c>
      <c r="AM92" s="7" t="n">
        <v>0.299</v>
      </c>
      <c r="AN92" s="7" t="n">
        <v>-0.058</v>
      </c>
      <c r="AO92" s="7" t="n">
        <v>-0.55</v>
      </c>
      <c r="AP92" s="7" t="n">
        <v>-0.566</v>
      </c>
      <c r="AQ92" s="7" t="n">
        <v>0.061</v>
      </c>
      <c r="AR92" s="7" t="n">
        <v>-0.068</v>
      </c>
      <c r="AS92" s="7" t="n">
        <v>-0.468</v>
      </c>
      <c r="AT92" s="7" t="n">
        <v>0.073</v>
      </c>
      <c r="AU92" s="7" t="n">
        <v>0.001</v>
      </c>
      <c r="AV92" s="7" t="n">
        <v>0.016</v>
      </c>
    </row>
    <row r="93" customFormat="false" ht="15" hidden="false" customHeight="false" outlineLevel="0" collapsed="false">
      <c r="A93" s="19" t="n">
        <v>46410</v>
      </c>
      <c r="B93" s="6" t="n">
        <v>0</v>
      </c>
      <c r="C93" s="6" t="s">
        <v>180</v>
      </c>
      <c r="D93" s="6" t="s">
        <v>182</v>
      </c>
      <c r="E93" s="6" t="s">
        <v>202</v>
      </c>
      <c r="F93" s="6" t="s">
        <v>179</v>
      </c>
      <c r="G93" s="7" t="n">
        <v>-0.245</v>
      </c>
      <c r="H93" s="7" t="n">
        <v>-0.626</v>
      </c>
      <c r="I93" s="7" t="n">
        <v>0.048</v>
      </c>
      <c r="J93" s="7" t="n">
        <v>0.229</v>
      </c>
      <c r="K93" s="7" t="n">
        <v>-0.128</v>
      </c>
      <c r="L93" s="7" t="n">
        <v>0.019</v>
      </c>
      <c r="M93" s="7" t="n">
        <v>-0.401</v>
      </c>
      <c r="N93" s="7" t="n">
        <v>-0.597</v>
      </c>
      <c r="O93" s="7" t="n">
        <v>-0.512</v>
      </c>
      <c r="P93" s="7" t="n">
        <v>0.225</v>
      </c>
      <c r="Q93" s="7" t="n">
        <v>-0.159</v>
      </c>
      <c r="R93" s="7" t="n">
        <v>0.019</v>
      </c>
      <c r="S93" s="7" t="n">
        <v>-0.286</v>
      </c>
      <c r="T93" s="7" t="n">
        <v>-0.142</v>
      </c>
      <c r="U93" s="7" t="n">
        <v>0.1</v>
      </c>
      <c r="V93" s="7" t="n">
        <v>0.118</v>
      </c>
      <c r="W93" s="7" t="n">
        <v>-0.393</v>
      </c>
      <c r="X93" s="7" t="n">
        <v>0.049</v>
      </c>
      <c r="Y93" s="7" t="n">
        <v>-0.167</v>
      </c>
      <c r="Z93" s="7" t="n">
        <v>-0.072</v>
      </c>
      <c r="AA93" s="7" t="n">
        <v>-0.445</v>
      </c>
      <c r="AB93" s="7" t="n">
        <v>0.068</v>
      </c>
      <c r="AC93" s="7" t="n">
        <v>0.029</v>
      </c>
      <c r="AD93" s="7" t="n">
        <v>-0.004</v>
      </c>
      <c r="AE93" s="7" t="n">
        <v>0.225</v>
      </c>
      <c r="AF93" s="7" t="n">
        <v>-0.409</v>
      </c>
      <c r="AG93" s="7" t="n">
        <v>-0.47</v>
      </c>
      <c r="AH93" s="7" t="n">
        <v>0.036</v>
      </c>
      <c r="AI93" s="7" t="n">
        <v>0.058</v>
      </c>
      <c r="AJ93" s="7" t="n">
        <v>-0.043</v>
      </c>
      <c r="AK93" s="7" t="n">
        <v>0.02</v>
      </c>
      <c r="AL93" s="7" t="n">
        <v>-0.169</v>
      </c>
      <c r="AM93" s="7" t="n">
        <v>0.265</v>
      </c>
      <c r="AN93" s="7" t="n">
        <v>-0.153</v>
      </c>
      <c r="AO93" s="7" t="n">
        <v>-0.55</v>
      </c>
      <c r="AP93" s="7" t="n">
        <v>-0.54</v>
      </c>
      <c r="AQ93" s="7" t="n">
        <v>0.022</v>
      </c>
      <c r="AR93" s="7" t="n">
        <v>-0.138</v>
      </c>
      <c r="AS93" s="7" t="n">
        <v>-0.373</v>
      </c>
      <c r="AT93" s="7" t="n">
        <v>-0.016</v>
      </c>
      <c r="AU93" s="7" t="n">
        <v>-0.047</v>
      </c>
      <c r="AV93" s="7" t="n">
        <v>-0.01</v>
      </c>
    </row>
    <row r="94" customFormat="false" ht="15" hidden="false" customHeight="false" outlineLevel="0" collapsed="false">
      <c r="A94" s="19" t="n">
        <v>46411</v>
      </c>
      <c r="B94" s="6" t="n">
        <v>0</v>
      </c>
      <c r="C94" s="6" t="s">
        <v>183</v>
      </c>
      <c r="D94" s="6" t="s">
        <v>184</v>
      </c>
      <c r="E94" s="6" t="s">
        <v>202</v>
      </c>
      <c r="F94" s="6" t="s">
        <v>179</v>
      </c>
      <c r="G94" s="7" t="n">
        <v>0.204</v>
      </c>
      <c r="H94" s="7" t="n">
        <v>-0.514</v>
      </c>
      <c r="I94" s="7" t="n">
        <v>0.5</v>
      </c>
      <c r="J94" s="7" t="n">
        <v>-0.019</v>
      </c>
      <c r="K94" s="7" t="n">
        <v>0.004</v>
      </c>
      <c r="L94" s="7" t="n">
        <v>0.023</v>
      </c>
      <c r="M94" s="7" t="n">
        <v>-0.458</v>
      </c>
      <c r="N94" s="7" t="n">
        <v>0.079</v>
      </c>
      <c r="O94" s="7" t="n">
        <v>-0.284</v>
      </c>
      <c r="P94" s="7" t="n">
        <v>0.074</v>
      </c>
      <c r="Q94" s="7" t="n">
        <v>0.039</v>
      </c>
      <c r="R94" s="7" t="n">
        <v>0.105</v>
      </c>
      <c r="S94" s="7" t="n">
        <v>-0.219</v>
      </c>
      <c r="T94" s="7" t="n">
        <v>-0.01</v>
      </c>
      <c r="U94" s="7" t="n">
        <v>0.259</v>
      </c>
      <c r="V94" s="7" t="n">
        <v>0.1</v>
      </c>
      <c r="W94" s="7" t="n">
        <v>0.141</v>
      </c>
      <c r="X94" s="7" t="n">
        <v>0.462</v>
      </c>
      <c r="Y94" s="7" t="n">
        <v>0.158</v>
      </c>
      <c r="Z94" s="7" t="n">
        <v>0.332</v>
      </c>
      <c r="AA94" s="7" t="n">
        <v>0.07</v>
      </c>
      <c r="AB94" s="7" t="n">
        <v>0.068</v>
      </c>
      <c r="AC94" s="7" t="n">
        <v>0.479</v>
      </c>
      <c r="AD94" s="7" t="n">
        <v>0.437</v>
      </c>
      <c r="AE94" s="7" t="n">
        <v>0.074</v>
      </c>
      <c r="AF94" s="7" t="n">
        <v>0.127</v>
      </c>
      <c r="AG94" s="7" t="n">
        <v>-0.16</v>
      </c>
      <c r="AH94" s="7" t="n">
        <v>0.067</v>
      </c>
      <c r="AI94" s="7" t="n">
        <v>0.383</v>
      </c>
      <c r="AJ94" s="7" t="n">
        <v>0.143</v>
      </c>
      <c r="AK94" s="7" t="n">
        <v>0.084</v>
      </c>
      <c r="AL94" s="7" t="n">
        <v>-0.262</v>
      </c>
      <c r="AM94" s="7" t="n">
        <v>0.564</v>
      </c>
      <c r="AN94" s="7" t="n">
        <v>-0.029</v>
      </c>
      <c r="AO94" s="7" t="n">
        <v>-0.027</v>
      </c>
      <c r="AP94" s="7" t="n">
        <v>-0.025</v>
      </c>
      <c r="AQ94" s="7" t="n">
        <v>0.303</v>
      </c>
      <c r="AR94" s="7" t="n">
        <v>-0.045</v>
      </c>
      <c r="AS94" s="7" t="n">
        <v>0.078</v>
      </c>
      <c r="AT94" s="7" t="n">
        <v>0.347</v>
      </c>
      <c r="AU94" s="7" t="n">
        <v>0.03</v>
      </c>
      <c r="AV94" s="7" t="n">
        <v>0.021</v>
      </c>
    </row>
    <row r="95" customFormat="false" ht="15" hidden="false" customHeight="false" outlineLevel="0" collapsed="false">
      <c r="A95" s="19" t="n">
        <v>46412</v>
      </c>
      <c r="B95" s="6" t="n">
        <v>1</v>
      </c>
      <c r="C95" s="6" t="s">
        <v>183</v>
      </c>
      <c r="D95" s="6" t="s">
        <v>185</v>
      </c>
      <c r="E95" s="6" t="s">
        <v>202</v>
      </c>
      <c r="F95" s="6" t="s">
        <v>172</v>
      </c>
      <c r="G95" s="7" t="n">
        <v>-0.36</v>
      </c>
      <c r="H95" s="7" t="n">
        <v>-0.602</v>
      </c>
      <c r="I95" s="7" t="n">
        <v>0.055</v>
      </c>
      <c r="J95" s="7" t="n">
        <v>-0.108</v>
      </c>
      <c r="K95" s="7" t="n">
        <v>-0.168</v>
      </c>
      <c r="L95" s="7" t="n">
        <v>0.042</v>
      </c>
      <c r="M95" s="7" t="n">
        <v>-0.516</v>
      </c>
      <c r="N95" s="7" t="n">
        <v>-0.597</v>
      </c>
      <c r="O95" s="7" t="n">
        <v>-0.412</v>
      </c>
      <c r="P95" s="7" t="n">
        <v>0.074</v>
      </c>
      <c r="Q95" s="7" t="n">
        <v>-0.226</v>
      </c>
      <c r="R95" s="7" t="n">
        <v>-0.121</v>
      </c>
      <c r="S95" s="7" t="n">
        <v>-0.426</v>
      </c>
      <c r="T95" s="7" t="n">
        <v>-0.341</v>
      </c>
      <c r="U95" s="7" t="n">
        <v>0.118</v>
      </c>
      <c r="V95" s="7" t="n">
        <v>-0.095</v>
      </c>
      <c r="W95" s="7" t="n">
        <v>-0.508</v>
      </c>
      <c r="X95" s="7" t="n">
        <v>-0.164</v>
      </c>
      <c r="Y95" s="7" t="n">
        <v>-0.33</v>
      </c>
      <c r="Z95" s="7" t="n">
        <v>0.266</v>
      </c>
      <c r="AA95" s="7" t="n">
        <v>-0.496</v>
      </c>
      <c r="AB95" s="7" t="n">
        <v>-0.138</v>
      </c>
      <c r="AC95" s="7" t="n">
        <v>0.049</v>
      </c>
      <c r="AD95" s="7" t="n">
        <v>-0.006</v>
      </c>
      <c r="AE95" s="7" t="n">
        <v>0.074</v>
      </c>
      <c r="AF95" s="7" t="n">
        <v>-0.523</v>
      </c>
      <c r="AG95" s="7" t="n">
        <v>-0.292</v>
      </c>
      <c r="AH95" s="7" t="n">
        <v>-0.155</v>
      </c>
      <c r="AI95" s="7" t="n">
        <v>-0.134</v>
      </c>
      <c r="AJ95" s="7" t="n">
        <v>-0.077</v>
      </c>
      <c r="AK95" s="7" t="n">
        <v>0.222</v>
      </c>
      <c r="AL95" s="7" t="n">
        <v>-0.349</v>
      </c>
      <c r="AM95" s="7" t="n">
        <v>0.436</v>
      </c>
      <c r="AN95" s="7" t="n">
        <v>-0.087</v>
      </c>
      <c r="AO95" s="7" t="n">
        <v>-0.617</v>
      </c>
      <c r="AP95" s="7" t="n">
        <v>-0.608</v>
      </c>
      <c r="AQ95" s="7" t="n">
        <v>0.248</v>
      </c>
      <c r="AR95" s="7" t="n">
        <v>-0.082</v>
      </c>
      <c r="AS95" s="7" t="n">
        <v>-0.489</v>
      </c>
      <c r="AT95" s="7" t="n">
        <v>0.229</v>
      </c>
      <c r="AU95" s="7" t="n">
        <v>0.03</v>
      </c>
      <c r="AV95" s="7" t="n">
        <v>0</v>
      </c>
    </row>
    <row r="96" customFormat="false" ht="15" hidden="false" customHeight="false" outlineLevel="0" collapsed="false">
      <c r="A96" s="19" t="n">
        <v>46413</v>
      </c>
      <c r="B96" s="6" t="n">
        <v>1</v>
      </c>
      <c r="C96" s="6" t="s">
        <v>186</v>
      </c>
      <c r="D96" s="6" t="s">
        <v>187</v>
      </c>
      <c r="E96" s="6" t="s">
        <v>202</v>
      </c>
      <c r="F96" s="6" t="s">
        <v>172</v>
      </c>
      <c r="G96" s="7" t="n">
        <v>-0.343</v>
      </c>
      <c r="H96" s="7" t="n">
        <v>-0.685</v>
      </c>
      <c r="I96" s="7" t="n">
        <v>0.023</v>
      </c>
      <c r="J96" s="7" t="n">
        <v>0.121</v>
      </c>
      <c r="K96" s="7" t="n">
        <v>-0.221</v>
      </c>
      <c r="L96" s="7" t="n">
        <v>0.01</v>
      </c>
      <c r="M96" s="7" t="n">
        <v>-0.521</v>
      </c>
      <c r="N96" s="7" t="n">
        <v>-0.555</v>
      </c>
      <c r="O96" s="7" t="n">
        <v>-0.343</v>
      </c>
      <c r="P96" s="7" t="n">
        <v>0.422</v>
      </c>
      <c r="Q96" s="7" t="n">
        <v>-0.184</v>
      </c>
      <c r="R96" s="7" t="n">
        <v>-0.03</v>
      </c>
      <c r="S96" s="7" t="n">
        <v>-0.437</v>
      </c>
      <c r="T96" s="7" t="n">
        <v>0.008</v>
      </c>
      <c r="U96" s="7" t="n">
        <v>0.061</v>
      </c>
      <c r="V96" s="7" t="n">
        <v>0.14</v>
      </c>
      <c r="W96" s="7" t="n">
        <v>-0.516</v>
      </c>
      <c r="X96" s="7" t="n">
        <v>0.027</v>
      </c>
      <c r="Y96" s="7" t="n">
        <v>-0.277</v>
      </c>
      <c r="Z96" s="7" t="n">
        <v>0.089</v>
      </c>
      <c r="AA96" s="7" t="n">
        <v>-0.506</v>
      </c>
      <c r="AB96" s="7" t="n">
        <v>0.068</v>
      </c>
      <c r="AC96" s="7" t="n">
        <v>-0.032</v>
      </c>
      <c r="AD96" s="7" t="n">
        <v>-0.016</v>
      </c>
      <c r="AE96" s="7" t="n">
        <v>0.347</v>
      </c>
      <c r="AF96" s="7" t="n">
        <v>-0.509</v>
      </c>
      <c r="AG96" s="7" t="n">
        <v>-0.32</v>
      </c>
      <c r="AH96" s="7" t="n">
        <v>0.047</v>
      </c>
      <c r="AI96" s="7" t="n">
        <v>-0.111</v>
      </c>
      <c r="AJ96" s="7" t="n">
        <v>-0.212</v>
      </c>
      <c r="AK96" s="7" t="n">
        <v>0.222</v>
      </c>
      <c r="AL96" s="7" t="n">
        <v>-0.132</v>
      </c>
      <c r="AM96" s="7" t="n">
        <v>0.35</v>
      </c>
      <c r="AN96" s="7" t="n">
        <v>-0.114</v>
      </c>
      <c r="AO96" s="7" t="n">
        <v>-0.566</v>
      </c>
      <c r="AP96" s="7" t="n">
        <v>-0.605</v>
      </c>
      <c r="AQ96" s="7" t="n">
        <v>0.15</v>
      </c>
      <c r="AR96" s="7" t="n">
        <v>-0.111</v>
      </c>
      <c r="AS96" s="7" t="n">
        <v>-0.489</v>
      </c>
      <c r="AT96" s="7" t="n">
        <v>0</v>
      </c>
      <c r="AU96" s="7" t="n">
        <v>-0.111</v>
      </c>
      <c r="AV96" s="7" t="n">
        <v>0.001</v>
      </c>
    </row>
    <row r="97" customFormat="false" ht="15" hidden="false" customHeight="false" outlineLevel="0" collapsed="false">
      <c r="A97" s="19" t="n">
        <v>46414</v>
      </c>
      <c r="B97" s="6" t="n">
        <v>1</v>
      </c>
      <c r="C97" s="6" t="s">
        <v>186</v>
      </c>
      <c r="D97" s="6" t="s">
        <v>188</v>
      </c>
      <c r="E97" s="6" t="s">
        <v>202</v>
      </c>
      <c r="F97" s="6" t="s">
        <v>172</v>
      </c>
      <c r="G97" s="7" t="n">
        <v>-0.454</v>
      </c>
      <c r="H97" s="7" t="n">
        <v>-0.764</v>
      </c>
      <c r="I97" s="7" t="n">
        <v>0.027</v>
      </c>
      <c r="J97" s="7" t="n">
        <v>0.155</v>
      </c>
      <c r="K97" s="7" t="n">
        <v>-0.252</v>
      </c>
      <c r="L97" s="7" t="n">
        <v>0.016</v>
      </c>
      <c r="M97" s="7" t="n">
        <v>-0.536</v>
      </c>
      <c r="N97" s="7" t="n">
        <v>-0.786</v>
      </c>
      <c r="O97" s="7" t="n">
        <v>-0.623</v>
      </c>
      <c r="P97" s="7" t="n">
        <v>0.419</v>
      </c>
      <c r="Q97" s="7" t="n">
        <v>-0.413</v>
      </c>
      <c r="R97" s="7" t="n">
        <v>-0.063</v>
      </c>
      <c r="S97" s="7" t="n">
        <v>-0.603</v>
      </c>
      <c r="T97" s="7" t="n">
        <v>-0.357</v>
      </c>
      <c r="U97" s="7" t="n">
        <v>0.073</v>
      </c>
      <c r="V97" s="7" t="n">
        <v>0.139</v>
      </c>
      <c r="W97" s="7" t="n">
        <v>-0.535</v>
      </c>
      <c r="X97" s="7" t="n">
        <v>-0.041</v>
      </c>
      <c r="Y97" s="7" t="n">
        <v>-0.299</v>
      </c>
      <c r="Z97" s="7" t="n">
        <v>-0.08</v>
      </c>
      <c r="AA97" s="7" t="n">
        <v>-0.617</v>
      </c>
      <c r="AB97" s="7" t="n">
        <v>0.068</v>
      </c>
      <c r="AC97" s="7" t="n">
        <v>-0.019</v>
      </c>
      <c r="AD97" s="7" t="n">
        <v>-0.119</v>
      </c>
      <c r="AE97" s="7" t="n">
        <v>0.332</v>
      </c>
      <c r="AF97" s="7" t="n">
        <v>-0.53</v>
      </c>
      <c r="AG97" s="7" t="n">
        <v>-0.686</v>
      </c>
      <c r="AH97" s="7" t="n">
        <v>0.048</v>
      </c>
      <c r="AI97" s="7" t="n">
        <v>-0.145</v>
      </c>
      <c r="AJ97" s="7" t="n">
        <v>-0.242</v>
      </c>
      <c r="AK97" s="7" t="n">
        <v>0.22</v>
      </c>
      <c r="AL97" s="7" t="n">
        <v>-0.288</v>
      </c>
      <c r="AM97" s="7" t="n">
        <v>0.221</v>
      </c>
      <c r="AN97" s="7" t="n">
        <v>-0.389</v>
      </c>
      <c r="AO97" s="7" t="n">
        <v>-0.764</v>
      </c>
      <c r="AP97" s="7" t="n">
        <v>-0.764</v>
      </c>
      <c r="AQ97" s="7" t="n">
        <v>0.031</v>
      </c>
      <c r="AR97" s="7" t="n">
        <v>-0.398</v>
      </c>
      <c r="AS97" s="7" t="n">
        <v>-0.501</v>
      </c>
      <c r="AT97" s="7" t="n">
        <v>-0.17</v>
      </c>
      <c r="AU97" s="7" t="n">
        <v>-0.13</v>
      </c>
      <c r="AV97" s="7" t="n">
        <v>0.002</v>
      </c>
    </row>
    <row r="98" customFormat="false" ht="15" hidden="false" customHeight="false" outlineLevel="0" collapsed="false">
      <c r="A98" s="19" t="n">
        <v>46415</v>
      </c>
      <c r="B98" s="6" t="n">
        <v>1</v>
      </c>
      <c r="C98" s="6" t="s">
        <v>190</v>
      </c>
      <c r="D98" s="6" t="s">
        <v>189</v>
      </c>
      <c r="E98" s="6" t="s">
        <v>202</v>
      </c>
      <c r="F98" s="6" t="s">
        <v>172</v>
      </c>
      <c r="G98" s="7" t="n">
        <v>-0.631</v>
      </c>
      <c r="H98" s="7" t="n">
        <v>-0.768</v>
      </c>
      <c r="I98" s="7" t="n">
        <v>-0.407</v>
      </c>
      <c r="J98" s="7" t="n">
        <v>-0.246</v>
      </c>
      <c r="K98" s="7" t="n">
        <v>-0.427</v>
      </c>
      <c r="L98" s="7" t="n">
        <v>-0.403</v>
      </c>
      <c r="M98" s="7" t="n">
        <v>-0.76</v>
      </c>
      <c r="N98" s="7" t="n">
        <v>-0.803</v>
      </c>
      <c r="O98" s="7" t="n">
        <v>-0.329</v>
      </c>
      <c r="P98" s="7" t="n">
        <v>-0.012</v>
      </c>
      <c r="Q98" s="7" t="n">
        <v>-0.328</v>
      </c>
      <c r="R98" s="7" t="n">
        <v>-0.054</v>
      </c>
      <c r="S98" s="7" t="n">
        <v>-0.576</v>
      </c>
      <c r="T98" s="7" t="n">
        <v>-0.436</v>
      </c>
      <c r="U98" s="7" t="n">
        <v>-0.397</v>
      </c>
      <c r="V98" s="7" t="n">
        <v>-0.197</v>
      </c>
      <c r="W98" s="7" t="n">
        <v>-0.761</v>
      </c>
      <c r="X98" s="7" t="n">
        <v>-0.305</v>
      </c>
      <c r="Y98" s="7" t="n">
        <v>-0.313</v>
      </c>
      <c r="Z98" s="7" t="n">
        <v>-0.341</v>
      </c>
      <c r="AA98" s="7" t="n">
        <v>-0.723</v>
      </c>
      <c r="AB98" s="7" t="n">
        <v>-0.174</v>
      </c>
      <c r="AC98" s="7" t="n">
        <v>-0.399</v>
      </c>
      <c r="AD98" s="7" t="n">
        <v>-0.086</v>
      </c>
      <c r="AE98" s="7" t="n">
        <v>-0.012</v>
      </c>
      <c r="AF98" s="7" t="n">
        <v>-0.693</v>
      </c>
      <c r="AG98" s="7" t="n">
        <v>-0.295</v>
      </c>
      <c r="AH98" s="7" t="n">
        <v>-0.186</v>
      </c>
      <c r="AI98" s="7" t="n">
        <v>-0.504</v>
      </c>
      <c r="AJ98" s="7" t="n">
        <v>-0.372</v>
      </c>
      <c r="AK98" s="7" t="n">
        <v>-0.256</v>
      </c>
      <c r="AL98" s="7" t="n">
        <v>-0.377</v>
      </c>
      <c r="AM98" s="7" t="n">
        <v>0.188</v>
      </c>
      <c r="AN98" s="7" t="n">
        <v>-0.166</v>
      </c>
      <c r="AO98" s="7" t="n">
        <v>-0.757</v>
      </c>
      <c r="AP98" s="7" t="n">
        <v>-0.547</v>
      </c>
      <c r="AQ98" s="7" t="n">
        <v>-0.347</v>
      </c>
      <c r="AR98" s="7" t="n">
        <v>-0.104</v>
      </c>
      <c r="AS98" s="7" t="n">
        <v>-0.653</v>
      </c>
      <c r="AT98" s="7" t="n">
        <v>-0.108</v>
      </c>
      <c r="AU98" s="7" t="n">
        <v>-0.048</v>
      </c>
      <c r="AV98" s="7" t="n">
        <v>-0.058</v>
      </c>
    </row>
    <row r="99" customFormat="false" ht="15" hidden="false" customHeight="false" outlineLevel="0" collapsed="false">
      <c r="A99" s="19" t="n">
        <v>46416</v>
      </c>
      <c r="B99" s="6" t="n">
        <v>1</v>
      </c>
      <c r="C99" s="6" t="s">
        <v>190</v>
      </c>
      <c r="D99" s="6" t="s">
        <v>191</v>
      </c>
      <c r="E99" s="6" t="s">
        <v>202</v>
      </c>
      <c r="F99" s="6" t="s">
        <v>172</v>
      </c>
      <c r="G99" s="7" t="n">
        <v>-0.64</v>
      </c>
      <c r="H99" s="7" t="n">
        <v>-0.749</v>
      </c>
      <c r="I99" s="7" t="n">
        <v>0.004</v>
      </c>
      <c r="J99" s="7" t="n">
        <v>-0.25</v>
      </c>
      <c r="K99" s="7" t="n">
        <v>-0.412</v>
      </c>
      <c r="L99" s="7" t="n">
        <v>-0.032</v>
      </c>
      <c r="M99" s="7" t="n">
        <v>-0.772</v>
      </c>
      <c r="N99" s="7" t="n">
        <v>-0.715</v>
      </c>
      <c r="O99" s="7" t="n">
        <v>-0.373</v>
      </c>
      <c r="P99" s="7" t="n">
        <v>0.031</v>
      </c>
      <c r="Q99" s="7" t="n">
        <v>-0.231</v>
      </c>
      <c r="R99" s="7" t="n">
        <v>-0.07</v>
      </c>
      <c r="S99" s="7" t="n">
        <v>-0.573</v>
      </c>
      <c r="T99" s="7" t="n">
        <v>-0.325</v>
      </c>
      <c r="U99" s="7" t="n">
        <v>-0.032</v>
      </c>
      <c r="V99" s="7" t="n">
        <v>-0.142</v>
      </c>
      <c r="W99" s="7" t="n">
        <v>-0.774</v>
      </c>
      <c r="X99" s="7" t="n">
        <v>-0.331</v>
      </c>
      <c r="Y99" s="7" t="n">
        <v>-0.384</v>
      </c>
      <c r="Z99" s="7" t="n">
        <v>-0.427</v>
      </c>
      <c r="AA99" s="7" t="n">
        <v>-0.75</v>
      </c>
      <c r="AB99" s="7" t="n">
        <v>-0.118</v>
      </c>
      <c r="AC99" s="7" t="n">
        <v>-0.025</v>
      </c>
      <c r="AD99" s="7" t="n">
        <v>-0.56</v>
      </c>
      <c r="AE99" s="7" t="n">
        <v>0.031</v>
      </c>
      <c r="AF99" s="7" t="n">
        <v>-0.773</v>
      </c>
      <c r="AG99" s="7" t="n">
        <v>-0.252</v>
      </c>
      <c r="AH99" s="7" t="n">
        <v>-0.132</v>
      </c>
      <c r="AI99" s="7" t="n">
        <v>-0.566</v>
      </c>
      <c r="AJ99" s="7" t="n">
        <v>-0.296</v>
      </c>
      <c r="AK99" s="7" t="n">
        <v>-0.113</v>
      </c>
      <c r="AL99" s="7" t="n">
        <v>-0.437</v>
      </c>
      <c r="AM99" s="7" t="n">
        <v>0.167</v>
      </c>
      <c r="AN99" s="7" t="n">
        <v>-0.08</v>
      </c>
      <c r="AO99" s="7" t="n">
        <v>-0.629</v>
      </c>
      <c r="AP99" s="7" t="n">
        <v>-0.586</v>
      </c>
      <c r="AQ99" s="7" t="n">
        <v>-0.047</v>
      </c>
      <c r="AR99" s="7" t="n">
        <v>-0.079</v>
      </c>
      <c r="AS99" s="7" t="n">
        <v>-0.711</v>
      </c>
      <c r="AT99" s="7" t="n">
        <v>-0.098</v>
      </c>
      <c r="AU99" s="7" t="n">
        <v>-0.008</v>
      </c>
      <c r="AV99" s="7" t="n">
        <v>0.004</v>
      </c>
    </row>
    <row r="100" customFormat="false" ht="15" hidden="false" customHeight="false" outlineLevel="0" collapsed="false">
      <c r="A100" s="19" t="n">
        <v>46417</v>
      </c>
      <c r="B100" s="6" t="n">
        <v>0</v>
      </c>
      <c r="C100" s="6" t="s">
        <v>190</v>
      </c>
      <c r="D100" s="6" t="s">
        <v>192</v>
      </c>
      <c r="E100" s="6" t="s">
        <v>202</v>
      </c>
      <c r="F100" s="6" t="s">
        <v>172</v>
      </c>
      <c r="G100" s="7" t="n">
        <v>-0.617</v>
      </c>
      <c r="H100" s="7" t="n">
        <v>-0.775</v>
      </c>
      <c r="I100" s="7" t="n">
        <v>0.007</v>
      </c>
      <c r="J100" s="7" t="n">
        <v>-0.273</v>
      </c>
      <c r="K100" s="7" t="n">
        <v>-0.448</v>
      </c>
      <c r="L100" s="7" t="n">
        <v>-0.031</v>
      </c>
      <c r="M100" s="7" t="n">
        <v>-0.549</v>
      </c>
      <c r="N100" s="7" t="n">
        <v>-0.628</v>
      </c>
      <c r="O100" s="7" t="n">
        <v>-0.629</v>
      </c>
      <c r="P100" s="7" t="n">
        <v>0.008</v>
      </c>
      <c r="Q100" s="7" t="n">
        <v>0.165</v>
      </c>
      <c r="R100" s="7" t="n">
        <v>-0.457</v>
      </c>
      <c r="S100" s="7" t="n">
        <v>-0.63</v>
      </c>
      <c r="T100" s="7" t="n">
        <v>-0.356</v>
      </c>
      <c r="U100" s="7" t="n">
        <v>0.02</v>
      </c>
      <c r="V100" s="7" t="n">
        <v>0.277</v>
      </c>
      <c r="W100" s="7" t="n">
        <v>-0.552</v>
      </c>
      <c r="X100" s="7" t="n">
        <v>-0.329</v>
      </c>
      <c r="Y100" s="7" t="n">
        <v>-0.385</v>
      </c>
      <c r="Z100" s="7" t="n">
        <v>-0.183</v>
      </c>
      <c r="AA100" s="7" t="n">
        <v>-0.536</v>
      </c>
      <c r="AB100" s="7" t="n">
        <v>0.257</v>
      </c>
      <c r="AC100" s="7" t="n">
        <v>-0.024</v>
      </c>
      <c r="AD100" s="7" t="n">
        <v>-0.182</v>
      </c>
      <c r="AE100" s="7" t="n">
        <v>0.008</v>
      </c>
      <c r="AF100" s="7" t="n">
        <v>-0.528</v>
      </c>
      <c r="AG100" s="7" t="n">
        <v>-0.621</v>
      </c>
      <c r="AH100" s="7" t="n">
        <v>0.286</v>
      </c>
      <c r="AI100" s="7" t="n">
        <v>-0.336</v>
      </c>
      <c r="AJ100" s="7" t="n">
        <v>-0.378</v>
      </c>
      <c r="AK100" s="7" t="n">
        <v>0.091</v>
      </c>
      <c r="AL100" s="7" t="n">
        <v>-0.413</v>
      </c>
      <c r="AM100" s="7" t="n">
        <v>-0.063</v>
      </c>
      <c r="AN100" s="7" t="n">
        <v>-0.029</v>
      </c>
      <c r="AO100" s="7" t="n">
        <v>-0.63</v>
      </c>
      <c r="AP100" s="7" t="n">
        <v>-0.589</v>
      </c>
      <c r="AQ100" s="7" t="n">
        <v>-0.289</v>
      </c>
      <c r="AR100" s="7" t="n">
        <v>-0.079</v>
      </c>
      <c r="AS100" s="7" t="n">
        <v>-0.512</v>
      </c>
      <c r="AT100" s="7" t="n">
        <v>-0.394</v>
      </c>
      <c r="AU100" s="7" t="n">
        <v>-0.033</v>
      </c>
      <c r="AV100" s="7" t="n">
        <v>0.055</v>
      </c>
    </row>
    <row r="101" customFormat="false" ht="15" hidden="false" customHeight="false" outlineLevel="0" collapsed="false">
      <c r="A101" s="19" t="n">
        <v>46418</v>
      </c>
      <c r="B101" s="6" t="n">
        <v>0</v>
      </c>
      <c r="C101" s="6" t="s">
        <v>171</v>
      </c>
      <c r="D101" s="6" t="s">
        <v>193</v>
      </c>
      <c r="E101" s="6" t="s">
        <v>202</v>
      </c>
      <c r="F101" s="6" t="s">
        <v>172</v>
      </c>
      <c r="G101" s="7" t="n">
        <v>-0.535</v>
      </c>
      <c r="H101" s="7" t="n">
        <v>-0.798</v>
      </c>
      <c r="I101" s="7" t="n">
        <v>-0.08</v>
      </c>
      <c r="J101" s="7" t="n">
        <v>-0.219</v>
      </c>
      <c r="K101" s="7" t="n">
        <v>-0.24</v>
      </c>
      <c r="L101" s="7" t="n">
        <v>-0.183</v>
      </c>
      <c r="M101" s="7" t="n">
        <v>-0.76</v>
      </c>
      <c r="N101" s="7" t="n">
        <v>-0.795</v>
      </c>
      <c r="O101" s="7" t="n">
        <v>-0.297</v>
      </c>
      <c r="P101" s="7" t="n">
        <v>0.008</v>
      </c>
      <c r="Q101" s="7" t="n">
        <v>-0.044</v>
      </c>
      <c r="R101" s="7" t="n">
        <v>-0.068</v>
      </c>
      <c r="S101" s="7" t="n">
        <v>-0.308</v>
      </c>
      <c r="T101" s="7" t="n">
        <v>-0.133</v>
      </c>
      <c r="U101" s="7" t="n">
        <v>0.068</v>
      </c>
      <c r="V101" s="7" t="n">
        <v>0.074</v>
      </c>
      <c r="W101" s="7" t="n">
        <v>-0.763</v>
      </c>
      <c r="X101" s="7" t="n">
        <v>-0.489</v>
      </c>
      <c r="Y101" s="7" t="n">
        <v>-0.764</v>
      </c>
      <c r="Z101" s="7" t="n">
        <v>0.004</v>
      </c>
      <c r="AA101" s="7" t="n">
        <v>-0.721</v>
      </c>
      <c r="AB101" s="7" t="n">
        <v>0.068</v>
      </c>
      <c r="AC101" s="7" t="n">
        <v>0.042</v>
      </c>
      <c r="AD101" s="7" t="n">
        <v>-0.291</v>
      </c>
      <c r="AE101" s="7" t="n">
        <v>0.008</v>
      </c>
      <c r="AF101" s="7" t="n">
        <v>-0.774</v>
      </c>
      <c r="AG101" s="7" t="n">
        <v>-0.267</v>
      </c>
      <c r="AH101" s="7" t="n">
        <v>0.082</v>
      </c>
      <c r="AI101" s="7" t="n">
        <v>-0.049</v>
      </c>
      <c r="AJ101" s="7" t="n">
        <v>-0.102</v>
      </c>
      <c r="AK101" s="7" t="n">
        <v>0.102</v>
      </c>
      <c r="AL101" s="7" t="n">
        <v>-0.111</v>
      </c>
      <c r="AM101" s="7" t="n">
        <v>0.149</v>
      </c>
      <c r="AN101" s="7" t="n">
        <v>-0.047</v>
      </c>
      <c r="AO101" s="7" t="n">
        <v>-0.738</v>
      </c>
      <c r="AP101" s="7" t="n">
        <v>-0.801</v>
      </c>
      <c r="AQ101" s="7" t="n">
        <v>0.207</v>
      </c>
      <c r="AR101" s="7" t="n">
        <v>-0.079</v>
      </c>
      <c r="AS101" s="7" t="n">
        <v>-0.646</v>
      </c>
      <c r="AT101" s="7" t="n">
        <v>-0.148</v>
      </c>
      <c r="AU101" s="7" t="n">
        <v>-0.034</v>
      </c>
      <c r="AV101" s="7" t="n">
        <v>0.036</v>
      </c>
    </row>
    <row r="102" customFormat="false" ht="15" hidden="false" customHeight="false" outlineLevel="0" collapsed="false">
      <c r="A102" s="19" t="n">
        <v>46419</v>
      </c>
      <c r="B102" s="6" t="n">
        <v>1</v>
      </c>
      <c r="C102" s="6" t="s">
        <v>171</v>
      </c>
      <c r="D102" s="6" t="s">
        <v>194</v>
      </c>
      <c r="E102" s="6" t="s">
        <v>202</v>
      </c>
      <c r="F102" s="6" t="s">
        <v>172</v>
      </c>
      <c r="G102" s="7" t="n">
        <v>-0.648</v>
      </c>
      <c r="H102" s="7" t="n">
        <v>-0.786</v>
      </c>
      <c r="I102" s="7" t="n">
        <v>-0.165</v>
      </c>
      <c r="J102" s="7" t="n">
        <v>-0.5</v>
      </c>
      <c r="K102" s="7" t="n">
        <v>-0.461</v>
      </c>
      <c r="L102" s="7" t="n">
        <v>-0.205</v>
      </c>
      <c r="M102" s="7" t="n">
        <v>-0.608</v>
      </c>
      <c r="N102" s="7" t="n">
        <v>-0.541</v>
      </c>
      <c r="O102" s="7" t="n">
        <v>-0.345</v>
      </c>
      <c r="P102" s="7" t="n">
        <v>-0.41</v>
      </c>
      <c r="Q102" s="7" t="n">
        <v>-0.371</v>
      </c>
      <c r="R102" s="7" t="n">
        <v>-0.12</v>
      </c>
      <c r="S102" s="7" t="n">
        <v>-0.627</v>
      </c>
      <c r="T102" s="7" t="n">
        <v>-0.39</v>
      </c>
      <c r="U102" s="7" t="n">
        <v>-0.017</v>
      </c>
      <c r="V102" s="7" t="n">
        <v>0.095</v>
      </c>
      <c r="W102" s="7" t="n">
        <v>-0.632</v>
      </c>
      <c r="X102" s="7" t="n">
        <v>-0.585</v>
      </c>
      <c r="Y102" s="7" t="n">
        <v>-0.654</v>
      </c>
      <c r="Z102" s="7" t="n">
        <v>-0.19</v>
      </c>
      <c r="AA102" s="7" t="n">
        <v>-0.405</v>
      </c>
      <c r="AB102" s="7" t="n">
        <v>0.068</v>
      </c>
      <c r="AC102" s="7" t="n">
        <v>-0.064</v>
      </c>
      <c r="AD102" s="7" t="n">
        <v>-0.307</v>
      </c>
      <c r="AE102" s="7" t="n">
        <v>-0.41</v>
      </c>
      <c r="AF102" s="7" t="n">
        <v>-0.713</v>
      </c>
      <c r="AG102" s="7" t="n">
        <v>-0.248</v>
      </c>
      <c r="AH102" s="7" t="n">
        <v>0.102</v>
      </c>
      <c r="AI102" s="7" t="n">
        <v>-0.524</v>
      </c>
      <c r="AJ102" s="7" t="n">
        <v>-0.404</v>
      </c>
      <c r="AK102" s="7" t="n">
        <v>0.088</v>
      </c>
      <c r="AL102" s="7" t="n">
        <v>-0.116</v>
      </c>
      <c r="AM102" s="7" t="n">
        <v>0.168</v>
      </c>
      <c r="AN102" s="7" t="n">
        <v>-0.028</v>
      </c>
      <c r="AO102" s="7" t="n">
        <v>-0.324</v>
      </c>
      <c r="AP102" s="7" t="n">
        <v>-0.514</v>
      </c>
      <c r="AQ102" s="7" t="n">
        <v>0.223</v>
      </c>
      <c r="AR102" s="7" t="n">
        <v>-0.079</v>
      </c>
      <c r="AS102" s="7" t="n">
        <v>-0.205</v>
      </c>
      <c r="AT102" s="7" t="n">
        <v>-0.456</v>
      </c>
      <c r="AU102" s="7" t="n">
        <v>-0.367</v>
      </c>
      <c r="AV102" s="7" t="n">
        <v>0.056</v>
      </c>
    </row>
    <row r="103" customFormat="false" ht="15" hidden="false" customHeight="false" outlineLevel="0" collapsed="false">
      <c r="A103" s="19" t="n">
        <v>46420</v>
      </c>
      <c r="B103" s="6" t="n">
        <v>1</v>
      </c>
      <c r="C103" s="6" t="s">
        <v>195</v>
      </c>
      <c r="D103" s="6" t="s">
        <v>196</v>
      </c>
      <c r="E103" s="6" t="s">
        <v>202</v>
      </c>
      <c r="F103" s="6" t="s">
        <v>172</v>
      </c>
      <c r="G103" s="7" t="n">
        <v>-0.663</v>
      </c>
      <c r="H103" s="7" t="n">
        <v>-0.665</v>
      </c>
      <c r="I103" s="7" t="n">
        <v>-0.49</v>
      </c>
      <c r="J103" s="7" t="n">
        <v>-0.23</v>
      </c>
      <c r="K103" s="7" t="n">
        <v>-0.393</v>
      </c>
      <c r="L103" s="7" t="n">
        <v>-0.172</v>
      </c>
      <c r="M103" s="7" t="n">
        <v>-0.499</v>
      </c>
      <c r="N103" s="7" t="n">
        <v>-0.824</v>
      </c>
      <c r="O103" s="7" t="n">
        <v>-0.483</v>
      </c>
      <c r="P103" s="7" t="n">
        <v>0.008</v>
      </c>
      <c r="Q103" s="7" t="n">
        <v>-0.064</v>
      </c>
      <c r="R103" s="7" t="n">
        <v>-0.287</v>
      </c>
      <c r="S103" s="7" t="n">
        <v>-0.511</v>
      </c>
      <c r="T103" s="7" t="n">
        <v>-0.22</v>
      </c>
      <c r="U103" s="7" t="n">
        <v>-0.283</v>
      </c>
      <c r="V103" s="7" t="n">
        <v>0.059</v>
      </c>
      <c r="W103" s="7" t="n">
        <v>-0.779</v>
      </c>
      <c r="X103" s="7" t="n">
        <v>-0.592</v>
      </c>
      <c r="Y103" s="7" t="n">
        <v>-0.769</v>
      </c>
      <c r="Z103" s="7" t="n">
        <v>-0.038</v>
      </c>
      <c r="AA103" s="7" t="n">
        <v>-0.733</v>
      </c>
      <c r="AB103" s="7" t="n">
        <v>0.068</v>
      </c>
      <c r="AC103" s="7" t="n">
        <v>-0.462</v>
      </c>
      <c r="AD103" s="7" t="n">
        <v>-0.609</v>
      </c>
      <c r="AE103" s="7" t="n">
        <v>0.008</v>
      </c>
      <c r="AF103" s="7" t="n">
        <v>-0.777</v>
      </c>
      <c r="AG103" s="7" t="n">
        <v>-0.465</v>
      </c>
      <c r="AH103" s="7" t="n">
        <v>0.064</v>
      </c>
      <c r="AI103" s="7" t="n">
        <v>-0.543</v>
      </c>
      <c r="AJ103" s="7" t="n">
        <v>-0.254</v>
      </c>
      <c r="AK103" s="7" t="n">
        <v>0.085</v>
      </c>
      <c r="AL103" s="7" t="n">
        <v>-0.371</v>
      </c>
      <c r="AM103" s="7" t="n">
        <v>0.09</v>
      </c>
      <c r="AN103" s="7" t="n">
        <v>-0.065</v>
      </c>
      <c r="AO103" s="7" t="n">
        <v>-0.827</v>
      </c>
      <c r="AP103" s="7" t="n">
        <v>-0.804</v>
      </c>
      <c r="AQ103" s="7" t="n">
        <v>-0.072</v>
      </c>
      <c r="AR103" s="7" t="n">
        <v>-0.079</v>
      </c>
      <c r="AS103" s="7" t="n">
        <v>-0.71</v>
      </c>
      <c r="AT103" s="7" t="n">
        <v>-0.213</v>
      </c>
      <c r="AU103" s="7" t="n">
        <v>-0.036</v>
      </c>
      <c r="AV103" s="7" t="n">
        <v>0.019</v>
      </c>
    </row>
    <row r="104" customFormat="false" ht="15" hidden="false" customHeight="false" outlineLevel="0" collapsed="false">
      <c r="A104" s="19" t="n">
        <v>46421</v>
      </c>
      <c r="B104" s="6" t="n">
        <v>1</v>
      </c>
      <c r="C104" s="6" t="s">
        <v>195</v>
      </c>
      <c r="D104" s="6" t="s">
        <v>196</v>
      </c>
      <c r="E104" s="6" t="s">
        <v>202</v>
      </c>
      <c r="F104" s="6" t="s">
        <v>172</v>
      </c>
      <c r="G104" s="7" t="n">
        <v>-0.676</v>
      </c>
      <c r="H104" s="7" t="n">
        <v>-0.68</v>
      </c>
      <c r="I104" s="7" t="n">
        <v>-0.522</v>
      </c>
      <c r="J104" s="7" t="n">
        <v>-0.235</v>
      </c>
      <c r="K104" s="7" t="n">
        <v>-0.466</v>
      </c>
      <c r="L104" s="7" t="n">
        <v>-0.107</v>
      </c>
      <c r="M104" s="7" t="n">
        <v>-0.477</v>
      </c>
      <c r="N104" s="7" t="n">
        <v>-0.822</v>
      </c>
      <c r="O104" s="7" t="n">
        <v>-0.525</v>
      </c>
      <c r="P104" s="7" t="n">
        <v>0.01</v>
      </c>
      <c r="Q104" s="7" t="n">
        <v>-0.086</v>
      </c>
      <c r="R104" s="7" t="n">
        <v>-0.413</v>
      </c>
      <c r="S104" s="7" t="n">
        <v>-0.576</v>
      </c>
      <c r="T104" s="7" t="n">
        <v>-0.331</v>
      </c>
      <c r="U104" s="7" t="n">
        <v>-0.285</v>
      </c>
      <c r="V104" s="7" t="n">
        <v>0.048</v>
      </c>
      <c r="W104" s="7" t="n">
        <v>-0.778</v>
      </c>
      <c r="X104" s="7" t="n">
        <v>-0.591</v>
      </c>
      <c r="Y104" s="7" t="n">
        <v>-0.77</v>
      </c>
      <c r="Z104" s="7" t="n">
        <v>-0.071</v>
      </c>
      <c r="AA104" s="7" t="n">
        <v>-0.729</v>
      </c>
      <c r="AB104" s="7" t="n">
        <v>0.068</v>
      </c>
      <c r="AC104" s="7" t="n">
        <v>-0.488</v>
      </c>
      <c r="AD104" s="7" t="n">
        <v>-0.612</v>
      </c>
      <c r="AE104" s="7" t="n">
        <v>0.01</v>
      </c>
      <c r="AF104" s="7" t="n">
        <v>-0.777</v>
      </c>
      <c r="AG104" s="7" t="n">
        <v>-0.498</v>
      </c>
      <c r="AH104" s="7" t="n">
        <v>0.053</v>
      </c>
      <c r="AI104" s="7" t="n">
        <v>-0.539</v>
      </c>
      <c r="AJ104" s="7" t="n">
        <v>-0.353</v>
      </c>
      <c r="AK104" s="7" t="n">
        <v>0.074</v>
      </c>
      <c r="AL104" s="7" t="n">
        <v>-0.381</v>
      </c>
      <c r="AM104" s="7" t="n">
        <v>0.062</v>
      </c>
      <c r="AN104" s="7" t="n">
        <v>-0.086</v>
      </c>
      <c r="AO104" s="7" t="n">
        <v>-0.829</v>
      </c>
      <c r="AP104" s="7" t="n">
        <v>-0.811</v>
      </c>
      <c r="AQ104" s="7" t="n">
        <v>-0.077</v>
      </c>
      <c r="AR104" s="7" t="n">
        <v>-0.088</v>
      </c>
      <c r="AS104" s="7" t="n">
        <v>-0.711</v>
      </c>
      <c r="AT104" s="7" t="n">
        <v>-0.244</v>
      </c>
      <c r="AU104" s="7" t="n">
        <v>-0.037</v>
      </c>
      <c r="AV104" s="7" t="n">
        <v>0.007</v>
      </c>
    </row>
    <row r="105" customFormat="false" ht="15" hidden="false" customHeight="false" outlineLevel="0" collapsed="false">
      <c r="A105" s="19" t="n">
        <v>46422</v>
      </c>
      <c r="B105" s="6" t="n">
        <v>1</v>
      </c>
      <c r="C105" s="6" t="s">
        <v>195</v>
      </c>
      <c r="D105" s="6" t="s">
        <v>197</v>
      </c>
      <c r="E105" s="6" t="s">
        <v>202</v>
      </c>
      <c r="F105" s="6" t="s">
        <v>172</v>
      </c>
      <c r="G105" s="7" t="n">
        <v>-0.655</v>
      </c>
      <c r="H105" s="7" t="n">
        <v>-0.807</v>
      </c>
      <c r="I105" s="7" t="n">
        <v>-0.105</v>
      </c>
      <c r="J105" s="7" t="n">
        <v>-0.239</v>
      </c>
      <c r="K105" s="7" t="n">
        <v>-0.498</v>
      </c>
      <c r="L105" s="7" t="n">
        <v>-0.141</v>
      </c>
      <c r="M105" s="7" t="n">
        <v>-0.481</v>
      </c>
      <c r="N105" s="7" t="n">
        <v>-0.584</v>
      </c>
      <c r="O105" s="7" t="n">
        <v>-0.605</v>
      </c>
      <c r="P105" s="7" t="n">
        <v>0.012</v>
      </c>
      <c r="Q105" s="7" t="n">
        <v>-0.292</v>
      </c>
      <c r="R105" s="7" t="n">
        <v>-0.455</v>
      </c>
      <c r="S105" s="7" t="n">
        <v>-0.669</v>
      </c>
      <c r="T105" s="7" t="n">
        <v>-0.449</v>
      </c>
      <c r="U105" s="7" t="n">
        <v>-0.203</v>
      </c>
      <c r="V105" s="7" t="n">
        <v>-0.152</v>
      </c>
      <c r="W105" s="7" t="n">
        <v>-0.484</v>
      </c>
      <c r="X105" s="7" t="n">
        <v>-0.291</v>
      </c>
      <c r="Y105" s="7" t="n">
        <v>-0.316</v>
      </c>
      <c r="Z105" s="7" t="n">
        <v>-0.384</v>
      </c>
      <c r="AA105" s="7" t="n">
        <v>-0.468</v>
      </c>
      <c r="AB105" s="7" t="n">
        <v>-0.065</v>
      </c>
      <c r="AC105" s="7" t="n">
        <v>-0.131</v>
      </c>
      <c r="AD105" s="7" t="n">
        <v>-0.155</v>
      </c>
      <c r="AE105" s="7" t="n">
        <v>0.012</v>
      </c>
      <c r="AF105" s="7" t="n">
        <v>-0.475</v>
      </c>
      <c r="AG105" s="7" t="n">
        <v>-0.613</v>
      </c>
      <c r="AH105" s="7" t="n">
        <v>-0.148</v>
      </c>
      <c r="AI105" s="7" t="n">
        <v>-0.285</v>
      </c>
      <c r="AJ105" s="7" t="n">
        <v>-0.46</v>
      </c>
      <c r="AK105" s="7" t="n">
        <v>-0.185</v>
      </c>
      <c r="AL105" s="7" t="n">
        <v>-0.387</v>
      </c>
      <c r="AM105" s="7" t="n">
        <v>-0.114</v>
      </c>
      <c r="AN105" s="7" t="n">
        <v>-0.185</v>
      </c>
      <c r="AO105" s="7" t="n">
        <v>-0.593</v>
      </c>
      <c r="AP105" s="7" t="n">
        <v>-0.569</v>
      </c>
      <c r="AQ105" s="7" t="n">
        <v>-0.164</v>
      </c>
      <c r="AR105" s="7" t="n">
        <v>-0.109</v>
      </c>
      <c r="AS105" s="7" t="n">
        <v>-0.453</v>
      </c>
      <c r="AT105" s="7" t="n">
        <v>-0.448</v>
      </c>
      <c r="AU105" s="7" t="n">
        <v>-0.038</v>
      </c>
      <c r="AV105" s="7" t="n">
        <v>-0.073</v>
      </c>
    </row>
    <row r="106" customFormat="false" ht="15" hidden="false" customHeight="false" outlineLevel="0" collapsed="false">
      <c r="A106" s="19" t="n">
        <v>46423</v>
      </c>
      <c r="B106" s="6" t="n">
        <v>1</v>
      </c>
      <c r="C106" s="6" t="s">
        <v>198</v>
      </c>
      <c r="D106" s="6" t="s">
        <v>199</v>
      </c>
      <c r="E106" s="6" t="s">
        <v>202</v>
      </c>
      <c r="F106" s="6" t="s">
        <v>172</v>
      </c>
      <c r="G106" s="7" t="n">
        <v>-0.553</v>
      </c>
      <c r="H106" s="7" t="n">
        <v>-0.778</v>
      </c>
      <c r="I106" s="7" t="n">
        <v>-0.177</v>
      </c>
      <c r="J106" s="7" t="n">
        <v>-0.218</v>
      </c>
      <c r="K106" s="7" t="n">
        <v>-0.293</v>
      </c>
      <c r="L106" s="7" t="n">
        <v>-0.19</v>
      </c>
      <c r="M106" s="7" t="n">
        <v>-0.766</v>
      </c>
      <c r="N106" s="7" t="n">
        <v>-0.811</v>
      </c>
      <c r="O106" s="7" t="n">
        <v>-0.195</v>
      </c>
      <c r="P106" s="7" t="n">
        <v>0.042</v>
      </c>
      <c r="Q106" s="7" t="n">
        <v>0.004</v>
      </c>
      <c r="R106" s="7" t="n">
        <v>-0.083</v>
      </c>
      <c r="S106" s="7" t="n">
        <v>-0.31</v>
      </c>
      <c r="T106" s="7" t="n">
        <v>0.302</v>
      </c>
      <c r="U106" s="7" t="n">
        <v>-0.177</v>
      </c>
      <c r="V106" s="7" t="n">
        <v>0.048</v>
      </c>
      <c r="W106" s="7" t="n">
        <v>-0.771</v>
      </c>
      <c r="X106" s="7" t="n">
        <v>-0.269</v>
      </c>
      <c r="Y106" s="7" t="n">
        <v>-0.752</v>
      </c>
      <c r="Z106" s="7" t="n">
        <v>0.177</v>
      </c>
      <c r="AA106" s="7" t="n">
        <v>-0.715</v>
      </c>
      <c r="AB106" s="7" t="n">
        <v>0.068</v>
      </c>
      <c r="AC106" s="7" t="n">
        <v>-0.179</v>
      </c>
      <c r="AD106" s="7" t="n">
        <v>-0.011</v>
      </c>
      <c r="AE106" s="7" t="n">
        <v>0.042</v>
      </c>
      <c r="AF106" s="7" t="n">
        <v>-0.768</v>
      </c>
      <c r="AG106" s="7" t="n">
        <v>-0.106</v>
      </c>
      <c r="AH106" s="7" t="n">
        <v>0.082</v>
      </c>
      <c r="AI106" s="7" t="n">
        <v>-0.287</v>
      </c>
      <c r="AJ106" s="7" t="n">
        <v>-0.051</v>
      </c>
      <c r="AK106" s="7" t="n">
        <v>0.106</v>
      </c>
      <c r="AL106" s="7" t="n">
        <v>-0.239</v>
      </c>
      <c r="AM106" s="7" t="n">
        <v>0.563</v>
      </c>
      <c r="AN106" s="7" t="n">
        <v>-0.021</v>
      </c>
      <c r="AO106" s="7" t="n">
        <v>-0.757</v>
      </c>
      <c r="AP106" s="7" t="n">
        <v>-0.724</v>
      </c>
      <c r="AQ106" s="7" t="n">
        <v>0.307</v>
      </c>
      <c r="AR106" s="7" t="n">
        <v>-0.053</v>
      </c>
      <c r="AS106" s="7" t="n">
        <v>-0.651</v>
      </c>
      <c r="AT106" s="7" t="n">
        <v>0.225</v>
      </c>
      <c r="AU106" s="7" t="n">
        <v>-0.011</v>
      </c>
      <c r="AV106" s="7" t="n">
        <v>0.037</v>
      </c>
    </row>
    <row r="107" customFormat="false" ht="15" hidden="false" customHeight="false" outlineLevel="0" collapsed="false">
      <c r="A107" s="19" t="n">
        <v>46424</v>
      </c>
      <c r="B107" s="6" t="n">
        <v>0</v>
      </c>
      <c r="C107" s="6" t="s">
        <v>198</v>
      </c>
      <c r="D107" s="6" t="s">
        <v>200</v>
      </c>
      <c r="E107" s="6" t="s">
        <v>202</v>
      </c>
      <c r="F107" s="6" t="s">
        <v>172</v>
      </c>
      <c r="G107" s="7" t="n">
        <v>-0.555</v>
      </c>
      <c r="H107" s="7" t="n">
        <v>-0.698</v>
      </c>
      <c r="I107" s="7" t="n">
        <v>-0.221</v>
      </c>
      <c r="J107" s="7" t="n">
        <v>-0.243</v>
      </c>
      <c r="K107" s="7" t="n">
        <v>-0.328</v>
      </c>
      <c r="L107" s="7" t="n">
        <v>-0.222</v>
      </c>
      <c r="M107" s="7" t="n">
        <v>-0.767</v>
      </c>
      <c r="N107" s="7" t="n">
        <v>-0.675</v>
      </c>
      <c r="O107" s="7" t="n">
        <v>0.07</v>
      </c>
      <c r="P107" s="7" t="n">
        <v>0.016</v>
      </c>
      <c r="Q107" s="7" t="n">
        <v>0.273</v>
      </c>
      <c r="R107" s="7" t="n">
        <v>-0.126</v>
      </c>
      <c r="S107" s="7" t="n">
        <v>-0.029</v>
      </c>
      <c r="T107" s="7" t="n">
        <v>0.203</v>
      </c>
      <c r="U107" s="7" t="n">
        <v>-0.205</v>
      </c>
      <c r="V107" s="7" t="n">
        <v>0.052</v>
      </c>
      <c r="W107" s="7" t="n">
        <v>-0.77</v>
      </c>
      <c r="X107" s="7" t="n">
        <v>-0.293</v>
      </c>
      <c r="Y107" s="7" t="n">
        <v>-0.752</v>
      </c>
      <c r="Z107" s="7" t="n">
        <v>-0.009</v>
      </c>
      <c r="AA107" s="7" t="n">
        <v>-0.707</v>
      </c>
      <c r="AB107" s="7" t="n">
        <v>0.067</v>
      </c>
      <c r="AC107" s="7" t="n">
        <v>-0.211</v>
      </c>
      <c r="AD107" s="7" t="n">
        <v>-0.119</v>
      </c>
      <c r="AE107" s="7" t="n">
        <v>0.016</v>
      </c>
      <c r="AF107" s="7" t="n">
        <v>-0.768</v>
      </c>
      <c r="AG107" s="7" t="n">
        <v>0.212</v>
      </c>
      <c r="AH107" s="7" t="n">
        <v>0.08</v>
      </c>
      <c r="AI107" s="7" t="n">
        <v>-0.31</v>
      </c>
      <c r="AJ107" s="7" t="n">
        <v>-0.094</v>
      </c>
      <c r="AK107" s="7" t="n">
        <v>0.105</v>
      </c>
      <c r="AL107" s="7" t="n">
        <v>-0.597</v>
      </c>
      <c r="AM107" s="7" t="n">
        <v>0.166</v>
      </c>
      <c r="AN107" s="7" t="n">
        <v>0.261</v>
      </c>
      <c r="AO107" s="7" t="n">
        <v>-0.54</v>
      </c>
      <c r="AP107" s="7" t="n">
        <v>-0.49</v>
      </c>
      <c r="AQ107" s="7" t="n">
        <v>-0.047</v>
      </c>
      <c r="AR107" s="7" t="n">
        <v>0.234</v>
      </c>
      <c r="AS107" s="7" t="n">
        <v>-0.653</v>
      </c>
      <c r="AT107" s="7" t="n">
        <v>-0.17</v>
      </c>
      <c r="AU107" s="7" t="n">
        <v>-0.039</v>
      </c>
      <c r="AV107" s="7" t="n">
        <v>0.034</v>
      </c>
    </row>
    <row r="108" customFormat="false" ht="15" hidden="false" customHeight="false" outlineLevel="0" collapsed="false">
      <c r="A108" s="19" t="n">
        <v>46425</v>
      </c>
      <c r="B108" s="6" t="n">
        <v>0</v>
      </c>
      <c r="C108" s="6" t="s">
        <v>202</v>
      </c>
      <c r="D108" s="6" t="s">
        <v>201</v>
      </c>
      <c r="E108" s="6" t="s">
        <v>205</v>
      </c>
      <c r="F108" s="6" t="s">
        <v>172</v>
      </c>
      <c r="G108" s="7" t="n">
        <v>-0.626</v>
      </c>
      <c r="H108" s="7" t="n">
        <v>-0.798</v>
      </c>
      <c r="I108" s="7" t="n">
        <v>-0.396</v>
      </c>
      <c r="J108" s="7" t="n">
        <v>-0.454</v>
      </c>
      <c r="K108" s="7" t="n">
        <v>-0.119</v>
      </c>
      <c r="L108" s="7" t="n">
        <v>-0.151</v>
      </c>
      <c r="M108" s="7" t="n">
        <v>-0.721</v>
      </c>
      <c r="N108" s="7" t="n">
        <v>-0.817</v>
      </c>
      <c r="O108" s="7" t="n">
        <v>-0.278</v>
      </c>
      <c r="P108" s="7" t="n">
        <v>0</v>
      </c>
      <c r="Q108" s="7" t="n">
        <v>-0.066</v>
      </c>
      <c r="R108" s="7" t="n">
        <v>-0.238</v>
      </c>
      <c r="S108" s="7" t="n">
        <v>-0.637</v>
      </c>
      <c r="T108" s="7" t="n">
        <v>-0.12</v>
      </c>
      <c r="U108" s="7" t="n">
        <v>-0.317</v>
      </c>
      <c r="V108" s="7" t="n">
        <v>0.068</v>
      </c>
      <c r="W108" s="7" t="n">
        <v>-0.759</v>
      </c>
      <c r="X108" s="7" t="n">
        <v>-0.43</v>
      </c>
      <c r="Y108" s="7" t="n">
        <v>-0.755</v>
      </c>
      <c r="Z108" s="7" t="n">
        <v>-0.022</v>
      </c>
      <c r="AA108" s="7" t="n">
        <v>-0.673</v>
      </c>
      <c r="AB108" s="7" t="n">
        <v>0.067</v>
      </c>
      <c r="AC108" s="7" t="n">
        <v>-0.454</v>
      </c>
      <c r="AD108" s="7" t="n">
        <v>-0.535</v>
      </c>
      <c r="AE108" s="7" t="n">
        <v>0.054</v>
      </c>
      <c r="AF108" s="7" t="n">
        <v>-0.764</v>
      </c>
      <c r="AG108" s="7" t="n">
        <v>-0.321</v>
      </c>
      <c r="AH108" s="7" t="n">
        <v>-0.092</v>
      </c>
      <c r="AI108" s="7" t="n">
        <v>-0.515</v>
      </c>
      <c r="AJ108" s="7" t="n">
        <v>-0.268</v>
      </c>
      <c r="AK108" s="7" t="n">
        <v>0.101</v>
      </c>
      <c r="AL108" s="7" t="n">
        <v>-0.616</v>
      </c>
      <c r="AM108" s="7" t="n">
        <v>0.072</v>
      </c>
      <c r="AN108" s="7" t="n">
        <v>-0.057</v>
      </c>
      <c r="AO108" s="7" t="n">
        <v>-0.772</v>
      </c>
      <c r="AP108" s="7" t="n">
        <v>-0.774</v>
      </c>
      <c r="AQ108" s="7" t="n">
        <v>0.008</v>
      </c>
      <c r="AR108" s="7" t="n">
        <v>-0.081</v>
      </c>
      <c r="AS108" s="7" t="n">
        <v>-0.637</v>
      </c>
      <c r="AT108" s="7" t="n">
        <v>-0.346</v>
      </c>
      <c r="AU108" s="7" t="n">
        <v>-0.045</v>
      </c>
      <c r="AV108" s="7" t="n">
        <v>0.03</v>
      </c>
    </row>
    <row r="109" customFormat="false" ht="15" hidden="false" customHeight="false" outlineLevel="0" collapsed="false">
      <c r="A109" s="19" t="n">
        <v>46426</v>
      </c>
      <c r="B109" s="6" t="n">
        <v>1</v>
      </c>
      <c r="C109" s="6" t="s">
        <v>202</v>
      </c>
      <c r="D109" s="6" t="s">
        <v>203</v>
      </c>
      <c r="E109" s="6" t="s">
        <v>205</v>
      </c>
      <c r="F109" s="6" t="s">
        <v>172</v>
      </c>
      <c r="G109" s="7" t="n">
        <v>-0.603</v>
      </c>
      <c r="H109" s="7" t="n">
        <v>-0.798</v>
      </c>
      <c r="I109" s="7" t="n">
        <v>-0.14</v>
      </c>
      <c r="J109" s="7" t="n">
        <v>-0.462</v>
      </c>
      <c r="K109" s="7" t="n">
        <v>-0.126</v>
      </c>
      <c r="L109" s="7" t="n">
        <v>-0.063</v>
      </c>
      <c r="M109" s="7" t="n">
        <v>-0.777</v>
      </c>
      <c r="N109" s="7" t="n">
        <v>-0.82</v>
      </c>
      <c r="O109" s="7" t="n">
        <v>-0.278</v>
      </c>
      <c r="P109" s="7" t="n">
        <v>-0.013</v>
      </c>
      <c r="Q109" s="7" t="n">
        <v>-0.069</v>
      </c>
      <c r="R109" s="7" t="n">
        <v>-0.24</v>
      </c>
      <c r="S109" s="7" t="n">
        <v>-0.638</v>
      </c>
      <c r="T109" s="7" t="n">
        <v>-0.18</v>
      </c>
      <c r="U109" s="7" t="n">
        <v>-0.038</v>
      </c>
      <c r="V109" s="7" t="n">
        <v>0.102</v>
      </c>
      <c r="W109" s="7" t="n">
        <v>-0.784</v>
      </c>
      <c r="X109" s="7" t="n">
        <v>-0.431</v>
      </c>
      <c r="Y109" s="7" t="n">
        <v>-0.748</v>
      </c>
      <c r="Z109" s="7" t="n">
        <v>-0.491</v>
      </c>
      <c r="AA109" s="7" t="n">
        <v>-0.754</v>
      </c>
      <c r="AB109" s="7" t="n">
        <v>0.067</v>
      </c>
      <c r="AC109" s="7" t="n">
        <v>-0.262</v>
      </c>
      <c r="AD109" s="7" t="n">
        <v>-0.64</v>
      </c>
      <c r="AE109" s="7" t="n">
        <v>0.051</v>
      </c>
      <c r="AF109" s="7" t="n">
        <v>-0.784</v>
      </c>
      <c r="AG109" s="7" t="n">
        <v>-0.321</v>
      </c>
      <c r="AH109" s="7" t="n">
        <v>-0.092</v>
      </c>
      <c r="AI109" s="7" t="n">
        <v>-0.574</v>
      </c>
      <c r="AJ109" s="7" t="n">
        <v>-0.201</v>
      </c>
      <c r="AK109" s="7" t="n">
        <v>0.1</v>
      </c>
      <c r="AL109" s="7" t="n">
        <v>-0.615</v>
      </c>
      <c r="AM109" s="7" t="n">
        <v>0.072</v>
      </c>
      <c r="AN109" s="7" t="n">
        <v>-0.058</v>
      </c>
      <c r="AO109" s="7" t="n">
        <v>-0.784</v>
      </c>
      <c r="AP109" s="7" t="n">
        <v>-0.768</v>
      </c>
      <c r="AQ109" s="7" t="n">
        <v>-0.05</v>
      </c>
      <c r="AR109" s="7" t="n">
        <v>-0.081</v>
      </c>
      <c r="AS109" s="7" t="n">
        <v>-0.741</v>
      </c>
      <c r="AT109" s="7" t="n">
        <v>-0.348</v>
      </c>
      <c r="AU109" s="7" t="n">
        <v>-0.048</v>
      </c>
      <c r="AV109" s="7" t="n">
        <v>0.029</v>
      </c>
    </row>
    <row r="110" customFormat="false" ht="15" hidden="false" customHeight="false" outlineLevel="0" collapsed="false">
      <c r="A110" s="19" t="n">
        <v>46427</v>
      </c>
      <c r="B110" s="6" t="n">
        <v>1</v>
      </c>
      <c r="C110" s="6" t="s">
        <v>202</v>
      </c>
      <c r="D110" s="6" t="s">
        <v>204</v>
      </c>
      <c r="E110" s="6" t="s">
        <v>205</v>
      </c>
      <c r="F110" s="6" t="s">
        <v>172</v>
      </c>
      <c r="G110" s="7" t="n">
        <v>-0.595</v>
      </c>
      <c r="H110" s="7" t="n">
        <v>-0.771</v>
      </c>
      <c r="I110" s="7" t="n">
        <v>-0.117</v>
      </c>
      <c r="J110" s="7" t="n">
        <v>-0.461</v>
      </c>
      <c r="K110" s="7" t="n">
        <v>-0.144</v>
      </c>
      <c r="L110" s="7" t="n">
        <v>-0.055</v>
      </c>
      <c r="M110" s="7" t="n">
        <v>-0.729</v>
      </c>
      <c r="N110" s="7" t="n">
        <v>-0.827</v>
      </c>
      <c r="O110" s="7" t="n">
        <v>-0.029</v>
      </c>
      <c r="P110" s="7" t="n">
        <v>-0.006</v>
      </c>
      <c r="Q110" s="7" t="n">
        <v>-0.065</v>
      </c>
      <c r="R110" s="7" t="n">
        <v>-0.238</v>
      </c>
      <c r="S110" s="7" t="n">
        <v>-0.654</v>
      </c>
      <c r="T110" s="7" t="n">
        <v>-0.026</v>
      </c>
      <c r="U110" s="7" t="n">
        <v>-0.049</v>
      </c>
      <c r="V110" s="7" t="n">
        <v>0.1</v>
      </c>
      <c r="W110" s="7" t="n">
        <v>-0.76</v>
      </c>
      <c r="X110" s="7" t="n">
        <v>-0.439</v>
      </c>
      <c r="Y110" s="7" t="n">
        <v>-0.746</v>
      </c>
      <c r="Z110" s="7" t="n">
        <v>0.015</v>
      </c>
      <c r="AA110" s="7" t="n">
        <v>-0.689</v>
      </c>
      <c r="AB110" s="7" t="n">
        <v>0.067</v>
      </c>
      <c r="AC110" s="7" t="n">
        <v>-0.268</v>
      </c>
      <c r="AD110" s="7" t="n">
        <v>-0.525</v>
      </c>
      <c r="AE110" s="7" t="n">
        <v>0.054</v>
      </c>
      <c r="AF110" s="7" t="n">
        <v>-0.76</v>
      </c>
      <c r="AG110" s="7" t="n">
        <v>-0.201</v>
      </c>
      <c r="AH110" s="7" t="n">
        <v>-0.088</v>
      </c>
      <c r="AI110" s="7" t="n">
        <v>-0.547</v>
      </c>
      <c r="AJ110" s="7" t="n">
        <v>-0.236</v>
      </c>
      <c r="AK110" s="7" t="n">
        <v>0.106</v>
      </c>
      <c r="AL110" s="7" t="n">
        <v>-0.608</v>
      </c>
      <c r="AM110" s="7" t="n">
        <v>0.233</v>
      </c>
      <c r="AN110" s="7" t="n">
        <v>-0.054</v>
      </c>
      <c r="AO110" s="7" t="n">
        <v>-0.788</v>
      </c>
      <c r="AP110" s="7" t="n">
        <v>-0.769</v>
      </c>
      <c r="AQ110" s="7" t="n">
        <v>0.118</v>
      </c>
      <c r="AR110" s="7" t="n">
        <v>-0.082</v>
      </c>
      <c r="AS110" s="7" t="n">
        <v>-0.654</v>
      </c>
      <c r="AT110" s="7" t="n">
        <v>-0.185</v>
      </c>
      <c r="AU110" s="7" t="n">
        <v>-0.048</v>
      </c>
      <c r="AV110" s="7" t="n">
        <v>0.034</v>
      </c>
    </row>
    <row r="111" customFormat="false" ht="15" hidden="false" customHeight="false" outlineLevel="0" collapsed="false">
      <c r="A111" s="19" t="n">
        <v>46428</v>
      </c>
      <c r="B111" s="6" t="n">
        <v>1</v>
      </c>
      <c r="C111" s="6" t="s">
        <v>205</v>
      </c>
      <c r="D111" s="6" t="s">
        <v>206</v>
      </c>
      <c r="E111" s="6" t="s">
        <v>205</v>
      </c>
      <c r="F111" s="6" t="s">
        <v>172</v>
      </c>
      <c r="G111" s="7" t="n">
        <v>-0.277</v>
      </c>
      <c r="H111" s="7" t="n">
        <v>-0.792</v>
      </c>
      <c r="I111" s="7" t="n">
        <v>-0.115</v>
      </c>
      <c r="J111" s="7" t="n">
        <v>-0.076</v>
      </c>
      <c r="K111" s="7" t="n">
        <v>0.142</v>
      </c>
      <c r="L111" s="7" t="n">
        <v>-0.157</v>
      </c>
      <c r="M111" s="7" t="n">
        <v>-0.767</v>
      </c>
      <c r="N111" s="7" t="n">
        <v>-0.829</v>
      </c>
      <c r="O111" s="7" t="n">
        <v>-0.059</v>
      </c>
      <c r="P111" s="7" t="n">
        <v>0.012</v>
      </c>
      <c r="Q111" s="7" t="n">
        <v>-0.058</v>
      </c>
      <c r="R111" s="7" t="n">
        <v>0.094</v>
      </c>
      <c r="S111" s="7" t="n">
        <v>-0.212</v>
      </c>
      <c r="T111" s="7" t="n">
        <v>0.006</v>
      </c>
      <c r="U111" s="7" t="n">
        <v>-0.336</v>
      </c>
      <c r="V111" s="7" t="n">
        <v>0.076</v>
      </c>
      <c r="W111" s="7" t="n">
        <v>-0.775</v>
      </c>
      <c r="X111" s="7" t="n">
        <v>-0.132</v>
      </c>
      <c r="Y111" s="7" t="n">
        <v>-0.768</v>
      </c>
      <c r="Z111" s="7" t="n">
        <v>0.073</v>
      </c>
      <c r="AA111" s="7" t="n">
        <v>-0.748</v>
      </c>
      <c r="AB111" s="7" t="n">
        <v>0.067</v>
      </c>
      <c r="AC111" s="7" t="n">
        <v>-0.253</v>
      </c>
      <c r="AD111" s="7" t="n">
        <v>-0.031</v>
      </c>
      <c r="AE111" s="7" t="n">
        <v>0.069</v>
      </c>
      <c r="AF111" s="7" t="n">
        <v>-0.774</v>
      </c>
      <c r="AG111" s="7" t="n">
        <v>0.042</v>
      </c>
      <c r="AH111" s="7" t="n">
        <v>0.054</v>
      </c>
      <c r="AI111" s="7" t="n">
        <v>-0.161</v>
      </c>
      <c r="AJ111" s="7" t="n">
        <v>-0.193</v>
      </c>
      <c r="AK111" s="7" t="n">
        <v>0.112</v>
      </c>
      <c r="AL111" s="7" t="n">
        <v>-0.269</v>
      </c>
      <c r="AM111" s="7" t="n">
        <v>0.273</v>
      </c>
      <c r="AN111" s="7" t="n">
        <v>-0.056</v>
      </c>
      <c r="AO111" s="7" t="n">
        <v>-0.814</v>
      </c>
      <c r="AP111" s="7" t="n">
        <v>-0.789</v>
      </c>
      <c r="AQ111" s="7" t="n">
        <v>-0.001</v>
      </c>
      <c r="AR111" s="7" t="n">
        <v>-0.088</v>
      </c>
      <c r="AS111" s="7" t="n">
        <v>-0.721</v>
      </c>
      <c r="AT111" s="7" t="n">
        <v>-0.127</v>
      </c>
      <c r="AU111" s="7" t="n">
        <v>-0.039</v>
      </c>
      <c r="AV111" s="7" t="n">
        <v>0.038</v>
      </c>
    </row>
    <row r="112" customFormat="false" ht="15" hidden="false" customHeight="false" outlineLevel="0" collapsed="false">
      <c r="A112" s="19" t="n">
        <v>46429</v>
      </c>
      <c r="B112" s="6" t="n">
        <v>1</v>
      </c>
      <c r="C112" s="6" t="s">
        <v>205</v>
      </c>
      <c r="D112" s="6" t="s">
        <v>207</v>
      </c>
      <c r="E112" s="6" t="s">
        <v>205</v>
      </c>
      <c r="F112" s="6" t="s">
        <v>172</v>
      </c>
      <c r="G112" s="7" t="n">
        <v>-0.593</v>
      </c>
      <c r="H112" s="7" t="n">
        <v>-0.789</v>
      </c>
      <c r="I112" s="7" t="n">
        <v>-0.056</v>
      </c>
      <c r="J112" s="7" t="n">
        <v>-0.505</v>
      </c>
      <c r="K112" s="7" t="n">
        <v>-0.294</v>
      </c>
      <c r="L112" s="7" t="n">
        <v>-0.097</v>
      </c>
      <c r="M112" s="7" t="n">
        <v>-0.338</v>
      </c>
      <c r="N112" s="7" t="n">
        <v>-0.502</v>
      </c>
      <c r="O112" s="7" t="n">
        <v>0.009</v>
      </c>
      <c r="P112" s="7" t="n">
        <v>-0.402</v>
      </c>
      <c r="Q112" s="7" t="n">
        <v>-0.433</v>
      </c>
      <c r="R112" s="7" t="n">
        <v>0.117</v>
      </c>
      <c r="S112" s="7" t="n">
        <v>-0.624</v>
      </c>
      <c r="T112" s="7" t="n">
        <v>-0.353</v>
      </c>
      <c r="U112" s="7" t="n">
        <v>-0.336</v>
      </c>
      <c r="V112" s="7" t="n">
        <v>0.079</v>
      </c>
      <c r="W112" s="7" t="n">
        <v>-0.49</v>
      </c>
      <c r="X112" s="7" t="n">
        <v>-0.639</v>
      </c>
      <c r="Y112" s="7" t="n">
        <v>-0.328</v>
      </c>
      <c r="Z112" s="7" t="n">
        <v>-0.134</v>
      </c>
      <c r="AA112" s="7" t="n">
        <v>-0.48</v>
      </c>
      <c r="AB112" s="7" t="n">
        <v>0.067</v>
      </c>
      <c r="AC112" s="7" t="n">
        <v>-0.298</v>
      </c>
      <c r="AD112" s="7" t="n">
        <v>-0.018</v>
      </c>
      <c r="AE112" s="7" t="n">
        <v>-0.396</v>
      </c>
      <c r="AF112" s="7" t="n">
        <v>-0.479</v>
      </c>
      <c r="AG112" s="7" t="n">
        <v>0.042</v>
      </c>
      <c r="AH112" s="7" t="n">
        <v>0.037</v>
      </c>
      <c r="AI112" s="7" t="n">
        <v>-0.606</v>
      </c>
      <c r="AJ112" s="7" t="n">
        <v>-0.434</v>
      </c>
      <c r="AK112" s="7" t="n">
        <v>0.016</v>
      </c>
      <c r="AL112" s="7" t="n">
        <v>-0.287</v>
      </c>
      <c r="AM112" s="7" t="n">
        <v>0.302</v>
      </c>
      <c r="AN112" s="7" t="n">
        <v>-0.06</v>
      </c>
      <c r="AO112" s="7" t="n">
        <v>-0.501</v>
      </c>
      <c r="AP112" s="7" t="n">
        <v>-0.474</v>
      </c>
      <c r="AQ112" s="7" t="n">
        <v>0.067</v>
      </c>
      <c r="AR112" s="7" t="n">
        <v>-0.096</v>
      </c>
      <c r="AS112" s="7" t="n">
        <v>-0.476</v>
      </c>
      <c r="AT112" s="7" t="n">
        <v>-0.439</v>
      </c>
      <c r="AU112" s="7" t="n">
        <v>-0.409</v>
      </c>
      <c r="AV112" s="7" t="n">
        <v>0.041</v>
      </c>
    </row>
    <row r="113" customFormat="false" ht="15" hidden="false" customHeight="false" outlineLevel="0" collapsed="false">
      <c r="A113" s="19" t="n">
        <v>46430</v>
      </c>
      <c r="B113" s="6" t="n">
        <v>1</v>
      </c>
      <c r="C113" s="6" t="s">
        <v>169</v>
      </c>
      <c r="D113" s="6" t="s">
        <v>208</v>
      </c>
      <c r="E113" s="6" t="s">
        <v>205</v>
      </c>
      <c r="F113" s="6" t="s">
        <v>172</v>
      </c>
      <c r="G113" s="7" t="n">
        <v>-0.554</v>
      </c>
      <c r="H113" s="7" t="n">
        <v>-0.488</v>
      </c>
      <c r="I113" s="7" t="n">
        <v>-0.504</v>
      </c>
      <c r="J113" s="7" t="n">
        <v>-0.085</v>
      </c>
      <c r="K113" s="7" t="n">
        <v>-0.029</v>
      </c>
      <c r="L113" s="7" t="n">
        <v>0.125</v>
      </c>
      <c r="M113" s="7" t="n">
        <v>-0.396</v>
      </c>
      <c r="N113" s="7" t="n">
        <v>-0.826</v>
      </c>
      <c r="O113" s="7" t="n">
        <v>-0.223</v>
      </c>
      <c r="P113" s="7" t="n">
        <v>0.053</v>
      </c>
      <c r="Q113" s="7" t="n">
        <v>-0.004</v>
      </c>
      <c r="R113" s="7" t="n">
        <v>-0.182</v>
      </c>
      <c r="S113" s="7" t="n">
        <v>-0.426</v>
      </c>
      <c r="T113" s="7" t="n">
        <v>-0.14</v>
      </c>
      <c r="U113" s="7" t="n">
        <v>-0.086</v>
      </c>
      <c r="V113" s="7" t="n">
        <v>0.083</v>
      </c>
      <c r="W113" s="7" t="n">
        <v>-0.752</v>
      </c>
      <c r="X113" s="7" t="n">
        <v>-0.66</v>
      </c>
      <c r="Y113" s="7" t="n">
        <v>-0.765</v>
      </c>
      <c r="Z113" s="7" t="n">
        <v>0.187</v>
      </c>
      <c r="AA113" s="7" t="n">
        <v>-0.673</v>
      </c>
      <c r="AB113" s="7" t="n">
        <v>0.067</v>
      </c>
      <c r="AC113" s="7" t="n">
        <v>-0.505</v>
      </c>
      <c r="AD113" s="7" t="n">
        <v>-0.486</v>
      </c>
      <c r="AE113" s="7" t="n">
        <v>0.106</v>
      </c>
      <c r="AF113" s="7" t="n">
        <v>-0.767</v>
      </c>
      <c r="AG113" s="7" t="n">
        <v>-0.27</v>
      </c>
      <c r="AH113" s="7" t="n">
        <v>-0.078</v>
      </c>
      <c r="AI113" s="7" t="n">
        <v>-0.441</v>
      </c>
      <c r="AJ113" s="7" t="n">
        <v>-0.16</v>
      </c>
      <c r="AK113" s="7" t="n">
        <v>0.123</v>
      </c>
      <c r="AL113" s="7" t="n">
        <v>-0.117</v>
      </c>
      <c r="AM113" s="7" t="n">
        <v>0.207</v>
      </c>
      <c r="AN113" s="7" t="n">
        <v>-0.032</v>
      </c>
      <c r="AO113" s="7" t="n">
        <v>-0.776</v>
      </c>
      <c r="AP113" s="7" t="n">
        <v>-0.825</v>
      </c>
      <c r="AQ113" s="7" t="n">
        <v>0.333</v>
      </c>
      <c r="AR113" s="7" t="n">
        <v>-0.071</v>
      </c>
      <c r="AS113" s="7" t="n">
        <v>-0.647</v>
      </c>
      <c r="AT113" s="7" t="n">
        <v>-0.142</v>
      </c>
      <c r="AU113" s="7" t="n">
        <v>-0.013</v>
      </c>
      <c r="AV113" s="7" t="n">
        <v>0.045</v>
      </c>
    </row>
    <row r="114" customFormat="false" ht="15" hidden="false" customHeight="false" outlineLevel="0" collapsed="false">
      <c r="A114" s="19" t="n">
        <v>46431</v>
      </c>
      <c r="B114" s="6" t="n">
        <v>0</v>
      </c>
      <c r="C114" s="6" t="s">
        <v>169</v>
      </c>
      <c r="D114" s="6" t="s">
        <v>170</v>
      </c>
      <c r="E114" s="6" t="s">
        <v>205</v>
      </c>
      <c r="F114" s="6" t="s">
        <v>172</v>
      </c>
      <c r="G114" s="7" t="n">
        <v>-0.39</v>
      </c>
      <c r="H114" s="7" t="n">
        <v>-0.5</v>
      </c>
      <c r="I114" s="7" t="n">
        <v>-0.13</v>
      </c>
      <c r="J114" s="7" t="n">
        <v>-0.095</v>
      </c>
      <c r="K114" s="7" t="n">
        <v>-0.069</v>
      </c>
      <c r="L114" s="7" t="n">
        <v>0.013</v>
      </c>
      <c r="M114" s="7" t="n">
        <v>-0.488</v>
      </c>
      <c r="N114" s="7" t="n">
        <v>-0.741</v>
      </c>
      <c r="O114" s="7" t="n">
        <v>-0.261</v>
      </c>
      <c r="P114" s="7" t="n">
        <v>0.058</v>
      </c>
      <c r="Q114" s="7" t="n">
        <v>0.105</v>
      </c>
      <c r="R114" s="7" t="n">
        <v>-0.204</v>
      </c>
      <c r="S114" s="7" t="n">
        <v>-0.474</v>
      </c>
      <c r="T114" s="7" t="n">
        <v>-0.206</v>
      </c>
      <c r="U114" s="7" t="n">
        <v>-0.08</v>
      </c>
      <c r="V114" s="7" t="n">
        <v>0.205</v>
      </c>
      <c r="W114" s="7" t="n">
        <v>-0.601</v>
      </c>
      <c r="X114" s="7" t="n">
        <v>-0.16</v>
      </c>
      <c r="Y114" s="7" t="n">
        <v>-0.307</v>
      </c>
      <c r="Z114" s="7" t="n">
        <v>0.332</v>
      </c>
      <c r="AA114" s="7" t="n">
        <v>-0.511</v>
      </c>
      <c r="AB114" s="7" t="n">
        <v>0.097</v>
      </c>
      <c r="AC114" s="7" t="n">
        <v>-0.333</v>
      </c>
      <c r="AD114" s="7" t="n">
        <v>-0.066</v>
      </c>
      <c r="AE114" s="7" t="n">
        <v>0.119</v>
      </c>
      <c r="AF114" s="7" t="n">
        <v>-0.568</v>
      </c>
      <c r="AG114" s="7" t="n">
        <v>-0.316</v>
      </c>
      <c r="AH114" s="7" t="n">
        <v>0.042</v>
      </c>
      <c r="AI114" s="7" t="n">
        <v>-0.21</v>
      </c>
      <c r="AJ114" s="7" t="n">
        <v>-0.186</v>
      </c>
      <c r="AK114" s="7" t="n">
        <v>0.21</v>
      </c>
      <c r="AL114" s="7" t="n">
        <v>-0.427</v>
      </c>
      <c r="AM114" s="7" t="n">
        <v>0.236</v>
      </c>
      <c r="AN114" s="7" t="n">
        <v>0.045</v>
      </c>
      <c r="AO114" s="7" t="n">
        <v>-0.628</v>
      </c>
      <c r="AP114" s="7" t="n">
        <v>-0.573</v>
      </c>
      <c r="AQ114" s="7" t="n">
        <v>0.229</v>
      </c>
      <c r="AR114" s="7" t="n">
        <v>-0.088</v>
      </c>
      <c r="AS114" s="7" t="n">
        <v>-0.471</v>
      </c>
      <c r="AT114" s="7" t="n">
        <v>-0.13</v>
      </c>
      <c r="AU114" s="7" t="n">
        <v>-0.006</v>
      </c>
      <c r="AV114" s="7" t="n">
        <v>0.138</v>
      </c>
    </row>
    <row r="115" customFormat="false" ht="15" hidden="false" customHeight="false" outlineLevel="0" collapsed="false">
      <c r="A115" s="19" t="n">
        <v>46432</v>
      </c>
      <c r="B115" s="6" t="n">
        <v>0</v>
      </c>
      <c r="C115" s="6" t="s">
        <v>173</v>
      </c>
      <c r="D115" s="6" t="s">
        <v>174</v>
      </c>
      <c r="E115" s="6" t="s">
        <v>205</v>
      </c>
      <c r="F115" s="6" t="s">
        <v>172</v>
      </c>
      <c r="G115" s="7" t="n">
        <v>-0.479</v>
      </c>
      <c r="H115" s="7" t="n">
        <v>-0.558</v>
      </c>
      <c r="I115" s="7" t="n">
        <v>0.019</v>
      </c>
      <c r="J115" s="7" t="n">
        <v>-0.093</v>
      </c>
      <c r="K115" s="7" t="n">
        <v>-0.343</v>
      </c>
      <c r="L115" s="7" t="n">
        <v>0.103</v>
      </c>
      <c r="M115" s="7" t="n">
        <v>-0.484</v>
      </c>
      <c r="N115" s="7" t="n">
        <v>-0.78</v>
      </c>
      <c r="O115" s="7" t="n">
        <v>-0.317</v>
      </c>
      <c r="P115" s="7" t="n">
        <v>-0.117</v>
      </c>
      <c r="Q115" s="7" t="n">
        <v>0.162</v>
      </c>
      <c r="R115" s="7" t="n">
        <v>-0.224</v>
      </c>
      <c r="S115" s="7" t="n">
        <v>-0.533</v>
      </c>
      <c r="T115" s="7" t="n">
        <v>0.072</v>
      </c>
      <c r="U115" s="7" t="n">
        <v>0.109</v>
      </c>
      <c r="V115" s="7" t="n">
        <v>0.379</v>
      </c>
      <c r="W115" s="7" t="n">
        <v>-0.591</v>
      </c>
      <c r="X115" s="7" t="n">
        <v>-0.159</v>
      </c>
      <c r="Y115" s="7" t="n">
        <v>-0.187</v>
      </c>
      <c r="Z115" s="7" t="n">
        <v>0.399</v>
      </c>
      <c r="AA115" s="7" t="n">
        <v>-0.26</v>
      </c>
      <c r="AB115" s="7" t="n">
        <v>0.286</v>
      </c>
      <c r="AC115" s="7" t="n">
        <v>-0.182</v>
      </c>
      <c r="AD115" s="7" t="n">
        <v>0.196</v>
      </c>
      <c r="AE115" s="7" t="n">
        <v>0.121</v>
      </c>
      <c r="AF115" s="7" t="n">
        <v>-0.588</v>
      </c>
      <c r="AG115" s="7" t="n">
        <v>-0.372</v>
      </c>
      <c r="AH115" s="7" t="n">
        <v>0.147</v>
      </c>
      <c r="AI115" s="7" t="n">
        <v>-0.293</v>
      </c>
      <c r="AJ115" s="7" t="n">
        <v>-0.22</v>
      </c>
      <c r="AK115" s="7" t="n">
        <v>0.203</v>
      </c>
      <c r="AL115" s="7" t="n">
        <v>-0.053</v>
      </c>
      <c r="AM115" s="7" t="n">
        <v>0.53</v>
      </c>
      <c r="AN115" s="7" t="n">
        <v>-0.121</v>
      </c>
      <c r="AO115" s="7" t="n">
        <v>-0.623</v>
      </c>
      <c r="AP115" s="7" t="n">
        <v>-0.607</v>
      </c>
      <c r="AQ115" s="7" t="n">
        <v>0.435</v>
      </c>
      <c r="AR115" s="7" t="n">
        <v>-0.129</v>
      </c>
      <c r="AS115" s="7" t="n">
        <v>-0.428</v>
      </c>
      <c r="AT115" s="7" t="n">
        <v>0.163</v>
      </c>
      <c r="AU115" s="7" t="n">
        <v>-0.005</v>
      </c>
      <c r="AV115" s="7" t="n">
        <v>0.014</v>
      </c>
    </row>
    <row r="116" customFormat="false" ht="15" hidden="false" customHeight="false" outlineLevel="0" collapsed="false">
      <c r="A116" s="19" t="n">
        <v>46433</v>
      </c>
      <c r="B116" s="6" t="n">
        <v>1</v>
      </c>
      <c r="C116" s="6" t="s">
        <v>173</v>
      </c>
      <c r="D116" s="6" t="s">
        <v>209</v>
      </c>
      <c r="E116" s="6" t="s">
        <v>205</v>
      </c>
      <c r="F116" s="6" t="s">
        <v>172</v>
      </c>
      <c r="G116" s="7" t="n">
        <v>-0.608</v>
      </c>
      <c r="H116" s="7" t="n">
        <v>-0.77</v>
      </c>
      <c r="I116" s="7" t="n">
        <v>-0.102</v>
      </c>
      <c r="J116" s="7" t="n">
        <v>-0.214</v>
      </c>
      <c r="K116" s="7" t="n">
        <v>-0.346</v>
      </c>
      <c r="L116" s="7" t="n">
        <v>0.103</v>
      </c>
      <c r="M116" s="7" t="n">
        <v>-0.466</v>
      </c>
      <c r="N116" s="7" t="n">
        <v>-0.86</v>
      </c>
      <c r="O116" s="7" t="n">
        <v>-0.508</v>
      </c>
      <c r="P116" s="7" t="n">
        <v>-0.135</v>
      </c>
      <c r="Q116" s="7" t="n">
        <v>-0.317</v>
      </c>
      <c r="R116" s="7" t="n">
        <v>-0.22</v>
      </c>
      <c r="S116" s="7" t="n">
        <v>-0.75</v>
      </c>
      <c r="T116" s="7" t="n">
        <v>-0.461</v>
      </c>
      <c r="U116" s="7" t="n">
        <v>0.124</v>
      </c>
      <c r="V116" s="7" t="n">
        <v>0.385</v>
      </c>
      <c r="W116" s="7" t="n">
        <v>-0.558</v>
      </c>
      <c r="X116" s="7" t="n">
        <v>-0.28</v>
      </c>
      <c r="Y116" s="7" t="n">
        <v>-0.166</v>
      </c>
      <c r="Z116" s="7" t="n">
        <v>-0.03</v>
      </c>
      <c r="AA116" s="7" t="n">
        <v>-0.552</v>
      </c>
      <c r="AB116" s="7" t="n">
        <v>0.273</v>
      </c>
      <c r="AC116" s="7" t="n">
        <v>-0.18</v>
      </c>
      <c r="AD116" s="7" t="n">
        <v>-0.014</v>
      </c>
      <c r="AE116" s="7" t="n">
        <v>0</v>
      </c>
      <c r="AF116" s="7" t="n">
        <v>-0.555</v>
      </c>
      <c r="AG116" s="7" t="n">
        <v>-0.626</v>
      </c>
      <c r="AH116" s="7" t="n">
        <v>0.152</v>
      </c>
      <c r="AI116" s="7" t="n">
        <v>-0.4</v>
      </c>
      <c r="AJ116" s="7" t="n">
        <v>-0.206</v>
      </c>
      <c r="AK116" s="7" t="n">
        <v>0.214</v>
      </c>
      <c r="AL116" s="7" t="n">
        <v>-0.366</v>
      </c>
      <c r="AM116" s="7" t="n">
        <v>0.218</v>
      </c>
      <c r="AN116" s="7" t="n">
        <v>-0.476</v>
      </c>
      <c r="AO116" s="7" t="n">
        <v>-0.848</v>
      </c>
      <c r="AP116" s="7" t="n">
        <v>-0.835</v>
      </c>
      <c r="AQ116" s="7" t="n">
        <v>0.165</v>
      </c>
      <c r="AR116" s="7" t="n">
        <v>-0.497</v>
      </c>
      <c r="AS116" s="7" t="n">
        <v>-0.409</v>
      </c>
      <c r="AT116" s="7" t="n">
        <v>-0.147</v>
      </c>
      <c r="AU116" s="7" t="n">
        <v>-0.004</v>
      </c>
      <c r="AV116" s="7" t="n">
        <v>0.024</v>
      </c>
    </row>
    <row r="117" customFormat="false" ht="15" hidden="false" customHeight="false" outlineLevel="0" collapsed="false">
      <c r="A117" s="19" t="n">
        <v>46434</v>
      </c>
      <c r="B117" s="6" t="n">
        <v>1</v>
      </c>
      <c r="C117" s="6" t="s">
        <v>173</v>
      </c>
      <c r="D117" s="6" t="s">
        <v>175</v>
      </c>
      <c r="E117" s="6" t="s">
        <v>205</v>
      </c>
      <c r="F117" s="6" t="s">
        <v>172</v>
      </c>
      <c r="G117" s="7" t="n">
        <v>-0.69</v>
      </c>
      <c r="H117" s="7" t="n">
        <v>-0.688</v>
      </c>
      <c r="I117" s="7" t="n">
        <v>-0.253</v>
      </c>
      <c r="J117" s="7" t="n">
        <v>-0.202</v>
      </c>
      <c r="K117" s="7" t="n">
        <v>-0.425</v>
      </c>
      <c r="L117" s="7" t="n">
        <v>-0.023</v>
      </c>
      <c r="M117" s="7" t="n">
        <v>-0.605</v>
      </c>
      <c r="N117" s="7" t="n">
        <v>-0.791</v>
      </c>
      <c r="O117" s="7" t="n">
        <v>-0.303</v>
      </c>
      <c r="P117" s="7" t="n">
        <v>-0.143</v>
      </c>
      <c r="Q117" s="7" t="n">
        <v>-0.005</v>
      </c>
      <c r="R117" s="7" t="n">
        <v>-0.234</v>
      </c>
      <c r="S117" s="7" t="n">
        <v>-0.662</v>
      </c>
      <c r="T117" s="7" t="n">
        <v>-0.394</v>
      </c>
      <c r="U117" s="7" t="n">
        <v>-0.228</v>
      </c>
      <c r="V117" s="7" t="n">
        <v>0.261</v>
      </c>
      <c r="W117" s="7" t="n">
        <v>-0.655</v>
      </c>
      <c r="X117" s="7" t="n">
        <v>-0.267</v>
      </c>
      <c r="Y117" s="7" t="n">
        <v>-0.176</v>
      </c>
      <c r="Z117" s="7" t="n">
        <v>-0.165</v>
      </c>
      <c r="AA117" s="7" t="n">
        <v>-0.618</v>
      </c>
      <c r="AB117" s="7" t="n">
        <v>0.109</v>
      </c>
      <c r="AC117" s="7" t="n">
        <v>-0.333</v>
      </c>
      <c r="AD117" s="7" t="n">
        <v>-0.02</v>
      </c>
      <c r="AE117" s="7" t="n">
        <v>0.014</v>
      </c>
      <c r="AF117" s="7" t="n">
        <v>-0.6</v>
      </c>
      <c r="AG117" s="7" t="n">
        <v>-0.357</v>
      </c>
      <c r="AH117" s="7" t="n">
        <v>-0.027</v>
      </c>
      <c r="AI117" s="7" t="n">
        <v>-0.523</v>
      </c>
      <c r="AJ117" s="7" t="n">
        <v>-0.351</v>
      </c>
      <c r="AK117" s="7" t="n">
        <v>-0.015</v>
      </c>
      <c r="AL117" s="7" t="n">
        <v>-0.367</v>
      </c>
      <c r="AM117" s="7" t="n">
        <v>0.192</v>
      </c>
      <c r="AN117" s="7" t="n">
        <v>-0.264</v>
      </c>
      <c r="AO117" s="7" t="n">
        <v>-0.691</v>
      </c>
      <c r="AP117" s="7" t="n">
        <v>-0.598</v>
      </c>
      <c r="AQ117" s="7" t="n">
        <v>-0.11</v>
      </c>
      <c r="AR117" s="7" t="n">
        <v>-0.118</v>
      </c>
      <c r="AS117" s="7" t="n">
        <v>-0.516</v>
      </c>
      <c r="AT117" s="7" t="n">
        <v>-0.159</v>
      </c>
      <c r="AU117" s="7" t="n">
        <v>-0.018</v>
      </c>
      <c r="AV117" s="7" t="n">
        <v>-0.145</v>
      </c>
    </row>
    <row r="118" customFormat="false" ht="15" hidden="false" customHeight="false" outlineLevel="0" collapsed="false">
      <c r="A118" s="19" t="n">
        <v>46435</v>
      </c>
      <c r="B118" s="6" t="n">
        <v>1</v>
      </c>
      <c r="C118" s="6" t="s">
        <v>176</v>
      </c>
      <c r="D118" s="6" t="s">
        <v>177</v>
      </c>
      <c r="E118" s="6" t="s">
        <v>205</v>
      </c>
      <c r="F118" s="6" t="s">
        <v>172</v>
      </c>
      <c r="G118" s="7" t="n">
        <v>-0.685</v>
      </c>
      <c r="H118" s="7" t="n">
        <v>-0.624</v>
      </c>
      <c r="I118" s="7" t="n">
        <v>0.046</v>
      </c>
      <c r="J118" s="7" t="n">
        <v>-0.214</v>
      </c>
      <c r="K118" s="7" t="n">
        <v>-0.435</v>
      </c>
      <c r="L118" s="7" t="n">
        <v>-0.026</v>
      </c>
      <c r="M118" s="7" t="n">
        <v>-0.684</v>
      </c>
      <c r="N118" s="7" t="n">
        <v>-0.586</v>
      </c>
      <c r="O118" s="7" t="n">
        <v>-0.264</v>
      </c>
      <c r="P118" s="7" t="n">
        <v>-0.256</v>
      </c>
      <c r="Q118" s="7" t="n">
        <v>-0.171</v>
      </c>
      <c r="R118" s="7" t="n">
        <v>-0.329</v>
      </c>
      <c r="S118" s="7" t="n">
        <v>-0.683</v>
      </c>
      <c r="T118" s="7" t="n">
        <v>-0.203</v>
      </c>
      <c r="U118" s="7" t="n">
        <v>0.17</v>
      </c>
      <c r="V118" s="7" t="n">
        <v>0.197</v>
      </c>
      <c r="W118" s="7" t="n">
        <v>-0.718</v>
      </c>
      <c r="X118" s="7" t="n">
        <v>-0.456</v>
      </c>
      <c r="Y118" s="7" t="n">
        <v>-0.172</v>
      </c>
      <c r="Z118" s="7" t="n">
        <v>-0.268</v>
      </c>
      <c r="AA118" s="7" t="n">
        <v>-0.685</v>
      </c>
      <c r="AB118" s="7" t="n">
        <v>0.066</v>
      </c>
      <c r="AC118" s="7" t="n">
        <v>-0.148</v>
      </c>
      <c r="AD118" s="7" t="n">
        <v>-0.504</v>
      </c>
      <c r="AE118" s="7" t="n">
        <v>-0.168</v>
      </c>
      <c r="AF118" s="7" t="n">
        <v>-0.718</v>
      </c>
      <c r="AG118" s="7" t="n">
        <v>-0.32</v>
      </c>
      <c r="AH118" s="7" t="n">
        <v>-0.096</v>
      </c>
      <c r="AI118" s="7" t="n">
        <v>-0.642</v>
      </c>
      <c r="AJ118" s="7" t="n">
        <v>-0.373</v>
      </c>
      <c r="AK118" s="7" t="n">
        <v>0.009</v>
      </c>
      <c r="AL118" s="7" t="n">
        <v>-0.368</v>
      </c>
      <c r="AM118" s="7" t="n">
        <v>0.215</v>
      </c>
      <c r="AN118" s="7" t="n">
        <v>-0.057</v>
      </c>
      <c r="AO118" s="7" t="n">
        <v>-0.41</v>
      </c>
      <c r="AP118" s="7" t="n">
        <v>-0.396</v>
      </c>
      <c r="AQ118" s="7" t="n">
        <v>0.186</v>
      </c>
      <c r="AR118" s="7" t="n">
        <v>-0.078</v>
      </c>
      <c r="AS118" s="7" t="n">
        <v>-0.663</v>
      </c>
      <c r="AT118" s="7" t="n">
        <v>-0.248</v>
      </c>
      <c r="AU118" s="7" t="n">
        <v>-0.149</v>
      </c>
      <c r="AV118" s="7" t="n">
        <v>0.026</v>
      </c>
    </row>
    <row r="119" customFormat="false" ht="15" hidden="false" customHeight="false" outlineLevel="0" collapsed="false">
      <c r="A119" s="19" t="n">
        <v>46436</v>
      </c>
      <c r="B119" s="6" t="n">
        <v>1</v>
      </c>
      <c r="C119" s="6" t="s">
        <v>176</v>
      </c>
      <c r="D119" s="6" t="s">
        <v>178</v>
      </c>
      <c r="E119" s="6" t="s">
        <v>205</v>
      </c>
      <c r="F119" s="6" t="s">
        <v>172</v>
      </c>
      <c r="G119" s="7" t="n">
        <v>-0.592</v>
      </c>
      <c r="H119" s="7" t="n">
        <v>-0.757</v>
      </c>
      <c r="I119" s="7" t="n">
        <v>0.06</v>
      </c>
      <c r="J119" s="7" t="n">
        <v>-0.009</v>
      </c>
      <c r="K119" s="7" t="n">
        <v>-0.472</v>
      </c>
      <c r="L119" s="7" t="n">
        <v>-0.04</v>
      </c>
      <c r="M119" s="7" t="n">
        <v>-0.268</v>
      </c>
      <c r="N119" s="7" t="n">
        <v>-0.62</v>
      </c>
      <c r="O119" s="7" t="n">
        <v>-0.55</v>
      </c>
      <c r="P119" s="7" t="n">
        <v>-0.121</v>
      </c>
      <c r="Q119" s="7" t="n">
        <v>-0.103</v>
      </c>
      <c r="R119" s="7" t="n">
        <v>-0.503</v>
      </c>
      <c r="S119" s="7" t="n">
        <v>-0.749</v>
      </c>
      <c r="T119" s="7" t="n">
        <v>-0.473</v>
      </c>
      <c r="U119" s="7" t="n">
        <v>0.185</v>
      </c>
      <c r="V119" s="7" t="n">
        <v>0.194</v>
      </c>
      <c r="W119" s="7" t="n">
        <v>-0.377</v>
      </c>
      <c r="X119" s="7" t="n">
        <v>-0.297</v>
      </c>
      <c r="Y119" s="7" t="n">
        <v>-0.142</v>
      </c>
      <c r="Z119" s="7" t="n">
        <v>-0.011</v>
      </c>
      <c r="AA119" s="7" t="n">
        <v>-0.386</v>
      </c>
      <c r="AB119" s="7" t="n">
        <v>0.066</v>
      </c>
      <c r="AC119" s="7" t="n">
        <v>-0.129</v>
      </c>
      <c r="AD119" s="7" t="n">
        <v>-0.073</v>
      </c>
      <c r="AE119" s="7" t="n">
        <v>0.063</v>
      </c>
      <c r="AF119" s="7" t="n">
        <v>-0.377</v>
      </c>
      <c r="AG119" s="7" t="n">
        <v>-0.603</v>
      </c>
      <c r="AH119" s="7" t="n">
        <v>-0.098</v>
      </c>
      <c r="AI119" s="7" t="n">
        <v>-0.217</v>
      </c>
      <c r="AJ119" s="7" t="n">
        <v>-0.458</v>
      </c>
      <c r="AK119" s="7" t="n">
        <v>0.081</v>
      </c>
      <c r="AL119" s="7" t="n">
        <v>-0.335</v>
      </c>
      <c r="AM119" s="7" t="n">
        <v>-0.077</v>
      </c>
      <c r="AN119" s="7" t="n">
        <v>-0.065</v>
      </c>
      <c r="AO119" s="7" t="n">
        <v>-0.555</v>
      </c>
      <c r="AP119" s="7" t="n">
        <v>-0.541</v>
      </c>
      <c r="AQ119" s="7" t="n">
        <v>-0.239</v>
      </c>
      <c r="AR119" s="7" t="n">
        <v>-0.083</v>
      </c>
      <c r="AS119" s="7" t="n">
        <v>-0.391</v>
      </c>
      <c r="AT119" s="7" t="n">
        <v>-0.394</v>
      </c>
      <c r="AU119" s="7" t="n">
        <v>-0.074</v>
      </c>
      <c r="AV119" s="7" t="n">
        <v>0.023</v>
      </c>
    </row>
    <row r="120" customFormat="false" ht="15" hidden="false" customHeight="false" outlineLevel="0" collapsed="false">
      <c r="A120" s="19" t="n">
        <v>46437</v>
      </c>
      <c r="B120" s="6" t="n">
        <v>1</v>
      </c>
      <c r="C120" s="6" t="s">
        <v>180</v>
      </c>
      <c r="D120" s="6" t="s">
        <v>181</v>
      </c>
      <c r="E120" s="6" t="s">
        <v>205</v>
      </c>
      <c r="F120" s="6" t="s">
        <v>172</v>
      </c>
      <c r="G120" s="7" t="n">
        <v>-0.33</v>
      </c>
      <c r="H120" s="7" t="n">
        <v>-0.653</v>
      </c>
      <c r="I120" s="7" t="n">
        <v>0.071</v>
      </c>
      <c r="J120" s="7" t="n">
        <v>0.006</v>
      </c>
      <c r="K120" s="7" t="n">
        <v>-0.136</v>
      </c>
      <c r="L120" s="7" t="n">
        <v>0.065</v>
      </c>
      <c r="M120" s="7" t="n">
        <v>-0.642</v>
      </c>
      <c r="N120" s="7" t="n">
        <v>-0.744</v>
      </c>
      <c r="O120" s="7" t="n">
        <v>-0.286</v>
      </c>
      <c r="P120" s="7" t="n">
        <v>-0.123</v>
      </c>
      <c r="Q120" s="7" t="n">
        <v>-0.066</v>
      </c>
      <c r="R120" s="7" t="n">
        <v>0</v>
      </c>
      <c r="S120" s="7" t="n">
        <v>-0.271</v>
      </c>
      <c r="T120" s="7" t="n">
        <v>-0.115</v>
      </c>
      <c r="U120" s="7" t="n">
        <v>0.235</v>
      </c>
      <c r="V120" s="7" t="n">
        <v>0.228</v>
      </c>
      <c r="W120" s="7" t="n">
        <v>-0.646</v>
      </c>
      <c r="X120" s="7" t="n">
        <v>-0.113</v>
      </c>
      <c r="Y120" s="7" t="n">
        <v>-0.649</v>
      </c>
      <c r="Z120" s="7" t="n">
        <v>0.12</v>
      </c>
      <c r="AA120" s="7" t="n">
        <v>-0.646</v>
      </c>
      <c r="AB120" s="7" t="n">
        <v>0.066</v>
      </c>
      <c r="AC120" s="7" t="n">
        <v>0.066</v>
      </c>
      <c r="AD120" s="7" t="n">
        <v>0.121</v>
      </c>
      <c r="AE120" s="7" t="n">
        <v>0.138</v>
      </c>
      <c r="AF120" s="7" t="n">
        <v>-0.646</v>
      </c>
      <c r="AG120" s="7" t="n">
        <v>-0.279</v>
      </c>
      <c r="AH120" s="7" t="n">
        <v>0.001</v>
      </c>
      <c r="AI120" s="7" t="n">
        <v>-0.064</v>
      </c>
      <c r="AJ120" s="7" t="n">
        <v>-0.028</v>
      </c>
      <c r="AK120" s="7" t="n">
        <v>0.137</v>
      </c>
      <c r="AL120" s="7" t="n">
        <v>-0.212</v>
      </c>
      <c r="AM120" s="7" t="n">
        <v>0.296</v>
      </c>
      <c r="AN120" s="7" t="n">
        <v>-0.102</v>
      </c>
      <c r="AO120" s="7" t="n">
        <v>-0.768</v>
      </c>
      <c r="AP120" s="7" t="n">
        <v>-0.751</v>
      </c>
      <c r="AQ120" s="7" t="n">
        <v>0.215</v>
      </c>
      <c r="AR120" s="7" t="n">
        <v>-0.155</v>
      </c>
      <c r="AS120" s="7" t="n">
        <v>-0.65</v>
      </c>
      <c r="AT120" s="7" t="n">
        <v>-0.029</v>
      </c>
      <c r="AU120" s="7" t="n">
        <v>0</v>
      </c>
      <c r="AV120" s="7" t="n">
        <v>0.059</v>
      </c>
    </row>
    <row r="121" customFormat="false" ht="15" hidden="false" customHeight="false" outlineLevel="0" collapsed="false">
      <c r="A121" s="19" t="n">
        <v>46438</v>
      </c>
      <c r="B121" s="6" t="n">
        <v>0</v>
      </c>
      <c r="C121" s="6" t="s">
        <v>180</v>
      </c>
      <c r="D121" s="6" t="s">
        <v>182</v>
      </c>
      <c r="E121" s="6" t="s">
        <v>205</v>
      </c>
      <c r="F121" s="6" t="s">
        <v>172</v>
      </c>
      <c r="G121" s="7" t="n">
        <v>-0.554</v>
      </c>
      <c r="H121" s="7" t="n">
        <v>-0.544</v>
      </c>
      <c r="I121" s="7" t="n">
        <v>0.082</v>
      </c>
      <c r="J121" s="7" t="n">
        <v>-0.302</v>
      </c>
      <c r="K121" s="7" t="n">
        <v>-0.396</v>
      </c>
      <c r="L121" s="7" t="n">
        <v>0.062</v>
      </c>
      <c r="M121" s="7" t="n">
        <v>-0.134</v>
      </c>
      <c r="N121" s="7" t="n">
        <v>-0.563</v>
      </c>
      <c r="O121" s="7" t="n">
        <v>-0.21</v>
      </c>
      <c r="P121" s="7" t="n">
        <v>-0.351</v>
      </c>
      <c r="Q121" s="7" t="n">
        <v>-0.412</v>
      </c>
      <c r="R121" s="7" t="n">
        <v>-0.092</v>
      </c>
      <c r="S121" s="7" t="n">
        <v>-0.618</v>
      </c>
      <c r="T121" s="7" t="n">
        <v>-0.389</v>
      </c>
      <c r="U121" s="7" t="n">
        <v>0.246</v>
      </c>
      <c r="V121" s="7" t="n">
        <v>0.225</v>
      </c>
      <c r="W121" s="7" t="n">
        <v>-0.273</v>
      </c>
      <c r="X121" s="7" t="n">
        <v>-0.587</v>
      </c>
      <c r="Y121" s="7" t="n">
        <v>-0.013</v>
      </c>
      <c r="Z121" s="7" t="n">
        <v>0.17</v>
      </c>
      <c r="AA121" s="7" t="n">
        <v>-0.394</v>
      </c>
      <c r="AB121" s="7" t="n">
        <v>0.066</v>
      </c>
      <c r="AC121" s="7" t="n">
        <v>-0.034</v>
      </c>
      <c r="AD121" s="7" t="n">
        <v>0.169</v>
      </c>
      <c r="AE121" s="7" t="n">
        <v>-0.283</v>
      </c>
      <c r="AF121" s="7" t="n">
        <v>-0.273</v>
      </c>
      <c r="AG121" s="7" t="n">
        <v>-0.318</v>
      </c>
      <c r="AH121" s="7" t="n">
        <v>-0.001</v>
      </c>
      <c r="AI121" s="7" t="n">
        <v>-0.475</v>
      </c>
      <c r="AJ121" s="7" t="n">
        <v>-0.341</v>
      </c>
      <c r="AK121" s="7" t="n">
        <v>0.248</v>
      </c>
      <c r="AL121" s="7" t="n">
        <v>-0.259</v>
      </c>
      <c r="AM121" s="7" t="n">
        <v>0.302</v>
      </c>
      <c r="AN121" s="7" t="n">
        <v>-0.043</v>
      </c>
      <c r="AO121" s="7" t="n">
        <v>-0.408</v>
      </c>
      <c r="AP121" s="7" t="n">
        <v>-0.39</v>
      </c>
      <c r="AQ121" s="7" t="n">
        <v>0.211</v>
      </c>
      <c r="AR121" s="7" t="n">
        <v>-0.096</v>
      </c>
      <c r="AS121" s="7" t="n">
        <v>-0.329</v>
      </c>
      <c r="AT121" s="7" t="n">
        <v>-0.34</v>
      </c>
      <c r="AU121" s="7" t="n">
        <v>-0.396</v>
      </c>
      <c r="AV121" s="7" t="n">
        <v>0.058</v>
      </c>
    </row>
    <row r="122" customFormat="false" ht="15" hidden="false" customHeight="false" outlineLevel="0" collapsed="false">
      <c r="A122" s="19" t="n">
        <v>46439</v>
      </c>
      <c r="B122" s="6" t="n">
        <v>0</v>
      </c>
      <c r="C122" s="6" t="s">
        <v>183</v>
      </c>
      <c r="D122" s="6" t="s">
        <v>184</v>
      </c>
      <c r="E122" s="6" t="s">
        <v>205</v>
      </c>
      <c r="F122" s="6" t="s">
        <v>172</v>
      </c>
      <c r="G122" s="7" t="n">
        <v>-0.427</v>
      </c>
      <c r="H122" s="7" t="n">
        <v>-0.339</v>
      </c>
      <c r="I122" s="7" t="n">
        <v>0.02</v>
      </c>
      <c r="J122" s="7" t="n">
        <v>0.038</v>
      </c>
      <c r="K122" s="7" t="n">
        <v>-0.304</v>
      </c>
      <c r="L122" s="7" t="n">
        <v>0.18</v>
      </c>
      <c r="M122" s="7" t="n">
        <v>-0.081</v>
      </c>
      <c r="N122" s="7" t="n">
        <v>-0.467</v>
      </c>
      <c r="O122" s="7" t="n">
        <v>-0.204</v>
      </c>
      <c r="P122" s="7" t="n">
        <v>-0.141</v>
      </c>
      <c r="Q122" s="7" t="n">
        <v>0</v>
      </c>
      <c r="R122" s="7" t="n">
        <v>-0.215</v>
      </c>
      <c r="S122" s="7" t="n">
        <v>-0.438</v>
      </c>
      <c r="T122" s="7" t="n">
        <v>-0.159</v>
      </c>
      <c r="U122" s="7" t="n">
        <v>0.257</v>
      </c>
      <c r="V122" s="7" t="n">
        <v>0.208</v>
      </c>
      <c r="W122" s="7" t="n">
        <v>-0.383</v>
      </c>
      <c r="X122" s="7" t="n">
        <v>-0.445</v>
      </c>
      <c r="Y122" s="7" t="n">
        <v>-0.327</v>
      </c>
      <c r="Z122" s="7" t="n">
        <v>0.164</v>
      </c>
      <c r="AA122" s="7" t="n">
        <v>-0.323</v>
      </c>
      <c r="AB122" s="7" t="n">
        <v>0.066</v>
      </c>
      <c r="AC122" s="7" t="n">
        <v>-0.198</v>
      </c>
      <c r="AD122" s="7" t="n">
        <v>0.097</v>
      </c>
      <c r="AE122" s="7" t="n">
        <v>0.112</v>
      </c>
      <c r="AF122" s="7" t="n">
        <v>-0.404</v>
      </c>
      <c r="AG122" s="7" t="n">
        <v>-0.256</v>
      </c>
      <c r="AH122" s="7" t="n">
        <v>-0.084</v>
      </c>
      <c r="AI122" s="7" t="n">
        <v>-0.145</v>
      </c>
      <c r="AJ122" s="7" t="n">
        <v>-0.118</v>
      </c>
      <c r="AK122" s="7" t="n">
        <v>0.12</v>
      </c>
      <c r="AL122" s="7" t="n">
        <v>-0.21</v>
      </c>
      <c r="AM122" s="7" t="n">
        <v>0.206</v>
      </c>
      <c r="AN122" s="7" t="n">
        <v>-0.007</v>
      </c>
      <c r="AO122" s="7" t="n">
        <v>-0.502</v>
      </c>
      <c r="AP122" s="7" t="n">
        <v>-0.509</v>
      </c>
      <c r="AQ122" s="7" t="n">
        <v>0.237</v>
      </c>
      <c r="AR122" s="7" t="n">
        <v>-0.043</v>
      </c>
      <c r="AS122" s="7" t="n">
        <v>-0.364</v>
      </c>
      <c r="AT122" s="7" t="n">
        <v>-0.136</v>
      </c>
      <c r="AU122" s="7" t="n">
        <v>-0.029</v>
      </c>
      <c r="AV122" s="7" t="n">
        <v>0.041</v>
      </c>
    </row>
    <row r="123" customFormat="false" ht="15" hidden="false" customHeight="false" outlineLevel="0" collapsed="false">
      <c r="A123" s="19" t="n">
        <v>46440</v>
      </c>
      <c r="B123" s="6" t="n">
        <v>1</v>
      </c>
      <c r="C123" s="6" t="s">
        <v>183</v>
      </c>
      <c r="D123" s="6" t="s">
        <v>187</v>
      </c>
      <c r="E123" s="6" t="s">
        <v>205</v>
      </c>
      <c r="F123" s="6" t="s">
        <v>172</v>
      </c>
      <c r="G123" s="7" t="n">
        <v>-0.271</v>
      </c>
      <c r="H123" s="7" t="n">
        <v>-0.328</v>
      </c>
      <c r="I123" s="7" t="n">
        <v>0.107</v>
      </c>
      <c r="J123" s="7" t="n">
        <v>0.041</v>
      </c>
      <c r="K123" s="7" t="n">
        <v>-0.306</v>
      </c>
      <c r="L123" s="7" t="n">
        <v>0.064</v>
      </c>
      <c r="M123" s="7" t="n">
        <v>-0.076</v>
      </c>
      <c r="N123" s="7" t="n">
        <v>-0.41</v>
      </c>
      <c r="O123" s="7" t="n">
        <v>-0.206</v>
      </c>
      <c r="P123" s="7" t="n">
        <v>-0.139</v>
      </c>
      <c r="Q123" s="7" t="n">
        <v>-0.018</v>
      </c>
      <c r="R123" s="7" t="n">
        <v>-0.206</v>
      </c>
      <c r="S123" s="7" t="n">
        <v>-0.439</v>
      </c>
      <c r="T123" s="7" t="n">
        <v>0.338</v>
      </c>
      <c r="U123" s="7" t="n">
        <v>0.271</v>
      </c>
      <c r="V123" s="7" t="n">
        <v>0.194</v>
      </c>
      <c r="W123" s="7" t="n">
        <v>-0.171</v>
      </c>
      <c r="X123" s="7" t="n">
        <v>-0.117</v>
      </c>
      <c r="Y123" s="7" t="n">
        <v>0.013</v>
      </c>
      <c r="Z123" s="7" t="n">
        <v>0.59</v>
      </c>
      <c r="AA123" s="7" t="n">
        <v>-0.187</v>
      </c>
      <c r="AB123" s="7" t="n">
        <v>0.066</v>
      </c>
      <c r="AC123" s="7" t="n">
        <v>-0.04</v>
      </c>
      <c r="AD123" s="7" t="n">
        <v>0.42</v>
      </c>
      <c r="AE123" s="7" t="n">
        <v>0.116</v>
      </c>
      <c r="AF123" s="7" t="n">
        <v>-0.196</v>
      </c>
      <c r="AG123" s="7" t="n">
        <v>-0.258</v>
      </c>
      <c r="AH123" s="7" t="n">
        <v>-0.095</v>
      </c>
      <c r="AI123" s="7" t="n">
        <v>-0.006</v>
      </c>
      <c r="AJ123" s="7" t="n">
        <v>-0.119</v>
      </c>
      <c r="AK123" s="7" t="n">
        <v>0.108</v>
      </c>
      <c r="AL123" s="7" t="n">
        <v>0.259</v>
      </c>
      <c r="AM123" s="7" t="n">
        <v>0.7</v>
      </c>
      <c r="AN123" s="7" t="n">
        <v>-0.029</v>
      </c>
      <c r="AO123" s="7" t="n">
        <v>-0.38</v>
      </c>
      <c r="AP123" s="7" t="n">
        <v>-0.385</v>
      </c>
      <c r="AQ123" s="7" t="n">
        <v>0.569</v>
      </c>
      <c r="AR123" s="7" t="n">
        <v>-0.052</v>
      </c>
      <c r="AS123" s="7" t="n">
        <v>-0.228</v>
      </c>
      <c r="AT123" s="7" t="n">
        <v>0.379</v>
      </c>
      <c r="AU123" s="7" t="n">
        <v>-0.026</v>
      </c>
      <c r="AV123" s="7" t="n">
        <v>0.028</v>
      </c>
    </row>
    <row r="124" customFormat="false" ht="15" hidden="false" customHeight="false" outlineLevel="0" collapsed="false">
      <c r="A124" s="19" t="n">
        <v>46441</v>
      </c>
      <c r="B124" s="6" t="n">
        <v>1</v>
      </c>
      <c r="C124" s="6" t="s">
        <v>186</v>
      </c>
      <c r="D124" s="6" t="s">
        <v>188</v>
      </c>
      <c r="E124" s="6" t="s">
        <v>205</v>
      </c>
      <c r="F124" s="6" t="s">
        <v>172</v>
      </c>
      <c r="G124" s="7" t="n">
        <v>-0.415</v>
      </c>
      <c r="H124" s="7" t="n">
        <v>-0.492</v>
      </c>
      <c r="I124" s="7" t="n">
        <v>-0.005</v>
      </c>
      <c r="J124" s="7" t="n">
        <v>-0.03</v>
      </c>
      <c r="K124" s="7" t="n">
        <v>-0.272</v>
      </c>
      <c r="L124" s="7" t="n">
        <v>0.048</v>
      </c>
      <c r="M124" s="7" t="n">
        <v>-0.06</v>
      </c>
      <c r="N124" s="7" t="n">
        <v>-0.59</v>
      </c>
      <c r="O124" s="7" t="n">
        <v>-0.464</v>
      </c>
      <c r="P124" s="7" t="n">
        <v>-0.139</v>
      </c>
      <c r="Q124" s="7" t="n">
        <v>-0.451</v>
      </c>
      <c r="R124" s="7" t="n">
        <v>-0.275</v>
      </c>
      <c r="S124" s="7" t="n">
        <v>-0.646</v>
      </c>
      <c r="T124" s="7" t="n">
        <v>-0.414</v>
      </c>
      <c r="U124" s="7" t="n">
        <v>0.225</v>
      </c>
      <c r="V124" s="7" t="n">
        <v>0.207</v>
      </c>
      <c r="W124" s="7" t="n">
        <v>-0.193</v>
      </c>
      <c r="X124" s="7" t="n">
        <v>-0.33</v>
      </c>
      <c r="Y124" s="7" t="n">
        <v>0.048</v>
      </c>
      <c r="Z124" s="7" t="n">
        <v>0.025</v>
      </c>
      <c r="AA124" s="7" t="n">
        <v>-0.353</v>
      </c>
      <c r="AB124" s="7" t="n">
        <v>0.065</v>
      </c>
      <c r="AC124" s="7" t="n">
        <v>0.013</v>
      </c>
      <c r="AD124" s="7" t="n">
        <v>0.195</v>
      </c>
      <c r="AE124" s="7" t="n">
        <v>-0.05</v>
      </c>
      <c r="AF124" s="7" t="n">
        <v>-0.193</v>
      </c>
      <c r="AG124" s="7" t="n">
        <v>-0.551</v>
      </c>
      <c r="AH124" s="7" t="n">
        <v>-0.121</v>
      </c>
      <c r="AI124" s="7" t="n">
        <v>-0.2</v>
      </c>
      <c r="AJ124" s="7" t="n">
        <v>-0.241</v>
      </c>
      <c r="AK124" s="7" t="n">
        <v>0.226</v>
      </c>
      <c r="AL124" s="7" t="n">
        <v>-0.027</v>
      </c>
      <c r="AM124" s="7" t="n">
        <v>0.14</v>
      </c>
      <c r="AN124" s="7" t="n">
        <v>-0.462</v>
      </c>
      <c r="AO124" s="7" t="n">
        <v>-0.66</v>
      </c>
      <c r="AP124" s="7" t="n">
        <v>-0.64</v>
      </c>
      <c r="AQ124" s="7" t="n">
        <v>0.177</v>
      </c>
      <c r="AR124" s="7" t="n">
        <v>-0.493</v>
      </c>
      <c r="AS124" s="7" t="n">
        <v>-0.27</v>
      </c>
      <c r="AT124" s="7" t="n">
        <v>-0.206</v>
      </c>
      <c r="AU124" s="7" t="n">
        <v>-0.084</v>
      </c>
      <c r="AV124" s="7" t="n">
        <v>0.051</v>
      </c>
    </row>
    <row r="125" customFormat="false" ht="15" hidden="false" customHeight="false" outlineLevel="0" collapsed="false">
      <c r="A125" s="19" t="n">
        <v>46442</v>
      </c>
      <c r="B125" s="6" t="n">
        <v>1</v>
      </c>
      <c r="C125" s="6" t="s">
        <v>186</v>
      </c>
      <c r="D125" s="6" t="s">
        <v>189</v>
      </c>
      <c r="E125" s="6" t="s">
        <v>205</v>
      </c>
      <c r="F125" s="6" t="s">
        <v>172</v>
      </c>
      <c r="G125" s="7" t="n">
        <v>-0.039</v>
      </c>
      <c r="H125" s="7" t="n">
        <v>-0.257</v>
      </c>
      <c r="I125" s="7" t="n">
        <v>0.458</v>
      </c>
      <c r="J125" s="7" t="n">
        <v>0.288</v>
      </c>
      <c r="K125" s="7" t="n">
        <v>-0.288</v>
      </c>
      <c r="L125" s="7" t="n">
        <v>0.484</v>
      </c>
      <c r="M125" s="7" t="n">
        <v>0.243</v>
      </c>
      <c r="N125" s="7" t="n">
        <v>-0.042</v>
      </c>
      <c r="O125" s="7" t="n">
        <v>-0.276</v>
      </c>
      <c r="P125" s="7" t="n">
        <v>-0.059</v>
      </c>
      <c r="Q125" s="7" t="n">
        <v>-0.098</v>
      </c>
      <c r="R125" s="7" t="n">
        <v>-0.267</v>
      </c>
      <c r="S125" s="7" t="n">
        <v>-0.429</v>
      </c>
      <c r="T125" s="7" t="n">
        <v>0.145</v>
      </c>
      <c r="U125" s="7" t="n">
        <v>0.49</v>
      </c>
      <c r="V125" s="7" t="n">
        <v>0.154</v>
      </c>
      <c r="W125" s="7" t="n">
        <v>0.178</v>
      </c>
      <c r="X125" s="7" t="n">
        <v>-0.013</v>
      </c>
      <c r="Y125" s="7" t="n">
        <v>0.077</v>
      </c>
      <c r="Z125" s="7" t="n">
        <v>0.149</v>
      </c>
      <c r="AA125" s="7" t="n">
        <v>0.113</v>
      </c>
      <c r="AB125" s="7" t="n">
        <v>0.065</v>
      </c>
      <c r="AC125" s="7" t="n">
        <v>0.4</v>
      </c>
      <c r="AD125" s="7" t="n">
        <v>0.262</v>
      </c>
      <c r="AE125" s="7" t="n">
        <v>0.181</v>
      </c>
      <c r="AF125" s="7" t="n">
        <v>-0.164</v>
      </c>
      <c r="AG125" s="7" t="n">
        <v>-0.22</v>
      </c>
      <c r="AH125" s="7" t="n">
        <v>-0.117</v>
      </c>
      <c r="AI125" s="7" t="n">
        <v>0.393</v>
      </c>
      <c r="AJ125" s="7" t="n">
        <v>-0.225</v>
      </c>
      <c r="AK125" s="7" t="n">
        <v>0.296</v>
      </c>
      <c r="AL125" s="7" t="n">
        <v>-0.002</v>
      </c>
      <c r="AM125" s="7" t="n">
        <v>0.15</v>
      </c>
      <c r="AN125" s="7" t="n">
        <v>-0.05</v>
      </c>
      <c r="AO125" s="7" t="n">
        <v>-0.044</v>
      </c>
      <c r="AP125" s="7" t="n">
        <v>-0.365</v>
      </c>
      <c r="AQ125" s="7" t="n">
        <v>0.479</v>
      </c>
      <c r="AR125" s="7" t="n">
        <v>-0.101</v>
      </c>
      <c r="AS125" s="7" t="n">
        <v>0.156</v>
      </c>
      <c r="AT125" s="7" t="n">
        <v>-0.21</v>
      </c>
      <c r="AU125" s="7" t="n">
        <v>-0.084</v>
      </c>
      <c r="AV125" s="7" t="n">
        <v>0.056</v>
      </c>
    </row>
    <row r="126" customFormat="false" ht="15" hidden="false" customHeight="false" outlineLevel="0" collapsed="false">
      <c r="A126" s="19" t="n">
        <v>46443</v>
      </c>
      <c r="B126" s="6" t="n">
        <v>1</v>
      </c>
      <c r="C126" s="6" t="s">
        <v>190</v>
      </c>
      <c r="D126" s="6" t="s">
        <v>191</v>
      </c>
      <c r="E126" s="6" t="s">
        <v>205</v>
      </c>
      <c r="F126" s="6" t="s">
        <v>172</v>
      </c>
      <c r="G126" s="7" t="n">
        <v>-0.112</v>
      </c>
      <c r="H126" s="7" t="n">
        <v>-0.074</v>
      </c>
      <c r="I126" s="7" t="n">
        <v>0.098</v>
      </c>
      <c r="J126" s="7" t="n">
        <v>0.243</v>
      </c>
      <c r="K126" s="7" t="n">
        <v>-0.296</v>
      </c>
      <c r="L126" s="7" t="n">
        <v>0.024</v>
      </c>
      <c r="M126" s="7" t="n">
        <v>0.464</v>
      </c>
      <c r="N126" s="7" t="n">
        <v>-0.223</v>
      </c>
      <c r="O126" s="7" t="n">
        <v>-0.186</v>
      </c>
      <c r="P126" s="7" t="n">
        <v>-0.136</v>
      </c>
      <c r="Q126" s="7" t="n">
        <v>0.195</v>
      </c>
      <c r="R126" s="7" t="n">
        <v>-0.16</v>
      </c>
      <c r="S126" s="7" t="n">
        <v>-0.487</v>
      </c>
      <c r="T126" s="7" t="n">
        <v>-0.345</v>
      </c>
      <c r="U126" s="7" t="n">
        <v>0.085</v>
      </c>
      <c r="V126" s="7" t="n">
        <v>0.309</v>
      </c>
      <c r="W126" s="7" t="n">
        <v>0.468</v>
      </c>
      <c r="X126" s="7" t="n">
        <v>-0.034</v>
      </c>
      <c r="Y126" s="7" t="n">
        <v>0.14</v>
      </c>
      <c r="Z126" s="7" t="n">
        <v>0.623</v>
      </c>
      <c r="AA126" s="7" t="n">
        <v>0.43</v>
      </c>
      <c r="AB126" s="7" t="n">
        <v>0.233</v>
      </c>
      <c r="AC126" s="7" t="n">
        <v>-0.027</v>
      </c>
      <c r="AD126" s="7" t="n">
        <v>0.528</v>
      </c>
      <c r="AE126" s="7" t="n">
        <v>0.152</v>
      </c>
      <c r="AF126" s="7" t="n">
        <v>0.458</v>
      </c>
      <c r="AG126" s="7" t="n">
        <v>-0.237</v>
      </c>
      <c r="AH126" s="7" t="n">
        <v>0.093</v>
      </c>
      <c r="AI126" s="7" t="n">
        <v>0.557</v>
      </c>
      <c r="AJ126" s="7" t="n">
        <v>-0.2</v>
      </c>
      <c r="AK126" s="7" t="n">
        <v>0.297</v>
      </c>
      <c r="AL126" s="7" t="n">
        <v>-0.046</v>
      </c>
      <c r="AM126" s="7" t="n">
        <v>0.196</v>
      </c>
      <c r="AN126" s="7" t="n">
        <v>-0.178</v>
      </c>
      <c r="AO126" s="7" t="n">
        <v>-0.246</v>
      </c>
      <c r="AP126" s="7" t="n">
        <v>-0.241</v>
      </c>
      <c r="AQ126" s="7" t="n">
        <v>0.023</v>
      </c>
      <c r="AR126" s="7" t="n">
        <v>-0.052</v>
      </c>
      <c r="AS126" s="7" t="n">
        <v>0.271</v>
      </c>
      <c r="AT126" s="7" t="n">
        <v>-0.105</v>
      </c>
      <c r="AU126" s="7" t="n">
        <v>0.006</v>
      </c>
      <c r="AV126" s="7" t="n">
        <v>-0.12</v>
      </c>
    </row>
    <row r="127" customFormat="false" ht="15" hidden="false" customHeight="false" outlineLevel="0" collapsed="false">
      <c r="A127" s="19" t="n">
        <v>46444</v>
      </c>
      <c r="B127" s="6" t="n">
        <v>1</v>
      </c>
      <c r="C127" s="6" t="s">
        <v>190</v>
      </c>
      <c r="D127" s="6" t="s">
        <v>192</v>
      </c>
      <c r="E127" s="6" t="s">
        <v>205</v>
      </c>
      <c r="F127" s="6" t="s">
        <v>172</v>
      </c>
      <c r="G127" s="7" t="n">
        <v>-0.293</v>
      </c>
      <c r="H127" s="7" t="n">
        <v>-0.322</v>
      </c>
      <c r="I127" s="7" t="n">
        <v>0.115</v>
      </c>
      <c r="J127" s="7" t="n">
        <v>0.267</v>
      </c>
      <c r="K127" s="7" t="n">
        <v>-0.39</v>
      </c>
      <c r="L127" s="7" t="n">
        <v>0.04</v>
      </c>
      <c r="M127" s="7" t="n">
        <v>0.079</v>
      </c>
      <c r="N127" s="7" t="n">
        <v>-0.251</v>
      </c>
      <c r="O127" s="7" t="n">
        <v>-0.486</v>
      </c>
      <c r="P127" s="7" t="n">
        <v>-0.135</v>
      </c>
      <c r="Q127" s="7" t="n">
        <v>0.244</v>
      </c>
      <c r="R127" s="7" t="n">
        <v>-0.45</v>
      </c>
      <c r="S127" s="7" t="n">
        <v>-0.617</v>
      </c>
      <c r="T127" s="7" t="n">
        <v>-0.416</v>
      </c>
      <c r="U127" s="7" t="n">
        <v>0.16</v>
      </c>
      <c r="V127" s="7" t="n">
        <v>0.356</v>
      </c>
      <c r="W127" s="7" t="n">
        <v>0.008</v>
      </c>
      <c r="X127" s="7" t="n">
        <v>-0.026</v>
      </c>
      <c r="Y127" s="7" t="n">
        <v>0.112</v>
      </c>
      <c r="Z127" s="7" t="n">
        <v>0.393</v>
      </c>
      <c r="AA127" s="7" t="n">
        <v>-0.024</v>
      </c>
      <c r="AB127" s="7" t="n">
        <v>0.289</v>
      </c>
      <c r="AC127" s="7" t="n">
        <v>-0.003</v>
      </c>
      <c r="AD127" s="7" t="n">
        <v>0.153</v>
      </c>
      <c r="AE127" s="7" t="n">
        <v>0.154</v>
      </c>
      <c r="AF127" s="7" t="n">
        <v>-0.025</v>
      </c>
      <c r="AG127" s="7" t="n">
        <v>-0.535</v>
      </c>
      <c r="AH127" s="7" t="n">
        <v>0.158</v>
      </c>
      <c r="AI127" s="7" t="n">
        <v>0.22</v>
      </c>
      <c r="AJ127" s="7" t="n">
        <v>-0.374</v>
      </c>
      <c r="AK127" s="7" t="n">
        <v>0.392</v>
      </c>
      <c r="AL127" s="7" t="n">
        <v>-0.078</v>
      </c>
      <c r="AM127" s="7" t="n">
        <v>-0.08</v>
      </c>
      <c r="AN127" s="7" t="n">
        <v>-0.137</v>
      </c>
      <c r="AO127" s="7" t="n">
        <v>-0.266</v>
      </c>
      <c r="AP127" s="7" t="n">
        <v>-0.278</v>
      </c>
      <c r="AQ127" s="7" t="n">
        <v>-0.294</v>
      </c>
      <c r="AR127" s="7" t="n">
        <v>-0.061</v>
      </c>
      <c r="AS127" s="7" t="n">
        <v>-0.105</v>
      </c>
      <c r="AT127" s="7" t="n">
        <v>-0.363</v>
      </c>
      <c r="AU127" s="7" t="n">
        <v>0.011</v>
      </c>
      <c r="AV127" s="7" t="n">
        <v>-0.072</v>
      </c>
    </row>
    <row r="128" customFormat="false" ht="15" hidden="false" customHeight="false" outlineLevel="0" collapsed="false">
      <c r="A128" s="19" t="n">
        <v>46445</v>
      </c>
      <c r="B128" s="6" t="n">
        <v>0</v>
      </c>
      <c r="C128" s="6" t="s">
        <v>171</v>
      </c>
      <c r="D128" s="6" t="s">
        <v>193</v>
      </c>
      <c r="E128" s="6" t="s">
        <v>205</v>
      </c>
      <c r="F128" s="6" t="s">
        <v>172</v>
      </c>
      <c r="G128" s="7" t="n">
        <v>0.117</v>
      </c>
      <c r="H128" s="7" t="n">
        <v>-0.129</v>
      </c>
      <c r="I128" s="7" t="n">
        <v>0.427</v>
      </c>
      <c r="J128" s="7" t="n">
        <v>0.137</v>
      </c>
      <c r="K128" s="7" t="n">
        <v>-0.071</v>
      </c>
      <c r="L128" s="7" t="n">
        <v>0.418</v>
      </c>
      <c r="M128" s="7" t="n">
        <v>0.131</v>
      </c>
      <c r="N128" s="7" t="n">
        <v>-0.147</v>
      </c>
      <c r="O128" s="7" t="n">
        <v>-0.258</v>
      </c>
      <c r="P128" s="7" t="n">
        <v>-0.127</v>
      </c>
      <c r="Q128" s="7" t="n">
        <v>0.051</v>
      </c>
      <c r="R128" s="7" t="n">
        <v>-0.204</v>
      </c>
      <c r="S128" s="7" t="n">
        <v>-0.256</v>
      </c>
      <c r="T128" s="7" t="n">
        <v>-0.159</v>
      </c>
      <c r="U128" s="7" t="n">
        <v>0.464</v>
      </c>
      <c r="V128" s="7" t="n">
        <v>0.145</v>
      </c>
      <c r="W128" s="7" t="n">
        <v>0.124</v>
      </c>
      <c r="X128" s="7" t="n">
        <v>0.247</v>
      </c>
      <c r="Y128" s="7" t="n">
        <v>-0.1</v>
      </c>
      <c r="Z128" s="7" t="n">
        <v>0.051</v>
      </c>
      <c r="AA128" s="7" t="n">
        <v>0.06</v>
      </c>
      <c r="AB128" s="7" t="n">
        <v>0.064</v>
      </c>
      <c r="AC128" s="7" t="n">
        <v>0.326</v>
      </c>
      <c r="AD128" s="7" t="n">
        <v>0.47</v>
      </c>
      <c r="AE128" s="7" t="n">
        <v>0.078</v>
      </c>
      <c r="AF128" s="7" t="n">
        <v>-0.137</v>
      </c>
      <c r="AG128" s="7" t="n">
        <v>-0.297</v>
      </c>
      <c r="AH128" s="7" t="n">
        <v>-0.123</v>
      </c>
      <c r="AI128" s="7" t="n">
        <v>0.377</v>
      </c>
      <c r="AJ128" s="7" t="n">
        <v>-0.036</v>
      </c>
      <c r="AK128" s="7" t="n">
        <v>0.066</v>
      </c>
      <c r="AL128" s="7" t="n">
        <v>0.203</v>
      </c>
      <c r="AM128" s="7" t="n">
        <v>0.165</v>
      </c>
      <c r="AN128" s="7" t="n">
        <v>-0.009</v>
      </c>
      <c r="AO128" s="7" t="n">
        <v>-0.337</v>
      </c>
      <c r="AP128" s="7" t="n">
        <v>-0.501</v>
      </c>
      <c r="AQ128" s="7" t="n">
        <v>0.403</v>
      </c>
      <c r="AR128" s="7" t="n">
        <v>-0.056</v>
      </c>
      <c r="AS128" s="7" t="n">
        <v>-0.134</v>
      </c>
      <c r="AT128" s="7" t="n">
        <v>-0.121</v>
      </c>
      <c r="AU128" s="7" t="n">
        <v>0.024</v>
      </c>
      <c r="AV128" s="7" t="n">
        <v>0.051</v>
      </c>
    </row>
    <row r="129" customFormat="false" ht="15" hidden="false" customHeight="false" outlineLevel="0" collapsed="false">
      <c r="A129" s="19" t="n">
        <v>46446</v>
      </c>
      <c r="B129" s="6" t="n">
        <v>0</v>
      </c>
      <c r="C129" s="6" t="s">
        <v>171</v>
      </c>
      <c r="D129" s="6" t="s">
        <v>193</v>
      </c>
      <c r="E129" s="6" t="s">
        <v>205</v>
      </c>
      <c r="F129" s="6" t="s">
        <v>172</v>
      </c>
      <c r="G129" s="7" t="n">
        <v>-0.023</v>
      </c>
      <c r="H129" s="7" t="n">
        <v>-0.345</v>
      </c>
      <c r="I129" s="7" t="n">
        <v>0.406</v>
      </c>
      <c r="J129" s="7" t="n">
        <v>0.056</v>
      </c>
      <c r="K129" s="7" t="n">
        <v>-0.096</v>
      </c>
      <c r="L129" s="7" t="n">
        <v>0.39</v>
      </c>
      <c r="M129" s="7" t="n">
        <v>-0.239</v>
      </c>
      <c r="N129" s="7" t="n">
        <v>-0.468</v>
      </c>
      <c r="O129" s="7" t="n">
        <v>-0.292</v>
      </c>
      <c r="P129" s="7" t="n">
        <v>-0.131</v>
      </c>
      <c r="Q129" s="7" t="n">
        <v>0.015</v>
      </c>
      <c r="R129" s="7" t="n">
        <v>-0.281</v>
      </c>
      <c r="S129" s="7" t="n">
        <v>-0.284</v>
      </c>
      <c r="T129" s="7" t="n">
        <v>-0.188</v>
      </c>
      <c r="U129" s="7" t="n">
        <v>0.448</v>
      </c>
      <c r="V129" s="7" t="n">
        <v>0.133</v>
      </c>
      <c r="W129" s="7" t="n">
        <v>-0.272</v>
      </c>
      <c r="X129" s="7" t="n">
        <v>0.213</v>
      </c>
      <c r="Y129" s="7" t="n">
        <v>-0.391</v>
      </c>
      <c r="Z129" s="7" t="n">
        <v>0.037</v>
      </c>
      <c r="AA129" s="7" t="n">
        <v>-0.317</v>
      </c>
      <c r="AB129" s="7" t="n">
        <v>0.064</v>
      </c>
      <c r="AC129" s="7" t="n">
        <v>0.312</v>
      </c>
      <c r="AD129" s="7" t="n">
        <v>0.463</v>
      </c>
      <c r="AE129" s="7" t="n">
        <v>0.072</v>
      </c>
      <c r="AF129" s="7" t="n">
        <v>-0.37</v>
      </c>
      <c r="AG129" s="7" t="n">
        <v>-0.382</v>
      </c>
      <c r="AH129" s="7" t="n">
        <v>-0.132</v>
      </c>
      <c r="AI129" s="7" t="n">
        <v>0.379</v>
      </c>
      <c r="AJ129" s="7" t="n">
        <v>-0.075</v>
      </c>
      <c r="AK129" s="7" t="n">
        <v>-0.024</v>
      </c>
      <c r="AL129" s="7" t="n">
        <v>0.161</v>
      </c>
      <c r="AM129" s="7" t="n">
        <v>0.145</v>
      </c>
      <c r="AN129" s="7" t="n">
        <v>-0.039</v>
      </c>
      <c r="AO129" s="7" t="n">
        <v>-0.553</v>
      </c>
      <c r="AP129" s="7" t="n">
        <v>-0.599</v>
      </c>
      <c r="AQ129" s="7" t="n">
        <v>0.4</v>
      </c>
      <c r="AR129" s="7" t="n">
        <v>-0.075</v>
      </c>
      <c r="AS129" s="7" t="n">
        <v>-0.42</v>
      </c>
      <c r="AT129" s="7" t="n">
        <v>-0.145</v>
      </c>
      <c r="AU129" s="7" t="n">
        <v>0.019</v>
      </c>
      <c r="AV129" s="7" t="n">
        <v>0.04</v>
      </c>
    </row>
    <row r="130" customFormat="false" ht="15" hidden="false" customHeight="false" outlineLevel="0" collapsed="false">
      <c r="A130" s="19" t="n">
        <v>46447</v>
      </c>
      <c r="B130" s="6" t="n">
        <v>1</v>
      </c>
      <c r="C130" s="6" t="s">
        <v>171</v>
      </c>
      <c r="D130" s="6" t="s">
        <v>194</v>
      </c>
      <c r="E130" s="6" t="s">
        <v>205</v>
      </c>
      <c r="F130" s="6" t="s">
        <v>172</v>
      </c>
      <c r="G130" s="7" t="n">
        <v>0.552</v>
      </c>
      <c r="H130" s="7" t="n">
        <v>0.488</v>
      </c>
      <c r="I130" s="7" t="n">
        <v>0.43</v>
      </c>
      <c r="J130" s="7" t="n">
        <v>0.676</v>
      </c>
      <c r="K130" s="7" t="n">
        <v>0.492</v>
      </c>
      <c r="L130" s="7" t="n">
        <v>0.466</v>
      </c>
      <c r="M130" s="7" t="n">
        <v>0.357</v>
      </c>
      <c r="N130" s="7" t="n">
        <v>-0.087</v>
      </c>
      <c r="O130" s="7" t="n">
        <v>-0.273</v>
      </c>
      <c r="P130" s="7" t="n">
        <v>0.574</v>
      </c>
      <c r="Q130" s="7" t="n">
        <v>0.409</v>
      </c>
      <c r="R130" s="7" t="n">
        <v>-0.325</v>
      </c>
      <c r="S130" s="7" t="n">
        <v>0.224</v>
      </c>
      <c r="T130" s="7" t="n">
        <v>0.339</v>
      </c>
      <c r="U130" s="7" t="n">
        <v>0.46</v>
      </c>
      <c r="V130" s="7" t="n">
        <v>0.144</v>
      </c>
      <c r="W130" s="7" t="n">
        <v>0.281</v>
      </c>
      <c r="X130" s="7" t="n">
        <v>0.391</v>
      </c>
      <c r="Y130" s="7" t="n">
        <v>-0.026</v>
      </c>
      <c r="Z130" s="7" t="n">
        <v>0.501</v>
      </c>
      <c r="AA130" s="7" t="n">
        <v>0.252</v>
      </c>
      <c r="AB130" s="7" t="n">
        <v>0.064</v>
      </c>
      <c r="AC130" s="7" t="n">
        <v>0.259</v>
      </c>
      <c r="AD130" s="7" t="n">
        <v>0.463</v>
      </c>
      <c r="AE130" s="7" t="n">
        <v>0.58</v>
      </c>
      <c r="AF130" s="7" t="n">
        <v>-0.003</v>
      </c>
      <c r="AG130" s="7" t="n">
        <v>-0.422</v>
      </c>
      <c r="AH130" s="7" t="n">
        <v>-0.121</v>
      </c>
      <c r="AI130" s="7" t="n">
        <v>0.632</v>
      </c>
      <c r="AJ130" s="7" t="n">
        <v>0.487</v>
      </c>
      <c r="AK130" s="7" t="n">
        <v>0.402</v>
      </c>
      <c r="AL130" s="7" t="n">
        <v>0.077</v>
      </c>
      <c r="AM130" s="7" t="n">
        <v>0.154</v>
      </c>
      <c r="AN130" s="7" t="n">
        <v>-0.014</v>
      </c>
      <c r="AO130" s="7" t="n">
        <v>-0.088</v>
      </c>
      <c r="AP130" s="7" t="n">
        <v>-0.352</v>
      </c>
      <c r="AQ130" s="7" t="n">
        <v>0.418</v>
      </c>
      <c r="AR130" s="7" t="n">
        <v>-0.064</v>
      </c>
      <c r="AS130" s="7" t="n">
        <v>0.068</v>
      </c>
      <c r="AT130" s="7" t="n">
        <v>0.378</v>
      </c>
      <c r="AU130" s="7" t="n">
        <v>0.413</v>
      </c>
      <c r="AV130" s="7" t="n">
        <v>0.054</v>
      </c>
    </row>
    <row r="131" customFormat="false" ht="15" hidden="false" customHeight="false" outlineLevel="0" collapsed="false">
      <c r="A131" s="19" t="n">
        <v>46448</v>
      </c>
      <c r="B131" s="6" t="n">
        <v>1</v>
      </c>
      <c r="C131" s="6" t="s">
        <v>195</v>
      </c>
      <c r="D131" s="6" t="s">
        <v>196</v>
      </c>
      <c r="E131" s="6" t="s">
        <v>205</v>
      </c>
      <c r="F131" s="6" t="s">
        <v>172</v>
      </c>
      <c r="G131" s="7" t="n">
        <v>0.209</v>
      </c>
      <c r="H131" s="7" t="n">
        <v>-0.137</v>
      </c>
      <c r="I131" s="7" t="n">
        <v>0.514</v>
      </c>
      <c r="J131" s="7" t="n">
        <v>0.288</v>
      </c>
      <c r="K131" s="7" t="n">
        <v>-0.117</v>
      </c>
      <c r="L131" s="7" t="n">
        <v>-0.042</v>
      </c>
      <c r="M131" s="7" t="n">
        <v>0.062</v>
      </c>
      <c r="N131" s="7" t="n">
        <v>0.213</v>
      </c>
      <c r="O131" s="7" t="n">
        <v>-0.542</v>
      </c>
      <c r="P131" s="7" t="n">
        <v>-0.125</v>
      </c>
      <c r="Q131" s="7" t="n">
        <v>0.002</v>
      </c>
      <c r="R131" s="7" t="n">
        <v>-0.495</v>
      </c>
      <c r="S131" s="7" t="n">
        <v>-0.307</v>
      </c>
      <c r="T131" s="7" t="n">
        <v>-0.331</v>
      </c>
      <c r="U131" s="7" t="n">
        <v>0.351</v>
      </c>
      <c r="V131" s="7" t="n">
        <v>0.136</v>
      </c>
      <c r="W131" s="7" t="n">
        <v>0.488</v>
      </c>
      <c r="X131" s="7" t="n">
        <v>0.406</v>
      </c>
      <c r="Y131" s="7" t="n">
        <v>0.454</v>
      </c>
      <c r="Z131" s="7" t="n">
        <v>0.079</v>
      </c>
      <c r="AA131" s="7" t="n">
        <v>0.361</v>
      </c>
      <c r="AB131" s="7" t="n">
        <v>0.064</v>
      </c>
      <c r="AC131" s="7" t="n">
        <v>0.445</v>
      </c>
      <c r="AD131" s="7" t="n">
        <v>0.534</v>
      </c>
      <c r="AE131" s="7" t="n">
        <v>0.167</v>
      </c>
      <c r="AF131" s="7" t="n">
        <v>0.472</v>
      </c>
      <c r="AG131" s="7" t="n">
        <v>-0.557</v>
      </c>
      <c r="AH131" s="7" t="n">
        <v>-0.082</v>
      </c>
      <c r="AI131" s="7" t="n">
        <v>0.557</v>
      </c>
      <c r="AJ131" s="7" t="n">
        <v>-0.006</v>
      </c>
      <c r="AK131" s="7" t="n">
        <v>0.126</v>
      </c>
      <c r="AL131" s="7" t="n">
        <v>-0.108</v>
      </c>
      <c r="AM131" s="7" t="n">
        <v>0.129</v>
      </c>
      <c r="AN131" s="7" t="n">
        <v>-0.061</v>
      </c>
      <c r="AO131" s="7" t="n">
        <v>0.114</v>
      </c>
      <c r="AP131" s="7" t="n">
        <v>0.097</v>
      </c>
      <c r="AQ131" s="7" t="n">
        <v>0.192</v>
      </c>
      <c r="AR131" s="7" t="n">
        <v>-0.104</v>
      </c>
      <c r="AS131" s="7" t="n">
        <v>0.289</v>
      </c>
      <c r="AT131" s="7" t="n">
        <v>-0.143</v>
      </c>
      <c r="AU131" s="7" t="n">
        <v>0.027</v>
      </c>
      <c r="AV131" s="7" t="n">
        <v>0.047</v>
      </c>
    </row>
    <row r="132" customFormat="false" ht="15" hidden="false" customHeight="false" outlineLevel="0" collapsed="false">
      <c r="A132" s="19" t="n">
        <v>46449</v>
      </c>
      <c r="B132" s="6" t="n">
        <v>1</v>
      </c>
      <c r="C132" s="6" t="s">
        <v>195</v>
      </c>
      <c r="D132" s="6" t="s">
        <v>197</v>
      </c>
      <c r="E132" s="6" t="s">
        <v>169</v>
      </c>
      <c r="F132" s="6" t="s">
        <v>172</v>
      </c>
      <c r="G132" s="7" t="n">
        <v>0.036</v>
      </c>
      <c r="H132" s="7" t="n">
        <v>0.325</v>
      </c>
      <c r="I132" s="7" t="n">
        <v>-0.072</v>
      </c>
      <c r="J132" s="7" t="n">
        <v>0.119</v>
      </c>
      <c r="K132" s="7" t="n">
        <v>0.11</v>
      </c>
      <c r="L132" s="7" t="n">
        <v>0.241</v>
      </c>
      <c r="M132" s="7" t="n">
        <v>-0.078</v>
      </c>
      <c r="N132" s="7" t="n">
        <v>-0.191</v>
      </c>
      <c r="O132" s="7" t="n">
        <v>-0.595</v>
      </c>
      <c r="P132" s="7" t="n">
        <v>0.016</v>
      </c>
      <c r="Q132" s="7" t="n">
        <v>0.434</v>
      </c>
      <c r="R132" s="7" t="n">
        <v>-0.556</v>
      </c>
      <c r="S132" s="7" t="n">
        <v>-0.074</v>
      </c>
      <c r="T132" s="7" t="n">
        <v>-0.206</v>
      </c>
      <c r="U132" s="7" t="n">
        <v>0.171</v>
      </c>
      <c r="V132" s="7" t="n">
        <v>0.496</v>
      </c>
      <c r="W132" s="7" t="n">
        <v>-0.041</v>
      </c>
      <c r="X132" s="7" t="n">
        <v>-0.044</v>
      </c>
      <c r="Y132" s="7" t="n">
        <v>-0.038</v>
      </c>
      <c r="Z132" s="7" t="n">
        <v>0.613</v>
      </c>
      <c r="AA132" s="7" t="n">
        <v>-0.088</v>
      </c>
      <c r="AB132" s="7" t="n">
        <v>0.414</v>
      </c>
      <c r="AC132" s="7" t="n">
        <v>-0.068</v>
      </c>
      <c r="AD132" s="7" t="n">
        <v>0.415</v>
      </c>
      <c r="AE132" s="7" t="n">
        <v>0.123</v>
      </c>
      <c r="AF132" s="7" t="n">
        <v>0.069</v>
      </c>
      <c r="AG132" s="7" t="n">
        <v>-0.615</v>
      </c>
      <c r="AH132" s="7" t="n">
        <v>0.514</v>
      </c>
      <c r="AI132" s="7" t="n">
        <v>0.057</v>
      </c>
      <c r="AJ132" s="7" t="n">
        <v>0.218</v>
      </c>
      <c r="AK132" s="7" t="n">
        <v>0.531</v>
      </c>
      <c r="AL132" s="7" t="n">
        <v>-0.146</v>
      </c>
      <c r="AM132" s="7" t="n">
        <v>0.105</v>
      </c>
      <c r="AN132" s="7" t="n">
        <v>0.195</v>
      </c>
      <c r="AO132" s="7" t="n">
        <v>-0.287</v>
      </c>
      <c r="AP132" s="7" t="n">
        <v>-0.159</v>
      </c>
      <c r="AQ132" s="7" t="n">
        <v>0.299</v>
      </c>
      <c r="AR132" s="7" t="n">
        <v>-0.092</v>
      </c>
      <c r="AS132" s="7" t="n">
        <v>-0.159</v>
      </c>
      <c r="AT132" s="7" t="n">
        <v>-0.117</v>
      </c>
      <c r="AU132" s="7" t="n">
        <v>0.028</v>
      </c>
      <c r="AV132" s="7" t="n">
        <v>0.286</v>
      </c>
    </row>
    <row r="133" customFormat="false" ht="15" hidden="false" customHeight="false" outlineLevel="0" collapsed="false">
      <c r="A133" s="19" t="n">
        <v>46450</v>
      </c>
      <c r="B133" s="6" t="n">
        <v>1</v>
      </c>
      <c r="C133" s="6" t="s">
        <v>198</v>
      </c>
      <c r="D133" s="6" t="s">
        <v>199</v>
      </c>
      <c r="E133" s="6" t="s">
        <v>169</v>
      </c>
      <c r="F133" s="6" t="s">
        <v>172</v>
      </c>
      <c r="G133" s="7" t="n">
        <v>-0.076</v>
      </c>
      <c r="H133" s="7" t="n">
        <v>0.008</v>
      </c>
      <c r="I133" s="7" t="n">
        <v>-0.017</v>
      </c>
      <c r="J133" s="7" t="n">
        <v>0.186</v>
      </c>
      <c r="K133" s="7" t="n">
        <v>-0.091</v>
      </c>
      <c r="L133" s="7" t="n">
        <v>0.03</v>
      </c>
      <c r="M133" s="7" t="n">
        <v>-0.023</v>
      </c>
      <c r="N133" s="7" t="n">
        <v>-0.154</v>
      </c>
      <c r="O133" s="7" t="n">
        <v>-0.336</v>
      </c>
      <c r="P133" s="7" t="n">
        <v>-0.005</v>
      </c>
      <c r="Q133" s="7" t="n">
        <v>-0.02</v>
      </c>
      <c r="R133" s="7" t="n">
        <v>-0.181</v>
      </c>
      <c r="S133" s="7" t="n">
        <v>-0.282</v>
      </c>
      <c r="T133" s="7" t="n">
        <v>0.162</v>
      </c>
      <c r="U133" s="7" t="n">
        <v>-0.062</v>
      </c>
      <c r="V133" s="7" t="n">
        <v>-0.01</v>
      </c>
      <c r="W133" s="7" t="n">
        <v>0.057</v>
      </c>
      <c r="X133" s="7" t="n">
        <v>-0.072</v>
      </c>
      <c r="Y133" s="7" t="n">
        <v>-0.145</v>
      </c>
      <c r="Z133" s="7" t="n">
        <v>0.512</v>
      </c>
      <c r="AA133" s="7" t="n">
        <v>-0.047</v>
      </c>
      <c r="AB133" s="7" t="n">
        <v>0.063</v>
      </c>
      <c r="AC133" s="7" t="n">
        <v>-0.013</v>
      </c>
      <c r="AD133" s="7" t="n">
        <v>0.487</v>
      </c>
      <c r="AE133" s="7" t="n">
        <v>0.099</v>
      </c>
      <c r="AF133" s="7" t="n">
        <v>0.111</v>
      </c>
      <c r="AG133" s="7" t="n">
        <v>-0.232</v>
      </c>
      <c r="AH133" s="7" t="n">
        <v>0.059</v>
      </c>
      <c r="AI133" s="7" t="n">
        <v>0.066</v>
      </c>
      <c r="AJ133" s="7" t="n">
        <v>0.047</v>
      </c>
      <c r="AK133" s="7" t="n">
        <v>0.096</v>
      </c>
      <c r="AL133" s="7" t="n">
        <v>0.147</v>
      </c>
      <c r="AM133" s="7" t="n">
        <v>0.548</v>
      </c>
      <c r="AN133" s="7" t="n">
        <v>-0.06</v>
      </c>
      <c r="AO133" s="7" t="n">
        <v>-0.226</v>
      </c>
      <c r="AP133" s="7" t="n">
        <v>-0.152</v>
      </c>
      <c r="AQ133" s="7" t="n">
        <v>0.362</v>
      </c>
      <c r="AR133" s="7" t="n">
        <v>-0.075</v>
      </c>
      <c r="AS133" s="7" t="n">
        <v>-0.115</v>
      </c>
      <c r="AT133" s="7" t="n">
        <v>0.339</v>
      </c>
      <c r="AU133" s="7" t="n">
        <v>0.004</v>
      </c>
      <c r="AV133" s="7" t="n">
        <v>0.019</v>
      </c>
    </row>
    <row r="134" customFormat="false" ht="15" hidden="false" customHeight="false" outlineLevel="0" collapsed="false">
      <c r="A134" s="19" t="n">
        <v>46451</v>
      </c>
      <c r="B134" s="6" t="n">
        <v>1</v>
      </c>
      <c r="C134" s="6" t="s">
        <v>198</v>
      </c>
      <c r="D134" s="6" t="s">
        <v>200</v>
      </c>
      <c r="E134" s="6" t="s">
        <v>169</v>
      </c>
      <c r="F134" s="6" t="s">
        <v>172</v>
      </c>
      <c r="G134" s="7" t="n">
        <v>-0.196</v>
      </c>
      <c r="H134" s="7" t="n">
        <v>-0.302</v>
      </c>
      <c r="I134" s="7" t="n">
        <v>-0.006</v>
      </c>
      <c r="J134" s="7" t="n">
        <v>0.148</v>
      </c>
      <c r="K134" s="7" t="n">
        <v>-0.1</v>
      </c>
      <c r="L134" s="7" t="n">
        <v>0.044</v>
      </c>
      <c r="M134" s="7" t="n">
        <v>-0.035</v>
      </c>
      <c r="N134" s="7" t="n">
        <v>-0.43</v>
      </c>
      <c r="O134" s="7" t="n">
        <v>-0.634</v>
      </c>
      <c r="P134" s="7" t="n">
        <v>-0.008</v>
      </c>
      <c r="Q134" s="7" t="n">
        <v>-0.318</v>
      </c>
      <c r="R134" s="7" t="n">
        <v>-0.229</v>
      </c>
      <c r="S134" s="7" t="n">
        <v>-0.511</v>
      </c>
      <c r="T134" s="7" t="n">
        <v>-0.412</v>
      </c>
      <c r="U134" s="7" t="n">
        <v>-0.052</v>
      </c>
      <c r="V134" s="7" t="n">
        <v>-0.01</v>
      </c>
      <c r="W134" s="7" t="n">
        <v>0.039</v>
      </c>
      <c r="X134" s="7" t="n">
        <v>-0.082</v>
      </c>
      <c r="Y134" s="7" t="n">
        <v>-0.181</v>
      </c>
      <c r="Z134" s="7" t="n">
        <v>0.023</v>
      </c>
      <c r="AA134" s="7" t="n">
        <v>-0.033</v>
      </c>
      <c r="AB134" s="7" t="n">
        <v>0.063</v>
      </c>
      <c r="AC134" s="7" t="n">
        <v>-0.002</v>
      </c>
      <c r="AD134" s="7" t="n">
        <v>0.139</v>
      </c>
      <c r="AE134" s="7" t="n">
        <v>0.092</v>
      </c>
      <c r="AF134" s="7" t="n">
        <v>0.081</v>
      </c>
      <c r="AG134" s="7" t="n">
        <v>-0.656</v>
      </c>
      <c r="AH134" s="7" t="n">
        <v>0.058</v>
      </c>
      <c r="AI134" s="7" t="n">
        <v>0.047</v>
      </c>
      <c r="AJ134" s="7" t="n">
        <v>0.037</v>
      </c>
      <c r="AK134" s="7" t="n">
        <v>0.094</v>
      </c>
      <c r="AL134" s="7" t="n">
        <v>-0.214</v>
      </c>
      <c r="AM134" s="7" t="n">
        <v>0.208</v>
      </c>
      <c r="AN134" s="7" t="n">
        <v>-0.352</v>
      </c>
      <c r="AO134" s="7" t="n">
        <v>-0.501</v>
      </c>
      <c r="AP134" s="7" t="n">
        <v>-0.453</v>
      </c>
      <c r="AQ134" s="7" t="n">
        <v>0.048</v>
      </c>
      <c r="AR134" s="7" t="n">
        <v>-0.37</v>
      </c>
      <c r="AS134" s="7" t="n">
        <v>-0.094</v>
      </c>
      <c r="AT134" s="7" t="n">
        <v>-0.001</v>
      </c>
      <c r="AU134" s="7" t="n">
        <v>-0.002</v>
      </c>
      <c r="AV134" s="7" t="n">
        <v>0.019</v>
      </c>
    </row>
    <row r="135" customFormat="false" ht="15" hidden="false" customHeight="false" outlineLevel="0" collapsed="false">
      <c r="A135" s="19" t="n">
        <v>46452</v>
      </c>
      <c r="B135" s="6" t="n">
        <v>0</v>
      </c>
      <c r="C135" s="6" t="s">
        <v>198</v>
      </c>
      <c r="D135" s="6" t="s">
        <v>201</v>
      </c>
      <c r="E135" s="6" t="s">
        <v>169</v>
      </c>
      <c r="F135" s="6" t="s">
        <v>172</v>
      </c>
      <c r="G135" s="7" t="n">
        <v>0.095</v>
      </c>
      <c r="H135" s="7" t="n">
        <v>0</v>
      </c>
      <c r="I135" s="7" t="n">
        <v>0.4</v>
      </c>
      <c r="J135" s="7" t="n">
        <v>0.07</v>
      </c>
      <c r="K135" s="7" t="n">
        <v>-0.063</v>
      </c>
      <c r="L135" s="7" t="n">
        <v>0.458</v>
      </c>
      <c r="M135" s="7" t="n">
        <v>0.23</v>
      </c>
      <c r="N135" s="7" t="n">
        <v>0.16</v>
      </c>
      <c r="O135" s="7" t="n">
        <v>-0.308</v>
      </c>
      <c r="P135" s="7" t="n">
        <v>-0.014</v>
      </c>
      <c r="Q135" s="7" t="n">
        <v>-0.029</v>
      </c>
      <c r="R135" s="7" t="n">
        <v>-0.202</v>
      </c>
      <c r="S135" s="7" t="n">
        <v>-0.272</v>
      </c>
      <c r="T135" s="7" t="n">
        <v>0.219</v>
      </c>
      <c r="U135" s="7" t="n">
        <v>0.299</v>
      </c>
      <c r="V135" s="7" t="n">
        <v>-0.003</v>
      </c>
      <c r="W135" s="7" t="n">
        <v>0.28</v>
      </c>
      <c r="X135" s="7" t="n">
        <v>-0.115</v>
      </c>
      <c r="Y135" s="7" t="n">
        <v>-0.245</v>
      </c>
      <c r="Z135" s="7" t="n">
        <v>0.007</v>
      </c>
      <c r="AA135" s="7" t="n">
        <v>0.256</v>
      </c>
      <c r="AB135" s="7" t="n">
        <v>0.062</v>
      </c>
      <c r="AC135" s="7" t="n">
        <v>0.325</v>
      </c>
      <c r="AD135" s="7" t="n">
        <v>0.118</v>
      </c>
      <c r="AE135" s="7" t="n">
        <v>0.083</v>
      </c>
      <c r="AF135" s="7" t="n">
        <v>0.03</v>
      </c>
      <c r="AG135" s="7" t="n">
        <v>-0.207</v>
      </c>
      <c r="AH135" s="7" t="n">
        <v>0.065</v>
      </c>
      <c r="AI135" s="7" t="n">
        <v>0.298</v>
      </c>
      <c r="AJ135" s="7" t="n">
        <v>0.04</v>
      </c>
      <c r="AK135" s="7" t="n">
        <v>0.1</v>
      </c>
      <c r="AL135" s="7" t="n">
        <v>-0.253</v>
      </c>
      <c r="AM135" s="7" t="n">
        <v>0.254</v>
      </c>
      <c r="AN135" s="7" t="n">
        <v>-0.054</v>
      </c>
      <c r="AO135" s="7" t="n">
        <v>0.086</v>
      </c>
      <c r="AP135" s="7" t="n">
        <v>-0.15</v>
      </c>
      <c r="AQ135" s="7" t="n">
        <v>0.352</v>
      </c>
      <c r="AR135" s="7" t="n">
        <v>-0.077</v>
      </c>
      <c r="AS135" s="7" t="n">
        <v>0.192</v>
      </c>
      <c r="AT135" s="7" t="n">
        <v>-0.005</v>
      </c>
      <c r="AU135" s="7" t="n">
        <v>-0.01</v>
      </c>
      <c r="AV135" s="7" t="n">
        <v>0.026</v>
      </c>
    </row>
    <row r="136" customFormat="false" ht="15" hidden="false" customHeight="false" outlineLevel="0" collapsed="false">
      <c r="A136" s="19" t="n">
        <v>46453</v>
      </c>
      <c r="B136" s="6" t="n">
        <v>0</v>
      </c>
      <c r="C136" s="6" t="s">
        <v>202</v>
      </c>
      <c r="D136" s="6" t="s">
        <v>203</v>
      </c>
      <c r="E136" s="6" t="s">
        <v>169</v>
      </c>
      <c r="F136" s="6" t="s">
        <v>172</v>
      </c>
      <c r="G136" s="7" t="n">
        <v>-0.054</v>
      </c>
      <c r="H136" s="7" t="n">
        <v>-0.174</v>
      </c>
      <c r="I136" s="7" t="n">
        <v>0.015</v>
      </c>
      <c r="J136" s="7" t="n">
        <v>0.235</v>
      </c>
      <c r="K136" s="7" t="n">
        <v>-0.013</v>
      </c>
      <c r="L136" s="7" t="n">
        <v>0.321</v>
      </c>
      <c r="M136" s="7" t="n">
        <v>0.244</v>
      </c>
      <c r="N136" s="7" t="n">
        <v>-0.258</v>
      </c>
      <c r="O136" s="7" t="n">
        <v>-0.298</v>
      </c>
      <c r="P136" s="7" t="n">
        <v>-0.032</v>
      </c>
      <c r="Q136" s="7" t="n">
        <v>0.05</v>
      </c>
      <c r="R136" s="7" t="n">
        <v>-0.193</v>
      </c>
      <c r="S136" s="7" t="n">
        <v>-0.486</v>
      </c>
      <c r="T136" s="7" t="n">
        <v>-0.129</v>
      </c>
      <c r="U136" s="7" t="n">
        <v>-0.007</v>
      </c>
      <c r="V136" s="7" t="n">
        <v>0.015</v>
      </c>
      <c r="W136" s="7" t="n">
        <v>0.309</v>
      </c>
      <c r="X136" s="7" t="n">
        <v>-0.362</v>
      </c>
      <c r="Y136" s="7" t="n">
        <v>-0.292</v>
      </c>
      <c r="Z136" s="7" t="n">
        <v>0.564</v>
      </c>
      <c r="AA136" s="7" t="n">
        <v>0.282</v>
      </c>
      <c r="AB136" s="7" t="n">
        <v>0.062</v>
      </c>
      <c r="AC136" s="7" t="n">
        <v>0.018</v>
      </c>
      <c r="AD136" s="7" t="n">
        <v>0.479</v>
      </c>
      <c r="AE136" s="7" t="n">
        <v>0.113</v>
      </c>
      <c r="AF136" s="7" t="n">
        <v>0.319</v>
      </c>
      <c r="AG136" s="7" t="n">
        <v>-0.195</v>
      </c>
      <c r="AH136" s="7" t="n">
        <v>0.083</v>
      </c>
      <c r="AI136" s="7" t="n">
        <v>0.452</v>
      </c>
      <c r="AJ136" s="7" t="n">
        <v>0.067</v>
      </c>
      <c r="AK136" s="7" t="n">
        <v>0.118</v>
      </c>
      <c r="AL136" s="7" t="n">
        <v>-0.419</v>
      </c>
      <c r="AM136" s="7" t="n">
        <v>0.255</v>
      </c>
      <c r="AN136" s="7" t="n">
        <v>-0.005</v>
      </c>
      <c r="AO136" s="7" t="n">
        <v>-0.515</v>
      </c>
      <c r="AP136" s="7" t="n">
        <v>-0.481</v>
      </c>
      <c r="AQ136" s="7" t="n">
        <v>0.098</v>
      </c>
      <c r="AR136" s="7" t="n">
        <v>-0.046</v>
      </c>
      <c r="AS136" s="7" t="n">
        <v>0.076</v>
      </c>
      <c r="AT136" s="7" t="n">
        <v>0.005</v>
      </c>
      <c r="AU136" s="7" t="n">
        <v>0.02</v>
      </c>
      <c r="AV136" s="7" t="n">
        <v>0.044</v>
      </c>
    </row>
    <row r="137" customFormat="false" ht="15" hidden="false" customHeight="false" outlineLevel="0" collapsed="false">
      <c r="A137" s="19" t="n">
        <v>46454</v>
      </c>
      <c r="B137" s="6" t="n">
        <v>1</v>
      </c>
      <c r="C137" s="6" t="s">
        <v>202</v>
      </c>
      <c r="D137" s="6" t="s">
        <v>204</v>
      </c>
      <c r="E137" s="6" t="s">
        <v>169</v>
      </c>
      <c r="F137" s="6" t="s">
        <v>172</v>
      </c>
      <c r="G137" s="7" t="n">
        <v>-0.366</v>
      </c>
      <c r="H137" s="7" t="n">
        <v>-0.478</v>
      </c>
      <c r="I137" s="7" t="n">
        <v>0.015</v>
      </c>
      <c r="J137" s="7" t="n">
        <v>0.184</v>
      </c>
      <c r="K137" s="7" t="n">
        <v>-0.321</v>
      </c>
      <c r="L137" s="7" t="n">
        <v>0.323</v>
      </c>
      <c r="M137" s="7" t="n">
        <v>-0.257</v>
      </c>
      <c r="N137" s="7" t="n">
        <v>-0.274</v>
      </c>
      <c r="O137" s="7" t="n">
        <v>-0.666</v>
      </c>
      <c r="P137" s="7" t="n">
        <v>-0.021</v>
      </c>
      <c r="Q137" s="7" t="n">
        <v>0.081</v>
      </c>
      <c r="R137" s="7" t="n">
        <v>-0.649</v>
      </c>
      <c r="S137" s="7" t="n">
        <v>-0.626</v>
      </c>
      <c r="T137" s="7" t="n">
        <v>-0.486</v>
      </c>
      <c r="U137" s="7" t="n">
        <v>0.005</v>
      </c>
      <c r="V137" s="7" t="n">
        <v>0.027</v>
      </c>
      <c r="W137" s="7" t="n">
        <v>-0.164</v>
      </c>
      <c r="X137" s="7" t="n">
        <v>-0.354</v>
      </c>
      <c r="Y137" s="7" t="n">
        <v>-0.282</v>
      </c>
      <c r="Z137" s="7" t="n">
        <v>0.05</v>
      </c>
      <c r="AA137" s="7" t="n">
        <v>-0.208</v>
      </c>
      <c r="AB137" s="7" t="n">
        <v>0.062</v>
      </c>
      <c r="AC137" s="7" t="n">
        <v>0.018</v>
      </c>
      <c r="AD137" s="7" t="n">
        <v>0.312</v>
      </c>
      <c r="AE137" s="7" t="n">
        <v>0.124</v>
      </c>
      <c r="AF137" s="7" t="n">
        <v>-0.143</v>
      </c>
      <c r="AG137" s="7" t="n">
        <v>-0.633</v>
      </c>
      <c r="AH137" s="7" t="n">
        <v>0.096</v>
      </c>
      <c r="AI137" s="7" t="n">
        <v>0.065</v>
      </c>
      <c r="AJ137" s="7" t="n">
        <v>-0.291</v>
      </c>
      <c r="AK137" s="7" t="n">
        <v>0.131</v>
      </c>
      <c r="AL137" s="7" t="n">
        <v>-0.419</v>
      </c>
      <c r="AM137" s="7" t="n">
        <v>-0.091</v>
      </c>
      <c r="AN137" s="7" t="n">
        <v>0.015</v>
      </c>
      <c r="AO137" s="7" t="n">
        <v>-0.502</v>
      </c>
      <c r="AP137" s="7" t="n">
        <v>-0.469</v>
      </c>
      <c r="AQ137" s="7" t="n">
        <v>-0.329</v>
      </c>
      <c r="AR137" s="7" t="n">
        <v>-0.038</v>
      </c>
      <c r="AS137" s="7" t="n">
        <v>-0.423</v>
      </c>
      <c r="AT137" s="7" t="n">
        <v>-0.372</v>
      </c>
      <c r="AU137" s="7" t="n">
        <v>0.031</v>
      </c>
      <c r="AV137" s="7" t="n">
        <v>0.057</v>
      </c>
    </row>
    <row r="138" customFormat="false" ht="15" hidden="false" customHeight="false" outlineLevel="0" collapsed="false">
      <c r="A138" s="19" t="n">
        <v>46455</v>
      </c>
      <c r="B138" s="6" t="n">
        <v>1</v>
      </c>
      <c r="C138" s="6" t="s">
        <v>205</v>
      </c>
      <c r="D138" s="6" t="s">
        <v>206</v>
      </c>
      <c r="E138" s="6" t="s">
        <v>169</v>
      </c>
      <c r="F138" s="6" t="s">
        <v>172</v>
      </c>
      <c r="G138" s="7" t="n">
        <v>-0.117</v>
      </c>
      <c r="H138" s="7" t="n">
        <v>-0.438</v>
      </c>
      <c r="I138" s="7" t="n">
        <v>-0.009</v>
      </c>
      <c r="J138" s="7" t="n">
        <v>0.079</v>
      </c>
      <c r="K138" s="7" t="n">
        <v>0.082</v>
      </c>
      <c r="L138" s="7" t="n">
        <v>0.308</v>
      </c>
      <c r="M138" s="7" t="n">
        <v>-0.554</v>
      </c>
      <c r="N138" s="7" t="n">
        <v>-0.59</v>
      </c>
      <c r="O138" s="7" t="n">
        <v>-0.518</v>
      </c>
      <c r="P138" s="7" t="n">
        <v>0.035</v>
      </c>
      <c r="Q138" s="7" t="n">
        <v>0.022</v>
      </c>
      <c r="R138" s="7" t="n">
        <v>-0.45</v>
      </c>
      <c r="S138" s="7" t="n">
        <v>-0.112</v>
      </c>
      <c r="T138" s="7" t="n">
        <v>-0.223</v>
      </c>
      <c r="U138" s="7" t="n">
        <v>0.1</v>
      </c>
      <c r="V138" s="7" t="n">
        <v>-0.01</v>
      </c>
      <c r="W138" s="7" t="n">
        <v>-0.492</v>
      </c>
      <c r="X138" s="7" t="n">
        <v>-0.063</v>
      </c>
      <c r="Y138" s="7" t="n">
        <v>-0.516</v>
      </c>
      <c r="Z138" s="7" t="n">
        <v>0.048</v>
      </c>
      <c r="AA138" s="7" t="n">
        <v>-0.535</v>
      </c>
      <c r="AB138" s="7" t="n">
        <v>0.062</v>
      </c>
      <c r="AC138" s="7" t="n">
        <v>0.213</v>
      </c>
      <c r="AD138" s="7" t="n">
        <v>0.287</v>
      </c>
      <c r="AE138" s="7" t="n">
        <v>0.124</v>
      </c>
      <c r="AF138" s="7" t="n">
        <v>-0.474</v>
      </c>
      <c r="AG138" s="7" t="n">
        <v>-0.388</v>
      </c>
      <c r="AH138" s="7" t="n">
        <v>0.154</v>
      </c>
      <c r="AI138" s="7" t="n">
        <v>-0.018</v>
      </c>
      <c r="AJ138" s="7" t="n">
        <v>0.183</v>
      </c>
      <c r="AK138" s="7" t="n">
        <v>0.119</v>
      </c>
      <c r="AL138" s="7" t="n">
        <v>-0.201</v>
      </c>
      <c r="AM138" s="7" t="n">
        <v>0.283</v>
      </c>
      <c r="AN138" s="7" t="n">
        <v>-0.045</v>
      </c>
      <c r="AO138" s="7" t="n">
        <v>-0.684</v>
      </c>
      <c r="AP138" s="7" t="n">
        <v>-0.651</v>
      </c>
      <c r="AQ138" s="7" t="n">
        <v>0.028</v>
      </c>
      <c r="AR138" s="7" t="n">
        <v>-0.087</v>
      </c>
      <c r="AS138" s="7" t="n">
        <v>-0.593</v>
      </c>
      <c r="AT138" s="7" t="n">
        <v>0.07</v>
      </c>
      <c r="AU138" s="7" t="n">
        <v>0.031</v>
      </c>
      <c r="AV138" s="7" t="n">
        <v>0.046</v>
      </c>
    </row>
    <row r="139" customFormat="false" ht="15" hidden="false" customHeight="false" outlineLevel="0" collapsed="false">
      <c r="A139" s="19" t="n">
        <v>46456</v>
      </c>
      <c r="B139" s="6" t="n">
        <v>1</v>
      </c>
      <c r="C139" s="6" t="s">
        <v>205</v>
      </c>
      <c r="D139" s="6" t="s">
        <v>207</v>
      </c>
      <c r="E139" s="6" t="s">
        <v>169</v>
      </c>
      <c r="F139" s="6" t="s">
        <v>172</v>
      </c>
      <c r="G139" s="7" t="n">
        <v>0.136</v>
      </c>
      <c r="H139" s="7" t="n">
        <v>-0.018</v>
      </c>
      <c r="I139" s="7" t="n">
        <v>-0.003</v>
      </c>
      <c r="J139" s="7" t="n">
        <v>0.412</v>
      </c>
      <c r="K139" s="7" t="n">
        <v>0.239</v>
      </c>
      <c r="L139" s="7" t="n">
        <v>0.314</v>
      </c>
      <c r="M139" s="7" t="n">
        <v>-0.245</v>
      </c>
      <c r="N139" s="7" t="n">
        <v>-0.407</v>
      </c>
      <c r="O139" s="7" t="n">
        <v>-0.519</v>
      </c>
      <c r="P139" s="7" t="n">
        <v>0.494</v>
      </c>
      <c r="Q139" s="7" t="n">
        <v>0.256</v>
      </c>
      <c r="R139" s="7" t="n">
        <v>-0.404</v>
      </c>
      <c r="S139" s="7" t="n">
        <v>-0.036</v>
      </c>
      <c r="T139" s="7" t="n">
        <v>0.037</v>
      </c>
      <c r="U139" s="7" t="n">
        <v>-0.072</v>
      </c>
      <c r="V139" s="7" t="n">
        <v>-0.029</v>
      </c>
      <c r="W139" s="7" t="n">
        <v>-0.222</v>
      </c>
      <c r="X139" s="7" t="n">
        <v>0.323</v>
      </c>
      <c r="Y139" s="7" t="n">
        <v>-0.228</v>
      </c>
      <c r="Z139" s="7" t="n">
        <v>0.306</v>
      </c>
      <c r="AA139" s="7" t="n">
        <v>-0.246</v>
      </c>
      <c r="AB139" s="7" t="n">
        <v>0.062</v>
      </c>
      <c r="AC139" s="7" t="n">
        <v>-0.074</v>
      </c>
      <c r="AD139" s="7" t="n">
        <v>0.271</v>
      </c>
      <c r="AE139" s="7" t="n">
        <v>0.494</v>
      </c>
      <c r="AF139" s="7" t="n">
        <v>-0.182</v>
      </c>
      <c r="AG139" s="7" t="n">
        <v>-0.435</v>
      </c>
      <c r="AH139" s="7" t="n">
        <v>-0.005</v>
      </c>
      <c r="AI139" s="7" t="n">
        <v>0.353</v>
      </c>
      <c r="AJ139" s="7" t="n">
        <v>0.237</v>
      </c>
      <c r="AK139" s="7" t="n">
        <v>0.331</v>
      </c>
      <c r="AL139" s="7" t="n">
        <v>-0.162</v>
      </c>
      <c r="AM139" s="7" t="n">
        <v>0.157</v>
      </c>
      <c r="AN139" s="7" t="n">
        <v>-0.063</v>
      </c>
      <c r="AO139" s="7" t="n">
        <v>-0.449</v>
      </c>
      <c r="AP139" s="7" t="n">
        <v>-0.395</v>
      </c>
      <c r="AQ139" s="7" t="n">
        <v>0.017</v>
      </c>
      <c r="AR139" s="7" t="n">
        <v>-0.085</v>
      </c>
      <c r="AS139" s="7" t="n">
        <v>-0.273</v>
      </c>
      <c r="AT139" s="7" t="n">
        <v>0.192</v>
      </c>
      <c r="AU139" s="7" t="n">
        <v>0.281</v>
      </c>
      <c r="AV139" s="7" t="n">
        <v>0.026</v>
      </c>
    </row>
    <row r="140" customFormat="false" ht="15" hidden="false" customHeight="false" outlineLevel="0" collapsed="false">
      <c r="A140" s="19" t="n">
        <v>46457</v>
      </c>
      <c r="B140" s="6" t="n">
        <v>1</v>
      </c>
      <c r="C140" s="6" t="s">
        <v>169</v>
      </c>
      <c r="D140" s="6" t="s">
        <v>208</v>
      </c>
      <c r="E140" s="6" t="s">
        <v>169</v>
      </c>
      <c r="F140" s="6" t="s">
        <v>172</v>
      </c>
      <c r="G140" s="7" t="n">
        <v>0.238</v>
      </c>
      <c r="H140" s="7" t="n">
        <v>-0.342</v>
      </c>
      <c r="I140" s="7" t="n">
        <v>0.508</v>
      </c>
      <c r="J140" s="7" t="n">
        <v>-0.001</v>
      </c>
      <c r="K140" s="7" t="n">
        <v>-0.056</v>
      </c>
      <c r="L140" s="7" t="n">
        <v>0.417</v>
      </c>
      <c r="M140" s="7" t="n">
        <v>0.094</v>
      </c>
      <c r="N140" s="7" t="n">
        <v>0.216</v>
      </c>
      <c r="O140" s="7" t="n">
        <v>-0.244</v>
      </c>
      <c r="P140" s="7" t="n">
        <v>0.084</v>
      </c>
      <c r="Q140" s="7" t="n">
        <v>-0.007</v>
      </c>
      <c r="R140" s="7" t="n">
        <v>-0.157</v>
      </c>
      <c r="S140" s="7" t="n">
        <v>-0.324</v>
      </c>
      <c r="T140" s="7" t="n">
        <v>-0.154</v>
      </c>
      <c r="U140" s="7" t="n">
        <v>0.174</v>
      </c>
      <c r="V140" s="7" t="n">
        <v>-0.038</v>
      </c>
      <c r="W140" s="7" t="n">
        <v>0.335</v>
      </c>
      <c r="X140" s="7" t="n">
        <v>0.389</v>
      </c>
      <c r="Y140" s="7" t="n">
        <v>0.29</v>
      </c>
      <c r="Z140" s="7" t="n">
        <v>0.065</v>
      </c>
      <c r="AA140" s="7" t="n">
        <v>0.322</v>
      </c>
      <c r="AB140" s="7" t="n">
        <v>0.062</v>
      </c>
      <c r="AC140" s="7" t="n">
        <v>0.485</v>
      </c>
      <c r="AD140" s="7" t="n">
        <v>0.418</v>
      </c>
      <c r="AE140" s="7" t="n">
        <v>0.084</v>
      </c>
      <c r="AF140" s="7" t="n">
        <v>0.29</v>
      </c>
      <c r="AG140" s="7" t="n">
        <v>-0.183</v>
      </c>
      <c r="AH140" s="7" t="n">
        <v>0.049</v>
      </c>
      <c r="AI140" s="7" t="n">
        <v>0.417</v>
      </c>
      <c r="AJ140" s="7" t="n">
        <v>-0.061</v>
      </c>
      <c r="AK140" s="7" t="n">
        <v>0.098</v>
      </c>
      <c r="AL140" s="7" t="n">
        <v>0.087</v>
      </c>
      <c r="AM140" s="7" t="n">
        <v>0.197</v>
      </c>
      <c r="AN140" s="7" t="n">
        <v>-0.035</v>
      </c>
      <c r="AO140" s="7" t="n">
        <v>0.163</v>
      </c>
      <c r="AP140" s="7" t="n">
        <v>0.12</v>
      </c>
      <c r="AQ140" s="7" t="n">
        <v>0.266</v>
      </c>
      <c r="AR140" s="7" t="n">
        <v>-0.057</v>
      </c>
      <c r="AS140" s="7" t="n">
        <v>0.279</v>
      </c>
      <c r="AT140" s="7" t="n">
        <v>-0.068</v>
      </c>
      <c r="AU140" s="7" t="n">
        <v>-0.008</v>
      </c>
      <c r="AV140" s="7" t="n">
        <v>0.026</v>
      </c>
    </row>
    <row r="141" customFormat="false" ht="15" hidden="false" customHeight="false" outlineLevel="0" collapsed="false">
      <c r="A141" s="19" t="n">
        <v>46458</v>
      </c>
      <c r="B141" s="6" t="n">
        <v>1</v>
      </c>
      <c r="C141" s="6" t="s">
        <v>169</v>
      </c>
      <c r="D141" s="6" t="s">
        <v>170</v>
      </c>
      <c r="E141" s="6" t="s">
        <v>169</v>
      </c>
      <c r="F141" s="6" t="s">
        <v>172</v>
      </c>
      <c r="G141" s="7" t="n">
        <v>-0.143</v>
      </c>
      <c r="H141" s="7" t="n">
        <v>-0.342</v>
      </c>
      <c r="I141" s="7" t="n">
        <v>0.187</v>
      </c>
      <c r="J141" s="7" t="n">
        <v>0.002</v>
      </c>
      <c r="K141" s="7" t="n">
        <v>-0.142</v>
      </c>
      <c r="L141" s="7" t="n">
        <v>0.125</v>
      </c>
      <c r="M141" s="7" t="n">
        <v>-0.077</v>
      </c>
      <c r="N141" s="7" t="n">
        <v>-0.177</v>
      </c>
      <c r="O141" s="7" t="n">
        <v>-0.236</v>
      </c>
      <c r="P141" s="7" t="n">
        <v>0.094</v>
      </c>
      <c r="Q141" s="7" t="n">
        <v>-0.034</v>
      </c>
      <c r="R141" s="7" t="n">
        <v>-0.117</v>
      </c>
      <c r="S141" s="7" t="n">
        <v>-0.41</v>
      </c>
      <c r="T141" s="7" t="n">
        <v>-0.297</v>
      </c>
      <c r="U141" s="7" t="n">
        <v>0.029</v>
      </c>
      <c r="V141" s="7" t="n">
        <v>-0.019</v>
      </c>
      <c r="W141" s="7" t="n">
        <v>-0.04</v>
      </c>
      <c r="X141" s="7" t="n">
        <v>-0.051</v>
      </c>
      <c r="Y141" s="7" t="n">
        <v>-0.189</v>
      </c>
      <c r="Z141" s="7" t="n">
        <v>0.124</v>
      </c>
      <c r="AA141" s="7" t="n">
        <v>-0.052</v>
      </c>
      <c r="AB141" s="7" t="n">
        <v>0.079</v>
      </c>
      <c r="AC141" s="7" t="n">
        <v>0.085</v>
      </c>
      <c r="AD141" s="7" t="n">
        <v>-0.031</v>
      </c>
      <c r="AE141" s="7" t="n">
        <v>0.094</v>
      </c>
      <c r="AF141" s="7" t="n">
        <v>-0.133</v>
      </c>
      <c r="AG141" s="7" t="n">
        <v>-0.187</v>
      </c>
      <c r="AH141" s="7" t="n">
        <v>0.028</v>
      </c>
      <c r="AI141" s="7" t="n">
        <v>0.042</v>
      </c>
      <c r="AJ141" s="7" t="n">
        <v>-0.173</v>
      </c>
      <c r="AK141" s="7" t="n">
        <v>0.09</v>
      </c>
      <c r="AL141" s="7" t="n">
        <v>-0.034</v>
      </c>
      <c r="AM141" s="7" t="n">
        <v>0.215</v>
      </c>
      <c r="AN141" s="7" t="n">
        <v>-0.09</v>
      </c>
      <c r="AO141" s="7" t="n">
        <v>-0.224</v>
      </c>
      <c r="AP141" s="7" t="n">
        <v>-0.301</v>
      </c>
      <c r="AQ141" s="7" t="n">
        <v>0.118</v>
      </c>
      <c r="AR141" s="7" t="n">
        <v>-0.079</v>
      </c>
      <c r="AS141" s="7" t="n">
        <v>-0.098</v>
      </c>
      <c r="AT141" s="7" t="n">
        <v>-0.054</v>
      </c>
      <c r="AU141" s="7" t="n">
        <v>0.003</v>
      </c>
      <c r="AV141" s="7" t="n">
        <v>-0.007</v>
      </c>
    </row>
    <row r="142" customFormat="false" ht="15" hidden="false" customHeight="false" outlineLevel="0" collapsed="false">
      <c r="A142" s="19" t="n">
        <v>46459</v>
      </c>
      <c r="B142" s="6" t="n">
        <v>0</v>
      </c>
      <c r="C142" s="6" t="s">
        <v>169</v>
      </c>
      <c r="D142" s="6" t="s">
        <v>174</v>
      </c>
      <c r="E142" s="6" t="s">
        <v>169</v>
      </c>
      <c r="F142" s="6" t="s">
        <v>172</v>
      </c>
      <c r="G142" s="7" t="n">
        <v>-0.019</v>
      </c>
      <c r="H142" s="7" t="n">
        <v>-0.334</v>
      </c>
      <c r="I142" s="7" t="n">
        <v>0.191</v>
      </c>
      <c r="J142" s="7" t="n">
        <v>0.033</v>
      </c>
      <c r="K142" s="7" t="n">
        <v>-0.061</v>
      </c>
      <c r="L142" s="7" t="n">
        <v>0.124</v>
      </c>
      <c r="M142" s="7" t="n">
        <v>-0.057</v>
      </c>
      <c r="N142" s="7" t="n">
        <v>-0.159</v>
      </c>
      <c r="O142" s="7" t="n">
        <v>-0.216</v>
      </c>
      <c r="P142" s="7" t="n">
        <v>0.097</v>
      </c>
      <c r="Q142" s="7" t="n">
        <v>-0.053</v>
      </c>
      <c r="R142" s="7" t="n">
        <v>-0.094</v>
      </c>
      <c r="S142" s="7" t="n">
        <v>-0.31</v>
      </c>
      <c r="T142" s="7" t="n">
        <v>0.128</v>
      </c>
      <c r="U142" s="7" t="n">
        <v>0.033</v>
      </c>
      <c r="V142" s="7" t="n">
        <v>-0.037</v>
      </c>
      <c r="W142" s="7" t="n">
        <v>-0.012</v>
      </c>
      <c r="X142" s="7" t="n">
        <v>-0.015</v>
      </c>
      <c r="Y142" s="7" t="n">
        <v>-0.168</v>
      </c>
      <c r="Z142" s="7" t="n">
        <v>0.377</v>
      </c>
      <c r="AA142" s="7" t="n">
        <v>0.217</v>
      </c>
      <c r="AB142" s="7" t="n">
        <v>0.062</v>
      </c>
      <c r="AC142" s="7" t="n">
        <v>0.083</v>
      </c>
      <c r="AD142" s="7" t="n">
        <v>0.329</v>
      </c>
      <c r="AE142" s="7" t="n">
        <v>0.097</v>
      </c>
      <c r="AF142" s="7" t="n">
        <v>-0.105</v>
      </c>
      <c r="AG142" s="7" t="n">
        <v>-0.178</v>
      </c>
      <c r="AH142" s="7" t="n">
        <v>0.004</v>
      </c>
      <c r="AI142" s="7" t="n">
        <v>0.074</v>
      </c>
      <c r="AJ142" s="7" t="n">
        <v>-0.095</v>
      </c>
      <c r="AK142" s="7" t="n">
        <v>0.064</v>
      </c>
      <c r="AL142" s="7" t="n">
        <v>0.244</v>
      </c>
      <c r="AM142" s="7" t="n">
        <v>0.521</v>
      </c>
      <c r="AN142" s="7" t="n">
        <v>-0.091</v>
      </c>
      <c r="AO142" s="7" t="n">
        <v>-0.2</v>
      </c>
      <c r="AP142" s="7" t="n">
        <v>-0.275</v>
      </c>
      <c r="AQ142" s="7" t="n">
        <v>0.362</v>
      </c>
      <c r="AR142" s="7" t="n">
        <v>-0.079</v>
      </c>
      <c r="AS142" s="7" t="n">
        <v>-0.064</v>
      </c>
      <c r="AT142" s="7" t="n">
        <v>0.24</v>
      </c>
      <c r="AU142" s="7" t="n">
        <v>0.004</v>
      </c>
      <c r="AV142" s="7" t="n">
        <v>-0.008</v>
      </c>
    </row>
    <row r="143" customFormat="false" ht="15" hidden="false" customHeight="false" outlineLevel="0" collapsed="false">
      <c r="A143" s="19" t="n">
        <v>46460</v>
      </c>
      <c r="B143" s="6" t="n">
        <v>0</v>
      </c>
      <c r="C143" s="6" t="s">
        <v>173</v>
      </c>
      <c r="D143" s="6" t="s">
        <v>209</v>
      </c>
      <c r="E143" s="6" t="s">
        <v>169</v>
      </c>
      <c r="F143" s="6" t="s">
        <v>172</v>
      </c>
      <c r="G143" s="7" t="n">
        <v>-0.369</v>
      </c>
      <c r="H143" s="7" t="n">
        <v>-0.619</v>
      </c>
      <c r="I143" s="7" t="n">
        <v>0.036</v>
      </c>
      <c r="J143" s="7" t="n">
        <v>0.031</v>
      </c>
      <c r="K143" s="7" t="n">
        <v>-0.278</v>
      </c>
      <c r="L143" s="7" t="n">
        <v>0.04</v>
      </c>
      <c r="M143" s="7" t="n">
        <v>-0.148</v>
      </c>
      <c r="N143" s="7" t="n">
        <v>-0.683</v>
      </c>
      <c r="O143" s="7" t="n">
        <v>-0.538</v>
      </c>
      <c r="P143" s="7" t="n">
        <v>0.095</v>
      </c>
      <c r="Q143" s="7" t="n">
        <v>-0.43</v>
      </c>
      <c r="R143" s="7" t="n">
        <v>-0.11</v>
      </c>
      <c r="S143" s="7" t="n">
        <v>-0.646</v>
      </c>
      <c r="T143" s="7" t="n">
        <v>-0.507</v>
      </c>
      <c r="U143" s="7" t="n">
        <v>-0.053</v>
      </c>
      <c r="V143" s="7" t="n">
        <v>-0.046</v>
      </c>
      <c r="W143" s="7" t="n">
        <v>-0.101</v>
      </c>
      <c r="X143" s="7" t="n">
        <v>-0.017</v>
      </c>
      <c r="Y143" s="7" t="n">
        <v>-0.168</v>
      </c>
      <c r="Z143" s="7" t="n">
        <v>0.099</v>
      </c>
      <c r="AA143" s="7" t="n">
        <v>-0.233</v>
      </c>
      <c r="AB143" s="7" t="n">
        <v>0.042</v>
      </c>
      <c r="AC143" s="7" t="n">
        <v>0.021</v>
      </c>
      <c r="AD143" s="7" t="n">
        <v>0.061</v>
      </c>
      <c r="AE143" s="7" t="n">
        <v>0.095</v>
      </c>
      <c r="AF143" s="7" t="n">
        <v>-0.101</v>
      </c>
      <c r="AG143" s="7" t="n">
        <v>-0.625</v>
      </c>
      <c r="AH143" s="7" t="n">
        <v>-0.005</v>
      </c>
      <c r="AI143" s="7" t="n">
        <v>-0.046</v>
      </c>
      <c r="AJ143" s="7" t="n">
        <v>-0.219</v>
      </c>
      <c r="AK143" s="7" t="n">
        <v>0.059</v>
      </c>
      <c r="AL143" s="7" t="n">
        <v>-0.092</v>
      </c>
      <c r="AM143" s="7" t="n">
        <v>0.114</v>
      </c>
      <c r="AN143" s="7" t="n">
        <v>-0.489</v>
      </c>
      <c r="AO143" s="7" t="n">
        <v>-0.687</v>
      </c>
      <c r="AP143" s="7" t="n">
        <v>-0.648</v>
      </c>
      <c r="AQ143" s="7" t="n">
        <v>0.001</v>
      </c>
      <c r="AR143" s="7" t="n">
        <v>-0.495</v>
      </c>
      <c r="AS143" s="7" t="n">
        <v>-0.222</v>
      </c>
      <c r="AT143" s="7" t="n">
        <v>-0.061</v>
      </c>
      <c r="AU143" s="7" t="n">
        <v>0.002</v>
      </c>
      <c r="AV143" s="7" t="n">
        <v>-0.033</v>
      </c>
    </row>
    <row r="144" customFormat="false" ht="15" hidden="false" customHeight="false" outlineLevel="0" collapsed="false">
      <c r="A144" s="19" t="n">
        <v>46461</v>
      </c>
      <c r="B144" s="6" t="n">
        <v>1</v>
      </c>
      <c r="C144" s="6" t="s">
        <v>173</v>
      </c>
      <c r="D144" s="6" t="s">
        <v>175</v>
      </c>
      <c r="E144" s="6" t="s">
        <v>169</v>
      </c>
      <c r="F144" s="6" t="s">
        <v>172</v>
      </c>
      <c r="G144" s="7" t="n">
        <v>-0.596</v>
      </c>
      <c r="H144" s="7" t="n">
        <v>-0.595</v>
      </c>
      <c r="I144" s="7" t="n">
        <v>-0.299</v>
      </c>
      <c r="J144" s="7" t="n">
        <v>-0.008</v>
      </c>
      <c r="K144" s="7" t="n">
        <v>-0.479</v>
      </c>
      <c r="L144" s="7" t="n">
        <v>-0.399</v>
      </c>
      <c r="M144" s="7" t="n">
        <v>-0.555</v>
      </c>
      <c r="N144" s="7" t="n">
        <v>-0.686</v>
      </c>
      <c r="O144" s="7" t="n">
        <v>-0.331</v>
      </c>
      <c r="P144" s="7" t="n">
        <v>0.056</v>
      </c>
      <c r="Q144" s="7" t="n">
        <v>-0.345</v>
      </c>
      <c r="R144" s="7" t="n">
        <v>-0.131</v>
      </c>
      <c r="S144" s="7" t="n">
        <v>-0.595</v>
      </c>
      <c r="T144" s="7" t="n">
        <v>-0.514</v>
      </c>
      <c r="U144" s="7" t="n">
        <v>-0.343</v>
      </c>
      <c r="V144" s="7" t="n">
        <v>-0.248</v>
      </c>
      <c r="W144" s="7" t="n">
        <v>-0.522</v>
      </c>
      <c r="X144" s="7" t="n">
        <v>-0.056</v>
      </c>
      <c r="Y144" s="7" t="n">
        <v>-0.193</v>
      </c>
      <c r="Z144" s="7" t="n">
        <v>-0.272</v>
      </c>
      <c r="AA144" s="7" t="n">
        <v>-0.565</v>
      </c>
      <c r="AB144" s="7" t="n">
        <v>-0.17</v>
      </c>
      <c r="AC144" s="7" t="n">
        <v>-0.318</v>
      </c>
      <c r="AD144" s="7" t="n">
        <v>-0.214</v>
      </c>
      <c r="AE144" s="7" t="n">
        <v>0.056</v>
      </c>
      <c r="AF144" s="7" t="n">
        <v>-0.285</v>
      </c>
      <c r="AG144" s="7" t="n">
        <v>-0.222</v>
      </c>
      <c r="AH144" s="7" t="n">
        <v>-0.229</v>
      </c>
      <c r="AI144" s="7" t="n">
        <v>-0.45</v>
      </c>
      <c r="AJ144" s="7" t="n">
        <v>-0.39</v>
      </c>
      <c r="AK144" s="7" t="n">
        <v>-0.204</v>
      </c>
      <c r="AL144" s="7" t="n">
        <v>-0.092</v>
      </c>
      <c r="AM144" s="7" t="n">
        <v>0.11</v>
      </c>
      <c r="AN144" s="7" t="n">
        <v>-0.25</v>
      </c>
      <c r="AO144" s="7" t="n">
        <v>-0.671</v>
      </c>
      <c r="AP144" s="7" t="n">
        <v>-0.351</v>
      </c>
      <c r="AQ144" s="7" t="n">
        <v>-0.371</v>
      </c>
      <c r="AR144" s="7" t="n">
        <v>-0.172</v>
      </c>
      <c r="AS144" s="7" t="n">
        <v>-0.518</v>
      </c>
      <c r="AT144" s="7" t="n">
        <v>-0.083</v>
      </c>
      <c r="AU144" s="7" t="n">
        <v>-0.037</v>
      </c>
      <c r="AV144" s="7" t="n">
        <v>-0.083</v>
      </c>
    </row>
    <row r="145" customFormat="false" ht="15" hidden="false" customHeight="false" outlineLevel="0" collapsed="false">
      <c r="A145" s="19" t="n">
        <v>46462</v>
      </c>
      <c r="B145" s="6" t="n">
        <v>1</v>
      </c>
      <c r="C145" s="6" t="s">
        <v>176</v>
      </c>
      <c r="D145" s="6" t="s">
        <v>177</v>
      </c>
      <c r="E145" s="6" t="s">
        <v>169</v>
      </c>
      <c r="F145" s="6" t="s">
        <v>172</v>
      </c>
      <c r="G145" s="7" t="n">
        <v>-0.368</v>
      </c>
      <c r="H145" s="7" t="n">
        <v>-0.512</v>
      </c>
      <c r="I145" s="7" t="n">
        <v>0.045</v>
      </c>
      <c r="J145" s="7" t="n">
        <v>0.018</v>
      </c>
      <c r="K145" s="7" t="n">
        <v>-0.377</v>
      </c>
      <c r="L145" s="7" t="n">
        <v>0.023</v>
      </c>
      <c r="M145" s="7" t="n">
        <v>-0.355</v>
      </c>
      <c r="N145" s="7" t="n">
        <v>-0.334</v>
      </c>
      <c r="O145" s="7" t="n">
        <v>-0.212</v>
      </c>
      <c r="P145" s="7" t="n">
        <v>-0.214</v>
      </c>
      <c r="Q145" s="7" t="n">
        <v>-0.047</v>
      </c>
      <c r="R145" s="7" t="n">
        <v>-0.097</v>
      </c>
      <c r="S145" s="7" t="n">
        <v>-0.441</v>
      </c>
      <c r="T145" s="7" t="n">
        <v>-0.152</v>
      </c>
      <c r="U145" s="7" t="n">
        <v>-0.036</v>
      </c>
      <c r="V145" s="7" t="n">
        <v>-0.019</v>
      </c>
      <c r="W145" s="7" t="n">
        <v>-0.275</v>
      </c>
      <c r="X145" s="7" t="n">
        <v>-0.054</v>
      </c>
      <c r="Y145" s="7" t="n">
        <v>-0.217</v>
      </c>
      <c r="Z145" s="7" t="n">
        <v>-0.08</v>
      </c>
      <c r="AA145" s="7" t="n">
        <v>-0.248</v>
      </c>
      <c r="AB145" s="7" t="n">
        <v>0.062</v>
      </c>
      <c r="AC145" s="7" t="n">
        <v>-0.005</v>
      </c>
      <c r="AD145" s="7" t="n">
        <v>0.012</v>
      </c>
      <c r="AE145" s="7" t="n">
        <v>-0.171</v>
      </c>
      <c r="AF145" s="7" t="n">
        <v>-0.259</v>
      </c>
      <c r="AG145" s="7" t="n">
        <v>-0.161</v>
      </c>
      <c r="AH145" s="7" t="n">
        <v>0.018</v>
      </c>
      <c r="AI145" s="7" t="n">
        <v>-0.035</v>
      </c>
      <c r="AJ145" s="7" t="n">
        <v>-0.265</v>
      </c>
      <c r="AK145" s="7" t="n">
        <v>-0.069</v>
      </c>
      <c r="AL145" s="7" t="n">
        <v>-0.074</v>
      </c>
      <c r="AM145" s="7" t="n">
        <v>0.184</v>
      </c>
      <c r="AN145" s="7" t="n">
        <v>-0.077</v>
      </c>
      <c r="AO145" s="7" t="n">
        <v>-0.336</v>
      </c>
      <c r="AP145" s="7" t="n">
        <v>-0.3</v>
      </c>
      <c r="AQ145" s="7" t="n">
        <v>-0.017</v>
      </c>
      <c r="AR145" s="7" t="n">
        <v>-0.079</v>
      </c>
      <c r="AS145" s="7" t="n">
        <v>-0.2</v>
      </c>
      <c r="AT145" s="7" t="n">
        <v>-0.068</v>
      </c>
      <c r="AU145" s="7" t="n">
        <v>-0.004</v>
      </c>
      <c r="AV145" s="7" t="n">
        <v>0.006</v>
      </c>
    </row>
    <row r="146" customFormat="false" ht="15" hidden="false" customHeight="false" outlineLevel="0" collapsed="false">
      <c r="A146" s="19" t="n">
        <v>46463</v>
      </c>
      <c r="B146" s="6" t="n">
        <v>1</v>
      </c>
      <c r="C146" s="6" t="s">
        <v>176</v>
      </c>
      <c r="D146" s="6" t="s">
        <v>178</v>
      </c>
      <c r="E146" s="6" t="s">
        <v>169</v>
      </c>
      <c r="F146" s="6" t="s">
        <v>172</v>
      </c>
      <c r="G146" s="7" t="n">
        <v>-0.403</v>
      </c>
      <c r="H146" s="7" t="n">
        <v>-0.609</v>
      </c>
      <c r="I146" s="7" t="n">
        <v>0.038</v>
      </c>
      <c r="J146" s="7" t="n">
        <v>0.019</v>
      </c>
      <c r="K146" s="7" t="n">
        <v>-0.444</v>
      </c>
      <c r="L146" s="7" t="n">
        <v>0.022</v>
      </c>
      <c r="M146" s="7" t="n">
        <v>-0.211</v>
      </c>
      <c r="N146" s="7" t="n">
        <v>-0.289</v>
      </c>
      <c r="O146" s="7" t="n">
        <v>-0.449</v>
      </c>
      <c r="P146" s="7" t="n">
        <v>-0.073</v>
      </c>
      <c r="Q146" s="7" t="n">
        <v>-0.143</v>
      </c>
      <c r="R146" s="7" t="n">
        <v>-0.444</v>
      </c>
      <c r="S146" s="7" t="n">
        <v>-0.539</v>
      </c>
      <c r="T146" s="7" t="n">
        <v>-0.41</v>
      </c>
      <c r="U146" s="7" t="n">
        <v>-0.03</v>
      </c>
      <c r="V146" s="7" t="n">
        <v>-0.004</v>
      </c>
      <c r="W146" s="7" t="n">
        <v>-0.194</v>
      </c>
      <c r="X146" s="7" t="n">
        <v>-0.05</v>
      </c>
      <c r="Y146" s="7" t="n">
        <v>-0.177</v>
      </c>
      <c r="Z146" s="7" t="n">
        <v>-0.099</v>
      </c>
      <c r="AA146" s="7" t="n">
        <v>-0.186</v>
      </c>
      <c r="AB146" s="7" t="n">
        <v>0.062</v>
      </c>
      <c r="AC146" s="7" t="n">
        <v>-0.014</v>
      </c>
      <c r="AD146" s="7" t="n">
        <v>0.017</v>
      </c>
      <c r="AE146" s="7" t="n">
        <v>-0.122</v>
      </c>
      <c r="AF146" s="7" t="n">
        <v>-0.177</v>
      </c>
      <c r="AG146" s="7" t="n">
        <v>-0.432</v>
      </c>
      <c r="AH146" s="7" t="n">
        <v>0</v>
      </c>
      <c r="AI146" s="7" t="n">
        <v>-0.058</v>
      </c>
      <c r="AJ146" s="7" t="n">
        <v>-0.415</v>
      </c>
      <c r="AK146" s="7" t="n">
        <v>-0.011</v>
      </c>
      <c r="AL146" s="7" t="n">
        <v>-0.056</v>
      </c>
      <c r="AM146" s="7" t="n">
        <v>-0.015</v>
      </c>
      <c r="AN146" s="7" t="n">
        <v>-0.08</v>
      </c>
      <c r="AO146" s="7" t="n">
        <v>-0.286</v>
      </c>
      <c r="AP146" s="7" t="n">
        <v>-0.25</v>
      </c>
      <c r="AQ146" s="7" t="n">
        <v>-0.269</v>
      </c>
      <c r="AR146" s="7" t="n">
        <v>-0.065</v>
      </c>
      <c r="AS146" s="7" t="n">
        <v>-0.162</v>
      </c>
      <c r="AT146" s="7" t="n">
        <v>-0.374</v>
      </c>
      <c r="AU146" s="7" t="n">
        <v>-0.098</v>
      </c>
      <c r="AV146" s="7" t="n">
        <v>-0.011</v>
      </c>
    </row>
    <row r="147" customFormat="false" ht="15" hidden="false" customHeight="false" outlineLevel="0" collapsed="false">
      <c r="A147" s="19" t="n">
        <v>46464</v>
      </c>
      <c r="B147" s="6" t="n">
        <v>1</v>
      </c>
      <c r="C147" s="6" t="s">
        <v>180</v>
      </c>
      <c r="D147" s="6" t="s">
        <v>181</v>
      </c>
      <c r="E147" s="6" t="s">
        <v>169</v>
      </c>
      <c r="F147" s="6" t="s">
        <v>210</v>
      </c>
      <c r="G147" s="7" t="n">
        <v>-0.304</v>
      </c>
      <c r="H147" s="7" t="n">
        <v>-0.628</v>
      </c>
      <c r="I147" s="7" t="n">
        <v>0.041</v>
      </c>
      <c r="J147" s="7" t="n">
        <v>0.075</v>
      </c>
      <c r="K147" s="7" t="n">
        <v>-0.167</v>
      </c>
      <c r="L147" s="7" t="n">
        <v>-0.066</v>
      </c>
      <c r="M147" s="7" t="n">
        <v>-0.614</v>
      </c>
      <c r="N147" s="7" t="n">
        <v>-0.629</v>
      </c>
      <c r="O147" s="7" t="n">
        <v>-0.064</v>
      </c>
      <c r="P147" s="7" t="n">
        <v>0.084</v>
      </c>
      <c r="Q147" s="7" t="n">
        <v>-0.062</v>
      </c>
      <c r="R147" s="7" t="n">
        <v>-0.044</v>
      </c>
      <c r="S147" s="7" t="n">
        <v>-0.203</v>
      </c>
      <c r="T147" s="7" t="n">
        <v>-0.097</v>
      </c>
      <c r="U147" s="7" t="n">
        <v>-0.015</v>
      </c>
      <c r="V147" s="7" t="n">
        <v>-0.004</v>
      </c>
      <c r="W147" s="7" t="n">
        <v>-0.587</v>
      </c>
      <c r="X147" s="7" t="n">
        <v>0.022</v>
      </c>
      <c r="Y147" s="7" t="n">
        <v>-0.602</v>
      </c>
      <c r="Z147" s="7" t="n">
        <v>-0.011</v>
      </c>
      <c r="AA147" s="7" t="n">
        <v>-0.543</v>
      </c>
      <c r="AB147" s="7" t="n">
        <v>0.061</v>
      </c>
      <c r="AC147" s="7" t="n">
        <v>0.001</v>
      </c>
      <c r="AD147" s="7" t="n">
        <v>-0.079</v>
      </c>
      <c r="AE147" s="7" t="n">
        <v>0.084</v>
      </c>
      <c r="AF147" s="7" t="n">
        <v>-0.589</v>
      </c>
      <c r="AG147" s="7" t="n">
        <v>0.013</v>
      </c>
      <c r="AH147" s="7" t="n">
        <v>-0.01</v>
      </c>
      <c r="AI147" s="7" t="n">
        <v>0.026</v>
      </c>
      <c r="AJ147" s="7" t="n">
        <v>-0.044</v>
      </c>
      <c r="AK147" s="7" t="n">
        <v>0.052</v>
      </c>
      <c r="AL147" s="7" t="n">
        <v>-0.039</v>
      </c>
      <c r="AM147" s="7" t="n">
        <v>0.252</v>
      </c>
      <c r="AN147" s="7" t="n">
        <v>-0.074</v>
      </c>
      <c r="AO147" s="7" t="n">
        <v>-0.627</v>
      </c>
      <c r="AP147" s="7" t="n">
        <v>-0.609</v>
      </c>
      <c r="AQ147" s="7" t="n">
        <v>-0.007</v>
      </c>
      <c r="AR147" s="7" t="n">
        <v>-0.049</v>
      </c>
      <c r="AS147" s="7" t="n">
        <v>-0.496</v>
      </c>
      <c r="AT147" s="7" t="n">
        <v>-0.055</v>
      </c>
      <c r="AU147" s="7" t="n">
        <v>-0.021</v>
      </c>
      <c r="AV147" s="7" t="n">
        <v>-0.021</v>
      </c>
    </row>
    <row r="148" customFormat="false" ht="15" hidden="false" customHeight="false" outlineLevel="0" collapsed="false">
      <c r="A148" s="19" t="n">
        <v>46465</v>
      </c>
      <c r="B148" s="6" t="n">
        <v>1</v>
      </c>
      <c r="C148" s="6" t="s">
        <v>180</v>
      </c>
      <c r="D148" s="6" t="s">
        <v>182</v>
      </c>
      <c r="E148" s="6" t="s">
        <v>169</v>
      </c>
      <c r="F148" s="6" t="s">
        <v>210</v>
      </c>
      <c r="G148" s="7" t="n">
        <v>-0.44</v>
      </c>
      <c r="H148" s="7" t="n">
        <v>-0.608</v>
      </c>
      <c r="I148" s="7" t="n">
        <v>0.053</v>
      </c>
      <c r="J148" s="7" t="n">
        <v>-0.155</v>
      </c>
      <c r="K148" s="7" t="n">
        <v>-0.374</v>
      </c>
      <c r="L148" s="7" t="n">
        <v>-0.09</v>
      </c>
      <c r="M148" s="7" t="n">
        <v>-0.232</v>
      </c>
      <c r="N148" s="7" t="n">
        <v>-0.382</v>
      </c>
      <c r="O148" s="7" t="n">
        <v>-0.228</v>
      </c>
      <c r="P148" s="7" t="n">
        <v>-0.27</v>
      </c>
      <c r="Q148" s="7" t="n">
        <v>-0.348</v>
      </c>
      <c r="R148" s="7" t="n">
        <v>-0.009</v>
      </c>
      <c r="S148" s="7" t="n">
        <v>-0.432</v>
      </c>
      <c r="T148" s="7" t="n">
        <v>-0.295</v>
      </c>
      <c r="U148" s="7" t="n">
        <v>-0.05</v>
      </c>
      <c r="V148" s="7" t="n">
        <v>-0.041</v>
      </c>
      <c r="W148" s="7" t="n">
        <v>-0.206</v>
      </c>
      <c r="X148" s="7" t="n">
        <v>-0.305</v>
      </c>
      <c r="Y148" s="7" t="n">
        <v>-0.253</v>
      </c>
      <c r="Z148" s="7" t="n">
        <v>-0.229</v>
      </c>
      <c r="AA148" s="7" t="n">
        <v>-0.285</v>
      </c>
      <c r="AB148" s="7" t="n">
        <v>0.062</v>
      </c>
      <c r="AC148" s="7" t="n">
        <v>0.004</v>
      </c>
      <c r="AD148" s="7" t="n">
        <v>-0.109</v>
      </c>
      <c r="AE148" s="7" t="n">
        <v>-0.27</v>
      </c>
      <c r="AF148" s="7" t="n">
        <v>-0.223</v>
      </c>
      <c r="AG148" s="7" t="n">
        <v>-0.179</v>
      </c>
      <c r="AH148" s="7" t="n">
        <v>-0.01</v>
      </c>
      <c r="AI148" s="7" t="n">
        <v>-0.266</v>
      </c>
      <c r="AJ148" s="7" t="n">
        <v>-0.332</v>
      </c>
      <c r="AK148" s="7" t="n">
        <v>-0.152</v>
      </c>
      <c r="AL148" s="7" t="n">
        <v>-0.021</v>
      </c>
      <c r="AM148" s="7" t="n">
        <v>0.258</v>
      </c>
      <c r="AN148" s="7" t="n">
        <v>-0.115</v>
      </c>
      <c r="AO148" s="7" t="n">
        <v>-0.268</v>
      </c>
      <c r="AP148" s="7" t="n">
        <v>-0.265</v>
      </c>
      <c r="AQ148" s="7" t="n">
        <v>-0.012</v>
      </c>
      <c r="AR148" s="7" t="n">
        <v>-0.09</v>
      </c>
      <c r="AS148" s="7" t="n">
        <v>-0.116</v>
      </c>
      <c r="AT148" s="7" t="n">
        <v>-0.31</v>
      </c>
      <c r="AU148" s="7" t="n">
        <v>-0.287</v>
      </c>
      <c r="AV148" s="7" t="n">
        <v>-0.021</v>
      </c>
    </row>
    <row r="149" customFormat="false" ht="15" hidden="false" customHeight="false" outlineLevel="0" collapsed="false">
      <c r="A149" s="19" t="n">
        <v>46466</v>
      </c>
      <c r="B149" s="6" t="n">
        <v>0</v>
      </c>
      <c r="C149" s="6" t="s">
        <v>183</v>
      </c>
      <c r="D149" s="6" t="s">
        <v>184</v>
      </c>
      <c r="E149" s="6" t="s">
        <v>169</v>
      </c>
      <c r="F149" s="6" t="s">
        <v>210</v>
      </c>
      <c r="G149" s="7" t="n">
        <v>0.016</v>
      </c>
      <c r="H149" s="7" t="n">
        <v>-0.363</v>
      </c>
      <c r="I149" s="7" t="n">
        <v>0.285</v>
      </c>
      <c r="J149" s="7" t="n">
        <v>0.093</v>
      </c>
      <c r="K149" s="7" t="n">
        <v>-0.111</v>
      </c>
      <c r="L149" s="7" t="n">
        <v>0.101</v>
      </c>
      <c r="M149" s="7" t="n">
        <v>-0.184</v>
      </c>
      <c r="N149" s="7" t="n">
        <v>-0.027</v>
      </c>
      <c r="O149" s="7" t="n">
        <v>-0.128</v>
      </c>
      <c r="P149" s="7" t="n">
        <v>0.16</v>
      </c>
      <c r="Q149" s="7" t="n">
        <v>-0.114</v>
      </c>
      <c r="R149" s="7" t="n">
        <v>-0.05</v>
      </c>
      <c r="S149" s="7" t="n">
        <v>-0.163</v>
      </c>
      <c r="T149" s="7" t="n">
        <v>-0.067</v>
      </c>
      <c r="U149" s="7" t="n">
        <v>0.008</v>
      </c>
      <c r="V149" s="7" t="n">
        <v>-0.031</v>
      </c>
      <c r="W149" s="7" t="n">
        <v>-0.048</v>
      </c>
      <c r="X149" s="7" t="n">
        <v>0.084</v>
      </c>
      <c r="Y149" s="7" t="n">
        <v>-0.149</v>
      </c>
      <c r="Z149" s="7" t="n">
        <v>-0.089</v>
      </c>
      <c r="AA149" s="7" t="n">
        <v>0.096</v>
      </c>
      <c r="AB149" s="7" t="n">
        <v>0.062</v>
      </c>
      <c r="AC149" s="7" t="n">
        <v>0.232</v>
      </c>
      <c r="AD149" s="7" t="n">
        <v>0.305</v>
      </c>
      <c r="AE149" s="7" t="n">
        <v>0.067</v>
      </c>
      <c r="AF149" s="7" t="n">
        <v>-0.108</v>
      </c>
      <c r="AG149" s="7" t="n">
        <v>-0.104</v>
      </c>
      <c r="AH149" s="7" t="n">
        <v>-0.001</v>
      </c>
      <c r="AI149" s="7" t="n">
        <v>0.289</v>
      </c>
      <c r="AJ149" s="7" t="n">
        <v>-0.029</v>
      </c>
      <c r="AK149" s="7" t="n">
        <v>0.064</v>
      </c>
      <c r="AL149" s="7" t="n">
        <v>0.068</v>
      </c>
      <c r="AM149" s="7" t="n">
        <v>0.267</v>
      </c>
      <c r="AN149" s="7" t="n">
        <v>-0.1</v>
      </c>
      <c r="AO149" s="7" t="n">
        <v>-0.003</v>
      </c>
      <c r="AP149" s="7" t="n">
        <v>-0.038</v>
      </c>
      <c r="AQ149" s="7" t="n">
        <v>0.078</v>
      </c>
      <c r="AR149" s="7" t="n">
        <v>-0.084</v>
      </c>
      <c r="AS149" s="7" t="n">
        <v>0.143</v>
      </c>
      <c r="AT149" s="7" t="n">
        <v>-0.062</v>
      </c>
      <c r="AU149" s="7" t="n">
        <v>-0.048</v>
      </c>
      <c r="AV149" s="7" t="n">
        <v>-0.012</v>
      </c>
    </row>
    <row r="150" customFormat="false" ht="15" hidden="false" customHeight="false" outlineLevel="0" collapsed="false">
      <c r="A150" s="19" t="n">
        <v>46467</v>
      </c>
      <c r="B150" s="6" t="n">
        <v>0</v>
      </c>
      <c r="C150" s="6" t="s">
        <v>183</v>
      </c>
      <c r="D150" s="6" t="s">
        <v>185</v>
      </c>
      <c r="E150" s="6" t="s">
        <v>169</v>
      </c>
      <c r="F150" s="6" t="s">
        <v>210</v>
      </c>
      <c r="G150" s="7" t="n">
        <v>-0.206</v>
      </c>
      <c r="H150" s="7" t="n">
        <v>-0.503</v>
      </c>
      <c r="I150" s="7" t="n">
        <v>0.086</v>
      </c>
      <c r="J150" s="7" t="n">
        <v>0.119</v>
      </c>
      <c r="K150" s="7" t="n">
        <v>-0.266</v>
      </c>
      <c r="L150" s="7" t="n">
        <v>0.09</v>
      </c>
      <c r="M150" s="7" t="n">
        <v>-0.195</v>
      </c>
      <c r="N150" s="7" t="n">
        <v>-0.235</v>
      </c>
      <c r="O150" s="7" t="n">
        <v>-0.135</v>
      </c>
      <c r="P150" s="7" t="n">
        <v>0.174</v>
      </c>
      <c r="Q150" s="7" t="n">
        <v>-0.089</v>
      </c>
      <c r="R150" s="7" t="n">
        <v>-0.033</v>
      </c>
      <c r="S150" s="7" t="n">
        <v>-0.316</v>
      </c>
      <c r="T150" s="7" t="n">
        <v>-0.189</v>
      </c>
      <c r="U150" s="7" t="n">
        <v>-0.005</v>
      </c>
      <c r="V150" s="7" t="n">
        <v>-0.029</v>
      </c>
      <c r="W150" s="7" t="n">
        <v>-0.174</v>
      </c>
      <c r="X150" s="7" t="n">
        <v>0.061</v>
      </c>
      <c r="Y150" s="7" t="n">
        <v>-0.251</v>
      </c>
      <c r="Z150" s="7" t="n">
        <v>-0.059</v>
      </c>
      <c r="AA150" s="7" t="n">
        <v>-0.111</v>
      </c>
      <c r="AB150" s="7" t="n">
        <v>0.053</v>
      </c>
      <c r="AC150" s="7" t="n">
        <v>0.028</v>
      </c>
      <c r="AD150" s="7" t="n">
        <v>0.121</v>
      </c>
      <c r="AE150" s="7" t="n">
        <v>0.092</v>
      </c>
      <c r="AF150" s="7" t="n">
        <v>-0.223</v>
      </c>
      <c r="AG150" s="7" t="n">
        <v>-0.112</v>
      </c>
      <c r="AH150" s="7" t="n">
        <v>0</v>
      </c>
      <c r="AI150" s="7" t="n">
        <v>0.111</v>
      </c>
      <c r="AJ150" s="7" t="n">
        <v>-0.207</v>
      </c>
      <c r="AK150" s="7" t="n">
        <v>-0.129</v>
      </c>
      <c r="AL150" s="7" t="n">
        <v>0.068</v>
      </c>
      <c r="AM150" s="7" t="n">
        <v>0.259</v>
      </c>
      <c r="AN150" s="7" t="n">
        <v>-0.09</v>
      </c>
      <c r="AO150" s="7" t="n">
        <v>-0.211</v>
      </c>
      <c r="AP150" s="7" t="n">
        <v>-0.24</v>
      </c>
      <c r="AQ150" s="7" t="n">
        <v>0.077</v>
      </c>
      <c r="AR150" s="7" t="n">
        <v>-0.084</v>
      </c>
      <c r="AS150" s="7" t="n">
        <v>-0.064</v>
      </c>
      <c r="AT150" s="7" t="n">
        <v>-0.045</v>
      </c>
      <c r="AU150" s="7" t="n">
        <v>-0.023</v>
      </c>
      <c r="AV150" s="7" t="n">
        <v>-0.002</v>
      </c>
    </row>
    <row r="151" customFormat="false" ht="15" hidden="false" customHeight="false" outlineLevel="0" collapsed="false">
      <c r="A151" s="19" t="n">
        <v>46468</v>
      </c>
      <c r="B151" s="6" t="n">
        <v>1</v>
      </c>
      <c r="C151" s="6" t="s">
        <v>186</v>
      </c>
      <c r="D151" s="6" t="s">
        <v>187</v>
      </c>
      <c r="E151" s="6" t="s">
        <v>169</v>
      </c>
      <c r="F151" s="6" t="s">
        <v>210</v>
      </c>
      <c r="G151" s="7" t="n">
        <v>-0.161</v>
      </c>
      <c r="H151" s="7" t="n">
        <v>-0.528</v>
      </c>
      <c r="I151" s="7" t="n">
        <v>0.015</v>
      </c>
      <c r="J151" s="7" t="n">
        <v>-0.012</v>
      </c>
      <c r="K151" s="7" t="n">
        <v>-0.066</v>
      </c>
      <c r="L151" s="7" t="n">
        <v>-0.013</v>
      </c>
      <c r="M151" s="7" t="n">
        <v>-0.326</v>
      </c>
      <c r="N151" s="7" t="n">
        <v>-0.375</v>
      </c>
      <c r="O151" s="7" t="n">
        <v>-0.147</v>
      </c>
      <c r="P151" s="7" t="n">
        <v>0.199</v>
      </c>
      <c r="Q151" s="7" t="n">
        <v>-0.216</v>
      </c>
      <c r="R151" s="7" t="n">
        <v>-0.167</v>
      </c>
      <c r="S151" s="7" t="n">
        <v>-0.205</v>
      </c>
      <c r="T151" s="7" t="n">
        <v>0.349</v>
      </c>
      <c r="U151" s="7" t="n">
        <v>-0.028</v>
      </c>
      <c r="V151" s="7" t="n">
        <v>0.06</v>
      </c>
      <c r="W151" s="7" t="n">
        <v>-0.304</v>
      </c>
      <c r="X151" s="7" t="n">
        <v>-0.129</v>
      </c>
      <c r="Y151" s="7" t="n">
        <v>-0.207</v>
      </c>
      <c r="Z151" s="7" t="n">
        <v>0.275</v>
      </c>
      <c r="AA151" s="7" t="n">
        <v>-0.242</v>
      </c>
      <c r="AB151" s="7" t="n">
        <v>0.062</v>
      </c>
      <c r="AC151" s="7" t="n">
        <v>-0.075</v>
      </c>
      <c r="AD151" s="7" t="n">
        <v>0.378</v>
      </c>
      <c r="AE151" s="7" t="n">
        <v>-0.011</v>
      </c>
      <c r="AF151" s="7" t="n">
        <v>-0.286</v>
      </c>
      <c r="AG151" s="7" t="n">
        <v>-0.086</v>
      </c>
      <c r="AH151" s="7" t="n">
        <v>0.054</v>
      </c>
      <c r="AI151" s="7" t="n">
        <v>-0.181</v>
      </c>
      <c r="AJ151" s="7" t="n">
        <v>-0.071</v>
      </c>
      <c r="AK151" s="7" t="n">
        <v>0.211</v>
      </c>
      <c r="AL151" s="7" t="n">
        <v>0.336</v>
      </c>
      <c r="AM151" s="7" t="n">
        <v>0.629</v>
      </c>
      <c r="AN151" s="7" t="n">
        <v>-0.056</v>
      </c>
      <c r="AO151" s="7" t="n">
        <v>-0.35</v>
      </c>
      <c r="AP151" s="7" t="n">
        <v>-0.312</v>
      </c>
      <c r="AQ151" s="7" t="n">
        <v>0.378</v>
      </c>
      <c r="AR151" s="7" t="n">
        <v>-0.094</v>
      </c>
      <c r="AS151" s="7" t="n">
        <v>-0.195</v>
      </c>
      <c r="AT151" s="7" t="n">
        <v>0.173</v>
      </c>
      <c r="AU151" s="7" t="n">
        <v>-0.193</v>
      </c>
      <c r="AV151" s="7" t="n">
        <v>0.043</v>
      </c>
    </row>
    <row r="152" customFormat="false" ht="15" hidden="false" customHeight="false" outlineLevel="0" collapsed="false">
      <c r="A152" s="19" t="n">
        <v>46469</v>
      </c>
      <c r="B152" s="6" t="n">
        <v>1</v>
      </c>
      <c r="C152" s="6" t="s">
        <v>186</v>
      </c>
      <c r="D152" s="6" t="s">
        <v>188</v>
      </c>
      <c r="E152" s="6" t="s">
        <v>169</v>
      </c>
      <c r="F152" s="6" t="s">
        <v>210</v>
      </c>
      <c r="G152" s="7" t="n">
        <v>-0.244</v>
      </c>
      <c r="H152" s="7" t="n">
        <v>-0.593</v>
      </c>
      <c r="I152" s="7" t="n">
        <v>0.015</v>
      </c>
      <c r="J152" s="7" t="n">
        <v>0.094</v>
      </c>
      <c r="K152" s="7" t="n">
        <v>-0.022</v>
      </c>
      <c r="L152" s="7" t="n">
        <v>-0.021</v>
      </c>
      <c r="M152" s="7" t="n">
        <v>-0.338</v>
      </c>
      <c r="N152" s="7" t="n">
        <v>-0.636</v>
      </c>
      <c r="O152" s="7" t="n">
        <v>-0.24</v>
      </c>
      <c r="P152" s="7" t="n">
        <v>0.195</v>
      </c>
      <c r="Q152" s="7" t="n">
        <v>-0.414</v>
      </c>
      <c r="R152" s="7" t="n">
        <v>-0.139</v>
      </c>
      <c r="S152" s="7" t="n">
        <v>-0.363</v>
      </c>
      <c r="T152" s="7" t="n">
        <v>-0.238</v>
      </c>
      <c r="U152" s="7" t="n">
        <v>-0.044</v>
      </c>
      <c r="V152" s="7" t="n">
        <v>0.051</v>
      </c>
      <c r="W152" s="7" t="n">
        <v>-0.319</v>
      </c>
      <c r="X152" s="7" t="n">
        <v>-0.115</v>
      </c>
      <c r="Y152" s="7" t="n">
        <v>-0.226</v>
      </c>
      <c r="Z152" s="7" t="n">
        <v>-0.156</v>
      </c>
      <c r="AA152" s="7" t="n">
        <v>-0.419</v>
      </c>
      <c r="AB152" s="7" t="n">
        <v>0.062</v>
      </c>
      <c r="AC152" s="7" t="n">
        <v>-0.082</v>
      </c>
      <c r="AD152" s="7" t="n">
        <v>0.073</v>
      </c>
      <c r="AE152" s="7" t="n">
        <v>0.007</v>
      </c>
      <c r="AF152" s="7" t="n">
        <v>-0.3</v>
      </c>
      <c r="AG152" s="7" t="n">
        <v>-0.353</v>
      </c>
      <c r="AH152" s="7" t="n">
        <v>0.045</v>
      </c>
      <c r="AI152" s="7" t="n">
        <v>-0.162</v>
      </c>
      <c r="AJ152" s="7" t="n">
        <v>-0.063</v>
      </c>
      <c r="AK152" s="7" t="n">
        <v>0.198</v>
      </c>
      <c r="AL152" s="7" t="n">
        <v>-0.004</v>
      </c>
      <c r="AM152" s="7" t="n">
        <v>0.278</v>
      </c>
      <c r="AN152" s="7" t="n">
        <v>-0.351</v>
      </c>
      <c r="AO152" s="7" t="n">
        <v>-0.572</v>
      </c>
      <c r="AP152" s="7" t="n">
        <v>-0.543</v>
      </c>
      <c r="AQ152" s="7" t="n">
        <v>0.032</v>
      </c>
      <c r="AR152" s="7" t="n">
        <v>-0.377</v>
      </c>
      <c r="AS152" s="7" t="n">
        <v>-0.206</v>
      </c>
      <c r="AT152" s="7" t="n">
        <v>-0.197</v>
      </c>
      <c r="AU152" s="7" t="n">
        <v>-0.174</v>
      </c>
      <c r="AV152" s="7" t="n">
        <v>0.033</v>
      </c>
    </row>
    <row r="153" customFormat="false" ht="15" hidden="false" customHeight="false" outlineLevel="0" collapsed="false">
      <c r="A153" s="19" t="n">
        <v>46470</v>
      </c>
      <c r="B153" s="6" t="n">
        <v>1</v>
      </c>
      <c r="C153" s="6" t="s">
        <v>190</v>
      </c>
      <c r="D153" s="6" t="s">
        <v>189</v>
      </c>
      <c r="E153" s="6" t="s">
        <v>169</v>
      </c>
      <c r="F153" s="6" t="s">
        <v>210</v>
      </c>
      <c r="G153" s="7" t="n">
        <v>-0.423</v>
      </c>
      <c r="H153" s="7" t="n">
        <v>-0.529</v>
      </c>
      <c r="I153" s="7" t="n">
        <v>-0.394</v>
      </c>
      <c r="J153" s="7" t="n">
        <v>0.142</v>
      </c>
      <c r="K153" s="7" t="n">
        <v>-0.147</v>
      </c>
      <c r="L153" s="7" t="n">
        <v>-0.4</v>
      </c>
      <c r="M153" s="7" t="n">
        <v>-0.654</v>
      </c>
      <c r="N153" s="7" t="n">
        <v>-0.669</v>
      </c>
      <c r="O153" s="7" t="n">
        <v>-0.104</v>
      </c>
      <c r="P153" s="7" t="n">
        <v>0.128</v>
      </c>
      <c r="Q153" s="7" t="n">
        <v>-0.318</v>
      </c>
      <c r="R153" s="7" t="n">
        <v>-0.039</v>
      </c>
      <c r="S153" s="7" t="n">
        <v>-0.248</v>
      </c>
      <c r="T153" s="7" t="n">
        <v>-0.363</v>
      </c>
      <c r="U153" s="7" t="n">
        <v>-0.443</v>
      </c>
      <c r="V153" s="7" t="n">
        <v>-0.252</v>
      </c>
      <c r="W153" s="7" t="n">
        <v>-0.632</v>
      </c>
      <c r="X153" s="7" t="n">
        <v>0.086</v>
      </c>
      <c r="Y153" s="7" t="n">
        <v>-0.238</v>
      </c>
      <c r="Z153" s="7" t="n">
        <v>-0.272</v>
      </c>
      <c r="AA153" s="7" t="n">
        <v>-0.551</v>
      </c>
      <c r="AB153" s="7" t="n">
        <v>-0.21</v>
      </c>
      <c r="AC153" s="7" t="n">
        <v>-0.433</v>
      </c>
      <c r="AD153" s="7" t="n">
        <v>0.04</v>
      </c>
      <c r="AE153" s="7" t="n">
        <v>0.128</v>
      </c>
      <c r="AF153" s="7" t="n">
        <v>-0.495</v>
      </c>
      <c r="AG153" s="7" t="n">
        <v>-0.085</v>
      </c>
      <c r="AH153" s="7" t="n">
        <v>-0.244</v>
      </c>
      <c r="AI153" s="7" t="n">
        <v>-0.301</v>
      </c>
      <c r="AJ153" s="7" t="n">
        <v>-0.11</v>
      </c>
      <c r="AK153" s="7" t="n">
        <v>-0.108</v>
      </c>
      <c r="AL153" s="7" t="n">
        <v>-0.1</v>
      </c>
      <c r="AM153" s="7" t="n">
        <v>0.243</v>
      </c>
      <c r="AN153" s="7" t="n">
        <v>-0.264</v>
      </c>
      <c r="AO153" s="7" t="n">
        <v>-0.622</v>
      </c>
      <c r="AP153" s="7" t="n">
        <v>-0.309</v>
      </c>
      <c r="AQ153" s="7" t="n">
        <v>-0.418</v>
      </c>
      <c r="AR153" s="7" t="n">
        <v>-0.102</v>
      </c>
      <c r="AS153" s="7" t="n">
        <v>-0.466</v>
      </c>
      <c r="AT153" s="7" t="n">
        <v>-0.015</v>
      </c>
      <c r="AU153" s="7" t="n">
        <v>0.008</v>
      </c>
      <c r="AV153" s="7" t="n">
        <v>-0.16</v>
      </c>
    </row>
    <row r="154" customFormat="false" ht="15" hidden="false" customHeight="false" outlineLevel="0" collapsed="false">
      <c r="A154" s="19" t="n">
        <v>46471</v>
      </c>
      <c r="B154" s="6" t="n">
        <v>1</v>
      </c>
      <c r="C154" s="6" t="s">
        <v>190</v>
      </c>
      <c r="D154" s="6" t="s">
        <v>191</v>
      </c>
      <c r="E154" s="6" t="s">
        <v>169</v>
      </c>
      <c r="F154" s="6" t="s">
        <v>210</v>
      </c>
      <c r="G154" s="7" t="n">
        <v>-0.339</v>
      </c>
      <c r="H154" s="7" t="n">
        <v>-0.543</v>
      </c>
      <c r="I154" s="7" t="n">
        <v>-0.074</v>
      </c>
      <c r="J154" s="7" t="n">
        <v>0.11</v>
      </c>
      <c r="K154" s="7" t="n">
        <v>-0.143</v>
      </c>
      <c r="L154" s="7" t="n">
        <v>-0.07</v>
      </c>
      <c r="M154" s="7" t="n">
        <v>-0.65</v>
      </c>
      <c r="N154" s="7" t="n">
        <v>-0.476</v>
      </c>
      <c r="O154" s="7" t="n">
        <v>-0.072</v>
      </c>
      <c r="P154" s="7" t="n">
        <v>0.104</v>
      </c>
      <c r="Q154" s="7" t="n">
        <v>-0.142</v>
      </c>
      <c r="R154" s="7" t="n">
        <v>0.105</v>
      </c>
      <c r="S154" s="7" t="n">
        <v>-0.256</v>
      </c>
      <c r="T154" s="7" t="n">
        <v>-0.11</v>
      </c>
      <c r="U154" s="7" t="n">
        <v>-0.285</v>
      </c>
      <c r="V154" s="7" t="n">
        <v>-0.076</v>
      </c>
      <c r="W154" s="7" t="n">
        <v>-0.632</v>
      </c>
      <c r="X154" s="7" t="n">
        <v>0.055</v>
      </c>
      <c r="Y154" s="7" t="n">
        <v>-0.274</v>
      </c>
      <c r="Z154" s="7" t="n">
        <v>-0.395</v>
      </c>
      <c r="AA154" s="7" t="n">
        <v>-0.534</v>
      </c>
      <c r="AB154" s="7" t="n">
        <v>-0.043</v>
      </c>
      <c r="AC154" s="7" t="n">
        <v>-0.131</v>
      </c>
      <c r="AD154" s="7" t="n">
        <v>-0.317</v>
      </c>
      <c r="AE154" s="7" t="n">
        <v>0.104</v>
      </c>
      <c r="AF154" s="7" t="n">
        <v>-0.616</v>
      </c>
      <c r="AG154" s="7" t="n">
        <v>-0.055</v>
      </c>
      <c r="AH154" s="7" t="n">
        <v>-0.045</v>
      </c>
      <c r="AI154" s="7" t="n">
        <v>-0.335</v>
      </c>
      <c r="AJ154" s="7" t="n">
        <v>-0.115</v>
      </c>
      <c r="AK154" s="7" t="n">
        <v>-0.1</v>
      </c>
      <c r="AL154" s="7" t="n">
        <v>-0.103</v>
      </c>
      <c r="AM154" s="7" t="n">
        <v>0.248</v>
      </c>
      <c r="AN154" s="7" t="n">
        <v>-0.247</v>
      </c>
      <c r="AO154" s="7" t="n">
        <v>-0.428</v>
      </c>
      <c r="AP154" s="7" t="n">
        <v>-0.312</v>
      </c>
      <c r="AQ154" s="7" t="n">
        <v>-0.247</v>
      </c>
      <c r="AR154" s="7" t="n">
        <v>-0.086</v>
      </c>
      <c r="AS154" s="7" t="n">
        <v>-0.469</v>
      </c>
      <c r="AT154" s="7" t="n">
        <v>-0.032</v>
      </c>
      <c r="AU154" s="7" t="n">
        <v>-0.019</v>
      </c>
      <c r="AV154" s="7" t="n">
        <v>-0.157</v>
      </c>
    </row>
    <row r="155" customFormat="false" ht="15" hidden="false" customHeight="false" outlineLevel="0" collapsed="false">
      <c r="A155" s="19" t="n">
        <v>46472</v>
      </c>
      <c r="B155" s="6" t="n">
        <v>1</v>
      </c>
      <c r="C155" s="6" t="s">
        <v>190</v>
      </c>
      <c r="D155" s="6" t="s">
        <v>192</v>
      </c>
      <c r="E155" s="6" t="s">
        <v>169</v>
      </c>
      <c r="F155" s="6" t="s">
        <v>210</v>
      </c>
      <c r="G155" s="7" t="n">
        <v>-0.091</v>
      </c>
      <c r="H155" s="7" t="n">
        <v>-0.442</v>
      </c>
      <c r="I155" s="7" t="n">
        <v>-0.078</v>
      </c>
      <c r="J155" s="7" t="n">
        <v>0.143</v>
      </c>
      <c r="K155" s="7" t="n">
        <v>0.101</v>
      </c>
      <c r="L155" s="7" t="n">
        <v>-0.074</v>
      </c>
      <c r="M155" s="7" t="n">
        <v>-0.387</v>
      </c>
      <c r="N155" s="7" t="n">
        <v>-0.431</v>
      </c>
      <c r="O155" s="7" t="n">
        <v>0.276</v>
      </c>
      <c r="P155" s="7" t="n">
        <v>0.132</v>
      </c>
      <c r="Q155" s="7" t="n">
        <v>-0.148</v>
      </c>
      <c r="R155" s="7" t="n">
        <v>0.265</v>
      </c>
      <c r="S155" s="7" t="n">
        <v>-0.059</v>
      </c>
      <c r="T155" s="7" t="n">
        <v>0.025</v>
      </c>
      <c r="U155" s="7" t="n">
        <v>-0.309</v>
      </c>
      <c r="V155" s="7" t="n">
        <v>-0.11</v>
      </c>
      <c r="W155" s="7" t="n">
        <v>-0.379</v>
      </c>
      <c r="X155" s="7" t="n">
        <v>0.062</v>
      </c>
      <c r="Y155" s="7" t="n">
        <v>-0.247</v>
      </c>
      <c r="Z155" s="7" t="n">
        <v>-0.211</v>
      </c>
      <c r="AA155" s="7" t="n">
        <v>-0.326</v>
      </c>
      <c r="AB155" s="7" t="n">
        <v>-0.078</v>
      </c>
      <c r="AC155" s="7" t="n">
        <v>-0.127</v>
      </c>
      <c r="AD155" s="7" t="n">
        <v>0.048</v>
      </c>
      <c r="AE155" s="7" t="n">
        <v>0.132</v>
      </c>
      <c r="AF155" s="7" t="n">
        <v>-0.281</v>
      </c>
      <c r="AG155" s="7" t="n">
        <v>0.24</v>
      </c>
      <c r="AH155" s="7" t="n">
        <v>-0.071</v>
      </c>
      <c r="AI155" s="7" t="n">
        <v>-0.043</v>
      </c>
      <c r="AJ155" s="7" t="n">
        <v>0.106</v>
      </c>
      <c r="AK155" s="7" t="n">
        <v>-0.038</v>
      </c>
      <c r="AL155" s="7" t="n">
        <v>-0.107</v>
      </c>
      <c r="AM155" s="7" t="n">
        <v>0.429</v>
      </c>
      <c r="AN155" s="7" t="n">
        <v>-0.268</v>
      </c>
      <c r="AO155" s="7" t="n">
        <v>-0.42</v>
      </c>
      <c r="AP155" s="7" t="n">
        <v>-0.3</v>
      </c>
      <c r="AQ155" s="7" t="n">
        <v>-0.134</v>
      </c>
      <c r="AR155" s="7" t="n">
        <v>-0.079</v>
      </c>
      <c r="AS155" s="7" t="n">
        <v>-0.291</v>
      </c>
      <c r="AT155" s="7" t="n">
        <v>0.161</v>
      </c>
      <c r="AU155" s="7" t="n">
        <v>0.005</v>
      </c>
      <c r="AV155" s="7" t="n">
        <v>-0.183</v>
      </c>
    </row>
    <row r="156" customFormat="false" ht="15" hidden="false" customHeight="false" outlineLevel="0" collapsed="false">
      <c r="A156" s="19" t="n">
        <v>46473</v>
      </c>
      <c r="B156" s="6" t="n">
        <v>0</v>
      </c>
      <c r="C156" s="6" t="s">
        <v>171</v>
      </c>
      <c r="D156" s="6" t="s">
        <v>193</v>
      </c>
      <c r="E156" s="6" t="s">
        <v>169</v>
      </c>
      <c r="F156" s="6" t="s">
        <v>210</v>
      </c>
      <c r="G156" s="7" t="n">
        <v>-0.039</v>
      </c>
      <c r="H156" s="7" t="n">
        <v>-0.602</v>
      </c>
      <c r="I156" s="7" t="n">
        <v>0.134</v>
      </c>
      <c r="J156" s="7" t="n">
        <v>0.151</v>
      </c>
      <c r="K156" s="7" t="n">
        <v>0.107</v>
      </c>
      <c r="L156" s="7" t="n">
        <v>0.106</v>
      </c>
      <c r="M156" s="7" t="n">
        <v>-0.576</v>
      </c>
      <c r="N156" s="7" t="n">
        <v>-0.554</v>
      </c>
      <c r="O156" s="7" t="n">
        <v>-0.03</v>
      </c>
      <c r="P156" s="7" t="n">
        <v>0.135</v>
      </c>
      <c r="Q156" s="7" t="n">
        <v>0.023</v>
      </c>
      <c r="R156" s="7" t="n">
        <v>0.116</v>
      </c>
      <c r="S156" s="7" t="n">
        <v>-0.055</v>
      </c>
      <c r="T156" s="7" t="n">
        <v>0.043</v>
      </c>
      <c r="U156" s="7" t="n">
        <v>0.217</v>
      </c>
      <c r="V156" s="7" t="n">
        <v>0.054</v>
      </c>
      <c r="W156" s="7" t="n">
        <v>-0.563</v>
      </c>
      <c r="X156" s="7" t="n">
        <v>0.009</v>
      </c>
      <c r="Y156" s="7" t="n">
        <v>-0.606</v>
      </c>
      <c r="Z156" s="7" t="n">
        <v>0.068</v>
      </c>
      <c r="AA156" s="7" t="n">
        <v>-0.496</v>
      </c>
      <c r="AB156" s="7" t="n">
        <v>0.061</v>
      </c>
      <c r="AC156" s="7" t="n">
        <v>0.204</v>
      </c>
      <c r="AD156" s="7" t="n">
        <v>0.194</v>
      </c>
      <c r="AE156" s="7" t="n">
        <v>0.135</v>
      </c>
      <c r="AF156" s="7" t="n">
        <v>-0.593</v>
      </c>
      <c r="AG156" s="7" t="n">
        <v>0.021</v>
      </c>
      <c r="AH156" s="7" t="n">
        <v>0.077</v>
      </c>
      <c r="AI156" s="7" t="n">
        <v>0.287</v>
      </c>
      <c r="AJ156" s="7" t="n">
        <v>0.156</v>
      </c>
      <c r="AK156" s="7" t="n">
        <v>0.125</v>
      </c>
      <c r="AL156" s="7" t="n">
        <v>0.212</v>
      </c>
      <c r="AM156" s="7" t="n">
        <v>0.269</v>
      </c>
      <c r="AN156" s="7" t="n">
        <v>-0.015</v>
      </c>
      <c r="AO156" s="7" t="n">
        <v>-0.522</v>
      </c>
      <c r="AP156" s="7" t="n">
        <v>-0.591</v>
      </c>
      <c r="AQ156" s="7" t="n">
        <v>0.274</v>
      </c>
      <c r="AR156" s="7" t="n">
        <v>-0.047</v>
      </c>
      <c r="AS156" s="7" t="n">
        <v>-0.415</v>
      </c>
      <c r="AT156" s="7" t="n">
        <v>0.024</v>
      </c>
      <c r="AU156" s="7" t="n">
        <v>0.005</v>
      </c>
      <c r="AV156" s="7" t="n">
        <v>0.036</v>
      </c>
    </row>
    <row r="157" customFormat="false" ht="15" hidden="false" customHeight="false" outlineLevel="0" collapsed="false">
      <c r="A157" s="19" t="n">
        <v>46474</v>
      </c>
      <c r="B157" s="6" t="n">
        <v>0</v>
      </c>
      <c r="C157" s="6" t="s">
        <v>171</v>
      </c>
      <c r="D157" s="6" t="s">
        <v>194</v>
      </c>
      <c r="E157" s="6" t="s">
        <v>169</v>
      </c>
      <c r="F157" s="6" t="s">
        <v>210</v>
      </c>
      <c r="G157" s="7" t="n">
        <v>0.228</v>
      </c>
      <c r="H157" s="7" t="n">
        <v>-0.38</v>
      </c>
      <c r="I157" s="7" t="n">
        <v>0.077</v>
      </c>
      <c r="J157" s="7" t="n">
        <v>0.256</v>
      </c>
      <c r="K157" s="7" t="n">
        <v>0.369</v>
      </c>
      <c r="L157" s="7" t="n">
        <v>0.289</v>
      </c>
      <c r="M157" s="7" t="n">
        <v>-0.309</v>
      </c>
      <c r="N157" s="7" t="n">
        <v>-0.172</v>
      </c>
      <c r="O157" s="7" t="n">
        <v>-0.016</v>
      </c>
      <c r="P157" s="7" t="n">
        <v>0.269</v>
      </c>
      <c r="Q157" s="7" t="n">
        <v>0.103</v>
      </c>
      <c r="R157" s="7" t="n">
        <v>0.145</v>
      </c>
      <c r="S157" s="7" t="n">
        <v>0.223</v>
      </c>
      <c r="T157" s="7" t="n">
        <v>0.178</v>
      </c>
      <c r="U157" s="7" t="n">
        <v>0.111</v>
      </c>
      <c r="V157" s="7" t="n">
        <v>0.05</v>
      </c>
      <c r="W157" s="7" t="n">
        <v>-0.333</v>
      </c>
      <c r="X157" s="7" t="n">
        <v>-0.059</v>
      </c>
      <c r="Y157" s="7" t="n">
        <v>-0.523</v>
      </c>
      <c r="Z157" s="7" t="n">
        <v>-0.025</v>
      </c>
      <c r="AA157" s="7" t="n">
        <v>-0.075</v>
      </c>
      <c r="AB157" s="7" t="n">
        <v>0.061</v>
      </c>
      <c r="AC157" s="7" t="n">
        <v>0.103</v>
      </c>
      <c r="AD157" s="7" t="n">
        <v>0.114</v>
      </c>
      <c r="AE157" s="7" t="n">
        <v>0.269</v>
      </c>
      <c r="AF157" s="7" t="n">
        <v>-0.489</v>
      </c>
      <c r="AG157" s="7" t="n">
        <v>0.035</v>
      </c>
      <c r="AH157" s="7" t="n">
        <v>0.075</v>
      </c>
      <c r="AI157" s="7" t="n">
        <v>0.299</v>
      </c>
      <c r="AJ157" s="7" t="n">
        <v>0.408</v>
      </c>
      <c r="AK157" s="7" t="n">
        <v>0.179</v>
      </c>
      <c r="AL157" s="7" t="n">
        <v>0.212</v>
      </c>
      <c r="AM157" s="7" t="n">
        <v>0.29</v>
      </c>
      <c r="AN157" s="7" t="n">
        <v>-0.035</v>
      </c>
      <c r="AO157" s="7" t="n">
        <v>-0.056</v>
      </c>
      <c r="AP157" s="7" t="n">
        <v>-0.281</v>
      </c>
      <c r="AQ157" s="7" t="n">
        <v>0.272</v>
      </c>
      <c r="AR157" s="7" t="n">
        <v>-0.065</v>
      </c>
      <c r="AS157" s="7" t="n">
        <v>0.052</v>
      </c>
      <c r="AT157" s="7" t="n">
        <v>0.155</v>
      </c>
      <c r="AU157" s="7" t="n">
        <v>0.107</v>
      </c>
      <c r="AV157" s="7" t="n">
        <v>0.034</v>
      </c>
    </row>
    <row r="158" customFormat="false" ht="15" hidden="false" customHeight="false" outlineLevel="0" collapsed="false">
      <c r="A158" s="19" t="n">
        <v>46475</v>
      </c>
      <c r="B158" s="6" t="n">
        <v>1</v>
      </c>
      <c r="C158" s="6" t="s">
        <v>195</v>
      </c>
      <c r="D158" s="6" t="s">
        <v>196</v>
      </c>
      <c r="E158" s="6" t="s">
        <v>173</v>
      </c>
      <c r="F158" s="6" t="s">
        <v>210</v>
      </c>
      <c r="G158" s="7" t="n">
        <v>-0.301</v>
      </c>
      <c r="H158" s="7" t="n">
        <v>-0.332</v>
      </c>
      <c r="I158" s="7" t="n">
        <v>-0.392</v>
      </c>
      <c r="J158" s="7" t="n">
        <v>0.242</v>
      </c>
      <c r="K158" s="7" t="n">
        <v>-0.006</v>
      </c>
      <c r="L158" s="7" t="n">
        <v>0.309</v>
      </c>
      <c r="M158" s="7" t="n">
        <v>-0.166</v>
      </c>
      <c r="N158" s="7" t="n">
        <v>-0.486</v>
      </c>
      <c r="O158" s="7" t="n">
        <v>0.006</v>
      </c>
      <c r="P158" s="7" t="n">
        <v>0.133</v>
      </c>
      <c r="Q158" s="7" t="n">
        <v>-0.188</v>
      </c>
      <c r="R158" s="7" t="n">
        <v>0.211</v>
      </c>
      <c r="S158" s="7" t="n">
        <v>-0.063</v>
      </c>
      <c r="T158" s="7" t="n">
        <v>0.061</v>
      </c>
      <c r="U158" s="7" t="n">
        <v>-0.238</v>
      </c>
      <c r="V158" s="7" t="n">
        <v>-0.077</v>
      </c>
      <c r="W158" s="7" t="n">
        <v>-0.524</v>
      </c>
      <c r="X158" s="7" t="n">
        <v>-0.41</v>
      </c>
      <c r="Y158" s="7" t="n">
        <v>-0.584</v>
      </c>
      <c r="Z158" s="7" t="n">
        <v>-0.288</v>
      </c>
      <c r="AA158" s="7" t="n">
        <v>-0.435</v>
      </c>
      <c r="AB158" s="7" t="n">
        <v>-0.085</v>
      </c>
      <c r="AC158" s="7" t="n">
        <v>-0.397</v>
      </c>
      <c r="AD158" s="7" t="n">
        <v>-0.045</v>
      </c>
      <c r="AE158" s="7" t="n">
        <v>-0.084</v>
      </c>
      <c r="AF158" s="7" t="n">
        <v>-0.522</v>
      </c>
      <c r="AG158" s="7" t="n">
        <v>0.004</v>
      </c>
      <c r="AH158" s="7" t="n">
        <v>-0.071</v>
      </c>
      <c r="AI158" s="7" t="n">
        <v>-0.328</v>
      </c>
      <c r="AJ158" s="7" t="n">
        <v>0.03</v>
      </c>
      <c r="AK158" s="7" t="n">
        <v>0.035</v>
      </c>
      <c r="AL158" s="7" t="n">
        <v>0.094</v>
      </c>
      <c r="AM158" s="7" t="n">
        <v>0.305</v>
      </c>
      <c r="AN158" s="7" t="n">
        <v>-0.224</v>
      </c>
      <c r="AO158" s="7" t="n">
        <v>-0.546</v>
      </c>
      <c r="AP158" s="7" t="n">
        <v>-0.52</v>
      </c>
      <c r="AQ158" s="7" t="n">
        <v>-0.127</v>
      </c>
      <c r="AR158" s="7" t="n">
        <v>-0.11</v>
      </c>
      <c r="AS158" s="7" t="n">
        <v>-0.407</v>
      </c>
      <c r="AT158" s="7" t="n">
        <v>-0.03</v>
      </c>
      <c r="AU158" s="7" t="n">
        <v>0.004</v>
      </c>
      <c r="AV158" s="7" t="n">
        <v>-0.112</v>
      </c>
    </row>
    <row r="159" customFormat="false" ht="15" hidden="false" customHeight="false" outlineLevel="0" collapsed="false">
      <c r="A159" s="19" t="n">
        <v>46476</v>
      </c>
      <c r="B159" s="6" t="n">
        <v>1</v>
      </c>
      <c r="C159" s="6" t="s">
        <v>195</v>
      </c>
      <c r="D159" s="6" t="s">
        <v>197</v>
      </c>
      <c r="E159" s="6" t="s">
        <v>173</v>
      </c>
      <c r="F159" s="6" t="s">
        <v>210</v>
      </c>
      <c r="G159" s="7" t="n">
        <v>0.064</v>
      </c>
      <c r="H159" s="7" t="n">
        <v>-0.286</v>
      </c>
      <c r="I159" s="7" t="n">
        <v>-0.085</v>
      </c>
      <c r="J159" s="7" t="n">
        <v>0.247</v>
      </c>
      <c r="K159" s="7" t="n">
        <v>0.172</v>
      </c>
      <c r="L159" s="7" t="n">
        <v>0.294</v>
      </c>
      <c r="M159" s="7" t="n">
        <v>-0.157</v>
      </c>
      <c r="N159" s="7" t="n">
        <v>-0.152</v>
      </c>
      <c r="O159" s="7" t="n">
        <v>-0.184</v>
      </c>
      <c r="P159" s="7" t="n">
        <v>0.131</v>
      </c>
      <c r="Q159" s="7" t="n">
        <v>0.16</v>
      </c>
      <c r="R159" s="7" t="n">
        <v>0.099</v>
      </c>
      <c r="S159" s="7" t="n">
        <v>0.114</v>
      </c>
      <c r="T159" s="7" t="n">
        <v>0.25</v>
      </c>
      <c r="U159" s="7" t="n">
        <v>0.104</v>
      </c>
      <c r="V159" s="7" t="n">
        <v>0.275</v>
      </c>
      <c r="W159" s="7" t="n">
        <v>-0.041</v>
      </c>
      <c r="X159" s="7" t="n">
        <v>-0.195</v>
      </c>
      <c r="Y159" s="7" t="n">
        <v>-0.143</v>
      </c>
      <c r="Z159" s="7" t="n">
        <v>-0.163</v>
      </c>
      <c r="AA159" s="7" t="n">
        <v>-0.141</v>
      </c>
      <c r="AB159" s="7" t="n">
        <v>-0.023</v>
      </c>
      <c r="AC159" s="7" t="n">
        <v>-0.068</v>
      </c>
      <c r="AD159" s="7" t="n">
        <v>0.376</v>
      </c>
      <c r="AE159" s="7" t="n">
        <v>-0.082</v>
      </c>
      <c r="AF159" s="7" t="n">
        <v>-0.018</v>
      </c>
      <c r="AG159" s="7" t="n">
        <v>-0.165</v>
      </c>
      <c r="AH159" s="7" t="n">
        <v>0.289</v>
      </c>
      <c r="AI159" s="7" t="n">
        <v>-0.082</v>
      </c>
      <c r="AJ159" s="7" t="n">
        <v>0.211</v>
      </c>
      <c r="AK159" s="7" t="n">
        <v>0.36</v>
      </c>
      <c r="AL159" s="7" t="n">
        <v>0.09</v>
      </c>
      <c r="AM159" s="7" t="n">
        <v>0.199</v>
      </c>
      <c r="AN159" s="7" t="n">
        <v>0.066</v>
      </c>
      <c r="AO159" s="7" t="n">
        <v>-0.277</v>
      </c>
      <c r="AP159" s="7" t="n">
        <v>-0.232</v>
      </c>
      <c r="AQ159" s="7" t="n">
        <v>0.154</v>
      </c>
      <c r="AR159" s="7" t="n">
        <v>-0.116</v>
      </c>
      <c r="AS159" s="7" t="n">
        <v>-0.128</v>
      </c>
      <c r="AT159" s="7" t="n">
        <v>-0.143</v>
      </c>
      <c r="AU159" s="7" t="n">
        <v>0.003</v>
      </c>
      <c r="AV159" s="7" t="n">
        <v>0.183</v>
      </c>
    </row>
    <row r="160" customFormat="false" ht="15" hidden="false" customHeight="false" outlineLevel="0" collapsed="false">
      <c r="A160" s="19" t="n">
        <v>46477</v>
      </c>
      <c r="B160" s="6" t="n">
        <v>1</v>
      </c>
      <c r="C160" s="6" t="s">
        <v>195</v>
      </c>
      <c r="D160" s="6" t="s">
        <v>199</v>
      </c>
      <c r="E160" s="6" t="s">
        <v>173</v>
      </c>
      <c r="F160" s="6" t="s">
        <v>210</v>
      </c>
      <c r="G160" s="7" t="n">
        <v>-0.108</v>
      </c>
      <c r="H160" s="7" t="n">
        <v>-0.404</v>
      </c>
      <c r="I160" s="7" t="n">
        <v>-0.066</v>
      </c>
      <c r="J160" s="7" t="n">
        <v>0.266</v>
      </c>
      <c r="K160" s="7" t="n">
        <v>-0.075</v>
      </c>
      <c r="L160" s="7" t="n">
        <v>0.307</v>
      </c>
      <c r="M160" s="7" t="n">
        <v>-0.088</v>
      </c>
      <c r="N160" s="7" t="n">
        <v>-0.09</v>
      </c>
      <c r="O160" s="7" t="n">
        <v>-0.149</v>
      </c>
      <c r="P160" s="7" t="n">
        <v>0.168</v>
      </c>
      <c r="Q160" s="7" t="n">
        <v>-0.195</v>
      </c>
      <c r="R160" s="7" t="n">
        <v>0.128</v>
      </c>
      <c r="S160" s="7" t="n">
        <v>-0.179</v>
      </c>
      <c r="T160" s="7" t="n">
        <v>-0.099</v>
      </c>
      <c r="U160" s="7" t="n">
        <v>-0.166</v>
      </c>
      <c r="V160" s="7" t="n">
        <v>-0.08</v>
      </c>
      <c r="W160" s="7" t="n">
        <v>0.026</v>
      </c>
      <c r="X160" s="7" t="n">
        <v>-0.207</v>
      </c>
      <c r="Y160" s="7" t="n">
        <v>-0.086</v>
      </c>
      <c r="Z160" s="7" t="n">
        <v>-0.381</v>
      </c>
      <c r="AA160" s="7" t="n">
        <v>-0.086</v>
      </c>
      <c r="AB160" s="7" t="n">
        <v>-0.087</v>
      </c>
      <c r="AC160" s="7" t="n">
        <v>-0.041</v>
      </c>
      <c r="AD160" s="7" t="n">
        <v>0.272</v>
      </c>
      <c r="AE160" s="7" t="n">
        <v>-0.049</v>
      </c>
      <c r="AF160" s="7" t="n">
        <v>0.034</v>
      </c>
      <c r="AG160" s="7" t="n">
        <v>-0.116</v>
      </c>
      <c r="AH160" s="7" t="n">
        <v>-0.064</v>
      </c>
      <c r="AI160" s="7" t="n">
        <v>-0.076</v>
      </c>
      <c r="AJ160" s="7" t="n">
        <v>-0.07</v>
      </c>
      <c r="AK160" s="7" t="n">
        <v>0.042</v>
      </c>
      <c r="AL160" s="7" t="n">
        <v>0.018</v>
      </c>
      <c r="AM160" s="7" t="n">
        <v>0.176</v>
      </c>
      <c r="AN160" s="7" t="n">
        <v>-0.228</v>
      </c>
      <c r="AO160" s="7" t="n">
        <v>-0.232</v>
      </c>
      <c r="AP160" s="7" t="n">
        <v>-0.203</v>
      </c>
      <c r="AQ160" s="7" t="n">
        <v>-0.172</v>
      </c>
      <c r="AR160" s="7" t="n">
        <v>-0.111</v>
      </c>
      <c r="AS160" s="7" t="n">
        <v>-0.092</v>
      </c>
      <c r="AT160" s="7" t="n">
        <v>-0.189</v>
      </c>
      <c r="AU160" s="7" t="n">
        <v>0</v>
      </c>
      <c r="AV160" s="7" t="n">
        <v>-0.115</v>
      </c>
    </row>
    <row r="161" customFormat="false" ht="15" hidden="false" customHeight="false" outlineLevel="0" collapsed="false">
      <c r="A161" s="19" t="n">
        <v>46478</v>
      </c>
      <c r="B161" s="6" t="n">
        <v>1</v>
      </c>
      <c r="C161" s="6" t="s">
        <v>198</v>
      </c>
      <c r="D161" s="6" t="s">
        <v>200</v>
      </c>
      <c r="E161" s="6" t="s">
        <v>173</v>
      </c>
      <c r="F161" s="6" t="s">
        <v>210</v>
      </c>
      <c r="G161" s="7" t="n">
        <v>-0.14</v>
      </c>
      <c r="H161" s="7" t="n">
        <v>-0.43</v>
      </c>
      <c r="I161" s="7" t="n">
        <v>-0.037</v>
      </c>
      <c r="J161" s="7" t="n">
        <v>0.032</v>
      </c>
      <c r="K161" s="7" t="n">
        <v>-0.035</v>
      </c>
      <c r="L161" s="7" t="n">
        <v>0.326</v>
      </c>
      <c r="M161" s="7" t="n">
        <v>-0.456</v>
      </c>
      <c r="N161" s="7" t="n">
        <v>-0.251</v>
      </c>
      <c r="O161" s="7" t="n">
        <v>0.384</v>
      </c>
      <c r="P161" s="7" t="n">
        <v>0.208</v>
      </c>
      <c r="Q161" s="7" t="n">
        <v>0.045</v>
      </c>
      <c r="R161" s="7" t="n">
        <v>0.095</v>
      </c>
      <c r="S161" s="7" t="n">
        <v>0.136</v>
      </c>
      <c r="T161" s="7" t="n">
        <v>0.235</v>
      </c>
      <c r="U161" s="7" t="n">
        <v>-0.152</v>
      </c>
      <c r="V161" s="7" t="n">
        <v>-0.143</v>
      </c>
      <c r="W161" s="7" t="n">
        <v>-0.473</v>
      </c>
      <c r="X161" s="7" t="n">
        <v>-0.212</v>
      </c>
      <c r="Y161" s="7" t="n">
        <v>-0.505</v>
      </c>
      <c r="Z161" s="7" t="n">
        <v>-0.354</v>
      </c>
      <c r="AA161" s="7" t="n">
        <v>-0.391</v>
      </c>
      <c r="AB161" s="7" t="n">
        <v>-0.149</v>
      </c>
      <c r="AC161" s="7" t="n">
        <v>0.038</v>
      </c>
      <c r="AD161" s="7" t="n">
        <v>0.29</v>
      </c>
      <c r="AE161" s="7" t="n">
        <v>-0.009</v>
      </c>
      <c r="AF161" s="7" t="n">
        <v>-0.478</v>
      </c>
      <c r="AG161" s="7" t="n">
        <v>0.415</v>
      </c>
      <c r="AH161" s="7" t="n">
        <v>-0.136</v>
      </c>
      <c r="AI161" s="7" t="n">
        <v>-0.152</v>
      </c>
      <c r="AJ161" s="7" t="n">
        <v>-0.027</v>
      </c>
      <c r="AK161" s="7" t="n">
        <v>-0.138</v>
      </c>
      <c r="AL161" s="7" t="n">
        <v>-0.3</v>
      </c>
      <c r="AM161" s="7" t="n">
        <v>0.427</v>
      </c>
      <c r="AN161" s="7" t="n">
        <v>0.012</v>
      </c>
      <c r="AO161" s="7" t="n">
        <v>-0.212</v>
      </c>
      <c r="AP161" s="7" t="n">
        <v>-0.215</v>
      </c>
      <c r="AQ161" s="7" t="n">
        <v>-0.158</v>
      </c>
      <c r="AR161" s="7" t="n">
        <v>0.179</v>
      </c>
      <c r="AS161" s="7" t="n">
        <v>-0.355</v>
      </c>
      <c r="AT161" s="7" t="n">
        <v>0.055</v>
      </c>
      <c r="AU161" s="7" t="n">
        <v>0</v>
      </c>
      <c r="AV161" s="7" t="n">
        <v>-0.179</v>
      </c>
    </row>
    <row r="162" customFormat="false" ht="15" hidden="false" customHeight="false" outlineLevel="0" collapsed="false">
      <c r="A162" s="19" t="n">
        <v>46479</v>
      </c>
      <c r="B162" s="6" t="n">
        <v>1</v>
      </c>
      <c r="C162" s="6" t="s">
        <v>198</v>
      </c>
      <c r="D162" s="6" t="s">
        <v>201</v>
      </c>
      <c r="E162" s="6" t="s">
        <v>173</v>
      </c>
      <c r="F162" s="6" t="s">
        <v>210</v>
      </c>
      <c r="G162" s="7" t="n">
        <v>0.03</v>
      </c>
      <c r="H162" s="7" t="n">
        <v>-0.579</v>
      </c>
      <c r="I162" s="7" t="n">
        <v>0.258</v>
      </c>
      <c r="J162" s="7" t="n">
        <v>0.151</v>
      </c>
      <c r="K162" s="7" t="n">
        <v>-0.049</v>
      </c>
      <c r="L162" s="7" t="n">
        <v>0.522</v>
      </c>
      <c r="M162" s="7" t="n">
        <v>-0.178</v>
      </c>
      <c r="N162" s="7" t="n">
        <v>0.03</v>
      </c>
      <c r="O162" s="7" t="n">
        <v>0.111</v>
      </c>
      <c r="P162" s="7" t="n">
        <v>0.248</v>
      </c>
      <c r="Q162" s="7" t="n">
        <v>-0.237</v>
      </c>
      <c r="R162" s="7" t="n">
        <v>0.097</v>
      </c>
      <c r="S162" s="7" t="n">
        <v>-0.171</v>
      </c>
      <c r="T162" s="7" t="n">
        <v>0.343</v>
      </c>
      <c r="U162" s="7" t="n">
        <v>0.231</v>
      </c>
      <c r="V162" s="7" t="n">
        <v>-0.145</v>
      </c>
      <c r="W162" s="7" t="n">
        <v>-0.139</v>
      </c>
      <c r="X162" s="7" t="n">
        <v>-0.201</v>
      </c>
      <c r="Y162" s="7" t="n">
        <v>-0.517</v>
      </c>
      <c r="Z162" s="7" t="n">
        <v>-0.348</v>
      </c>
      <c r="AA162" s="7" t="n">
        <v>0.028</v>
      </c>
      <c r="AB162" s="7" t="n">
        <v>-0.149</v>
      </c>
      <c r="AC162" s="7" t="n">
        <v>0.351</v>
      </c>
      <c r="AD162" s="7" t="n">
        <v>0.348</v>
      </c>
      <c r="AE162" s="7" t="n">
        <v>0.031</v>
      </c>
      <c r="AF162" s="7" t="n">
        <v>-0.464</v>
      </c>
      <c r="AG162" s="7" t="n">
        <v>-0.015</v>
      </c>
      <c r="AH162" s="7" t="n">
        <v>-0.153</v>
      </c>
      <c r="AI162" s="7" t="n">
        <v>0.367</v>
      </c>
      <c r="AJ162" s="7" t="n">
        <v>-0.038</v>
      </c>
      <c r="AK162" s="7" t="n">
        <v>-0.132</v>
      </c>
      <c r="AL162" s="7" t="n">
        <v>-0.229</v>
      </c>
      <c r="AM162" s="7" t="n">
        <v>0.425</v>
      </c>
      <c r="AN162" s="7" t="n">
        <v>-0.27</v>
      </c>
      <c r="AO162" s="7" t="n">
        <v>-0.072</v>
      </c>
      <c r="AP162" s="7" t="n">
        <v>-0.497</v>
      </c>
      <c r="AQ162" s="7" t="n">
        <v>0.28</v>
      </c>
      <c r="AR162" s="7" t="n">
        <v>-0.086</v>
      </c>
      <c r="AS162" s="7" t="n">
        <v>0.054</v>
      </c>
      <c r="AT162" s="7" t="n">
        <v>0.04</v>
      </c>
      <c r="AU162" s="7" t="n">
        <v>0</v>
      </c>
      <c r="AV162" s="7" t="n">
        <v>-0.18</v>
      </c>
    </row>
    <row r="163" customFormat="false" ht="15" hidden="false" customHeight="false" outlineLevel="0" collapsed="false">
      <c r="A163" s="19" t="n">
        <v>46480</v>
      </c>
      <c r="B163" s="6" t="n">
        <v>0</v>
      </c>
      <c r="C163" s="6" t="s">
        <v>202</v>
      </c>
      <c r="D163" s="6" t="s">
        <v>201</v>
      </c>
      <c r="E163" s="6" t="s">
        <v>173</v>
      </c>
      <c r="F163" s="6" t="s">
        <v>210</v>
      </c>
      <c r="G163" s="7" t="n">
        <v>-0.393</v>
      </c>
      <c r="H163" s="7" t="n">
        <v>-0.616</v>
      </c>
      <c r="I163" s="7" t="n">
        <v>-0.29</v>
      </c>
      <c r="J163" s="7" t="n">
        <v>0.04</v>
      </c>
      <c r="K163" s="7" t="n">
        <v>-0.075</v>
      </c>
      <c r="L163" s="7" t="n">
        <v>0.059</v>
      </c>
      <c r="M163" s="7" t="n">
        <v>-0.509</v>
      </c>
      <c r="N163" s="7" t="n">
        <v>-0.547</v>
      </c>
      <c r="O163" s="7" t="n">
        <v>0.085</v>
      </c>
      <c r="P163" s="7" t="n">
        <v>0.262</v>
      </c>
      <c r="Q163" s="7" t="n">
        <v>-0.232</v>
      </c>
      <c r="R163" s="7" t="n">
        <v>0.196</v>
      </c>
      <c r="S163" s="7" t="n">
        <v>-0.38</v>
      </c>
      <c r="T163" s="7" t="n">
        <v>-0.217</v>
      </c>
      <c r="U163" s="7" t="n">
        <v>-0.282</v>
      </c>
      <c r="V163" s="7" t="n">
        <v>-0.114</v>
      </c>
      <c r="W163" s="7" t="n">
        <v>-0.479</v>
      </c>
      <c r="X163" s="7" t="n">
        <v>-0.355</v>
      </c>
      <c r="Y163" s="7" t="n">
        <v>-0.5</v>
      </c>
      <c r="Z163" s="7" t="n">
        <v>-0.34</v>
      </c>
      <c r="AA163" s="7" t="n">
        <v>-0.478</v>
      </c>
      <c r="AB163" s="7" t="n">
        <v>-0.089</v>
      </c>
      <c r="AC163" s="7" t="n">
        <v>-0.198</v>
      </c>
      <c r="AD163" s="7" t="n">
        <v>-0.028</v>
      </c>
      <c r="AE163" s="7" t="n">
        <v>0.052</v>
      </c>
      <c r="AF163" s="7" t="n">
        <v>-0.424</v>
      </c>
      <c r="AG163" s="7" t="n">
        <v>0.092</v>
      </c>
      <c r="AH163" s="7" t="n">
        <v>-0.137</v>
      </c>
      <c r="AI163" s="7" t="n">
        <v>-0.372</v>
      </c>
      <c r="AJ163" s="7" t="n">
        <v>-0.062</v>
      </c>
      <c r="AK163" s="7" t="n">
        <v>0.031</v>
      </c>
      <c r="AL163" s="7" t="n">
        <v>-0.196</v>
      </c>
      <c r="AM163" s="7" t="n">
        <v>0.392</v>
      </c>
      <c r="AN163" s="7" t="n">
        <v>-0.241</v>
      </c>
      <c r="AO163" s="7" t="n">
        <v>-0.586</v>
      </c>
      <c r="AP163" s="7" t="n">
        <v>-0.486</v>
      </c>
      <c r="AQ163" s="7" t="n">
        <v>-0.254</v>
      </c>
      <c r="AR163" s="7" t="n">
        <v>-0.087</v>
      </c>
      <c r="AS163" s="7" t="n">
        <v>-0.451</v>
      </c>
      <c r="AT163" s="7" t="n">
        <v>-0.026</v>
      </c>
      <c r="AU163" s="7" t="n">
        <v>-0.027</v>
      </c>
      <c r="AV163" s="7" t="n">
        <v>-0.15</v>
      </c>
    </row>
    <row r="164" customFormat="false" ht="15" hidden="false" customHeight="false" outlineLevel="0" collapsed="false">
      <c r="A164" s="19" t="n">
        <v>46481</v>
      </c>
      <c r="B164" s="6" t="n">
        <v>0</v>
      </c>
      <c r="C164" s="6" t="s">
        <v>202</v>
      </c>
      <c r="D164" s="6" t="s">
        <v>203</v>
      </c>
      <c r="E164" s="6" t="s">
        <v>173</v>
      </c>
      <c r="F164" s="6" t="s">
        <v>210</v>
      </c>
      <c r="G164" s="7" t="n">
        <v>-0.376</v>
      </c>
      <c r="H164" s="7" t="n">
        <v>-0.627</v>
      </c>
      <c r="I164" s="7" t="n">
        <v>-0.061</v>
      </c>
      <c r="J164" s="7" t="n">
        <v>-0.012</v>
      </c>
      <c r="K164" s="7" t="n">
        <v>-0.065</v>
      </c>
      <c r="L164" s="7" t="n">
        <v>0.201</v>
      </c>
      <c r="M164" s="7" t="n">
        <v>-0.555</v>
      </c>
      <c r="N164" s="7" t="n">
        <v>-0.499</v>
      </c>
      <c r="O164" s="7" t="n">
        <v>0.087</v>
      </c>
      <c r="P164" s="7" t="n">
        <v>0.28</v>
      </c>
      <c r="Q164" s="7" t="n">
        <v>-0.221</v>
      </c>
      <c r="R164" s="7" t="n">
        <v>0.216</v>
      </c>
      <c r="S164" s="7" t="n">
        <v>-0.399</v>
      </c>
      <c r="T164" s="7" t="n">
        <v>-0.106</v>
      </c>
      <c r="U164" s="7" t="n">
        <v>-0.134</v>
      </c>
      <c r="V164" s="7" t="n">
        <v>-0.119</v>
      </c>
      <c r="W164" s="7" t="n">
        <v>-0.55</v>
      </c>
      <c r="X164" s="7" t="n">
        <v>-0.369</v>
      </c>
      <c r="Y164" s="7" t="n">
        <v>-0.513</v>
      </c>
      <c r="Z164" s="7" t="n">
        <v>-0.485</v>
      </c>
      <c r="AA164" s="7" t="n">
        <v>-0.559</v>
      </c>
      <c r="AB164" s="7" t="n">
        <v>-0.089</v>
      </c>
      <c r="AC164" s="7" t="n">
        <v>0</v>
      </c>
      <c r="AD164" s="7" t="n">
        <v>-0.442</v>
      </c>
      <c r="AE164" s="7" t="n">
        <v>0.066</v>
      </c>
      <c r="AF164" s="7" t="n">
        <v>-0.549</v>
      </c>
      <c r="AG164" s="7" t="n">
        <v>0.094</v>
      </c>
      <c r="AH164" s="7" t="n">
        <v>-0.142</v>
      </c>
      <c r="AI164" s="7" t="n">
        <v>-0.431</v>
      </c>
      <c r="AJ164" s="7" t="n">
        <v>-0.049</v>
      </c>
      <c r="AK164" s="7" t="n">
        <v>0.026</v>
      </c>
      <c r="AL164" s="7" t="n">
        <v>-0.244</v>
      </c>
      <c r="AM164" s="7" t="n">
        <v>0.396</v>
      </c>
      <c r="AN164" s="7" t="n">
        <v>-0.246</v>
      </c>
      <c r="AO164" s="7" t="n">
        <v>-0.539</v>
      </c>
      <c r="AP164" s="7" t="n">
        <v>-0.522</v>
      </c>
      <c r="AQ164" s="7" t="n">
        <v>-0.148</v>
      </c>
      <c r="AR164" s="7" t="n">
        <v>-0.087</v>
      </c>
      <c r="AS164" s="7" t="n">
        <v>-0.572</v>
      </c>
      <c r="AT164" s="7" t="n">
        <v>-0.006</v>
      </c>
      <c r="AU164" s="7" t="n">
        <v>-0.009</v>
      </c>
      <c r="AV164" s="7" t="n">
        <v>-0.155</v>
      </c>
    </row>
    <row r="165" customFormat="false" ht="15" hidden="false" customHeight="false" outlineLevel="0" collapsed="false">
      <c r="A165" s="19" t="n">
        <v>46482</v>
      </c>
      <c r="B165" s="6" t="n">
        <v>1</v>
      </c>
      <c r="C165" s="6" t="s">
        <v>205</v>
      </c>
      <c r="D165" s="6" t="s">
        <v>204</v>
      </c>
      <c r="E165" s="6" t="s">
        <v>173</v>
      </c>
      <c r="F165" s="6" t="s">
        <v>210</v>
      </c>
      <c r="G165" s="7" t="n">
        <v>0.293</v>
      </c>
      <c r="H165" s="7" t="n">
        <v>0.149</v>
      </c>
      <c r="I165" s="7" t="n">
        <v>-0.06</v>
      </c>
      <c r="J165" s="7" t="n">
        <v>0.311</v>
      </c>
      <c r="K165" s="7" t="n">
        <v>0.476</v>
      </c>
      <c r="L165" s="7" t="n">
        <v>0.233</v>
      </c>
      <c r="M165" s="7" t="n">
        <v>-0.114</v>
      </c>
      <c r="N165" s="7" t="n">
        <v>-0.019</v>
      </c>
      <c r="O165" s="7" t="n">
        <v>0.515</v>
      </c>
      <c r="P165" s="7" t="n">
        <v>0.29</v>
      </c>
      <c r="Q165" s="7" t="n">
        <v>-0.161</v>
      </c>
      <c r="R165" s="7" t="n">
        <v>0.608</v>
      </c>
      <c r="S165" s="7" t="n">
        <v>0.342</v>
      </c>
      <c r="T165" s="7" t="n">
        <v>0.437</v>
      </c>
      <c r="U165" s="7" t="n">
        <v>-0.107</v>
      </c>
      <c r="V165" s="7" t="n">
        <v>-0.086</v>
      </c>
      <c r="W165" s="7" t="n">
        <v>-0.001</v>
      </c>
      <c r="X165" s="7" t="n">
        <v>-0.188</v>
      </c>
      <c r="Y165" s="7" t="n">
        <v>-0.112</v>
      </c>
      <c r="Z165" s="7" t="n">
        <v>-0.288</v>
      </c>
      <c r="AA165" s="7" t="n">
        <v>-0.126</v>
      </c>
      <c r="AB165" s="7" t="n">
        <v>-0.089</v>
      </c>
      <c r="AC165" s="7" t="n">
        <v>0.095</v>
      </c>
      <c r="AD165" s="7" t="n">
        <v>0.301</v>
      </c>
      <c r="AE165" s="7" t="n">
        <v>0.073</v>
      </c>
      <c r="AF165" s="7" t="n">
        <v>0.001</v>
      </c>
      <c r="AG165" s="7" t="n">
        <v>0.476</v>
      </c>
      <c r="AH165" s="7" t="n">
        <v>-0.008</v>
      </c>
      <c r="AI165" s="7" t="n">
        <v>-0.062</v>
      </c>
      <c r="AJ165" s="7" t="n">
        <v>0.486</v>
      </c>
      <c r="AK165" s="7" t="n">
        <v>0.062</v>
      </c>
      <c r="AL165" s="7" t="n">
        <v>0.047</v>
      </c>
      <c r="AM165" s="7" t="n">
        <v>0.773</v>
      </c>
      <c r="AN165" s="7" t="n">
        <v>-0.194</v>
      </c>
      <c r="AO165" s="7" t="n">
        <v>-0.16</v>
      </c>
      <c r="AP165" s="7" t="n">
        <v>-0.143</v>
      </c>
      <c r="AQ165" s="7" t="n">
        <v>0.311</v>
      </c>
      <c r="AR165" s="7" t="n">
        <v>-0.066</v>
      </c>
      <c r="AS165" s="7" t="n">
        <v>-0.149</v>
      </c>
      <c r="AT165" s="7" t="n">
        <v>0.379</v>
      </c>
      <c r="AU165" s="7" t="n">
        <v>0</v>
      </c>
      <c r="AV165" s="7" t="n">
        <v>-0.122</v>
      </c>
    </row>
    <row r="166" customFormat="false" ht="15" hidden="false" customHeight="false" outlineLevel="0" collapsed="false">
      <c r="A166" s="19" t="n">
        <v>46483</v>
      </c>
      <c r="B166" s="6" t="n">
        <v>1</v>
      </c>
      <c r="C166" s="6" t="s">
        <v>205</v>
      </c>
      <c r="D166" s="6" t="s">
        <v>206</v>
      </c>
      <c r="E166" s="6" t="s">
        <v>173</v>
      </c>
      <c r="F166" s="6" t="s">
        <v>210</v>
      </c>
      <c r="G166" s="7" t="n">
        <v>-0.147</v>
      </c>
      <c r="H166" s="7" t="n">
        <v>-0.646</v>
      </c>
      <c r="I166" s="7" t="n">
        <v>-0.057</v>
      </c>
      <c r="J166" s="7" t="n">
        <v>0.32</v>
      </c>
      <c r="K166" s="7" t="n">
        <v>0.11</v>
      </c>
      <c r="L166" s="7" t="n">
        <v>0.022</v>
      </c>
      <c r="M166" s="7" t="n">
        <v>-0.547</v>
      </c>
      <c r="N166" s="7" t="n">
        <v>-0.576</v>
      </c>
      <c r="O166" s="7" t="n">
        <v>0.36</v>
      </c>
      <c r="P166" s="7" t="n">
        <v>0.327</v>
      </c>
      <c r="Q166" s="7" t="n">
        <v>-0.172</v>
      </c>
      <c r="R166" s="7" t="n">
        <v>0.541</v>
      </c>
      <c r="S166" s="7" t="n">
        <v>-0.074</v>
      </c>
      <c r="T166" s="7" t="n">
        <v>-0.033</v>
      </c>
      <c r="U166" s="7" t="n">
        <v>-0.035</v>
      </c>
      <c r="V166" s="7" t="n">
        <v>-0.096</v>
      </c>
      <c r="W166" s="7" t="n">
        <v>-0.533</v>
      </c>
      <c r="X166" s="7" t="n">
        <v>-0.173</v>
      </c>
      <c r="Y166" s="7" t="n">
        <v>-0.558</v>
      </c>
      <c r="Z166" s="7" t="n">
        <v>-0.288</v>
      </c>
      <c r="AA166" s="7" t="n">
        <v>-0.526</v>
      </c>
      <c r="AB166" s="7" t="n">
        <v>-0.089</v>
      </c>
      <c r="AC166" s="7" t="n">
        <v>0.074</v>
      </c>
      <c r="AD166" s="7" t="n">
        <v>0.128</v>
      </c>
      <c r="AE166" s="7" t="n">
        <v>0.112</v>
      </c>
      <c r="AF166" s="7" t="n">
        <v>-0.533</v>
      </c>
      <c r="AG166" s="7" t="n">
        <v>0.378</v>
      </c>
      <c r="AH166" s="7" t="n">
        <v>-0.124</v>
      </c>
      <c r="AI166" s="7" t="n">
        <v>-0.058</v>
      </c>
      <c r="AJ166" s="7" t="n">
        <v>0.082</v>
      </c>
      <c r="AK166" s="7" t="n">
        <v>0.062</v>
      </c>
      <c r="AL166" s="7" t="n">
        <v>0.037</v>
      </c>
      <c r="AM166" s="7" t="n">
        <v>0.452</v>
      </c>
      <c r="AN166" s="7" t="n">
        <v>-0.2</v>
      </c>
      <c r="AO166" s="7" t="n">
        <v>-0.664</v>
      </c>
      <c r="AP166" s="7" t="n">
        <v>-0.652</v>
      </c>
      <c r="AQ166" s="7" t="n">
        <v>-0.088</v>
      </c>
      <c r="AR166" s="7" t="n">
        <v>-0.061</v>
      </c>
      <c r="AS166" s="7" t="n">
        <v>-0.529</v>
      </c>
      <c r="AT166" s="7" t="n">
        <v>0.012</v>
      </c>
      <c r="AU166" s="7" t="n">
        <v>-0.006</v>
      </c>
      <c r="AV166" s="7" t="n">
        <v>-0.132</v>
      </c>
    </row>
    <row r="167" customFormat="false" ht="15" hidden="false" customHeight="false" outlineLevel="0" collapsed="false">
      <c r="A167" s="19" t="n">
        <v>46484</v>
      </c>
      <c r="B167" s="6" t="n">
        <v>1</v>
      </c>
      <c r="C167" s="6" t="s">
        <v>205</v>
      </c>
      <c r="D167" s="6" t="s">
        <v>207</v>
      </c>
      <c r="E167" s="6" t="s">
        <v>173</v>
      </c>
      <c r="F167" s="6" t="s">
        <v>210</v>
      </c>
      <c r="G167" s="7" t="n">
        <v>0.061</v>
      </c>
      <c r="H167" s="7" t="n">
        <v>-0.447</v>
      </c>
      <c r="I167" s="7" t="n">
        <v>-0.028</v>
      </c>
      <c r="J167" s="7" t="n">
        <v>0.532</v>
      </c>
      <c r="K167" s="7" t="n">
        <v>0.173</v>
      </c>
      <c r="L167" s="7" t="n">
        <v>0.052</v>
      </c>
      <c r="M167" s="7" t="n">
        <v>-0.058</v>
      </c>
      <c r="N167" s="7" t="n">
        <v>-0.038</v>
      </c>
      <c r="O167" s="7" t="n">
        <v>0.418</v>
      </c>
      <c r="P167" s="7" t="n">
        <v>0.576</v>
      </c>
      <c r="Q167" s="7" t="n">
        <v>-0.152</v>
      </c>
      <c r="R167" s="7" t="n">
        <v>0.527</v>
      </c>
      <c r="S167" s="7" t="n">
        <v>-0.031</v>
      </c>
      <c r="T167" s="7" t="n">
        <v>-0.013</v>
      </c>
      <c r="U167" s="7" t="n">
        <v>-0.038</v>
      </c>
      <c r="V167" s="7" t="n">
        <v>-0.117</v>
      </c>
      <c r="W167" s="7" t="n">
        <v>0.052</v>
      </c>
      <c r="X167" s="7" t="n">
        <v>-0.244</v>
      </c>
      <c r="Y167" s="7" t="n">
        <v>-0.088</v>
      </c>
      <c r="Z167" s="7" t="n">
        <v>-0.316</v>
      </c>
      <c r="AA167" s="7" t="n">
        <v>-0.071</v>
      </c>
      <c r="AB167" s="7" t="n">
        <v>-0.09</v>
      </c>
      <c r="AC167" s="7" t="n">
        <v>0.073</v>
      </c>
      <c r="AD167" s="7" t="n">
        <v>0.126</v>
      </c>
      <c r="AE167" s="7" t="n">
        <v>0.367</v>
      </c>
      <c r="AF167" s="7" t="n">
        <v>0.024</v>
      </c>
      <c r="AG167" s="7" t="n">
        <v>0.372</v>
      </c>
      <c r="AH167" s="7" t="n">
        <v>-0.167</v>
      </c>
      <c r="AI167" s="7" t="n">
        <v>0.053</v>
      </c>
      <c r="AJ167" s="7" t="n">
        <v>0.128</v>
      </c>
      <c r="AK167" s="7" t="n">
        <v>0.036</v>
      </c>
      <c r="AL167" s="7" t="n">
        <v>0.035</v>
      </c>
      <c r="AM167" s="7" t="n">
        <v>0.437</v>
      </c>
      <c r="AN167" s="7" t="n">
        <v>-0.221</v>
      </c>
      <c r="AO167" s="7" t="n">
        <v>-0.218</v>
      </c>
      <c r="AP167" s="7" t="n">
        <v>-0.235</v>
      </c>
      <c r="AQ167" s="7" t="n">
        <v>-0.082</v>
      </c>
      <c r="AR167" s="7" t="n">
        <v>-0.061</v>
      </c>
      <c r="AS167" s="7" t="n">
        <v>-0.093</v>
      </c>
      <c r="AT167" s="7" t="n">
        <v>0.038</v>
      </c>
      <c r="AU167" s="7" t="n">
        <v>0.039</v>
      </c>
      <c r="AV167" s="7" t="n">
        <v>-0.154</v>
      </c>
    </row>
    <row r="168" customFormat="false" ht="15" hidden="false" customHeight="false" outlineLevel="0" collapsed="false">
      <c r="A168" s="19" t="n">
        <v>46485</v>
      </c>
      <c r="B168" s="6" t="n">
        <v>1</v>
      </c>
      <c r="C168" s="6" t="s">
        <v>169</v>
      </c>
      <c r="D168" s="6" t="s">
        <v>208</v>
      </c>
      <c r="E168" s="6" t="s">
        <v>173</v>
      </c>
      <c r="F168" s="6" t="s">
        <v>210</v>
      </c>
      <c r="G168" s="7" t="n">
        <v>-0.306</v>
      </c>
      <c r="H168" s="7" t="n">
        <v>-0.35</v>
      </c>
      <c r="I168" s="7" t="n">
        <v>-0.386</v>
      </c>
      <c r="J168" s="7" t="n">
        <v>0.35</v>
      </c>
      <c r="K168" s="7" t="n">
        <v>0.054</v>
      </c>
      <c r="L168" s="7" t="n">
        <v>0.033</v>
      </c>
      <c r="M168" s="7" t="n">
        <v>-0.29</v>
      </c>
      <c r="N168" s="7" t="n">
        <v>-0.534</v>
      </c>
      <c r="O168" s="7" t="n">
        <v>0.027</v>
      </c>
      <c r="P168" s="7" t="n">
        <v>0.361</v>
      </c>
      <c r="Q168" s="7" t="n">
        <v>-0.192</v>
      </c>
      <c r="R168" s="7" t="n">
        <v>0.204</v>
      </c>
      <c r="S168" s="7" t="n">
        <v>-0.23</v>
      </c>
      <c r="T168" s="7" t="n">
        <v>-0.192</v>
      </c>
      <c r="U168" s="7" t="n">
        <v>-0.121</v>
      </c>
      <c r="V168" s="7" t="n">
        <v>-0.118</v>
      </c>
      <c r="W168" s="7" t="n">
        <v>-0.465</v>
      </c>
      <c r="X168" s="7" t="n">
        <v>-0.333</v>
      </c>
      <c r="Y168" s="7" t="n">
        <v>-0.52</v>
      </c>
      <c r="Z168" s="7" t="n">
        <v>-0.308</v>
      </c>
      <c r="AA168" s="7" t="n">
        <v>-0.459</v>
      </c>
      <c r="AB168" s="7" t="n">
        <v>-0.091</v>
      </c>
      <c r="AC168" s="7" t="n">
        <v>-0.352</v>
      </c>
      <c r="AD168" s="7" t="n">
        <v>-0.268</v>
      </c>
      <c r="AE168" s="7" t="n">
        <v>0.141</v>
      </c>
      <c r="AF168" s="7" t="n">
        <v>-0.465</v>
      </c>
      <c r="AG168" s="7" t="n">
        <v>0</v>
      </c>
      <c r="AH168" s="7" t="n">
        <v>-0.19</v>
      </c>
      <c r="AI168" s="7" t="n">
        <v>-0.305</v>
      </c>
      <c r="AJ168" s="7" t="n">
        <v>-0.068</v>
      </c>
      <c r="AK168" s="7" t="n">
        <v>0.042</v>
      </c>
      <c r="AL168" s="7" t="n">
        <v>0.034</v>
      </c>
      <c r="AM168" s="7" t="n">
        <v>0.355</v>
      </c>
      <c r="AN168" s="7" t="n">
        <v>-0.249</v>
      </c>
      <c r="AO168" s="7" t="n">
        <v>-0.623</v>
      </c>
      <c r="AP168" s="7" t="n">
        <v>-0.612</v>
      </c>
      <c r="AQ168" s="7" t="n">
        <v>-0.151</v>
      </c>
      <c r="AR168" s="7" t="n">
        <v>-0.09</v>
      </c>
      <c r="AS168" s="7" t="n">
        <v>-0.449</v>
      </c>
      <c r="AT168" s="7" t="n">
        <v>-0.017</v>
      </c>
      <c r="AU168" s="7" t="n">
        <v>0.027</v>
      </c>
      <c r="AV168" s="7" t="n">
        <v>-0.155</v>
      </c>
    </row>
    <row r="169" customFormat="false" ht="15" hidden="false" customHeight="false" outlineLevel="0" collapsed="false">
      <c r="A169" s="19" t="n">
        <v>46486</v>
      </c>
      <c r="B169" s="6" t="n">
        <v>1</v>
      </c>
      <c r="C169" s="6" t="s">
        <v>169</v>
      </c>
      <c r="D169" s="6" t="s">
        <v>170</v>
      </c>
      <c r="E169" s="6" t="s">
        <v>173</v>
      </c>
      <c r="F169" s="6" t="s">
        <v>210</v>
      </c>
      <c r="G169" s="7" t="n">
        <v>-0.023</v>
      </c>
      <c r="H169" s="7" t="n">
        <v>-0.374</v>
      </c>
      <c r="I169" s="7" t="n">
        <v>-0.167</v>
      </c>
      <c r="J169" s="7" t="n">
        <v>0.31</v>
      </c>
      <c r="K169" s="7" t="n">
        <v>0.16</v>
      </c>
      <c r="L169" s="7" t="n">
        <v>0.067</v>
      </c>
      <c r="M169" s="7" t="n">
        <v>-0.265</v>
      </c>
      <c r="N169" s="7" t="n">
        <v>-0.164</v>
      </c>
      <c r="O169" s="7" t="n">
        <v>-0.01</v>
      </c>
      <c r="P169" s="7" t="n">
        <v>0.319</v>
      </c>
      <c r="Q169" s="7" t="n">
        <v>-0.378</v>
      </c>
      <c r="R169" s="7" t="n">
        <v>0.17</v>
      </c>
      <c r="S169" s="7" t="n">
        <v>-0.127</v>
      </c>
      <c r="T169" s="7" t="n">
        <v>-0.22</v>
      </c>
      <c r="U169" s="7" t="n">
        <v>-0.096</v>
      </c>
      <c r="V169" s="7" t="n">
        <v>-0.294</v>
      </c>
      <c r="W169" s="7" t="n">
        <v>-0.194</v>
      </c>
      <c r="X169" s="7" t="n">
        <v>-0.137</v>
      </c>
      <c r="Y169" s="7" t="n">
        <v>-0.113</v>
      </c>
      <c r="Z169" s="7" t="n">
        <v>-0.326</v>
      </c>
      <c r="AA169" s="7" t="n">
        <v>-0.153</v>
      </c>
      <c r="AB169" s="7" t="n">
        <v>-0.277</v>
      </c>
      <c r="AC169" s="7" t="n">
        <v>-0.012</v>
      </c>
      <c r="AD169" s="7" t="n">
        <v>0.094</v>
      </c>
      <c r="AE169" s="7" t="n">
        <v>0.099</v>
      </c>
      <c r="AF169" s="7" t="n">
        <v>-0.22</v>
      </c>
      <c r="AG169" s="7" t="n">
        <v>-0.03</v>
      </c>
      <c r="AH169" s="7" t="n">
        <v>-0.369</v>
      </c>
      <c r="AI169" s="7" t="n">
        <v>-0.019</v>
      </c>
      <c r="AJ169" s="7" t="n">
        <v>0.036</v>
      </c>
      <c r="AK169" s="7" t="n">
        <v>0.123</v>
      </c>
      <c r="AL169" s="7" t="n">
        <v>0.058</v>
      </c>
      <c r="AM169" s="7" t="n">
        <v>0.364</v>
      </c>
      <c r="AN169" s="7" t="n">
        <v>-0.253</v>
      </c>
      <c r="AO169" s="7" t="n">
        <v>-0.297</v>
      </c>
      <c r="AP169" s="7" t="n">
        <v>-0.312</v>
      </c>
      <c r="AQ169" s="7" t="n">
        <v>-0.116</v>
      </c>
      <c r="AR169" s="7" t="n">
        <v>-0.092</v>
      </c>
      <c r="AS169" s="7" t="n">
        <v>-0.119</v>
      </c>
      <c r="AT169" s="7" t="n">
        <v>-0.021</v>
      </c>
      <c r="AU169" s="7" t="n">
        <v>0.028</v>
      </c>
      <c r="AV169" s="7" t="n">
        <v>-0.157</v>
      </c>
    </row>
    <row r="170" customFormat="false" ht="15" hidden="false" customHeight="false" outlineLevel="0" collapsed="false">
      <c r="A170" s="19" t="n">
        <v>46487</v>
      </c>
      <c r="B170" s="6" t="n">
        <v>0</v>
      </c>
      <c r="C170" s="6" t="s">
        <v>173</v>
      </c>
      <c r="D170" s="6" t="s">
        <v>174</v>
      </c>
      <c r="E170" s="6" t="s">
        <v>173</v>
      </c>
      <c r="F170" s="6" t="s">
        <v>210</v>
      </c>
      <c r="G170" s="7" t="n">
        <v>-0.076</v>
      </c>
      <c r="H170" s="7" t="n">
        <v>-0.319</v>
      </c>
      <c r="I170" s="7" t="n">
        <v>-0.021</v>
      </c>
      <c r="J170" s="7" t="n">
        <v>0.13</v>
      </c>
      <c r="K170" s="7" t="n">
        <v>0.175</v>
      </c>
      <c r="L170" s="7" t="n">
        <v>0.07</v>
      </c>
      <c r="M170" s="7" t="n">
        <v>-0.223</v>
      </c>
      <c r="N170" s="7" t="n">
        <v>-0.433</v>
      </c>
      <c r="O170" s="7" t="n">
        <v>-0.11</v>
      </c>
      <c r="P170" s="7" t="n">
        <v>0.276</v>
      </c>
      <c r="Q170" s="7" t="n">
        <v>-0.376</v>
      </c>
      <c r="R170" s="7" t="n">
        <v>0.121</v>
      </c>
      <c r="S170" s="7" t="n">
        <v>-0.097</v>
      </c>
      <c r="T170" s="7" t="n">
        <v>-0.202</v>
      </c>
      <c r="U170" s="7" t="n">
        <v>-0.028</v>
      </c>
      <c r="V170" s="7" t="n">
        <v>-0.266</v>
      </c>
      <c r="W170" s="7" t="n">
        <v>-0.283</v>
      </c>
      <c r="X170" s="7" t="n">
        <v>-0.109</v>
      </c>
      <c r="Y170" s="7" t="n">
        <v>-0.086</v>
      </c>
      <c r="Z170" s="7" t="n">
        <v>-0.289</v>
      </c>
      <c r="AA170" s="7" t="n">
        <v>-0.219</v>
      </c>
      <c r="AB170" s="7" t="n">
        <v>-0.246</v>
      </c>
      <c r="AC170" s="7" t="n">
        <v>-0.019</v>
      </c>
      <c r="AD170" s="7" t="n">
        <v>-0.274</v>
      </c>
      <c r="AE170" s="7" t="n">
        <v>0.056</v>
      </c>
      <c r="AF170" s="7" t="n">
        <v>-0.332</v>
      </c>
      <c r="AG170" s="7" t="n">
        <v>-0.121</v>
      </c>
      <c r="AH170" s="7" t="n">
        <v>-0.36</v>
      </c>
      <c r="AI170" s="7" t="n">
        <v>-0.128</v>
      </c>
      <c r="AJ170" s="7" t="n">
        <v>0.054</v>
      </c>
      <c r="AK170" s="7" t="n">
        <v>0.172</v>
      </c>
      <c r="AL170" s="7" t="n">
        <v>-0.152</v>
      </c>
      <c r="AM170" s="7" t="n">
        <v>0.336</v>
      </c>
      <c r="AN170" s="7" t="n">
        <v>-0.243</v>
      </c>
      <c r="AO170" s="7" t="n">
        <v>-0.327</v>
      </c>
      <c r="AP170" s="7" t="n">
        <v>-0.363</v>
      </c>
      <c r="AQ170" s="7" t="n">
        <v>-0.047</v>
      </c>
      <c r="AR170" s="7" t="n">
        <v>-0.139</v>
      </c>
      <c r="AS170" s="7" t="n">
        <v>-0.081</v>
      </c>
      <c r="AT170" s="7" t="n">
        <v>-0.049</v>
      </c>
      <c r="AU170" s="7" t="n">
        <v>0.028</v>
      </c>
      <c r="AV170" s="7" t="n">
        <v>-0.104</v>
      </c>
    </row>
    <row r="171" customFormat="false" ht="15" hidden="false" customHeight="false" outlineLevel="0" collapsed="false">
      <c r="A171" s="19" t="n">
        <v>46488</v>
      </c>
      <c r="B171" s="6" t="n">
        <v>0</v>
      </c>
      <c r="C171" s="6" t="s">
        <v>173</v>
      </c>
      <c r="D171" s="6" t="s">
        <v>209</v>
      </c>
      <c r="E171" s="6" t="s">
        <v>173</v>
      </c>
      <c r="F171" s="6" t="s">
        <v>210</v>
      </c>
      <c r="G171" s="7" t="n">
        <v>-0.194</v>
      </c>
      <c r="H171" s="7" t="n">
        <v>-0.643</v>
      </c>
      <c r="I171" s="7" t="n">
        <v>-0.017</v>
      </c>
      <c r="J171" s="7" t="n">
        <v>0.13</v>
      </c>
      <c r="K171" s="7" t="n">
        <v>0.145</v>
      </c>
      <c r="L171" s="7" t="n">
        <v>0.074</v>
      </c>
      <c r="M171" s="7" t="n">
        <v>-0.269</v>
      </c>
      <c r="N171" s="7" t="n">
        <v>-0.668</v>
      </c>
      <c r="O171" s="7" t="n">
        <v>-0.258</v>
      </c>
      <c r="P171" s="7" t="n">
        <v>0.255</v>
      </c>
      <c r="Q171" s="7" t="n">
        <v>-0.53</v>
      </c>
      <c r="R171" s="7" t="n">
        <v>0.098</v>
      </c>
      <c r="S171" s="7" t="n">
        <v>-0.551</v>
      </c>
      <c r="T171" s="7" t="n">
        <v>-0.513</v>
      </c>
      <c r="U171" s="7" t="n">
        <v>-0.035</v>
      </c>
      <c r="V171" s="7" t="n">
        <v>-0.275</v>
      </c>
      <c r="W171" s="7" t="n">
        <v>-0.295</v>
      </c>
      <c r="X171" s="7" t="n">
        <v>-0.127</v>
      </c>
      <c r="Y171" s="7" t="n">
        <v>-0.085</v>
      </c>
      <c r="Z171" s="7" t="n">
        <v>-0.328</v>
      </c>
      <c r="AA171" s="7" t="n">
        <v>-0.241</v>
      </c>
      <c r="AB171" s="7" t="n">
        <v>-0.256</v>
      </c>
      <c r="AC171" s="7" t="n">
        <v>-0.015</v>
      </c>
      <c r="AD171" s="7" t="n">
        <v>-0.269</v>
      </c>
      <c r="AE171" s="7" t="n">
        <v>0.039</v>
      </c>
      <c r="AF171" s="7" t="n">
        <v>-0.347</v>
      </c>
      <c r="AG171" s="7" t="n">
        <v>-0.553</v>
      </c>
      <c r="AH171" s="7" t="n">
        <v>-0.369</v>
      </c>
      <c r="AI171" s="7" t="n">
        <v>-0.16</v>
      </c>
      <c r="AJ171" s="7" t="n">
        <v>0.02</v>
      </c>
      <c r="AK171" s="7" t="n">
        <v>0.163</v>
      </c>
      <c r="AL171" s="7" t="n">
        <v>-0.123</v>
      </c>
      <c r="AM171" s="7" t="n">
        <v>0.345</v>
      </c>
      <c r="AN171" s="7" t="n">
        <v>-0.532</v>
      </c>
      <c r="AO171" s="7" t="n">
        <v>-0.676</v>
      </c>
      <c r="AP171" s="7" t="n">
        <v>-0.713</v>
      </c>
      <c r="AQ171" s="7" t="n">
        <v>-0.045</v>
      </c>
      <c r="AR171" s="7" t="n">
        <v>-0.513</v>
      </c>
      <c r="AS171" s="7" t="n">
        <v>-0.076</v>
      </c>
      <c r="AT171" s="7" t="n">
        <v>-0.063</v>
      </c>
      <c r="AU171" s="7" t="n">
        <v>0.007</v>
      </c>
      <c r="AV171" s="7" t="n">
        <v>-0.114</v>
      </c>
    </row>
    <row r="172" customFormat="false" ht="15" hidden="false" customHeight="false" outlineLevel="0" collapsed="false">
      <c r="A172" s="19" t="n">
        <v>46489</v>
      </c>
      <c r="B172" s="6" t="n">
        <v>1</v>
      </c>
      <c r="C172" s="6" t="s">
        <v>176</v>
      </c>
      <c r="D172" s="6" t="s">
        <v>175</v>
      </c>
      <c r="E172" s="6" t="s">
        <v>173</v>
      </c>
      <c r="F172" s="6" t="s">
        <v>210</v>
      </c>
      <c r="G172" s="7" t="n">
        <v>0.034</v>
      </c>
      <c r="H172" s="7" t="n">
        <v>-0.342</v>
      </c>
      <c r="I172" s="7" t="n">
        <v>-0.087</v>
      </c>
      <c r="J172" s="7" t="n">
        <v>0.544</v>
      </c>
      <c r="K172" s="7" t="n">
        <v>0.114</v>
      </c>
      <c r="L172" s="7" t="n">
        <v>0.15</v>
      </c>
      <c r="M172" s="7" t="n">
        <v>-0.171</v>
      </c>
      <c r="N172" s="7" t="n">
        <v>-0.105</v>
      </c>
      <c r="O172" s="7" t="n">
        <v>-0.108</v>
      </c>
      <c r="P172" s="7" t="n">
        <v>0.628</v>
      </c>
      <c r="Q172" s="7" t="n">
        <v>-0.164</v>
      </c>
      <c r="R172" s="7" t="n">
        <v>0.138</v>
      </c>
      <c r="S172" s="7" t="n">
        <v>-0.165</v>
      </c>
      <c r="T172" s="7" t="n">
        <v>-0.2</v>
      </c>
      <c r="U172" s="7" t="n">
        <v>-0.03</v>
      </c>
      <c r="V172" s="7" t="n">
        <v>-0.125</v>
      </c>
      <c r="W172" s="7" t="n">
        <v>-0.091</v>
      </c>
      <c r="X172" s="7" t="n">
        <v>0.023</v>
      </c>
      <c r="Y172" s="7" t="n">
        <v>-0.083</v>
      </c>
      <c r="Z172" s="7" t="n">
        <v>-0.292</v>
      </c>
      <c r="AA172" s="7" t="n">
        <v>-0.056</v>
      </c>
      <c r="AB172" s="7" t="n">
        <v>-0.095</v>
      </c>
      <c r="AC172" s="7" t="n">
        <v>0.04</v>
      </c>
      <c r="AD172" s="7" t="n">
        <v>0.022</v>
      </c>
      <c r="AE172" s="7" t="n">
        <v>0.52</v>
      </c>
      <c r="AF172" s="7" t="n">
        <v>-0.185</v>
      </c>
      <c r="AG172" s="7" t="n">
        <v>-0.095</v>
      </c>
      <c r="AH172" s="7" t="n">
        <v>-0.219</v>
      </c>
      <c r="AI172" s="7" t="n">
        <v>0.204</v>
      </c>
      <c r="AJ172" s="7" t="n">
        <v>0.011</v>
      </c>
      <c r="AK172" s="7" t="n">
        <v>0.118</v>
      </c>
      <c r="AL172" s="7" t="n">
        <v>0.094</v>
      </c>
      <c r="AM172" s="7" t="n">
        <v>0.302</v>
      </c>
      <c r="AN172" s="7" t="n">
        <v>-0.277</v>
      </c>
      <c r="AO172" s="7" t="n">
        <v>-0.257</v>
      </c>
      <c r="AP172" s="7" t="n">
        <v>-0.313</v>
      </c>
      <c r="AQ172" s="7" t="n">
        <v>-0.052</v>
      </c>
      <c r="AR172" s="7" t="n">
        <v>-0.118</v>
      </c>
      <c r="AS172" s="7" t="n">
        <v>-0.058</v>
      </c>
      <c r="AT172" s="7" t="n">
        <v>-0.021</v>
      </c>
      <c r="AU172" s="7" t="n">
        <v>0.066</v>
      </c>
      <c r="AV172" s="7" t="n">
        <v>-0.159</v>
      </c>
    </row>
    <row r="173" customFormat="false" ht="15" hidden="false" customHeight="false" outlineLevel="0" collapsed="false">
      <c r="A173" s="19" t="n">
        <v>46490</v>
      </c>
      <c r="B173" s="6" t="n">
        <v>1</v>
      </c>
      <c r="C173" s="6" t="s">
        <v>176</v>
      </c>
      <c r="D173" s="6" t="s">
        <v>178</v>
      </c>
      <c r="E173" s="6" t="s">
        <v>173</v>
      </c>
      <c r="F173" s="6" t="s">
        <v>210</v>
      </c>
      <c r="G173" s="7" t="n">
        <v>0.05</v>
      </c>
      <c r="H173" s="7" t="n">
        <v>-0.313</v>
      </c>
      <c r="I173" s="7" t="n">
        <v>-0.007</v>
      </c>
      <c r="J173" s="7" t="n">
        <v>0.49</v>
      </c>
      <c r="K173" s="7" t="n">
        <v>0.129</v>
      </c>
      <c r="L173" s="7" t="n">
        <v>0.008</v>
      </c>
      <c r="M173" s="7" t="n">
        <v>-0.019</v>
      </c>
      <c r="N173" s="7" t="n">
        <v>-0.12</v>
      </c>
      <c r="O173" s="7" t="n">
        <v>-0.008</v>
      </c>
      <c r="P173" s="7" t="n">
        <v>0.583</v>
      </c>
      <c r="Q173" s="7" t="n">
        <v>-0.207</v>
      </c>
      <c r="R173" s="7" t="n">
        <v>0.298</v>
      </c>
      <c r="S173" s="7" t="n">
        <v>-0.136</v>
      </c>
      <c r="T173" s="7" t="n">
        <v>-0.24</v>
      </c>
      <c r="U173" s="7" t="n">
        <v>-0.056</v>
      </c>
      <c r="V173" s="7" t="n">
        <v>-0.107</v>
      </c>
      <c r="W173" s="7" t="n">
        <v>0.09</v>
      </c>
      <c r="X173" s="7" t="n">
        <v>-0.011</v>
      </c>
      <c r="Y173" s="7" t="n">
        <v>-0.047</v>
      </c>
      <c r="Z173" s="7" t="n">
        <v>-0.334</v>
      </c>
      <c r="AA173" s="7" t="n">
        <v>-0.023</v>
      </c>
      <c r="AB173" s="7" t="n">
        <v>-0.096</v>
      </c>
      <c r="AC173" s="7" t="n">
        <v>-0.027</v>
      </c>
      <c r="AD173" s="7" t="n">
        <v>0.057</v>
      </c>
      <c r="AE173" s="7" t="n">
        <v>0.426</v>
      </c>
      <c r="AF173" s="7" t="n">
        <v>0.017</v>
      </c>
      <c r="AG173" s="7" t="n">
        <v>0.056</v>
      </c>
      <c r="AH173" s="7" t="n">
        <v>-0.216</v>
      </c>
      <c r="AI173" s="7" t="n">
        <v>0.12</v>
      </c>
      <c r="AJ173" s="7" t="n">
        <v>0.003</v>
      </c>
      <c r="AK173" s="7" t="n">
        <v>0.058</v>
      </c>
      <c r="AL173" s="7" t="n">
        <v>0.13</v>
      </c>
      <c r="AM173" s="7" t="n">
        <v>0.423</v>
      </c>
      <c r="AN173" s="7" t="n">
        <v>-0.238</v>
      </c>
      <c r="AO173" s="7" t="n">
        <v>-0.256</v>
      </c>
      <c r="AP173" s="7" t="n">
        <v>-0.314</v>
      </c>
      <c r="AQ173" s="7" t="n">
        <v>0.047</v>
      </c>
      <c r="AR173" s="7" t="n">
        <v>-0.093</v>
      </c>
      <c r="AS173" s="7" t="n">
        <v>-0.037</v>
      </c>
      <c r="AT173" s="7" t="n">
        <v>0.014</v>
      </c>
      <c r="AU173" s="7" t="n">
        <v>0.001</v>
      </c>
      <c r="AV173" s="7" t="n">
        <v>-0.141</v>
      </c>
    </row>
    <row r="174" customFormat="false" ht="15" hidden="false" customHeight="false" outlineLevel="0" collapsed="false">
      <c r="A174" s="19" t="n">
        <v>46491</v>
      </c>
      <c r="B174" s="6" t="n">
        <v>1</v>
      </c>
      <c r="C174" s="6" t="s">
        <v>180</v>
      </c>
      <c r="D174" s="6" t="s">
        <v>181</v>
      </c>
      <c r="E174" s="6" t="s">
        <v>173</v>
      </c>
      <c r="F174" s="6" t="s">
        <v>210</v>
      </c>
      <c r="G174" s="7" t="n">
        <v>-0.203</v>
      </c>
      <c r="H174" s="7" t="n">
        <v>-0.606</v>
      </c>
      <c r="I174" s="7" t="n">
        <v>0.014</v>
      </c>
      <c r="J174" s="7" t="n">
        <v>0.223</v>
      </c>
      <c r="K174" s="7" t="n">
        <v>-0.072</v>
      </c>
      <c r="L174" s="7" t="n">
        <v>-0.017</v>
      </c>
      <c r="M174" s="7" t="n">
        <v>-0.364</v>
      </c>
      <c r="N174" s="7" t="n">
        <v>-0.403</v>
      </c>
      <c r="O174" s="7" t="n">
        <v>-0.017</v>
      </c>
      <c r="P174" s="7" t="n">
        <v>0.187</v>
      </c>
      <c r="Q174" s="7" t="n">
        <v>-0.211</v>
      </c>
      <c r="R174" s="7" t="n">
        <v>0.043</v>
      </c>
      <c r="S174" s="7" t="n">
        <v>-0.324</v>
      </c>
      <c r="T174" s="7" t="n">
        <v>-0.249</v>
      </c>
      <c r="U174" s="7" t="n">
        <v>-0.071</v>
      </c>
      <c r="V174" s="7" t="n">
        <v>-0.141</v>
      </c>
      <c r="W174" s="7" t="n">
        <v>-0.345</v>
      </c>
      <c r="X174" s="7" t="n">
        <v>-0.07</v>
      </c>
      <c r="Y174" s="7" t="n">
        <v>-0.425</v>
      </c>
      <c r="Z174" s="7" t="n">
        <v>-0.299</v>
      </c>
      <c r="AA174" s="7" t="n">
        <v>-0.316</v>
      </c>
      <c r="AB174" s="7" t="n">
        <v>-0.098</v>
      </c>
      <c r="AC174" s="7" t="n">
        <v>-0.022</v>
      </c>
      <c r="AD174" s="7" t="n">
        <v>0.036</v>
      </c>
      <c r="AE174" s="7" t="n">
        <v>-0.037</v>
      </c>
      <c r="AF174" s="7" t="n">
        <v>-0.439</v>
      </c>
      <c r="AG174" s="7" t="n">
        <v>0.057</v>
      </c>
      <c r="AH174" s="7" t="n">
        <v>-0.264</v>
      </c>
      <c r="AI174" s="7" t="n">
        <v>0.049</v>
      </c>
      <c r="AJ174" s="7" t="n">
        <v>-0.203</v>
      </c>
      <c r="AK174" s="7" t="n">
        <v>-0.029</v>
      </c>
      <c r="AL174" s="7" t="n">
        <v>0.156</v>
      </c>
      <c r="AM174" s="7" t="n">
        <v>0.317</v>
      </c>
      <c r="AN174" s="7" t="n">
        <v>-0.266</v>
      </c>
      <c r="AO174" s="7" t="n">
        <v>-0.523</v>
      </c>
      <c r="AP174" s="7" t="n">
        <v>-0.604</v>
      </c>
      <c r="AQ174" s="7" t="n">
        <v>-0.054</v>
      </c>
      <c r="AR174" s="7" t="n">
        <v>-0.089</v>
      </c>
      <c r="AS174" s="7" t="n">
        <v>-0.287</v>
      </c>
      <c r="AT174" s="7" t="n">
        <v>-0.061</v>
      </c>
      <c r="AU174" s="7" t="n">
        <v>0.03</v>
      </c>
      <c r="AV174" s="7" t="n">
        <v>-0.173</v>
      </c>
    </row>
    <row r="175" customFormat="false" ht="15" hidden="false" customHeight="false" outlineLevel="0" collapsed="false">
      <c r="A175" s="19" t="n">
        <v>46492</v>
      </c>
      <c r="B175" s="6" t="n">
        <v>1</v>
      </c>
      <c r="C175" s="6" t="s">
        <v>180</v>
      </c>
      <c r="D175" s="6" t="s">
        <v>182</v>
      </c>
      <c r="E175" s="6" t="s">
        <v>173</v>
      </c>
      <c r="F175" s="6" t="s">
        <v>210</v>
      </c>
      <c r="G175" s="7" t="n">
        <v>-0.076</v>
      </c>
      <c r="H175" s="7" t="n">
        <v>-0.374</v>
      </c>
      <c r="I175" s="7" t="n">
        <v>0.035</v>
      </c>
      <c r="J175" s="7" t="n">
        <v>0.353</v>
      </c>
      <c r="K175" s="7" t="n">
        <v>-0.103</v>
      </c>
      <c r="L175" s="7" t="n">
        <v>0.069</v>
      </c>
      <c r="M175" s="7" t="n">
        <v>0.066</v>
      </c>
      <c r="N175" s="7" t="n">
        <v>-0.006</v>
      </c>
      <c r="O175" s="7" t="n">
        <v>0.043</v>
      </c>
      <c r="P175" s="7" t="n">
        <v>0.241</v>
      </c>
      <c r="Q175" s="7" t="n">
        <v>-0.161</v>
      </c>
      <c r="R175" s="7" t="n">
        <v>-0.041</v>
      </c>
      <c r="S175" s="7" t="n">
        <v>-0.252</v>
      </c>
      <c r="T175" s="7" t="n">
        <v>-0.137</v>
      </c>
      <c r="U175" s="7" t="n">
        <v>-0.023</v>
      </c>
      <c r="V175" s="7" t="n">
        <v>-0.098</v>
      </c>
      <c r="W175" s="7" t="n">
        <v>0.181</v>
      </c>
      <c r="X175" s="7" t="n">
        <v>-0.139</v>
      </c>
      <c r="Y175" s="7" t="n">
        <v>0.08</v>
      </c>
      <c r="Z175" s="7" t="n">
        <v>-0.368</v>
      </c>
      <c r="AA175" s="7" t="n">
        <v>0.078</v>
      </c>
      <c r="AB175" s="7" t="n">
        <v>-0.1</v>
      </c>
      <c r="AC175" s="7" t="n">
        <v>-0.034</v>
      </c>
      <c r="AD175" s="7" t="n">
        <v>0.139</v>
      </c>
      <c r="AE175" s="7" t="n">
        <v>0.025</v>
      </c>
      <c r="AF175" s="7" t="n">
        <v>0.054</v>
      </c>
      <c r="AG175" s="7" t="n">
        <v>0.024</v>
      </c>
      <c r="AH175" s="7" t="n">
        <v>-0.268</v>
      </c>
      <c r="AI175" s="7" t="n">
        <v>0.015</v>
      </c>
      <c r="AJ175" s="7" t="n">
        <v>-0.143</v>
      </c>
      <c r="AK175" s="7" t="n">
        <v>-0.119</v>
      </c>
      <c r="AL175" s="7" t="n">
        <v>0.181</v>
      </c>
      <c r="AM175" s="7" t="n">
        <v>0.299</v>
      </c>
      <c r="AN175" s="7" t="n">
        <v>-0.258</v>
      </c>
      <c r="AO175" s="7" t="n">
        <v>-0.194</v>
      </c>
      <c r="AP175" s="7" t="n">
        <v>-0.301</v>
      </c>
      <c r="AQ175" s="7" t="n">
        <v>-0.026</v>
      </c>
      <c r="AR175" s="7" t="n">
        <v>-0.094</v>
      </c>
      <c r="AS175" s="7" t="n">
        <v>0.066</v>
      </c>
      <c r="AT175" s="7" t="n">
        <v>-0.028</v>
      </c>
      <c r="AU175" s="7" t="n">
        <v>0.075</v>
      </c>
      <c r="AV175" s="7" t="n">
        <v>-0.16</v>
      </c>
    </row>
    <row r="176" customFormat="false" ht="15" hidden="false" customHeight="false" outlineLevel="0" collapsed="false">
      <c r="A176" s="19" t="n">
        <v>46493</v>
      </c>
      <c r="B176" s="6" t="n">
        <v>1</v>
      </c>
      <c r="C176" s="6" t="s">
        <v>183</v>
      </c>
      <c r="D176" s="6" t="s">
        <v>184</v>
      </c>
      <c r="E176" s="6" t="s">
        <v>173</v>
      </c>
      <c r="F176" s="6" t="s">
        <v>210</v>
      </c>
      <c r="G176" s="7" t="n">
        <v>-0.043</v>
      </c>
      <c r="H176" s="7" t="n">
        <v>-0.218</v>
      </c>
      <c r="I176" s="7" t="n">
        <v>-0.142</v>
      </c>
      <c r="J176" s="7" t="n">
        <v>0.211</v>
      </c>
      <c r="K176" s="7" t="n">
        <v>0.002</v>
      </c>
      <c r="L176" s="7" t="n">
        <v>-0.032</v>
      </c>
      <c r="M176" s="7" t="n">
        <v>0.06</v>
      </c>
      <c r="N176" s="7" t="n">
        <v>-0.095</v>
      </c>
      <c r="O176" s="7" t="n">
        <v>-0.216</v>
      </c>
      <c r="P176" s="7" t="n">
        <v>0.139</v>
      </c>
      <c r="Q176" s="7" t="n">
        <v>-0.128</v>
      </c>
      <c r="R176" s="7" t="n">
        <v>-0.023</v>
      </c>
      <c r="S176" s="7" t="n">
        <v>-0.276</v>
      </c>
      <c r="T176" s="7" t="n">
        <v>-0.202</v>
      </c>
      <c r="U176" s="7" t="n">
        <v>-0.11</v>
      </c>
      <c r="V176" s="7" t="n">
        <v>-0.02</v>
      </c>
      <c r="W176" s="7" t="n">
        <v>0.068</v>
      </c>
      <c r="X176" s="7" t="n">
        <v>0.103</v>
      </c>
      <c r="Y176" s="7" t="n">
        <v>0.105</v>
      </c>
      <c r="Z176" s="7" t="n">
        <v>0.098</v>
      </c>
      <c r="AA176" s="7" t="n">
        <v>0.02</v>
      </c>
      <c r="AB176" s="7" t="n">
        <v>-0.101</v>
      </c>
      <c r="AC176" s="7" t="n">
        <v>-0.251</v>
      </c>
      <c r="AD176" s="7" t="n">
        <v>0.239</v>
      </c>
      <c r="AE176" s="7" t="n">
        <v>-0.08</v>
      </c>
      <c r="AF176" s="7" t="n">
        <v>0.013</v>
      </c>
      <c r="AG176" s="7" t="n">
        <v>-0.201</v>
      </c>
      <c r="AH176" s="7" t="n">
        <v>-0.191</v>
      </c>
      <c r="AI176" s="7" t="n">
        <v>-0.047</v>
      </c>
      <c r="AJ176" s="7" t="n">
        <v>-0.174</v>
      </c>
      <c r="AK176" s="7" t="n">
        <v>0.048</v>
      </c>
      <c r="AL176" s="7" t="n">
        <v>0.154</v>
      </c>
      <c r="AM176" s="7" t="n">
        <v>0.367</v>
      </c>
      <c r="AN176" s="7" t="n">
        <v>-0.182</v>
      </c>
      <c r="AO176" s="7" t="n">
        <v>-0.243</v>
      </c>
      <c r="AP176" s="7" t="n">
        <v>-0.276</v>
      </c>
      <c r="AQ176" s="7" t="n">
        <v>0.086</v>
      </c>
      <c r="AR176" s="7" t="n">
        <v>-0.093</v>
      </c>
      <c r="AS176" s="7" t="n">
        <v>0.016</v>
      </c>
      <c r="AT176" s="7" t="n">
        <v>-0.038</v>
      </c>
      <c r="AU176" s="7" t="n">
        <v>0.028</v>
      </c>
      <c r="AV176" s="7" t="n">
        <v>-0.086</v>
      </c>
    </row>
    <row r="177" customFormat="false" ht="15" hidden="false" customHeight="false" outlineLevel="0" collapsed="false">
      <c r="A177" s="19" t="n">
        <v>46494</v>
      </c>
      <c r="B177" s="6" t="n">
        <v>0</v>
      </c>
      <c r="C177" s="6" t="s">
        <v>183</v>
      </c>
      <c r="D177" s="6" t="s">
        <v>185</v>
      </c>
      <c r="E177" s="6" t="s">
        <v>173</v>
      </c>
      <c r="F177" s="6" t="s">
        <v>210</v>
      </c>
      <c r="G177" s="7" t="n">
        <v>0.254</v>
      </c>
      <c r="H177" s="7" t="n">
        <v>0.3</v>
      </c>
      <c r="I177" s="7" t="n">
        <v>-0.109</v>
      </c>
      <c r="J177" s="7" t="n">
        <v>0.208</v>
      </c>
      <c r="K177" s="7" t="n">
        <v>0.39</v>
      </c>
      <c r="L177" s="7" t="n">
        <v>-0.096</v>
      </c>
      <c r="M177" s="7" t="n">
        <v>0.059</v>
      </c>
      <c r="N177" s="7" t="n">
        <v>-0.046</v>
      </c>
      <c r="O177" s="7" t="n">
        <v>-0.205</v>
      </c>
      <c r="P177" s="7" t="n">
        <v>0.136</v>
      </c>
      <c r="Q177" s="7" t="n">
        <v>0.407</v>
      </c>
      <c r="R177" s="7" t="n">
        <v>-0.009</v>
      </c>
      <c r="S177" s="7" t="n">
        <v>0.259</v>
      </c>
      <c r="T177" s="7" t="n">
        <v>0.321</v>
      </c>
      <c r="U177" s="7" t="n">
        <v>0.323</v>
      </c>
      <c r="V177" s="7" t="n">
        <v>0.51</v>
      </c>
      <c r="W177" s="7" t="n">
        <v>0.175</v>
      </c>
      <c r="X177" s="7" t="n">
        <v>-0.071</v>
      </c>
      <c r="Y177" s="7" t="n">
        <v>0.137</v>
      </c>
      <c r="Z177" s="7" t="n">
        <v>0.388</v>
      </c>
      <c r="AA177" s="7" t="n">
        <v>0.08</v>
      </c>
      <c r="AB177" s="7" t="n">
        <v>0.284</v>
      </c>
      <c r="AC177" s="7" t="n">
        <v>-0.15</v>
      </c>
      <c r="AD177" s="7" t="n">
        <v>0.214</v>
      </c>
      <c r="AE177" s="7" t="n">
        <v>-0.083</v>
      </c>
      <c r="AF177" s="7" t="n">
        <v>0.158</v>
      </c>
      <c r="AG177" s="7" t="n">
        <v>-0.189</v>
      </c>
      <c r="AH177" s="7" t="n">
        <v>0.39</v>
      </c>
      <c r="AI177" s="7" t="n">
        <v>-0.037</v>
      </c>
      <c r="AJ177" s="7" t="n">
        <v>0.361</v>
      </c>
      <c r="AK177" s="7" t="n">
        <v>0.561</v>
      </c>
      <c r="AL177" s="7" t="n">
        <v>0.115</v>
      </c>
      <c r="AM177" s="7" t="n">
        <v>0.338</v>
      </c>
      <c r="AN177" s="7" t="n">
        <v>0.244</v>
      </c>
      <c r="AO177" s="7" t="n">
        <v>-0.157</v>
      </c>
      <c r="AP177" s="7" t="n">
        <v>-0.152</v>
      </c>
      <c r="AQ177" s="7" t="n">
        <v>0.395</v>
      </c>
      <c r="AR177" s="7" t="n">
        <v>-0.095</v>
      </c>
      <c r="AS177" s="7" t="n">
        <v>0.088</v>
      </c>
      <c r="AT177" s="7" t="n">
        <v>-0.059</v>
      </c>
      <c r="AU177" s="7" t="n">
        <v>0.028</v>
      </c>
      <c r="AV177" s="7" t="n">
        <v>0.343</v>
      </c>
    </row>
    <row r="178" customFormat="false" ht="15" hidden="false" customHeight="false" outlineLevel="0" collapsed="false">
      <c r="A178" s="19" t="n">
        <v>46495</v>
      </c>
      <c r="B178" s="6" t="n">
        <v>0</v>
      </c>
      <c r="C178" s="6" t="s">
        <v>186</v>
      </c>
      <c r="D178" s="6" t="s">
        <v>187</v>
      </c>
      <c r="E178" s="6" t="s">
        <v>173</v>
      </c>
      <c r="F178" s="6" t="s">
        <v>210</v>
      </c>
      <c r="G178" s="7" t="n">
        <v>-0.148</v>
      </c>
      <c r="H178" s="7" t="n">
        <v>-0.234</v>
      </c>
      <c r="I178" s="7" t="n">
        <v>-0.134</v>
      </c>
      <c r="J178" s="7" t="n">
        <v>0.291</v>
      </c>
      <c r="K178" s="7" t="n">
        <v>-0.116</v>
      </c>
      <c r="L178" s="7" t="n">
        <v>-0.121</v>
      </c>
      <c r="M178" s="7" t="n">
        <v>-0.054</v>
      </c>
      <c r="N178" s="7" t="n">
        <v>-0.19</v>
      </c>
      <c r="O178" s="7" t="n">
        <v>-0.251</v>
      </c>
      <c r="P178" s="7" t="n">
        <v>0.274</v>
      </c>
      <c r="Q178" s="7" t="n">
        <v>-0.284</v>
      </c>
      <c r="R178" s="7" t="n">
        <v>-0.108</v>
      </c>
      <c r="S178" s="7" t="n">
        <v>-0.336</v>
      </c>
      <c r="T178" s="7" t="n">
        <v>0.125</v>
      </c>
      <c r="U178" s="7" t="n">
        <v>-0.14</v>
      </c>
      <c r="V178" s="7" t="n">
        <v>-0.051</v>
      </c>
      <c r="W178" s="7" t="n">
        <v>0.072</v>
      </c>
      <c r="X178" s="7" t="n">
        <v>-0.085</v>
      </c>
      <c r="Y178" s="7" t="n">
        <v>0.117</v>
      </c>
      <c r="Z178" s="7" t="n">
        <v>0.027</v>
      </c>
      <c r="AA178" s="7" t="n">
        <v>-0.033</v>
      </c>
      <c r="AB178" s="7" t="n">
        <v>-0.103</v>
      </c>
      <c r="AC178" s="7" t="n">
        <v>-0.169</v>
      </c>
      <c r="AD178" s="7" t="n">
        <v>0.42</v>
      </c>
      <c r="AE178" s="7" t="n">
        <v>-0.014</v>
      </c>
      <c r="AF178" s="7" t="n">
        <v>0.074</v>
      </c>
      <c r="AG178" s="7" t="n">
        <v>-0.235</v>
      </c>
      <c r="AH178" s="7" t="n">
        <v>-0.204</v>
      </c>
      <c r="AI178" s="7" t="n">
        <v>-0.127</v>
      </c>
      <c r="AJ178" s="7" t="n">
        <v>-0.234</v>
      </c>
      <c r="AK178" s="7" t="n">
        <v>0.159</v>
      </c>
      <c r="AL178" s="7" t="n">
        <v>0.376</v>
      </c>
      <c r="AM178" s="7" t="n">
        <v>0.596</v>
      </c>
      <c r="AN178" s="7" t="n">
        <v>-0.254</v>
      </c>
      <c r="AO178" s="7" t="n">
        <v>-0.312</v>
      </c>
      <c r="AP178" s="7" t="n">
        <v>-0.287</v>
      </c>
      <c r="AQ178" s="7" t="n">
        <v>0.256</v>
      </c>
      <c r="AR178" s="7" t="n">
        <v>-0.137</v>
      </c>
      <c r="AS178" s="7" t="n">
        <v>-0.025</v>
      </c>
      <c r="AT178" s="7" t="n">
        <v>0.143</v>
      </c>
      <c r="AU178" s="7" t="n">
        <v>-0.066</v>
      </c>
      <c r="AV178" s="7" t="n">
        <v>-0.117</v>
      </c>
    </row>
    <row r="179" customFormat="false" ht="15" hidden="false" customHeight="false" outlineLevel="0" collapsed="false">
      <c r="A179" s="19" t="n">
        <v>46496</v>
      </c>
      <c r="B179" s="6" t="n">
        <v>1</v>
      </c>
      <c r="C179" s="6" t="s">
        <v>186</v>
      </c>
      <c r="D179" s="6" t="s">
        <v>188</v>
      </c>
      <c r="E179" s="6" t="s">
        <v>173</v>
      </c>
      <c r="F179" s="6" t="s">
        <v>210</v>
      </c>
      <c r="G179" s="7" t="n">
        <v>-0.424</v>
      </c>
      <c r="H179" s="7" t="n">
        <v>-0.593</v>
      </c>
      <c r="I179" s="7" t="n">
        <v>-0.138</v>
      </c>
      <c r="J179" s="7" t="n">
        <v>0.049</v>
      </c>
      <c r="K179" s="7" t="n">
        <v>-0.254</v>
      </c>
      <c r="L179" s="7" t="n">
        <v>-0.126</v>
      </c>
      <c r="M179" s="7" t="n">
        <v>-0.065</v>
      </c>
      <c r="N179" s="7" t="n">
        <v>-0.707</v>
      </c>
      <c r="O179" s="7" t="n">
        <v>-0.56</v>
      </c>
      <c r="P179" s="7" t="n">
        <v>0.104</v>
      </c>
      <c r="Q179" s="7" t="n">
        <v>-0.513</v>
      </c>
      <c r="R179" s="7" t="n">
        <v>-0.12</v>
      </c>
      <c r="S179" s="7" t="n">
        <v>-0.618</v>
      </c>
      <c r="T179" s="7" t="n">
        <v>-0.502</v>
      </c>
      <c r="U179" s="7" t="n">
        <v>-0.073</v>
      </c>
      <c r="V179" s="7" t="n">
        <v>0.021</v>
      </c>
      <c r="W179" s="7" t="n">
        <v>-0.04</v>
      </c>
      <c r="X179" s="7" t="n">
        <v>-0.13</v>
      </c>
      <c r="Y179" s="7" t="n">
        <v>0.108</v>
      </c>
      <c r="Z179" s="7" t="n">
        <v>-0.325</v>
      </c>
      <c r="AA179" s="7" t="n">
        <v>-0.237</v>
      </c>
      <c r="AB179" s="7" t="n">
        <v>-0.036</v>
      </c>
      <c r="AC179" s="7" t="n">
        <v>-0.174</v>
      </c>
      <c r="AD179" s="7" t="n">
        <v>0.074</v>
      </c>
      <c r="AE179" s="7" t="n">
        <v>-0.11</v>
      </c>
      <c r="AF179" s="7" t="n">
        <v>-0.033</v>
      </c>
      <c r="AG179" s="7" t="n">
        <v>-0.702</v>
      </c>
      <c r="AH179" s="7" t="n">
        <v>-0.132</v>
      </c>
      <c r="AI179" s="7" t="n">
        <v>-0.304</v>
      </c>
      <c r="AJ179" s="7" t="n">
        <v>-0.189</v>
      </c>
      <c r="AK179" s="7" t="n">
        <v>0.207</v>
      </c>
      <c r="AL179" s="7" t="n">
        <v>0.015</v>
      </c>
      <c r="AM179" s="7" t="n">
        <v>0.304</v>
      </c>
      <c r="AN179" s="7" t="n">
        <v>-0.521</v>
      </c>
      <c r="AO179" s="7" t="n">
        <v>-0.691</v>
      </c>
      <c r="AP179" s="7" t="n">
        <v>-0.679</v>
      </c>
      <c r="AQ179" s="7" t="n">
        <v>-0.022</v>
      </c>
      <c r="AR179" s="7" t="n">
        <v>-0.515</v>
      </c>
      <c r="AS179" s="7" t="n">
        <v>-0.037</v>
      </c>
      <c r="AT179" s="7" t="n">
        <v>-0.206</v>
      </c>
      <c r="AU179" s="7" t="n">
        <v>-0.089</v>
      </c>
      <c r="AV179" s="7" t="n">
        <v>-0.046</v>
      </c>
    </row>
    <row r="180" customFormat="false" ht="15" hidden="false" customHeight="false" outlineLevel="0" collapsed="false">
      <c r="A180" s="19" t="n">
        <v>46497</v>
      </c>
      <c r="B180" s="6" t="n">
        <v>1</v>
      </c>
      <c r="C180" s="6" t="s">
        <v>186</v>
      </c>
      <c r="D180" s="6" t="s">
        <v>189</v>
      </c>
      <c r="E180" s="6" t="s">
        <v>173</v>
      </c>
      <c r="F180" s="6" t="s">
        <v>210</v>
      </c>
      <c r="G180" s="7" t="n">
        <v>-0.577</v>
      </c>
      <c r="H180" s="7" t="n">
        <v>-0.268</v>
      </c>
      <c r="I180" s="7" t="n">
        <v>-0.525</v>
      </c>
      <c r="J180" s="7" t="n">
        <v>0.172</v>
      </c>
      <c r="K180" s="7" t="n">
        <v>-0.278</v>
      </c>
      <c r="L180" s="7" t="n">
        <v>-0.595</v>
      </c>
      <c r="M180" s="7" t="n">
        <v>-0.569</v>
      </c>
      <c r="N180" s="7" t="n">
        <v>-0.699</v>
      </c>
      <c r="O180" s="7" t="n">
        <v>-0.251</v>
      </c>
      <c r="P180" s="7" t="n">
        <v>0.025</v>
      </c>
      <c r="Q180" s="7" t="n">
        <v>-0.271</v>
      </c>
      <c r="R180" s="7" t="n">
        <v>-0.138</v>
      </c>
      <c r="S180" s="7" t="n">
        <v>-0.353</v>
      </c>
      <c r="T180" s="7" t="n">
        <v>-0.498</v>
      </c>
      <c r="U180" s="7" t="n">
        <v>-0.521</v>
      </c>
      <c r="V180" s="7" t="n">
        <v>0.003</v>
      </c>
      <c r="W180" s="7" t="n">
        <v>-0.514</v>
      </c>
      <c r="X180" s="7" t="n">
        <v>-0.154</v>
      </c>
      <c r="Y180" s="7" t="n">
        <v>0.079</v>
      </c>
      <c r="Z180" s="7" t="n">
        <v>-0.365</v>
      </c>
      <c r="AA180" s="7" t="n">
        <v>-0.527</v>
      </c>
      <c r="AB180" s="7" t="n">
        <v>-0.04</v>
      </c>
      <c r="AC180" s="7" t="n">
        <v>-0.605</v>
      </c>
      <c r="AD180" s="7" t="n">
        <v>0.142</v>
      </c>
      <c r="AE180" s="7" t="n">
        <v>-0.187</v>
      </c>
      <c r="AF180" s="7" t="n">
        <v>-0.093</v>
      </c>
      <c r="AG180" s="7" t="n">
        <v>-0.237</v>
      </c>
      <c r="AH180" s="7" t="n">
        <v>-0.129</v>
      </c>
      <c r="AI180" s="7" t="n">
        <v>-0.474</v>
      </c>
      <c r="AJ180" s="7" t="n">
        <v>-0.25</v>
      </c>
      <c r="AK180" s="7" t="n">
        <v>0.18</v>
      </c>
      <c r="AL180" s="7" t="n">
        <v>0.066</v>
      </c>
      <c r="AM180" s="7" t="n">
        <v>0.273</v>
      </c>
      <c r="AN180" s="7" t="n">
        <v>-0.203</v>
      </c>
      <c r="AO180" s="7" t="n">
        <v>-0.719</v>
      </c>
      <c r="AP180" s="7" t="n">
        <v>-0.29</v>
      </c>
      <c r="AQ180" s="7" t="n">
        <v>-0.461</v>
      </c>
      <c r="AR180" s="7" t="n">
        <v>-0.145</v>
      </c>
      <c r="AS180" s="7" t="n">
        <v>-0.481</v>
      </c>
      <c r="AT180" s="7" t="n">
        <v>-0.23</v>
      </c>
      <c r="AU180" s="7" t="n">
        <v>-0.099</v>
      </c>
      <c r="AV180" s="7" t="n">
        <v>-0.058</v>
      </c>
    </row>
    <row r="181" customFormat="false" ht="15" hidden="false" customHeight="false" outlineLevel="0" collapsed="false">
      <c r="A181" s="19" t="n">
        <v>46498</v>
      </c>
      <c r="B181" s="6" t="n">
        <v>1</v>
      </c>
      <c r="C181" s="6" t="s">
        <v>190</v>
      </c>
      <c r="D181" s="6" t="s">
        <v>191</v>
      </c>
      <c r="E181" s="6" t="s">
        <v>173</v>
      </c>
      <c r="F181" s="6" t="s">
        <v>210</v>
      </c>
      <c r="G181" s="7" t="n">
        <v>-0.339</v>
      </c>
      <c r="H181" s="7" t="n">
        <v>-0.159</v>
      </c>
      <c r="I181" s="7" t="n">
        <v>-0.255</v>
      </c>
      <c r="J181" s="7" t="n">
        <v>0.162</v>
      </c>
      <c r="K181" s="7" t="n">
        <v>-0.162</v>
      </c>
      <c r="L181" s="7" t="n">
        <v>-0.177</v>
      </c>
      <c r="M181" s="7" t="n">
        <v>-0.519</v>
      </c>
      <c r="N181" s="7" t="n">
        <v>-0.158</v>
      </c>
      <c r="O181" s="7" t="n">
        <v>-0.146</v>
      </c>
      <c r="P181" s="7" t="n">
        <v>0.097</v>
      </c>
      <c r="Q181" s="7" t="n">
        <v>0.049</v>
      </c>
      <c r="R181" s="7" t="n">
        <v>-0.021</v>
      </c>
      <c r="S181" s="7" t="n">
        <v>-0.34</v>
      </c>
      <c r="T181" s="7" t="n">
        <v>-0.273</v>
      </c>
      <c r="U181" s="7" t="n">
        <v>-0.375</v>
      </c>
      <c r="V181" s="7" t="n">
        <v>0.185</v>
      </c>
      <c r="W181" s="7" t="n">
        <v>-0.426</v>
      </c>
      <c r="X181" s="7" t="n">
        <v>-0.14</v>
      </c>
      <c r="Y181" s="7" t="n">
        <v>0.092</v>
      </c>
      <c r="Z181" s="7" t="n">
        <v>-0.457</v>
      </c>
      <c r="AA181" s="7" t="n">
        <v>-0.382</v>
      </c>
      <c r="AB181" s="7" t="n">
        <v>0.072</v>
      </c>
      <c r="AC181" s="7" t="n">
        <v>-0.196</v>
      </c>
      <c r="AD181" s="7" t="n">
        <v>-0.134</v>
      </c>
      <c r="AE181" s="7" t="n">
        <v>-0.127</v>
      </c>
      <c r="AF181" s="7" t="n">
        <v>-0.34</v>
      </c>
      <c r="AG181" s="7" t="n">
        <v>-0.131</v>
      </c>
      <c r="AH181" s="7" t="n">
        <v>0.042</v>
      </c>
      <c r="AI181" s="7" t="n">
        <v>-0.415</v>
      </c>
      <c r="AJ181" s="7" t="n">
        <v>-0.207</v>
      </c>
      <c r="AK181" s="7" t="n">
        <v>0.144</v>
      </c>
      <c r="AL181" s="7" t="n">
        <v>0.027</v>
      </c>
      <c r="AM181" s="7" t="n">
        <v>0.313</v>
      </c>
      <c r="AN181" s="7" t="n">
        <v>-0.353</v>
      </c>
      <c r="AO181" s="7" t="n">
        <v>-0.293</v>
      </c>
      <c r="AP181" s="7" t="n">
        <v>-0.183</v>
      </c>
      <c r="AQ181" s="7" t="n">
        <v>-0.364</v>
      </c>
      <c r="AR181" s="7" t="n">
        <v>-0.061</v>
      </c>
      <c r="AS181" s="7" t="n">
        <v>-0.434</v>
      </c>
      <c r="AT181" s="7" t="n">
        <v>-0.124</v>
      </c>
      <c r="AU181" s="7" t="n">
        <v>-0.003</v>
      </c>
      <c r="AV181" s="7" t="n">
        <v>-0.28</v>
      </c>
    </row>
    <row r="182" customFormat="false" ht="15" hidden="false" customHeight="false" outlineLevel="0" collapsed="false">
      <c r="A182" s="19" t="n">
        <v>46499</v>
      </c>
      <c r="B182" s="6" t="n">
        <v>1</v>
      </c>
      <c r="C182" s="6" t="s">
        <v>190</v>
      </c>
      <c r="D182" s="6" t="s">
        <v>192</v>
      </c>
      <c r="E182" s="6" t="s">
        <v>173</v>
      </c>
      <c r="F182" s="6" t="s">
        <v>210</v>
      </c>
      <c r="G182" s="7" t="n">
        <v>-0.478</v>
      </c>
      <c r="H182" s="7" t="n">
        <v>-0.443</v>
      </c>
      <c r="I182" s="7" t="n">
        <v>-0.293</v>
      </c>
      <c r="J182" s="7" t="n">
        <v>0.146</v>
      </c>
      <c r="K182" s="7" t="n">
        <v>-0.451</v>
      </c>
      <c r="L182" s="7" t="n">
        <v>-0.201</v>
      </c>
      <c r="M182" s="7" t="n">
        <v>-0.218</v>
      </c>
      <c r="N182" s="7" t="n">
        <v>-0.195</v>
      </c>
      <c r="O182" s="7" t="n">
        <v>0.001</v>
      </c>
      <c r="P182" s="7" t="n">
        <v>0.082</v>
      </c>
      <c r="Q182" s="7" t="n">
        <v>-0.216</v>
      </c>
      <c r="R182" s="7" t="n">
        <v>-0.336</v>
      </c>
      <c r="S182" s="7" t="n">
        <v>-0.51</v>
      </c>
      <c r="T182" s="7" t="n">
        <v>-0.384</v>
      </c>
      <c r="U182" s="7" t="n">
        <v>-0.411</v>
      </c>
      <c r="V182" s="7" t="n">
        <v>0.002</v>
      </c>
      <c r="W182" s="7" t="n">
        <v>-0.099</v>
      </c>
      <c r="X182" s="7" t="n">
        <v>-0.174</v>
      </c>
      <c r="Y182" s="7" t="n">
        <v>0.123</v>
      </c>
      <c r="Z182" s="7" t="n">
        <v>-0.446</v>
      </c>
      <c r="AA182" s="7" t="n">
        <v>-0.175</v>
      </c>
      <c r="AB182" s="7" t="n">
        <v>-0.149</v>
      </c>
      <c r="AC182" s="7" t="n">
        <v>-0.209</v>
      </c>
      <c r="AD182" s="7" t="n">
        <v>0.102</v>
      </c>
      <c r="AE182" s="7" t="n">
        <v>-0.14</v>
      </c>
      <c r="AF182" s="7" t="n">
        <v>0.032</v>
      </c>
      <c r="AG182" s="7" t="n">
        <v>-0.213</v>
      </c>
      <c r="AH182" s="7" t="n">
        <v>-0.182</v>
      </c>
      <c r="AI182" s="7" t="n">
        <v>-0.253</v>
      </c>
      <c r="AJ182" s="7" t="n">
        <v>-0.389</v>
      </c>
      <c r="AK182" s="7" t="n">
        <v>-0.164</v>
      </c>
      <c r="AL182" s="7" t="n">
        <v>-0.012</v>
      </c>
      <c r="AM182" s="7" t="n">
        <v>0.271</v>
      </c>
      <c r="AN182" s="7" t="n">
        <v>-0.395</v>
      </c>
      <c r="AO182" s="7" t="n">
        <v>-0.319</v>
      </c>
      <c r="AP182" s="7" t="n">
        <v>-0.179</v>
      </c>
      <c r="AQ182" s="7" t="n">
        <v>-0.478</v>
      </c>
      <c r="AR182" s="7" t="n">
        <v>-0.071</v>
      </c>
      <c r="AS182" s="7" t="n">
        <v>-0.167</v>
      </c>
      <c r="AT182" s="7" t="n">
        <v>-0.144</v>
      </c>
      <c r="AU182" s="7" t="n">
        <v>-0.016</v>
      </c>
      <c r="AV182" s="7" t="n">
        <v>-0.314</v>
      </c>
    </row>
    <row r="183" customFormat="false" ht="15" hidden="false" customHeight="false" outlineLevel="0" collapsed="false">
      <c r="A183" s="19" t="n">
        <v>46500</v>
      </c>
      <c r="B183" s="6" t="n">
        <v>1</v>
      </c>
      <c r="C183" s="6" t="s">
        <v>171</v>
      </c>
      <c r="D183" s="6" t="s">
        <v>193</v>
      </c>
      <c r="E183" s="6" t="s">
        <v>173</v>
      </c>
      <c r="F183" s="6" t="s">
        <v>210</v>
      </c>
      <c r="G183" s="7" t="n">
        <v>-0.532</v>
      </c>
      <c r="H183" s="7" t="n">
        <v>-0.178</v>
      </c>
      <c r="I183" s="7" t="n">
        <v>-0.449</v>
      </c>
      <c r="J183" s="7" t="n">
        <v>0.021</v>
      </c>
      <c r="K183" s="7" t="n">
        <v>-0.341</v>
      </c>
      <c r="L183" s="7" t="n">
        <v>-0.451</v>
      </c>
      <c r="M183" s="7" t="n">
        <v>-0.326</v>
      </c>
      <c r="N183" s="7" t="n">
        <v>-0.456</v>
      </c>
      <c r="O183" s="7" t="n">
        <v>-0.146</v>
      </c>
      <c r="P183" s="7" t="n">
        <v>0.111</v>
      </c>
      <c r="Q183" s="7" t="n">
        <v>-0.253</v>
      </c>
      <c r="R183" s="7" t="n">
        <v>-0.065</v>
      </c>
      <c r="S183" s="7" t="n">
        <v>-0.354</v>
      </c>
      <c r="T183" s="7" t="n">
        <v>-0.292</v>
      </c>
      <c r="U183" s="7" t="n">
        <v>-0.483</v>
      </c>
      <c r="V183" s="7" t="n">
        <v>-0.081</v>
      </c>
      <c r="W183" s="7" t="n">
        <v>-0.345</v>
      </c>
      <c r="X183" s="7" t="n">
        <v>-0.166</v>
      </c>
      <c r="Y183" s="7" t="n">
        <v>0.12</v>
      </c>
      <c r="Z183" s="7" t="n">
        <v>-0.392</v>
      </c>
      <c r="AA183" s="7" t="n">
        <v>-0.239</v>
      </c>
      <c r="AB183" s="7" t="n">
        <v>-0.167</v>
      </c>
      <c r="AC183" s="7" t="n">
        <v>-0.428</v>
      </c>
      <c r="AD183" s="7" t="n">
        <v>-0.148</v>
      </c>
      <c r="AE183" s="7" t="n">
        <v>-0.117</v>
      </c>
      <c r="AF183" s="7" t="n">
        <v>-0.193</v>
      </c>
      <c r="AG183" s="7" t="n">
        <v>-0.136</v>
      </c>
      <c r="AH183" s="7" t="n">
        <v>-0.226</v>
      </c>
      <c r="AI183" s="7" t="n">
        <v>-0.373</v>
      </c>
      <c r="AJ183" s="7" t="n">
        <v>-0.249</v>
      </c>
      <c r="AK183" s="7" t="n">
        <v>-0.042</v>
      </c>
      <c r="AL183" s="7" t="n">
        <v>-0.19</v>
      </c>
      <c r="AM183" s="7" t="n">
        <v>0.298</v>
      </c>
      <c r="AN183" s="7" t="n">
        <v>-0.287</v>
      </c>
      <c r="AO183" s="7" t="n">
        <v>-0.294</v>
      </c>
      <c r="AP183" s="7" t="n">
        <v>-0.136</v>
      </c>
      <c r="AQ183" s="7" t="n">
        <v>-0.379</v>
      </c>
      <c r="AR183" s="7" t="n">
        <v>-0.096</v>
      </c>
      <c r="AS183" s="7" t="n">
        <v>-0.119</v>
      </c>
      <c r="AT183" s="7" t="n">
        <v>-0.095</v>
      </c>
      <c r="AU183" s="7" t="n">
        <v>0.012</v>
      </c>
      <c r="AV183" s="7" t="n">
        <v>-0.194</v>
      </c>
    </row>
    <row r="184" customFormat="false" ht="15" hidden="false" customHeight="false" outlineLevel="0" collapsed="false">
      <c r="A184" s="19" t="n">
        <v>46501</v>
      </c>
      <c r="B184" s="6" t="n">
        <v>0</v>
      </c>
      <c r="C184" s="6" t="s">
        <v>171</v>
      </c>
      <c r="D184" s="6" t="s">
        <v>194</v>
      </c>
      <c r="E184" s="6" t="s">
        <v>173</v>
      </c>
      <c r="F184" s="6" t="s">
        <v>210</v>
      </c>
      <c r="G184" s="7" t="n">
        <v>-0.622</v>
      </c>
      <c r="H184" s="7" t="n">
        <v>-0.424</v>
      </c>
      <c r="I184" s="7" t="n">
        <v>-0.425</v>
      </c>
      <c r="J184" s="7" t="n">
        <v>-0.173</v>
      </c>
      <c r="K184" s="7" t="n">
        <v>-0.404</v>
      </c>
      <c r="L184" s="7" t="n">
        <v>-0.34</v>
      </c>
      <c r="M184" s="7" t="n">
        <v>-0.346</v>
      </c>
      <c r="N184" s="7" t="n">
        <v>-0.503</v>
      </c>
      <c r="O184" s="7" t="n">
        <v>-0.125</v>
      </c>
      <c r="P184" s="7" t="n">
        <v>-0.025</v>
      </c>
      <c r="Q184" s="7" t="n">
        <v>-0.418</v>
      </c>
      <c r="R184" s="7" t="n">
        <v>-0.119</v>
      </c>
      <c r="S184" s="7" t="n">
        <v>-0.442</v>
      </c>
      <c r="T184" s="7" t="n">
        <v>-0.474</v>
      </c>
      <c r="U184" s="7" t="n">
        <v>-0.465</v>
      </c>
      <c r="V184" s="7" t="n">
        <v>-0.065</v>
      </c>
      <c r="W184" s="7" t="n">
        <v>-0.387</v>
      </c>
      <c r="X184" s="7" t="n">
        <v>-0.357</v>
      </c>
      <c r="Y184" s="7" t="n">
        <v>-0.14</v>
      </c>
      <c r="Z184" s="7" t="n">
        <v>-0.384</v>
      </c>
      <c r="AA184" s="7" t="n">
        <v>-0.235</v>
      </c>
      <c r="AB184" s="7" t="n">
        <v>-0.16</v>
      </c>
      <c r="AC184" s="7" t="n">
        <v>-0.412</v>
      </c>
      <c r="AD184" s="7" t="n">
        <v>-0.093</v>
      </c>
      <c r="AE184" s="7" t="n">
        <v>-0.211</v>
      </c>
      <c r="AF184" s="7" t="n">
        <v>-0.324</v>
      </c>
      <c r="AG184" s="7" t="n">
        <v>-0.117</v>
      </c>
      <c r="AH184" s="7" t="n">
        <v>-0.214</v>
      </c>
      <c r="AI184" s="7" t="n">
        <v>-0.5</v>
      </c>
      <c r="AJ184" s="7" t="n">
        <v>-0.334</v>
      </c>
      <c r="AK184" s="7" t="n">
        <v>0.103</v>
      </c>
      <c r="AL184" s="7" t="n">
        <v>-0.096</v>
      </c>
      <c r="AM184" s="7" t="n">
        <v>0.308</v>
      </c>
      <c r="AN184" s="7" t="n">
        <v>-0.277</v>
      </c>
      <c r="AO184" s="7" t="n">
        <v>-0.272</v>
      </c>
      <c r="AP184" s="7" t="n">
        <v>-0.223</v>
      </c>
      <c r="AQ184" s="7" t="n">
        <v>-0.289</v>
      </c>
      <c r="AR184" s="7" t="n">
        <v>-0.096</v>
      </c>
      <c r="AS184" s="7" t="n">
        <v>-0.099</v>
      </c>
      <c r="AT184" s="7" t="n">
        <v>-0.336</v>
      </c>
      <c r="AU184" s="7" t="n">
        <v>-0.236</v>
      </c>
      <c r="AV184" s="7" t="n">
        <v>-0.185</v>
      </c>
    </row>
    <row r="185" customFormat="false" ht="15" hidden="false" customHeight="false" outlineLevel="0" collapsed="false">
      <c r="A185" s="19" t="n">
        <v>46502</v>
      </c>
      <c r="B185" s="6" t="n">
        <v>0</v>
      </c>
      <c r="C185" s="6" t="s">
        <v>195</v>
      </c>
      <c r="D185" s="6" t="s">
        <v>196</v>
      </c>
      <c r="E185" s="6" t="s">
        <v>173</v>
      </c>
      <c r="F185" s="6" t="s">
        <v>210</v>
      </c>
      <c r="G185" s="7" t="n">
        <v>-0.4</v>
      </c>
      <c r="H185" s="7" t="n">
        <v>-0.071</v>
      </c>
      <c r="I185" s="7" t="n">
        <v>-0.559</v>
      </c>
      <c r="J185" s="7" t="n">
        <v>0.166</v>
      </c>
      <c r="K185" s="7" t="n">
        <v>-0.038</v>
      </c>
      <c r="L185" s="7" t="n">
        <v>-0.212</v>
      </c>
      <c r="M185" s="7" t="n">
        <v>-0.213</v>
      </c>
      <c r="N185" s="7" t="n">
        <v>-0.518</v>
      </c>
      <c r="O185" s="7" t="n">
        <v>0.171</v>
      </c>
      <c r="P185" s="7" t="n">
        <v>0.099</v>
      </c>
      <c r="Q185" s="7" t="n">
        <v>-0.155</v>
      </c>
      <c r="R185" s="7" t="n">
        <v>-0.07</v>
      </c>
      <c r="S185" s="7" t="n">
        <v>-0.031</v>
      </c>
      <c r="T185" s="7" t="n">
        <v>0.078</v>
      </c>
      <c r="U185" s="7" t="n">
        <v>-0.389</v>
      </c>
      <c r="V185" s="7" t="n">
        <v>0.056</v>
      </c>
      <c r="W185" s="7" t="n">
        <v>-0.51</v>
      </c>
      <c r="X185" s="7" t="n">
        <v>-0.384</v>
      </c>
      <c r="Y185" s="7" t="n">
        <v>-0.333</v>
      </c>
      <c r="Z185" s="7" t="n">
        <v>-0.334</v>
      </c>
      <c r="AA185" s="7" t="n">
        <v>-0.456</v>
      </c>
      <c r="AB185" s="7" t="n">
        <v>-0.095</v>
      </c>
      <c r="AC185" s="7" t="n">
        <v>-0.624</v>
      </c>
      <c r="AD185" s="7" t="n">
        <v>-0.228</v>
      </c>
      <c r="AE185" s="7" t="n">
        <v>-0.121</v>
      </c>
      <c r="AF185" s="7" t="n">
        <v>-0.389</v>
      </c>
      <c r="AG185" s="7" t="n">
        <v>-0.023</v>
      </c>
      <c r="AH185" s="7" t="n">
        <v>-0.132</v>
      </c>
      <c r="AI185" s="7" t="n">
        <v>-0.459</v>
      </c>
      <c r="AJ185" s="7" t="n">
        <v>0.076</v>
      </c>
      <c r="AK185" s="7" t="n">
        <v>0.076</v>
      </c>
      <c r="AL185" s="7" t="n">
        <v>-0.038</v>
      </c>
      <c r="AM185" s="7" t="n">
        <v>0.443</v>
      </c>
      <c r="AN185" s="7" t="n">
        <v>-0.184</v>
      </c>
      <c r="AO185" s="7" t="n">
        <v>-0.614</v>
      </c>
      <c r="AP185" s="7" t="n">
        <v>-0.494</v>
      </c>
      <c r="AQ185" s="7" t="n">
        <v>-0.251</v>
      </c>
      <c r="AR185" s="7" t="n">
        <v>-0.086</v>
      </c>
      <c r="AS185" s="7" t="n">
        <v>-0.446</v>
      </c>
      <c r="AT185" s="7" t="n">
        <v>0.023</v>
      </c>
      <c r="AU185" s="7" t="n">
        <v>0</v>
      </c>
      <c r="AV185" s="7" t="n">
        <v>-0.103</v>
      </c>
    </row>
    <row r="186" customFormat="false" ht="15" hidden="false" customHeight="false" outlineLevel="0" collapsed="false">
      <c r="A186" s="19" t="n">
        <v>46503</v>
      </c>
      <c r="B186" s="6" t="n">
        <v>1</v>
      </c>
      <c r="C186" s="6" t="s">
        <v>195</v>
      </c>
      <c r="D186" s="6" t="s">
        <v>197</v>
      </c>
      <c r="E186" s="6" t="s">
        <v>173</v>
      </c>
      <c r="F186" s="6" t="s">
        <v>210</v>
      </c>
      <c r="G186" s="7" t="n">
        <v>-0.119</v>
      </c>
      <c r="H186" s="7" t="n">
        <v>0.233</v>
      </c>
      <c r="I186" s="7" t="n">
        <v>-0.295</v>
      </c>
      <c r="J186" s="7" t="n">
        <v>0.174</v>
      </c>
      <c r="K186" s="7" t="n">
        <v>0.049</v>
      </c>
      <c r="L186" s="7" t="n">
        <v>-0.236</v>
      </c>
      <c r="M186" s="7" t="n">
        <v>-0.214</v>
      </c>
      <c r="N186" s="7" t="n">
        <v>-0.231</v>
      </c>
      <c r="O186" s="7" t="n">
        <v>-0.299</v>
      </c>
      <c r="P186" s="7" t="n">
        <v>0.115</v>
      </c>
      <c r="Q186" s="7" t="n">
        <v>0.221</v>
      </c>
      <c r="R186" s="7" t="n">
        <v>-0.351</v>
      </c>
      <c r="S186" s="7" t="n">
        <v>0.047</v>
      </c>
      <c r="T186" s="7" t="n">
        <v>0.011</v>
      </c>
      <c r="U186" s="7" t="n">
        <v>0.106</v>
      </c>
      <c r="V186" s="7" t="n">
        <v>0.389</v>
      </c>
      <c r="W186" s="7" t="n">
        <v>-0.096</v>
      </c>
      <c r="X186" s="7" t="n">
        <v>-0.143</v>
      </c>
      <c r="Y186" s="7" t="n">
        <v>0.114</v>
      </c>
      <c r="Z186" s="7" t="n">
        <v>0.037</v>
      </c>
      <c r="AA186" s="7" t="n">
        <v>-0.18</v>
      </c>
      <c r="AB186" s="7" t="n">
        <v>-0.058</v>
      </c>
      <c r="AC186" s="7" t="n">
        <v>-0.261</v>
      </c>
      <c r="AD186" s="7" t="n">
        <v>0.086</v>
      </c>
      <c r="AE186" s="7" t="n">
        <v>-0.098</v>
      </c>
      <c r="AF186" s="7" t="n">
        <v>0.049</v>
      </c>
      <c r="AG186" s="7" t="n">
        <v>-0.409</v>
      </c>
      <c r="AH186" s="7" t="n">
        <v>0.249</v>
      </c>
      <c r="AI186" s="7" t="n">
        <v>-0.225</v>
      </c>
      <c r="AJ186" s="7" t="n">
        <v>0.155</v>
      </c>
      <c r="AK186" s="7" t="n">
        <v>0.465</v>
      </c>
      <c r="AL186" s="7" t="n">
        <v>-0.038</v>
      </c>
      <c r="AM186" s="7" t="n">
        <v>0.302</v>
      </c>
      <c r="AN186" s="7" t="n">
        <v>0.151</v>
      </c>
      <c r="AO186" s="7" t="n">
        <v>-0.349</v>
      </c>
      <c r="AP186" s="7" t="n">
        <v>-0.204</v>
      </c>
      <c r="AQ186" s="7" t="n">
        <v>0.066</v>
      </c>
      <c r="AR186" s="7" t="n">
        <v>-0.103</v>
      </c>
      <c r="AS186" s="7" t="n">
        <v>-0.17</v>
      </c>
      <c r="AT186" s="7" t="n">
        <v>-0.097</v>
      </c>
      <c r="AU186" s="7" t="n">
        <v>0.016</v>
      </c>
      <c r="AV186" s="7" t="n">
        <v>0.249</v>
      </c>
    </row>
    <row r="187" customFormat="false" ht="15" hidden="false" customHeight="false" outlineLevel="0" collapsed="false">
      <c r="A187" s="19" t="n">
        <v>46504</v>
      </c>
      <c r="B187" s="6" t="n">
        <v>1</v>
      </c>
      <c r="C187" s="6" t="s">
        <v>195</v>
      </c>
      <c r="D187" s="6" t="s">
        <v>197</v>
      </c>
      <c r="E187" s="6" t="s">
        <v>173</v>
      </c>
      <c r="F187" s="6" t="s">
        <v>210</v>
      </c>
      <c r="G187" s="7" t="n">
        <v>-0.224</v>
      </c>
      <c r="H187" s="7" t="n">
        <v>0.178</v>
      </c>
      <c r="I187" s="7" t="n">
        <v>-0.33</v>
      </c>
      <c r="J187" s="7" t="n">
        <v>0.134</v>
      </c>
      <c r="K187" s="7" t="n">
        <v>-0.12</v>
      </c>
      <c r="L187" s="7" t="n">
        <v>-0.224</v>
      </c>
      <c r="M187" s="7" t="n">
        <v>-0.226</v>
      </c>
      <c r="N187" s="7" t="n">
        <v>-0.26</v>
      </c>
      <c r="O187" s="7" t="n">
        <v>-0.478</v>
      </c>
      <c r="P187" s="7" t="n">
        <v>0.136</v>
      </c>
      <c r="Q187" s="7" t="n">
        <v>0.213</v>
      </c>
      <c r="R187" s="7" t="n">
        <v>-0.421</v>
      </c>
      <c r="S187" s="7" t="n">
        <v>-0.048</v>
      </c>
      <c r="T187" s="7" t="n">
        <v>-0.19</v>
      </c>
      <c r="U187" s="7" t="n">
        <v>0.042</v>
      </c>
      <c r="V187" s="7" t="n">
        <v>0.369</v>
      </c>
      <c r="W187" s="7" t="n">
        <v>-0.103</v>
      </c>
      <c r="X187" s="7" t="n">
        <v>-0.07</v>
      </c>
      <c r="Y187" s="7" t="n">
        <v>0.095</v>
      </c>
      <c r="Z187" s="7" t="n">
        <v>0.101</v>
      </c>
      <c r="AA187" s="7" t="n">
        <v>-0.193</v>
      </c>
      <c r="AB187" s="7" t="n">
        <v>-0.039</v>
      </c>
      <c r="AC187" s="7" t="n">
        <v>-0.292</v>
      </c>
      <c r="AD187" s="7" t="n">
        <v>0.072</v>
      </c>
      <c r="AE187" s="7" t="n">
        <v>-0.014</v>
      </c>
      <c r="AF187" s="7" t="n">
        <v>0.044</v>
      </c>
      <c r="AG187" s="7" t="n">
        <v>-0.552</v>
      </c>
      <c r="AH187" s="7" t="n">
        <v>0.235</v>
      </c>
      <c r="AI187" s="7" t="n">
        <v>-0.134</v>
      </c>
      <c r="AJ187" s="7" t="n">
        <v>0.059</v>
      </c>
      <c r="AK187" s="7" t="n">
        <v>0.514</v>
      </c>
      <c r="AL187" s="7" t="n">
        <v>-0.04</v>
      </c>
      <c r="AM187" s="7" t="n">
        <v>0.147</v>
      </c>
      <c r="AN187" s="7" t="n">
        <v>0.105</v>
      </c>
      <c r="AO187" s="7" t="n">
        <v>-0.377</v>
      </c>
      <c r="AP187" s="7" t="n">
        <v>-0.232</v>
      </c>
      <c r="AQ187" s="7" t="n">
        <v>0.024</v>
      </c>
      <c r="AR187" s="7" t="n">
        <v>-0.121</v>
      </c>
      <c r="AS187" s="7" t="n">
        <v>-0.181</v>
      </c>
      <c r="AT187" s="7" t="n">
        <v>-0.218</v>
      </c>
      <c r="AU187" s="7" t="n">
        <v>0.038</v>
      </c>
      <c r="AV187" s="7" t="n">
        <v>0.216</v>
      </c>
    </row>
    <row r="188" customFormat="false" ht="15" hidden="false" customHeight="false" outlineLevel="0" collapsed="false">
      <c r="A188" s="19" t="n">
        <v>46505</v>
      </c>
      <c r="B188" s="6" t="n">
        <v>1</v>
      </c>
      <c r="C188" s="6" t="s">
        <v>198</v>
      </c>
      <c r="D188" s="6" t="s">
        <v>199</v>
      </c>
      <c r="E188" s="6" t="s">
        <v>173</v>
      </c>
      <c r="F188" s="6" t="s">
        <v>210</v>
      </c>
      <c r="G188" s="7" t="n">
        <v>-0.556</v>
      </c>
      <c r="H188" s="7" t="n">
        <v>-0.288</v>
      </c>
      <c r="I188" s="7" t="n">
        <v>-0.278</v>
      </c>
      <c r="J188" s="7" t="n">
        <v>-0.057</v>
      </c>
      <c r="K188" s="7" t="n">
        <v>-0.39</v>
      </c>
      <c r="L188" s="7" t="n">
        <v>-0.225</v>
      </c>
      <c r="M188" s="7" t="n">
        <v>-0.565</v>
      </c>
      <c r="N188" s="7" t="n">
        <v>-0.645</v>
      </c>
      <c r="O188" s="7" t="n">
        <v>-0.18</v>
      </c>
      <c r="P188" s="7" t="n">
        <v>0.136</v>
      </c>
      <c r="Q188" s="7" t="n">
        <v>-0.197</v>
      </c>
      <c r="R188" s="7" t="n">
        <v>-0.134</v>
      </c>
      <c r="S188" s="7" t="n">
        <v>-0.365</v>
      </c>
      <c r="T188" s="7" t="n">
        <v>-0.377</v>
      </c>
      <c r="U188" s="7" t="n">
        <v>-0.347</v>
      </c>
      <c r="V188" s="7" t="n">
        <v>-0.069</v>
      </c>
      <c r="W188" s="7" t="n">
        <v>-0.541</v>
      </c>
      <c r="X188" s="7" t="n">
        <v>-0.036</v>
      </c>
      <c r="Y188" s="7" t="n">
        <v>-0.208</v>
      </c>
      <c r="Z188" s="7" t="n">
        <v>-0.331</v>
      </c>
      <c r="AA188" s="7" t="n">
        <v>-0.477</v>
      </c>
      <c r="AB188" s="7" t="n">
        <v>-0.136</v>
      </c>
      <c r="AC188" s="7" t="n">
        <v>-0.253</v>
      </c>
      <c r="AD188" s="7" t="n">
        <v>-0.188</v>
      </c>
      <c r="AE188" s="7" t="n">
        <v>0.034</v>
      </c>
      <c r="AF188" s="7" t="n">
        <v>-0.402</v>
      </c>
      <c r="AG188" s="7" t="n">
        <v>-0.318</v>
      </c>
      <c r="AH188" s="7" t="n">
        <v>-0.197</v>
      </c>
      <c r="AI188" s="7" t="n">
        <v>-0.18</v>
      </c>
      <c r="AJ188" s="7" t="n">
        <v>-0.259</v>
      </c>
      <c r="AK188" s="7" t="n">
        <v>-0.091</v>
      </c>
      <c r="AL188" s="7" t="n">
        <v>-0.344</v>
      </c>
      <c r="AM188" s="7" t="n">
        <v>0.245</v>
      </c>
      <c r="AN188" s="7" t="n">
        <v>-0.278</v>
      </c>
      <c r="AO188" s="7" t="n">
        <v>-0.566</v>
      </c>
      <c r="AP188" s="7" t="n">
        <v>-0.426</v>
      </c>
      <c r="AQ188" s="7" t="n">
        <v>-0.39</v>
      </c>
      <c r="AR188" s="7" t="n">
        <v>-0.102</v>
      </c>
      <c r="AS188" s="7" t="n">
        <v>-0.39</v>
      </c>
      <c r="AT188" s="7" t="n">
        <v>-0.101</v>
      </c>
      <c r="AU188" s="7" t="n">
        <v>0.039</v>
      </c>
      <c r="AV188" s="7" t="n">
        <v>-0.186</v>
      </c>
    </row>
    <row r="189" customFormat="false" ht="15" hidden="false" customHeight="false" outlineLevel="0" collapsed="false">
      <c r="A189" s="19" t="n">
        <v>46506</v>
      </c>
      <c r="B189" s="6" t="n">
        <v>1</v>
      </c>
      <c r="C189" s="6" t="s">
        <v>198</v>
      </c>
      <c r="D189" s="6" t="s">
        <v>200</v>
      </c>
      <c r="E189" s="6" t="s">
        <v>176</v>
      </c>
      <c r="F189" s="6" t="s">
        <v>210</v>
      </c>
      <c r="G189" s="7" t="n">
        <v>-0.287</v>
      </c>
      <c r="H189" s="7" t="n">
        <v>-0.116</v>
      </c>
      <c r="I189" s="7" t="n">
        <v>-0.175</v>
      </c>
      <c r="J189" s="7" t="n">
        <v>0.116</v>
      </c>
      <c r="K189" s="7" t="n">
        <v>-0.036</v>
      </c>
      <c r="L189" s="7" t="n">
        <v>0.061</v>
      </c>
      <c r="M189" s="7" t="n">
        <v>-0.589</v>
      </c>
      <c r="N189" s="7" t="n">
        <v>-0.709</v>
      </c>
      <c r="O189" s="7" t="n">
        <v>-0.257</v>
      </c>
      <c r="P189" s="7" t="n">
        <v>0.135</v>
      </c>
      <c r="Q189" s="7" t="n">
        <v>0.021</v>
      </c>
      <c r="R189" s="7" t="n">
        <v>-0.047</v>
      </c>
      <c r="S189" s="7" t="n">
        <v>-0.273</v>
      </c>
      <c r="T189" s="7" t="n">
        <v>-0.291</v>
      </c>
      <c r="U189" s="7" t="n">
        <v>-0.336</v>
      </c>
      <c r="V189" s="7" t="n">
        <v>0.019</v>
      </c>
      <c r="W189" s="7" t="n">
        <v>-0.573</v>
      </c>
      <c r="X189" s="7" t="n">
        <v>0.064</v>
      </c>
      <c r="Y189" s="7" t="n">
        <v>-0.352</v>
      </c>
      <c r="Z189" s="7" t="n">
        <v>0.001</v>
      </c>
      <c r="AA189" s="7" t="n">
        <v>-0.476</v>
      </c>
      <c r="AB189" s="7" t="n">
        <v>0.076</v>
      </c>
      <c r="AC189" s="7" t="n">
        <v>-0.328</v>
      </c>
      <c r="AD189" s="7" t="n">
        <v>0.227</v>
      </c>
      <c r="AE189" s="7" t="n">
        <v>0.135</v>
      </c>
      <c r="AF189" s="7" t="n">
        <v>-0.436</v>
      </c>
      <c r="AG189" s="7" t="n">
        <v>-0.438</v>
      </c>
      <c r="AH189" s="7" t="n">
        <v>0.017</v>
      </c>
      <c r="AI189" s="7" t="n">
        <v>-0.091</v>
      </c>
      <c r="AJ189" s="7" t="n">
        <v>-0.046</v>
      </c>
      <c r="AK189" s="7" t="n">
        <v>0.187</v>
      </c>
      <c r="AL189" s="7" t="n">
        <v>-0.403</v>
      </c>
      <c r="AM189" s="7" t="n">
        <v>0.249</v>
      </c>
      <c r="AN189" s="7" t="n">
        <v>-0.069</v>
      </c>
      <c r="AO189" s="7" t="n">
        <v>-0.668</v>
      </c>
      <c r="AP189" s="7" t="n">
        <v>-0.454</v>
      </c>
      <c r="AQ189" s="7" t="n">
        <v>-0.299</v>
      </c>
      <c r="AR189" s="7" t="n">
        <v>-0.104</v>
      </c>
      <c r="AS189" s="7" t="n">
        <v>-0.415</v>
      </c>
      <c r="AT189" s="7" t="n">
        <v>-0.096</v>
      </c>
      <c r="AU189" s="7" t="n">
        <v>0.04</v>
      </c>
      <c r="AV189" s="7" t="n">
        <v>0.024</v>
      </c>
    </row>
    <row r="190" customFormat="false" ht="15" hidden="false" customHeight="false" outlineLevel="0" collapsed="false">
      <c r="A190" s="19" t="n">
        <v>46507</v>
      </c>
      <c r="B190" s="6" t="n">
        <v>1</v>
      </c>
      <c r="C190" s="6" t="s">
        <v>202</v>
      </c>
      <c r="D190" s="6" t="s">
        <v>201</v>
      </c>
      <c r="E190" s="6" t="s">
        <v>176</v>
      </c>
      <c r="F190" s="6" t="s">
        <v>172</v>
      </c>
      <c r="G190" s="7" t="n">
        <v>-0.168</v>
      </c>
      <c r="H190" s="7" t="n">
        <v>-0.157</v>
      </c>
      <c r="I190" s="7" t="n">
        <v>0.217</v>
      </c>
      <c r="J190" s="7" t="n">
        <v>0.059</v>
      </c>
      <c r="K190" s="7" t="n">
        <v>-0.07</v>
      </c>
      <c r="L190" s="7" t="n">
        <v>0.262</v>
      </c>
      <c r="M190" s="7" t="n">
        <v>-0.131</v>
      </c>
      <c r="N190" s="7" t="n">
        <v>-0.293</v>
      </c>
      <c r="O190" s="7" t="n">
        <v>-0.208</v>
      </c>
      <c r="P190" s="7" t="n">
        <v>0.133</v>
      </c>
      <c r="Q190" s="7" t="n">
        <v>0.032</v>
      </c>
      <c r="R190" s="7" t="n">
        <v>-0.081</v>
      </c>
      <c r="S190" s="7" t="n">
        <v>-0.526</v>
      </c>
      <c r="T190" s="7" t="n">
        <v>0.031</v>
      </c>
      <c r="U190" s="7" t="n">
        <v>-0.024</v>
      </c>
      <c r="V190" s="7" t="n">
        <v>0.025</v>
      </c>
      <c r="W190" s="7" t="n">
        <v>-0.095</v>
      </c>
      <c r="X190" s="7" t="n">
        <v>-0.222</v>
      </c>
      <c r="Y190" s="7" t="n">
        <v>-0.268</v>
      </c>
      <c r="Z190" s="7" t="n">
        <v>0.002</v>
      </c>
      <c r="AA190" s="7" t="n">
        <v>0.003</v>
      </c>
      <c r="AB190" s="7" t="n">
        <v>0.081</v>
      </c>
      <c r="AC190" s="7" t="n">
        <v>-0.024</v>
      </c>
      <c r="AD190" s="7" t="n">
        <v>-0.053</v>
      </c>
      <c r="AE190" s="7" t="n">
        <v>0.133</v>
      </c>
      <c r="AF190" s="7" t="n">
        <v>-0.318</v>
      </c>
      <c r="AG190" s="7" t="n">
        <v>-0.255</v>
      </c>
      <c r="AH190" s="7" t="n">
        <v>0.023</v>
      </c>
      <c r="AI190" s="7" t="n">
        <v>0.061</v>
      </c>
      <c r="AJ190" s="7" t="n">
        <v>-0.076</v>
      </c>
      <c r="AK190" s="7" t="n">
        <v>0.189</v>
      </c>
      <c r="AL190" s="7" t="n">
        <v>-0.422</v>
      </c>
      <c r="AM190" s="7" t="n">
        <v>0.219</v>
      </c>
      <c r="AN190" s="7" t="n">
        <v>-0.061</v>
      </c>
      <c r="AO190" s="7" t="n">
        <v>-0.356</v>
      </c>
      <c r="AP190" s="7" t="n">
        <v>-0.468</v>
      </c>
      <c r="AQ190" s="7" t="n">
        <v>0.079</v>
      </c>
      <c r="AR190" s="7" t="n">
        <v>-0.099</v>
      </c>
      <c r="AS190" s="7" t="n">
        <v>-0.065</v>
      </c>
      <c r="AT190" s="7" t="n">
        <v>-0.124</v>
      </c>
      <c r="AU190" s="7" t="n">
        <v>0.039</v>
      </c>
      <c r="AV190" s="7" t="n">
        <v>0.025</v>
      </c>
    </row>
    <row r="191" customFormat="false" ht="15" hidden="false" customHeight="false" outlineLevel="0" collapsed="false">
      <c r="A191" s="19" t="n">
        <v>46508</v>
      </c>
      <c r="B191" s="6" t="n">
        <v>0</v>
      </c>
      <c r="C191" s="6" t="s">
        <v>202</v>
      </c>
      <c r="D191" s="6" t="s">
        <v>203</v>
      </c>
      <c r="E191" s="6" t="s">
        <v>176</v>
      </c>
      <c r="F191" s="6" t="s">
        <v>172</v>
      </c>
      <c r="G191" s="7" t="n">
        <v>-0.496</v>
      </c>
      <c r="H191" s="7" t="n">
        <v>-0.147</v>
      </c>
      <c r="I191" s="7" t="n">
        <v>-0.062</v>
      </c>
      <c r="J191" s="7" t="n">
        <v>0.042</v>
      </c>
      <c r="K191" s="7" t="n">
        <v>-0.219</v>
      </c>
      <c r="L191" s="7" t="n">
        <v>0.148</v>
      </c>
      <c r="M191" s="7" t="n">
        <v>-0.597</v>
      </c>
      <c r="N191" s="7" t="n">
        <v>-0.564</v>
      </c>
      <c r="O191" s="7" t="n">
        <v>-0.299</v>
      </c>
      <c r="P191" s="7" t="n">
        <v>0.131</v>
      </c>
      <c r="Q191" s="7" t="n">
        <v>-0.02</v>
      </c>
      <c r="R191" s="7" t="n">
        <v>-0.243</v>
      </c>
      <c r="S191" s="7" t="n">
        <v>-0.558</v>
      </c>
      <c r="T191" s="7" t="n">
        <v>-0.383</v>
      </c>
      <c r="U191" s="7" t="n">
        <v>-0.205</v>
      </c>
      <c r="V191" s="7" t="n">
        <v>0.042</v>
      </c>
      <c r="W191" s="7" t="n">
        <v>-0.569</v>
      </c>
      <c r="X191" s="7" t="n">
        <v>-0.272</v>
      </c>
      <c r="Y191" s="7" t="n">
        <v>-0.213</v>
      </c>
      <c r="Z191" s="7" t="n">
        <v>-0.388</v>
      </c>
      <c r="AA191" s="7" t="n">
        <v>-0.526</v>
      </c>
      <c r="AB191" s="7" t="n">
        <v>0.096</v>
      </c>
      <c r="AC191" s="7" t="n">
        <v>-0.219</v>
      </c>
      <c r="AD191" s="7" t="n">
        <v>-0.335</v>
      </c>
      <c r="AE191" s="7" t="n">
        <v>0.007</v>
      </c>
      <c r="AF191" s="7" t="n">
        <v>-0.478</v>
      </c>
      <c r="AG191" s="7" t="n">
        <v>-0.256</v>
      </c>
      <c r="AH191" s="7" t="n">
        <v>0.041</v>
      </c>
      <c r="AI191" s="7" t="n">
        <v>-0.504</v>
      </c>
      <c r="AJ191" s="7" t="n">
        <v>-0.133</v>
      </c>
      <c r="AK191" s="7" t="n">
        <v>0.202</v>
      </c>
      <c r="AL191" s="7" t="n">
        <v>-0.344</v>
      </c>
      <c r="AM191" s="7" t="n">
        <v>0.12</v>
      </c>
      <c r="AN191" s="7" t="n">
        <v>-0.043</v>
      </c>
      <c r="AO191" s="7" t="n">
        <v>-0.593</v>
      </c>
      <c r="AP191" s="7" t="n">
        <v>-0.417</v>
      </c>
      <c r="AQ191" s="7" t="n">
        <v>-0.233</v>
      </c>
      <c r="AR191" s="7" t="n">
        <v>-0.098</v>
      </c>
      <c r="AS191" s="7" t="n">
        <v>-0.535</v>
      </c>
      <c r="AT191" s="7" t="n">
        <v>-0.2</v>
      </c>
      <c r="AU191" s="7" t="n">
        <v>-0.032</v>
      </c>
      <c r="AV191" s="7" t="n">
        <v>0.04</v>
      </c>
    </row>
    <row r="192" customFormat="false" ht="15" hidden="false" customHeight="false" outlineLevel="0" collapsed="false">
      <c r="A192" s="19" t="n">
        <v>46509</v>
      </c>
      <c r="B192" s="6" t="n">
        <v>0</v>
      </c>
      <c r="C192" s="6" t="s">
        <v>202</v>
      </c>
      <c r="D192" s="6" t="s">
        <v>204</v>
      </c>
      <c r="E192" s="6" t="s">
        <v>176</v>
      </c>
      <c r="F192" s="6" t="s">
        <v>172</v>
      </c>
      <c r="G192" s="7" t="n">
        <v>-0.595</v>
      </c>
      <c r="H192" s="7" t="n">
        <v>-0.453</v>
      </c>
      <c r="I192" s="7" t="n">
        <v>-0.076</v>
      </c>
      <c r="J192" s="7" t="n">
        <v>0.074</v>
      </c>
      <c r="K192" s="7" t="n">
        <v>-0.524</v>
      </c>
      <c r="L192" s="7" t="n">
        <v>0.142</v>
      </c>
      <c r="M192" s="7" t="n">
        <v>-0.375</v>
      </c>
      <c r="N192" s="7" t="n">
        <v>-0.53</v>
      </c>
      <c r="O192" s="7" t="n">
        <v>-0.628</v>
      </c>
      <c r="P192" s="7" t="n">
        <v>0.104</v>
      </c>
      <c r="Q192" s="7" t="n">
        <v>-0.045</v>
      </c>
      <c r="R192" s="7" t="n">
        <v>-0.566</v>
      </c>
      <c r="S192" s="7" t="n">
        <v>-0.654</v>
      </c>
      <c r="T192" s="7" t="n">
        <v>-0.634</v>
      </c>
      <c r="U192" s="7" t="n">
        <v>-0.203</v>
      </c>
      <c r="V192" s="7" t="n">
        <v>0.043</v>
      </c>
      <c r="W192" s="7" t="n">
        <v>-0.326</v>
      </c>
      <c r="X192" s="7" t="n">
        <v>-0.238</v>
      </c>
      <c r="Y192" s="7" t="n">
        <v>-0.147</v>
      </c>
      <c r="Z192" s="7" t="n">
        <v>-0.128</v>
      </c>
      <c r="AA192" s="7" t="n">
        <v>-0.253</v>
      </c>
      <c r="AB192" s="7" t="n">
        <v>0.096</v>
      </c>
      <c r="AC192" s="7" t="n">
        <v>-0.219</v>
      </c>
      <c r="AD192" s="7" t="n">
        <v>0.069</v>
      </c>
      <c r="AE192" s="7" t="n">
        <v>-0.006</v>
      </c>
      <c r="AF192" s="7" t="n">
        <v>-0.236</v>
      </c>
      <c r="AG192" s="7" t="n">
        <v>-0.68</v>
      </c>
      <c r="AH192" s="7" t="n">
        <v>0.042</v>
      </c>
      <c r="AI192" s="7" t="n">
        <v>-0.283</v>
      </c>
      <c r="AJ192" s="7" t="n">
        <v>-0.506</v>
      </c>
      <c r="AK192" s="7" t="n">
        <v>0.203</v>
      </c>
      <c r="AL192" s="7" t="n">
        <v>-0.293</v>
      </c>
      <c r="AM192" s="7" t="n">
        <v>-0.183</v>
      </c>
      <c r="AN192" s="7" t="n">
        <v>-0.042</v>
      </c>
      <c r="AO192" s="7" t="n">
        <v>-0.55</v>
      </c>
      <c r="AP192" s="7" t="n">
        <v>-0.363</v>
      </c>
      <c r="AQ192" s="7" t="n">
        <v>-0.566</v>
      </c>
      <c r="AR192" s="7" t="n">
        <v>-0.098</v>
      </c>
      <c r="AS192" s="7" t="n">
        <v>-0.277</v>
      </c>
      <c r="AT192" s="7" t="n">
        <v>-0.556</v>
      </c>
      <c r="AU192" s="7" t="n">
        <v>-0.059</v>
      </c>
      <c r="AV192" s="7" t="n">
        <v>0.041</v>
      </c>
    </row>
    <row r="193" customFormat="false" ht="15" hidden="false" customHeight="false" outlineLevel="0" collapsed="false">
      <c r="A193" s="19" t="n">
        <v>46510</v>
      </c>
      <c r="B193" s="6" t="n">
        <v>1</v>
      </c>
      <c r="C193" s="6" t="s">
        <v>205</v>
      </c>
      <c r="D193" s="6" t="s">
        <v>206</v>
      </c>
      <c r="E193" s="6" t="s">
        <v>176</v>
      </c>
      <c r="F193" s="6" t="s">
        <v>172</v>
      </c>
      <c r="G193" s="7" t="n">
        <v>-0.422</v>
      </c>
      <c r="H193" s="7" t="n">
        <v>-0.146</v>
      </c>
      <c r="I193" s="7" t="n">
        <v>-0.141</v>
      </c>
      <c r="J193" s="7" t="n">
        <v>0.109</v>
      </c>
      <c r="K193" s="7" t="n">
        <v>-0.25</v>
      </c>
      <c r="L193" s="7" t="n">
        <v>-0.367</v>
      </c>
      <c r="M193" s="7" t="n">
        <v>-0.489</v>
      </c>
      <c r="N193" s="7" t="n">
        <v>-0.576</v>
      </c>
      <c r="O193" s="7" t="n">
        <v>-0.48</v>
      </c>
      <c r="P193" s="7" t="n">
        <v>0.129</v>
      </c>
      <c r="Q193" s="7" t="n">
        <v>0.015</v>
      </c>
      <c r="R193" s="7" t="n">
        <v>-0.411</v>
      </c>
      <c r="S193" s="7" t="n">
        <v>-0.445</v>
      </c>
      <c r="T193" s="7" t="n">
        <v>-0.553</v>
      </c>
      <c r="U193" s="7" t="n">
        <v>-0.313</v>
      </c>
      <c r="V193" s="7" t="n">
        <v>0.014</v>
      </c>
      <c r="W193" s="7" t="n">
        <v>-0.422</v>
      </c>
      <c r="X193" s="7" t="n">
        <v>0.053</v>
      </c>
      <c r="Y193" s="7" t="n">
        <v>-0.237</v>
      </c>
      <c r="Z193" s="7" t="n">
        <v>-0.023</v>
      </c>
      <c r="AA193" s="7" t="n">
        <v>-0.367</v>
      </c>
      <c r="AB193" s="7" t="n">
        <v>0.096</v>
      </c>
      <c r="AC193" s="7" t="n">
        <v>-0.286</v>
      </c>
      <c r="AD193" s="7" t="n">
        <v>-0.241</v>
      </c>
      <c r="AE193" s="7" t="n">
        <v>0.129</v>
      </c>
      <c r="AF193" s="7" t="n">
        <v>-0.316</v>
      </c>
      <c r="AG193" s="7" t="n">
        <v>-0.443</v>
      </c>
      <c r="AH193" s="7" t="n">
        <v>0.031</v>
      </c>
      <c r="AI193" s="7" t="n">
        <v>-0.059</v>
      </c>
      <c r="AJ193" s="7" t="n">
        <v>-0.163</v>
      </c>
      <c r="AK193" s="7" t="n">
        <v>0.173</v>
      </c>
      <c r="AL193" s="7" t="n">
        <v>-0.118</v>
      </c>
      <c r="AM193" s="7" t="n">
        <v>0.169</v>
      </c>
      <c r="AN193" s="7" t="n">
        <v>-0.077</v>
      </c>
      <c r="AO193" s="7" t="n">
        <v>-0.559</v>
      </c>
      <c r="AP193" s="7" t="n">
        <v>-0.355</v>
      </c>
      <c r="AQ193" s="7" t="n">
        <v>-0.281</v>
      </c>
      <c r="AR193" s="7" t="n">
        <v>-0.103</v>
      </c>
      <c r="AS193" s="7" t="n">
        <v>-0.3</v>
      </c>
      <c r="AT193" s="7" t="n">
        <v>-0.081</v>
      </c>
      <c r="AU193" s="7" t="n">
        <v>0.036</v>
      </c>
      <c r="AV193" s="7" t="n">
        <v>0.011</v>
      </c>
    </row>
    <row r="194" customFormat="false" ht="15" hidden="false" customHeight="false" outlineLevel="0" collapsed="false">
      <c r="A194" s="19" t="n">
        <v>46511</v>
      </c>
      <c r="B194" s="6" t="n">
        <v>1</v>
      </c>
      <c r="C194" s="6" t="s">
        <v>205</v>
      </c>
      <c r="D194" s="6" t="s">
        <v>207</v>
      </c>
      <c r="E194" s="6" t="s">
        <v>176</v>
      </c>
      <c r="F194" s="6" t="s">
        <v>172</v>
      </c>
      <c r="G194" s="7" t="n">
        <v>-0.284</v>
      </c>
      <c r="H194" s="7" t="n">
        <v>-0.051</v>
      </c>
      <c r="I194" s="7" t="n">
        <v>-0.154</v>
      </c>
      <c r="J194" s="7" t="n">
        <v>0.313</v>
      </c>
      <c r="K194" s="7" t="n">
        <v>-0.148</v>
      </c>
      <c r="L194" s="7" t="n">
        <v>-0.38</v>
      </c>
      <c r="M194" s="7" t="n">
        <v>-0.22</v>
      </c>
      <c r="N194" s="7" t="n">
        <v>-0.413</v>
      </c>
      <c r="O194" s="7" t="n">
        <v>-0.416</v>
      </c>
      <c r="P194" s="7" t="n">
        <v>0.364</v>
      </c>
      <c r="Q194" s="7" t="n">
        <v>-0.019</v>
      </c>
      <c r="R194" s="7" t="n">
        <v>-0.321</v>
      </c>
      <c r="S194" s="7" t="n">
        <v>-0.352</v>
      </c>
      <c r="T194" s="7" t="n">
        <v>-0.492</v>
      </c>
      <c r="U194" s="7" t="n">
        <v>-0.347</v>
      </c>
      <c r="V194" s="7" t="n">
        <v>-0.018</v>
      </c>
      <c r="W194" s="7" t="n">
        <v>-0.202</v>
      </c>
      <c r="X194" s="7" t="n">
        <v>0.118</v>
      </c>
      <c r="Y194" s="7" t="n">
        <v>-0.108</v>
      </c>
      <c r="Z194" s="7" t="n">
        <v>-0.083</v>
      </c>
      <c r="AA194" s="7" t="n">
        <v>-0.168</v>
      </c>
      <c r="AB194" s="7" t="n">
        <v>0.055</v>
      </c>
      <c r="AC194" s="7" t="n">
        <v>-0.339</v>
      </c>
      <c r="AD194" s="7" t="n">
        <v>-0.267</v>
      </c>
      <c r="AE194" s="7" t="n">
        <v>0.364</v>
      </c>
      <c r="AF194" s="7" t="n">
        <v>-0.094</v>
      </c>
      <c r="AG194" s="7" t="n">
        <v>-0.437</v>
      </c>
      <c r="AH194" s="7" t="n">
        <v>0.018</v>
      </c>
      <c r="AI194" s="7" t="n">
        <v>-0.01</v>
      </c>
      <c r="AJ194" s="7" t="n">
        <v>-0.117</v>
      </c>
      <c r="AK194" s="7" t="n">
        <v>0.218</v>
      </c>
      <c r="AL194" s="7" t="n">
        <v>-0.118</v>
      </c>
      <c r="AM194" s="7" t="n">
        <v>0.215</v>
      </c>
      <c r="AN194" s="7" t="n">
        <v>-0.048</v>
      </c>
      <c r="AO194" s="7" t="n">
        <v>-0.416</v>
      </c>
      <c r="AP194" s="7" t="n">
        <v>-0.188</v>
      </c>
      <c r="AQ194" s="7" t="n">
        <v>-0.267</v>
      </c>
      <c r="AR194" s="7" t="n">
        <v>-0.103</v>
      </c>
      <c r="AS194" s="7" t="n">
        <v>-0.156</v>
      </c>
      <c r="AT194" s="7" t="n">
        <v>-0.103</v>
      </c>
      <c r="AU194" s="7" t="n">
        <v>0.033</v>
      </c>
      <c r="AV194" s="7" t="n">
        <v>0.037</v>
      </c>
    </row>
    <row r="195" customFormat="false" ht="15" hidden="false" customHeight="false" outlineLevel="0" collapsed="false">
      <c r="A195" s="19" t="n">
        <v>46512</v>
      </c>
      <c r="B195" s="6" t="n">
        <v>1</v>
      </c>
      <c r="C195" s="6" t="s">
        <v>169</v>
      </c>
      <c r="D195" s="6" t="s">
        <v>208</v>
      </c>
      <c r="E195" s="6" t="s">
        <v>176</v>
      </c>
      <c r="F195" s="6" t="s">
        <v>172</v>
      </c>
      <c r="G195" s="7" t="n">
        <v>0.111</v>
      </c>
      <c r="H195" s="7" t="n">
        <v>-0.023</v>
      </c>
      <c r="I195" s="7" t="n">
        <v>0.255</v>
      </c>
      <c r="J195" s="7" t="n">
        <v>0.072</v>
      </c>
      <c r="K195" s="7" t="n">
        <v>-0.039</v>
      </c>
      <c r="L195" s="7" t="n">
        <v>0.231</v>
      </c>
      <c r="M195" s="7" t="n">
        <v>-0.092</v>
      </c>
      <c r="N195" s="7" t="n">
        <v>0.096</v>
      </c>
      <c r="O195" s="7" t="n">
        <v>-0.189</v>
      </c>
      <c r="P195" s="7" t="n">
        <v>0.091</v>
      </c>
      <c r="Q195" s="7" t="n">
        <v>-0.024</v>
      </c>
      <c r="R195" s="7" t="n">
        <v>-0.131</v>
      </c>
      <c r="S195" s="7" t="n">
        <v>-0.305</v>
      </c>
      <c r="T195" s="7" t="n">
        <v>-0.328</v>
      </c>
      <c r="U195" s="7" t="n">
        <v>-0.138</v>
      </c>
      <c r="V195" s="7" t="n">
        <v>-0.041</v>
      </c>
      <c r="W195" s="7" t="n">
        <v>0.176</v>
      </c>
      <c r="X195" s="7" t="n">
        <v>0.313</v>
      </c>
      <c r="Y195" s="7" t="n">
        <v>0.279</v>
      </c>
      <c r="Z195" s="7" t="n">
        <v>-0.062</v>
      </c>
      <c r="AA195" s="7" t="n">
        <v>0.268</v>
      </c>
      <c r="AB195" s="7" t="n">
        <v>0.009</v>
      </c>
      <c r="AC195" s="7" t="n">
        <v>0.104</v>
      </c>
      <c r="AD195" s="7" t="n">
        <v>0.344</v>
      </c>
      <c r="AE195" s="7" t="n">
        <v>0.044</v>
      </c>
      <c r="AF195" s="7" t="n">
        <v>0.18</v>
      </c>
      <c r="AG195" s="7" t="n">
        <v>-0.183</v>
      </c>
      <c r="AH195" s="7" t="n">
        <v>-0.005</v>
      </c>
      <c r="AI195" s="7" t="n">
        <v>0.254</v>
      </c>
      <c r="AJ195" s="7" t="n">
        <v>-0.047</v>
      </c>
      <c r="AK195" s="7" t="n">
        <v>0.182</v>
      </c>
      <c r="AL195" s="7" t="n">
        <v>0.003</v>
      </c>
      <c r="AM195" s="7" t="n">
        <v>0.205</v>
      </c>
      <c r="AN195" s="7" t="n">
        <v>0.03</v>
      </c>
      <c r="AO195" s="7" t="n">
        <v>0.054</v>
      </c>
      <c r="AP195" s="7" t="n">
        <v>0.143</v>
      </c>
      <c r="AQ195" s="7" t="n">
        <v>-0.064</v>
      </c>
      <c r="AR195" s="7" t="n">
        <v>-0.062</v>
      </c>
      <c r="AS195" s="7" t="n">
        <v>0.241</v>
      </c>
      <c r="AT195" s="7" t="n">
        <v>-0.142</v>
      </c>
      <c r="AU195" s="7" t="n">
        <v>0.01</v>
      </c>
      <c r="AV195" s="7" t="n">
        <v>0.074</v>
      </c>
    </row>
    <row r="196" customFormat="false" ht="15" hidden="false" customHeight="false" outlineLevel="0" collapsed="false">
      <c r="A196" s="19" t="n">
        <v>46513</v>
      </c>
      <c r="B196" s="6" t="n">
        <v>1</v>
      </c>
      <c r="C196" s="6" t="s">
        <v>169</v>
      </c>
      <c r="D196" s="6" t="s">
        <v>170</v>
      </c>
      <c r="E196" s="6" t="s">
        <v>176</v>
      </c>
      <c r="F196" s="6" t="s">
        <v>172</v>
      </c>
      <c r="G196" s="7" t="n">
        <v>0.1</v>
      </c>
      <c r="H196" s="7" t="n">
        <v>0.421</v>
      </c>
      <c r="I196" s="7" t="n">
        <v>-0.168</v>
      </c>
      <c r="J196" s="7" t="n">
        <v>0.056</v>
      </c>
      <c r="K196" s="7" t="n">
        <v>0.308</v>
      </c>
      <c r="L196" s="7" t="n">
        <v>0.041</v>
      </c>
      <c r="M196" s="7" t="n">
        <v>-0.244</v>
      </c>
      <c r="N196" s="7" t="n">
        <v>-0.249</v>
      </c>
      <c r="O196" s="7" t="n">
        <v>-0.205</v>
      </c>
      <c r="P196" s="7" t="n">
        <v>0.075</v>
      </c>
      <c r="Q196" s="7" t="n">
        <v>0.368</v>
      </c>
      <c r="R196" s="7" t="n">
        <v>-0.168</v>
      </c>
      <c r="S196" s="7" t="n">
        <v>0.079</v>
      </c>
      <c r="T196" s="7" t="n">
        <v>0.018</v>
      </c>
      <c r="U196" s="7" t="n">
        <v>0.209</v>
      </c>
      <c r="V196" s="7" t="n">
        <v>0.428</v>
      </c>
      <c r="W196" s="7" t="n">
        <v>-0.194</v>
      </c>
      <c r="X196" s="7" t="n">
        <v>0.011</v>
      </c>
      <c r="Y196" s="7" t="n">
        <v>-0.077</v>
      </c>
      <c r="Z196" s="7" t="n">
        <v>0.331</v>
      </c>
      <c r="AA196" s="7" t="n">
        <v>-0.047</v>
      </c>
      <c r="AB196" s="7" t="n">
        <v>0.138</v>
      </c>
      <c r="AC196" s="7" t="n">
        <v>-0.293</v>
      </c>
      <c r="AD196" s="7" t="n">
        <v>0.194</v>
      </c>
      <c r="AE196" s="7" t="n">
        <v>0.075</v>
      </c>
      <c r="AF196" s="7" t="n">
        <v>-0.155</v>
      </c>
      <c r="AG196" s="7" t="n">
        <v>-0.159</v>
      </c>
      <c r="AH196" s="7" t="n">
        <v>0.433</v>
      </c>
      <c r="AI196" s="7" t="n">
        <v>-0.042</v>
      </c>
      <c r="AJ196" s="7" t="n">
        <v>0.328</v>
      </c>
      <c r="AK196" s="7" t="n">
        <v>0.577</v>
      </c>
      <c r="AL196" s="7" t="n">
        <v>-0.061</v>
      </c>
      <c r="AM196" s="7" t="n">
        <v>0.15</v>
      </c>
      <c r="AN196" s="7" t="n">
        <v>0.417</v>
      </c>
      <c r="AO196" s="7" t="n">
        <v>-0.255</v>
      </c>
      <c r="AP196" s="7" t="n">
        <v>-0.076</v>
      </c>
      <c r="AQ196" s="7" t="n">
        <v>0.256</v>
      </c>
      <c r="AR196" s="7" t="n">
        <v>-0.051</v>
      </c>
      <c r="AS196" s="7" t="n">
        <v>-0.055</v>
      </c>
      <c r="AT196" s="7" t="n">
        <v>-0.149</v>
      </c>
      <c r="AU196" s="7" t="n">
        <v>0</v>
      </c>
      <c r="AV196" s="7" t="n">
        <v>0.473</v>
      </c>
    </row>
    <row r="197" customFormat="false" ht="15" hidden="false" customHeight="false" outlineLevel="0" collapsed="false">
      <c r="A197" s="19" t="n">
        <v>46514</v>
      </c>
      <c r="B197" s="6" t="n">
        <v>1</v>
      </c>
      <c r="C197" s="6" t="s">
        <v>173</v>
      </c>
      <c r="D197" s="6" t="s">
        <v>174</v>
      </c>
      <c r="E197" s="6" t="s">
        <v>176</v>
      </c>
      <c r="F197" s="6" t="s">
        <v>172</v>
      </c>
      <c r="G197" s="7" t="n">
        <v>-0.39</v>
      </c>
      <c r="H197" s="7" t="n">
        <v>-0.006</v>
      </c>
      <c r="I197" s="7" t="n">
        <v>-0.185</v>
      </c>
      <c r="J197" s="7" t="n">
        <v>0.012</v>
      </c>
      <c r="K197" s="7" t="n">
        <v>-0.325</v>
      </c>
      <c r="L197" s="7" t="n">
        <v>0.112</v>
      </c>
      <c r="M197" s="7" t="n">
        <v>-0.305</v>
      </c>
      <c r="N197" s="7" t="n">
        <v>-0.444</v>
      </c>
      <c r="O197" s="7" t="n">
        <v>-0.235</v>
      </c>
      <c r="P197" s="7" t="n">
        <v>0.03</v>
      </c>
      <c r="Q197" s="7" t="n">
        <v>-0.035</v>
      </c>
      <c r="R197" s="7" t="n">
        <v>-0.188</v>
      </c>
      <c r="S197" s="7" t="n">
        <v>-0.413</v>
      </c>
      <c r="T197" s="7" t="n">
        <v>-0.411</v>
      </c>
      <c r="U197" s="7" t="n">
        <v>-0.259</v>
      </c>
      <c r="V197" s="7" t="n">
        <v>0.005</v>
      </c>
      <c r="W197" s="7" t="n">
        <v>-0.266</v>
      </c>
      <c r="X197" s="7" t="n">
        <v>-0.029</v>
      </c>
      <c r="Y197" s="7" t="n">
        <v>-0.11</v>
      </c>
      <c r="Z197" s="7" t="n">
        <v>-0.219</v>
      </c>
      <c r="AA197" s="7" t="n">
        <v>-0.22</v>
      </c>
      <c r="AB197" s="7" t="n">
        <v>0.081</v>
      </c>
      <c r="AC197" s="7" t="n">
        <v>-0.199</v>
      </c>
      <c r="AD197" s="7" t="n">
        <v>0.161</v>
      </c>
      <c r="AE197" s="7" t="n">
        <v>0.03</v>
      </c>
      <c r="AF197" s="7" t="n">
        <v>-0.172</v>
      </c>
      <c r="AG197" s="7" t="n">
        <v>-0.192</v>
      </c>
      <c r="AH197" s="7" t="n">
        <v>0.106</v>
      </c>
      <c r="AI197" s="7" t="n">
        <v>-0.177</v>
      </c>
      <c r="AJ197" s="7" t="n">
        <v>-0.19</v>
      </c>
      <c r="AK197" s="7" t="n">
        <v>0.17</v>
      </c>
      <c r="AL197" s="7" t="n">
        <v>-0.121</v>
      </c>
      <c r="AM197" s="7" t="n">
        <v>0.144</v>
      </c>
      <c r="AN197" s="7" t="n">
        <v>-0.038</v>
      </c>
      <c r="AO197" s="7" t="n">
        <v>-0.344</v>
      </c>
      <c r="AP197" s="7" t="n">
        <v>-0.107</v>
      </c>
      <c r="AQ197" s="7" t="n">
        <v>-0.292</v>
      </c>
      <c r="AR197" s="7" t="n">
        <v>-0.101</v>
      </c>
      <c r="AS197" s="7" t="n">
        <v>-0.113</v>
      </c>
      <c r="AT197" s="7" t="n">
        <v>-0.182</v>
      </c>
      <c r="AU197" s="7" t="n">
        <v>-0.039</v>
      </c>
      <c r="AV197" s="7" t="n">
        <v>0.04</v>
      </c>
    </row>
    <row r="198" customFormat="false" ht="15" hidden="false" customHeight="false" outlineLevel="0" collapsed="false">
      <c r="A198" s="19" t="n">
        <v>46515</v>
      </c>
      <c r="B198" s="6" t="n">
        <v>0</v>
      </c>
      <c r="C198" s="6" t="s">
        <v>173</v>
      </c>
      <c r="D198" s="6" t="s">
        <v>209</v>
      </c>
      <c r="E198" s="6" t="s">
        <v>176</v>
      </c>
      <c r="F198" s="6" t="s">
        <v>172</v>
      </c>
      <c r="G198" s="7" t="n">
        <v>-0.441</v>
      </c>
      <c r="H198" s="7" t="n">
        <v>-0.382</v>
      </c>
      <c r="I198" s="7" t="n">
        <v>-0.215</v>
      </c>
      <c r="J198" s="7" t="n">
        <v>0.013</v>
      </c>
      <c r="K198" s="7" t="n">
        <v>-0.284</v>
      </c>
      <c r="L198" s="7" t="n">
        <v>0.09</v>
      </c>
      <c r="M198" s="7" t="n">
        <v>-0.389</v>
      </c>
      <c r="N198" s="7" t="n">
        <v>-0.696</v>
      </c>
      <c r="O198" s="7" t="n">
        <v>-0.493</v>
      </c>
      <c r="P198" s="7" t="n">
        <v>0.032</v>
      </c>
      <c r="Q198" s="7" t="n">
        <v>-0.481</v>
      </c>
      <c r="R198" s="7" t="n">
        <v>-0.165</v>
      </c>
      <c r="S198" s="7" t="n">
        <v>-0.508</v>
      </c>
      <c r="T198" s="7" t="n">
        <v>-0.483</v>
      </c>
      <c r="U198" s="7" t="n">
        <v>-0.289</v>
      </c>
      <c r="V198" s="7" t="n">
        <v>-0.016</v>
      </c>
      <c r="W198" s="7" t="n">
        <v>-0.345</v>
      </c>
      <c r="X198" s="7" t="n">
        <v>-0.022</v>
      </c>
      <c r="Y198" s="7" t="n">
        <v>-0.119</v>
      </c>
      <c r="Z198" s="7" t="n">
        <v>-0.254</v>
      </c>
      <c r="AA198" s="7" t="n">
        <v>-0.282</v>
      </c>
      <c r="AB198" s="7" t="n">
        <v>0.067</v>
      </c>
      <c r="AC198" s="7" t="n">
        <v>-0.201</v>
      </c>
      <c r="AD198" s="7" t="n">
        <v>0.126</v>
      </c>
      <c r="AE198" s="7" t="n">
        <v>0.032</v>
      </c>
      <c r="AF198" s="7" t="n">
        <v>-0.233</v>
      </c>
      <c r="AG198" s="7" t="n">
        <v>-0.597</v>
      </c>
      <c r="AH198" s="7" t="n">
        <v>0.109</v>
      </c>
      <c r="AI198" s="7" t="n">
        <v>-0.226</v>
      </c>
      <c r="AJ198" s="7" t="n">
        <v>-0.137</v>
      </c>
      <c r="AK198" s="7" t="n">
        <v>0.186</v>
      </c>
      <c r="AL198" s="7" t="n">
        <v>-0.156</v>
      </c>
      <c r="AM198" s="7" t="n">
        <v>0.158</v>
      </c>
      <c r="AN198" s="7" t="n">
        <v>-0.398</v>
      </c>
      <c r="AO198" s="7" t="n">
        <v>-0.662</v>
      </c>
      <c r="AP198" s="7" t="n">
        <v>-0.491</v>
      </c>
      <c r="AQ198" s="7" t="n">
        <v>-0.313</v>
      </c>
      <c r="AR198" s="7" t="n">
        <v>-0.494</v>
      </c>
      <c r="AS198" s="7" t="n">
        <v>-0.131</v>
      </c>
      <c r="AT198" s="7" t="n">
        <v>-0.161</v>
      </c>
      <c r="AU198" s="7" t="n">
        <v>-0.031</v>
      </c>
      <c r="AV198" s="7" t="n">
        <v>0.041</v>
      </c>
    </row>
    <row r="199" customFormat="false" ht="15" hidden="false" customHeight="false" outlineLevel="0" collapsed="false">
      <c r="A199" s="19" t="n">
        <v>46516</v>
      </c>
      <c r="B199" s="6" t="n">
        <v>0</v>
      </c>
      <c r="C199" s="6" t="s">
        <v>176</v>
      </c>
      <c r="D199" s="6" t="s">
        <v>175</v>
      </c>
      <c r="E199" s="6" t="s">
        <v>176</v>
      </c>
      <c r="F199" s="6" t="s">
        <v>172</v>
      </c>
      <c r="G199" s="7" t="n">
        <v>-0.211</v>
      </c>
      <c r="H199" s="7" t="n">
        <v>0.3</v>
      </c>
      <c r="I199" s="7" t="n">
        <v>-0.454</v>
      </c>
      <c r="J199" s="7" t="n">
        <v>0.447</v>
      </c>
      <c r="K199" s="7" t="n">
        <v>-0.021</v>
      </c>
      <c r="L199" s="7" t="n">
        <v>-0.192</v>
      </c>
      <c r="M199" s="7" t="n">
        <v>-0.489</v>
      </c>
      <c r="N199" s="7" t="n">
        <v>-0.486</v>
      </c>
      <c r="O199" s="7" t="n">
        <v>-0.201</v>
      </c>
      <c r="P199" s="7" t="n">
        <v>0.364</v>
      </c>
      <c r="Q199" s="7" t="n">
        <v>0.057</v>
      </c>
      <c r="R199" s="7" t="n">
        <v>0.003</v>
      </c>
      <c r="S199" s="7" t="n">
        <v>-0.105</v>
      </c>
      <c r="T199" s="7" t="n">
        <v>-0.334</v>
      </c>
      <c r="U199" s="7" t="n">
        <v>-0.463</v>
      </c>
      <c r="V199" s="7" t="n">
        <v>-0.068</v>
      </c>
      <c r="W199" s="7" t="n">
        <v>-0.468</v>
      </c>
      <c r="X199" s="7" t="n">
        <v>0.281</v>
      </c>
      <c r="Y199" s="7" t="n">
        <v>-0.083</v>
      </c>
      <c r="Z199" s="7" t="n">
        <v>0.08</v>
      </c>
      <c r="AA199" s="7" t="n">
        <v>-0.309</v>
      </c>
      <c r="AB199" s="7" t="n">
        <v>-0.021</v>
      </c>
      <c r="AC199" s="7" t="n">
        <v>-0.487</v>
      </c>
      <c r="AD199" s="7" t="n">
        <v>0.16</v>
      </c>
      <c r="AE199" s="7" t="n">
        <v>0.44</v>
      </c>
      <c r="AF199" s="7" t="n">
        <v>-0.193</v>
      </c>
      <c r="AG199" s="7" t="n">
        <v>-0.157</v>
      </c>
      <c r="AH199" s="7" t="n">
        <v>0.021</v>
      </c>
      <c r="AI199" s="7" t="n">
        <v>0.008</v>
      </c>
      <c r="AJ199" s="7" t="n">
        <v>0.177</v>
      </c>
      <c r="AK199" s="7" t="n">
        <v>0.355</v>
      </c>
      <c r="AL199" s="7" t="n">
        <v>-0.194</v>
      </c>
      <c r="AM199" s="7" t="n">
        <v>0.159</v>
      </c>
      <c r="AN199" s="7" t="n">
        <v>0.045</v>
      </c>
      <c r="AO199" s="7" t="n">
        <v>-0.475</v>
      </c>
      <c r="AP199" s="7" t="n">
        <v>-0.069</v>
      </c>
      <c r="AQ199" s="7" t="n">
        <v>-0.405</v>
      </c>
      <c r="AR199" s="7" t="n">
        <v>-0.084</v>
      </c>
      <c r="AS199" s="7" t="n">
        <v>-0.307</v>
      </c>
      <c r="AT199" s="7" t="n">
        <v>0.011</v>
      </c>
      <c r="AU199" s="7" t="n">
        <v>0.139</v>
      </c>
      <c r="AV199" s="7" t="n">
        <v>0.103</v>
      </c>
    </row>
    <row r="200" customFormat="false" ht="15" hidden="false" customHeight="false" outlineLevel="0" collapsed="false">
      <c r="A200" s="19" t="n">
        <v>46517</v>
      </c>
      <c r="B200" s="6" t="n">
        <v>1</v>
      </c>
      <c r="C200" s="6" t="s">
        <v>176</v>
      </c>
      <c r="D200" s="6" t="s">
        <v>177</v>
      </c>
      <c r="E200" s="6" t="s">
        <v>176</v>
      </c>
      <c r="F200" s="6" t="s">
        <v>172</v>
      </c>
      <c r="G200" s="7" t="n">
        <v>-0.376</v>
      </c>
      <c r="H200" s="7" t="n">
        <v>0.009</v>
      </c>
      <c r="I200" s="7" t="n">
        <v>-0.224</v>
      </c>
      <c r="J200" s="7" t="n">
        <v>0.451</v>
      </c>
      <c r="K200" s="7" t="n">
        <v>-0.266</v>
      </c>
      <c r="L200" s="7" t="n">
        <v>-0.15</v>
      </c>
      <c r="M200" s="7" t="n">
        <v>-0.658</v>
      </c>
      <c r="N200" s="7" t="n">
        <v>-0.364</v>
      </c>
      <c r="O200" s="7" t="n">
        <v>-0.173</v>
      </c>
      <c r="P200" s="7" t="n">
        <v>0.374</v>
      </c>
      <c r="Q200" s="7" t="n">
        <v>-0.003</v>
      </c>
      <c r="R200" s="7" t="n">
        <v>0.033</v>
      </c>
      <c r="S200" s="7" t="n">
        <v>-0.239</v>
      </c>
      <c r="T200" s="7" t="n">
        <v>-0.21</v>
      </c>
      <c r="U200" s="7" t="n">
        <v>-0.262</v>
      </c>
      <c r="V200" s="7" t="n">
        <v>-0.13</v>
      </c>
      <c r="W200" s="7" t="n">
        <v>-0.649</v>
      </c>
      <c r="X200" s="7" t="n">
        <v>0.241</v>
      </c>
      <c r="Y200" s="7" t="n">
        <v>-0.121</v>
      </c>
      <c r="Z200" s="7" t="n">
        <v>-0.453</v>
      </c>
      <c r="AA200" s="7" t="n">
        <v>-0.513</v>
      </c>
      <c r="AB200" s="7" t="n">
        <v>-0.021</v>
      </c>
      <c r="AC200" s="7" t="n">
        <v>-0.207</v>
      </c>
      <c r="AD200" s="7" t="n">
        <v>-0.427</v>
      </c>
      <c r="AE200" s="7" t="n">
        <v>0.447</v>
      </c>
      <c r="AF200" s="7" t="n">
        <v>-0.537</v>
      </c>
      <c r="AG200" s="7" t="n">
        <v>-0.127</v>
      </c>
      <c r="AH200" s="7" t="n">
        <v>-0.043</v>
      </c>
      <c r="AI200" s="7" t="n">
        <v>-0.166</v>
      </c>
      <c r="AJ200" s="7" t="n">
        <v>-0.01</v>
      </c>
      <c r="AK200" s="7" t="n">
        <v>0.071</v>
      </c>
      <c r="AL200" s="7" t="n">
        <v>-0.156</v>
      </c>
      <c r="AM200" s="7" t="n">
        <v>0.165</v>
      </c>
      <c r="AN200" s="7" t="n">
        <v>-0.019</v>
      </c>
      <c r="AO200" s="7" t="n">
        <v>-0.323</v>
      </c>
      <c r="AP200" s="7" t="n">
        <v>-0.108</v>
      </c>
      <c r="AQ200" s="7" t="n">
        <v>-0.298</v>
      </c>
      <c r="AR200" s="7" t="n">
        <v>-0.084</v>
      </c>
      <c r="AS200" s="7" t="n">
        <v>-0.473</v>
      </c>
      <c r="AT200" s="7" t="n">
        <v>0.04</v>
      </c>
      <c r="AU200" s="7" t="n">
        <v>0.139</v>
      </c>
      <c r="AV200" s="7" t="n">
        <v>0.039</v>
      </c>
    </row>
    <row r="201" customFormat="false" ht="15" hidden="false" customHeight="false" outlineLevel="0" collapsed="false">
      <c r="A201" s="19" t="n">
        <v>46518</v>
      </c>
      <c r="B201" s="6" t="n">
        <v>1</v>
      </c>
      <c r="C201" s="6" t="s">
        <v>180</v>
      </c>
      <c r="D201" s="6" t="s">
        <v>178</v>
      </c>
      <c r="E201" s="6" t="s">
        <v>176</v>
      </c>
      <c r="F201" s="6" t="s">
        <v>172</v>
      </c>
      <c r="G201" s="7" t="n">
        <v>-0.415</v>
      </c>
      <c r="H201" s="7" t="n">
        <v>-0.303</v>
      </c>
      <c r="I201" s="7" t="n">
        <v>-0.201</v>
      </c>
      <c r="J201" s="7" t="n">
        <v>0.13</v>
      </c>
      <c r="K201" s="7" t="n">
        <v>-0.391</v>
      </c>
      <c r="L201" s="7" t="n">
        <v>-0.129</v>
      </c>
      <c r="M201" s="7" t="n">
        <v>-0.26</v>
      </c>
      <c r="N201" s="7" t="n">
        <v>-0.395</v>
      </c>
      <c r="O201" s="7" t="n">
        <v>-0.485</v>
      </c>
      <c r="P201" s="7" t="n">
        <v>0.057</v>
      </c>
      <c r="Q201" s="7" t="n">
        <v>-0.029</v>
      </c>
      <c r="R201" s="7" t="n">
        <v>-0.427</v>
      </c>
      <c r="S201" s="7" t="n">
        <v>-0.43</v>
      </c>
      <c r="T201" s="7" t="n">
        <v>-0.477</v>
      </c>
      <c r="U201" s="7" t="n">
        <v>-0.234</v>
      </c>
      <c r="V201" s="7" t="n">
        <v>-0.111</v>
      </c>
      <c r="W201" s="7" t="n">
        <v>-0.258</v>
      </c>
      <c r="X201" s="7" t="n">
        <v>0.101</v>
      </c>
      <c r="Y201" s="7" t="n">
        <v>-0.125</v>
      </c>
      <c r="Z201" s="7" t="n">
        <v>-0.066</v>
      </c>
      <c r="AA201" s="7" t="n">
        <v>-0.262</v>
      </c>
      <c r="AB201" s="7" t="n">
        <v>-0.028</v>
      </c>
      <c r="AC201" s="7" t="n">
        <v>-0.186</v>
      </c>
      <c r="AD201" s="7" t="n">
        <v>-0.091</v>
      </c>
      <c r="AE201" s="7" t="n">
        <v>0.15</v>
      </c>
      <c r="AF201" s="7" t="n">
        <v>-0.146</v>
      </c>
      <c r="AG201" s="7" t="n">
        <v>-0.513</v>
      </c>
      <c r="AH201" s="7" t="n">
        <v>-0.022</v>
      </c>
      <c r="AI201" s="7" t="n">
        <v>-0.006</v>
      </c>
      <c r="AJ201" s="7" t="n">
        <v>-0.277</v>
      </c>
      <c r="AK201" s="7" t="n">
        <v>0.094</v>
      </c>
      <c r="AL201" s="7" t="n">
        <v>-0.145</v>
      </c>
      <c r="AM201" s="7" t="n">
        <v>-0.087</v>
      </c>
      <c r="AN201" s="7" t="n">
        <v>-0.01</v>
      </c>
      <c r="AO201" s="7" t="n">
        <v>-0.313</v>
      </c>
      <c r="AP201" s="7" t="n">
        <v>-0.108</v>
      </c>
      <c r="AQ201" s="7" t="n">
        <v>-0.535</v>
      </c>
      <c r="AR201" s="7" t="n">
        <v>-0.082</v>
      </c>
      <c r="AS201" s="7" t="n">
        <v>-0.168</v>
      </c>
      <c r="AT201" s="7" t="n">
        <v>-0.352</v>
      </c>
      <c r="AU201" s="7" t="n">
        <v>0.093</v>
      </c>
      <c r="AV201" s="7" t="n">
        <v>0.045</v>
      </c>
    </row>
    <row r="202" customFormat="false" ht="15" hidden="false" customHeight="false" outlineLevel="0" collapsed="false">
      <c r="A202" s="19" t="n">
        <v>46519</v>
      </c>
      <c r="B202" s="6" t="n">
        <v>1</v>
      </c>
      <c r="C202" s="6" t="s">
        <v>180</v>
      </c>
      <c r="D202" s="6" t="s">
        <v>181</v>
      </c>
      <c r="E202" s="6" t="s">
        <v>176</v>
      </c>
      <c r="F202" s="6" t="s">
        <v>172</v>
      </c>
      <c r="G202" s="7" t="n">
        <v>-0.384</v>
      </c>
      <c r="H202" s="7" t="n">
        <v>-0.328</v>
      </c>
      <c r="I202" s="7" t="n">
        <v>-0.177</v>
      </c>
      <c r="J202" s="7" t="n">
        <v>0.031</v>
      </c>
      <c r="K202" s="7" t="n">
        <v>-0.21</v>
      </c>
      <c r="L202" s="7" t="n">
        <v>-0.236</v>
      </c>
      <c r="M202" s="7" t="n">
        <v>-0.62</v>
      </c>
      <c r="N202" s="7" t="n">
        <v>-0.581</v>
      </c>
      <c r="O202" s="7" t="n">
        <v>-0.119</v>
      </c>
      <c r="P202" s="7" t="n">
        <v>0.051</v>
      </c>
      <c r="Q202" s="7" t="n">
        <v>-0.146</v>
      </c>
      <c r="R202" s="7" t="n">
        <v>-0.015</v>
      </c>
      <c r="S202" s="7" t="n">
        <v>-0.158</v>
      </c>
      <c r="T202" s="7" t="n">
        <v>-0.125</v>
      </c>
      <c r="U202" s="7" t="n">
        <v>-0.256</v>
      </c>
      <c r="V202" s="7" t="n">
        <v>-0.14</v>
      </c>
      <c r="W202" s="7" t="n">
        <v>-0.631</v>
      </c>
      <c r="X202" s="7" t="n">
        <v>0.007</v>
      </c>
      <c r="Y202" s="7" t="n">
        <v>-0.475</v>
      </c>
      <c r="Z202" s="7" t="n">
        <v>-0.185</v>
      </c>
      <c r="AA202" s="7" t="n">
        <v>-0.485</v>
      </c>
      <c r="AB202" s="7" t="n">
        <v>-0.028</v>
      </c>
      <c r="AC202" s="7" t="n">
        <v>-0.164</v>
      </c>
      <c r="AD202" s="7" t="n">
        <v>-0.228</v>
      </c>
      <c r="AE202" s="7" t="n">
        <v>0.051</v>
      </c>
      <c r="AF202" s="7" t="n">
        <v>-0.542</v>
      </c>
      <c r="AG202" s="7" t="n">
        <v>-0.138</v>
      </c>
      <c r="AH202" s="7" t="n">
        <v>-0.052</v>
      </c>
      <c r="AI202" s="7" t="n">
        <v>-0.061</v>
      </c>
      <c r="AJ202" s="7" t="n">
        <v>0.008</v>
      </c>
      <c r="AK202" s="7" t="n">
        <v>0.07</v>
      </c>
      <c r="AL202" s="7" t="n">
        <v>-0.133</v>
      </c>
      <c r="AM202" s="7" t="n">
        <v>0.251</v>
      </c>
      <c r="AN202" s="7" t="n">
        <v>-0.071</v>
      </c>
      <c r="AO202" s="7" t="n">
        <v>-0.528</v>
      </c>
      <c r="AP202" s="7" t="n">
        <v>-0.348</v>
      </c>
      <c r="AQ202" s="7" t="n">
        <v>-0.301</v>
      </c>
      <c r="AR202" s="7" t="n">
        <v>-0.098</v>
      </c>
      <c r="AS202" s="7" t="n">
        <v>-0.409</v>
      </c>
      <c r="AT202" s="7" t="n">
        <v>-0.073</v>
      </c>
      <c r="AU202" s="7" t="n">
        <v>0</v>
      </c>
      <c r="AV202" s="7" t="n">
        <v>-0.003</v>
      </c>
    </row>
    <row r="203" customFormat="false" ht="15" hidden="false" customHeight="false" outlineLevel="0" collapsed="false">
      <c r="A203" s="19" t="n">
        <v>46520</v>
      </c>
      <c r="B203" s="6" t="n">
        <v>1</v>
      </c>
      <c r="C203" s="6" t="s">
        <v>180</v>
      </c>
      <c r="D203" s="6" t="s">
        <v>182</v>
      </c>
      <c r="E203" s="6" t="s">
        <v>176</v>
      </c>
      <c r="F203" s="6" t="s">
        <v>172</v>
      </c>
      <c r="G203" s="7" t="n">
        <v>0.121</v>
      </c>
      <c r="H203" s="7" t="n">
        <v>0.254</v>
      </c>
      <c r="I203" s="7" t="n">
        <v>-0.153</v>
      </c>
      <c r="J203" s="7" t="n">
        <v>0.507</v>
      </c>
      <c r="K203" s="7" t="n">
        <v>0.265</v>
      </c>
      <c r="L203" s="7" t="n">
        <v>-0.122</v>
      </c>
      <c r="M203" s="7" t="n">
        <v>-0.248</v>
      </c>
      <c r="N203" s="7" t="n">
        <v>-0.523</v>
      </c>
      <c r="O203" s="7" t="n">
        <v>-0.28</v>
      </c>
      <c r="P203" s="7" t="n">
        <v>0.524</v>
      </c>
      <c r="Q203" s="7" t="n">
        <v>0.237</v>
      </c>
      <c r="R203" s="7" t="n">
        <v>-0.001</v>
      </c>
      <c r="S203" s="7" t="n">
        <v>0.294</v>
      </c>
      <c r="T203" s="7" t="n">
        <v>0.309</v>
      </c>
      <c r="U203" s="7" t="n">
        <v>-0.229</v>
      </c>
      <c r="V203" s="7" t="n">
        <v>-0.175</v>
      </c>
      <c r="W203" s="7" t="n">
        <v>-0.252</v>
      </c>
      <c r="X203" s="7" t="n">
        <v>0.409</v>
      </c>
      <c r="Y203" s="7" t="n">
        <v>-0.158</v>
      </c>
      <c r="Z203" s="7" t="n">
        <v>-0.338</v>
      </c>
      <c r="AA203" s="7" t="n">
        <v>-0.356</v>
      </c>
      <c r="AB203" s="7" t="n">
        <v>-0.07</v>
      </c>
      <c r="AC203" s="7" t="n">
        <v>-0.128</v>
      </c>
      <c r="AD203" s="7" t="n">
        <v>-0.127</v>
      </c>
      <c r="AE203" s="7" t="n">
        <v>0.524</v>
      </c>
      <c r="AF203" s="7" t="n">
        <v>-0.161</v>
      </c>
      <c r="AG203" s="7" t="n">
        <v>-0.328</v>
      </c>
      <c r="AH203" s="7" t="n">
        <v>-0.086</v>
      </c>
      <c r="AI203" s="7" t="n">
        <v>0.433</v>
      </c>
      <c r="AJ203" s="7" t="n">
        <v>0.412</v>
      </c>
      <c r="AK203" s="7" t="n">
        <v>0.003</v>
      </c>
      <c r="AL203" s="7" t="n">
        <v>-0.123</v>
      </c>
      <c r="AM203" s="7" t="n">
        <v>0.294</v>
      </c>
      <c r="AN203" s="7" t="n">
        <v>-0.105</v>
      </c>
      <c r="AO203" s="7" t="n">
        <v>-0.356</v>
      </c>
      <c r="AP203" s="7" t="n">
        <v>-0.162</v>
      </c>
      <c r="AQ203" s="7" t="n">
        <v>-0.279</v>
      </c>
      <c r="AR203" s="7" t="n">
        <v>-0.123</v>
      </c>
      <c r="AS203" s="7" t="n">
        <v>-0.183</v>
      </c>
      <c r="AT203" s="7" t="n">
        <v>0.343</v>
      </c>
      <c r="AU203" s="7" t="n">
        <v>0.405</v>
      </c>
      <c r="AV203" s="7" t="n">
        <v>-0.014</v>
      </c>
    </row>
    <row r="204" customFormat="false" ht="15" hidden="false" customHeight="false" outlineLevel="0" collapsed="false">
      <c r="A204" s="19" t="n">
        <v>46521</v>
      </c>
      <c r="B204" s="6" t="n">
        <v>1</v>
      </c>
      <c r="C204" s="6" t="s">
        <v>183</v>
      </c>
      <c r="D204" s="6" t="s">
        <v>184</v>
      </c>
      <c r="E204" s="6" t="s">
        <v>176</v>
      </c>
      <c r="F204" s="6" t="s">
        <v>172</v>
      </c>
      <c r="G204" s="7" t="n">
        <v>-0.401</v>
      </c>
      <c r="H204" s="7" t="n">
        <v>-0.111</v>
      </c>
      <c r="I204" s="7" t="n">
        <v>-0.209</v>
      </c>
      <c r="J204" s="7" t="n">
        <v>0.018</v>
      </c>
      <c r="K204" s="7" t="n">
        <v>-0.296</v>
      </c>
      <c r="L204" s="7" t="n">
        <v>0.036</v>
      </c>
      <c r="M204" s="7" t="n">
        <v>-0.169</v>
      </c>
      <c r="N204" s="7" t="n">
        <v>-0.385</v>
      </c>
      <c r="O204" s="7" t="n">
        <v>-0.192</v>
      </c>
      <c r="P204" s="7" t="n">
        <v>0.038</v>
      </c>
      <c r="Q204" s="7" t="n">
        <v>-0.225</v>
      </c>
      <c r="R204" s="7" t="n">
        <v>-0.139</v>
      </c>
      <c r="S204" s="7" t="n">
        <v>-0.262</v>
      </c>
      <c r="T204" s="7" t="n">
        <v>-0.322</v>
      </c>
      <c r="U204" s="7" t="n">
        <v>-0.244</v>
      </c>
      <c r="V204" s="7" t="n">
        <v>-0.222</v>
      </c>
      <c r="W204" s="7" t="n">
        <v>-0.412</v>
      </c>
      <c r="X204" s="7" t="n">
        <v>-0.096</v>
      </c>
      <c r="Y204" s="7" t="n">
        <v>-0.394</v>
      </c>
      <c r="Z204" s="7" t="n">
        <v>-0.232</v>
      </c>
      <c r="AA204" s="7" t="n">
        <v>-0.305</v>
      </c>
      <c r="AB204" s="7" t="n">
        <v>-0.111</v>
      </c>
      <c r="AC204" s="7" t="n">
        <v>-0.289</v>
      </c>
      <c r="AD204" s="7" t="n">
        <v>-0.168</v>
      </c>
      <c r="AE204" s="7" t="n">
        <v>-0.021</v>
      </c>
      <c r="AF204" s="7" t="n">
        <v>-0.363</v>
      </c>
      <c r="AG204" s="7" t="n">
        <v>-0.143</v>
      </c>
      <c r="AH204" s="7" t="n">
        <v>-0.134</v>
      </c>
      <c r="AI204" s="7" t="n">
        <v>-0.183</v>
      </c>
      <c r="AJ204" s="7" t="n">
        <v>-0.049</v>
      </c>
      <c r="AK204" s="7" t="n">
        <v>0.083</v>
      </c>
      <c r="AL204" s="7" t="n">
        <v>-0.113</v>
      </c>
      <c r="AM204" s="7" t="n">
        <v>0.284</v>
      </c>
      <c r="AN204" s="7" t="n">
        <v>-0.079</v>
      </c>
      <c r="AO204" s="7" t="n">
        <v>-0.4</v>
      </c>
      <c r="AP204" s="7" t="n">
        <v>-0.27</v>
      </c>
      <c r="AQ204" s="7" t="n">
        <v>-0.146</v>
      </c>
      <c r="AR204" s="7" t="n">
        <v>-0.074</v>
      </c>
      <c r="AS204" s="7" t="n">
        <v>-0.262</v>
      </c>
      <c r="AT204" s="7" t="n">
        <v>0.026</v>
      </c>
      <c r="AU204" s="7" t="n">
        <v>0</v>
      </c>
      <c r="AV204" s="7" t="n">
        <v>-0.04</v>
      </c>
    </row>
    <row r="205" customFormat="false" ht="15" hidden="false" customHeight="false" outlineLevel="0" collapsed="false">
      <c r="A205" s="19" t="n">
        <v>46522</v>
      </c>
      <c r="B205" s="6" t="n">
        <v>0</v>
      </c>
      <c r="C205" s="6" t="s">
        <v>183</v>
      </c>
      <c r="D205" s="6" t="s">
        <v>187</v>
      </c>
      <c r="E205" s="6" t="s">
        <v>176</v>
      </c>
      <c r="F205" s="6" t="s">
        <v>172</v>
      </c>
      <c r="G205" s="7" t="n">
        <v>-0.222</v>
      </c>
      <c r="H205" s="7" t="n">
        <v>-0.074</v>
      </c>
      <c r="I205" s="7" t="n">
        <v>-0.01</v>
      </c>
      <c r="J205" s="7" t="n">
        <v>0.066</v>
      </c>
      <c r="K205" s="7" t="n">
        <v>-0.235</v>
      </c>
      <c r="L205" s="7" t="n">
        <v>0.03</v>
      </c>
      <c r="M205" s="7" t="n">
        <v>-0.175</v>
      </c>
      <c r="N205" s="7" t="n">
        <v>-0.225</v>
      </c>
      <c r="O205" s="7" t="n">
        <v>-0.168</v>
      </c>
      <c r="P205" s="7" t="n">
        <v>0.059</v>
      </c>
      <c r="Q205" s="7" t="n">
        <v>-0.189</v>
      </c>
      <c r="R205" s="7" t="n">
        <v>-0.115</v>
      </c>
      <c r="S205" s="7" t="n">
        <v>-0.231</v>
      </c>
      <c r="T205" s="7" t="n">
        <v>-0.334</v>
      </c>
      <c r="U205" s="7" t="n">
        <v>-0.177</v>
      </c>
      <c r="V205" s="7" t="n">
        <v>-0.245</v>
      </c>
      <c r="W205" s="7" t="n">
        <v>-0.183</v>
      </c>
      <c r="X205" s="7" t="n">
        <v>0.013</v>
      </c>
      <c r="Y205" s="7" t="n">
        <v>-0.141</v>
      </c>
      <c r="Z205" s="7" t="n">
        <v>0.16</v>
      </c>
      <c r="AA205" s="7" t="n">
        <v>-0.134</v>
      </c>
      <c r="AB205" s="7" t="n">
        <v>-0.151</v>
      </c>
      <c r="AC205" s="7" t="n">
        <v>-0.052</v>
      </c>
      <c r="AD205" s="7" t="n">
        <v>0.113</v>
      </c>
      <c r="AE205" s="7" t="n">
        <v>0.042</v>
      </c>
      <c r="AF205" s="7" t="n">
        <v>-0.135</v>
      </c>
      <c r="AG205" s="7" t="n">
        <v>-0.116</v>
      </c>
      <c r="AH205" s="7" t="n">
        <v>-0.155</v>
      </c>
      <c r="AI205" s="7" t="n">
        <v>0.072</v>
      </c>
      <c r="AJ205" s="7" t="n">
        <v>-0.015</v>
      </c>
      <c r="AK205" s="7" t="n">
        <v>0.107</v>
      </c>
      <c r="AL205" s="7" t="n">
        <v>-0.082</v>
      </c>
      <c r="AM205" s="7" t="n">
        <v>0.456</v>
      </c>
      <c r="AN205" s="7" t="n">
        <v>-0.049</v>
      </c>
      <c r="AO205" s="7" t="n">
        <v>-0.216</v>
      </c>
      <c r="AP205" s="7" t="n">
        <v>-0.076</v>
      </c>
      <c r="AQ205" s="7" t="n">
        <v>0.023</v>
      </c>
      <c r="AR205" s="7" t="n">
        <v>-0.045</v>
      </c>
      <c r="AS205" s="7" t="n">
        <v>-0.095</v>
      </c>
      <c r="AT205" s="7" t="n">
        <v>0.196</v>
      </c>
      <c r="AU205" s="7" t="n">
        <v>0.028</v>
      </c>
      <c r="AV205" s="7" t="n">
        <v>-0.04</v>
      </c>
    </row>
    <row r="206" customFormat="false" ht="15" hidden="false" customHeight="false" outlineLevel="0" collapsed="false">
      <c r="A206" s="19" t="n">
        <v>46523</v>
      </c>
      <c r="B206" s="6" t="n">
        <v>0</v>
      </c>
      <c r="C206" s="6" t="s">
        <v>186</v>
      </c>
      <c r="D206" s="6" t="s">
        <v>188</v>
      </c>
      <c r="E206" s="6" t="s">
        <v>176</v>
      </c>
      <c r="F206" s="6" t="s">
        <v>172</v>
      </c>
      <c r="G206" s="7" t="n">
        <v>-0.417</v>
      </c>
      <c r="H206" s="7" t="n">
        <v>-0.445</v>
      </c>
      <c r="I206" s="7" t="n">
        <v>-0.088</v>
      </c>
      <c r="J206" s="7" t="n">
        <v>0.132</v>
      </c>
      <c r="K206" s="7" t="n">
        <v>-0.314</v>
      </c>
      <c r="L206" s="7" t="n">
        <v>-0.243</v>
      </c>
      <c r="M206" s="7" t="n">
        <v>-0.274</v>
      </c>
      <c r="N206" s="7" t="n">
        <v>-0.604</v>
      </c>
      <c r="O206" s="7" t="n">
        <v>-0.416</v>
      </c>
      <c r="P206" s="7" t="n">
        <v>0.4</v>
      </c>
      <c r="Q206" s="7" t="n">
        <v>-0.596</v>
      </c>
      <c r="R206" s="7" t="n">
        <v>-0.256</v>
      </c>
      <c r="S206" s="7" t="n">
        <v>-0.479</v>
      </c>
      <c r="T206" s="7" t="n">
        <v>-0.537</v>
      </c>
      <c r="U206" s="7" t="n">
        <v>-0.154</v>
      </c>
      <c r="V206" s="7" t="n">
        <v>-0.22</v>
      </c>
      <c r="W206" s="7" t="n">
        <v>-0.283</v>
      </c>
      <c r="X206" s="7" t="n">
        <v>0.065</v>
      </c>
      <c r="Y206" s="7" t="n">
        <v>-0.144</v>
      </c>
      <c r="Z206" s="7" t="n">
        <v>-0.261</v>
      </c>
      <c r="AA206" s="7" t="n">
        <v>-0.345</v>
      </c>
      <c r="AB206" s="7" t="n">
        <v>-0.151</v>
      </c>
      <c r="AC206" s="7" t="n">
        <v>-0.053</v>
      </c>
      <c r="AD206" s="7" t="n">
        <v>-0.328</v>
      </c>
      <c r="AE206" s="7" t="n">
        <v>0.324</v>
      </c>
      <c r="AF206" s="7" t="n">
        <v>-0.231</v>
      </c>
      <c r="AG206" s="7" t="n">
        <v>-0.5</v>
      </c>
      <c r="AH206" s="7" t="n">
        <v>-0.153</v>
      </c>
      <c r="AI206" s="7" t="n">
        <v>0.065</v>
      </c>
      <c r="AJ206" s="7" t="n">
        <v>-0.156</v>
      </c>
      <c r="AK206" s="7" t="n">
        <v>0.27</v>
      </c>
      <c r="AL206" s="7" t="n">
        <v>-0.102</v>
      </c>
      <c r="AM206" s="7" t="n">
        <v>0.183</v>
      </c>
      <c r="AN206" s="7" t="n">
        <v>-0.36</v>
      </c>
      <c r="AO206" s="7" t="n">
        <v>-0.554</v>
      </c>
      <c r="AP206" s="7" t="n">
        <v>-0.444</v>
      </c>
      <c r="AQ206" s="7" t="n">
        <v>-0.251</v>
      </c>
      <c r="AR206" s="7" t="n">
        <v>-0.368</v>
      </c>
      <c r="AS206" s="7" t="n">
        <v>-0.195</v>
      </c>
      <c r="AT206" s="7" t="n">
        <v>-0.209</v>
      </c>
      <c r="AU206" s="7" t="n">
        <v>-0.131</v>
      </c>
      <c r="AV206" s="7" t="n">
        <v>-0.039</v>
      </c>
    </row>
    <row r="207" customFormat="false" ht="15" hidden="false" customHeight="false" outlineLevel="0" collapsed="false">
      <c r="A207" s="19" t="n">
        <v>46524</v>
      </c>
      <c r="B207" s="6" t="n">
        <v>1</v>
      </c>
      <c r="C207" s="6" t="s">
        <v>186</v>
      </c>
      <c r="D207" s="6" t="s">
        <v>189</v>
      </c>
      <c r="E207" s="6" t="s">
        <v>176</v>
      </c>
      <c r="F207" s="6" t="s">
        <v>172</v>
      </c>
      <c r="G207" s="7" t="n">
        <v>-0.357</v>
      </c>
      <c r="H207" s="7" t="n">
        <v>-0.247</v>
      </c>
      <c r="I207" s="7" t="n">
        <v>-0.165</v>
      </c>
      <c r="J207" s="7" t="n">
        <v>0.26</v>
      </c>
      <c r="K207" s="7" t="n">
        <v>-0.261</v>
      </c>
      <c r="L207" s="7" t="n">
        <v>-0.22</v>
      </c>
      <c r="M207" s="7" t="n">
        <v>-0.448</v>
      </c>
      <c r="N207" s="7" t="n">
        <v>-0.477</v>
      </c>
      <c r="O207" s="7" t="n">
        <v>-0.216</v>
      </c>
      <c r="P207" s="7" t="n">
        <v>0.399</v>
      </c>
      <c r="Q207" s="7" t="n">
        <v>-0.346</v>
      </c>
      <c r="R207" s="7" t="n">
        <v>-0.176</v>
      </c>
      <c r="S207" s="7" t="n">
        <v>-0.285</v>
      </c>
      <c r="T207" s="7" t="n">
        <v>-0.328</v>
      </c>
      <c r="U207" s="7" t="n">
        <v>-0.223</v>
      </c>
      <c r="V207" s="7" t="n">
        <v>-0.257</v>
      </c>
      <c r="W207" s="7" t="n">
        <v>-0.441</v>
      </c>
      <c r="X207" s="7" t="n">
        <v>0.105</v>
      </c>
      <c r="Y207" s="7" t="n">
        <v>-0.182</v>
      </c>
      <c r="Z207" s="7" t="n">
        <v>-0.298</v>
      </c>
      <c r="AA207" s="7" t="n">
        <v>-0.36</v>
      </c>
      <c r="AB207" s="7" t="n">
        <v>-0.151</v>
      </c>
      <c r="AC207" s="7" t="n">
        <v>-0.086</v>
      </c>
      <c r="AD207" s="7" t="n">
        <v>-0.325</v>
      </c>
      <c r="AE207" s="7" t="n">
        <v>0.368</v>
      </c>
      <c r="AF207" s="7" t="n">
        <v>-0.389</v>
      </c>
      <c r="AG207" s="7" t="n">
        <v>-0.168</v>
      </c>
      <c r="AH207" s="7" t="n">
        <v>-0.152</v>
      </c>
      <c r="AI207" s="7" t="n">
        <v>0.131</v>
      </c>
      <c r="AJ207" s="7" t="n">
        <v>-0.082</v>
      </c>
      <c r="AK207" s="7" t="n">
        <v>0.249</v>
      </c>
      <c r="AL207" s="7" t="n">
        <v>-0.102</v>
      </c>
      <c r="AM207" s="7" t="n">
        <v>0.185</v>
      </c>
      <c r="AN207" s="7" t="n">
        <v>-0.12</v>
      </c>
      <c r="AO207" s="7" t="n">
        <v>-0.353</v>
      </c>
      <c r="AP207" s="7" t="n">
        <v>-0.216</v>
      </c>
      <c r="AQ207" s="7" t="n">
        <v>-0.268</v>
      </c>
      <c r="AR207" s="7" t="n">
        <v>-0.119</v>
      </c>
      <c r="AS207" s="7" t="n">
        <v>-0.168</v>
      </c>
      <c r="AT207" s="7" t="n">
        <v>-0.12</v>
      </c>
      <c r="AU207" s="7" t="n">
        <v>-0.06</v>
      </c>
      <c r="AV207" s="7" t="n">
        <v>-0.037</v>
      </c>
    </row>
    <row r="208" customFormat="false" ht="15" hidden="false" customHeight="false" outlineLevel="0" collapsed="false">
      <c r="A208" s="19" t="n">
        <v>46525</v>
      </c>
      <c r="B208" s="6" t="n">
        <v>1</v>
      </c>
      <c r="C208" s="6" t="s">
        <v>190</v>
      </c>
      <c r="D208" s="6" t="s">
        <v>191</v>
      </c>
      <c r="E208" s="6" t="s">
        <v>176</v>
      </c>
      <c r="F208" s="6" t="s">
        <v>172</v>
      </c>
      <c r="G208" s="7" t="n">
        <v>-0.369</v>
      </c>
      <c r="H208" s="7" t="n">
        <v>-0.088</v>
      </c>
      <c r="I208" s="7" t="n">
        <v>-0.089</v>
      </c>
      <c r="J208" s="7" t="n">
        <v>0.098</v>
      </c>
      <c r="K208" s="7" t="n">
        <v>-0.285</v>
      </c>
      <c r="L208" s="7" t="n">
        <v>-0.024</v>
      </c>
      <c r="M208" s="7" t="n">
        <v>-0.49</v>
      </c>
      <c r="N208" s="7" t="n">
        <v>-0.367</v>
      </c>
      <c r="O208" s="7" t="n">
        <v>-0.192</v>
      </c>
      <c r="P208" s="7" t="n">
        <v>0.046</v>
      </c>
      <c r="Q208" s="7" t="n">
        <v>-0.566</v>
      </c>
      <c r="R208" s="7" t="n">
        <v>-0.051</v>
      </c>
      <c r="S208" s="7" t="n">
        <v>-0.277</v>
      </c>
      <c r="T208" s="7" t="n">
        <v>-0.58</v>
      </c>
      <c r="U208" s="7" t="n">
        <v>-0.259</v>
      </c>
      <c r="V208" s="7" t="n">
        <v>-0.572</v>
      </c>
      <c r="W208" s="7" t="n">
        <v>-0.509</v>
      </c>
      <c r="X208" s="7" t="n">
        <v>0.094</v>
      </c>
      <c r="Y208" s="7" t="n">
        <v>-0.163</v>
      </c>
      <c r="Z208" s="7" t="n">
        <v>-0.432</v>
      </c>
      <c r="AA208" s="7" t="n">
        <v>-0.432</v>
      </c>
      <c r="AB208" s="7" t="n">
        <v>-0.538</v>
      </c>
      <c r="AC208" s="7" t="n">
        <v>-0.053</v>
      </c>
      <c r="AD208" s="7" t="n">
        <v>-0.445</v>
      </c>
      <c r="AE208" s="7" t="n">
        <v>0.118</v>
      </c>
      <c r="AF208" s="7" t="n">
        <v>-0.46</v>
      </c>
      <c r="AG208" s="7" t="n">
        <v>-0.14</v>
      </c>
      <c r="AH208" s="7" t="n">
        <v>-0.521</v>
      </c>
      <c r="AI208" s="7" t="n">
        <v>0.085</v>
      </c>
      <c r="AJ208" s="7" t="n">
        <v>-0.069</v>
      </c>
      <c r="AK208" s="7" t="n">
        <v>0.104</v>
      </c>
      <c r="AL208" s="7" t="n">
        <v>-0.104</v>
      </c>
      <c r="AM208" s="7" t="n">
        <v>0.175</v>
      </c>
      <c r="AN208" s="7" t="n">
        <v>-0.136</v>
      </c>
      <c r="AO208" s="7" t="n">
        <v>-0.242</v>
      </c>
      <c r="AP208" s="7" t="n">
        <v>-0.102</v>
      </c>
      <c r="AQ208" s="7" t="n">
        <v>-0.314</v>
      </c>
      <c r="AR208" s="7" t="n">
        <v>-0.069</v>
      </c>
      <c r="AS208" s="7" t="n">
        <v>-0.338</v>
      </c>
      <c r="AT208" s="7" t="n">
        <v>0.03</v>
      </c>
      <c r="AU208" s="7" t="n">
        <v>0.094</v>
      </c>
      <c r="AV208" s="7" t="n">
        <v>-0.105</v>
      </c>
    </row>
    <row r="209" customFormat="false" ht="15" hidden="false" customHeight="false" outlineLevel="0" collapsed="false">
      <c r="A209" s="19" t="n">
        <v>46526</v>
      </c>
      <c r="B209" s="6" t="n">
        <v>1</v>
      </c>
      <c r="C209" s="6" t="s">
        <v>190</v>
      </c>
      <c r="D209" s="6" t="s">
        <v>192</v>
      </c>
      <c r="E209" s="6" t="s">
        <v>176</v>
      </c>
      <c r="F209" s="6" t="s">
        <v>172</v>
      </c>
      <c r="G209" s="7" t="n">
        <v>-0.446</v>
      </c>
      <c r="H209" s="7" t="n">
        <v>-0.47</v>
      </c>
      <c r="I209" s="7" t="n">
        <v>-0.091</v>
      </c>
      <c r="J209" s="7" t="n">
        <v>0.099</v>
      </c>
      <c r="K209" s="7" t="n">
        <v>-0.506</v>
      </c>
      <c r="L209" s="7" t="n">
        <v>-0.026</v>
      </c>
      <c r="M209" s="7" t="n">
        <v>-0.197</v>
      </c>
      <c r="N209" s="7" t="n">
        <v>-0.252</v>
      </c>
      <c r="O209" s="7" t="n">
        <v>-0.539</v>
      </c>
      <c r="P209" s="7" t="n">
        <v>0.044</v>
      </c>
      <c r="Q209" s="7" t="n">
        <v>-0.553</v>
      </c>
      <c r="R209" s="7" t="n">
        <v>-0.473</v>
      </c>
      <c r="S209" s="7" t="n">
        <v>-0.553</v>
      </c>
      <c r="T209" s="7" t="n">
        <v>-0.642</v>
      </c>
      <c r="U209" s="7" t="n">
        <v>-0.297</v>
      </c>
      <c r="V209" s="7" t="n">
        <v>-0.568</v>
      </c>
      <c r="W209" s="7" t="n">
        <v>-0.205</v>
      </c>
      <c r="X209" s="7" t="n">
        <v>0.098</v>
      </c>
      <c r="Y209" s="7" t="n">
        <v>-0.156</v>
      </c>
      <c r="Z209" s="7" t="n">
        <v>-0.249</v>
      </c>
      <c r="AA209" s="7" t="n">
        <v>-0.141</v>
      </c>
      <c r="AB209" s="7" t="n">
        <v>-0.522</v>
      </c>
      <c r="AC209" s="7" t="n">
        <v>-0.057</v>
      </c>
      <c r="AD209" s="7" t="n">
        <v>-0.146</v>
      </c>
      <c r="AE209" s="7" t="n">
        <v>0.118</v>
      </c>
      <c r="AF209" s="7" t="n">
        <v>-0.158</v>
      </c>
      <c r="AG209" s="7" t="n">
        <v>-0.561</v>
      </c>
      <c r="AH209" s="7" t="n">
        <v>-0.516</v>
      </c>
      <c r="AI209" s="7" t="n">
        <v>0.051</v>
      </c>
      <c r="AJ209" s="7" t="n">
        <v>-0.446</v>
      </c>
      <c r="AK209" s="7" t="n">
        <v>0.056</v>
      </c>
      <c r="AL209" s="7" t="n">
        <v>-0.105</v>
      </c>
      <c r="AM209" s="7" t="n">
        <v>-0.085</v>
      </c>
      <c r="AN209" s="7" t="n">
        <v>-0.168</v>
      </c>
      <c r="AO209" s="7" t="n">
        <v>-0.228</v>
      </c>
      <c r="AP209" s="7" t="n">
        <v>-0.088</v>
      </c>
      <c r="AQ209" s="7" t="n">
        <v>-0.583</v>
      </c>
      <c r="AR209" s="7" t="n">
        <v>-0.066</v>
      </c>
      <c r="AS209" s="7" t="n">
        <v>-0.085</v>
      </c>
      <c r="AT209" s="7" t="n">
        <v>-0.355</v>
      </c>
      <c r="AU209" s="7" t="n">
        <v>0.101</v>
      </c>
      <c r="AV209" s="7" t="n">
        <v>-0.141</v>
      </c>
    </row>
    <row r="210" customFormat="false" ht="15" hidden="false" customHeight="false" outlineLevel="0" collapsed="false">
      <c r="A210" s="19" t="n">
        <v>46527</v>
      </c>
      <c r="B210" s="6" t="n">
        <v>1</v>
      </c>
      <c r="C210" s="6" t="s">
        <v>171</v>
      </c>
      <c r="D210" s="6" t="s">
        <v>192</v>
      </c>
      <c r="E210" s="6" t="s">
        <v>176</v>
      </c>
      <c r="F210" s="6" t="s">
        <v>172</v>
      </c>
      <c r="G210" s="7" t="n">
        <v>-0.386</v>
      </c>
      <c r="H210" s="7" t="n">
        <v>-0.459</v>
      </c>
      <c r="I210" s="7" t="n">
        <v>-0.069</v>
      </c>
      <c r="J210" s="7" t="n">
        <v>-0.001</v>
      </c>
      <c r="K210" s="7" t="n">
        <v>-0.494</v>
      </c>
      <c r="L210" s="7" t="n">
        <v>0.072</v>
      </c>
      <c r="M210" s="7" t="n">
        <v>-0.221</v>
      </c>
      <c r="N210" s="7" t="n">
        <v>-0.113</v>
      </c>
      <c r="O210" s="7" t="n">
        <v>-0.306</v>
      </c>
      <c r="P210" s="7" t="n">
        <v>0.011</v>
      </c>
      <c r="Q210" s="7" t="n">
        <v>-0.159</v>
      </c>
      <c r="R210" s="7" t="n">
        <v>-0.465</v>
      </c>
      <c r="S210" s="7" t="n">
        <v>-0.539</v>
      </c>
      <c r="T210" s="7" t="n">
        <v>-0.614</v>
      </c>
      <c r="U210" s="7" t="n">
        <v>-0.164</v>
      </c>
      <c r="V210" s="7" t="n">
        <v>-0.178</v>
      </c>
      <c r="W210" s="7" t="n">
        <v>-0.245</v>
      </c>
      <c r="X210" s="7" t="n">
        <v>0.155</v>
      </c>
      <c r="Y210" s="7" t="n">
        <v>-0.266</v>
      </c>
      <c r="Z210" s="7" t="n">
        <v>-0.196</v>
      </c>
      <c r="AA210" s="7" t="n">
        <v>-0.013</v>
      </c>
      <c r="AB210" s="7" t="n">
        <v>-0.141</v>
      </c>
      <c r="AC210" s="7" t="n">
        <v>-0.052</v>
      </c>
      <c r="AD210" s="7" t="n">
        <v>-0.1</v>
      </c>
      <c r="AE210" s="7" t="n">
        <v>0.018</v>
      </c>
      <c r="AF210" s="7" t="n">
        <v>-0.301</v>
      </c>
      <c r="AG210" s="7" t="n">
        <v>-0.365</v>
      </c>
      <c r="AH210" s="7" t="n">
        <v>-0.132</v>
      </c>
      <c r="AI210" s="7" t="n">
        <v>0.009</v>
      </c>
      <c r="AJ210" s="7" t="n">
        <v>-0.407</v>
      </c>
      <c r="AK210" s="7" t="n">
        <v>-0.024</v>
      </c>
      <c r="AL210" s="7" t="n">
        <v>-0.004</v>
      </c>
      <c r="AM210" s="7" t="n">
        <v>-0.013</v>
      </c>
      <c r="AN210" s="7" t="n">
        <v>-0.048</v>
      </c>
      <c r="AO210" s="7" t="n">
        <v>-0.086</v>
      </c>
      <c r="AP210" s="7" t="n">
        <v>-0.052</v>
      </c>
      <c r="AQ210" s="7" t="n">
        <v>-0.421</v>
      </c>
      <c r="AR210" s="7" t="n">
        <v>-0.016</v>
      </c>
      <c r="AS210" s="7" t="n">
        <v>0.007</v>
      </c>
      <c r="AT210" s="7" t="n">
        <v>-0.312</v>
      </c>
      <c r="AU210" s="7" t="n">
        <v>0.008</v>
      </c>
      <c r="AV210" s="7" t="n">
        <v>-0.073</v>
      </c>
    </row>
    <row r="211" customFormat="false" ht="15" hidden="false" customHeight="false" outlineLevel="0" collapsed="false">
      <c r="A211" s="19" t="n">
        <v>46528</v>
      </c>
      <c r="B211" s="6" t="n">
        <v>1</v>
      </c>
      <c r="C211" s="6" t="s">
        <v>171</v>
      </c>
      <c r="D211" s="6" t="s">
        <v>193</v>
      </c>
      <c r="E211" s="6" t="s">
        <v>176</v>
      </c>
      <c r="F211" s="6" t="s">
        <v>172</v>
      </c>
      <c r="G211" s="7" t="n">
        <v>-0.431</v>
      </c>
      <c r="H211" s="7" t="n">
        <v>-0.375</v>
      </c>
      <c r="I211" s="7" t="n">
        <v>-0.205</v>
      </c>
      <c r="J211" s="7" t="n">
        <v>-0.012</v>
      </c>
      <c r="K211" s="7" t="n">
        <v>-0.338</v>
      </c>
      <c r="L211" s="7" t="n">
        <v>-0.109</v>
      </c>
      <c r="M211" s="7" t="n">
        <v>-0.467</v>
      </c>
      <c r="N211" s="7" t="n">
        <v>-0.409</v>
      </c>
      <c r="O211" s="7" t="n">
        <v>-0.213</v>
      </c>
      <c r="P211" s="7" t="n">
        <v>-0.002</v>
      </c>
      <c r="Q211" s="7" t="n">
        <v>-0.189</v>
      </c>
      <c r="R211" s="7" t="n">
        <v>-0.131</v>
      </c>
      <c r="S211" s="7" t="n">
        <v>-0.358</v>
      </c>
      <c r="T211" s="7" t="n">
        <v>-0.34</v>
      </c>
      <c r="U211" s="7" t="n">
        <v>-0.244</v>
      </c>
      <c r="V211" s="7" t="n">
        <v>-0.185</v>
      </c>
      <c r="W211" s="7" t="n">
        <v>-0.517</v>
      </c>
      <c r="X211" s="7" t="n">
        <v>0.031</v>
      </c>
      <c r="Y211" s="7" t="n">
        <v>-0.459</v>
      </c>
      <c r="Z211" s="7" t="n">
        <v>-0.237</v>
      </c>
      <c r="AA211" s="7" t="n">
        <v>-0.294</v>
      </c>
      <c r="AB211" s="7" t="n">
        <v>-0.141</v>
      </c>
      <c r="AC211" s="7" t="n">
        <v>-0.11</v>
      </c>
      <c r="AD211" s="7" t="n">
        <v>-0.341</v>
      </c>
      <c r="AE211" s="7" t="n">
        <v>0.008</v>
      </c>
      <c r="AF211" s="7" t="n">
        <v>-0.511</v>
      </c>
      <c r="AG211" s="7" t="n">
        <v>-0.133</v>
      </c>
      <c r="AH211" s="7" t="n">
        <v>-0.134</v>
      </c>
      <c r="AI211" s="7" t="n">
        <v>-0.089</v>
      </c>
      <c r="AJ211" s="7" t="n">
        <v>-0.17</v>
      </c>
      <c r="AK211" s="7" t="n">
        <v>-0.075</v>
      </c>
      <c r="AL211" s="7" t="n">
        <v>-0.048</v>
      </c>
      <c r="AM211" s="7" t="n">
        <v>0.247</v>
      </c>
      <c r="AN211" s="7" t="n">
        <v>-0.087</v>
      </c>
      <c r="AO211" s="7" t="n">
        <v>-0.351</v>
      </c>
      <c r="AP211" s="7" t="n">
        <v>-0.272</v>
      </c>
      <c r="AQ211" s="7" t="n">
        <v>-0.164</v>
      </c>
      <c r="AR211" s="7" t="n">
        <v>-0.04</v>
      </c>
      <c r="AS211" s="7" t="n">
        <v>-0.235</v>
      </c>
      <c r="AT211" s="7" t="n">
        <v>0.001</v>
      </c>
      <c r="AU211" s="7" t="n">
        <v>0.004</v>
      </c>
      <c r="AV211" s="7" t="n">
        <v>-0.09</v>
      </c>
    </row>
    <row r="212" customFormat="false" ht="15" hidden="false" customHeight="false" outlineLevel="0" collapsed="false">
      <c r="A212" s="19" t="n">
        <v>46529</v>
      </c>
      <c r="B212" s="6" t="n">
        <v>0</v>
      </c>
      <c r="C212" s="6" t="s">
        <v>171</v>
      </c>
      <c r="D212" s="6" t="s">
        <v>194</v>
      </c>
      <c r="E212" s="6" t="s">
        <v>176</v>
      </c>
      <c r="F212" s="6" t="s">
        <v>172</v>
      </c>
      <c r="G212" s="7" t="n">
        <v>-0.1</v>
      </c>
      <c r="H212" s="7" t="n">
        <v>-0.007</v>
      </c>
      <c r="I212" s="7" t="n">
        <v>-0.233</v>
      </c>
      <c r="J212" s="7" t="n">
        <v>0.347</v>
      </c>
      <c r="K212" s="7" t="n">
        <v>0.059</v>
      </c>
      <c r="L212" s="7" t="n">
        <v>-0.084</v>
      </c>
      <c r="M212" s="7" t="n">
        <v>-0.465</v>
      </c>
      <c r="N212" s="7" t="n">
        <v>-0.395</v>
      </c>
      <c r="O212" s="7" t="n">
        <v>-0.153</v>
      </c>
      <c r="P212" s="7" t="n">
        <v>0.435</v>
      </c>
      <c r="Q212" s="7" t="n">
        <v>0.108</v>
      </c>
      <c r="R212" s="7" t="n">
        <v>-0.057</v>
      </c>
      <c r="S212" s="7" t="n">
        <v>0.036</v>
      </c>
      <c r="T212" s="7" t="n">
        <v>0.051</v>
      </c>
      <c r="U212" s="7" t="n">
        <v>-0.38</v>
      </c>
      <c r="V212" s="7" t="n">
        <v>-0.198</v>
      </c>
      <c r="W212" s="7" t="n">
        <v>-0.492</v>
      </c>
      <c r="X212" s="7" t="n">
        <v>0.299</v>
      </c>
      <c r="Y212" s="7" t="n">
        <v>-0.432</v>
      </c>
      <c r="Z212" s="7" t="n">
        <v>-0.325</v>
      </c>
      <c r="AA212" s="7" t="n">
        <v>-0.281</v>
      </c>
      <c r="AB212" s="7" t="n">
        <v>-0.142</v>
      </c>
      <c r="AC212" s="7" t="n">
        <v>-0.226</v>
      </c>
      <c r="AD212" s="7" t="n">
        <v>-0.33</v>
      </c>
      <c r="AE212" s="7" t="n">
        <v>0.447</v>
      </c>
      <c r="AF212" s="7" t="n">
        <v>-0.463</v>
      </c>
      <c r="AG212" s="7" t="n">
        <v>-0.127</v>
      </c>
      <c r="AH212" s="7" t="n">
        <v>-0.133</v>
      </c>
      <c r="AI212" s="7" t="n">
        <v>0.096</v>
      </c>
      <c r="AJ212" s="7" t="n">
        <v>0.122</v>
      </c>
      <c r="AK212" s="7" t="n">
        <v>-0.014</v>
      </c>
      <c r="AL212" s="7" t="n">
        <v>-0.092</v>
      </c>
      <c r="AM212" s="7" t="n">
        <v>0.333</v>
      </c>
      <c r="AN212" s="7" t="n">
        <v>-0.092</v>
      </c>
      <c r="AO212" s="7" t="n">
        <v>-0.216</v>
      </c>
      <c r="AP212" s="7" t="n">
        <v>-0.097</v>
      </c>
      <c r="AQ212" s="7" t="n">
        <v>-0.21</v>
      </c>
      <c r="AR212" s="7" t="n">
        <v>-0.033</v>
      </c>
      <c r="AS212" s="7" t="n">
        <v>-0.103</v>
      </c>
      <c r="AT212" s="7" t="n">
        <v>0.319</v>
      </c>
      <c r="AU212" s="7" t="n">
        <v>0.295</v>
      </c>
      <c r="AV212" s="7" t="n">
        <v>-0.104</v>
      </c>
    </row>
    <row r="213" customFormat="false" ht="15" hidden="false" customHeight="false" outlineLevel="0" collapsed="false">
      <c r="A213" s="19" t="n">
        <v>46530</v>
      </c>
      <c r="B213" s="6" t="n">
        <v>0</v>
      </c>
      <c r="C213" s="6" t="s">
        <v>195</v>
      </c>
      <c r="D213" s="6" t="s">
        <v>196</v>
      </c>
      <c r="E213" s="6" t="s">
        <v>176</v>
      </c>
      <c r="F213" s="6" t="s">
        <v>172</v>
      </c>
      <c r="G213" s="7" t="n">
        <v>-0.735</v>
      </c>
      <c r="H213" s="7" t="n">
        <v>-0.4</v>
      </c>
      <c r="I213" s="7" t="n">
        <v>-0.461</v>
      </c>
      <c r="J213" s="7" t="n">
        <v>-0.091</v>
      </c>
      <c r="K213" s="7" t="n">
        <v>-0.463</v>
      </c>
      <c r="L213" s="7" t="n">
        <v>0.007</v>
      </c>
      <c r="M213" s="7" t="n">
        <v>-0.221</v>
      </c>
      <c r="N213" s="7" t="n">
        <v>-0.63</v>
      </c>
      <c r="O213" s="7" t="n">
        <v>-0.484</v>
      </c>
      <c r="P213" s="7" t="n">
        <v>0.009</v>
      </c>
      <c r="Q213" s="7" t="n">
        <v>-0.314</v>
      </c>
      <c r="R213" s="7" t="n">
        <v>-0.436</v>
      </c>
      <c r="S213" s="7" t="n">
        <v>-0.464</v>
      </c>
      <c r="T213" s="7" t="n">
        <v>-0.556</v>
      </c>
      <c r="U213" s="7" t="n">
        <v>-0.346</v>
      </c>
      <c r="V213" s="7" t="n">
        <v>-0.263</v>
      </c>
      <c r="W213" s="7" t="n">
        <v>-0.665</v>
      </c>
      <c r="X213" s="7" t="n">
        <v>-0.359</v>
      </c>
      <c r="Y213" s="7" t="n">
        <v>-0.544</v>
      </c>
      <c r="Z213" s="7" t="n">
        <v>-0.426</v>
      </c>
      <c r="AA213" s="7" t="n">
        <v>-0.569</v>
      </c>
      <c r="AB213" s="7" t="n">
        <v>-0.142</v>
      </c>
      <c r="AC213" s="7" t="n">
        <v>-0.482</v>
      </c>
      <c r="AD213" s="7" t="n">
        <v>-0.633</v>
      </c>
      <c r="AE213" s="7" t="n">
        <v>-0.117</v>
      </c>
      <c r="AF213" s="7" t="n">
        <v>-0.631</v>
      </c>
      <c r="AG213" s="7" t="n">
        <v>-0.422</v>
      </c>
      <c r="AH213" s="7" t="n">
        <v>-0.152</v>
      </c>
      <c r="AI213" s="7" t="n">
        <v>-0.612</v>
      </c>
      <c r="AJ213" s="7" t="n">
        <v>-0.323</v>
      </c>
      <c r="AK213" s="7" t="n">
        <v>-0.141</v>
      </c>
      <c r="AL213" s="7" t="n">
        <v>-0.11</v>
      </c>
      <c r="AM213" s="7" t="n">
        <v>0.163</v>
      </c>
      <c r="AN213" s="7" t="n">
        <v>-0.155</v>
      </c>
      <c r="AO213" s="7" t="n">
        <v>-0.555</v>
      </c>
      <c r="AP213" s="7" t="n">
        <v>-0.477</v>
      </c>
      <c r="AQ213" s="7" t="n">
        <v>-0.207</v>
      </c>
      <c r="AR213" s="7" t="n">
        <v>-0.078</v>
      </c>
      <c r="AS213" s="7" t="n">
        <v>-0.457</v>
      </c>
      <c r="AT213" s="7" t="n">
        <v>-0.122</v>
      </c>
      <c r="AU213" s="7" t="n">
        <v>-0.069</v>
      </c>
      <c r="AV213" s="7" t="n">
        <v>-0.122</v>
      </c>
    </row>
    <row r="214" customFormat="false" ht="15" hidden="false" customHeight="false" outlineLevel="0" collapsed="false">
      <c r="A214" s="19" t="n">
        <v>46531</v>
      </c>
      <c r="B214" s="6" t="n">
        <v>1</v>
      </c>
      <c r="C214" s="6" t="s">
        <v>195</v>
      </c>
      <c r="D214" s="6" t="s">
        <v>197</v>
      </c>
      <c r="E214" s="6" t="s">
        <v>176</v>
      </c>
      <c r="F214" s="6" t="s">
        <v>172</v>
      </c>
      <c r="G214" s="7" t="n">
        <v>-0.632</v>
      </c>
      <c r="H214" s="7" t="n">
        <v>-0.645</v>
      </c>
      <c r="I214" s="7" t="n">
        <v>-0.097</v>
      </c>
      <c r="J214" s="7" t="n">
        <v>-0.149</v>
      </c>
      <c r="K214" s="7" t="n">
        <v>-0.639</v>
      </c>
      <c r="L214" s="7" t="n">
        <v>-0.036</v>
      </c>
      <c r="M214" s="7" t="n">
        <v>-0.251</v>
      </c>
      <c r="N214" s="7" t="n">
        <v>-0.299</v>
      </c>
      <c r="O214" s="7" t="n">
        <v>-0.599</v>
      </c>
      <c r="P214" s="7" t="n">
        <v>-0.029</v>
      </c>
      <c r="Q214" s="7" t="n">
        <v>-0.58</v>
      </c>
      <c r="R214" s="7" t="n">
        <v>-0.455</v>
      </c>
      <c r="S214" s="7" t="n">
        <v>-0.684</v>
      </c>
      <c r="T214" s="7" t="n">
        <v>-0.643</v>
      </c>
      <c r="U214" s="7" t="n">
        <v>-0.544</v>
      </c>
      <c r="V214" s="7" t="n">
        <v>-0.566</v>
      </c>
      <c r="W214" s="7" t="n">
        <v>-0.26</v>
      </c>
      <c r="X214" s="7" t="n">
        <v>-0.138</v>
      </c>
      <c r="Y214" s="7" t="n">
        <v>-0.226</v>
      </c>
      <c r="Z214" s="7" t="n">
        <v>-0.664</v>
      </c>
      <c r="AA214" s="7" t="n">
        <v>-0.208</v>
      </c>
      <c r="AB214" s="7" t="n">
        <v>-0.312</v>
      </c>
      <c r="AC214" s="7" t="n">
        <v>-0.087</v>
      </c>
      <c r="AD214" s="7" t="n">
        <v>-0.177</v>
      </c>
      <c r="AE214" s="7" t="n">
        <v>-0.016</v>
      </c>
      <c r="AF214" s="7" t="n">
        <v>-0.219</v>
      </c>
      <c r="AG214" s="7" t="n">
        <v>-0.555</v>
      </c>
      <c r="AH214" s="7" t="n">
        <v>-0.493</v>
      </c>
      <c r="AI214" s="7" t="n">
        <v>-0.331</v>
      </c>
      <c r="AJ214" s="7" t="n">
        <v>-0.614</v>
      </c>
      <c r="AK214" s="7" t="n">
        <v>-0.488</v>
      </c>
      <c r="AL214" s="7" t="n">
        <v>-0.226</v>
      </c>
      <c r="AM214" s="7" t="n">
        <v>0.049</v>
      </c>
      <c r="AN214" s="7" t="n">
        <v>-0.399</v>
      </c>
      <c r="AO214" s="7" t="n">
        <v>-0.224</v>
      </c>
      <c r="AP214" s="7" t="n">
        <v>-0.128</v>
      </c>
      <c r="AQ214" s="7" t="n">
        <v>-0.459</v>
      </c>
      <c r="AR214" s="7" t="n">
        <v>-0.089</v>
      </c>
      <c r="AS214" s="7" t="n">
        <v>-0.096</v>
      </c>
      <c r="AT214" s="7" t="n">
        <v>-0.208</v>
      </c>
      <c r="AU214" s="7" t="n">
        <v>-0.013</v>
      </c>
      <c r="AV214" s="7" t="n">
        <v>-0.365</v>
      </c>
    </row>
    <row r="215" customFormat="false" ht="15" hidden="false" customHeight="false" outlineLevel="0" collapsed="false">
      <c r="A215" s="19" t="n">
        <v>46532</v>
      </c>
      <c r="B215" s="6" t="n">
        <v>1</v>
      </c>
      <c r="C215" s="6" t="s">
        <v>198</v>
      </c>
      <c r="D215" s="6" t="s">
        <v>199</v>
      </c>
      <c r="E215" s="6" t="s">
        <v>176</v>
      </c>
      <c r="F215" s="6" t="s">
        <v>172</v>
      </c>
      <c r="G215" s="7" t="n">
        <v>-0.349</v>
      </c>
      <c r="H215" s="7" t="n">
        <v>-0.438</v>
      </c>
      <c r="I215" s="7" t="n">
        <v>-0.102</v>
      </c>
      <c r="J215" s="7" t="n">
        <v>0.081</v>
      </c>
      <c r="K215" s="7" t="n">
        <v>-0.108</v>
      </c>
      <c r="L215" s="7" t="n">
        <v>-0.041</v>
      </c>
      <c r="M215" s="7" t="n">
        <v>-0.644</v>
      </c>
      <c r="N215" s="7" t="n">
        <v>-0.59</v>
      </c>
      <c r="O215" s="7" t="n">
        <v>-0.197</v>
      </c>
      <c r="P215" s="7" t="n">
        <v>-0.006</v>
      </c>
      <c r="Q215" s="7" t="n">
        <v>-0.071</v>
      </c>
      <c r="R215" s="7" t="n">
        <v>0.038</v>
      </c>
      <c r="S215" s="7" t="n">
        <v>-0.164</v>
      </c>
      <c r="T215" s="7" t="n">
        <v>-0.463</v>
      </c>
      <c r="U215" s="7" t="n">
        <v>-0.332</v>
      </c>
      <c r="V215" s="7" t="n">
        <v>-0.238</v>
      </c>
      <c r="W215" s="7" t="n">
        <v>-0.671</v>
      </c>
      <c r="X215" s="7" t="n">
        <v>0.094</v>
      </c>
      <c r="Y215" s="7" t="n">
        <v>-0.531</v>
      </c>
      <c r="Z215" s="7" t="n">
        <v>-0.577</v>
      </c>
      <c r="AA215" s="7" t="n">
        <v>-0.538</v>
      </c>
      <c r="AB215" s="7" t="n">
        <v>-0.146</v>
      </c>
      <c r="AC215" s="7" t="n">
        <v>-0.139</v>
      </c>
      <c r="AD215" s="7" t="n">
        <v>-0.605</v>
      </c>
      <c r="AE215" s="7" t="n">
        <v>0.099</v>
      </c>
      <c r="AF215" s="7" t="n">
        <v>-0.629</v>
      </c>
      <c r="AG215" s="7" t="n">
        <v>-0.144</v>
      </c>
      <c r="AH215" s="7" t="n">
        <v>-0.119</v>
      </c>
      <c r="AI215" s="7" t="n">
        <v>-0.103</v>
      </c>
      <c r="AJ215" s="7" t="n">
        <v>-0.071</v>
      </c>
      <c r="AK215" s="7" t="n">
        <v>-0.109</v>
      </c>
      <c r="AL215" s="7" t="n">
        <v>-0.519</v>
      </c>
      <c r="AM215" s="7" t="n">
        <v>0.074</v>
      </c>
      <c r="AN215" s="7" t="n">
        <v>-0.077</v>
      </c>
      <c r="AO215" s="7" t="n">
        <v>-0.424</v>
      </c>
      <c r="AP215" s="7" t="n">
        <v>-0.329</v>
      </c>
      <c r="AQ215" s="7" t="n">
        <v>-0.43</v>
      </c>
      <c r="AR215" s="7" t="n">
        <v>-0.038</v>
      </c>
      <c r="AS215" s="7" t="n">
        <v>-0.345</v>
      </c>
      <c r="AT215" s="7" t="n">
        <v>-0.149</v>
      </c>
      <c r="AU215" s="7" t="n">
        <v>0.105</v>
      </c>
      <c r="AV215" s="7" t="n">
        <v>-0.086</v>
      </c>
    </row>
    <row r="216" customFormat="false" ht="15" hidden="false" customHeight="false" outlineLevel="0" collapsed="false">
      <c r="A216" s="19" t="n">
        <v>46533</v>
      </c>
      <c r="B216" s="6" t="n">
        <v>1</v>
      </c>
      <c r="C216" s="6" t="s">
        <v>198</v>
      </c>
      <c r="D216" s="6" t="s">
        <v>200</v>
      </c>
      <c r="E216" s="6" t="s">
        <v>176</v>
      </c>
      <c r="F216" s="6" t="s">
        <v>172</v>
      </c>
      <c r="G216" s="7" t="n">
        <v>-0.26</v>
      </c>
      <c r="H216" s="7" t="n">
        <v>-0.262</v>
      </c>
      <c r="I216" s="7" t="n">
        <v>-0.107</v>
      </c>
      <c r="J216" s="7" t="n">
        <v>0.078</v>
      </c>
      <c r="K216" s="7" t="n">
        <v>-0.082</v>
      </c>
      <c r="L216" s="7" t="n">
        <v>-0.046</v>
      </c>
      <c r="M216" s="7" t="n">
        <v>-0.658</v>
      </c>
      <c r="N216" s="7" t="n">
        <v>-0.487</v>
      </c>
      <c r="O216" s="7" t="n">
        <v>-0.127</v>
      </c>
      <c r="P216" s="7" t="n">
        <v>-0.01</v>
      </c>
      <c r="Q216" s="7" t="n">
        <v>0.091</v>
      </c>
      <c r="R216" s="7" t="n">
        <v>0.064</v>
      </c>
      <c r="S216" s="7" t="n">
        <v>0.036</v>
      </c>
      <c r="T216" s="7" t="n">
        <v>-0.006</v>
      </c>
      <c r="U216" s="7" t="n">
        <v>-0.327</v>
      </c>
      <c r="V216" s="7" t="n">
        <v>-0.234</v>
      </c>
      <c r="W216" s="7" t="n">
        <v>-0.685</v>
      </c>
      <c r="X216" s="7" t="n">
        <v>0.093</v>
      </c>
      <c r="Y216" s="7" t="n">
        <v>-0.539</v>
      </c>
      <c r="Z216" s="7" t="n">
        <v>-0.166</v>
      </c>
      <c r="AA216" s="7" t="n">
        <v>-0.552</v>
      </c>
      <c r="AB216" s="7" t="n">
        <v>-0.149</v>
      </c>
      <c r="AC216" s="7" t="n">
        <v>-0.14</v>
      </c>
      <c r="AD216" s="7" t="n">
        <v>-0.17</v>
      </c>
      <c r="AE216" s="7" t="n">
        <v>0.096</v>
      </c>
      <c r="AF216" s="7" t="n">
        <v>-0.642</v>
      </c>
      <c r="AG216" s="7" t="n">
        <v>0.008</v>
      </c>
      <c r="AH216" s="7" t="n">
        <v>-0.122</v>
      </c>
      <c r="AI216" s="7" t="n">
        <v>-0.108</v>
      </c>
      <c r="AJ216" s="7" t="n">
        <v>-0.065</v>
      </c>
      <c r="AK216" s="7" t="n">
        <v>-0.112</v>
      </c>
      <c r="AL216" s="7" t="n">
        <v>-0.38</v>
      </c>
      <c r="AM216" s="7" t="n">
        <v>0.342</v>
      </c>
      <c r="AN216" s="7" t="n">
        <v>0.109</v>
      </c>
      <c r="AO216" s="7" t="n">
        <v>-0.257</v>
      </c>
      <c r="AP216" s="7" t="n">
        <v>-0.157</v>
      </c>
      <c r="AQ216" s="7" t="n">
        <v>-0.187</v>
      </c>
      <c r="AR216" s="7" t="n">
        <v>0.147</v>
      </c>
      <c r="AS216" s="7" t="n">
        <v>-0.347</v>
      </c>
      <c r="AT216" s="7" t="n">
        <v>0.132</v>
      </c>
      <c r="AU216" s="7" t="n">
        <v>0.105</v>
      </c>
      <c r="AV216" s="7" t="n">
        <v>-0.087</v>
      </c>
    </row>
    <row r="217" customFormat="false" ht="15" hidden="false" customHeight="false" outlineLevel="0" collapsed="false">
      <c r="A217" s="19" t="n">
        <v>46534</v>
      </c>
      <c r="B217" s="6" t="n">
        <v>1</v>
      </c>
      <c r="C217" s="6" t="s">
        <v>198</v>
      </c>
      <c r="D217" s="6" t="s">
        <v>201</v>
      </c>
      <c r="E217" s="6" t="s">
        <v>176</v>
      </c>
      <c r="F217" s="6" t="s">
        <v>172</v>
      </c>
      <c r="G217" s="7" t="n">
        <v>-0.409</v>
      </c>
      <c r="H217" s="7" t="n">
        <v>-0.485</v>
      </c>
      <c r="I217" s="7" t="n">
        <v>-0.365</v>
      </c>
      <c r="J217" s="7" t="n">
        <v>-0.016</v>
      </c>
      <c r="K217" s="7" t="n">
        <v>-0.15</v>
      </c>
      <c r="L217" s="7" t="n">
        <v>-0.052</v>
      </c>
      <c r="M217" s="7" t="n">
        <v>-0.666</v>
      </c>
      <c r="N217" s="7" t="n">
        <v>-0.612</v>
      </c>
      <c r="O217" s="7" t="n">
        <v>-0.188</v>
      </c>
      <c r="P217" s="7" t="n">
        <v>-0.032</v>
      </c>
      <c r="Q217" s="7" t="n">
        <v>-0.107</v>
      </c>
      <c r="R217" s="7" t="n">
        <v>0.067</v>
      </c>
      <c r="S217" s="7" t="n">
        <v>-0.129</v>
      </c>
      <c r="T217" s="7" t="n">
        <v>-0.17</v>
      </c>
      <c r="U217" s="7" t="n">
        <v>-0.521</v>
      </c>
      <c r="V217" s="7" t="n">
        <v>-0.281</v>
      </c>
      <c r="W217" s="7" t="n">
        <v>-0.691</v>
      </c>
      <c r="X217" s="7" t="n">
        <v>0.001</v>
      </c>
      <c r="Y217" s="7" t="n">
        <v>-0.55</v>
      </c>
      <c r="Z217" s="7" t="n">
        <v>-0.187</v>
      </c>
      <c r="AA217" s="7" t="n">
        <v>-0.56</v>
      </c>
      <c r="AB217" s="7" t="n">
        <v>-0.153</v>
      </c>
      <c r="AC217" s="7" t="n">
        <v>-0.328</v>
      </c>
      <c r="AD217" s="7" t="n">
        <v>-0.175</v>
      </c>
      <c r="AE217" s="7" t="n">
        <v>0.074</v>
      </c>
      <c r="AF217" s="7" t="n">
        <v>-0.648</v>
      </c>
      <c r="AG217" s="7" t="n">
        <v>-0.168</v>
      </c>
      <c r="AH217" s="7" t="n">
        <v>-0.125</v>
      </c>
      <c r="AI217" s="7" t="n">
        <v>-0.203</v>
      </c>
      <c r="AJ217" s="7" t="n">
        <v>-0.08</v>
      </c>
      <c r="AK217" s="7" t="n">
        <v>-0.116</v>
      </c>
      <c r="AL217" s="7" t="n">
        <v>-0.431</v>
      </c>
      <c r="AM217" s="7" t="n">
        <v>0.368</v>
      </c>
      <c r="AN217" s="7" t="n">
        <v>-0.085</v>
      </c>
      <c r="AO217" s="7" t="n">
        <v>-0.44</v>
      </c>
      <c r="AP217" s="7" t="n">
        <v>-0.342</v>
      </c>
      <c r="AQ217" s="7" t="n">
        <v>-0.188</v>
      </c>
      <c r="AR217" s="7" t="n">
        <v>-0.049</v>
      </c>
      <c r="AS217" s="7" t="n">
        <v>-0.356</v>
      </c>
      <c r="AT217" s="7" t="n">
        <v>0.118</v>
      </c>
      <c r="AU217" s="7" t="n">
        <v>0.087</v>
      </c>
      <c r="AV217" s="7" t="n">
        <v>-0.087</v>
      </c>
    </row>
    <row r="218" customFormat="false" ht="15" hidden="false" customHeight="false" outlineLevel="0" collapsed="false">
      <c r="A218" s="19" t="n">
        <v>46535</v>
      </c>
      <c r="B218" s="6" t="n">
        <v>1</v>
      </c>
      <c r="C218" s="6" t="s">
        <v>202</v>
      </c>
      <c r="D218" s="6" t="s">
        <v>203</v>
      </c>
      <c r="E218" s="6" t="s">
        <v>176</v>
      </c>
      <c r="F218" s="6" t="s">
        <v>172</v>
      </c>
      <c r="G218" s="7" t="n">
        <v>-0.669</v>
      </c>
      <c r="H218" s="7" t="n">
        <v>-0.542</v>
      </c>
      <c r="I218" s="7" t="n">
        <v>-0.03</v>
      </c>
      <c r="J218" s="7" t="n">
        <v>-0.424</v>
      </c>
      <c r="K218" s="7" t="n">
        <v>-0.372</v>
      </c>
      <c r="L218" s="7" t="n">
        <v>0.027</v>
      </c>
      <c r="M218" s="7" t="n">
        <v>-0.726</v>
      </c>
      <c r="N218" s="7" t="n">
        <v>-0.558</v>
      </c>
      <c r="O218" s="7" t="n">
        <v>-0.324</v>
      </c>
      <c r="P218" s="7" t="n">
        <v>-0.044</v>
      </c>
      <c r="Q218" s="7" t="n">
        <v>-0.163</v>
      </c>
      <c r="R218" s="7" t="n">
        <v>-0.102</v>
      </c>
      <c r="S218" s="7" t="n">
        <v>-0.562</v>
      </c>
      <c r="T218" s="7" t="n">
        <v>-0.302</v>
      </c>
      <c r="U218" s="7" t="n">
        <v>-0.312</v>
      </c>
      <c r="V218" s="7" t="n">
        <v>-0.265</v>
      </c>
      <c r="W218" s="7" t="n">
        <v>-0.741</v>
      </c>
      <c r="X218" s="7" t="n">
        <v>-0.391</v>
      </c>
      <c r="Y218" s="7" t="n">
        <v>-0.542</v>
      </c>
      <c r="Z218" s="7" t="n">
        <v>-0.694</v>
      </c>
      <c r="AA218" s="7" t="n">
        <v>-0.679</v>
      </c>
      <c r="AB218" s="7" t="n">
        <v>-0.137</v>
      </c>
      <c r="AC218" s="7" t="n">
        <v>-0.084</v>
      </c>
      <c r="AD218" s="7" t="n">
        <v>-0.706</v>
      </c>
      <c r="AE218" s="7" t="n">
        <v>-0.066</v>
      </c>
      <c r="AF218" s="7" t="n">
        <v>-0.69</v>
      </c>
      <c r="AG218" s="7" t="n">
        <v>-0.171</v>
      </c>
      <c r="AH218" s="7" t="n">
        <v>-0.109</v>
      </c>
      <c r="AI218" s="7" t="n">
        <v>-0.705</v>
      </c>
      <c r="AJ218" s="7" t="n">
        <v>-0.177</v>
      </c>
      <c r="AK218" s="7" t="n">
        <v>-0.045</v>
      </c>
      <c r="AL218" s="7" t="n">
        <v>-0.501</v>
      </c>
      <c r="AM218" s="7" t="n">
        <v>0.204</v>
      </c>
      <c r="AN218" s="7" t="n">
        <v>-0.081</v>
      </c>
      <c r="AO218" s="7" t="n">
        <v>-0.448</v>
      </c>
      <c r="AP218" s="7" t="n">
        <v>-0.367</v>
      </c>
      <c r="AQ218" s="7" t="n">
        <v>-0.183</v>
      </c>
      <c r="AR218" s="7" t="n">
        <v>-0.051</v>
      </c>
      <c r="AS218" s="7" t="n">
        <v>-0.559</v>
      </c>
      <c r="AT218" s="7" t="n">
        <v>0.007</v>
      </c>
      <c r="AU218" s="7" t="n">
        <v>0.016</v>
      </c>
      <c r="AV218" s="7" t="n">
        <v>-0.083</v>
      </c>
    </row>
    <row r="219" customFormat="false" ht="15" hidden="false" customHeight="false" outlineLevel="0" collapsed="false">
      <c r="A219" s="19" t="n">
        <v>46536</v>
      </c>
      <c r="B219" s="6" t="n">
        <v>0</v>
      </c>
      <c r="C219" s="6" t="s">
        <v>202</v>
      </c>
      <c r="D219" s="6" t="s">
        <v>204</v>
      </c>
      <c r="E219" s="6" t="s">
        <v>176</v>
      </c>
      <c r="F219" s="6" t="s">
        <v>172</v>
      </c>
      <c r="G219" s="7" t="n">
        <v>-0.718</v>
      </c>
      <c r="H219" s="7" t="n">
        <v>-0.592</v>
      </c>
      <c r="I219" s="7" t="n">
        <v>-0.066</v>
      </c>
      <c r="J219" s="7" t="n">
        <v>-0.285</v>
      </c>
      <c r="K219" s="7" t="n">
        <v>-0.545</v>
      </c>
      <c r="L219" s="7" t="n">
        <v>-0.008</v>
      </c>
      <c r="M219" s="7" t="n">
        <v>-0.568</v>
      </c>
      <c r="N219" s="7" t="n">
        <v>-0.528</v>
      </c>
      <c r="O219" s="7" t="n">
        <v>-0.562</v>
      </c>
      <c r="P219" s="7" t="n">
        <v>-0.028</v>
      </c>
      <c r="Q219" s="7" t="n">
        <v>-0.158</v>
      </c>
      <c r="R219" s="7" t="n">
        <v>-0.472</v>
      </c>
      <c r="S219" s="7" t="n">
        <v>-0.656</v>
      </c>
      <c r="T219" s="7" t="n">
        <v>-0.605</v>
      </c>
      <c r="U219" s="7" t="n">
        <v>-0.353</v>
      </c>
      <c r="V219" s="7" t="n">
        <v>-0.287</v>
      </c>
      <c r="W219" s="7" t="n">
        <v>-0.604</v>
      </c>
      <c r="X219" s="7" t="n">
        <v>-0.264</v>
      </c>
      <c r="Y219" s="7" t="n">
        <v>-0.53</v>
      </c>
      <c r="Z219" s="7" t="n">
        <v>-0.297</v>
      </c>
      <c r="AA219" s="7" t="n">
        <v>-0.486</v>
      </c>
      <c r="AB219" s="7" t="n">
        <v>-0.159</v>
      </c>
      <c r="AC219" s="7" t="n">
        <v>-0.115</v>
      </c>
      <c r="AD219" s="7" t="n">
        <v>-0.597</v>
      </c>
      <c r="AE219" s="7" t="n">
        <v>-0.041</v>
      </c>
      <c r="AF219" s="7" t="n">
        <v>-0.558</v>
      </c>
      <c r="AG219" s="7" t="n">
        <v>-0.56</v>
      </c>
      <c r="AH219" s="7" t="n">
        <v>-0.131</v>
      </c>
      <c r="AI219" s="7" t="n">
        <v>-0.562</v>
      </c>
      <c r="AJ219" s="7" t="n">
        <v>-0.502</v>
      </c>
      <c r="AK219" s="7" t="n">
        <v>-0.105</v>
      </c>
      <c r="AL219" s="7" t="n">
        <v>-0.382</v>
      </c>
      <c r="AM219" s="7" t="n">
        <v>-0.011</v>
      </c>
      <c r="AN219" s="7" t="n">
        <v>-0.09</v>
      </c>
      <c r="AO219" s="7" t="n">
        <v>-0.395</v>
      </c>
      <c r="AP219" s="7" t="n">
        <v>-0.302</v>
      </c>
      <c r="AQ219" s="7" t="n">
        <v>-0.491</v>
      </c>
      <c r="AR219" s="7" t="n">
        <v>-0.05</v>
      </c>
      <c r="AS219" s="7" t="n">
        <v>-0.333</v>
      </c>
      <c r="AT219" s="7" t="n">
        <v>-0.255</v>
      </c>
      <c r="AU219" s="7" t="n">
        <v>0.044</v>
      </c>
      <c r="AV219" s="7" t="n">
        <v>-0.094</v>
      </c>
    </row>
    <row r="220" customFormat="false" ht="15" hidden="false" customHeight="false" outlineLevel="0" collapsed="false">
      <c r="A220" s="19" t="n">
        <v>46537</v>
      </c>
      <c r="B220" s="6" t="n">
        <v>0</v>
      </c>
      <c r="C220" s="6" t="s">
        <v>205</v>
      </c>
      <c r="D220" s="6" t="s">
        <v>206</v>
      </c>
      <c r="E220" s="6" t="s">
        <v>176</v>
      </c>
      <c r="F220" s="6" t="s">
        <v>172</v>
      </c>
      <c r="G220" s="7" t="n">
        <v>-0.411</v>
      </c>
      <c r="H220" s="7" t="n">
        <v>-0.554</v>
      </c>
      <c r="I220" s="7" t="n">
        <v>-0.142</v>
      </c>
      <c r="J220" s="7" t="n">
        <v>0.069</v>
      </c>
      <c r="K220" s="7" t="n">
        <v>-0.166</v>
      </c>
      <c r="L220" s="7" t="n">
        <v>-0.412</v>
      </c>
      <c r="M220" s="7" t="n">
        <v>-0.713</v>
      </c>
      <c r="N220" s="7" t="n">
        <v>-0.659</v>
      </c>
      <c r="O220" s="7" t="n">
        <v>-0.245</v>
      </c>
      <c r="P220" s="7" t="n">
        <v>-0.028</v>
      </c>
      <c r="Q220" s="7" t="n">
        <v>-0.091</v>
      </c>
      <c r="R220" s="7" t="n">
        <v>-0.06</v>
      </c>
      <c r="S220" s="7" t="n">
        <v>-0.214</v>
      </c>
      <c r="T220" s="7" t="n">
        <v>-0.338</v>
      </c>
      <c r="U220" s="7" t="n">
        <v>-0.419</v>
      </c>
      <c r="V220" s="7" t="n">
        <v>-0.287</v>
      </c>
      <c r="W220" s="7" t="n">
        <v>-0.729</v>
      </c>
      <c r="X220" s="7" t="n">
        <v>0.089</v>
      </c>
      <c r="Y220" s="7" t="n">
        <v>-0.587</v>
      </c>
      <c r="Z220" s="7" t="n">
        <v>-0.182</v>
      </c>
      <c r="AA220" s="7" t="n">
        <v>-0.665</v>
      </c>
      <c r="AB220" s="7" t="n">
        <v>-0.159</v>
      </c>
      <c r="AC220" s="7" t="n">
        <v>-0.072</v>
      </c>
      <c r="AD220" s="7" t="n">
        <v>-0.527</v>
      </c>
      <c r="AE220" s="7" t="n">
        <v>0.085</v>
      </c>
      <c r="AF220" s="7" t="n">
        <v>-0.675</v>
      </c>
      <c r="AG220" s="7" t="n">
        <v>-0.134</v>
      </c>
      <c r="AH220" s="7" t="n">
        <v>-0.016</v>
      </c>
      <c r="AI220" s="7" t="n">
        <v>-0.105</v>
      </c>
      <c r="AJ220" s="7" t="n">
        <v>-0.067</v>
      </c>
      <c r="AK220" s="7" t="n">
        <v>-0.105</v>
      </c>
      <c r="AL220" s="7" t="n">
        <v>-0.146</v>
      </c>
      <c r="AM220" s="7" t="n">
        <v>0.314</v>
      </c>
      <c r="AN220" s="7" t="n">
        <v>-0.093</v>
      </c>
      <c r="AO220" s="7" t="n">
        <v>-0.528</v>
      </c>
      <c r="AP220" s="7" t="n">
        <v>-0.427</v>
      </c>
      <c r="AQ220" s="7" t="n">
        <v>-0.236</v>
      </c>
      <c r="AR220" s="7" t="n">
        <v>-0.053</v>
      </c>
      <c r="AS220" s="7" t="n">
        <v>-0.511</v>
      </c>
      <c r="AT220" s="7" t="n">
        <v>0.214</v>
      </c>
      <c r="AU220" s="7" t="n">
        <v>0.113</v>
      </c>
      <c r="AV220" s="7" t="n">
        <v>-0.094</v>
      </c>
    </row>
    <row r="221" customFormat="false" ht="15" hidden="false" customHeight="false" outlineLevel="0" collapsed="false">
      <c r="A221" s="19" t="n">
        <v>46538</v>
      </c>
      <c r="B221" s="6" t="n">
        <v>1</v>
      </c>
      <c r="C221" s="6" t="s">
        <v>205</v>
      </c>
      <c r="D221" s="6" t="s">
        <v>206</v>
      </c>
      <c r="E221" s="6" t="s">
        <v>176</v>
      </c>
      <c r="F221" s="6" t="s">
        <v>172</v>
      </c>
      <c r="G221" s="7" t="n">
        <v>-0.41</v>
      </c>
      <c r="H221" s="7" t="n">
        <v>-0.569</v>
      </c>
      <c r="I221" s="7" t="n">
        <v>-0.142</v>
      </c>
      <c r="J221" s="7" t="n">
        <v>0.069</v>
      </c>
      <c r="K221" s="7" t="n">
        <v>-0.147</v>
      </c>
      <c r="L221" s="7" t="n">
        <v>-0.427</v>
      </c>
      <c r="M221" s="7" t="n">
        <v>-0.716</v>
      </c>
      <c r="N221" s="7" t="n">
        <v>-0.684</v>
      </c>
      <c r="O221" s="7" t="n">
        <v>-0.204</v>
      </c>
      <c r="P221" s="7" t="n">
        <v>-0.028</v>
      </c>
      <c r="Q221" s="7" t="n">
        <v>-0.094</v>
      </c>
      <c r="R221" s="7" t="n">
        <v>-0.009</v>
      </c>
      <c r="S221" s="7" t="n">
        <v>-0.195</v>
      </c>
      <c r="T221" s="7" t="n">
        <v>-0.3</v>
      </c>
      <c r="U221" s="7" t="n">
        <v>-0.456</v>
      </c>
      <c r="V221" s="7" t="n">
        <v>-0.287</v>
      </c>
      <c r="W221" s="7" t="n">
        <v>-0.736</v>
      </c>
      <c r="X221" s="7" t="n">
        <v>0.089</v>
      </c>
      <c r="Y221" s="7" t="n">
        <v>-0.592</v>
      </c>
      <c r="Z221" s="7" t="n">
        <v>-0.182</v>
      </c>
      <c r="AA221" s="7" t="n">
        <v>-0.667</v>
      </c>
      <c r="AB221" s="7" t="n">
        <v>-0.159</v>
      </c>
      <c r="AC221" s="7" t="n">
        <v>-0.166</v>
      </c>
      <c r="AD221" s="7" t="n">
        <v>-0.541</v>
      </c>
      <c r="AE221" s="7" t="n">
        <v>0.085</v>
      </c>
      <c r="AF221" s="7" t="n">
        <v>-0.681</v>
      </c>
      <c r="AG221" s="7" t="n">
        <v>-0.11</v>
      </c>
      <c r="AH221" s="7" t="n">
        <v>-0.064</v>
      </c>
      <c r="AI221" s="7" t="n">
        <v>-0.105</v>
      </c>
      <c r="AJ221" s="7" t="n">
        <v>-0.047</v>
      </c>
      <c r="AK221" s="7" t="n">
        <v>-0.105</v>
      </c>
      <c r="AL221" s="7" t="n">
        <v>-0.146</v>
      </c>
      <c r="AM221" s="7" t="n">
        <v>0.292</v>
      </c>
      <c r="AN221" s="7" t="n">
        <v>-0.096</v>
      </c>
      <c r="AO221" s="7" t="n">
        <v>-0.549</v>
      </c>
      <c r="AP221" s="7" t="n">
        <v>-0.448</v>
      </c>
      <c r="AQ221" s="7" t="n">
        <v>-0.238</v>
      </c>
      <c r="AR221" s="7" t="n">
        <v>-0.056</v>
      </c>
      <c r="AS221" s="7" t="n">
        <v>-0.511</v>
      </c>
      <c r="AT221" s="7" t="n">
        <v>0.194</v>
      </c>
      <c r="AU221" s="7" t="n">
        <v>0.113</v>
      </c>
      <c r="AV221" s="7" t="n">
        <v>-0.094</v>
      </c>
    </row>
    <row r="222" customFormat="false" ht="15" hidden="false" customHeight="false" outlineLevel="0" collapsed="false">
      <c r="A222" s="19" t="n">
        <v>46539</v>
      </c>
      <c r="B222" s="6" t="n">
        <v>1</v>
      </c>
      <c r="C222" s="6" t="s">
        <v>205</v>
      </c>
      <c r="D222" s="6" t="s">
        <v>207</v>
      </c>
      <c r="E222" s="6" t="s">
        <v>180</v>
      </c>
      <c r="F222" s="6" t="s">
        <v>172</v>
      </c>
      <c r="G222" s="7" t="n">
        <v>-0.46</v>
      </c>
      <c r="H222" s="7" t="n">
        <v>-0.499</v>
      </c>
      <c r="I222" s="7" t="n">
        <v>-0.151</v>
      </c>
      <c r="J222" s="7" t="n">
        <v>-0.217</v>
      </c>
      <c r="K222" s="7" t="n">
        <v>-0.237</v>
      </c>
      <c r="L222" s="7" t="n">
        <v>-0.147</v>
      </c>
      <c r="M222" s="7" t="n">
        <v>-0.282</v>
      </c>
      <c r="N222" s="7" t="n">
        <v>-0.554</v>
      </c>
      <c r="O222" s="7" t="n">
        <v>-0.184</v>
      </c>
      <c r="P222" s="7" t="n">
        <v>-0.035</v>
      </c>
      <c r="Q222" s="7" t="n">
        <v>-0.417</v>
      </c>
      <c r="R222" s="7" t="n">
        <v>-0.152</v>
      </c>
      <c r="S222" s="7" t="n">
        <v>-0.428</v>
      </c>
      <c r="T222" s="7" t="n">
        <v>-0.438</v>
      </c>
      <c r="U222" s="7" t="n">
        <v>-0.347</v>
      </c>
      <c r="V222" s="7" t="n">
        <v>-0.18</v>
      </c>
      <c r="W222" s="7" t="n">
        <v>-0.301</v>
      </c>
      <c r="X222" s="7" t="n">
        <v>-0.192</v>
      </c>
      <c r="Y222" s="7" t="n">
        <v>-0.155</v>
      </c>
      <c r="Z222" s="7" t="n">
        <v>-0.481</v>
      </c>
      <c r="AA222" s="7" t="n">
        <v>-0.462</v>
      </c>
      <c r="AB222" s="7" t="n">
        <v>-0.18</v>
      </c>
      <c r="AC222" s="7" t="n">
        <v>-0.213</v>
      </c>
      <c r="AD222" s="7" t="n">
        <v>-0.367</v>
      </c>
      <c r="AE222" s="7" t="n">
        <v>-0.01</v>
      </c>
      <c r="AF222" s="7" t="n">
        <v>-0.246</v>
      </c>
      <c r="AG222" s="7" t="n">
        <v>-0.528</v>
      </c>
      <c r="AH222" s="7" t="n">
        <v>-0.135</v>
      </c>
      <c r="AI222" s="7" t="n">
        <v>-0.364</v>
      </c>
      <c r="AJ222" s="7" t="n">
        <v>-0.175</v>
      </c>
      <c r="AK222" s="7" t="n">
        <v>-0.26</v>
      </c>
      <c r="AL222" s="7" t="n">
        <v>-0.035</v>
      </c>
      <c r="AM222" s="7" t="n">
        <v>0.325</v>
      </c>
      <c r="AN222" s="7" t="n">
        <v>-0.318</v>
      </c>
      <c r="AO222" s="7" t="n">
        <v>-0.377</v>
      </c>
      <c r="AP222" s="7" t="n">
        <v>-0.284</v>
      </c>
      <c r="AQ222" s="7" t="n">
        <v>-0.239</v>
      </c>
      <c r="AR222" s="7" t="n">
        <v>-0.27</v>
      </c>
      <c r="AS222" s="7" t="n">
        <v>-0.14</v>
      </c>
      <c r="AT222" s="7" t="n">
        <v>0.056</v>
      </c>
      <c r="AU222" s="7" t="n">
        <v>0.025</v>
      </c>
      <c r="AV222" s="7" t="n">
        <v>-0.104</v>
      </c>
    </row>
    <row r="223" customFormat="false" ht="15" hidden="false" customHeight="false" outlineLevel="0" collapsed="false">
      <c r="A223" s="19" t="n">
        <v>46540</v>
      </c>
      <c r="B223" s="6" t="n">
        <v>1</v>
      </c>
      <c r="C223" s="6" t="s">
        <v>169</v>
      </c>
      <c r="D223" s="6" t="s">
        <v>170</v>
      </c>
      <c r="E223" s="6" t="s">
        <v>180</v>
      </c>
      <c r="F223" s="6" t="s">
        <v>172</v>
      </c>
      <c r="G223" s="7" t="n">
        <v>-0.663</v>
      </c>
      <c r="H223" s="7" t="n">
        <v>-0.579</v>
      </c>
      <c r="I223" s="7" t="n">
        <v>-0.069</v>
      </c>
      <c r="J223" s="7" t="n">
        <v>-0.172</v>
      </c>
      <c r="K223" s="7" t="n">
        <v>-0.613</v>
      </c>
      <c r="L223" s="7" t="n">
        <v>-0.004</v>
      </c>
      <c r="M223" s="7" t="n">
        <v>-0.275</v>
      </c>
      <c r="N223" s="7" t="n">
        <v>-0.575</v>
      </c>
      <c r="O223" s="7" t="n">
        <v>-0.205</v>
      </c>
      <c r="P223" s="7" t="n">
        <v>-0.042</v>
      </c>
      <c r="Q223" s="7" t="n">
        <v>-0.659</v>
      </c>
      <c r="R223" s="7" t="n">
        <v>-0.144</v>
      </c>
      <c r="S223" s="7" t="n">
        <v>-0.655</v>
      </c>
      <c r="T223" s="7" t="n">
        <v>-0.667</v>
      </c>
      <c r="U223" s="7" t="n">
        <v>-0.561</v>
      </c>
      <c r="V223" s="7" t="n">
        <v>-0.6</v>
      </c>
      <c r="W223" s="7" t="n">
        <v>-0.396</v>
      </c>
      <c r="X223" s="7" t="n">
        <v>-0.005</v>
      </c>
      <c r="Y223" s="7" t="n">
        <v>-0.125</v>
      </c>
      <c r="Z223" s="7" t="n">
        <v>-0.664</v>
      </c>
      <c r="AA223" s="7" t="n">
        <v>-0.452</v>
      </c>
      <c r="AB223" s="7" t="n">
        <v>-0.42</v>
      </c>
      <c r="AC223" s="7" t="n">
        <v>-0.162</v>
      </c>
      <c r="AD223" s="7" t="n">
        <v>-0.534</v>
      </c>
      <c r="AE223" s="7" t="n">
        <v>-0.013</v>
      </c>
      <c r="AF223" s="7" t="n">
        <v>-0.377</v>
      </c>
      <c r="AG223" s="7" t="n">
        <v>-0.506</v>
      </c>
      <c r="AH223" s="7" t="n">
        <v>-0.571</v>
      </c>
      <c r="AI223" s="7" t="n">
        <v>-0.118</v>
      </c>
      <c r="AJ223" s="7" t="n">
        <v>-0.544</v>
      </c>
      <c r="AK223" s="7" t="n">
        <v>-0.532</v>
      </c>
      <c r="AL223" s="7" t="n">
        <v>-0.148</v>
      </c>
      <c r="AM223" s="7" t="n">
        <v>0.292</v>
      </c>
      <c r="AN223" s="7" t="n">
        <v>-0.476</v>
      </c>
      <c r="AO223" s="7" t="n">
        <v>-0.251</v>
      </c>
      <c r="AP223" s="7" t="n">
        <v>-0.198</v>
      </c>
      <c r="AQ223" s="7" t="n">
        <v>-0.487</v>
      </c>
      <c r="AR223" s="7" t="n">
        <v>-0.207</v>
      </c>
      <c r="AS223" s="7" t="n">
        <v>-0.063</v>
      </c>
      <c r="AT223" s="7" t="n">
        <v>0.026</v>
      </c>
      <c r="AU223" s="7" t="n">
        <v>0.029</v>
      </c>
      <c r="AV223" s="7" t="n">
        <v>-0.392</v>
      </c>
    </row>
    <row r="224" customFormat="false" ht="15" hidden="false" customHeight="false" outlineLevel="0" collapsed="false">
      <c r="A224" s="19" t="n">
        <v>46541</v>
      </c>
      <c r="B224" s="6" t="n">
        <v>1</v>
      </c>
      <c r="C224" s="6" t="s">
        <v>169</v>
      </c>
      <c r="D224" s="6" t="s">
        <v>174</v>
      </c>
      <c r="E224" s="6" t="s">
        <v>180</v>
      </c>
      <c r="F224" s="6" t="s">
        <v>211</v>
      </c>
      <c r="G224" s="7" t="n">
        <v>-0.631</v>
      </c>
      <c r="H224" s="7" t="n">
        <v>-0.283</v>
      </c>
      <c r="I224" s="7" t="n">
        <v>-0.495</v>
      </c>
      <c r="J224" s="7" t="n">
        <v>-0.031</v>
      </c>
      <c r="K224" s="7" t="n">
        <v>-0.326</v>
      </c>
      <c r="L224" s="7" t="n">
        <v>-0.448</v>
      </c>
      <c r="M224" s="7" t="n">
        <v>-0.511</v>
      </c>
      <c r="N224" s="7" t="n">
        <v>-0.667</v>
      </c>
      <c r="O224" s="7" t="n">
        <v>-0.211</v>
      </c>
      <c r="P224" s="7" t="n">
        <v>-0.049</v>
      </c>
      <c r="Q224" s="7" t="n">
        <v>-0.356</v>
      </c>
      <c r="R224" s="7" t="n">
        <v>-0.01</v>
      </c>
      <c r="S224" s="7" t="n">
        <v>-0.348</v>
      </c>
      <c r="T224" s="7" t="n">
        <v>-0.631</v>
      </c>
      <c r="U224" s="7" t="n">
        <v>-0.566</v>
      </c>
      <c r="V224" s="7" t="n">
        <v>-0.234</v>
      </c>
      <c r="W224" s="7" t="n">
        <v>-0.563</v>
      </c>
      <c r="X224" s="7" t="n">
        <v>-0.007</v>
      </c>
      <c r="Y224" s="7" t="n">
        <v>-0.12</v>
      </c>
      <c r="Z224" s="7" t="n">
        <v>-0.64</v>
      </c>
      <c r="AA224" s="7" t="n">
        <v>-0.697</v>
      </c>
      <c r="AB224" s="7" t="n">
        <v>-0.22</v>
      </c>
      <c r="AC224" s="7" t="n">
        <v>-0.42</v>
      </c>
      <c r="AD224" s="7" t="n">
        <v>-0.703</v>
      </c>
      <c r="AE224" s="7" t="n">
        <v>-0.017</v>
      </c>
      <c r="AF224" s="7" t="n">
        <v>-0.334</v>
      </c>
      <c r="AG224" s="7" t="n">
        <v>-0.342</v>
      </c>
      <c r="AH224" s="7" t="n">
        <v>-0.205</v>
      </c>
      <c r="AI224" s="7" t="n">
        <v>-0.353</v>
      </c>
      <c r="AJ224" s="7" t="n">
        <v>-0.214</v>
      </c>
      <c r="AK224" s="7" t="n">
        <v>-0.144</v>
      </c>
      <c r="AL224" s="7" t="n">
        <v>-0.595</v>
      </c>
      <c r="AM224" s="7" t="n">
        <v>0</v>
      </c>
      <c r="AN224" s="7" t="n">
        <v>-0.24</v>
      </c>
      <c r="AO224" s="7" t="n">
        <v>-0.405</v>
      </c>
      <c r="AP224" s="7" t="n">
        <v>-0.134</v>
      </c>
      <c r="AQ224" s="7" t="n">
        <v>-0.654</v>
      </c>
      <c r="AR224" s="7" t="n">
        <v>-0.161</v>
      </c>
      <c r="AS224" s="7" t="n">
        <v>-0.307</v>
      </c>
      <c r="AT224" s="7" t="n">
        <v>-0.303</v>
      </c>
      <c r="AU224" s="7" t="n">
        <v>0.032</v>
      </c>
      <c r="AV224" s="7" t="n">
        <v>-0.139</v>
      </c>
    </row>
    <row r="225" customFormat="false" ht="15" hidden="false" customHeight="false" outlineLevel="0" collapsed="false">
      <c r="A225" s="19" t="n">
        <v>46542</v>
      </c>
      <c r="B225" s="6" t="n">
        <v>1</v>
      </c>
      <c r="C225" s="6" t="s">
        <v>173</v>
      </c>
      <c r="D225" s="6" t="s">
        <v>209</v>
      </c>
      <c r="E225" s="6" t="s">
        <v>180</v>
      </c>
      <c r="F225" s="6" t="s">
        <v>211</v>
      </c>
      <c r="G225" s="7" t="n">
        <v>-0.727</v>
      </c>
      <c r="H225" s="7" t="n">
        <v>-0.617</v>
      </c>
      <c r="I225" s="7" t="n">
        <v>-0.189</v>
      </c>
      <c r="J225" s="7" t="n">
        <v>-0.033</v>
      </c>
      <c r="K225" s="7" t="n">
        <v>-0.624</v>
      </c>
      <c r="L225" s="7" t="n">
        <v>-0.153</v>
      </c>
      <c r="M225" s="7" t="n">
        <v>-0.365</v>
      </c>
      <c r="N225" s="7" t="n">
        <v>-0.623</v>
      </c>
      <c r="O225" s="7" t="n">
        <v>-0.379</v>
      </c>
      <c r="P225" s="7" t="n">
        <v>-0.054</v>
      </c>
      <c r="Q225" s="7" t="n">
        <v>-0.744</v>
      </c>
      <c r="R225" s="7" t="n">
        <v>-0.013</v>
      </c>
      <c r="S225" s="7" t="n">
        <v>-0.692</v>
      </c>
      <c r="T225" s="7" t="n">
        <v>-0.729</v>
      </c>
      <c r="U225" s="7" t="n">
        <v>-0.581</v>
      </c>
      <c r="V225" s="7" t="n">
        <v>-0.681</v>
      </c>
      <c r="W225" s="7" t="n">
        <v>-0.417</v>
      </c>
      <c r="X225" s="7" t="n">
        <v>-0.009</v>
      </c>
      <c r="Y225" s="7" t="n">
        <v>-0.122</v>
      </c>
      <c r="Z225" s="7" t="n">
        <v>-0.651</v>
      </c>
      <c r="AA225" s="7" t="n">
        <v>-0.495</v>
      </c>
      <c r="AB225" s="7" t="n">
        <v>-0.667</v>
      </c>
      <c r="AC225" s="7" t="n">
        <v>-0.154</v>
      </c>
      <c r="AD225" s="7" t="n">
        <v>-0.591</v>
      </c>
      <c r="AE225" s="7" t="n">
        <v>-0.021</v>
      </c>
      <c r="AF225" s="7" t="n">
        <v>-0.372</v>
      </c>
      <c r="AG225" s="7" t="n">
        <v>-0.549</v>
      </c>
      <c r="AH225" s="7" t="n">
        <v>-0.653</v>
      </c>
      <c r="AI225" s="7" t="n">
        <v>-0.303</v>
      </c>
      <c r="AJ225" s="7" t="n">
        <v>-0.558</v>
      </c>
      <c r="AK225" s="7" t="n">
        <v>-0.469</v>
      </c>
      <c r="AL225" s="7" t="n">
        <v>-0.156</v>
      </c>
      <c r="AM225" s="7" t="n">
        <v>0.306</v>
      </c>
      <c r="AN225" s="7" t="n">
        <v>-0.55</v>
      </c>
      <c r="AO225" s="7" t="n">
        <v>-0.371</v>
      </c>
      <c r="AP225" s="7" t="n">
        <v>-0.296</v>
      </c>
      <c r="AQ225" s="7" t="n">
        <v>-0.518</v>
      </c>
      <c r="AR225" s="7" t="n">
        <v>-0.324</v>
      </c>
      <c r="AS225" s="7" t="n">
        <v>-0.082</v>
      </c>
      <c r="AT225" s="7" t="n">
        <v>0.018</v>
      </c>
      <c r="AU225" s="7" t="n">
        <v>0.032</v>
      </c>
      <c r="AV225" s="7" t="n">
        <v>-0.419</v>
      </c>
    </row>
    <row r="226" customFormat="false" ht="15" hidden="false" customHeight="false" outlineLevel="0" collapsed="false">
      <c r="A226" s="19" t="n">
        <v>46543</v>
      </c>
      <c r="B226" s="6" t="n">
        <v>0</v>
      </c>
      <c r="C226" s="6" t="s">
        <v>173</v>
      </c>
      <c r="D226" s="6" t="s">
        <v>175</v>
      </c>
      <c r="E226" s="6" t="s">
        <v>180</v>
      </c>
      <c r="F226" s="6" t="s">
        <v>211</v>
      </c>
      <c r="G226" s="7" t="n">
        <v>-0.711</v>
      </c>
      <c r="H226" s="7" t="n">
        <v>-0.533</v>
      </c>
      <c r="I226" s="7" t="n">
        <v>-0.339</v>
      </c>
      <c r="J226" s="7" t="n">
        <v>-0.034</v>
      </c>
      <c r="K226" s="7" t="n">
        <v>-0.615</v>
      </c>
      <c r="L226" s="7" t="n">
        <v>-0.155</v>
      </c>
      <c r="M226" s="7" t="n">
        <v>-0.357</v>
      </c>
      <c r="N226" s="7" t="n">
        <v>-0.503</v>
      </c>
      <c r="O226" s="7" t="n">
        <v>-0.15</v>
      </c>
      <c r="P226" s="7" t="n">
        <v>-0.057</v>
      </c>
      <c r="Q226" s="7" t="n">
        <v>-0.69</v>
      </c>
      <c r="R226" s="7" t="n">
        <v>-0.013</v>
      </c>
      <c r="S226" s="7" t="n">
        <v>-0.628</v>
      </c>
      <c r="T226" s="7" t="n">
        <v>-0.693</v>
      </c>
      <c r="U226" s="7" t="n">
        <v>-0.633</v>
      </c>
      <c r="V226" s="7" t="n">
        <v>-0.657</v>
      </c>
      <c r="W226" s="7" t="n">
        <v>-0.411</v>
      </c>
      <c r="X226" s="7" t="n">
        <v>-0.008</v>
      </c>
      <c r="Y226" s="7" t="n">
        <v>-0.124</v>
      </c>
      <c r="Z226" s="7" t="n">
        <v>-0.637</v>
      </c>
      <c r="AA226" s="7" t="n">
        <v>-0.463</v>
      </c>
      <c r="AB226" s="7" t="n">
        <v>-0.639</v>
      </c>
      <c r="AC226" s="7" t="n">
        <v>-0.231</v>
      </c>
      <c r="AD226" s="7" t="n">
        <v>-0.576</v>
      </c>
      <c r="AE226" s="7" t="n">
        <v>-0.023</v>
      </c>
      <c r="AF226" s="7" t="n">
        <v>-0.366</v>
      </c>
      <c r="AG226" s="7" t="n">
        <v>-0.267</v>
      </c>
      <c r="AH226" s="7" t="n">
        <v>-0.629</v>
      </c>
      <c r="AI226" s="7" t="n">
        <v>-0.266</v>
      </c>
      <c r="AJ226" s="7" t="n">
        <v>-0.547</v>
      </c>
      <c r="AK226" s="7" t="n">
        <v>-0.448</v>
      </c>
      <c r="AL226" s="7" t="n">
        <v>-0.157</v>
      </c>
      <c r="AM226" s="7" t="n">
        <v>0.311</v>
      </c>
      <c r="AN226" s="7" t="n">
        <v>-0.456</v>
      </c>
      <c r="AO226" s="7" t="n">
        <v>-0.177</v>
      </c>
      <c r="AP226" s="7" t="n">
        <v>-0.101</v>
      </c>
      <c r="AQ226" s="7" t="n">
        <v>-0.517</v>
      </c>
      <c r="AR226" s="7" t="n">
        <v>-0.129</v>
      </c>
      <c r="AS226" s="7" t="n">
        <v>-0.082</v>
      </c>
      <c r="AT226" s="7" t="n">
        <v>0.018</v>
      </c>
      <c r="AU226" s="7" t="n">
        <v>0.034</v>
      </c>
      <c r="AV226" s="7" t="n">
        <v>-0.421</v>
      </c>
    </row>
    <row r="227" customFormat="false" ht="15" hidden="false" customHeight="false" outlineLevel="0" collapsed="false">
      <c r="A227" s="19" t="n">
        <v>46544</v>
      </c>
      <c r="B227" s="6" t="n">
        <v>0</v>
      </c>
      <c r="C227" s="6" t="s">
        <v>176</v>
      </c>
      <c r="D227" s="6" t="s">
        <v>177</v>
      </c>
      <c r="E227" s="6" t="s">
        <v>180</v>
      </c>
      <c r="F227" s="6" t="s">
        <v>211</v>
      </c>
      <c r="G227" s="7" t="n">
        <v>-0.75</v>
      </c>
      <c r="H227" s="7" t="n">
        <v>-0.416</v>
      </c>
      <c r="I227" s="7" t="n">
        <v>-0.207</v>
      </c>
      <c r="J227" s="7" t="n">
        <v>-0.142</v>
      </c>
      <c r="K227" s="7" t="n">
        <v>-0.576</v>
      </c>
      <c r="L227" s="7" t="n">
        <v>-0.155</v>
      </c>
      <c r="M227" s="7" t="n">
        <v>-0.641</v>
      </c>
      <c r="N227" s="7" t="n">
        <v>-0.507</v>
      </c>
      <c r="O227" s="7" t="n">
        <v>-0.181</v>
      </c>
      <c r="P227" s="7" t="n">
        <v>-0.169</v>
      </c>
      <c r="Q227" s="7" t="n">
        <v>-0.458</v>
      </c>
      <c r="R227" s="7" t="n">
        <v>-0.075</v>
      </c>
      <c r="S227" s="7" t="n">
        <v>-0.536</v>
      </c>
      <c r="T227" s="7" t="n">
        <v>-0.402</v>
      </c>
      <c r="U227" s="7" t="n">
        <v>-0.349</v>
      </c>
      <c r="V227" s="7" t="n">
        <v>-0.297</v>
      </c>
      <c r="W227" s="7" t="n">
        <v>-0.678</v>
      </c>
      <c r="X227" s="7" t="n">
        <v>-0.235</v>
      </c>
      <c r="Y227" s="7" t="n">
        <v>-0.137</v>
      </c>
      <c r="Z227" s="7" t="n">
        <v>-0.733</v>
      </c>
      <c r="AA227" s="7" t="n">
        <v>-0.642</v>
      </c>
      <c r="AB227" s="7" t="n">
        <v>-0.256</v>
      </c>
      <c r="AC227" s="7" t="n">
        <v>-0.164</v>
      </c>
      <c r="AD227" s="7" t="n">
        <v>-0.707</v>
      </c>
      <c r="AE227" s="7" t="n">
        <v>-0.176</v>
      </c>
      <c r="AF227" s="7" t="n">
        <v>-0.634</v>
      </c>
      <c r="AG227" s="7" t="n">
        <v>-0.295</v>
      </c>
      <c r="AH227" s="7" t="n">
        <v>-0.256</v>
      </c>
      <c r="AI227" s="7" t="n">
        <v>-0.561</v>
      </c>
      <c r="AJ227" s="7" t="n">
        <v>-0.429</v>
      </c>
      <c r="AK227" s="7" t="n">
        <v>-0.258</v>
      </c>
      <c r="AL227" s="7" t="n">
        <v>-0.157</v>
      </c>
      <c r="AM227" s="7" t="n">
        <v>0.28</v>
      </c>
      <c r="AN227" s="7" t="n">
        <v>-0.261</v>
      </c>
      <c r="AO227" s="7" t="n">
        <v>-0.206</v>
      </c>
      <c r="AP227" s="7" t="n">
        <v>-0.131</v>
      </c>
      <c r="AQ227" s="7" t="n">
        <v>-0.299</v>
      </c>
      <c r="AR227" s="7" t="n">
        <v>-0.159</v>
      </c>
      <c r="AS227" s="7" t="n">
        <v>-0.485</v>
      </c>
      <c r="AT227" s="7" t="n">
        <v>-0.043</v>
      </c>
      <c r="AU227" s="7" t="n">
        <v>-0.028</v>
      </c>
      <c r="AV227" s="7" t="n">
        <v>-0.166</v>
      </c>
    </row>
    <row r="228" customFormat="false" ht="15" hidden="false" customHeight="false" outlineLevel="0" collapsed="false">
      <c r="A228" s="19" t="n">
        <v>46545</v>
      </c>
      <c r="B228" s="6" t="n">
        <v>1</v>
      </c>
      <c r="C228" s="6" t="s">
        <v>176</v>
      </c>
      <c r="D228" s="6" t="s">
        <v>178</v>
      </c>
      <c r="E228" s="6" t="s">
        <v>180</v>
      </c>
      <c r="F228" s="6" t="s">
        <v>211</v>
      </c>
      <c r="G228" s="7" t="n">
        <v>-0.707</v>
      </c>
      <c r="H228" s="7" t="n">
        <v>-0.596</v>
      </c>
      <c r="I228" s="7" t="n">
        <v>-0.207</v>
      </c>
      <c r="J228" s="7" t="n">
        <v>-0.099</v>
      </c>
      <c r="K228" s="7" t="n">
        <v>-0.659</v>
      </c>
      <c r="L228" s="7" t="n">
        <v>-0.155</v>
      </c>
      <c r="M228" s="7" t="n">
        <v>-0.209</v>
      </c>
      <c r="N228" s="7" t="n">
        <v>-0.453</v>
      </c>
      <c r="O228" s="7" t="n">
        <v>-0.555</v>
      </c>
      <c r="P228" s="7" t="n">
        <v>-0.107</v>
      </c>
      <c r="Q228" s="7" t="n">
        <v>-0.454</v>
      </c>
      <c r="R228" s="7" t="n">
        <v>-0.443</v>
      </c>
      <c r="S228" s="7" t="n">
        <v>-0.675</v>
      </c>
      <c r="T228" s="7" t="n">
        <v>-0.692</v>
      </c>
      <c r="U228" s="7" t="n">
        <v>-0.342</v>
      </c>
      <c r="V228" s="7" t="n">
        <v>-0.29</v>
      </c>
      <c r="W228" s="7" t="n">
        <v>-0.236</v>
      </c>
      <c r="X228" s="7" t="n">
        <v>-0.202</v>
      </c>
      <c r="Y228" s="7" t="n">
        <v>-0.13</v>
      </c>
      <c r="Z228" s="7" t="n">
        <v>-0.55</v>
      </c>
      <c r="AA228" s="7" t="n">
        <v>-0.357</v>
      </c>
      <c r="AB228" s="7" t="n">
        <v>-0.256</v>
      </c>
      <c r="AC228" s="7" t="n">
        <v>-0.164</v>
      </c>
      <c r="AD228" s="7" t="n">
        <v>-0.445</v>
      </c>
      <c r="AE228" s="7" t="n">
        <v>-0.103</v>
      </c>
      <c r="AF228" s="7" t="n">
        <v>-0.191</v>
      </c>
      <c r="AG228" s="7" t="n">
        <v>-0.586</v>
      </c>
      <c r="AH228" s="7" t="n">
        <v>-0.257</v>
      </c>
      <c r="AI228" s="7" t="n">
        <v>-0.263</v>
      </c>
      <c r="AJ228" s="7" t="n">
        <v>-0.61</v>
      </c>
      <c r="AK228" s="7" t="n">
        <v>-0.219</v>
      </c>
      <c r="AL228" s="7" t="n">
        <v>-0.157</v>
      </c>
      <c r="AM228" s="7" t="n">
        <v>-0.004</v>
      </c>
      <c r="AN228" s="7" t="n">
        <v>-0.259</v>
      </c>
      <c r="AO228" s="7" t="n">
        <v>-0.204</v>
      </c>
      <c r="AP228" s="7" t="n">
        <v>-0.129</v>
      </c>
      <c r="AQ228" s="7" t="n">
        <v>-0.594</v>
      </c>
      <c r="AR228" s="7" t="n">
        <v>-0.157</v>
      </c>
      <c r="AS228" s="7" t="n">
        <v>-0.082</v>
      </c>
      <c r="AT228" s="7" t="n">
        <v>-0.318</v>
      </c>
      <c r="AU228" s="7" t="n">
        <v>-0.026</v>
      </c>
      <c r="AV228" s="7" t="n">
        <v>-0.167</v>
      </c>
    </row>
    <row r="229" customFormat="false" ht="15" hidden="false" customHeight="false" outlineLevel="0" collapsed="false">
      <c r="A229" s="19" t="n">
        <v>46546</v>
      </c>
      <c r="B229" s="6" t="n">
        <v>1</v>
      </c>
      <c r="C229" s="6" t="s">
        <v>180</v>
      </c>
      <c r="D229" s="6" t="s">
        <v>181</v>
      </c>
      <c r="E229" s="6" t="s">
        <v>180</v>
      </c>
      <c r="F229" s="6" t="s">
        <v>211</v>
      </c>
      <c r="G229" s="7" t="n">
        <v>-0.442</v>
      </c>
      <c r="H229" s="7" t="n">
        <v>-0.16</v>
      </c>
      <c r="I229" s="7" t="n">
        <v>-0.23</v>
      </c>
      <c r="J229" s="7" t="n">
        <v>0.075</v>
      </c>
      <c r="K229" s="7" t="n">
        <v>-0.343</v>
      </c>
      <c r="L229" s="7" t="n">
        <v>-0.164</v>
      </c>
      <c r="M229" s="7" t="n">
        <v>-0.383</v>
      </c>
      <c r="N229" s="7" t="n">
        <v>-0.358</v>
      </c>
      <c r="O229" s="7" t="n">
        <v>-0.17</v>
      </c>
      <c r="P229" s="7" t="n">
        <v>-0.068</v>
      </c>
      <c r="Q229" s="7" t="n">
        <v>-0.307</v>
      </c>
      <c r="R229" s="7" t="n">
        <v>0.121</v>
      </c>
      <c r="S229" s="7" t="n">
        <v>-0.275</v>
      </c>
      <c r="T229" s="7" t="n">
        <v>-0.295</v>
      </c>
      <c r="U229" s="7" t="n">
        <v>-0.333</v>
      </c>
      <c r="V229" s="7" t="n">
        <v>-0.274</v>
      </c>
      <c r="W229" s="7" t="n">
        <v>-0.486</v>
      </c>
      <c r="X229" s="7" t="n">
        <v>-0.012</v>
      </c>
      <c r="Y229" s="7" t="n">
        <v>-0.379</v>
      </c>
      <c r="Z229" s="7" t="n">
        <v>-0.318</v>
      </c>
      <c r="AA229" s="7" t="n">
        <v>-0.456</v>
      </c>
      <c r="AB229" s="7" t="n">
        <v>-0.26</v>
      </c>
      <c r="AC229" s="7" t="n">
        <v>-0.181</v>
      </c>
      <c r="AD229" s="7" t="n">
        <v>-0.392</v>
      </c>
      <c r="AE229" s="7" t="n">
        <v>-0.034</v>
      </c>
      <c r="AF229" s="7" t="n">
        <v>-0.441</v>
      </c>
      <c r="AG229" s="7" t="n">
        <v>-0.01</v>
      </c>
      <c r="AH229" s="7" t="n">
        <v>-0.247</v>
      </c>
      <c r="AI229" s="7" t="n">
        <v>-0.105</v>
      </c>
      <c r="AJ229" s="7" t="n">
        <v>-0.213</v>
      </c>
      <c r="AK229" s="7" t="n">
        <v>-0.061</v>
      </c>
      <c r="AL229" s="7" t="n">
        <v>-0.07</v>
      </c>
      <c r="AM229" s="7" t="n">
        <v>0.307</v>
      </c>
      <c r="AN229" s="7" t="n">
        <v>-0.16</v>
      </c>
      <c r="AO229" s="7" t="n">
        <v>-0.12</v>
      </c>
      <c r="AP229" s="7" t="n">
        <v>-0.044</v>
      </c>
      <c r="AQ229" s="7" t="n">
        <v>-0.285</v>
      </c>
      <c r="AR229" s="7" t="n">
        <v>-0.072</v>
      </c>
      <c r="AS229" s="7" t="n">
        <v>-0.083</v>
      </c>
      <c r="AT229" s="7" t="n">
        <v>0.046</v>
      </c>
      <c r="AU229" s="7" t="n">
        <v>0.034</v>
      </c>
      <c r="AV229" s="7" t="n">
        <v>-0.151</v>
      </c>
    </row>
    <row r="230" customFormat="false" ht="15" hidden="false" customHeight="false" outlineLevel="0" collapsed="false">
      <c r="A230" s="19" t="n">
        <v>46547</v>
      </c>
      <c r="B230" s="6" t="n">
        <v>1</v>
      </c>
      <c r="C230" s="6" t="s">
        <v>180</v>
      </c>
      <c r="D230" s="6" t="s">
        <v>182</v>
      </c>
      <c r="E230" s="6" t="s">
        <v>180</v>
      </c>
      <c r="F230" s="6" t="s">
        <v>211</v>
      </c>
      <c r="G230" s="7" t="n">
        <v>-0.08</v>
      </c>
      <c r="H230" s="7" t="n">
        <v>0.124</v>
      </c>
      <c r="I230" s="7" t="n">
        <v>-0.254</v>
      </c>
      <c r="J230" s="7" t="n">
        <v>0.331</v>
      </c>
      <c r="K230" s="7" t="n">
        <v>0.094</v>
      </c>
      <c r="L230" s="7" t="n">
        <v>-0.217</v>
      </c>
      <c r="M230" s="7" t="n">
        <v>-0.219</v>
      </c>
      <c r="N230" s="7" t="n">
        <v>-0.392</v>
      </c>
      <c r="O230" s="7" t="n">
        <v>-0.184</v>
      </c>
      <c r="P230" s="7" t="n">
        <v>0.337</v>
      </c>
      <c r="Q230" s="7" t="n">
        <v>0.032</v>
      </c>
      <c r="R230" s="7" t="n">
        <v>0.007</v>
      </c>
      <c r="S230" s="7" t="n">
        <v>0.116</v>
      </c>
      <c r="T230" s="7" t="n">
        <v>0.054</v>
      </c>
      <c r="U230" s="7" t="n">
        <v>-0.359</v>
      </c>
      <c r="V230" s="7" t="n">
        <v>-0.293</v>
      </c>
      <c r="W230" s="7" t="n">
        <v>-0.25</v>
      </c>
      <c r="X230" s="7" t="n">
        <v>0.191</v>
      </c>
      <c r="Y230" s="7" t="n">
        <v>-0.152</v>
      </c>
      <c r="Z230" s="7" t="n">
        <v>-0.505</v>
      </c>
      <c r="AA230" s="7" t="n">
        <v>-0.498</v>
      </c>
      <c r="AB230" s="7" t="n">
        <v>-0.265</v>
      </c>
      <c r="AC230" s="7" t="n">
        <v>-0.198</v>
      </c>
      <c r="AD230" s="7" t="n">
        <v>-0.378</v>
      </c>
      <c r="AE230" s="7" t="n">
        <v>0.372</v>
      </c>
      <c r="AF230" s="7" t="n">
        <v>-0.205</v>
      </c>
      <c r="AG230" s="7" t="n">
        <v>-0.18</v>
      </c>
      <c r="AH230" s="7" t="n">
        <v>-0.267</v>
      </c>
      <c r="AI230" s="7" t="n">
        <v>0.158</v>
      </c>
      <c r="AJ230" s="7" t="n">
        <v>0.149</v>
      </c>
      <c r="AK230" s="7" t="n">
        <v>-0.113</v>
      </c>
      <c r="AL230" s="7" t="n">
        <v>-0.02</v>
      </c>
      <c r="AM230" s="7" t="n">
        <v>0.314</v>
      </c>
      <c r="AN230" s="7" t="n">
        <v>-0.153</v>
      </c>
      <c r="AO230" s="7" t="n">
        <v>-0.112</v>
      </c>
      <c r="AP230" s="7" t="n">
        <v>-0.036</v>
      </c>
      <c r="AQ230" s="7" t="n">
        <v>-0.3</v>
      </c>
      <c r="AR230" s="7" t="n">
        <v>-0.052</v>
      </c>
      <c r="AS230" s="7" t="n">
        <v>-0.094</v>
      </c>
      <c r="AT230" s="7" t="n">
        <v>0.375</v>
      </c>
      <c r="AU230" s="7" t="n">
        <v>0.358</v>
      </c>
      <c r="AV230" s="7" t="n">
        <v>-0.166</v>
      </c>
    </row>
    <row r="231" customFormat="false" ht="15" hidden="false" customHeight="false" outlineLevel="0" collapsed="false">
      <c r="A231" s="19" t="n">
        <v>46548</v>
      </c>
      <c r="B231" s="6" t="n">
        <v>1</v>
      </c>
      <c r="C231" s="6" t="s">
        <v>183</v>
      </c>
      <c r="D231" s="6" t="s">
        <v>184</v>
      </c>
      <c r="E231" s="6" t="s">
        <v>180</v>
      </c>
      <c r="F231" s="6" t="s">
        <v>211</v>
      </c>
      <c r="G231" s="7" t="n">
        <v>-0.74</v>
      </c>
      <c r="H231" s="7" t="n">
        <v>-0.295</v>
      </c>
      <c r="I231" s="7" t="n">
        <v>-0.501</v>
      </c>
      <c r="J231" s="7" t="n">
        <v>-0.017</v>
      </c>
      <c r="K231" s="7" t="n">
        <v>-0.498</v>
      </c>
      <c r="L231" s="7" t="n">
        <v>-0.19</v>
      </c>
      <c r="M231" s="7" t="n">
        <v>-0.096</v>
      </c>
      <c r="N231" s="7" t="n">
        <v>-0.624</v>
      </c>
      <c r="O231" s="7" t="n">
        <v>-0.202</v>
      </c>
      <c r="P231" s="7" t="n">
        <v>-0.042</v>
      </c>
      <c r="Q231" s="7" t="n">
        <v>-0.361</v>
      </c>
      <c r="R231" s="7" t="n">
        <v>-0.029</v>
      </c>
      <c r="S231" s="7" t="n">
        <v>-0.429</v>
      </c>
      <c r="T231" s="7" t="n">
        <v>-0.374</v>
      </c>
      <c r="U231" s="7" t="n">
        <v>-0.297</v>
      </c>
      <c r="V231" s="7" t="n">
        <v>-0.264</v>
      </c>
      <c r="W231" s="7" t="n">
        <v>-0.601</v>
      </c>
      <c r="X231" s="7" t="n">
        <v>-0.336</v>
      </c>
      <c r="Y231" s="7" t="n">
        <v>-0.569</v>
      </c>
      <c r="Z231" s="7" t="n">
        <v>-0.246</v>
      </c>
      <c r="AA231" s="7" t="n">
        <v>-0.583</v>
      </c>
      <c r="AB231" s="7" t="n">
        <v>-0.242</v>
      </c>
      <c r="AC231" s="7" t="n">
        <v>-0.51</v>
      </c>
      <c r="AD231" s="7" t="n">
        <v>-0.666</v>
      </c>
      <c r="AE231" s="7" t="n">
        <v>-0.005</v>
      </c>
      <c r="AF231" s="7" t="n">
        <v>-0.572</v>
      </c>
      <c r="AG231" s="7" t="n">
        <v>-0.284</v>
      </c>
      <c r="AH231" s="7" t="n">
        <v>-0.239</v>
      </c>
      <c r="AI231" s="7" t="n">
        <v>-0.372</v>
      </c>
      <c r="AJ231" s="7" t="n">
        <v>-0.206</v>
      </c>
      <c r="AK231" s="7" t="n">
        <v>-0.148</v>
      </c>
      <c r="AL231" s="7" t="n">
        <v>-0.183</v>
      </c>
      <c r="AM231" s="7" t="n">
        <v>0.386</v>
      </c>
      <c r="AN231" s="7" t="n">
        <v>-0.243</v>
      </c>
      <c r="AO231" s="7" t="n">
        <v>-0.475</v>
      </c>
      <c r="AP231" s="7" t="n">
        <v>-0.401</v>
      </c>
      <c r="AQ231" s="7" t="n">
        <v>-0.088</v>
      </c>
      <c r="AR231" s="7" t="n">
        <v>-0.181</v>
      </c>
      <c r="AS231" s="7" t="n">
        <v>-0.417</v>
      </c>
      <c r="AT231" s="7" t="n">
        <v>0.143</v>
      </c>
      <c r="AU231" s="7" t="n">
        <v>0.046</v>
      </c>
      <c r="AV231" s="7" t="n">
        <v>-0.131</v>
      </c>
    </row>
    <row r="232" customFormat="false" ht="15" hidden="false" customHeight="false" outlineLevel="0" collapsed="false">
      <c r="A232" s="19" t="n">
        <v>46549</v>
      </c>
      <c r="B232" s="6" t="n">
        <v>1</v>
      </c>
      <c r="C232" s="6" t="s">
        <v>183</v>
      </c>
      <c r="D232" s="6" t="s">
        <v>185</v>
      </c>
      <c r="E232" s="6" t="s">
        <v>180</v>
      </c>
      <c r="F232" s="6" t="s">
        <v>211</v>
      </c>
      <c r="G232" s="7" t="n">
        <v>-0.545</v>
      </c>
      <c r="H232" s="7" t="n">
        <v>-0.395</v>
      </c>
      <c r="I232" s="7" t="n">
        <v>-0.139</v>
      </c>
      <c r="J232" s="7" t="n">
        <v>0.019</v>
      </c>
      <c r="K232" s="7" t="n">
        <v>-0.544</v>
      </c>
      <c r="L232" s="7" t="n">
        <v>-0.155</v>
      </c>
      <c r="M232" s="7" t="n">
        <v>-0.065</v>
      </c>
      <c r="N232" s="7" t="n">
        <v>-0.404</v>
      </c>
      <c r="O232" s="7" t="n">
        <v>-0.162</v>
      </c>
      <c r="P232" s="7" t="n">
        <v>-0.005</v>
      </c>
      <c r="Q232" s="7" t="n">
        <v>-0.539</v>
      </c>
      <c r="R232" s="7" t="n">
        <v>-0.028</v>
      </c>
      <c r="S232" s="7" t="n">
        <v>-0.533</v>
      </c>
      <c r="T232" s="7" t="n">
        <v>-0.605</v>
      </c>
      <c r="U232" s="7" t="n">
        <v>-0.535</v>
      </c>
      <c r="V232" s="7" t="n">
        <v>-0.507</v>
      </c>
      <c r="W232" s="7" t="n">
        <v>-0.197</v>
      </c>
      <c r="X232" s="7" t="n">
        <v>0.023</v>
      </c>
      <c r="Y232" s="7" t="n">
        <v>-0.159</v>
      </c>
      <c r="Z232" s="7" t="n">
        <v>-0.36</v>
      </c>
      <c r="AA232" s="7" t="n">
        <v>-0.323</v>
      </c>
      <c r="AB232" s="7" t="n">
        <v>-0.248</v>
      </c>
      <c r="AC232" s="7" t="n">
        <v>-0.18</v>
      </c>
      <c r="AD232" s="7" t="n">
        <v>-0.393</v>
      </c>
      <c r="AE232" s="7" t="n">
        <v>0.034</v>
      </c>
      <c r="AF232" s="7" t="n">
        <v>-0.188</v>
      </c>
      <c r="AG232" s="7" t="n">
        <v>-0.276</v>
      </c>
      <c r="AH232" s="7" t="n">
        <v>-0.482</v>
      </c>
      <c r="AI232" s="7" t="n">
        <v>-0.001</v>
      </c>
      <c r="AJ232" s="7" t="n">
        <v>-0.407</v>
      </c>
      <c r="AK232" s="7" t="n">
        <v>-0.272</v>
      </c>
      <c r="AL232" s="7" t="n">
        <v>-0.192</v>
      </c>
      <c r="AM232" s="7" t="n">
        <v>0.493</v>
      </c>
      <c r="AN232" s="7" t="n">
        <v>-0.38</v>
      </c>
      <c r="AO232" s="7" t="n">
        <v>-0.143</v>
      </c>
      <c r="AP232" s="7" t="n">
        <v>-0.104</v>
      </c>
      <c r="AQ232" s="7" t="n">
        <v>-0.252</v>
      </c>
      <c r="AR232" s="7" t="n">
        <v>-0.133</v>
      </c>
      <c r="AS232" s="7" t="n">
        <v>-0.048</v>
      </c>
      <c r="AT232" s="7" t="n">
        <v>0.249</v>
      </c>
      <c r="AU232" s="7" t="n">
        <v>0.056</v>
      </c>
      <c r="AV232" s="7" t="n">
        <v>-0.347</v>
      </c>
    </row>
    <row r="233" customFormat="false" ht="15" hidden="false" customHeight="false" outlineLevel="0" collapsed="false">
      <c r="A233" s="19" t="n">
        <v>46550</v>
      </c>
      <c r="B233" s="6" t="n">
        <v>0</v>
      </c>
      <c r="C233" s="6" t="s">
        <v>186</v>
      </c>
      <c r="D233" s="6" t="s">
        <v>187</v>
      </c>
      <c r="E233" s="6" t="s">
        <v>180</v>
      </c>
      <c r="F233" s="6" t="s">
        <v>211</v>
      </c>
      <c r="G233" s="7" t="n">
        <v>-0.553</v>
      </c>
      <c r="H233" s="7" t="n">
        <v>-0.26</v>
      </c>
      <c r="I233" s="7" t="n">
        <v>-0.297</v>
      </c>
      <c r="J233" s="7" t="n">
        <v>0.199</v>
      </c>
      <c r="K233" s="7" t="n">
        <v>-0.44</v>
      </c>
      <c r="L233" s="7" t="n">
        <v>-0.2</v>
      </c>
      <c r="M233" s="7" t="n">
        <v>-0.188</v>
      </c>
      <c r="N233" s="7" t="n">
        <v>-0.449</v>
      </c>
      <c r="O233" s="7" t="n">
        <v>-0.194</v>
      </c>
      <c r="P233" s="7" t="n">
        <v>0.236</v>
      </c>
      <c r="Q233" s="7" t="n">
        <v>-0.375</v>
      </c>
      <c r="R233" s="7" t="n">
        <v>0.081</v>
      </c>
      <c r="S233" s="7" t="n">
        <v>-0.372</v>
      </c>
      <c r="T233" s="7" t="n">
        <v>-0.616</v>
      </c>
      <c r="U233" s="7" t="n">
        <v>-0.323</v>
      </c>
      <c r="V233" s="7" t="n">
        <v>-0.246</v>
      </c>
      <c r="W233" s="7" t="n">
        <v>-0.229</v>
      </c>
      <c r="X233" s="7" t="n">
        <v>-0.065</v>
      </c>
      <c r="Y233" s="7" t="n">
        <v>-0.168</v>
      </c>
      <c r="Z233" s="7" t="n">
        <v>-0.547</v>
      </c>
      <c r="AA233" s="7" t="n">
        <v>-0.356</v>
      </c>
      <c r="AB233" s="7" t="n">
        <v>-0.198</v>
      </c>
      <c r="AC233" s="7" t="n">
        <v>-0.224</v>
      </c>
      <c r="AD233" s="7" t="n">
        <v>-0.687</v>
      </c>
      <c r="AE233" s="7" t="n">
        <v>0.202</v>
      </c>
      <c r="AF233" s="7" t="n">
        <v>-0.184</v>
      </c>
      <c r="AG233" s="7" t="n">
        <v>-0.136</v>
      </c>
      <c r="AH233" s="7" t="n">
        <v>-0.221</v>
      </c>
      <c r="AI233" s="7" t="n">
        <v>-0.127</v>
      </c>
      <c r="AJ233" s="7" t="n">
        <v>-0.269</v>
      </c>
      <c r="AK233" s="7" t="n">
        <v>0.092</v>
      </c>
      <c r="AL233" s="7" t="n">
        <v>-0.606</v>
      </c>
      <c r="AM233" s="7" t="n">
        <v>-0.075</v>
      </c>
      <c r="AN233" s="7" t="n">
        <v>-0.182</v>
      </c>
      <c r="AO233" s="7" t="n">
        <v>-0.199</v>
      </c>
      <c r="AP233" s="7" t="n">
        <v>-0.125</v>
      </c>
      <c r="AQ233" s="7" t="n">
        <v>-0.569</v>
      </c>
      <c r="AR233" s="7" t="n">
        <v>-0.155</v>
      </c>
      <c r="AS233" s="7" t="n">
        <v>-0.084</v>
      </c>
      <c r="AT233" s="7" t="n">
        <v>-0.359</v>
      </c>
      <c r="AU233" s="7" t="n">
        <v>0.003</v>
      </c>
      <c r="AV233" s="7" t="n">
        <v>-0.099</v>
      </c>
    </row>
    <row r="234" customFormat="false" ht="15" hidden="false" customHeight="false" outlineLevel="0" collapsed="false">
      <c r="A234" s="19" t="n">
        <v>46551</v>
      </c>
      <c r="B234" s="6" t="n">
        <v>0</v>
      </c>
      <c r="C234" s="6" t="s">
        <v>186</v>
      </c>
      <c r="D234" s="6" t="s">
        <v>188</v>
      </c>
      <c r="E234" s="6" t="s">
        <v>180</v>
      </c>
      <c r="F234" s="6" t="s">
        <v>211</v>
      </c>
      <c r="G234" s="7" t="n">
        <v>-0.573</v>
      </c>
      <c r="H234" s="7" t="n">
        <v>-0.419</v>
      </c>
      <c r="I234" s="7" t="n">
        <v>-0.281</v>
      </c>
      <c r="J234" s="7" t="n">
        <v>0.159</v>
      </c>
      <c r="K234" s="7" t="n">
        <v>-0.441</v>
      </c>
      <c r="L234" s="7" t="n">
        <v>-0.2</v>
      </c>
      <c r="M234" s="7" t="n">
        <v>-0.188</v>
      </c>
      <c r="N234" s="7" t="n">
        <v>-0.569</v>
      </c>
      <c r="O234" s="7" t="n">
        <v>-0.373</v>
      </c>
      <c r="P234" s="7" t="n">
        <v>0.236</v>
      </c>
      <c r="Q234" s="7" t="n">
        <v>-0.543</v>
      </c>
      <c r="R234" s="7" t="n">
        <v>-0.003</v>
      </c>
      <c r="S234" s="7" t="n">
        <v>-0.498</v>
      </c>
      <c r="T234" s="7" t="n">
        <v>-0.486</v>
      </c>
      <c r="U234" s="7" t="n">
        <v>-0.32</v>
      </c>
      <c r="V234" s="7" t="n">
        <v>-0.243</v>
      </c>
      <c r="W234" s="7" t="n">
        <v>-0.229</v>
      </c>
      <c r="X234" s="7" t="n">
        <v>-0.128</v>
      </c>
      <c r="Y234" s="7" t="n">
        <v>-0.168</v>
      </c>
      <c r="Z234" s="7" t="n">
        <v>-0.376</v>
      </c>
      <c r="AA234" s="7" t="n">
        <v>-0.426</v>
      </c>
      <c r="AB234" s="7" t="n">
        <v>-0.198</v>
      </c>
      <c r="AC234" s="7" t="n">
        <v>-0.224</v>
      </c>
      <c r="AD234" s="7" t="n">
        <v>-0.411</v>
      </c>
      <c r="AE234" s="7" t="n">
        <v>0.136</v>
      </c>
      <c r="AF234" s="7" t="n">
        <v>-0.184</v>
      </c>
      <c r="AG234" s="7" t="n">
        <v>-0.368</v>
      </c>
      <c r="AH234" s="7" t="n">
        <v>-0.218</v>
      </c>
      <c r="AI234" s="7" t="n">
        <v>-0.193</v>
      </c>
      <c r="AJ234" s="7" t="n">
        <v>-0.312</v>
      </c>
      <c r="AK234" s="7" t="n">
        <v>0.132</v>
      </c>
      <c r="AL234" s="7" t="n">
        <v>-0.201</v>
      </c>
      <c r="AM234" s="7" t="n">
        <v>0.286</v>
      </c>
      <c r="AN234" s="7" t="n">
        <v>-0.325</v>
      </c>
      <c r="AO234" s="7" t="n">
        <v>-0.356</v>
      </c>
      <c r="AP234" s="7" t="n">
        <v>-0.282</v>
      </c>
      <c r="AQ234" s="7" t="n">
        <v>-0.215</v>
      </c>
      <c r="AR234" s="7" t="n">
        <v>-0.312</v>
      </c>
      <c r="AS234" s="7" t="n">
        <v>-0.084</v>
      </c>
      <c r="AT234" s="7" t="n">
        <v>-0.101</v>
      </c>
      <c r="AU234" s="7" t="n">
        <v>-0.079</v>
      </c>
      <c r="AV234" s="7" t="n">
        <v>-0.095</v>
      </c>
    </row>
    <row r="235" customFormat="false" ht="15" hidden="false" customHeight="false" outlineLevel="0" collapsed="false">
      <c r="A235" s="19" t="n">
        <v>46552</v>
      </c>
      <c r="B235" s="6" t="n">
        <v>1</v>
      </c>
      <c r="C235" s="6" t="s">
        <v>190</v>
      </c>
      <c r="D235" s="6" t="s">
        <v>189</v>
      </c>
      <c r="E235" s="6" t="s">
        <v>180</v>
      </c>
      <c r="F235" s="6" t="s">
        <v>212</v>
      </c>
      <c r="G235" s="7" t="n">
        <v>-0.56</v>
      </c>
      <c r="H235" s="7" t="n">
        <v>-0.384</v>
      </c>
      <c r="I235" s="7" t="n">
        <v>-0.405</v>
      </c>
      <c r="J235" s="7" t="n">
        <v>0.035</v>
      </c>
      <c r="K235" s="7" t="n">
        <v>-0.429</v>
      </c>
      <c r="L235" s="7" t="n">
        <v>-0.285</v>
      </c>
      <c r="M235" s="7" t="n">
        <v>-0.327</v>
      </c>
      <c r="N235" s="7" t="n">
        <v>-0.517</v>
      </c>
      <c r="O235" s="7" t="n">
        <v>-0.165</v>
      </c>
      <c r="P235" s="7" t="n">
        <v>0.014</v>
      </c>
      <c r="Q235" s="7" t="n">
        <v>-0.459</v>
      </c>
      <c r="R235" s="7" t="n">
        <v>-0.028</v>
      </c>
      <c r="S235" s="7" t="n">
        <v>-0.412</v>
      </c>
      <c r="T235" s="7" t="n">
        <v>-0.523</v>
      </c>
      <c r="U235" s="7" t="n">
        <v>-0.518</v>
      </c>
      <c r="V235" s="7" t="n">
        <v>-0.402</v>
      </c>
      <c r="W235" s="7" t="n">
        <v>-0.401</v>
      </c>
      <c r="X235" s="7" t="n">
        <v>0.023</v>
      </c>
      <c r="Y235" s="7" t="n">
        <v>-0.206</v>
      </c>
      <c r="Z235" s="7" t="n">
        <v>-0.346</v>
      </c>
      <c r="AA235" s="7" t="n">
        <v>-0.426</v>
      </c>
      <c r="AB235" s="7" t="n">
        <v>-0.377</v>
      </c>
      <c r="AC235" s="7" t="n">
        <v>-0.29</v>
      </c>
      <c r="AD235" s="7" t="n">
        <v>-0.474</v>
      </c>
      <c r="AE235" s="7" t="n">
        <v>0.054</v>
      </c>
      <c r="AF235" s="7" t="n">
        <v>-0.355</v>
      </c>
      <c r="AG235" s="7" t="n">
        <v>-0.28</v>
      </c>
      <c r="AH235" s="7" t="n">
        <v>-0.378</v>
      </c>
      <c r="AI235" s="7" t="n">
        <v>-0.025</v>
      </c>
      <c r="AJ235" s="7" t="n">
        <v>-0.319</v>
      </c>
      <c r="AK235" s="7" t="n">
        <v>-0.192</v>
      </c>
      <c r="AL235" s="7" t="n">
        <v>-0.201</v>
      </c>
      <c r="AM235" s="7" t="n">
        <v>0.307</v>
      </c>
      <c r="AN235" s="7" t="n">
        <v>-0.295</v>
      </c>
      <c r="AO235" s="7" t="n">
        <v>-0.211</v>
      </c>
      <c r="AP235" s="7" t="n">
        <v>-0.137</v>
      </c>
      <c r="AQ235" s="7" t="n">
        <v>-0.354</v>
      </c>
      <c r="AR235" s="7" t="n">
        <v>-0.145</v>
      </c>
      <c r="AS235" s="7" t="n">
        <v>-0.108</v>
      </c>
      <c r="AT235" s="7" t="n">
        <v>0.041</v>
      </c>
      <c r="AU235" s="7" t="n">
        <v>0.048</v>
      </c>
      <c r="AV235" s="7" t="n">
        <v>-0.24</v>
      </c>
    </row>
    <row r="236" customFormat="false" ht="15" hidden="false" customHeight="false" outlineLevel="0" collapsed="false">
      <c r="A236" s="19" t="n">
        <v>46553</v>
      </c>
      <c r="B236" s="6" t="n">
        <v>1</v>
      </c>
      <c r="C236" s="6" t="s">
        <v>190</v>
      </c>
      <c r="D236" s="6" t="s">
        <v>191</v>
      </c>
      <c r="E236" s="6" t="s">
        <v>180</v>
      </c>
      <c r="F236" s="6" t="s">
        <v>212</v>
      </c>
      <c r="G236" s="7" t="n">
        <v>-0.504</v>
      </c>
      <c r="H236" s="7" t="n">
        <v>-0.252</v>
      </c>
      <c r="I236" s="7" t="n">
        <v>-0.276</v>
      </c>
      <c r="J236" s="7" t="n">
        <v>0.082</v>
      </c>
      <c r="K236" s="7" t="n">
        <v>-0.343</v>
      </c>
      <c r="L236" s="7" t="n">
        <v>-0.267</v>
      </c>
      <c r="M236" s="7" t="n">
        <v>-0.476</v>
      </c>
      <c r="N236" s="7" t="n">
        <v>-0.534</v>
      </c>
      <c r="O236" s="7" t="n">
        <v>-0.197</v>
      </c>
      <c r="P236" s="7" t="n">
        <v>0.063</v>
      </c>
      <c r="Q236" s="7" t="n">
        <v>-0.312</v>
      </c>
      <c r="R236" s="7" t="n">
        <v>-0.034</v>
      </c>
      <c r="S236" s="7" t="n">
        <v>-0.268</v>
      </c>
      <c r="T236" s="7" t="n">
        <v>-0.405</v>
      </c>
      <c r="U236" s="7" t="n">
        <v>-0.298</v>
      </c>
      <c r="V236" s="7" t="n">
        <v>-0.231</v>
      </c>
      <c r="W236" s="7" t="n">
        <v>-0.546</v>
      </c>
      <c r="X236" s="7" t="n">
        <v>0.055</v>
      </c>
      <c r="Y236" s="7" t="n">
        <v>-0.197</v>
      </c>
      <c r="Z236" s="7" t="n">
        <v>-0.353</v>
      </c>
      <c r="AA236" s="7" t="n">
        <v>-0.555</v>
      </c>
      <c r="AB236" s="7" t="n">
        <v>-0.217</v>
      </c>
      <c r="AC236" s="7" t="n">
        <v>-0.223</v>
      </c>
      <c r="AD236" s="7" t="n">
        <v>-0.619</v>
      </c>
      <c r="AE236" s="7" t="n">
        <v>0.103</v>
      </c>
      <c r="AF236" s="7" t="n">
        <v>-0.5</v>
      </c>
      <c r="AG236" s="7" t="n">
        <v>-0.308</v>
      </c>
      <c r="AH236" s="7" t="n">
        <v>-0.206</v>
      </c>
      <c r="AI236" s="7" t="n">
        <v>-0.154</v>
      </c>
      <c r="AJ236" s="7" t="n">
        <v>-0.158</v>
      </c>
      <c r="AK236" s="7" t="n">
        <v>0</v>
      </c>
      <c r="AL236" s="7" t="n">
        <v>-0.201</v>
      </c>
      <c r="AM236" s="7" t="n">
        <v>0.269</v>
      </c>
      <c r="AN236" s="7" t="n">
        <v>-0.157</v>
      </c>
      <c r="AO236" s="7" t="n">
        <v>-0.247</v>
      </c>
      <c r="AP236" s="7" t="n">
        <v>-0.174</v>
      </c>
      <c r="AQ236" s="7" t="n">
        <v>-0.206</v>
      </c>
      <c r="AR236" s="7" t="n">
        <v>-0.158</v>
      </c>
      <c r="AS236" s="7" t="n">
        <v>-0.319</v>
      </c>
      <c r="AT236" s="7" t="n">
        <v>0.032</v>
      </c>
      <c r="AU236" s="7" t="n">
        <v>0.058</v>
      </c>
      <c r="AV236" s="7" t="n">
        <v>-0.07</v>
      </c>
    </row>
    <row r="237" customFormat="false" ht="15" hidden="false" customHeight="false" outlineLevel="0" collapsed="false">
      <c r="A237" s="19" t="n">
        <v>46554</v>
      </c>
      <c r="B237" s="6" t="n">
        <v>1</v>
      </c>
      <c r="C237" s="6" t="s">
        <v>190</v>
      </c>
      <c r="D237" s="6" t="s">
        <v>192</v>
      </c>
      <c r="E237" s="6" t="s">
        <v>180</v>
      </c>
      <c r="F237" s="6" t="s">
        <v>212</v>
      </c>
      <c r="G237" s="7" t="n">
        <v>-0.347</v>
      </c>
      <c r="H237" s="7" t="n">
        <v>-0.257</v>
      </c>
      <c r="I237" s="7" t="n">
        <v>-0.275</v>
      </c>
      <c r="J237" s="7" t="n">
        <v>0.177</v>
      </c>
      <c r="K237" s="7" t="n">
        <v>-0.216</v>
      </c>
      <c r="L237" s="7" t="n">
        <v>-0.248</v>
      </c>
      <c r="M237" s="7" t="n">
        <v>-0.275</v>
      </c>
      <c r="N237" s="7" t="n">
        <v>-0.494</v>
      </c>
      <c r="O237" s="7" t="n">
        <v>-0.564</v>
      </c>
      <c r="P237" s="7" t="n">
        <v>0.16</v>
      </c>
      <c r="Q237" s="7" t="n">
        <v>0.057</v>
      </c>
      <c r="R237" s="7" t="n">
        <v>-0.393</v>
      </c>
      <c r="S237" s="7" t="n">
        <v>-0.257</v>
      </c>
      <c r="T237" s="7" t="n">
        <v>-0.485</v>
      </c>
      <c r="U237" s="7" t="n">
        <v>-0.225</v>
      </c>
      <c r="V237" s="7" t="n">
        <v>0.069</v>
      </c>
      <c r="W237" s="7" t="n">
        <v>-0.319</v>
      </c>
      <c r="X237" s="7" t="n">
        <v>0.136</v>
      </c>
      <c r="Y237" s="7" t="n">
        <v>-0.175</v>
      </c>
      <c r="Z237" s="7" t="n">
        <v>0.186</v>
      </c>
      <c r="AA237" s="7" t="n">
        <v>-0.424</v>
      </c>
      <c r="AB237" s="7" t="n">
        <v>0.067</v>
      </c>
      <c r="AC237" s="7" t="n">
        <v>-0.223</v>
      </c>
      <c r="AD237" s="7" t="n">
        <v>-0.425</v>
      </c>
      <c r="AE237" s="7" t="n">
        <v>0.201</v>
      </c>
      <c r="AF237" s="7" t="n">
        <v>-0.273</v>
      </c>
      <c r="AG237" s="7" t="n">
        <v>-0.592</v>
      </c>
      <c r="AH237" s="7" t="n">
        <v>0.091</v>
      </c>
      <c r="AI237" s="7" t="n">
        <v>0.084</v>
      </c>
      <c r="AJ237" s="7" t="n">
        <v>-0.157</v>
      </c>
      <c r="AK237" s="7" t="n">
        <v>0.388</v>
      </c>
      <c r="AL237" s="7" t="n">
        <v>-0.202</v>
      </c>
      <c r="AM237" s="7" t="n">
        <v>-0.013</v>
      </c>
      <c r="AN237" s="7" t="n">
        <v>-0.076</v>
      </c>
      <c r="AO237" s="7" t="n">
        <v>-0.283</v>
      </c>
      <c r="AP237" s="7" t="n">
        <v>-0.209</v>
      </c>
      <c r="AQ237" s="7" t="n">
        <v>-0.432</v>
      </c>
      <c r="AR237" s="7" t="n">
        <v>-0.149</v>
      </c>
      <c r="AS237" s="7" t="n">
        <v>-0.186</v>
      </c>
      <c r="AT237" s="7" t="n">
        <v>-0.236</v>
      </c>
      <c r="AU237" s="7" t="n">
        <v>0.117</v>
      </c>
      <c r="AV237" s="7" t="n">
        <v>0.005</v>
      </c>
    </row>
    <row r="238" customFormat="false" ht="15" hidden="false" customHeight="false" outlineLevel="0" collapsed="false">
      <c r="A238" s="19" t="n">
        <v>46555</v>
      </c>
      <c r="B238" s="6" t="n">
        <v>1</v>
      </c>
      <c r="C238" s="6" t="s">
        <v>171</v>
      </c>
      <c r="D238" s="6" t="s">
        <v>193</v>
      </c>
      <c r="E238" s="6" t="s">
        <v>180</v>
      </c>
      <c r="F238" s="6" t="s">
        <v>212</v>
      </c>
      <c r="G238" s="7" t="n">
        <v>-0.29</v>
      </c>
      <c r="H238" s="7" t="n">
        <v>0.166</v>
      </c>
      <c r="I238" s="7" t="n">
        <v>-0.432</v>
      </c>
      <c r="J238" s="7" t="n">
        <v>0.302</v>
      </c>
      <c r="K238" s="7" t="n">
        <v>-0.223</v>
      </c>
      <c r="L238" s="7" t="n">
        <v>-0.166</v>
      </c>
      <c r="M238" s="7" t="n">
        <v>-0.098</v>
      </c>
      <c r="N238" s="7" t="n">
        <v>-0.364</v>
      </c>
      <c r="O238" s="7" t="n">
        <v>-0.141</v>
      </c>
      <c r="P238" s="7" t="n">
        <v>0.062</v>
      </c>
      <c r="Q238" s="7" t="n">
        <v>-0.075</v>
      </c>
      <c r="R238" s="7" t="n">
        <v>0.16</v>
      </c>
      <c r="S238" s="7" t="n">
        <v>-0.014</v>
      </c>
      <c r="T238" s="7" t="n">
        <v>-0.175</v>
      </c>
      <c r="U238" s="7" t="n">
        <v>-0.261</v>
      </c>
      <c r="V238" s="7" t="n">
        <v>-0.168</v>
      </c>
      <c r="W238" s="7" t="n">
        <v>-0.258</v>
      </c>
      <c r="X238" s="7" t="n">
        <v>0.179</v>
      </c>
      <c r="Y238" s="7" t="n">
        <v>-0.365</v>
      </c>
      <c r="Z238" s="7" t="n">
        <v>-0.055</v>
      </c>
      <c r="AA238" s="7" t="n">
        <v>-0.317</v>
      </c>
      <c r="AB238" s="7" t="n">
        <v>-0.142</v>
      </c>
      <c r="AC238" s="7" t="n">
        <v>-0.23</v>
      </c>
      <c r="AD238" s="7" t="n">
        <v>-0.462</v>
      </c>
      <c r="AE238" s="7" t="n">
        <v>0.199</v>
      </c>
      <c r="AF238" s="7" t="n">
        <v>-0.244</v>
      </c>
      <c r="AG238" s="7" t="n">
        <v>-0.056</v>
      </c>
      <c r="AH238" s="7" t="n">
        <v>-0.147</v>
      </c>
      <c r="AI238" s="7" t="n">
        <v>0.117</v>
      </c>
      <c r="AJ238" s="7" t="n">
        <v>0.039</v>
      </c>
      <c r="AK238" s="7" t="n">
        <v>0.185</v>
      </c>
      <c r="AL238" s="7" t="n">
        <v>-0.169</v>
      </c>
      <c r="AM238" s="7" t="n">
        <v>0.297</v>
      </c>
      <c r="AN238" s="7" t="n">
        <v>0.005</v>
      </c>
      <c r="AO238" s="7" t="n">
        <v>-0.05</v>
      </c>
      <c r="AP238" s="7" t="n">
        <v>-0.008</v>
      </c>
      <c r="AQ238" s="7" t="n">
        <v>-0.099</v>
      </c>
      <c r="AR238" s="7" t="n">
        <v>-0.036</v>
      </c>
      <c r="AS238" s="7" t="n">
        <v>-0.056</v>
      </c>
      <c r="AT238" s="7" t="n">
        <v>0.09</v>
      </c>
      <c r="AU238" s="7" t="n">
        <v>0.119</v>
      </c>
      <c r="AV238" s="7" t="n">
        <v>-0.025</v>
      </c>
    </row>
    <row r="239" customFormat="false" ht="15" hidden="false" customHeight="false" outlineLevel="0" collapsed="false">
      <c r="A239" s="19" t="n">
        <v>46556</v>
      </c>
      <c r="B239" s="6" t="n">
        <v>1</v>
      </c>
      <c r="C239" s="6" t="s">
        <v>171</v>
      </c>
      <c r="D239" s="6" t="s">
        <v>194</v>
      </c>
      <c r="E239" s="6" t="s">
        <v>180</v>
      </c>
      <c r="F239" s="6" t="s">
        <v>212</v>
      </c>
      <c r="G239" s="7" t="n">
        <v>0.147</v>
      </c>
      <c r="H239" s="7" t="n">
        <v>0.438</v>
      </c>
      <c r="I239" s="7" t="n">
        <v>-0.41</v>
      </c>
      <c r="J239" s="7" t="n">
        <v>0.586</v>
      </c>
      <c r="K239" s="7" t="n">
        <v>0.309</v>
      </c>
      <c r="L239" s="7" t="n">
        <v>-0.197</v>
      </c>
      <c r="M239" s="7" t="n">
        <v>-0.153</v>
      </c>
      <c r="N239" s="7" t="n">
        <v>-0.36</v>
      </c>
      <c r="O239" s="7" t="n">
        <v>-0.134</v>
      </c>
      <c r="P239" s="7" t="n">
        <v>0.576</v>
      </c>
      <c r="Q239" s="7" t="n">
        <v>0.249</v>
      </c>
      <c r="R239" s="7" t="n">
        <v>0.067</v>
      </c>
      <c r="S239" s="7" t="n">
        <v>0.421</v>
      </c>
      <c r="T239" s="7" t="n">
        <v>0.205</v>
      </c>
      <c r="U239" s="7" t="n">
        <v>-0.306</v>
      </c>
      <c r="V239" s="7" t="n">
        <v>-0.172</v>
      </c>
      <c r="W239" s="7" t="n">
        <v>-0.3</v>
      </c>
      <c r="X239" s="7" t="n">
        <v>0.494</v>
      </c>
      <c r="Y239" s="7" t="n">
        <v>-0.435</v>
      </c>
      <c r="Z239" s="7" t="n">
        <v>-0.04</v>
      </c>
      <c r="AA239" s="7" t="n">
        <v>-0.344</v>
      </c>
      <c r="AB239" s="7" t="n">
        <v>-0.142</v>
      </c>
      <c r="AC239" s="7" t="n">
        <v>-0.272</v>
      </c>
      <c r="AD239" s="7" t="n">
        <v>-0.419</v>
      </c>
      <c r="AE239" s="7" t="n">
        <v>0.637</v>
      </c>
      <c r="AF239" s="7" t="n">
        <v>-0.292</v>
      </c>
      <c r="AG239" s="7" t="n">
        <v>-0.178</v>
      </c>
      <c r="AH239" s="7" t="n">
        <v>-0.153</v>
      </c>
      <c r="AI239" s="7" t="n">
        <v>0.494</v>
      </c>
      <c r="AJ239" s="7" t="n">
        <v>0.459</v>
      </c>
      <c r="AK239" s="7" t="n">
        <v>0.265</v>
      </c>
      <c r="AL239" s="7" t="n">
        <v>-0.071</v>
      </c>
      <c r="AM239" s="7" t="n">
        <v>0.301</v>
      </c>
      <c r="AN239" s="7" t="n">
        <v>-0.019</v>
      </c>
      <c r="AO239" s="7" t="n">
        <v>-0.078</v>
      </c>
      <c r="AP239" s="7" t="n">
        <v>-0.043</v>
      </c>
      <c r="AQ239" s="7" t="n">
        <v>-0.117</v>
      </c>
      <c r="AR239" s="7" t="n">
        <v>-0.052</v>
      </c>
      <c r="AS239" s="7" t="n">
        <v>-0.066</v>
      </c>
      <c r="AT239" s="7" t="n">
        <v>0.438</v>
      </c>
      <c r="AU239" s="7" t="n">
        <v>0.44</v>
      </c>
      <c r="AV239" s="7" t="n">
        <v>-0.033</v>
      </c>
    </row>
    <row r="240" customFormat="false" ht="15" hidden="false" customHeight="false" outlineLevel="0" collapsed="false">
      <c r="A240" s="19" t="n">
        <v>46557</v>
      </c>
      <c r="B240" s="6" t="n">
        <v>0</v>
      </c>
      <c r="C240" s="6" t="s">
        <v>195</v>
      </c>
      <c r="D240" s="6" t="s">
        <v>196</v>
      </c>
      <c r="E240" s="6" t="s">
        <v>180</v>
      </c>
      <c r="F240" s="6" t="s">
        <v>212</v>
      </c>
      <c r="G240" s="7" t="n">
        <v>-0.202</v>
      </c>
      <c r="H240" s="7" t="n">
        <v>0.06</v>
      </c>
      <c r="I240" s="7" t="n">
        <v>-0.622</v>
      </c>
      <c r="J240" s="7" t="n">
        <v>0.139</v>
      </c>
      <c r="K240" s="7" t="n">
        <v>0.283</v>
      </c>
      <c r="L240" s="7" t="n">
        <v>-0.261</v>
      </c>
      <c r="M240" s="7" t="n">
        <v>-0.213</v>
      </c>
      <c r="N240" s="7" t="n">
        <v>-0.563</v>
      </c>
      <c r="O240" s="7" t="n">
        <v>0.079</v>
      </c>
      <c r="P240" s="7" t="n">
        <v>0.117</v>
      </c>
      <c r="Q240" s="7" t="n">
        <v>-0.133</v>
      </c>
      <c r="R240" s="7" t="n">
        <v>0.092</v>
      </c>
      <c r="S240" s="7" t="n">
        <v>0.161</v>
      </c>
      <c r="T240" s="7" t="n">
        <v>-0.019</v>
      </c>
      <c r="U240" s="7" t="n">
        <v>-0.2</v>
      </c>
      <c r="V240" s="7" t="n">
        <v>-0.066</v>
      </c>
      <c r="W240" s="7" t="n">
        <v>-0.604</v>
      </c>
      <c r="X240" s="7" t="n">
        <v>-0.211</v>
      </c>
      <c r="Y240" s="7" t="n">
        <v>-0.571</v>
      </c>
      <c r="Z240" s="7" t="n">
        <v>0.051</v>
      </c>
      <c r="AA240" s="7" t="n">
        <v>-0.586</v>
      </c>
      <c r="AB240" s="7" t="n">
        <v>-0.142</v>
      </c>
      <c r="AC240" s="7" t="n">
        <v>-0.566</v>
      </c>
      <c r="AD240" s="7" t="n">
        <v>-0.567</v>
      </c>
      <c r="AE240" s="7" t="n">
        <v>0.159</v>
      </c>
      <c r="AF240" s="7" t="n">
        <v>-0.555</v>
      </c>
      <c r="AG240" s="7" t="n">
        <v>-0.051</v>
      </c>
      <c r="AH240" s="7" t="n">
        <v>-0.118</v>
      </c>
      <c r="AI240" s="7" t="n">
        <v>-0.289</v>
      </c>
      <c r="AJ240" s="7" t="n">
        <v>0.265</v>
      </c>
      <c r="AK240" s="7" t="n">
        <v>0.079</v>
      </c>
      <c r="AL240" s="7" t="n">
        <v>-0.111</v>
      </c>
      <c r="AM240" s="7" t="n">
        <v>0.446</v>
      </c>
      <c r="AN240" s="7" t="n">
        <v>-0.023</v>
      </c>
      <c r="AO240" s="7" t="n">
        <v>-0.457</v>
      </c>
      <c r="AP240" s="7" t="n">
        <v>-0.379</v>
      </c>
      <c r="AQ240" s="7" t="n">
        <v>-0.089</v>
      </c>
      <c r="AR240" s="7" t="n">
        <v>-0.09</v>
      </c>
      <c r="AS240" s="7" t="n">
        <v>-0.436</v>
      </c>
      <c r="AT240" s="7" t="n">
        <v>0.189</v>
      </c>
      <c r="AU240" s="7" t="n">
        <v>0.087</v>
      </c>
      <c r="AV240" s="7" t="n">
        <v>0.001</v>
      </c>
    </row>
    <row r="241" customFormat="false" ht="15" hidden="false" customHeight="false" outlineLevel="0" collapsed="false">
      <c r="A241" s="19" t="n">
        <v>46558</v>
      </c>
      <c r="B241" s="6" t="n">
        <v>0</v>
      </c>
      <c r="C241" s="6" t="s">
        <v>195</v>
      </c>
      <c r="D241" s="6" t="s">
        <v>197</v>
      </c>
      <c r="E241" s="6" t="s">
        <v>180</v>
      </c>
      <c r="F241" s="6" t="s">
        <v>212</v>
      </c>
      <c r="G241" s="7" t="n">
        <v>0.025</v>
      </c>
      <c r="H241" s="7" t="n">
        <v>0.333</v>
      </c>
      <c r="I241" s="7" t="n">
        <v>-0.151</v>
      </c>
      <c r="J241" s="7" t="n">
        <v>0.14</v>
      </c>
      <c r="K241" s="7" t="n">
        <v>0.224</v>
      </c>
      <c r="L241" s="7" t="n">
        <v>-0.141</v>
      </c>
      <c r="M241" s="7" t="n">
        <v>-0.11</v>
      </c>
      <c r="N241" s="7" t="n">
        <v>-0.374</v>
      </c>
      <c r="O241" s="7" t="n">
        <v>0.163</v>
      </c>
      <c r="P241" s="7" t="n">
        <v>0.119</v>
      </c>
      <c r="Q241" s="7" t="n">
        <v>0.079</v>
      </c>
      <c r="R241" s="7" t="n">
        <v>0.131</v>
      </c>
      <c r="S241" s="7" t="n">
        <v>0.185</v>
      </c>
      <c r="T241" s="7" t="n">
        <v>0.018</v>
      </c>
      <c r="U241" s="7" t="n">
        <v>-0.083</v>
      </c>
      <c r="V241" s="7" t="n">
        <v>0.121</v>
      </c>
      <c r="W241" s="7" t="n">
        <v>-0.205</v>
      </c>
      <c r="X241" s="7" t="n">
        <v>0.13</v>
      </c>
      <c r="Y241" s="7" t="n">
        <v>-0.102</v>
      </c>
      <c r="Z241" s="7" t="n">
        <v>0.196</v>
      </c>
      <c r="AA241" s="7" t="n">
        <v>-0.319</v>
      </c>
      <c r="AB241" s="7" t="n">
        <v>0.069</v>
      </c>
      <c r="AC241" s="7" t="n">
        <v>-0.142</v>
      </c>
      <c r="AD241" s="7" t="n">
        <v>-0.363</v>
      </c>
      <c r="AE241" s="7" t="n">
        <v>0.161</v>
      </c>
      <c r="AF241" s="7" t="n">
        <v>-0.18</v>
      </c>
      <c r="AG241" s="7" t="n">
        <v>0.049</v>
      </c>
      <c r="AH241" s="7" t="n">
        <v>0.093</v>
      </c>
      <c r="AI241" s="7" t="n">
        <v>0.066</v>
      </c>
      <c r="AJ241" s="7" t="n">
        <v>0.356</v>
      </c>
      <c r="AK241" s="7" t="n">
        <v>0.303</v>
      </c>
      <c r="AL241" s="7" t="n">
        <v>-0.204</v>
      </c>
      <c r="AM241" s="7" t="n">
        <v>0.546</v>
      </c>
      <c r="AN241" s="7" t="n">
        <v>-0.033</v>
      </c>
      <c r="AO241" s="7" t="n">
        <v>-0.131</v>
      </c>
      <c r="AP241" s="7" t="n">
        <v>-0.077</v>
      </c>
      <c r="AQ241" s="7" t="n">
        <v>-0.069</v>
      </c>
      <c r="AR241" s="7" t="n">
        <v>-0.1</v>
      </c>
      <c r="AS241" s="7" t="n">
        <v>-0.07</v>
      </c>
      <c r="AT241" s="7" t="n">
        <v>0.294</v>
      </c>
      <c r="AU241" s="7" t="n">
        <v>0.088</v>
      </c>
      <c r="AV241" s="7" t="n">
        <v>0.001</v>
      </c>
    </row>
    <row r="242" customFormat="false" ht="15" hidden="false" customHeight="false" outlineLevel="0" collapsed="false">
      <c r="A242" s="19" t="n">
        <v>46559</v>
      </c>
      <c r="B242" s="6" t="n">
        <v>1</v>
      </c>
      <c r="C242" s="6" t="s">
        <v>198</v>
      </c>
      <c r="D242" s="6" t="s">
        <v>199</v>
      </c>
      <c r="E242" s="6" t="s">
        <v>180</v>
      </c>
      <c r="F242" s="6" t="s">
        <v>212</v>
      </c>
      <c r="G242" s="7" t="n">
        <v>-0.263</v>
      </c>
      <c r="H242" s="7" t="n">
        <v>-0.026</v>
      </c>
      <c r="I242" s="7" t="n">
        <v>-0.164</v>
      </c>
      <c r="J242" s="7" t="n">
        <v>0.177</v>
      </c>
      <c r="K242" s="7" t="n">
        <v>-0.028</v>
      </c>
      <c r="L242" s="7" t="n">
        <v>-0.15</v>
      </c>
      <c r="M242" s="7" t="n">
        <v>-0.387</v>
      </c>
      <c r="N242" s="7" t="n">
        <v>-0.59</v>
      </c>
      <c r="O242" s="7" t="n">
        <v>-0.172</v>
      </c>
      <c r="P242" s="7" t="n">
        <v>0.155</v>
      </c>
      <c r="Q242" s="7" t="n">
        <v>-0.169</v>
      </c>
      <c r="R242" s="7" t="n">
        <v>0.077</v>
      </c>
      <c r="S242" s="7" t="n">
        <v>-0.069</v>
      </c>
      <c r="T242" s="7" t="n">
        <v>-0.488</v>
      </c>
      <c r="U242" s="7" t="n">
        <v>-0.102</v>
      </c>
      <c r="V242" s="7" t="n">
        <v>-0.086</v>
      </c>
      <c r="W242" s="7" t="n">
        <v>-0.552</v>
      </c>
      <c r="X242" s="7" t="n">
        <v>0.167</v>
      </c>
      <c r="Y242" s="7" t="n">
        <v>-0.537</v>
      </c>
      <c r="Z242" s="7" t="n">
        <v>-0.248</v>
      </c>
      <c r="AA242" s="7" t="n">
        <v>-0.519</v>
      </c>
      <c r="AB242" s="7" t="n">
        <v>-0.142</v>
      </c>
      <c r="AC242" s="7" t="n">
        <v>-0.152</v>
      </c>
      <c r="AD242" s="7" t="n">
        <v>-0.647</v>
      </c>
      <c r="AE242" s="7" t="n">
        <v>0.197</v>
      </c>
      <c r="AF242" s="7" t="n">
        <v>-0.512</v>
      </c>
      <c r="AG242" s="7" t="n">
        <v>-0.283</v>
      </c>
      <c r="AH242" s="7" t="n">
        <v>-0.118</v>
      </c>
      <c r="AI242" s="7" t="n">
        <v>0.093</v>
      </c>
      <c r="AJ242" s="7" t="n">
        <v>0.135</v>
      </c>
      <c r="AK242" s="7" t="n">
        <v>0.079</v>
      </c>
      <c r="AL242" s="7" t="n">
        <v>-0.654</v>
      </c>
      <c r="AM242" s="7" t="n">
        <v>-0.033</v>
      </c>
      <c r="AN242" s="7" t="n">
        <v>-0.096</v>
      </c>
      <c r="AO242" s="7" t="n">
        <v>-0.424</v>
      </c>
      <c r="AP242" s="7" t="n">
        <v>-0.354</v>
      </c>
      <c r="AQ242" s="7" t="n">
        <v>-0.458</v>
      </c>
      <c r="AR242" s="7" t="n">
        <v>-0.162</v>
      </c>
      <c r="AS242" s="7" t="n">
        <v>-0.346</v>
      </c>
      <c r="AT242" s="7" t="n">
        <v>-0.251</v>
      </c>
      <c r="AU242" s="7" t="n">
        <v>0.125</v>
      </c>
      <c r="AV242" s="7" t="n">
        <v>0.001</v>
      </c>
    </row>
    <row r="243" customFormat="false" ht="15" hidden="false" customHeight="false" outlineLevel="0" collapsed="false">
      <c r="A243" s="19" t="n">
        <v>46560</v>
      </c>
      <c r="B243" s="6" t="n">
        <v>1</v>
      </c>
      <c r="C243" s="6" t="s">
        <v>198</v>
      </c>
      <c r="D243" s="6" t="s">
        <v>200</v>
      </c>
      <c r="E243" s="6" t="s">
        <v>180</v>
      </c>
      <c r="F243" s="6" t="s">
        <v>212</v>
      </c>
      <c r="G243" s="7" t="n">
        <v>-0.21</v>
      </c>
      <c r="H243" s="7" t="n">
        <v>-0.302</v>
      </c>
      <c r="I243" s="7" t="n">
        <v>-0.219</v>
      </c>
      <c r="J243" s="7" t="n">
        <v>0.164</v>
      </c>
      <c r="K243" s="7" t="n">
        <v>0.103</v>
      </c>
      <c r="L243" s="7" t="n">
        <v>-0.2</v>
      </c>
      <c r="M243" s="7" t="n">
        <v>-0.442</v>
      </c>
      <c r="N243" s="7" t="n">
        <v>-0.633</v>
      </c>
      <c r="O243" s="7" t="n">
        <v>-0.309</v>
      </c>
      <c r="P243" s="7" t="n">
        <v>0.145</v>
      </c>
      <c r="Q243" s="7" t="n">
        <v>-0.47</v>
      </c>
      <c r="R243" s="7" t="n">
        <v>-0.107</v>
      </c>
      <c r="S243" s="7" t="n">
        <v>-0.33</v>
      </c>
      <c r="T243" s="7" t="n">
        <v>-0.481</v>
      </c>
      <c r="U243" s="7" t="n">
        <v>-0.184</v>
      </c>
      <c r="V243" s="7" t="n">
        <v>-0.126</v>
      </c>
      <c r="W243" s="7" t="n">
        <v>-0.552</v>
      </c>
      <c r="X243" s="7" t="n">
        <v>0.169</v>
      </c>
      <c r="Y243" s="7" t="n">
        <v>-0.542</v>
      </c>
      <c r="Z243" s="7" t="n">
        <v>0.049</v>
      </c>
      <c r="AA243" s="7" t="n">
        <v>-0.543</v>
      </c>
      <c r="AB243" s="7" t="n">
        <v>-0.142</v>
      </c>
      <c r="AC243" s="7" t="n">
        <v>-0.195</v>
      </c>
      <c r="AD243" s="7" t="n">
        <v>-0.303</v>
      </c>
      <c r="AE243" s="7" t="n">
        <v>0.185</v>
      </c>
      <c r="AF243" s="7" t="n">
        <v>-0.503</v>
      </c>
      <c r="AG243" s="7" t="n">
        <v>-0.579</v>
      </c>
      <c r="AH243" s="7" t="n">
        <v>-0.118</v>
      </c>
      <c r="AI243" s="7" t="n">
        <v>0.067</v>
      </c>
      <c r="AJ243" s="7" t="n">
        <v>0.101</v>
      </c>
      <c r="AK243" s="7" t="n">
        <v>0.074</v>
      </c>
      <c r="AL243" s="7" t="n">
        <v>-0.312</v>
      </c>
      <c r="AM243" s="7" t="n">
        <v>0.305</v>
      </c>
      <c r="AN243" s="7" t="n">
        <v>-0.368</v>
      </c>
      <c r="AO243" s="7" t="n">
        <v>-0.547</v>
      </c>
      <c r="AP243" s="7" t="n">
        <v>-0.469</v>
      </c>
      <c r="AQ243" s="7" t="n">
        <v>-0.118</v>
      </c>
      <c r="AR243" s="7" t="n">
        <v>-0.433</v>
      </c>
      <c r="AS243" s="7" t="n">
        <v>-0.311</v>
      </c>
      <c r="AT243" s="7" t="n">
        <v>0.118</v>
      </c>
      <c r="AU243" s="7" t="n">
        <v>0.114</v>
      </c>
      <c r="AV243" s="7" t="n">
        <v>0</v>
      </c>
    </row>
    <row r="244" customFormat="false" ht="15" hidden="false" customHeight="false" outlineLevel="0" collapsed="false">
      <c r="A244" s="19" t="n">
        <v>46561</v>
      </c>
      <c r="B244" s="6" t="n">
        <v>1</v>
      </c>
      <c r="C244" s="6" t="s">
        <v>198</v>
      </c>
      <c r="D244" s="6" t="s">
        <v>201</v>
      </c>
      <c r="E244" s="6" t="s">
        <v>180</v>
      </c>
      <c r="F244" s="6" t="s">
        <v>212</v>
      </c>
      <c r="G244" s="7" t="n">
        <v>-0.196</v>
      </c>
      <c r="H244" s="7" t="n">
        <v>-0.172</v>
      </c>
      <c r="I244" s="7" t="n">
        <v>-0.449</v>
      </c>
      <c r="J244" s="7" t="n">
        <v>0.173</v>
      </c>
      <c r="K244" s="7" t="n">
        <v>0.112</v>
      </c>
      <c r="L244" s="7" t="n">
        <v>-0.2</v>
      </c>
      <c r="M244" s="7" t="n">
        <v>-0.467</v>
      </c>
      <c r="N244" s="7" t="n">
        <v>-0.581</v>
      </c>
      <c r="O244" s="7" t="n">
        <v>-0.14</v>
      </c>
      <c r="P244" s="7" t="n">
        <v>0.151</v>
      </c>
      <c r="Q244" s="7" t="n">
        <v>-0.26</v>
      </c>
      <c r="R244" s="7" t="n">
        <v>-0.083</v>
      </c>
      <c r="S244" s="7" t="n">
        <v>-0.098</v>
      </c>
      <c r="T244" s="7" t="n">
        <v>-0.293</v>
      </c>
      <c r="U244" s="7" t="n">
        <v>-0.336</v>
      </c>
      <c r="V244" s="7" t="n">
        <v>-0.156</v>
      </c>
      <c r="W244" s="7" t="n">
        <v>-0.562</v>
      </c>
      <c r="X244" s="7" t="n">
        <v>0.202</v>
      </c>
      <c r="Y244" s="7" t="n">
        <v>-0.56</v>
      </c>
      <c r="Z244" s="7" t="n">
        <v>0.04</v>
      </c>
      <c r="AA244" s="7" t="n">
        <v>-0.552</v>
      </c>
      <c r="AB244" s="7" t="n">
        <v>-0.145</v>
      </c>
      <c r="AC244" s="7" t="n">
        <v>-0.318</v>
      </c>
      <c r="AD244" s="7" t="n">
        <v>-0.266</v>
      </c>
      <c r="AE244" s="7" t="n">
        <v>0.193</v>
      </c>
      <c r="AF244" s="7" t="n">
        <v>-0.513</v>
      </c>
      <c r="AG244" s="7" t="n">
        <v>-0.336</v>
      </c>
      <c r="AH244" s="7" t="n">
        <v>-0.151</v>
      </c>
      <c r="AI244" s="7" t="n">
        <v>0.08</v>
      </c>
      <c r="AJ244" s="7" t="n">
        <v>0.105</v>
      </c>
      <c r="AK244" s="7" t="n">
        <v>0.046</v>
      </c>
      <c r="AL244" s="7" t="n">
        <v>-0.324</v>
      </c>
      <c r="AM244" s="7" t="n">
        <v>0.308</v>
      </c>
      <c r="AN244" s="7" t="n">
        <v>-0.189</v>
      </c>
      <c r="AO244" s="7" t="n">
        <v>-0.467</v>
      </c>
      <c r="AP244" s="7" t="n">
        <v>-0.385</v>
      </c>
      <c r="AQ244" s="7" t="n">
        <v>-0.143</v>
      </c>
      <c r="AR244" s="7" t="n">
        <v>-0.225</v>
      </c>
      <c r="AS244" s="7" t="n">
        <v>-0.349</v>
      </c>
      <c r="AT244" s="7" t="n">
        <v>0.145</v>
      </c>
      <c r="AU244" s="7" t="n">
        <v>0.129</v>
      </c>
      <c r="AV244" s="7" t="n">
        <v>-0.034</v>
      </c>
    </row>
    <row r="245" customFormat="false" ht="15" hidden="false" customHeight="false" outlineLevel="0" collapsed="false">
      <c r="A245" s="19" t="n">
        <v>46562</v>
      </c>
      <c r="B245" s="6" t="n">
        <v>1</v>
      </c>
      <c r="C245" s="6" t="s">
        <v>202</v>
      </c>
      <c r="D245" s="6" t="s">
        <v>201</v>
      </c>
      <c r="E245" s="6" t="s">
        <v>180</v>
      </c>
      <c r="F245" s="6" t="s">
        <v>212</v>
      </c>
      <c r="G245" s="7" t="n">
        <v>-0.083</v>
      </c>
      <c r="H245" s="7" t="n">
        <v>-0.119</v>
      </c>
      <c r="I245" s="7" t="n">
        <v>0.161</v>
      </c>
      <c r="J245" s="7" t="n">
        <v>0.156</v>
      </c>
      <c r="K245" s="7" t="n">
        <v>-0.083</v>
      </c>
      <c r="L245" s="7" t="n">
        <v>0.225</v>
      </c>
      <c r="M245" s="7" t="n">
        <v>0.109</v>
      </c>
      <c r="N245" s="7" t="n">
        <v>-0.136</v>
      </c>
      <c r="O245" s="7" t="n">
        <v>-0.125</v>
      </c>
      <c r="P245" s="7" t="n">
        <v>0.118</v>
      </c>
      <c r="Q245" s="7" t="n">
        <v>-0.12</v>
      </c>
      <c r="R245" s="7" t="n">
        <v>0.038</v>
      </c>
      <c r="S245" s="7" t="n">
        <v>-0.273</v>
      </c>
      <c r="T245" s="7" t="n">
        <v>0.147</v>
      </c>
      <c r="U245" s="7" t="n">
        <v>0.183</v>
      </c>
      <c r="V245" s="7" t="n">
        <v>-0.084</v>
      </c>
      <c r="W245" s="7" t="n">
        <v>-0.044</v>
      </c>
      <c r="X245" s="7" t="n">
        <v>-0.056</v>
      </c>
      <c r="Y245" s="7" t="n">
        <v>-0.467</v>
      </c>
      <c r="Z245" s="7" t="n">
        <v>0.084</v>
      </c>
      <c r="AA245" s="7" t="n">
        <v>-0.022</v>
      </c>
      <c r="AB245" s="7" t="n">
        <v>-0.147</v>
      </c>
      <c r="AC245" s="7" t="n">
        <v>0.165</v>
      </c>
      <c r="AD245" s="7" t="n">
        <v>-0.519</v>
      </c>
      <c r="AE245" s="7" t="n">
        <v>0.164</v>
      </c>
      <c r="AF245" s="7" t="n">
        <v>-0.383</v>
      </c>
      <c r="AG245" s="7" t="n">
        <v>-0.236</v>
      </c>
      <c r="AH245" s="7" t="n">
        <v>-0.124</v>
      </c>
      <c r="AI245" s="7" t="n">
        <v>0.357</v>
      </c>
      <c r="AJ245" s="7" t="n">
        <v>0.089</v>
      </c>
      <c r="AK245" s="7" t="n">
        <v>0.077</v>
      </c>
      <c r="AL245" s="7" t="n">
        <v>-0.459</v>
      </c>
      <c r="AM245" s="7" t="n">
        <v>0.301</v>
      </c>
      <c r="AN245" s="7" t="n">
        <v>-0.036</v>
      </c>
      <c r="AO245" s="7" t="n">
        <v>-0.027</v>
      </c>
      <c r="AP245" s="7" t="n">
        <v>-0.313</v>
      </c>
      <c r="AQ245" s="7" t="n">
        <v>0.262</v>
      </c>
      <c r="AR245" s="7" t="n">
        <v>-0.092</v>
      </c>
      <c r="AS245" s="7" t="n">
        <v>0.032</v>
      </c>
      <c r="AT245" s="7" t="n">
        <v>0.094</v>
      </c>
      <c r="AU245" s="7" t="n">
        <v>0.107</v>
      </c>
      <c r="AV245" s="7" t="n">
        <v>-0.008</v>
      </c>
    </row>
    <row r="246" customFormat="false" ht="15" hidden="false" customHeight="false" outlineLevel="0" collapsed="false">
      <c r="A246" s="19" t="n">
        <v>46563</v>
      </c>
      <c r="B246" s="6" t="n">
        <v>1</v>
      </c>
      <c r="C246" s="6" t="s">
        <v>202</v>
      </c>
      <c r="D246" s="6" t="s">
        <v>203</v>
      </c>
      <c r="E246" s="6" t="s">
        <v>180</v>
      </c>
      <c r="F246" s="6" t="s">
        <v>212</v>
      </c>
      <c r="G246" s="7" t="n">
        <v>-0.203</v>
      </c>
      <c r="H246" s="7" t="n">
        <v>0.019</v>
      </c>
      <c r="I246" s="7" t="n">
        <v>-0.084</v>
      </c>
      <c r="J246" s="7" t="n">
        <v>0.323</v>
      </c>
      <c r="K246" s="7" t="n">
        <v>-0.024</v>
      </c>
      <c r="L246" s="7" t="n">
        <v>-0.166</v>
      </c>
      <c r="M246" s="7" t="n">
        <v>-0.135</v>
      </c>
      <c r="N246" s="7" t="n">
        <v>-0.446</v>
      </c>
      <c r="O246" s="7" t="n">
        <v>-0.142</v>
      </c>
      <c r="P246" s="7" t="n">
        <v>0.142</v>
      </c>
      <c r="Q246" s="7" t="n">
        <v>-0.106</v>
      </c>
      <c r="R246" s="7" t="n">
        <v>0.072</v>
      </c>
      <c r="S246" s="7" t="n">
        <v>-0.226</v>
      </c>
      <c r="T246" s="7" t="n">
        <v>-0.219</v>
      </c>
      <c r="U246" s="7" t="n">
        <v>-0.093</v>
      </c>
      <c r="V246" s="7" t="n">
        <v>-0.093</v>
      </c>
      <c r="W246" s="7" t="n">
        <v>-0.321</v>
      </c>
      <c r="X246" s="7" t="n">
        <v>0.028</v>
      </c>
      <c r="Y246" s="7" t="n">
        <v>-0.441</v>
      </c>
      <c r="Z246" s="7" t="n">
        <v>0.309</v>
      </c>
      <c r="AA246" s="7" t="n">
        <v>-0.318</v>
      </c>
      <c r="AB246" s="7" t="n">
        <v>-0.15</v>
      </c>
      <c r="AC246" s="7" t="n">
        <v>-0.135</v>
      </c>
      <c r="AD246" s="7" t="n">
        <v>-0.483</v>
      </c>
      <c r="AE246" s="7" t="n">
        <v>0.19</v>
      </c>
      <c r="AF246" s="7" t="n">
        <v>-0.303</v>
      </c>
      <c r="AG246" s="7" t="n">
        <v>-0.251</v>
      </c>
      <c r="AH246" s="7" t="n">
        <v>-0.126</v>
      </c>
      <c r="AI246" s="7" t="n">
        <v>0.182</v>
      </c>
      <c r="AJ246" s="7" t="n">
        <v>0.134</v>
      </c>
      <c r="AK246" s="7" t="n">
        <v>0.079</v>
      </c>
      <c r="AL246" s="7" t="n">
        <v>-0.426</v>
      </c>
      <c r="AM246" s="7" t="n">
        <v>0.293</v>
      </c>
      <c r="AN246" s="7" t="n">
        <v>-0.056</v>
      </c>
      <c r="AO246" s="7" t="n">
        <v>-0.359</v>
      </c>
      <c r="AP246" s="7" t="n">
        <v>-0.298</v>
      </c>
      <c r="AQ246" s="7" t="n">
        <v>-0.047</v>
      </c>
      <c r="AR246" s="7" t="n">
        <v>-0.108</v>
      </c>
      <c r="AS246" s="7" t="n">
        <v>-0.248</v>
      </c>
      <c r="AT246" s="7" t="n">
        <v>0.134</v>
      </c>
      <c r="AU246" s="7" t="n">
        <v>0.14</v>
      </c>
      <c r="AV246" s="7" t="n">
        <v>-0.011</v>
      </c>
    </row>
    <row r="247" customFormat="false" ht="15" hidden="false" customHeight="false" outlineLevel="0" collapsed="false">
      <c r="A247" s="19" t="n">
        <v>46564</v>
      </c>
      <c r="B247" s="6" t="n">
        <v>0</v>
      </c>
      <c r="C247" s="6" t="s">
        <v>202</v>
      </c>
      <c r="D247" s="6" t="s">
        <v>204</v>
      </c>
      <c r="E247" s="6" t="s">
        <v>180</v>
      </c>
      <c r="F247" s="6" t="s">
        <v>212</v>
      </c>
      <c r="G247" s="7" t="n">
        <v>0.304</v>
      </c>
      <c r="H247" s="7" t="n">
        <v>0.466</v>
      </c>
      <c r="I247" s="7" t="n">
        <v>-0.084</v>
      </c>
      <c r="J247" s="7" t="n">
        <v>0.318</v>
      </c>
      <c r="K247" s="7" t="n">
        <v>0.622</v>
      </c>
      <c r="L247" s="7" t="n">
        <v>-0.18</v>
      </c>
      <c r="M247" s="7" t="n">
        <v>-0.023</v>
      </c>
      <c r="N247" s="7" t="n">
        <v>-0.341</v>
      </c>
      <c r="O247" s="7" t="n">
        <v>0.372</v>
      </c>
      <c r="P247" s="7" t="n">
        <v>0.138</v>
      </c>
      <c r="Q247" s="7" t="n">
        <v>-0.181</v>
      </c>
      <c r="R247" s="7" t="n">
        <v>0.481</v>
      </c>
      <c r="S247" s="7" t="n">
        <v>0.542</v>
      </c>
      <c r="T247" s="7" t="n">
        <v>0.361</v>
      </c>
      <c r="U247" s="7" t="n">
        <v>-0.169</v>
      </c>
      <c r="V247" s="7" t="n">
        <v>-0.135</v>
      </c>
      <c r="W247" s="7" t="n">
        <v>-0.2</v>
      </c>
      <c r="X247" s="7" t="n">
        <v>0.052</v>
      </c>
      <c r="Y247" s="7" t="n">
        <v>-0.377</v>
      </c>
      <c r="Z247" s="7" t="n">
        <v>0.119</v>
      </c>
      <c r="AA247" s="7" t="n">
        <v>-0.152</v>
      </c>
      <c r="AB247" s="7" t="n">
        <v>-0.152</v>
      </c>
      <c r="AC247" s="7" t="n">
        <v>-0.169</v>
      </c>
      <c r="AD247" s="7" t="n">
        <v>-0.35</v>
      </c>
      <c r="AE247" s="7" t="n">
        <v>0.188</v>
      </c>
      <c r="AF247" s="7" t="n">
        <v>-0.17</v>
      </c>
      <c r="AG247" s="7" t="n">
        <v>0.308</v>
      </c>
      <c r="AH247" s="7" t="n">
        <v>-0.129</v>
      </c>
      <c r="AI247" s="7" t="n">
        <v>0.202</v>
      </c>
      <c r="AJ247" s="7" t="n">
        <v>0.628</v>
      </c>
      <c r="AK247" s="7" t="n">
        <v>0.081</v>
      </c>
      <c r="AL247" s="7" t="n">
        <v>-0.427</v>
      </c>
      <c r="AM247" s="7" t="n">
        <v>0.772</v>
      </c>
      <c r="AN247" s="7" t="n">
        <v>-0.136</v>
      </c>
      <c r="AO247" s="7" t="n">
        <v>-0.427</v>
      </c>
      <c r="AP247" s="7" t="n">
        <v>-0.35</v>
      </c>
      <c r="AQ247" s="7" t="n">
        <v>0.335</v>
      </c>
      <c r="AR247" s="7" t="n">
        <v>-0.183</v>
      </c>
      <c r="AS247" s="7" t="n">
        <v>-0.308</v>
      </c>
      <c r="AT247" s="7" t="n">
        <v>0.569</v>
      </c>
      <c r="AU247" s="7" t="n">
        <v>0.145</v>
      </c>
      <c r="AV247" s="7" t="n">
        <v>-0.015</v>
      </c>
    </row>
    <row r="248" customFormat="false" ht="15" hidden="false" customHeight="false" outlineLevel="0" collapsed="false">
      <c r="A248" s="19" t="n">
        <v>46565</v>
      </c>
      <c r="B248" s="6" t="n">
        <v>0</v>
      </c>
      <c r="C248" s="6" t="s">
        <v>205</v>
      </c>
      <c r="D248" s="6" t="s">
        <v>206</v>
      </c>
      <c r="E248" s="6" t="s">
        <v>180</v>
      </c>
      <c r="F248" s="6" t="s">
        <v>212</v>
      </c>
      <c r="G248" s="7" t="n">
        <v>0.295</v>
      </c>
      <c r="H248" s="7" t="n">
        <v>0.306</v>
      </c>
      <c r="I248" s="7" t="n">
        <v>-0.125</v>
      </c>
      <c r="J248" s="7" t="n">
        <v>0.243</v>
      </c>
      <c r="K248" s="7" t="n">
        <v>0.494</v>
      </c>
      <c r="L248" s="7" t="n">
        <v>-0.178</v>
      </c>
      <c r="M248" s="7" t="n">
        <v>0.062</v>
      </c>
      <c r="N248" s="7" t="n">
        <v>-0.18</v>
      </c>
      <c r="O248" s="7" t="n">
        <v>0.236</v>
      </c>
      <c r="P248" s="7" t="n">
        <v>0.116</v>
      </c>
      <c r="Q248" s="7" t="n">
        <v>-0.252</v>
      </c>
      <c r="R248" s="7" t="n">
        <v>0.445</v>
      </c>
      <c r="S248" s="7" t="n">
        <v>0.385</v>
      </c>
      <c r="T248" s="7" t="n">
        <v>0.098</v>
      </c>
      <c r="U248" s="7" t="n">
        <v>-0.09</v>
      </c>
      <c r="V248" s="7" t="n">
        <v>-0.136</v>
      </c>
      <c r="W248" s="7" t="n">
        <v>-0.079</v>
      </c>
      <c r="X248" s="7" t="n">
        <v>0.255</v>
      </c>
      <c r="Y248" s="7" t="n">
        <v>-0.241</v>
      </c>
      <c r="Z248" s="7" t="n">
        <v>0.093</v>
      </c>
      <c r="AA248" s="7" t="n">
        <v>-0.112</v>
      </c>
      <c r="AB248" s="7" t="n">
        <v>-0.152</v>
      </c>
      <c r="AC248" s="7" t="n">
        <v>0.054</v>
      </c>
      <c r="AD248" s="7" t="n">
        <v>-0.277</v>
      </c>
      <c r="AE248" s="7" t="n">
        <v>0.166</v>
      </c>
      <c r="AF248" s="7" t="n">
        <v>-0.051</v>
      </c>
      <c r="AG248" s="7" t="n">
        <v>0.124</v>
      </c>
      <c r="AH248" s="7" t="n">
        <v>0.029</v>
      </c>
      <c r="AI248" s="7" t="n">
        <v>0.096</v>
      </c>
      <c r="AJ248" s="7" t="n">
        <v>0.528</v>
      </c>
      <c r="AK248" s="7" t="n">
        <v>0.174</v>
      </c>
      <c r="AL248" s="7" t="n">
        <v>-0.208</v>
      </c>
      <c r="AM248" s="7" t="n">
        <v>0.538</v>
      </c>
      <c r="AN248" s="7" t="n">
        <v>-0.186</v>
      </c>
      <c r="AO248" s="7" t="n">
        <v>-0.144</v>
      </c>
      <c r="AP248" s="7" t="n">
        <v>-0.078</v>
      </c>
      <c r="AQ248" s="7" t="n">
        <v>-0.075</v>
      </c>
      <c r="AR248" s="7" t="n">
        <v>-0.233</v>
      </c>
      <c r="AS248" s="7" t="n">
        <v>-0.084</v>
      </c>
      <c r="AT248" s="7" t="n">
        <v>0.332</v>
      </c>
      <c r="AU248" s="7" t="n">
        <v>0.124</v>
      </c>
      <c r="AV248" s="7" t="n">
        <v>-0.015</v>
      </c>
    </row>
    <row r="249" customFormat="false" ht="15" hidden="false" customHeight="false" outlineLevel="0" collapsed="false">
      <c r="A249" s="19" t="n">
        <v>46566</v>
      </c>
      <c r="B249" s="6" t="n">
        <v>1</v>
      </c>
      <c r="C249" s="6" t="s">
        <v>205</v>
      </c>
      <c r="D249" s="6" t="s">
        <v>207</v>
      </c>
      <c r="E249" s="6" t="s">
        <v>180</v>
      </c>
      <c r="F249" s="6" t="s">
        <v>212</v>
      </c>
      <c r="G249" s="7" t="n">
        <v>0.515</v>
      </c>
      <c r="H249" s="7" t="n">
        <v>0.557</v>
      </c>
      <c r="I249" s="7" t="n">
        <v>-0.129</v>
      </c>
      <c r="J249" s="7" t="n">
        <v>0.612</v>
      </c>
      <c r="K249" s="7" t="n">
        <v>0.633</v>
      </c>
      <c r="L249" s="7" t="n">
        <v>-0.182</v>
      </c>
      <c r="M249" s="7" t="n">
        <v>-0.057</v>
      </c>
      <c r="N249" s="7" t="n">
        <v>-0.064</v>
      </c>
      <c r="O249" s="7" t="n">
        <v>0.342</v>
      </c>
      <c r="P249" s="7" t="n">
        <v>0.58</v>
      </c>
      <c r="Q249" s="7" t="n">
        <v>0.207</v>
      </c>
      <c r="R249" s="7" t="n">
        <v>0.469</v>
      </c>
      <c r="S249" s="7" t="n">
        <v>0.607</v>
      </c>
      <c r="T249" s="7" t="n">
        <v>0.372</v>
      </c>
      <c r="U249" s="7" t="n">
        <v>-0.107</v>
      </c>
      <c r="V249" s="7" t="n">
        <v>-0.137</v>
      </c>
      <c r="W249" s="7" t="n">
        <v>-0.134</v>
      </c>
      <c r="X249" s="7" t="n">
        <v>0.677</v>
      </c>
      <c r="Y249" s="7" t="n">
        <v>-0.157</v>
      </c>
      <c r="Z249" s="7" t="n">
        <v>0.278</v>
      </c>
      <c r="AA249" s="7" t="n">
        <v>-0.265</v>
      </c>
      <c r="AB249" s="7" t="n">
        <v>-0.152</v>
      </c>
      <c r="AC249" s="7" t="n">
        <v>0.103</v>
      </c>
      <c r="AD249" s="7" t="n">
        <v>-0.291</v>
      </c>
      <c r="AE249" s="7" t="n">
        <v>0.63</v>
      </c>
      <c r="AF249" s="7" t="n">
        <v>-0.102</v>
      </c>
      <c r="AG249" s="7" t="n">
        <v>0.232</v>
      </c>
      <c r="AH249" s="7" t="n">
        <v>0.102</v>
      </c>
      <c r="AI249" s="7" t="n">
        <v>0.523</v>
      </c>
      <c r="AJ249" s="7" t="n">
        <v>0.635</v>
      </c>
      <c r="AK249" s="7" t="n">
        <v>0.423</v>
      </c>
      <c r="AL249" s="7" t="n">
        <v>-0.208</v>
      </c>
      <c r="AM249" s="7" t="n">
        <v>0.631</v>
      </c>
      <c r="AN249" s="7" t="n">
        <v>-0.167</v>
      </c>
      <c r="AO249" s="7" t="n">
        <v>-0.04</v>
      </c>
      <c r="AP249" s="7" t="n">
        <v>0.03</v>
      </c>
      <c r="AQ249" s="7" t="n">
        <v>-0.078</v>
      </c>
      <c r="AR249" s="7" t="n">
        <v>-0.214</v>
      </c>
      <c r="AS249" s="7" t="n">
        <v>-0.088</v>
      </c>
      <c r="AT249" s="7" t="n">
        <v>0.595</v>
      </c>
      <c r="AU249" s="7" t="n">
        <v>0.486</v>
      </c>
      <c r="AV249" s="7" t="n">
        <v>-0.015</v>
      </c>
    </row>
    <row r="250" customFormat="false" ht="15" hidden="false" customHeight="false" outlineLevel="0" collapsed="false">
      <c r="A250" s="19" t="n">
        <v>46567</v>
      </c>
      <c r="B250" s="6" t="n">
        <v>1</v>
      </c>
      <c r="C250" s="6" t="s">
        <v>169</v>
      </c>
      <c r="D250" s="6" t="s">
        <v>208</v>
      </c>
      <c r="E250" s="6" t="s">
        <v>180</v>
      </c>
      <c r="F250" s="6" t="s">
        <v>212</v>
      </c>
      <c r="G250" s="7" t="n">
        <v>0.196</v>
      </c>
      <c r="H250" s="7" t="n">
        <v>-0.019</v>
      </c>
      <c r="I250" s="7" t="n">
        <v>0.083</v>
      </c>
      <c r="J250" s="7" t="n">
        <v>0.18</v>
      </c>
      <c r="K250" s="7" t="n">
        <v>0.22</v>
      </c>
      <c r="L250" s="7" t="n">
        <v>-0.076</v>
      </c>
      <c r="M250" s="7" t="n">
        <v>0.065</v>
      </c>
      <c r="N250" s="7" t="n">
        <v>-0.27</v>
      </c>
      <c r="O250" s="7" t="n">
        <v>0.018</v>
      </c>
      <c r="P250" s="7" t="n">
        <v>0.142</v>
      </c>
      <c r="Q250" s="7" t="n">
        <v>-0.189</v>
      </c>
      <c r="R250" s="7" t="n">
        <v>0.282</v>
      </c>
      <c r="S250" s="7" t="n">
        <v>0.095</v>
      </c>
      <c r="T250" s="7" t="n">
        <v>-0.126</v>
      </c>
      <c r="U250" s="7" t="n">
        <v>0.053</v>
      </c>
      <c r="V250" s="7" t="n">
        <v>-0.092</v>
      </c>
      <c r="W250" s="7" t="n">
        <v>-0.005</v>
      </c>
      <c r="X250" s="7" t="n">
        <v>0.61</v>
      </c>
      <c r="Y250" s="7" t="n">
        <v>-0.299</v>
      </c>
      <c r="Z250" s="7" t="n">
        <v>0.109</v>
      </c>
      <c r="AA250" s="7" t="n">
        <v>-0.045</v>
      </c>
      <c r="AB250" s="7" t="n">
        <v>-0.154</v>
      </c>
      <c r="AC250" s="7" t="n">
        <v>0.025</v>
      </c>
      <c r="AD250" s="7" t="n">
        <v>-0.424</v>
      </c>
      <c r="AE250" s="7" t="n">
        <v>0.193</v>
      </c>
      <c r="AF250" s="7" t="n">
        <v>-0.134</v>
      </c>
      <c r="AG250" s="7" t="n">
        <v>-0.285</v>
      </c>
      <c r="AH250" s="7" t="n">
        <v>-0.115</v>
      </c>
      <c r="AI250" s="7" t="n">
        <v>0.274</v>
      </c>
      <c r="AJ250" s="7" t="n">
        <v>0.248</v>
      </c>
      <c r="AK250" s="7" t="n">
        <v>0.104</v>
      </c>
      <c r="AL250" s="7" t="n">
        <v>-0.05</v>
      </c>
      <c r="AM250" s="7" t="n">
        <v>0.418</v>
      </c>
      <c r="AN250" s="7" t="n">
        <v>-0.152</v>
      </c>
      <c r="AO250" s="7" t="n">
        <v>-0.16</v>
      </c>
      <c r="AP250" s="7" t="n">
        <v>-0.239</v>
      </c>
      <c r="AQ250" s="7" t="n">
        <v>0.063</v>
      </c>
      <c r="AR250" s="7" t="n">
        <v>-0.21</v>
      </c>
      <c r="AS250" s="7" t="n">
        <v>0.038</v>
      </c>
      <c r="AT250" s="7" t="n">
        <v>0.213</v>
      </c>
      <c r="AU250" s="7" t="n">
        <v>0.152</v>
      </c>
      <c r="AV250" s="7" t="n">
        <v>-0.002</v>
      </c>
    </row>
    <row r="251" customFormat="false" ht="15" hidden="false" customHeight="false" outlineLevel="0" collapsed="false">
      <c r="A251" s="19" t="n">
        <v>46568</v>
      </c>
      <c r="B251" s="6" t="n">
        <v>1</v>
      </c>
      <c r="C251" s="6" t="s">
        <v>169</v>
      </c>
      <c r="D251" s="6" t="s">
        <v>170</v>
      </c>
      <c r="E251" s="6" t="s">
        <v>180</v>
      </c>
      <c r="F251" s="6" t="s">
        <v>212</v>
      </c>
      <c r="G251" s="7" t="n">
        <v>0.512</v>
      </c>
      <c r="H251" s="7" t="n">
        <v>0.549</v>
      </c>
      <c r="I251" s="7" t="n">
        <v>0.197</v>
      </c>
      <c r="J251" s="7" t="n">
        <v>0.183</v>
      </c>
      <c r="K251" s="7" t="n">
        <v>0.624</v>
      </c>
      <c r="L251" s="7" t="n">
        <v>0.158</v>
      </c>
      <c r="M251" s="7" t="n">
        <v>0.197</v>
      </c>
      <c r="N251" s="7" t="n">
        <v>-0.088</v>
      </c>
      <c r="O251" s="7" t="n">
        <v>-0.046</v>
      </c>
      <c r="P251" s="7" t="n">
        <v>0.151</v>
      </c>
      <c r="Q251" s="7" t="n">
        <v>0.396</v>
      </c>
      <c r="R251" s="7" t="n">
        <v>0.229</v>
      </c>
      <c r="S251" s="7" t="n">
        <v>0.597</v>
      </c>
      <c r="T251" s="7" t="n">
        <v>0.349</v>
      </c>
      <c r="U251" s="7" t="n">
        <v>0.273</v>
      </c>
      <c r="V251" s="7" t="n">
        <v>0.326</v>
      </c>
      <c r="W251" s="7" t="n">
        <v>0.121</v>
      </c>
      <c r="X251" s="7" t="n">
        <v>0.295</v>
      </c>
      <c r="Y251" s="7" t="n">
        <v>-0.137</v>
      </c>
      <c r="Z251" s="7" t="n">
        <v>0.549</v>
      </c>
      <c r="AA251" s="7" t="n">
        <v>0.095</v>
      </c>
      <c r="AB251" s="7" t="n">
        <v>0.127</v>
      </c>
      <c r="AC251" s="7" t="n">
        <v>0.127</v>
      </c>
      <c r="AD251" s="7" t="n">
        <v>-0.391</v>
      </c>
      <c r="AE251" s="7" t="n">
        <v>0.199</v>
      </c>
      <c r="AF251" s="7" t="n">
        <v>-0.069</v>
      </c>
      <c r="AG251" s="7" t="n">
        <v>-0.303</v>
      </c>
      <c r="AH251" s="7" t="n">
        <v>0.345</v>
      </c>
      <c r="AI251" s="7" t="n">
        <v>0.352</v>
      </c>
      <c r="AJ251" s="7" t="n">
        <v>0.631</v>
      </c>
      <c r="AK251" s="7" t="n">
        <v>0.575</v>
      </c>
      <c r="AL251" s="7" t="n">
        <v>0.022</v>
      </c>
      <c r="AM251" s="7" t="n">
        <v>0.338</v>
      </c>
      <c r="AN251" s="7" t="n">
        <v>0.357</v>
      </c>
      <c r="AO251" s="7" t="n">
        <v>-0.033</v>
      </c>
      <c r="AP251" s="7" t="n">
        <v>-0.22</v>
      </c>
      <c r="AQ251" s="7" t="n">
        <v>0.366</v>
      </c>
      <c r="AR251" s="7" t="n">
        <v>-0.208</v>
      </c>
      <c r="AS251" s="7" t="n">
        <v>0.146</v>
      </c>
      <c r="AT251" s="7" t="n">
        <v>0.18</v>
      </c>
      <c r="AU251" s="7" t="n">
        <v>0.152</v>
      </c>
      <c r="AV251" s="7" t="n">
        <v>0.399</v>
      </c>
    </row>
    <row r="252" customFormat="false" ht="15" hidden="false" customHeight="false" outlineLevel="0" collapsed="false">
      <c r="A252" s="19" t="n">
        <v>46569</v>
      </c>
      <c r="B252" s="6" t="n">
        <v>1</v>
      </c>
      <c r="C252" s="6" t="s">
        <v>173</v>
      </c>
      <c r="D252" s="6" t="s">
        <v>174</v>
      </c>
      <c r="E252" s="6" t="s">
        <v>180</v>
      </c>
      <c r="F252" s="6" t="s">
        <v>212</v>
      </c>
      <c r="G252" s="7" t="n">
        <v>0.104</v>
      </c>
      <c r="H252" s="7" t="n">
        <v>0.227</v>
      </c>
      <c r="I252" s="7" t="n">
        <v>-0.069</v>
      </c>
      <c r="J252" s="7" t="n">
        <v>0.179</v>
      </c>
      <c r="K252" s="7" t="n">
        <v>0.325</v>
      </c>
      <c r="L252" s="7" t="n">
        <v>-0.162</v>
      </c>
      <c r="M252" s="7" t="n">
        <v>0.082</v>
      </c>
      <c r="N252" s="7" t="n">
        <v>-0.388</v>
      </c>
      <c r="O252" s="7" t="n">
        <v>-0.059</v>
      </c>
      <c r="P252" s="7" t="n">
        <v>0.152</v>
      </c>
      <c r="Q252" s="7" t="n">
        <v>-0.022</v>
      </c>
      <c r="R252" s="7" t="n">
        <v>0.223</v>
      </c>
      <c r="S252" s="7" t="n">
        <v>0.281</v>
      </c>
      <c r="T252" s="7" t="n">
        <v>-0.481</v>
      </c>
      <c r="U252" s="7" t="n">
        <v>-0.234</v>
      </c>
      <c r="V252" s="7" t="n">
        <v>0.083</v>
      </c>
      <c r="W252" s="7" t="n">
        <v>-0.04</v>
      </c>
      <c r="X252" s="7" t="n">
        <v>0.289</v>
      </c>
      <c r="Y252" s="7" t="n">
        <v>-0.127</v>
      </c>
      <c r="Z252" s="7" t="n">
        <v>-0.275</v>
      </c>
      <c r="AA252" s="7" t="n">
        <v>-0.596</v>
      </c>
      <c r="AB252" s="7" t="n">
        <v>0.016</v>
      </c>
      <c r="AC252" s="7" t="n">
        <v>-0.152</v>
      </c>
      <c r="AD252" s="7" t="n">
        <v>-0.626</v>
      </c>
      <c r="AE252" s="7" t="n">
        <v>0.197</v>
      </c>
      <c r="AF252" s="7" t="n">
        <v>-0.026</v>
      </c>
      <c r="AG252" s="7" t="n">
        <v>-0.31</v>
      </c>
      <c r="AH252" s="7" t="n">
        <v>0.068</v>
      </c>
      <c r="AI252" s="7" t="n">
        <v>0.344</v>
      </c>
      <c r="AJ252" s="7" t="n">
        <v>0.465</v>
      </c>
      <c r="AK252" s="7" t="n">
        <v>0.398</v>
      </c>
      <c r="AL252" s="7" t="n">
        <v>-0.614</v>
      </c>
      <c r="AM252" s="7" t="n">
        <v>-0.084</v>
      </c>
      <c r="AN252" s="7" t="n">
        <v>-0.263</v>
      </c>
      <c r="AO252" s="7" t="n">
        <v>-0.289</v>
      </c>
      <c r="AP252" s="7" t="n">
        <v>-0.228</v>
      </c>
      <c r="AQ252" s="7" t="n">
        <v>-0.546</v>
      </c>
      <c r="AR252" s="7" t="n">
        <v>-0.222</v>
      </c>
      <c r="AS252" s="7" t="n">
        <v>-0.072</v>
      </c>
      <c r="AT252" s="7" t="n">
        <v>-0.283</v>
      </c>
      <c r="AU252" s="7" t="n">
        <v>0.144</v>
      </c>
      <c r="AV252" s="7" t="n">
        <v>-0.126</v>
      </c>
    </row>
    <row r="253" customFormat="false" ht="15" hidden="false" customHeight="false" outlineLevel="0" collapsed="false">
      <c r="A253" s="19" t="n">
        <v>46570</v>
      </c>
      <c r="B253" s="6" t="n">
        <v>1</v>
      </c>
      <c r="C253" s="6" t="s">
        <v>173</v>
      </c>
      <c r="D253" s="6" t="s">
        <v>209</v>
      </c>
      <c r="E253" s="6" t="s">
        <v>180</v>
      </c>
      <c r="F253" s="6" t="s">
        <v>212</v>
      </c>
      <c r="G253" s="7" t="n">
        <v>0.131</v>
      </c>
      <c r="H253" s="7" t="n">
        <v>0.044</v>
      </c>
      <c r="I253" s="7" t="n">
        <v>-0.133</v>
      </c>
      <c r="J253" s="7" t="n">
        <v>0.174</v>
      </c>
      <c r="K253" s="7" t="n">
        <v>0.413</v>
      </c>
      <c r="L253" s="7" t="n">
        <v>-0.18</v>
      </c>
      <c r="M253" s="7" t="n">
        <v>-0.082</v>
      </c>
      <c r="N253" s="7" t="n">
        <v>-0.612</v>
      </c>
      <c r="O253" s="7" t="n">
        <v>-0.073</v>
      </c>
      <c r="P253" s="7" t="n">
        <v>0.153</v>
      </c>
      <c r="Q253" s="7" t="n">
        <v>-0.194</v>
      </c>
      <c r="R253" s="7" t="n">
        <v>0.175</v>
      </c>
      <c r="S253" s="7" t="n">
        <v>0.148</v>
      </c>
      <c r="T253" s="7" t="n">
        <v>-0.215</v>
      </c>
      <c r="U253" s="7" t="n">
        <v>-0.15</v>
      </c>
      <c r="V253" s="7" t="n">
        <v>0.148</v>
      </c>
      <c r="W253" s="7" t="n">
        <v>-0.152</v>
      </c>
      <c r="X253" s="7" t="n">
        <v>0.282</v>
      </c>
      <c r="Y253" s="7" t="n">
        <v>-0.129</v>
      </c>
      <c r="Z253" s="7" t="n">
        <v>0.206</v>
      </c>
      <c r="AA253" s="7" t="n">
        <v>-0.26</v>
      </c>
      <c r="AB253" s="7" t="n">
        <v>0.088</v>
      </c>
      <c r="AC253" s="7" t="n">
        <v>-0.171</v>
      </c>
      <c r="AD253" s="7" t="n">
        <v>-0.378</v>
      </c>
      <c r="AE253" s="7" t="n">
        <v>0.195</v>
      </c>
      <c r="AF253" s="7" t="n">
        <v>-0.123</v>
      </c>
      <c r="AG253" s="7" t="n">
        <v>-0.484</v>
      </c>
      <c r="AH253" s="7" t="n">
        <v>0.14</v>
      </c>
      <c r="AI253" s="7" t="n">
        <v>0.271</v>
      </c>
      <c r="AJ253" s="7" t="n">
        <v>0.502</v>
      </c>
      <c r="AK253" s="7" t="n">
        <v>0.455</v>
      </c>
      <c r="AL253" s="7" t="n">
        <v>-0.209</v>
      </c>
      <c r="AM253" s="7" t="n">
        <v>0.317</v>
      </c>
      <c r="AN253" s="7" t="n">
        <v>-0.35</v>
      </c>
      <c r="AO253" s="7" t="n">
        <v>-0.485</v>
      </c>
      <c r="AP253" s="7" t="n">
        <v>-0.398</v>
      </c>
      <c r="AQ253" s="7" t="n">
        <v>-0.16</v>
      </c>
      <c r="AR253" s="7" t="n">
        <v>-0.388</v>
      </c>
      <c r="AS253" s="7" t="n">
        <v>-0.091</v>
      </c>
      <c r="AT253" s="7" t="n">
        <v>0.146</v>
      </c>
      <c r="AU253" s="7" t="n">
        <v>0.135</v>
      </c>
      <c r="AV253" s="7" t="n">
        <v>-0.024</v>
      </c>
    </row>
    <row r="254" customFormat="false" ht="15" hidden="false" customHeight="false" outlineLevel="0" collapsed="false">
      <c r="A254" s="19" t="n">
        <v>46571</v>
      </c>
      <c r="B254" s="6" t="n">
        <v>0</v>
      </c>
      <c r="C254" s="6" t="s">
        <v>176</v>
      </c>
      <c r="D254" s="6" t="s">
        <v>175</v>
      </c>
      <c r="E254" s="6" t="s">
        <v>180</v>
      </c>
      <c r="F254" s="6" t="s">
        <v>212</v>
      </c>
      <c r="G254" s="7" t="n">
        <v>0.262</v>
      </c>
      <c r="H254" s="7" t="n">
        <v>0.017</v>
      </c>
      <c r="I254" s="7" t="n">
        <v>0.137</v>
      </c>
      <c r="J254" s="7" t="n">
        <v>0.33</v>
      </c>
      <c r="K254" s="7" t="n">
        <v>0.248</v>
      </c>
      <c r="L254" s="7" t="n">
        <v>0.161</v>
      </c>
      <c r="M254" s="7" t="n">
        <v>0.141</v>
      </c>
      <c r="N254" s="7" t="n">
        <v>-0.157</v>
      </c>
      <c r="O254" s="7" t="n">
        <v>-0.035</v>
      </c>
      <c r="P254" s="7" t="n">
        <v>0.486</v>
      </c>
      <c r="Q254" s="7" t="n">
        <v>-0.286</v>
      </c>
      <c r="R254" s="7" t="n">
        <v>0.143</v>
      </c>
      <c r="S254" s="7" t="n">
        <v>0.126</v>
      </c>
      <c r="T254" s="7" t="n">
        <v>0.106</v>
      </c>
      <c r="U254" s="7" t="n">
        <v>0.124</v>
      </c>
      <c r="V254" s="7" t="n">
        <v>-0.078</v>
      </c>
      <c r="W254" s="7" t="n">
        <v>0.096</v>
      </c>
      <c r="X254" s="7" t="n">
        <v>0.437</v>
      </c>
      <c r="Y254" s="7" t="n">
        <v>-0.103</v>
      </c>
      <c r="Z254" s="7" t="n">
        <v>0.106</v>
      </c>
      <c r="AA254" s="7" t="n">
        <v>0.04</v>
      </c>
      <c r="AB254" s="7" t="n">
        <v>-0.151</v>
      </c>
      <c r="AC254" s="7" t="n">
        <v>0.098</v>
      </c>
      <c r="AD254" s="7" t="n">
        <v>-0.221</v>
      </c>
      <c r="AE254" s="7" t="n">
        <v>0.499</v>
      </c>
      <c r="AF254" s="7" t="n">
        <v>-0.085</v>
      </c>
      <c r="AG254" s="7" t="n">
        <v>-0.274</v>
      </c>
      <c r="AH254" s="7" t="n">
        <v>-0.129</v>
      </c>
      <c r="AI254" s="7" t="n">
        <v>0.416</v>
      </c>
      <c r="AJ254" s="7" t="n">
        <v>0.314</v>
      </c>
      <c r="AK254" s="7" t="n">
        <v>0.316</v>
      </c>
      <c r="AL254" s="7" t="n">
        <v>-0.21</v>
      </c>
      <c r="AM254" s="7" t="n">
        <v>0.33</v>
      </c>
      <c r="AN254" s="7" t="n">
        <v>-0.161</v>
      </c>
      <c r="AO254" s="7" t="n">
        <v>-0.032</v>
      </c>
      <c r="AP254" s="7" t="n">
        <v>-0.214</v>
      </c>
      <c r="AQ254" s="7" t="n">
        <v>0.104</v>
      </c>
      <c r="AR254" s="7" t="n">
        <v>-0.201</v>
      </c>
      <c r="AS254" s="7" t="n">
        <v>0.148</v>
      </c>
      <c r="AT254" s="7" t="n">
        <v>0.054</v>
      </c>
      <c r="AU254" s="7" t="n">
        <v>0.053</v>
      </c>
      <c r="AV254" s="7" t="n">
        <v>-0.019</v>
      </c>
    </row>
    <row r="255" customFormat="false" ht="15" hidden="false" customHeight="false" outlineLevel="0" collapsed="false">
      <c r="A255" s="19" t="n">
        <v>46572</v>
      </c>
      <c r="B255" s="6" t="n">
        <v>0</v>
      </c>
      <c r="C255" s="6" t="s">
        <v>176</v>
      </c>
      <c r="D255" s="6" t="s">
        <v>178</v>
      </c>
      <c r="E255" s="6" t="s">
        <v>180</v>
      </c>
      <c r="F255" s="6" t="s">
        <v>212</v>
      </c>
      <c r="G255" s="7" t="n">
        <v>0.267</v>
      </c>
      <c r="H255" s="7" t="n">
        <v>0.305</v>
      </c>
      <c r="I255" s="7" t="n">
        <v>-0.135</v>
      </c>
      <c r="J255" s="7" t="n">
        <v>0.339</v>
      </c>
      <c r="K255" s="7" t="n">
        <v>0.473</v>
      </c>
      <c r="L255" s="7" t="n">
        <v>-0.18</v>
      </c>
      <c r="M255" s="7" t="n">
        <v>-0.15</v>
      </c>
      <c r="N255" s="7" t="n">
        <v>-0.385</v>
      </c>
      <c r="O255" s="7" t="n">
        <v>0.22</v>
      </c>
      <c r="P255" s="7" t="n">
        <v>0.48</v>
      </c>
      <c r="Q255" s="7" t="n">
        <v>-0.291</v>
      </c>
      <c r="R255" s="7" t="n">
        <v>0.364</v>
      </c>
      <c r="S255" s="7" t="n">
        <v>0.395</v>
      </c>
      <c r="T255" s="7" t="n">
        <v>0.2</v>
      </c>
      <c r="U255" s="7" t="n">
        <v>-0.086</v>
      </c>
      <c r="V255" s="7" t="n">
        <v>-0.046</v>
      </c>
      <c r="W255" s="7" t="n">
        <v>-0.205</v>
      </c>
      <c r="X255" s="7" t="n">
        <v>0.447</v>
      </c>
      <c r="Y255" s="7" t="n">
        <v>-0.075</v>
      </c>
      <c r="Z255" s="7" t="n">
        <v>0.132</v>
      </c>
      <c r="AA255" s="7" t="n">
        <v>-0.207</v>
      </c>
      <c r="AB255" s="7" t="n">
        <v>-0.151</v>
      </c>
      <c r="AC255" s="7" t="n">
        <v>-0.172</v>
      </c>
      <c r="AD255" s="7" t="n">
        <v>-0.216</v>
      </c>
      <c r="AE255" s="7" t="n">
        <v>0.487</v>
      </c>
      <c r="AF255" s="7" t="n">
        <v>-0.176</v>
      </c>
      <c r="AG255" s="7" t="n">
        <v>0.034</v>
      </c>
      <c r="AH255" s="7" t="n">
        <v>-0.125</v>
      </c>
      <c r="AI255" s="7" t="n">
        <v>0.25</v>
      </c>
      <c r="AJ255" s="7" t="n">
        <v>0.505</v>
      </c>
      <c r="AK255" s="7" t="n">
        <v>0.363</v>
      </c>
      <c r="AL255" s="7" t="n">
        <v>-0.21</v>
      </c>
      <c r="AM255" s="7" t="n">
        <v>0.578</v>
      </c>
      <c r="AN255" s="7" t="n">
        <v>-0.146</v>
      </c>
      <c r="AO255" s="7" t="n">
        <v>-0.283</v>
      </c>
      <c r="AP255" s="7" t="n">
        <v>-0.203</v>
      </c>
      <c r="AQ255" s="7" t="n">
        <v>0.128</v>
      </c>
      <c r="AR255" s="7" t="n">
        <v>-0.19</v>
      </c>
      <c r="AS255" s="7" t="n">
        <v>-0.093</v>
      </c>
      <c r="AT255" s="7" t="n">
        <v>0.303</v>
      </c>
      <c r="AU255" s="7" t="n">
        <v>0.031</v>
      </c>
      <c r="AV255" s="7" t="n">
        <v>-0.015</v>
      </c>
    </row>
    <row r="256" customFormat="false" ht="15" hidden="false" customHeight="false" outlineLevel="0" collapsed="false">
      <c r="A256" s="19" t="n">
        <v>46573</v>
      </c>
      <c r="B256" s="6" t="n">
        <v>1</v>
      </c>
      <c r="C256" s="6" t="s">
        <v>180</v>
      </c>
      <c r="D256" s="6" t="s">
        <v>181</v>
      </c>
      <c r="E256" s="6" t="s">
        <v>183</v>
      </c>
      <c r="F256" s="6" t="s">
        <v>212</v>
      </c>
      <c r="G256" s="7" t="n">
        <v>-0.084</v>
      </c>
      <c r="H256" s="7" t="n">
        <v>-0.222</v>
      </c>
      <c r="I256" s="7" t="n">
        <v>-0.23</v>
      </c>
      <c r="J256" s="7" t="n">
        <v>0.022</v>
      </c>
      <c r="K256" s="7" t="n">
        <v>0.241</v>
      </c>
      <c r="L256" s="7" t="n">
        <v>-0.061</v>
      </c>
      <c r="M256" s="7" t="n">
        <v>-0.654</v>
      </c>
      <c r="N256" s="7" t="n">
        <v>-0.7</v>
      </c>
      <c r="O256" s="7" t="n">
        <v>-0.264</v>
      </c>
      <c r="P256" s="7" t="n">
        <v>0.154</v>
      </c>
      <c r="Q256" s="7" t="n">
        <v>-0.218</v>
      </c>
      <c r="R256" s="7" t="n">
        <v>-0.13</v>
      </c>
      <c r="S256" s="7" t="n">
        <v>-0.006</v>
      </c>
      <c r="T256" s="7" t="n">
        <v>-0.208</v>
      </c>
      <c r="U256" s="7" t="n">
        <v>-0.272</v>
      </c>
      <c r="V256" s="7" t="n">
        <v>-0.232</v>
      </c>
      <c r="W256" s="7" t="n">
        <v>-0.659</v>
      </c>
      <c r="X256" s="7" t="n">
        <v>0.276</v>
      </c>
      <c r="Y256" s="7" t="n">
        <v>-0.641</v>
      </c>
      <c r="Z256" s="7" t="n">
        <v>0.093</v>
      </c>
      <c r="AA256" s="7" t="n">
        <v>-0.645</v>
      </c>
      <c r="AB256" s="7" t="n">
        <v>-0.151</v>
      </c>
      <c r="AC256" s="7" t="n">
        <v>-0.172</v>
      </c>
      <c r="AD256" s="7" t="n">
        <v>-0.099</v>
      </c>
      <c r="AE256" s="7" t="n">
        <v>0.192</v>
      </c>
      <c r="AF256" s="7" t="n">
        <v>-0.604</v>
      </c>
      <c r="AG256" s="7" t="n">
        <v>-0.448</v>
      </c>
      <c r="AH256" s="7" t="n">
        <v>-0.095</v>
      </c>
      <c r="AI256" s="7" t="n">
        <v>0.066</v>
      </c>
      <c r="AJ256" s="7" t="n">
        <v>0.233</v>
      </c>
      <c r="AK256" s="7" t="n">
        <v>-0.02</v>
      </c>
      <c r="AL256" s="7" t="n">
        <v>-0.21</v>
      </c>
      <c r="AM256" s="7" t="n">
        <v>0.25</v>
      </c>
      <c r="AN256" s="7" t="n">
        <v>-0.158</v>
      </c>
      <c r="AO256" s="7" t="n">
        <v>-0.576</v>
      </c>
      <c r="AP256" s="7" t="n">
        <v>-0.473</v>
      </c>
      <c r="AQ256" s="7" t="n">
        <v>-0.15</v>
      </c>
      <c r="AR256" s="7" t="n">
        <v>-0.227</v>
      </c>
      <c r="AS256" s="7" t="n">
        <v>-0.486</v>
      </c>
      <c r="AT256" s="7" t="n">
        <v>0.129</v>
      </c>
      <c r="AU256" s="7" t="n">
        <v>0.127</v>
      </c>
      <c r="AV256" s="7" t="n">
        <v>0.015</v>
      </c>
    </row>
    <row r="257" customFormat="false" ht="15" hidden="false" customHeight="false" outlineLevel="0" collapsed="false">
      <c r="A257" s="19" t="n">
        <v>46574</v>
      </c>
      <c r="B257" s="6" t="n">
        <v>1</v>
      </c>
      <c r="C257" s="6" t="s">
        <v>180</v>
      </c>
      <c r="D257" s="6" t="s">
        <v>182</v>
      </c>
      <c r="E257" s="6" t="s">
        <v>183</v>
      </c>
      <c r="F257" s="6" t="s">
        <v>212</v>
      </c>
      <c r="G257" s="7" t="n">
        <v>0.362</v>
      </c>
      <c r="H257" s="7" t="n">
        <v>0.464</v>
      </c>
      <c r="I257" s="7" t="n">
        <v>-0.233</v>
      </c>
      <c r="J257" s="7" t="n">
        <v>0.586</v>
      </c>
      <c r="K257" s="7" t="n">
        <v>0.593</v>
      </c>
      <c r="L257" s="7" t="n">
        <v>-0.07</v>
      </c>
      <c r="M257" s="7" t="n">
        <v>-0.273</v>
      </c>
      <c r="N257" s="7" t="n">
        <v>-0.592</v>
      </c>
      <c r="O257" s="7" t="n">
        <v>-0.291</v>
      </c>
      <c r="P257" s="7" t="n">
        <v>0.593</v>
      </c>
      <c r="Q257" s="7" t="n">
        <v>0.222</v>
      </c>
      <c r="R257" s="7" t="n">
        <v>-0.136</v>
      </c>
      <c r="S257" s="7" t="n">
        <v>0.544</v>
      </c>
      <c r="T257" s="7" t="n">
        <v>0.254</v>
      </c>
      <c r="U257" s="7" t="n">
        <v>-0.297</v>
      </c>
      <c r="V257" s="7" t="n">
        <v>-0.266</v>
      </c>
      <c r="W257" s="7" t="n">
        <v>-0.274</v>
      </c>
      <c r="X257" s="7" t="n">
        <v>0.692</v>
      </c>
      <c r="Y257" s="7" t="n">
        <v>-0.334</v>
      </c>
      <c r="Z257" s="7" t="n">
        <v>0.179</v>
      </c>
      <c r="AA257" s="7" t="n">
        <v>-0.402</v>
      </c>
      <c r="AB257" s="7" t="n">
        <v>-0.15</v>
      </c>
      <c r="AC257" s="7" t="n">
        <v>-0.162</v>
      </c>
      <c r="AD257" s="7" t="n">
        <v>-0.091</v>
      </c>
      <c r="AE257" s="7" t="n">
        <v>0.632</v>
      </c>
      <c r="AF257" s="7" t="n">
        <v>-0.203</v>
      </c>
      <c r="AG257" s="7" t="n">
        <v>-0.491</v>
      </c>
      <c r="AH257" s="7" t="n">
        <v>-0.116</v>
      </c>
      <c r="AI257" s="7" t="n">
        <v>0.498</v>
      </c>
      <c r="AJ257" s="7" t="n">
        <v>0.592</v>
      </c>
      <c r="AK257" s="7" t="n">
        <v>0.382</v>
      </c>
      <c r="AL257" s="7" t="n">
        <v>-0.21</v>
      </c>
      <c r="AM257" s="7" t="n">
        <v>0.248</v>
      </c>
      <c r="AN257" s="7" t="n">
        <v>-0.213</v>
      </c>
      <c r="AO257" s="7" t="n">
        <v>-0.415</v>
      </c>
      <c r="AP257" s="7" t="n">
        <v>-0.302</v>
      </c>
      <c r="AQ257" s="7" t="n">
        <v>-0.174</v>
      </c>
      <c r="AR257" s="7" t="n">
        <v>-0.261</v>
      </c>
      <c r="AS257" s="7" t="n">
        <v>-0.169</v>
      </c>
      <c r="AT257" s="7" t="n">
        <v>0.485</v>
      </c>
      <c r="AU257" s="7" t="n">
        <v>0.497</v>
      </c>
      <c r="AV257" s="7" t="n">
        <v>-0.007</v>
      </c>
    </row>
    <row r="258" customFormat="false" ht="15" hidden="false" customHeight="false" outlineLevel="0" collapsed="false">
      <c r="A258" s="19" t="n">
        <v>46575</v>
      </c>
      <c r="B258" s="6" t="n">
        <v>1</v>
      </c>
      <c r="C258" s="6" t="s">
        <v>183</v>
      </c>
      <c r="D258" s="6" t="s">
        <v>184</v>
      </c>
      <c r="E258" s="6" t="s">
        <v>183</v>
      </c>
      <c r="F258" s="6" t="s">
        <v>212</v>
      </c>
      <c r="G258" s="7" t="n">
        <v>0.245</v>
      </c>
      <c r="H258" s="7" t="n">
        <v>0.131</v>
      </c>
      <c r="I258" s="7" t="n">
        <v>-0.317</v>
      </c>
      <c r="J258" s="7" t="n">
        <v>0.02</v>
      </c>
      <c r="K258" s="7" t="n">
        <v>0.395</v>
      </c>
      <c r="L258" s="7" t="n">
        <v>-0.038</v>
      </c>
      <c r="M258" s="7" t="n">
        <v>-0.249</v>
      </c>
      <c r="N258" s="7" t="n">
        <v>-0.078</v>
      </c>
      <c r="O258" s="7" t="n">
        <v>-0.067</v>
      </c>
      <c r="P258" s="7" t="n">
        <v>0.156</v>
      </c>
      <c r="Q258" s="7" t="n">
        <v>0.005</v>
      </c>
      <c r="R258" s="7" t="n">
        <v>-0.097</v>
      </c>
      <c r="S258" s="7" t="n">
        <v>0.202</v>
      </c>
      <c r="T258" s="7" t="n">
        <v>0.024</v>
      </c>
      <c r="U258" s="7" t="n">
        <v>-0.179</v>
      </c>
      <c r="V258" s="7" t="n">
        <v>-0.12</v>
      </c>
      <c r="W258" s="7" t="n">
        <v>-0.358</v>
      </c>
      <c r="X258" s="7" t="n">
        <v>0.568</v>
      </c>
      <c r="Y258" s="7" t="n">
        <v>-0.407</v>
      </c>
      <c r="Z258" s="7" t="n">
        <v>0.357</v>
      </c>
      <c r="AA258" s="7" t="n">
        <v>-0.249</v>
      </c>
      <c r="AB258" s="7" t="n">
        <v>-0.151</v>
      </c>
      <c r="AC258" s="7" t="n">
        <v>-0.191</v>
      </c>
      <c r="AD258" s="7" t="n">
        <v>0.143</v>
      </c>
      <c r="AE258" s="7" t="n">
        <v>0.194</v>
      </c>
      <c r="AF258" s="7" t="n">
        <v>-0.288</v>
      </c>
      <c r="AG258" s="7" t="n">
        <v>-0.229</v>
      </c>
      <c r="AH258" s="7" t="n">
        <v>-0.099</v>
      </c>
      <c r="AI258" s="7" t="n">
        <v>0.061</v>
      </c>
      <c r="AJ258" s="7" t="n">
        <v>0.279</v>
      </c>
      <c r="AK258" s="7" t="n">
        <v>-0.025</v>
      </c>
      <c r="AL258" s="7" t="n">
        <v>-0.026</v>
      </c>
      <c r="AM258" s="7" t="n">
        <v>0.418</v>
      </c>
      <c r="AN258" s="7" t="n">
        <v>0.058</v>
      </c>
      <c r="AO258" s="7" t="n">
        <v>-0.166</v>
      </c>
      <c r="AP258" s="7" t="n">
        <v>-0.046</v>
      </c>
      <c r="AQ258" s="7" t="n">
        <v>-0.015</v>
      </c>
      <c r="AR258" s="7" t="n">
        <v>-0.01</v>
      </c>
      <c r="AS258" s="7" t="n">
        <v>-0.156</v>
      </c>
      <c r="AT258" s="7" t="n">
        <v>0.29</v>
      </c>
      <c r="AU258" s="7" t="n">
        <v>0.127</v>
      </c>
      <c r="AV258" s="7" t="n">
        <v>0.012</v>
      </c>
    </row>
    <row r="259" customFormat="false" ht="15" hidden="false" customHeight="false" outlineLevel="0" collapsed="false">
      <c r="A259" s="19" t="n">
        <v>46576</v>
      </c>
      <c r="B259" s="6" t="n">
        <v>1</v>
      </c>
      <c r="C259" s="6" t="s">
        <v>183</v>
      </c>
      <c r="D259" s="6" t="s">
        <v>185</v>
      </c>
      <c r="E259" s="6" t="s">
        <v>183</v>
      </c>
      <c r="F259" s="6" t="s">
        <v>212</v>
      </c>
      <c r="G259" s="7" t="n">
        <v>0.378</v>
      </c>
      <c r="H259" s="7" t="n">
        <v>0.492</v>
      </c>
      <c r="I259" s="7" t="n">
        <v>-0.232</v>
      </c>
      <c r="J259" s="7" t="n">
        <v>0.019</v>
      </c>
      <c r="K259" s="7" t="n">
        <v>0.595</v>
      </c>
      <c r="L259" s="7" t="n">
        <v>-0.038</v>
      </c>
      <c r="M259" s="7" t="n">
        <v>-0.265</v>
      </c>
      <c r="N259" s="7" t="n">
        <v>-0.117</v>
      </c>
      <c r="O259" s="7" t="n">
        <v>-0.054</v>
      </c>
      <c r="P259" s="7" t="n">
        <v>0.157</v>
      </c>
      <c r="Q259" s="7" t="n">
        <v>0.377</v>
      </c>
      <c r="R259" s="7" t="n">
        <v>-0.102</v>
      </c>
      <c r="S259" s="7" t="n">
        <v>0.569</v>
      </c>
      <c r="T259" s="7" t="n">
        <v>0.409</v>
      </c>
      <c r="U259" s="7" t="n">
        <v>0.192</v>
      </c>
      <c r="V259" s="7" t="n">
        <v>0.299</v>
      </c>
      <c r="W259" s="7" t="n">
        <v>-0.268</v>
      </c>
      <c r="X259" s="7" t="n">
        <v>0.265</v>
      </c>
      <c r="Y259" s="7" t="n">
        <v>-0.208</v>
      </c>
      <c r="Z259" s="7" t="n">
        <v>0.508</v>
      </c>
      <c r="AA259" s="7" t="n">
        <v>-0.265</v>
      </c>
      <c r="AB259" s="7" t="n">
        <v>0.063</v>
      </c>
      <c r="AC259" s="7" t="n">
        <v>-0.148</v>
      </c>
      <c r="AD259" s="7" t="n">
        <v>0.191</v>
      </c>
      <c r="AE259" s="7" t="n">
        <v>0.195</v>
      </c>
      <c r="AF259" s="7" t="n">
        <v>-0.196</v>
      </c>
      <c r="AG259" s="7" t="n">
        <v>-0.215</v>
      </c>
      <c r="AH259" s="7" t="n">
        <v>0.32</v>
      </c>
      <c r="AI259" s="7" t="n">
        <v>0.059</v>
      </c>
      <c r="AJ259" s="7" t="n">
        <v>0.59</v>
      </c>
      <c r="AK259" s="7" t="n">
        <v>0.553</v>
      </c>
      <c r="AL259" s="7" t="n">
        <v>-0.024</v>
      </c>
      <c r="AM259" s="7" t="n">
        <v>0.488</v>
      </c>
      <c r="AN259" s="7" t="n">
        <v>0.412</v>
      </c>
      <c r="AO259" s="7" t="n">
        <v>-0.166</v>
      </c>
      <c r="AP259" s="7" t="n">
        <v>-0.046</v>
      </c>
      <c r="AQ259" s="7" t="n">
        <v>0.303</v>
      </c>
      <c r="AR259" s="7" t="n">
        <v>0.007</v>
      </c>
      <c r="AS259" s="7" t="n">
        <v>-0.172</v>
      </c>
      <c r="AT259" s="7" t="n">
        <v>0.33</v>
      </c>
      <c r="AU259" s="7" t="n">
        <v>0.126</v>
      </c>
      <c r="AV259" s="7" t="n">
        <v>0.366</v>
      </c>
    </row>
    <row r="260" customFormat="false" ht="15" hidden="false" customHeight="false" outlineLevel="0" collapsed="false">
      <c r="A260" s="19" t="n">
        <v>46577</v>
      </c>
      <c r="B260" s="6" t="n">
        <v>1</v>
      </c>
      <c r="C260" s="6" t="s">
        <v>186</v>
      </c>
      <c r="D260" s="6" t="s">
        <v>187</v>
      </c>
      <c r="E260" s="6" t="s">
        <v>183</v>
      </c>
      <c r="F260" s="6" t="s">
        <v>212</v>
      </c>
      <c r="G260" s="7" t="n">
        <v>0.073</v>
      </c>
      <c r="H260" s="7" t="n">
        <v>0.114</v>
      </c>
      <c r="I260" s="7" t="n">
        <v>-0.091</v>
      </c>
      <c r="J260" s="7" t="n">
        <v>0.197</v>
      </c>
      <c r="K260" s="7" t="n">
        <v>0.21</v>
      </c>
      <c r="L260" s="7" t="n">
        <v>-0.004</v>
      </c>
      <c r="M260" s="7" t="n">
        <v>-0.12</v>
      </c>
      <c r="N260" s="7" t="n">
        <v>-0.276</v>
      </c>
      <c r="O260" s="7" t="n">
        <v>-0.155</v>
      </c>
      <c r="P260" s="7" t="n">
        <v>0.497</v>
      </c>
      <c r="Q260" s="7" t="n">
        <v>-0.207</v>
      </c>
      <c r="R260" s="7" t="n">
        <v>-0.292</v>
      </c>
      <c r="S260" s="7" t="n">
        <v>0.156</v>
      </c>
      <c r="T260" s="7" t="n">
        <v>-0.446</v>
      </c>
      <c r="U260" s="7" t="n">
        <v>-0.067</v>
      </c>
      <c r="V260" s="7" t="n">
        <v>-0.125</v>
      </c>
      <c r="W260" s="7" t="n">
        <v>-0.226</v>
      </c>
      <c r="X260" s="7" t="n">
        <v>0.426</v>
      </c>
      <c r="Y260" s="7" t="n">
        <v>-0.203</v>
      </c>
      <c r="Z260" s="7" t="n">
        <v>-0.361</v>
      </c>
      <c r="AA260" s="7" t="n">
        <v>-0.223</v>
      </c>
      <c r="AB260" s="7" t="n">
        <v>-0.153</v>
      </c>
      <c r="AC260" s="7" t="n">
        <v>-0.075</v>
      </c>
      <c r="AD260" s="7" t="n">
        <v>-0.562</v>
      </c>
      <c r="AE260" s="7" t="n">
        <v>0.435</v>
      </c>
      <c r="AF260" s="7" t="n">
        <v>-0.192</v>
      </c>
      <c r="AG260" s="7" t="n">
        <v>-0.285</v>
      </c>
      <c r="AH260" s="7" t="n">
        <v>-0.104</v>
      </c>
      <c r="AI260" s="7" t="n">
        <v>0.213</v>
      </c>
      <c r="AJ260" s="7" t="n">
        <v>0.35</v>
      </c>
      <c r="AK260" s="7" t="n">
        <v>0.386</v>
      </c>
      <c r="AL260" s="7" t="n">
        <v>-0.614</v>
      </c>
      <c r="AM260" s="7" t="n">
        <v>-0.156</v>
      </c>
      <c r="AN260" s="7" t="n">
        <v>-0.003</v>
      </c>
      <c r="AO260" s="7" t="n">
        <v>-0.198</v>
      </c>
      <c r="AP260" s="7" t="n">
        <v>-0.081</v>
      </c>
      <c r="AQ260" s="7" t="n">
        <v>-0.535</v>
      </c>
      <c r="AR260" s="7" t="n">
        <v>-0.067</v>
      </c>
      <c r="AS260" s="7" t="n">
        <v>-0.168</v>
      </c>
      <c r="AT260" s="7" t="n">
        <v>-0.376</v>
      </c>
      <c r="AU260" s="7" t="n">
        <v>-0.06</v>
      </c>
      <c r="AV260" s="7" t="n">
        <v>0.008</v>
      </c>
    </row>
    <row r="261" customFormat="false" ht="15" hidden="false" customHeight="false" outlineLevel="0" collapsed="false">
      <c r="A261" s="19" t="n">
        <v>46578</v>
      </c>
      <c r="B261" s="6" t="n">
        <v>0</v>
      </c>
      <c r="C261" s="6" t="s">
        <v>186</v>
      </c>
      <c r="D261" s="6" t="s">
        <v>188</v>
      </c>
      <c r="E261" s="6" t="s">
        <v>183</v>
      </c>
      <c r="F261" s="6" t="s">
        <v>212</v>
      </c>
      <c r="G261" s="7" t="n">
        <v>0.092</v>
      </c>
      <c r="H261" s="7" t="n">
        <v>0.121</v>
      </c>
      <c r="I261" s="7" t="n">
        <v>-0.124</v>
      </c>
      <c r="J261" s="7" t="n">
        <v>0.122</v>
      </c>
      <c r="K261" s="7" t="n">
        <v>0.227</v>
      </c>
      <c r="L261" s="7" t="n">
        <v>-0.141</v>
      </c>
      <c r="M261" s="7" t="n">
        <v>-0.158</v>
      </c>
      <c r="N261" s="7" t="n">
        <v>-0.339</v>
      </c>
      <c r="O261" s="7" t="n">
        <v>-0.186</v>
      </c>
      <c r="P261" s="7" t="n">
        <v>0.498</v>
      </c>
      <c r="Q261" s="7" t="n">
        <v>-0.208</v>
      </c>
      <c r="R261" s="7" t="n">
        <v>-0.276</v>
      </c>
      <c r="S261" s="7" t="n">
        <v>0.178</v>
      </c>
      <c r="T261" s="7" t="n">
        <v>-0.028</v>
      </c>
      <c r="U261" s="7" t="n">
        <v>-0.099</v>
      </c>
      <c r="V261" s="7" t="n">
        <v>-0.127</v>
      </c>
      <c r="W261" s="7" t="n">
        <v>-0.244</v>
      </c>
      <c r="X261" s="7" t="n">
        <v>0.436</v>
      </c>
      <c r="Y261" s="7" t="n">
        <v>-0.206</v>
      </c>
      <c r="Z261" s="7" t="n">
        <v>0.031</v>
      </c>
      <c r="AA261" s="7" t="n">
        <v>-0.31</v>
      </c>
      <c r="AB261" s="7" t="n">
        <v>-0.154</v>
      </c>
      <c r="AC261" s="7" t="n">
        <v>-0.106</v>
      </c>
      <c r="AD261" s="7" t="n">
        <v>-0.18</v>
      </c>
      <c r="AE261" s="7" t="n">
        <v>0.451</v>
      </c>
      <c r="AF261" s="7" t="n">
        <v>-0.195</v>
      </c>
      <c r="AG261" s="7" t="n">
        <v>-0.207</v>
      </c>
      <c r="AH261" s="7" t="n">
        <v>-0.107</v>
      </c>
      <c r="AI261" s="7" t="n">
        <v>0.085</v>
      </c>
      <c r="AJ261" s="7" t="n">
        <v>0.339</v>
      </c>
      <c r="AK261" s="7" t="n">
        <v>0.382</v>
      </c>
      <c r="AL261" s="7" t="n">
        <v>-0.21</v>
      </c>
      <c r="AM261" s="7" t="n">
        <v>0.199</v>
      </c>
      <c r="AN261" s="7" t="n">
        <v>-0.035</v>
      </c>
      <c r="AO261" s="7" t="n">
        <v>-0.246</v>
      </c>
      <c r="AP261" s="7" t="n">
        <v>-0.105</v>
      </c>
      <c r="AQ261" s="7" t="n">
        <v>-0.127</v>
      </c>
      <c r="AR261" s="7" t="n">
        <v>-0.096</v>
      </c>
      <c r="AS261" s="7" t="n">
        <v>-0.197</v>
      </c>
      <c r="AT261" s="7" t="n">
        <v>-0.032</v>
      </c>
      <c r="AU261" s="7" t="n">
        <v>-0.04</v>
      </c>
      <c r="AV261" s="7" t="n">
        <v>0.007</v>
      </c>
    </row>
    <row r="262" customFormat="false" ht="15" hidden="false" customHeight="false" outlineLevel="0" collapsed="false">
      <c r="A262" s="19" t="n">
        <v>46579</v>
      </c>
      <c r="B262" s="6" t="n">
        <v>0</v>
      </c>
      <c r="C262" s="6" t="s">
        <v>190</v>
      </c>
      <c r="D262" s="6" t="s">
        <v>189</v>
      </c>
      <c r="E262" s="6" t="s">
        <v>183</v>
      </c>
      <c r="F262" s="6" t="s">
        <v>212</v>
      </c>
      <c r="G262" s="7" t="n">
        <v>-0.136</v>
      </c>
      <c r="H262" s="7" t="n">
        <v>0.031</v>
      </c>
      <c r="I262" s="7" t="n">
        <v>-0.525</v>
      </c>
      <c r="J262" s="7" t="n">
        <v>-0.018</v>
      </c>
      <c r="K262" s="7" t="n">
        <v>0.25</v>
      </c>
      <c r="L262" s="7" t="n">
        <v>-0.49</v>
      </c>
      <c r="M262" s="7" t="n">
        <v>-0.595</v>
      </c>
      <c r="N262" s="7" t="n">
        <v>-0.639</v>
      </c>
      <c r="O262" s="7" t="n">
        <v>-0.157</v>
      </c>
      <c r="P262" s="7" t="n">
        <v>0.123</v>
      </c>
      <c r="Q262" s="7" t="n">
        <v>0.067</v>
      </c>
      <c r="R262" s="7" t="n">
        <v>-0.165</v>
      </c>
      <c r="S262" s="7" t="n">
        <v>0.251</v>
      </c>
      <c r="T262" s="7" t="n">
        <v>-0.274</v>
      </c>
      <c r="U262" s="7" t="n">
        <v>-0.479</v>
      </c>
      <c r="V262" s="7" t="n">
        <v>0.024</v>
      </c>
      <c r="W262" s="7" t="n">
        <v>-0.604</v>
      </c>
      <c r="X262" s="7" t="n">
        <v>0.219</v>
      </c>
      <c r="Y262" s="7" t="n">
        <v>-0.22</v>
      </c>
      <c r="Z262" s="7" t="n">
        <v>0.126</v>
      </c>
      <c r="AA262" s="7" t="n">
        <v>-0.603</v>
      </c>
      <c r="AB262" s="7" t="n">
        <v>0.002</v>
      </c>
      <c r="AC262" s="7" t="n">
        <v>-0.452</v>
      </c>
      <c r="AD262" s="7" t="n">
        <v>-0.076</v>
      </c>
      <c r="AE262" s="7" t="n">
        <v>0.16</v>
      </c>
      <c r="AF262" s="7" t="n">
        <v>-0.338</v>
      </c>
      <c r="AG262" s="7" t="n">
        <v>-0.304</v>
      </c>
      <c r="AH262" s="7" t="n">
        <v>0.045</v>
      </c>
      <c r="AI262" s="7" t="n">
        <v>-0.26</v>
      </c>
      <c r="AJ262" s="7" t="n">
        <v>0.374</v>
      </c>
      <c r="AK262" s="7" t="n">
        <v>0.28</v>
      </c>
      <c r="AL262" s="7" t="n">
        <v>-0.21</v>
      </c>
      <c r="AM262" s="7" t="n">
        <v>0.229</v>
      </c>
      <c r="AN262" s="7" t="n">
        <v>-0.045</v>
      </c>
      <c r="AO262" s="7" t="n">
        <v>-0.494</v>
      </c>
      <c r="AP262" s="7" t="n">
        <v>-0.126</v>
      </c>
      <c r="AQ262" s="7" t="n">
        <v>-0.456</v>
      </c>
      <c r="AR262" s="7" t="n">
        <v>-0.069</v>
      </c>
      <c r="AS262" s="7" t="n">
        <v>-0.453</v>
      </c>
      <c r="AT262" s="7" t="n">
        <v>0.097</v>
      </c>
      <c r="AU262" s="7" t="n">
        <v>0.088</v>
      </c>
      <c r="AV262" s="7" t="n">
        <v>-0.031</v>
      </c>
    </row>
    <row r="263" customFormat="false" ht="15" hidden="false" customHeight="false" outlineLevel="0" collapsed="false">
      <c r="A263" s="19" t="n">
        <v>46580</v>
      </c>
      <c r="B263" s="6" t="n">
        <v>1</v>
      </c>
      <c r="C263" s="6" t="s">
        <v>190</v>
      </c>
      <c r="D263" s="6" t="s">
        <v>191</v>
      </c>
      <c r="E263" s="6" t="s">
        <v>183</v>
      </c>
      <c r="F263" s="6" t="s">
        <v>212</v>
      </c>
      <c r="G263" s="7" t="n">
        <v>0.055</v>
      </c>
      <c r="H263" s="7" t="n">
        <v>-0.125</v>
      </c>
      <c r="I263" s="7" t="n">
        <v>-0.221</v>
      </c>
      <c r="J263" s="7" t="n">
        <v>0.018</v>
      </c>
      <c r="K263" s="7" t="n">
        <v>0.176</v>
      </c>
      <c r="L263" s="7" t="n">
        <v>-0.036</v>
      </c>
      <c r="M263" s="7" t="n">
        <v>-0.152</v>
      </c>
      <c r="N263" s="7" t="n">
        <v>-0.453</v>
      </c>
      <c r="O263" s="7" t="n">
        <v>-0.125</v>
      </c>
      <c r="P263" s="7" t="n">
        <v>0.153</v>
      </c>
      <c r="Q263" s="7" t="n">
        <v>-0.232</v>
      </c>
      <c r="R263" s="7" t="n">
        <v>-0.138</v>
      </c>
      <c r="S263" s="7" t="n">
        <v>0.15</v>
      </c>
      <c r="T263" s="7" t="n">
        <v>-0.217</v>
      </c>
      <c r="U263" s="7" t="n">
        <v>-0.325</v>
      </c>
      <c r="V263" s="7" t="n">
        <v>-0.317</v>
      </c>
      <c r="W263" s="7" t="n">
        <v>-0.114</v>
      </c>
      <c r="X263" s="7" t="n">
        <v>0.257</v>
      </c>
      <c r="Y263" s="7" t="n">
        <v>-0.22</v>
      </c>
      <c r="Z263" s="7" t="n">
        <v>0.282</v>
      </c>
      <c r="AA263" s="7" t="n">
        <v>-0.123</v>
      </c>
      <c r="AB263" s="7" t="n">
        <v>-0.317</v>
      </c>
      <c r="AC263" s="7" t="n">
        <v>-0.146</v>
      </c>
      <c r="AD263" s="7" t="n">
        <v>0.148</v>
      </c>
      <c r="AE263" s="7" t="n">
        <v>0.198</v>
      </c>
      <c r="AF263" s="7" t="n">
        <v>-0.043</v>
      </c>
      <c r="AG263" s="7" t="n">
        <v>-0.287</v>
      </c>
      <c r="AH263" s="7" t="n">
        <v>-0.297</v>
      </c>
      <c r="AI263" s="7" t="n">
        <v>0.441</v>
      </c>
      <c r="AJ263" s="7" t="n">
        <v>0.231</v>
      </c>
      <c r="AK263" s="7" t="n">
        <v>0.06</v>
      </c>
      <c r="AL263" s="7" t="n">
        <v>-0.21</v>
      </c>
      <c r="AM263" s="7" t="n">
        <v>0.251</v>
      </c>
      <c r="AN263" s="7" t="n">
        <v>-0.158</v>
      </c>
      <c r="AO263" s="7" t="n">
        <v>-0.225</v>
      </c>
      <c r="AP263" s="7" t="n">
        <v>-0.108</v>
      </c>
      <c r="AQ263" s="7" t="n">
        <v>-0.326</v>
      </c>
      <c r="AR263" s="7" t="n">
        <v>-0.038</v>
      </c>
      <c r="AS263" s="7" t="n">
        <v>0.091</v>
      </c>
      <c r="AT263" s="7" t="n">
        <v>0.126</v>
      </c>
      <c r="AU263" s="7" t="n">
        <v>0.117</v>
      </c>
      <c r="AV263" s="7" t="n">
        <v>-0.177</v>
      </c>
    </row>
    <row r="264" customFormat="false" ht="15" hidden="false" customHeight="false" outlineLevel="0" collapsed="false">
      <c r="A264" s="19" t="n">
        <v>46581</v>
      </c>
      <c r="B264" s="6" t="n">
        <v>1</v>
      </c>
      <c r="C264" s="6" t="s">
        <v>190</v>
      </c>
      <c r="D264" s="6" t="s">
        <v>192</v>
      </c>
      <c r="E264" s="6" t="s">
        <v>183</v>
      </c>
      <c r="F264" s="6" t="s">
        <v>212</v>
      </c>
      <c r="G264" s="7" t="n">
        <v>0.074</v>
      </c>
      <c r="H264" s="7" t="n">
        <v>-0.111</v>
      </c>
      <c r="I264" s="7" t="n">
        <v>-0.222</v>
      </c>
      <c r="J264" s="7" t="n">
        <v>0.008</v>
      </c>
      <c r="K264" s="7" t="n">
        <v>0.288</v>
      </c>
      <c r="L264" s="7" t="n">
        <v>-0.038</v>
      </c>
      <c r="M264" s="7" t="n">
        <v>-0.281</v>
      </c>
      <c r="N264" s="7" t="n">
        <v>-0.314</v>
      </c>
      <c r="O264" s="7" t="n">
        <v>-0.148</v>
      </c>
      <c r="P264" s="7" t="n">
        <v>0.107</v>
      </c>
      <c r="Q264" s="7" t="n">
        <v>-0.202</v>
      </c>
      <c r="R264" s="7" t="n">
        <v>-0.115</v>
      </c>
      <c r="S264" s="7" t="n">
        <v>0.169</v>
      </c>
      <c r="T264" s="7" t="n">
        <v>-0.244</v>
      </c>
      <c r="U264" s="7" t="n">
        <v>-0.361</v>
      </c>
      <c r="V264" s="7" t="n">
        <v>-0.303</v>
      </c>
      <c r="W264" s="7" t="n">
        <v>-0.283</v>
      </c>
      <c r="X264" s="7" t="n">
        <v>0.243</v>
      </c>
      <c r="Y264" s="7" t="n">
        <v>-0.219</v>
      </c>
      <c r="Z264" s="7" t="n">
        <v>0.069</v>
      </c>
      <c r="AA264" s="7" t="n">
        <v>-0.29</v>
      </c>
      <c r="AB264" s="7" t="n">
        <v>-0.305</v>
      </c>
      <c r="AC264" s="7" t="n">
        <v>-0.148</v>
      </c>
      <c r="AD264" s="7" t="n">
        <v>-0.051</v>
      </c>
      <c r="AE264" s="7" t="n">
        <v>0.182</v>
      </c>
      <c r="AF264" s="7" t="n">
        <v>-0.208</v>
      </c>
      <c r="AG264" s="7" t="n">
        <v>-0.308</v>
      </c>
      <c r="AH264" s="7" t="n">
        <v>-0.284</v>
      </c>
      <c r="AI264" s="7" t="n">
        <v>0.049</v>
      </c>
      <c r="AJ264" s="7" t="n">
        <v>0.264</v>
      </c>
      <c r="AK264" s="7" t="n">
        <v>0.065</v>
      </c>
      <c r="AL264" s="7" t="n">
        <v>-0.21</v>
      </c>
      <c r="AM264" s="7" t="n">
        <v>0.262</v>
      </c>
      <c r="AN264" s="7" t="n">
        <v>-0.2</v>
      </c>
      <c r="AO264" s="7" t="n">
        <v>-0.235</v>
      </c>
      <c r="AP264" s="7" t="n">
        <v>-0.115</v>
      </c>
      <c r="AQ264" s="7" t="n">
        <v>-0.346</v>
      </c>
      <c r="AR264" s="7" t="n">
        <v>-0.044</v>
      </c>
      <c r="AS264" s="7" t="n">
        <v>-0.191</v>
      </c>
      <c r="AT264" s="7" t="n">
        <v>0.148</v>
      </c>
      <c r="AU264" s="7" t="n">
        <v>0.137</v>
      </c>
      <c r="AV264" s="7" t="n">
        <v>-0.209</v>
      </c>
    </row>
    <row r="265" customFormat="false" ht="15" hidden="false" customHeight="false" outlineLevel="0" collapsed="false">
      <c r="A265" s="19" t="n">
        <v>46582</v>
      </c>
      <c r="B265" s="6" t="n">
        <v>1</v>
      </c>
      <c r="C265" s="6" t="s">
        <v>171</v>
      </c>
      <c r="D265" s="6" t="s">
        <v>193</v>
      </c>
      <c r="E265" s="6" t="s">
        <v>183</v>
      </c>
      <c r="F265" s="6" t="s">
        <v>212</v>
      </c>
      <c r="G265" s="7" t="n">
        <v>0.019</v>
      </c>
      <c r="H265" s="7" t="n">
        <v>-0.104</v>
      </c>
      <c r="I265" s="7" t="n">
        <v>-0.287</v>
      </c>
      <c r="J265" s="7" t="n">
        <v>-0.009</v>
      </c>
      <c r="K265" s="7" t="n">
        <v>0.264</v>
      </c>
      <c r="L265" s="7" t="n">
        <v>-0.257</v>
      </c>
      <c r="M265" s="7" t="n">
        <v>-0.502</v>
      </c>
      <c r="N265" s="7" t="n">
        <v>-0.572</v>
      </c>
      <c r="O265" s="7" t="n">
        <v>-0.084</v>
      </c>
      <c r="P265" s="7" t="n">
        <v>0.063</v>
      </c>
      <c r="Q265" s="7" t="n">
        <v>-0.022</v>
      </c>
      <c r="R265" s="7" t="n">
        <v>-0.084</v>
      </c>
      <c r="S265" s="7" t="n">
        <v>0.139</v>
      </c>
      <c r="T265" s="7" t="n">
        <v>-0.07</v>
      </c>
      <c r="U265" s="7" t="n">
        <v>-0.078</v>
      </c>
      <c r="V265" s="7" t="n">
        <v>-0.159</v>
      </c>
      <c r="W265" s="7" t="n">
        <v>-0.514</v>
      </c>
      <c r="X265" s="7" t="n">
        <v>0.464</v>
      </c>
      <c r="Y265" s="7" t="n">
        <v>-0.567</v>
      </c>
      <c r="Z265" s="7" t="n">
        <v>0.089</v>
      </c>
      <c r="AA265" s="7" t="n">
        <v>-0.517</v>
      </c>
      <c r="AB265" s="7" t="n">
        <v>-0.155</v>
      </c>
      <c r="AC265" s="7" t="n">
        <v>-0.057</v>
      </c>
      <c r="AD265" s="7" t="n">
        <v>-0.201</v>
      </c>
      <c r="AE265" s="7" t="n">
        <v>0.159</v>
      </c>
      <c r="AF265" s="7" t="n">
        <v>-0.51</v>
      </c>
      <c r="AG265" s="7" t="n">
        <v>-0.295</v>
      </c>
      <c r="AH265" s="7" t="n">
        <v>-0.114</v>
      </c>
      <c r="AI265" s="7" t="n">
        <v>0.139</v>
      </c>
      <c r="AJ265" s="7" t="n">
        <v>0.252</v>
      </c>
      <c r="AK265" s="7" t="n">
        <v>-0.134</v>
      </c>
      <c r="AL265" s="7" t="n">
        <v>-0.104</v>
      </c>
      <c r="AM265" s="7" t="n">
        <v>0.248</v>
      </c>
      <c r="AN265" s="7" t="n">
        <v>-0.005</v>
      </c>
      <c r="AO265" s="7" t="n">
        <v>-0.419</v>
      </c>
      <c r="AP265" s="7" t="n">
        <v>-0.384</v>
      </c>
      <c r="AQ265" s="7" t="n">
        <v>-0.045</v>
      </c>
      <c r="AR265" s="7" t="n">
        <v>-0.06</v>
      </c>
      <c r="AS265" s="7" t="n">
        <v>-0.355</v>
      </c>
      <c r="AT265" s="7" t="n">
        <v>0.172</v>
      </c>
      <c r="AU265" s="7" t="n">
        <v>0.16</v>
      </c>
      <c r="AV265" s="7" t="n">
        <v>0.002</v>
      </c>
    </row>
    <row r="266" customFormat="false" ht="15" hidden="false" customHeight="false" outlineLevel="0" collapsed="false">
      <c r="A266" s="19" t="n">
        <v>46583</v>
      </c>
      <c r="B266" s="6" t="n">
        <v>1</v>
      </c>
      <c r="C266" s="6" t="s">
        <v>171</v>
      </c>
      <c r="D266" s="6" t="s">
        <v>194</v>
      </c>
      <c r="E266" s="6" t="s">
        <v>183</v>
      </c>
      <c r="F266" s="6" t="s">
        <v>212</v>
      </c>
      <c r="G266" s="7" t="n">
        <v>0.223</v>
      </c>
      <c r="H266" s="7" t="n">
        <v>0.391</v>
      </c>
      <c r="I266" s="7" t="n">
        <v>-0.48</v>
      </c>
      <c r="J266" s="7" t="n">
        <v>0.515</v>
      </c>
      <c r="K266" s="7" t="n">
        <v>0.59</v>
      </c>
      <c r="L266" s="7" t="n">
        <v>-0.441</v>
      </c>
      <c r="M266" s="7" t="n">
        <v>-0.528</v>
      </c>
      <c r="N266" s="7" t="n">
        <v>-0.655</v>
      </c>
      <c r="O266" s="7" t="n">
        <v>-0.092</v>
      </c>
      <c r="P266" s="7" t="n">
        <v>0.455</v>
      </c>
      <c r="Q266" s="7" t="n">
        <v>0.31</v>
      </c>
      <c r="R266" s="7" t="n">
        <v>-0.062</v>
      </c>
      <c r="S266" s="7" t="n">
        <v>0.509</v>
      </c>
      <c r="T266" s="7" t="n">
        <v>0.282</v>
      </c>
      <c r="U266" s="7" t="n">
        <v>-0.356</v>
      </c>
      <c r="V266" s="7" t="n">
        <v>-0.181</v>
      </c>
      <c r="W266" s="7" t="n">
        <v>-0.549</v>
      </c>
      <c r="X266" s="7" t="n">
        <v>0.631</v>
      </c>
      <c r="Y266" s="7" t="n">
        <v>-0.46</v>
      </c>
      <c r="Z266" s="7" t="n">
        <v>0.257</v>
      </c>
      <c r="AA266" s="7" t="n">
        <v>-0.545</v>
      </c>
      <c r="AB266" s="7" t="n">
        <v>-0.156</v>
      </c>
      <c r="AC266" s="7" t="n">
        <v>-0.315</v>
      </c>
      <c r="AD266" s="7" t="n">
        <v>-0.394</v>
      </c>
      <c r="AE266" s="7" t="n">
        <v>0.58</v>
      </c>
      <c r="AF266" s="7" t="n">
        <v>-0.416</v>
      </c>
      <c r="AG266" s="7" t="n">
        <v>-0.328</v>
      </c>
      <c r="AH266" s="7" t="n">
        <v>-0.118</v>
      </c>
      <c r="AI266" s="7" t="n">
        <v>0.445</v>
      </c>
      <c r="AJ266" s="7" t="n">
        <v>0.593</v>
      </c>
      <c r="AK266" s="7" t="n">
        <v>0.212</v>
      </c>
      <c r="AL266" s="7" t="n">
        <v>-0.302</v>
      </c>
      <c r="AM266" s="7" t="n">
        <v>0.268</v>
      </c>
      <c r="AN266" s="7" t="n">
        <v>-0.053</v>
      </c>
      <c r="AO266" s="7" t="n">
        <v>-0.471</v>
      </c>
      <c r="AP266" s="7" t="n">
        <v>-0.276</v>
      </c>
      <c r="AQ266" s="7" t="n">
        <v>-0.223</v>
      </c>
      <c r="AR266" s="7" t="n">
        <v>-0.106</v>
      </c>
      <c r="AS266" s="7" t="n">
        <v>-0.366</v>
      </c>
      <c r="AT266" s="7" t="n">
        <v>0.549</v>
      </c>
      <c r="AU266" s="7" t="n">
        <v>0.551</v>
      </c>
      <c r="AV266" s="7" t="n">
        <v>0</v>
      </c>
    </row>
    <row r="267" customFormat="false" ht="15" hidden="false" customHeight="false" outlineLevel="0" collapsed="false">
      <c r="A267" s="19" t="n">
        <v>46584</v>
      </c>
      <c r="B267" s="6" t="n">
        <v>1</v>
      </c>
      <c r="C267" s="6" t="s">
        <v>195</v>
      </c>
      <c r="D267" s="6" t="s">
        <v>196</v>
      </c>
      <c r="E267" s="6" t="s">
        <v>183</v>
      </c>
      <c r="F267" s="6" t="s">
        <v>212</v>
      </c>
      <c r="G267" s="7" t="n">
        <v>0.154</v>
      </c>
      <c r="H267" s="7" t="n">
        <v>-0.05</v>
      </c>
      <c r="I267" s="7" t="n">
        <v>-0.324</v>
      </c>
      <c r="J267" s="7" t="n">
        <v>-0.057</v>
      </c>
      <c r="K267" s="7" t="n">
        <v>0.393</v>
      </c>
      <c r="L267" s="7" t="n">
        <v>-0.036</v>
      </c>
      <c r="M267" s="7" t="n">
        <v>-0.313</v>
      </c>
      <c r="N267" s="7" t="n">
        <v>-0.281</v>
      </c>
      <c r="O267" s="7" t="n">
        <v>0.156</v>
      </c>
      <c r="P267" s="7" t="n">
        <v>-0.064</v>
      </c>
      <c r="Q267" s="7" t="n">
        <v>-0.095</v>
      </c>
      <c r="R267" s="7" t="n">
        <v>0.077</v>
      </c>
      <c r="S267" s="7" t="n">
        <v>0.223</v>
      </c>
      <c r="T267" s="7" t="n">
        <v>-0.058</v>
      </c>
      <c r="U267" s="7" t="n">
        <v>-0.221</v>
      </c>
      <c r="V267" s="7" t="n">
        <v>-0.164</v>
      </c>
      <c r="W267" s="7" t="n">
        <v>-0.428</v>
      </c>
      <c r="X267" s="7" t="n">
        <v>0.357</v>
      </c>
      <c r="Y267" s="7" t="n">
        <v>-0.475</v>
      </c>
      <c r="Z267" s="7" t="n">
        <v>0.116</v>
      </c>
      <c r="AA267" s="7" t="n">
        <v>-0.316</v>
      </c>
      <c r="AB267" s="7" t="n">
        <v>-0.156</v>
      </c>
      <c r="AC267" s="7" t="n">
        <v>-0.195</v>
      </c>
      <c r="AD267" s="7" t="n">
        <v>0.105</v>
      </c>
      <c r="AE267" s="7" t="n">
        <v>0.096</v>
      </c>
      <c r="AF267" s="7" t="n">
        <v>-0.354</v>
      </c>
      <c r="AG267" s="7" t="n">
        <v>-0.154</v>
      </c>
      <c r="AH267" s="7" t="n">
        <v>-0.146</v>
      </c>
      <c r="AI267" s="7" t="n">
        <v>-0.009</v>
      </c>
      <c r="AJ267" s="7" t="n">
        <v>0.374</v>
      </c>
      <c r="AK267" s="7" t="n">
        <v>-0.251</v>
      </c>
      <c r="AL267" s="7" t="n">
        <v>-0.092</v>
      </c>
      <c r="AM267" s="7" t="n">
        <v>0.349</v>
      </c>
      <c r="AN267" s="7" t="n">
        <v>-0.096</v>
      </c>
      <c r="AO267" s="7" t="n">
        <v>-0.31</v>
      </c>
      <c r="AP267" s="7" t="n">
        <v>-0.191</v>
      </c>
      <c r="AQ267" s="7" t="n">
        <v>-0.101</v>
      </c>
      <c r="AR267" s="7" t="n">
        <v>-0.122</v>
      </c>
      <c r="AS267" s="7" t="n">
        <v>-0.19</v>
      </c>
      <c r="AT267" s="7" t="n">
        <v>0.284</v>
      </c>
      <c r="AU267" s="7" t="n">
        <v>0.172</v>
      </c>
      <c r="AV267" s="7" t="n">
        <v>-0.027</v>
      </c>
    </row>
    <row r="268" customFormat="false" ht="15" hidden="false" customHeight="false" outlineLevel="0" collapsed="false">
      <c r="A268" s="19" t="n">
        <v>46585</v>
      </c>
      <c r="B268" s="6" t="n">
        <v>0</v>
      </c>
      <c r="C268" s="6" t="s">
        <v>195</v>
      </c>
      <c r="D268" s="6" t="s">
        <v>197</v>
      </c>
      <c r="E268" s="6" t="s">
        <v>183</v>
      </c>
      <c r="F268" s="6" t="s">
        <v>212</v>
      </c>
      <c r="G268" s="7" t="n">
        <v>0.225</v>
      </c>
      <c r="H268" s="7" t="n">
        <v>0.243</v>
      </c>
      <c r="I268" s="7" t="n">
        <v>-0.213</v>
      </c>
      <c r="J268" s="7" t="n">
        <v>-0.12</v>
      </c>
      <c r="K268" s="7" t="n">
        <v>0.527</v>
      </c>
      <c r="L268" s="7" t="n">
        <v>-0.043</v>
      </c>
      <c r="M268" s="7" t="n">
        <v>-0.293</v>
      </c>
      <c r="N268" s="7" t="n">
        <v>-0.319</v>
      </c>
      <c r="O268" s="7" t="n">
        <v>0.023</v>
      </c>
      <c r="P268" s="7" t="n">
        <v>-0.041</v>
      </c>
      <c r="Q268" s="7" t="n">
        <v>0.268</v>
      </c>
      <c r="R268" s="7" t="n">
        <v>-0.095</v>
      </c>
      <c r="S268" s="7" t="n">
        <v>0.339</v>
      </c>
      <c r="T268" s="7" t="n">
        <v>0.189</v>
      </c>
      <c r="U268" s="7" t="n">
        <v>0.109</v>
      </c>
      <c r="V268" s="7" t="n">
        <v>0.223</v>
      </c>
      <c r="W268" s="7" t="n">
        <v>-0.297</v>
      </c>
      <c r="X268" s="7" t="n">
        <v>0.1</v>
      </c>
      <c r="Y268" s="7" t="n">
        <v>-0.37</v>
      </c>
      <c r="Z268" s="7" t="n">
        <v>0.438</v>
      </c>
      <c r="AA268" s="7" t="n">
        <v>-0.291</v>
      </c>
      <c r="AB268" s="7" t="n">
        <v>-0.007</v>
      </c>
      <c r="AC268" s="7" t="n">
        <v>-0.156</v>
      </c>
      <c r="AD268" s="7" t="n">
        <v>0.085</v>
      </c>
      <c r="AE268" s="7" t="n">
        <v>0.023</v>
      </c>
      <c r="AF268" s="7" t="n">
        <v>-0.236</v>
      </c>
      <c r="AG268" s="7" t="n">
        <v>-0.301</v>
      </c>
      <c r="AH268" s="7" t="n">
        <v>0.282</v>
      </c>
      <c r="AI268" s="7" t="n">
        <v>-0.054</v>
      </c>
      <c r="AJ268" s="7" t="n">
        <v>0.491</v>
      </c>
      <c r="AK268" s="7" t="n">
        <v>0.229</v>
      </c>
      <c r="AL268" s="7" t="n">
        <v>-0.139</v>
      </c>
      <c r="AM268" s="7" t="n">
        <v>0.324</v>
      </c>
      <c r="AN268" s="7" t="n">
        <v>0.235</v>
      </c>
      <c r="AO268" s="7" t="n">
        <v>-0.302</v>
      </c>
      <c r="AP268" s="7" t="n">
        <v>-0.2</v>
      </c>
      <c r="AQ268" s="7" t="n">
        <v>0.257</v>
      </c>
      <c r="AR268" s="7" t="n">
        <v>-0.143</v>
      </c>
      <c r="AS268" s="7" t="n">
        <v>-0.161</v>
      </c>
      <c r="AT268" s="7" t="n">
        <v>0.228</v>
      </c>
      <c r="AU268" s="7" t="n">
        <v>0.141</v>
      </c>
      <c r="AV268" s="7" t="n">
        <v>0.34</v>
      </c>
    </row>
    <row r="269" customFormat="false" ht="15" hidden="false" customHeight="false" outlineLevel="0" collapsed="false">
      <c r="A269" s="19" t="n">
        <v>46586</v>
      </c>
      <c r="B269" s="6" t="n">
        <v>0</v>
      </c>
      <c r="C269" s="6" t="s">
        <v>195</v>
      </c>
      <c r="D269" s="6" t="s">
        <v>199</v>
      </c>
      <c r="E269" s="6" t="s">
        <v>183</v>
      </c>
      <c r="F269" s="6" t="s">
        <v>212</v>
      </c>
      <c r="G269" s="7" t="n">
        <v>-0.021</v>
      </c>
      <c r="H269" s="7" t="n">
        <v>-0.129</v>
      </c>
      <c r="I269" s="7" t="n">
        <v>-0.23</v>
      </c>
      <c r="J269" s="7" t="n">
        <v>-0.115</v>
      </c>
      <c r="K269" s="7" t="n">
        <v>0.303</v>
      </c>
      <c r="L269" s="7" t="n">
        <v>-0.059</v>
      </c>
      <c r="M269" s="7" t="n">
        <v>-0.31</v>
      </c>
      <c r="N269" s="7" t="n">
        <v>-0.413</v>
      </c>
      <c r="O269" s="7" t="n">
        <v>-0.044</v>
      </c>
      <c r="P269" s="7" t="n">
        <v>-0.054</v>
      </c>
      <c r="Q269" s="7" t="n">
        <v>-0.121</v>
      </c>
      <c r="R269" s="7" t="n">
        <v>-0.09</v>
      </c>
      <c r="S269" s="7" t="n">
        <v>0.068</v>
      </c>
      <c r="T269" s="7" t="n">
        <v>-0.493</v>
      </c>
      <c r="U269" s="7" t="n">
        <v>-0.288</v>
      </c>
      <c r="V269" s="7" t="n">
        <v>-0.249</v>
      </c>
      <c r="W269" s="7" t="n">
        <v>-0.314</v>
      </c>
      <c r="X269" s="7" t="n">
        <v>0.105</v>
      </c>
      <c r="Y269" s="7" t="n">
        <v>-0.37</v>
      </c>
      <c r="Z269" s="7" t="n">
        <v>-0.226</v>
      </c>
      <c r="AA269" s="7" t="n">
        <v>-0.308</v>
      </c>
      <c r="AB269" s="7" t="n">
        <v>-0.151</v>
      </c>
      <c r="AC269" s="7" t="n">
        <v>-0.174</v>
      </c>
      <c r="AD269" s="7" t="n">
        <v>-0.463</v>
      </c>
      <c r="AE269" s="7" t="n">
        <v>0.029</v>
      </c>
      <c r="AF269" s="7" t="n">
        <v>-0.235</v>
      </c>
      <c r="AG269" s="7" t="n">
        <v>-0.347</v>
      </c>
      <c r="AH269" s="7" t="n">
        <v>-0.119</v>
      </c>
      <c r="AI269" s="7" t="n">
        <v>-0.066</v>
      </c>
      <c r="AJ269" s="7" t="n">
        <v>0.244</v>
      </c>
      <c r="AK269" s="7" t="n">
        <v>-0.27</v>
      </c>
      <c r="AL269" s="7" t="n">
        <v>-0.544</v>
      </c>
      <c r="AM269" s="7" t="n">
        <v>-0.04</v>
      </c>
      <c r="AN269" s="7" t="n">
        <v>-0.102</v>
      </c>
      <c r="AO269" s="7" t="n">
        <v>-0.326</v>
      </c>
      <c r="AP269" s="7" t="n">
        <v>-0.207</v>
      </c>
      <c r="AQ269" s="7" t="n">
        <v>-0.431</v>
      </c>
      <c r="AR269" s="7" t="n">
        <v>-0.15</v>
      </c>
      <c r="AS269" s="7" t="n">
        <v>-0.177</v>
      </c>
      <c r="AT269" s="7" t="n">
        <v>-0.137</v>
      </c>
      <c r="AU269" s="7" t="n">
        <v>0.146</v>
      </c>
      <c r="AV269" s="7" t="n">
        <v>-0.003</v>
      </c>
    </row>
    <row r="270" customFormat="false" ht="15" hidden="false" customHeight="false" outlineLevel="0" collapsed="false">
      <c r="A270" s="19" t="n">
        <v>46587</v>
      </c>
      <c r="B270" s="6" t="n">
        <v>1</v>
      </c>
      <c r="C270" s="6" t="s">
        <v>198</v>
      </c>
      <c r="D270" s="6" t="s">
        <v>199</v>
      </c>
      <c r="E270" s="6" t="s">
        <v>183</v>
      </c>
      <c r="F270" s="6" t="s">
        <v>212</v>
      </c>
      <c r="G270" s="7" t="n">
        <v>-0.118</v>
      </c>
      <c r="H270" s="7" t="n">
        <v>-0.237</v>
      </c>
      <c r="I270" s="7" t="n">
        <v>-0.126</v>
      </c>
      <c r="J270" s="7" t="n">
        <v>-0.086</v>
      </c>
      <c r="K270" s="7" t="n">
        <v>0.281</v>
      </c>
      <c r="L270" s="7" t="n">
        <v>-0.144</v>
      </c>
      <c r="M270" s="7" t="n">
        <v>-0.639</v>
      </c>
      <c r="N270" s="7" t="n">
        <v>-0.788</v>
      </c>
      <c r="O270" s="7" t="n">
        <v>-0.104</v>
      </c>
      <c r="P270" s="7" t="n">
        <v>-0.096</v>
      </c>
      <c r="Q270" s="7" t="n">
        <v>-0.105</v>
      </c>
      <c r="R270" s="7" t="n">
        <v>-0.061</v>
      </c>
      <c r="S270" s="7" t="n">
        <v>-0.057</v>
      </c>
      <c r="T270" s="7" t="n">
        <v>-0.079</v>
      </c>
      <c r="U270" s="7" t="n">
        <v>-0.225</v>
      </c>
      <c r="V270" s="7" t="n">
        <v>-0.171</v>
      </c>
      <c r="W270" s="7" t="n">
        <v>-0.693</v>
      </c>
      <c r="X270" s="7" t="n">
        <v>0.136</v>
      </c>
      <c r="Y270" s="7" t="n">
        <v>-0.698</v>
      </c>
      <c r="Z270" s="7" t="n">
        <v>0.286</v>
      </c>
      <c r="AA270" s="7" t="n">
        <v>-0.644</v>
      </c>
      <c r="AB270" s="7" t="n">
        <v>-0.151</v>
      </c>
      <c r="AC270" s="7" t="n">
        <v>-0.189</v>
      </c>
      <c r="AD270" s="7" t="n">
        <v>-0.229</v>
      </c>
      <c r="AE270" s="7" t="n">
        <v>0.059</v>
      </c>
      <c r="AF270" s="7" t="n">
        <v>-0.64</v>
      </c>
      <c r="AG270" s="7" t="n">
        <v>-0.398</v>
      </c>
      <c r="AH270" s="7" t="n">
        <v>-0.086</v>
      </c>
      <c r="AI270" s="7" t="n">
        <v>-0.007</v>
      </c>
      <c r="AJ270" s="7" t="n">
        <v>0.15</v>
      </c>
      <c r="AK270" s="7" t="n">
        <v>-0.238</v>
      </c>
      <c r="AL270" s="7" t="n">
        <v>-0.483</v>
      </c>
      <c r="AM270" s="7" t="n">
        <v>0.361</v>
      </c>
      <c r="AN270" s="7" t="n">
        <v>-0.116</v>
      </c>
      <c r="AO270" s="7" t="n">
        <v>-0.642</v>
      </c>
      <c r="AP270" s="7" t="n">
        <v>-0.549</v>
      </c>
      <c r="AQ270" s="7" t="n">
        <v>0.025</v>
      </c>
      <c r="AR270" s="7" t="n">
        <v>-0.197</v>
      </c>
      <c r="AS270" s="7" t="n">
        <v>-0.461</v>
      </c>
      <c r="AT270" s="7" t="n">
        <v>0.269</v>
      </c>
      <c r="AU270" s="7" t="n">
        <v>0.177</v>
      </c>
      <c r="AV270" s="7" t="n">
        <v>0.03</v>
      </c>
    </row>
    <row r="271" customFormat="false" ht="15" hidden="false" customHeight="false" outlineLevel="0" collapsed="false">
      <c r="A271" s="19" t="n">
        <v>46588</v>
      </c>
      <c r="B271" s="6" t="n">
        <v>1</v>
      </c>
      <c r="C271" s="6" t="s">
        <v>198</v>
      </c>
      <c r="D271" s="6" t="s">
        <v>200</v>
      </c>
      <c r="E271" s="6" t="s">
        <v>183</v>
      </c>
      <c r="F271" s="6" t="s">
        <v>212</v>
      </c>
      <c r="G271" s="7" t="n">
        <v>-0.212</v>
      </c>
      <c r="H271" s="7" t="n">
        <v>-0.48</v>
      </c>
      <c r="I271" s="7" t="n">
        <v>-0.229</v>
      </c>
      <c r="J271" s="7" t="n">
        <v>-0.117</v>
      </c>
      <c r="K271" s="7" t="n">
        <v>0.262</v>
      </c>
      <c r="L271" s="7" t="n">
        <v>-0.258</v>
      </c>
      <c r="M271" s="7" t="n">
        <v>-0.682</v>
      </c>
      <c r="N271" s="7" t="n">
        <v>-0.856</v>
      </c>
      <c r="O271" s="7" t="n">
        <v>-0.221</v>
      </c>
      <c r="P271" s="7" t="n">
        <v>-0.097</v>
      </c>
      <c r="Q271" s="7" t="n">
        <v>-0.461</v>
      </c>
      <c r="R271" s="7" t="n">
        <v>-0.094</v>
      </c>
      <c r="S271" s="7" t="n">
        <v>-0.38</v>
      </c>
      <c r="T271" s="7" t="n">
        <v>-0.498</v>
      </c>
      <c r="U271" s="7" t="n">
        <v>-0.287</v>
      </c>
      <c r="V271" s="7" t="n">
        <v>-0.212</v>
      </c>
      <c r="W271" s="7" t="n">
        <v>-0.702</v>
      </c>
      <c r="X271" s="7" t="n">
        <v>0.104</v>
      </c>
      <c r="Y271" s="7" t="n">
        <v>-0.701</v>
      </c>
      <c r="Z271" s="7" t="n">
        <v>0.071</v>
      </c>
      <c r="AA271" s="7" t="n">
        <v>-0.655</v>
      </c>
      <c r="AB271" s="7" t="n">
        <v>-0.146</v>
      </c>
      <c r="AC271" s="7" t="n">
        <v>-0.206</v>
      </c>
      <c r="AD271" s="7" t="n">
        <v>-0.158</v>
      </c>
      <c r="AE271" s="7" t="n">
        <v>0.028</v>
      </c>
      <c r="AF271" s="7" t="n">
        <v>-0.641</v>
      </c>
      <c r="AG271" s="7" t="n">
        <v>-0.627</v>
      </c>
      <c r="AH271" s="7" t="n">
        <v>-0.117</v>
      </c>
      <c r="AI271" s="7" t="n">
        <v>-0.067</v>
      </c>
      <c r="AJ271" s="7" t="n">
        <v>0.062</v>
      </c>
      <c r="AK271" s="7" t="n">
        <v>-0.265</v>
      </c>
      <c r="AL271" s="7" t="n">
        <v>-0.473</v>
      </c>
      <c r="AM271" s="7" t="n">
        <v>0.276</v>
      </c>
      <c r="AN271" s="7" t="n">
        <v>-0.438</v>
      </c>
      <c r="AO271" s="7" t="n">
        <v>-0.741</v>
      </c>
      <c r="AP271" s="7" t="n">
        <v>-0.642</v>
      </c>
      <c r="AQ271" s="7" t="n">
        <v>-0.115</v>
      </c>
      <c r="AR271" s="7" t="n">
        <v>-0.48</v>
      </c>
      <c r="AS271" s="7" t="n">
        <v>-0.425</v>
      </c>
      <c r="AT271" s="7" t="n">
        <v>0.167</v>
      </c>
      <c r="AU271" s="7" t="n">
        <v>0.147</v>
      </c>
      <c r="AV271" s="7" t="n">
        <v>-0.004</v>
      </c>
    </row>
    <row r="272" customFormat="false" ht="15" hidden="false" customHeight="false" outlineLevel="0" collapsed="false">
      <c r="A272" s="19" t="n">
        <v>46589</v>
      </c>
      <c r="B272" s="6" t="n">
        <v>1</v>
      </c>
      <c r="C272" s="6" t="s">
        <v>202</v>
      </c>
      <c r="D272" s="6" t="s">
        <v>201</v>
      </c>
      <c r="E272" s="6" t="s">
        <v>183</v>
      </c>
      <c r="F272" s="6" t="s">
        <v>212</v>
      </c>
      <c r="G272" s="7" t="n">
        <v>-0.301</v>
      </c>
      <c r="H272" s="7" t="n">
        <v>-0.177</v>
      </c>
      <c r="I272" s="7" t="n">
        <v>-0.581</v>
      </c>
      <c r="J272" s="7" t="n">
        <v>-0.262</v>
      </c>
      <c r="K272" s="7" t="n">
        <v>0.356</v>
      </c>
      <c r="L272" s="7" t="n">
        <v>-0.516</v>
      </c>
      <c r="M272" s="7" t="n">
        <v>-0.721</v>
      </c>
      <c r="N272" s="7" t="n">
        <v>-0.732</v>
      </c>
      <c r="O272" s="7" t="n">
        <v>0.016</v>
      </c>
      <c r="P272" s="7" t="n">
        <v>-0.094</v>
      </c>
      <c r="Q272" s="7" t="n">
        <v>-0.111</v>
      </c>
      <c r="R272" s="7" t="n">
        <v>-0.094</v>
      </c>
      <c r="S272" s="7" t="n">
        <v>-0.374</v>
      </c>
      <c r="T272" s="7" t="n">
        <v>-0.411</v>
      </c>
      <c r="U272" s="7" t="n">
        <v>-0.512</v>
      </c>
      <c r="V272" s="7" t="n">
        <v>-0.21</v>
      </c>
      <c r="W272" s="7" t="n">
        <v>-0.725</v>
      </c>
      <c r="X272" s="7" t="n">
        <v>-0.197</v>
      </c>
      <c r="Y272" s="7" t="n">
        <v>-0.686</v>
      </c>
      <c r="Z272" s="7" t="n">
        <v>-0.041</v>
      </c>
      <c r="AA272" s="7" t="n">
        <v>-0.66</v>
      </c>
      <c r="AB272" s="7" t="n">
        <v>-0.141</v>
      </c>
      <c r="AC272" s="7" t="n">
        <v>-0.45</v>
      </c>
      <c r="AD272" s="7" t="n">
        <v>-0.452</v>
      </c>
      <c r="AE272" s="7" t="n">
        <v>0</v>
      </c>
      <c r="AF272" s="7" t="n">
        <v>-0.59</v>
      </c>
      <c r="AG272" s="7" t="n">
        <v>-0.299</v>
      </c>
      <c r="AH272" s="7" t="n">
        <v>-0.08</v>
      </c>
      <c r="AI272" s="7" t="n">
        <v>-0.454</v>
      </c>
      <c r="AJ272" s="7" t="n">
        <v>0.129</v>
      </c>
      <c r="AK272" s="7" t="n">
        <v>-0.228</v>
      </c>
      <c r="AL272" s="7" t="n">
        <v>-0.334</v>
      </c>
      <c r="AM272" s="7" t="n">
        <v>0.189</v>
      </c>
      <c r="AN272" s="7" t="n">
        <v>-0.073</v>
      </c>
      <c r="AO272" s="7" t="n">
        <v>-0.705</v>
      </c>
      <c r="AP272" s="7" t="n">
        <v>-0.46</v>
      </c>
      <c r="AQ272" s="7" t="n">
        <v>-0.406</v>
      </c>
      <c r="AR272" s="7" t="n">
        <v>-0.152</v>
      </c>
      <c r="AS272" s="7" t="n">
        <v>-0.528</v>
      </c>
      <c r="AT272" s="7" t="n">
        <v>0.085</v>
      </c>
      <c r="AU272" s="7" t="n">
        <v>0.12</v>
      </c>
      <c r="AV272" s="7" t="n">
        <v>0.03</v>
      </c>
    </row>
    <row r="273" customFormat="false" ht="15" hidden="false" customHeight="false" outlineLevel="0" collapsed="false">
      <c r="A273" s="19" t="n">
        <v>46590</v>
      </c>
      <c r="B273" s="6" t="n">
        <v>1</v>
      </c>
      <c r="C273" s="6" t="s">
        <v>202</v>
      </c>
      <c r="D273" s="6" t="s">
        <v>203</v>
      </c>
      <c r="E273" s="6" t="s">
        <v>183</v>
      </c>
      <c r="F273" s="6" t="s">
        <v>212</v>
      </c>
      <c r="G273" s="7" t="n">
        <v>-0.208</v>
      </c>
      <c r="H273" s="7" t="n">
        <v>-0.315</v>
      </c>
      <c r="I273" s="7" t="n">
        <v>-0.228</v>
      </c>
      <c r="J273" s="7" t="n">
        <v>-0.355</v>
      </c>
      <c r="K273" s="7" t="n">
        <v>0.273</v>
      </c>
      <c r="L273" s="7" t="n">
        <v>-0.134</v>
      </c>
      <c r="M273" s="7" t="n">
        <v>-0.601</v>
      </c>
      <c r="N273" s="7" t="n">
        <v>-0.567</v>
      </c>
      <c r="O273" s="7" t="n">
        <v>0.005</v>
      </c>
      <c r="P273" s="7" t="n">
        <v>-0.121</v>
      </c>
      <c r="Q273" s="7" t="n">
        <v>-0.178</v>
      </c>
      <c r="R273" s="7" t="n">
        <v>-0.099</v>
      </c>
      <c r="S273" s="7" t="n">
        <v>-0.392</v>
      </c>
      <c r="T273" s="7" t="n">
        <v>-0.185</v>
      </c>
      <c r="U273" s="7" t="n">
        <v>-0.243</v>
      </c>
      <c r="V273" s="7" t="n">
        <v>-0.208</v>
      </c>
      <c r="W273" s="7" t="n">
        <v>-0.608</v>
      </c>
      <c r="X273" s="7" t="n">
        <v>-0.206</v>
      </c>
      <c r="Y273" s="7" t="n">
        <v>-0.665</v>
      </c>
      <c r="Z273" s="7" t="n">
        <v>0.001</v>
      </c>
      <c r="AA273" s="7" t="n">
        <v>-0.517</v>
      </c>
      <c r="AB273" s="7" t="n">
        <v>-0.137</v>
      </c>
      <c r="AC273" s="7" t="n">
        <v>-0.157</v>
      </c>
      <c r="AD273" s="7" t="n">
        <v>-0.377</v>
      </c>
      <c r="AE273" s="7" t="n">
        <v>-0.056</v>
      </c>
      <c r="AF273" s="7" t="n">
        <v>-0.538</v>
      </c>
      <c r="AG273" s="7" t="n">
        <v>-0.332</v>
      </c>
      <c r="AH273" s="7" t="n">
        <v>-0.079</v>
      </c>
      <c r="AI273" s="7" t="n">
        <v>-0.319</v>
      </c>
      <c r="AJ273" s="7" t="n">
        <v>0.072</v>
      </c>
      <c r="AK273" s="7" t="n">
        <v>-0.225</v>
      </c>
      <c r="AL273" s="7" t="n">
        <v>-0.294</v>
      </c>
      <c r="AM273" s="7" t="n">
        <v>0.207</v>
      </c>
      <c r="AN273" s="7" t="n">
        <v>-0.092</v>
      </c>
      <c r="AO273" s="7" t="n">
        <v>-0.564</v>
      </c>
      <c r="AP273" s="7" t="n">
        <v>-0.451</v>
      </c>
      <c r="AQ273" s="7" t="n">
        <v>-0.178</v>
      </c>
      <c r="AR273" s="7" t="n">
        <v>-0.168</v>
      </c>
      <c r="AS273" s="7" t="n">
        <v>-0.349</v>
      </c>
      <c r="AT273" s="7" t="n">
        <v>0.029</v>
      </c>
      <c r="AU273" s="7" t="n">
        <v>0.066</v>
      </c>
      <c r="AV273" s="7" t="n">
        <v>0.028</v>
      </c>
    </row>
    <row r="274" customFormat="false" ht="15" hidden="false" customHeight="false" outlineLevel="0" collapsed="false">
      <c r="A274" s="19" t="n">
        <v>46591</v>
      </c>
      <c r="B274" s="6" t="n">
        <v>1</v>
      </c>
      <c r="C274" s="6" t="s">
        <v>202</v>
      </c>
      <c r="D274" s="6" t="s">
        <v>204</v>
      </c>
      <c r="E274" s="6" t="s">
        <v>183</v>
      </c>
      <c r="F274" s="6" t="s">
        <v>212</v>
      </c>
      <c r="G274" s="7" t="n">
        <v>-0.216</v>
      </c>
      <c r="H274" s="7" t="n">
        <v>-0.458</v>
      </c>
      <c r="I274" s="7" t="n">
        <v>-0.227</v>
      </c>
      <c r="J274" s="7" t="n">
        <v>-0.467</v>
      </c>
      <c r="K274" s="7" t="n">
        <v>0.303</v>
      </c>
      <c r="L274" s="7" t="n">
        <v>-0.128</v>
      </c>
      <c r="M274" s="7" t="n">
        <v>-0.608</v>
      </c>
      <c r="N274" s="7" t="n">
        <v>-0.652</v>
      </c>
      <c r="O274" s="7" t="n">
        <v>0.345</v>
      </c>
      <c r="P274" s="7" t="n">
        <v>-0.139</v>
      </c>
      <c r="Q274" s="7" t="n">
        <v>-0.354</v>
      </c>
      <c r="R274" s="7" t="n">
        <v>0.299</v>
      </c>
      <c r="S274" s="7" t="n">
        <v>-0.243</v>
      </c>
      <c r="T274" s="7" t="n">
        <v>0.005</v>
      </c>
      <c r="U274" s="7" t="n">
        <v>-0.228</v>
      </c>
      <c r="V274" s="7" t="n">
        <v>-0.202</v>
      </c>
      <c r="W274" s="7" t="n">
        <v>-0.592</v>
      </c>
      <c r="X274" s="7" t="n">
        <v>-0.291</v>
      </c>
      <c r="Y274" s="7" t="n">
        <v>-0.597</v>
      </c>
      <c r="Z274" s="7" t="n">
        <v>-0.238</v>
      </c>
      <c r="AA274" s="7" t="n">
        <v>-0.571</v>
      </c>
      <c r="AB274" s="7" t="n">
        <v>-0.132</v>
      </c>
      <c r="AC274" s="7" t="n">
        <v>-0.144</v>
      </c>
      <c r="AD274" s="7" t="n">
        <v>-0.457</v>
      </c>
      <c r="AE274" s="7" t="n">
        <v>-0.103</v>
      </c>
      <c r="AF274" s="7" t="n">
        <v>-0.52</v>
      </c>
      <c r="AG274" s="7" t="n">
        <v>0.069</v>
      </c>
      <c r="AH274" s="7" t="n">
        <v>-0.17</v>
      </c>
      <c r="AI274" s="7" t="n">
        <v>-0.431</v>
      </c>
      <c r="AJ274" s="7" t="n">
        <v>0.25</v>
      </c>
      <c r="AK274" s="7" t="n">
        <v>-0.307</v>
      </c>
      <c r="AL274" s="7" t="n">
        <v>-0.377</v>
      </c>
      <c r="AM274" s="7" t="n">
        <v>0.498</v>
      </c>
      <c r="AN274" s="7" t="n">
        <v>-0.225</v>
      </c>
      <c r="AO274" s="7" t="n">
        <v>-0.635</v>
      </c>
      <c r="AP274" s="7" t="n">
        <v>-0.525</v>
      </c>
      <c r="AQ274" s="7" t="n">
        <v>0.046</v>
      </c>
      <c r="AR274" s="7" t="n">
        <v>-0.206</v>
      </c>
      <c r="AS274" s="7" t="n">
        <v>-0.422</v>
      </c>
      <c r="AT274" s="7" t="n">
        <v>0.307</v>
      </c>
      <c r="AU274" s="7" t="n">
        <v>0.02</v>
      </c>
      <c r="AV274" s="7" t="n">
        <v>-0.067</v>
      </c>
    </row>
    <row r="275" customFormat="false" ht="15" hidden="false" customHeight="false" outlineLevel="0" collapsed="false">
      <c r="A275" s="19" t="n">
        <v>46592</v>
      </c>
      <c r="B275" s="6" t="n">
        <v>0</v>
      </c>
      <c r="C275" s="6" t="s">
        <v>205</v>
      </c>
      <c r="D275" s="6" t="s">
        <v>206</v>
      </c>
      <c r="E275" s="6" t="s">
        <v>183</v>
      </c>
      <c r="F275" s="6" t="s">
        <v>212</v>
      </c>
      <c r="G275" s="7" t="n">
        <v>-0.242</v>
      </c>
      <c r="H275" s="7" t="n">
        <v>-0.637</v>
      </c>
      <c r="I275" s="7" t="n">
        <v>-0.096</v>
      </c>
      <c r="J275" s="7" t="n">
        <v>-0.227</v>
      </c>
      <c r="K275" s="7" t="n">
        <v>0.008</v>
      </c>
      <c r="L275" s="7" t="n">
        <v>-0.1</v>
      </c>
      <c r="M275" s="7" t="n">
        <v>-0.49</v>
      </c>
      <c r="N275" s="7" t="n">
        <v>-0.548</v>
      </c>
      <c r="O275" s="7" t="n">
        <v>0.233</v>
      </c>
      <c r="P275" s="7" t="n">
        <v>-0.118</v>
      </c>
      <c r="Q275" s="7" t="n">
        <v>-0.317</v>
      </c>
      <c r="R275" s="7" t="n">
        <v>0.136</v>
      </c>
      <c r="S275" s="7" t="n">
        <v>-0.285</v>
      </c>
      <c r="T275" s="7" t="n">
        <v>-0.285</v>
      </c>
      <c r="U275" s="7" t="n">
        <v>-0.082</v>
      </c>
      <c r="V275" s="7" t="n">
        <v>-0.182</v>
      </c>
      <c r="W275" s="7" t="n">
        <v>-0.576</v>
      </c>
      <c r="X275" s="7" t="n">
        <v>-0.011</v>
      </c>
      <c r="Y275" s="7" t="n">
        <v>-0.631</v>
      </c>
      <c r="Z275" s="7" t="n">
        <v>-0.119</v>
      </c>
      <c r="AA275" s="7" t="n">
        <v>-0.536</v>
      </c>
      <c r="AB275" s="7" t="n">
        <v>-0.123</v>
      </c>
      <c r="AC275" s="7" t="n">
        <v>0.094</v>
      </c>
      <c r="AD275" s="7" t="n">
        <v>-0.105</v>
      </c>
      <c r="AE275" s="7" t="n">
        <v>-0.083</v>
      </c>
      <c r="AF275" s="7" t="n">
        <v>-0.519</v>
      </c>
      <c r="AG275" s="7" t="n">
        <v>-0.022</v>
      </c>
      <c r="AH275" s="7" t="n">
        <v>-0.026</v>
      </c>
      <c r="AI275" s="7" t="n">
        <v>-0.152</v>
      </c>
      <c r="AJ275" s="7" t="n">
        <v>0.065</v>
      </c>
      <c r="AK275" s="7" t="n">
        <v>-0.298</v>
      </c>
      <c r="AL275" s="7" t="n">
        <v>-0.202</v>
      </c>
      <c r="AM275" s="7" t="n">
        <v>0.369</v>
      </c>
      <c r="AN275" s="7" t="n">
        <v>-0.21</v>
      </c>
      <c r="AO275" s="7" t="n">
        <v>-0.537</v>
      </c>
      <c r="AP275" s="7" t="n">
        <v>-0.448</v>
      </c>
      <c r="AQ275" s="7" t="n">
        <v>-0.176</v>
      </c>
      <c r="AR275" s="7" t="n">
        <v>-0.191</v>
      </c>
      <c r="AS275" s="7" t="n">
        <v>-0.435</v>
      </c>
      <c r="AT275" s="7" t="n">
        <v>0.193</v>
      </c>
      <c r="AU275" s="7" t="n">
        <v>0.035</v>
      </c>
      <c r="AV275" s="7" t="n">
        <v>-0.067</v>
      </c>
    </row>
    <row r="276" customFormat="false" ht="15" hidden="false" customHeight="false" outlineLevel="0" collapsed="false">
      <c r="A276" s="19" t="n">
        <v>46593</v>
      </c>
      <c r="B276" s="6" t="n">
        <v>0</v>
      </c>
      <c r="C276" s="6" t="s">
        <v>205</v>
      </c>
      <c r="D276" s="6" t="s">
        <v>207</v>
      </c>
      <c r="E276" s="6" t="s">
        <v>183</v>
      </c>
      <c r="F276" s="6" t="s">
        <v>212</v>
      </c>
      <c r="G276" s="7" t="n">
        <v>0.186</v>
      </c>
      <c r="H276" s="7" t="n">
        <v>0.053</v>
      </c>
      <c r="I276" s="7" t="n">
        <v>-0.1</v>
      </c>
      <c r="J276" s="7" t="n">
        <v>0.106</v>
      </c>
      <c r="K276" s="7" t="n">
        <v>0.346</v>
      </c>
      <c r="L276" s="7" t="n">
        <v>-0.103</v>
      </c>
      <c r="M276" s="7" t="n">
        <v>-0.183</v>
      </c>
      <c r="N276" s="7" t="n">
        <v>-0.149</v>
      </c>
      <c r="O276" s="7" t="n">
        <v>0.291</v>
      </c>
      <c r="P276" s="7" t="n">
        <v>0.275</v>
      </c>
      <c r="Q276" s="7" t="n">
        <v>-0.015</v>
      </c>
      <c r="R276" s="7" t="n">
        <v>0.215</v>
      </c>
      <c r="S276" s="7" t="n">
        <v>0.107</v>
      </c>
      <c r="T276" s="7" t="n">
        <v>0.119</v>
      </c>
      <c r="U276" s="7" t="n">
        <v>-0.127</v>
      </c>
      <c r="V276" s="7" t="n">
        <v>-0.187</v>
      </c>
      <c r="W276" s="7" t="n">
        <v>-0.265</v>
      </c>
      <c r="X276" s="7" t="n">
        <v>0.277</v>
      </c>
      <c r="Y276" s="7" t="n">
        <v>-0.276</v>
      </c>
      <c r="Z276" s="7" t="n">
        <v>-0.204</v>
      </c>
      <c r="AA276" s="7" t="n">
        <v>-0.269</v>
      </c>
      <c r="AB276" s="7" t="n">
        <v>-0.123</v>
      </c>
      <c r="AC276" s="7" t="n">
        <v>0.139</v>
      </c>
      <c r="AD276" s="7" t="n">
        <v>-0.117</v>
      </c>
      <c r="AE276" s="7" t="n">
        <v>0.31</v>
      </c>
      <c r="AF276" s="7" t="n">
        <v>-0.212</v>
      </c>
      <c r="AG276" s="7" t="n">
        <v>0.041</v>
      </c>
      <c r="AH276" s="7" t="n">
        <v>0.086</v>
      </c>
      <c r="AI276" s="7" t="n">
        <v>0.183</v>
      </c>
      <c r="AJ276" s="7" t="n">
        <v>0.361</v>
      </c>
      <c r="AK276" s="7" t="n">
        <v>-0.224</v>
      </c>
      <c r="AL276" s="7" t="n">
        <v>-0.202</v>
      </c>
      <c r="AM276" s="7" t="n">
        <v>0.462</v>
      </c>
      <c r="AN276" s="7" t="n">
        <v>-0.212</v>
      </c>
      <c r="AO276" s="7" t="n">
        <v>-0.118</v>
      </c>
      <c r="AP276" s="7" t="n">
        <v>-0.031</v>
      </c>
      <c r="AQ276" s="7" t="n">
        <v>-0.169</v>
      </c>
      <c r="AR276" s="7" t="n">
        <v>-0.204</v>
      </c>
      <c r="AS276" s="7" t="n">
        <v>-0.142</v>
      </c>
      <c r="AT276" s="7" t="n">
        <v>0.459</v>
      </c>
      <c r="AU276" s="7" t="n">
        <v>0.332</v>
      </c>
      <c r="AV276" s="7" t="n">
        <v>-0.056</v>
      </c>
    </row>
    <row r="277" customFormat="false" ht="15" hidden="false" customHeight="false" outlineLevel="0" collapsed="false">
      <c r="A277" s="19" t="n">
        <v>46594</v>
      </c>
      <c r="B277" s="6" t="n">
        <v>1</v>
      </c>
      <c r="C277" s="6" t="s">
        <v>169</v>
      </c>
      <c r="D277" s="6" t="s">
        <v>208</v>
      </c>
      <c r="E277" s="6" t="s">
        <v>183</v>
      </c>
      <c r="F277" s="6" t="s">
        <v>212</v>
      </c>
      <c r="G277" s="7" t="n">
        <v>-0.099</v>
      </c>
      <c r="H277" s="7" t="n">
        <v>-0.403</v>
      </c>
      <c r="I277" s="7" t="n">
        <v>-0.135</v>
      </c>
      <c r="J277" s="7" t="n">
        <v>-0.346</v>
      </c>
      <c r="K277" s="7" t="n">
        <v>0.081</v>
      </c>
      <c r="L277" s="7" t="n">
        <v>-0.107</v>
      </c>
      <c r="M277" s="7" t="n">
        <v>-0.266</v>
      </c>
      <c r="N277" s="7" t="n">
        <v>-0.284</v>
      </c>
      <c r="O277" s="7" t="n">
        <v>-0.074</v>
      </c>
      <c r="P277" s="7" t="n">
        <v>-0.118</v>
      </c>
      <c r="Q277" s="7" t="n">
        <v>-0.344</v>
      </c>
      <c r="R277" s="7" t="n">
        <v>-0.33</v>
      </c>
      <c r="S277" s="7" t="n">
        <v>-0.311</v>
      </c>
      <c r="T277" s="7" t="n">
        <v>-0.303</v>
      </c>
      <c r="U277" s="7" t="n">
        <v>-0.005</v>
      </c>
      <c r="V277" s="7" t="n">
        <v>-0.205</v>
      </c>
      <c r="W277" s="7" t="n">
        <v>-0.258</v>
      </c>
      <c r="X277" s="7" t="n">
        <v>0.026</v>
      </c>
      <c r="Y277" s="7" t="n">
        <v>-0.56</v>
      </c>
      <c r="Z277" s="7" t="n">
        <v>-0.183</v>
      </c>
      <c r="AA277" s="7" t="n">
        <v>-0.216</v>
      </c>
      <c r="AB277" s="7" t="n">
        <v>-0.123</v>
      </c>
      <c r="AC277" s="7" t="n">
        <v>0.041</v>
      </c>
      <c r="AD277" s="7" t="n">
        <v>-0.127</v>
      </c>
      <c r="AE277" s="7" t="n">
        <v>-0.083</v>
      </c>
      <c r="AF277" s="7" t="n">
        <v>-0.406</v>
      </c>
      <c r="AG277" s="7" t="n">
        <v>-0.554</v>
      </c>
      <c r="AH277" s="7" t="n">
        <v>-0.152</v>
      </c>
      <c r="AI277" s="7" t="n">
        <v>0.018</v>
      </c>
      <c r="AJ277" s="7" t="n">
        <v>-0.051</v>
      </c>
      <c r="AK277" s="7" t="n">
        <v>-0.4</v>
      </c>
      <c r="AL277" s="7" t="n">
        <v>0.106</v>
      </c>
      <c r="AM277" s="7" t="n">
        <v>0.164</v>
      </c>
      <c r="AN277" s="7" t="n">
        <v>-0.238</v>
      </c>
      <c r="AO277" s="7" t="n">
        <v>-0.223</v>
      </c>
      <c r="AP277" s="7" t="n">
        <v>-0.351</v>
      </c>
      <c r="AQ277" s="7" t="n">
        <v>-0.025</v>
      </c>
      <c r="AR277" s="7" t="n">
        <v>-0.23</v>
      </c>
      <c r="AS277" s="7" t="n">
        <v>0.01</v>
      </c>
      <c r="AT277" s="7" t="n">
        <v>-0.002</v>
      </c>
      <c r="AU277" s="7" t="n">
        <v>0.035</v>
      </c>
      <c r="AV277" s="7" t="n">
        <v>-0.056</v>
      </c>
    </row>
    <row r="278" customFormat="false" ht="15" hidden="false" customHeight="false" outlineLevel="0" collapsed="false">
      <c r="A278" s="19" t="n">
        <v>46595</v>
      </c>
      <c r="B278" s="6" t="n">
        <v>1</v>
      </c>
      <c r="C278" s="6" t="s">
        <v>169</v>
      </c>
      <c r="D278" s="6" t="s">
        <v>170</v>
      </c>
      <c r="E278" s="6" t="s">
        <v>183</v>
      </c>
      <c r="F278" s="6" t="s">
        <v>212</v>
      </c>
      <c r="G278" s="7" t="n">
        <v>-0.37</v>
      </c>
      <c r="H278" s="7" t="n">
        <v>-0.712</v>
      </c>
      <c r="I278" s="7" t="n">
        <v>-0.09</v>
      </c>
      <c r="J278" s="7" t="n">
        <v>-0.333</v>
      </c>
      <c r="K278" s="7" t="n">
        <v>-0.342</v>
      </c>
      <c r="L278" s="7" t="n">
        <v>-0.111</v>
      </c>
      <c r="M278" s="7" t="n">
        <v>-0.229</v>
      </c>
      <c r="N278" s="7" t="n">
        <v>-0.244</v>
      </c>
      <c r="O278" s="7" t="n">
        <v>-0.086</v>
      </c>
      <c r="P278" s="7" t="n">
        <v>-0.114</v>
      </c>
      <c r="Q278" s="7" t="n">
        <v>-0.679</v>
      </c>
      <c r="R278" s="7" t="n">
        <v>-0.323</v>
      </c>
      <c r="S278" s="7" t="n">
        <v>-0.624</v>
      </c>
      <c r="T278" s="7" t="n">
        <v>-0.641</v>
      </c>
      <c r="U278" s="7" t="n">
        <v>-0.423</v>
      </c>
      <c r="V278" s="7" t="n">
        <v>-0.526</v>
      </c>
      <c r="W278" s="7" t="n">
        <v>-0.179</v>
      </c>
      <c r="X278" s="7" t="n">
        <v>-0.017</v>
      </c>
      <c r="Y278" s="7" t="n">
        <v>-0.288</v>
      </c>
      <c r="Z278" s="7" t="n">
        <v>-0.503</v>
      </c>
      <c r="AA278" s="7" t="n">
        <v>-0.156</v>
      </c>
      <c r="AB278" s="7" t="n">
        <v>-0.156</v>
      </c>
      <c r="AC278" s="7" t="n">
        <v>0.079</v>
      </c>
      <c r="AD278" s="7" t="n">
        <v>-0.118</v>
      </c>
      <c r="AE278" s="7" t="n">
        <v>-0.089</v>
      </c>
      <c r="AF278" s="7" t="n">
        <v>-0.335</v>
      </c>
      <c r="AG278" s="7" t="n">
        <v>-0.536</v>
      </c>
      <c r="AH278" s="7" t="n">
        <v>-0.503</v>
      </c>
      <c r="AI278" s="7" t="n">
        <v>0.047</v>
      </c>
      <c r="AJ278" s="7" t="n">
        <v>-0.405</v>
      </c>
      <c r="AK278" s="7" t="n">
        <v>-0.544</v>
      </c>
      <c r="AL278" s="7" t="n">
        <v>0.087</v>
      </c>
      <c r="AM278" s="7" t="n">
        <v>0.154</v>
      </c>
      <c r="AN278" s="7" t="n">
        <v>-0.554</v>
      </c>
      <c r="AO278" s="7" t="n">
        <v>-0.167</v>
      </c>
      <c r="AP278" s="7" t="n">
        <v>-0.29</v>
      </c>
      <c r="AQ278" s="7" t="n">
        <v>-0.425</v>
      </c>
      <c r="AR278" s="7" t="n">
        <v>-0.208</v>
      </c>
      <c r="AS278" s="7" t="n">
        <v>0.048</v>
      </c>
      <c r="AT278" s="7" t="n">
        <v>-0.019</v>
      </c>
      <c r="AU278" s="7" t="n">
        <v>0.024</v>
      </c>
      <c r="AV278" s="7" t="n">
        <v>-0.396</v>
      </c>
    </row>
    <row r="279" customFormat="false" ht="15" hidden="false" customHeight="false" outlineLevel="0" collapsed="false">
      <c r="A279" s="19" t="n">
        <v>46596</v>
      </c>
      <c r="B279" s="6" t="n">
        <v>1</v>
      </c>
      <c r="C279" s="6" t="s">
        <v>173</v>
      </c>
      <c r="D279" s="6" t="s">
        <v>174</v>
      </c>
      <c r="E279" s="6" t="s">
        <v>183</v>
      </c>
      <c r="F279" s="6" t="s">
        <v>212</v>
      </c>
      <c r="G279" s="7" t="n">
        <v>-0.347</v>
      </c>
      <c r="H279" s="7" t="n">
        <v>-0.34</v>
      </c>
      <c r="I279" s="7" t="n">
        <v>-0.215</v>
      </c>
      <c r="J279" s="7" t="n">
        <v>-0.313</v>
      </c>
      <c r="K279" s="7" t="n">
        <v>-0.033</v>
      </c>
      <c r="L279" s="7" t="n">
        <v>-0.146</v>
      </c>
      <c r="M279" s="7" t="n">
        <v>-0.34</v>
      </c>
      <c r="N279" s="7" t="n">
        <v>-0.593</v>
      </c>
      <c r="O279" s="7" t="n">
        <v>-0.102</v>
      </c>
      <c r="P279" s="7" t="n">
        <v>-0.109</v>
      </c>
      <c r="Q279" s="7" t="n">
        <v>-0.393</v>
      </c>
      <c r="R279" s="7" t="n">
        <v>-0.303</v>
      </c>
      <c r="S279" s="7" t="n">
        <v>-0.28</v>
      </c>
      <c r="T279" s="7" t="n">
        <v>-0.668</v>
      </c>
      <c r="U279" s="7" t="n">
        <v>-0.254</v>
      </c>
      <c r="V279" s="7" t="n">
        <v>-0.252</v>
      </c>
      <c r="W279" s="7" t="n">
        <v>-0.305</v>
      </c>
      <c r="X279" s="7" t="n">
        <v>-0.024</v>
      </c>
      <c r="Y279" s="7" t="n">
        <v>-0.225</v>
      </c>
      <c r="Z279" s="7" t="n">
        <v>-0.528</v>
      </c>
      <c r="AA279" s="7" t="n">
        <v>-0.699</v>
      </c>
      <c r="AB279" s="7" t="n">
        <v>-0.177</v>
      </c>
      <c r="AC279" s="7" t="n">
        <v>-0.129</v>
      </c>
      <c r="AD279" s="7" t="n">
        <v>-0.583</v>
      </c>
      <c r="AE279" s="7" t="n">
        <v>-0.095</v>
      </c>
      <c r="AF279" s="7" t="n">
        <v>-0.218</v>
      </c>
      <c r="AG279" s="7" t="n">
        <v>-0.522</v>
      </c>
      <c r="AH279" s="7" t="n">
        <v>-0.206</v>
      </c>
      <c r="AI279" s="7" t="n">
        <v>-0.228</v>
      </c>
      <c r="AJ279" s="7" t="n">
        <v>-0.056</v>
      </c>
      <c r="AK279" s="7" t="n">
        <v>-0.316</v>
      </c>
      <c r="AL279" s="7" t="n">
        <v>-0.598</v>
      </c>
      <c r="AM279" s="7" t="n">
        <v>-0.187</v>
      </c>
      <c r="AN279" s="7" t="n">
        <v>-0.247</v>
      </c>
      <c r="AO279" s="7" t="n">
        <v>-0.369</v>
      </c>
      <c r="AP279" s="7" t="n">
        <v>-0.248</v>
      </c>
      <c r="AQ279" s="7" t="n">
        <v>-0.566</v>
      </c>
      <c r="AR279" s="7" t="n">
        <v>-0.205</v>
      </c>
      <c r="AS279" s="7" t="n">
        <v>-0.154</v>
      </c>
      <c r="AT279" s="7" t="n">
        <v>-0.402</v>
      </c>
      <c r="AU279" s="7" t="n">
        <v>0.014</v>
      </c>
      <c r="AV279" s="7" t="n">
        <v>-0.089</v>
      </c>
    </row>
    <row r="280" customFormat="false" ht="15" hidden="false" customHeight="false" outlineLevel="0" collapsed="false">
      <c r="A280" s="19" t="n">
        <v>46597</v>
      </c>
      <c r="B280" s="6" t="n">
        <v>1</v>
      </c>
      <c r="C280" s="6" t="s">
        <v>173</v>
      </c>
      <c r="D280" s="6" t="s">
        <v>209</v>
      </c>
      <c r="E280" s="6" t="s">
        <v>183</v>
      </c>
      <c r="F280" s="6" t="s">
        <v>212</v>
      </c>
      <c r="G280" s="7" t="n">
        <v>-0.418</v>
      </c>
      <c r="H280" s="7" t="n">
        <v>-0.46</v>
      </c>
      <c r="I280" s="7" t="n">
        <v>-0.11</v>
      </c>
      <c r="J280" s="7" t="n">
        <v>-0.21</v>
      </c>
      <c r="K280" s="7" t="n">
        <v>-0.245</v>
      </c>
      <c r="L280" s="7" t="n">
        <v>-0.284</v>
      </c>
      <c r="M280" s="7" t="n">
        <v>-0.239</v>
      </c>
      <c r="N280" s="7" t="n">
        <v>-0.519</v>
      </c>
      <c r="O280" s="7" t="n">
        <v>-0.096</v>
      </c>
      <c r="P280" s="7" t="n">
        <v>-0.058</v>
      </c>
      <c r="Q280" s="7" t="n">
        <v>-0.529</v>
      </c>
      <c r="R280" s="7" t="n">
        <v>-0.237</v>
      </c>
      <c r="S280" s="7" t="n">
        <v>-0.449</v>
      </c>
      <c r="T280" s="7" t="n">
        <v>-0.459</v>
      </c>
      <c r="U280" s="7" t="n">
        <v>-0.393</v>
      </c>
      <c r="V280" s="7" t="n">
        <v>-0.39</v>
      </c>
      <c r="W280" s="7" t="n">
        <v>-0.279</v>
      </c>
      <c r="X280" s="7" t="n">
        <v>0.017</v>
      </c>
      <c r="Y280" s="7" t="n">
        <v>-0.226</v>
      </c>
      <c r="Z280" s="7" t="n">
        <v>-0.393</v>
      </c>
      <c r="AA280" s="7" t="n">
        <v>-0.381</v>
      </c>
      <c r="AB280" s="7" t="n">
        <v>-0.333</v>
      </c>
      <c r="AC280" s="7" t="n">
        <v>-0.1</v>
      </c>
      <c r="AD280" s="7" t="n">
        <v>-0.453</v>
      </c>
      <c r="AE280" s="7" t="n">
        <v>-0.054</v>
      </c>
      <c r="AF280" s="7" t="n">
        <v>-0.218</v>
      </c>
      <c r="AG280" s="7" t="n">
        <v>-0.392</v>
      </c>
      <c r="AH280" s="7" t="n">
        <v>-0.355</v>
      </c>
      <c r="AI280" s="7" t="n">
        <v>-0.262</v>
      </c>
      <c r="AJ280" s="7" t="n">
        <v>-0.205</v>
      </c>
      <c r="AK280" s="7" t="n">
        <v>-0.336</v>
      </c>
      <c r="AL280" s="7" t="n">
        <v>-0.19</v>
      </c>
      <c r="AM280" s="7" t="n">
        <v>0.255</v>
      </c>
      <c r="AN280" s="7" t="n">
        <v>-0.388</v>
      </c>
      <c r="AO280" s="7" t="n">
        <v>-0.345</v>
      </c>
      <c r="AP280" s="7" t="n">
        <v>-0.25</v>
      </c>
      <c r="AQ280" s="7" t="n">
        <v>-0.337</v>
      </c>
      <c r="AR280" s="7" t="n">
        <v>-0.186</v>
      </c>
      <c r="AS280" s="7" t="n">
        <v>-0.148</v>
      </c>
      <c r="AT280" s="7" t="n">
        <v>0.029</v>
      </c>
      <c r="AU280" s="7" t="n">
        <v>0.001</v>
      </c>
      <c r="AV280" s="7" t="n">
        <v>-0.252</v>
      </c>
    </row>
    <row r="281" customFormat="false" ht="15" hidden="false" customHeight="false" outlineLevel="0" collapsed="false">
      <c r="A281" s="19" t="n">
        <v>46598</v>
      </c>
      <c r="B281" s="6" t="n">
        <v>1</v>
      </c>
      <c r="C281" s="6" t="s">
        <v>173</v>
      </c>
      <c r="D281" s="6" t="s">
        <v>175</v>
      </c>
      <c r="E281" s="6" t="s">
        <v>183</v>
      </c>
      <c r="F281" s="6" t="s">
        <v>213</v>
      </c>
      <c r="G281" s="7" t="n">
        <v>-0.411</v>
      </c>
      <c r="H281" s="7" t="n">
        <v>-0.271</v>
      </c>
      <c r="I281" s="7" t="n">
        <v>-0.559</v>
      </c>
      <c r="J281" s="7" t="n">
        <v>-0.18</v>
      </c>
      <c r="K281" s="7" t="n">
        <v>0.021</v>
      </c>
      <c r="L281" s="7" t="n">
        <v>-0.617</v>
      </c>
      <c r="M281" s="7" t="n">
        <v>-0.572</v>
      </c>
      <c r="N281" s="7" t="n">
        <v>-0.754</v>
      </c>
      <c r="O281" s="7" t="n">
        <v>-0.063</v>
      </c>
      <c r="P281" s="7" t="n">
        <v>-0.006</v>
      </c>
      <c r="Q281" s="7" t="n">
        <v>-0.351</v>
      </c>
      <c r="R281" s="7" t="n">
        <v>-0.245</v>
      </c>
      <c r="S281" s="7" t="n">
        <v>-0.18</v>
      </c>
      <c r="T281" s="7" t="n">
        <v>-0.553</v>
      </c>
      <c r="U281" s="7" t="n">
        <v>-0.547</v>
      </c>
      <c r="V281" s="7" t="n">
        <v>-0.235</v>
      </c>
      <c r="W281" s="7" t="n">
        <v>-0.548</v>
      </c>
      <c r="X281" s="7" t="n">
        <v>0.058</v>
      </c>
      <c r="Y281" s="7" t="n">
        <v>-0.205</v>
      </c>
      <c r="Z281" s="7" t="n">
        <v>-0.253</v>
      </c>
      <c r="AA281" s="7" t="n">
        <v>-0.622</v>
      </c>
      <c r="AB281" s="7" t="n">
        <v>-0.162</v>
      </c>
      <c r="AC281" s="7" t="n">
        <v>-0.473</v>
      </c>
      <c r="AD281" s="7" t="n">
        <v>-0.434</v>
      </c>
      <c r="AE281" s="7" t="n">
        <v>-0.013</v>
      </c>
      <c r="AF281" s="7" t="n">
        <v>-0.211</v>
      </c>
      <c r="AG281" s="7" t="n">
        <v>-0.372</v>
      </c>
      <c r="AH281" s="7" t="n">
        <v>-0.192</v>
      </c>
      <c r="AI281" s="7" t="n">
        <v>-0.446</v>
      </c>
      <c r="AJ281" s="7" t="n">
        <v>0.001</v>
      </c>
      <c r="AK281" s="7" t="n">
        <v>-0.145</v>
      </c>
      <c r="AL281" s="7" t="n">
        <v>-0.186</v>
      </c>
      <c r="AM281" s="7" t="n">
        <v>0.217</v>
      </c>
      <c r="AN281" s="7" t="n">
        <v>-0.201</v>
      </c>
      <c r="AO281" s="7" t="n">
        <v>-0.617</v>
      </c>
      <c r="AP281" s="7" t="n">
        <v>-0.217</v>
      </c>
      <c r="AQ281" s="7" t="n">
        <v>-0.483</v>
      </c>
      <c r="AR281" s="7" t="n">
        <v>-0.154</v>
      </c>
      <c r="AS281" s="7" t="n">
        <v>-0.456</v>
      </c>
      <c r="AT281" s="7" t="n">
        <v>0.019</v>
      </c>
      <c r="AU281" s="7" t="n">
        <v>-0.011</v>
      </c>
      <c r="AV281" s="7" t="n">
        <v>-0.093</v>
      </c>
    </row>
    <row r="282" customFormat="false" ht="15" hidden="false" customHeight="false" outlineLevel="0" collapsed="false">
      <c r="A282" s="19" t="n">
        <v>46599</v>
      </c>
      <c r="B282" s="6" t="n">
        <v>0</v>
      </c>
      <c r="C282" s="6" t="s">
        <v>176</v>
      </c>
      <c r="D282" s="6" t="s">
        <v>177</v>
      </c>
      <c r="E282" s="6" t="s">
        <v>183</v>
      </c>
      <c r="F282" s="6" t="s">
        <v>213</v>
      </c>
      <c r="G282" s="7" t="n">
        <v>0.181</v>
      </c>
      <c r="H282" s="7" t="n">
        <v>0.114</v>
      </c>
      <c r="I282" s="7" t="n">
        <v>-0.186</v>
      </c>
      <c r="J282" s="7" t="n">
        <v>0.092</v>
      </c>
      <c r="K282" s="7" t="n">
        <v>0.268</v>
      </c>
      <c r="L282" s="7" t="n">
        <v>-0.131</v>
      </c>
      <c r="M282" s="7" t="n">
        <v>0.107</v>
      </c>
      <c r="N282" s="7" t="n">
        <v>-0.484</v>
      </c>
      <c r="O282" s="7" t="n">
        <v>-0.075</v>
      </c>
      <c r="P282" s="7" t="n">
        <v>0.429</v>
      </c>
      <c r="Q282" s="7" t="n">
        <v>-0.278</v>
      </c>
      <c r="R282" s="7" t="n">
        <v>-0.266</v>
      </c>
      <c r="S282" s="7" t="n">
        <v>0.188</v>
      </c>
      <c r="T282" s="7" t="n">
        <v>-0.187</v>
      </c>
      <c r="U282" s="7" t="n">
        <v>-0.07</v>
      </c>
      <c r="V282" s="7" t="n">
        <v>-0.055</v>
      </c>
      <c r="W282" s="7" t="n">
        <v>0.156</v>
      </c>
      <c r="X282" s="7" t="n">
        <v>0.457</v>
      </c>
      <c r="Y282" s="7" t="n">
        <v>-0.103</v>
      </c>
      <c r="Z282" s="7" t="n">
        <v>0.351</v>
      </c>
      <c r="AA282" s="7" t="n">
        <v>0.035</v>
      </c>
      <c r="AB282" s="7" t="n">
        <v>-0.1</v>
      </c>
      <c r="AC282" s="7" t="n">
        <v>-0.103</v>
      </c>
      <c r="AD282" s="7" t="n">
        <v>0.141</v>
      </c>
      <c r="AE282" s="7" t="n">
        <v>0.387</v>
      </c>
      <c r="AF282" s="7" t="n">
        <v>0.223</v>
      </c>
      <c r="AG282" s="7" t="n">
        <v>-0.361</v>
      </c>
      <c r="AH282" s="7" t="n">
        <v>-0.098</v>
      </c>
      <c r="AI282" s="7" t="n">
        <v>0.366</v>
      </c>
      <c r="AJ282" s="7" t="n">
        <v>0.332</v>
      </c>
      <c r="AK282" s="7" t="n">
        <v>0.338</v>
      </c>
      <c r="AL282" s="7" t="n">
        <v>-0.186</v>
      </c>
      <c r="AM282" s="7" t="n">
        <v>0.215</v>
      </c>
      <c r="AN282" s="7" t="n">
        <v>-0.132</v>
      </c>
      <c r="AO282" s="7" t="n">
        <v>-0.321</v>
      </c>
      <c r="AP282" s="7" t="n">
        <v>-0.218</v>
      </c>
      <c r="AQ282" s="7" t="n">
        <v>-0.147</v>
      </c>
      <c r="AR282" s="7" t="n">
        <v>-0.156</v>
      </c>
      <c r="AS282" s="7" t="n">
        <v>0.176</v>
      </c>
      <c r="AT282" s="7" t="n">
        <v>-0.001</v>
      </c>
      <c r="AU282" s="7" t="n">
        <v>-0.032</v>
      </c>
      <c r="AV282" s="7" t="n">
        <v>-0.021</v>
      </c>
    </row>
    <row r="283" customFormat="false" ht="15" hidden="false" customHeight="false" outlineLevel="0" collapsed="false">
      <c r="A283" s="19" t="n">
        <v>46600</v>
      </c>
      <c r="B283" s="6" t="n">
        <v>0</v>
      </c>
      <c r="C283" s="6" t="s">
        <v>176</v>
      </c>
      <c r="D283" s="6" t="s">
        <v>178</v>
      </c>
      <c r="E283" s="6" t="s">
        <v>183</v>
      </c>
      <c r="F283" s="6" t="s">
        <v>213</v>
      </c>
      <c r="G283" s="7" t="n">
        <v>0.11</v>
      </c>
      <c r="H283" s="7" t="n">
        <v>0.108</v>
      </c>
      <c r="I283" s="7" t="n">
        <v>-0.208</v>
      </c>
      <c r="J283" s="7" t="n">
        <v>0.088</v>
      </c>
      <c r="K283" s="7" t="n">
        <v>0.271</v>
      </c>
      <c r="L283" s="7" t="n">
        <v>-0.148</v>
      </c>
      <c r="M283" s="7" t="n">
        <v>-0.242</v>
      </c>
      <c r="N283" s="7" t="n">
        <v>-0.394</v>
      </c>
      <c r="O283" s="7" t="n">
        <v>-0.143</v>
      </c>
      <c r="P283" s="7" t="n">
        <v>0.413</v>
      </c>
      <c r="Q283" s="7" t="n">
        <v>-0.287</v>
      </c>
      <c r="R283" s="7" t="n">
        <v>-0.288</v>
      </c>
      <c r="S283" s="7" t="n">
        <v>0.182</v>
      </c>
      <c r="T283" s="7" t="n">
        <v>-0.062</v>
      </c>
      <c r="U283" s="7" t="n">
        <v>-0.094</v>
      </c>
      <c r="V283" s="7" t="n">
        <v>-0.055</v>
      </c>
      <c r="W283" s="7" t="n">
        <v>-0.227</v>
      </c>
      <c r="X283" s="7" t="n">
        <v>0.448</v>
      </c>
      <c r="Y283" s="7" t="n">
        <v>-0.104</v>
      </c>
      <c r="Z283" s="7" t="n">
        <v>0.064</v>
      </c>
      <c r="AA283" s="7" t="n">
        <v>-0.262</v>
      </c>
      <c r="AB283" s="7" t="n">
        <v>-0.1</v>
      </c>
      <c r="AC283" s="7" t="n">
        <v>-0.127</v>
      </c>
      <c r="AD283" s="7" t="n">
        <v>-0.113</v>
      </c>
      <c r="AE283" s="7" t="n">
        <v>0.378</v>
      </c>
      <c r="AF283" s="7" t="n">
        <v>-0.135</v>
      </c>
      <c r="AG283" s="7" t="n">
        <v>-0.402</v>
      </c>
      <c r="AH283" s="7" t="n">
        <v>-0.098</v>
      </c>
      <c r="AI283" s="7" t="n">
        <v>0.175</v>
      </c>
      <c r="AJ283" s="7" t="n">
        <v>0.326</v>
      </c>
      <c r="AK283" s="7" t="n">
        <v>0.338</v>
      </c>
      <c r="AL283" s="7" t="n">
        <v>-0.186</v>
      </c>
      <c r="AM283" s="7" t="n">
        <v>0.215</v>
      </c>
      <c r="AN283" s="7" t="n">
        <v>-0.123</v>
      </c>
      <c r="AO283" s="7" t="n">
        <v>-0.334</v>
      </c>
      <c r="AP283" s="7" t="n">
        <v>-0.209</v>
      </c>
      <c r="AQ283" s="7" t="n">
        <v>-0.168</v>
      </c>
      <c r="AR283" s="7" t="n">
        <v>-0.147</v>
      </c>
      <c r="AS283" s="7" t="n">
        <v>-0.177</v>
      </c>
      <c r="AT283" s="7" t="n">
        <v>-0.02</v>
      </c>
      <c r="AU283" s="7" t="n">
        <v>-0.051</v>
      </c>
      <c r="AV283" s="7" t="n">
        <v>-0.021</v>
      </c>
    </row>
    <row r="284" customFormat="false" ht="15" hidden="false" customHeight="false" outlineLevel="0" collapsed="false">
      <c r="A284" s="19" t="n">
        <v>46601</v>
      </c>
      <c r="B284" s="6" t="n">
        <v>1</v>
      </c>
      <c r="C284" s="6" t="s">
        <v>180</v>
      </c>
      <c r="D284" s="6" t="s">
        <v>181</v>
      </c>
      <c r="E284" s="6" t="s">
        <v>183</v>
      </c>
      <c r="F284" s="6" t="s">
        <v>213</v>
      </c>
      <c r="G284" s="7" t="n">
        <v>-0.248</v>
      </c>
      <c r="H284" s="7" t="n">
        <v>-0.377</v>
      </c>
      <c r="I284" s="7" t="n">
        <v>-0.208</v>
      </c>
      <c r="J284" s="7" t="n">
        <v>-0.12</v>
      </c>
      <c r="K284" s="7" t="n">
        <v>0.013</v>
      </c>
      <c r="L284" s="7" t="n">
        <v>-0.144</v>
      </c>
      <c r="M284" s="7" t="n">
        <v>-0.578</v>
      </c>
      <c r="N284" s="7" t="n">
        <v>-0.725</v>
      </c>
      <c r="O284" s="7" t="n">
        <v>-0.192</v>
      </c>
      <c r="P284" s="7" t="n">
        <v>0.075</v>
      </c>
      <c r="Q284" s="7" t="n">
        <v>-0.245</v>
      </c>
      <c r="R284" s="7" t="n">
        <v>-0.225</v>
      </c>
      <c r="S284" s="7" t="n">
        <v>-0.101</v>
      </c>
      <c r="T284" s="7" t="n">
        <v>-0.226</v>
      </c>
      <c r="U284" s="7" t="n">
        <v>-0.091</v>
      </c>
      <c r="V284" s="7" t="n">
        <v>-0.064</v>
      </c>
      <c r="W284" s="7" t="n">
        <v>-0.559</v>
      </c>
      <c r="X284" s="7" t="n">
        <v>0.128</v>
      </c>
      <c r="Y284" s="7" t="n">
        <v>-0.487</v>
      </c>
      <c r="Z284" s="7" t="n">
        <v>-0.041</v>
      </c>
      <c r="AA284" s="7" t="n">
        <v>-0.612</v>
      </c>
      <c r="AB284" s="7" t="n">
        <v>-0.1</v>
      </c>
      <c r="AC284" s="7" t="n">
        <v>-0.115</v>
      </c>
      <c r="AD284" s="7" t="n">
        <v>-0.098</v>
      </c>
      <c r="AE284" s="7" t="n">
        <v>0.059</v>
      </c>
      <c r="AF284" s="7" t="n">
        <v>-0.484</v>
      </c>
      <c r="AG284" s="7" t="n">
        <v>-0.369</v>
      </c>
      <c r="AH284" s="7" t="n">
        <v>-0.137</v>
      </c>
      <c r="AI284" s="7" t="n">
        <v>-0.066</v>
      </c>
      <c r="AJ284" s="7" t="n">
        <v>0.057</v>
      </c>
      <c r="AK284" s="7" t="n">
        <v>-0.125</v>
      </c>
      <c r="AL284" s="7" t="n">
        <v>-0.186</v>
      </c>
      <c r="AM284" s="7" t="n">
        <v>0.224</v>
      </c>
      <c r="AN284" s="7" t="n">
        <v>-0.142</v>
      </c>
      <c r="AO284" s="7" t="n">
        <v>-0.608</v>
      </c>
      <c r="AP284" s="7" t="n">
        <v>-0.496</v>
      </c>
      <c r="AQ284" s="7" t="n">
        <v>-0.197</v>
      </c>
      <c r="AR284" s="7" t="n">
        <v>-0.127</v>
      </c>
      <c r="AS284" s="7" t="n">
        <v>-0.471</v>
      </c>
      <c r="AT284" s="7" t="n">
        <v>0.042</v>
      </c>
      <c r="AU284" s="7" t="n">
        <v>0.012</v>
      </c>
      <c r="AV284" s="7" t="n">
        <v>-0.06</v>
      </c>
    </row>
    <row r="285" customFormat="false" ht="15" hidden="false" customHeight="false" outlineLevel="0" collapsed="false">
      <c r="A285" s="19" t="n">
        <v>46602</v>
      </c>
      <c r="B285" s="6" t="n">
        <v>1</v>
      </c>
      <c r="C285" s="6" t="s">
        <v>180</v>
      </c>
      <c r="D285" s="6" t="s">
        <v>182</v>
      </c>
      <c r="E285" s="6" t="s">
        <v>183</v>
      </c>
      <c r="F285" s="6" t="s">
        <v>213</v>
      </c>
      <c r="G285" s="7" t="n">
        <v>0.294</v>
      </c>
      <c r="H285" s="7" t="n">
        <v>0.331</v>
      </c>
      <c r="I285" s="7" t="n">
        <v>-0.209</v>
      </c>
      <c r="J285" s="7" t="n">
        <v>0.464</v>
      </c>
      <c r="K285" s="7" t="n">
        <v>0.525</v>
      </c>
      <c r="L285" s="7" t="n">
        <v>-0.14</v>
      </c>
      <c r="M285" s="7" t="n">
        <v>-0.264</v>
      </c>
      <c r="N285" s="7" t="n">
        <v>-0.585</v>
      </c>
      <c r="O285" s="7" t="n">
        <v>-0.264</v>
      </c>
      <c r="P285" s="7" t="n">
        <v>0.573</v>
      </c>
      <c r="Q285" s="7" t="n">
        <v>0.163</v>
      </c>
      <c r="R285" s="7" t="n">
        <v>-0.214</v>
      </c>
      <c r="S285" s="7" t="n">
        <v>0.412</v>
      </c>
      <c r="T285" s="7" t="n">
        <v>0.206</v>
      </c>
      <c r="U285" s="7" t="n">
        <v>-0.066</v>
      </c>
      <c r="V285" s="7" t="n">
        <v>-0.039</v>
      </c>
      <c r="W285" s="7" t="n">
        <v>-0.256</v>
      </c>
      <c r="X285" s="7" t="n">
        <v>0.612</v>
      </c>
      <c r="Y285" s="7" t="n">
        <v>-0.104</v>
      </c>
      <c r="Z285" s="7" t="n">
        <v>0.06</v>
      </c>
      <c r="AA285" s="7" t="n">
        <v>-0.436</v>
      </c>
      <c r="AB285" s="7" t="n">
        <v>-0.101</v>
      </c>
      <c r="AC285" s="7" t="n">
        <v>-0.116</v>
      </c>
      <c r="AD285" s="7" t="n">
        <v>-0.099</v>
      </c>
      <c r="AE285" s="7" t="n">
        <v>0.56</v>
      </c>
      <c r="AF285" s="7" t="n">
        <v>-0.163</v>
      </c>
      <c r="AG285" s="7" t="n">
        <v>-0.444</v>
      </c>
      <c r="AH285" s="7" t="n">
        <v>-0.104</v>
      </c>
      <c r="AI285" s="7" t="n">
        <v>0.43</v>
      </c>
      <c r="AJ285" s="7" t="n">
        <v>0.531</v>
      </c>
      <c r="AK285" s="7" t="n">
        <v>0.263</v>
      </c>
      <c r="AL285" s="7" t="n">
        <v>-0.187</v>
      </c>
      <c r="AM285" s="7" t="n">
        <v>0.215</v>
      </c>
      <c r="AN285" s="7" t="n">
        <v>-0.144</v>
      </c>
      <c r="AO285" s="7" t="n">
        <v>-0.37</v>
      </c>
      <c r="AP285" s="7" t="n">
        <v>-0.245</v>
      </c>
      <c r="AQ285" s="7" t="n">
        <v>-0.172</v>
      </c>
      <c r="AR285" s="7" t="n">
        <v>-0.163</v>
      </c>
      <c r="AS285" s="7" t="n">
        <v>-0.199</v>
      </c>
      <c r="AT285" s="7" t="n">
        <v>0.408</v>
      </c>
      <c r="AU285" s="7" t="n">
        <v>0.392</v>
      </c>
      <c r="AV285" s="7" t="n">
        <v>-0.026</v>
      </c>
    </row>
    <row r="286" customFormat="false" ht="15" hidden="false" customHeight="false" outlineLevel="0" collapsed="false">
      <c r="A286" s="19" t="n">
        <v>46603</v>
      </c>
      <c r="B286" s="6" t="n">
        <v>1</v>
      </c>
      <c r="C286" s="6" t="s">
        <v>183</v>
      </c>
      <c r="D286" s="6" t="s">
        <v>185</v>
      </c>
      <c r="E286" s="6" t="s">
        <v>183</v>
      </c>
      <c r="F286" s="6" t="s">
        <v>213</v>
      </c>
      <c r="G286" s="7" t="n">
        <v>0.32</v>
      </c>
      <c r="H286" s="7" t="n">
        <v>0.243</v>
      </c>
      <c r="I286" s="7" t="n">
        <v>-0.21</v>
      </c>
      <c r="J286" s="7" t="n">
        <v>-0.02</v>
      </c>
      <c r="K286" s="7" t="n">
        <v>0.564</v>
      </c>
      <c r="L286" s="7" t="n">
        <v>-0.134</v>
      </c>
      <c r="M286" s="7" t="n">
        <v>-0.227</v>
      </c>
      <c r="N286" s="7" t="n">
        <v>-0.17</v>
      </c>
      <c r="O286" s="7" t="n">
        <v>0.003</v>
      </c>
      <c r="P286" s="7" t="n">
        <v>0.183</v>
      </c>
      <c r="Q286" s="7" t="n">
        <v>0.105</v>
      </c>
      <c r="R286" s="7" t="n">
        <v>-0.175</v>
      </c>
      <c r="S286" s="7" t="n">
        <v>0.419</v>
      </c>
      <c r="T286" s="7" t="n">
        <v>0.135</v>
      </c>
      <c r="U286" s="7" t="n">
        <v>-0.031</v>
      </c>
      <c r="V286" s="7" t="n">
        <v>0.222</v>
      </c>
      <c r="W286" s="7" t="n">
        <v>-0.227</v>
      </c>
      <c r="X286" s="7" t="n">
        <v>0.232</v>
      </c>
      <c r="Y286" s="7" t="n">
        <v>-0.095</v>
      </c>
      <c r="Z286" s="7" t="n">
        <v>0.318</v>
      </c>
      <c r="AA286" s="7" t="n">
        <v>-0.236</v>
      </c>
      <c r="AB286" s="7" t="n">
        <v>0.155</v>
      </c>
      <c r="AC286" s="7" t="n">
        <v>-0.116</v>
      </c>
      <c r="AD286" s="7" t="n">
        <v>0.114</v>
      </c>
      <c r="AE286" s="7" t="n">
        <v>0.171</v>
      </c>
      <c r="AF286" s="7" t="n">
        <v>-0.134</v>
      </c>
      <c r="AG286" s="7" t="n">
        <v>-0.267</v>
      </c>
      <c r="AH286" s="7" t="n">
        <v>0.2</v>
      </c>
      <c r="AI286" s="7" t="n">
        <v>0.04</v>
      </c>
      <c r="AJ286" s="7" t="n">
        <v>0.539</v>
      </c>
      <c r="AK286" s="7" t="n">
        <v>0.469</v>
      </c>
      <c r="AL286" s="7" t="n">
        <v>0.006</v>
      </c>
      <c r="AM286" s="7" t="n">
        <v>0.34</v>
      </c>
      <c r="AN286" s="7" t="n">
        <v>-0.02</v>
      </c>
      <c r="AO286" s="7" t="n">
        <v>-0.277</v>
      </c>
      <c r="AP286" s="7" t="n">
        <v>-0.149</v>
      </c>
      <c r="AQ286" s="7" t="n">
        <v>-0.017</v>
      </c>
      <c r="AR286" s="7" t="n">
        <v>-0.103</v>
      </c>
      <c r="AS286" s="7" t="n">
        <v>-0.163</v>
      </c>
      <c r="AT286" s="7" t="n">
        <v>0.181</v>
      </c>
      <c r="AU286" s="7" t="n">
        <v>0.027</v>
      </c>
      <c r="AV286" s="7" t="n">
        <v>0.038</v>
      </c>
    </row>
    <row r="287" customFormat="false" ht="15" hidden="false" customHeight="false" outlineLevel="0" collapsed="false">
      <c r="A287" s="19" t="n">
        <v>46604</v>
      </c>
      <c r="B287" s="6" t="n">
        <v>1</v>
      </c>
      <c r="C287" s="6" t="s">
        <v>183</v>
      </c>
      <c r="D287" s="6" t="s">
        <v>187</v>
      </c>
      <c r="E287" s="6" t="s">
        <v>183</v>
      </c>
      <c r="F287" s="6" t="s">
        <v>213</v>
      </c>
      <c r="G287" s="7" t="n">
        <v>0.054</v>
      </c>
      <c r="H287" s="7" t="n">
        <v>-0.038</v>
      </c>
      <c r="I287" s="7" t="n">
        <v>-0.21</v>
      </c>
      <c r="J287" s="7" t="n">
        <v>-0.009</v>
      </c>
      <c r="K287" s="7" t="n">
        <v>0.293</v>
      </c>
      <c r="L287" s="7" t="n">
        <v>-0.129</v>
      </c>
      <c r="M287" s="7" t="n">
        <v>-0.243</v>
      </c>
      <c r="N287" s="7" t="n">
        <v>-0.219</v>
      </c>
      <c r="O287" s="7" t="n">
        <v>-0.012</v>
      </c>
      <c r="P287" s="7" t="n">
        <v>0.183</v>
      </c>
      <c r="Q287" s="7" t="n">
        <v>-0.159</v>
      </c>
      <c r="R287" s="7" t="n">
        <v>-0.184</v>
      </c>
      <c r="S287" s="7" t="n">
        <v>0.077</v>
      </c>
      <c r="T287" s="7" t="n">
        <v>-0.578</v>
      </c>
      <c r="U287" s="7" t="n">
        <v>-0.085</v>
      </c>
      <c r="V287" s="7" t="n">
        <v>-0.059</v>
      </c>
      <c r="W287" s="7" t="n">
        <v>-0.243</v>
      </c>
      <c r="X287" s="7" t="n">
        <v>0.228</v>
      </c>
      <c r="Y287" s="7" t="n">
        <v>-0.11</v>
      </c>
      <c r="Z287" s="7" t="n">
        <v>-0.195</v>
      </c>
      <c r="AA287" s="7" t="n">
        <v>-0.253</v>
      </c>
      <c r="AB287" s="7" t="n">
        <v>-0.103</v>
      </c>
      <c r="AC287" s="7" t="n">
        <v>-0.117</v>
      </c>
      <c r="AD287" s="7" t="n">
        <v>-0.37</v>
      </c>
      <c r="AE287" s="7" t="n">
        <v>0.171</v>
      </c>
      <c r="AF287" s="7" t="n">
        <v>-0.15</v>
      </c>
      <c r="AG287" s="7" t="n">
        <v>-0.28</v>
      </c>
      <c r="AH287" s="7" t="n">
        <v>-0.099</v>
      </c>
      <c r="AI287" s="7" t="n">
        <v>0.047</v>
      </c>
      <c r="AJ287" s="7" t="n">
        <v>0.225</v>
      </c>
      <c r="AK287" s="7" t="n">
        <v>0.004</v>
      </c>
      <c r="AL287" s="7" t="n">
        <v>-0.51</v>
      </c>
      <c r="AM287" s="7" t="n">
        <v>-0.114</v>
      </c>
      <c r="AN287" s="7" t="n">
        <v>-0.071</v>
      </c>
      <c r="AO287" s="7" t="n">
        <v>-0.287</v>
      </c>
      <c r="AP287" s="7" t="n">
        <v>-0.158</v>
      </c>
      <c r="AQ287" s="7" t="n">
        <v>-0.488</v>
      </c>
      <c r="AR287" s="7" t="n">
        <v>-0.095</v>
      </c>
      <c r="AS287" s="7" t="n">
        <v>-0.179</v>
      </c>
      <c r="AT287" s="7" t="n">
        <v>-0.324</v>
      </c>
      <c r="AU287" s="7" t="n">
        <v>0.028</v>
      </c>
      <c r="AV287" s="7" t="n">
        <v>-0.021</v>
      </c>
    </row>
    <row r="288" customFormat="false" ht="15" hidden="false" customHeight="false" outlineLevel="0" collapsed="false">
      <c r="A288" s="19" t="n">
        <v>46605</v>
      </c>
      <c r="B288" s="6" t="n">
        <v>1</v>
      </c>
      <c r="C288" s="6" t="s">
        <v>186</v>
      </c>
      <c r="D288" s="6" t="s">
        <v>188</v>
      </c>
      <c r="E288" s="6" t="s">
        <v>183</v>
      </c>
      <c r="F288" s="6" t="s">
        <v>213</v>
      </c>
      <c r="G288" s="7" t="n">
        <v>0.138</v>
      </c>
      <c r="H288" s="7" t="n">
        <v>0.143</v>
      </c>
      <c r="I288" s="7" t="n">
        <v>-0.085</v>
      </c>
      <c r="J288" s="7" t="n">
        <v>0.067</v>
      </c>
      <c r="K288" s="7" t="n">
        <v>0.233</v>
      </c>
      <c r="L288" s="7" t="n">
        <v>-0.165</v>
      </c>
      <c r="M288" s="7" t="n">
        <v>-0.116</v>
      </c>
      <c r="N288" s="7" t="n">
        <v>-0.233</v>
      </c>
      <c r="O288" s="7" t="n">
        <v>-0.097</v>
      </c>
      <c r="P288" s="7" t="n">
        <v>0.522</v>
      </c>
      <c r="Q288" s="7" t="n">
        <v>-0.295</v>
      </c>
      <c r="R288" s="7" t="n">
        <v>-0.368</v>
      </c>
      <c r="S288" s="7" t="n">
        <v>0.201</v>
      </c>
      <c r="T288" s="7" t="n">
        <v>-0.105</v>
      </c>
      <c r="U288" s="7" t="n">
        <v>-0.049</v>
      </c>
      <c r="V288" s="7" t="n">
        <v>-0.057</v>
      </c>
      <c r="W288" s="7" t="n">
        <v>-0.208</v>
      </c>
      <c r="X288" s="7" t="n">
        <v>0.467</v>
      </c>
      <c r="Y288" s="7" t="n">
        <v>-0.109</v>
      </c>
      <c r="Z288" s="7" t="n">
        <v>0.006</v>
      </c>
      <c r="AA288" s="7" t="n">
        <v>-0.235</v>
      </c>
      <c r="AB288" s="7" t="n">
        <v>-0.103</v>
      </c>
      <c r="AC288" s="7" t="n">
        <v>-0.083</v>
      </c>
      <c r="AD288" s="7" t="n">
        <v>-0.159</v>
      </c>
      <c r="AE288" s="7" t="n">
        <v>0.415</v>
      </c>
      <c r="AF288" s="7" t="n">
        <v>-0.151</v>
      </c>
      <c r="AG288" s="7" t="n">
        <v>-0.072</v>
      </c>
      <c r="AH288" s="7" t="n">
        <v>-0.098</v>
      </c>
      <c r="AI288" s="7" t="n">
        <v>0.175</v>
      </c>
      <c r="AJ288" s="7" t="n">
        <v>0.378</v>
      </c>
      <c r="AK288" s="7" t="n">
        <v>0.432</v>
      </c>
      <c r="AL288" s="7" t="n">
        <v>-0.188</v>
      </c>
      <c r="AM288" s="7" t="n">
        <v>0.165</v>
      </c>
      <c r="AN288" s="7" t="n">
        <v>-0.067</v>
      </c>
      <c r="AO288" s="7" t="n">
        <v>-0.25</v>
      </c>
      <c r="AP288" s="7" t="n">
        <v>-0.113</v>
      </c>
      <c r="AQ288" s="7" t="n">
        <v>-0.13</v>
      </c>
      <c r="AR288" s="7" t="n">
        <v>-0.092</v>
      </c>
      <c r="AS288" s="7" t="n">
        <v>-0.187</v>
      </c>
      <c r="AT288" s="7" t="n">
        <v>-0.118</v>
      </c>
      <c r="AU288" s="7" t="n">
        <v>-0.153</v>
      </c>
      <c r="AV288" s="7" t="n">
        <v>-0.02</v>
      </c>
    </row>
    <row r="289" customFormat="false" ht="15" hidden="false" customHeight="false" outlineLevel="0" collapsed="false">
      <c r="A289" s="19" t="n">
        <v>46606</v>
      </c>
      <c r="B289" s="6" t="n">
        <v>0</v>
      </c>
      <c r="C289" s="6" t="s">
        <v>186</v>
      </c>
      <c r="D289" s="6" t="s">
        <v>189</v>
      </c>
      <c r="E289" s="6" t="s">
        <v>186</v>
      </c>
      <c r="F289" s="6" t="s">
        <v>213</v>
      </c>
      <c r="G289" s="7" t="n">
        <v>0.239</v>
      </c>
      <c r="H289" s="7" t="n">
        <v>0.039</v>
      </c>
      <c r="I289" s="7" t="n">
        <v>0.085</v>
      </c>
      <c r="J289" s="7" t="n">
        <v>0.132</v>
      </c>
      <c r="K289" s="7" t="n">
        <v>0.262</v>
      </c>
      <c r="L289" s="7" t="n">
        <v>0.017</v>
      </c>
      <c r="M289" s="7" t="n">
        <v>-0.022</v>
      </c>
      <c r="N289" s="7" t="n">
        <v>-0.131</v>
      </c>
      <c r="O289" s="7" t="n">
        <v>-0.118</v>
      </c>
      <c r="P289" s="7" t="n">
        <v>0.53</v>
      </c>
      <c r="Q289" s="7" t="n">
        <v>-0.44</v>
      </c>
      <c r="R289" s="7" t="n">
        <v>-0.237</v>
      </c>
      <c r="S289" s="7" t="n">
        <v>0.206</v>
      </c>
      <c r="T289" s="7" t="n">
        <v>-0.069</v>
      </c>
      <c r="U289" s="7" t="n">
        <v>0.065</v>
      </c>
      <c r="V289" s="7" t="n">
        <v>-0.104</v>
      </c>
      <c r="W289" s="7" t="n">
        <v>0.026</v>
      </c>
      <c r="X289" s="7" t="n">
        <v>0.418</v>
      </c>
      <c r="Y289" s="7" t="n">
        <v>-0.157</v>
      </c>
      <c r="Z289" s="7" t="n">
        <v>-0.036</v>
      </c>
      <c r="AA289" s="7" t="n">
        <v>-0.067</v>
      </c>
      <c r="AB289" s="7" t="n">
        <v>-0.104</v>
      </c>
      <c r="AC289" s="7" t="n">
        <v>0.075</v>
      </c>
      <c r="AD289" s="7" t="n">
        <v>-0.162</v>
      </c>
      <c r="AE289" s="7" t="n">
        <v>0.37</v>
      </c>
      <c r="AF289" s="7" t="n">
        <v>-0.015</v>
      </c>
      <c r="AG289" s="7" t="n">
        <v>-0.36</v>
      </c>
      <c r="AH289" s="7" t="n">
        <v>-0.099</v>
      </c>
      <c r="AI289" s="7" t="n">
        <v>0.303</v>
      </c>
      <c r="AJ289" s="7" t="n">
        <v>0.304</v>
      </c>
      <c r="AK289" s="7" t="n">
        <v>0.432</v>
      </c>
      <c r="AL289" s="7" t="n">
        <v>-0.207</v>
      </c>
      <c r="AM289" s="7" t="n">
        <v>0.184</v>
      </c>
      <c r="AN289" s="7" t="n">
        <v>-0.119</v>
      </c>
      <c r="AO289" s="7" t="n">
        <v>-0.19</v>
      </c>
      <c r="AP289" s="7" t="n">
        <v>-0.208</v>
      </c>
      <c r="AQ289" s="7" t="n">
        <v>-0.042</v>
      </c>
      <c r="AR289" s="7" t="n">
        <v>-0.144</v>
      </c>
      <c r="AS289" s="7" t="n">
        <v>-0.034</v>
      </c>
      <c r="AT289" s="7" t="n">
        <v>-0.195</v>
      </c>
      <c r="AU289" s="7" t="n">
        <v>-0.209</v>
      </c>
      <c r="AV289" s="7" t="n">
        <v>-0.02</v>
      </c>
    </row>
    <row r="290" customFormat="false" ht="15" hidden="false" customHeight="false" outlineLevel="0" collapsed="false">
      <c r="A290" s="19" t="n">
        <v>46607</v>
      </c>
      <c r="B290" s="6" t="n">
        <v>0</v>
      </c>
      <c r="C290" s="6" t="s">
        <v>190</v>
      </c>
      <c r="D290" s="6" t="s">
        <v>191</v>
      </c>
      <c r="E290" s="6" t="s">
        <v>186</v>
      </c>
      <c r="F290" s="6" t="s">
        <v>213</v>
      </c>
      <c r="G290" s="7" t="n">
        <v>0.076</v>
      </c>
      <c r="H290" s="7" t="n">
        <v>-0.024</v>
      </c>
      <c r="I290" s="7" t="n">
        <v>-0.211</v>
      </c>
      <c r="J290" s="7" t="n">
        <v>-0.158</v>
      </c>
      <c r="K290" s="7" t="n">
        <v>0.258</v>
      </c>
      <c r="L290" s="7" t="n">
        <v>-0.356</v>
      </c>
      <c r="M290" s="7" t="n">
        <v>0.103</v>
      </c>
      <c r="N290" s="7" t="n">
        <v>-0.539</v>
      </c>
      <c r="O290" s="7" t="n">
        <v>-0.187</v>
      </c>
      <c r="P290" s="7" t="n">
        <v>0.171</v>
      </c>
      <c r="Q290" s="7" t="n">
        <v>-0.13</v>
      </c>
      <c r="R290" s="7" t="n">
        <v>-0.228</v>
      </c>
      <c r="S290" s="7" t="n">
        <v>0.198</v>
      </c>
      <c r="T290" s="7" t="n">
        <v>-0.043</v>
      </c>
      <c r="U290" s="7" t="n">
        <v>-0.281</v>
      </c>
      <c r="V290" s="7" t="n">
        <v>0.157</v>
      </c>
      <c r="W290" s="7" t="n">
        <v>0.157</v>
      </c>
      <c r="X290" s="7" t="n">
        <v>0.025</v>
      </c>
      <c r="Y290" s="7" t="n">
        <v>-0.18</v>
      </c>
      <c r="Z290" s="7" t="n">
        <v>0.404</v>
      </c>
      <c r="AA290" s="7" t="n">
        <v>0.078</v>
      </c>
      <c r="AB290" s="7" t="n">
        <v>0.157</v>
      </c>
      <c r="AC290" s="7" t="n">
        <v>-0.271</v>
      </c>
      <c r="AD290" s="7" t="n">
        <v>0.114</v>
      </c>
      <c r="AE290" s="7" t="n">
        <v>-0.024</v>
      </c>
      <c r="AF290" s="7" t="n">
        <v>0.234</v>
      </c>
      <c r="AG290" s="7" t="n">
        <v>-0.369</v>
      </c>
      <c r="AH290" s="7" t="n">
        <v>0.161</v>
      </c>
      <c r="AI290" s="7" t="n">
        <v>0.485</v>
      </c>
      <c r="AJ290" s="7" t="n">
        <v>0.346</v>
      </c>
      <c r="AK290" s="7" t="n">
        <v>0.432</v>
      </c>
      <c r="AL290" s="7" t="n">
        <v>-0.341</v>
      </c>
      <c r="AM290" s="7" t="n">
        <v>0.125</v>
      </c>
      <c r="AN290" s="7" t="n">
        <v>-0.189</v>
      </c>
      <c r="AO290" s="7" t="n">
        <v>-0.424</v>
      </c>
      <c r="AP290" s="7" t="n">
        <v>-0.241</v>
      </c>
      <c r="AQ290" s="7" t="n">
        <v>-0.188</v>
      </c>
      <c r="AR290" s="7" t="n">
        <v>-0.213</v>
      </c>
      <c r="AS290" s="7" t="n">
        <v>0.164</v>
      </c>
      <c r="AT290" s="7" t="n">
        <v>-0.153</v>
      </c>
      <c r="AU290" s="7" t="n">
        <v>-0.167</v>
      </c>
      <c r="AV290" s="7" t="n">
        <v>-0.02</v>
      </c>
    </row>
    <row r="291" customFormat="false" ht="15" hidden="false" customHeight="false" outlineLevel="0" collapsed="false">
      <c r="A291" s="19" t="n">
        <v>46608</v>
      </c>
      <c r="B291" s="6" t="n">
        <v>1</v>
      </c>
      <c r="C291" s="6" t="s">
        <v>190</v>
      </c>
      <c r="D291" s="6" t="s">
        <v>192</v>
      </c>
      <c r="E291" s="6" t="s">
        <v>186</v>
      </c>
      <c r="F291" s="6" t="s">
        <v>213</v>
      </c>
      <c r="G291" s="7" t="n">
        <v>0.003</v>
      </c>
      <c r="H291" s="7" t="n">
        <v>-0.007</v>
      </c>
      <c r="I291" s="7" t="n">
        <v>-0.211</v>
      </c>
      <c r="J291" s="7" t="n">
        <v>-0.131</v>
      </c>
      <c r="K291" s="7" t="n">
        <v>0.303</v>
      </c>
      <c r="L291" s="7" t="n">
        <v>-0.354</v>
      </c>
      <c r="M291" s="7" t="n">
        <v>-0.265</v>
      </c>
      <c r="N291" s="7" t="n">
        <v>-0.442</v>
      </c>
      <c r="O291" s="7" t="n">
        <v>-0.263</v>
      </c>
      <c r="P291" s="7" t="n">
        <v>0.208</v>
      </c>
      <c r="Q291" s="7" t="n">
        <v>-0.091</v>
      </c>
      <c r="R291" s="7" t="n">
        <v>-0.285</v>
      </c>
      <c r="S291" s="7" t="n">
        <v>0.239</v>
      </c>
      <c r="T291" s="7" t="n">
        <v>-0.045</v>
      </c>
      <c r="U291" s="7" t="n">
        <v>-0.281</v>
      </c>
      <c r="V291" s="7" t="n">
        <v>0.154</v>
      </c>
      <c r="W291" s="7" t="n">
        <v>-0.266</v>
      </c>
      <c r="X291" s="7" t="n">
        <v>0.058</v>
      </c>
      <c r="Y291" s="7" t="n">
        <v>-0.18</v>
      </c>
      <c r="Z291" s="7" t="n">
        <v>0.059</v>
      </c>
      <c r="AA291" s="7" t="n">
        <v>-0.261</v>
      </c>
      <c r="AB291" s="7" t="n">
        <v>0.154</v>
      </c>
      <c r="AC291" s="7" t="n">
        <v>-0.271</v>
      </c>
      <c r="AD291" s="7" t="n">
        <v>-0.29</v>
      </c>
      <c r="AE291" s="7" t="n">
        <v>0.01</v>
      </c>
      <c r="AF291" s="7" t="n">
        <v>-0.175</v>
      </c>
      <c r="AG291" s="7" t="n">
        <v>-0.42</v>
      </c>
      <c r="AH291" s="7" t="n">
        <v>0.159</v>
      </c>
      <c r="AI291" s="7" t="n">
        <v>-0.102</v>
      </c>
      <c r="AJ291" s="7" t="n">
        <v>0.373</v>
      </c>
      <c r="AK291" s="7" t="n">
        <v>0.432</v>
      </c>
      <c r="AL291" s="7" t="n">
        <v>-0.339</v>
      </c>
      <c r="AM291" s="7" t="n">
        <v>0.139</v>
      </c>
      <c r="AN291" s="7" t="n">
        <v>-0.167</v>
      </c>
      <c r="AO291" s="7" t="n">
        <v>-0.403</v>
      </c>
      <c r="AP291" s="7" t="n">
        <v>-0.232</v>
      </c>
      <c r="AQ291" s="7" t="n">
        <v>-0.188</v>
      </c>
      <c r="AR291" s="7" t="n">
        <v>-0.191</v>
      </c>
      <c r="AS291" s="7" t="n">
        <v>-0.246</v>
      </c>
      <c r="AT291" s="7" t="n">
        <v>-0.12</v>
      </c>
      <c r="AU291" s="7" t="n">
        <v>-0.133</v>
      </c>
      <c r="AV291" s="7" t="n">
        <v>-0.02</v>
      </c>
    </row>
    <row r="292" customFormat="false" ht="15" hidden="false" customHeight="false" outlineLevel="0" collapsed="false">
      <c r="A292" s="19" t="n">
        <v>46609</v>
      </c>
      <c r="B292" s="6" t="n">
        <v>1</v>
      </c>
      <c r="C292" s="6" t="s">
        <v>171</v>
      </c>
      <c r="D292" s="6" t="s">
        <v>193</v>
      </c>
      <c r="E292" s="6" t="s">
        <v>186</v>
      </c>
      <c r="F292" s="6" t="s">
        <v>213</v>
      </c>
      <c r="G292" s="7" t="n">
        <v>-0.323</v>
      </c>
      <c r="H292" s="7" t="n">
        <v>-0.307</v>
      </c>
      <c r="I292" s="7" t="n">
        <v>-0.288</v>
      </c>
      <c r="J292" s="7" t="n">
        <v>-0.159</v>
      </c>
      <c r="K292" s="7" t="n">
        <v>-0.056</v>
      </c>
      <c r="L292" s="7" t="n">
        <v>-0.557</v>
      </c>
      <c r="M292" s="7" t="n">
        <v>-0.594</v>
      </c>
      <c r="N292" s="7" t="n">
        <v>-0.731</v>
      </c>
      <c r="O292" s="7" t="n">
        <v>-0.12</v>
      </c>
      <c r="P292" s="7" t="n">
        <v>0.21</v>
      </c>
      <c r="Q292" s="7" t="n">
        <v>-0.353</v>
      </c>
      <c r="R292" s="7" t="n">
        <v>-0.281</v>
      </c>
      <c r="S292" s="7" t="n">
        <v>-0.137</v>
      </c>
      <c r="T292" s="7" t="n">
        <v>-0.196</v>
      </c>
      <c r="U292" s="7" t="n">
        <v>-0.318</v>
      </c>
      <c r="V292" s="7" t="n">
        <v>-0.101</v>
      </c>
      <c r="W292" s="7" t="n">
        <v>-0.565</v>
      </c>
      <c r="X292" s="7" t="n">
        <v>0.425</v>
      </c>
      <c r="Y292" s="7" t="n">
        <v>-0.485</v>
      </c>
      <c r="Z292" s="7" t="n">
        <v>-0.176</v>
      </c>
      <c r="AA292" s="7" t="n">
        <v>-0.607</v>
      </c>
      <c r="AB292" s="7" t="n">
        <v>-0.101</v>
      </c>
      <c r="AC292" s="7" t="n">
        <v>-0.308</v>
      </c>
      <c r="AD292" s="7" t="n">
        <v>-0.47</v>
      </c>
      <c r="AE292" s="7" t="n">
        <v>-0.01</v>
      </c>
      <c r="AF292" s="7" t="n">
        <v>-0.438</v>
      </c>
      <c r="AG292" s="7" t="n">
        <v>-0.355</v>
      </c>
      <c r="AH292" s="7" t="n">
        <v>-0.096</v>
      </c>
      <c r="AI292" s="7" t="n">
        <v>-0.227</v>
      </c>
      <c r="AJ292" s="7" t="n">
        <v>-0.019</v>
      </c>
      <c r="AK292" s="7" t="n">
        <v>0.008</v>
      </c>
      <c r="AL292" s="7" t="n">
        <v>-0.419</v>
      </c>
      <c r="AM292" s="7" t="n">
        <v>0.145</v>
      </c>
      <c r="AN292" s="7" t="n">
        <v>-0.108</v>
      </c>
      <c r="AO292" s="7" t="n">
        <v>-0.667</v>
      </c>
      <c r="AP292" s="7" t="n">
        <v>-0.514</v>
      </c>
      <c r="AQ292" s="7" t="n">
        <v>-0.31</v>
      </c>
      <c r="AR292" s="7" t="n">
        <v>-0.132</v>
      </c>
      <c r="AS292" s="7" t="n">
        <v>-0.526</v>
      </c>
      <c r="AT292" s="7" t="n">
        <v>-0.152</v>
      </c>
      <c r="AU292" s="7" t="n">
        <v>-0.134</v>
      </c>
      <c r="AV292" s="7" t="n">
        <v>-0.021</v>
      </c>
    </row>
    <row r="293" customFormat="false" ht="15" hidden="false" customHeight="false" outlineLevel="0" collapsed="false">
      <c r="A293" s="19" t="n">
        <v>46610</v>
      </c>
      <c r="B293" s="6" t="n">
        <v>1</v>
      </c>
      <c r="C293" s="6" t="s">
        <v>171</v>
      </c>
      <c r="D293" s="6" t="s">
        <v>194</v>
      </c>
      <c r="E293" s="6" t="s">
        <v>186</v>
      </c>
      <c r="F293" s="6" t="s">
        <v>213</v>
      </c>
      <c r="G293" s="7" t="n">
        <v>0.198</v>
      </c>
      <c r="H293" s="7" t="n">
        <v>0.331</v>
      </c>
      <c r="I293" s="7" t="n">
        <v>-0.355</v>
      </c>
      <c r="J293" s="7" t="n">
        <v>0.479</v>
      </c>
      <c r="K293" s="7" t="n">
        <v>0.509</v>
      </c>
      <c r="L293" s="7" t="n">
        <v>-0.553</v>
      </c>
      <c r="M293" s="7" t="n">
        <v>-0.332</v>
      </c>
      <c r="N293" s="7" t="n">
        <v>-0.51</v>
      </c>
      <c r="O293" s="7" t="n">
        <v>-0.126</v>
      </c>
      <c r="P293" s="7" t="n">
        <v>0.623</v>
      </c>
      <c r="Q293" s="7" t="n">
        <v>0.11</v>
      </c>
      <c r="R293" s="7" t="n">
        <v>-0.252</v>
      </c>
      <c r="S293" s="7" t="n">
        <v>0.379</v>
      </c>
      <c r="T293" s="7" t="n">
        <v>0.19</v>
      </c>
      <c r="U293" s="7" t="n">
        <v>-0.384</v>
      </c>
      <c r="V293" s="7" t="n">
        <v>-0.119</v>
      </c>
      <c r="W293" s="7" t="n">
        <v>-0.316</v>
      </c>
      <c r="X293" s="7" t="n">
        <v>0.565</v>
      </c>
      <c r="Y293" s="7" t="n">
        <v>-0.274</v>
      </c>
      <c r="Z293" s="7" t="n">
        <v>-0.08</v>
      </c>
      <c r="AA293" s="7" t="n">
        <v>-0.359</v>
      </c>
      <c r="AB293" s="7" t="n">
        <v>-0.098</v>
      </c>
      <c r="AC293" s="7" t="n">
        <v>-0.355</v>
      </c>
      <c r="AD293" s="7" t="n">
        <v>-0.495</v>
      </c>
      <c r="AE293" s="7" t="n">
        <v>0.6</v>
      </c>
      <c r="AF293" s="7" t="n">
        <v>-0.14</v>
      </c>
      <c r="AG293" s="7" t="n">
        <v>-0.354</v>
      </c>
      <c r="AH293" s="7" t="n">
        <v>-0.114</v>
      </c>
      <c r="AI293" s="7" t="n">
        <v>0.415</v>
      </c>
      <c r="AJ293" s="7" t="n">
        <v>0.515</v>
      </c>
      <c r="AK293" s="7" t="n">
        <v>0.391</v>
      </c>
      <c r="AL293" s="7" t="n">
        <v>-0.413</v>
      </c>
      <c r="AM293" s="7" t="n">
        <v>0.091</v>
      </c>
      <c r="AN293" s="7" t="n">
        <v>-0.12</v>
      </c>
      <c r="AO293" s="7" t="n">
        <v>-0.378</v>
      </c>
      <c r="AP293" s="7" t="n">
        <v>-0.166</v>
      </c>
      <c r="AQ293" s="7" t="n">
        <v>-0.358</v>
      </c>
      <c r="AR293" s="7" t="n">
        <v>-0.122</v>
      </c>
      <c r="AS293" s="7" t="n">
        <v>-0.252</v>
      </c>
      <c r="AT293" s="7" t="n">
        <v>0.287</v>
      </c>
      <c r="AU293" s="7" t="n">
        <v>0.336</v>
      </c>
      <c r="AV293" s="7" t="n">
        <v>-0.043</v>
      </c>
    </row>
    <row r="294" customFormat="false" ht="15" hidden="false" customHeight="false" outlineLevel="0" collapsed="false">
      <c r="A294" s="19" t="n">
        <v>46611</v>
      </c>
      <c r="B294" s="6" t="n">
        <v>1</v>
      </c>
      <c r="C294" s="6" t="s">
        <v>195</v>
      </c>
      <c r="D294" s="6" t="s">
        <v>196</v>
      </c>
      <c r="E294" s="6" t="s">
        <v>186</v>
      </c>
      <c r="F294" s="6" t="s">
        <v>213</v>
      </c>
      <c r="G294" s="7" t="n">
        <v>0.273</v>
      </c>
      <c r="H294" s="7" t="n">
        <v>-0.241</v>
      </c>
      <c r="I294" s="7" t="n">
        <v>0.179</v>
      </c>
      <c r="J294" s="7" t="n">
        <v>-0.198</v>
      </c>
      <c r="K294" s="7" t="n">
        <v>0.229</v>
      </c>
      <c r="L294" s="7" t="n">
        <v>-0.35</v>
      </c>
      <c r="M294" s="7" t="n">
        <v>-0.265</v>
      </c>
      <c r="N294" s="7" t="n">
        <v>0.054</v>
      </c>
      <c r="O294" s="7" t="n">
        <v>0.056</v>
      </c>
      <c r="P294" s="7" t="n">
        <v>0.165</v>
      </c>
      <c r="Q294" s="7" t="n">
        <v>-0.337</v>
      </c>
      <c r="R294" s="7" t="n">
        <v>-0.27</v>
      </c>
      <c r="S294" s="7" t="n">
        <v>0.14</v>
      </c>
      <c r="T294" s="7" t="n">
        <v>-0.063</v>
      </c>
      <c r="U294" s="7" t="n">
        <v>-0.271</v>
      </c>
      <c r="V294" s="7" t="n">
        <v>-0.091</v>
      </c>
      <c r="W294" s="7" t="n">
        <v>0.158</v>
      </c>
      <c r="X294" s="7" t="n">
        <v>0.551</v>
      </c>
      <c r="Y294" s="7" t="n">
        <v>0.192</v>
      </c>
      <c r="Z294" s="7" t="n">
        <v>-0.188</v>
      </c>
      <c r="AA294" s="7" t="n">
        <v>0.15</v>
      </c>
      <c r="AB294" s="7" t="n">
        <v>-0.095</v>
      </c>
      <c r="AC294" s="7" t="n">
        <v>0.146</v>
      </c>
      <c r="AD294" s="7" t="n">
        <v>0.093</v>
      </c>
      <c r="AE294" s="7" t="n">
        <v>-0.03</v>
      </c>
      <c r="AF294" s="7" t="n">
        <v>0.234</v>
      </c>
      <c r="AG294" s="7" t="n">
        <v>-0.196</v>
      </c>
      <c r="AH294" s="7" t="n">
        <v>-0.112</v>
      </c>
      <c r="AI294" s="7" t="n">
        <v>0.233</v>
      </c>
      <c r="AJ294" s="7" t="n">
        <v>0.258</v>
      </c>
      <c r="AK294" s="7" t="n">
        <v>-0.054</v>
      </c>
      <c r="AL294" s="7" t="n">
        <v>-0.336</v>
      </c>
      <c r="AM294" s="7" t="n">
        <v>0.135</v>
      </c>
      <c r="AN294" s="7" t="n">
        <v>-0.101</v>
      </c>
      <c r="AO294" s="7" t="n">
        <v>0.094</v>
      </c>
      <c r="AP294" s="7" t="n">
        <v>0.205</v>
      </c>
      <c r="AQ294" s="7" t="n">
        <v>-0.259</v>
      </c>
      <c r="AR294" s="7" t="n">
        <v>-0.1</v>
      </c>
      <c r="AS294" s="7" t="n">
        <v>0.205</v>
      </c>
      <c r="AT294" s="7" t="n">
        <v>-0.165</v>
      </c>
      <c r="AU294" s="7" t="n">
        <v>-0.134</v>
      </c>
      <c r="AV294" s="7" t="n">
        <v>-0.045</v>
      </c>
    </row>
    <row r="295" customFormat="false" ht="15" hidden="false" customHeight="false" outlineLevel="0" collapsed="false">
      <c r="A295" s="19" t="n">
        <v>46612</v>
      </c>
      <c r="B295" s="6" t="n">
        <v>1</v>
      </c>
      <c r="C295" s="6" t="s">
        <v>195</v>
      </c>
      <c r="D295" s="6" t="s">
        <v>196</v>
      </c>
      <c r="E295" s="6" t="s">
        <v>186</v>
      </c>
      <c r="F295" s="6" t="s">
        <v>213</v>
      </c>
      <c r="G295" s="7" t="n">
        <v>0.343</v>
      </c>
      <c r="H295" s="7" t="n">
        <v>-0.016</v>
      </c>
      <c r="I295" s="7" t="n">
        <v>0.19</v>
      </c>
      <c r="J295" s="7" t="n">
        <v>-0.253</v>
      </c>
      <c r="K295" s="7" t="n">
        <v>0.369</v>
      </c>
      <c r="L295" s="7" t="n">
        <v>-0.348</v>
      </c>
      <c r="M295" s="7" t="n">
        <v>-0.195</v>
      </c>
      <c r="N295" s="7" t="n">
        <v>0.131</v>
      </c>
      <c r="O295" s="7" t="n">
        <v>0.199</v>
      </c>
      <c r="P295" s="7" t="n">
        <v>0.119</v>
      </c>
      <c r="Q295" s="7" t="n">
        <v>-0.299</v>
      </c>
      <c r="R295" s="7" t="n">
        <v>-0.1</v>
      </c>
      <c r="S295" s="7" t="n">
        <v>0.282</v>
      </c>
      <c r="T295" s="7" t="n">
        <v>0.208</v>
      </c>
      <c r="U295" s="7" t="n">
        <v>-0.219</v>
      </c>
      <c r="V295" s="7" t="n">
        <v>-0.027</v>
      </c>
      <c r="W295" s="7" t="n">
        <v>0.231</v>
      </c>
      <c r="X295" s="7" t="n">
        <v>0.544</v>
      </c>
      <c r="Y295" s="7" t="n">
        <v>0.285</v>
      </c>
      <c r="Z295" s="7" t="n">
        <v>-0.205</v>
      </c>
      <c r="AA295" s="7" t="n">
        <v>0.209</v>
      </c>
      <c r="AB295" s="7" t="n">
        <v>-0.092</v>
      </c>
      <c r="AC295" s="7" t="n">
        <v>0.174</v>
      </c>
      <c r="AD295" s="7" t="n">
        <v>0.072</v>
      </c>
      <c r="AE295" s="7" t="n">
        <v>-0.087</v>
      </c>
      <c r="AF295" s="7" t="n">
        <v>0.3</v>
      </c>
      <c r="AG295" s="7" t="n">
        <v>-0.011</v>
      </c>
      <c r="AH295" s="7" t="n">
        <v>-0.071</v>
      </c>
      <c r="AI295" s="7" t="n">
        <v>0.221</v>
      </c>
      <c r="AJ295" s="7" t="n">
        <v>0.383</v>
      </c>
      <c r="AK295" s="7" t="n">
        <v>-0.064</v>
      </c>
      <c r="AL295" s="7" t="n">
        <v>-0.335</v>
      </c>
      <c r="AM295" s="7" t="n">
        <v>0.212</v>
      </c>
      <c r="AN295" s="7" t="n">
        <v>-0.064</v>
      </c>
      <c r="AO295" s="7" t="n">
        <v>0.169</v>
      </c>
      <c r="AP295" s="7" t="n">
        <v>0.275</v>
      </c>
      <c r="AQ295" s="7" t="n">
        <v>-0.272</v>
      </c>
      <c r="AR295" s="7" t="n">
        <v>-0.101</v>
      </c>
      <c r="AS295" s="7" t="n">
        <v>0.269</v>
      </c>
      <c r="AT295" s="7" t="n">
        <v>-0.039</v>
      </c>
      <c r="AU295" s="7" t="n">
        <v>-0.133</v>
      </c>
      <c r="AV295" s="7" t="n">
        <v>-0.008</v>
      </c>
    </row>
    <row r="296" customFormat="false" ht="15" hidden="false" customHeight="false" outlineLevel="0" collapsed="false">
      <c r="A296" s="19" t="n">
        <v>46613</v>
      </c>
      <c r="B296" s="6" t="n">
        <v>0</v>
      </c>
      <c r="C296" s="6" t="s">
        <v>195</v>
      </c>
      <c r="D296" s="6" t="s">
        <v>197</v>
      </c>
      <c r="E296" s="6" t="s">
        <v>186</v>
      </c>
      <c r="F296" s="6" t="s">
        <v>213</v>
      </c>
      <c r="G296" s="7" t="n">
        <v>-0.299</v>
      </c>
      <c r="H296" s="7" t="n">
        <v>-0.026</v>
      </c>
      <c r="I296" s="7" t="n">
        <v>-0.225</v>
      </c>
      <c r="J296" s="7" t="n">
        <v>-0.336</v>
      </c>
      <c r="K296" s="7" t="n">
        <v>-0.163</v>
      </c>
      <c r="L296" s="7" t="n">
        <v>-0.328</v>
      </c>
      <c r="M296" s="7" t="n">
        <v>-0.098</v>
      </c>
      <c r="N296" s="7" t="n">
        <v>-0.151</v>
      </c>
      <c r="O296" s="7" t="n">
        <v>0.14</v>
      </c>
      <c r="P296" s="7" t="n">
        <v>0.026</v>
      </c>
      <c r="Q296" s="7" t="n">
        <v>-0.344</v>
      </c>
      <c r="R296" s="7" t="n">
        <v>-0.323</v>
      </c>
      <c r="S296" s="7" t="n">
        <v>-0.214</v>
      </c>
      <c r="T296" s="7" t="n">
        <v>-0.138</v>
      </c>
      <c r="U296" s="7" t="n">
        <v>-0.398</v>
      </c>
      <c r="V296" s="7" t="n">
        <v>-0.119</v>
      </c>
      <c r="W296" s="7" t="n">
        <v>-0.104</v>
      </c>
      <c r="X296" s="7" t="n">
        <v>-0.109</v>
      </c>
      <c r="Y296" s="7" t="n">
        <v>-0.146</v>
      </c>
      <c r="Z296" s="7" t="n">
        <v>-0.461</v>
      </c>
      <c r="AA296" s="7" t="n">
        <v>-0.106</v>
      </c>
      <c r="AB296" s="7" t="n">
        <v>0.007</v>
      </c>
      <c r="AC296" s="7" t="n">
        <v>-0.269</v>
      </c>
      <c r="AD296" s="7" t="n">
        <v>-0.393</v>
      </c>
      <c r="AE296" s="7" t="n">
        <v>-0.18</v>
      </c>
      <c r="AF296" s="7" t="n">
        <v>-0.036</v>
      </c>
      <c r="AG296" s="7" t="n">
        <v>-0.042</v>
      </c>
      <c r="AH296" s="7" t="n">
        <v>-0.114</v>
      </c>
      <c r="AI296" s="7" t="n">
        <v>-0.326</v>
      </c>
      <c r="AJ296" s="7" t="n">
        <v>-0.128</v>
      </c>
      <c r="AK296" s="7" t="n">
        <v>-0.11</v>
      </c>
      <c r="AL296" s="7" t="n">
        <v>-0.333</v>
      </c>
      <c r="AM296" s="7" t="n">
        <v>0.228</v>
      </c>
      <c r="AN296" s="7" t="n">
        <v>-0.165</v>
      </c>
      <c r="AO296" s="7" t="n">
        <v>-0.095</v>
      </c>
      <c r="AP296" s="7" t="n">
        <v>0.008</v>
      </c>
      <c r="AQ296" s="7" t="n">
        <v>-0.401</v>
      </c>
      <c r="AR296" s="7" t="n">
        <v>-0.06</v>
      </c>
      <c r="AS296" s="7" t="n">
        <v>-0.036</v>
      </c>
      <c r="AT296" s="7" t="n">
        <v>-0.057</v>
      </c>
      <c r="AU296" s="7" t="n">
        <v>-0.178</v>
      </c>
      <c r="AV296" s="7" t="n">
        <v>-0.149</v>
      </c>
    </row>
    <row r="297" customFormat="false" ht="15" hidden="false" customHeight="false" outlineLevel="0" collapsed="false">
      <c r="A297" s="19" t="n">
        <v>46614</v>
      </c>
      <c r="B297" s="6" t="n">
        <v>0</v>
      </c>
      <c r="C297" s="6" t="s">
        <v>198</v>
      </c>
      <c r="D297" s="6" t="s">
        <v>199</v>
      </c>
      <c r="E297" s="6" t="s">
        <v>186</v>
      </c>
      <c r="F297" s="6" t="s">
        <v>213</v>
      </c>
      <c r="G297" s="7" t="n">
        <v>-0.627</v>
      </c>
      <c r="H297" s="7" t="n">
        <v>-0.464</v>
      </c>
      <c r="I297" s="7" t="n">
        <v>-0.245</v>
      </c>
      <c r="J297" s="7" t="n">
        <v>-0.284</v>
      </c>
      <c r="K297" s="7" t="n">
        <v>-0.421</v>
      </c>
      <c r="L297" s="7" t="n">
        <v>-0.345</v>
      </c>
      <c r="M297" s="7" t="n">
        <v>-0.509</v>
      </c>
      <c r="N297" s="7" t="n">
        <v>-0.644</v>
      </c>
      <c r="O297" s="7" t="n">
        <v>-0.223</v>
      </c>
      <c r="P297" s="7" t="n">
        <v>-0.073</v>
      </c>
      <c r="Q297" s="7" t="n">
        <v>-0.348</v>
      </c>
      <c r="R297" s="7" t="n">
        <v>-0.362</v>
      </c>
      <c r="S297" s="7" t="n">
        <v>-0.31</v>
      </c>
      <c r="T297" s="7" t="n">
        <v>-0.573</v>
      </c>
      <c r="U297" s="7" t="n">
        <v>-0.391</v>
      </c>
      <c r="V297" s="7" t="n">
        <v>-0.187</v>
      </c>
      <c r="W297" s="7" t="n">
        <v>-0.541</v>
      </c>
      <c r="X297" s="7" t="n">
        <v>-0.043</v>
      </c>
      <c r="Y297" s="7" t="n">
        <v>-0.5</v>
      </c>
      <c r="Z297" s="7" t="n">
        <v>-0.591</v>
      </c>
      <c r="AA297" s="7" t="n">
        <v>-0.543</v>
      </c>
      <c r="AB297" s="7" t="n">
        <v>-0.088</v>
      </c>
      <c r="AC297" s="7" t="n">
        <v>-0.288</v>
      </c>
      <c r="AD297" s="7" t="n">
        <v>-0.688</v>
      </c>
      <c r="AE297" s="7" t="n">
        <v>-0.114</v>
      </c>
      <c r="AF297" s="7" t="n">
        <v>-0.465</v>
      </c>
      <c r="AG297" s="7" t="n">
        <v>-0.398</v>
      </c>
      <c r="AH297" s="7" t="n">
        <v>-0.126</v>
      </c>
      <c r="AI297" s="7" t="n">
        <v>-0.28</v>
      </c>
      <c r="AJ297" s="7" t="n">
        <v>-0.224</v>
      </c>
      <c r="AK297" s="7" t="n">
        <v>-0.16</v>
      </c>
      <c r="AL297" s="7" t="n">
        <v>-0.671</v>
      </c>
      <c r="AM297" s="7" t="n">
        <v>-0.364</v>
      </c>
      <c r="AN297" s="7" t="n">
        <v>-0.144</v>
      </c>
      <c r="AO297" s="7" t="n">
        <v>-0.504</v>
      </c>
      <c r="AP297" s="7" t="n">
        <v>-0.39</v>
      </c>
      <c r="AQ297" s="7" t="n">
        <v>-0.665</v>
      </c>
      <c r="AR297" s="7" t="n">
        <v>-0.122</v>
      </c>
      <c r="AS297" s="7" t="n">
        <v>-0.396</v>
      </c>
      <c r="AT297" s="7" t="n">
        <v>-0.55</v>
      </c>
      <c r="AU297" s="7" t="n">
        <v>-0.112</v>
      </c>
      <c r="AV297" s="7" t="n">
        <v>-0.067</v>
      </c>
    </row>
    <row r="298" customFormat="false" ht="15" hidden="false" customHeight="false" outlineLevel="0" collapsed="false">
      <c r="A298" s="19" t="n">
        <v>46615</v>
      </c>
      <c r="B298" s="6" t="n">
        <v>1</v>
      </c>
      <c r="C298" s="6" t="s">
        <v>198</v>
      </c>
      <c r="D298" s="6" t="s">
        <v>200</v>
      </c>
      <c r="E298" s="6" t="s">
        <v>186</v>
      </c>
      <c r="F298" s="6" t="s">
        <v>213</v>
      </c>
      <c r="G298" s="7" t="n">
        <v>-0.523</v>
      </c>
      <c r="H298" s="7" t="n">
        <v>-0.311</v>
      </c>
      <c r="I298" s="7" t="n">
        <v>-0.226</v>
      </c>
      <c r="J298" s="7" t="n">
        <v>-0.253</v>
      </c>
      <c r="K298" s="7" t="n">
        <v>-0.304</v>
      </c>
      <c r="L298" s="7" t="n">
        <v>-0.238</v>
      </c>
      <c r="M298" s="7" t="n">
        <v>-0.574</v>
      </c>
      <c r="N298" s="7" t="n">
        <v>-0.708</v>
      </c>
      <c r="O298" s="7" t="n">
        <v>-0.464</v>
      </c>
      <c r="P298" s="7" t="n">
        <v>-0.019</v>
      </c>
      <c r="Q298" s="7" t="n">
        <v>-0.346</v>
      </c>
      <c r="R298" s="7" t="n">
        <v>-0.314</v>
      </c>
      <c r="S298" s="7" t="n">
        <v>-0.292</v>
      </c>
      <c r="T298" s="7" t="n">
        <v>-0.24</v>
      </c>
      <c r="U298" s="7" t="n">
        <v>-0.291</v>
      </c>
      <c r="V298" s="7" t="n">
        <v>-0.099</v>
      </c>
      <c r="W298" s="7" t="n">
        <v>-0.619</v>
      </c>
      <c r="X298" s="7" t="n">
        <v>-0.007</v>
      </c>
      <c r="Y298" s="7" t="n">
        <v>-0.585</v>
      </c>
      <c r="Z298" s="7" t="n">
        <v>-0.191</v>
      </c>
      <c r="AA298" s="7" t="n">
        <v>-0.579</v>
      </c>
      <c r="AB298" s="7" t="n">
        <v>-0.088</v>
      </c>
      <c r="AC298" s="7" t="n">
        <v>-0.27</v>
      </c>
      <c r="AD298" s="7" t="n">
        <v>-0.282</v>
      </c>
      <c r="AE298" s="7" t="n">
        <v>-0.077</v>
      </c>
      <c r="AF298" s="7" t="n">
        <v>-0.555</v>
      </c>
      <c r="AG298" s="7" t="n">
        <v>-0.587</v>
      </c>
      <c r="AH298" s="7" t="n">
        <v>-0.036</v>
      </c>
      <c r="AI298" s="7" t="n">
        <v>-0.225</v>
      </c>
      <c r="AJ298" s="7" t="n">
        <v>-0.08</v>
      </c>
      <c r="AK298" s="7" t="n">
        <v>-0.076</v>
      </c>
      <c r="AL298" s="7" t="n">
        <v>-0.543</v>
      </c>
      <c r="AM298" s="7" t="n">
        <v>0.03</v>
      </c>
      <c r="AN298" s="7" t="n">
        <v>-0.177</v>
      </c>
      <c r="AO298" s="7" t="n">
        <v>-0.61</v>
      </c>
      <c r="AP298" s="7" t="n">
        <v>-0.511</v>
      </c>
      <c r="AQ298" s="7" t="n">
        <v>-0.21</v>
      </c>
      <c r="AR298" s="7" t="n">
        <v>-0.242</v>
      </c>
      <c r="AS298" s="7" t="n">
        <v>-0.453</v>
      </c>
      <c r="AT298" s="7" t="n">
        <v>-0.177</v>
      </c>
      <c r="AU298" s="7" t="n">
        <v>-0.075</v>
      </c>
      <c r="AV298" s="7" t="n">
        <v>0.024</v>
      </c>
    </row>
    <row r="299" customFormat="false" ht="15" hidden="false" customHeight="false" outlineLevel="0" collapsed="false">
      <c r="A299" s="19" t="n">
        <v>46616</v>
      </c>
      <c r="B299" s="6" t="n">
        <v>1</v>
      </c>
      <c r="C299" s="6" t="s">
        <v>198</v>
      </c>
      <c r="D299" s="6" t="s">
        <v>201</v>
      </c>
      <c r="E299" s="6" t="s">
        <v>186</v>
      </c>
      <c r="F299" s="6" t="s">
        <v>213</v>
      </c>
      <c r="G299" s="7" t="n">
        <v>-0.447</v>
      </c>
      <c r="H299" s="7" t="n">
        <v>-0.267</v>
      </c>
      <c r="I299" s="7" t="n">
        <v>-0.487</v>
      </c>
      <c r="J299" s="7" t="n">
        <v>-0.283</v>
      </c>
      <c r="K299" s="7" t="n">
        <v>-0.159</v>
      </c>
      <c r="L299" s="7" t="n">
        <v>-0.225</v>
      </c>
      <c r="M299" s="7" t="n">
        <v>-0.572</v>
      </c>
      <c r="N299" s="7" t="n">
        <v>-0.605</v>
      </c>
      <c r="O299" s="7" t="n">
        <v>-0.18</v>
      </c>
      <c r="P299" s="7" t="n">
        <v>-0.048</v>
      </c>
      <c r="Q299" s="7" t="n">
        <v>-0.2</v>
      </c>
      <c r="R299" s="7" t="n">
        <v>-0.344</v>
      </c>
      <c r="S299" s="7" t="n">
        <v>-0.214</v>
      </c>
      <c r="T299" s="7" t="n">
        <v>-0.175</v>
      </c>
      <c r="U299" s="7" t="n">
        <v>-0.352</v>
      </c>
      <c r="V299" s="7" t="n">
        <v>-0.004</v>
      </c>
      <c r="W299" s="7" t="n">
        <v>-0.62</v>
      </c>
      <c r="X299" s="7" t="n">
        <v>0.006</v>
      </c>
      <c r="Y299" s="7" t="n">
        <v>-0.552</v>
      </c>
      <c r="Z299" s="7" t="n">
        <v>-0.169</v>
      </c>
      <c r="AA299" s="7" t="n">
        <v>-0.546</v>
      </c>
      <c r="AB299" s="7" t="n">
        <v>-0.085</v>
      </c>
      <c r="AC299" s="7" t="n">
        <v>-0.412</v>
      </c>
      <c r="AD299" s="7" t="n">
        <v>-0.204</v>
      </c>
      <c r="AE299" s="7" t="n">
        <v>-0.126</v>
      </c>
      <c r="AF299" s="7" t="n">
        <v>-0.548</v>
      </c>
      <c r="AG299" s="7" t="n">
        <v>-0.341</v>
      </c>
      <c r="AH299" s="7" t="n">
        <v>-0.068</v>
      </c>
      <c r="AI299" s="7" t="n">
        <v>-0.267</v>
      </c>
      <c r="AJ299" s="7" t="n">
        <v>-0.166</v>
      </c>
      <c r="AK299" s="7" t="n">
        <v>-0.153</v>
      </c>
      <c r="AL299" s="7" t="n">
        <v>-0.514</v>
      </c>
      <c r="AM299" s="7" t="n">
        <v>0.016</v>
      </c>
      <c r="AN299" s="7" t="n">
        <v>-0.027</v>
      </c>
      <c r="AO299" s="7" t="n">
        <v>-0.521</v>
      </c>
      <c r="AP299" s="7" t="n">
        <v>-0.407</v>
      </c>
      <c r="AQ299" s="7" t="n">
        <v>-0.242</v>
      </c>
      <c r="AR299" s="7" t="n">
        <v>-0.059</v>
      </c>
      <c r="AS299" s="7" t="n">
        <v>-0.467</v>
      </c>
      <c r="AT299" s="7" t="n">
        <v>-0.191</v>
      </c>
      <c r="AU299" s="7" t="n">
        <v>-0.075</v>
      </c>
      <c r="AV299" s="7" t="n">
        <v>-0.013</v>
      </c>
    </row>
    <row r="300" customFormat="false" ht="15" hidden="false" customHeight="false" outlineLevel="0" collapsed="false">
      <c r="A300" s="19" t="n">
        <v>46617</v>
      </c>
      <c r="B300" s="6" t="n">
        <v>1</v>
      </c>
      <c r="C300" s="6" t="s">
        <v>202</v>
      </c>
      <c r="D300" s="6" t="s">
        <v>203</v>
      </c>
      <c r="E300" s="6" t="s">
        <v>186</v>
      </c>
      <c r="F300" s="6" t="s">
        <v>213</v>
      </c>
      <c r="G300" s="7" t="n">
        <v>-0.401</v>
      </c>
      <c r="H300" s="7" t="n">
        <v>-0.455</v>
      </c>
      <c r="I300" s="7" t="n">
        <v>-0.27</v>
      </c>
      <c r="J300" s="7" t="n">
        <v>-0.469</v>
      </c>
      <c r="K300" s="7" t="n">
        <v>-0.124</v>
      </c>
      <c r="L300" s="7" t="n">
        <v>-0.307</v>
      </c>
      <c r="M300" s="7" t="n">
        <v>-0.224</v>
      </c>
      <c r="N300" s="7" t="n">
        <v>-0.497</v>
      </c>
      <c r="O300" s="7" t="n">
        <v>-0.044</v>
      </c>
      <c r="P300" s="7" t="n">
        <v>0.03</v>
      </c>
      <c r="Q300" s="7" t="n">
        <v>-0.194</v>
      </c>
      <c r="R300" s="7" t="n">
        <v>-0.359</v>
      </c>
      <c r="S300" s="7" t="n">
        <v>-0.486</v>
      </c>
      <c r="T300" s="7" t="n">
        <v>-0.084</v>
      </c>
      <c r="U300" s="7" t="n">
        <v>-0.172</v>
      </c>
      <c r="V300" s="7" t="n">
        <v>0.023</v>
      </c>
      <c r="W300" s="7" t="n">
        <v>-0.25</v>
      </c>
      <c r="X300" s="7" t="n">
        <v>-0.307</v>
      </c>
      <c r="Y300" s="7" t="n">
        <v>-0.414</v>
      </c>
      <c r="Z300" s="7" t="n">
        <v>0.334</v>
      </c>
      <c r="AA300" s="7" t="n">
        <v>-0.178</v>
      </c>
      <c r="AB300" s="7" t="n">
        <v>-0.081</v>
      </c>
      <c r="AC300" s="7" t="n">
        <v>-0.266</v>
      </c>
      <c r="AD300" s="7" t="n">
        <v>-0.283</v>
      </c>
      <c r="AE300" s="7" t="n">
        <v>-0.241</v>
      </c>
      <c r="AF300" s="7" t="n">
        <v>-0.162</v>
      </c>
      <c r="AG300" s="7" t="n">
        <v>-0.202</v>
      </c>
      <c r="AH300" s="7" t="n">
        <v>-0.084</v>
      </c>
      <c r="AI300" s="7" t="n">
        <v>-0.151</v>
      </c>
      <c r="AJ300" s="7" t="n">
        <v>-0.186</v>
      </c>
      <c r="AK300" s="7" t="n">
        <v>-0.215</v>
      </c>
      <c r="AL300" s="7" t="n">
        <v>-0.581</v>
      </c>
      <c r="AM300" s="7" t="n">
        <v>0.115</v>
      </c>
      <c r="AN300" s="7" t="n">
        <v>0.046</v>
      </c>
      <c r="AO300" s="7" t="n">
        <v>-0.458</v>
      </c>
      <c r="AP300" s="7" t="n">
        <v>-0.341</v>
      </c>
      <c r="AQ300" s="7" t="n">
        <v>-0.217</v>
      </c>
      <c r="AR300" s="7" t="n">
        <v>0.035</v>
      </c>
      <c r="AS300" s="7" t="n">
        <v>-0.17</v>
      </c>
      <c r="AT300" s="7" t="n">
        <v>-0.188</v>
      </c>
      <c r="AU300" s="7" t="n">
        <v>-0.142</v>
      </c>
      <c r="AV300" s="7" t="n">
        <v>-0.034</v>
      </c>
    </row>
    <row r="301" customFormat="false" ht="15" hidden="false" customHeight="false" outlineLevel="0" collapsed="false">
      <c r="A301" s="19" t="n">
        <v>46618</v>
      </c>
      <c r="B301" s="6" t="n">
        <v>1</v>
      </c>
      <c r="C301" s="6" t="s">
        <v>202</v>
      </c>
      <c r="D301" s="6" t="s">
        <v>204</v>
      </c>
      <c r="E301" s="6" t="s">
        <v>186</v>
      </c>
      <c r="F301" s="6" t="s">
        <v>213</v>
      </c>
      <c r="G301" s="7" t="n">
        <v>-0.416</v>
      </c>
      <c r="H301" s="7" t="n">
        <v>-0.441</v>
      </c>
      <c r="I301" s="7" t="n">
        <v>-0.275</v>
      </c>
      <c r="J301" s="7" t="n">
        <v>-0.458</v>
      </c>
      <c r="K301" s="7" t="n">
        <v>0.002</v>
      </c>
      <c r="L301" s="7" t="n">
        <v>-0.305</v>
      </c>
      <c r="M301" s="7" t="n">
        <v>-0.528</v>
      </c>
      <c r="N301" s="7" t="n">
        <v>-0.509</v>
      </c>
      <c r="O301" s="7" t="n">
        <v>0.014</v>
      </c>
      <c r="P301" s="7" t="n">
        <v>0.035</v>
      </c>
      <c r="Q301" s="7" t="n">
        <v>-0.173</v>
      </c>
      <c r="R301" s="7" t="n">
        <v>-0.392</v>
      </c>
      <c r="S301" s="7" t="n">
        <v>-0.423</v>
      </c>
      <c r="T301" s="7" t="n">
        <v>-0.132</v>
      </c>
      <c r="U301" s="7" t="n">
        <v>-0.167</v>
      </c>
      <c r="V301" s="7" t="n">
        <v>0.035</v>
      </c>
      <c r="W301" s="7" t="n">
        <v>-0.566</v>
      </c>
      <c r="X301" s="7" t="n">
        <v>-0.316</v>
      </c>
      <c r="Y301" s="7" t="n">
        <v>-0.445</v>
      </c>
      <c r="Z301" s="7" t="n">
        <v>-0.065</v>
      </c>
      <c r="AA301" s="7" t="n">
        <v>-0.505</v>
      </c>
      <c r="AB301" s="7" t="n">
        <v>-0.077</v>
      </c>
      <c r="AC301" s="7" t="n">
        <v>-0.268</v>
      </c>
      <c r="AD301" s="7" t="n">
        <v>-0.549</v>
      </c>
      <c r="AE301" s="7" t="n">
        <v>-0.232</v>
      </c>
      <c r="AF301" s="7" t="n">
        <v>-0.489</v>
      </c>
      <c r="AG301" s="7" t="n">
        <v>-0.17</v>
      </c>
      <c r="AH301" s="7" t="n">
        <v>-0.072</v>
      </c>
      <c r="AI301" s="7" t="n">
        <v>-0.469</v>
      </c>
      <c r="AJ301" s="7" t="n">
        <v>-0.06</v>
      </c>
      <c r="AK301" s="7" t="n">
        <v>-0.204</v>
      </c>
      <c r="AL301" s="7" t="n">
        <v>-0.58</v>
      </c>
      <c r="AM301" s="7" t="n">
        <v>0.094</v>
      </c>
      <c r="AN301" s="7" t="n">
        <v>0.053</v>
      </c>
      <c r="AO301" s="7" t="n">
        <v>-0.464</v>
      </c>
      <c r="AP301" s="7" t="n">
        <v>-0.345</v>
      </c>
      <c r="AQ301" s="7" t="n">
        <v>-0.22</v>
      </c>
      <c r="AR301" s="7" t="n">
        <v>0.035</v>
      </c>
      <c r="AS301" s="7" t="n">
        <v>-0.465</v>
      </c>
      <c r="AT301" s="7" t="n">
        <v>-0.196</v>
      </c>
      <c r="AU301" s="7" t="n">
        <v>-0.133</v>
      </c>
      <c r="AV301" s="7" t="n">
        <v>-0.026</v>
      </c>
    </row>
    <row r="302" customFormat="false" ht="15" hidden="false" customHeight="false" outlineLevel="0" collapsed="false">
      <c r="A302" s="19" t="n">
        <v>46619</v>
      </c>
      <c r="B302" s="6" t="n">
        <v>1</v>
      </c>
      <c r="C302" s="6" t="s">
        <v>205</v>
      </c>
      <c r="D302" s="6" t="s">
        <v>206</v>
      </c>
      <c r="E302" s="6" t="s">
        <v>186</v>
      </c>
      <c r="F302" s="6" t="s">
        <v>213</v>
      </c>
      <c r="G302" s="7" t="n">
        <v>-0.253</v>
      </c>
      <c r="H302" s="7" t="n">
        <v>-0.265</v>
      </c>
      <c r="I302" s="7" t="n">
        <v>-0.255</v>
      </c>
      <c r="J302" s="7" t="n">
        <v>-0.393</v>
      </c>
      <c r="K302" s="7" t="n">
        <v>-0.029</v>
      </c>
      <c r="L302" s="7" t="n">
        <v>-0.181</v>
      </c>
      <c r="M302" s="7" t="n">
        <v>-0.326</v>
      </c>
      <c r="N302" s="7" t="n">
        <v>-0.304</v>
      </c>
      <c r="O302" s="7" t="n">
        <v>-0.193</v>
      </c>
      <c r="P302" s="7" t="n">
        <v>0.043</v>
      </c>
      <c r="Q302" s="7" t="n">
        <v>-0.238</v>
      </c>
      <c r="R302" s="7" t="n">
        <v>-0.363</v>
      </c>
      <c r="S302" s="7" t="n">
        <v>-0.138</v>
      </c>
      <c r="T302" s="7" t="n">
        <v>-0.154</v>
      </c>
      <c r="U302" s="7" t="n">
        <v>-0.105</v>
      </c>
      <c r="V302" s="7" t="n">
        <v>0.044</v>
      </c>
      <c r="W302" s="7" t="n">
        <v>-0.384</v>
      </c>
      <c r="X302" s="7" t="n">
        <v>-0.11</v>
      </c>
      <c r="Y302" s="7" t="n">
        <v>-0.359</v>
      </c>
      <c r="Z302" s="7" t="n">
        <v>-0.127</v>
      </c>
      <c r="AA302" s="7" t="n">
        <v>-0.3</v>
      </c>
      <c r="AB302" s="7" t="n">
        <v>-0.073</v>
      </c>
      <c r="AC302" s="7" t="n">
        <v>-0.209</v>
      </c>
      <c r="AD302" s="7" t="n">
        <v>-0.204</v>
      </c>
      <c r="AE302" s="7" t="n">
        <v>-0.277</v>
      </c>
      <c r="AF302" s="7" t="n">
        <v>-0.32</v>
      </c>
      <c r="AG302" s="7" t="n">
        <v>-0.236</v>
      </c>
      <c r="AH302" s="7" t="n">
        <v>-0.044</v>
      </c>
      <c r="AI302" s="7" t="n">
        <v>-0.356</v>
      </c>
      <c r="AJ302" s="7" t="n">
        <v>-0.127</v>
      </c>
      <c r="AK302" s="7" t="n">
        <v>-0.177</v>
      </c>
      <c r="AL302" s="7" t="n">
        <v>-0.192</v>
      </c>
      <c r="AM302" s="7" t="n">
        <v>0.049</v>
      </c>
      <c r="AN302" s="7" t="n">
        <v>0.029</v>
      </c>
      <c r="AO302" s="7" t="n">
        <v>-0.307</v>
      </c>
      <c r="AP302" s="7" t="n">
        <v>-0.201</v>
      </c>
      <c r="AQ302" s="7" t="n">
        <v>-0.184</v>
      </c>
      <c r="AR302" s="7" t="n">
        <v>-0.013</v>
      </c>
      <c r="AS302" s="7" t="n">
        <v>-0.274</v>
      </c>
      <c r="AT302" s="7" t="n">
        <v>-0.25</v>
      </c>
      <c r="AU302" s="7" t="n">
        <v>-0.177</v>
      </c>
      <c r="AV302" s="7" t="n">
        <v>-0.003</v>
      </c>
    </row>
    <row r="303" customFormat="false" ht="15" hidden="false" customHeight="false" outlineLevel="0" collapsed="false">
      <c r="A303" s="19" t="n">
        <v>46620</v>
      </c>
      <c r="B303" s="6" t="n">
        <v>0</v>
      </c>
      <c r="C303" s="6" t="s">
        <v>205</v>
      </c>
      <c r="D303" s="6" t="s">
        <v>207</v>
      </c>
      <c r="E303" s="6" t="s">
        <v>186</v>
      </c>
      <c r="F303" s="6" t="s">
        <v>213</v>
      </c>
      <c r="G303" s="7" t="n">
        <v>0.257</v>
      </c>
      <c r="H303" s="7" t="n">
        <v>0.322</v>
      </c>
      <c r="I303" s="7" t="n">
        <v>-0.258</v>
      </c>
      <c r="J303" s="7" t="n">
        <v>0.235</v>
      </c>
      <c r="K303" s="7" t="n">
        <v>0.381</v>
      </c>
      <c r="L303" s="7" t="n">
        <v>-0.135</v>
      </c>
      <c r="M303" s="7" t="n">
        <v>-0.212</v>
      </c>
      <c r="N303" s="7" t="n">
        <v>-0.003</v>
      </c>
      <c r="O303" s="7" t="n">
        <v>0.045</v>
      </c>
      <c r="P303" s="7" t="n">
        <v>0.387</v>
      </c>
      <c r="Q303" s="7" t="n">
        <v>0.195</v>
      </c>
      <c r="R303" s="7" t="n">
        <v>-0.187</v>
      </c>
      <c r="S303" s="7" t="n">
        <v>0.345</v>
      </c>
      <c r="T303" s="7" t="n">
        <v>0.342</v>
      </c>
      <c r="U303" s="7" t="n">
        <v>-0.145</v>
      </c>
      <c r="V303" s="7" t="n">
        <v>0.048</v>
      </c>
      <c r="W303" s="7" t="n">
        <v>-0.278</v>
      </c>
      <c r="X303" s="7" t="n">
        <v>0.415</v>
      </c>
      <c r="Y303" s="7" t="n">
        <v>-0.161</v>
      </c>
      <c r="Z303" s="7" t="n">
        <v>0.036</v>
      </c>
      <c r="AA303" s="7" t="n">
        <v>-0.212</v>
      </c>
      <c r="AB303" s="7" t="n">
        <v>-0.069</v>
      </c>
      <c r="AC303" s="7" t="n">
        <v>-0.049</v>
      </c>
      <c r="AD303" s="7" t="n">
        <v>-0.159</v>
      </c>
      <c r="AE303" s="7" t="n">
        <v>0.351</v>
      </c>
      <c r="AF303" s="7" t="n">
        <v>-0.217</v>
      </c>
      <c r="AG303" s="7" t="n">
        <v>-0.009</v>
      </c>
      <c r="AH303" s="7" t="n">
        <v>0.151</v>
      </c>
      <c r="AI303" s="7" t="n">
        <v>0.214</v>
      </c>
      <c r="AJ303" s="7" t="n">
        <v>0.356</v>
      </c>
      <c r="AK303" s="7" t="n">
        <v>0.161</v>
      </c>
      <c r="AL303" s="7" t="n">
        <v>-0.147</v>
      </c>
      <c r="AM303" s="7" t="n">
        <v>0.258</v>
      </c>
      <c r="AN303" s="7" t="n">
        <v>0.026</v>
      </c>
      <c r="AO303" s="7" t="n">
        <v>0.014</v>
      </c>
      <c r="AP303" s="7" t="n">
        <v>0.12</v>
      </c>
      <c r="AQ303" s="7" t="n">
        <v>-0.181</v>
      </c>
      <c r="AR303" s="7" t="n">
        <v>-0.013</v>
      </c>
      <c r="AS303" s="7" t="n">
        <v>-0.149</v>
      </c>
      <c r="AT303" s="7" t="n">
        <v>0.325</v>
      </c>
      <c r="AU303" s="7" t="n">
        <v>0.258</v>
      </c>
      <c r="AV303" s="7" t="n">
        <v>-0.006</v>
      </c>
    </row>
    <row r="304" customFormat="false" ht="15" hidden="false" customHeight="false" outlineLevel="0" collapsed="false">
      <c r="A304" s="19" t="n">
        <v>46621</v>
      </c>
      <c r="B304" s="6" t="n">
        <v>0</v>
      </c>
      <c r="C304" s="6" t="s">
        <v>169</v>
      </c>
      <c r="D304" s="6" t="s">
        <v>208</v>
      </c>
      <c r="E304" s="6" t="s">
        <v>186</v>
      </c>
      <c r="F304" s="6" t="s">
        <v>213</v>
      </c>
      <c r="G304" s="7" t="n">
        <v>-0.294</v>
      </c>
      <c r="H304" s="7" t="n">
        <v>-0.371</v>
      </c>
      <c r="I304" s="7" t="n">
        <v>-0.24</v>
      </c>
      <c r="J304" s="7" t="n">
        <v>-0.412</v>
      </c>
      <c r="K304" s="7" t="n">
        <v>-0.213</v>
      </c>
      <c r="L304" s="7" t="n">
        <v>-0.168</v>
      </c>
      <c r="M304" s="7" t="n">
        <v>-0.282</v>
      </c>
      <c r="N304" s="7" t="n">
        <v>-0.229</v>
      </c>
      <c r="O304" s="7" t="n">
        <v>-0.119</v>
      </c>
      <c r="P304" s="7" t="n">
        <v>0.009</v>
      </c>
      <c r="Q304" s="7" t="n">
        <v>-0.273</v>
      </c>
      <c r="R304" s="7" t="n">
        <v>-0.357</v>
      </c>
      <c r="S304" s="7" t="n">
        <v>-0.308</v>
      </c>
      <c r="T304" s="7" t="n">
        <v>-0.109</v>
      </c>
      <c r="U304" s="7" t="n">
        <v>-0.125</v>
      </c>
      <c r="V304" s="7" t="n">
        <v>0.035</v>
      </c>
      <c r="W304" s="7" t="n">
        <v>-0.31</v>
      </c>
      <c r="X304" s="7" t="n">
        <v>0.109</v>
      </c>
      <c r="Y304" s="7" t="n">
        <v>-0.416</v>
      </c>
      <c r="Z304" s="7" t="n">
        <v>-0.155</v>
      </c>
      <c r="AA304" s="7" t="n">
        <v>-0.189</v>
      </c>
      <c r="AB304" s="7" t="n">
        <v>-0.069</v>
      </c>
      <c r="AC304" s="7" t="n">
        <v>-0.216</v>
      </c>
      <c r="AD304" s="7" t="n">
        <v>-0.089</v>
      </c>
      <c r="AE304" s="7" t="n">
        <v>-0.304</v>
      </c>
      <c r="AF304" s="7" t="n">
        <v>-0.354</v>
      </c>
      <c r="AG304" s="7" t="n">
        <v>-0.271</v>
      </c>
      <c r="AH304" s="7" t="n">
        <v>-0.064</v>
      </c>
      <c r="AI304" s="7" t="n">
        <v>-0.28</v>
      </c>
      <c r="AJ304" s="7" t="n">
        <v>-0.297</v>
      </c>
      <c r="AK304" s="7" t="n">
        <v>-0.196</v>
      </c>
      <c r="AL304" s="7" t="n">
        <v>0.021</v>
      </c>
      <c r="AM304" s="7" t="n">
        <v>0.081</v>
      </c>
      <c r="AN304" s="7" t="n">
        <v>0.016</v>
      </c>
      <c r="AO304" s="7" t="n">
        <v>-0.086</v>
      </c>
      <c r="AP304" s="7" t="n">
        <v>-0.091</v>
      </c>
      <c r="AQ304" s="7" t="n">
        <v>-0.064</v>
      </c>
      <c r="AR304" s="7" t="n">
        <v>-0.001</v>
      </c>
      <c r="AS304" s="7" t="n">
        <v>-0.06</v>
      </c>
      <c r="AT304" s="7" t="n">
        <v>-0.27</v>
      </c>
      <c r="AU304" s="7" t="n">
        <v>-0.205</v>
      </c>
      <c r="AV304" s="7" t="n">
        <v>-0.027</v>
      </c>
    </row>
    <row r="305" customFormat="false" ht="15" hidden="false" customHeight="false" outlineLevel="0" collapsed="false">
      <c r="A305" s="19" t="n">
        <v>46622</v>
      </c>
      <c r="B305" s="6" t="n">
        <v>1</v>
      </c>
      <c r="C305" s="6" t="s">
        <v>169</v>
      </c>
      <c r="D305" s="6" t="s">
        <v>170</v>
      </c>
      <c r="E305" s="6" t="s">
        <v>186</v>
      </c>
      <c r="F305" s="6" t="s">
        <v>213</v>
      </c>
      <c r="G305" s="7" t="n">
        <v>-0.322</v>
      </c>
      <c r="H305" s="7" t="n">
        <v>-0.355</v>
      </c>
      <c r="I305" s="7" t="n">
        <v>-0.36</v>
      </c>
      <c r="J305" s="7" t="n">
        <v>-0.349</v>
      </c>
      <c r="K305" s="7" t="n">
        <v>-0.068</v>
      </c>
      <c r="L305" s="7" t="n">
        <v>-0.465</v>
      </c>
      <c r="M305" s="7" t="n">
        <v>-0.384</v>
      </c>
      <c r="N305" s="7" t="n">
        <v>-0.328</v>
      </c>
      <c r="O305" s="7" t="n">
        <v>-0.077</v>
      </c>
      <c r="P305" s="7" t="n">
        <v>0.038</v>
      </c>
      <c r="Q305" s="7" t="n">
        <v>-0.27</v>
      </c>
      <c r="R305" s="7" t="n">
        <v>-0.343</v>
      </c>
      <c r="S305" s="7" t="n">
        <v>-0.176</v>
      </c>
      <c r="T305" s="7" t="n">
        <v>-0.183</v>
      </c>
      <c r="U305" s="7" t="n">
        <v>-0.303</v>
      </c>
      <c r="V305" s="7" t="n">
        <v>-0.048</v>
      </c>
      <c r="W305" s="7" t="n">
        <v>-0.418</v>
      </c>
      <c r="X305" s="7" t="n">
        <v>-0.061</v>
      </c>
      <c r="Y305" s="7" t="n">
        <v>-0.168</v>
      </c>
      <c r="Z305" s="7" t="n">
        <v>-0.005</v>
      </c>
      <c r="AA305" s="7" t="n">
        <v>-0.293</v>
      </c>
      <c r="AB305" s="7" t="n">
        <v>-0.117</v>
      </c>
      <c r="AC305" s="7" t="n">
        <v>-0.356</v>
      </c>
      <c r="AD305" s="7" t="n">
        <v>-0.303</v>
      </c>
      <c r="AE305" s="7" t="n">
        <v>-0.222</v>
      </c>
      <c r="AF305" s="7" t="n">
        <v>-0.346</v>
      </c>
      <c r="AG305" s="7" t="n">
        <v>-0.233</v>
      </c>
      <c r="AH305" s="7" t="n">
        <v>-0.156</v>
      </c>
      <c r="AI305" s="7" t="n">
        <v>-0.309</v>
      </c>
      <c r="AJ305" s="7" t="n">
        <v>-0.165</v>
      </c>
      <c r="AK305" s="7" t="n">
        <v>-0.102</v>
      </c>
      <c r="AL305" s="7" t="n">
        <v>-0.302</v>
      </c>
      <c r="AM305" s="7" t="n">
        <v>0.116</v>
      </c>
      <c r="AN305" s="7" t="n">
        <v>-0.023</v>
      </c>
      <c r="AO305" s="7" t="n">
        <v>-0.202</v>
      </c>
      <c r="AP305" s="7" t="n">
        <v>-0.086</v>
      </c>
      <c r="AQ305" s="7" t="n">
        <v>-0.232</v>
      </c>
      <c r="AR305" s="7" t="n">
        <v>0.004</v>
      </c>
      <c r="AS305" s="7" t="n">
        <v>-0.182</v>
      </c>
      <c r="AT305" s="7" t="n">
        <v>-0.159</v>
      </c>
      <c r="AU305" s="7" t="n">
        <v>-0.123</v>
      </c>
      <c r="AV305" s="7" t="n">
        <v>-0.072</v>
      </c>
    </row>
    <row r="306" customFormat="false" ht="15" hidden="false" customHeight="false" outlineLevel="0" collapsed="false">
      <c r="A306" s="19" t="n">
        <v>46623</v>
      </c>
      <c r="B306" s="6" t="n">
        <v>1</v>
      </c>
      <c r="C306" s="6" t="s">
        <v>169</v>
      </c>
      <c r="D306" s="6" t="s">
        <v>170</v>
      </c>
      <c r="E306" s="6" t="s">
        <v>186</v>
      </c>
      <c r="F306" s="6" t="s">
        <v>213</v>
      </c>
      <c r="G306" s="7" t="n">
        <v>-0.05</v>
      </c>
      <c r="H306" s="7" t="n">
        <v>-0.051</v>
      </c>
      <c r="I306" s="7" t="n">
        <v>-0.197</v>
      </c>
      <c r="J306" s="7" t="n">
        <v>-0.341</v>
      </c>
      <c r="K306" s="7" t="n">
        <v>0.194</v>
      </c>
      <c r="L306" s="7" t="n">
        <v>-0.296</v>
      </c>
      <c r="M306" s="7" t="n">
        <v>-0.262</v>
      </c>
      <c r="N306" s="7" t="n">
        <v>-0.246</v>
      </c>
      <c r="O306" s="7" t="n">
        <v>-0.129</v>
      </c>
      <c r="P306" s="7" t="n">
        <v>0.043</v>
      </c>
      <c r="Q306" s="7" t="n">
        <v>0.163</v>
      </c>
      <c r="R306" s="7" t="n">
        <v>-0.361</v>
      </c>
      <c r="S306" s="7" t="n">
        <v>0.102</v>
      </c>
      <c r="T306" s="7" t="n">
        <v>0.065</v>
      </c>
      <c r="U306" s="7" t="n">
        <v>0.087</v>
      </c>
      <c r="V306" s="7" t="n">
        <v>0.305</v>
      </c>
      <c r="W306" s="7" t="n">
        <v>-0.301</v>
      </c>
      <c r="X306" s="7" t="n">
        <v>-0.058</v>
      </c>
      <c r="Y306" s="7" t="n">
        <v>-0.189</v>
      </c>
      <c r="Z306" s="7" t="n">
        <v>0.265</v>
      </c>
      <c r="AA306" s="7" t="n">
        <v>-0.191</v>
      </c>
      <c r="AB306" s="7" t="n">
        <v>0.04</v>
      </c>
      <c r="AC306" s="7" t="n">
        <v>-0.211</v>
      </c>
      <c r="AD306" s="7" t="n">
        <v>-0.319</v>
      </c>
      <c r="AE306" s="7" t="n">
        <v>-0.214</v>
      </c>
      <c r="AF306" s="7" t="n">
        <v>-0.36</v>
      </c>
      <c r="AG306" s="7" t="n">
        <v>-0.28</v>
      </c>
      <c r="AH306" s="7" t="n">
        <v>0.257</v>
      </c>
      <c r="AI306" s="7" t="n">
        <v>-0.165</v>
      </c>
      <c r="AJ306" s="7" t="n">
        <v>0.113</v>
      </c>
      <c r="AK306" s="7" t="n">
        <v>0.262</v>
      </c>
      <c r="AL306" s="7" t="n">
        <v>-0.173</v>
      </c>
      <c r="AM306" s="7" t="n">
        <v>0.065</v>
      </c>
      <c r="AN306" s="7" t="n">
        <v>0.249</v>
      </c>
      <c r="AO306" s="7" t="n">
        <v>-0.087</v>
      </c>
      <c r="AP306" s="7" t="n">
        <v>-0.106</v>
      </c>
      <c r="AQ306" s="7" t="n">
        <v>0.148</v>
      </c>
      <c r="AR306" s="7" t="n">
        <v>-0.013</v>
      </c>
      <c r="AS306" s="7" t="n">
        <v>-0.045</v>
      </c>
      <c r="AT306" s="7" t="n">
        <v>-0.179</v>
      </c>
      <c r="AU306" s="7" t="n">
        <v>-0.114</v>
      </c>
      <c r="AV306" s="7" t="n">
        <v>0.217</v>
      </c>
    </row>
    <row r="307" customFormat="false" ht="15" hidden="false" customHeight="false" outlineLevel="0" collapsed="false">
      <c r="A307" s="19" t="n">
        <v>46624</v>
      </c>
      <c r="B307" s="6" t="n">
        <v>1</v>
      </c>
      <c r="C307" s="6" t="s">
        <v>173</v>
      </c>
      <c r="D307" s="6" t="s">
        <v>174</v>
      </c>
      <c r="E307" s="6" t="s">
        <v>186</v>
      </c>
      <c r="F307" s="6" t="s">
        <v>213</v>
      </c>
      <c r="G307" s="7" t="n">
        <v>-0.456</v>
      </c>
      <c r="H307" s="7" t="n">
        <v>-0.35</v>
      </c>
      <c r="I307" s="7" t="n">
        <v>-0.287</v>
      </c>
      <c r="J307" s="7" t="n">
        <v>-0.389</v>
      </c>
      <c r="K307" s="7" t="n">
        <v>-0.209</v>
      </c>
      <c r="L307" s="7" t="n">
        <v>-0.217</v>
      </c>
      <c r="M307" s="7" t="n">
        <v>-0.425</v>
      </c>
      <c r="N307" s="7" t="n">
        <v>-0.451</v>
      </c>
      <c r="O307" s="7" t="n">
        <v>-0.154</v>
      </c>
      <c r="P307" s="7" t="n">
        <v>0.011</v>
      </c>
      <c r="Q307" s="7" t="n">
        <v>-0.316</v>
      </c>
      <c r="R307" s="7" t="n">
        <v>-0.404</v>
      </c>
      <c r="S307" s="7" t="n">
        <v>-0.276</v>
      </c>
      <c r="T307" s="7" t="n">
        <v>-0.512</v>
      </c>
      <c r="U307" s="7" t="n">
        <v>-0.413</v>
      </c>
      <c r="V307" s="7" t="n">
        <v>-0.099</v>
      </c>
      <c r="W307" s="7" t="n">
        <v>-0.446</v>
      </c>
      <c r="X307" s="7" t="n">
        <v>-0.064</v>
      </c>
      <c r="Y307" s="7" t="n">
        <v>-0.13</v>
      </c>
      <c r="Z307" s="7" t="n">
        <v>-0.392</v>
      </c>
      <c r="AA307" s="7" t="n">
        <v>-0.584</v>
      </c>
      <c r="AB307" s="7" t="n">
        <v>-0.213</v>
      </c>
      <c r="AC307" s="7" t="n">
        <v>-0.314</v>
      </c>
      <c r="AD307" s="7" t="n">
        <v>-0.516</v>
      </c>
      <c r="AE307" s="7" t="n">
        <v>-0.188</v>
      </c>
      <c r="AF307" s="7" t="n">
        <v>-0.348</v>
      </c>
      <c r="AG307" s="7" t="n">
        <v>-0.375</v>
      </c>
      <c r="AH307" s="7" t="n">
        <v>-0.197</v>
      </c>
      <c r="AI307" s="7" t="n">
        <v>-0.279</v>
      </c>
      <c r="AJ307" s="7" t="n">
        <v>-0.265</v>
      </c>
      <c r="AK307" s="7" t="n">
        <v>-0.189</v>
      </c>
      <c r="AL307" s="7" t="n">
        <v>-0.461</v>
      </c>
      <c r="AM307" s="7" t="n">
        <v>-0.172</v>
      </c>
      <c r="AN307" s="7" t="n">
        <v>-0.207</v>
      </c>
      <c r="AO307" s="7" t="n">
        <v>-0.241</v>
      </c>
      <c r="AP307" s="7" t="n">
        <v>-0.093</v>
      </c>
      <c r="AQ307" s="7" t="n">
        <v>-0.562</v>
      </c>
      <c r="AR307" s="7" t="n">
        <v>-0.039</v>
      </c>
      <c r="AS307" s="7" t="n">
        <v>-0.174</v>
      </c>
      <c r="AT307" s="7" t="n">
        <v>-0.365</v>
      </c>
      <c r="AU307" s="7" t="n">
        <v>-0.088</v>
      </c>
      <c r="AV307" s="7" t="n">
        <v>-0.217</v>
      </c>
    </row>
    <row r="308" customFormat="false" ht="15" hidden="false" customHeight="false" outlineLevel="0" collapsed="false">
      <c r="A308" s="19" t="n">
        <v>46625</v>
      </c>
      <c r="B308" s="6" t="n">
        <v>1</v>
      </c>
      <c r="C308" s="6" t="s">
        <v>173</v>
      </c>
      <c r="D308" s="6" t="s">
        <v>175</v>
      </c>
      <c r="E308" s="6" t="s">
        <v>186</v>
      </c>
      <c r="F308" s="6" t="s">
        <v>213</v>
      </c>
      <c r="G308" s="7" t="n">
        <v>-0.577</v>
      </c>
      <c r="H308" s="7" t="n">
        <v>-0.424</v>
      </c>
      <c r="I308" s="7" t="n">
        <v>-0.513</v>
      </c>
      <c r="J308" s="7" t="n">
        <v>-0.388</v>
      </c>
      <c r="K308" s="7" t="n">
        <v>-0.258</v>
      </c>
      <c r="L308" s="7" t="n">
        <v>-0.53</v>
      </c>
      <c r="M308" s="7" t="n">
        <v>-0.562</v>
      </c>
      <c r="N308" s="7" t="n">
        <v>-0.605</v>
      </c>
      <c r="O308" s="7" t="n">
        <v>-0.152</v>
      </c>
      <c r="P308" s="7" t="n">
        <v>0.002</v>
      </c>
      <c r="Q308" s="7" t="n">
        <v>-0.41</v>
      </c>
      <c r="R308" s="7" t="n">
        <v>-0.402</v>
      </c>
      <c r="S308" s="7" t="n">
        <v>-0.311</v>
      </c>
      <c r="T308" s="7" t="n">
        <v>-0.521</v>
      </c>
      <c r="U308" s="7" t="n">
        <v>-0.578</v>
      </c>
      <c r="V308" s="7" t="n">
        <v>-0.227</v>
      </c>
      <c r="W308" s="7" t="n">
        <v>-0.608</v>
      </c>
      <c r="X308" s="7" t="n">
        <v>-0.091</v>
      </c>
      <c r="Y308" s="7" t="n">
        <v>-0.151</v>
      </c>
      <c r="Z308" s="7" t="n">
        <v>-0.167</v>
      </c>
      <c r="AA308" s="7" t="n">
        <v>-0.573</v>
      </c>
      <c r="AB308" s="7" t="n">
        <v>-0.31</v>
      </c>
      <c r="AC308" s="7" t="n">
        <v>-0.526</v>
      </c>
      <c r="AD308" s="7" t="n">
        <v>-0.266</v>
      </c>
      <c r="AE308" s="7" t="n">
        <v>-0.183</v>
      </c>
      <c r="AF308" s="7" t="n">
        <v>-0.359</v>
      </c>
      <c r="AG308" s="7" t="n">
        <v>-0.377</v>
      </c>
      <c r="AH308" s="7" t="n">
        <v>-0.308</v>
      </c>
      <c r="AI308" s="7" t="n">
        <v>-0.473</v>
      </c>
      <c r="AJ308" s="7" t="n">
        <v>-0.27</v>
      </c>
      <c r="AK308" s="7" t="n">
        <v>-0.23</v>
      </c>
      <c r="AL308" s="7" t="n">
        <v>-0.184</v>
      </c>
      <c r="AM308" s="7" t="n">
        <v>0.109</v>
      </c>
      <c r="AN308" s="7" t="n">
        <v>-0.185</v>
      </c>
      <c r="AO308" s="7" t="n">
        <v>-0.469</v>
      </c>
      <c r="AP308" s="7" t="n">
        <v>-0.128</v>
      </c>
      <c r="AQ308" s="7" t="n">
        <v>-0.505</v>
      </c>
      <c r="AR308" s="7" t="n">
        <v>-0.039</v>
      </c>
      <c r="AS308" s="7" t="n">
        <v>-0.413</v>
      </c>
      <c r="AT308" s="7" t="n">
        <v>-0.125</v>
      </c>
      <c r="AU308" s="7" t="n">
        <v>-0.085</v>
      </c>
      <c r="AV308" s="7" t="n">
        <v>-0.192</v>
      </c>
    </row>
    <row r="309" customFormat="false" ht="15" hidden="false" customHeight="false" outlineLevel="0" collapsed="false">
      <c r="A309" s="19" t="n">
        <v>46626</v>
      </c>
      <c r="B309" s="6" t="n">
        <v>1</v>
      </c>
      <c r="C309" s="6" t="s">
        <v>176</v>
      </c>
      <c r="D309" s="6" t="s">
        <v>177</v>
      </c>
      <c r="E309" s="6" t="s">
        <v>186</v>
      </c>
      <c r="F309" s="6" t="s">
        <v>213</v>
      </c>
      <c r="G309" s="7" t="n">
        <v>-0.216</v>
      </c>
      <c r="H309" s="7" t="n">
        <v>-0.354</v>
      </c>
      <c r="I309" s="7" t="n">
        <v>-0.162</v>
      </c>
      <c r="J309" s="7" t="n">
        <v>-0.236</v>
      </c>
      <c r="K309" s="7" t="n">
        <v>-0.129</v>
      </c>
      <c r="L309" s="7" t="n">
        <v>-0.318</v>
      </c>
      <c r="M309" s="7" t="n">
        <v>-0.019</v>
      </c>
      <c r="N309" s="7" t="n">
        <v>-0.408</v>
      </c>
      <c r="O309" s="7" t="n">
        <v>-0.129</v>
      </c>
      <c r="P309" s="7" t="n">
        <v>0.326</v>
      </c>
      <c r="Q309" s="7" t="n">
        <v>-0.313</v>
      </c>
      <c r="R309" s="7" t="n">
        <v>-0.37</v>
      </c>
      <c r="S309" s="7" t="n">
        <v>-0.232</v>
      </c>
      <c r="T309" s="7" t="n">
        <v>-0.147</v>
      </c>
      <c r="U309" s="7" t="n">
        <v>-0.19</v>
      </c>
      <c r="V309" s="7" t="n">
        <v>-0.059</v>
      </c>
      <c r="W309" s="7" t="n">
        <v>-0.077</v>
      </c>
      <c r="X309" s="7" t="n">
        <v>0.069</v>
      </c>
      <c r="Y309" s="7" t="n">
        <v>-0.121</v>
      </c>
      <c r="Z309" s="7" t="n">
        <v>0.274</v>
      </c>
      <c r="AA309" s="7" t="n">
        <v>-0.056</v>
      </c>
      <c r="AB309" s="7" t="n">
        <v>-0.151</v>
      </c>
      <c r="AC309" s="7" t="n">
        <v>-0.269</v>
      </c>
      <c r="AD309" s="7" t="n">
        <v>-0.004</v>
      </c>
      <c r="AE309" s="7" t="n">
        <v>0.194</v>
      </c>
      <c r="AF309" s="7" t="n">
        <v>0.002</v>
      </c>
      <c r="AG309" s="7" t="n">
        <v>-0.279</v>
      </c>
      <c r="AH309" s="7" t="n">
        <v>-0.15</v>
      </c>
      <c r="AI309" s="7" t="n">
        <v>0.111</v>
      </c>
      <c r="AJ309" s="7" t="n">
        <v>-0.168</v>
      </c>
      <c r="AK309" s="7" t="n">
        <v>0.024</v>
      </c>
      <c r="AL309" s="7" t="n">
        <v>-0.18</v>
      </c>
      <c r="AM309" s="7" t="n">
        <v>0.105</v>
      </c>
      <c r="AN309" s="7" t="n">
        <v>-0.009</v>
      </c>
      <c r="AO309" s="7" t="n">
        <v>-0.226</v>
      </c>
      <c r="AP309" s="7" t="n">
        <v>-0.105</v>
      </c>
      <c r="AQ309" s="7" t="n">
        <v>-0.17</v>
      </c>
      <c r="AR309" s="7" t="n">
        <v>-0.02</v>
      </c>
      <c r="AS309" s="7" t="n">
        <v>0.107</v>
      </c>
      <c r="AT309" s="7" t="n">
        <v>-0.162</v>
      </c>
      <c r="AU309" s="7" t="n">
        <v>-0.138</v>
      </c>
      <c r="AV309" s="7" t="n">
        <v>-0.032</v>
      </c>
    </row>
    <row r="310" customFormat="false" ht="15" hidden="false" customHeight="false" outlineLevel="0" collapsed="false">
      <c r="A310" s="19" t="n">
        <v>46627</v>
      </c>
      <c r="B310" s="6" t="n">
        <v>0</v>
      </c>
      <c r="C310" s="6" t="s">
        <v>176</v>
      </c>
      <c r="D310" s="6" t="s">
        <v>178</v>
      </c>
      <c r="E310" s="6" t="s">
        <v>186</v>
      </c>
      <c r="F310" s="6" t="s">
        <v>213</v>
      </c>
      <c r="G310" s="7" t="n">
        <v>-0.41</v>
      </c>
      <c r="H310" s="7" t="n">
        <v>-0.561</v>
      </c>
      <c r="I310" s="7" t="n">
        <v>-0.195</v>
      </c>
      <c r="J310" s="7" t="n">
        <v>-0.144</v>
      </c>
      <c r="K310" s="7" t="n">
        <v>-0.379</v>
      </c>
      <c r="L310" s="7" t="n">
        <v>-0.275</v>
      </c>
      <c r="M310" s="7" t="n">
        <v>-0.234</v>
      </c>
      <c r="N310" s="7" t="n">
        <v>-0.271</v>
      </c>
      <c r="O310" s="7" t="n">
        <v>-0.539</v>
      </c>
      <c r="P310" s="7" t="n">
        <v>0.328</v>
      </c>
      <c r="Q310" s="7" t="n">
        <v>-0.264</v>
      </c>
      <c r="R310" s="7" t="n">
        <v>-0.538</v>
      </c>
      <c r="S310" s="7" t="n">
        <v>-0.437</v>
      </c>
      <c r="T310" s="7" t="n">
        <v>-0.556</v>
      </c>
      <c r="U310" s="7" t="n">
        <v>-0.168</v>
      </c>
      <c r="V310" s="7" t="n">
        <v>-0.087</v>
      </c>
      <c r="W310" s="7" t="n">
        <v>-0.251</v>
      </c>
      <c r="X310" s="7" t="n">
        <v>0.129</v>
      </c>
      <c r="Y310" s="7" t="n">
        <v>-0.09</v>
      </c>
      <c r="Z310" s="7" t="n">
        <v>0.114</v>
      </c>
      <c r="AA310" s="7" t="n">
        <v>-0.234</v>
      </c>
      <c r="AB310" s="7" t="n">
        <v>-0.18</v>
      </c>
      <c r="AC310" s="7" t="n">
        <v>-0.248</v>
      </c>
      <c r="AD310" s="7" t="n">
        <v>-0.224</v>
      </c>
      <c r="AE310" s="7" t="n">
        <v>0.259</v>
      </c>
      <c r="AF310" s="7" t="n">
        <v>-0.179</v>
      </c>
      <c r="AG310" s="7" t="n">
        <v>-0.562</v>
      </c>
      <c r="AH310" s="7" t="n">
        <v>-0.179</v>
      </c>
      <c r="AI310" s="7" t="n">
        <v>-0.06</v>
      </c>
      <c r="AJ310" s="7" t="n">
        <v>-0.426</v>
      </c>
      <c r="AK310" s="7" t="n">
        <v>0.019</v>
      </c>
      <c r="AL310" s="7" t="n">
        <v>-0.177</v>
      </c>
      <c r="AM310" s="7" t="n">
        <v>-0.227</v>
      </c>
      <c r="AN310" s="7" t="n">
        <v>-0.026</v>
      </c>
      <c r="AO310" s="7" t="n">
        <v>-0.225</v>
      </c>
      <c r="AP310" s="7" t="n">
        <v>-0.117</v>
      </c>
      <c r="AQ310" s="7" t="n">
        <v>-0.501</v>
      </c>
      <c r="AR310" s="7" t="n">
        <v>-0.035</v>
      </c>
      <c r="AS310" s="7" t="n">
        <v>-0.174</v>
      </c>
      <c r="AT310" s="7" t="n">
        <v>-0.377</v>
      </c>
      <c r="AU310" s="7" t="n">
        <v>-0.044</v>
      </c>
      <c r="AV310" s="7" t="n">
        <v>-0.032</v>
      </c>
    </row>
    <row r="311" customFormat="false" ht="15" hidden="false" customHeight="false" outlineLevel="0" collapsed="false">
      <c r="A311" s="19" t="n">
        <v>46628</v>
      </c>
      <c r="B311" s="6" t="n">
        <v>0</v>
      </c>
      <c r="C311" s="6" t="s">
        <v>180</v>
      </c>
      <c r="D311" s="6" t="s">
        <v>181</v>
      </c>
      <c r="E311" s="6" t="s">
        <v>186</v>
      </c>
      <c r="F311" s="6" t="s">
        <v>213</v>
      </c>
      <c r="G311" s="7" t="n">
        <v>-0.45</v>
      </c>
      <c r="H311" s="7" t="n">
        <v>-0.608</v>
      </c>
      <c r="I311" s="7" t="n">
        <v>-0.225</v>
      </c>
      <c r="J311" s="7" t="n">
        <v>-0.274</v>
      </c>
      <c r="K311" s="7" t="n">
        <v>-0.162</v>
      </c>
      <c r="L311" s="7" t="n">
        <v>-0.207</v>
      </c>
      <c r="M311" s="7" t="n">
        <v>-0.653</v>
      </c>
      <c r="N311" s="7" t="n">
        <v>-0.679</v>
      </c>
      <c r="O311" s="7" t="n">
        <v>-0.36</v>
      </c>
      <c r="P311" s="7" t="n">
        <v>-0.046</v>
      </c>
      <c r="Q311" s="7" t="n">
        <v>-0.441</v>
      </c>
      <c r="R311" s="7" t="n">
        <v>-0.203</v>
      </c>
      <c r="S311" s="7" t="n">
        <v>-0.312</v>
      </c>
      <c r="T311" s="7" t="n">
        <v>-0.337</v>
      </c>
      <c r="U311" s="7" t="n">
        <v>-0.197</v>
      </c>
      <c r="V311" s="7" t="n">
        <v>-0.086</v>
      </c>
      <c r="W311" s="7" t="n">
        <v>-0.669</v>
      </c>
      <c r="X311" s="7" t="n">
        <v>-0.107</v>
      </c>
      <c r="Y311" s="7" t="n">
        <v>-0.611</v>
      </c>
      <c r="Z311" s="7" t="n">
        <v>-0.07</v>
      </c>
      <c r="AA311" s="7" t="n">
        <v>-0.647</v>
      </c>
      <c r="AB311" s="7" t="n">
        <v>-0.18</v>
      </c>
      <c r="AC311" s="7" t="n">
        <v>-0.277</v>
      </c>
      <c r="AD311" s="7" t="n">
        <v>-0.125</v>
      </c>
      <c r="AE311" s="7" t="n">
        <v>-0.137</v>
      </c>
      <c r="AF311" s="7" t="n">
        <v>-0.603</v>
      </c>
      <c r="AG311" s="7" t="n">
        <v>-0.482</v>
      </c>
      <c r="AH311" s="7" t="n">
        <v>-0.179</v>
      </c>
      <c r="AI311" s="7" t="n">
        <v>-0.249</v>
      </c>
      <c r="AJ311" s="7" t="n">
        <v>-0.133</v>
      </c>
      <c r="AK311" s="7" t="n">
        <v>-0.205</v>
      </c>
      <c r="AL311" s="7" t="n">
        <v>-0.177</v>
      </c>
      <c r="AM311" s="7" t="n">
        <v>0.121</v>
      </c>
      <c r="AN311" s="7" t="n">
        <v>-0.216</v>
      </c>
      <c r="AO311" s="7" t="n">
        <v>-0.616</v>
      </c>
      <c r="AP311" s="7" t="n">
        <v>-0.512</v>
      </c>
      <c r="AQ311" s="7" t="n">
        <v>-0.174</v>
      </c>
      <c r="AR311" s="7" t="n">
        <v>-0.226</v>
      </c>
      <c r="AS311" s="7" t="n">
        <v>-0.547</v>
      </c>
      <c r="AT311" s="7" t="n">
        <v>-0.055</v>
      </c>
      <c r="AU311" s="7" t="n">
        <v>-0.043</v>
      </c>
      <c r="AV311" s="7" t="n">
        <v>-0.032</v>
      </c>
    </row>
    <row r="312" customFormat="false" ht="15" hidden="false" customHeight="false" outlineLevel="0" collapsed="false">
      <c r="A312" s="19" t="n">
        <v>46629</v>
      </c>
      <c r="B312" s="6" t="n">
        <v>1</v>
      </c>
      <c r="C312" s="6" t="s">
        <v>180</v>
      </c>
      <c r="D312" s="6" t="s">
        <v>182</v>
      </c>
      <c r="E312" s="6" t="s">
        <v>186</v>
      </c>
      <c r="F312" s="6" t="s">
        <v>213</v>
      </c>
      <c r="G312" s="7" t="n">
        <v>-0.024</v>
      </c>
      <c r="H312" s="7" t="n">
        <v>-0.132</v>
      </c>
      <c r="I312" s="7" t="n">
        <v>-0.224</v>
      </c>
      <c r="J312" s="7" t="n">
        <v>0.163</v>
      </c>
      <c r="K312" s="7" t="n">
        <v>0.23</v>
      </c>
      <c r="L312" s="7" t="n">
        <v>-0.206</v>
      </c>
      <c r="M312" s="7" t="n">
        <v>-0.263</v>
      </c>
      <c r="N312" s="7" t="n">
        <v>-0.607</v>
      </c>
      <c r="O312" s="7" t="n">
        <v>-0.35</v>
      </c>
      <c r="P312" s="7" t="n">
        <v>0.373</v>
      </c>
      <c r="Q312" s="7" t="n">
        <v>-0.155</v>
      </c>
      <c r="R312" s="7" t="n">
        <v>-0.164</v>
      </c>
      <c r="S312" s="7" t="n">
        <v>0.076</v>
      </c>
      <c r="T312" s="7" t="n">
        <v>-0.047</v>
      </c>
      <c r="U312" s="7" t="n">
        <v>-0.195</v>
      </c>
      <c r="V312" s="7" t="n">
        <v>-0.084</v>
      </c>
      <c r="W312" s="7" t="n">
        <v>-0.28</v>
      </c>
      <c r="X312" s="7" t="n">
        <v>0.269</v>
      </c>
      <c r="Y312" s="7" t="n">
        <v>-0.087</v>
      </c>
      <c r="Z312" s="7" t="n">
        <v>0.015</v>
      </c>
      <c r="AA312" s="7" t="n">
        <v>-0.454</v>
      </c>
      <c r="AB312" s="7" t="n">
        <v>-0.18</v>
      </c>
      <c r="AC312" s="7" t="n">
        <v>-0.276</v>
      </c>
      <c r="AD312" s="7" t="n">
        <v>-0.123</v>
      </c>
      <c r="AE312" s="7" t="n">
        <v>0.373</v>
      </c>
      <c r="AF312" s="7" t="n">
        <v>-0.179</v>
      </c>
      <c r="AG312" s="7" t="n">
        <v>-0.505</v>
      </c>
      <c r="AH312" s="7" t="n">
        <v>-0.179</v>
      </c>
      <c r="AI312" s="7" t="n">
        <v>0.117</v>
      </c>
      <c r="AJ312" s="7" t="n">
        <v>0.258</v>
      </c>
      <c r="AK312" s="7" t="n">
        <v>0.012</v>
      </c>
      <c r="AL312" s="7" t="n">
        <v>-0.177</v>
      </c>
      <c r="AM312" s="7" t="n">
        <v>0.145</v>
      </c>
      <c r="AN312" s="7" t="n">
        <v>-0.234</v>
      </c>
      <c r="AO312" s="7" t="n">
        <v>-0.44</v>
      </c>
      <c r="AP312" s="7" t="n">
        <v>-0.314</v>
      </c>
      <c r="AQ312" s="7" t="n">
        <v>-0.172</v>
      </c>
      <c r="AR312" s="7" t="n">
        <v>-0.245</v>
      </c>
      <c r="AS312" s="7" t="n">
        <v>-0.203</v>
      </c>
      <c r="AT312" s="7" t="n">
        <v>0.281</v>
      </c>
      <c r="AU312" s="7" t="n">
        <v>0.269</v>
      </c>
      <c r="AV312" s="7" t="n">
        <v>-0.032</v>
      </c>
    </row>
    <row r="313" customFormat="false" ht="15" hidden="false" customHeight="false" outlineLevel="0" collapsed="false">
      <c r="A313" s="19" t="n">
        <v>46630</v>
      </c>
      <c r="B313" s="6" t="n">
        <v>1</v>
      </c>
      <c r="C313" s="6" t="s">
        <v>183</v>
      </c>
      <c r="D313" s="6" t="s">
        <v>184</v>
      </c>
      <c r="E313" s="6" t="s">
        <v>186</v>
      </c>
      <c r="F313" s="6" t="s">
        <v>213</v>
      </c>
      <c r="G313" s="7" t="n">
        <v>-0.043</v>
      </c>
      <c r="H313" s="7" t="n">
        <v>-0.138</v>
      </c>
      <c r="I313" s="7" t="n">
        <v>-0.346</v>
      </c>
      <c r="J313" s="7" t="n">
        <v>-0.103</v>
      </c>
      <c r="K313" s="7" t="n">
        <v>0.189</v>
      </c>
      <c r="L313" s="7" t="n">
        <v>-0.202</v>
      </c>
      <c r="M313" s="7" t="n">
        <v>-0.259</v>
      </c>
      <c r="N313" s="7" t="n">
        <v>-0.224</v>
      </c>
      <c r="O313" s="7" t="n">
        <v>0.001</v>
      </c>
      <c r="P313" s="7" t="n">
        <v>0.005</v>
      </c>
      <c r="Q313" s="7" t="n">
        <v>-0.146</v>
      </c>
      <c r="R313" s="7" t="n">
        <v>0.025</v>
      </c>
      <c r="S313" s="7" t="n">
        <v>0.003</v>
      </c>
      <c r="T313" s="7" t="n">
        <v>-0.108</v>
      </c>
      <c r="U313" s="7" t="n">
        <v>-0.332</v>
      </c>
      <c r="V313" s="7" t="n">
        <v>-0.255</v>
      </c>
      <c r="W313" s="7" t="n">
        <v>-0.42</v>
      </c>
      <c r="X313" s="7" t="n">
        <v>0.119</v>
      </c>
      <c r="Y313" s="7" t="n">
        <v>-0.444</v>
      </c>
      <c r="Z313" s="7" t="n">
        <v>0.117</v>
      </c>
      <c r="AA313" s="7" t="n">
        <v>-0.259</v>
      </c>
      <c r="AB313" s="7" t="n">
        <v>-0.208</v>
      </c>
      <c r="AC313" s="7" t="n">
        <v>-0.275</v>
      </c>
      <c r="AD313" s="7" t="n">
        <v>-0.029</v>
      </c>
      <c r="AE313" s="7" t="n">
        <v>-0.05</v>
      </c>
      <c r="AF313" s="7" t="n">
        <v>-0.329</v>
      </c>
      <c r="AG313" s="7" t="n">
        <v>-0.156</v>
      </c>
      <c r="AH313" s="7" t="n">
        <v>-0.215</v>
      </c>
      <c r="AI313" s="7" t="n">
        <v>-0.066</v>
      </c>
      <c r="AJ313" s="7" t="n">
        <v>0.014</v>
      </c>
      <c r="AK313" s="7" t="n">
        <v>-0.212</v>
      </c>
      <c r="AL313" s="7" t="n">
        <v>-0.079</v>
      </c>
      <c r="AM313" s="7" t="n">
        <v>0.24</v>
      </c>
      <c r="AN313" s="7" t="n">
        <v>0.036</v>
      </c>
      <c r="AO313" s="7" t="n">
        <v>-0.175</v>
      </c>
      <c r="AP313" s="7" t="n">
        <v>-0.042</v>
      </c>
      <c r="AQ313" s="7" t="n">
        <v>-0.125</v>
      </c>
      <c r="AR313" s="7" t="n">
        <v>0.035</v>
      </c>
      <c r="AS313" s="7" t="n">
        <v>-0.2</v>
      </c>
      <c r="AT313" s="7" t="n">
        <v>0.111</v>
      </c>
      <c r="AU313" s="7" t="n">
        <v>0.042</v>
      </c>
      <c r="AV313" s="7" t="n">
        <v>-0.039</v>
      </c>
    </row>
    <row r="314" customFormat="false" ht="15" hidden="false" customHeight="false" outlineLevel="0" collapsed="false">
      <c r="A314" s="19" t="n">
        <v>46631</v>
      </c>
      <c r="B314" s="6" t="n">
        <v>1</v>
      </c>
      <c r="C314" s="6" t="s">
        <v>183</v>
      </c>
      <c r="D314" s="6" t="s">
        <v>185</v>
      </c>
      <c r="E314" s="6" t="s">
        <v>186</v>
      </c>
      <c r="F314" s="6" t="s">
        <v>213</v>
      </c>
      <c r="G314" s="7" t="n">
        <v>-0.393</v>
      </c>
      <c r="H314" s="7" t="n">
        <v>-0.595</v>
      </c>
      <c r="I314" s="7" t="n">
        <v>-0.198</v>
      </c>
      <c r="J314" s="7" t="n">
        <v>-0.097</v>
      </c>
      <c r="K314" s="7" t="n">
        <v>-0.357</v>
      </c>
      <c r="L314" s="7" t="n">
        <v>-0.198</v>
      </c>
      <c r="M314" s="7" t="n">
        <v>-0.22</v>
      </c>
      <c r="N314" s="7" t="n">
        <v>-0.182</v>
      </c>
      <c r="O314" s="7" t="n">
        <v>0.002</v>
      </c>
      <c r="P314" s="7" t="n">
        <v>0.007</v>
      </c>
      <c r="Q314" s="7" t="n">
        <v>-0.685</v>
      </c>
      <c r="R314" s="7" t="n">
        <v>0.032</v>
      </c>
      <c r="S314" s="7" t="n">
        <v>-0.454</v>
      </c>
      <c r="T314" s="7" t="n">
        <v>-0.579</v>
      </c>
      <c r="U314" s="7" t="n">
        <v>-0.613</v>
      </c>
      <c r="V314" s="7" t="n">
        <v>-0.692</v>
      </c>
      <c r="W314" s="7" t="n">
        <v>-0.22</v>
      </c>
      <c r="X314" s="7" t="n">
        <v>0.048</v>
      </c>
      <c r="Y314" s="7" t="n">
        <v>-0.11</v>
      </c>
      <c r="Z314" s="7" t="n">
        <v>-0.373</v>
      </c>
      <c r="AA314" s="7" t="n">
        <v>-0.22</v>
      </c>
      <c r="AB314" s="7" t="n">
        <v>-0.573</v>
      </c>
      <c r="AC314" s="7" t="n">
        <v>-0.259</v>
      </c>
      <c r="AD314" s="7" t="n">
        <v>-0.015</v>
      </c>
      <c r="AE314" s="7" t="n">
        <v>-0.048</v>
      </c>
      <c r="AF314" s="7" t="n">
        <v>-0.122</v>
      </c>
      <c r="AG314" s="7" t="n">
        <v>-0.154</v>
      </c>
      <c r="AH314" s="7" t="n">
        <v>-0.688</v>
      </c>
      <c r="AI314" s="7" t="n">
        <v>-0.059</v>
      </c>
      <c r="AJ314" s="7" t="n">
        <v>-0.444</v>
      </c>
      <c r="AK314" s="7" t="n">
        <v>-0.53</v>
      </c>
      <c r="AL314" s="7" t="n">
        <v>-0.072</v>
      </c>
      <c r="AM314" s="7" t="n">
        <v>0.237</v>
      </c>
      <c r="AN314" s="7" t="n">
        <v>-0.404</v>
      </c>
      <c r="AO314" s="7" t="n">
        <v>-0.132</v>
      </c>
      <c r="AP314" s="7" t="n">
        <v>-0.003</v>
      </c>
      <c r="AQ314" s="7" t="n">
        <v>-0.52</v>
      </c>
      <c r="AR314" s="7" t="n">
        <v>0.036</v>
      </c>
      <c r="AS314" s="7" t="n">
        <v>-0.162</v>
      </c>
      <c r="AT314" s="7" t="n">
        <v>0.112</v>
      </c>
      <c r="AU314" s="7" t="n">
        <v>0.042</v>
      </c>
      <c r="AV314" s="7" t="n">
        <v>-0.447</v>
      </c>
    </row>
    <row r="315" customFormat="false" ht="15" hidden="false" customHeight="false" outlineLevel="0" collapsed="false">
      <c r="A315" s="19" t="n">
        <v>46632</v>
      </c>
      <c r="B315" s="6" t="n">
        <v>1</v>
      </c>
      <c r="C315" s="6" t="s">
        <v>186</v>
      </c>
      <c r="D315" s="6" t="s">
        <v>187</v>
      </c>
      <c r="E315" s="6" t="s">
        <v>186</v>
      </c>
      <c r="F315" s="6" t="s">
        <v>213</v>
      </c>
      <c r="G315" s="7" t="n">
        <v>-0.284</v>
      </c>
      <c r="H315" s="7" t="n">
        <v>-0.357</v>
      </c>
      <c r="I315" s="7" t="n">
        <v>-0.194</v>
      </c>
      <c r="J315" s="7" t="n">
        <v>-0.369</v>
      </c>
      <c r="K315" s="7" t="n">
        <v>-0.11</v>
      </c>
      <c r="L315" s="7" t="n">
        <v>-0.194</v>
      </c>
      <c r="M315" s="7" t="n">
        <v>-0.242</v>
      </c>
      <c r="N315" s="7" t="n">
        <v>-0.274</v>
      </c>
      <c r="O315" s="7" t="n">
        <v>-0.102</v>
      </c>
      <c r="P315" s="7" t="n">
        <v>-0.141</v>
      </c>
      <c r="Q315" s="7" t="n">
        <v>-0.22</v>
      </c>
      <c r="R315" s="7" t="n">
        <v>0.05</v>
      </c>
      <c r="S315" s="7" t="n">
        <v>-0.149</v>
      </c>
      <c r="T315" s="7" t="n">
        <v>-0.239</v>
      </c>
      <c r="U315" s="7" t="n">
        <v>-0.313</v>
      </c>
      <c r="V315" s="7" t="n">
        <v>-0.251</v>
      </c>
      <c r="W315" s="7" t="n">
        <v>-0.242</v>
      </c>
      <c r="X315" s="7" t="n">
        <v>-0.155</v>
      </c>
      <c r="Y315" s="7" t="n">
        <v>-0.158</v>
      </c>
      <c r="Z315" s="7" t="n">
        <v>-0.042</v>
      </c>
      <c r="AA315" s="7" t="n">
        <v>-0.242</v>
      </c>
      <c r="AB315" s="7" t="n">
        <v>-0.203</v>
      </c>
      <c r="AC315" s="7" t="n">
        <v>-0.255</v>
      </c>
      <c r="AD315" s="7" t="n">
        <v>-0.131</v>
      </c>
      <c r="AE315" s="7" t="n">
        <v>-0.143</v>
      </c>
      <c r="AF315" s="7" t="n">
        <v>-0.146</v>
      </c>
      <c r="AG315" s="7" t="n">
        <v>-0.254</v>
      </c>
      <c r="AH315" s="7" t="n">
        <v>-0.235</v>
      </c>
      <c r="AI315" s="7" t="n">
        <v>-0.284</v>
      </c>
      <c r="AJ315" s="7" t="n">
        <v>-0.138</v>
      </c>
      <c r="AK315" s="7" t="n">
        <v>-0.365</v>
      </c>
      <c r="AL315" s="7" t="n">
        <v>-0.278</v>
      </c>
      <c r="AM315" s="7" t="n">
        <v>0.092</v>
      </c>
      <c r="AN315" s="7" t="n">
        <v>-0.061</v>
      </c>
      <c r="AO315" s="7" t="n">
        <v>-0.223</v>
      </c>
      <c r="AP315" s="7" t="n">
        <v>-0.099</v>
      </c>
      <c r="AQ315" s="7" t="n">
        <v>-0.243</v>
      </c>
      <c r="AR315" s="7" t="n">
        <v>-0.037</v>
      </c>
      <c r="AS315" s="7" t="n">
        <v>-0.185</v>
      </c>
      <c r="AT315" s="7" t="n">
        <v>0.009</v>
      </c>
      <c r="AU315" s="7" t="n">
        <v>0.058</v>
      </c>
      <c r="AV315" s="7" t="n">
        <v>-0.063</v>
      </c>
    </row>
    <row r="316" customFormat="false" ht="15" hidden="false" customHeight="false" outlineLevel="0" collapsed="false">
      <c r="A316" s="19" t="n">
        <v>46633</v>
      </c>
      <c r="B316" s="6" t="n">
        <v>1</v>
      </c>
      <c r="C316" s="6" t="s">
        <v>186</v>
      </c>
      <c r="D316" s="6" t="s">
        <v>188</v>
      </c>
      <c r="E316" s="6" t="s">
        <v>186</v>
      </c>
      <c r="F316" s="6" t="s">
        <v>213</v>
      </c>
      <c r="G316" s="7" t="n">
        <v>-0.32</v>
      </c>
      <c r="H316" s="7" t="n">
        <v>-0.487</v>
      </c>
      <c r="I316" s="7" t="n">
        <v>-0.189</v>
      </c>
      <c r="J316" s="7" t="n">
        <v>-0.366</v>
      </c>
      <c r="K316" s="7" t="n">
        <v>-0.087</v>
      </c>
      <c r="L316" s="7" t="n">
        <v>-0.189</v>
      </c>
      <c r="M316" s="7" t="n">
        <v>-0.237</v>
      </c>
      <c r="N316" s="7" t="n">
        <v>-0.528</v>
      </c>
      <c r="O316" s="7" t="n">
        <v>-0.174</v>
      </c>
      <c r="P316" s="7" t="n">
        <v>-0.11</v>
      </c>
      <c r="Q316" s="7" t="n">
        <v>-0.436</v>
      </c>
      <c r="R316" s="7" t="n">
        <v>0.055</v>
      </c>
      <c r="S316" s="7" t="n">
        <v>-0.331</v>
      </c>
      <c r="T316" s="7" t="n">
        <v>-0.39</v>
      </c>
      <c r="U316" s="7" t="n">
        <v>-0.309</v>
      </c>
      <c r="V316" s="7" t="n">
        <v>-0.248</v>
      </c>
      <c r="W316" s="7" t="n">
        <v>-0.237</v>
      </c>
      <c r="X316" s="7" t="n">
        <v>-0.073</v>
      </c>
      <c r="Y316" s="7" t="n">
        <v>-0.155</v>
      </c>
      <c r="Z316" s="7" t="n">
        <v>0</v>
      </c>
      <c r="AA316" s="7" t="n">
        <v>-0.409</v>
      </c>
      <c r="AB316" s="7" t="n">
        <v>-0.2</v>
      </c>
      <c r="AC316" s="7" t="n">
        <v>-0.251</v>
      </c>
      <c r="AD316" s="7" t="n">
        <v>-0.048</v>
      </c>
      <c r="AE316" s="7" t="n">
        <v>-0.065</v>
      </c>
      <c r="AF316" s="7" t="n">
        <v>-0.143</v>
      </c>
      <c r="AG316" s="7" t="n">
        <v>-0.353</v>
      </c>
      <c r="AH316" s="7" t="n">
        <v>-0.232</v>
      </c>
      <c r="AI316" s="7" t="n">
        <v>-0.286</v>
      </c>
      <c r="AJ316" s="7" t="n">
        <v>-0.104</v>
      </c>
      <c r="AK316" s="7" t="n">
        <v>-0.335</v>
      </c>
      <c r="AL316" s="7" t="n">
        <v>-0.186</v>
      </c>
      <c r="AM316" s="7" t="n">
        <v>0.166</v>
      </c>
      <c r="AN316" s="7" t="n">
        <v>-0.272</v>
      </c>
      <c r="AO316" s="7" t="n">
        <v>-0.416</v>
      </c>
      <c r="AP316" s="7" t="n">
        <v>-0.307</v>
      </c>
      <c r="AQ316" s="7" t="n">
        <v>-0.165</v>
      </c>
      <c r="AR316" s="7" t="n">
        <v>-0.257</v>
      </c>
      <c r="AS316" s="7" t="n">
        <v>-0.181</v>
      </c>
      <c r="AT316" s="7" t="n">
        <v>0.088</v>
      </c>
      <c r="AU316" s="7" t="n">
        <v>0.062</v>
      </c>
      <c r="AV316" s="7" t="n">
        <v>-0.062</v>
      </c>
    </row>
    <row r="317" customFormat="false" ht="15" hidden="false" customHeight="false" outlineLevel="0" collapsed="false">
      <c r="A317" s="19" t="n">
        <v>46634</v>
      </c>
      <c r="B317" s="6" t="n">
        <v>0</v>
      </c>
      <c r="C317" s="6" t="s">
        <v>190</v>
      </c>
      <c r="D317" s="6" t="s">
        <v>189</v>
      </c>
      <c r="E317" s="6" t="s">
        <v>186</v>
      </c>
      <c r="F317" s="6" t="s">
        <v>213</v>
      </c>
      <c r="G317" s="7" t="n">
        <v>-0.247</v>
      </c>
      <c r="H317" s="7" t="n">
        <v>-0.435</v>
      </c>
      <c r="I317" s="7" t="n">
        <v>-0.025</v>
      </c>
      <c r="J317" s="7" t="n">
        <v>-0.062</v>
      </c>
      <c r="K317" s="7" t="n">
        <v>-0.158</v>
      </c>
      <c r="L317" s="7" t="n">
        <v>-0.115</v>
      </c>
      <c r="M317" s="7" t="n">
        <v>-0.212</v>
      </c>
      <c r="N317" s="7" t="n">
        <v>-0.37</v>
      </c>
      <c r="O317" s="7" t="n">
        <v>-0.176</v>
      </c>
      <c r="P317" s="7" t="n">
        <v>0.013</v>
      </c>
      <c r="Q317" s="7" t="n">
        <v>-0.518</v>
      </c>
      <c r="R317" s="7" t="n">
        <v>0.039</v>
      </c>
      <c r="S317" s="7" t="n">
        <v>-0.314</v>
      </c>
      <c r="T317" s="7" t="n">
        <v>-0.382</v>
      </c>
      <c r="U317" s="7" t="n">
        <v>-0.384</v>
      </c>
      <c r="V317" s="7" t="n">
        <v>-0.528</v>
      </c>
      <c r="W317" s="7" t="n">
        <v>-0.277</v>
      </c>
      <c r="X317" s="7" t="n">
        <v>0.083</v>
      </c>
      <c r="Y317" s="7" t="n">
        <v>-0.163</v>
      </c>
      <c r="Z317" s="7" t="n">
        <v>-0.034</v>
      </c>
      <c r="AA317" s="7" t="n">
        <v>-0.283</v>
      </c>
      <c r="AB317" s="7" t="n">
        <v>-0.51</v>
      </c>
      <c r="AC317" s="7" t="n">
        <v>-0.115</v>
      </c>
      <c r="AD317" s="7" t="n">
        <v>-0.013</v>
      </c>
      <c r="AE317" s="7" t="n">
        <v>-0.023</v>
      </c>
      <c r="AF317" s="7" t="n">
        <v>-0.242</v>
      </c>
      <c r="AG317" s="7" t="n">
        <v>-0.263</v>
      </c>
      <c r="AH317" s="7" t="n">
        <v>-0.52</v>
      </c>
      <c r="AI317" s="7" t="n">
        <v>0.038</v>
      </c>
      <c r="AJ317" s="7" t="n">
        <v>-0.199</v>
      </c>
      <c r="AK317" s="7" t="n">
        <v>-0.341</v>
      </c>
      <c r="AL317" s="7" t="n">
        <v>-0.051</v>
      </c>
      <c r="AM317" s="7" t="n">
        <v>0.118</v>
      </c>
      <c r="AN317" s="7" t="n">
        <v>-0.313</v>
      </c>
      <c r="AO317" s="7" t="n">
        <v>-0.243</v>
      </c>
      <c r="AP317" s="7" t="n">
        <v>-0.12</v>
      </c>
      <c r="AQ317" s="7" t="n">
        <v>-0.291</v>
      </c>
      <c r="AR317" s="7" t="n">
        <v>-0.114</v>
      </c>
      <c r="AS317" s="7" t="n">
        <v>-0.195</v>
      </c>
      <c r="AT317" s="7" t="n">
        <v>0.103</v>
      </c>
      <c r="AU317" s="7" t="n">
        <v>0.06</v>
      </c>
      <c r="AV317" s="7" t="n">
        <v>-0.266</v>
      </c>
    </row>
    <row r="318" customFormat="false" ht="15" hidden="false" customHeight="false" outlineLevel="0" collapsed="false">
      <c r="A318" s="19" t="n">
        <v>46635</v>
      </c>
      <c r="B318" s="6" t="n">
        <v>0</v>
      </c>
      <c r="C318" s="6" t="s">
        <v>190</v>
      </c>
      <c r="D318" s="6" t="s">
        <v>191</v>
      </c>
      <c r="E318" s="6" t="s">
        <v>186</v>
      </c>
      <c r="F318" s="6" t="s">
        <v>213</v>
      </c>
      <c r="G318" s="7" t="n">
        <v>-0.136</v>
      </c>
      <c r="H318" s="7" t="n">
        <v>-0.407</v>
      </c>
      <c r="I318" s="7" t="n">
        <v>-0.064</v>
      </c>
      <c r="J318" s="7" t="n">
        <v>-0.058</v>
      </c>
      <c r="K318" s="7" t="n">
        <v>-0.099</v>
      </c>
      <c r="L318" s="7" t="n">
        <v>-0.152</v>
      </c>
      <c r="M318" s="7" t="n">
        <v>0.086</v>
      </c>
      <c r="N318" s="7" t="n">
        <v>-0.363</v>
      </c>
      <c r="O318" s="7" t="n">
        <v>-0.153</v>
      </c>
      <c r="P318" s="7" t="n">
        <v>0.013</v>
      </c>
      <c r="Q318" s="7" t="n">
        <v>-0.5</v>
      </c>
      <c r="R318" s="7" t="n">
        <v>0.045</v>
      </c>
      <c r="S318" s="7" t="n">
        <v>-0.277</v>
      </c>
      <c r="T318" s="7" t="n">
        <v>-0.372</v>
      </c>
      <c r="U318" s="7" t="n">
        <v>-0.433</v>
      </c>
      <c r="V318" s="7" t="n">
        <v>-0.515</v>
      </c>
      <c r="W318" s="7" t="n">
        <v>0.038</v>
      </c>
      <c r="X318" s="7" t="n">
        <v>0.086</v>
      </c>
      <c r="Y318" s="7" t="n">
        <v>-0.164</v>
      </c>
      <c r="Z318" s="7" t="n">
        <v>0.32</v>
      </c>
      <c r="AA318" s="7" t="n">
        <v>0.033</v>
      </c>
      <c r="AB318" s="7" t="n">
        <v>-0.494</v>
      </c>
      <c r="AC318" s="7" t="n">
        <v>-0.215</v>
      </c>
      <c r="AD318" s="7" t="n">
        <v>0.283</v>
      </c>
      <c r="AE318" s="7" t="n">
        <v>-0.023</v>
      </c>
      <c r="AF318" s="7" t="n">
        <v>0.096</v>
      </c>
      <c r="AG318" s="7" t="n">
        <v>-0.254</v>
      </c>
      <c r="AH318" s="7" t="n">
        <v>-0.506</v>
      </c>
      <c r="AI318" s="7" t="n">
        <v>0.284</v>
      </c>
      <c r="AJ318" s="7" t="n">
        <v>-0.167</v>
      </c>
      <c r="AK318" s="7" t="n">
        <v>-0.321</v>
      </c>
      <c r="AL318" s="7" t="n">
        <v>-0.048</v>
      </c>
      <c r="AM318" s="7" t="n">
        <v>0.131</v>
      </c>
      <c r="AN318" s="7" t="n">
        <v>-0.274</v>
      </c>
      <c r="AO318" s="7" t="n">
        <v>-0.244</v>
      </c>
      <c r="AP318" s="7" t="n">
        <v>-0.111</v>
      </c>
      <c r="AQ318" s="7" t="n">
        <v>-0.285</v>
      </c>
      <c r="AR318" s="7" t="n">
        <v>-0.091</v>
      </c>
      <c r="AS318" s="7" t="n">
        <v>0.122</v>
      </c>
      <c r="AT318" s="7" t="n">
        <v>0.104</v>
      </c>
      <c r="AU318" s="7" t="n">
        <v>0.06</v>
      </c>
      <c r="AV318" s="7" t="n">
        <v>-0.238</v>
      </c>
    </row>
    <row r="319" customFormat="false" ht="15" hidden="false" customHeight="false" outlineLevel="0" collapsed="false">
      <c r="A319" s="19" t="n">
        <v>46636</v>
      </c>
      <c r="B319" s="6" t="n">
        <v>1</v>
      </c>
      <c r="C319" s="6" t="s">
        <v>171</v>
      </c>
      <c r="D319" s="6" t="s">
        <v>192</v>
      </c>
      <c r="E319" s="6" t="s">
        <v>186</v>
      </c>
      <c r="F319" s="6" t="s">
        <v>213</v>
      </c>
      <c r="G319" s="7" t="n">
        <v>-0.066</v>
      </c>
      <c r="H319" s="7" t="n">
        <v>-0.055</v>
      </c>
      <c r="I319" s="7" t="n">
        <v>-0.41</v>
      </c>
      <c r="J319" s="7" t="n">
        <v>-0.074</v>
      </c>
      <c r="K319" s="7" t="n">
        <v>0.253</v>
      </c>
      <c r="L319" s="7" t="n">
        <v>-0.488</v>
      </c>
      <c r="M319" s="7" t="n">
        <v>-0.383</v>
      </c>
      <c r="N319" s="7" t="n">
        <v>-0.411</v>
      </c>
      <c r="O319" s="7" t="n">
        <v>-0.016</v>
      </c>
      <c r="P319" s="7" t="n">
        <v>0.013</v>
      </c>
      <c r="Q319" s="7" t="n">
        <v>-0.127</v>
      </c>
      <c r="R319" s="7" t="n">
        <v>0.229</v>
      </c>
      <c r="S319" s="7" t="n">
        <v>0.044</v>
      </c>
      <c r="T319" s="7" t="n">
        <v>-0.183</v>
      </c>
      <c r="U319" s="7" t="n">
        <v>-0.38</v>
      </c>
      <c r="V319" s="7" t="n">
        <v>-0.174</v>
      </c>
      <c r="W319" s="7" t="n">
        <v>-0.368</v>
      </c>
      <c r="X319" s="7" t="n">
        <v>0.164</v>
      </c>
      <c r="Y319" s="7" t="n">
        <v>-0.285</v>
      </c>
      <c r="Z319" s="7" t="n">
        <v>0.135</v>
      </c>
      <c r="AA319" s="7" t="n">
        <v>-0.399</v>
      </c>
      <c r="AB319" s="7" t="n">
        <v>-0.127</v>
      </c>
      <c r="AC319" s="7" t="n">
        <v>-0.328</v>
      </c>
      <c r="AD319" s="7" t="n">
        <v>-0.108</v>
      </c>
      <c r="AE319" s="7" t="n">
        <v>-0.042</v>
      </c>
      <c r="AF319" s="7" t="n">
        <v>-0.196</v>
      </c>
      <c r="AG319" s="7" t="n">
        <v>-0.078</v>
      </c>
      <c r="AH319" s="7" t="n">
        <v>-0.158</v>
      </c>
      <c r="AI319" s="7" t="n">
        <v>-0.12</v>
      </c>
      <c r="AJ319" s="7" t="n">
        <v>0.055</v>
      </c>
      <c r="AK319" s="7" t="n">
        <v>-0.158</v>
      </c>
      <c r="AL319" s="7" t="n">
        <v>-0.136</v>
      </c>
      <c r="AM319" s="7" t="n">
        <v>0.221</v>
      </c>
      <c r="AN319" s="7" t="n">
        <v>-0.036</v>
      </c>
      <c r="AO319" s="7" t="n">
        <v>-0.276</v>
      </c>
      <c r="AP319" s="7" t="n">
        <v>-0.07</v>
      </c>
      <c r="AQ319" s="7" t="n">
        <v>-0.189</v>
      </c>
      <c r="AR319" s="7" t="n">
        <v>-0.011</v>
      </c>
      <c r="AS319" s="7" t="n">
        <v>-0.264</v>
      </c>
      <c r="AT319" s="7" t="n">
        <v>0.143</v>
      </c>
      <c r="AU319" s="7" t="n">
        <v>0.06</v>
      </c>
      <c r="AV319" s="7" t="n">
        <v>-0.06</v>
      </c>
    </row>
    <row r="320" customFormat="false" ht="15" hidden="false" customHeight="false" outlineLevel="0" collapsed="false">
      <c r="A320" s="19" t="n">
        <v>46637</v>
      </c>
      <c r="B320" s="6" t="n">
        <v>1</v>
      </c>
      <c r="C320" s="6" t="s">
        <v>171</v>
      </c>
      <c r="D320" s="6" t="s">
        <v>193</v>
      </c>
      <c r="E320" s="6" t="s">
        <v>186</v>
      </c>
      <c r="F320" s="6" t="s">
        <v>213</v>
      </c>
      <c r="G320" s="7" t="n">
        <v>-0.1</v>
      </c>
      <c r="H320" s="7" t="n">
        <v>-0.361</v>
      </c>
      <c r="I320" s="7" t="n">
        <v>-0.476</v>
      </c>
      <c r="J320" s="7" t="n">
        <v>-0.054</v>
      </c>
      <c r="K320" s="7" t="n">
        <v>0.307</v>
      </c>
      <c r="L320" s="7" t="n">
        <v>-0.482</v>
      </c>
      <c r="M320" s="7" t="n">
        <v>-0.561</v>
      </c>
      <c r="N320" s="7" t="n">
        <v>-0.586</v>
      </c>
      <c r="O320" s="7" t="n">
        <v>-0.073</v>
      </c>
      <c r="P320" s="7" t="n">
        <v>0.015</v>
      </c>
      <c r="Q320" s="7" t="n">
        <v>-0.018</v>
      </c>
      <c r="R320" s="7" t="n">
        <v>0.078</v>
      </c>
      <c r="S320" s="7" t="n">
        <v>0.095</v>
      </c>
      <c r="T320" s="7" t="n">
        <v>-0.026</v>
      </c>
      <c r="U320" s="7" t="n">
        <v>-0.355</v>
      </c>
      <c r="V320" s="7" t="n">
        <v>-0.074</v>
      </c>
      <c r="W320" s="7" t="n">
        <v>-0.573</v>
      </c>
      <c r="X320" s="7" t="n">
        <v>0.093</v>
      </c>
      <c r="Y320" s="7" t="n">
        <v>-0.527</v>
      </c>
      <c r="Z320" s="7" t="n">
        <v>0.206</v>
      </c>
      <c r="AA320" s="7" t="n">
        <v>-0.572</v>
      </c>
      <c r="AB320" s="7" t="n">
        <v>-0.053</v>
      </c>
      <c r="AC320" s="7" t="n">
        <v>-0.326</v>
      </c>
      <c r="AD320" s="7" t="n">
        <v>-0.121</v>
      </c>
      <c r="AE320" s="7" t="n">
        <v>-0.025</v>
      </c>
      <c r="AF320" s="7" t="n">
        <v>-0.471</v>
      </c>
      <c r="AG320" s="7" t="n">
        <v>-0.227</v>
      </c>
      <c r="AH320" s="7" t="n">
        <v>-0.059</v>
      </c>
      <c r="AI320" s="7" t="n">
        <v>-0.098</v>
      </c>
      <c r="AJ320" s="7" t="n">
        <v>0.106</v>
      </c>
      <c r="AK320" s="7" t="n">
        <v>-0.081</v>
      </c>
      <c r="AL320" s="7" t="n">
        <v>-0.129</v>
      </c>
      <c r="AM320" s="7" t="n">
        <v>0.197</v>
      </c>
      <c r="AN320" s="7" t="n">
        <v>-0.011</v>
      </c>
      <c r="AO320" s="7" t="n">
        <v>-0.5</v>
      </c>
      <c r="AP320" s="7" t="n">
        <v>-0.354</v>
      </c>
      <c r="AQ320" s="7" t="n">
        <v>-0.179</v>
      </c>
      <c r="AR320" s="7" t="n">
        <v>-0.012</v>
      </c>
      <c r="AS320" s="7" t="n">
        <v>-0.483</v>
      </c>
      <c r="AT320" s="7" t="n">
        <v>0.139</v>
      </c>
      <c r="AU320" s="7" t="n">
        <v>0.08</v>
      </c>
      <c r="AV320" s="7" t="n">
        <v>-0.033</v>
      </c>
    </row>
    <row r="321" customFormat="false" ht="15" hidden="false" customHeight="false" outlineLevel="0" collapsed="false">
      <c r="A321" s="19" t="n">
        <v>46638</v>
      </c>
      <c r="B321" s="6" t="n">
        <v>1</v>
      </c>
      <c r="C321" s="6" t="s">
        <v>171</v>
      </c>
      <c r="D321" s="6" t="s">
        <v>194</v>
      </c>
      <c r="E321" s="6" t="s">
        <v>190</v>
      </c>
      <c r="F321" s="6" t="s">
        <v>213</v>
      </c>
      <c r="G321" s="7" t="n">
        <v>-0.042</v>
      </c>
      <c r="H321" s="7" t="n">
        <v>0.208</v>
      </c>
      <c r="I321" s="7" t="n">
        <v>-0.428</v>
      </c>
      <c r="J321" s="7" t="n">
        <v>0.202</v>
      </c>
      <c r="K321" s="7" t="n">
        <v>0.101</v>
      </c>
      <c r="L321" s="7" t="n">
        <v>-0.473</v>
      </c>
      <c r="M321" s="7" t="n">
        <v>-0.099</v>
      </c>
      <c r="N321" s="7" t="n">
        <v>-0.257</v>
      </c>
      <c r="O321" s="7" t="n">
        <v>-0.159</v>
      </c>
      <c r="P321" s="7" t="n">
        <v>0.293</v>
      </c>
      <c r="Q321" s="7" t="n">
        <v>0.037</v>
      </c>
      <c r="R321" s="7" t="n">
        <v>-0.153</v>
      </c>
      <c r="S321" s="7" t="n">
        <v>0.072</v>
      </c>
      <c r="T321" s="7" t="n">
        <v>0.037</v>
      </c>
      <c r="U321" s="7" t="n">
        <v>-0.48</v>
      </c>
      <c r="V321" s="7" t="n">
        <v>-0.232</v>
      </c>
      <c r="W321" s="7" t="n">
        <v>-0.101</v>
      </c>
      <c r="X321" s="7" t="n">
        <v>0.276</v>
      </c>
      <c r="Y321" s="7" t="n">
        <v>-0.364</v>
      </c>
      <c r="Z321" s="7" t="n">
        <v>0.033</v>
      </c>
      <c r="AA321" s="7" t="n">
        <v>-0.123</v>
      </c>
      <c r="AB321" s="7" t="n">
        <v>-0.202</v>
      </c>
      <c r="AC321" s="7" t="n">
        <v>-0.309</v>
      </c>
      <c r="AD321" s="7" t="n">
        <v>-0.094</v>
      </c>
      <c r="AE321" s="7" t="n">
        <v>0.371</v>
      </c>
      <c r="AF321" s="7" t="n">
        <v>0.073</v>
      </c>
      <c r="AG321" s="7" t="n">
        <v>-0.105</v>
      </c>
      <c r="AH321" s="7" t="n">
        <v>-0.23</v>
      </c>
      <c r="AI321" s="7" t="n">
        <v>0.153</v>
      </c>
      <c r="AJ321" s="7" t="n">
        <v>0.192</v>
      </c>
      <c r="AK321" s="7" t="n">
        <v>-0.153</v>
      </c>
      <c r="AL321" s="7" t="n">
        <v>-0.244</v>
      </c>
      <c r="AM321" s="7" t="n">
        <v>0.149</v>
      </c>
      <c r="AN321" s="7" t="n">
        <v>-0.279</v>
      </c>
      <c r="AO321" s="7" t="n">
        <v>-0.045</v>
      </c>
      <c r="AP321" s="7" t="n">
        <v>0.206</v>
      </c>
      <c r="AQ321" s="7" t="n">
        <v>-0.322</v>
      </c>
      <c r="AR321" s="7" t="n">
        <v>-0.099</v>
      </c>
      <c r="AS321" s="7" t="n">
        <v>-0.001</v>
      </c>
      <c r="AT321" s="7" t="n">
        <v>0.391</v>
      </c>
      <c r="AU321" s="7" t="n">
        <v>0.317</v>
      </c>
      <c r="AV321" s="7" t="n">
        <v>-0.233</v>
      </c>
    </row>
    <row r="322" customFormat="false" ht="15" hidden="false" customHeight="false" outlineLevel="0" collapsed="false">
      <c r="A322" s="19" t="n">
        <v>46639</v>
      </c>
      <c r="B322" s="6" t="n">
        <v>1</v>
      </c>
      <c r="C322" s="6" t="s">
        <v>195</v>
      </c>
      <c r="D322" s="6" t="s">
        <v>196</v>
      </c>
      <c r="E322" s="6" t="s">
        <v>190</v>
      </c>
      <c r="F322" s="6" t="s">
        <v>213</v>
      </c>
      <c r="G322" s="7" t="n">
        <v>0.068</v>
      </c>
      <c r="H322" s="7" t="n">
        <v>0.257</v>
      </c>
      <c r="I322" s="7" t="n">
        <v>-0.294</v>
      </c>
      <c r="J322" s="7" t="n">
        <v>0.028</v>
      </c>
      <c r="K322" s="7" t="n">
        <v>0.141</v>
      </c>
      <c r="L322" s="7" t="n">
        <v>-0.13</v>
      </c>
      <c r="M322" s="7" t="n">
        <v>0.062</v>
      </c>
      <c r="N322" s="7" t="n">
        <v>0.059</v>
      </c>
      <c r="O322" s="7" t="n">
        <v>0.231</v>
      </c>
      <c r="P322" s="7" t="n">
        <v>-0.078</v>
      </c>
      <c r="Q322" s="7" t="n">
        <v>-0.122</v>
      </c>
      <c r="R322" s="7" t="n">
        <v>0.244</v>
      </c>
      <c r="S322" s="7" t="n">
        <v>0.102</v>
      </c>
      <c r="T322" s="7" t="n">
        <v>-0.097</v>
      </c>
      <c r="U322" s="7" t="n">
        <v>-0.396</v>
      </c>
      <c r="V322" s="7" t="n">
        <v>-0.201</v>
      </c>
      <c r="W322" s="7" t="n">
        <v>-0.005</v>
      </c>
      <c r="X322" s="7" t="n">
        <v>0.139</v>
      </c>
      <c r="Y322" s="7" t="n">
        <v>-0.342</v>
      </c>
      <c r="Z322" s="7" t="n">
        <v>0.019</v>
      </c>
      <c r="AA322" s="7" t="n">
        <v>0.062</v>
      </c>
      <c r="AB322" s="7" t="n">
        <v>-0.172</v>
      </c>
      <c r="AC322" s="7" t="n">
        <v>-0.191</v>
      </c>
      <c r="AD322" s="7" t="n">
        <v>0.17</v>
      </c>
      <c r="AE322" s="7" t="n">
        <v>0.028</v>
      </c>
      <c r="AF322" s="7" t="n">
        <v>0.076</v>
      </c>
      <c r="AG322" s="7" t="n">
        <v>0.242</v>
      </c>
      <c r="AH322" s="7" t="n">
        <v>-0.201</v>
      </c>
      <c r="AI322" s="7" t="n">
        <v>-0.065</v>
      </c>
      <c r="AJ322" s="7" t="n">
        <v>0.156</v>
      </c>
      <c r="AK322" s="7" t="n">
        <v>-0.124</v>
      </c>
      <c r="AL322" s="7" t="n">
        <v>-0.148</v>
      </c>
      <c r="AM322" s="7" t="n">
        <v>0.389</v>
      </c>
      <c r="AN322" s="7" t="n">
        <v>-0.196</v>
      </c>
      <c r="AO322" s="7" t="n">
        <v>0.098</v>
      </c>
      <c r="AP322" s="7" t="n">
        <v>0.206</v>
      </c>
      <c r="AQ322" s="7" t="n">
        <v>-0.227</v>
      </c>
      <c r="AR322" s="7" t="n">
        <v>0.008</v>
      </c>
      <c r="AS322" s="7" t="n">
        <v>0.113</v>
      </c>
      <c r="AT322" s="7" t="n">
        <v>0.329</v>
      </c>
      <c r="AU322" s="7" t="n">
        <v>0.096</v>
      </c>
      <c r="AV322" s="7" t="n">
        <v>-0.233</v>
      </c>
    </row>
    <row r="323" customFormat="false" ht="15" hidden="false" customHeight="false" outlineLevel="0" collapsed="false">
      <c r="A323" s="19" t="n">
        <v>46640</v>
      </c>
      <c r="B323" s="6" t="n">
        <v>1</v>
      </c>
      <c r="C323" s="6" t="s">
        <v>195</v>
      </c>
      <c r="D323" s="6" t="s">
        <v>197</v>
      </c>
      <c r="E323" s="6" t="s">
        <v>190</v>
      </c>
      <c r="F323" s="6" t="s">
        <v>213</v>
      </c>
      <c r="G323" s="7" t="n">
        <v>0.469</v>
      </c>
      <c r="H323" s="7" t="n">
        <v>0.598</v>
      </c>
      <c r="I323" s="7" t="n">
        <v>-0.124</v>
      </c>
      <c r="J323" s="7" t="n">
        <v>0.116</v>
      </c>
      <c r="K323" s="7" t="n">
        <v>0.647</v>
      </c>
      <c r="L323" s="7" t="n">
        <v>-0.127</v>
      </c>
      <c r="M323" s="7" t="n">
        <v>0.076</v>
      </c>
      <c r="N323" s="7" t="n">
        <v>0.061</v>
      </c>
      <c r="O323" s="7" t="n">
        <v>0.376</v>
      </c>
      <c r="P323" s="7" t="n">
        <v>-0.046</v>
      </c>
      <c r="Q323" s="7" t="n">
        <v>0.566</v>
      </c>
      <c r="R323" s="7" t="n">
        <v>0.377</v>
      </c>
      <c r="S323" s="7" t="n">
        <v>0.625</v>
      </c>
      <c r="T323" s="7" t="n">
        <v>0.5</v>
      </c>
      <c r="U323" s="7" t="n">
        <v>0.148</v>
      </c>
      <c r="V323" s="7" t="n">
        <v>0.498</v>
      </c>
      <c r="W323" s="7" t="n">
        <v>0.076</v>
      </c>
      <c r="X323" s="7" t="n">
        <v>0.116</v>
      </c>
      <c r="Y323" s="7" t="n">
        <v>-0.008</v>
      </c>
      <c r="Z323" s="7" t="n">
        <v>0.731</v>
      </c>
      <c r="AA323" s="7" t="n">
        <v>0.076</v>
      </c>
      <c r="AB323" s="7" t="n">
        <v>0.245</v>
      </c>
      <c r="AC323" s="7" t="n">
        <v>-0.195</v>
      </c>
      <c r="AD323" s="7" t="n">
        <v>0.138</v>
      </c>
      <c r="AE323" s="7" t="n">
        <v>0.116</v>
      </c>
      <c r="AF323" s="7" t="n">
        <v>0.152</v>
      </c>
      <c r="AG323" s="7" t="n">
        <v>0.332</v>
      </c>
      <c r="AH323" s="7" t="n">
        <v>0.475</v>
      </c>
      <c r="AI323" s="7" t="n">
        <v>0.025</v>
      </c>
      <c r="AJ323" s="7" t="n">
        <v>0.64</v>
      </c>
      <c r="AK323" s="7" t="n">
        <v>0.535</v>
      </c>
      <c r="AL323" s="7" t="n">
        <v>-0.145</v>
      </c>
      <c r="AM323" s="7" t="n">
        <v>0.56</v>
      </c>
      <c r="AN323" s="7" t="n">
        <v>0.247</v>
      </c>
      <c r="AO323" s="7" t="n">
        <v>0.096</v>
      </c>
      <c r="AP323" s="7" t="n">
        <v>0.203</v>
      </c>
      <c r="AQ323" s="7" t="n">
        <v>0.286</v>
      </c>
      <c r="AR323" s="7" t="n">
        <v>-0.002</v>
      </c>
      <c r="AS323" s="7" t="n">
        <v>0.126</v>
      </c>
      <c r="AT323" s="7" t="n">
        <v>0.504</v>
      </c>
      <c r="AU323" s="7" t="n">
        <v>0.145</v>
      </c>
      <c r="AV323" s="7" t="n">
        <v>0.221</v>
      </c>
    </row>
    <row r="324" customFormat="false" ht="15" hidden="false" customHeight="false" outlineLevel="0" collapsed="false">
      <c r="A324" s="19" t="n">
        <v>46641</v>
      </c>
      <c r="B324" s="6" t="n">
        <v>0</v>
      </c>
      <c r="C324" s="6" t="s">
        <v>198</v>
      </c>
      <c r="D324" s="6" t="s">
        <v>199</v>
      </c>
      <c r="E324" s="6" t="s">
        <v>190</v>
      </c>
      <c r="F324" s="6" t="s">
        <v>213</v>
      </c>
      <c r="G324" s="7" t="n">
        <v>-0.005</v>
      </c>
      <c r="H324" s="7" t="n">
        <v>0.006</v>
      </c>
      <c r="I324" s="7" t="n">
        <v>-0.138</v>
      </c>
      <c r="J324" s="7" t="n">
        <v>0.074</v>
      </c>
      <c r="K324" s="7" t="n">
        <v>0.195</v>
      </c>
      <c r="L324" s="7" t="n">
        <v>-0.163</v>
      </c>
      <c r="M324" s="7" t="n">
        <v>-0.343</v>
      </c>
      <c r="N324" s="7" t="n">
        <v>-0.463</v>
      </c>
      <c r="O324" s="7" t="n">
        <v>-0.084</v>
      </c>
      <c r="P324" s="7" t="n">
        <v>-0.044</v>
      </c>
      <c r="Q324" s="7" t="n">
        <v>-0.106</v>
      </c>
      <c r="R324" s="7" t="n">
        <v>-0.054</v>
      </c>
      <c r="S324" s="7" t="n">
        <v>-0.012</v>
      </c>
      <c r="T324" s="7" t="n">
        <v>0.316</v>
      </c>
      <c r="U324" s="7" t="n">
        <v>-0.26</v>
      </c>
      <c r="V324" s="7" t="n">
        <v>-0.096</v>
      </c>
      <c r="W324" s="7" t="n">
        <v>-0.369</v>
      </c>
      <c r="X324" s="7" t="n">
        <v>0.074</v>
      </c>
      <c r="Y324" s="7" t="n">
        <v>-0.469</v>
      </c>
      <c r="Z324" s="7" t="n">
        <v>0.718</v>
      </c>
      <c r="AA324" s="7" t="n">
        <v>-0.351</v>
      </c>
      <c r="AB324" s="7" t="n">
        <v>-0.187</v>
      </c>
      <c r="AC324" s="7" t="n">
        <v>-0.168</v>
      </c>
      <c r="AD324" s="7" t="n">
        <v>0.505</v>
      </c>
      <c r="AE324" s="7" t="n">
        <v>0.074</v>
      </c>
      <c r="AF324" s="7" t="n">
        <v>-0.315</v>
      </c>
      <c r="AG324" s="7" t="n">
        <v>-0.098</v>
      </c>
      <c r="AH324" s="7" t="n">
        <v>-0.187</v>
      </c>
      <c r="AI324" s="7" t="n">
        <v>0.01</v>
      </c>
      <c r="AJ324" s="7" t="n">
        <v>0.04</v>
      </c>
      <c r="AK324" s="7" t="n">
        <v>-0.135</v>
      </c>
      <c r="AL324" s="7" t="n">
        <v>0.102</v>
      </c>
      <c r="AM324" s="7" t="n">
        <v>0.691</v>
      </c>
      <c r="AN324" s="7" t="n">
        <v>-0.225</v>
      </c>
      <c r="AO324" s="7" t="n">
        <v>-0.278</v>
      </c>
      <c r="AP324" s="7" t="n">
        <v>-0.19</v>
      </c>
      <c r="AQ324" s="7" t="n">
        <v>0.37</v>
      </c>
      <c r="AR324" s="7" t="n">
        <v>-0.059</v>
      </c>
      <c r="AS324" s="7" t="n">
        <v>-0.193</v>
      </c>
      <c r="AT324" s="7" t="n">
        <v>0.638</v>
      </c>
      <c r="AU324" s="7" t="n">
        <v>0.145</v>
      </c>
      <c r="AV324" s="7" t="n">
        <v>-0.203</v>
      </c>
    </row>
    <row r="325" customFormat="false" ht="15" hidden="false" customHeight="false" outlineLevel="0" collapsed="false">
      <c r="A325" s="19" t="n">
        <v>46642</v>
      </c>
      <c r="B325" s="6" t="n">
        <v>0</v>
      </c>
      <c r="C325" s="6" t="s">
        <v>198</v>
      </c>
      <c r="D325" s="6" t="s">
        <v>200</v>
      </c>
      <c r="E325" s="6" t="s">
        <v>190</v>
      </c>
      <c r="F325" s="6" t="s">
        <v>213</v>
      </c>
      <c r="G325" s="7" t="n">
        <v>-0.136</v>
      </c>
      <c r="H325" s="7" t="n">
        <v>-0.203</v>
      </c>
      <c r="I325" s="7" t="n">
        <v>-0.163</v>
      </c>
      <c r="J325" s="7" t="n">
        <v>0.046</v>
      </c>
      <c r="K325" s="7" t="n">
        <v>0.179</v>
      </c>
      <c r="L325" s="7" t="n">
        <v>-0.206</v>
      </c>
      <c r="M325" s="7" t="n">
        <v>-0.35</v>
      </c>
      <c r="N325" s="7" t="n">
        <v>-0.605</v>
      </c>
      <c r="O325" s="7" t="n">
        <v>-0.084</v>
      </c>
      <c r="P325" s="7" t="n">
        <v>-0.072</v>
      </c>
      <c r="Q325" s="7" t="n">
        <v>-0.301</v>
      </c>
      <c r="R325" s="7" t="n">
        <v>-0.082</v>
      </c>
      <c r="S325" s="7" t="n">
        <v>-0.24</v>
      </c>
      <c r="T325" s="7" t="n">
        <v>-0.371</v>
      </c>
      <c r="U325" s="7" t="n">
        <v>-0.232</v>
      </c>
      <c r="V325" s="7" t="n">
        <v>-0.042</v>
      </c>
      <c r="W325" s="7" t="n">
        <v>-0.382</v>
      </c>
      <c r="X325" s="7" t="n">
        <v>0.046</v>
      </c>
      <c r="Y325" s="7" t="n">
        <v>-0.451</v>
      </c>
      <c r="Z325" s="7" t="n">
        <v>0.142</v>
      </c>
      <c r="AA325" s="7" t="n">
        <v>-0.368</v>
      </c>
      <c r="AB325" s="7" t="n">
        <v>-0.187</v>
      </c>
      <c r="AC325" s="7" t="n">
        <v>-0.193</v>
      </c>
      <c r="AD325" s="7" t="n">
        <v>0.036</v>
      </c>
      <c r="AE325" s="7" t="n">
        <v>0.046</v>
      </c>
      <c r="AF325" s="7" t="n">
        <v>-0.309</v>
      </c>
      <c r="AG325" s="7" t="n">
        <v>-0.37</v>
      </c>
      <c r="AH325" s="7" t="n">
        <v>-0.16</v>
      </c>
      <c r="AI325" s="7" t="n">
        <v>-0.043</v>
      </c>
      <c r="AJ325" s="7" t="n">
        <v>0.04</v>
      </c>
      <c r="AK325" s="7" t="n">
        <v>-0.109</v>
      </c>
      <c r="AL325" s="7" t="n">
        <v>-0.376</v>
      </c>
      <c r="AM325" s="7" t="n">
        <v>0.329</v>
      </c>
      <c r="AN325" s="7" t="n">
        <v>-0.395</v>
      </c>
      <c r="AO325" s="7" t="n">
        <v>-0.49</v>
      </c>
      <c r="AP325" s="7" t="n">
        <v>-0.393</v>
      </c>
      <c r="AQ325" s="7" t="n">
        <v>-0.122</v>
      </c>
      <c r="AR325" s="7" t="n">
        <v>-0.322</v>
      </c>
      <c r="AS325" s="7" t="n">
        <v>-0.177</v>
      </c>
      <c r="AT325" s="7" t="n">
        <v>0.248</v>
      </c>
      <c r="AU325" s="7" t="n">
        <v>0.116</v>
      </c>
      <c r="AV325" s="7" t="n">
        <v>-0.176</v>
      </c>
    </row>
    <row r="326" customFormat="false" ht="15" hidden="false" customHeight="false" outlineLevel="0" collapsed="false">
      <c r="A326" s="19" t="n">
        <v>46643</v>
      </c>
      <c r="B326" s="6" t="n">
        <v>1</v>
      </c>
      <c r="C326" s="6" t="s">
        <v>198</v>
      </c>
      <c r="D326" s="6" t="s">
        <v>201</v>
      </c>
      <c r="E326" s="6" t="s">
        <v>190</v>
      </c>
      <c r="F326" s="6" t="s">
        <v>213</v>
      </c>
      <c r="G326" s="7" t="n">
        <v>-0.272</v>
      </c>
      <c r="H326" s="7" t="n">
        <v>0.096</v>
      </c>
      <c r="I326" s="7" t="n">
        <v>-0.583</v>
      </c>
      <c r="J326" s="7" t="n">
        <v>0.054</v>
      </c>
      <c r="K326" s="7" t="n">
        <v>0.159</v>
      </c>
      <c r="L326" s="7" t="n">
        <v>-0.589</v>
      </c>
      <c r="M326" s="7" t="n">
        <v>-0.569</v>
      </c>
      <c r="N326" s="7" t="n">
        <v>-0.62</v>
      </c>
      <c r="O326" s="7" t="n">
        <v>-0.114</v>
      </c>
      <c r="P326" s="7" t="n">
        <v>-0.064</v>
      </c>
      <c r="Q326" s="7" t="n">
        <v>-0.1</v>
      </c>
      <c r="R326" s="7" t="n">
        <v>-0.098</v>
      </c>
      <c r="S326" s="7" t="n">
        <v>-0.027</v>
      </c>
      <c r="T326" s="7" t="n">
        <v>-0.442</v>
      </c>
      <c r="U326" s="7" t="n">
        <v>-0.579</v>
      </c>
      <c r="V326" s="7" t="n">
        <v>-0.043</v>
      </c>
      <c r="W326" s="7" t="n">
        <v>-0.577</v>
      </c>
      <c r="X326" s="7" t="n">
        <v>0.054</v>
      </c>
      <c r="Y326" s="7" t="n">
        <v>-0.42</v>
      </c>
      <c r="Z326" s="7" t="n">
        <v>0.15</v>
      </c>
      <c r="AA326" s="7" t="n">
        <v>-0.566</v>
      </c>
      <c r="AB326" s="7" t="n">
        <v>-0.187</v>
      </c>
      <c r="AC326" s="7" t="n">
        <v>-0.566</v>
      </c>
      <c r="AD326" s="7" t="n">
        <v>0.042</v>
      </c>
      <c r="AE326" s="7" t="n">
        <v>0.054</v>
      </c>
      <c r="AF326" s="7" t="n">
        <v>-0.262</v>
      </c>
      <c r="AG326" s="7" t="n">
        <v>-0.127</v>
      </c>
      <c r="AH326" s="7" t="n">
        <v>-0.16</v>
      </c>
      <c r="AI326" s="7" t="n">
        <v>-0.387</v>
      </c>
      <c r="AJ326" s="7" t="n">
        <v>0.022</v>
      </c>
      <c r="AK326" s="7" t="n">
        <v>-0.109</v>
      </c>
      <c r="AL326" s="7" t="n">
        <v>-0.346</v>
      </c>
      <c r="AM326" s="7" t="n">
        <v>0.303</v>
      </c>
      <c r="AN326" s="7" t="n">
        <v>-0.203</v>
      </c>
      <c r="AO326" s="7" t="n">
        <v>-0.539</v>
      </c>
      <c r="AP326" s="7" t="n">
        <v>-0.117</v>
      </c>
      <c r="AQ326" s="7" t="n">
        <v>-0.393</v>
      </c>
      <c r="AR326" s="7" t="n">
        <v>-0.063</v>
      </c>
      <c r="AS326" s="7" t="n">
        <v>-0.478</v>
      </c>
      <c r="AT326" s="7" t="n">
        <v>0.232</v>
      </c>
      <c r="AU326" s="7" t="n">
        <v>0.125</v>
      </c>
      <c r="AV326" s="7" t="n">
        <v>-0.176</v>
      </c>
    </row>
    <row r="327" customFormat="false" ht="15" hidden="false" customHeight="false" outlineLevel="0" collapsed="false">
      <c r="A327" s="19" t="n">
        <v>46644</v>
      </c>
      <c r="B327" s="6" t="n">
        <v>1</v>
      </c>
      <c r="C327" s="6" t="s">
        <v>202</v>
      </c>
      <c r="D327" s="6" t="s">
        <v>203</v>
      </c>
      <c r="E327" s="6" t="s">
        <v>190</v>
      </c>
      <c r="F327" s="6" t="s">
        <v>213</v>
      </c>
      <c r="G327" s="7" t="n">
        <v>0.199</v>
      </c>
      <c r="H327" s="7" t="n">
        <v>0.282</v>
      </c>
      <c r="I327" s="7" t="n">
        <v>-0.137</v>
      </c>
      <c r="J327" s="7" t="n">
        <v>0.016</v>
      </c>
      <c r="K327" s="7" t="n">
        <v>0.331</v>
      </c>
      <c r="L327" s="7" t="n">
        <v>0.003</v>
      </c>
      <c r="M327" s="7" t="n">
        <v>0.28</v>
      </c>
      <c r="N327" s="7" t="n">
        <v>-0.064</v>
      </c>
      <c r="O327" s="7" t="n">
        <v>0.022</v>
      </c>
      <c r="P327" s="7" t="n">
        <v>0.069</v>
      </c>
      <c r="Q327" s="7" t="n">
        <v>0.006</v>
      </c>
      <c r="R327" s="7" t="n">
        <v>-0.055</v>
      </c>
      <c r="S327" s="7" t="n">
        <v>-0.153</v>
      </c>
      <c r="T327" s="7" t="n">
        <v>-0.122</v>
      </c>
      <c r="U327" s="7" t="n">
        <v>-0.161</v>
      </c>
      <c r="V327" s="7" t="n">
        <v>-0.04</v>
      </c>
      <c r="W327" s="7" t="n">
        <v>0.279</v>
      </c>
      <c r="X327" s="7" t="n">
        <v>-0.131</v>
      </c>
      <c r="Y327" s="7" t="n">
        <v>-0.34</v>
      </c>
      <c r="Z327" s="7" t="n">
        <v>0.714</v>
      </c>
      <c r="AA327" s="7" t="n">
        <v>0.301</v>
      </c>
      <c r="AB327" s="7" t="n">
        <v>-0.168</v>
      </c>
      <c r="AC327" s="7" t="n">
        <v>-0.17</v>
      </c>
      <c r="AD327" s="7" t="n">
        <v>0.472</v>
      </c>
      <c r="AE327" s="7" t="n">
        <v>0.103</v>
      </c>
      <c r="AF327" s="7" t="n">
        <v>0.328</v>
      </c>
      <c r="AG327" s="7" t="n">
        <v>0.008</v>
      </c>
      <c r="AH327" s="7" t="n">
        <v>-0.161</v>
      </c>
      <c r="AI327" s="7" t="n">
        <v>0.42</v>
      </c>
      <c r="AJ327" s="7" t="n">
        <v>0.11</v>
      </c>
      <c r="AK327" s="7" t="n">
        <v>-0.069</v>
      </c>
      <c r="AL327" s="7" t="n">
        <v>-0.264</v>
      </c>
      <c r="AM327" s="7" t="n">
        <v>0.333</v>
      </c>
      <c r="AN327" s="7" t="n">
        <v>-0.071</v>
      </c>
      <c r="AO327" s="7" t="n">
        <v>-0.057</v>
      </c>
      <c r="AP327" s="7" t="n">
        <v>0.031</v>
      </c>
      <c r="AQ327" s="7" t="n">
        <v>-0.063</v>
      </c>
      <c r="AR327" s="7" t="n">
        <v>0.032</v>
      </c>
      <c r="AS327" s="7" t="n">
        <v>0.323</v>
      </c>
      <c r="AT327" s="7" t="n">
        <v>0.258</v>
      </c>
      <c r="AU327" s="7" t="n">
        <v>0.131</v>
      </c>
      <c r="AV327" s="7" t="n">
        <v>-0.131</v>
      </c>
    </row>
    <row r="328" customFormat="false" ht="15" hidden="false" customHeight="false" outlineLevel="0" collapsed="false">
      <c r="A328" s="19" t="n">
        <v>46645</v>
      </c>
      <c r="B328" s="6" t="n">
        <v>1</v>
      </c>
      <c r="C328" s="6" t="s">
        <v>202</v>
      </c>
      <c r="D328" s="6" t="s">
        <v>204</v>
      </c>
      <c r="E328" s="6" t="s">
        <v>190</v>
      </c>
      <c r="F328" s="6" t="s">
        <v>213</v>
      </c>
      <c r="G328" s="7" t="n">
        <v>0.35</v>
      </c>
      <c r="H328" s="7" t="n">
        <v>0.55</v>
      </c>
      <c r="I328" s="7" t="n">
        <v>-0.133</v>
      </c>
      <c r="J328" s="7" t="n">
        <v>-0.033</v>
      </c>
      <c r="K328" s="7" t="n">
        <v>0.613</v>
      </c>
      <c r="L328" s="7" t="n">
        <v>0.025</v>
      </c>
      <c r="M328" s="7" t="n">
        <v>-0.076</v>
      </c>
      <c r="N328" s="7" t="n">
        <v>-0.048</v>
      </c>
      <c r="O328" s="7" t="n">
        <v>0.418</v>
      </c>
      <c r="P328" s="7" t="n">
        <v>0.135</v>
      </c>
      <c r="Q328" s="7" t="n">
        <v>0.011</v>
      </c>
      <c r="R328" s="7" t="n">
        <v>0.467</v>
      </c>
      <c r="S328" s="7" t="n">
        <v>0.562</v>
      </c>
      <c r="T328" s="7" t="n">
        <v>0.419</v>
      </c>
      <c r="U328" s="7" t="n">
        <v>-0.136</v>
      </c>
      <c r="V328" s="7" t="n">
        <v>-0.019</v>
      </c>
      <c r="W328" s="7" t="n">
        <v>-0.078</v>
      </c>
      <c r="X328" s="7" t="n">
        <v>-0.113</v>
      </c>
      <c r="Y328" s="7" t="n">
        <v>-0.318</v>
      </c>
      <c r="Z328" s="7" t="n">
        <v>0.273</v>
      </c>
      <c r="AA328" s="7" t="n">
        <v>-0.004</v>
      </c>
      <c r="AB328" s="7" t="n">
        <v>-0.169</v>
      </c>
      <c r="AC328" s="7" t="n">
        <v>-0.168</v>
      </c>
      <c r="AD328" s="7" t="n">
        <v>0.078</v>
      </c>
      <c r="AE328" s="7" t="n">
        <v>0.133</v>
      </c>
      <c r="AF328" s="7" t="n">
        <v>-0.023</v>
      </c>
      <c r="AG328" s="7" t="n">
        <v>0.401</v>
      </c>
      <c r="AH328" s="7" t="n">
        <v>-0.142</v>
      </c>
      <c r="AI328" s="7" t="n">
        <v>-0.004</v>
      </c>
      <c r="AJ328" s="7" t="n">
        <v>0.604</v>
      </c>
      <c r="AK328" s="7" t="n">
        <v>-0.007</v>
      </c>
      <c r="AL328" s="7" t="n">
        <v>-0.24</v>
      </c>
      <c r="AM328" s="7" t="n">
        <v>0.65</v>
      </c>
      <c r="AN328" s="7" t="n">
        <v>-0.05</v>
      </c>
      <c r="AO328" s="7" t="n">
        <v>-0.029</v>
      </c>
      <c r="AP328" s="7" t="n">
        <v>0.056</v>
      </c>
      <c r="AQ328" s="7" t="n">
        <v>0.375</v>
      </c>
      <c r="AR328" s="7" t="n">
        <v>0.032</v>
      </c>
      <c r="AS328" s="7" t="n">
        <v>-0.036</v>
      </c>
      <c r="AT328" s="7" t="n">
        <v>0.578</v>
      </c>
      <c r="AU328" s="7" t="n">
        <v>0.117</v>
      </c>
      <c r="AV328" s="7" t="n">
        <v>-0.109</v>
      </c>
    </row>
    <row r="329" customFormat="false" ht="15" hidden="false" customHeight="false" outlineLevel="0" collapsed="false">
      <c r="A329" s="19" t="n">
        <v>46646</v>
      </c>
      <c r="B329" s="6" t="n">
        <v>1</v>
      </c>
      <c r="C329" s="6" t="s">
        <v>205</v>
      </c>
      <c r="D329" s="6" t="s">
        <v>204</v>
      </c>
      <c r="E329" s="6" t="s">
        <v>190</v>
      </c>
      <c r="F329" s="6" t="s">
        <v>213</v>
      </c>
      <c r="G329" s="7" t="n">
        <v>0.164</v>
      </c>
      <c r="H329" s="7" t="n">
        <v>0.237</v>
      </c>
      <c r="I329" s="7" t="n">
        <v>-0.15</v>
      </c>
      <c r="J329" s="7" t="n">
        <v>0.049</v>
      </c>
      <c r="K329" s="7" t="n">
        <v>0.349</v>
      </c>
      <c r="L329" s="7" t="n">
        <v>-0.121</v>
      </c>
      <c r="M329" s="7" t="n">
        <v>0.095</v>
      </c>
      <c r="N329" s="7" t="n">
        <v>-0.125</v>
      </c>
      <c r="O329" s="7" t="n">
        <v>0.034</v>
      </c>
      <c r="P329" s="7" t="n">
        <v>0.04</v>
      </c>
      <c r="Q329" s="7" t="n">
        <v>-0.211</v>
      </c>
      <c r="R329" s="7" t="n">
        <v>0.167</v>
      </c>
      <c r="S329" s="7" t="n">
        <v>0.196</v>
      </c>
      <c r="T329" s="7" t="n">
        <v>0.049</v>
      </c>
      <c r="U329" s="7" t="n">
        <v>-0.309</v>
      </c>
      <c r="V329" s="7" t="n">
        <v>-0.169</v>
      </c>
      <c r="W329" s="7" t="n">
        <v>0.095</v>
      </c>
      <c r="X329" s="7" t="n">
        <v>0.055</v>
      </c>
      <c r="Y329" s="7" t="n">
        <v>-0.029</v>
      </c>
      <c r="Z329" s="7" t="n">
        <v>-0.062</v>
      </c>
      <c r="AA329" s="7" t="n">
        <v>0.095</v>
      </c>
      <c r="AB329" s="7" t="n">
        <v>-0.248</v>
      </c>
      <c r="AC329" s="7" t="n">
        <v>-0.383</v>
      </c>
      <c r="AD329" s="7" t="n">
        <v>-0.01</v>
      </c>
      <c r="AE329" s="7" t="n">
        <v>0.082</v>
      </c>
      <c r="AF329" s="7" t="n">
        <v>0.162</v>
      </c>
      <c r="AG329" s="7" t="n">
        <v>0.09</v>
      </c>
      <c r="AH329" s="7" t="n">
        <v>-0.404</v>
      </c>
      <c r="AI329" s="7" t="n">
        <v>-0.015</v>
      </c>
      <c r="AJ329" s="7" t="n">
        <v>0.238</v>
      </c>
      <c r="AK329" s="7" t="n">
        <v>-0.115</v>
      </c>
      <c r="AL329" s="7" t="n">
        <v>-0.131</v>
      </c>
      <c r="AM329" s="7" t="n">
        <v>0.309</v>
      </c>
      <c r="AN329" s="7" t="n">
        <v>-0.21</v>
      </c>
      <c r="AO329" s="7" t="n">
        <v>-0.088</v>
      </c>
      <c r="AP329" s="7" t="n">
        <v>0.013</v>
      </c>
      <c r="AQ329" s="7" t="n">
        <v>0.039</v>
      </c>
      <c r="AR329" s="7" t="n">
        <v>-0.017</v>
      </c>
      <c r="AS329" s="7" t="n">
        <v>0.14</v>
      </c>
      <c r="AT329" s="7" t="n">
        <v>0.217</v>
      </c>
      <c r="AU329" s="7" t="n">
        <v>0.054</v>
      </c>
      <c r="AV329" s="7" t="n">
        <v>-0.22</v>
      </c>
    </row>
    <row r="330" customFormat="false" ht="15" hidden="false" customHeight="false" outlineLevel="0" collapsed="false">
      <c r="A330" s="19" t="n">
        <v>46647</v>
      </c>
      <c r="B330" s="6" t="n">
        <v>1</v>
      </c>
      <c r="C330" s="6" t="s">
        <v>205</v>
      </c>
      <c r="D330" s="6" t="s">
        <v>206</v>
      </c>
      <c r="E330" s="6" t="s">
        <v>190</v>
      </c>
      <c r="F330" s="6" t="s">
        <v>213</v>
      </c>
      <c r="G330" s="7" t="n">
        <v>-0.236</v>
      </c>
      <c r="H330" s="7" t="n">
        <v>-0.38</v>
      </c>
      <c r="I330" s="7" t="n">
        <v>-0.146</v>
      </c>
      <c r="J330" s="7" t="n">
        <v>0.003</v>
      </c>
      <c r="K330" s="7" t="n">
        <v>0.002</v>
      </c>
      <c r="L330" s="7" t="n">
        <v>-0.176</v>
      </c>
      <c r="M330" s="7" t="n">
        <v>-0.341</v>
      </c>
      <c r="N330" s="7" t="n">
        <v>-0.55</v>
      </c>
      <c r="O330" s="7" t="n">
        <v>-0.259</v>
      </c>
      <c r="P330" s="7" t="n">
        <v>0.046</v>
      </c>
      <c r="Q330" s="7" t="n">
        <v>-0.267</v>
      </c>
      <c r="R330" s="7" t="n">
        <v>-0.163</v>
      </c>
      <c r="S330" s="7" t="n">
        <v>-0.171</v>
      </c>
      <c r="T330" s="7" t="n">
        <v>-0.259</v>
      </c>
      <c r="U330" s="7" t="n">
        <v>-0.365</v>
      </c>
      <c r="V330" s="7" t="n">
        <v>-0.186</v>
      </c>
      <c r="W330" s="7" t="n">
        <v>-0.374</v>
      </c>
      <c r="X330" s="7" t="n">
        <v>0.017</v>
      </c>
      <c r="Y330" s="7" t="n">
        <v>-0.502</v>
      </c>
      <c r="Z330" s="7" t="n">
        <v>-0.136</v>
      </c>
      <c r="AA330" s="7" t="n">
        <v>-0.378</v>
      </c>
      <c r="AB330" s="7" t="n">
        <v>-0.262</v>
      </c>
      <c r="AC330" s="7" t="n">
        <v>-0.418</v>
      </c>
      <c r="AD330" s="7" t="n">
        <v>-0.077</v>
      </c>
      <c r="AE330" s="7" t="n">
        <v>0.05</v>
      </c>
      <c r="AF330" s="7" t="n">
        <v>-0.309</v>
      </c>
      <c r="AG330" s="7" t="n">
        <v>-0.2</v>
      </c>
      <c r="AH330" s="7" t="n">
        <v>-0.419</v>
      </c>
      <c r="AI330" s="7" t="n">
        <v>-0.047</v>
      </c>
      <c r="AJ330" s="7" t="n">
        <v>-0.133</v>
      </c>
      <c r="AK330" s="7" t="n">
        <v>-0.126</v>
      </c>
      <c r="AL330" s="7" t="n">
        <v>-0.127</v>
      </c>
      <c r="AM330" s="7" t="n">
        <v>0.008</v>
      </c>
      <c r="AN330" s="7" t="n">
        <v>-0.224</v>
      </c>
      <c r="AO330" s="7" t="n">
        <v>-0.442</v>
      </c>
      <c r="AP330" s="7" t="n">
        <v>-0.357</v>
      </c>
      <c r="AQ330" s="7" t="n">
        <v>-0.26</v>
      </c>
      <c r="AR330" s="7" t="n">
        <v>-0.017</v>
      </c>
      <c r="AS330" s="7" t="n">
        <v>-0.256</v>
      </c>
      <c r="AT330" s="7" t="n">
        <v>-0.137</v>
      </c>
      <c r="AU330" s="7" t="n">
        <v>0.009</v>
      </c>
      <c r="AV330" s="7" t="n">
        <v>-0.232</v>
      </c>
    </row>
    <row r="331" customFormat="false" ht="15" hidden="false" customHeight="false" outlineLevel="0" collapsed="false">
      <c r="A331" s="19" t="n">
        <v>46648</v>
      </c>
      <c r="B331" s="6" t="n">
        <v>0</v>
      </c>
      <c r="C331" s="6" t="s">
        <v>205</v>
      </c>
      <c r="D331" s="6" t="s">
        <v>207</v>
      </c>
      <c r="E331" s="6" t="s">
        <v>190</v>
      </c>
      <c r="F331" s="6" t="s">
        <v>213</v>
      </c>
      <c r="G331" s="7" t="n">
        <v>0.037</v>
      </c>
      <c r="H331" s="7" t="n">
        <v>0.153</v>
      </c>
      <c r="I331" s="7" t="n">
        <v>-0.119</v>
      </c>
      <c r="J331" s="7" t="n">
        <v>0.209</v>
      </c>
      <c r="K331" s="7" t="n">
        <v>-0.012</v>
      </c>
      <c r="L331" s="7" t="n">
        <v>-0.117</v>
      </c>
      <c r="M331" s="7" t="n">
        <v>0.121</v>
      </c>
      <c r="N331" s="7" t="n">
        <v>0.091</v>
      </c>
      <c r="O331" s="7" t="n">
        <v>-0.1</v>
      </c>
      <c r="P331" s="7" t="n">
        <v>0.433</v>
      </c>
      <c r="Q331" s="7" t="n">
        <v>-0.154</v>
      </c>
      <c r="R331" s="7" t="n">
        <v>-0.064</v>
      </c>
      <c r="S331" s="7" t="n">
        <v>-0.028</v>
      </c>
      <c r="T331" s="7" t="n">
        <v>-0.214</v>
      </c>
      <c r="U331" s="7" t="n">
        <v>-0.287</v>
      </c>
      <c r="V331" s="7" t="n">
        <v>-0.233</v>
      </c>
      <c r="W331" s="7" t="n">
        <v>0.121</v>
      </c>
      <c r="X331" s="7" t="n">
        <v>0.276</v>
      </c>
      <c r="Y331" s="7" t="n">
        <v>-0.035</v>
      </c>
      <c r="Z331" s="7" t="n">
        <v>-0.208</v>
      </c>
      <c r="AA331" s="7" t="n">
        <v>0.121</v>
      </c>
      <c r="AB331" s="7" t="n">
        <v>-0.276</v>
      </c>
      <c r="AC331" s="7" t="n">
        <v>-0.142</v>
      </c>
      <c r="AD331" s="7" t="n">
        <v>-0.16</v>
      </c>
      <c r="AE331" s="7" t="n">
        <v>0.399</v>
      </c>
      <c r="AF331" s="7" t="n">
        <v>0.166</v>
      </c>
      <c r="AG331" s="7" t="n">
        <v>0.027</v>
      </c>
      <c r="AH331" s="7" t="n">
        <v>-0.329</v>
      </c>
      <c r="AI331" s="7" t="n">
        <v>0.26</v>
      </c>
      <c r="AJ331" s="7" t="n">
        <v>0.026</v>
      </c>
      <c r="AK331" s="7" t="n">
        <v>-0.038</v>
      </c>
      <c r="AL331" s="7" t="n">
        <v>-0.124</v>
      </c>
      <c r="AM331" s="7" t="n">
        <v>0.063</v>
      </c>
      <c r="AN331" s="7" t="n">
        <v>-0.241</v>
      </c>
      <c r="AO331" s="7" t="n">
        <v>0.131</v>
      </c>
      <c r="AP331" s="7" t="n">
        <v>0.2</v>
      </c>
      <c r="AQ331" s="7" t="n">
        <v>-0.347</v>
      </c>
      <c r="AR331" s="7" t="n">
        <v>0.005</v>
      </c>
      <c r="AS331" s="7" t="n">
        <v>0.163</v>
      </c>
      <c r="AT331" s="7" t="n">
        <v>0.126</v>
      </c>
      <c r="AU331" s="7" t="n">
        <v>0.143</v>
      </c>
      <c r="AV331" s="7" t="n">
        <v>-0.267</v>
      </c>
    </row>
    <row r="332" customFormat="false" ht="15" hidden="false" customHeight="false" outlineLevel="0" collapsed="false">
      <c r="A332" s="19" t="n">
        <v>46649</v>
      </c>
      <c r="B332" s="6" t="n">
        <v>0</v>
      </c>
      <c r="C332" s="6" t="s">
        <v>169</v>
      </c>
      <c r="D332" s="6" t="s">
        <v>208</v>
      </c>
      <c r="E332" s="6" t="s">
        <v>190</v>
      </c>
      <c r="F332" s="6" t="s">
        <v>213</v>
      </c>
      <c r="G332" s="7" t="n">
        <v>0.049</v>
      </c>
      <c r="H332" s="7" t="n">
        <v>0.019</v>
      </c>
      <c r="I332" s="7" t="n">
        <v>0.141</v>
      </c>
      <c r="J332" s="7" t="n">
        <v>-0.022</v>
      </c>
      <c r="K332" s="7" t="n">
        <v>-0.168</v>
      </c>
      <c r="L332" s="7" t="n">
        <v>0.282</v>
      </c>
      <c r="M332" s="7" t="n">
        <v>0.251</v>
      </c>
      <c r="N332" s="7" t="n">
        <v>0.224</v>
      </c>
      <c r="O332" s="7" t="n">
        <v>-0.053</v>
      </c>
      <c r="P332" s="7" t="n">
        <v>0.074</v>
      </c>
      <c r="Q332" s="7" t="n">
        <v>-0.34</v>
      </c>
      <c r="R332" s="7" t="n">
        <v>-0.34</v>
      </c>
      <c r="S332" s="7" t="n">
        <v>-0.226</v>
      </c>
      <c r="T332" s="7" t="n">
        <v>-0.302</v>
      </c>
      <c r="U332" s="7" t="n">
        <v>-0.05</v>
      </c>
      <c r="V332" s="7" t="n">
        <v>-0.272</v>
      </c>
      <c r="W332" s="7" t="n">
        <v>0.254</v>
      </c>
      <c r="X332" s="7" t="n">
        <v>0.268</v>
      </c>
      <c r="Y332" s="7" t="n">
        <v>-0.319</v>
      </c>
      <c r="Z332" s="7" t="n">
        <v>-0.306</v>
      </c>
      <c r="AA332" s="7" t="n">
        <v>0.265</v>
      </c>
      <c r="AB332" s="7" t="n">
        <v>-0.308</v>
      </c>
      <c r="AC332" s="7" t="n">
        <v>0.144</v>
      </c>
      <c r="AD332" s="7" t="n">
        <v>0.045</v>
      </c>
      <c r="AE332" s="7" t="n">
        <v>0.04</v>
      </c>
      <c r="AF332" s="7" t="n">
        <v>0.137</v>
      </c>
      <c r="AG332" s="7" t="n">
        <v>-0.069</v>
      </c>
      <c r="AH332" s="7" t="n">
        <v>-0.311</v>
      </c>
      <c r="AI332" s="7" t="n">
        <v>0.204</v>
      </c>
      <c r="AJ332" s="7" t="n">
        <v>-0.17</v>
      </c>
      <c r="AK332" s="7" t="n">
        <v>-0.166</v>
      </c>
      <c r="AL332" s="7" t="n">
        <v>0.229</v>
      </c>
      <c r="AM332" s="7" t="n">
        <v>0.099</v>
      </c>
      <c r="AN332" s="7" t="n">
        <v>-0.273</v>
      </c>
      <c r="AO332" s="7" t="n">
        <v>0.276</v>
      </c>
      <c r="AP332" s="7" t="n">
        <v>0.187</v>
      </c>
      <c r="AQ332" s="7" t="n">
        <v>-0.128</v>
      </c>
      <c r="AR332" s="7" t="n">
        <v>-0.026</v>
      </c>
      <c r="AS332" s="7" t="n">
        <v>0.305</v>
      </c>
      <c r="AT332" s="7" t="n">
        <v>0.019</v>
      </c>
      <c r="AU332" s="7" t="n">
        <v>-0.012</v>
      </c>
      <c r="AV332" s="7" t="n">
        <v>-0.274</v>
      </c>
    </row>
    <row r="333" customFormat="false" ht="15" hidden="false" customHeight="false" outlineLevel="0" collapsed="false">
      <c r="A333" s="19" t="n">
        <v>46650</v>
      </c>
      <c r="B333" s="6" t="n">
        <v>1</v>
      </c>
      <c r="C333" s="6" t="s">
        <v>169</v>
      </c>
      <c r="D333" s="6" t="s">
        <v>170</v>
      </c>
      <c r="E333" s="6" t="s">
        <v>190</v>
      </c>
      <c r="F333" s="6" t="s">
        <v>213</v>
      </c>
      <c r="G333" s="7" t="n">
        <v>0.27</v>
      </c>
      <c r="H333" s="7" t="n">
        <v>0.164</v>
      </c>
      <c r="I333" s="7" t="n">
        <v>0.145</v>
      </c>
      <c r="J333" s="7" t="n">
        <v>0.013</v>
      </c>
      <c r="K333" s="7" t="n">
        <v>0.189</v>
      </c>
      <c r="L333" s="7" t="n">
        <v>0.292</v>
      </c>
      <c r="M333" s="7" t="n">
        <v>0.266</v>
      </c>
      <c r="N333" s="7" t="n">
        <v>0.259</v>
      </c>
      <c r="O333" s="7" t="n">
        <v>-0.038</v>
      </c>
      <c r="P333" s="7" t="n">
        <v>0.11</v>
      </c>
      <c r="Q333" s="7" t="n">
        <v>-0.074</v>
      </c>
      <c r="R333" s="7" t="n">
        <v>-0.262</v>
      </c>
      <c r="S333" s="7" t="n">
        <v>0.118</v>
      </c>
      <c r="T333" s="7" t="n">
        <v>-0.127</v>
      </c>
      <c r="U333" s="7" t="n">
        <v>-0.004</v>
      </c>
      <c r="V333" s="7" t="n">
        <v>-0.033</v>
      </c>
      <c r="W333" s="7" t="n">
        <v>0.265</v>
      </c>
      <c r="X333" s="7" t="n">
        <v>0.038</v>
      </c>
      <c r="Y333" s="7" t="n">
        <v>-0.056</v>
      </c>
      <c r="Z333" s="7" t="n">
        <v>-0.039</v>
      </c>
      <c r="AA333" s="7" t="n">
        <v>0.287</v>
      </c>
      <c r="AB333" s="7" t="n">
        <v>-0.121</v>
      </c>
      <c r="AC333" s="7" t="n">
        <v>0.148</v>
      </c>
      <c r="AD333" s="7" t="n">
        <v>0.07</v>
      </c>
      <c r="AE333" s="7" t="n">
        <v>0.076</v>
      </c>
      <c r="AF333" s="7" t="n">
        <v>0.157</v>
      </c>
      <c r="AG333" s="7" t="n">
        <v>-0.055</v>
      </c>
      <c r="AH333" s="7" t="n">
        <v>-0.11</v>
      </c>
      <c r="AI333" s="7" t="n">
        <v>0.231</v>
      </c>
      <c r="AJ333" s="7" t="n">
        <v>0.173</v>
      </c>
      <c r="AK333" s="7" t="n">
        <v>0.225</v>
      </c>
      <c r="AL333" s="7" t="n">
        <v>0.236</v>
      </c>
      <c r="AM333" s="7" t="n">
        <v>0.096</v>
      </c>
      <c r="AN333" s="7" t="n">
        <v>-0.237</v>
      </c>
      <c r="AO333" s="7" t="n">
        <v>0.287</v>
      </c>
      <c r="AP333" s="7" t="n">
        <v>0.209</v>
      </c>
      <c r="AQ333" s="7" t="n">
        <v>-0.102</v>
      </c>
      <c r="AR333" s="7" t="n">
        <v>0.003</v>
      </c>
      <c r="AS333" s="7" t="n">
        <v>0.305</v>
      </c>
      <c r="AT333" s="7" t="n">
        <v>0.041</v>
      </c>
      <c r="AU333" s="7" t="n">
        <v>0.024</v>
      </c>
      <c r="AV333" s="7" t="n">
        <v>-0.262</v>
      </c>
    </row>
    <row r="334" customFormat="false" ht="15" hidden="false" customHeight="false" outlineLevel="0" collapsed="false">
      <c r="A334" s="19" t="n">
        <v>46651</v>
      </c>
      <c r="B334" s="6" t="n">
        <v>1</v>
      </c>
      <c r="C334" s="6" t="s">
        <v>173</v>
      </c>
      <c r="D334" s="6" t="s">
        <v>174</v>
      </c>
      <c r="E334" s="6" t="s">
        <v>190</v>
      </c>
      <c r="F334" s="6" t="s">
        <v>213</v>
      </c>
      <c r="G334" s="7" t="n">
        <v>-0.303</v>
      </c>
      <c r="H334" s="7" t="n">
        <v>-0.113</v>
      </c>
      <c r="I334" s="7" t="n">
        <v>-0.136</v>
      </c>
      <c r="J334" s="7" t="n">
        <v>-0.051</v>
      </c>
      <c r="K334" s="7" t="n">
        <v>-0.292</v>
      </c>
      <c r="L334" s="7" t="n">
        <v>-0.093</v>
      </c>
      <c r="M334" s="7" t="n">
        <v>0.064</v>
      </c>
      <c r="N334" s="7" t="n">
        <v>0.017</v>
      </c>
      <c r="O334" s="7" t="n">
        <v>-0.064</v>
      </c>
      <c r="P334" s="7" t="n">
        <v>0.073</v>
      </c>
      <c r="Q334" s="7" t="n">
        <v>-0.478</v>
      </c>
      <c r="R334" s="7" t="n">
        <v>-0.223</v>
      </c>
      <c r="S334" s="7" t="n">
        <v>-0.309</v>
      </c>
      <c r="T334" s="7" t="n">
        <v>-0.589</v>
      </c>
      <c r="U334" s="7" t="n">
        <v>-0.53</v>
      </c>
      <c r="V334" s="7" t="n">
        <v>-0.394</v>
      </c>
      <c r="W334" s="7" t="n">
        <v>0.075</v>
      </c>
      <c r="X334" s="7" t="n">
        <v>-0.01</v>
      </c>
      <c r="Y334" s="7" t="n">
        <v>-0.016</v>
      </c>
      <c r="Z334" s="7" t="n">
        <v>-0.569</v>
      </c>
      <c r="AA334" s="7" t="n">
        <v>-0.339</v>
      </c>
      <c r="AB334" s="7" t="n">
        <v>-0.45</v>
      </c>
      <c r="AC334" s="7" t="n">
        <v>-0.18</v>
      </c>
      <c r="AD334" s="7" t="n">
        <v>-0.482</v>
      </c>
      <c r="AE334" s="7" t="n">
        <v>0.021</v>
      </c>
      <c r="AF334" s="7" t="n">
        <v>0.137</v>
      </c>
      <c r="AG334" s="7" t="n">
        <v>-0.08</v>
      </c>
      <c r="AH334" s="7" t="n">
        <v>-0.453</v>
      </c>
      <c r="AI334" s="7" t="n">
        <v>0.104</v>
      </c>
      <c r="AJ334" s="7" t="n">
        <v>-0.255</v>
      </c>
      <c r="AK334" s="7" t="n">
        <v>-0.16</v>
      </c>
      <c r="AL334" s="7" t="n">
        <v>-0.463</v>
      </c>
      <c r="AM334" s="7" t="n">
        <v>-0.232</v>
      </c>
      <c r="AN334" s="7" t="n">
        <v>-0.445</v>
      </c>
      <c r="AO334" s="7" t="n">
        <v>0.121</v>
      </c>
      <c r="AP334" s="7" t="n">
        <v>0.206</v>
      </c>
      <c r="AQ334" s="7" t="n">
        <v>-0.599</v>
      </c>
      <c r="AR334" s="7" t="n">
        <v>-0.018</v>
      </c>
      <c r="AS334" s="7" t="n">
        <v>0.15</v>
      </c>
      <c r="AT334" s="7" t="n">
        <v>-0.351</v>
      </c>
      <c r="AU334" s="7" t="n">
        <v>0.001</v>
      </c>
      <c r="AV334" s="7" t="n">
        <v>-0.451</v>
      </c>
    </row>
    <row r="335" customFormat="false" ht="15" hidden="false" customHeight="false" outlineLevel="0" collapsed="false">
      <c r="A335" s="19" t="n">
        <v>46652</v>
      </c>
      <c r="B335" s="6" t="n">
        <v>1</v>
      </c>
      <c r="C335" s="6" t="s">
        <v>173</v>
      </c>
      <c r="D335" s="6" t="s">
        <v>209</v>
      </c>
      <c r="E335" s="6" t="s">
        <v>190</v>
      </c>
      <c r="F335" s="6" t="s">
        <v>213</v>
      </c>
      <c r="G335" s="7" t="n">
        <v>-0.501</v>
      </c>
      <c r="H335" s="7" t="n">
        <v>-0.415</v>
      </c>
      <c r="I335" s="7" t="n">
        <v>-0.152</v>
      </c>
      <c r="J335" s="7" t="n">
        <v>-0.143</v>
      </c>
      <c r="K335" s="7" t="n">
        <v>-0.491</v>
      </c>
      <c r="L335" s="7" t="n">
        <v>-0.259</v>
      </c>
      <c r="M335" s="7" t="n">
        <v>0.059</v>
      </c>
      <c r="N335" s="7" t="n">
        <v>-0.22</v>
      </c>
      <c r="O335" s="7" t="n">
        <v>-0.155</v>
      </c>
      <c r="P335" s="7" t="n">
        <v>-0.04</v>
      </c>
      <c r="Q335" s="7" t="n">
        <v>-0.663</v>
      </c>
      <c r="R335" s="7" t="n">
        <v>-0.313</v>
      </c>
      <c r="S335" s="7" t="n">
        <v>-0.593</v>
      </c>
      <c r="T335" s="7" t="n">
        <v>-0.568</v>
      </c>
      <c r="U335" s="7" t="n">
        <v>-0.585</v>
      </c>
      <c r="V335" s="7" t="n">
        <v>-0.557</v>
      </c>
      <c r="W335" s="7" t="n">
        <v>0.076</v>
      </c>
      <c r="X335" s="7" t="n">
        <v>-0.084</v>
      </c>
      <c r="Y335" s="7" t="n">
        <v>-0.126</v>
      </c>
      <c r="Z335" s="7" t="n">
        <v>-0.598</v>
      </c>
      <c r="AA335" s="7" t="n">
        <v>0.02</v>
      </c>
      <c r="AB335" s="7" t="n">
        <v>-0.528</v>
      </c>
      <c r="AC335" s="7" t="n">
        <v>-0.231</v>
      </c>
      <c r="AD335" s="7" t="n">
        <v>-0.384</v>
      </c>
      <c r="AE335" s="7" t="n">
        <v>-0.11</v>
      </c>
      <c r="AF335" s="7" t="n">
        <v>0.151</v>
      </c>
      <c r="AG335" s="7" t="n">
        <v>-0.291</v>
      </c>
      <c r="AH335" s="7" t="n">
        <v>-0.545</v>
      </c>
      <c r="AI335" s="7" t="n">
        <v>-0.213</v>
      </c>
      <c r="AJ335" s="7" t="n">
        <v>-0.496</v>
      </c>
      <c r="AK335" s="7" t="n">
        <v>-0.427</v>
      </c>
      <c r="AL335" s="7" t="n">
        <v>-0.217</v>
      </c>
      <c r="AM335" s="7" t="n">
        <v>0.076</v>
      </c>
      <c r="AN335" s="7" t="n">
        <v>-0.5</v>
      </c>
      <c r="AO335" s="7" t="n">
        <v>-0.044</v>
      </c>
      <c r="AP335" s="7" t="n">
        <v>0.064</v>
      </c>
      <c r="AQ335" s="7" t="n">
        <v>-0.512</v>
      </c>
      <c r="AR335" s="7" t="n">
        <v>-0.203</v>
      </c>
      <c r="AS335" s="7" t="n">
        <v>0.162</v>
      </c>
      <c r="AT335" s="7" t="n">
        <v>-0.087</v>
      </c>
      <c r="AU335" s="7" t="n">
        <v>-0.097</v>
      </c>
      <c r="AV335" s="7" t="n">
        <v>-0.422</v>
      </c>
    </row>
    <row r="336" customFormat="false" ht="15" hidden="false" customHeight="false" outlineLevel="0" collapsed="false">
      <c r="A336" s="19" t="n">
        <v>46653</v>
      </c>
      <c r="B336" s="6" t="n">
        <v>1</v>
      </c>
      <c r="C336" s="6" t="s">
        <v>176</v>
      </c>
      <c r="D336" s="6" t="s">
        <v>175</v>
      </c>
      <c r="E336" s="6" t="s">
        <v>190</v>
      </c>
      <c r="F336" s="6" t="s">
        <v>213</v>
      </c>
      <c r="G336" s="7" t="n">
        <v>-0.718</v>
      </c>
      <c r="H336" s="7" t="n">
        <v>-0.144</v>
      </c>
      <c r="I336" s="7" t="n">
        <v>-0.565</v>
      </c>
      <c r="J336" s="7" t="n">
        <v>-0.456</v>
      </c>
      <c r="K336" s="7" t="n">
        <v>-0.45</v>
      </c>
      <c r="L336" s="7" t="n">
        <v>-0.59</v>
      </c>
      <c r="M336" s="7" t="n">
        <v>-0.39</v>
      </c>
      <c r="N336" s="7" t="n">
        <v>-0.525</v>
      </c>
      <c r="O336" s="7" t="n">
        <v>-0.086</v>
      </c>
      <c r="P336" s="7" t="n">
        <v>-0.172</v>
      </c>
      <c r="Q336" s="7" t="n">
        <v>-0.487</v>
      </c>
      <c r="R336" s="7" t="n">
        <v>-0.418</v>
      </c>
      <c r="S336" s="7" t="n">
        <v>-0.465</v>
      </c>
      <c r="T336" s="7" t="n">
        <v>-0.587</v>
      </c>
      <c r="U336" s="7" t="n">
        <v>-0.657</v>
      </c>
      <c r="V336" s="7" t="n">
        <v>-0.348</v>
      </c>
      <c r="W336" s="7" t="n">
        <v>-0.387</v>
      </c>
      <c r="X336" s="7" t="n">
        <v>-0.258</v>
      </c>
      <c r="Y336" s="7" t="n">
        <v>-0.109</v>
      </c>
      <c r="Z336" s="7" t="n">
        <v>-0.517</v>
      </c>
      <c r="AA336" s="7" t="n">
        <v>-0.451</v>
      </c>
      <c r="AB336" s="7" t="n">
        <v>-0.284</v>
      </c>
      <c r="AC336" s="7" t="n">
        <v>-0.559</v>
      </c>
      <c r="AD336" s="7" t="n">
        <v>-0.308</v>
      </c>
      <c r="AE336" s="7" t="n">
        <v>-0.287</v>
      </c>
      <c r="AF336" s="7" t="n">
        <v>0.192</v>
      </c>
      <c r="AG336" s="7" t="n">
        <v>-0.163</v>
      </c>
      <c r="AH336" s="7" t="n">
        <v>-0.315</v>
      </c>
      <c r="AI336" s="7" t="n">
        <v>-0.622</v>
      </c>
      <c r="AJ336" s="7" t="n">
        <v>-0.422</v>
      </c>
      <c r="AK336" s="7" t="n">
        <v>-0.361</v>
      </c>
      <c r="AL336" s="7" t="n">
        <v>-0.262</v>
      </c>
      <c r="AM336" s="7" t="n">
        <v>0.111</v>
      </c>
      <c r="AN336" s="7" t="n">
        <v>-0.303</v>
      </c>
      <c r="AO336" s="7" t="n">
        <v>-0.398</v>
      </c>
      <c r="AP336" s="7" t="n">
        <v>0.207</v>
      </c>
      <c r="AQ336" s="7" t="n">
        <v>-0.595</v>
      </c>
      <c r="AR336" s="7" t="n">
        <v>-0.05</v>
      </c>
      <c r="AS336" s="7" t="n">
        <v>-0.337</v>
      </c>
      <c r="AT336" s="7" t="n">
        <v>-0.157</v>
      </c>
      <c r="AU336" s="7" t="n">
        <v>-0.167</v>
      </c>
      <c r="AV336" s="7" t="n">
        <v>-0.279</v>
      </c>
    </row>
    <row r="337" customFormat="false" ht="15" hidden="false" customHeight="false" outlineLevel="0" collapsed="false">
      <c r="A337" s="19" t="n">
        <v>46654</v>
      </c>
      <c r="B337" s="6" t="n">
        <v>1</v>
      </c>
      <c r="C337" s="6" t="s">
        <v>176</v>
      </c>
      <c r="D337" s="6" t="s">
        <v>177</v>
      </c>
      <c r="E337" s="6" t="s">
        <v>190</v>
      </c>
      <c r="F337" s="6" t="s">
        <v>213</v>
      </c>
      <c r="G337" s="7" t="n">
        <v>-0.302</v>
      </c>
      <c r="H337" s="7" t="n">
        <v>-0.147</v>
      </c>
      <c r="I337" s="7" t="n">
        <v>-0.125</v>
      </c>
      <c r="J337" s="7" t="n">
        <v>-0.44</v>
      </c>
      <c r="K337" s="7" t="n">
        <v>-0.418</v>
      </c>
      <c r="L337" s="7" t="n">
        <v>-0.112</v>
      </c>
      <c r="M337" s="7" t="n">
        <v>0.341</v>
      </c>
      <c r="N337" s="7" t="n">
        <v>0.035</v>
      </c>
      <c r="O337" s="7" t="n">
        <v>-0.053</v>
      </c>
      <c r="P337" s="7" t="n">
        <v>0.042</v>
      </c>
      <c r="Q337" s="7" t="n">
        <v>-0.512</v>
      </c>
      <c r="R337" s="7" t="n">
        <v>-0.473</v>
      </c>
      <c r="S337" s="7" t="n">
        <v>-0.468</v>
      </c>
      <c r="T337" s="7" t="n">
        <v>-0.319</v>
      </c>
      <c r="U337" s="7" t="n">
        <v>-0.439</v>
      </c>
      <c r="V337" s="7" t="n">
        <v>-0.349</v>
      </c>
      <c r="W337" s="7" t="n">
        <v>0.339</v>
      </c>
      <c r="X337" s="7" t="n">
        <v>-0.179</v>
      </c>
      <c r="Y337" s="7" t="n">
        <v>-0.108</v>
      </c>
      <c r="Z337" s="7" t="n">
        <v>-0.237</v>
      </c>
      <c r="AA337" s="7" t="n">
        <v>0.291</v>
      </c>
      <c r="AB337" s="7" t="n">
        <v>-0.284</v>
      </c>
      <c r="AC337" s="7" t="n">
        <v>-0.158</v>
      </c>
      <c r="AD337" s="7" t="n">
        <v>0.152</v>
      </c>
      <c r="AE337" s="7" t="n">
        <v>-0.166</v>
      </c>
      <c r="AF337" s="7" t="n">
        <v>0.377</v>
      </c>
      <c r="AG337" s="7" t="n">
        <v>-0.167</v>
      </c>
      <c r="AH337" s="7" t="n">
        <v>-0.314</v>
      </c>
      <c r="AI337" s="7" t="n">
        <v>0.083</v>
      </c>
      <c r="AJ337" s="7" t="n">
        <v>-0.424</v>
      </c>
      <c r="AK337" s="7" t="n">
        <v>-0.314</v>
      </c>
      <c r="AL337" s="7" t="n">
        <v>-0.087</v>
      </c>
      <c r="AM337" s="7" t="n">
        <v>0.075</v>
      </c>
      <c r="AN337" s="7" t="n">
        <v>-0.283</v>
      </c>
      <c r="AO337" s="7" t="n">
        <v>0.144</v>
      </c>
      <c r="AP337" s="7" t="n">
        <v>0.225</v>
      </c>
      <c r="AQ337" s="7" t="n">
        <v>-0.38</v>
      </c>
      <c r="AR337" s="7" t="n">
        <v>-0.023</v>
      </c>
      <c r="AS337" s="7" t="n">
        <v>0.371</v>
      </c>
      <c r="AT337" s="7" t="n">
        <v>-0.22</v>
      </c>
      <c r="AU337" s="7" t="n">
        <v>-0.231</v>
      </c>
      <c r="AV337" s="7" t="n">
        <v>-0.281</v>
      </c>
    </row>
    <row r="338" customFormat="false" ht="15" hidden="false" customHeight="false" outlineLevel="0" collapsed="false">
      <c r="A338" s="19" t="n">
        <v>46655</v>
      </c>
      <c r="B338" s="6" t="n">
        <v>0</v>
      </c>
      <c r="C338" s="6" t="s">
        <v>180</v>
      </c>
      <c r="D338" s="6" t="s">
        <v>178</v>
      </c>
      <c r="E338" s="6" t="s">
        <v>190</v>
      </c>
      <c r="F338" s="6" t="s">
        <v>213</v>
      </c>
      <c r="G338" s="7" t="n">
        <v>-0.323</v>
      </c>
      <c r="H338" s="7" t="n">
        <v>-0.17</v>
      </c>
      <c r="I338" s="7" t="n">
        <v>-0.103</v>
      </c>
      <c r="J338" s="7" t="n">
        <v>-0.187</v>
      </c>
      <c r="K338" s="7" t="n">
        <v>-0.245</v>
      </c>
      <c r="L338" s="7" t="n">
        <v>-0.335</v>
      </c>
      <c r="M338" s="7" t="n">
        <v>0.168</v>
      </c>
      <c r="N338" s="7" t="n">
        <v>-0.271</v>
      </c>
      <c r="O338" s="7" t="n">
        <v>-0.186</v>
      </c>
      <c r="P338" s="7" t="n">
        <v>-0.047</v>
      </c>
      <c r="Q338" s="7" t="n">
        <v>-0.508</v>
      </c>
      <c r="R338" s="7" t="n">
        <v>-0.294</v>
      </c>
      <c r="S338" s="7" t="n">
        <v>-0.451</v>
      </c>
      <c r="T338" s="7" t="n">
        <v>-0.415</v>
      </c>
      <c r="U338" s="7" t="n">
        <v>-0.367</v>
      </c>
      <c r="V338" s="7" t="n">
        <v>-0.289</v>
      </c>
      <c r="W338" s="7" t="n">
        <v>0.168</v>
      </c>
      <c r="X338" s="7" t="n">
        <v>-0.088</v>
      </c>
      <c r="Y338" s="7" t="n">
        <v>-0.107</v>
      </c>
      <c r="Z338" s="7" t="n">
        <v>-0.398</v>
      </c>
      <c r="AA338" s="7" t="n">
        <v>0</v>
      </c>
      <c r="AB338" s="7" t="n">
        <v>-0.218</v>
      </c>
      <c r="AC338" s="7" t="n">
        <v>-0.135</v>
      </c>
      <c r="AD338" s="7" t="n">
        <v>-0.37</v>
      </c>
      <c r="AE338" s="7" t="n">
        <v>-0.116</v>
      </c>
      <c r="AF338" s="7" t="n">
        <v>0.207</v>
      </c>
      <c r="AG338" s="7" t="n">
        <v>-0.327</v>
      </c>
      <c r="AH338" s="7" t="n">
        <v>-0.25</v>
      </c>
      <c r="AI338" s="7" t="n">
        <v>-0.202</v>
      </c>
      <c r="AJ338" s="7" t="n">
        <v>-0.249</v>
      </c>
      <c r="AK338" s="7" t="n">
        <v>-0.2</v>
      </c>
      <c r="AL338" s="7" t="n">
        <v>-0.126</v>
      </c>
      <c r="AM338" s="7" t="n">
        <v>0.074</v>
      </c>
      <c r="AN338" s="7" t="n">
        <v>-0.388</v>
      </c>
      <c r="AO338" s="7" t="n">
        <v>-0.016</v>
      </c>
      <c r="AP338" s="7" t="n">
        <v>0.053</v>
      </c>
      <c r="AQ338" s="7" t="n">
        <v>-0.306</v>
      </c>
      <c r="AR338" s="7" t="n">
        <v>-0.216</v>
      </c>
      <c r="AS338" s="7" t="n">
        <v>0.205</v>
      </c>
      <c r="AT338" s="7" t="n">
        <v>-0.086</v>
      </c>
      <c r="AU338" s="7" t="n">
        <v>-0.097</v>
      </c>
      <c r="AV338" s="7" t="n">
        <v>-0.219</v>
      </c>
    </row>
    <row r="339" customFormat="false" ht="15" hidden="false" customHeight="false" outlineLevel="0" collapsed="false">
      <c r="A339" s="19" t="n">
        <v>46656</v>
      </c>
      <c r="B339" s="6" t="n">
        <v>0</v>
      </c>
      <c r="C339" s="6" t="s">
        <v>180</v>
      </c>
      <c r="D339" s="6" t="s">
        <v>181</v>
      </c>
      <c r="E339" s="6" t="s">
        <v>190</v>
      </c>
      <c r="F339" s="6" t="s">
        <v>213</v>
      </c>
      <c r="G339" s="7" t="n">
        <v>-0.382</v>
      </c>
      <c r="H339" s="7" t="n">
        <v>-0.174</v>
      </c>
      <c r="I339" s="7" t="n">
        <v>-0.139</v>
      </c>
      <c r="J339" s="7" t="n">
        <v>-0.17</v>
      </c>
      <c r="K339" s="7" t="n">
        <v>-0.244</v>
      </c>
      <c r="L339" s="7" t="n">
        <v>-0.428</v>
      </c>
      <c r="M339" s="7" t="n">
        <v>-0.002</v>
      </c>
      <c r="N339" s="7" t="n">
        <v>-0.376</v>
      </c>
      <c r="O339" s="7" t="n">
        <v>-0.225</v>
      </c>
      <c r="P339" s="7" t="n">
        <v>-0.026</v>
      </c>
      <c r="Q339" s="7" t="n">
        <v>-0.531</v>
      </c>
      <c r="R339" s="7" t="n">
        <v>-0.288</v>
      </c>
      <c r="S339" s="7" t="n">
        <v>-0.482</v>
      </c>
      <c r="T339" s="7" t="n">
        <v>-0.439</v>
      </c>
      <c r="U339" s="7" t="n">
        <v>-0.395</v>
      </c>
      <c r="V339" s="7" t="n">
        <v>-0.29</v>
      </c>
      <c r="W339" s="7" t="n">
        <v>-0.041</v>
      </c>
      <c r="X339" s="7" t="n">
        <v>-0.07</v>
      </c>
      <c r="Y339" s="7" t="n">
        <v>-0.229</v>
      </c>
      <c r="Z339" s="7" t="n">
        <v>-0.379</v>
      </c>
      <c r="AA339" s="7" t="n">
        <v>-0.08</v>
      </c>
      <c r="AB339" s="7" t="n">
        <v>-0.218</v>
      </c>
      <c r="AC339" s="7" t="n">
        <v>-0.168</v>
      </c>
      <c r="AD339" s="7" t="n">
        <v>-0.432</v>
      </c>
      <c r="AE339" s="7" t="n">
        <v>-0.095</v>
      </c>
      <c r="AF339" s="7" t="n">
        <v>0.036</v>
      </c>
      <c r="AG339" s="7" t="n">
        <v>-0.347</v>
      </c>
      <c r="AH339" s="7" t="n">
        <v>-0.25</v>
      </c>
      <c r="AI339" s="7" t="n">
        <v>-0.22</v>
      </c>
      <c r="AJ339" s="7" t="n">
        <v>-0.242</v>
      </c>
      <c r="AK339" s="7" t="n">
        <v>-0.2</v>
      </c>
      <c r="AL339" s="7" t="n">
        <v>-0.217</v>
      </c>
      <c r="AM339" s="7" t="n">
        <v>0.074</v>
      </c>
      <c r="AN339" s="7" t="n">
        <v>-0.425</v>
      </c>
      <c r="AO339" s="7" t="n">
        <v>-0.129</v>
      </c>
      <c r="AP339" s="7" t="n">
        <v>-0.023</v>
      </c>
      <c r="AQ339" s="7" t="n">
        <v>-0.337</v>
      </c>
      <c r="AR339" s="7" t="n">
        <v>-0.265</v>
      </c>
      <c r="AS339" s="7" t="n">
        <v>0.166</v>
      </c>
      <c r="AT339" s="7" t="n">
        <v>-0.065</v>
      </c>
      <c r="AU339" s="7" t="n">
        <v>-0.076</v>
      </c>
      <c r="AV339" s="7" t="n">
        <v>-0.219</v>
      </c>
    </row>
    <row r="340" customFormat="false" ht="15" hidden="false" customHeight="false" outlineLevel="0" collapsed="false">
      <c r="A340" s="19" t="n">
        <v>46657</v>
      </c>
      <c r="B340" s="6" t="n">
        <v>1</v>
      </c>
      <c r="C340" s="6" t="s">
        <v>183</v>
      </c>
      <c r="D340" s="6" t="s">
        <v>184</v>
      </c>
      <c r="E340" s="6" t="s">
        <v>190</v>
      </c>
      <c r="F340" s="6" t="s">
        <v>213</v>
      </c>
      <c r="G340" s="7" t="n">
        <v>-0.319</v>
      </c>
      <c r="H340" s="7" t="n">
        <v>-0.016</v>
      </c>
      <c r="I340" s="7" t="n">
        <v>-0.331</v>
      </c>
      <c r="J340" s="7" t="n">
        <v>-0.194</v>
      </c>
      <c r="K340" s="7" t="n">
        <v>-0.261</v>
      </c>
      <c r="L340" s="7" t="n">
        <v>-0.42</v>
      </c>
      <c r="M340" s="7" t="n">
        <v>0.119</v>
      </c>
      <c r="N340" s="7" t="n">
        <v>0.028</v>
      </c>
      <c r="O340" s="7" t="n">
        <v>-0.033</v>
      </c>
      <c r="P340" s="7" t="n">
        <v>-0.048</v>
      </c>
      <c r="Q340" s="7" t="n">
        <v>-0.346</v>
      </c>
      <c r="R340" s="7" t="n">
        <v>-0.301</v>
      </c>
      <c r="S340" s="7" t="n">
        <v>-0.313</v>
      </c>
      <c r="T340" s="7" t="n">
        <v>-0.248</v>
      </c>
      <c r="U340" s="7" t="n">
        <v>-0.465</v>
      </c>
      <c r="V340" s="7" t="n">
        <v>-0.29</v>
      </c>
      <c r="W340" s="7" t="n">
        <v>0.034</v>
      </c>
      <c r="X340" s="7" t="n">
        <v>-0.061</v>
      </c>
      <c r="Y340" s="7" t="n">
        <v>-0.204</v>
      </c>
      <c r="Z340" s="7" t="n">
        <v>-0.447</v>
      </c>
      <c r="AA340" s="7" t="n">
        <v>0.06</v>
      </c>
      <c r="AB340" s="7" t="n">
        <v>-0.218</v>
      </c>
      <c r="AC340" s="7" t="n">
        <v>-0.258</v>
      </c>
      <c r="AD340" s="7" t="n">
        <v>-0.48</v>
      </c>
      <c r="AE340" s="7" t="n">
        <v>-0.117</v>
      </c>
      <c r="AF340" s="7" t="n">
        <v>0.107</v>
      </c>
      <c r="AG340" s="7" t="n">
        <v>-0.065</v>
      </c>
      <c r="AH340" s="7" t="n">
        <v>-0.25</v>
      </c>
      <c r="AI340" s="7" t="n">
        <v>-0.245</v>
      </c>
      <c r="AJ340" s="7" t="n">
        <v>-0.257</v>
      </c>
      <c r="AK340" s="7" t="n">
        <v>-0.2</v>
      </c>
      <c r="AL340" s="7" t="n">
        <v>-0.221</v>
      </c>
      <c r="AM340" s="7" t="n">
        <v>0.083</v>
      </c>
      <c r="AN340" s="7" t="n">
        <v>-0.217</v>
      </c>
      <c r="AO340" s="7" t="n">
        <v>0.113</v>
      </c>
      <c r="AP340" s="7" t="n">
        <v>0.207</v>
      </c>
      <c r="AQ340" s="7" t="n">
        <v>-0.334</v>
      </c>
      <c r="AR340" s="7" t="n">
        <v>-0.017</v>
      </c>
      <c r="AS340" s="7" t="n">
        <v>0.155</v>
      </c>
      <c r="AT340" s="7" t="n">
        <v>-0.077</v>
      </c>
      <c r="AU340" s="7" t="n">
        <v>-0.097</v>
      </c>
      <c r="AV340" s="7" t="n">
        <v>-0.219</v>
      </c>
    </row>
    <row r="341" customFormat="false" ht="15" hidden="false" customHeight="false" outlineLevel="0" collapsed="false">
      <c r="A341" s="19" t="n">
        <v>46658</v>
      </c>
      <c r="B341" s="6" t="n">
        <v>1</v>
      </c>
      <c r="C341" s="6" t="s">
        <v>183</v>
      </c>
      <c r="D341" s="6" t="s">
        <v>185</v>
      </c>
      <c r="E341" s="6" t="s">
        <v>190</v>
      </c>
      <c r="F341" s="6" t="s">
        <v>213</v>
      </c>
      <c r="G341" s="7" t="n">
        <v>-0.238</v>
      </c>
      <c r="H341" s="7" t="n">
        <v>-0.13</v>
      </c>
      <c r="I341" s="7" t="n">
        <v>-0.135</v>
      </c>
      <c r="J341" s="7" t="n">
        <v>-0.177</v>
      </c>
      <c r="K341" s="7" t="n">
        <v>-0.211</v>
      </c>
      <c r="L341" s="7" t="n">
        <v>-0.243</v>
      </c>
      <c r="M341" s="7" t="n">
        <v>0.145</v>
      </c>
      <c r="N341" s="7" t="n">
        <v>0.075</v>
      </c>
      <c r="O341" s="7" t="n">
        <v>0.053</v>
      </c>
      <c r="P341" s="7" t="n">
        <v>-0.019</v>
      </c>
      <c r="Q341" s="7" t="n">
        <v>-0.525</v>
      </c>
      <c r="R341" s="7" t="n">
        <v>-0.261</v>
      </c>
      <c r="S341" s="7" t="n">
        <v>-0.381</v>
      </c>
      <c r="T341" s="7" t="n">
        <v>-0.338</v>
      </c>
      <c r="U341" s="7" t="n">
        <v>-0.546</v>
      </c>
      <c r="V341" s="7" t="n">
        <v>-0.489</v>
      </c>
      <c r="W341" s="7" t="n">
        <v>0.145</v>
      </c>
      <c r="X341" s="7" t="n">
        <v>-0.071</v>
      </c>
      <c r="Y341" s="7" t="n">
        <v>-0.108</v>
      </c>
      <c r="Z341" s="7" t="n">
        <v>-0.504</v>
      </c>
      <c r="AA341" s="7" t="n">
        <v>0.078</v>
      </c>
      <c r="AB341" s="7" t="n">
        <v>-0.246</v>
      </c>
      <c r="AC341" s="7" t="n">
        <v>-0.164</v>
      </c>
      <c r="AD341" s="7" t="n">
        <v>-0.252</v>
      </c>
      <c r="AE341" s="7" t="n">
        <v>-0.077</v>
      </c>
      <c r="AF341" s="7" t="n">
        <v>0.209</v>
      </c>
      <c r="AG341" s="7" t="n">
        <v>0.016</v>
      </c>
      <c r="AH341" s="7" t="n">
        <v>-0.468</v>
      </c>
      <c r="AI341" s="7" t="n">
        <v>-0.234</v>
      </c>
      <c r="AJ341" s="7" t="n">
        <v>-0.331</v>
      </c>
      <c r="AK341" s="7" t="n">
        <v>-0.352</v>
      </c>
      <c r="AL341" s="7" t="n">
        <v>-0.22</v>
      </c>
      <c r="AM341" s="7" t="n">
        <v>0.249</v>
      </c>
      <c r="AN341" s="7" t="n">
        <v>-0.394</v>
      </c>
      <c r="AO341" s="7" t="n">
        <v>0.171</v>
      </c>
      <c r="AP341" s="7" t="n">
        <v>0.256</v>
      </c>
      <c r="AQ341" s="7" t="n">
        <v>-0.42</v>
      </c>
      <c r="AR341" s="7" t="n">
        <v>0.02</v>
      </c>
      <c r="AS341" s="7" t="n">
        <v>0.181</v>
      </c>
      <c r="AT341" s="7" t="n">
        <v>0.098</v>
      </c>
      <c r="AU341" s="7" t="n">
        <v>-0.087</v>
      </c>
      <c r="AV341" s="7" t="n">
        <v>-0.417</v>
      </c>
    </row>
    <row r="342" customFormat="false" ht="15" hidden="false" customHeight="false" outlineLevel="0" collapsed="false">
      <c r="A342" s="19" t="n">
        <v>46659</v>
      </c>
      <c r="B342" s="6" t="n">
        <v>1</v>
      </c>
      <c r="C342" s="6" t="s">
        <v>186</v>
      </c>
      <c r="D342" s="6" t="s">
        <v>187</v>
      </c>
      <c r="E342" s="6" t="s">
        <v>190</v>
      </c>
      <c r="F342" s="6" t="s">
        <v>213</v>
      </c>
      <c r="G342" s="7" t="n">
        <v>-0.373</v>
      </c>
      <c r="H342" s="7" t="n">
        <v>-0.176</v>
      </c>
      <c r="I342" s="7" t="n">
        <v>-0.13</v>
      </c>
      <c r="J342" s="7" t="n">
        <v>-0.473</v>
      </c>
      <c r="K342" s="7" t="n">
        <v>-0.294</v>
      </c>
      <c r="L342" s="7" t="n">
        <v>-0.239</v>
      </c>
      <c r="M342" s="7" t="n">
        <v>0.093</v>
      </c>
      <c r="N342" s="7" t="n">
        <v>0.002</v>
      </c>
      <c r="O342" s="7" t="n">
        <v>0.004</v>
      </c>
      <c r="P342" s="7" t="n">
        <v>0.068</v>
      </c>
      <c r="Q342" s="7" t="n">
        <v>-0.461</v>
      </c>
      <c r="R342" s="7" t="n">
        <v>-0.421</v>
      </c>
      <c r="S342" s="7" t="n">
        <v>-0.42</v>
      </c>
      <c r="T342" s="7" t="n">
        <v>-0.508</v>
      </c>
      <c r="U342" s="7" t="n">
        <v>-0.386</v>
      </c>
      <c r="V342" s="7" t="n">
        <v>-0.284</v>
      </c>
      <c r="W342" s="7" t="n">
        <v>0.093</v>
      </c>
      <c r="X342" s="7" t="n">
        <v>-0.202</v>
      </c>
      <c r="Y342" s="7" t="n">
        <v>-0.115</v>
      </c>
      <c r="Z342" s="7" t="n">
        <v>-0.601</v>
      </c>
      <c r="AA342" s="7" t="n">
        <v>0.021</v>
      </c>
      <c r="AB342" s="7" t="n">
        <v>-0.196</v>
      </c>
      <c r="AC342" s="7" t="n">
        <v>-0.159</v>
      </c>
      <c r="AD342" s="7" t="n">
        <v>-0.497</v>
      </c>
      <c r="AE342" s="7" t="n">
        <v>-0.163</v>
      </c>
      <c r="AF342" s="7" t="n">
        <v>0.159</v>
      </c>
      <c r="AG342" s="7" t="n">
        <v>-0.055</v>
      </c>
      <c r="AH342" s="7" t="n">
        <v>-0.242</v>
      </c>
      <c r="AI342" s="7" t="n">
        <v>-0.478</v>
      </c>
      <c r="AJ342" s="7" t="n">
        <v>-0.379</v>
      </c>
      <c r="AK342" s="7" t="n">
        <v>-0.191</v>
      </c>
      <c r="AL342" s="7" t="n">
        <v>-0.489</v>
      </c>
      <c r="AM342" s="7" t="n">
        <v>-0.228</v>
      </c>
      <c r="AN342" s="7" t="n">
        <v>-0.206</v>
      </c>
      <c r="AO342" s="7" t="n">
        <v>0.105</v>
      </c>
      <c r="AP342" s="7" t="n">
        <v>0.191</v>
      </c>
      <c r="AQ342" s="7" t="n">
        <v>-0.527</v>
      </c>
      <c r="AR342" s="7" t="n">
        <v>-0.007</v>
      </c>
      <c r="AS342" s="7" t="n">
        <v>0.128</v>
      </c>
      <c r="AT342" s="7" t="n">
        <v>-0.46</v>
      </c>
      <c r="AU342" s="7" t="n">
        <v>-0.253</v>
      </c>
      <c r="AV342" s="7" t="n">
        <v>-0.215</v>
      </c>
    </row>
    <row r="343" customFormat="false" ht="15" hidden="false" customHeight="false" outlineLevel="0" collapsed="false">
      <c r="A343" s="19" t="n">
        <v>46660</v>
      </c>
      <c r="B343" s="6" t="n">
        <v>1</v>
      </c>
      <c r="C343" s="6" t="s">
        <v>186</v>
      </c>
      <c r="D343" s="6" t="s">
        <v>188</v>
      </c>
      <c r="E343" s="6" t="s">
        <v>190</v>
      </c>
      <c r="F343" s="6" t="s">
        <v>213</v>
      </c>
      <c r="G343" s="7" t="n">
        <v>-0.456</v>
      </c>
      <c r="H343" s="7" t="n">
        <v>-0.315</v>
      </c>
      <c r="I343" s="7" t="n">
        <v>-0.126</v>
      </c>
      <c r="J343" s="7" t="n">
        <v>-0.523</v>
      </c>
      <c r="K343" s="7" t="n">
        <v>-0.366</v>
      </c>
      <c r="L343" s="7" t="n">
        <v>-0.235</v>
      </c>
      <c r="M343" s="7" t="n">
        <v>0.104</v>
      </c>
      <c r="N343" s="7" t="n">
        <v>-0.321</v>
      </c>
      <c r="O343" s="7" t="n">
        <v>-0.076</v>
      </c>
      <c r="P343" s="7" t="n">
        <v>0.094</v>
      </c>
      <c r="Q343" s="7" t="n">
        <v>-0.555</v>
      </c>
      <c r="R343" s="7" t="n">
        <v>-0.422</v>
      </c>
      <c r="S343" s="7" t="n">
        <v>-0.472</v>
      </c>
      <c r="T343" s="7" t="n">
        <v>-0.41</v>
      </c>
      <c r="U343" s="7" t="n">
        <v>-0.334</v>
      </c>
      <c r="V343" s="7" t="n">
        <v>-0.23</v>
      </c>
      <c r="W343" s="7" t="n">
        <v>0.104</v>
      </c>
      <c r="X343" s="7" t="n">
        <v>-0.199</v>
      </c>
      <c r="Y343" s="7" t="n">
        <v>-0.056</v>
      </c>
      <c r="Z343" s="7" t="n">
        <v>-0.487</v>
      </c>
      <c r="AA343" s="7" t="n">
        <v>-0.181</v>
      </c>
      <c r="AB343" s="7" t="n">
        <v>-0.184</v>
      </c>
      <c r="AC343" s="7" t="n">
        <v>-0.155</v>
      </c>
      <c r="AD343" s="7" t="n">
        <v>-0.207</v>
      </c>
      <c r="AE343" s="7" t="n">
        <v>-0.145</v>
      </c>
      <c r="AF343" s="7" t="n">
        <v>0.169</v>
      </c>
      <c r="AG343" s="7" t="n">
        <v>-0.205</v>
      </c>
      <c r="AH343" s="7" t="n">
        <v>-0.231</v>
      </c>
      <c r="AI343" s="7" t="n">
        <v>-0.547</v>
      </c>
      <c r="AJ343" s="7" t="n">
        <v>-0.359</v>
      </c>
      <c r="AK343" s="7" t="n">
        <v>-0.171</v>
      </c>
      <c r="AL343" s="7" t="n">
        <v>-0.217</v>
      </c>
      <c r="AM343" s="7" t="n">
        <v>0.115</v>
      </c>
      <c r="AN343" s="7" t="n">
        <v>-0.376</v>
      </c>
      <c r="AO343" s="7" t="n">
        <v>-0.093</v>
      </c>
      <c r="AP343" s="7" t="n">
        <v>-0.002</v>
      </c>
      <c r="AQ343" s="7" t="n">
        <v>-0.277</v>
      </c>
      <c r="AR343" s="7" t="n">
        <v>-0.221</v>
      </c>
      <c r="AS343" s="7" t="n">
        <v>0.138</v>
      </c>
      <c r="AT343" s="7" t="n">
        <v>-0.25</v>
      </c>
      <c r="AU343" s="7" t="n">
        <v>-0.262</v>
      </c>
      <c r="AV343" s="7" t="n">
        <v>-0.205</v>
      </c>
    </row>
    <row r="344" customFormat="false" ht="15" hidden="false" customHeight="false" outlineLevel="0" collapsed="false">
      <c r="A344" s="19" t="n">
        <v>46661</v>
      </c>
      <c r="B344" s="6" t="n">
        <v>1</v>
      </c>
      <c r="C344" s="6" t="s">
        <v>186</v>
      </c>
      <c r="D344" s="6" t="s">
        <v>189</v>
      </c>
      <c r="E344" s="6" t="s">
        <v>190</v>
      </c>
      <c r="F344" s="6" t="s">
        <v>213</v>
      </c>
      <c r="G344" s="7" t="n">
        <v>-0.557</v>
      </c>
      <c r="H344" s="7" t="n">
        <v>-0.079</v>
      </c>
      <c r="I344" s="7" t="n">
        <v>-0.537</v>
      </c>
      <c r="J344" s="7" t="n">
        <v>-0.426</v>
      </c>
      <c r="K344" s="7" t="n">
        <v>-0.31</v>
      </c>
      <c r="L344" s="7" t="n">
        <v>-0.564</v>
      </c>
      <c r="M344" s="7" t="n">
        <v>-0.455</v>
      </c>
      <c r="N344" s="7" t="n">
        <v>-0.529</v>
      </c>
      <c r="O344" s="7" t="n">
        <v>0.023</v>
      </c>
      <c r="P344" s="7" t="n">
        <v>0.123</v>
      </c>
      <c r="Q344" s="7" t="n">
        <v>-0.419</v>
      </c>
      <c r="R344" s="7" t="n">
        <v>-0.389</v>
      </c>
      <c r="S344" s="7" t="n">
        <v>-0.341</v>
      </c>
      <c r="T344" s="7" t="n">
        <v>-0.529</v>
      </c>
      <c r="U344" s="7" t="n">
        <v>-0.584</v>
      </c>
      <c r="V344" s="7" t="n">
        <v>-0.233</v>
      </c>
      <c r="W344" s="7" t="n">
        <v>-0.441</v>
      </c>
      <c r="X344" s="7" t="n">
        <v>-0.143</v>
      </c>
      <c r="Y344" s="7" t="n">
        <v>-0.071</v>
      </c>
      <c r="Z344" s="7" t="n">
        <v>-0.431</v>
      </c>
      <c r="AA344" s="7" t="n">
        <v>-0.528</v>
      </c>
      <c r="AB344" s="7" t="n">
        <v>-0.172</v>
      </c>
      <c r="AC344" s="7" t="n">
        <v>-0.515</v>
      </c>
      <c r="AD344" s="7" t="n">
        <v>-0.226</v>
      </c>
      <c r="AE344" s="7" t="n">
        <v>-0.074</v>
      </c>
      <c r="AF344" s="7" t="n">
        <v>0.101</v>
      </c>
      <c r="AG344" s="7" t="n">
        <v>-0.024</v>
      </c>
      <c r="AH344" s="7" t="n">
        <v>-0.218</v>
      </c>
      <c r="AI344" s="7" t="n">
        <v>-0.604</v>
      </c>
      <c r="AJ344" s="7" t="n">
        <v>-0.301</v>
      </c>
      <c r="AK344" s="7" t="n">
        <v>-0.139</v>
      </c>
      <c r="AL344" s="7" t="n">
        <v>-0.215</v>
      </c>
      <c r="AM344" s="7" t="n">
        <v>0.089</v>
      </c>
      <c r="AN344" s="7" t="n">
        <v>-0.196</v>
      </c>
      <c r="AO344" s="7" t="n">
        <v>-0.38</v>
      </c>
      <c r="AP344" s="7" t="n">
        <v>0.2</v>
      </c>
      <c r="AQ344" s="7" t="n">
        <v>-0.536</v>
      </c>
      <c r="AR344" s="7" t="n">
        <v>-0.016</v>
      </c>
      <c r="AS344" s="7" t="n">
        <v>-0.36</v>
      </c>
      <c r="AT344" s="7" t="n">
        <v>-0.21</v>
      </c>
      <c r="AU344" s="7" t="n">
        <v>-0.223</v>
      </c>
      <c r="AV344" s="7" t="n">
        <v>-0.195</v>
      </c>
    </row>
    <row r="345" customFormat="false" ht="15" hidden="false" customHeight="false" outlineLevel="0" collapsed="false">
      <c r="A345" s="19" t="n">
        <v>46662</v>
      </c>
      <c r="B345" s="6" t="n">
        <v>0</v>
      </c>
      <c r="C345" s="6" t="s">
        <v>190</v>
      </c>
      <c r="D345" s="6" t="s">
        <v>191</v>
      </c>
      <c r="E345" s="6" t="s">
        <v>190</v>
      </c>
      <c r="F345" s="6" t="s">
        <v>213</v>
      </c>
      <c r="G345" s="7" t="n">
        <v>-0.255</v>
      </c>
      <c r="H345" s="7" t="n">
        <v>-0.069</v>
      </c>
      <c r="I345" s="7" t="n">
        <v>-0.067</v>
      </c>
      <c r="J345" s="7" t="n">
        <v>-0.144</v>
      </c>
      <c r="K345" s="7" t="n">
        <v>-0.24</v>
      </c>
      <c r="L345" s="7" t="n">
        <v>-0.017</v>
      </c>
      <c r="M345" s="7" t="n">
        <v>-0.013</v>
      </c>
      <c r="N345" s="7" t="n">
        <v>-0.048</v>
      </c>
      <c r="O345" s="7" t="n">
        <v>0.003</v>
      </c>
      <c r="P345" s="7" t="n">
        <v>0.096</v>
      </c>
      <c r="Q345" s="7" t="n">
        <v>-0.406</v>
      </c>
      <c r="R345" s="7" t="n">
        <v>-0.262</v>
      </c>
      <c r="S345" s="7" t="n">
        <v>-0.245</v>
      </c>
      <c r="T345" s="7" t="n">
        <v>-0.313</v>
      </c>
      <c r="U345" s="7" t="n">
        <v>-0.374</v>
      </c>
      <c r="V345" s="7" t="n">
        <v>-0.358</v>
      </c>
      <c r="W345" s="7" t="n">
        <v>0.015</v>
      </c>
      <c r="X345" s="7" t="n">
        <v>-0.023</v>
      </c>
      <c r="Y345" s="7" t="n">
        <v>-0.134</v>
      </c>
      <c r="Z345" s="7" t="n">
        <v>-0.381</v>
      </c>
      <c r="AA345" s="7" t="n">
        <v>-0.052</v>
      </c>
      <c r="AB345" s="7" t="n">
        <v>-0.305</v>
      </c>
      <c r="AC345" s="7" t="n">
        <v>-0.097</v>
      </c>
      <c r="AD345" s="7" t="n">
        <v>-0.271</v>
      </c>
      <c r="AE345" s="7" t="n">
        <v>0.084</v>
      </c>
      <c r="AF345" s="7" t="n">
        <v>0.034</v>
      </c>
      <c r="AG345" s="7" t="n">
        <v>-0.03</v>
      </c>
      <c r="AH345" s="7" t="n">
        <v>-0.327</v>
      </c>
      <c r="AI345" s="7" t="n">
        <v>-0.39</v>
      </c>
      <c r="AJ345" s="7" t="n">
        <v>-0.206</v>
      </c>
      <c r="AK345" s="7" t="n">
        <v>-0.144</v>
      </c>
      <c r="AL345" s="7" t="n">
        <v>-0.078</v>
      </c>
      <c r="AM345" s="7" t="n">
        <v>0.071</v>
      </c>
      <c r="AN345" s="7" t="n">
        <v>-0.293</v>
      </c>
      <c r="AO345" s="7" t="n">
        <v>0.122</v>
      </c>
      <c r="AP345" s="7" t="n">
        <v>0.152</v>
      </c>
      <c r="AQ345" s="7" t="n">
        <v>-0.314</v>
      </c>
      <c r="AR345" s="7" t="n">
        <v>-0.049</v>
      </c>
      <c r="AS345" s="7" t="n">
        <v>0.128</v>
      </c>
      <c r="AT345" s="7" t="n">
        <v>-0.052</v>
      </c>
      <c r="AU345" s="7" t="n">
        <v>-0.065</v>
      </c>
      <c r="AV345" s="7" t="n">
        <v>-0.265</v>
      </c>
    </row>
    <row r="346" customFormat="false" ht="15" hidden="false" customHeight="false" outlineLevel="0" collapsed="false">
      <c r="A346" s="19" t="n">
        <v>46663</v>
      </c>
      <c r="B346" s="6" t="n">
        <v>0</v>
      </c>
      <c r="C346" s="6" t="s">
        <v>190</v>
      </c>
      <c r="D346" s="6" t="s">
        <v>192</v>
      </c>
      <c r="E346" s="6" t="s">
        <v>190</v>
      </c>
      <c r="F346" s="6" t="s">
        <v>213</v>
      </c>
      <c r="G346" s="7" t="n">
        <v>-0.169</v>
      </c>
      <c r="H346" s="7" t="n">
        <v>-0.025</v>
      </c>
      <c r="I346" s="7" t="n">
        <v>-0.073</v>
      </c>
      <c r="J346" s="7" t="n">
        <v>-0.111</v>
      </c>
      <c r="K346" s="7" t="n">
        <v>-0.23</v>
      </c>
      <c r="L346" s="7" t="n">
        <v>0.023</v>
      </c>
      <c r="M346" s="7" t="n">
        <v>0.133</v>
      </c>
      <c r="N346" s="7" t="n">
        <v>0.071</v>
      </c>
      <c r="O346" s="7" t="n">
        <v>0.079</v>
      </c>
      <c r="P346" s="7" t="n">
        <v>0.132</v>
      </c>
      <c r="Q346" s="7" t="n">
        <v>-0.403</v>
      </c>
      <c r="R346" s="7" t="n">
        <v>-0.199</v>
      </c>
      <c r="S346" s="7" t="n">
        <v>-0.234</v>
      </c>
      <c r="T346" s="7" t="n">
        <v>-0.338</v>
      </c>
      <c r="U346" s="7" t="n">
        <v>-0.4</v>
      </c>
      <c r="V346" s="7" t="n">
        <v>-0.381</v>
      </c>
      <c r="W346" s="7" t="n">
        <v>0.133</v>
      </c>
      <c r="X346" s="7" t="n">
        <v>0.01</v>
      </c>
      <c r="Y346" s="7" t="n">
        <v>-0.125</v>
      </c>
      <c r="Z346" s="7" t="n">
        <v>-0.363</v>
      </c>
      <c r="AA346" s="7" t="n">
        <v>0.11</v>
      </c>
      <c r="AB346" s="7" t="n">
        <v>-0.332</v>
      </c>
      <c r="AC346" s="7" t="n">
        <v>-0.104</v>
      </c>
      <c r="AD346" s="7" t="n">
        <v>-0.014</v>
      </c>
      <c r="AE346" s="7" t="n">
        <v>0.119</v>
      </c>
      <c r="AF346" s="7" t="n">
        <v>0.156</v>
      </c>
      <c r="AG346" s="7" t="n">
        <v>0.048</v>
      </c>
      <c r="AH346" s="7" t="n">
        <v>-0.352</v>
      </c>
      <c r="AI346" s="7" t="n">
        <v>-0.134</v>
      </c>
      <c r="AJ346" s="7" t="n">
        <v>-0.194</v>
      </c>
      <c r="AK346" s="7" t="n">
        <v>-0.146</v>
      </c>
      <c r="AL346" s="7" t="n">
        <v>-0.031</v>
      </c>
      <c r="AM346" s="7" t="n">
        <v>0.071</v>
      </c>
      <c r="AN346" s="7" t="n">
        <v>-0.311</v>
      </c>
      <c r="AO346" s="7" t="n">
        <v>0.133</v>
      </c>
      <c r="AP346" s="7" t="n">
        <v>0.168</v>
      </c>
      <c r="AQ346" s="7" t="n">
        <v>-0.341</v>
      </c>
      <c r="AR346" s="7" t="n">
        <v>-0.04</v>
      </c>
      <c r="AS346" s="7" t="n">
        <v>0.166</v>
      </c>
      <c r="AT346" s="7" t="n">
        <v>-0.017</v>
      </c>
      <c r="AU346" s="7" t="n">
        <v>-0.029</v>
      </c>
      <c r="AV346" s="7" t="n">
        <v>-0.291</v>
      </c>
    </row>
    <row r="347" customFormat="false" ht="15" hidden="false" customHeight="false" outlineLevel="0" collapsed="false">
      <c r="A347" s="19" t="n">
        <v>46664</v>
      </c>
      <c r="B347" s="6" t="n">
        <v>1</v>
      </c>
      <c r="C347" s="6" t="s">
        <v>171</v>
      </c>
      <c r="D347" s="6" t="s">
        <v>193</v>
      </c>
      <c r="E347" s="6" t="s">
        <v>190</v>
      </c>
      <c r="F347" s="6" t="s">
        <v>213</v>
      </c>
      <c r="G347" s="7" t="n">
        <v>0.197</v>
      </c>
      <c r="H347" s="7" t="n">
        <v>0.654</v>
      </c>
      <c r="I347" s="7" t="n">
        <v>-0.409</v>
      </c>
      <c r="J347" s="7" t="n">
        <v>-0.018</v>
      </c>
      <c r="K347" s="7" t="n">
        <v>0.335</v>
      </c>
      <c r="L347" s="7" t="n">
        <v>-0.503</v>
      </c>
      <c r="M347" s="7" t="n">
        <v>0.35</v>
      </c>
      <c r="N347" s="7" t="n">
        <v>0.273</v>
      </c>
      <c r="O347" s="7" t="n">
        <v>-0.008</v>
      </c>
      <c r="P347" s="7" t="n">
        <v>0.15</v>
      </c>
      <c r="Q347" s="7" t="n">
        <v>-0.015</v>
      </c>
      <c r="R347" s="7" t="n">
        <v>-0.216</v>
      </c>
      <c r="S347" s="7" t="n">
        <v>0.108</v>
      </c>
      <c r="T347" s="7" t="n">
        <v>0.005</v>
      </c>
      <c r="U347" s="7" t="n">
        <v>-0.242</v>
      </c>
      <c r="V347" s="7" t="n">
        <v>0.131</v>
      </c>
      <c r="W347" s="7" t="n">
        <v>0.337</v>
      </c>
      <c r="X347" s="7" t="n">
        <v>0.167</v>
      </c>
      <c r="Y347" s="7" t="n">
        <v>0.353</v>
      </c>
      <c r="Z347" s="7" t="n">
        <v>0.228</v>
      </c>
      <c r="AA347" s="7" t="n">
        <v>0.287</v>
      </c>
      <c r="AB347" s="7" t="n">
        <v>-0.037</v>
      </c>
      <c r="AC347" s="7" t="n">
        <v>-0.241</v>
      </c>
      <c r="AD347" s="7" t="n">
        <v>-0.436</v>
      </c>
      <c r="AE347" s="7" t="n">
        <v>0.137</v>
      </c>
      <c r="AF347" s="7" t="n">
        <v>0.386</v>
      </c>
      <c r="AG347" s="7" t="n">
        <v>0.002</v>
      </c>
      <c r="AH347" s="7" t="n">
        <v>0.172</v>
      </c>
      <c r="AI347" s="7" t="n">
        <v>-0.17</v>
      </c>
      <c r="AJ347" s="7" t="n">
        <v>0.211</v>
      </c>
      <c r="AK347" s="7" t="n">
        <v>0.41</v>
      </c>
      <c r="AL347" s="7" t="n">
        <v>-0.099</v>
      </c>
      <c r="AM347" s="7" t="n">
        <v>0.046</v>
      </c>
      <c r="AN347" s="7" t="n">
        <v>-0.016</v>
      </c>
      <c r="AO347" s="7" t="n">
        <v>0.357</v>
      </c>
      <c r="AP347" s="7" t="n">
        <v>0.425</v>
      </c>
      <c r="AQ347" s="7" t="n">
        <v>-0.148</v>
      </c>
      <c r="AR347" s="7" t="n">
        <v>-0.061</v>
      </c>
      <c r="AS347" s="7" t="n">
        <v>0.371</v>
      </c>
      <c r="AT347" s="7" t="n">
        <v>0.001</v>
      </c>
      <c r="AU347" s="7" t="n">
        <v>-0.011</v>
      </c>
      <c r="AV347" s="7" t="n">
        <v>0.032</v>
      </c>
    </row>
    <row r="348" customFormat="false" ht="15" hidden="false" customHeight="false" outlineLevel="0" collapsed="false">
      <c r="A348" s="19" t="n">
        <v>46665</v>
      </c>
      <c r="B348" s="6" t="n">
        <v>1</v>
      </c>
      <c r="C348" s="6" t="s">
        <v>171</v>
      </c>
      <c r="D348" s="6" t="s">
        <v>194</v>
      </c>
      <c r="E348" s="6" t="s">
        <v>190</v>
      </c>
      <c r="F348" s="6" t="s">
        <v>213</v>
      </c>
      <c r="G348" s="7" t="n">
        <v>0.34</v>
      </c>
      <c r="H348" s="7" t="n">
        <v>0.662</v>
      </c>
      <c r="I348" s="7" t="n">
        <v>-0.388</v>
      </c>
      <c r="J348" s="7" t="n">
        <v>0.127</v>
      </c>
      <c r="K348" s="7" t="n">
        <v>0.6</v>
      </c>
      <c r="L348" s="7" t="n">
        <v>-0.491</v>
      </c>
      <c r="M348" s="7" t="n">
        <v>0.048</v>
      </c>
      <c r="N348" s="7" t="n">
        <v>-0.172</v>
      </c>
      <c r="O348" s="7" t="n">
        <v>-0.063</v>
      </c>
      <c r="P348" s="7" t="n">
        <v>0.589</v>
      </c>
      <c r="Q348" s="7" t="n">
        <v>0.243</v>
      </c>
      <c r="R348" s="7" t="n">
        <v>-0.213</v>
      </c>
      <c r="S348" s="7" t="n">
        <v>0.517</v>
      </c>
      <c r="T348" s="7" t="n">
        <v>0.277</v>
      </c>
      <c r="U348" s="7" t="n">
        <v>-0.266</v>
      </c>
      <c r="V348" s="7" t="n">
        <v>0.131</v>
      </c>
      <c r="W348" s="7" t="n">
        <v>0.018</v>
      </c>
      <c r="X348" s="7" t="n">
        <v>0.428</v>
      </c>
      <c r="Y348" s="7" t="n">
        <v>-0.017</v>
      </c>
      <c r="Z348" s="7" t="n">
        <v>0.34</v>
      </c>
      <c r="AA348" s="7" t="n">
        <v>-0.091</v>
      </c>
      <c r="AB348" s="7" t="n">
        <v>-0.006</v>
      </c>
      <c r="AC348" s="7" t="n">
        <v>-0.267</v>
      </c>
      <c r="AD348" s="7" t="n">
        <v>-0.421</v>
      </c>
      <c r="AE348" s="7" t="n">
        <v>0.578</v>
      </c>
      <c r="AF348" s="7" t="n">
        <v>0.155</v>
      </c>
      <c r="AG348" s="7" t="n">
        <v>-0.026</v>
      </c>
      <c r="AH348" s="7" t="n">
        <v>0.172</v>
      </c>
      <c r="AI348" s="7" t="n">
        <v>0.046</v>
      </c>
      <c r="AJ348" s="7" t="n">
        <v>0.571</v>
      </c>
      <c r="AK348" s="7" t="n">
        <v>0.623</v>
      </c>
      <c r="AL348" s="7" t="n">
        <v>-0.085</v>
      </c>
      <c r="AM348" s="7" t="n">
        <v>0.023</v>
      </c>
      <c r="AN348" s="7" t="n">
        <v>-0.061</v>
      </c>
      <c r="AO348" s="7" t="n">
        <v>0.006</v>
      </c>
      <c r="AP348" s="7" t="n">
        <v>0.208</v>
      </c>
      <c r="AQ348" s="7" t="n">
        <v>-0.14</v>
      </c>
      <c r="AR348" s="7" t="n">
        <v>-0.101</v>
      </c>
      <c r="AS348" s="7" t="n">
        <v>0.038</v>
      </c>
      <c r="AT348" s="7" t="n">
        <v>0.28</v>
      </c>
      <c r="AU348" s="7" t="n">
        <v>0.269</v>
      </c>
      <c r="AV348" s="7" t="n">
        <v>0.028</v>
      </c>
    </row>
    <row r="349" customFormat="false" ht="15" hidden="false" customHeight="false" outlineLevel="0" collapsed="false">
      <c r="A349" s="19" t="n">
        <v>46666</v>
      </c>
      <c r="B349" s="6" t="n">
        <v>1</v>
      </c>
      <c r="C349" s="6" t="s">
        <v>195</v>
      </c>
      <c r="D349" s="6" t="s">
        <v>196</v>
      </c>
      <c r="E349" s="6" t="s">
        <v>190</v>
      </c>
      <c r="F349" s="6" t="s">
        <v>213</v>
      </c>
      <c r="G349" s="7" t="n">
        <v>0.409</v>
      </c>
      <c r="H349" s="7" t="n">
        <v>0.479</v>
      </c>
      <c r="I349" s="7" t="n">
        <v>-0.261</v>
      </c>
      <c r="J349" s="7" t="n">
        <v>0.032</v>
      </c>
      <c r="K349" s="7" t="n">
        <v>0.572</v>
      </c>
      <c r="L349" s="7" t="n">
        <v>-0.195</v>
      </c>
      <c r="M349" s="7" t="n">
        <v>0.186</v>
      </c>
      <c r="N349" s="7" t="n">
        <v>0.138</v>
      </c>
      <c r="O349" s="7" t="n">
        <v>-0.008</v>
      </c>
      <c r="P349" s="7" t="n">
        <v>0.185</v>
      </c>
      <c r="Q349" s="7" t="n">
        <v>0.044</v>
      </c>
      <c r="R349" s="7" t="n">
        <v>-0.083</v>
      </c>
      <c r="S349" s="7" t="n">
        <v>0.427</v>
      </c>
      <c r="T349" s="7" t="n">
        <v>0.242</v>
      </c>
      <c r="U349" s="7" t="n">
        <v>-0.075</v>
      </c>
      <c r="V349" s="7" t="n">
        <v>0.194</v>
      </c>
      <c r="W349" s="7" t="n">
        <v>0.138</v>
      </c>
      <c r="X349" s="7" t="n">
        <v>0.291</v>
      </c>
      <c r="Y349" s="7" t="n">
        <v>0.008</v>
      </c>
      <c r="Z349" s="7" t="n">
        <v>0.314</v>
      </c>
      <c r="AA349" s="7" t="n">
        <v>0.161</v>
      </c>
      <c r="AB349" s="7" t="n">
        <v>0.024</v>
      </c>
      <c r="AC349" s="7" t="n">
        <v>-0.132</v>
      </c>
      <c r="AD349" s="7" t="n">
        <v>-0.287</v>
      </c>
      <c r="AE349" s="7" t="n">
        <v>0.175</v>
      </c>
      <c r="AF349" s="7" t="n">
        <v>0.177</v>
      </c>
      <c r="AG349" s="7" t="n">
        <v>0.066</v>
      </c>
      <c r="AH349" s="7" t="n">
        <v>0.232</v>
      </c>
      <c r="AI349" s="7" t="n">
        <v>-0.019</v>
      </c>
      <c r="AJ349" s="7" t="n">
        <v>0.472</v>
      </c>
      <c r="AK349" s="7" t="n">
        <v>0.458</v>
      </c>
      <c r="AL349" s="7" t="n">
        <v>0.023</v>
      </c>
      <c r="AM349" s="7" t="n">
        <v>0.08</v>
      </c>
      <c r="AN349" s="7" t="n">
        <v>0.084</v>
      </c>
      <c r="AO349" s="7" t="n">
        <v>0.155</v>
      </c>
      <c r="AP349" s="7" t="n">
        <v>0.2</v>
      </c>
      <c r="AQ349" s="7" t="n">
        <v>0.023</v>
      </c>
      <c r="AR349" s="7" t="n">
        <v>-0.021</v>
      </c>
      <c r="AS349" s="7" t="n">
        <v>0.171</v>
      </c>
      <c r="AT349" s="7" t="n">
        <v>-0.002</v>
      </c>
      <c r="AU349" s="7" t="n">
        <v>-0.009</v>
      </c>
      <c r="AV349" s="7" t="n">
        <v>0.094</v>
      </c>
    </row>
    <row r="350" customFormat="false" ht="15" hidden="false" customHeight="false" outlineLevel="0" collapsed="false">
      <c r="A350" s="19" t="n">
        <v>46667</v>
      </c>
      <c r="B350" s="6" t="n">
        <v>1</v>
      </c>
      <c r="C350" s="6" t="s">
        <v>195</v>
      </c>
      <c r="D350" s="6" t="s">
        <v>197</v>
      </c>
      <c r="E350" s="6" t="s">
        <v>190</v>
      </c>
      <c r="F350" s="6" t="s">
        <v>213</v>
      </c>
      <c r="G350" s="7" t="n">
        <v>0.589</v>
      </c>
      <c r="H350" s="7" t="n">
        <v>0.727</v>
      </c>
      <c r="I350" s="7" t="n">
        <v>-0.044</v>
      </c>
      <c r="J350" s="7" t="n">
        <v>0.092</v>
      </c>
      <c r="K350" s="7" t="n">
        <v>0.714</v>
      </c>
      <c r="L350" s="7" t="n">
        <v>-0.181</v>
      </c>
      <c r="M350" s="7" t="n">
        <v>0.254</v>
      </c>
      <c r="N350" s="7" t="n">
        <v>0.23</v>
      </c>
      <c r="O350" s="7" t="n">
        <v>0.341</v>
      </c>
      <c r="P350" s="7" t="n">
        <v>0.203</v>
      </c>
      <c r="Q350" s="7" t="n">
        <v>0.504</v>
      </c>
      <c r="R350" s="7" t="n">
        <v>0.192</v>
      </c>
      <c r="S350" s="7" t="n">
        <v>0.686</v>
      </c>
      <c r="T350" s="7" t="n">
        <v>0.535</v>
      </c>
      <c r="U350" s="7" t="n">
        <v>0.45</v>
      </c>
      <c r="V350" s="7" t="n">
        <v>0.543</v>
      </c>
      <c r="W350" s="7" t="n">
        <v>0.238</v>
      </c>
      <c r="X350" s="7" t="n">
        <v>0.193</v>
      </c>
      <c r="Y350" s="7" t="n">
        <v>-0.05</v>
      </c>
      <c r="Z350" s="7" t="n">
        <v>0.64</v>
      </c>
      <c r="AA350" s="7" t="n">
        <v>0.23</v>
      </c>
      <c r="AB350" s="7" t="n">
        <v>0.382</v>
      </c>
      <c r="AC350" s="7" t="n">
        <v>-0.086</v>
      </c>
      <c r="AD350" s="7" t="n">
        <v>-0.159</v>
      </c>
      <c r="AE350" s="7" t="n">
        <v>0.223</v>
      </c>
      <c r="AF350" s="7" t="n">
        <v>0.264</v>
      </c>
      <c r="AG350" s="7" t="n">
        <v>0.338</v>
      </c>
      <c r="AH350" s="7" t="n">
        <v>0.543</v>
      </c>
      <c r="AI350" s="7" t="n">
        <v>0.046</v>
      </c>
      <c r="AJ350" s="7" t="n">
        <v>0.708</v>
      </c>
      <c r="AK350" s="7" t="n">
        <v>0.762</v>
      </c>
      <c r="AL350" s="7" t="n">
        <v>0.038</v>
      </c>
      <c r="AM350" s="7" t="n">
        <v>0.292</v>
      </c>
      <c r="AN350" s="7" t="n">
        <v>0.495</v>
      </c>
      <c r="AO350" s="7" t="n">
        <v>0.223</v>
      </c>
      <c r="AP350" s="7" t="n">
        <v>0.252</v>
      </c>
      <c r="AQ350" s="7" t="n">
        <v>0.492</v>
      </c>
      <c r="AR350" s="7" t="n">
        <v>0.008</v>
      </c>
      <c r="AS350" s="7" t="n">
        <v>0.216</v>
      </c>
      <c r="AT350" s="7" t="n">
        <v>0.19</v>
      </c>
      <c r="AU350" s="7" t="n">
        <v>-0.008</v>
      </c>
      <c r="AV350" s="7" t="n">
        <v>0.497</v>
      </c>
    </row>
    <row r="351" customFormat="false" ht="15" hidden="false" customHeight="false" outlineLevel="0" collapsed="false">
      <c r="A351" s="19" t="n">
        <v>46668</v>
      </c>
      <c r="B351" s="6" t="n">
        <v>1</v>
      </c>
      <c r="C351" s="6" t="s">
        <v>195</v>
      </c>
      <c r="D351" s="6" t="s">
        <v>199</v>
      </c>
      <c r="E351" s="6" t="s">
        <v>190</v>
      </c>
      <c r="F351" s="6" t="s">
        <v>213</v>
      </c>
      <c r="G351" s="7" t="n">
        <v>0.664</v>
      </c>
      <c r="H351" s="7" t="n">
        <v>0.683</v>
      </c>
      <c r="I351" s="7" t="n">
        <v>0.014</v>
      </c>
      <c r="J351" s="7" t="n">
        <v>0.249</v>
      </c>
      <c r="K351" s="7" t="n">
        <v>0.741</v>
      </c>
      <c r="L351" s="7" t="n">
        <v>0.021</v>
      </c>
      <c r="M351" s="7" t="n">
        <v>0.324</v>
      </c>
      <c r="N351" s="7" t="n">
        <v>0.277</v>
      </c>
      <c r="O351" s="7" t="n">
        <v>0.29</v>
      </c>
      <c r="P351" s="7" t="n">
        <v>0.245</v>
      </c>
      <c r="Q351" s="7" t="n">
        <v>0.225</v>
      </c>
      <c r="R351" s="7" t="n">
        <v>0.184</v>
      </c>
      <c r="S351" s="7" t="n">
        <v>0.687</v>
      </c>
      <c r="T351" s="7" t="n">
        <v>0.425</v>
      </c>
      <c r="U351" s="7" t="n">
        <v>0.187</v>
      </c>
      <c r="V351" s="7" t="n">
        <v>0.332</v>
      </c>
      <c r="W351" s="7" t="n">
        <v>0.303</v>
      </c>
      <c r="X351" s="7" t="n">
        <v>0.34</v>
      </c>
      <c r="Y351" s="7" t="n">
        <v>-0.046</v>
      </c>
      <c r="Z351" s="7" t="n">
        <v>0.493</v>
      </c>
      <c r="AA351" s="7" t="n">
        <v>0.294</v>
      </c>
      <c r="AB351" s="7" t="n">
        <v>0.177</v>
      </c>
      <c r="AC351" s="7" t="n">
        <v>-0.022</v>
      </c>
      <c r="AD351" s="7" t="n">
        <v>-0.33</v>
      </c>
      <c r="AE351" s="7" t="n">
        <v>0.265</v>
      </c>
      <c r="AF351" s="7" t="n">
        <v>0.285</v>
      </c>
      <c r="AG351" s="7" t="n">
        <v>0.289</v>
      </c>
      <c r="AH351" s="7" t="n">
        <v>0.362</v>
      </c>
      <c r="AI351" s="7" t="n">
        <v>0.252</v>
      </c>
      <c r="AJ351" s="7" t="n">
        <v>0.714</v>
      </c>
      <c r="AK351" s="7" t="n">
        <v>0.576</v>
      </c>
      <c r="AL351" s="7" t="n">
        <v>0.064</v>
      </c>
      <c r="AM351" s="7" t="n">
        <v>0.007</v>
      </c>
      <c r="AN351" s="7" t="n">
        <v>0.24</v>
      </c>
      <c r="AO351" s="7" t="n">
        <v>0.253</v>
      </c>
      <c r="AP351" s="7" t="n">
        <v>0.238</v>
      </c>
      <c r="AQ351" s="7" t="n">
        <v>-0.009</v>
      </c>
      <c r="AR351" s="7" t="n">
        <v>-0.014</v>
      </c>
      <c r="AS351" s="7" t="n">
        <v>0.261</v>
      </c>
      <c r="AT351" s="7" t="n">
        <v>-0.044</v>
      </c>
      <c r="AU351" s="7" t="n">
        <v>0.019</v>
      </c>
      <c r="AV351" s="7" t="n">
        <v>0.246</v>
      </c>
    </row>
    <row r="352" customFormat="false" ht="15" hidden="false" customHeight="false" outlineLevel="0" collapsed="false">
      <c r="A352" s="19" t="n">
        <v>46669</v>
      </c>
      <c r="B352" s="6" t="n">
        <v>0</v>
      </c>
      <c r="C352" s="6" t="s">
        <v>198</v>
      </c>
      <c r="D352" s="6" t="s">
        <v>200</v>
      </c>
      <c r="E352" s="6" t="s">
        <v>190</v>
      </c>
      <c r="F352" s="6" t="s">
        <v>213</v>
      </c>
      <c r="G352" s="7" t="n">
        <v>0.385</v>
      </c>
      <c r="H352" s="7" t="n">
        <v>0.47</v>
      </c>
      <c r="I352" s="7" t="n">
        <v>-0.013</v>
      </c>
      <c r="J352" s="7" t="n">
        <v>0.24</v>
      </c>
      <c r="K352" s="7" t="n">
        <v>0.641</v>
      </c>
      <c r="L352" s="7" t="n">
        <v>-0.056</v>
      </c>
      <c r="M352" s="7" t="n">
        <v>0.213</v>
      </c>
      <c r="N352" s="7" t="n">
        <v>-0.376</v>
      </c>
      <c r="O352" s="7" t="n">
        <v>-0.252</v>
      </c>
      <c r="P352" s="7" t="n">
        <v>0.252</v>
      </c>
      <c r="Q352" s="7" t="n">
        <v>-0.229</v>
      </c>
      <c r="R352" s="7" t="n">
        <v>-0.175</v>
      </c>
      <c r="S352" s="7" t="n">
        <v>-0.015</v>
      </c>
      <c r="T352" s="7" t="n">
        <v>-0.194</v>
      </c>
      <c r="U352" s="7" t="n">
        <v>0.225</v>
      </c>
      <c r="V352" s="7" t="n">
        <v>0.353</v>
      </c>
      <c r="W352" s="7" t="n">
        <v>0.092</v>
      </c>
      <c r="X352" s="7" t="n">
        <v>0.322</v>
      </c>
      <c r="Y352" s="7" t="n">
        <v>-0.058</v>
      </c>
      <c r="Z352" s="7" t="n">
        <v>0.504</v>
      </c>
      <c r="AA352" s="7" t="n">
        <v>-0.037</v>
      </c>
      <c r="AB352" s="7" t="n">
        <v>0.176</v>
      </c>
      <c r="AC352" s="7" t="n">
        <v>-0.014</v>
      </c>
      <c r="AD352" s="7" t="n">
        <v>-0.083</v>
      </c>
      <c r="AE352" s="7" t="n">
        <v>0.243</v>
      </c>
      <c r="AF352" s="7" t="n">
        <v>0.075</v>
      </c>
      <c r="AG352" s="7" t="n">
        <v>-0.449</v>
      </c>
      <c r="AH352" s="7" t="n">
        <v>0.361</v>
      </c>
      <c r="AI352" s="7" t="n">
        <v>0.246</v>
      </c>
      <c r="AJ352" s="7" t="n">
        <v>0.451</v>
      </c>
      <c r="AK352" s="7" t="n">
        <v>0.576</v>
      </c>
      <c r="AL352" s="7" t="n">
        <v>0.146</v>
      </c>
      <c r="AM352" s="7" t="n">
        <v>0.095</v>
      </c>
      <c r="AN352" s="7" t="n">
        <v>-0.207</v>
      </c>
      <c r="AO352" s="7" t="n">
        <v>-0.379</v>
      </c>
      <c r="AP352" s="7" t="n">
        <v>-0.395</v>
      </c>
      <c r="AQ352" s="7" t="n">
        <v>0.261</v>
      </c>
      <c r="AR352" s="7" t="n">
        <v>-0.399</v>
      </c>
      <c r="AS352" s="7" t="n">
        <v>0.031</v>
      </c>
      <c r="AT352" s="7" t="n">
        <v>0.03</v>
      </c>
      <c r="AU352" s="7" t="n">
        <v>0.021</v>
      </c>
      <c r="AV352" s="7" t="n">
        <v>0.247</v>
      </c>
    </row>
    <row r="353" customFormat="false" ht="15" hidden="false" customHeight="false" outlineLevel="0" collapsed="false">
      <c r="A353" s="19" t="n">
        <v>46670</v>
      </c>
      <c r="B353" s="6" t="n">
        <v>0</v>
      </c>
      <c r="C353" s="6" t="s">
        <v>198</v>
      </c>
      <c r="D353" s="6" t="s">
        <v>200</v>
      </c>
      <c r="E353" s="6" t="s">
        <v>190</v>
      </c>
      <c r="F353" s="6" t="s">
        <v>213</v>
      </c>
      <c r="G353" s="7" t="n">
        <v>0.412</v>
      </c>
      <c r="H353" s="7" t="n">
        <v>0.574</v>
      </c>
      <c r="I353" s="7" t="n">
        <v>-0.013</v>
      </c>
      <c r="J353" s="7" t="n">
        <v>0.218</v>
      </c>
      <c r="K353" s="7" t="n">
        <v>0.63</v>
      </c>
      <c r="L353" s="7" t="n">
        <v>-0.056</v>
      </c>
      <c r="M353" s="7" t="n">
        <v>0.207</v>
      </c>
      <c r="N353" s="7" t="n">
        <v>-0.248</v>
      </c>
      <c r="O353" s="7" t="n">
        <v>-0.163</v>
      </c>
      <c r="P353" s="7" t="n">
        <v>0.226</v>
      </c>
      <c r="Q353" s="7" t="n">
        <v>-0.076</v>
      </c>
      <c r="R353" s="7" t="n">
        <v>-0.2</v>
      </c>
      <c r="S353" s="7" t="n">
        <v>0.129</v>
      </c>
      <c r="T353" s="7" t="n">
        <v>-0.033</v>
      </c>
      <c r="U353" s="7" t="n">
        <v>0.243</v>
      </c>
      <c r="V353" s="7" t="n">
        <v>0.367</v>
      </c>
      <c r="W353" s="7" t="n">
        <v>0.089</v>
      </c>
      <c r="X353" s="7" t="n">
        <v>0.299</v>
      </c>
      <c r="Y353" s="7" t="n">
        <v>-0.095</v>
      </c>
      <c r="Z353" s="7" t="n">
        <v>0.493</v>
      </c>
      <c r="AA353" s="7" t="n">
        <v>-0.013</v>
      </c>
      <c r="AB353" s="7" t="n">
        <v>0.176</v>
      </c>
      <c r="AC353" s="7" t="n">
        <v>-0.014</v>
      </c>
      <c r="AD353" s="7" t="n">
        <v>-0.07</v>
      </c>
      <c r="AE353" s="7" t="n">
        <v>0.216</v>
      </c>
      <c r="AF353" s="7" t="n">
        <v>0.072</v>
      </c>
      <c r="AG353" s="7" t="n">
        <v>-0.298</v>
      </c>
      <c r="AH353" s="7" t="n">
        <v>0.359</v>
      </c>
      <c r="AI353" s="7" t="n">
        <v>0.223</v>
      </c>
      <c r="AJ353" s="7" t="n">
        <v>0.426</v>
      </c>
      <c r="AK353" s="7" t="n">
        <v>0.575</v>
      </c>
      <c r="AL353" s="7" t="n">
        <v>0.085</v>
      </c>
      <c r="AM353" s="7" t="n">
        <v>0.107</v>
      </c>
      <c r="AN353" s="7" t="n">
        <v>-0.039</v>
      </c>
      <c r="AO353" s="7" t="n">
        <v>-0.254</v>
      </c>
      <c r="AP353" s="7" t="n">
        <v>-0.27</v>
      </c>
      <c r="AQ353" s="7" t="n">
        <v>0.27</v>
      </c>
      <c r="AR353" s="7" t="n">
        <v>-0.274</v>
      </c>
      <c r="AS353" s="7" t="n">
        <v>0.017</v>
      </c>
      <c r="AT353" s="7" t="n">
        <v>0.003</v>
      </c>
      <c r="AU353" s="7" t="n">
        <v>-0.005</v>
      </c>
      <c r="AV353" s="7" t="n">
        <v>0.245</v>
      </c>
    </row>
    <row r="354" customFormat="false" ht="15" hidden="false" customHeight="false" outlineLevel="0" collapsed="false">
      <c r="A354" s="19" t="n">
        <v>46671</v>
      </c>
      <c r="B354" s="6" t="n">
        <v>1</v>
      </c>
      <c r="C354" s="6" t="s">
        <v>202</v>
      </c>
      <c r="D354" s="6" t="s">
        <v>201</v>
      </c>
      <c r="E354" s="6" t="s">
        <v>190</v>
      </c>
      <c r="F354" s="6" t="s">
        <v>213</v>
      </c>
      <c r="G354" s="7" t="n">
        <v>0.429</v>
      </c>
      <c r="H354" s="7" t="n">
        <v>0.687</v>
      </c>
      <c r="I354" s="7" t="n">
        <v>-0.013</v>
      </c>
      <c r="J354" s="7" t="n">
        <v>-0.131</v>
      </c>
      <c r="K354" s="7" t="n">
        <v>0.662</v>
      </c>
      <c r="L354" s="7" t="n">
        <v>0.022</v>
      </c>
      <c r="M354" s="7" t="n">
        <v>0.268</v>
      </c>
      <c r="N354" s="7" t="n">
        <v>0.188</v>
      </c>
      <c r="O354" s="7" t="n">
        <v>0.018</v>
      </c>
      <c r="P354" s="7" t="n">
        <v>0.325</v>
      </c>
      <c r="Q354" s="7" t="n">
        <v>0.298</v>
      </c>
      <c r="R354" s="7" t="n">
        <v>-0.186</v>
      </c>
      <c r="S354" s="7" t="n">
        <v>0.168</v>
      </c>
      <c r="T354" s="7" t="n">
        <v>0.283</v>
      </c>
      <c r="U354" s="7" t="n">
        <v>0.346</v>
      </c>
      <c r="V354" s="7" t="n">
        <v>0.349</v>
      </c>
      <c r="W354" s="7" t="n">
        <v>0.198</v>
      </c>
      <c r="X354" s="7" t="n">
        <v>-0.059</v>
      </c>
      <c r="Y354" s="7" t="n">
        <v>-0.041</v>
      </c>
      <c r="Z354" s="7" t="n">
        <v>0.542</v>
      </c>
      <c r="AA354" s="7" t="n">
        <v>0.139</v>
      </c>
      <c r="AB354" s="7" t="n">
        <v>0.242</v>
      </c>
      <c r="AC354" s="7" t="n">
        <v>0.046</v>
      </c>
      <c r="AD354" s="7" t="n">
        <v>-0.319</v>
      </c>
      <c r="AE354" s="7" t="n">
        <v>0.223</v>
      </c>
      <c r="AF354" s="7" t="n">
        <v>0.181</v>
      </c>
      <c r="AG354" s="7" t="n">
        <v>-0.003</v>
      </c>
      <c r="AH354" s="7" t="n">
        <v>0.352</v>
      </c>
      <c r="AI354" s="7" t="n">
        <v>-0.114</v>
      </c>
      <c r="AJ354" s="7" t="n">
        <v>0.497</v>
      </c>
      <c r="AK354" s="7" t="n">
        <v>0.568</v>
      </c>
      <c r="AL354" s="7" t="n">
        <v>-0.139</v>
      </c>
      <c r="AM354" s="7" t="n">
        <v>0.103</v>
      </c>
      <c r="AN354" s="7" t="n">
        <v>0.332</v>
      </c>
      <c r="AO354" s="7" t="n">
        <v>0.023</v>
      </c>
      <c r="AP354" s="7" t="n">
        <v>0.007</v>
      </c>
      <c r="AQ354" s="7" t="n">
        <v>0.324</v>
      </c>
      <c r="AR354" s="7" t="n">
        <v>0.023</v>
      </c>
      <c r="AS354" s="7" t="n">
        <v>-0.008</v>
      </c>
      <c r="AT354" s="7" t="n">
        <v>0.019</v>
      </c>
      <c r="AU354" s="7" t="n">
        <v>0.001</v>
      </c>
      <c r="AV354" s="7" t="n">
        <v>0.309</v>
      </c>
    </row>
    <row r="355" customFormat="false" ht="15" hidden="false" customHeight="false" outlineLevel="0" collapsed="false">
      <c r="A355" s="19" t="n">
        <v>46672</v>
      </c>
      <c r="B355" s="6" t="n">
        <v>1</v>
      </c>
      <c r="C355" s="6" t="s">
        <v>202</v>
      </c>
      <c r="D355" s="6" t="s">
        <v>203</v>
      </c>
      <c r="E355" s="6" t="s">
        <v>171</v>
      </c>
      <c r="F355" s="6" t="s">
        <v>213</v>
      </c>
      <c r="G355" s="7" t="n">
        <v>0.136</v>
      </c>
      <c r="H355" s="7" t="n">
        <v>0.596</v>
      </c>
      <c r="I355" s="7" t="n">
        <v>-0.146</v>
      </c>
      <c r="J355" s="7" t="n">
        <v>-0.177</v>
      </c>
      <c r="K355" s="7" t="n">
        <v>0.38</v>
      </c>
      <c r="L355" s="7" t="n">
        <v>-0.045</v>
      </c>
      <c r="M355" s="7" t="n">
        <v>0.197</v>
      </c>
      <c r="N355" s="7" t="n">
        <v>-0.068</v>
      </c>
      <c r="O355" s="7" t="n">
        <v>0.039</v>
      </c>
      <c r="P355" s="7" t="n">
        <v>0.268</v>
      </c>
      <c r="Q355" s="7" t="n">
        <v>0.126</v>
      </c>
      <c r="R355" s="7" t="n">
        <v>-0.153</v>
      </c>
      <c r="S355" s="7" t="n">
        <v>0.004</v>
      </c>
      <c r="T355" s="7" t="n">
        <v>0.12</v>
      </c>
      <c r="U355" s="7" t="n">
        <v>0.013</v>
      </c>
      <c r="V355" s="7" t="n">
        <v>0.219</v>
      </c>
      <c r="W355" s="7" t="n">
        <v>0.124</v>
      </c>
      <c r="X355" s="7" t="n">
        <v>-0.139</v>
      </c>
      <c r="Y355" s="7" t="n">
        <v>0.087</v>
      </c>
      <c r="Z355" s="7" t="n">
        <v>0.536</v>
      </c>
      <c r="AA355" s="7" t="n">
        <v>0.044</v>
      </c>
      <c r="AB355" s="7" t="n">
        <v>0.09</v>
      </c>
      <c r="AC355" s="7" t="n">
        <v>-0.202</v>
      </c>
      <c r="AD355" s="7" t="n">
        <v>-0.217</v>
      </c>
      <c r="AE355" s="7" t="n">
        <v>0.207</v>
      </c>
      <c r="AF355" s="7" t="n">
        <v>0.255</v>
      </c>
      <c r="AG355" s="7" t="n">
        <v>0.016</v>
      </c>
      <c r="AH355" s="7" t="n">
        <v>0.101</v>
      </c>
      <c r="AI355" s="7" t="n">
        <v>-0.169</v>
      </c>
      <c r="AJ355" s="7" t="n">
        <v>0.243</v>
      </c>
      <c r="AK355" s="7" t="n">
        <v>0.303</v>
      </c>
      <c r="AL355" s="7" t="n">
        <v>-0.385</v>
      </c>
      <c r="AM355" s="7" t="n">
        <v>0.112</v>
      </c>
      <c r="AN355" s="7" t="n">
        <v>0.126</v>
      </c>
      <c r="AO355" s="7" t="n">
        <v>-0.212</v>
      </c>
      <c r="AP355" s="7" t="n">
        <v>-0.074</v>
      </c>
      <c r="AQ355" s="7" t="n">
        <v>-0.05</v>
      </c>
      <c r="AR355" s="7" t="n">
        <v>0.013</v>
      </c>
      <c r="AS355" s="7" t="n">
        <v>-0.082</v>
      </c>
      <c r="AT355" s="7" t="n">
        <v>0.051</v>
      </c>
      <c r="AU355" s="7" t="n">
        <v>0.007</v>
      </c>
      <c r="AV355" s="7" t="n">
        <v>0.106</v>
      </c>
    </row>
    <row r="356" customFormat="false" ht="15" hidden="false" customHeight="false" outlineLevel="0" collapsed="false">
      <c r="A356" s="19" t="n">
        <v>46673</v>
      </c>
      <c r="B356" s="6" t="n">
        <v>1</v>
      </c>
      <c r="C356" s="6" t="s">
        <v>202</v>
      </c>
      <c r="D356" s="6" t="s">
        <v>204</v>
      </c>
      <c r="E356" s="6" t="s">
        <v>171</v>
      </c>
      <c r="F356" s="6" t="s">
        <v>213</v>
      </c>
      <c r="G356" s="7" t="n">
        <v>0.442</v>
      </c>
      <c r="H356" s="7" t="n">
        <v>0.71</v>
      </c>
      <c r="I356" s="7" t="n">
        <v>-0.118</v>
      </c>
      <c r="J356" s="7" t="n">
        <v>0.015</v>
      </c>
      <c r="K356" s="7" t="n">
        <v>0.716</v>
      </c>
      <c r="L356" s="7" t="n">
        <v>0.099</v>
      </c>
      <c r="M356" s="7" t="n">
        <v>0.142</v>
      </c>
      <c r="N356" s="7" t="n">
        <v>0.025</v>
      </c>
      <c r="O356" s="7" t="n">
        <v>0.445</v>
      </c>
      <c r="P356" s="7" t="n">
        <v>0.241</v>
      </c>
      <c r="Q356" s="7" t="n">
        <v>0.179</v>
      </c>
      <c r="R356" s="7" t="n">
        <v>0.393</v>
      </c>
      <c r="S356" s="7" t="n">
        <v>0.671</v>
      </c>
      <c r="T356" s="7" t="n">
        <v>0.545</v>
      </c>
      <c r="U356" s="7" t="n">
        <v>0.067</v>
      </c>
      <c r="V356" s="7" t="n">
        <v>0.271</v>
      </c>
      <c r="W356" s="7" t="n">
        <v>0.053</v>
      </c>
      <c r="X356" s="7" t="n">
        <v>-0.098</v>
      </c>
      <c r="Y356" s="7" t="n">
        <v>0.129</v>
      </c>
      <c r="Z356" s="7" t="n">
        <v>0.322</v>
      </c>
      <c r="AA356" s="7" t="n">
        <v>-0.005</v>
      </c>
      <c r="AB356" s="7" t="n">
        <v>0.094</v>
      </c>
      <c r="AC356" s="7" t="n">
        <v>-0.185</v>
      </c>
      <c r="AD356" s="7" t="n">
        <v>-0.169</v>
      </c>
      <c r="AE356" s="7" t="n">
        <v>0.186</v>
      </c>
      <c r="AF356" s="7" t="n">
        <v>0.171</v>
      </c>
      <c r="AG356" s="7" t="n">
        <v>0.419</v>
      </c>
      <c r="AH356" s="7" t="n">
        <v>0.138</v>
      </c>
      <c r="AI356" s="7" t="n">
        <v>-0.136</v>
      </c>
      <c r="AJ356" s="7" t="n">
        <v>0.709</v>
      </c>
      <c r="AK356" s="7" t="n">
        <v>0.33</v>
      </c>
      <c r="AL356" s="7" t="n">
        <v>-0.279</v>
      </c>
      <c r="AM356" s="7" t="n">
        <v>0.484</v>
      </c>
      <c r="AN356" s="7" t="n">
        <v>0.138</v>
      </c>
      <c r="AO356" s="7" t="n">
        <v>-0.187</v>
      </c>
      <c r="AP356" s="7" t="n">
        <v>-0.067</v>
      </c>
      <c r="AQ356" s="7" t="n">
        <v>0.426</v>
      </c>
      <c r="AR356" s="7" t="n">
        <v>0.011</v>
      </c>
      <c r="AS356" s="7" t="n">
        <v>-0.186</v>
      </c>
      <c r="AT356" s="7" t="n">
        <v>0.406</v>
      </c>
      <c r="AU356" s="7" t="n">
        <v>0.026</v>
      </c>
      <c r="AV356" s="7" t="n">
        <v>0.122</v>
      </c>
    </row>
    <row r="357" customFormat="false" ht="15" hidden="false" customHeight="false" outlineLevel="0" collapsed="false">
      <c r="A357" s="19" t="n">
        <v>46674</v>
      </c>
      <c r="B357" s="6" t="n">
        <v>1</v>
      </c>
      <c r="C357" s="6" t="s">
        <v>205</v>
      </c>
      <c r="D357" s="6" t="s">
        <v>206</v>
      </c>
      <c r="E357" s="6" t="s">
        <v>171</v>
      </c>
      <c r="F357" s="6" t="s">
        <v>213</v>
      </c>
      <c r="G357" s="7" t="n">
        <v>0.646</v>
      </c>
      <c r="H357" s="7" t="n">
        <v>0.69</v>
      </c>
      <c r="I357" s="7" t="n">
        <v>-0.04</v>
      </c>
      <c r="J357" s="7" t="n">
        <v>0.09</v>
      </c>
      <c r="K357" s="7" t="n">
        <v>0.665</v>
      </c>
      <c r="L357" s="7" t="n">
        <v>-0.013</v>
      </c>
      <c r="M357" s="7" t="n">
        <v>0.532</v>
      </c>
      <c r="N357" s="7" t="n">
        <v>0.483</v>
      </c>
      <c r="O357" s="7" t="n">
        <v>0.346</v>
      </c>
      <c r="P357" s="7" t="n">
        <v>0.198</v>
      </c>
      <c r="Q357" s="7" t="n">
        <v>0.156</v>
      </c>
      <c r="R357" s="7" t="n">
        <v>0.296</v>
      </c>
      <c r="S357" s="7" t="n">
        <v>0.618</v>
      </c>
      <c r="T357" s="7" t="n">
        <v>0.448</v>
      </c>
      <c r="U357" s="7" t="n">
        <v>0.224</v>
      </c>
      <c r="V357" s="7" t="n">
        <v>0.248</v>
      </c>
      <c r="W357" s="7" t="n">
        <v>0.492</v>
      </c>
      <c r="X357" s="7" t="n">
        <v>0.112</v>
      </c>
      <c r="Y357" s="7" t="n">
        <v>0.441</v>
      </c>
      <c r="Z357" s="7" t="n">
        <v>0.311</v>
      </c>
      <c r="AA357" s="7" t="n">
        <v>0.478</v>
      </c>
      <c r="AB357" s="7" t="n">
        <v>0.074</v>
      </c>
      <c r="AC357" s="7" t="n">
        <v>0.225</v>
      </c>
      <c r="AD357" s="7" t="n">
        <v>0.046</v>
      </c>
      <c r="AE357" s="7" t="n">
        <v>0.154</v>
      </c>
      <c r="AF357" s="7" t="n">
        <v>0.484</v>
      </c>
      <c r="AG357" s="7" t="n">
        <v>0.368</v>
      </c>
      <c r="AH357" s="7" t="n">
        <v>0.337</v>
      </c>
      <c r="AI357" s="7" t="n">
        <v>0.029</v>
      </c>
      <c r="AJ357" s="7" t="n">
        <v>0.625</v>
      </c>
      <c r="AK357" s="7" t="n">
        <v>0.307</v>
      </c>
      <c r="AL357" s="7" t="n">
        <v>0.019</v>
      </c>
      <c r="AM357" s="7" t="n">
        <v>0.327</v>
      </c>
      <c r="AN357" s="7" t="n">
        <v>0.11</v>
      </c>
      <c r="AO357" s="7" t="n">
        <v>0.424</v>
      </c>
      <c r="AP357" s="7" t="n">
        <v>0.42</v>
      </c>
      <c r="AQ357" s="7" t="n">
        <v>0.058</v>
      </c>
      <c r="AR357" s="7" t="n">
        <v>0.007</v>
      </c>
      <c r="AS357" s="7" t="n">
        <v>0.402</v>
      </c>
      <c r="AT357" s="7" t="n">
        <v>0.257</v>
      </c>
      <c r="AU357" s="7" t="n">
        <v>0.027</v>
      </c>
      <c r="AV357" s="7" t="n">
        <v>0.099</v>
      </c>
    </row>
    <row r="358" customFormat="false" ht="15" hidden="false" customHeight="false" outlineLevel="0" collapsed="false">
      <c r="A358" s="19" t="n">
        <v>46675</v>
      </c>
      <c r="B358" s="6" t="n">
        <v>1</v>
      </c>
      <c r="C358" s="6" t="s">
        <v>205</v>
      </c>
      <c r="D358" s="6" t="s">
        <v>207</v>
      </c>
      <c r="E358" s="6" t="s">
        <v>171</v>
      </c>
      <c r="F358" s="6" t="s">
        <v>213</v>
      </c>
      <c r="G358" s="7" t="n">
        <v>0.637</v>
      </c>
      <c r="H358" s="7" t="n">
        <v>0.664</v>
      </c>
      <c r="I358" s="7" t="n">
        <v>-0.018</v>
      </c>
      <c r="J358" s="7" t="n">
        <v>0.51</v>
      </c>
      <c r="K358" s="7" t="n">
        <v>0.665</v>
      </c>
      <c r="L358" s="7" t="n">
        <v>-0.136</v>
      </c>
      <c r="M358" s="7" t="n">
        <v>0.027</v>
      </c>
      <c r="N358" s="7" t="n">
        <v>0.303</v>
      </c>
      <c r="O358" s="7" t="n">
        <v>0.314</v>
      </c>
      <c r="P358" s="7" t="n">
        <v>0.551</v>
      </c>
      <c r="Q358" s="7" t="n">
        <v>0.438</v>
      </c>
      <c r="R358" s="7" t="n">
        <v>0.3</v>
      </c>
      <c r="S358" s="7" t="n">
        <v>0.638</v>
      </c>
      <c r="T358" s="7" t="n">
        <v>0.48</v>
      </c>
      <c r="U358" s="7" t="n">
        <v>0.127</v>
      </c>
      <c r="V358" s="7" t="n">
        <v>0.185</v>
      </c>
      <c r="W358" s="7" t="n">
        <v>0.011</v>
      </c>
      <c r="X358" s="7" t="n">
        <v>0.526</v>
      </c>
      <c r="Y358" s="7" t="n">
        <v>0.148</v>
      </c>
      <c r="Z358" s="7" t="n">
        <v>0.519</v>
      </c>
      <c r="AA358" s="7" t="n">
        <v>-0.001</v>
      </c>
      <c r="AB358" s="7" t="n">
        <v>0.013</v>
      </c>
      <c r="AC358" s="7" t="n">
        <v>0.168</v>
      </c>
      <c r="AD358" s="7" t="n">
        <v>-0.053</v>
      </c>
      <c r="AE358" s="7" t="n">
        <v>0.573</v>
      </c>
      <c r="AF358" s="7" t="n">
        <v>0.079</v>
      </c>
      <c r="AG358" s="7" t="n">
        <v>0.344</v>
      </c>
      <c r="AH358" s="7" t="n">
        <v>0.266</v>
      </c>
      <c r="AI358" s="7" t="n">
        <v>0.513</v>
      </c>
      <c r="AJ358" s="7" t="n">
        <v>0.659</v>
      </c>
      <c r="AK358" s="7" t="n">
        <v>0.588</v>
      </c>
      <c r="AL358" s="7" t="n">
        <v>-0.09</v>
      </c>
      <c r="AM358" s="7" t="n">
        <v>0.322</v>
      </c>
      <c r="AN358" s="7" t="n">
        <v>0.045</v>
      </c>
      <c r="AO358" s="7" t="n">
        <v>0.144</v>
      </c>
      <c r="AP358" s="7" t="n">
        <v>0.206</v>
      </c>
      <c r="AQ358" s="7" t="n">
        <v>0.009</v>
      </c>
      <c r="AR358" s="7" t="n">
        <v>-0.011</v>
      </c>
      <c r="AS358" s="7" t="n">
        <v>-0.036</v>
      </c>
      <c r="AT358" s="7" t="n">
        <v>0.492</v>
      </c>
      <c r="AU358" s="7" t="n">
        <v>0.436</v>
      </c>
      <c r="AV358" s="7" t="n">
        <v>0.053</v>
      </c>
    </row>
    <row r="359" customFormat="false" ht="15" hidden="false" customHeight="false" outlineLevel="0" collapsed="false">
      <c r="A359" s="19" t="n">
        <v>46676</v>
      </c>
      <c r="B359" s="6" t="n">
        <v>0</v>
      </c>
      <c r="C359" s="6" t="s">
        <v>169</v>
      </c>
      <c r="D359" s="6" t="s">
        <v>208</v>
      </c>
      <c r="E359" s="6" t="s">
        <v>171</v>
      </c>
      <c r="F359" s="6" t="s">
        <v>213</v>
      </c>
      <c r="G359" s="7" t="n">
        <v>0.057</v>
      </c>
      <c r="H359" s="7" t="n">
        <v>0.194</v>
      </c>
      <c r="I359" s="7" t="n">
        <v>-0.164</v>
      </c>
      <c r="J359" s="7" t="n">
        <v>0.124</v>
      </c>
      <c r="K359" s="7" t="n">
        <v>0.228</v>
      </c>
      <c r="L359" s="7" t="n">
        <v>-0.275</v>
      </c>
      <c r="M359" s="7" t="n">
        <v>-0.015</v>
      </c>
      <c r="N359" s="7" t="n">
        <v>-0.254</v>
      </c>
      <c r="O359" s="7" t="n">
        <v>-0.02</v>
      </c>
      <c r="P359" s="7" t="n">
        <v>0.088</v>
      </c>
      <c r="Q359" s="7" t="n">
        <v>-0.022</v>
      </c>
      <c r="R359" s="7" t="n">
        <v>-0.121</v>
      </c>
      <c r="S359" s="7" t="n">
        <v>0.137</v>
      </c>
      <c r="T359" s="7" t="n">
        <v>-0.031</v>
      </c>
      <c r="U359" s="7" t="n">
        <v>-0.182</v>
      </c>
      <c r="V359" s="7" t="n">
        <v>0.079</v>
      </c>
      <c r="W359" s="7" t="n">
        <v>-0.063</v>
      </c>
      <c r="X359" s="7" t="n">
        <v>0.229</v>
      </c>
      <c r="Y359" s="7" t="n">
        <v>0.214</v>
      </c>
      <c r="Z359" s="7" t="n">
        <v>0.195</v>
      </c>
      <c r="AA359" s="7" t="n">
        <v>-0.197</v>
      </c>
      <c r="AB359" s="7" t="n">
        <v>-0.047</v>
      </c>
      <c r="AC359" s="7" t="n">
        <v>-0.251</v>
      </c>
      <c r="AD359" s="7" t="n">
        <v>-0.144</v>
      </c>
      <c r="AE359" s="7" t="n">
        <v>0.128</v>
      </c>
      <c r="AF359" s="7" t="n">
        <v>0.164</v>
      </c>
      <c r="AG359" s="7" t="n">
        <v>-0.042</v>
      </c>
      <c r="AH359" s="7" t="n">
        <v>-0.023</v>
      </c>
      <c r="AI359" s="7" t="n">
        <v>-0.112</v>
      </c>
      <c r="AJ359" s="7" t="n">
        <v>0.069</v>
      </c>
      <c r="AK359" s="7" t="n">
        <v>0.171</v>
      </c>
      <c r="AL359" s="7" t="n">
        <v>-0.227</v>
      </c>
      <c r="AM359" s="7" t="n">
        <v>0.065</v>
      </c>
      <c r="AN359" s="7" t="n">
        <v>-0.046</v>
      </c>
      <c r="AO359" s="7" t="n">
        <v>-0.282</v>
      </c>
      <c r="AP359" s="7" t="n">
        <v>-0.05</v>
      </c>
      <c r="AQ359" s="7" t="n">
        <v>-0.238</v>
      </c>
      <c r="AR359" s="7" t="n">
        <v>-0.036</v>
      </c>
      <c r="AS359" s="7" t="n">
        <v>-0.204</v>
      </c>
      <c r="AT359" s="7" t="n">
        <v>0.049</v>
      </c>
      <c r="AU359" s="7" t="n">
        <v>0.044</v>
      </c>
      <c r="AV359" s="7" t="n">
        <v>-0.012</v>
      </c>
    </row>
    <row r="360" customFormat="false" ht="15" hidden="false" customHeight="false" outlineLevel="0" collapsed="false">
      <c r="A360" s="19" t="n">
        <v>46677</v>
      </c>
      <c r="B360" s="6" t="n">
        <v>0</v>
      </c>
      <c r="C360" s="6" t="s">
        <v>169</v>
      </c>
      <c r="D360" s="6" t="s">
        <v>170</v>
      </c>
      <c r="E360" s="6" t="s">
        <v>171</v>
      </c>
      <c r="F360" s="6" t="s">
        <v>213</v>
      </c>
      <c r="G360" s="7" t="n">
        <v>0.331</v>
      </c>
      <c r="H360" s="7" t="n">
        <v>0.57</v>
      </c>
      <c r="I360" s="7" t="n">
        <v>-0.128</v>
      </c>
      <c r="J360" s="7" t="n">
        <v>0.131</v>
      </c>
      <c r="K360" s="7" t="n">
        <v>0.564</v>
      </c>
      <c r="L360" s="7" t="n">
        <v>-0.143</v>
      </c>
      <c r="M360" s="7" t="n">
        <v>0.057</v>
      </c>
      <c r="N360" s="7" t="n">
        <v>-0.183</v>
      </c>
      <c r="O360" s="7" t="n">
        <v>0.019</v>
      </c>
      <c r="P360" s="7" t="n">
        <v>0.093</v>
      </c>
      <c r="Q360" s="7" t="n">
        <v>0.345</v>
      </c>
      <c r="R360" s="7" t="n">
        <v>-0.092</v>
      </c>
      <c r="S360" s="7" t="n">
        <v>0.52</v>
      </c>
      <c r="T360" s="7" t="n">
        <v>0.332</v>
      </c>
      <c r="U360" s="7" t="n">
        <v>0.132</v>
      </c>
      <c r="V360" s="7" t="n">
        <v>0.365</v>
      </c>
      <c r="W360" s="7" t="n">
        <v>0.001</v>
      </c>
      <c r="X360" s="7" t="n">
        <v>0.123</v>
      </c>
      <c r="Y360" s="7" t="n">
        <v>0.112</v>
      </c>
      <c r="Z360" s="7" t="n">
        <v>0.469</v>
      </c>
      <c r="AA360" s="7" t="n">
        <v>-0.136</v>
      </c>
      <c r="AB360" s="7" t="n">
        <v>0.122</v>
      </c>
      <c r="AC360" s="7" t="n">
        <v>-0.216</v>
      </c>
      <c r="AD360" s="7" t="n">
        <v>-0.026</v>
      </c>
      <c r="AE360" s="7" t="n">
        <v>0.135</v>
      </c>
      <c r="AF360" s="7" t="n">
        <v>0.188</v>
      </c>
      <c r="AG360" s="7" t="n">
        <v>-0.003</v>
      </c>
      <c r="AH360" s="7" t="n">
        <v>0.325</v>
      </c>
      <c r="AI360" s="7" t="n">
        <v>-0.071</v>
      </c>
      <c r="AJ360" s="7" t="n">
        <v>0.51</v>
      </c>
      <c r="AK360" s="7" t="n">
        <v>0.544</v>
      </c>
      <c r="AL360" s="7" t="n">
        <v>-0.194</v>
      </c>
      <c r="AM360" s="7" t="n">
        <v>0.091</v>
      </c>
      <c r="AN360" s="7" t="n">
        <v>0.217</v>
      </c>
      <c r="AO360" s="7" t="n">
        <v>-0.229</v>
      </c>
      <c r="AP360" s="7" t="n">
        <v>-0.028</v>
      </c>
      <c r="AQ360" s="7" t="n">
        <v>0.068</v>
      </c>
      <c r="AR360" s="7" t="n">
        <v>-0.023</v>
      </c>
      <c r="AS360" s="7" t="n">
        <v>-0.162</v>
      </c>
      <c r="AT360" s="7" t="n">
        <v>0.081</v>
      </c>
      <c r="AU360" s="7" t="n">
        <v>0.05</v>
      </c>
      <c r="AV360" s="7" t="n">
        <v>0.238</v>
      </c>
    </row>
    <row r="361" customFormat="false" ht="15" hidden="false" customHeight="false" outlineLevel="0" collapsed="false">
      <c r="A361" s="19" t="n">
        <v>46678</v>
      </c>
      <c r="B361" s="6" t="n">
        <v>1</v>
      </c>
      <c r="C361" s="6" t="s">
        <v>173</v>
      </c>
      <c r="D361" s="6" t="s">
        <v>174</v>
      </c>
      <c r="E361" s="6" t="s">
        <v>171</v>
      </c>
      <c r="F361" s="6" t="s">
        <v>213</v>
      </c>
      <c r="G361" s="7" t="n">
        <v>0.142</v>
      </c>
      <c r="H361" s="7" t="n">
        <v>0.375</v>
      </c>
      <c r="I361" s="7" t="n">
        <v>-0.098</v>
      </c>
      <c r="J361" s="7" t="n">
        <v>0.177</v>
      </c>
      <c r="K361" s="7" t="n">
        <v>0.33</v>
      </c>
      <c r="L361" s="7" t="n">
        <v>0.073</v>
      </c>
      <c r="M361" s="7" t="n">
        <v>0.098</v>
      </c>
      <c r="N361" s="7" t="n">
        <v>-0.17</v>
      </c>
      <c r="O361" s="7" t="n">
        <v>-0.011</v>
      </c>
      <c r="P361" s="7" t="n">
        <v>0.073</v>
      </c>
      <c r="Q361" s="7" t="n">
        <v>-0.003</v>
      </c>
      <c r="R361" s="7" t="n">
        <v>-0.155</v>
      </c>
      <c r="S361" s="7" t="n">
        <v>0.307</v>
      </c>
      <c r="T361" s="7" t="n">
        <v>-0.483</v>
      </c>
      <c r="U361" s="7" t="n">
        <v>-0.375</v>
      </c>
      <c r="V361" s="7" t="n">
        <v>-0.007</v>
      </c>
      <c r="W361" s="7" t="n">
        <v>0.036</v>
      </c>
      <c r="X361" s="7" t="n">
        <v>0.169</v>
      </c>
      <c r="Y361" s="7" t="n">
        <v>0.057</v>
      </c>
      <c r="Z361" s="7" t="n">
        <v>-0.345</v>
      </c>
      <c r="AA361" s="7" t="n">
        <v>-0.394</v>
      </c>
      <c r="AB361" s="7" t="n">
        <v>-0.086</v>
      </c>
      <c r="AC361" s="7" t="n">
        <v>-0.217</v>
      </c>
      <c r="AD361" s="7" t="n">
        <v>-0.415</v>
      </c>
      <c r="AE361" s="7" t="n">
        <v>0.181</v>
      </c>
      <c r="AF361" s="7" t="n">
        <v>0.19</v>
      </c>
      <c r="AG361" s="7" t="n">
        <v>-0.033</v>
      </c>
      <c r="AH361" s="7" t="n">
        <v>-0.062</v>
      </c>
      <c r="AI361" s="7" t="n">
        <v>0.134</v>
      </c>
      <c r="AJ361" s="7" t="n">
        <v>0.272</v>
      </c>
      <c r="AK361" s="7" t="n">
        <v>0.353</v>
      </c>
      <c r="AL361" s="7" t="n">
        <v>-0.4</v>
      </c>
      <c r="AM361" s="7" t="n">
        <v>-0.331</v>
      </c>
      <c r="AN361" s="7" t="n">
        <v>-0.295</v>
      </c>
      <c r="AO361" s="7" t="n">
        <v>-0.222</v>
      </c>
      <c r="AP361" s="7" t="n">
        <v>-0.052</v>
      </c>
      <c r="AQ361" s="7" t="n">
        <v>-0.488</v>
      </c>
      <c r="AR361" s="7" t="n">
        <v>-0.032</v>
      </c>
      <c r="AS361" s="7" t="n">
        <v>-0.146</v>
      </c>
      <c r="AT361" s="7" t="n">
        <v>-0.33</v>
      </c>
      <c r="AU361" s="7" t="n">
        <v>0.097</v>
      </c>
      <c r="AV361" s="7" t="n">
        <v>-0.267</v>
      </c>
    </row>
    <row r="362" customFormat="false" ht="15" hidden="false" customHeight="false" outlineLevel="0" collapsed="false">
      <c r="A362" s="19" t="n">
        <v>46679</v>
      </c>
      <c r="B362" s="6" t="n">
        <v>1</v>
      </c>
      <c r="C362" s="6" t="s">
        <v>173</v>
      </c>
      <c r="D362" s="6" t="s">
        <v>209</v>
      </c>
      <c r="E362" s="6" t="s">
        <v>171</v>
      </c>
      <c r="F362" s="6" t="s">
        <v>213</v>
      </c>
      <c r="G362" s="7" t="n">
        <v>0.141</v>
      </c>
      <c r="H362" s="7" t="n">
        <v>0.4</v>
      </c>
      <c r="I362" s="7" t="n">
        <v>-0.139</v>
      </c>
      <c r="J362" s="7" t="n">
        <v>0.161</v>
      </c>
      <c r="K362" s="7" t="n">
        <v>0.272</v>
      </c>
      <c r="L362" s="7" t="n">
        <v>-0.024</v>
      </c>
      <c r="M362" s="7" t="n">
        <v>0.07</v>
      </c>
      <c r="N362" s="7" t="n">
        <v>-0.139</v>
      </c>
      <c r="O362" s="7" t="n">
        <v>-0.004</v>
      </c>
      <c r="P362" s="7" t="n">
        <v>0.085</v>
      </c>
      <c r="Q362" s="7" t="n">
        <v>-0.023</v>
      </c>
      <c r="R362" s="7" t="n">
        <v>-0.143</v>
      </c>
      <c r="S362" s="7" t="n">
        <v>0.295</v>
      </c>
      <c r="T362" s="7" t="n">
        <v>-0.176</v>
      </c>
      <c r="U362" s="7" t="n">
        <v>-0.39</v>
      </c>
      <c r="V362" s="7" t="n">
        <v>-0.08</v>
      </c>
      <c r="W362" s="7" t="n">
        <v>0.018</v>
      </c>
      <c r="X362" s="7" t="n">
        <v>0.152</v>
      </c>
      <c r="Y362" s="7" t="n">
        <v>0.068</v>
      </c>
      <c r="Z362" s="7" t="n">
        <v>-0.036</v>
      </c>
      <c r="AA362" s="7" t="n">
        <v>-0.111</v>
      </c>
      <c r="AB362" s="7" t="n">
        <v>-0.139</v>
      </c>
      <c r="AC362" s="7" t="n">
        <v>-0.209</v>
      </c>
      <c r="AD362" s="7" t="n">
        <v>-0.23</v>
      </c>
      <c r="AE362" s="7" t="n">
        <v>0.165</v>
      </c>
      <c r="AF362" s="7" t="n">
        <v>0.174</v>
      </c>
      <c r="AG362" s="7" t="n">
        <v>0.02</v>
      </c>
      <c r="AH362" s="7" t="n">
        <v>-0.135</v>
      </c>
      <c r="AI362" s="7" t="n">
        <v>0.08</v>
      </c>
      <c r="AJ362" s="7" t="n">
        <v>0.21</v>
      </c>
      <c r="AK362" s="7" t="n">
        <v>0.31</v>
      </c>
      <c r="AL362" s="7" t="n">
        <v>-0.01</v>
      </c>
      <c r="AM362" s="7" t="n">
        <v>0.041</v>
      </c>
      <c r="AN362" s="7" t="n">
        <v>-0.287</v>
      </c>
      <c r="AO362" s="7" t="n">
        <v>-0.192</v>
      </c>
      <c r="AP362" s="7" t="n">
        <v>-0.018</v>
      </c>
      <c r="AQ362" s="7" t="n">
        <v>-0.396</v>
      </c>
      <c r="AR362" s="7" t="n">
        <v>0.002</v>
      </c>
      <c r="AS362" s="7" t="n">
        <v>-0.145</v>
      </c>
      <c r="AT362" s="7" t="n">
        <v>0.127</v>
      </c>
      <c r="AU362" s="7" t="n">
        <v>0.123</v>
      </c>
      <c r="AV362" s="7" t="n">
        <v>-0.286</v>
      </c>
    </row>
    <row r="363" customFormat="false" ht="15" hidden="false" customHeight="false" outlineLevel="0" collapsed="false">
      <c r="A363" s="19" t="n">
        <v>46680</v>
      </c>
      <c r="B363" s="6" t="n">
        <v>1</v>
      </c>
      <c r="C363" s="6" t="s">
        <v>176</v>
      </c>
      <c r="D363" s="6" t="s">
        <v>175</v>
      </c>
      <c r="E363" s="6" t="s">
        <v>171</v>
      </c>
      <c r="F363" s="6" t="s">
        <v>179</v>
      </c>
      <c r="G363" s="7" t="n">
        <v>-0.092</v>
      </c>
      <c r="H363" s="7" t="n">
        <v>0.077</v>
      </c>
      <c r="I363" s="7" t="n">
        <v>-0.131</v>
      </c>
      <c r="J363" s="7" t="n">
        <v>0.162</v>
      </c>
      <c r="K363" s="7" t="n">
        <v>-0.077</v>
      </c>
      <c r="L363" s="7" t="n">
        <v>-0.029</v>
      </c>
      <c r="M363" s="7" t="n">
        <v>-0.132</v>
      </c>
      <c r="N363" s="7" t="n">
        <v>-0.146</v>
      </c>
      <c r="O363" s="7" t="n">
        <v>0.036</v>
      </c>
      <c r="P363" s="7" t="n">
        <v>0.213</v>
      </c>
      <c r="Q363" s="7" t="n">
        <v>-0.214</v>
      </c>
      <c r="R363" s="7" t="n">
        <v>-0.199</v>
      </c>
      <c r="S363" s="7" t="n">
        <v>0.041</v>
      </c>
      <c r="T363" s="7" t="n">
        <v>-0.147</v>
      </c>
      <c r="U363" s="7" t="n">
        <v>-0.23</v>
      </c>
      <c r="V363" s="7" t="n">
        <v>-0.081</v>
      </c>
      <c r="W363" s="7" t="n">
        <v>-0.143</v>
      </c>
      <c r="X363" s="7" t="n">
        <v>0.192</v>
      </c>
      <c r="Y363" s="7" t="n">
        <v>0.092</v>
      </c>
      <c r="Z363" s="7" t="n">
        <v>-0.116</v>
      </c>
      <c r="AA363" s="7" t="n">
        <v>-0.085</v>
      </c>
      <c r="AB363" s="7" t="n">
        <v>-0.174</v>
      </c>
      <c r="AC363" s="7" t="n">
        <v>-0.214</v>
      </c>
      <c r="AD363" s="7" t="n">
        <v>-0.057</v>
      </c>
      <c r="AE363" s="7" t="n">
        <v>0.338</v>
      </c>
      <c r="AF363" s="7" t="n">
        <v>0.036</v>
      </c>
      <c r="AG363" s="7" t="n">
        <v>0.014</v>
      </c>
      <c r="AH363" s="7" t="n">
        <v>-0.179</v>
      </c>
      <c r="AI363" s="7" t="n">
        <v>-0.048</v>
      </c>
      <c r="AJ363" s="7" t="n">
        <v>0.063</v>
      </c>
      <c r="AK363" s="7" t="n">
        <v>0.175</v>
      </c>
      <c r="AL363" s="7" t="n">
        <v>-0.046</v>
      </c>
      <c r="AM363" s="7" t="n">
        <v>0.082</v>
      </c>
      <c r="AN363" s="7" t="n">
        <v>-0.092</v>
      </c>
      <c r="AO363" s="7" t="n">
        <v>-0.247</v>
      </c>
      <c r="AP363" s="7" t="n">
        <v>-0.047</v>
      </c>
      <c r="AQ363" s="7" t="n">
        <v>-0.265</v>
      </c>
      <c r="AR363" s="7" t="n">
        <v>0.003</v>
      </c>
      <c r="AS363" s="7" t="n">
        <v>-0.195</v>
      </c>
      <c r="AT363" s="7" t="n">
        <v>-0.014</v>
      </c>
      <c r="AU363" s="7" t="n">
        <v>-0.018</v>
      </c>
      <c r="AV363" s="7" t="n">
        <v>-0.095</v>
      </c>
    </row>
    <row r="364" customFormat="false" ht="15" hidden="false" customHeight="false" outlineLevel="0" collapsed="false">
      <c r="A364" s="19" t="n">
        <v>46681</v>
      </c>
      <c r="B364" s="6" t="n">
        <v>1</v>
      </c>
      <c r="C364" s="6" t="s">
        <v>176</v>
      </c>
      <c r="D364" s="6" t="s">
        <v>177</v>
      </c>
      <c r="E364" s="6" t="s">
        <v>171</v>
      </c>
      <c r="F364" s="6" t="s">
        <v>179</v>
      </c>
      <c r="G364" s="7" t="n">
        <v>-0.085</v>
      </c>
      <c r="H364" s="7" t="n">
        <v>0.065</v>
      </c>
      <c r="I364" s="7" t="n">
        <v>-0.13</v>
      </c>
      <c r="J364" s="7" t="n">
        <v>0.222</v>
      </c>
      <c r="K364" s="7" t="n">
        <v>-0.05</v>
      </c>
      <c r="L364" s="7" t="n">
        <v>-0.16</v>
      </c>
      <c r="M364" s="7" t="n">
        <v>0.011</v>
      </c>
      <c r="N364" s="7" t="n">
        <v>-0.15</v>
      </c>
      <c r="O364" s="7" t="n">
        <v>0.029</v>
      </c>
      <c r="P364" s="7" t="n">
        <v>0.374</v>
      </c>
      <c r="Q364" s="7" t="n">
        <v>-0.342</v>
      </c>
      <c r="R364" s="7" t="n">
        <v>-0.165</v>
      </c>
      <c r="S364" s="7" t="n">
        <v>-0.119</v>
      </c>
      <c r="T364" s="7" t="n">
        <v>-0.225</v>
      </c>
      <c r="U364" s="7" t="n">
        <v>-0.339</v>
      </c>
      <c r="V364" s="7" t="n">
        <v>-0.303</v>
      </c>
      <c r="W364" s="7" t="n">
        <v>-0.027</v>
      </c>
      <c r="X364" s="7" t="n">
        <v>0.255</v>
      </c>
      <c r="Y364" s="7" t="n">
        <v>-0.005</v>
      </c>
      <c r="Z364" s="7" t="n">
        <v>-0.207</v>
      </c>
      <c r="AA364" s="7" t="n">
        <v>-0.044</v>
      </c>
      <c r="AB364" s="7" t="n">
        <v>-0.212</v>
      </c>
      <c r="AC364" s="7" t="n">
        <v>-0.152</v>
      </c>
      <c r="AD364" s="7" t="n">
        <v>-0.21</v>
      </c>
      <c r="AE364" s="7" t="n">
        <v>0.459</v>
      </c>
      <c r="AF364" s="7" t="n">
        <v>0.162</v>
      </c>
      <c r="AG364" s="7" t="n">
        <v>0.005</v>
      </c>
      <c r="AH364" s="7" t="n">
        <v>-0.263</v>
      </c>
      <c r="AI364" s="7" t="n">
        <v>-0.013</v>
      </c>
      <c r="AJ364" s="7" t="n">
        <v>-0.095</v>
      </c>
      <c r="AK364" s="7" t="n">
        <v>0.021</v>
      </c>
      <c r="AL364" s="7" t="n">
        <v>-0.176</v>
      </c>
      <c r="AM364" s="7" t="n">
        <v>0.077</v>
      </c>
      <c r="AN364" s="7" t="n">
        <v>-0.17</v>
      </c>
      <c r="AO364" s="7" t="n">
        <v>-0.214</v>
      </c>
      <c r="AP364" s="7" t="n">
        <v>-0.013</v>
      </c>
      <c r="AQ364" s="7" t="n">
        <v>-0.327</v>
      </c>
      <c r="AR364" s="7" t="n">
        <v>-0.007</v>
      </c>
      <c r="AS364" s="7" t="n">
        <v>-0.16</v>
      </c>
      <c r="AT364" s="7" t="n">
        <v>-0.047</v>
      </c>
      <c r="AU364" s="7" t="n">
        <v>-0.051</v>
      </c>
      <c r="AV364" s="7" t="n">
        <v>-0.163</v>
      </c>
    </row>
    <row r="365" customFormat="false" ht="15" hidden="false" customHeight="false" outlineLevel="0" collapsed="false">
      <c r="A365" s="19" t="n">
        <v>46682</v>
      </c>
      <c r="B365" s="6" t="n">
        <v>1</v>
      </c>
      <c r="C365" s="6" t="s">
        <v>176</v>
      </c>
      <c r="D365" s="6" t="s">
        <v>178</v>
      </c>
      <c r="E365" s="6" t="s">
        <v>171</v>
      </c>
      <c r="F365" s="6" t="s">
        <v>179</v>
      </c>
      <c r="G365" s="7" t="n">
        <v>-0.072</v>
      </c>
      <c r="H365" s="7" t="n">
        <v>0.118</v>
      </c>
      <c r="I365" s="7" t="n">
        <v>-0.156</v>
      </c>
      <c r="J365" s="7" t="n">
        <v>0.274</v>
      </c>
      <c r="K365" s="7" t="n">
        <v>0.006</v>
      </c>
      <c r="L365" s="7" t="n">
        <v>-0.186</v>
      </c>
      <c r="M365" s="7" t="n">
        <v>-0.112</v>
      </c>
      <c r="N365" s="7" t="n">
        <v>-0.202</v>
      </c>
      <c r="O365" s="7" t="n">
        <v>0.02</v>
      </c>
      <c r="P365" s="7" t="n">
        <v>0.375</v>
      </c>
      <c r="Q365" s="7" t="n">
        <v>-0.296</v>
      </c>
      <c r="R365" s="7" t="n">
        <v>-0.125</v>
      </c>
      <c r="S365" s="7" t="n">
        <v>-0.066</v>
      </c>
      <c r="T365" s="7" t="n">
        <v>-0.389</v>
      </c>
      <c r="U365" s="7" t="n">
        <v>-0.381</v>
      </c>
      <c r="V365" s="7" t="n">
        <v>-0.325</v>
      </c>
      <c r="W365" s="7" t="n">
        <v>-0.125</v>
      </c>
      <c r="X365" s="7" t="n">
        <v>0.308</v>
      </c>
      <c r="Y365" s="7" t="n">
        <v>-0.037</v>
      </c>
      <c r="Z365" s="7" t="n">
        <v>-0.193</v>
      </c>
      <c r="AA365" s="7" t="n">
        <v>-0.151</v>
      </c>
      <c r="AB365" s="7" t="n">
        <v>-0.199</v>
      </c>
      <c r="AC365" s="7" t="n">
        <v>-0.192</v>
      </c>
      <c r="AD365" s="7" t="n">
        <v>-0.226</v>
      </c>
      <c r="AE365" s="7" t="n">
        <v>0.493</v>
      </c>
      <c r="AF365" s="7" t="n">
        <v>0.086</v>
      </c>
      <c r="AG365" s="7" t="n">
        <v>-0.006</v>
      </c>
      <c r="AH365" s="7" t="n">
        <v>-0.252</v>
      </c>
      <c r="AI365" s="7" t="n">
        <v>0.029</v>
      </c>
      <c r="AJ365" s="7" t="n">
        <v>-0.04</v>
      </c>
      <c r="AK365" s="7" t="n">
        <v>0.023</v>
      </c>
      <c r="AL365" s="7" t="n">
        <v>-0.201</v>
      </c>
      <c r="AM365" s="7" t="n">
        <v>0.051</v>
      </c>
      <c r="AN365" s="7" t="n">
        <v>-0.173</v>
      </c>
      <c r="AO365" s="7" t="n">
        <v>-0.255</v>
      </c>
      <c r="AP365" s="7" t="n">
        <v>-0.03</v>
      </c>
      <c r="AQ365" s="7" t="n">
        <v>-0.354</v>
      </c>
      <c r="AR365" s="7" t="n">
        <v>-0.026</v>
      </c>
      <c r="AS365" s="7" t="n">
        <v>-0.186</v>
      </c>
      <c r="AT365" s="7" t="n">
        <v>0.003</v>
      </c>
      <c r="AU365" s="7" t="n">
        <v>-0.001</v>
      </c>
      <c r="AV365" s="7" t="n">
        <v>-0.148</v>
      </c>
    </row>
    <row r="366" customFormat="false" ht="15" hidden="false" customHeight="false" outlineLevel="0" collapsed="false">
      <c r="A366" s="19" t="n">
        <v>46683</v>
      </c>
      <c r="B366" s="6" t="n">
        <v>0</v>
      </c>
      <c r="C366" s="6" t="s">
        <v>180</v>
      </c>
      <c r="D366" s="6" t="s">
        <v>181</v>
      </c>
      <c r="E366" s="6" t="s">
        <v>171</v>
      </c>
      <c r="F366" s="6" t="s">
        <v>179</v>
      </c>
      <c r="G366" s="7" t="n">
        <v>0.119</v>
      </c>
      <c r="H366" s="7" t="n">
        <v>0.549</v>
      </c>
      <c r="I366" s="7" t="n">
        <v>-0.237</v>
      </c>
      <c r="J366" s="7" t="n">
        <v>-0.015</v>
      </c>
      <c r="K366" s="7" t="n">
        <v>0.157</v>
      </c>
      <c r="L366" s="7" t="n">
        <v>-0.053</v>
      </c>
      <c r="M366" s="7" t="n">
        <v>0.36</v>
      </c>
      <c r="N366" s="7" t="n">
        <v>0.19</v>
      </c>
      <c r="O366" s="7" t="n">
        <v>-0.073</v>
      </c>
      <c r="P366" s="7" t="n">
        <v>0.003</v>
      </c>
      <c r="Q366" s="7" t="n">
        <v>-0.244</v>
      </c>
      <c r="R366" s="7" t="n">
        <v>-0.149</v>
      </c>
      <c r="S366" s="7" t="n">
        <v>-0.007</v>
      </c>
      <c r="T366" s="7" t="n">
        <v>-0.239</v>
      </c>
      <c r="U366" s="7" t="n">
        <v>-0.36</v>
      </c>
      <c r="V366" s="7" t="n">
        <v>-0.281</v>
      </c>
      <c r="W366" s="7" t="n">
        <v>0.284</v>
      </c>
      <c r="X366" s="7" t="n">
        <v>0.119</v>
      </c>
      <c r="Y366" s="7" t="n">
        <v>0.365</v>
      </c>
      <c r="Z366" s="7" t="n">
        <v>-0.066</v>
      </c>
      <c r="AA366" s="7" t="n">
        <v>0.289</v>
      </c>
      <c r="AB366" s="7" t="n">
        <v>-0.187</v>
      </c>
      <c r="AC366" s="7" t="n">
        <v>-0.21</v>
      </c>
      <c r="AD366" s="7" t="n">
        <v>-0.103</v>
      </c>
      <c r="AE366" s="7" t="n">
        <v>0.13</v>
      </c>
      <c r="AF366" s="7" t="n">
        <v>0.429</v>
      </c>
      <c r="AG366" s="7" t="n">
        <v>-0.211</v>
      </c>
      <c r="AH366" s="7" t="n">
        <v>-0.219</v>
      </c>
      <c r="AI366" s="7" t="n">
        <v>-0.036</v>
      </c>
      <c r="AJ366" s="7" t="n">
        <v>0.079</v>
      </c>
      <c r="AK366" s="7" t="n">
        <v>-0.128</v>
      </c>
      <c r="AL366" s="7" t="n">
        <v>-0.076</v>
      </c>
      <c r="AM366" s="7" t="n">
        <v>0.05</v>
      </c>
      <c r="AN366" s="7" t="n">
        <v>-0.233</v>
      </c>
      <c r="AO366" s="7" t="n">
        <v>0.096</v>
      </c>
      <c r="AP366" s="7" t="n">
        <v>0.278</v>
      </c>
      <c r="AQ366" s="7" t="n">
        <v>-0.339</v>
      </c>
      <c r="AR366" s="7" t="n">
        <v>-0.126</v>
      </c>
      <c r="AS366" s="7" t="n">
        <v>0.242</v>
      </c>
      <c r="AT366" s="7" t="n">
        <v>0.119</v>
      </c>
      <c r="AU366" s="7" t="n">
        <v>0.116</v>
      </c>
      <c r="AV366" s="7" t="n">
        <v>-0.109</v>
      </c>
    </row>
    <row r="367" customFormat="false" ht="15" hidden="false" customHeight="false" outlineLevel="0" collapsed="false">
      <c r="A367" s="19" t="n">
        <v>46684</v>
      </c>
      <c r="B367" s="6" t="n">
        <v>0</v>
      </c>
      <c r="C367" s="6" t="s">
        <v>180</v>
      </c>
      <c r="D367" s="6" t="s">
        <v>182</v>
      </c>
      <c r="E367" s="6" t="s">
        <v>171</v>
      </c>
      <c r="F367" s="6" t="s">
        <v>179</v>
      </c>
      <c r="G367" s="7" t="n">
        <v>0.307</v>
      </c>
      <c r="H367" s="7" t="n">
        <v>0.476</v>
      </c>
      <c r="I367" s="7" t="n">
        <v>-0.235</v>
      </c>
      <c r="J367" s="7" t="n">
        <v>0.575</v>
      </c>
      <c r="K367" s="7" t="n">
        <v>0.531</v>
      </c>
      <c r="L367" s="7" t="n">
        <v>-0.212</v>
      </c>
      <c r="M367" s="7" t="n">
        <v>-0.161</v>
      </c>
      <c r="N367" s="7" t="n">
        <v>-0.46</v>
      </c>
      <c r="O367" s="7" t="n">
        <v>-0.234</v>
      </c>
      <c r="P367" s="7" t="n">
        <v>0.526</v>
      </c>
      <c r="Q367" s="7" t="n">
        <v>0.116</v>
      </c>
      <c r="R367" s="7" t="n">
        <v>-0.149</v>
      </c>
      <c r="S367" s="7" t="n">
        <v>0.408</v>
      </c>
      <c r="T367" s="7" t="n">
        <v>0.119</v>
      </c>
      <c r="U367" s="7" t="n">
        <v>-0.364</v>
      </c>
      <c r="V367" s="7" t="n">
        <v>-0.278</v>
      </c>
      <c r="W367" s="7" t="n">
        <v>-0.174</v>
      </c>
      <c r="X367" s="7" t="n">
        <v>0.59</v>
      </c>
      <c r="Y367" s="7" t="n">
        <v>-0.051</v>
      </c>
      <c r="Z367" s="7" t="n">
        <v>-0.158</v>
      </c>
      <c r="AA367" s="7" t="n">
        <v>-0.277</v>
      </c>
      <c r="AB367" s="7" t="n">
        <v>-0.187</v>
      </c>
      <c r="AC367" s="7" t="n">
        <v>-0.218</v>
      </c>
      <c r="AD367" s="7" t="n">
        <v>-0.248</v>
      </c>
      <c r="AE367" s="7" t="n">
        <v>0.652</v>
      </c>
      <c r="AF367" s="7" t="n">
        <v>0.061</v>
      </c>
      <c r="AG367" s="7" t="n">
        <v>-0.423</v>
      </c>
      <c r="AH367" s="7" t="n">
        <v>-0.215</v>
      </c>
      <c r="AI367" s="7" t="n">
        <v>0.506</v>
      </c>
      <c r="AJ367" s="7" t="n">
        <v>0.531</v>
      </c>
      <c r="AK367" s="7" t="n">
        <v>0.003</v>
      </c>
      <c r="AL367" s="7" t="n">
        <v>-0.226</v>
      </c>
      <c r="AM367" s="7" t="n">
        <v>0.05</v>
      </c>
      <c r="AN367" s="7" t="n">
        <v>-0.382</v>
      </c>
      <c r="AO367" s="7" t="n">
        <v>-0.482</v>
      </c>
      <c r="AP367" s="7" t="n">
        <v>-0.315</v>
      </c>
      <c r="AQ367" s="7" t="n">
        <v>-0.344</v>
      </c>
      <c r="AR367" s="7" t="n">
        <v>-0.283</v>
      </c>
      <c r="AS367" s="7" t="n">
        <v>-0.234</v>
      </c>
      <c r="AT367" s="7" t="n">
        <v>0.524</v>
      </c>
      <c r="AU367" s="7" t="n">
        <v>0.52</v>
      </c>
      <c r="AV367" s="7" t="n">
        <v>-0.106</v>
      </c>
    </row>
    <row r="368" customFormat="false" ht="15" hidden="false" customHeight="false" outlineLevel="0" collapsed="false">
      <c r="A368" s="19" t="n">
        <v>46685</v>
      </c>
      <c r="B368" s="6" t="n">
        <v>1</v>
      </c>
      <c r="C368" s="6" t="s">
        <v>183</v>
      </c>
      <c r="D368" s="6" t="s">
        <v>184</v>
      </c>
      <c r="E368" s="6" t="s">
        <v>171</v>
      </c>
      <c r="F368" s="6" t="s">
        <v>179</v>
      </c>
      <c r="G368" s="7" t="n">
        <v>0.035</v>
      </c>
      <c r="H368" s="7" t="n">
        <v>0.142</v>
      </c>
      <c r="I368" s="7" t="n">
        <v>-0.183</v>
      </c>
      <c r="J368" s="7" t="n">
        <v>0.2</v>
      </c>
      <c r="K368" s="7" t="n">
        <v>0.09</v>
      </c>
      <c r="L368" s="7" t="n">
        <v>-0.128</v>
      </c>
      <c r="M368" s="7" t="n">
        <v>-0.143</v>
      </c>
      <c r="N368" s="7" t="n">
        <v>-0.125</v>
      </c>
      <c r="O368" s="7" t="n">
        <v>0.055</v>
      </c>
      <c r="P368" s="7" t="n">
        <v>-0.07</v>
      </c>
      <c r="Q368" s="7" t="n">
        <v>-0.116</v>
      </c>
      <c r="R368" s="7" t="n">
        <v>-0.02</v>
      </c>
      <c r="S368" s="7" t="n">
        <v>0.064</v>
      </c>
      <c r="T368" s="7" t="n">
        <v>-0.168</v>
      </c>
      <c r="U368" s="7" t="n">
        <v>-0.363</v>
      </c>
      <c r="V368" s="7" t="n">
        <v>-0.28</v>
      </c>
      <c r="W368" s="7" t="n">
        <v>-0.089</v>
      </c>
      <c r="X368" s="7" t="n">
        <v>0.409</v>
      </c>
      <c r="Y368" s="7" t="n">
        <v>0.116</v>
      </c>
      <c r="Z368" s="7" t="n">
        <v>0.176</v>
      </c>
      <c r="AA368" s="7" t="n">
        <v>-0.172</v>
      </c>
      <c r="AB368" s="7" t="n">
        <v>-0.187</v>
      </c>
      <c r="AC368" s="7" t="n">
        <v>-0.215</v>
      </c>
      <c r="AD368" s="7" t="n">
        <v>-0.002</v>
      </c>
      <c r="AE368" s="7" t="n">
        <v>0.205</v>
      </c>
      <c r="AF368" s="7" t="n">
        <v>0.154</v>
      </c>
      <c r="AG368" s="7" t="n">
        <v>0.028</v>
      </c>
      <c r="AH368" s="7" t="n">
        <v>-0.218</v>
      </c>
      <c r="AI368" s="7" t="n">
        <v>0.018</v>
      </c>
      <c r="AJ368" s="7" t="n">
        <v>0.091</v>
      </c>
      <c r="AK368" s="7" t="n">
        <v>0.013</v>
      </c>
      <c r="AL368" s="7" t="n">
        <v>-0.226</v>
      </c>
      <c r="AM368" s="7" t="n">
        <v>0.28</v>
      </c>
      <c r="AN368" s="7" t="n">
        <v>-0.105</v>
      </c>
      <c r="AO368" s="7" t="n">
        <v>-0.258</v>
      </c>
      <c r="AP368" s="7" t="n">
        <v>-0.004</v>
      </c>
      <c r="AQ368" s="7" t="n">
        <v>-0.14</v>
      </c>
      <c r="AR368" s="7" t="n">
        <v>0.003</v>
      </c>
      <c r="AS368" s="7" t="n">
        <v>-0.216</v>
      </c>
      <c r="AT368" s="7" t="n">
        <v>0.345</v>
      </c>
      <c r="AU368" s="7" t="n">
        <v>0.116</v>
      </c>
      <c r="AV368" s="7" t="n">
        <v>-0.109</v>
      </c>
    </row>
    <row r="369" customFormat="false" ht="15" hidden="false" customHeight="false" outlineLevel="0" collapsed="false">
      <c r="A369" s="19" t="n">
        <v>46686</v>
      </c>
      <c r="B369" s="6" t="n">
        <v>1</v>
      </c>
      <c r="C369" s="6" t="s">
        <v>183</v>
      </c>
      <c r="D369" s="6" t="s">
        <v>185</v>
      </c>
      <c r="E369" s="6" t="s">
        <v>171</v>
      </c>
      <c r="F369" s="6" t="s">
        <v>179</v>
      </c>
      <c r="G369" s="7" t="n">
        <v>-0.003</v>
      </c>
      <c r="H369" s="7" t="n">
        <v>0.132</v>
      </c>
      <c r="I369" s="7" t="n">
        <v>-0.21</v>
      </c>
      <c r="J369" s="7" t="n">
        <v>0.192</v>
      </c>
      <c r="K369" s="7" t="n">
        <v>0.133</v>
      </c>
      <c r="L369" s="7" t="n">
        <v>-0.04</v>
      </c>
      <c r="M369" s="7" t="n">
        <v>-0.165</v>
      </c>
      <c r="N369" s="7" t="n">
        <v>-0.21</v>
      </c>
      <c r="O369" s="7" t="n">
        <v>0.092</v>
      </c>
      <c r="P369" s="7" t="n">
        <v>-0.019</v>
      </c>
      <c r="Q369" s="7" t="n">
        <v>-0.465</v>
      </c>
      <c r="R369" s="7" t="n">
        <v>-0.003</v>
      </c>
      <c r="S369" s="7" t="n">
        <v>0.056</v>
      </c>
      <c r="T369" s="7" t="n">
        <v>-0.303</v>
      </c>
      <c r="U369" s="7" t="n">
        <v>-0.493</v>
      </c>
      <c r="V369" s="7" t="n">
        <v>-0.57</v>
      </c>
      <c r="W369" s="7" t="n">
        <v>-0.175</v>
      </c>
      <c r="X369" s="7" t="n">
        <v>0.186</v>
      </c>
      <c r="Y369" s="7" t="n">
        <v>-0.023</v>
      </c>
      <c r="Z369" s="7" t="n">
        <v>0.078</v>
      </c>
      <c r="AA369" s="7" t="n">
        <v>-0.193</v>
      </c>
      <c r="AB369" s="7" t="n">
        <v>-0.373</v>
      </c>
      <c r="AC369" s="7" t="n">
        <v>-0.245</v>
      </c>
      <c r="AD369" s="7" t="n">
        <v>0.164</v>
      </c>
      <c r="AE369" s="7" t="n">
        <v>0.197</v>
      </c>
      <c r="AF369" s="7" t="n">
        <v>0.092</v>
      </c>
      <c r="AG369" s="7" t="n">
        <v>0.064</v>
      </c>
      <c r="AH369" s="7" t="n">
        <v>-0.547</v>
      </c>
      <c r="AI369" s="7" t="n">
        <v>-0.001</v>
      </c>
      <c r="AJ369" s="7" t="n">
        <v>0.085</v>
      </c>
      <c r="AK369" s="7" t="n">
        <v>-0.065</v>
      </c>
      <c r="AL369" s="7" t="n">
        <v>-0.252</v>
      </c>
      <c r="AM369" s="7" t="n">
        <v>0.354</v>
      </c>
      <c r="AN369" s="7" t="n">
        <v>-0.301</v>
      </c>
      <c r="AO369" s="7" t="n">
        <v>-0.273</v>
      </c>
      <c r="AP369" s="7" t="n">
        <v>0.009</v>
      </c>
      <c r="AQ369" s="7" t="n">
        <v>-0.3</v>
      </c>
      <c r="AR369" s="7" t="n">
        <v>0.011</v>
      </c>
      <c r="AS369" s="7" t="n">
        <v>-0.239</v>
      </c>
      <c r="AT369" s="7" t="n">
        <v>0.403</v>
      </c>
      <c r="AU369" s="7" t="n">
        <v>0.105</v>
      </c>
      <c r="AV369" s="7" t="n">
        <v>-0.303</v>
      </c>
    </row>
  </sheetData>
  <conditionalFormatting sqref="G5:AV369">
    <cfRule type="expression" priority="2" aboveAverage="0" equalAverage="0" bottom="0" percent="0" rank="0" text="" dxfId="0">
      <formula>AND(ISNUMBER(G5),G5&gt;Settings!$C$4)</formula>
    </cfRule>
    <cfRule type="expression" priority="3" aboveAverage="0" equalAverage="0" bottom="0" percent="0" rank="0" text="" dxfId="1">
      <formula>AND(ISNUMBER(G5),G5&lt;-Settings!$C$4)</formula>
    </cfRule>
    <cfRule type="expression" priority="4" aboveAverage="0" equalAverage="0" bottom="0" percent="0" rank="0" text="" dxfId="2">
      <formula>AND(ISNUMBER(G5),ABS(G5)&lt;=Settings!$C$4)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3" min="2" style="0" width="9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64.9" hidden="false" customHeight="false" outlineLevel="0" collapsed="false">
      <c r="A4" s="5" t="s">
        <v>139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34</v>
      </c>
      <c r="S4" s="5" t="s">
        <v>35</v>
      </c>
      <c r="T4" s="5" t="s">
        <v>36</v>
      </c>
      <c r="U4" s="5" t="s">
        <v>37</v>
      </c>
      <c r="V4" s="5" t="s">
        <v>38</v>
      </c>
      <c r="W4" s="5" t="s">
        <v>39</v>
      </c>
      <c r="X4" s="5" t="s">
        <v>40</v>
      </c>
      <c r="Y4" s="5" t="s">
        <v>41</v>
      </c>
      <c r="Z4" s="5" t="s">
        <v>42</v>
      </c>
      <c r="AA4" s="5" t="s">
        <v>43</v>
      </c>
      <c r="AB4" s="5" t="s">
        <v>44</v>
      </c>
      <c r="AC4" s="5" t="s">
        <v>45</v>
      </c>
      <c r="AD4" s="5" t="s">
        <v>46</v>
      </c>
      <c r="AE4" s="5" t="s">
        <v>47</v>
      </c>
      <c r="AF4" s="5" t="s">
        <v>48</v>
      </c>
      <c r="AG4" s="5" t="s">
        <v>49</v>
      </c>
      <c r="AH4" s="5" t="s">
        <v>50</v>
      </c>
      <c r="AI4" s="5" t="s">
        <v>51</v>
      </c>
      <c r="AJ4" s="5" t="s">
        <v>52</v>
      </c>
      <c r="AK4" s="5" t="s">
        <v>53</v>
      </c>
      <c r="AL4" s="5" t="s">
        <v>54</v>
      </c>
      <c r="AM4" s="5" t="s">
        <v>55</v>
      </c>
      <c r="AN4" s="5" t="s">
        <v>56</v>
      </c>
      <c r="AO4" s="5" t="s">
        <v>57</v>
      </c>
      <c r="AP4" s="5" t="s">
        <v>58</v>
      </c>
      <c r="AQ4" s="5" t="s">
        <v>59</v>
      </c>
    </row>
    <row r="5" customFormat="false" ht="15" hidden="false" customHeight="false" outlineLevel="0" collapsed="false">
      <c r="A5" s="23" t="n">
        <v>46322</v>
      </c>
      <c r="B5" s="7" t="n">
        <v>-0.493</v>
      </c>
      <c r="C5" s="7" t="n">
        <v>-0.515</v>
      </c>
      <c r="D5" s="7" t="n">
        <v>0.003</v>
      </c>
      <c r="E5" s="7" t="n">
        <v>0.07</v>
      </c>
      <c r="F5" s="7" t="n">
        <v>-0.711</v>
      </c>
      <c r="G5" s="7" t="n">
        <v>0.069</v>
      </c>
      <c r="H5" s="7" t="n">
        <v>0.026</v>
      </c>
      <c r="I5" s="7" t="n">
        <v>0.059</v>
      </c>
      <c r="J5" s="7" t="n">
        <v>0.129</v>
      </c>
      <c r="K5" s="7" t="n">
        <v>-0.402</v>
      </c>
      <c r="L5" s="7" t="n">
        <v>-0.778</v>
      </c>
      <c r="M5" s="7" t="n">
        <v>-0.252</v>
      </c>
      <c r="N5" s="7" t="n">
        <v>-0.459</v>
      </c>
      <c r="O5" s="7" t="n">
        <v>-0.439</v>
      </c>
      <c r="P5" s="7" t="n">
        <v>-0.544</v>
      </c>
      <c r="Q5" s="7" t="n">
        <v>-0.691</v>
      </c>
      <c r="R5" s="7" t="n">
        <v>0.02</v>
      </c>
      <c r="S5" s="7" t="n">
        <v>0.038</v>
      </c>
      <c r="T5" s="7" t="n">
        <v>0.181</v>
      </c>
      <c r="U5" s="7" t="n">
        <v>-0.781</v>
      </c>
      <c r="V5" s="7" t="n">
        <v>0.104</v>
      </c>
      <c r="W5" s="7" t="n">
        <v>-0.468</v>
      </c>
      <c r="X5" s="7" t="n">
        <v>-0.261</v>
      </c>
      <c r="Y5" s="7" t="n">
        <v>-0.151</v>
      </c>
      <c r="Z5" s="7" t="n">
        <v>0.038</v>
      </c>
      <c r="AA5" s="7" t="n">
        <v>0.217</v>
      </c>
      <c r="AB5" s="7" t="n">
        <v>0.161</v>
      </c>
      <c r="AC5" s="7" t="n">
        <v>-0.789</v>
      </c>
      <c r="AD5" s="7" t="n">
        <v>-0.161</v>
      </c>
      <c r="AE5" s="7" t="n">
        <v>-0.456</v>
      </c>
      <c r="AF5" s="7" t="n">
        <v>-0.642</v>
      </c>
      <c r="AG5" s="7" t="n">
        <v>-0.23</v>
      </c>
      <c r="AH5" s="7" t="n">
        <v>0.059</v>
      </c>
      <c r="AI5" s="7" t="n">
        <v>-0.463</v>
      </c>
      <c r="AJ5" s="7" t="n">
        <v>0.062</v>
      </c>
      <c r="AK5" s="7" t="n">
        <v>0.257</v>
      </c>
      <c r="AL5" s="7" t="n">
        <v>-0.648</v>
      </c>
      <c r="AM5" s="7" t="n">
        <v>0.06</v>
      </c>
      <c r="AN5" s="7" t="n">
        <v>0.002</v>
      </c>
      <c r="AO5" s="7" t="n">
        <v>0.038</v>
      </c>
      <c r="AP5" s="7" t="n">
        <v>-0.032</v>
      </c>
      <c r="AQ5" s="7" t="n">
        <v>-0.509</v>
      </c>
    </row>
    <row r="6" customFormat="false" ht="15" hidden="false" customHeight="false" outlineLevel="0" collapsed="false">
      <c r="A6" s="23" t="n">
        <v>46323</v>
      </c>
      <c r="B6" s="7" t="n">
        <v>-0.029</v>
      </c>
      <c r="C6" s="7" t="n">
        <v>0.523</v>
      </c>
      <c r="D6" s="7" t="n">
        <v>-0.218</v>
      </c>
      <c r="E6" s="7" t="n">
        <v>0.152</v>
      </c>
      <c r="F6" s="7" t="n">
        <v>0.222</v>
      </c>
      <c r="G6" s="7" t="n">
        <v>-0.284</v>
      </c>
      <c r="H6" s="7" t="n">
        <v>-0.012</v>
      </c>
      <c r="I6" s="7" t="n">
        <v>-0.291</v>
      </c>
      <c r="J6" s="7" t="n">
        <v>0.018</v>
      </c>
      <c r="K6" s="7" t="n">
        <v>-0.334</v>
      </c>
      <c r="L6" s="7" t="n">
        <v>0.052</v>
      </c>
      <c r="M6" s="7" t="n">
        <v>-0.394</v>
      </c>
      <c r="N6" s="7" t="n">
        <v>0.551</v>
      </c>
      <c r="O6" s="7" t="n">
        <v>-0.576</v>
      </c>
      <c r="P6" s="7" t="n">
        <v>0.011</v>
      </c>
      <c r="Q6" s="7" t="n">
        <v>0.235</v>
      </c>
      <c r="R6" s="7" t="n">
        <v>-0.024</v>
      </c>
      <c r="S6" s="7" t="n">
        <v>0.116</v>
      </c>
      <c r="T6" s="7" t="n">
        <v>0.167</v>
      </c>
      <c r="U6" s="7" t="n">
        <v>-0.855</v>
      </c>
      <c r="V6" s="7" t="n">
        <v>-0.842</v>
      </c>
      <c r="W6" s="7" t="n">
        <v>0.124</v>
      </c>
      <c r="X6" s="7" t="n">
        <v>-0.284</v>
      </c>
      <c r="Y6" s="7" t="n">
        <v>-0.921</v>
      </c>
      <c r="Z6" s="7" t="n">
        <v>0.116</v>
      </c>
      <c r="AA6" s="7" t="n">
        <v>0.262</v>
      </c>
      <c r="AB6" s="7" t="n">
        <v>0.054</v>
      </c>
      <c r="AC6" s="7" t="n">
        <v>0.058</v>
      </c>
      <c r="AD6" s="7" t="n">
        <v>0.043</v>
      </c>
      <c r="AE6" s="7" t="n">
        <v>0.551</v>
      </c>
      <c r="AF6" s="7" t="n">
        <v>0.425</v>
      </c>
      <c r="AG6" s="7" t="n">
        <v>-0.889</v>
      </c>
      <c r="AH6" s="7" t="n">
        <v>-0.797</v>
      </c>
      <c r="AI6" s="7" t="n">
        <v>0.068</v>
      </c>
      <c r="AJ6" s="7" t="n">
        <v>-0.111</v>
      </c>
      <c r="AK6" s="7" t="n">
        <v>0.178</v>
      </c>
      <c r="AL6" s="7" t="n">
        <v>-0.87</v>
      </c>
      <c r="AM6" s="7" t="n">
        <v>-0.053</v>
      </c>
      <c r="AN6" s="7" t="n">
        <v>-0.059</v>
      </c>
      <c r="AO6" s="7" t="n">
        <v>-0.75</v>
      </c>
      <c r="AP6" s="7" t="n">
        <v>0.047</v>
      </c>
      <c r="AQ6" s="7" t="n">
        <v>0.12</v>
      </c>
    </row>
    <row r="7" customFormat="false" ht="15" hidden="false" customHeight="false" outlineLevel="0" collapsed="false">
      <c r="A7" s="23" t="n">
        <v>46324</v>
      </c>
      <c r="B7" s="7" t="n">
        <v>-0.057</v>
      </c>
      <c r="C7" s="7" t="n">
        <v>0.193</v>
      </c>
      <c r="D7" s="7" t="n">
        <v>0.149</v>
      </c>
      <c r="E7" s="7" t="n">
        <v>0.157</v>
      </c>
      <c r="F7" s="7" t="n">
        <v>-0.151</v>
      </c>
      <c r="G7" s="7" t="n">
        <v>0.229</v>
      </c>
      <c r="H7" s="7" t="n">
        <v>0.127</v>
      </c>
      <c r="I7" s="7" t="n">
        <v>-0.184</v>
      </c>
      <c r="J7" s="7" t="n">
        <v>-0.022</v>
      </c>
      <c r="K7" s="7" t="n">
        <v>-0.333</v>
      </c>
      <c r="L7" s="7" t="n">
        <v>-0.47</v>
      </c>
      <c r="M7" s="7" t="n">
        <v>-0.393</v>
      </c>
      <c r="N7" s="7" t="n">
        <v>0.237</v>
      </c>
      <c r="O7" s="7" t="n">
        <v>0.234</v>
      </c>
      <c r="P7" s="7" t="n">
        <v>-0.144</v>
      </c>
      <c r="Q7" s="7" t="n">
        <v>-0.273</v>
      </c>
      <c r="R7" s="7" t="n">
        <v>0.132</v>
      </c>
      <c r="S7" s="7" t="n">
        <v>0.117</v>
      </c>
      <c r="T7" s="7" t="n">
        <v>0.152</v>
      </c>
      <c r="U7" s="7" t="n">
        <v>-0.503</v>
      </c>
      <c r="V7" s="7" t="n">
        <v>-0.022</v>
      </c>
      <c r="W7" s="7" t="n">
        <v>-0.355</v>
      </c>
      <c r="X7" s="7" t="n">
        <v>-0.133</v>
      </c>
      <c r="Y7" s="7" t="n">
        <v>-0.445</v>
      </c>
      <c r="Z7" s="7" t="n">
        <v>0.117</v>
      </c>
      <c r="AA7" s="7" t="n">
        <v>0.204</v>
      </c>
      <c r="AB7" s="7" t="n">
        <v>0.018</v>
      </c>
      <c r="AC7" s="7" t="n">
        <v>-0.434</v>
      </c>
      <c r="AD7" s="7" t="n">
        <v>0.226</v>
      </c>
      <c r="AE7" s="7" t="n">
        <v>0.237</v>
      </c>
      <c r="AF7" s="7" t="n">
        <v>0.045</v>
      </c>
      <c r="AG7" s="7" t="n">
        <v>-0.317</v>
      </c>
      <c r="AH7" s="7" t="n">
        <v>0.045</v>
      </c>
      <c r="AI7" s="7" t="n">
        <v>-0.281</v>
      </c>
      <c r="AJ7" s="7" t="n">
        <v>0.054</v>
      </c>
      <c r="AK7" s="7" t="n">
        <v>0.128</v>
      </c>
      <c r="AL7" s="7" t="n">
        <v>-0.287</v>
      </c>
      <c r="AM7" s="7" t="n">
        <v>-0.092</v>
      </c>
      <c r="AN7" s="7" t="n">
        <v>0.146</v>
      </c>
      <c r="AO7" s="7" t="n">
        <v>0.118</v>
      </c>
      <c r="AP7" s="7" t="n">
        <v>0.048</v>
      </c>
      <c r="AQ7" s="7" t="n">
        <v>-0.193</v>
      </c>
    </row>
    <row r="8" customFormat="false" ht="15" hidden="false" customHeight="false" outlineLevel="0" collapsed="false">
      <c r="A8" s="23" t="n">
        <v>46325</v>
      </c>
      <c r="B8" s="7" t="n">
        <v>-0.181</v>
      </c>
      <c r="C8" s="7" t="n">
        <v>0.071</v>
      </c>
      <c r="D8" s="7" t="n">
        <v>0.001</v>
      </c>
      <c r="E8" s="7" t="n">
        <v>0.432</v>
      </c>
      <c r="F8" s="7" t="n">
        <v>-0.289</v>
      </c>
      <c r="G8" s="7" t="n">
        <v>-0.069</v>
      </c>
      <c r="H8" s="7" t="n">
        <v>-0.041</v>
      </c>
      <c r="I8" s="7" t="n">
        <v>0.188</v>
      </c>
      <c r="J8" s="7" t="n">
        <v>0.071</v>
      </c>
      <c r="K8" s="7" t="n">
        <v>0.406</v>
      </c>
      <c r="L8" s="7" t="n">
        <v>-0.362</v>
      </c>
      <c r="M8" s="7" t="n">
        <v>-0.424</v>
      </c>
      <c r="N8" s="7" t="n">
        <v>-0.002</v>
      </c>
      <c r="O8" s="7" t="n">
        <v>-0.024</v>
      </c>
      <c r="P8" s="7" t="n">
        <v>0.003</v>
      </c>
      <c r="Q8" s="7" t="n">
        <v>0.122</v>
      </c>
      <c r="R8" s="7" t="n">
        <v>-0.075</v>
      </c>
      <c r="S8" s="7" t="n">
        <v>0.128</v>
      </c>
      <c r="T8" s="7" t="n">
        <v>0.215</v>
      </c>
      <c r="U8" s="7" t="n">
        <v>-0.74</v>
      </c>
      <c r="V8" s="7" t="n">
        <v>-0.086</v>
      </c>
      <c r="W8" s="7" t="n">
        <v>0</v>
      </c>
      <c r="X8" s="7" t="n">
        <v>-0.119</v>
      </c>
      <c r="Y8" s="7" t="n">
        <v>-0.436</v>
      </c>
      <c r="Z8" s="7" t="n">
        <v>0.439</v>
      </c>
      <c r="AA8" s="7" t="n">
        <v>-0.006</v>
      </c>
      <c r="AB8" s="7" t="n">
        <v>0.158</v>
      </c>
      <c r="AC8" s="7" t="n">
        <v>-0.096</v>
      </c>
      <c r="AD8" s="7" t="n">
        <v>-0.299</v>
      </c>
      <c r="AE8" s="7" t="n">
        <v>-0.002</v>
      </c>
      <c r="AF8" s="7" t="n">
        <v>0.169</v>
      </c>
      <c r="AG8" s="7" t="n">
        <v>-0.14</v>
      </c>
      <c r="AH8" s="7" t="n">
        <v>0.061</v>
      </c>
      <c r="AI8" s="7" t="n">
        <v>-0.096</v>
      </c>
      <c r="AJ8" s="7" t="n">
        <v>0.188</v>
      </c>
      <c r="AK8" s="7" t="n">
        <v>0.254</v>
      </c>
      <c r="AL8" s="7" t="n">
        <v>-0.174</v>
      </c>
      <c r="AM8" s="7" t="n">
        <v>0</v>
      </c>
      <c r="AN8" s="7" t="n">
        <v>-0.176</v>
      </c>
      <c r="AO8" s="7" t="n">
        <v>-0.209</v>
      </c>
      <c r="AP8" s="7" t="n">
        <v>-0.276</v>
      </c>
      <c r="AQ8" s="7" t="n">
        <v>-0.096</v>
      </c>
    </row>
    <row r="9" customFormat="false" ht="15" hidden="false" customHeight="false" outlineLevel="0" collapsed="false">
      <c r="A9" s="23" t="n">
        <v>46326</v>
      </c>
      <c r="B9" s="7" t="n">
        <v>-0.7</v>
      </c>
      <c r="C9" s="7" t="n">
        <v>-0.709</v>
      </c>
      <c r="D9" s="7" t="n">
        <v>-0.071</v>
      </c>
      <c r="E9" s="7" t="n">
        <v>0.299</v>
      </c>
      <c r="F9" s="7" t="n">
        <v>-0.927</v>
      </c>
      <c r="G9" s="7" t="n">
        <v>-0.14</v>
      </c>
      <c r="H9" s="7" t="n">
        <v>0.116</v>
      </c>
      <c r="I9" s="7" t="n">
        <v>0.116</v>
      </c>
      <c r="J9" s="7" t="n">
        <v>-0.851</v>
      </c>
      <c r="K9" s="7" t="n">
        <v>-0.05</v>
      </c>
      <c r="L9" s="7" t="n">
        <v>-0.271</v>
      </c>
      <c r="M9" s="7" t="n">
        <v>-0.963</v>
      </c>
      <c r="N9" s="7" t="n">
        <v>-0.872</v>
      </c>
      <c r="O9" s="7" t="n">
        <v>-0.861</v>
      </c>
      <c r="P9" s="7" t="n">
        <v>0.037</v>
      </c>
      <c r="Q9" s="7" t="n">
        <v>0.174</v>
      </c>
      <c r="R9" s="7" t="n">
        <v>0.116</v>
      </c>
      <c r="S9" s="7" t="n">
        <v>-0.313</v>
      </c>
      <c r="T9" s="7" t="n">
        <v>0.228</v>
      </c>
      <c r="U9" s="7" t="n">
        <v>-0.528</v>
      </c>
      <c r="V9" s="7" t="n">
        <v>0.116</v>
      </c>
      <c r="W9" s="7" t="n">
        <v>0</v>
      </c>
      <c r="X9" s="7" t="n">
        <v>-0.138</v>
      </c>
      <c r="Y9" s="7" t="n">
        <v>-0.158</v>
      </c>
      <c r="Z9" s="7" t="n">
        <v>0.101</v>
      </c>
      <c r="AA9" s="7" t="n">
        <v>0.252</v>
      </c>
      <c r="AB9" s="7" t="n">
        <v>-0.849</v>
      </c>
      <c r="AC9" s="7" t="n">
        <v>-0.056</v>
      </c>
      <c r="AD9" s="7" t="n">
        <v>-0.174</v>
      </c>
      <c r="AE9" s="7" t="n">
        <v>-0.872</v>
      </c>
      <c r="AF9" s="7" t="n">
        <v>0.171</v>
      </c>
      <c r="AG9" s="7" t="n">
        <v>-0.14</v>
      </c>
      <c r="AH9" s="7" t="n">
        <v>-0.752</v>
      </c>
      <c r="AI9" s="7" t="n">
        <v>-0.056</v>
      </c>
      <c r="AJ9" s="7" t="n">
        <v>0.116</v>
      </c>
      <c r="AK9" s="7" t="n">
        <v>0.252</v>
      </c>
      <c r="AL9" s="7" t="n">
        <v>-0.804</v>
      </c>
      <c r="AM9" s="7" t="n">
        <v>0</v>
      </c>
      <c r="AN9" s="7" t="n">
        <v>0.116</v>
      </c>
      <c r="AO9" s="7" t="n">
        <v>-0.827</v>
      </c>
      <c r="AP9" s="7" t="n">
        <v>-0.218</v>
      </c>
      <c r="AQ9" s="7" t="n">
        <v>-0.056</v>
      </c>
    </row>
    <row r="10" customFormat="false" ht="15" hidden="false" customHeight="false" outlineLevel="0" collapsed="false">
      <c r="A10" s="23" t="n">
        <v>46327</v>
      </c>
      <c r="B10" s="7" t="n">
        <v>-0.479</v>
      </c>
      <c r="C10" s="7" t="n">
        <v>-0.013</v>
      </c>
      <c r="D10" s="7" t="n">
        <v>-0.287</v>
      </c>
      <c r="E10" s="7" t="n">
        <v>-0.224</v>
      </c>
      <c r="F10" s="7" t="n">
        <v>-0.348</v>
      </c>
      <c r="G10" s="7" t="n">
        <v>-0.487</v>
      </c>
      <c r="H10" s="7" t="n">
        <v>-0.586</v>
      </c>
      <c r="I10" s="7" t="n">
        <v>-0.446</v>
      </c>
      <c r="J10" s="7" t="n">
        <v>-0.326</v>
      </c>
      <c r="K10" s="7" t="n">
        <v>-0.238</v>
      </c>
      <c r="L10" s="7" t="n">
        <v>0.077</v>
      </c>
      <c r="M10" s="7" t="n">
        <v>-0.606</v>
      </c>
      <c r="N10" s="7" t="n">
        <v>0.038</v>
      </c>
      <c r="O10" s="7" t="n">
        <v>0.014</v>
      </c>
      <c r="P10" s="7" t="n">
        <v>-0.213</v>
      </c>
      <c r="Q10" s="7" t="n">
        <v>0.148</v>
      </c>
      <c r="R10" s="7" t="n">
        <v>-0.665</v>
      </c>
      <c r="S10" s="7" t="n">
        <v>0.094</v>
      </c>
      <c r="T10" s="7" t="n">
        <v>-0.624</v>
      </c>
      <c r="U10" s="7" t="n">
        <v>-0.264</v>
      </c>
      <c r="V10" s="7" t="n">
        <v>-0.481</v>
      </c>
      <c r="W10" s="7" t="n">
        <v>0</v>
      </c>
      <c r="X10" s="7" t="n">
        <v>-0.35</v>
      </c>
      <c r="Y10" s="7" t="n">
        <v>-0.567</v>
      </c>
      <c r="Z10" s="7" t="n">
        <v>0.094</v>
      </c>
      <c r="AA10" s="7" t="n">
        <v>-0.41</v>
      </c>
      <c r="AB10" s="7" t="n">
        <v>-0.449</v>
      </c>
      <c r="AC10" s="7" t="n">
        <v>-0.044</v>
      </c>
      <c r="AD10" s="7" t="n">
        <v>-0.264</v>
      </c>
      <c r="AE10" s="7" t="n">
        <v>-0.096</v>
      </c>
      <c r="AF10" s="7" t="n">
        <v>-0.35</v>
      </c>
      <c r="AG10" s="7" t="n">
        <v>-0.399</v>
      </c>
      <c r="AH10" s="7" t="n">
        <v>-0.13</v>
      </c>
      <c r="AI10" s="7" t="n">
        <v>0.053</v>
      </c>
      <c r="AJ10" s="7" t="n">
        <v>-0.458</v>
      </c>
      <c r="AK10" s="7" t="n">
        <v>-0.129</v>
      </c>
      <c r="AL10" s="7" t="n">
        <v>-0.432</v>
      </c>
      <c r="AM10" s="7" t="n">
        <v>0.096</v>
      </c>
      <c r="AN10" s="7" t="n">
        <v>-0.531</v>
      </c>
      <c r="AO10" s="7" t="n">
        <v>-0.052</v>
      </c>
      <c r="AP10" s="7" t="n">
        <v>0.024</v>
      </c>
      <c r="AQ10" s="7" t="n">
        <v>-0.044</v>
      </c>
    </row>
    <row r="11" customFormat="false" ht="15" hidden="false" customHeight="false" outlineLevel="0" collapsed="false">
      <c r="A11" s="23" t="n">
        <v>46328</v>
      </c>
      <c r="B11" s="7" t="n">
        <v>0.27</v>
      </c>
      <c r="C11" s="7" t="n">
        <v>0.824</v>
      </c>
      <c r="D11" s="7" t="n">
        <v>-0.27</v>
      </c>
      <c r="E11" s="7" t="n">
        <v>0.723</v>
      </c>
      <c r="F11" s="7" t="n">
        <v>0.252</v>
      </c>
      <c r="G11" s="7" t="n">
        <v>-0.474</v>
      </c>
      <c r="H11" s="7" t="n">
        <v>-0.139</v>
      </c>
      <c r="I11" s="7" t="n">
        <v>0.014</v>
      </c>
      <c r="J11" s="7" t="n">
        <v>-0.242</v>
      </c>
      <c r="K11" s="7" t="n">
        <v>0.786</v>
      </c>
      <c r="L11" s="7" t="n">
        <v>0.641</v>
      </c>
      <c r="M11" s="7" t="n">
        <v>-0.629</v>
      </c>
      <c r="N11" s="7" t="n">
        <v>0.703</v>
      </c>
      <c r="O11" s="7" t="n">
        <v>0.609</v>
      </c>
      <c r="P11" s="7" t="n">
        <v>-0.197</v>
      </c>
      <c r="Q11" s="7" t="n">
        <v>0.146</v>
      </c>
      <c r="R11" s="7" t="n">
        <v>-0.139</v>
      </c>
      <c r="S11" s="7" t="n">
        <v>0.671</v>
      </c>
      <c r="T11" s="7" t="n">
        <v>0.159</v>
      </c>
      <c r="U11" s="7" t="n">
        <v>-0.267</v>
      </c>
      <c r="V11" s="7" t="n">
        <v>-0.001</v>
      </c>
      <c r="W11" s="7" t="n">
        <v>0</v>
      </c>
      <c r="X11" s="7" t="n">
        <v>-0.334</v>
      </c>
      <c r="Y11" s="7" t="n">
        <v>-0.565</v>
      </c>
      <c r="Z11" s="7" t="n">
        <v>0.909</v>
      </c>
      <c r="AA11" s="7" t="n">
        <v>0.204</v>
      </c>
      <c r="AB11" s="7" t="n">
        <v>-0.534</v>
      </c>
      <c r="AC11" s="7" t="n">
        <v>-0.048</v>
      </c>
      <c r="AD11" s="7" t="n">
        <v>0.626</v>
      </c>
      <c r="AE11" s="7" t="n">
        <v>0.573</v>
      </c>
      <c r="AF11" s="7" t="n">
        <v>-0.038</v>
      </c>
      <c r="AG11" s="7" t="n">
        <v>-0.399</v>
      </c>
      <c r="AH11" s="7" t="n">
        <v>-0.083</v>
      </c>
      <c r="AI11" s="7" t="n">
        <v>0.129</v>
      </c>
      <c r="AJ11" s="7" t="n">
        <v>0.039</v>
      </c>
      <c r="AK11" s="7" t="n">
        <v>0.368</v>
      </c>
      <c r="AL11" s="7" t="n">
        <v>-0.419</v>
      </c>
      <c r="AM11" s="7" t="n">
        <v>0.176</v>
      </c>
      <c r="AN11" s="7" t="n">
        <v>-0.139</v>
      </c>
      <c r="AO11" s="7" t="n">
        <v>0.536</v>
      </c>
      <c r="AP11" s="7" t="n">
        <v>0.559</v>
      </c>
      <c r="AQ11" s="7" t="n">
        <v>-0.048</v>
      </c>
    </row>
    <row r="12" customFormat="false" ht="15" hidden="false" customHeight="false" outlineLevel="0" collapsed="false">
      <c r="A12" s="23" t="n">
        <v>46329</v>
      </c>
      <c r="B12" s="7" t="n">
        <v>-0.82</v>
      </c>
      <c r="C12" s="7" t="n">
        <v>0.278</v>
      </c>
      <c r="D12" s="7" t="n">
        <v>-0.959</v>
      </c>
      <c r="E12" s="7" t="n">
        <v>0.139</v>
      </c>
      <c r="F12" s="7" t="n">
        <v>-0.24</v>
      </c>
      <c r="G12" s="7" t="n">
        <v>-0.351</v>
      </c>
      <c r="H12" s="7" t="n">
        <v>-0.046</v>
      </c>
      <c r="I12" s="7" t="n">
        <v>-0.825</v>
      </c>
      <c r="J12" s="7" t="n">
        <v>0</v>
      </c>
      <c r="K12" s="7" t="n">
        <v>-0.222</v>
      </c>
      <c r="L12" s="7" t="n">
        <v>0.051</v>
      </c>
      <c r="M12" s="7" t="n">
        <v>-0.253</v>
      </c>
      <c r="N12" s="7" t="n">
        <v>0.051</v>
      </c>
      <c r="O12" s="7" t="n">
        <v>-0.019</v>
      </c>
      <c r="P12" s="7" t="n">
        <v>-0.494</v>
      </c>
      <c r="Q12" s="7" t="n">
        <v>0.177</v>
      </c>
      <c r="R12" s="7" t="n">
        <v>-0.931</v>
      </c>
      <c r="S12" s="7" t="n">
        <v>-0.817</v>
      </c>
      <c r="T12" s="7" t="n">
        <v>-0.91</v>
      </c>
      <c r="U12" s="7" t="n">
        <v>-0.237</v>
      </c>
      <c r="V12" s="7" t="n">
        <v>-0.825</v>
      </c>
      <c r="W12" s="7" t="n">
        <v>0</v>
      </c>
      <c r="X12" s="7" t="n">
        <v>-0.951</v>
      </c>
      <c r="Y12" s="7" t="n">
        <v>-0.956</v>
      </c>
      <c r="Z12" s="7" t="n">
        <v>0.139</v>
      </c>
      <c r="AA12" s="7" t="n">
        <v>-0.883</v>
      </c>
      <c r="AB12" s="7" t="n">
        <v>0</v>
      </c>
      <c r="AC12" s="7" t="n">
        <v>-0.019</v>
      </c>
      <c r="AD12" s="7" t="n">
        <v>-0.853</v>
      </c>
      <c r="AE12" s="7" t="n">
        <v>0.051</v>
      </c>
      <c r="AF12" s="7" t="n">
        <v>-0.019</v>
      </c>
      <c r="AG12" s="7" t="n">
        <v>-0.274</v>
      </c>
      <c r="AH12" s="7" t="n">
        <v>-0.026</v>
      </c>
      <c r="AI12" s="7" t="n">
        <v>-0.019</v>
      </c>
      <c r="AJ12" s="7" t="n">
        <v>-0.825</v>
      </c>
      <c r="AK12" s="7" t="n">
        <v>-0.711</v>
      </c>
      <c r="AL12" s="7" t="n">
        <v>-0.315</v>
      </c>
      <c r="AM12" s="7" t="n">
        <v>0</v>
      </c>
      <c r="AN12" s="7" t="n">
        <v>-0.825</v>
      </c>
      <c r="AO12" s="7" t="n">
        <v>0.082</v>
      </c>
      <c r="AP12" s="7" t="n">
        <v>0.07</v>
      </c>
      <c r="AQ12" s="7" t="n">
        <v>-0.019</v>
      </c>
    </row>
    <row r="13" customFormat="false" ht="15" hidden="false" customHeight="false" outlineLevel="0" collapsed="false">
      <c r="A13" s="23" t="n">
        <v>46330</v>
      </c>
      <c r="B13" s="7" t="n">
        <v>-0.073</v>
      </c>
      <c r="C13" s="7" t="n">
        <v>0.523</v>
      </c>
      <c r="D13" s="7" t="n">
        <v>-0.208</v>
      </c>
      <c r="E13" s="7" t="n">
        <v>0.145</v>
      </c>
      <c r="F13" s="7" t="n">
        <v>0.003</v>
      </c>
      <c r="G13" s="7" t="n">
        <v>-0.433</v>
      </c>
      <c r="H13" s="7" t="n">
        <v>-0.053</v>
      </c>
      <c r="I13" s="7" t="n">
        <v>-0.053</v>
      </c>
      <c r="J13" s="7" t="n">
        <v>-0.021</v>
      </c>
      <c r="K13" s="7" t="n">
        <v>-0.216</v>
      </c>
      <c r="L13" s="7" t="n">
        <v>0.151</v>
      </c>
      <c r="M13" s="7" t="n">
        <v>-0.266</v>
      </c>
      <c r="N13" s="7" t="n">
        <v>0.29</v>
      </c>
      <c r="O13" s="7" t="n">
        <v>-0.095</v>
      </c>
      <c r="P13" s="7" t="n">
        <v>-0.142</v>
      </c>
      <c r="Q13" s="7" t="n">
        <v>0.27</v>
      </c>
      <c r="R13" s="7" t="n">
        <v>-0.053</v>
      </c>
      <c r="S13" s="7" t="n">
        <v>0.145</v>
      </c>
      <c r="T13" s="7" t="n">
        <v>0.198</v>
      </c>
      <c r="U13" s="7" t="n">
        <v>-0.226</v>
      </c>
      <c r="V13" s="7" t="n">
        <v>-0.053</v>
      </c>
      <c r="W13" s="7" t="n">
        <v>0.138</v>
      </c>
      <c r="X13" s="7" t="n">
        <v>-0.274</v>
      </c>
      <c r="Y13" s="7" t="n">
        <v>-0.673</v>
      </c>
      <c r="Z13" s="7" t="n">
        <v>0.145</v>
      </c>
      <c r="AA13" s="7" t="n">
        <v>0.224</v>
      </c>
      <c r="AB13" s="7" t="n">
        <v>-0.021</v>
      </c>
      <c r="AC13" s="7" t="n">
        <v>0.076</v>
      </c>
      <c r="AD13" s="7" t="n">
        <v>-0.134</v>
      </c>
      <c r="AE13" s="7" t="n">
        <v>0.29</v>
      </c>
      <c r="AF13" s="7" t="n">
        <v>0.444</v>
      </c>
      <c r="AG13" s="7" t="n">
        <v>-0.274</v>
      </c>
      <c r="AH13" s="7" t="n">
        <v>-0.059</v>
      </c>
      <c r="AI13" s="7" t="n">
        <v>-0.062</v>
      </c>
      <c r="AJ13" s="7" t="n">
        <v>-0.053</v>
      </c>
      <c r="AK13" s="7" t="n">
        <v>0.224</v>
      </c>
      <c r="AL13" s="7" t="n">
        <v>-0.364</v>
      </c>
      <c r="AM13" s="7" t="n">
        <v>0</v>
      </c>
      <c r="AN13" s="7" t="n">
        <v>-0.053</v>
      </c>
      <c r="AO13" s="7" t="n">
        <v>0.061</v>
      </c>
      <c r="AP13" s="7" t="n">
        <v>0.076</v>
      </c>
      <c r="AQ13" s="7" t="n">
        <v>-0.062</v>
      </c>
    </row>
    <row r="14" customFormat="false" ht="15" hidden="false" customHeight="false" outlineLevel="0" collapsed="false">
      <c r="A14" s="23" t="n">
        <v>46331</v>
      </c>
      <c r="B14" s="7" t="n">
        <v>-0.277</v>
      </c>
      <c r="C14" s="7" t="n">
        <v>0.239</v>
      </c>
      <c r="D14" s="7" t="n">
        <v>-0.208</v>
      </c>
      <c r="E14" s="7" t="n">
        <v>0.653</v>
      </c>
      <c r="F14" s="7" t="n">
        <v>-0.246</v>
      </c>
      <c r="G14" s="7" t="n">
        <v>-0.508</v>
      </c>
      <c r="H14" s="7" t="n">
        <v>-0.12</v>
      </c>
      <c r="I14" s="7" t="n">
        <v>-0.181</v>
      </c>
      <c r="J14" s="7" t="n">
        <v>-0.139</v>
      </c>
      <c r="K14" s="7" t="n">
        <v>0.617</v>
      </c>
      <c r="L14" s="7" t="n">
        <v>-0.117</v>
      </c>
      <c r="M14" s="7" t="n">
        <v>-0.401</v>
      </c>
      <c r="N14" s="7" t="n">
        <v>0.045</v>
      </c>
      <c r="O14" s="7" t="n">
        <v>-0.693</v>
      </c>
      <c r="P14" s="7" t="n">
        <v>-0.113</v>
      </c>
      <c r="Q14" s="7" t="n">
        <v>0.166</v>
      </c>
      <c r="R14" s="7" t="n">
        <v>-0.12</v>
      </c>
      <c r="S14" s="7" t="n">
        <v>0.228</v>
      </c>
      <c r="T14" s="7" t="n">
        <v>0.14</v>
      </c>
      <c r="U14" s="7" t="n">
        <v>-0.709</v>
      </c>
      <c r="V14" s="7" t="n">
        <v>-0.12</v>
      </c>
      <c r="W14" s="7" t="n">
        <v>0</v>
      </c>
      <c r="X14" s="7" t="n">
        <v>-0.274</v>
      </c>
      <c r="Y14" s="7" t="n">
        <v>-0.895</v>
      </c>
      <c r="Z14" s="7" t="n">
        <v>0.757</v>
      </c>
      <c r="AA14" s="7" t="n">
        <v>0.159</v>
      </c>
      <c r="AB14" s="7" t="n">
        <v>-0.139</v>
      </c>
      <c r="AC14" s="7" t="n">
        <v>-0.036</v>
      </c>
      <c r="AD14" s="7" t="n">
        <v>0.184</v>
      </c>
      <c r="AE14" s="7" t="n">
        <v>0.045</v>
      </c>
      <c r="AF14" s="7" t="n">
        <v>0.487</v>
      </c>
      <c r="AG14" s="7" t="n">
        <v>-0.771</v>
      </c>
      <c r="AH14" s="7" t="n">
        <v>-0.684</v>
      </c>
      <c r="AI14" s="7" t="n">
        <v>-0.098</v>
      </c>
      <c r="AJ14" s="7" t="n">
        <v>-0.181</v>
      </c>
      <c r="AK14" s="7" t="n">
        <v>0.098</v>
      </c>
      <c r="AL14" s="7" t="n">
        <v>-0.792</v>
      </c>
      <c r="AM14" s="7" t="n">
        <v>-0.062</v>
      </c>
      <c r="AN14" s="7" t="n">
        <v>-0.12</v>
      </c>
      <c r="AO14" s="7" t="n">
        <v>-0.684</v>
      </c>
      <c r="AP14" s="7" t="n">
        <v>-0.019</v>
      </c>
      <c r="AQ14" s="7" t="n">
        <v>-0.036</v>
      </c>
    </row>
    <row r="15" customFormat="false" ht="15" hidden="false" customHeight="false" outlineLevel="0" collapsed="false">
      <c r="A15" s="23" t="n">
        <v>46332</v>
      </c>
      <c r="B15" s="7" t="n">
        <v>-0.683</v>
      </c>
      <c r="C15" s="7" t="n">
        <v>-0.697</v>
      </c>
      <c r="D15" s="7" t="n">
        <v>-0.208</v>
      </c>
      <c r="E15" s="7" t="n">
        <v>0.282</v>
      </c>
      <c r="F15" s="7" t="n">
        <v>-0.513</v>
      </c>
      <c r="G15" s="7" t="n">
        <v>-0.423</v>
      </c>
      <c r="H15" s="7" t="n">
        <v>-0.082</v>
      </c>
      <c r="I15" s="7" t="n">
        <v>-0.921</v>
      </c>
      <c r="J15" s="7" t="n">
        <v>-0.745</v>
      </c>
      <c r="K15" s="7" t="n">
        <v>0.31</v>
      </c>
      <c r="L15" s="7" t="n">
        <v>-0.854</v>
      </c>
      <c r="M15" s="7" t="n">
        <v>-0.474</v>
      </c>
      <c r="N15" s="7" t="n">
        <v>-0.837</v>
      </c>
      <c r="O15" s="7" t="n">
        <v>-0.834</v>
      </c>
      <c r="P15" s="7" t="n">
        <v>-0.115</v>
      </c>
      <c r="Q15" s="7" t="n">
        <v>0.164</v>
      </c>
      <c r="R15" s="7" t="n">
        <v>-0.082</v>
      </c>
      <c r="S15" s="7" t="n">
        <v>-0.083</v>
      </c>
      <c r="T15" s="7" t="n">
        <v>0.144</v>
      </c>
      <c r="U15" s="7" t="n">
        <v>-0.03</v>
      </c>
      <c r="V15" s="7" t="n">
        <v>-0.293</v>
      </c>
      <c r="W15" s="7" t="n">
        <v>0</v>
      </c>
      <c r="X15" s="7" t="n">
        <v>-0.274</v>
      </c>
      <c r="Y15" s="7" t="n">
        <v>-0.409</v>
      </c>
      <c r="Z15" s="7" t="n">
        <v>0.445</v>
      </c>
      <c r="AA15" s="7" t="n">
        <v>0.196</v>
      </c>
      <c r="AB15" s="7" t="n">
        <v>-0.959</v>
      </c>
      <c r="AC15" s="7" t="n">
        <v>0</v>
      </c>
      <c r="AD15" s="7" t="n">
        <v>-0.171</v>
      </c>
      <c r="AE15" s="7" t="n">
        <v>-0.085</v>
      </c>
      <c r="AF15" s="7" t="n">
        <v>0.426</v>
      </c>
      <c r="AG15" s="7" t="n">
        <v>-0.274</v>
      </c>
      <c r="AH15" s="7" t="n">
        <v>-0.061</v>
      </c>
      <c r="AI15" s="7" t="n">
        <v>-0.821</v>
      </c>
      <c r="AJ15" s="7" t="n">
        <v>-0.847</v>
      </c>
      <c r="AK15" s="7" t="n">
        <v>-0.745</v>
      </c>
      <c r="AL15" s="7" t="n">
        <v>-0.258</v>
      </c>
      <c r="AM15" s="7" t="n">
        <v>-0.821</v>
      </c>
      <c r="AN15" s="7" t="n">
        <v>-0.082</v>
      </c>
      <c r="AO15" s="7" t="n">
        <v>-0.185</v>
      </c>
      <c r="AP15" s="7" t="n">
        <v>-0.109</v>
      </c>
      <c r="AQ15" s="7" t="n">
        <v>0</v>
      </c>
    </row>
    <row r="16" customFormat="false" ht="15" hidden="false" customHeight="false" outlineLevel="0" collapsed="false">
      <c r="A16" s="23" t="n">
        <v>46333</v>
      </c>
      <c r="B16" s="7" t="n">
        <v>-0.643</v>
      </c>
      <c r="C16" s="7" t="n">
        <v>0.274</v>
      </c>
      <c r="D16" s="7" t="n">
        <v>-0.474</v>
      </c>
      <c r="E16" s="7" t="n">
        <v>0.437</v>
      </c>
      <c r="F16" s="7" t="n">
        <v>-0.606</v>
      </c>
      <c r="G16" s="7" t="n">
        <v>-0.423</v>
      </c>
      <c r="H16" s="7" t="n">
        <v>-0.26</v>
      </c>
      <c r="I16" s="7" t="n">
        <v>-0.474</v>
      </c>
      <c r="J16" s="7" t="n">
        <v>-0.156</v>
      </c>
      <c r="K16" s="7" t="n">
        <v>0.274</v>
      </c>
      <c r="L16" s="7" t="n">
        <v>-0.216</v>
      </c>
      <c r="M16" s="7" t="n">
        <v>-0.459</v>
      </c>
      <c r="N16" s="7" t="n">
        <v>-0.13</v>
      </c>
      <c r="O16" s="7" t="n">
        <v>-0.078</v>
      </c>
      <c r="P16" s="7" t="n">
        <v>-0.397</v>
      </c>
      <c r="Q16" s="7" t="n">
        <v>0.145</v>
      </c>
      <c r="R16" s="7" t="n">
        <v>-0.352</v>
      </c>
      <c r="S16" s="7" t="n">
        <v>-0.082</v>
      </c>
      <c r="T16" s="7" t="n">
        <v>0.162</v>
      </c>
      <c r="U16" s="7" t="n">
        <v>-0.204</v>
      </c>
      <c r="V16" s="7" t="n">
        <v>-0.315</v>
      </c>
      <c r="W16" s="7" t="n">
        <v>0</v>
      </c>
      <c r="X16" s="7" t="n">
        <v>-0.512</v>
      </c>
      <c r="Y16" s="7" t="n">
        <v>-0.408</v>
      </c>
      <c r="Z16" s="7" t="n">
        <v>0.448</v>
      </c>
      <c r="AA16" s="7" t="n">
        <v>-0.086</v>
      </c>
      <c r="AB16" s="7" t="n">
        <v>-0.156</v>
      </c>
      <c r="AC16" s="7" t="n">
        <v>-0.017</v>
      </c>
      <c r="AD16" s="7" t="n">
        <v>-0.173</v>
      </c>
      <c r="AE16" s="7" t="n">
        <v>-0.13</v>
      </c>
      <c r="AF16" s="7" t="n">
        <v>0.353</v>
      </c>
      <c r="AG16" s="7" t="n">
        <v>-0.274</v>
      </c>
      <c r="AH16" s="7" t="n">
        <v>-0.043</v>
      </c>
      <c r="AI16" s="7" t="n">
        <v>-0.112</v>
      </c>
      <c r="AJ16" s="7" t="n">
        <v>-0.16</v>
      </c>
      <c r="AK16" s="7" t="n">
        <v>0.12</v>
      </c>
      <c r="AL16" s="7" t="n">
        <v>-0.273</v>
      </c>
      <c r="AM16" s="7" t="n">
        <v>-0.096</v>
      </c>
      <c r="AN16" s="7" t="n">
        <v>-0.065</v>
      </c>
      <c r="AO16" s="7" t="n">
        <v>-0.166</v>
      </c>
      <c r="AP16" s="7" t="n">
        <v>-0.106</v>
      </c>
      <c r="AQ16" s="7" t="n">
        <v>-0.017</v>
      </c>
    </row>
    <row r="17" customFormat="false" ht="15" hidden="false" customHeight="false" outlineLevel="0" collapsed="false">
      <c r="A17" s="23" t="n">
        <v>46334</v>
      </c>
      <c r="B17" s="7" t="n">
        <v>-0.738</v>
      </c>
      <c r="C17" s="7" t="n">
        <v>0.042</v>
      </c>
      <c r="D17" s="7" t="n">
        <v>-0.208</v>
      </c>
      <c r="E17" s="7" t="n">
        <v>0.043</v>
      </c>
      <c r="F17" s="7" t="n">
        <v>-0.711</v>
      </c>
      <c r="G17" s="7" t="n">
        <v>-0.424</v>
      </c>
      <c r="H17" s="7" t="n">
        <v>-0.646</v>
      </c>
      <c r="I17" s="7" t="n">
        <v>-0.015</v>
      </c>
      <c r="J17" s="7" t="n">
        <v>-0.066</v>
      </c>
      <c r="K17" s="7" t="n">
        <v>-0.312</v>
      </c>
      <c r="L17" s="7" t="n">
        <v>0.287</v>
      </c>
      <c r="M17" s="7" t="n">
        <v>-0.408</v>
      </c>
      <c r="N17" s="7" t="n">
        <v>-0.533</v>
      </c>
      <c r="O17" s="7" t="n">
        <v>-0.464</v>
      </c>
      <c r="P17" s="7" t="n">
        <v>-0.573</v>
      </c>
      <c r="Q17" s="7" t="n">
        <v>0.451</v>
      </c>
      <c r="R17" s="7" t="n">
        <v>-0.725</v>
      </c>
      <c r="S17" s="7" t="n">
        <v>0.043</v>
      </c>
      <c r="T17" s="7" t="n">
        <v>0.233</v>
      </c>
      <c r="U17" s="7" t="n">
        <v>-0.842</v>
      </c>
      <c r="V17" s="7" t="n">
        <v>-0.537</v>
      </c>
      <c r="W17" s="7" t="n">
        <v>0.257</v>
      </c>
      <c r="X17" s="7" t="n">
        <v>-0.274</v>
      </c>
      <c r="Y17" s="7" t="n">
        <v>-0.804</v>
      </c>
      <c r="Z17" s="7" t="n">
        <v>0.043</v>
      </c>
      <c r="AA17" s="7" t="n">
        <v>-0.562</v>
      </c>
      <c r="AB17" s="7" t="n">
        <v>-0.066</v>
      </c>
      <c r="AC17" s="7" t="n">
        <v>0.3</v>
      </c>
      <c r="AD17" s="7" t="n">
        <v>-0.769</v>
      </c>
      <c r="AE17" s="7" t="n">
        <v>-0.533</v>
      </c>
      <c r="AF17" s="7" t="n">
        <v>-0.153</v>
      </c>
      <c r="AG17" s="7" t="n">
        <v>-0.274</v>
      </c>
      <c r="AH17" s="7" t="n">
        <v>0.006</v>
      </c>
      <c r="AI17" s="7" t="n">
        <v>-0.489</v>
      </c>
      <c r="AJ17" s="7" t="n">
        <v>0.007</v>
      </c>
      <c r="AK17" s="7" t="n">
        <v>0.28</v>
      </c>
      <c r="AL17" s="7" t="n">
        <v>-0.631</v>
      </c>
      <c r="AM17" s="7" t="n">
        <v>0.012</v>
      </c>
      <c r="AN17" s="7" t="n">
        <v>-0.636</v>
      </c>
      <c r="AO17" s="7" t="n">
        <v>-0.105</v>
      </c>
      <c r="AP17" s="7" t="n">
        <v>-0.027</v>
      </c>
      <c r="AQ17" s="7" t="n">
        <v>-0.498</v>
      </c>
    </row>
    <row r="18" customFormat="false" ht="15" hidden="false" customHeight="false" outlineLevel="0" collapsed="false">
      <c r="A18" s="23" t="n">
        <v>46335</v>
      </c>
      <c r="B18" s="7" t="n">
        <v>-0.754</v>
      </c>
      <c r="C18" s="7" t="n">
        <v>-0.684</v>
      </c>
      <c r="D18" s="7" t="n">
        <v>-0.208</v>
      </c>
      <c r="E18" s="7" t="n">
        <v>0.02</v>
      </c>
      <c r="F18" s="7" t="n">
        <v>-0.942</v>
      </c>
      <c r="G18" s="7" t="n">
        <v>-0.425</v>
      </c>
      <c r="H18" s="7" t="n">
        <v>-0.019</v>
      </c>
      <c r="I18" s="7" t="n">
        <v>0.021</v>
      </c>
      <c r="J18" s="7" t="n">
        <v>-0.678</v>
      </c>
      <c r="K18" s="7" t="n">
        <v>-0.332</v>
      </c>
      <c r="L18" s="7" t="n">
        <v>0.305</v>
      </c>
      <c r="M18" s="7" t="n">
        <v>-0.972</v>
      </c>
      <c r="N18" s="7" t="n">
        <v>-0.898</v>
      </c>
      <c r="O18" s="7" t="n">
        <v>-0.878</v>
      </c>
      <c r="P18" s="7" t="n">
        <v>-0.551</v>
      </c>
      <c r="Q18" s="7" t="n">
        <v>0.478</v>
      </c>
      <c r="R18" s="7" t="n">
        <v>-0.019</v>
      </c>
      <c r="S18" s="7" t="n">
        <v>0.02</v>
      </c>
      <c r="T18" s="7" t="n">
        <v>0.237</v>
      </c>
      <c r="U18" s="7" t="n">
        <v>-0.343</v>
      </c>
      <c r="V18" s="7" t="n">
        <v>-0.019</v>
      </c>
      <c r="W18" s="7" t="n">
        <v>0.258</v>
      </c>
      <c r="X18" s="7" t="n">
        <v>-0.274</v>
      </c>
      <c r="Y18" s="7" t="n">
        <v>-0.343</v>
      </c>
      <c r="Z18" s="7" t="n">
        <v>0.02</v>
      </c>
      <c r="AA18" s="7" t="n">
        <v>0.256</v>
      </c>
      <c r="AB18" s="7" t="n">
        <v>-0.826</v>
      </c>
      <c r="AC18" s="7" t="n">
        <v>0.314</v>
      </c>
      <c r="AD18" s="7" t="n">
        <v>-0.256</v>
      </c>
      <c r="AE18" s="7" t="n">
        <v>-0.898</v>
      </c>
      <c r="AF18" s="7" t="n">
        <v>-0.107</v>
      </c>
      <c r="AG18" s="7" t="n">
        <v>-0.274</v>
      </c>
      <c r="AH18" s="7" t="n">
        <v>-0.697</v>
      </c>
      <c r="AI18" s="7" t="n">
        <v>-0.456</v>
      </c>
      <c r="AJ18" s="7" t="n">
        <v>0.021</v>
      </c>
      <c r="AK18" s="7" t="n">
        <v>0.294</v>
      </c>
      <c r="AL18" s="7" t="n">
        <v>-0.927</v>
      </c>
      <c r="AM18" s="7" t="n">
        <v>0.041</v>
      </c>
      <c r="AN18" s="7" t="n">
        <v>-0.019</v>
      </c>
      <c r="AO18" s="7" t="n">
        <v>-0.765</v>
      </c>
      <c r="AP18" s="7" t="n">
        <v>-0.05</v>
      </c>
      <c r="AQ18" s="7" t="n">
        <v>-0.488</v>
      </c>
    </row>
    <row r="19" customFormat="false" ht="15" hidden="false" customHeight="false" outlineLevel="0" collapsed="false">
      <c r="A19" s="23" t="n">
        <v>46336</v>
      </c>
      <c r="B19" s="7" t="n">
        <v>-0.281</v>
      </c>
      <c r="C19" s="7" t="n">
        <v>0.738</v>
      </c>
      <c r="D19" s="7" t="n">
        <v>-0.478</v>
      </c>
      <c r="E19" s="7" t="n">
        <v>0.085</v>
      </c>
      <c r="F19" s="7" t="n">
        <v>-0.216</v>
      </c>
      <c r="G19" s="7" t="n">
        <v>-0.425</v>
      </c>
      <c r="H19" s="7" t="n">
        <v>0.162</v>
      </c>
      <c r="I19" s="7" t="n">
        <v>-0.081</v>
      </c>
      <c r="J19" s="7" t="n">
        <v>-0.111</v>
      </c>
      <c r="K19" s="7" t="n">
        <v>-0.168</v>
      </c>
      <c r="L19" s="7" t="n">
        <v>0.013</v>
      </c>
      <c r="M19" s="7" t="n">
        <v>-0.373</v>
      </c>
      <c r="N19" s="7" t="n">
        <v>-0.034</v>
      </c>
      <c r="O19" s="7" t="n">
        <v>-0.049</v>
      </c>
      <c r="P19" s="7" t="n">
        <v>-0.37</v>
      </c>
      <c r="Q19" s="7" t="n">
        <v>0.186</v>
      </c>
      <c r="R19" s="7" t="n">
        <v>0.01</v>
      </c>
      <c r="S19" s="7" t="n">
        <v>0.032</v>
      </c>
      <c r="T19" s="7" t="n">
        <v>0.19</v>
      </c>
      <c r="U19" s="7" t="n">
        <v>-0.052</v>
      </c>
      <c r="V19" s="7" t="n">
        <v>0.109</v>
      </c>
      <c r="W19" s="7" t="n">
        <v>0</v>
      </c>
      <c r="X19" s="7" t="n">
        <v>-0.521</v>
      </c>
      <c r="Y19" s="7" t="n">
        <v>-0.526</v>
      </c>
      <c r="Z19" s="7" t="n">
        <v>0.085</v>
      </c>
      <c r="AA19" s="7" t="n">
        <v>0.283</v>
      </c>
      <c r="AB19" s="7" t="n">
        <v>-0.111</v>
      </c>
      <c r="AC19" s="7" t="n">
        <v>0.03</v>
      </c>
      <c r="AD19" s="7" t="n">
        <v>-0.193</v>
      </c>
      <c r="AE19" s="7" t="n">
        <v>-0.034</v>
      </c>
      <c r="AF19" s="7" t="n">
        <v>0.03</v>
      </c>
      <c r="AG19" s="7" t="n">
        <v>-0.274</v>
      </c>
      <c r="AH19" s="7" t="n">
        <v>-0.061</v>
      </c>
      <c r="AI19" s="7" t="n">
        <v>-0.003</v>
      </c>
      <c r="AJ19" s="7" t="n">
        <v>0.134</v>
      </c>
      <c r="AK19" s="7" t="n">
        <v>0.393</v>
      </c>
      <c r="AL19" s="7" t="n">
        <v>-0.229</v>
      </c>
      <c r="AM19" s="7" t="n">
        <v>-0.032</v>
      </c>
      <c r="AN19" s="7" t="n">
        <v>0.166</v>
      </c>
      <c r="AO19" s="7" t="n">
        <v>-0.064</v>
      </c>
      <c r="AP19" s="7" t="n">
        <v>0.016</v>
      </c>
      <c r="AQ19" s="7" t="n">
        <v>0.03</v>
      </c>
    </row>
    <row r="20" customFormat="false" ht="15" hidden="false" customHeight="false" outlineLevel="0" collapsed="false">
      <c r="A20" s="23" t="n">
        <v>46337</v>
      </c>
      <c r="B20" s="7" t="n">
        <v>-0.379</v>
      </c>
      <c r="C20" s="7" t="n">
        <v>0.519</v>
      </c>
      <c r="D20" s="7" t="n">
        <v>-0.479</v>
      </c>
      <c r="E20" s="7" t="n">
        <v>0.184</v>
      </c>
      <c r="F20" s="7" t="n">
        <v>-0.187</v>
      </c>
      <c r="G20" s="7" t="n">
        <v>-0.426</v>
      </c>
      <c r="H20" s="7" t="n">
        <v>-0.115</v>
      </c>
      <c r="I20" s="7" t="n">
        <v>-0.406</v>
      </c>
      <c r="J20" s="7" t="n">
        <v>-0.119</v>
      </c>
      <c r="K20" s="7" t="n">
        <v>0.086</v>
      </c>
      <c r="L20" s="7" t="n">
        <v>-0.086</v>
      </c>
      <c r="M20" s="7" t="n">
        <v>-0.374</v>
      </c>
      <c r="N20" s="7" t="n">
        <v>0.124</v>
      </c>
      <c r="O20" s="7" t="n">
        <v>-0.14</v>
      </c>
      <c r="P20" s="7" t="n">
        <v>-0.428</v>
      </c>
      <c r="Q20" s="7" t="n">
        <v>0.216</v>
      </c>
      <c r="R20" s="7" t="n">
        <v>-0.251</v>
      </c>
      <c r="S20" s="7" t="n">
        <v>-0.094</v>
      </c>
      <c r="T20" s="7" t="n">
        <v>-0.116</v>
      </c>
      <c r="U20" s="7" t="n">
        <v>0.191</v>
      </c>
      <c r="V20" s="7" t="n">
        <v>-0.165</v>
      </c>
      <c r="W20" s="7" t="n">
        <v>0</v>
      </c>
      <c r="X20" s="7" t="n">
        <v>-0.589</v>
      </c>
      <c r="Y20" s="7" t="n">
        <v>-0.603</v>
      </c>
      <c r="Z20" s="7" t="n">
        <v>0.438</v>
      </c>
      <c r="AA20" s="7" t="n">
        <v>0.024</v>
      </c>
      <c r="AB20" s="7" t="n">
        <v>-0.119</v>
      </c>
      <c r="AC20" s="7" t="n">
        <v>0.061</v>
      </c>
      <c r="AD20" s="7" t="n">
        <v>-0.242</v>
      </c>
      <c r="AE20" s="7" t="n">
        <v>0.124</v>
      </c>
      <c r="AF20" s="7" t="n">
        <v>0.633</v>
      </c>
      <c r="AG20" s="7" t="n">
        <v>-0.385</v>
      </c>
      <c r="AH20" s="7" t="n">
        <v>-0.054</v>
      </c>
      <c r="AI20" s="7" t="n">
        <v>0.021</v>
      </c>
      <c r="AJ20" s="7" t="n">
        <v>-0.099</v>
      </c>
      <c r="AK20" s="7" t="n">
        <v>0.18</v>
      </c>
      <c r="AL20" s="7" t="n">
        <v>-0.192</v>
      </c>
      <c r="AM20" s="7" t="n">
        <v>-0.04</v>
      </c>
      <c r="AN20" s="7" t="n">
        <v>-0.059</v>
      </c>
      <c r="AO20" s="7" t="n">
        <v>-0.185</v>
      </c>
      <c r="AP20" s="7" t="n">
        <v>-0.107</v>
      </c>
      <c r="AQ20" s="7" t="n">
        <v>0.061</v>
      </c>
    </row>
    <row r="21" customFormat="false" ht="15" hidden="false" customHeight="false" outlineLevel="0" collapsed="false">
      <c r="A21" s="23" t="n">
        <v>46338</v>
      </c>
      <c r="B21" s="7" t="n">
        <v>0.661</v>
      </c>
      <c r="C21" s="7" t="n">
        <v>0.838</v>
      </c>
      <c r="D21" s="7" t="n">
        <v>0.219</v>
      </c>
      <c r="E21" s="7" t="n">
        <v>0.415</v>
      </c>
      <c r="F21" s="7" t="n">
        <v>0.389</v>
      </c>
      <c r="G21" s="7" t="n">
        <v>0.758</v>
      </c>
      <c r="H21" s="7" t="n">
        <v>0.745</v>
      </c>
      <c r="I21" s="7" t="n">
        <v>0.64</v>
      </c>
      <c r="J21" s="7" t="n">
        <v>0.027</v>
      </c>
      <c r="K21" s="7" t="n">
        <v>0.454</v>
      </c>
      <c r="L21" s="7" t="n">
        <v>0.379</v>
      </c>
      <c r="M21" s="7" t="n">
        <v>-0.49</v>
      </c>
      <c r="N21" s="7" t="n">
        <v>0.608</v>
      </c>
      <c r="O21" s="7" t="n">
        <v>0.296</v>
      </c>
      <c r="P21" s="7" t="n">
        <v>0.273</v>
      </c>
      <c r="Q21" s="7" t="n">
        <v>0.216</v>
      </c>
      <c r="R21" s="7" t="n">
        <v>0.566</v>
      </c>
      <c r="S21" s="7" t="n">
        <v>0.083</v>
      </c>
      <c r="T21" s="7" t="n">
        <v>-0.064</v>
      </c>
      <c r="U21" s="7" t="n">
        <v>0.199</v>
      </c>
      <c r="V21" s="7" t="n">
        <v>0.762</v>
      </c>
      <c r="W21" s="7" t="n">
        <v>0</v>
      </c>
      <c r="X21" s="7" t="n">
        <v>0.061</v>
      </c>
      <c r="Y21" s="7" t="n">
        <v>0.305</v>
      </c>
      <c r="Z21" s="7" t="n">
        <v>0.694</v>
      </c>
      <c r="AA21" s="7" t="n">
        <v>0.191</v>
      </c>
      <c r="AB21" s="7" t="n">
        <v>-0.167</v>
      </c>
      <c r="AC21" s="7" t="n">
        <v>0.061</v>
      </c>
      <c r="AD21" s="7" t="n">
        <v>0.723</v>
      </c>
      <c r="AE21" s="7" t="n">
        <v>0.608</v>
      </c>
      <c r="AF21" s="7" t="n">
        <v>0.501</v>
      </c>
      <c r="AG21" s="7" t="n">
        <v>0.385</v>
      </c>
      <c r="AH21" s="7" t="n">
        <v>-0.012</v>
      </c>
      <c r="AI21" s="7" t="n">
        <v>0.114</v>
      </c>
      <c r="AJ21" s="7" t="n">
        <v>0.654</v>
      </c>
      <c r="AK21" s="7" t="n">
        <v>0.322</v>
      </c>
      <c r="AL21" s="7" t="n">
        <v>0.481</v>
      </c>
      <c r="AM21" s="7" t="n">
        <v>0.053</v>
      </c>
      <c r="AN21" s="7" t="n">
        <v>0.623</v>
      </c>
      <c r="AO21" s="7" t="n">
        <v>0.252</v>
      </c>
      <c r="AP21" s="7" t="n">
        <v>0.277</v>
      </c>
      <c r="AQ21" s="7" t="n">
        <v>0.061</v>
      </c>
    </row>
    <row r="22" customFormat="false" ht="15" hidden="false" customHeight="false" outlineLevel="0" collapsed="false">
      <c r="A22" s="23" t="n">
        <v>46339</v>
      </c>
      <c r="B22" s="7" t="n">
        <v>-0.417</v>
      </c>
      <c r="C22" s="7" t="n">
        <v>0.297</v>
      </c>
      <c r="D22" s="7" t="n">
        <v>-0.946</v>
      </c>
      <c r="E22" s="7" t="n">
        <v>0.113</v>
      </c>
      <c r="F22" s="7" t="n">
        <v>0.27</v>
      </c>
      <c r="G22" s="7" t="n">
        <v>0.303</v>
      </c>
      <c r="H22" s="7" t="n">
        <v>-0.069</v>
      </c>
      <c r="I22" s="7" t="n">
        <v>-0.852</v>
      </c>
      <c r="J22" s="7" t="n">
        <v>-0.027</v>
      </c>
      <c r="K22" s="7" t="n">
        <v>-0.337</v>
      </c>
      <c r="L22" s="7" t="n">
        <v>0.097</v>
      </c>
      <c r="M22" s="7" t="n">
        <v>-0.585</v>
      </c>
      <c r="N22" s="7" t="n">
        <v>0.586</v>
      </c>
      <c r="O22" s="7" t="n">
        <v>0.532</v>
      </c>
      <c r="P22" s="7" t="n">
        <v>-0.573</v>
      </c>
      <c r="Q22" s="7" t="n">
        <v>0.107</v>
      </c>
      <c r="R22" s="7" t="n">
        <v>-0.896</v>
      </c>
      <c r="S22" s="7" t="n">
        <v>-0.77</v>
      </c>
      <c r="T22" s="7" t="n">
        <v>-0.9</v>
      </c>
      <c r="U22" s="7" t="n">
        <v>-0.249</v>
      </c>
      <c r="V22" s="7" t="n">
        <v>-0.832</v>
      </c>
      <c r="W22" s="7" t="n">
        <v>0</v>
      </c>
      <c r="X22" s="7" t="n">
        <v>-0.955</v>
      </c>
      <c r="Y22" s="7" t="n">
        <v>-0.771</v>
      </c>
      <c r="Z22" s="7" t="n">
        <v>0.113</v>
      </c>
      <c r="AA22" s="7" t="n">
        <v>-0.818</v>
      </c>
      <c r="AB22" s="7" t="n">
        <v>-0.299</v>
      </c>
      <c r="AC22" s="7" t="n">
        <v>0.061</v>
      </c>
      <c r="AD22" s="7" t="n">
        <v>-0.865</v>
      </c>
      <c r="AE22" s="7" t="n">
        <v>0.625</v>
      </c>
      <c r="AF22" s="7" t="n">
        <v>0.061</v>
      </c>
      <c r="AG22" s="7" t="n">
        <v>-0.291</v>
      </c>
      <c r="AH22" s="7" t="n">
        <v>-0.125</v>
      </c>
      <c r="AI22" s="7" t="n">
        <v>-0.009</v>
      </c>
      <c r="AJ22" s="7" t="n">
        <v>-0.852</v>
      </c>
      <c r="AK22" s="7" t="n">
        <v>-0.717</v>
      </c>
      <c r="AL22" s="7" t="n">
        <v>-0.267</v>
      </c>
      <c r="AM22" s="7" t="n">
        <v>-0.07</v>
      </c>
      <c r="AN22" s="7" t="n">
        <v>-0.85</v>
      </c>
      <c r="AO22" s="7" t="n">
        <v>0.015</v>
      </c>
      <c r="AP22" s="7" t="n">
        <v>0.043</v>
      </c>
      <c r="AQ22" s="7" t="n">
        <v>0.061</v>
      </c>
    </row>
    <row r="23" customFormat="false" ht="15" hidden="false" customHeight="false" outlineLevel="0" collapsed="false">
      <c r="A23" s="23" t="n">
        <v>46340</v>
      </c>
      <c r="B23" s="7" t="n">
        <v>0.551</v>
      </c>
      <c r="C23" s="7" t="n">
        <v>0.742</v>
      </c>
      <c r="D23" s="7" t="n">
        <v>-0.111</v>
      </c>
      <c r="E23" s="7" t="n">
        <v>-0.352</v>
      </c>
      <c r="F23" s="7" t="n">
        <v>0.911</v>
      </c>
      <c r="G23" s="7" t="n">
        <v>0.199</v>
      </c>
      <c r="H23" s="7" t="n">
        <v>-0.249</v>
      </c>
      <c r="I23" s="7" t="n">
        <v>-0.267</v>
      </c>
      <c r="J23" s="7" t="n">
        <v>-0.301</v>
      </c>
      <c r="K23" s="7" t="n">
        <v>0.057</v>
      </c>
      <c r="L23" s="7" t="n">
        <v>0.933</v>
      </c>
      <c r="M23" s="7" t="n">
        <v>-0.682</v>
      </c>
      <c r="N23" s="7" t="n">
        <v>0.873</v>
      </c>
      <c r="O23" s="7" t="n">
        <v>0.819</v>
      </c>
      <c r="P23" s="7" t="n">
        <v>0.565</v>
      </c>
      <c r="Q23" s="7" t="n">
        <v>0.928</v>
      </c>
      <c r="R23" s="7" t="n">
        <v>-0.249</v>
      </c>
      <c r="S23" s="7" t="n">
        <v>-0.054</v>
      </c>
      <c r="T23" s="7" t="n">
        <v>0.008</v>
      </c>
      <c r="U23" s="7" t="n">
        <v>0.758</v>
      </c>
      <c r="V23" s="7" t="n">
        <v>-0.249</v>
      </c>
      <c r="W23" s="7" t="n">
        <v>0.704</v>
      </c>
      <c r="X23" s="7" t="n">
        <v>-0.131</v>
      </c>
      <c r="Y23" s="7" t="n">
        <v>0.21</v>
      </c>
      <c r="Z23" s="7" t="n">
        <v>-0.054</v>
      </c>
      <c r="AA23" s="7" t="n">
        <v>-0.249</v>
      </c>
      <c r="AB23" s="7" t="n">
        <v>-0.686</v>
      </c>
      <c r="AC23" s="7" t="n">
        <v>0.928</v>
      </c>
      <c r="AD23" s="7" t="n">
        <v>-0.054</v>
      </c>
      <c r="AE23" s="7" t="n">
        <v>0.784</v>
      </c>
      <c r="AF23" s="7" t="n">
        <v>0.866</v>
      </c>
      <c r="AG23" s="7" t="n">
        <v>-0.087</v>
      </c>
      <c r="AH23" s="7" t="n">
        <v>-0.241</v>
      </c>
      <c r="AI23" s="7" t="n">
        <v>0.636</v>
      </c>
      <c r="AJ23" s="7" t="n">
        <v>-0.267</v>
      </c>
      <c r="AK23" s="7" t="n">
        <v>-0.267</v>
      </c>
      <c r="AL23" s="7" t="n">
        <v>0.628</v>
      </c>
      <c r="AM23" s="7" t="n">
        <v>-0.02</v>
      </c>
      <c r="AN23" s="7" t="n">
        <v>-0.249</v>
      </c>
      <c r="AO23" s="7" t="n">
        <v>-0.154</v>
      </c>
      <c r="AP23" s="7" t="n">
        <v>0.057</v>
      </c>
      <c r="AQ23" s="7" t="n">
        <v>0.648</v>
      </c>
    </row>
    <row r="24" customFormat="false" ht="15" hidden="false" customHeight="false" outlineLevel="0" collapsed="false">
      <c r="A24" s="23" t="n">
        <v>46341</v>
      </c>
      <c r="B24" s="7" t="n">
        <v>-0.082</v>
      </c>
      <c r="C24" s="7" t="n">
        <v>0.247</v>
      </c>
      <c r="D24" s="7" t="n">
        <v>-0.11</v>
      </c>
      <c r="E24" s="7" t="n">
        <v>-0.374</v>
      </c>
      <c r="F24" s="7" t="n">
        <v>0.116</v>
      </c>
      <c r="G24" s="7" t="n">
        <v>0.199</v>
      </c>
      <c r="H24" s="7" t="n">
        <v>-0.162</v>
      </c>
      <c r="I24" s="7" t="n">
        <v>-0.284</v>
      </c>
      <c r="J24" s="7" t="n">
        <v>-0.291</v>
      </c>
      <c r="K24" s="7" t="n">
        <v>0.03</v>
      </c>
      <c r="L24" s="7" t="n">
        <v>0.074</v>
      </c>
      <c r="M24" s="7" t="n">
        <v>-0.525</v>
      </c>
      <c r="N24" s="7" t="n">
        <v>-0.069</v>
      </c>
      <c r="O24" s="7" t="n">
        <v>-0.381</v>
      </c>
      <c r="P24" s="7" t="n">
        <v>-0.087</v>
      </c>
      <c r="Q24" s="7" t="n">
        <v>0.044</v>
      </c>
      <c r="R24" s="7" t="n">
        <v>-0.296</v>
      </c>
      <c r="S24" s="7" t="n">
        <v>-0.081</v>
      </c>
      <c r="T24" s="7" t="n">
        <v>-0.265</v>
      </c>
      <c r="U24" s="7" t="n">
        <v>-0.062</v>
      </c>
      <c r="V24" s="7" t="n">
        <v>-0.108</v>
      </c>
      <c r="W24" s="7" t="n">
        <v>0</v>
      </c>
      <c r="X24" s="7" t="n">
        <v>-0.131</v>
      </c>
      <c r="Y24" s="7" t="n">
        <v>-0.182</v>
      </c>
      <c r="Z24" s="7" t="n">
        <v>-0.081</v>
      </c>
      <c r="AA24" s="7" t="n">
        <v>-0.296</v>
      </c>
      <c r="AB24" s="7" t="n">
        <v>-0.546</v>
      </c>
      <c r="AC24" s="7" t="n">
        <v>0.044</v>
      </c>
      <c r="AD24" s="7" t="n">
        <v>-0.081</v>
      </c>
      <c r="AE24" s="7" t="n">
        <v>-0.343</v>
      </c>
      <c r="AF24" s="7" t="n">
        <v>-0.263</v>
      </c>
      <c r="AG24" s="7" t="n">
        <v>-0.293</v>
      </c>
      <c r="AH24" s="7" t="n">
        <v>-0.561</v>
      </c>
      <c r="AI24" s="7" t="n">
        <v>0.044</v>
      </c>
      <c r="AJ24" s="7" t="n">
        <v>-0.111</v>
      </c>
      <c r="AK24" s="7" t="n">
        <v>-0.111</v>
      </c>
      <c r="AL24" s="7" t="n">
        <v>-0.283</v>
      </c>
      <c r="AM24" s="7" t="n">
        <v>0</v>
      </c>
      <c r="AN24" s="7" t="n">
        <v>-0.111</v>
      </c>
      <c r="AO24" s="7" t="n">
        <v>-0.517</v>
      </c>
      <c r="AP24" s="7" t="n">
        <v>0.03</v>
      </c>
      <c r="AQ24" s="7" t="n">
        <v>0.044</v>
      </c>
    </row>
    <row r="25" customFormat="false" ht="15" hidden="false" customHeight="false" outlineLevel="0" collapsed="false">
      <c r="A25" s="23" t="n">
        <v>46342</v>
      </c>
      <c r="B25" s="7" t="n">
        <v>-0.001</v>
      </c>
      <c r="C25" s="7" t="n">
        <v>0.292</v>
      </c>
      <c r="D25" s="7" t="n">
        <v>-0.11</v>
      </c>
      <c r="E25" s="7" t="n">
        <v>-0.351</v>
      </c>
      <c r="F25" s="7" t="n">
        <v>0.155</v>
      </c>
      <c r="G25" s="7" t="n">
        <v>0.198</v>
      </c>
      <c r="H25" s="7" t="n">
        <v>-0.15</v>
      </c>
      <c r="I25" s="7" t="n">
        <v>-0.265</v>
      </c>
      <c r="J25" s="7" t="n">
        <v>-0.288</v>
      </c>
      <c r="K25" s="7" t="n">
        <v>0.056</v>
      </c>
      <c r="L25" s="7" t="n">
        <v>0.116</v>
      </c>
      <c r="M25" s="7" t="n">
        <v>-0.505</v>
      </c>
      <c r="N25" s="7" t="n">
        <v>-0.026</v>
      </c>
      <c r="O25" s="7" t="n">
        <v>-0.082</v>
      </c>
      <c r="P25" s="7" t="n">
        <v>-0.07</v>
      </c>
      <c r="Q25" s="7" t="n">
        <v>0.061</v>
      </c>
      <c r="R25" s="7" t="n">
        <v>-0.285</v>
      </c>
      <c r="S25" s="7" t="n">
        <v>-0.055</v>
      </c>
      <c r="T25" s="7" t="n">
        <v>-0.27</v>
      </c>
      <c r="U25" s="7" t="n">
        <v>-0.025</v>
      </c>
      <c r="V25" s="7" t="n">
        <v>-0.091</v>
      </c>
      <c r="W25" s="7" t="n">
        <v>0</v>
      </c>
      <c r="X25" s="7" t="n">
        <v>-0.131</v>
      </c>
      <c r="Y25" s="7" t="n">
        <v>0.292</v>
      </c>
      <c r="Z25" s="7" t="n">
        <v>-0.055</v>
      </c>
      <c r="AA25" s="7" t="n">
        <v>-0.285</v>
      </c>
      <c r="AB25" s="7" t="n">
        <v>-0.683</v>
      </c>
      <c r="AC25" s="7" t="n">
        <v>0.061</v>
      </c>
      <c r="AD25" s="7" t="n">
        <v>-0.055</v>
      </c>
      <c r="AE25" s="7" t="n">
        <v>-0.305</v>
      </c>
      <c r="AF25" s="7" t="n">
        <v>-0.246</v>
      </c>
      <c r="AG25" s="7" t="n">
        <v>0</v>
      </c>
      <c r="AH25" s="7" t="n">
        <v>-0.32</v>
      </c>
      <c r="AI25" s="7" t="n">
        <v>0.061</v>
      </c>
      <c r="AJ25" s="7" t="n">
        <v>-0.1</v>
      </c>
      <c r="AK25" s="7" t="n">
        <v>-0.1</v>
      </c>
      <c r="AL25" s="7" t="n">
        <v>0.029</v>
      </c>
      <c r="AM25" s="7" t="n">
        <v>0</v>
      </c>
      <c r="AN25" s="7" t="n">
        <v>-0.1</v>
      </c>
      <c r="AO25" s="7" t="n">
        <v>-0.24</v>
      </c>
      <c r="AP25" s="7" t="n">
        <v>0.056</v>
      </c>
      <c r="AQ25" s="7" t="n">
        <v>0.061</v>
      </c>
    </row>
    <row r="26" customFormat="false" ht="15" hidden="false" customHeight="false" outlineLevel="0" collapsed="false">
      <c r="A26" s="23" t="n">
        <v>46343</v>
      </c>
      <c r="B26" s="7" t="n">
        <v>-0.444</v>
      </c>
      <c r="C26" s="7" t="n">
        <v>-0.19</v>
      </c>
      <c r="D26" s="7" t="n">
        <v>-0.586</v>
      </c>
      <c r="E26" s="7" t="n">
        <v>-0.398</v>
      </c>
      <c r="F26" s="7" t="n">
        <v>-0.142</v>
      </c>
      <c r="G26" s="7" t="n">
        <v>-0.265</v>
      </c>
      <c r="H26" s="7" t="n">
        <v>-0.451</v>
      </c>
      <c r="I26" s="7" t="n">
        <v>-0.617</v>
      </c>
      <c r="J26" s="7" t="n">
        <v>-0.291</v>
      </c>
      <c r="K26" s="7" t="n">
        <v>0</v>
      </c>
      <c r="L26" s="7" t="n">
        <v>0</v>
      </c>
      <c r="M26" s="7" t="n">
        <v>-0.545</v>
      </c>
      <c r="N26" s="7" t="n">
        <v>-0.142</v>
      </c>
      <c r="O26" s="7" t="n">
        <v>-0.381</v>
      </c>
      <c r="P26" s="7" t="n">
        <v>-0.529</v>
      </c>
      <c r="Q26" s="7" t="n">
        <v>0.116</v>
      </c>
      <c r="R26" s="7" t="n">
        <v>-0.557</v>
      </c>
      <c r="S26" s="7" t="n">
        <v>-0.109</v>
      </c>
      <c r="T26" s="7" t="n">
        <v>-0.248</v>
      </c>
      <c r="U26" s="7" t="n">
        <v>-0.063</v>
      </c>
      <c r="V26" s="7" t="n">
        <v>-0.496</v>
      </c>
      <c r="W26" s="7" t="n">
        <v>0</v>
      </c>
      <c r="X26" s="7" t="n">
        <v>-0.607</v>
      </c>
      <c r="Y26" s="7" t="n">
        <v>0.155</v>
      </c>
      <c r="Z26" s="7" t="n">
        <v>-0.109</v>
      </c>
      <c r="AA26" s="7" t="n">
        <v>-0.353</v>
      </c>
      <c r="AB26" s="7" t="n">
        <v>-0.545</v>
      </c>
      <c r="AC26" s="7" t="n">
        <v>0</v>
      </c>
      <c r="AD26" s="7" t="n">
        <v>-0.353</v>
      </c>
      <c r="AE26" s="7" t="n">
        <v>-0.406</v>
      </c>
      <c r="AF26" s="7" t="n">
        <v>-0.302</v>
      </c>
      <c r="AG26" s="7" t="n">
        <v>-0.091</v>
      </c>
      <c r="AH26" s="7" t="n">
        <v>-0.248</v>
      </c>
      <c r="AI26" s="7" t="n">
        <v>0</v>
      </c>
      <c r="AJ26" s="7" t="n">
        <v>-0.41</v>
      </c>
      <c r="AK26" s="7" t="n">
        <v>-0.175</v>
      </c>
      <c r="AL26" s="7" t="n">
        <v>-0.209</v>
      </c>
      <c r="AM26" s="7" t="n">
        <v>0</v>
      </c>
      <c r="AN26" s="7" t="n">
        <v>-0.41</v>
      </c>
      <c r="AO26" s="7" t="n">
        <v>-0.291</v>
      </c>
      <c r="AP26" s="7" t="n">
        <v>0</v>
      </c>
      <c r="AQ26" s="7" t="n">
        <v>0</v>
      </c>
    </row>
    <row r="27" customFormat="false" ht="15" hidden="false" customHeight="false" outlineLevel="0" collapsed="false">
      <c r="A27" s="23" t="n">
        <v>46344</v>
      </c>
      <c r="B27" s="7" t="n">
        <v>-0.663</v>
      </c>
      <c r="C27" s="7" t="n">
        <v>-0.538</v>
      </c>
      <c r="D27" s="7" t="n">
        <v>-0.024</v>
      </c>
      <c r="E27" s="7" t="n">
        <v>-0.8</v>
      </c>
      <c r="F27" s="7" t="n">
        <v>-0.195</v>
      </c>
      <c r="G27" s="7" t="n">
        <v>0.262</v>
      </c>
      <c r="H27" s="7" t="n">
        <v>-0.943</v>
      </c>
      <c r="I27" s="7" t="n">
        <v>-0.611</v>
      </c>
      <c r="J27" s="7" t="n">
        <v>-0.228</v>
      </c>
      <c r="K27" s="7" t="n">
        <v>-0.054</v>
      </c>
      <c r="L27" s="7" t="n">
        <v>0.006</v>
      </c>
      <c r="M27" s="7" t="n">
        <v>-0.534</v>
      </c>
      <c r="N27" s="7" t="n">
        <v>-0.579</v>
      </c>
      <c r="O27" s="7" t="n">
        <v>-0.014</v>
      </c>
      <c r="P27" s="7" t="n">
        <v>0.116</v>
      </c>
      <c r="Q27" s="7" t="n">
        <v>0.176</v>
      </c>
      <c r="R27" s="7" t="n">
        <v>-0.967</v>
      </c>
      <c r="S27" s="7" t="n">
        <v>-0.63</v>
      </c>
      <c r="T27" s="7" t="n">
        <v>-0.771</v>
      </c>
      <c r="U27" s="7" t="n">
        <v>-0.756</v>
      </c>
      <c r="V27" s="7" t="n">
        <v>-0.931</v>
      </c>
      <c r="W27" s="7" t="n">
        <v>0</v>
      </c>
      <c r="X27" s="7" t="n">
        <v>-0.061</v>
      </c>
      <c r="Y27" s="7" t="n">
        <v>-0.922</v>
      </c>
      <c r="Z27" s="7" t="n">
        <v>-0.147</v>
      </c>
      <c r="AA27" s="7" t="n">
        <v>-0.971</v>
      </c>
      <c r="AB27" s="7" t="n">
        <v>-0.495</v>
      </c>
      <c r="AC27" s="7" t="n">
        <v>0.06</v>
      </c>
      <c r="AD27" s="7" t="n">
        <v>-0.969</v>
      </c>
      <c r="AE27" s="7" t="n">
        <v>-0.342</v>
      </c>
      <c r="AF27" s="7" t="n">
        <v>-0.245</v>
      </c>
      <c r="AG27" s="7" t="n">
        <v>-0.533</v>
      </c>
      <c r="AH27" s="7" t="n">
        <v>-0.163</v>
      </c>
      <c r="AI27" s="7" t="n">
        <v>0.06</v>
      </c>
      <c r="AJ27" s="7" t="n">
        <v>-0.536</v>
      </c>
      <c r="AK27" s="7" t="n">
        <v>-0.584</v>
      </c>
      <c r="AL27" s="7" t="n">
        <v>0.195</v>
      </c>
      <c r="AM27" s="7" t="n">
        <v>0</v>
      </c>
      <c r="AN27" s="7" t="n">
        <v>-0.938</v>
      </c>
      <c r="AO27" s="7" t="n">
        <v>-0.278</v>
      </c>
      <c r="AP27" s="7" t="n">
        <v>-0.054</v>
      </c>
      <c r="AQ27" s="7" t="n">
        <v>0.06</v>
      </c>
    </row>
    <row r="28" customFormat="false" ht="15" hidden="false" customHeight="false" outlineLevel="0" collapsed="false">
      <c r="A28" s="23" t="n">
        <v>46345</v>
      </c>
      <c r="B28" s="7" t="n">
        <v>0.206</v>
      </c>
      <c r="C28" s="7" t="n">
        <v>0.363</v>
      </c>
      <c r="D28" s="7" t="n">
        <v>-0.056</v>
      </c>
      <c r="E28" s="7" t="n">
        <v>-0.661</v>
      </c>
      <c r="F28" s="7" t="n">
        <v>0.86</v>
      </c>
      <c r="G28" s="7" t="n">
        <v>0.23</v>
      </c>
      <c r="H28" s="7" t="n">
        <v>-0.621</v>
      </c>
      <c r="I28" s="7" t="n">
        <v>-0.593</v>
      </c>
      <c r="J28" s="7" t="n">
        <v>0.839</v>
      </c>
      <c r="K28" s="7" t="n">
        <v>0</v>
      </c>
      <c r="L28" s="7" t="n">
        <v>0.1</v>
      </c>
      <c r="M28" s="7" t="n">
        <v>0.199</v>
      </c>
      <c r="N28" s="7" t="n">
        <v>0.683</v>
      </c>
      <c r="O28" s="7" t="n">
        <v>0.9</v>
      </c>
      <c r="P28" s="7" t="n">
        <v>0.054</v>
      </c>
      <c r="Q28" s="7" t="n">
        <v>0.148</v>
      </c>
      <c r="R28" s="7" t="n">
        <v>-0.739</v>
      </c>
      <c r="S28" s="7" t="n">
        <v>-0.565</v>
      </c>
      <c r="T28" s="7" t="n">
        <v>-0.798</v>
      </c>
      <c r="U28" s="7" t="n">
        <v>0.01</v>
      </c>
      <c r="V28" s="7" t="n">
        <v>-0.503</v>
      </c>
      <c r="W28" s="7" t="n">
        <v>0</v>
      </c>
      <c r="X28" s="7" t="n">
        <v>-0.094</v>
      </c>
      <c r="Y28" s="7" t="n">
        <v>-0.371</v>
      </c>
      <c r="Z28" s="7" t="n">
        <v>-0.093</v>
      </c>
      <c r="AA28" s="7" t="n">
        <v>-0.755</v>
      </c>
      <c r="AB28" s="7" t="n">
        <v>0.476</v>
      </c>
      <c r="AC28" s="7" t="n">
        <v>0.06</v>
      </c>
      <c r="AD28" s="7" t="n">
        <v>-0.602</v>
      </c>
      <c r="AE28" s="7" t="n">
        <v>0.798</v>
      </c>
      <c r="AF28" s="7" t="n">
        <v>-0.245</v>
      </c>
      <c r="AG28" s="7" t="n">
        <v>-0.498</v>
      </c>
      <c r="AH28" s="7" t="n">
        <v>0.574</v>
      </c>
      <c r="AI28" s="7" t="n">
        <v>0.1</v>
      </c>
      <c r="AJ28" s="7" t="n">
        <v>-0.509</v>
      </c>
      <c r="AK28" s="7" t="n">
        <v>-0.536</v>
      </c>
      <c r="AL28" s="7" t="n">
        <v>0.761</v>
      </c>
      <c r="AM28" s="7" t="n">
        <v>0.04</v>
      </c>
      <c r="AN28" s="7" t="n">
        <v>-0.539</v>
      </c>
      <c r="AO28" s="7" t="n">
        <v>0.545</v>
      </c>
      <c r="AP28" s="7" t="n">
        <v>0</v>
      </c>
      <c r="AQ28" s="7" t="n">
        <v>0.06</v>
      </c>
    </row>
    <row r="29" customFormat="false" ht="15" hidden="false" customHeight="false" outlineLevel="0" collapsed="false">
      <c r="A29" s="23" t="n">
        <v>46346</v>
      </c>
      <c r="B29" s="7" t="n">
        <v>-0.195</v>
      </c>
      <c r="C29" s="7" t="n">
        <v>-0.882</v>
      </c>
      <c r="D29" s="7" t="n">
        <v>-0.107</v>
      </c>
      <c r="E29" s="7" t="n">
        <v>-0.396</v>
      </c>
      <c r="F29" s="7" t="n">
        <v>0.186</v>
      </c>
      <c r="G29" s="7" t="n">
        <v>0.002</v>
      </c>
      <c r="H29" s="7" t="n">
        <v>-0.901</v>
      </c>
      <c r="I29" s="7" t="n">
        <v>-0.879</v>
      </c>
      <c r="J29" s="7" t="n">
        <v>-0.272</v>
      </c>
      <c r="K29" s="7" t="n">
        <v>0</v>
      </c>
      <c r="L29" s="7" t="n">
        <v>0.001</v>
      </c>
      <c r="M29" s="7" t="n">
        <v>-0.51</v>
      </c>
      <c r="N29" s="7" t="n">
        <v>0.186</v>
      </c>
      <c r="O29" s="7" t="n">
        <v>0.15</v>
      </c>
      <c r="P29" s="7" t="n">
        <v>-0.175</v>
      </c>
      <c r="Q29" s="7" t="n">
        <v>0.095</v>
      </c>
      <c r="R29" s="7" t="n">
        <v>-0.914</v>
      </c>
      <c r="S29" s="7" t="n">
        <v>-0.107</v>
      </c>
      <c r="T29" s="7" t="n">
        <v>-0.95</v>
      </c>
      <c r="U29" s="7" t="n">
        <v>-0.009</v>
      </c>
      <c r="V29" s="7" t="n">
        <v>-0.869</v>
      </c>
      <c r="W29" s="7" t="n">
        <v>0</v>
      </c>
      <c r="X29" s="7" t="n">
        <v>-0.236</v>
      </c>
      <c r="Y29" s="7" t="n">
        <v>0.218</v>
      </c>
      <c r="Z29" s="7" t="n">
        <v>-0.107</v>
      </c>
      <c r="AA29" s="7" t="n">
        <v>-0.914</v>
      </c>
      <c r="AB29" s="7" t="n">
        <v>-0.521</v>
      </c>
      <c r="AC29" s="7" t="n">
        <v>0.042</v>
      </c>
      <c r="AD29" s="7" t="n">
        <v>-0.107</v>
      </c>
      <c r="AE29" s="7" t="n">
        <v>-0.1</v>
      </c>
      <c r="AF29" s="7" t="n">
        <v>-0.293</v>
      </c>
      <c r="AG29" s="7" t="n">
        <v>0</v>
      </c>
      <c r="AH29" s="7" t="n">
        <v>-0.179</v>
      </c>
      <c r="AI29" s="7" t="n">
        <v>0.001</v>
      </c>
      <c r="AJ29" s="7" t="n">
        <v>-0.813</v>
      </c>
      <c r="AK29" s="7" t="n">
        <v>-0.813</v>
      </c>
      <c r="AL29" s="7" t="n">
        <v>0.098</v>
      </c>
      <c r="AM29" s="7" t="n">
        <v>-0.009</v>
      </c>
      <c r="AN29" s="7" t="n">
        <v>-0.82</v>
      </c>
      <c r="AO29" s="7" t="n">
        <v>-0.262</v>
      </c>
      <c r="AP29" s="7" t="n">
        <v>0</v>
      </c>
      <c r="AQ29" s="7" t="n">
        <v>0.01</v>
      </c>
    </row>
    <row r="30" customFormat="false" ht="15" hidden="false" customHeight="false" outlineLevel="0" collapsed="false">
      <c r="A30" s="23" t="n">
        <v>46347</v>
      </c>
      <c r="B30" s="7" t="n">
        <v>0.278</v>
      </c>
      <c r="C30" s="7" t="n">
        <v>-0.12</v>
      </c>
      <c r="D30" s="7" t="n">
        <v>-0.105</v>
      </c>
      <c r="E30" s="7" t="n">
        <v>0.273</v>
      </c>
      <c r="F30" s="7" t="n">
        <v>0.458</v>
      </c>
      <c r="G30" s="7" t="n">
        <v>-0.072</v>
      </c>
      <c r="H30" s="7" t="n">
        <v>-0.181</v>
      </c>
      <c r="I30" s="7" t="n">
        <v>-0.39</v>
      </c>
      <c r="J30" s="7" t="n">
        <v>-0.707</v>
      </c>
      <c r="K30" s="7" t="n">
        <v>0.724</v>
      </c>
      <c r="L30" s="7" t="n">
        <v>0.446</v>
      </c>
      <c r="M30" s="7" t="n">
        <v>-0.662</v>
      </c>
      <c r="N30" s="7" t="n">
        <v>0.458</v>
      </c>
      <c r="O30" s="7" t="n">
        <v>0.412</v>
      </c>
      <c r="P30" s="7" t="n">
        <v>-0.217</v>
      </c>
      <c r="Q30" s="7" t="n">
        <v>0.072</v>
      </c>
      <c r="R30" s="7" t="n">
        <v>-0.181</v>
      </c>
      <c r="S30" s="7" t="n">
        <v>0.315</v>
      </c>
      <c r="T30" s="7" t="n">
        <v>-0.016</v>
      </c>
      <c r="U30" s="7" t="n">
        <v>0.115</v>
      </c>
      <c r="V30" s="7" t="n">
        <v>-0.181</v>
      </c>
      <c r="W30" s="7" t="n">
        <v>0</v>
      </c>
      <c r="X30" s="7" t="n">
        <v>-0.422</v>
      </c>
      <c r="Y30" s="7" t="n">
        <v>0.089</v>
      </c>
      <c r="Z30" s="7" t="n">
        <v>0.67</v>
      </c>
      <c r="AA30" s="7" t="n">
        <v>-0.181</v>
      </c>
      <c r="AB30" s="7" t="n">
        <v>-0.798</v>
      </c>
      <c r="AC30" s="7" t="n">
        <v>-0.163</v>
      </c>
      <c r="AD30" s="7" t="n">
        <v>0.452</v>
      </c>
      <c r="AE30" s="7" t="n">
        <v>0.203</v>
      </c>
      <c r="AF30" s="7" t="n">
        <v>0.047</v>
      </c>
      <c r="AG30" s="7" t="n">
        <v>0</v>
      </c>
      <c r="AH30" s="7" t="n">
        <v>-0.402</v>
      </c>
      <c r="AI30" s="7" t="n">
        <v>-0.08</v>
      </c>
      <c r="AJ30" s="7" t="n">
        <v>-0.39</v>
      </c>
      <c r="AK30" s="7" t="n">
        <v>-0.39</v>
      </c>
      <c r="AL30" s="7" t="n">
        <v>0.023</v>
      </c>
      <c r="AM30" s="7" t="n">
        <v>-0.072</v>
      </c>
      <c r="AN30" s="7" t="n">
        <v>-0.181</v>
      </c>
      <c r="AO30" s="7" t="n">
        <v>0.103</v>
      </c>
      <c r="AP30" s="7" t="n">
        <v>0.508</v>
      </c>
      <c r="AQ30" s="7" t="n">
        <v>-0.008</v>
      </c>
    </row>
    <row r="31" customFormat="false" ht="15" hidden="false" customHeight="false" outlineLevel="0" collapsed="false">
      <c r="A31" s="23" t="n">
        <v>46348</v>
      </c>
      <c r="B31" s="7" t="n">
        <v>-0.677</v>
      </c>
      <c r="C31" s="7" t="n">
        <v>-0.166</v>
      </c>
      <c r="D31" s="7" t="n">
        <v>-0.863</v>
      </c>
      <c r="E31" s="7" t="n">
        <v>-0.422</v>
      </c>
      <c r="F31" s="7" t="n">
        <v>-0.172</v>
      </c>
      <c r="G31" s="7" t="n">
        <v>0.693</v>
      </c>
      <c r="H31" s="7" t="n">
        <v>0.134</v>
      </c>
      <c r="I31" s="7" t="n">
        <v>-0.773</v>
      </c>
      <c r="J31" s="7" t="n">
        <v>-0.047</v>
      </c>
      <c r="K31" s="7" t="n">
        <v>-0.104</v>
      </c>
      <c r="L31" s="7" t="n">
        <v>0.058</v>
      </c>
      <c r="M31" s="7" t="n">
        <v>-0.423</v>
      </c>
      <c r="N31" s="7" t="n">
        <v>0.052</v>
      </c>
      <c r="O31" s="7" t="n">
        <v>0.09</v>
      </c>
      <c r="P31" s="7" t="n">
        <v>-0.114</v>
      </c>
      <c r="Q31" s="7" t="n">
        <v>0.09</v>
      </c>
      <c r="R31" s="7" t="n">
        <v>-0.847</v>
      </c>
      <c r="S31" s="7" t="n">
        <v>-0.951</v>
      </c>
      <c r="T31" s="7" t="n">
        <v>-0.942</v>
      </c>
      <c r="U31" s="7" t="n">
        <v>-0.142</v>
      </c>
      <c r="V31" s="7" t="n">
        <v>-0.695</v>
      </c>
      <c r="W31" s="7" t="n">
        <v>0</v>
      </c>
      <c r="X31" s="7" t="n">
        <v>-0.869</v>
      </c>
      <c r="Y31" s="7" t="n">
        <v>-0.651</v>
      </c>
      <c r="Z31" s="7" t="n">
        <v>-0.141</v>
      </c>
      <c r="AA31" s="7" t="n">
        <v>-0.892</v>
      </c>
      <c r="AB31" s="7" t="n">
        <v>-0.341</v>
      </c>
      <c r="AC31" s="7" t="n">
        <v>0.038</v>
      </c>
      <c r="AD31" s="7" t="n">
        <v>-0.792</v>
      </c>
      <c r="AE31" s="7" t="n">
        <v>-0.232</v>
      </c>
      <c r="AF31" s="7" t="n">
        <v>-0.263</v>
      </c>
      <c r="AG31" s="7" t="n">
        <v>0.129</v>
      </c>
      <c r="AH31" s="7" t="n">
        <v>-0.078</v>
      </c>
      <c r="AI31" s="7" t="n">
        <v>0.096</v>
      </c>
      <c r="AJ31" s="7" t="n">
        <v>-0.735</v>
      </c>
      <c r="AK31" s="7" t="n">
        <v>-0.811</v>
      </c>
      <c r="AL31" s="7" t="n">
        <v>0.25</v>
      </c>
      <c r="AM31" s="7" t="n">
        <v>0.058</v>
      </c>
      <c r="AN31" s="7" t="n">
        <v>-0.761</v>
      </c>
      <c r="AO31" s="7" t="n">
        <v>-0.142</v>
      </c>
      <c r="AP31" s="7" t="n">
        <v>-0.038</v>
      </c>
      <c r="AQ31" s="7" t="n">
        <v>0.038</v>
      </c>
    </row>
    <row r="32" customFormat="false" ht="15" hidden="false" customHeight="false" outlineLevel="0" collapsed="false">
      <c r="A32" s="23" t="n">
        <v>46349</v>
      </c>
      <c r="B32" s="7" t="n">
        <v>-0.059</v>
      </c>
      <c r="C32" s="7" t="n">
        <v>-0.142</v>
      </c>
      <c r="D32" s="7" t="n">
        <v>-0.53</v>
      </c>
      <c r="E32" s="7" t="n">
        <v>-0.409</v>
      </c>
      <c r="F32" s="7" t="n">
        <v>0.347</v>
      </c>
      <c r="G32" s="7" t="n">
        <v>-0.298</v>
      </c>
      <c r="H32" s="7" t="n">
        <v>-0.514</v>
      </c>
      <c r="I32" s="7" t="n">
        <v>-0.463</v>
      </c>
      <c r="J32" s="7" t="n">
        <v>-0.115</v>
      </c>
      <c r="K32" s="7" t="n">
        <v>0.009</v>
      </c>
      <c r="L32" s="7" t="n">
        <v>0.574</v>
      </c>
      <c r="M32" s="7" t="n">
        <v>-0.456</v>
      </c>
      <c r="N32" s="7" t="n">
        <v>0.33</v>
      </c>
      <c r="O32" s="7" t="n">
        <v>0.37</v>
      </c>
      <c r="P32" s="7" t="n">
        <v>-0.288</v>
      </c>
      <c r="Q32" s="7" t="n">
        <v>0.591</v>
      </c>
      <c r="R32" s="7" t="n">
        <v>-0.568</v>
      </c>
      <c r="S32" s="7" t="n">
        <v>-0.123</v>
      </c>
      <c r="T32" s="7" t="n">
        <v>-0.015</v>
      </c>
      <c r="U32" s="7" t="n">
        <v>0.253</v>
      </c>
      <c r="V32" s="7" t="n">
        <v>-0.422</v>
      </c>
      <c r="W32" s="7" t="n">
        <v>0.443</v>
      </c>
      <c r="X32" s="7" t="n">
        <v>-0.462</v>
      </c>
      <c r="Y32" s="7" t="n">
        <v>0.024</v>
      </c>
      <c r="Z32" s="7" t="n">
        <v>-0.123</v>
      </c>
      <c r="AA32" s="7" t="n">
        <v>-0.422</v>
      </c>
      <c r="AB32" s="7" t="n">
        <v>-0.402</v>
      </c>
      <c r="AC32" s="7" t="n">
        <v>0.56</v>
      </c>
      <c r="AD32" s="7" t="n">
        <v>-0.307</v>
      </c>
      <c r="AE32" s="7" t="n">
        <v>0.055</v>
      </c>
      <c r="AF32" s="7" t="n">
        <v>0.164</v>
      </c>
      <c r="AG32" s="7" t="n">
        <v>-0.192</v>
      </c>
      <c r="AH32" s="7" t="n">
        <v>-0.135</v>
      </c>
      <c r="AI32" s="7" t="n">
        <v>0.198</v>
      </c>
      <c r="AJ32" s="7" t="n">
        <v>-0.22</v>
      </c>
      <c r="AK32" s="7" t="n">
        <v>-0.029</v>
      </c>
      <c r="AL32" s="7" t="n">
        <v>-0.014</v>
      </c>
      <c r="AM32" s="7" t="n">
        <v>0.044</v>
      </c>
      <c r="AN32" s="7" t="n">
        <v>-0.261</v>
      </c>
      <c r="AO32" s="7" t="n">
        <v>-0.179</v>
      </c>
      <c r="AP32" s="7" t="n">
        <v>-0.022</v>
      </c>
      <c r="AQ32" s="7" t="n">
        <v>0.155</v>
      </c>
    </row>
    <row r="33" customFormat="false" ht="15" hidden="false" customHeight="false" outlineLevel="0" collapsed="false">
      <c r="A33" s="23" t="n">
        <v>46350</v>
      </c>
      <c r="B33" s="7" t="n">
        <v>0.197</v>
      </c>
      <c r="C33" s="7" t="n">
        <v>-0.423</v>
      </c>
      <c r="D33" s="7" t="n">
        <v>-0.1</v>
      </c>
      <c r="E33" s="7" t="n">
        <v>-0.341</v>
      </c>
      <c r="F33" s="7" t="n">
        <v>0.379</v>
      </c>
      <c r="G33" s="7" t="n">
        <v>-0.155</v>
      </c>
      <c r="H33" s="7" t="n">
        <v>-0.386</v>
      </c>
      <c r="I33" s="7" t="n">
        <v>-0.393</v>
      </c>
      <c r="J33" s="7" t="n">
        <v>-0.275</v>
      </c>
      <c r="K33" s="7" t="n">
        <v>0.056</v>
      </c>
      <c r="L33" s="7" t="n">
        <v>0.522</v>
      </c>
      <c r="M33" s="7" t="n">
        <v>-0.503</v>
      </c>
      <c r="N33" s="7" t="n">
        <v>0.067</v>
      </c>
      <c r="O33" s="7" t="n">
        <v>0.775</v>
      </c>
      <c r="P33" s="7" t="n">
        <v>-0.452</v>
      </c>
      <c r="Q33" s="7" t="n">
        <v>0.517</v>
      </c>
      <c r="R33" s="7" t="n">
        <v>-0.447</v>
      </c>
      <c r="S33" s="7" t="n">
        <v>-0.045</v>
      </c>
      <c r="T33" s="7" t="n">
        <v>-0.029</v>
      </c>
      <c r="U33" s="7" t="n">
        <v>0.863</v>
      </c>
      <c r="V33" s="7" t="n">
        <v>0.655</v>
      </c>
      <c r="W33" s="7" t="n">
        <v>0.438</v>
      </c>
      <c r="X33" s="7" t="n">
        <v>-0.155</v>
      </c>
      <c r="Y33" s="7" t="n">
        <v>0.78</v>
      </c>
      <c r="Z33" s="7" t="n">
        <v>-0.045</v>
      </c>
      <c r="AA33" s="7" t="n">
        <v>-0.447</v>
      </c>
      <c r="AB33" s="7" t="n">
        <v>-0.531</v>
      </c>
      <c r="AC33" s="7" t="n">
        <v>0.466</v>
      </c>
      <c r="AD33" s="7" t="n">
        <v>-0.064</v>
      </c>
      <c r="AE33" s="7" t="n">
        <v>-0.242</v>
      </c>
      <c r="AF33" s="7" t="n">
        <v>0.124</v>
      </c>
      <c r="AG33" s="7" t="n">
        <v>0.809</v>
      </c>
      <c r="AH33" s="7" t="n">
        <v>0.709</v>
      </c>
      <c r="AI33" s="7" t="n">
        <v>-0.362</v>
      </c>
      <c r="AJ33" s="7" t="n">
        <v>-0.08</v>
      </c>
      <c r="AK33" s="7" t="n">
        <v>-0.08</v>
      </c>
      <c r="AL33" s="7" t="n">
        <v>0.657</v>
      </c>
      <c r="AM33" s="7" t="n">
        <v>0.018</v>
      </c>
      <c r="AN33" s="7" t="n">
        <v>-0.098</v>
      </c>
      <c r="AO33" s="7" t="n">
        <v>0.707</v>
      </c>
      <c r="AP33" s="7" t="n">
        <v>0.056</v>
      </c>
      <c r="AQ33" s="7" t="n">
        <v>-0.378</v>
      </c>
    </row>
    <row r="34" customFormat="false" ht="15" hidden="false" customHeight="false" outlineLevel="0" collapsed="false">
      <c r="A34" s="23" t="n">
        <v>46351</v>
      </c>
      <c r="B34" s="7" t="n">
        <v>0.08</v>
      </c>
      <c r="C34" s="7" t="n">
        <v>-0.339</v>
      </c>
      <c r="D34" s="7" t="n">
        <v>-0.102</v>
      </c>
      <c r="E34" s="7" t="n">
        <v>-0.342</v>
      </c>
      <c r="F34" s="7" t="n">
        <v>0.41</v>
      </c>
      <c r="G34" s="7" t="n">
        <v>-0.176</v>
      </c>
      <c r="H34" s="7" t="n">
        <v>-0.377</v>
      </c>
      <c r="I34" s="7" t="n">
        <v>-0.372</v>
      </c>
      <c r="J34" s="7" t="n">
        <v>-0.278</v>
      </c>
      <c r="K34" s="7" t="n">
        <v>0.055</v>
      </c>
      <c r="L34" s="7" t="n">
        <v>0.569</v>
      </c>
      <c r="M34" s="7" t="n">
        <v>-0.504</v>
      </c>
      <c r="N34" s="7" t="n">
        <v>0.151</v>
      </c>
      <c r="O34" s="7" t="n">
        <v>-0.003</v>
      </c>
      <c r="P34" s="7" t="n">
        <v>-0.426</v>
      </c>
      <c r="Q34" s="7" t="n">
        <v>0.545</v>
      </c>
      <c r="R34" s="7" t="n">
        <v>-0.436</v>
      </c>
      <c r="S34" s="7" t="n">
        <v>-0.047</v>
      </c>
      <c r="T34" s="7" t="n">
        <v>0.003</v>
      </c>
      <c r="U34" s="7" t="n">
        <v>0.225</v>
      </c>
      <c r="V34" s="7" t="n">
        <v>-0.328</v>
      </c>
      <c r="W34" s="7" t="n">
        <v>0.457</v>
      </c>
      <c r="X34" s="7" t="n">
        <v>-0.176</v>
      </c>
      <c r="Y34" s="7" t="n">
        <v>-0.068</v>
      </c>
      <c r="Z34" s="7" t="n">
        <v>-0.047</v>
      </c>
      <c r="AA34" s="7" t="n">
        <v>-0.436</v>
      </c>
      <c r="AB34" s="7" t="n">
        <v>-0.536</v>
      </c>
      <c r="AC34" s="7" t="n">
        <v>0.499</v>
      </c>
      <c r="AD34" s="7" t="n">
        <v>-0.074</v>
      </c>
      <c r="AE34" s="7" t="n">
        <v>-0.219</v>
      </c>
      <c r="AF34" s="7" t="n">
        <v>0.164</v>
      </c>
      <c r="AG34" s="7" t="n">
        <v>0</v>
      </c>
      <c r="AH34" s="7" t="n">
        <v>-0.212</v>
      </c>
      <c r="AI34" s="7" t="n">
        <v>-0.289</v>
      </c>
      <c r="AJ34" s="7" t="n">
        <v>-0.033</v>
      </c>
      <c r="AK34" s="7" t="n">
        <v>-0.033</v>
      </c>
      <c r="AL34" s="7" t="n">
        <v>-0.251</v>
      </c>
      <c r="AM34" s="7" t="n">
        <v>0.043</v>
      </c>
      <c r="AN34" s="7" t="n">
        <v>-0.076</v>
      </c>
      <c r="AO34" s="7" t="n">
        <v>-0.24</v>
      </c>
      <c r="AP34" s="7" t="n">
        <v>0.055</v>
      </c>
      <c r="AQ34" s="7" t="n">
        <v>-0.328</v>
      </c>
    </row>
    <row r="35" customFormat="false" ht="15" hidden="false" customHeight="false" outlineLevel="0" collapsed="false">
      <c r="A35" s="23" t="n">
        <v>46352</v>
      </c>
      <c r="B35" s="7" t="n">
        <v>0.603</v>
      </c>
      <c r="C35" s="7" t="n">
        <v>-0.497</v>
      </c>
      <c r="D35" s="7" t="n">
        <v>0.78</v>
      </c>
      <c r="E35" s="7" t="n">
        <v>0.165</v>
      </c>
      <c r="F35" s="7" t="n">
        <v>0.369</v>
      </c>
      <c r="G35" s="7" t="n">
        <v>0.836</v>
      </c>
      <c r="H35" s="7" t="n">
        <v>0.501</v>
      </c>
      <c r="I35" s="7" t="n">
        <v>0.338</v>
      </c>
      <c r="J35" s="7" t="n">
        <v>-0.311</v>
      </c>
      <c r="K35" s="7" t="n">
        <v>0.44</v>
      </c>
      <c r="L35" s="7" t="n">
        <v>-0.121</v>
      </c>
      <c r="M35" s="7" t="n">
        <v>-0.446</v>
      </c>
      <c r="N35" s="7" t="n">
        <v>0.213</v>
      </c>
      <c r="O35" s="7" t="n">
        <v>0.476</v>
      </c>
      <c r="P35" s="7" t="n">
        <v>0.612</v>
      </c>
      <c r="Q35" s="7" t="n">
        <v>-0.02</v>
      </c>
      <c r="R35" s="7" t="n">
        <v>0.515</v>
      </c>
      <c r="S35" s="7" t="n">
        <v>0.137</v>
      </c>
      <c r="T35" s="7" t="n">
        <v>-0.115</v>
      </c>
      <c r="U35" s="7" t="n">
        <v>0.103</v>
      </c>
      <c r="V35" s="7" t="n">
        <v>0.406</v>
      </c>
      <c r="W35" s="7" t="n">
        <v>0</v>
      </c>
      <c r="X35" s="7" t="n">
        <v>0.624</v>
      </c>
      <c r="Y35" s="7" t="n">
        <v>-0.052</v>
      </c>
      <c r="Z35" s="7" t="n">
        <v>0.334</v>
      </c>
      <c r="AA35" s="7" t="n">
        <v>-0.18</v>
      </c>
      <c r="AB35" s="7" t="n">
        <v>-0.225</v>
      </c>
      <c r="AC35" s="7" t="n">
        <v>0</v>
      </c>
      <c r="AD35" s="7" t="n">
        <v>0.613</v>
      </c>
      <c r="AE35" s="7" t="n">
        <v>0.001</v>
      </c>
      <c r="AF35" s="7" t="n">
        <v>0.471</v>
      </c>
      <c r="AG35" s="7" t="n">
        <v>0</v>
      </c>
      <c r="AH35" s="7" t="n">
        <v>-0.324</v>
      </c>
      <c r="AI35" s="7" t="n">
        <v>-0.05</v>
      </c>
      <c r="AJ35" s="7" t="n">
        <v>0.52</v>
      </c>
      <c r="AK35" s="7" t="n">
        <v>-0.173</v>
      </c>
      <c r="AL35" s="7" t="n">
        <v>0.641</v>
      </c>
      <c r="AM35" s="7" t="n">
        <v>-0.05</v>
      </c>
      <c r="AN35" s="7" t="n">
        <v>0.556</v>
      </c>
      <c r="AO35" s="7" t="n">
        <v>-0.33</v>
      </c>
      <c r="AP35" s="7" t="n">
        <v>-0.071</v>
      </c>
      <c r="AQ35" s="7" t="n">
        <v>0</v>
      </c>
    </row>
    <row r="36" customFormat="false" ht="15" hidden="false" customHeight="false" outlineLevel="0" collapsed="false">
      <c r="A36" s="23" t="n">
        <v>46353</v>
      </c>
      <c r="B36" s="7" t="n">
        <v>0.523</v>
      </c>
      <c r="C36" s="7" t="n">
        <v>-0.276</v>
      </c>
      <c r="D36" s="7" t="n">
        <v>0.075</v>
      </c>
      <c r="E36" s="7" t="n">
        <v>0.134</v>
      </c>
      <c r="F36" s="7" t="n">
        <v>0.606</v>
      </c>
      <c r="G36" s="7" t="n">
        <v>-0.056</v>
      </c>
      <c r="H36" s="7" t="n">
        <v>0.433</v>
      </c>
      <c r="I36" s="7" t="n">
        <v>-0.158</v>
      </c>
      <c r="J36" s="7" t="n">
        <v>-0.266</v>
      </c>
      <c r="K36" s="7" t="n">
        <v>0.05</v>
      </c>
      <c r="L36" s="7" t="n">
        <v>0.13</v>
      </c>
      <c r="M36" s="7" t="n">
        <v>-0.012</v>
      </c>
      <c r="N36" s="7" t="n">
        <v>0.461</v>
      </c>
      <c r="O36" s="7" t="n">
        <v>-0.062</v>
      </c>
      <c r="P36" s="7" t="n">
        <v>-0.025</v>
      </c>
      <c r="Q36" s="7" t="n">
        <v>0.031</v>
      </c>
      <c r="R36" s="7" t="n">
        <v>0.425</v>
      </c>
      <c r="S36" s="7" t="n">
        <v>0.102</v>
      </c>
      <c r="T36" s="7" t="n">
        <v>-0.117</v>
      </c>
      <c r="U36" s="7" t="n">
        <v>0.71</v>
      </c>
      <c r="V36" s="7" t="n">
        <v>0.4</v>
      </c>
      <c r="W36" s="7" t="n">
        <v>0</v>
      </c>
      <c r="X36" s="7" t="n">
        <v>-0.056</v>
      </c>
      <c r="Y36" s="7" t="n">
        <v>0.468</v>
      </c>
      <c r="Z36" s="7" t="n">
        <v>0.125</v>
      </c>
      <c r="AA36" s="7" t="n">
        <v>0.361</v>
      </c>
      <c r="AB36" s="7" t="n">
        <v>-0.178</v>
      </c>
      <c r="AC36" s="7" t="n">
        <v>0.052</v>
      </c>
      <c r="AD36" s="7" t="n">
        <v>0.637</v>
      </c>
      <c r="AE36" s="7" t="n">
        <v>0.207</v>
      </c>
      <c r="AF36" s="7" t="n">
        <v>0.52</v>
      </c>
      <c r="AG36" s="7" t="n">
        <v>0</v>
      </c>
      <c r="AH36" s="7" t="n">
        <v>-0.256</v>
      </c>
      <c r="AI36" s="7" t="n">
        <v>0.052</v>
      </c>
      <c r="AJ36" s="7" t="n">
        <v>-0.063</v>
      </c>
      <c r="AK36" s="7" t="n">
        <v>-0.137</v>
      </c>
      <c r="AL36" s="7" t="n">
        <v>0.137</v>
      </c>
      <c r="AM36" s="7" t="n">
        <v>0</v>
      </c>
      <c r="AN36" s="7" t="n">
        <v>0.4</v>
      </c>
      <c r="AO36" s="7" t="n">
        <v>-0.191</v>
      </c>
      <c r="AP36" s="7" t="n">
        <v>0.078</v>
      </c>
      <c r="AQ36" s="7" t="n">
        <v>0.052</v>
      </c>
    </row>
    <row r="37" customFormat="false" ht="15" hidden="false" customHeight="false" outlineLevel="0" collapsed="false">
      <c r="A37" s="23" t="n">
        <v>46354</v>
      </c>
      <c r="B37" s="7" t="n">
        <v>0.593</v>
      </c>
      <c r="C37" s="7" t="n">
        <v>0.519</v>
      </c>
      <c r="D37" s="7" t="n">
        <v>0.049</v>
      </c>
      <c r="E37" s="7" t="n">
        <v>0.111</v>
      </c>
      <c r="F37" s="7" t="n">
        <v>0.928</v>
      </c>
      <c r="G37" s="7" t="n">
        <v>-0.082</v>
      </c>
      <c r="H37" s="7" t="n">
        <v>0.041</v>
      </c>
      <c r="I37" s="7" t="n">
        <v>-0.256</v>
      </c>
      <c r="J37" s="7" t="n">
        <v>0.773</v>
      </c>
      <c r="K37" s="7" t="n">
        <v>0.02</v>
      </c>
      <c r="L37" s="7" t="n">
        <v>-0.123</v>
      </c>
      <c r="M37" s="7" t="n">
        <v>0.845</v>
      </c>
      <c r="N37" s="7" t="n">
        <v>0.848</v>
      </c>
      <c r="O37" s="7" t="n">
        <v>0.887</v>
      </c>
      <c r="P37" s="7" t="n">
        <v>-0.157</v>
      </c>
      <c r="Q37" s="7" t="n">
        <v>0.06</v>
      </c>
      <c r="R37" s="7" t="n">
        <v>0.041</v>
      </c>
      <c r="S37" s="7" t="n">
        <v>0.02</v>
      </c>
      <c r="T37" s="7" t="n">
        <v>-0.087</v>
      </c>
      <c r="U37" s="7" t="n">
        <v>0.118</v>
      </c>
      <c r="V37" s="7" t="n">
        <v>-0.028</v>
      </c>
      <c r="W37" s="7" t="n">
        <v>0</v>
      </c>
      <c r="X37" s="7" t="n">
        <v>-0.215</v>
      </c>
      <c r="Y37" s="7" t="n">
        <v>0.048</v>
      </c>
      <c r="Z37" s="7" t="n">
        <v>0.02</v>
      </c>
      <c r="AA37" s="7" t="n">
        <v>-0.008</v>
      </c>
      <c r="AB37" s="7" t="n">
        <v>0.711</v>
      </c>
      <c r="AC37" s="7" t="n">
        <v>0.051</v>
      </c>
      <c r="AD37" s="7" t="n">
        <v>0.014</v>
      </c>
      <c r="AE37" s="7" t="n">
        <v>0.836</v>
      </c>
      <c r="AF37" s="7" t="n">
        <v>0.142</v>
      </c>
      <c r="AG37" s="7" t="n">
        <v>0</v>
      </c>
      <c r="AH37" s="7" t="n">
        <v>0.635</v>
      </c>
      <c r="AI37" s="7" t="n">
        <v>-0.143</v>
      </c>
      <c r="AJ37" s="7" t="n">
        <v>-0.153</v>
      </c>
      <c r="AK37" s="7" t="n">
        <v>-0.201</v>
      </c>
      <c r="AL37" s="7" t="n">
        <v>0.771</v>
      </c>
      <c r="AM37" s="7" t="n">
        <v>-0.192</v>
      </c>
      <c r="AN37" s="7" t="n">
        <v>0.041</v>
      </c>
      <c r="AO37" s="7" t="n">
        <v>0.651</v>
      </c>
      <c r="AP37" s="7" t="n">
        <v>0.02</v>
      </c>
      <c r="AQ37" s="7" t="n">
        <v>0.051</v>
      </c>
    </row>
    <row r="38" customFormat="false" ht="15" hidden="false" customHeight="false" outlineLevel="0" collapsed="false">
      <c r="A38" s="23" t="n">
        <v>46355</v>
      </c>
      <c r="B38" s="7" t="n">
        <v>0.662</v>
      </c>
      <c r="C38" s="7" t="n">
        <v>0.266</v>
      </c>
      <c r="D38" s="7" t="n">
        <v>0.074</v>
      </c>
      <c r="E38" s="7" t="n">
        <v>0.709</v>
      </c>
      <c r="F38" s="7" t="n">
        <v>0.912</v>
      </c>
      <c r="G38" s="7" t="n">
        <v>-0.057</v>
      </c>
      <c r="H38" s="7" t="n">
        <v>0.045</v>
      </c>
      <c r="I38" s="7" t="n">
        <v>-0.476</v>
      </c>
      <c r="J38" s="7" t="n">
        <v>-0.109</v>
      </c>
      <c r="K38" s="7" t="n">
        <v>0.777</v>
      </c>
      <c r="L38" s="7" t="n">
        <v>0.425</v>
      </c>
      <c r="M38" s="7" t="n">
        <v>0.039</v>
      </c>
      <c r="N38" s="7" t="n">
        <v>0.796</v>
      </c>
      <c r="O38" s="7" t="n">
        <v>0.443</v>
      </c>
      <c r="P38" s="7" t="n">
        <v>-0.202</v>
      </c>
      <c r="Q38" s="7" t="n">
        <v>0.038</v>
      </c>
      <c r="R38" s="7" t="n">
        <v>0.045</v>
      </c>
      <c r="S38" s="7" t="n">
        <v>0.532</v>
      </c>
      <c r="T38" s="7" t="n">
        <v>-0.087</v>
      </c>
      <c r="U38" s="7" t="n">
        <v>0.375</v>
      </c>
      <c r="V38" s="7" t="n">
        <v>-0.194</v>
      </c>
      <c r="W38" s="7" t="n">
        <v>0</v>
      </c>
      <c r="X38" s="7" t="n">
        <v>-0.238</v>
      </c>
      <c r="Y38" s="7" t="n">
        <v>0.053</v>
      </c>
      <c r="Z38" s="7" t="n">
        <v>0.777</v>
      </c>
      <c r="AA38" s="7" t="n">
        <v>-0.029</v>
      </c>
      <c r="AB38" s="7" t="n">
        <v>-0.257</v>
      </c>
      <c r="AC38" s="7" t="n">
        <v>0.029</v>
      </c>
      <c r="AD38" s="7" t="n">
        <v>0.603</v>
      </c>
      <c r="AE38" s="7" t="n">
        <v>0.777</v>
      </c>
      <c r="AF38" s="7" t="n">
        <v>0.603</v>
      </c>
      <c r="AG38" s="7" t="n">
        <v>0</v>
      </c>
      <c r="AH38" s="7" t="n">
        <v>-0.112</v>
      </c>
      <c r="AI38" s="7" t="n">
        <v>-0.191</v>
      </c>
      <c r="AJ38" s="7" t="n">
        <v>-0.176</v>
      </c>
      <c r="AK38" s="7" t="n">
        <v>-0.246</v>
      </c>
      <c r="AL38" s="7" t="n">
        <v>0.155</v>
      </c>
      <c r="AM38" s="7" t="n">
        <v>-0.219</v>
      </c>
      <c r="AN38" s="7" t="n">
        <v>0.045</v>
      </c>
      <c r="AO38" s="7" t="n">
        <v>0.51</v>
      </c>
      <c r="AP38" s="7" t="n">
        <v>0.57</v>
      </c>
      <c r="AQ38" s="7" t="n">
        <v>0.029</v>
      </c>
    </row>
    <row r="39" customFormat="false" ht="15" hidden="false" customHeight="false" outlineLevel="0" collapsed="false">
      <c r="A39" s="23" t="n">
        <v>46356</v>
      </c>
      <c r="B39" s="7" t="n">
        <v>0.361</v>
      </c>
      <c r="C39" s="7" t="n">
        <v>-0.234</v>
      </c>
      <c r="D39" s="7" t="n">
        <v>0.582</v>
      </c>
      <c r="E39" s="7" t="n">
        <v>0.138</v>
      </c>
      <c r="F39" s="7" t="n">
        <v>0.332</v>
      </c>
      <c r="G39" s="7" t="n">
        <v>-0.035</v>
      </c>
      <c r="H39" s="7" t="n">
        <v>-0.041</v>
      </c>
      <c r="I39" s="7" t="n">
        <v>0.209</v>
      </c>
      <c r="J39" s="7" t="n">
        <v>-0.015</v>
      </c>
      <c r="K39" s="7" t="n">
        <v>0.049</v>
      </c>
      <c r="L39" s="7" t="n">
        <v>0.175</v>
      </c>
      <c r="M39" s="7" t="n">
        <v>0.045</v>
      </c>
      <c r="N39" s="7" t="n">
        <v>0.056</v>
      </c>
      <c r="O39" s="7" t="n">
        <v>0.008</v>
      </c>
      <c r="P39" s="7" t="n">
        <v>-0.049</v>
      </c>
      <c r="Q39" s="7" t="n">
        <v>0.024</v>
      </c>
      <c r="R39" s="7" t="n">
        <v>0.097</v>
      </c>
      <c r="S39" s="7" t="n">
        <v>0.235</v>
      </c>
      <c r="T39" s="7" t="n">
        <v>-0.501</v>
      </c>
      <c r="U39" s="7" t="n">
        <v>0.754</v>
      </c>
      <c r="V39" s="7" t="n">
        <v>-0.041</v>
      </c>
      <c r="W39" s="7" t="n">
        <v>0</v>
      </c>
      <c r="X39" s="7" t="n">
        <v>-0.073</v>
      </c>
      <c r="Y39" s="7" t="n">
        <v>0.527</v>
      </c>
      <c r="Z39" s="7" t="n">
        <v>0.049</v>
      </c>
      <c r="AA39" s="7" t="n">
        <v>0.001</v>
      </c>
      <c r="AB39" s="7" t="n">
        <v>0.075</v>
      </c>
      <c r="AC39" s="7" t="n">
        <v>0.049</v>
      </c>
      <c r="AD39" s="7" t="n">
        <v>0.04</v>
      </c>
      <c r="AE39" s="7" t="n">
        <v>-0.127</v>
      </c>
      <c r="AF39" s="7" t="n">
        <v>0.138</v>
      </c>
      <c r="AG39" s="7" t="n">
        <v>0</v>
      </c>
      <c r="AH39" s="7" t="n">
        <v>0.381</v>
      </c>
      <c r="AI39" s="7" t="n">
        <v>0.127</v>
      </c>
      <c r="AJ39" s="7" t="n">
        <v>0.038</v>
      </c>
      <c r="AK39" s="7" t="n">
        <v>-0.058</v>
      </c>
      <c r="AL39" s="7" t="n">
        <v>0.632</v>
      </c>
      <c r="AM39" s="7" t="n">
        <v>0.079</v>
      </c>
      <c r="AN39" s="7" t="n">
        <v>-0.041</v>
      </c>
      <c r="AO39" s="7" t="n">
        <v>0.504</v>
      </c>
      <c r="AP39" s="7" t="n">
        <v>0.049</v>
      </c>
      <c r="AQ39" s="7" t="n">
        <v>0.049</v>
      </c>
    </row>
    <row r="40" customFormat="false" ht="15" hidden="false" customHeight="false" outlineLevel="0" collapsed="false">
      <c r="A40" s="23" t="n">
        <v>46357</v>
      </c>
      <c r="B40" s="7" t="n">
        <v>0.701</v>
      </c>
      <c r="C40" s="7" t="n">
        <v>0.386</v>
      </c>
      <c r="D40" s="7" t="n">
        <v>0.096</v>
      </c>
      <c r="E40" s="7" t="n">
        <v>0.145</v>
      </c>
      <c r="F40" s="7" t="n">
        <v>0.936</v>
      </c>
      <c r="G40" s="7" t="n">
        <v>-0.035</v>
      </c>
      <c r="H40" s="7" t="n">
        <v>-0.096</v>
      </c>
      <c r="I40" s="7" t="n">
        <v>-0.033</v>
      </c>
      <c r="J40" s="7" t="n">
        <v>-0.14</v>
      </c>
      <c r="K40" s="7" t="n">
        <v>0.048</v>
      </c>
      <c r="L40" s="7" t="n">
        <v>0.91</v>
      </c>
      <c r="M40" s="7" t="n">
        <v>-0.058</v>
      </c>
      <c r="N40" s="7" t="n">
        <v>0.89</v>
      </c>
      <c r="O40" s="7" t="n">
        <v>0.913</v>
      </c>
      <c r="P40" s="7" t="n">
        <v>0.566</v>
      </c>
      <c r="Q40" s="7" t="n">
        <v>0.883</v>
      </c>
      <c r="R40" s="7" t="n">
        <v>-0.096</v>
      </c>
      <c r="S40" s="7" t="n">
        <v>0.048</v>
      </c>
      <c r="T40" s="7" t="n">
        <v>-0.122</v>
      </c>
      <c r="U40" s="7" t="n">
        <v>0.925</v>
      </c>
      <c r="V40" s="7" t="n">
        <v>-0.096</v>
      </c>
      <c r="W40" s="7" t="n">
        <v>0.613</v>
      </c>
      <c r="X40" s="7" t="n">
        <v>-0.035</v>
      </c>
      <c r="Y40" s="7" t="n">
        <v>0.528</v>
      </c>
      <c r="Z40" s="7" t="n">
        <v>0.048</v>
      </c>
      <c r="AA40" s="7" t="n">
        <v>-0.19</v>
      </c>
      <c r="AB40" s="7" t="n">
        <v>-0.042</v>
      </c>
      <c r="AC40" s="7" t="n">
        <v>0.889</v>
      </c>
      <c r="AD40" s="7" t="n">
        <v>0.143</v>
      </c>
      <c r="AE40" s="7" t="n">
        <v>0.811</v>
      </c>
      <c r="AF40" s="7" t="n">
        <v>0.873</v>
      </c>
      <c r="AG40" s="7" t="n">
        <v>0</v>
      </c>
      <c r="AH40" s="7" t="n">
        <v>0.377</v>
      </c>
      <c r="AI40" s="7" t="n">
        <v>0.644</v>
      </c>
      <c r="AJ40" s="7" t="n">
        <v>-0.033</v>
      </c>
      <c r="AK40" s="7" t="n">
        <v>-0.128</v>
      </c>
      <c r="AL40" s="7" t="n">
        <v>0.885</v>
      </c>
      <c r="AM40" s="7" t="n">
        <v>0.063</v>
      </c>
      <c r="AN40" s="7" t="n">
        <v>-0.096</v>
      </c>
      <c r="AO40" s="7" t="n">
        <v>0.417</v>
      </c>
      <c r="AP40" s="7" t="n">
        <v>0.048</v>
      </c>
      <c r="AQ40" s="7" t="n">
        <v>0.606</v>
      </c>
    </row>
    <row r="41" customFormat="false" ht="15" hidden="false" customHeight="false" outlineLevel="0" collapsed="false">
      <c r="A41" s="23" t="n">
        <v>46358</v>
      </c>
      <c r="B41" s="7" t="n">
        <v>0.243</v>
      </c>
      <c r="C41" s="7" t="n">
        <v>-0.28</v>
      </c>
      <c r="D41" s="7" t="n">
        <v>0.096</v>
      </c>
      <c r="E41" s="7" t="n">
        <v>0.144</v>
      </c>
      <c r="F41" s="7" t="n">
        <v>0.311</v>
      </c>
      <c r="G41" s="7" t="n">
        <v>-0.035</v>
      </c>
      <c r="H41" s="7" t="n">
        <v>-0.08</v>
      </c>
      <c r="I41" s="7" t="n">
        <v>-0.056</v>
      </c>
      <c r="J41" s="7" t="n">
        <v>-0.177</v>
      </c>
      <c r="K41" s="7" t="n">
        <v>0.046</v>
      </c>
      <c r="L41" s="7" t="n">
        <v>0.117</v>
      </c>
      <c r="M41" s="7" t="n">
        <v>-0.059</v>
      </c>
      <c r="N41" s="7" t="n">
        <v>0.046</v>
      </c>
      <c r="O41" s="7" t="n">
        <v>0.309</v>
      </c>
      <c r="P41" s="7" t="n">
        <v>-0.016</v>
      </c>
      <c r="Q41" s="7" t="n">
        <v>0.019</v>
      </c>
      <c r="R41" s="7" t="n">
        <v>-0.08</v>
      </c>
      <c r="S41" s="7" t="n">
        <v>0.046</v>
      </c>
      <c r="T41" s="7" t="n">
        <v>-0.095</v>
      </c>
      <c r="U41" s="7" t="n">
        <v>0.856</v>
      </c>
      <c r="V41" s="7" t="n">
        <v>-0.08</v>
      </c>
      <c r="W41" s="7" t="n">
        <v>0</v>
      </c>
      <c r="X41" s="7" t="n">
        <v>-0.035</v>
      </c>
      <c r="Y41" s="7" t="n">
        <v>0.722</v>
      </c>
      <c r="Z41" s="7" t="n">
        <v>0.046</v>
      </c>
      <c r="AA41" s="7" t="n">
        <v>-0.175</v>
      </c>
      <c r="AB41" s="7" t="n">
        <v>-0.081</v>
      </c>
      <c r="AC41" s="7" t="n">
        <v>0.046</v>
      </c>
      <c r="AD41" s="7" t="n">
        <v>0.141</v>
      </c>
      <c r="AE41" s="7" t="n">
        <v>-0.238</v>
      </c>
      <c r="AF41" s="7" t="n">
        <v>0.144</v>
      </c>
      <c r="AG41" s="7" t="n">
        <v>0.309</v>
      </c>
      <c r="AH41" s="7" t="n">
        <v>0.617</v>
      </c>
      <c r="AI41" s="7" t="n">
        <v>0.071</v>
      </c>
      <c r="AJ41" s="7" t="n">
        <v>-0.056</v>
      </c>
      <c r="AK41" s="7" t="n">
        <v>-0.151</v>
      </c>
      <c r="AL41" s="7" t="n">
        <v>0.788</v>
      </c>
      <c r="AM41" s="7" t="n">
        <v>0.025</v>
      </c>
      <c r="AN41" s="7" t="n">
        <v>-0.08</v>
      </c>
      <c r="AO41" s="7" t="n">
        <v>0.642</v>
      </c>
      <c r="AP41" s="7" t="n">
        <v>0.046</v>
      </c>
      <c r="AQ41" s="7" t="n">
        <v>0.046</v>
      </c>
    </row>
    <row r="42" customFormat="false" ht="15" hidden="false" customHeight="false" outlineLevel="0" collapsed="false">
      <c r="A42" s="23" t="n">
        <v>46359</v>
      </c>
      <c r="B42" s="7" t="n">
        <v>-0.171</v>
      </c>
      <c r="C42" s="7" t="n">
        <v>-0.94</v>
      </c>
      <c r="D42" s="7" t="n">
        <v>0.039</v>
      </c>
      <c r="E42" s="7" t="n">
        <v>0.005</v>
      </c>
      <c r="F42" s="7" t="n">
        <v>0.23</v>
      </c>
      <c r="G42" s="7" t="n">
        <v>-0.397</v>
      </c>
      <c r="H42" s="7" t="n">
        <v>0.03</v>
      </c>
      <c r="I42" s="7" t="n">
        <v>-0.892</v>
      </c>
      <c r="J42" s="7" t="n">
        <v>-0.351</v>
      </c>
      <c r="K42" s="7" t="n">
        <v>-0.005</v>
      </c>
      <c r="L42" s="7" t="n">
        <v>-0.871</v>
      </c>
      <c r="M42" s="7" t="n">
        <v>-0.123</v>
      </c>
      <c r="N42" s="7" t="n">
        <v>-0.708</v>
      </c>
      <c r="O42" s="7" t="n">
        <v>-0.78</v>
      </c>
      <c r="P42" s="7" t="n">
        <v>-0.018</v>
      </c>
      <c r="Q42" s="7" t="n">
        <v>0.074</v>
      </c>
      <c r="R42" s="7" t="n">
        <v>0.03</v>
      </c>
      <c r="S42" s="7" t="n">
        <v>-0.127</v>
      </c>
      <c r="T42" s="7" t="n">
        <v>-0.021</v>
      </c>
      <c r="U42" s="7" t="n">
        <v>-0.048</v>
      </c>
      <c r="V42" s="7" t="n">
        <v>-0.211</v>
      </c>
      <c r="W42" s="7" t="n">
        <v>0</v>
      </c>
      <c r="X42" s="7" t="n">
        <v>-0.092</v>
      </c>
      <c r="Y42" s="7" t="n">
        <v>-0.313</v>
      </c>
      <c r="Z42" s="7" t="n">
        <v>-0.129</v>
      </c>
      <c r="AA42" s="7" t="n">
        <v>-0.008</v>
      </c>
      <c r="AB42" s="7" t="n">
        <v>-0.847</v>
      </c>
      <c r="AC42" s="7" t="n">
        <v>0</v>
      </c>
      <c r="AD42" s="7" t="n">
        <v>0.044</v>
      </c>
      <c r="AE42" s="7" t="n">
        <v>-0.055</v>
      </c>
      <c r="AF42" s="7" t="n">
        <v>0.235</v>
      </c>
      <c r="AG42" s="7" t="n">
        <v>0</v>
      </c>
      <c r="AH42" s="7" t="n">
        <v>-0.082</v>
      </c>
      <c r="AI42" s="7" t="n">
        <v>-0.838</v>
      </c>
      <c r="AJ42" s="7" t="n">
        <v>-0.828</v>
      </c>
      <c r="AK42" s="7" t="n">
        <v>-0.84</v>
      </c>
      <c r="AL42" s="7" t="n">
        <v>0.043</v>
      </c>
      <c r="AM42" s="7" t="n">
        <v>-0.838</v>
      </c>
      <c r="AN42" s="7" t="n">
        <v>0.03</v>
      </c>
      <c r="AO42" s="7" t="n">
        <v>-0.209</v>
      </c>
      <c r="AP42" s="7" t="n">
        <v>-0.124</v>
      </c>
      <c r="AQ42" s="7" t="n">
        <v>0</v>
      </c>
    </row>
    <row r="43" customFormat="false" ht="15" hidden="false" customHeight="false" outlineLevel="0" collapsed="false">
      <c r="A43" s="23" t="n">
        <v>46360</v>
      </c>
      <c r="B43" s="7" t="n">
        <v>0.399</v>
      </c>
      <c r="C43" s="7" t="n">
        <v>-0.569</v>
      </c>
      <c r="D43" s="7" t="n">
        <v>0.717</v>
      </c>
      <c r="E43" s="7" t="n">
        <v>0.213</v>
      </c>
      <c r="F43" s="7" t="n">
        <v>0.168</v>
      </c>
      <c r="G43" s="7" t="n">
        <v>0.688</v>
      </c>
      <c r="H43" s="7" t="n">
        <v>0.41</v>
      </c>
      <c r="I43" s="7" t="n">
        <v>0.417</v>
      </c>
      <c r="J43" s="7" t="n">
        <v>-0.156</v>
      </c>
      <c r="K43" s="7" t="n">
        <v>-0.01</v>
      </c>
      <c r="L43" s="7" t="n">
        <v>-0.192</v>
      </c>
      <c r="M43" s="7" t="n">
        <v>-0.124</v>
      </c>
      <c r="N43" s="7" t="n">
        <v>0.168</v>
      </c>
      <c r="O43" s="7" t="n">
        <v>0.597</v>
      </c>
      <c r="P43" s="7" t="n">
        <v>0.641</v>
      </c>
      <c r="Q43" s="7" t="n">
        <v>0.074</v>
      </c>
      <c r="R43" s="7" t="n">
        <v>0.422</v>
      </c>
      <c r="S43" s="7" t="n">
        <v>-0.246</v>
      </c>
      <c r="T43" s="7" t="n">
        <v>-0.022</v>
      </c>
      <c r="U43" s="7" t="n">
        <v>-0.143</v>
      </c>
      <c r="V43" s="7" t="n">
        <v>0.473</v>
      </c>
      <c r="W43" s="7" t="n">
        <v>0</v>
      </c>
      <c r="X43" s="7" t="n">
        <v>0.595</v>
      </c>
      <c r="Y43" s="7" t="n">
        <v>-0.309</v>
      </c>
      <c r="Z43" s="7" t="n">
        <v>-0.134</v>
      </c>
      <c r="AA43" s="7" t="n">
        <v>-0.286</v>
      </c>
      <c r="AB43" s="7" t="n">
        <v>-0.069</v>
      </c>
      <c r="AC43" s="7" t="n">
        <v>0</v>
      </c>
      <c r="AD43" s="7" t="n">
        <v>0.611</v>
      </c>
      <c r="AE43" s="7" t="n">
        <v>-0.065</v>
      </c>
      <c r="AF43" s="7" t="n">
        <v>0.222</v>
      </c>
      <c r="AG43" s="7" t="n">
        <v>0</v>
      </c>
      <c r="AH43" s="7" t="n">
        <v>-0.132</v>
      </c>
      <c r="AI43" s="7" t="n">
        <v>-0.069</v>
      </c>
      <c r="AJ43" s="7" t="n">
        <v>0.582</v>
      </c>
      <c r="AK43" s="7" t="n">
        <v>-0.078</v>
      </c>
      <c r="AL43" s="7" t="n">
        <v>0.636</v>
      </c>
      <c r="AM43" s="7" t="n">
        <v>-0.069</v>
      </c>
      <c r="AN43" s="7" t="n">
        <v>0.626</v>
      </c>
      <c r="AO43" s="7" t="n">
        <v>-0.21</v>
      </c>
      <c r="AP43" s="7" t="n">
        <v>-0.124</v>
      </c>
      <c r="AQ43" s="7" t="n">
        <v>0</v>
      </c>
    </row>
    <row r="44" customFormat="false" ht="15" hidden="false" customHeight="false" outlineLevel="0" collapsed="false">
      <c r="A44" s="23" t="n">
        <v>46361</v>
      </c>
      <c r="B44" s="7" t="n">
        <v>-0.405</v>
      </c>
      <c r="C44" s="7" t="n">
        <v>-0.746</v>
      </c>
      <c r="D44" s="7" t="n">
        <v>0.052</v>
      </c>
      <c r="E44" s="7" t="n">
        <v>0.088</v>
      </c>
      <c r="F44" s="7" t="n">
        <v>-0.404</v>
      </c>
      <c r="G44" s="7" t="n">
        <v>-0.079</v>
      </c>
      <c r="H44" s="7" t="n">
        <v>-0.426</v>
      </c>
      <c r="I44" s="7" t="n">
        <v>-0.337</v>
      </c>
      <c r="J44" s="7" t="n">
        <v>-0.159</v>
      </c>
      <c r="K44" s="7" t="n">
        <v>0</v>
      </c>
      <c r="L44" s="7" t="n">
        <v>-0.536</v>
      </c>
      <c r="M44" s="7" t="n">
        <v>-0.035</v>
      </c>
      <c r="N44" s="7" t="n">
        <v>-0.162</v>
      </c>
      <c r="O44" s="7" t="n">
        <v>-0.125</v>
      </c>
      <c r="P44" s="7" t="n">
        <v>-0.258</v>
      </c>
      <c r="Q44" s="7" t="n">
        <v>-0.451</v>
      </c>
      <c r="R44" s="7" t="n">
        <v>-0.456</v>
      </c>
      <c r="S44" s="7" t="n">
        <v>0</v>
      </c>
      <c r="T44" s="7" t="n">
        <v>-0.022</v>
      </c>
      <c r="U44" s="7" t="n">
        <v>-0.534</v>
      </c>
      <c r="V44" s="7" t="n">
        <v>-0.431</v>
      </c>
      <c r="W44" s="7" t="n">
        <v>-0.447</v>
      </c>
      <c r="X44" s="7" t="n">
        <v>-0.133</v>
      </c>
      <c r="Y44" s="7" t="n">
        <v>-0.223</v>
      </c>
      <c r="Z44" s="7" t="n">
        <v>0</v>
      </c>
      <c r="AA44" s="7" t="n">
        <v>-0.497</v>
      </c>
      <c r="AB44" s="7" t="n">
        <v>-0.073</v>
      </c>
      <c r="AC44" s="7" t="n">
        <v>-0.508</v>
      </c>
      <c r="AD44" s="7" t="n">
        <v>-0.063</v>
      </c>
      <c r="AE44" s="7" t="n">
        <v>-0.377</v>
      </c>
      <c r="AF44" s="7" t="n">
        <v>-0.293</v>
      </c>
      <c r="AG44" s="7" t="n">
        <v>0</v>
      </c>
      <c r="AH44" s="7" t="n">
        <v>-0.167</v>
      </c>
      <c r="AI44" s="7" t="n">
        <v>-0.238</v>
      </c>
      <c r="AJ44" s="7" t="n">
        <v>-0.156</v>
      </c>
      <c r="AK44" s="7" t="n">
        <v>-0.206</v>
      </c>
      <c r="AL44" s="7" t="n">
        <v>-0.141</v>
      </c>
      <c r="AM44" s="7" t="n">
        <v>-0.038</v>
      </c>
      <c r="AN44" s="7" t="n">
        <v>-0.329</v>
      </c>
      <c r="AO44" s="7" t="n">
        <v>-0.122</v>
      </c>
      <c r="AP44" s="7" t="n">
        <v>0</v>
      </c>
      <c r="AQ44" s="7" t="n">
        <v>-0.201</v>
      </c>
    </row>
    <row r="45" customFormat="false" ht="15" hidden="false" customHeight="false" outlineLevel="0" collapsed="false">
      <c r="A45" s="23" t="n">
        <v>46362</v>
      </c>
      <c r="B45" s="7" t="n">
        <v>-0.023</v>
      </c>
      <c r="C45" s="7" t="n">
        <v>-0.624</v>
      </c>
      <c r="D45" s="7" t="n">
        <v>0.071</v>
      </c>
      <c r="E45" s="7" t="n">
        <v>0.087</v>
      </c>
      <c r="F45" s="7" t="n">
        <v>-0.132</v>
      </c>
      <c r="G45" s="7" t="n">
        <v>-0.06</v>
      </c>
      <c r="H45" s="7" t="n">
        <v>0.199</v>
      </c>
      <c r="I45" s="7" t="n">
        <v>-0.176</v>
      </c>
      <c r="J45" s="7" t="n">
        <v>-0.088</v>
      </c>
      <c r="K45" s="7" t="n">
        <v>0</v>
      </c>
      <c r="L45" s="7" t="n">
        <v>-0.372</v>
      </c>
      <c r="M45" s="7" t="n">
        <v>-0.001</v>
      </c>
      <c r="N45" s="7" t="n">
        <v>0.029</v>
      </c>
      <c r="O45" s="7" t="n">
        <v>0.085</v>
      </c>
      <c r="P45" s="7" t="n">
        <v>-0.176</v>
      </c>
      <c r="Q45" s="7" t="n">
        <v>-0.306</v>
      </c>
      <c r="R45" s="7" t="n">
        <v>0.133</v>
      </c>
      <c r="S45" s="7" t="n">
        <v>0</v>
      </c>
      <c r="T45" s="7" t="n">
        <v>-0.022</v>
      </c>
      <c r="U45" s="7" t="n">
        <v>0.079</v>
      </c>
      <c r="V45" s="7" t="n">
        <v>0.218</v>
      </c>
      <c r="W45" s="7" t="n">
        <v>-0.344</v>
      </c>
      <c r="X45" s="7" t="n">
        <v>-0.12</v>
      </c>
      <c r="Y45" s="7" t="n">
        <v>0.328</v>
      </c>
      <c r="Z45" s="7" t="n">
        <v>0</v>
      </c>
      <c r="AA45" s="7" t="n">
        <v>0.063</v>
      </c>
      <c r="AB45" s="7" t="n">
        <v>-0.001</v>
      </c>
      <c r="AC45" s="7" t="n">
        <v>-0.372</v>
      </c>
      <c r="AD45" s="7" t="n">
        <v>0.55</v>
      </c>
      <c r="AE45" s="7" t="n">
        <v>-0.254</v>
      </c>
      <c r="AF45" s="7" t="n">
        <v>-0.182</v>
      </c>
      <c r="AG45" s="7" t="n">
        <v>0</v>
      </c>
      <c r="AH45" s="7" t="n">
        <v>-0.077</v>
      </c>
      <c r="AI45" s="7" t="n">
        <v>-0.131</v>
      </c>
      <c r="AJ45" s="7" t="n">
        <v>-0.067</v>
      </c>
      <c r="AK45" s="7" t="n">
        <v>-0.137</v>
      </c>
      <c r="AL45" s="7" t="n">
        <v>-0.049</v>
      </c>
      <c r="AM45" s="7" t="n">
        <v>0</v>
      </c>
      <c r="AN45" s="7" t="n">
        <v>0.215</v>
      </c>
      <c r="AO45" s="7" t="n">
        <v>-0.088</v>
      </c>
      <c r="AP45" s="7" t="n">
        <v>0</v>
      </c>
      <c r="AQ45" s="7" t="n">
        <v>-0.131</v>
      </c>
    </row>
    <row r="46" customFormat="false" ht="15" hidden="false" customHeight="false" outlineLevel="0" collapsed="false">
      <c r="A46" s="23" t="n">
        <v>46363</v>
      </c>
      <c r="B46" s="7" t="n">
        <v>0.71</v>
      </c>
      <c r="C46" s="7" t="n">
        <v>0.768</v>
      </c>
      <c r="D46" s="7" t="n">
        <v>0.272</v>
      </c>
      <c r="E46" s="7" t="n">
        <v>0.058</v>
      </c>
      <c r="F46" s="7" t="n">
        <v>0.856</v>
      </c>
      <c r="G46" s="7" t="n">
        <v>0.522</v>
      </c>
      <c r="H46" s="7" t="n">
        <v>0.211</v>
      </c>
      <c r="I46" s="7" t="n">
        <v>0.384</v>
      </c>
      <c r="J46" s="7" t="n">
        <v>0.958</v>
      </c>
      <c r="K46" s="7" t="n">
        <v>-0.076</v>
      </c>
      <c r="L46" s="7" t="n">
        <v>-0.022</v>
      </c>
      <c r="M46" s="7" t="n">
        <v>0.921</v>
      </c>
      <c r="N46" s="7" t="n">
        <v>0.856</v>
      </c>
      <c r="O46" s="7" t="n">
        <v>0.92</v>
      </c>
      <c r="P46" s="7" t="n">
        <v>0.209</v>
      </c>
      <c r="Q46" s="7" t="n">
        <v>0.135</v>
      </c>
      <c r="R46" s="7" t="n">
        <v>0.135</v>
      </c>
      <c r="S46" s="7" t="n">
        <v>-0.37</v>
      </c>
      <c r="T46" s="7" t="n">
        <v>-0.317</v>
      </c>
      <c r="U46" s="7" t="n">
        <v>0.02</v>
      </c>
      <c r="V46" s="7" t="n">
        <v>0.352</v>
      </c>
      <c r="W46" s="7" t="n">
        <v>0</v>
      </c>
      <c r="X46" s="7" t="n">
        <v>0.076</v>
      </c>
      <c r="Y46" s="7" t="n">
        <v>0.202</v>
      </c>
      <c r="Z46" s="7" t="n">
        <v>-0.076</v>
      </c>
      <c r="AA46" s="7" t="n">
        <v>-0.025</v>
      </c>
      <c r="AB46" s="7" t="n">
        <v>0.952</v>
      </c>
      <c r="AC46" s="7" t="n">
        <v>0</v>
      </c>
      <c r="AD46" s="7" t="n">
        <v>0.084</v>
      </c>
      <c r="AE46" s="7" t="n">
        <v>0.757</v>
      </c>
      <c r="AF46" s="7" t="n">
        <v>0.133</v>
      </c>
      <c r="AG46" s="7" t="n">
        <v>0.09</v>
      </c>
      <c r="AH46" s="7" t="n">
        <v>0.812</v>
      </c>
      <c r="AI46" s="7" t="n">
        <v>0.054</v>
      </c>
      <c r="AJ46" s="7" t="n">
        <v>0.261</v>
      </c>
      <c r="AK46" s="7" t="n">
        <v>0.107</v>
      </c>
      <c r="AL46" s="7" t="n">
        <v>0.881</v>
      </c>
      <c r="AM46" s="7" t="n">
        <v>0.054</v>
      </c>
      <c r="AN46" s="7" t="n">
        <v>0.21</v>
      </c>
      <c r="AO46" s="7" t="n">
        <v>0.745</v>
      </c>
      <c r="AP46" s="7" t="n">
        <v>-0.076</v>
      </c>
      <c r="AQ46" s="7" t="n">
        <v>0</v>
      </c>
    </row>
    <row r="47" customFormat="false" ht="15" hidden="false" customHeight="false" outlineLevel="0" collapsed="false">
      <c r="A47" s="23" t="n">
        <v>46364</v>
      </c>
      <c r="B47" s="7" t="n">
        <v>-0.216</v>
      </c>
      <c r="C47" s="7" t="n">
        <v>-0.934</v>
      </c>
      <c r="D47" s="7" t="n">
        <v>0.254</v>
      </c>
      <c r="E47" s="7" t="n">
        <v>0.058</v>
      </c>
      <c r="F47" s="7" t="n">
        <v>0.017</v>
      </c>
      <c r="G47" s="7" t="n">
        <v>0.516</v>
      </c>
      <c r="H47" s="7" t="n">
        <v>-0.806</v>
      </c>
      <c r="I47" s="7" t="n">
        <v>-0.747</v>
      </c>
      <c r="J47" s="7" t="n">
        <v>-0.054</v>
      </c>
      <c r="K47" s="7" t="n">
        <v>-0.077</v>
      </c>
      <c r="L47" s="7" t="n">
        <v>-0.068</v>
      </c>
      <c r="M47" s="7" t="n">
        <v>-0.006</v>
      </c>
      <c r="N47" s="7" t="n">
        <v>0.017</v>
      </c>
      <c r="O47" s="7" t="n">
        <v>0.094</v>
      </c>
      <c r="P47" s="7" t="n">
        <v>0.1</v>
      </c>
      <c r="Q47" s="7" t="n">
        <v>0.056</v>
      </c>
      <c r="R47" s="7" t="n">
        <v>-0.823</v>
      </c>
      <c r="S47" s="7" t="n">
        <v>-0.368</v>
      </c>
      <c r="T47" s="7" t="n">
        <v>-0.948</v>
      </c>
      <c r="U47" s="7" t="n">
        <v>-0.031</v>
      </c>
      <c r="V47" s="7" t="n">
        <v>-0.737</v>
      </c>
      <c r="W47" s="7" t="n">
        <v>0</v>
      </c>
      <c r="X47" s="7" t="n">
        <v>0.044</v>
      </c>
      <c r="Y47" s="7" t="n">
        <v>0.172</v>
      </c>
      <c r="Z47" s="7" t="n">
        <v>-0.077</v>
      </c>
      <c r="AA47" s="7" t="n">
        <v>-0.867</v>
      </c>
      <c r="AB47" s="7" t="n">
        <v>0.081</v>
      </c>
      <c r="AC47" s="7" t="n">
        <v>0</v>
      </c>
      <c r="AD47" s="7" t="n">
        <v>0.077</v>
      </c>
      <c r="AE47" s="7" t="n">
        <v>-0.265</v>
      </c>
      <c r="AF47" s="7" t="n">
        <v>0.134</v>
      </c>
      <c r="AG47" s="7" t="n">
        <v>0.085</v>
      </c>
      <c r="AH47" s="7" t="n">
        <v>-0.017</v>
      </c>
      <c r="AI47" s="7" t="n">
        <v>0.009</v>
      </c>
      <c r="AJ47" s="7" t="n">
        <v>-0.749</v>
      </c>
      <c r="AK47" s="7" t="n">
        <v>-0.809</v>
      </c>
      <c r="AL47" s="7" t="n">
        <v>0.199</v>
      </c>
      <c r="AM47" s="7" t="n">
        <v>0.009</v>
      </c>
      <c r="AN47" s="7" t="n">
        <v>-0.753</v>
      </c>
      <c r="AO47" s="7" t="n">
        <v>-0.14</v>
      </c>
      <c r="AP47" s="7" t="n">
        <v>-0.077</v>
      </c>
      <c r="AQ47" s="7" t="n">
        <v>0</v>
      </c>
    </row>
    <row r="48" customFormat="false" ht="15" hidden="false" customHeight="false" outlineLevel="0" collapsed="false">
      <c r="A48" s="23" t="n">
        <v>46365</v>
      </c>
      <c r="B48" s="7" t="n">
        <v>-0.154</v>
      </c>
      <c r="C48" s="7" t="n">
        <v>-0.736</v>
      </c>
      <c r="D48" s="7" t="n">
        <v>0.14</v>
      </c>
      <c r="E48" s="7" t="n">
        <v>-0.412</v>
      </c>
      <c r="F48" s="7" t="n">
        <v>-0.165</v>
      </c>
      <c r="G48" s="7" t="n">
        <v>0.581</v>
      </c>
      <c r="H48" s="7" t="n">
        <v>0.19</v>
      </c>
      <c r="I48" s="7" t="n">
        <v>0.294</v>
      </c>
      <c r="J48" s="7" t="n">
        <v>-0.018</v>
      </c>
      <c r="K48" s="7" t="n">
        <v>-0.621</v>
      </c>
      <c r="L48" s="7" t="n">
        <v>-0.499</v>
      </c>
      <c r="M48" s="7" t="n">
        <v>0.009</v>
      </c>
      <c r="N48" s="7" t="n">
        <v>-0.165</v>
      </c>
      <c r="O48" s="7" t="n">
        <v>-0.41</v>
      </c>
      <c r="P48" s="7" t="n">
        <v>-0.058</v>
      </c>
      <c r="Q48" s="7" t="n">
        <v>0.057</v>
      </c>
      <c r="R48" s="7" t="n">
        <v>-0.009</v>
      </c>
      <c r="S48" s="7" t="n">
        <v>-0.779</v>
      </c>
      <c r="T48" s="7" t="n">
        <v>-0.522</v>
      </c>
      <c r="U48" s="7" t="n">
        <v>0.143</v>
      </c>
      <c r="V48" s="7" t="n">
        <v>0.396</v>
      </c>
      <c r="W48" s="7" t="n">
        <v>0</v>
      </c>
      <c r="X48" s="7" t="n">
        <v>-0.116</v>
      </c>
      <c r="Y48" s="7" t="n">
        <v>0.269</v>
      </c>
      <c r="Z48" s="7" t="n">
        <v>-0.621</v>
      </c>
      <c r="AA48" s="7" t="n">
        <v>-0.256</v>
      </c>
      <c r="AB48" s="7" t="n">
        <v>0.118</v>
      </c>
      <c r="AC48" s="7" t="n">
        <v>0</v>
      </c>
      <c r="AD48" s="7" t="n">
        <v>-0.317</v>
      </c>
      <c r="AE48" s="7" t="n">
        <v>-0.426</v>
      </c>
      <c r="AF48" s="7" t="n">
        <v>0.07</v>
      </c>
      <c r="AG48" s="7" t="n">
        <v>0.181</v>
      </c>
      <c r="AH48" s="7" t="n">
        <v>0.033</v>
      </c>
      <c r="AI48" s="7" t="n">
        <v>0.046</v>
      </c>
      <c r="AJ48" s="7" t="n">
        <v>0.196</v>
      </c>
      <c r="AK48" s="7" t="n">
        <v>-0.054</v>
      </c>
      <c r="AL48" s="7" t="n">
        <v>0.335</v>
      </c>
      <c r="AM48" s="7" t="n">
        <v>0.046</v>
      </c>
      <c r="AN48" s="7" t="n">
        <v>0.151</v>
      </c>
      <c r="AO48" s="7" t="n">
        <v>-0.576</v>
      </c>
      <c r="AP48" s="7" t="n">
        <v>-0.533</v>
      </c>
      <c r="AQ48" s="7" t="n">
        <v>0</v>
      </c>
    </row>
    <row r="49" customFormat="false" ht="15" hidden="false" customHeight="false" outlineLevel="0" collapsed="false">
      <c r="A49" s="23" t="n">
        <v>46366</v>
      </c>
      <c r="B49" s="7" t="n">
        <v>-0.092</v>
      </c>
      <c r="C49" s="7" t="n">
        <v>0.128</v>
      </c>
      <c r="D49" s="7" t="n">
        <v>-0.708</v>
      </c>
      <c r="E49" s="7" t="n">
        <v>0.098</v>
      </c>
      <c r="F49" s="7" t="n">
        <v>0.74</v>
      </c>
      <c r="G49" s="7" t="n">
        <v>-0.086</v>
      </c>
      <c r="H49" s="7" t="n">
        <v>-0.092</v>
      </c>
      <c r="I49" s="7" t="n">
        <v>-0.787</v>
      </c>
      <c r="J49" s="7" t="n">
        <v>0.774</v>
      </c>
      <c r="K49" s="7" t="n">
        <v>0</v>
      </c>
      <c r="L49" s="7" t="n">
        <v>-0.006</v>
      </c>
      <c r="M49" s="7" t="n">
        <v>0.682</v>
      </c>
      <c r="N49" s="7" t="n">
        <v>0.74</v>
      </c>
      <c r="O49" s="7" t="n">
        <v>0.771</v>
      </c>
      <c r="P49" s="7" t="n">
        <v>-0.091</v>
      </c>
      <c r="Q49" s="7" t="n">
        <v>0.119</v>
      </c>
      <c r="R49" s="7" t="n">
        <v>-0.828</v>
      </c>
      <c r="S49" s="7" t="n">
        <v>-0.833</v>
      </c>
      <c r="T49" s="7" t="n">
        <v>-0.905</v>
      </c>
      <c r="U49" s="7" t="n">
        <v>0.045</v>
      </c>
      <c r="V49" s="7" t="n">
        <v>-0.822</v>
      </c>
      <c r="W49" s="7" t="n">
        <v>0</v>
      </c>
      <c r="X49" s="7" t="n">
        <v>-0.857</v>
      </c>
      <c r="Y49" s="7" t="n">
        <v>-0.793</v>
      </c>
      <c r="Z49" s="7" t="n">
        <v>0</v>
      </c>
      <c r="AA49" s="7" t="n">
        <v>-0.841</v>
      </c>
      <c r="AB49" s="7" t="n">
        <v>0.656</v>
      </c>
      <c r="AC49" s="7" t="n">
        <v>0</v>
      </c>
      <c r="AD49" s="7" t="n">
        <v>-0.772</v>
      </c>
      <c r="AE49" s="7" t="n">
        <v>0.58</v>
      </c>
      <c r="AF49" s="7" t="n">
        <v>0.098</v>
      </c>
      <c r="AG49" s="7" t="n">
        <v>-0.051</v>
      </c>
      <c r="AH49" s="7" t="n">
        <v>0.301</v>
      </c>
      <c r="AI49" s="7" t="n">
        <v>-0.006</v>
      </c>
      <c r="AJ49" s="7" t="n">
        <v>-0.824</v>
      </c>
      <c r="AK49" s="7" t="n">
        <v>-0.838</v>
      </c>
      <c r="AL49" s="7" t="n">
        <v>0.089</v>
      </c>
      <c r="AM49" s="7" t="n">
        <v>-0.006</v>
      </c>
      <c r="AN49" s="7" t="n">
        <v>-0.822</v>
      </c>
      <c r="AO49" s="7" t="n">
        <v>0.26</v>
      </c>
      <c r="AP49" s="7" t="n">
        <v>0</v>
      </c>
      <c r="AQ49" s="7" t="n">
        <v>0</v>
      </c>
    </row>
    <row r="50" customFormat="false" ht="15" hidden="false" customHeight="false" outlineLevel="0" collapsed="false">
      <c r="A50" s="23" t="n">
        <v>46367</v>
      </c>
      <c r="B50" s="7" t="n">
        <v>0.463</v>
      </c>
      <c r="C50" s="7" t="n">
        <v>0.135</v>
      </c>
      <c r="D50" s="7" t="n">
        <v>0.096</v>
      </c>
      <c r="E50" s="7" t="n">
        <v>0.098</v>
      </c>
      <c r="F50" s="7" t="n">
        <v>0.687</v>
      </c>
      <c r="G50" s="7" t="n">
        <v>-0.035</v>
      </c>
      <c r="H50" s="7" t="n">
        <v>-0.067</v>
      </c>
      <c r="I50" s="7" t="n">
        <v>-0.081</v>
      </c>
      <c r="J50" s="7" t="n">
        <v>0.622</v>
      </c>
      <c r="K50" s="7" t="n">
        <v>0</v>
      </c>
      <c r="L50" s="7" t="n">
        <v>-0.014</v>
      </c>
      <c r="M50" s="7" t="n">
        <v>0.548</v>
      </c>
      <c r="N50" s="7" t="n">
        <v>0.687</v>
      </c>
      <c r="O50" s="7" t="n">
        <v>0.683</v>
      </c>
      <c r="P50" s="7" t="n">
        <v>0.001</v>
      </c>
      <c r="Q50" s="7" t="n">
        <v>0.121</v>
      </c>
      <c r="R50" s="7" t="n">
        <v>-0.067</v>
      </c>
      <c r="S50" s="7" t="n">
        <v>0</v>
      </c>
      <c r="T50" s="7" t="n">
        <v>0.083</v>
      </c>
      <c r="U50" s="7" t="n">
        <v>0.179</v>
      </c>
      <c r="V50" s="7" t="n">
        <v>-0.067</v>
      </c>
      <c r="W50" s="7" t="n">
        <v>0</v>
      </c>
      <c r="X50" s="7" t="n">
        <v>-0.119</v>
      </c>
      <c r="Y50" s="7" t="n">
        <v>0.021</v>
      </c>
      <c r="Z50" s="7" t="n">
        <v>0</v>
      </c>
      <c r="AA50" s="7" t="n">
        <v>-0.162</v>
      </c>
      <c r="AB50" s="7" t="n">
        <v>0.504</v>
      </c>
      <c r="AC50" s="7" t="n">
        <v>0</v>
      </c>
      <c r="AD50" s="7" t="n">
        <v>0.096</v>
      </c>
      <c r="AE50" s="7" t="n">
        <v>0.503</v>
      </c>
      <c r="AF50" s="7" t="n">
        <v>0.311</v>
      </c>
      <c r="AG50" s="7" t="n">
        <v>-0.04</v>
      </c>
      <c r="AH50" s="7" t="n">
        <v>0.302</v>
      </c>
      <c r="AI50" s="7" t="n">
        <v>-0.014</v>
      </c>
      <c r="AJ50" s="7" t="n">
        <v>-0.081</v>
      </c>
      <c r="AK50" s="7" t="n">
        <v>-0.176</v>
      </c>
      <c r="AL50" s="7" t="n">
        <v>0.156</v>
      </c>
      <c r="AM50" s="7" t="n">
        <v>-0.014</v>
      </c>
      <c r="AN50" s="7" t="n">
        <v>-0.067</v>
      </c>
      <c r="AO50" s="7" t="n">
        <v>0.246</v>
      </c>
      <c r="AP50" s="7" t="n">
        <v>0</v>
      </c>
      <c r="AQ50" s="7" t="n">
        <v>0</v>
      </c>
    </row>
    <row r="51" customFormat="false" ht="15" hidden="false" customHeight="false" outlineLevel="0" collapsed="false">
      <c r="A51" s="23" t="n">
        <v>46368</v>
      </c>
      <c r="B51" s="7" t="n">
        <v>0.106</v>
      </c>
      <c r="C51" s="7" t="n">
        <v>-0.147</v>
      </c>
      <c r="D51" s="7" t="n">
        <v>0.055</v>
      </c>
      <c r="E51" s="7" t="n">
        <v>0.14</v>
      </c>
      <c r="F51" s="7" t="n">
        <v>0.225</v>
      </c>
      <c r="G51" s="7" t="n">
        <v>-0.076</v>
      </c>
      <c r="H51" s="7" t="n">
        <v>-0.244</v>
      </c>
      <c r="I51" s="7" t="n">
        <v>-0.444</v>
      </c>
      <c r="J51" s="7" t="n">
        <v>0.027</v>
      </c>
      <c r="K51" s="7" t="n">
        <v>0</v>
      </c>
      <c r="L51" s="7" t="n">
        <v>-0.044</v>
      </c>
      <c r="M51" s="7" t="n">
        <v>0.209</v>
      </c>
      <c r="N51" s="7" t="n">
        <v>0.225</v>
      </c>
      <c r="O51" s="7" t="n">
        <v>0.806</v>
      </c>
      <c r="P51" s="7" t="n">
        <v>-0.007</v>
      </c>
      <c r="Q51" s="7" t="n">
        <v>0.157</v>
      </c>
      <c r="R51" s="7" t="n">
        <v>-0.423</v>
      </c>
      <c r="S51" s="7" t="n">
        <v>0</v>
      </c>
      <c r="T51" s="7" t="n">
        <v>-0.332</v>
      </c>
      <c r="U51" s="7" t="n">
        <v>0.792</v>
      </c>
      <c r="V51" s="7" t="n">
        <v>-0.262</v>
      </c>
      <c r="W51" s="7" t="n">
        <v>0</v>
      </c>
      <c r="X51" s="7" t="n">
        <v>-0.164</v>
      </c>
      <c r="Y51" s="7" t="n">
        <v>0.689</v>
      </c>
      <c r="Z51" s="7" t="n">
        <v>0</v>
      </c>
      <c r="AA51" s="7" t="n">
        <v>-0.467</v>
      </c>
      <c r="AB51" s="7" t="n">
        <v>0.166</v>
      </c>
      <c r="AC51" s="7" t="n">
        <v>0</v>
      </c>
      <c r="AD51" s="7" t="n">
        <v>0.055</v>
      </c>
      <c r="AE51" s="7" t="n">
        <v>-0.06</v>
      </c>
      <c r="AF51" s="7" t="n">
        <v>0.14</v>
      </c>
      <c r="AG51" s="7" t="n">
        <v>0.653</v>
      </c>
      <c r="AH51" s="7" t="n">
        <v>0.783</v>
      </c>
      <c r="AI51" s="7" t="n">
        <v>-0.044</v>
      </c>
      <c r="AJ51" s="7" t="n">
        <v>-0.319</v>
      </c>
      <c r="AK51" s="7" t="n">
        <v>-0.368</v>
      </c>
      <c r="AL51" s="7" t="n">
        <v>0.776</v>
      </c>
      <c r="AM51" s="7" t="n">
        <v>-0.044</v>
      </c>
      <c r="AN51" s="7" t="n">
        <v>-0.279</v>
      </c>
      <c r="AO51" s="7" t="n">
        <v>0.743</v>
      </c>
      <c r="AP51" s="7" t="n">
        <v>0</v>
      </c>
      <c r="AQ51" s="7" t="n">
        <v>0</v>
      </c>
    </row>
    <row r="52" customFormat="false" ht="15" hidden="false" customHeight="false" outlineLevel="0" collapsed="false">
      <c r="A52" s="23" t="n">
        <v>46369</v>
      </c>
      <c r="B52" s="7" t="n">
        <v>-0.342</v>
      </c>
      <c r="C52" s="7" t="n">
        <v>-0.752</v>
      </c>
      <c r="D52" s="7" t="n">
        <v>0.068</v>
      </c>
      <c r="E52" s="7" t="n">
        <v>0.141</v>
      </c>
      <c r="F52" s="7" t="n">
        <v>-0.113</v>
      </c>
      <c r="G52" s="7" t="n">
        <v>-0.063</v>
      </c>
      <c r="H52" s="7" t="n">
        <v>-0.314</v>
      </c>
      <c r="I52" s="7" t="n">
        <v>-0.855</v>
      </c>
      <c r="J52" s="7" t="n">
        <v>-0.046</v>
      </c>
      <c r="K52" s="7" t="n">
        <v>0</v>
      </c>
      <c r="L52" s="7" t="n">
        <v>-0.553</v>
      </c>
      <c r="M52" s="7" t="n">
        <v>0.079</v>
      </c>
      <c r="N52" s="7" t="n">
        <v>-0.589</v>
      </c>
      <c r="O52" s="7" t="n">
        <v>-0.497</v>
      </c>
      <c r="P52" s="7" t="n">
        <v>-0.036</v>
      </c>
      <c r="Q52" s="7" t="n">
        <v>0.157</v>
      </c>
      <c r="R52" s="7" t="n">
        <v>-0.5</v>
      </c>
      <c r="S52" s="7" t="n">
        <v>0</v>
      </c>
      <c r="T52" s="7" t="n">
        <v>-0.44</v>
      </c>
      <c r="U52" s="7" t="n">
        <v>0.096</v>
      </c>
      <c r="V52" s="7" t="n">
        <v>-0.337</v>
      </c>
      <c r="W52" s="7" t="n">
        <v>0</v>
      </c>
      <c r="X52" s="7" t="n">
        <v>-0.192</v>
      </c>
      <c r="Y52" s="7" t="n">
        <v>0.096</v>
      </c>
      <c r="Z52" s="7" t="n">
        <v>0</v>
      </c>
      <c r="AA52" s="7" t="n">
        <v>-0.549</v>
      </c>
      <c r="AB52" s="7" t="n">
        <v>-0.531</v>
      </c>
      <c r="AC52" s="7" t="n">
        <v>0</v>
      </c>
      <c r="AD52" s="7" t="n">
        <v>-0.008</v>
      </c>
      <c r="AE52" s="7" t="n">
        <v>-0.192</v>
      </c>
      <c r="AF52" s="7" t="n">
        <v>0.141</v>
      </c>
      <c r="AG52" s="7" t="n">
        <v>-0.094</v>
      </c>
      <c r="AH52" s="7" t="n">
        <v>-0.173</v>
      </c>
      <c r="AI52" s="7" t="n">
        <v>-0.638</v>
      </c>
      <c r="AJ52" s="7" t="n">
        <v>-0.785</v>
      </c>
      <c r="AK52" s="7" t="n">
        <v>-0.76</v>
      </c>
      <c r="AL52" s="7" t="n">
        <v>0.163</v>
      </c>
      <c r="AM52" s="7" t="n">
        <v>-0.638</v>
      </c>
      <c r="AN52" s="7" t="n">
        <v>-0.41</v>
      </c>
      <c r="AO52" s="7" t="n">
        <v>-0.063</v>
      </c>
      <c r="AP52" s="7" t="n">
        <v>0</v>
      </c>
      <c r="AQ52" s="7" t="n">
        <v>0</v>
      </c>
    </row>
    <row r="53" customFormat="false" ht="15" hidden="false" customHeight="false" outlineLevel="0" collapsed="false">
      <c r="A53" s="23" t="n">
        <v>46370</v>
      </c>
      <c r="B53" s="7" t="n">
        <v>0.055</v>
      </c>
      <c r="C53" s="7" t="n">
        <v>-0.455</v>
      </c>
      <c r="D53" s="7" t="n">
        <v>0.411</v>
      </c>
      <c r="E53" s="7" t="n">
        <v>0.148</v>
      </c>
      <c r="F53" s="7" t="n">
        <v>-0.145</v>
      </c>
      <c r="G53" s="7" t="n">
        <v>0.8</v>
      </c>
      <c r="H53" s="7" t="n">
        <v>0.229</v>
      </c>
      <c r="I53" s="7" t="n">
        <v>-0.105</v>
      </c>
      <c r="J53" s="7" t="n">
        <v>-0.28</v>
      </c>
      <c r="K53" s="7" t="n">
        <v>0.005</v>
      </c>
      <c r="L53" s="7" t="n">
        <v>-0.071</v>
      </c>
      <c r="M53" s="7" t="n">
        <v>0.069</v>
      </c>
      <c r="N53" s="7" t="n">
        <v>-0.145</v>
      </c>
      <c r="O53" s="7" t="n">
        <v>0.547</v>
      </c>
      <c r="P53" s="7" t="n">
        <v>0.314</v>
      </c>
      <c r="Q53" s="7" t="n">
        <v>0.157</v>
      </c>
      <c r="R53" s="7" t="n">
        <v>-0.012</v>
      </c>
      <c r="S53" s="7" t="n">
        <v>0.005</v>
      </c>
      <c r="T53" s="7" t="n">
        <v>-0.527</v>
      </c>
      <c r="U53" s="7" t="n">
        <v>0.101</v>
      </c>
      <c r="V53" s="7" t="n">
        <v>0.266</v>
      </c>
      <c r="W53" s="7" t="n">
        <v>0</v>
      </c>
      <c r="X53" s="7" t="n">
        <v>0.165</v>
      </c>
      <c r="Y53" s="7" t="n">
        <v>0.096</v>
      </c>
      <c r="Z53" s="7" t="n">
        <v>0.005</v>
      </c>
      <c r="AA53" s="7" t="n">
        <v>-0.613</v>
      </c>
      <c r="AB53" s="7" t="n">
        <v>-0.012</v>
      </c>
      <c r="AC53" s="7" t="n">
        <v>0</v>
      </c>
      <c r="AD53" s="7" t="n">
        <v>0.544</v>
      </c>
      <c r="AE53" s="7" t="n">
        <v>-0.204</v>
      </c>
      <c r="AF53" s="7" t="n">
        <v>0.143</v>
      </c>
      <c r="AG53" s="7" t="n">
        <v>-0.118</v>
      </c>
      <c r="AH53" s="7" t="n">
        <v>-0.209</v>
      </c>
      <c r="AI53" s="7" t="n">
        <v>-0.204</v>
      </c>
      <c r="AJ53" s="7" t="n">
        <v>0.104</v>
      </c>
      <c r="AK53" s="7" t="n">
        <v>-0.435</v>
      </c>
      <c r="AL53" s="7" t="n">
        <v>0.663</v>
      </c>
      <c r="AM53" s="7" t="n">
        <v>-0.204</v>
      </c>
      <c r="AN53" s="7" t="n">
        <v>0.179</v>
      </c>
      <c r="AO53" s="7" t="n">
        <v>-0.075</v>
      </c>
      <c r="AP53" s="7" t="n">
        <v>0.005</v>
      </c>
      <c r="AQ53" s="7" t="n">
        <v>0</v>
      </c>
    </row>
    <row r="54" customFormat="false" ht="15" hidden="false" customHeight="false" outlineLevel="0" collapsed="false">
      <c r="A54" s="23" t="n">
        <v>46371</v>
      </c>
      <c r="B54" s="7" t="n">
        <v>-0.377</v>
      </c>
      <c r="C54" s="7" t="n">
        <v>-0.807</v>
      </c>
      <c r="D54" s="7" t="n">
        <v>0.178</v>
      </c>
      <c r="E54" s="7" t="n">
        <v>-0.025</v>
      </c>
      <c r="F54" s="7" t="n">
        <v>-0.013</v>
      </c>
      <c r="G54" s="7" t="n">
        <v>-0.035</v>
      </c>
      <c r="H54" s="7" t="n">
        <v>-0.529</v>
      </c>
      <c r="I54" s="7" t="n">
        <v>-0.529</v>
      </c>
      <c r="J54" s="7" t="n">
        <v>0.011</v>
      </c>
      <c r="K54" s="7" t="n">
        <v>0.007</v>
      </c>
      <c r="L54" s="7" t="n">
        <v>0.05</v>
      </c>
      <c r="M54" s="7" t="n">
        <v>0.042</v>
      </c>
      <c r="N54" s="7" t="n">
        <v>-0.549</v>
      </c>
      <c r="O54" s="7" t="n">
        <v>0.062</v>
      </c>
      <c r="P54" s="7" t="n">
        <v>-0.001</v>
      </c>
      <c r="Q54" s="7" t="n">
        <v>0.128</v>
      </c>
      <c r="R54" s="7" t="n">
        <v>-0.649</v>
      </c>
      <c r="S54" s="7" t="n">
        <v>-0.534</v>
      </c>
      <c r="T54" s="7" t="n">
        <v>-0.71</v>
      </c>
      <c r="U54" s="7" t="n">
        <v>0.192</v>
      </c>
      <c r="V54" s="7" t="n">
        <v>-0.458</v>
      </c>
      <c r="W54" s="7" t="n">
        <v>0</v>
      </c>
      <c r="X54" s="7" t="n">
        <v>-0.129</v>
      </c>
      <c r="Y54" s="7" t="n">
        <v>-0.504</v>
      </c>
      <c r="Z54" s="7" t="n">
        <v>0.091</v>
      </c>
      <c r="AA54" s="7" t="n">
        <v>-0.701</v>
      </c>
      <c r="AB54" s="7" t="n">
        <v>0.109</v>
      </c>
      <c r="AC54" s="7" t="n">
        <v>-0.032</v>
      </c>
      <c r="AD54" s="7" t="n">
        <v>-0.183</v>
      </c>
      <c r="AE54" s="7" t="n">
        <v>-0.216</v>
      </c>
      <c r="AF54" s="7" t="n">
        <v>0.067</v>
      </c>
      <c r="AG54" s="7" t="n">
        <v>-0.596</v>
      </c>
      <c r="AH54" s="7" t="n">
        <v>-0.023</v>
      </c>
      <c r="AI54" s="7" t="n">
        <v>0.043</v>
      </c>
      <c r="AJ54" s="7" t="n">
        <v>-0.668</v>
      </c>
      <c r="AK54" s="7" t="n">
        <v>-0.718</v>
      </c>
      <c r="AL54" s="7" t="n">
        <v>0.104</v>
      </c>
      <c r="AM54" s="7" t="n">
        <v>0.074</v>
      </c>
      <c r="AN54" s="7" t="n">
        <v>-0.707</v>
      </c>
      <c r="AO54" s="7" t="n">
        <v>-0.056</v>
      </c>
      <c r="AP54" s="7" t="n">
        <v>0.007</v>
      </c>
      <c r="AQ54" s="7" t="n">
        <v>-0.032</v>
      </c>
    </row>
    <row r="55" customFormat="false" ht="15" hidden="false" customHeight="false" outlineLevel="0" collapsed="false">
      <c r="A55" s="23" t="n">
        <v>46372</v>
      </c>
      <c r="B55" s="7" t="n">
        <v>-0.425</v>
      </c>
      <c r="C55" s="7" t="n">
        <v>-0.883</v>
      </c>
      <c r="D55" s="7" t="n">
        <v>-0.061</v>
      </c>
      <c r="E55" s="7" t="n">
        <v>-0.484</v>
      </c>
      <c r="F55" s="7" t="n">
        <v>-0.005</v>
      </c>
      <c r="G55" s="7" t="n">
        <v>-0.111</v>
      </c>
      <c r="H55" s="7" t="n">
        <v>-0.628</v>
      </c>
      <c r="I55" s="7" t="n">
        <v>-0.551</v>
      </c>
      <c r="J55" s="7" t="n">
        <v>0.196</v>
      </c>
      <c r="K55" s="7" t="n">
        <v>-0.424</v>
      </c>
      <c r="L55" s="7" t="n">
        <v>-0.081</v>
      </c>
      <c r="M55" s="7" t="n">
        <v>-0.097</v>
      </c>
      <c r="N55" s="7" t="n">
        <v>-0.559</v>
      </c>
      <c r="O55" s="7" t="n">
        <v>0.05</v>
      </c>
      <c r="P55" s="7" t="n">
        <v>0.525</v>
      </c>
      <c r="Q55" s="7" t="n">
        <v>-0.046</v>
      </c>
      <c r="R55" s="7" t="n">
        <v>-0.69</v>
      </c>
      <c r="S55" s="7" t="n">
        <v>-0.725</v>
      </c>
      <c r="T55" s="7" t="n">
        <v>-0.867</v>
      </c>
      <c r="U55" s="7" t="n">
        <v>-0.711</v>
      </c>
      <c r="V55" s="7" t="n">
        <v>-0.366</v>
      </c>
      <c r="W55" s="7" t="n">
        <v>0</v>
      </c>
      <c r="X55" s="7" t="n">
        <v>0.558</v>
      </c>
      <c r="Y55" s="7" t="n">
        <v>-0.538</v>
      </c>
      <c r="Z55" s="7" t="n">
        <v>-0.213</v>
      </c>
      <c r="AA55" s="7" t="n">
        <v>-0.737</v>
      </c>
      <c r="AB55" s="7" t="n">
        <v>0.119</v>
      </c>
      <c r="AC55" s="7" t="n">
        <v>-0.046</v>
      </c>
      <c r="AD55" s="7" t="n">
        <v>-0.509</v>
      </c>
      <c r="AE55" s="7" t="n">
        <v>-0.008</v>
      </c>
      <c r="AF55" s="7" t="n">
        <v>-0.046</v>
      </c>
      <c r="AG55" s="7" t="n">
        <v>-0.696</v>
      </c>
      <c r="AH55" s="7" t="n">
        <v>0.178</v>
      </c>
      <c r="AI55" s="7" t="n">
        <v>0.057</v>
      </c>
      <c r="AJ55" s="7" t="n">
        <v>-0.72</v>
      </c>
      <c r="AK55" s="7" t="n">
        <v>-0.794</v>
      </c>
      <c r="AL55" s="7" t="n">
        <v>0.055</v>
      </c>
      <c r="AM55" s="7" t="n">
        <v>0.102</v>
      </c>
      <c r="AN55" s="7" t="n">
        <v>-0.731</v>
      </c>
      <c r="AO55" s="7" t="n">
        <v>0.038</v>
      </c>
      <c r="AP55" s="7" t="n">
        <v>-0.058</v>
      </c>
      <c r="AQ55" s="7" t="n">
        <v>-0.046</v>
      </c>
    </row>
    <row r="56" customFormat="false" ht="15" hidden="false" customHeight="false" outlineLevel="0" collapsed="false">
      <c r="A56" s="23" t="n">
        <v>46373</v>
      </c>
      <c r="B56" s="7" t="n">
        <v>0.354</v>
      </c>
      <c r="C56" s="7" t="n">
        <v>0.581</v>
      </c>
      <c r="D56" s="7" t="n">
        <v>-0.078</v>
      </c>
      <c r="E56" s="7" t="n">
        <v>-0.16</v>
      </c>
      <c r="F56" s="7" t="n">
        <v>0.642</v>
      </c>
      <c r="G56" s="7" t="n">
        <v>0.026</v>
      </c>
      <c r="H56" s="7" t="n">
        <v>-0.417</v>
      </c>
      <c r="I56" s="7" t="n">
        <v>-0.452</v>
      </c>
      <c r="J56" s="7" t="n">
        <v>0.917</v>
      </c>
      <c r="K56" s="7" t="n">
        <v>-0.423</v>
      </c>
      <c r="L56" s="7" t="n">
        <v>-0.12</v>
      </c>
      <c r="M56" s="7" t="n">
        <v>0.897</v>
      </c>
      <c r="N56" s="7" t="n">
        <v>0.863</v>
      </c>
      <c r="O56" s="7" t="n">
        <v>0.932</v>
      </c>
      <c r="P56" s="7" t="n">
        <v>0.543</v>
      </c>
      <c r="Q56" s="7" t="n">
        <v>-0.029</v>
      </c>
      <c r="R56" s="7" t="n">
        <v>-0.417</v>
      </c>
      <c r="S56" s="7" t="n">
        <v>-0.16</v>
      </c>
      <c r="T56" s="7" t="n">
        <v>-0.462</v>
      </c>
      <c r="U56" s="7" t="n">
        <v>-0.502</v>
      </c>
      <c r="V56" s="7" t="n">
        <v>-0.222</v>
      </c>
      <c r="W56" s="7" t="n">
        <v>0</v>
      </c>
      <c r="X56" s="7" t="n">
        <v>0.543</v>
      </c>
      <c r="Y56" s="7" t="n">
        <v>0.219</v>
      </c>
      <c r="Z56" s="7" t="n">
        <v>-0.16</v>
      </c>
      <c r="AA56" s="7" t="n">
        <v>-0.439</v>
      </c>
      <c r="AB56" s="7" t="n">
        <v>0.891</v>
      </c>
      <c r="AC56" s="7" t="n">
        <v>-0.029</v>
      </c>
      <c r="AD56" s="7" t="n">
        <v>-0.134</v>
      </c>
      <c r="AE56" s="7" t="n">
        <v>0.863</v>
      </c>
      <c r="AF56" s="7" t="n">
        <v>0</v>
      </c>
      <c r="AG56" s="7" t="n">
        <v>-0.155</v>
      </c>
      <c r="AH56" s="7" t="n">
        <v>0.832</v>
      </c>
      <c r="AI56" s="7" t="n">
        <v>-0.064</v>
      </c>
      <c r="AJ56" s="7" t="n">
        <v>-0.491</v>
      </c>
      <c r="AK56" s="7" t="n">
        <v>-0.511</v>
      </c>
      <c r="AL56" s="7" t="n">
        <v>0.82</v>
      </c>
      <c r="AM56" s="7" t="n">
        <v>-0.064</v>
      </c>
      <c r="AN56" s="7" t="n">
        <v>-0.417</v>
      </c>
      <c r="AO56" s="7" t="n">
        <v>0.813</v>
      </c>
      <c r="AP56" s="7" t="n">
        <v>-0.057</v>
      </c>
      <c r="AQ56" s="7" t="n">
        <v>0</v>
      </c>
    </row>
    <row r="57" customFormat="false" ht="15" hidden="false" customHeight="false" outlineLevel="0" collapsed="false">
      <c r="A57" s="23" t="n">
        <v>46374</v>
      </c>
      <c r="B57" s="7" t="n">
        <v>-0.448</v>
      </c>
      <c r="C57" s="7" t="n">
        <v>-0.975</v>
      </c>
      <c r="D57" s="7" t="n">
        <v>-0.004</v>
      </c>
      <c r="E57" s="7" t="n">
        <v>-0.133</v>
      </c>
      <c r="F57" s="7" t="n">
        <v>-0.4</v>
      </c>
      <c r="G57" s="7" t="n">
        <v>0.096</v>
      </c>
      <c r="H57" s="7" t="n">
        <v>-0.926</v>
      </c>
      <c r="I57" s="7" t="n">
        <v>-0.913</v>
      </c>
      <c r="J57" s="7" t="n">
        <v>0.395</v>
      </c>
      <c r="K57" s="7" t="n">
        <v>-0.403</v>
      </c>
      <c r="L57" s="7" t="n">
        <v>-0.101</v>
      </c>
      <c r="M57" s="7" t="n">
        <v>0.304</v>
      </c>
      <c r="N57" s="7" t="n">
        <v>0.116</v>
      </c>
      <c r="O57" s="7" t="n">
        <v>0.489</v>
      </c>
      <c r="P57" s="7" t="n">
        <v>0.673</v>
      </c>
      <c r="Q57" s="7" t="n">
        <v>0.009</v>
      </c>
      <c r="R57" s="7" t="n">
        <v>-0.922</v>
      </c>
      <c r="S57" s="7" t="n">
        <v>-0.133</v>
      </c>
      <c r="T57" s="7" t="n">
        <v>-0.975</v>
      </c>
      <c r="U57" s="7" t="n">
        <v>-0.456</v>
      </c>
      <c r="V57" s="7" t="n">
        <v>-0.835</v>
      </c>
      <c r="W57" s="7" t="n">
        <v>0</v>
      </c>
      <c r="X57" s="7" t="n">
        <v>0.641</v>
      </c>
      <c r="Y57" s="7" t="n">
        <v>0.249</v>
      </c>
      <c r="Z57" s="7" t="n">
        <v>-0.133</v>
      </c>
      <c r="AA57" s="7" t="n">
        <v>-0.935</v>
      </c>
      <c r="AB57" s="7" t="n">
        <v>0.263</v>
      </c>
      <c r="AC57" s="7" t="n">
        <v>-0.048</v>
      </c>
      <c r="AD57" s="7" t="n">
        <v>-0.038</v>
      </c>
      <c r="AE57" s="7" t="n">
        <v>0.116</v>
      </c>
      <c r="AF57" s="7" t="n">
        <v>0</v>
      </c>
      <c r="AG57" s="7" t="n">
        <v>-0.155</v>
      </c>
      <c r="AH57" s="7" t="n">
        <v>0.083</v>
      </c>
      <c r="AI57" s="7" t="n">
        <v>-0.068</v>
      </c>
      <c r="AJ57" s="7" t="n">
        <v>-0.924</v>
      </c>
      <c r="AK57" s="7" t="n">
        <v>-0.937</v>
      </c>
      <c r="AL57" s="7" t="n">
        <v>0.131</v>
      </c>
      <c r="AM57" s="7" t="n">
        <v>-0.068</v>
      </c>
      <c r="AN57" s="7" t="n">
        <v>-0.905</v>
      </c>
      <c r="AO57" s="7" t="n">
        <v>0.015</v>
      </c>
      <c r="AP57" s="7" t="n">
        <v>-0.033</v>
      </c>
      <c r="AQ57" s="7" t="n">
        <v>0</v>
      </c>
    </row>
    <row r="58" customFormat="false" ht="15" hidden="false" customHeight="false" outlineLevel="0" collapsed="false">
      <c r="A58" s="23" t="n">
        <v>46375</v>
      </c>
      <c r="B58" s="7" t="n">
        <v>-0.819</v>
      </c>
      <c r="C58" s="7" t="n">
        <v>-0.972</v>
      </c>
      <c r="D58" s="7" t="n">
        <v>0.04</v>
      </c>
      <c r="E58" s="7" t="n">
        <v>-0.839</v>
      </c>
      <c r="F58" s="7" t="n">
        <v>-0.897</v>
      </c>
      <c r="G58" s="7" t="n">
        <v>0.083</v>
      </c>
      <c r="H58" s="7" t="n">
        <v>-0.369</v>
      </c>
      <c r="I58" s="7" t="n">
        <v>-0.081</v>
      </c>
      <c r="J58" s="7" t="n">
        <v>0.795</v>
      </c>
      <c r="K58" s="7" t="n">
        <v>-0.985</v>
      </c>
      <c r="L58" s="7" t="n">
        <v>-0.83</v>
      </c>
      <c r="M58" s="7" t="n">
        <v>0.327</v>
      </c>
      <c r="N58" s="7" t="n">
        <v>-0.745</v>
      </c>
      <c r="O58" s="7" t="n">
        <v>-0.387</v>
      </c>
      <c r="P58" s="7" t="n">
        <v>0.551</v>
      </c>
      <c r="Q58" s="7" t="n">
        <v>0.009</v>
      </c>
      <c r="R58" s="7" t="n">
        <v>-0.369</v>
      </c>
      <c r="S58" s="7" t="n">
        <v>-0.956</v>
      </c>
      <c r="T58" s="7" t="n">
        <v>-0.432</v>
      </c>
      <c r="U58" s="7" t="n">
        <v>-0.525</v>
      </c>
      <c r="V58" s="7" t="n">
        <v>-0.167</v>
      </c>
      <c r="W58" s="7" t="n">
        <v>0</v>
      </c>
      <c r="X58" s="7" t="n">
        <v>0.637</v>
      </c>
      <c r="Y58" s="7" t="n">
        <v>0.295</v>
      </c>
      <c r="Z58" s="7" t="n">
        <v>-0.97</v>
      </c>
      <c r="AA58" s="7" t="n">
        <v>-0.439</v>
      </c>
      <c r="AB58" s="7" t="n">
        <v>0.632</v>
      </c>
      <c r="AC58" s="7" t="n">
        <v>0.141</v>
      </c>
      <c r="AD58" s="7" t="n">
        <v>-0.817</v>
      </c>
      <c r="AE58" s="7" t="n">
        <v>-0.745</v>
      </c>
      <c r="AF58" s="7" t="n">
        <v>-0.394</v>
      </c>
      <c r="AG58" s="7" t="n">
        <v>-0.155</v>
      </c>
      <c r="AH58" s="7" t="n">
        <v>0.258</v>
      </c>
      <c r="AI58" s="7" t="n">
        <v>0.034</v>
      </c>
      <c r="AJ58" s="7" t="n">
        <v>-0.208</v>
      </c>
      <c r="AK58" s="7" t="n">
        <v>-0.287</v>
      </c>
      <c r="AL58" s="7" t="n">
        <v>0.167</v>
      </c>
      <c r="AM58" s="7" t="n">
        <v>0.034</v>
      </c>
      <c r="AN58" s="7" t="n">
        <v>-0.369</v>
      </c>
      <c r="AO58" s="7" t="n">
        <v>-0.779</v>
      </c>
      <c r="AP58" s="7" t="n">
        <v>-0.84</v>
      </c>
      <c r="AQ58" s="7" t="n">
        <v>0</v>
      </c>
    </row>
    <row r="59" customFormat="false" ht="15" hidden="false" customHeight="false" outlineLevel="0" collapsed="false">
      <c r="A59" s="23" t="n">
        <v>46376</v>
      </c>
      <c r="B59" s="7" t="n">
        <v>0.132</v>
      </c>
      <c r="C59" s="7" t="n">
        <v>-0.069</v>
      </c>
      <c r="D59" s="7" t="n">
        <v>0.709</v>
      </c>
      <c r="E59" s="7" t="n">
        <v>-0.201</v>
      </c>
      <c r="F59" s="7" t="n">
        <v>-0.365</v>
      </c>
      <c r="G59" s="7" t="n">
        <v>0.68</v>
      </c>
      <c r="H59" s="7" t="n">
        <v>0.301</v>
      </c>
      <c r="I59" s="7" t="n">
        <v>0.589</v>
      </c>
      <c r="J59" s="7" t="n">
        <v>0.188</v>
      </c>
      <c r="K59" s="7" t="n">
        <v>-0.414</v>
      </c>
      <c r="L59" s="7" t="n">
        <v>0.021</v>
      </c>
      <c r="M59" s="7" t="n">
        <v>-0.18</v>
      </c>
      <c r="N59" s="7" t="n">
        <v>0.023</v>
      </c>
      <c r="O59" s="7" t="n">
        <v>0.069</v>
      </c>
      <c r="P59" s="7" t="n">
        <v>0.674</v>
      </c>
      <c r="Q59" s="7" t="n">
        <v>-0.018</v>
      </c>
      <c r="R59" s="7" t="n">
        <v>0.453</v>
      </c>
      <c r="S59" s="7" t="n">
        <v>-0.148</v>
      </c>
      <c r="T59" s="7" t="n">
        <v>-0.412</v>
      </c>
      <c r="U59" s="7" t="n">
        <v>-0.497</v>
      </c>
      <c r="V59" s="7" t="n">
        <v>0.705</v>
      </c>
      <c r="W59" s="7" t="n">
        <v>0</v>
      </c>
      <c r="X59" s="7" t="n">
        <v>0.78</v>
      </c>
      <c r="Y59" s="7" t="n">
        <v>0.219</v>
      </c>
      <c r="Z59" s="7" t="n">
        <v>-0.201</v>
      </c>
      <c r="AA59" s="7" t="n">
        <v>0.302</v>
      </c>
      <c r="AB59" s="7" t="n">
        <v>0.188</v>
      </c>
      <c r="AC59" s="7" t="n">
        <v>-0.027</v>
      </c>
      <c r="AD59" s="7" t="n">
        <v>0.179</v>
      </c>
      <c r="AE59" s="7" t="n">
        <v>0.023</v>
      </c>
      <c r="AF59" s="7" t="n">
        <v>-0.027</v>
      </c>
      <c r="AG59" s="7" t="n">
        <v>-0.076</v>
      </c>
      <c r="AH59" s="7" t="n">
        <v>0.174</v>
      </c>
      <c r="AI59" s="7" t="n">
        <v>0.067</v>
      </c>
      <c r="AJ59" s="7" t="n">
        <v>0.368</v>
      </c>
      <c r="AK59" s="7" t="n">
        <v>0.207</v>
      </c>
      <c r="AL59" s="7" t="n">
        <v>0.225</v>
      </c>
      <c r="AM59" s="7" t="n">
        <v>0.094</v>
      </c>
      <c r="AN59" s="7" t="n">
        <v>0.284</v>
      </c>
      <c r="AO59" s="7" t="n">
        <v>0.05</v>
      </c>
      <c r="AP59" s="7" t="n">
        <v>-0.046</v>
      </c>
      <c r="AQ59" s="7" t="n">
        <v>-0.027</v>
      </c>
    </row>
    <row r="60" customFormat="false" ht="15" hidden="false" customHeight="false" outlineLevel="0" collapsed="false">
      <c r="A60" s="23" t="n">
        <v>46377</v>
      </c>
      <c r="B60" s="7" t="n">
        <v>-0.631</v>
      </c>
      <c r="C60" s="7" t="n">
        <v>-0.894</v>
      </c>
      <c r="D60" s="7" t="n">
        <v>0.207</v>
      </c>
      <c r="E60" s="7" t="n">
        <v>-0.206</v>
      </c>
      <c r="F60" s="7" t="n">
        <v>-0.841</v>
      </c>
      <c r="G60" s="7" t="n">
        <v>0.388</v>
      </c>
      <c r="H60" s="7" t="n">
        <v>-0.228</v>
      </c>
      <c r="I60" s="7" t="n">
        <v>-0.205</v>
      </c>
      <c r="J60" s="7" t="n">
        <v>0.101</v>
      </c>
      <c r="K60" s="7" t="n">
        <v>-0.418</v>
      </c>
      <c r="L60" s="7" t="n">
        <v>-0.861</v>
      </c>
      <c r="M60" s="7" t="n">
        <v>-0.216</v>
      </c>
      <c r="N60" s="7" t="n">
        <v>-0.687</v>
      </c>
      <c r="O60" s="7" t="n">
        <v>-0.574</v>
      </c>
      <c r="P60" s="7" t="n">
        <v>-0.256</v>
      </c>
      <c r="Q60" s="7" t="n">
        <v>-0.855</v>
      </c>
      <c r="R60" s="7" t="n">
        <v>-0.221</v>
      </c>
      <c r="S60" s="7" t="n">
        <v>-0.206</v>
      </c>
      <c r="T60" s="7" t="n">
        <v>-0.372</v>
      </c>
      <c r="U60" s="7" t="n">
        <v>-0.913</v>
      </c>
      <c r="V60" s="7" t="n">
        <v>0.048</v>
      </c>
      <c r="W60" s="7" t="n">
        <v>-0.501</v>
      </c>
      <c r="X60" s="7" t="n">
        <v>0.431</v>
      </c>
      <c r="Y60" s="7" t="n">
        <v>-0.044</v>
      </c>
      <c r="Z60" s="7" t="n">
        <v>-0.206</v>
      </c>
      <c r="AA60" s="7" t="n">
        <v>-0.135</v>
      </c>
      <c r="AB60" s="7" t="n">
        <v>0.101</v>
      </c>
      <c r="AC60" s="7" t="n">
        <v>-0.857</v>
      </c>
      <c r="AD60" s="7" t="n">
        <v>-0.289</v>
      </c>
      <c r="AE60" s="7" t="n">
        <v>-0.687</v>
      </c>
      <c r="AF60" s="7" t="n">
        <v>-0.835</v>
      </c>
      <c r="AG60" s="7" t="n">
        <v>-0.329</v>
      </c>
      <c r="AH60" s="7" t="n">
        <v>0.101</v>
      </c>
      <c r="AI60" s="7" t="n">
        <v>-0.601</v>
      </c>
      <c r="AJ60" s="7" t="n">
        <v>-0.277</v>
      </c>
      <c r="AK60" s="7" t="n">
        <v>-0.193</v>
      </c>
      <c r="AL60" s="7" t="n">
        <v>-0.655</v>
      </c>
      <c r="AM60" s="7" t="n">
        <v>0.036</v>
      </c>
      <c r="AN60" s="7" t="n">
        <v>-0.31</v>
      </c>
      <c r="AO60" s="7" t="n">
        <v>0.014</v>
      </c>
      <c r="AP60" s="7" t="n">
        <v>-0.051</v>
      </c>
      <c r="AQ60" s="7" t="n">
        <v>-0.624</v>
      </c>
    </row>
    <row r="61" customFormat="false" ht="15" hidden="false" customHeight="false" outlineLevel="0" collapsed="false">
      <c r="A61" s="23" t="n">
        <v>46378</v>
      </c>
      <c r="B61" s="7" t="n">
        <v>-0.24</v>
      </c>
      <c r="C61" s="7" t="n">
        <v>-0.8</v>
      </c>
      <c r="D61" s="7" t="n">
        <v>-0.061</v>
      </c>
      <c r="E61" s="7" t="n">
        <v>-0.085</v>
      </c>
      <c r="F61" s="7" t="n">
        <v>-0.126</v>
      </c>
      <c r="G61" s="7" t="n">
        <v>0.096</v>
      </c>
      <c r="H61" s="7" t="n">
        <v>-0.112</v>
      </c>
      <c r="I61" s="7" t="n">
        <v>-0.907</v>
      </c>
      <c r="J61" s="7" t="n">
        <v>-0.199</v>
      </c>
      <c r="K61" s="7" t="n">
        <v>-0.549</v>
      </c>
      <c r="L61" s="7" t="n">
        <v>-0.803</v>
      </c>
      <c r="M61" s="7" t="n">
        <v>-0.071</v>
      </c>
      <c r="N61" s="7" t="n">
        <v>-0.424</v>
      </c>
      <c r="O61" s="7" t="n">
        <v>-0.644</v>
      </c>
      <c r="P61" s="7" t="n">
        <v>0.547</v>
      </c>
      <c r="Q61" s="7" t="n">
        <v>0.067</v>
      </c>
      <c r="R61" s="7" t="n">
        <v>-0.113</v>
      </c>
      <c r="S61" s="7" t="n">
        <v>-0.085</v>
      </c>
      <c r="T61" s="7" t="n">
        <v>-0.166</v>
      </c>
      <c r="U61" s="7" t="n">
        <v>-0.53</v>
      </c>
      <c r="V61" s="7" t="n">
        <v>-0.1</v>
      </c>
      <c r="W61" s="7" t="n">
        <v>-0.068</v>
      </c>
      <c r="X61" s="7" t="n">
        <v>0.498</v>
      </c>
      <c r="Y61" s="7" t="n">
        <v>0.219</v>
      </c>
      <c r="Z61" s="7" t="n">
        <v>-0.085</v>
      </c>
      <c r="AA61" s="7" t="n">
        <v>-0.206</v>
      </c>
      <c r="AB61" s="7" t="n">
        <v>-0.873</v>
      </c>
      <c r="AC61" s="7" t="n">
        <v>-0.068</v>
      </c>
      <c r="AD61" s="7" t="n">
        <v>0.289</v>
      </c>
      <c r="AE61" s="7" t="n">
        <v>0.51</v>
      </c>
      <c r="AF61" s="7" t="n">
        <v>0.397</v>
      </c>
      <c r="AG61" s="7" t="n">
        <v>-0.016</v>
      </c>
      <c r="AH61" s="7" t="n">
        <v>0.077</v>
      </c>
      <c r="AI61" s="7" t="n">
        <v>-0.827</v>
      </c>
      <c r="AJ61" s="7" t="n">
        <v>-0.866</v>
      </c>
      <c r="AK61" s="7" t="n">
        <v>-0.888</v>
      </c>
      <c r="AL61" s="7" t="n">
        <v>0.041</v>
      </c>
      <c r="AM61" s="7" t="n">
        <v>-0.804</v>
      </c>
      <c r="AN61" s="7" t="n">
        <v>-0.203</v>
      </c>
      <c r="AO61" s="7" t="n">
        <v>0.136</v>
      </c>
      <c r="AP61" s="7" t="n">
        <v>0.072</v>
      </c>
      <c r="AQ61" s="7" t="n">
        <v>-0.068</v>
      </c>
    </row>
    <row r="62" customFormat="false" ht="15" hidden="false" customHeight="false" outlineLevel="0" collapsed="false">
      <c r="A62" s="23" t="n">
        <v>46379</v>
      </c>
      <c r="B62" s="7" t="n">
        <v>0.379</v>
      </c>
      <c r="C62" s="7" t="n">
        <v>-0.102</v>
      </c>
      <c r="D62" s="7" t="n">
        <v>0.88</v>
      </c>
      <c r="E62" s="7" t="n">
        <v>-0.084</v>
      </c>
      <c r="F62" s="7" t="n">
        <v>-0.173</v>
      </c>
      <c r="G62" s="7" t="n">
        <v>0.957</v>
      </c>
      <c r="H62" s="7" t="n">
        <v>0.632</v>
      </c>
      <c r="I62" s="7" t="n">
        <v>0.527</v>
      </c>
      <c r="J62" s="7" t="n">
        <v>0.023</v>
      </c>
      <c r="K62" s="7" t="n">
        <v>-0.548</v>
      </c>
      <c r="L62" s="7" t="n">
        <v>-0.052</v>
      </c>
      <c r="M62" s="7" t="n">
        <v>-0.053</v>
      </c>
      <c r="N62" s="7" t="n">
        <v>0.473</v>
      </c>
      <c r="O62" s="7" t="n">
        <v>0.825</v>
      </c>
      <c r="P62" s="7" t="n">
        <v>0.93</v>
      </c>
      <c r="Q62" s="7" t="n">
        <v>0.044</v>
      </c>
      <c r="R62" s="7" t="n">
        <v>0.648</v>
      </c>
      <c r="S62" s="7" t="n">
        <v>-0.084</v>
      </c>
      <c r="T62" s="7" t="n">
        <v>-0.158</v>
      </c>
      <c r="U62" s="7" t="n">
        <v>-0.597</v>
      </c>
      <c r="V62" s="7" t="n">
        <v>0.537</v>
      </c>
      <c r="W62" s="7" t="n">
        <v>-0.091</v>
      </c>
      <c r="X62" s="7" t="n">
        <v>0.923</v>
      </c>
      <c r="Y62" s="7" t="n">
        <v>-0.059</v>
      </c>
      <c r="Z62" s="7" t="n">
        <v>-0.084</v>
      </c>
      <c r="AA62" s="7" t="n">
        <v>-0.305</v>
      </c>
      <c r="AB62" s="7" t="n">
        <v>0.023</v>
      </c>
      <c r="AC62" s="7" t="n">
        <v>-0.091</v>
      </c>
      <c r="AD62" s="7" t="n">
        <v>0.742</v>
      </c>
      <c r="AE62" s="7" t="n">
        <v>0.473</v>
      </c>
      <c r="AF62" s="7" t="n">
        <v>0.385</v>
      </c>
      <c r="AG62" s="7" t="n">
        <v>-0.258</v>
      </c>
      <c r="AH62" s="7" t="n">
        <v>0.092</v>
      </c>
      <c r="AI62" s="7" t="n">
        <v>-0.124</v>
      </c>
      <c r="AJ62" s="7" t="n">
        <v>0.64</v>
      </c>
      <c r="AK62" s="7" t="n">
        <v>-0.317</v>
      </c>
      <c r="AL62" s="7" t="n">
        <v>0.775</v>
      </c>
      <c r="AM62" s="7" t="n">
        <v>-0.033</v>
      </c>
      <c r="AN62" s="7" t="n">
        <v>0.66</v>
      </c>
      <c r="AO62" s="7" t="n">
        <v>0.128</v>
      </c>
      <c r="AP62" s="7" t="n">
        <v>0.073</v>
      </c>
      <c r="AQ62" s="7" t="n">
        <v>-0.091</v>
      </c>
    </row>
    <row r="63" customFormat="false" ht="15" hidden="false" customHeight="false" outlineLevel="0" collapsed="false">
      <c r="A63" s="23" t="n">
        <v>46380</v>
      </c>
      <c r="B63" s="7" t="n">
        <v>-0.242</v>
      </c>
      <c r="C63" s="7" t="n">
        <v>-0.603</v>
      </c>
      <c r="D63" s="7" t="n">
        <v>-0.124</v>
      </c>
      <c r="E63" s="7" t="n">
        <v>0.028</v>
      </c>
      <c r="F63" s="7" t="n">
        <v>-0.324</v>
      </c>
      <c r="G63" s="7" t="n">
        <v>0.102</v>
      </c>
      <c r="H63" s="7" t="n">
        <v>-0.296</v>
      </c>
      <c r="I63" s="7" t="n">
        <v>-0.322</v>
      </c>
      <c r="J63" s="7" t="n">
        <v>0.128</v>
      </c>
      <c r="K63" s="7" t="n">
        <v>0.082</v>
      </c>
      <c r="L63" s="7" t="n">
        <v>-0.212</v>
      </c>
      <c r="M63" s="7" t="n">
        <v>-0.375</v>
      </c>
      <c r="N63" s="7" t="n">
        <v>0.058</v>
      </c>
      <c r="O63" s="7" t="n">
        <v>0.053</v>
      </c>
      <c r="P63" s="7" t="n">
        <v>0.591</v>
      </c>
      <c r="Q63" s="7" t="n">
        <v>0.137</v>
      </c>
      <c r="R63" s="7" t="n">
        <v>-0.312</v>
      </c>
      <c r="S63" s="7" t="n">
        <v>-0.193</v>
      </c>
      <c r="T63" s="7" t="n">
        <v>-0.296</v>
      </c>
      <c r="U63" s="7" t="n">
        <v>-0.448</v>
      </c>
      <c r="V63" s="7" t="n">
        <v>0.04</v>
      </c>
      <c r="W63" s="7" t="n">
        <v>0</v>
      </c>
      <c r="X63" s="7" t="n">
        <v>0.494</v>
      </c>
      <c r="Y63" s="7" t="n">
        <v>0.488</v>
      </c>
      <c r="Z63" s="7" t="n">
        <v>0.023</v>
      </c>
      <c r="AA63" s="7" t="n">
        <v>-0.341</v>
      </c>
      <c r="AB63" s="7" t="n">
        <v>0.128</v>
      </c>
      <c r="AC63" s="7" t="n">
        <v>0</v>
      </c>
      <c r="AD63" s="7" t="n">
        <v>-0.098</v>
      </c>
      <c r="AE63" s="7" t="n">
        <v>0.127</v>
      </c>
      <c r="AF63" s="7" t="n">
        <v>0.232</v>
      </c>
      <c r="AG63" s="7" t="n">
        <v>-0.155</v>
      </c>
      <c r="AH63" s="7" t="n">
        <v>0.14</v>
      </c>
      <c r="AI63" s="7" t="n">
        <v>0.076</v>
      </c>
      <c r="AJ63" s="7" t="n">
        <v>-0.322</v>
      </c>
      <c r="AK63" s="7" t="n">
        <v>-0.351</v>
      </c>
      <c r="AL63" s="7" t="n">
        <v>0.119</v>
      </c>
      <c r="AM63" s="7" t="n">
        <v>0.076</v>
      </c>
      <c r="AN63" s="7" t="n">
        <v>-0.388</v>
      </c>
      <c r="AO63" s="7" t="n">
        <v>-0.234</v>
      </c>
      <c r="AP63" s="7" t="n">
        <v>-0.283</v>
      </c>
      <c r="AQ63" s="7" t="n">
        <v>0</v>
      </c>
    </row>
    <row r="64" customFormat="false" ht="15" hidden="false" customHeight="false" outlineLevel="0" collapsed="false">
      <c r="A64" s="23" t="n">
        <v>46381</v>
      </c>
      <c r="B64" s="7" t="n">
        <v>0.178</v>
      </c>
      <c r="C64" s="7" t="n">
        <v>-0.062</v>
      </c>
      <c r="D64" s="7" t="n">
        <v>-0.061</v>
      </c>
      <c r="E64" s="7" t="n">
        <v>0.112</v>
      </c>
      <c r="F64" s="7" t="n">
        <v>0.298</v>
      </c>
      <c r="G64" s="7" t="n">
        <v>-0.052</v>
      </c>
      <c r="H64" s="7" t="n">
        <v>-0.333</v>
      </c>
      <c r="I64" s="7" t="n">
        <v>-0.286</v>
      </c>
      <c r="J64" s="7" t="n">
        <v>0.804</v>
      </c>
      <c r="K64" s="7" t="n">
        <v>0.243</v>
      </c>
      <c r="L64" s="7" t="n">
        <v>-0.276</v>
      </c>
      <c r="M64" s="7" t="n">
        <v>0.314</v>
      </c>
      <c r="N64" s="7" t="n">
        <v>0.605</v>
      </c>
      <c r="O64" s="7" t="n">
        <v>0.658</v>
      </c>
      <c r="P64" s="7" t="n">
        <v>0.608</v>
      </c>
      <c r="Q64" s="7" t="n">
        <v>0.091</v>
      </c>
      <c r="R64" s="7" t="n">
        <v>-0.333</v>
      </c>
      <c r="S64" s="7" t="n">
        <v>-0.124</v>
      </c>
      <c r="T64" s="7" t="n">
        <v>-0.294</v>
      </c>
      <c r="U64" s="7" t="n">
        <v>-0.54</v>
      </c>
      <c r="V64" s="7" t="n">
        <v>-0.127</v>
      </c>
      <c r="W64" s="7" t="n">
        <v>0</v>
      </c>
      <c r="X64" s="7" t="n">
        <v>0.548</v>
      </c>
      <c r="Y64" s="7" t="n">
        <v>0.093</v>
      </c>
      <c r="Z64" s="7" t="n">
        <v>0.187</v>
      </c>
      <c r="AA64" s="7" t="n">
        <v>-0.415</v>
      </c>
      <c r="AB64" s="7" t="n">
        <v>0.685</v>
      </c>
      <c r="AC64" s="7" t="n">
        <v>-0.047</v>
      </c>
      <c r="AD64" s="7" t="n">
        <v>0.023</v>
      </c>
      <c r="AE64" s="7" t="n">
        <v>0.648</v>
      </c>
      <c r="AF64" s="7" t="n">
        <v>0.085</v>
      </c>
      <c r="AG64" s="7" t="n">
        <v>-0.155</v>
      </c>
      <c r="AH64" s="7" t="n">
        <v>0.714</v>
      </c>
      <c r="AI64" s="7" t="n">
        <v>0.005</v>
      </c>
      <c r="AJ64" s="7" t="n">
        <v>-0.286</v>
      </c>
      <c r="AK64" s="7" t="n">
        <v>-0.371</v>
      </c>
      <c r="AL64" s="7" t="n">
        <v>0.71</v>
      </c>
      <c r="AM64" s="7" t="n">
        <v>0.052</v>
      </c>
      <c r="AN64" s="7" t="n">
        <v>-0.333</v>
      </c>
      <c r="AO64" s="7" t="n">
        <v>0.473</v>
      </c>
      <c r="AP64" s="7" t="n">
        <v>-0.28</v>
      </c>
      <c r="AQ64" s="7" t="n">
        <v>-0.047</v>
      </c>
    </row>
    <row r="65" customFormat="false" ht="15" hidden="false" customHeight="false" outlineLevel="0" collapsed="false">
      <c r="A65" s="23" t="n">
        <v>46382</v>
      </c>
      <c r="B65" s="7" t="n">
        <v>-0.496</v>
      </c>
      <c r="C65" s="7" t="n">
        <v>-0.965</v>
      </c>
      <c r="D65" s="7" t="n">
        <v>0.021</v>
      </c>
      <c r="E65" s="7" t="n">
        <v>0.008</v>
      </c>
      <c r="F65" s="7" t="n">
        <v>-0.291</v>
      </c>
      <c r="G65" s="7" t="n">
        <v>0.089</v>
      </c>
      <c r="H65" s="7" t="n">
        <v>-0.943</v>
      </c>
      <c r="I65" s="7" t="n">
        <v>-0.982</v>
      </c>
      <c r="J65" s="7" t="n">
        <v>-0.28</v>
      </c>
      <c r="K65" s="7" t="n">
        <v>-0.308</v>
      </c>
      <c r="L65" s="7" t="n">
        <v>-0.454</v>
      </c>
      <c r="M65" s="7" t="n">
        <v>-0.23</v>
      </c>
      <c r="N65" s="7" t="n">
        <v>-0.358</v>
      </c>
      <c r="O65" s="7" t="n">
        <v>-0.422</v>
      </c>
      <c r="P65" s="7" t="n">
        <v>0.614</v>
      </c>
      <c r="Q65" s="7" t="n">
        <v>0.165</v>
      </c>
      <c r="R65" s="7" t="n">
        <v>-0.95</v>
      </c>
      <c r="S65" s="7" t="n">
        <v>0.008</v>
      </c>
      <c r="T65" s="7" t="n">
        <v>-0.976</v>
      </c>
      <c r="U65" s="7" t="n">
        <v>-0.336</v>
      </c>
      <c r="V65" s="7" t="n">
        <v>-0.947</v>
      </c>
      <c r="W65" s="7" t="n">
        <v>0</v>
      </c>
      <c r="X65" s="7" t="n">
        <v>0.499</v>
      </c>
      <c r="Y65" s="7" t="n">
        <v>-0.025</v>
      </c>
      <c r="Z65" s="7" t="n">
        <v>0.008</v>
      </c>
      <c r="AA65" s="7" t="n">
        <v>-0.958</v>
      </c>
      <c r="AB65" s="7" t="n">
        <v>-0.639</v>
      </c>
      <c r="AC65" s="7" t="n">
        <v>0</v>
      </c>
      <c r="AD65" s="7" t="n">
        <v>-0.181</v>
      </c>
      <c r="AE65" s="7" t="n">
        <v>0.094</v>
      </c>
      <c r="AF65" s="7" t="n">
        <v>0</v>
      </c>
      <c r="AG65" s="7" t="n">
        <v>-0.471</v>
      </c>
      <c r="AH65" s="7" t="n">
        <v>0.055</v>
      </c>
      <c r="AI65" s="7" t="n">
        <v>-0.511</v>
      </c>
      <c r="AJ65" s="7" t="n">
        <v>-0.973</v>
      </c>
      <c r="AK65" s="7" t="n">
        <v>-0.977</v>
      </c>
      <c r="AL65" s="7" t="n">
        <v>0.125</v>
      </c>
      <c r="AM65" s="7" t="n">
        <v>-0.511</v>
      </c>
      <c r="AN65" s="7" t="n">
        <v>-0.919</v>
      </c>
      <c r="AO65" s="7" t="n">
        <v>0.094</v>
      </c>
      <c r="AP65" s="7" t="n">
        <v>0.075</v>
      </c>
      <c r="AQ65" s="7" t="n">
        <v>0</v>
      </c>
    </row>
    <row r="66" customFormat="false" ht="15" hidden="false" customHeight="false" outlineLevel="0" collapsed="false">
      <c r="A66" s="23" t="n">
        <v>46383</v>
      </c>
      <c r="B66" s="7" t="n">
        <v>-0.006</v>
      </c>
      <c r="C66" s="7" t="n">
        <v>-0.569</v>
      </c>
      <c r="D66" s="7" t="n">
        <v>-0.076</v>
      </c>
      <c r="E66" s="7" t="n">
        <v>0.582</v>
      </c>
      <c r="F66" s="7" t="n">
        <v>0.27</v>
      </c>
      <c r="G66" s="7" t="n">
        <v>0.081</v>
      </c>
      <c r="H66" s="7" t="n">
        <v>-0.41</v>
      </c>
      <c r="I66" s="7" t="n">
        <v>-0.827</v>
      </c>
      <c r="J66" s="7" t="n">
        <v>-0.081</v>
      </c>
      <c r="K66" s="7" t="n">
        <v>0.538</v>
      </c>
      <c r="L66" s="7" t="n">
        <v>-0.356</v>
      </c>
      <c r="M66" s="7" t="n">
        <v>-0.221</v>
      </c>
      <c r="N66" s="7" t="n">
        <v>0.205</v>
      </c>
      <c r="O66" s="7" t="n">
        <v>-0.265</v>
      </c>
      <c r="P66" s="7" t="n">
        <v>0.582</v>
      </c>
      <c r="Q66" s="7" t="n">
        <v>0.165</v>
      </c>
      <c r="R66" s="7" t="n">
        <v>-0.41</v>
      </c>
      <c r="S66" s="7" t="n">
        <v>0.116</v>
      </c>
      <c r="T66" s="7" t="n">
        <v>-0.337</v>
      </c>
      <c r="U66" s="7" t="n">
        <v>-0.337</v>
      </c>
      <c r="V66" s="7" t="n">
        <v>-0.605</v>
      </c>
      <c r="W66" s="7" t="n">
        <v>0</v>
      </c>
      <c r="X66" s="7" t="n">
        <v>0.462</v>
      </c>
      <c r="Y66" s="7" t="n">
        <v>-0.121</v>
      </c>
      <c r="Z66" s="7" t="n">
        <v>0.684</v>
      </c>
      <c r="AA66" s="7" t="n">
        <v>-0.475</v>
      </c>
      <c r="AB66" s="7" t="n">
        <v>-0.61</v>
      </c>
      <c r="AC66" s="7" t="n">
        <v>0</v>
      </c>
      <c r="AD66" s="7" t="n">
        <v>-0.053</v>
      </c>
      <c r="AE66" s="7" t="n">
        <v>0.586</v>
      </c>
      <c r="AF66" s="7" t="n">
        <v>0.39</v>
      </c>
      <c r="AG66" s="7" t="n">
        <v>-0.543</v>
      </c>
      <c r="AH66" s="7" t="n">
        <v>0.099</v>
      </c>
      <c r="AI66" s="7" t="n">
        <v>-0.495</v>
      </c>
      <c r="AJ66" s="7" t="n">
        <v>-0.752</v>
      </c>
      <c r="AK66" s="7" t="n">
        <v>-0.785</v>
      </c>
      <c r="AL66" s="7" t="n">
        <v>0.117</v>
      </c>
      <c r="AM66" s="7" t="n">
        <v>-0.495</v>
      </c>
      <c r="AN66" s="7" t="n">
        <v>-0.41</v>
      </c>
      <c r="AO66" s="7" t="n">
        <v>0.229</v>
      </c>
      <c r="AP66" s="7" t="n">
        <v>0.169</v>
      </c>
      <c r="AQ66" s="7" t="n">
        <v>0</v>
      </c>
    </row>
    <row r="67" customFormat="false" ht="15" hidden="false" customHeight="false" outlineLevel="0" collapsed="false">
      <c r="A67" s="23" t="n">
        <v>46384</v>
      </c>
      <c r="B67" s="7" t="n">
        <v>-0.021</v>
      </c>
      <c r="C67" s="7" t="n">
        <v>-0.312</v>
      </c>
      <c r="D67" s="7" t="n">
        <v>0.487</v>
      </c>
      <c r="E67" s="7" t="n">
        <v>-0.173</v>
      </c>
      <c r="F67" s="7" t="n">
        <v>-0.31</v>
      </c>
      <c r="G67" s="7" t="n">
        <v>0.096</v>
      </c>
      <c r="H67" s="7" t="n">
        <v>-0.291</v>
      </c>
      <c r="I67" s="7" t="n">
        <v>0.154</v>
      </c>
      <c r="J67" s="7" t="n">
        <v>0.184</v>
      </c>
      <c r="K67" s="7" t="n">
        <v>-0.39</v>
      </c>
      <c r="L67" s="7" t="n">
        <v>0.078</v>
      </c>
      <c r="M67" s="7" t="n">
        <v>0.073</v>
      </c>
      <c r="N67" s="7" t="n">
        <v>0.073</v>
      </c>
      <c r="O67" s="7" t="n">
        <v>0.09</v>
      </c>
      <c r="P67" s="7" t="n">
        <v>0.72</v>
      </c>
      <c r="Q67" s="7" t="n">
        <v>0.164</v>
      </c>
      <c r="R67" s="7" t="n">
        <v>-0.132</v>
      </c>
      <c r="S67" s="7" t="n">
        <v>0.003</v>
      </c>
      <c r="T67" s="7" t="n">
        <v>-0.455</v>
      </c>
      <c r="U67" s="7" t="n">
        <v>0.376</v>
      </c>
      <c r="V67" s="7" t="n">
        <v>-0.081</v>
      </c>
      <c r="W67" s="7" t="n">
        <v>0</v>
      </c>
      <c r="X67" s="7" t="n">
        <v>0.631</v>
      </c>
      <c r="Y67" s="7" t="n">
        <v>0.819</v>
      </c>
      <c r="Z67" s="7" t="n">
        <v>-0.173</v>
      </c>
      <c r="AA67" s="7" t="n">
        <v>-0.225</v>
      </c>
      <c r="AB67" s="7" t="n">
        <v>0.184</v>
      </c>
      <c r="AC67" s="7" t="n">
        <v>0</v>
      </c>
      <c r="AD67" s="7" t="n">
        <v>-0.079</v>
      </c>
      <c r="AE67" s="7" t="n">
        <v>0.073</v>
      </c>
      <c r="AF67" s="7" t="n">
        <v>0</v>
      </c>
      <c r="AG67" s="7" t="n">
        <v>-0.155</v>
      </c>
      <c r="AH67" s="7" t="n">
        <v>0.655</v>
      </c>
      <c r="AI67" s="7" t="n">
        <v>0.096</v>
      </c>
      <c r="AJ67" s="7" t="n">
        <v>-0.201</v>
      </c>
      <c r="AK67" s="7" t="n">
        <v>-0.291</v>
      </c>
      <c r="AL67" s="7" t="n">
        <v>0.658</v>
      </c>
      <c r="AM67" s="7" t="n">
        <v>0.096</v>
      </c>
      <c r="AN67" s="7" t="n">
        <v>-0.291</v>
      </c>
      <c r="AO67" s="7" t="n">
        <v>0.587</v>
      </c>
      <c r="AP67" s="7" t="n">
        <v>-0.018</v>
      </c>
      <c r="AQ67" s="7" t="n">
        <v>0</v>
      </c>
    </row>
    <row r="68" customFormat="false" ht="15" hidden="false" customHeight="false" outlineLevel="0" collapsed="false">
      <c r="A68" s="23" t="n">
        <v>46385</v>
      </c>
      <c r="B68" s="7" t="n">
        <v>0.259</v>
      </c>
      <c r="C68" s="7" t="n">
        <v>-0.224</v>
      </c>
      <c r="D68" s="7" t="n">
        <v>-0.061</v>
      </c>
      <c r="E68" s="7" t="n">
        <v>-0.123</v>
      </c>
      <c r="F68" s="7" t="n">
        <v>0.356</v>
      </c>
      <c r="G68" s="7" t="n">
        <v>0.096</v>
      </c>
      <c r="H68" s="7" t="n">
        <v>-0.332</v>
      </c>
      <c r="I68" s="7" t="n">
        <v>-0.255</v>
      </c>
      <c r="J68" s="7" t="n">
        <v>0.179</v>
      </c>
      <c r="K68" s="7" t="n">
        <v>-0.345</v>
      </c>
      <c r="L68" s="7" t="n">
        <v>0.118</v>
      </c>
      <c r="M68" s="7" t="n">
        <v>0.129</v>
      </c>
      <c r="N68" s="7" t="n">
        <v>0.644</v>
      </c>
      <c r="O68" s="7" t="n">
        <v>0.582</v>
      </c>
      <c r="P68" s="7" t="n">
        <v>0.64</v>
      </c>
      <c r="Q68" s="7" t="n">
        <v>0.164</v>
      </c>
      <c r="R68" s="7" t="n">
        <v>-0.332</v>
      </c>
      <c r="S68" s="7" t="n">
        <v>-0.123</v>
      </c>
      <c r="T68" s="7" t="n">
        <v>-0.27</v>
      </c>
      <c r="U68" s="7" t="n">
        <v>0.41</v>
      </c>
      <c r="V68" s="7" t="n">
        <v>-0.126</v>
      </c>
      <c r="W68" s="7" t="n">
        <v>0</v>
      </c>
      <c r="X68" s="7" t="n">
        <v>0.532</v>
      </c>
      <c r="Y68" s="7" t="n">
        <v>0.781</v>
      </c>
      <c r="Z68" s="7" t="n">
        <v>-0.123</v>
      </c>
      <c r="AA68" s="7" t="n">
        <v>-0.415</v>
      </c>
      <c r="AB68" s="7" t="n">
        <v>0.179</v>
      </c>
      <c r="AC68" s="7" t="n">
        <v>0</v>
      </c>
      <c r="AD68" s="7" t="n">
        <v>-0.028</v>
      </c>
      <c r="AE68" s="7" t="n">
        <v>0.644</v>
      </c>
      <c r="AF68" s="7" t="n">
        <v>0.367</v>
      </c>
      <c r="AG68" s="7" t="n">
        <v>-0.155</v>
      </c>
      <c r="AH68" s="7" t="n">
        <v>0.615</v>
      </c>
      <c r="AI68" s="7" t="n">
        <v>0.085</v>
      </c>
      <c r="AJ68" s="7" t="n">
        <v>-0.255</v>
      </c>
      <c r="AK68" s="7" t="n">
        <v>-0.342</v>
      </c>
      <c r="AL68" s="7" t="n">
        <v>0.615</v>
      </c>
      <c r="AM68" s="7" t="n">
        <v>0.085</v>
      </c>
      <c r="AN68" s="7" t="n">
        <v>-0.332</v>
      </c>
      <c r="AO68" s="7" t="n">
        <v>0.623</v>
      </c>
      <c r="AP68" s="7" t="n">
        <v>0.034</v>
      </c>
      <c r="AQ68" s="7" t="n">
        <v>0</v>
      </c>
    </row>
    <row r="69" customFormat="false" ht="15" hidden="false" customHeight="false" outlineLevel="0" collapsed="false">
      <c r="A69" s="23" t="n">
        <v>46386</v>
      </c>
      <c r="B69" s="7" t="n">
        <v>0.018</v>
      </c>
      <c r="C69" s="7" t="n">
        <v>-0.597</v>
      </c>
      <c r="D69" s="7" t="n">
        <v>0.05</v>
      </c>
      <c r="E69" s="7" t="n">
        <v>-0.034</v>
      </c>
      <c r="F69" s="7" t="n">
        <v>-0.017</v>
      </c>
      <c r="G69" s="7" t="n">
        <v>0.07</v>
      </c>
      <c r="H69" s="7" t="n">
        <v>-0.44</v>
      </c>
      <c r="I69" s="7" t="n">
        <v>-0.462</v>
      </c>
      <c r="J69" s="7" t="n">
        <v>0.034</v>
      </c>
      <c r="K69" s="7" t="n">
        <v>0.361</v>
      </c>
      <c r="L69" s="7" t="n">
        <v>-0.124</v>
      </c>
      <c r="M69" s="7" t="n">
        <v>-0.318</v>
      </c>
      <c r="N69" s="7" t="n">
        <v>0.359</v>
      </c>
      <c r="O69" s="7" t="n">
        <v>0.096</v>
      </c>
      <c r="P69" s="7" t="n">
        <v>0.597</v>
      </c>
      <c r="Q69" s="7" t="n">
        <v>0.164</v>
      </c>
      <c r="R69" s="7" t="n">
        <v>-0.44</v>
      </c>
      <c r="S69" s="7" t="n">
        <v>0.25</v>
      </c>
      <c r="T69" s="7" t="n">
        <v>-0.36</v>
      </c>
      <c r="U69" s="7" t="n">
        <v>-0.178</v>
      </c>
      <c r="V69" s="7" t="n">
        <v>-0.248</v>
      </c>
      <c r="W69" s="7" t="n">
        <v>0</v>
      </c>
      <c r="X69" s="7" t="n">
        <v>0.48</v>
      </c>
      <c r="Y69" s="7" t="n">
        <v>0.337</v>
      </c>
      <c r="Z69" s="7" t="n">
        <v>0.556</v>
      </c>
      <c r="AA69" s="7" t="n">
        <v>-0.494</v>
      </c>
      <c r="AB69" s="7" t="n">
        <v>-0.255</v>
      </c>
      <c r="AC69" s="7" t="n">
        <v>0</v>
      </c>
      <c r="AD69" s="7" t="n">
        <v>0.203</v>
      </c>
      <c r="AE69" s="7" t="n">
        <v>0.359</v>
      </c>
      <c r="AF69" s="7" t="n">
        <v>0.076</v>
      </c>
      <c r="AG69" s="7" t="n">
        <v>-0.195</v>
      </c>
      <c r="AH69" s="7" t="n">
        <v>0.133</v>
      </c>
      <c r="AI69" s="7" t="n">
        <v>-0.028</v>
      </c>
      <c r="AJ69" s="7" t="n">
        <v>-0.462</v>
      </c>
      <c r="AK69" s="7" t="n">
        <v>-0.515</v>
      </c>
      <c r="AL69" s="7" t="n">
        <v>0.14</v>
      </c>
      <c r="AM69" s="7" t="n">
        <v>-0.028</v>
      </c>
      <c r="AN69" s="7" t="n">
        <v>-0.44</v>
      </c>
      <c r="AO69" s="7" t="n">
        <v>0</v>
      </c>
      <c r="AP69" s="7" t="n">
        <v>-0.096</v>
      </c>
      <c r="AQ69" s="7" t="n">
        <v>0</v>
      </c>
    </row>
    <row r="70" customFormat="false" ht="15" hidden="false" customHeight="false" outlineLevel="0" collapsed="false">
      <c r="A70" s="23" t="n">
        <v>46387</v>
      </c>
      <c r="B70" s="7" t="n">
        <v>-0.286</v>
      </c>
      <c r="C70" s="7" t="n">
        <v>-0.95</v>
      </c>
      <c r="D70" s="7" t="n">
        <v>-0.027</v>
      </c>
      <c r="E70" s="7" t="n">
        <v>0.149</v>
      </c>
      <c r="F70" s="7" t="n">
        <v>-0.035</v>
      </c>
      <c r="G70" s="7" t="n">
        <v>0.019</v>
      </c>
      <c r="H70" s="7" t="n">
        <v>-0.483</v>
      </c>
      <c r="I70" s="7" t="n">
        <v>-0.959</v>
      </c>
      <c r="J70" s="7" t="n">
        <v>-0.27</v>
      </c>
      <c r="K70" s="7" t="n">
        <v>0.325</v>
      </c>
      <c r="L70" s="7" t="n">
        <v>-0.867</v>
      </c>
      <c r="M70" s="7" t="n">
        <v>-0.323</v>
      </c>
      <c r="N70" s="7" t="n">
        <v>-0.645</v>
      </c>
      <c r="O70" s="7" t="n">
        <v>-0.787</v>
      </c>
      <c r="P70" s="7" t="n">
        <v>0.537</v>
      </c>
      <c r="Q70" s="7" t="n">
        <v>0.167</v>
      </c>
      <c r="R70" s="7" t="n">
        <v>-0.483</v>
      </c>
      <c r="S70" s="7" t="n">
        <v>0.204</v>
      </c>
      <c r="T70" s="7" t="n">
        <v>-0.361</v>
      </c>
      <c r="U70" s="7" t="n">
        <v>-0.321</v>
      </c>
      <c r="V70" s="7" t="n">
        <v>-0.621</v>
      </c>
      <c r="W70" s="7" t="n">
        <v>0</v>
      </c>
      <c r="X70" s="7" t="n">
        <v>0.407</v>
      </c>
      <c r="Y70" s="7" t="n">
        <v>0.069</v>
      </c>
      <c r="Z70" s="7" t="n">
        <v>0.508</v>
      </c>
      <c r="AA70" s="7" t="n">
        <v>-0.498</v>
      </c>
      <c r="AB70" s="7" t="n">
        <v>-0.928</v>
      </c>
      <c r="AC70" s="7" t="n">
        <v>0</v>
      </c>
      <c r="AD70" s="7" t="n">
        <v>-0.033</v>
      </c>
      <c r="AE70" s="7" t="n">
        <v>0.344</v>
      </c>
      <c r="AF70" s="7" t="n">
        <v>0.059</v>
      </c>
      <c r="AG70" s="7" t="n">
        <v>-0.396</v>
      </c>
      <c r="AH70" s="7" t="n">
        <v>0.1</v>
      </c>
      <c r="AI70" s="7" t="n">
        <v>-0.84</v>
      </c>
      <c r="AJ70" s="7" t="n">
        <v>-0.941</v>
      </c>
      <c r="AK70" s="7" t="n">
        <v>-0.943</v>
      </c>
      <c r="AL70" s="7" t="n">
        <v>0.057</v>
      </c>
      <c r="AM70" s="7" t="n">
        <v>-0.84</v>
      </c>
      <c r="AN70" s="7" t="n">
        <v>-0.483</v>
      </c>
      <c r="AO70" s="7" t="n">
        <v>-0.04</v>
      </c>
      <c r="AP70" s="7" t="n">
        <v>-0.102</v>
      </c>
      <c r="AQ70" s="7" t="n">
        <v>0</v>
      </c>
    </row>
    <row r="71" customFormat="false" ht="15" hidden="false" customHeight="false" outlineLevel="0" collapsed="false">
      <c r="A71" s="23" t="n">
        <v>46388</v>
      </c>
      <c r="B71" s="7" t="n">
        <v>-0.114</v>
      </c>
      <c r="C71" s="7" t="n">
        <v>-0.543</v>
      </c>
      <c r="D71" s="7" t="n">
        <v>0.427</v>
      </c>
      <c r="E71" s="7" t="n">
        <v>-0.15</v>
      </c>
      <c r="F71" s="7" t="n">
        <v>-0.224</v>
      </c>
      <c r="G71" s="7" t="n">
        <v>0.454</v>
      </c>
      <c r="H71" s="7" t="n">
        <v>-0.185</v>
      </c>
      <c r="I71" s="7" t="n">
        <v>-0.236</v>
      </c>
      <c r="J71" s="7" t="n">
        <v>0.023</v>
      </c>
      <c r="K71" s="7" t="n">
        <v>-0.369</v>
      </c>
      <c r="L71" s="7" t="n">
        <v>-0.51</v>
      </c>
      <c r="M71" s="7" t="n">
        <v>0.068</v>
      </c>
      <c r="N71" s="7" t="n">
        <v>0.165</v>
      </c>
      <c r="O71" s="7" t="n">
        <v>0.257</v>
      </c>
      <c r="P71" s="7" t="n">
        <v>0.641</v>
      </c>
      <c r="Q71" s="7" t="n">
        <v>-0.343</v>
      </c>
      <c r="R71" s="7" t="n">
        <v>-0.157</v>
      </c>
      <c r="S71" s="7" t="n">
        <v>-0.15</v>
      </c>
      <c r="T71" s="7" t="n">
        <v>-0.263</v>
      </c>
      <c r="U71" s="7" t="n">
        <v>-0.538</v>
      </c>
      <c r="V71" s="7" t="n">
        <v>-0.165</v>
      </c>
      <c r="W71" s="7" t="n">
        <v>-0.449</v>
      </c>
      <c r="X71" s="7" t="n">
        <v>0.64</v>
      </c>
      <c r="Y71" s="7" t="n">
        <v>-0.321</v>
      </c>
      <c r="Z71" s="7" t="n">
        <v>-0.15</v>
      </c>
      <c r="AA71" s="7" t="n">
        <v>-0.485</v>
      </c>
      <c r="AB71" s="7" t="n">
        <v>0.023</v>
      </c>
      <c r="AC71" s="7" t="n">
        <v>-0.485</v>
      </c>
      <c r="AD71" s="7" t="n">
        <v>-0.004</v>
      </c>
      <c r="AE71" s="7" t="n">
        <v>0.165</v>
      </c>
      <c r="AF71" s="7" t="n">
        <v>-0.009</v>
      </c>
      <c r="AG71" s="7" t="n">
        <v>-0.362</v>
      </c>
      <c r="AH71" s="7" t="n">
        <v>0.1</v>
      </c>
      <c r="AI71" s="7" t="n">
        <v>-0.207</v>
      </c>
      <c r="AJ71" s="7" t="n">
        <v>-0.109</v>
      </c>
      <c r="AK71" s="7" t="n">
        <v>-0.447</v>
      </c>
      <c r="AL71" s="7" t="n">
        <v>0.234</v>
      </c>
      <c r="AM71" s="7" t="n">
        <v>-0.039</v>
      </c>
      <c r="AN71" s="7" t="n">
        <v>-0.07</v>
      </c>
      <c r="AO71" s="7" t="n">
        <v>0.068</v>
      </c>
      <c r="AP71" s="7" t="n">
        <v>0.006</v>
      </c>
      <c r="AQ71" s="7" t="n">
        <v>-0.169</v>
      </c>
    </row>
    <row r="72" customFormat="false" ht="15" hidden="false" customHeight="false" outlineLevel="0" collapsed="false">
      <c r="A72" s="23" t="n">
        <v>46389</v>
      </c>
      <c r="B72" s="7" t="n">
        <v>-0.153</v>
      </c>
      <c r="C72" s="7" t="n">
        <v>-0.472</v>
      </c>
      <c r="D72" s="7" t="n">
        <v>-0.093</v>
      </c>
      <c r="E72" s="7" t="n">
        <v>-0.129</v>
      </c>
      <c r="F72" s="7" t="n">
        <v>-0.251</v>
      </c>
      <c r="G72" s="7" t="n">
        <v>0.064</v>
      </c>
      <c r="H72" s="7" t="n">
        <v>-0.362</v>
      </c>
      <c r="I72" s="7" t="n">
        <v>-0.36</v>
      </c>
      <c r="J72" s="7" t="n">
        <v>0.017</v>
      </c>
      <c r="K72" s="7" t="n">
        <v>-0.351</v>
      </c>
      <c r="L72" s="7" t="n">
        <v>-0.396</v>
      </c>
      <c r="M72" s="7" t="n">
        <v>0.045</v>
      </c>
      <c r="N72" s="7" t="n">
        <v>0.256</v>
      </c>
      <c r="O72" s="7" t="n">
        <v>0.01</v>
      </c>
      <c r="P72" s="7" t="n">
        <v>0.539</v>
      </c>
      <c r="Q72" s="7" t="n">
        <v>-0.267</v>
      </c>
      <c r="R72" s="7" t="n">
        <v>-0.361</v>
      </c>
      <c r="S72" s="7" t="n">
        <v>-0.129</v>
      </c>
      <c r="T72" s="7" t="n">
        <v>-0.261</v>
      </c>
      <c r="U72" s="7" t="n">
        <v>-0.37</v>
      </c>
      <c r="V72" s="7" t="n">
        <v>0.011</v>
      </c>
      <c r="W72" s="7" t="n">
        <v>-0.377</v>
      </c>
      <c r="X72" s="7" t="n">
        <v>0.446</v>
      </c>
      <c r="Y72" s="7" t="n">
        <v>0.475</v>
      </c>
      <c r="Z72" s="7" t="n">
        <v>-0.129</v>
      </c>
      <c r="AA72" s="7" t="n">
        <v>-0.416</v>
      </c>
      <c r="AB72" s="7" t="n">
        <v>0.017</v>
      </c>
      <c r="AC72" s="7" t="n">
        <v>-0.419</v>
      </c>
      <c r="AD72" s="7" t="n">
        <v>0.473</v>
      </c>
      <c r="AE72" s="7" t="n">
        <v>0.256</v>
      </c>
      <c r="AF72" s="7" t="n">
        <v>0.108</v>
      </c>
      <c r="AG72" s="7" t="n">
        <v>-0.155</v>
      </c>
      <c r="AH72" s="7" t="n">
        <v>0.053</v>
      </c>
      <c r="AI72" s="7" t="n">
        <v>-0.051</v>
      </c>
      <c r="AJ72" s="7" t="n">
        <v>-0.36</v>
      </c>
      <c r="AK72" s="7" t="n">
        <v>-0.415</v>
      </c>
      <c r="AL72" s="7" t="n">
        <v>0.049</v>
      </c>
      <c r="AM72" s="7" t="n">
        <v>0</v>
      </c>
      <c r="AN72" s="7" t="n">
        <v>-0.36</v>
      </c>
      <c r="AO72" s="7" t="n">
        <v>0.045</v>
      </c>
      <c r="AP72" s="7" t="n">
        <v>0.028</v>
      </c>
      <c r="AQ72" s="7" t="n">
        <v>-0.051</v>
      </c>
    </row>
    <row r="73" customFormat="false" ht="15" hidden="false" customHeight="false" outlineLevel="0" collapsed="false">
      <c r="A73" s="23" t="n">
        <v>46390</v>
      </c>
      <c r="B73" s="7" t="n">
        <v>0.218</v>
      </c>
      <c r="C73" s="7" t="n">
        <v>0.156</v>
      </c>
      <c r="D73" s="7" t="n">
        <v>-0.088</v>
      </c>
      <c r="E73" s="7" t="n">
        <v>-0.124</v>
      </c>
      <c r="F73" s="7" t="n">
        <v>0.389</v>
      </c>
      <c r="G73" s="7" t="n">
        <v>0.069</v>
      </c>
      <c r="H73" s="7" t="n">
        <v>-0.356</v>
      </c>
      <c r="I73" s="7" t="n">
        <v>-0.356</v>
      </c>
      <c r="J73" s="7" t="n">
        <v>0.706</v>
      </c>
      <c r="K73" s="7" t="n">
        <v>-0.346</v>
      </c>
      <c r="L73" s="7" t="n">
        <v>-0.368</v>
      </c>
      <c r="M73" s="7" t="n">
        <v>0.475</v>
      </c>
      <c r="N73" s="7" t="n">
        <v>0.731</v>
      </c>
      <c r="O73" s="7" t="n">
        <v>0.581</v>
      </c>
      <c r="P73" s="7" t="n">
        <v>0.575</v>
      </c>
      <c r="Q73" s="7" t="n">
        <v>-0.24</v>
      </c>
      <c r="R73" s="7" t="n">
        <v>-0.356</v>
      </c>
      <c r="S73" s="7" t="n">
        <v>-0.124</v>
      </c>
      <c r="T73" s="7" t="n">
        <v>-0.261</v>
      </c>
      <c r="U73" s="7" t="n">
        <v>-0.335</v>
      </c>
      <c r="V73" s="7" t="n">
        <v>-0.152</v>
      </c>
      <c r="W73" s="7" t="n">
        <v>-0.384</v>
      </c>
      <c r="X73" s="7" t="n">
        <v>0.458</v>
      </c>
      <c r="Y73" s="7" t="n">
        <v>0.247</v>
      </c>
      <c r="Z73" s="7" t="n">
        <v>-0.124</v>
      </c>
      <c r="AA73" s="7" t="n">
        <v>-0.415</v>
      </c>
      <c r="AB73" s="7" t="n">
        <v>0.49</v>
      </c>
      <c r="AC73" s="7" t="n">
        <v>-0.396</v>
      </c>
      <c r="AD73" s="7" t="n">
        <v>-0.056</v>
      </c>
      <c r="AE73" s="7" t="n">
        <v>0.731</v>
      </c>
      <c r="AF73" s="7" t="n">
        <v>0.155</v>
      </c>
      <c r="AG73" s="7" t="n">
        <v>-0.155</v>
      </c>
      <c r="AH73" s="7" t="n">
        <v>0.587</v>
      </c>
      <c r="AI73" s="7" t="n">
        <v>-0.014</v>
      </c>
      <c r="AJ73" s="7" t="n">
        <v>-0.356</v>
      </c>
      <c r="AK73" s="7" t="n">
        <v>-0.415</v>
      </c>
      <c r="AL73" s="7" t="n">
        <v>0.582</v>
      </c>
      <c r="AM73" s="7" t="n">
        <v>0</v>
      </c>
      <c r="AN73" s="7" t="n">
        <v>-0.356</v>
      </c>
      <c r="AO73" s="7" t="n">
        <v>0.586</v>
      </c>
      <c r="AP73" s="7" t="n">
        <v>0.032</v>
      </c>
      <c r="AQ73" s="7" t="n">
        <v>-0.014</v>
      </c>
    </row>
    <row r="74" customFormat="false" ht="15" hidden="false" customHeight="false" outlineLevel="0" collapsed="false">
      <c r="A74" s="23" t="n">
        <v>46391</v>
      </c>
      <c r="B74" s="7" t="n">
        <v>-0.465</v>
      </c>
      <c r="C74" s="7" t="n">
        <v>-0.955</v>
      </c>
      <c r="D74" s="7" t="n">
        <v>0.271</v>
      </c>
      <c r="E74" s="7" t="n">
        <v>-0.024</v>
      </c>
      <c r="F74" s="7" t="n">
        <v>-0.616</v>
      </c>
      <c r="G74" s="7" t="n">
        <v>0.555</v>
      </c>
      <c r="H74" s="7" t="n">
        <v>-0.919</v>
      </c>
      <c r="I74" s="7" t="n">
        <v>-0.929</v>
      </c>
      <c r="J74" s="7" t="n">
        <v>0.01</v>
      </c>
      <c r="K74" s="7" t="n">
        <v>-0.341</v>
      </c>
      <c r="L74" s="7" t="n">
        <v>-0.107</v>
      </c>
      <c r="M74" s="7" t="n">
        <v>0.099</v>
      </c>
      <c r="N74" s="7" t="n">
        <v>0.003</v>
      </c>
      <c r="O74" s="7" t="n">
        <v>-0.036</v>
      </c>
      <c r="P74" s="7" t="n">
        <v>0.537</v>
      </c>
      <c r="Q74" s="7" t="n">
        <v>0.078</v>
      </c>
      <c r="R74" s="7" t="n">
        <v>-0.914</v>
      </c>
      <c r="S74" s="7" t="n">
        <v>0.348</v>
      </c>
      <c r="T74" s="7" t="n">
        <v>-0.947</v>
      </c>
      <c r="U74" s="7" t="n">
        <v>-0.448</v>
      </c>
      <c r="V74" s="7" t="n">
        <v>-0.864</v>
      </c>
      <c r="W74" s="7" t="n">
        <v>0</v>
      </c>
      <c r="X74" s="7" t="n">
        <v>0.479</v>
      </c>
      <c r="Y74" s="7" t="n">
        <v>0.355</v>
      </c>
      <c r="Z74" s="7" t="n">
        <v>-0.024</v>
      </c>
      <c r="AA74" s="7" t="n">
        <v>-0.923</v>
      </c>
      <c r="AB74" s="7" t="n">
        <v>0.01</v>
      </c>
      <c r="AC74" s="7" t="n">
        <v>-0.096</v>
      </c>
      <c r="AD74" s="7" t="n">
        <v>0.032</v>
      </c>
      <c r="AE74" s="7" t="n">
        <v>0.003</v>
      </c>
      <c r="AF74" s="7" t="n">
        <v>-0.096</v>
      </c>
      <c r="AG74" s="7" t="n">
        <v>-0.172</v>
      </c>
      <c r="AH74" s="7" t="n">
        <v>0.091</v>
      </c>
      <c r="AI74" s="7" t="n">
        <v>-0.145</v>
      </c>
      <c r="AJ74" s="7" t="n">
        <v>-0.909</v>
      </c>
      <c r="AK74" s="7" t="n">
        <v>-0.918</v>
      </c>
      <c r="AL74" s="7" t="n">
        <v>-0.009</v>
      </c>
      <c r="AM74" s="7" t="n">
        <v>-0.05</v>
      </c>
      <c r="AN74" s="7" t="n">
        <v>-0.9</v>
      </c>
      <c r="AO74" s="7" t="n">
        <v>0.099</v>
      </c>
      <c r="AP74" s="7" t="n">
        <v>0.039</v>
      </c>
      <c r="AQ74" s="7" t="n">
        <v>-0.096</v>
      </c>
    </row>
    <row r="75" customFormat="false" ht="15" hidden="false" customHeight="false" outlineLevel="0" collapsed="false">
      <c r="A75" s="23" t="n">
        <v>46392</v>
      </c>
      <c r="B75" s="7" t="n">
        <v>0.214</v>
      </c>
      <c r="C75" s="7" t="n">
        <v>-0.331</v>
      </c>
      <c r="D75" s="7" t="n">
        <v>0.242</v>
      </c>
      <c r="E75" s="7" t="n">
        <v>0.737</v>
      </c>
      <c r="F75" s="7" t="n">
        <v>-0.082</v>
      </c>
      <c r="G75" s="7" t="n">
        <v>0.712</v>
      </c>
      <c r="H75" s="7" t="n">
        <v>-0.239</v>
      </c>
      <c r="I75" s="7" t="n">
        <v>-0.307</v>
      </c>
      <c r="J75" s="7" t="n">
        <v>0.095</v>
      </c>
      <c r="K75" s="7" t="n">
        <v>0.673</v>
      </c>
      <c r="L75" s="7" t="n">
        <v>0.302</v>
      </c>
      <c r="M75" s="7" t="n">
        <v>0.138</v>
      </c>
      <c r="N75" s="7" t="n">
        <v>0.564</v>
      </c>
      <c r="O75" s="7" t="n">
        <v>0.347</v>
      </c>
      <c r="P75" s="7" t="n">
        <v>0.576</v>
      </c>
      <c r="Q75" s="7" t="n">
        <v>0.08</v>
      </c>
      <c r="R75" s="7" t="n">
        <v>-0.311</v>
      </c>
      <c r="S75" s="7" t="n">
        <v>0.432</v>
      </c>
      <c r="T75" s="7" t="n">
        <v>-0.708</v>
      </c>
      <c r="U75" s="7" t="n">
        <v>-0.5</v>
      </c>
      <c r="V75" s="7" t="n">
        <v>0.109</v>
      </c>
      <c r="W75" s="7" t="n">
        <v>0</v>
      </c>
      <c r="X75" s="7" t="n">
        <v>0.52</v>
      </c>
      <c r="Y75" s="7" t="n">
        <v>0.485</v>
      </c>
      <c r="Z75" s="7" t="n">
        <v>0.783</v>
      </c>
      <c r="AA75" s="7" t="n">
        <v>-0.547</v>
      </c>
      <c r="AB75" s="7" t="n">
        <v>0.095</v>
      </c>
      <c r="AC75" s="7" t="n">
        <v>-0.094</v>
      </c>
      <c r="AD75" s="7" t="n">
        <v>0.763</v>
      </c>
      <c r="AE75" s="7" t="n">
        <v>0.564</v>
      </c>
      <c r="AF75" s="7" t="n">
        <v>-0.116</v>
      </c>
      <c r="AG75" s="7" t="n">
        <v>0.06</v>
      </c>
      <c r="AH75" s="7" t="n">
        <v>0.102</v>
      </c>
      <c r="AI75" s="7" t="n">
        <v>-0.094</v>
      </c>
      <c r="AJ75" s="7" t="n">
        <v>-0.176</v>
      </c>
      <c r="AK75" s="7" t="n">
        <v>-0.439</v>
      </c>
      <c r="AL75" s="7" t="n">
        <v>0.203</v>
      </c>
      <c r="AM75" s="7" t="n">
        <v>0</v>
      </c>
      <c r="AN75" s="7" t="n">
        <v>-0.176</v>
      </c>
      <c r="AO75" s="7" t="n">
        <v>0.463</v>
      </c>
      <c r="AP75" s="7" t="n">
        <v>0.386</v>
      </c>
      <c r="AQ75" s="7" t="n">
        <v>-0.094</v>
      </c>
    </row>
    <row r="76" customFormat="false" ht="15" hidden="false" customHeight="false" outlineLevel="0" collapsed="false">
      <c r="A76" s="23" t="n">
        <v>46393</v>
      </c>
      <c r="B76" s="7" t="n">
        <v>-0.179</v>
      </c>
      <c r="C76" s="7" t="n">
        <v>-0.176</v>
      </c>
      <c r="D76" s="7" t="n">
        <v>-0.262</v>
      </c>
      <c r="E76" s="7" t="n">
        <v>-0.134</v>
      </c>
      <c r="F76" s="7" t="n">
        <v>0.092</v>
      </c>
      <c r="G76" s="7" t="n">
        <v>0.096</v>
      </c>
      <c r="H76" s="7" t="n">
        <v>-0.331</v>
      </c>
      <c r="I76" s="7" t="n">
        <v>-0.605</v>
      </c>
      <c r="J76" s="7" t="n">
        <v>0.752</v>
      </c>
      <c r="K76" s="7" t="n">
        <v>-0.355</v>
      </c>
      <c r="L76" s="7" t="n">
        <v>-0.018</v>
      </c>
      <c r="M76" s="7" t="n">
        <v>0.297</v>
      </c>
      <c r="N76" s="7" t="n">
        <v>0.552</v>
      </c>
      <c r="O76" s="7" t="n">
        <v>0.437</v>
      </c>
      <c r="P76" s="7" t="n">
        <v>0.534</v>
      </c>
      <c r="Q76" s="7" t="n">
        <v>0.059</v>
      </c>
      <c r="R76" s="7" t="n">
        <v>-0.672</v>
      </c>
      <c r="S76" s="7" t="n">
        <v>-0.421</v>
      </c>
      <c r="T76" s="7" t="n">
        <v>-0.836</v>
      </c>
      <c r="U76" s="7" t="n">
        <v>-0.462</v>
      </c>
      <c r="V76" s="7" t="n">
        <v>-0.539</v>
      </c>
      <c r="W76" s="7" t="n">
        <v>0</v>
      </c>
      <c r="X76" s="7" t="n">
        <v>0.06</v>
      </c>
      <c r="Y76" s="7" t="n">
        <v>0.11</v>
      </c>
      <c r="Z76" s="7" t="n">
        <v>-0.134</v>
      </c>
      <c r="AA76" s="7" t="n">
        <v>-0.722</v>
      </c>
      <c r="AB76" s="7" t="n">
        <v>0.424</v>
      </c>
      <c r="AC76" s="7" t="n">
        <v>-0.055</v>
      </c>
      <c r="AD76" s="7" t="n">
        <v>-0.475</v>
      </c>
      <c r="AE76" s="7" t="n">
        <v>0.552</v>
      </c>
      <c r="AF76" s="7" t="n">
        <v>-0.055</v>
      </c>
      <c r="AG76" s="7" t="n">
        <v>-0.155</v>
      </c>
      <c r="AH76" s="7" t="n">
        <v>0.362</v>
      </c>
      <c r="AI76" s="7" t="n">
        <v>-0.04</v>
      </c>
      <c r="AJ76" s="7" t="n">
        <v>-0.668</v>
      </c>
      <c r="AK76" s="7" t="n">
        <v>-0.717</v>
      </c>
      <c r="AL76" s="7" t="n">
        <v>0.124</v>
      </c>
      <c r="AM76" s="7" t="n">
        <v>0.015</v>
      </c>
      <c r="AN76" s="7" t="n">
        <v>-0.676</v>
      </c>
      <c r="AO76" s="7" t="n">
        <v>0.308</v>
      </c>
      <c r="AP76" s="7" t="n">
        <v>0.023</v>
      </c>
      <c r="AQ76" s="7" t="n">
        <v>-0.055</v>
      </c>
    </row>
    <row r="77" customFormat="false" ht="15" hidden="false" customHeight="false" outlineLevel="0" collapsed="false">
      <c r="A77" s="23" t="n">
        <v>46394</v>
      </c>
      <c r="B77" s="7" t="n">
        <v>-0.186</v>
      </c>
      <c r="C77" s="7" t="n">
        <v>-0.417</v>
      </c>
      <c r="D77" s="7" t="n">
        <v>-0.132</v>
      </c>
      <c r="E77" s="7" t="n">
        <v>-0.148</v>
      </c>
      <c r="F77" s="7" t="n">
        <v>-0.201</v>
      </c>
      <c r="G77" s="7" t="n">
        <v>0.024</v>
      </c>
      <c r="H77" s="7" t="n">
        <v>-0.394</v>
      </c>
      <c r="I77" s="7" t="n">
        <v>-0.35</v>
      </c>
      <c r="J77" s="7" t="n">
        <v>0.726</v>
      </c>
      <c r="K77" s="7" t="n">
        <v>-0.368</v>
      </c>
      <c r="L77" s="7" t="n">
        <v>-0.41</v>
      </c>
      <c r="M77" s="7" t="n">
        <v>-0.03</v>
      </c>
      <c r="N77" s="7" t="n">
        <v>0.316</v>
      </c>
      <c r="O77" s="7" t="n">
        <v>0.16</v>
      </c>
      <c r="P77" s="7" t="n">
        <v>0.54</v>
      </c>
      <c r="Q77" s="7" t="n">
        <v>-0.345</v>
      </c>
      <c r="R77" s="7" t="n">
        <v>-0.394</v>
      </c>
      <c r="S77" s="7" t="n">
        <v>-0.148</v>
      </c>
      <c r="T77" s="7" t="n">
        <v>-0.297</v>
      </c>
      <c r="U77" s="7" t="n">
        <v>-0.295</v>
      </c>
      <c r="V77" s="7" t="n">
        <v>-0.195</v>
      </c>
      <c r="W77" s="7" t="n">
        <v>-0.413</v>
      </c>
      <c r="X77" s="7" t="n">
        <v>0.481</v>
      </c>
      <c r="Y77" s="7" t="n">
        <v>0.304</v>
      </c>
      <c r="Z77" s="7" t="n">
        <v>-0.148</v>
      </c>
      <c r="AA77" s="7" t="n">
        <v>-0.414</v>
      </c>
      <c r="AB77" s="7" t="n">
        <v>0.364</v>
      </c>
      <c r="AC77" s="7" t="n">
        <v>-0.458</v>
      </c>
      <c r="AD77" s="7" t="n">
        <v>-0.124</v>
      </c>
      <c r="AE77" s="7" t="n">
        <v>0.316</v>
      </c>
      <c r="AF77" s="7" t="n">
        <v>-0.029</v>
      </c>
      <c r="AG77" s="7" t="n">
        <v>-0.155</v>
      </c>
      <c r="AH77" s="7" t="n">
        <v>0.286</v>
      </c>
      <c r="AI77" s="7" t="n">
        <v>-0.005</v>
      </c>
      <c r="AJ77" s="7" t="n">
        <v>-0.35</v>
      </c>
      <c r="AK77" s="7" t="n">
        <v>-0.371</v>
      </c>
      <c r="AL77" s="7" t="n">
        <v>0.063</v>
      </c>
      <c r="AM77" s="7" t="n">
        <v>0.052</v>
      </c>
      <c r="AN77" s="7" t="n">
        <v>-0.394</v>
      </c>
      <c r="AO77" s="7" t="n">
        <v>0.204</v>
      </c>
      <c r="AP77" s="7" t="n">
        <v>0.008</v>
      </c>
      <c r="AQ77" s="7" t="n">
        <v>-0.056</v>
      </c>
    </row>
    <row r="78" customFormat="false" ht="15" hidden="false" customHeight="false" outlineLevel="0" collapsed="false">
      <c r="A78" s="23" t="n">
        <v>46395</v>
      </c>
      <c r="B78" s="7" t="n">
        <v>0.05</v>
      </c>
      <c r="C78" s="7" t="n">
        <v>-0.143</v>
      </c>
      <c r="D78" s="7" t="n">
        <v>-0.061</v>
      </c>
      <c r="E78" s="7" t="n">
        <v>-0.157</v>
      </c>
      <c r="F78" s="7" t="n">
        <v>-0.052</v>
      </c>
      <c r="G78" s="7" t="n">
        <v>0.096</v>
      </c>
      <c r="H78" s="7" t="n">
        <v>-0.304</v>
      </c>
      <c r="I78" s="7" t="n">
        <v>-0.253</v>
      </c>
      <c r="J78" s="7" t="n">
        <v>0.664</v>
      </c>
      <c r="K78" s="7" t="n">
        <v>-0.376</v>
      </c>
      <c r="L78" s="7" t="n">
        <v>0.028</v>
      </c>
      <c r="M78" s="7" t="n">
        <v>0.035</v>
      </c>
      <c r="N78" s="7" t="n">
        <v>0.448</v>
      </c>
      <c r="O78" s="7" t="n">
        <v>0.91</v>
      </c>
      <c r="P78" s="7" t="n">
        <v>0.621</v>
      </c>
      <c r="Q78" s="7" t="n">
        <v>0.13</v>
      </c>
      <c r="R78" s="7" t="n">
        <v>-0.304</v>
      </c>
      <c r="S78" s="7" t="n">
        <v>-0.157</v>
      </c>
      <c r="T78" s="7" t="n">
        <v>-0.247</v>
      </c>
      <c r="U78" s="7" t="n">
        <v>0.701</v>
      </c>
      <c r="V78" s="7" t="n">
        <v>-0.095</v>
      </c>
      <c r="W78" s="7" t="n">
        <v>0</v>
      </c>
      <c r="X78" s="7" t="n">
        <v>0.534</v>
      </c>
      <c r="Y78" s="7" t="n">
        <v>0.947</v>
      </c>
      <c r="Z78" s="7" t="n">
        <v>-0.157</v>
      </c>
      <c r="AA78" s="7" t="n">
        <v>-0.388</v>
      </c>
      <c r="AB78" s="7" t="n">
        <v>0.309</v>
      </c>
      <c r="AC78" s="7" t="n">
        <v>-0.026</v>
      </c>
      <c r="AD78" s="7" t="n">
        <v>-0.063</v>
      </c>
      <c r="AE78" s="7" t="n">
        <v>0.448</v>
      </c>
      <c r="AF78" s="7" t="n">
        <v>-0.026</v>
      </c>
      <c r="AG78" s="7" t="n">
        <v>0.748</v>
      </c>
      <c r="AH78" s="7" t="n">
        <v>0.907</v>
      </c>
      <c r="AI78" s="7" t="n">
        <v>0.029</v>
      </c>
      <c r="AJ78" s="7" t="n">
        <v>-0.253</v>
      </c>
      <c r="AK78" s="7" t="n">
        <v>-0.341</v>
      </c>
      <c r="AL78" s="7" t="n">
        <v>0.859</v>
      </c>
      <c r="AM78" s="7" t="n">
        <v>0.055</v>
      </c>
      <c r="AN78" s="7" t="n">
        <v>-0.304</v>
      </c>
      <c r="AO78" s="7" t="n">
        <v>0.889</v>
      </c>
      <c r="AP78" s="7" t="n">
        <v>-0.001</v>
      </c>
      <c r="AQ78" s="7" t="n">
        <v>-0.026</v>
      </c>
    </row>
    <row r="79" customFormat="false" ht="15" hidden="false" customHeight="false" outlineLevel="0" collapsed="false">
      <c r="A79" s="23" t="n">
        <v>46396</v>
      </c>
      <c r="B79" s="7" t="n">
        <v>-0.482</v>
      </c>
      <c r="C79" s="7" t="n">
        <v>-0.541</v>
      </c>
      <c r="D79" s="7" t="n">
        <v>-0.061</v>
      </c>
      <c r="E79" s="7" t="n">
        <v>-0.083</v>
      </c>
      <c r="F79" s="7" t="n">
        <v>-0.44</v>
      </c>
      <c r="G79" s="7" t="n">
        <v>0.096</v>
      </c>
      <c r="H79" s="7" t="n">
        <v>-0.188</v>
      </c>
      <c r="I79" s="7" t="n">
        <v>-0.733</v>
      </c>
      <c r="J79" s="7" t="n">
        <v>-0.033</v>
      </c>
      <c r="K79" s="7" t="n">
        <v>-0.309</v>
      </c>
      <c r="L79" s="7" t="n">
        <v>-0.502</v>
      </c>
      <c r="M79" s="7" t="n">
        <v>0.089</v>
      </c>
      <c r="N79" s="7" t="n">
        <v>-0.446</v>
      </c>
      <c r="O79" s="7" t="n">
        <v>-0.503</v>
      </c>
      <c r="P79" s="7" t="n">
        <v>0.629</v>
      </c>
      <c r="Q79" s="7" t="n">
        <v>0.143</v>
      </c>
      <c r="R79" s="7" t="n">
        <v>-0.3</v>
      </c>
      <c r="S79" s="7" t="n">
        <v>-0.083</v>
      </c>
      <c r="T79" s="7" t="n">
        <v>-0.454</v>
      </c>
      <c r="U79" s="7" t="n">
        <v>-0.448</v>
      </c>
      <c r="V79" s="7" t="n">
        <v>-0.216</v>
      </c>
      <c r="W79" s="7" t="n">
        <v>0</v>
      </c>
      <c r="X79" s="7" t="n">
        <v>0.534</v>
      </c>
      <c r="Y79" s="7" t="n">
        <v>-0.211</v>
      </c>
      <c r="Z79" s="7" t="n">
        <v>-0.083</v>
      </c>
      <c r="AA79" s="7" t="n">
        <v>-0.384</v>
      </c>
      <c r="AB79" s="7" t="n">
        <v>-0.726</v>
      </c>
      <c r="AC79" s="7" t="n">
        <v>-0.024</v>
      </c>
      <c r="AD79" s="7" t="n">
        <v>-0.258</v>
      </c>
      <c r="AE79" s="7" t="n">
        <v>0.065</v>
      </c>
      <c r="AF79" s="7" t="n">
        <v>-0.024</v>
      </c>
      <c r="AG79" s="7" t="n">
        <v>-0.47</v>
      </c>
      <c r="AH79" s="7" t="n">
        <v>0.033</v>
      </c>
      <c r="AI79" s="7" t="n">
        <v>-0.555</v>
      </c>
      <c r="AJ79" s="7" t="n">
        <v>-0.673</v>
      </c>
      <c r="AK79" s="7" t="n">
        <v>-0.722</v>
      </c>
      <c r="AL79" s="7" t="n">
        <v>0.09</v>
      </c>
      <c r="AM79" s="7" t="n">
        <v>-0.539</v>
      </c>
      <c r="AN79" s="7" t="n">
        <v>-0.21</v>
      </c>
      <c r="AO79" s="7" t="n">
        <v>0.089</v>
      </c>
      <c r="AP79" s="7" t="n">
        <v>0.074</v>
      </c>
      <c r="AQ79" s="7" t="n">
        <v>-0.024</v>
      </c>
    </row>
    <row r="80" customFormat="false" ht="15" hidden="false" customHeight="false" outlineLevel="0" collapsed="false">
      <c r="A80" s="23" t="n">
        <v>46397</v>
      </c>
      <c r="B80" s="7" t="n">
        <v>-0.522</v>
      </c>
      <c r="C80" s="7" t="n">
        <v>-0.755</v>
      </c>
      <c r="D80" s="7" t="n">
        <v>-0.062</v>
      </c>
      <c r="E80" s="7" t="n">
        <v>-0.24</v>
      </c>
      <c r="F80" s="7" t="n">
        <v>-0.517</v>
      </c>
      <c r="G80" s="7" t="n">
        <v>0.095</v>
      </c>
      <c r="H80" s="7" t="n">
        <v>0.047</v>
      </c>
      <c r="I80" s="7" t="n">
        <v>-0.691</v>
      </c>
      <c r="J80" s="7" t="n">
        <v>-0.067</v>
      </c>
      <c r="K80" s="7" t="n">
        <v>-0.418</v>
      </c>
      <c r="L80" s="7" t="n">
        <v>-0.678</v>
      </c>
      <c r="M80" s="7" t="n">
        <v>-0.176</v>
      </c>
      <c r="N80" s="7" t="n">
        <v>-0.598</v>
      </c>
      <c r="O80" s="7" t="n">
        <v>-0.564</v>
      </c>
      <c r="P80" s="7" t="n">
        <v>0.554</v>
      </c>
      <c r="Q80" s="7" t="n">
        <v>0.028</v>
      </c>
      <c r="R80" s="7" t="n">
        <v>-0.034</v>
      </c>
      <c r="S80" s="7" t="n">
        <v>-0.24</v>
      </c>
      <c r="T80" s="7" t="n">
        <v>-0.324</v>
      </c>
      <c r="U80" s="7" t="n">
        <v>-0.532</v>
      </c>
      <c r="V80" s="7" t="n">
        <v>0.044</v>
      </c>
      <c r="W80" s="7" t="n">
        <v>0</v>
      </c>
      <c r="X80" s="7" t="n">
        <v>0.534</v>
      </c>
      <c r="Y80" s="7" t="n">
        <v>-0.078</v>
      </c>
      <c r="Z80" s="7" t="n">
        <v>-0.206</v>
      </c>
      <c r="AA80" s="7" t="n">
        <v>-0.129</v>
      </c>
      <c r="AB80" s="7" t="n">
        <v>-0.789</v>
      </c>
      <c r="AC80" s="7" t="n">
        <v>-0.005</v>
      </c>
      <c r="AD80" s="7" t="n">
        <v>-0.383</v>
      </c>
      <c r="AE80" s="7" t="n">
        <v>0.003</v>
      </c>
      <c r="AF80" s="7" t="n">
        <v>-0.005</v>
      </c>
      <c r="AG80" s="7" t="n">
        <v>-0.248</v>
      </c>
      <c r="AH80" s="7" t="n">
        <v>0.076</v>
      </c>
      <c r="AI80" s="7" t="n">
        <v>-0.649</v>
      </c>
      <c r="AJ80" s="7" t="n">
        <v>-0.678</v>
      </c>
      <c r="AK80" s="7" t="n">
        <v>-0.726</v>
      </c>
      <c r="AL80" s="7" t="n">
        <v>0.105</v>
      </c>
      <c r="AM80" s="7" t="n">
        <v>-0.646</v>
      </c>
      <c r="AN80" s="7" t="n">
        <v>-0.057</v>
      </c>
      <c r="AO80" s="7" t="n">
        <v>0.009</v>
      </c>
      <c r="AP80" s="7" t="n">
        <v>-0.052</v>
      </c>
      <c r="AQ80" s="7" t="n">
        <v>-0.005</v>
      </c>
    </row>
    <row r="81" customFormat="false" ht="15" hidden="false" customHeight="false" outlineLevel="0" collapsed="false">
      <c r="A81" s="23" t="n">
        <v>46398</v>
      </c>
      <c r="B81" s="7" t="n">
        <v>0.328</v>
      </c>
      <c r="C81" s="7" t="n">
        <v>-0.611</v>
      </c>
      <c r="D81" s="7" t="n">
        <v>0.953</v>
      </c>
      <c r="E81" s="7" t="n">
        <v>0.289</v>
      </c>
      <c r="F81" s="7" t="n">
        <v>-0.152</v>
      </c>
      <c r="G81" s="7" t="n">
        <v>0.974</v>
      </c>
      <c r="H81" s="7" t="n">
        <v>0.71</v>
      </c>
      <c r="I81" s="7" t="n">
        <v>0.794</v>
      </c>
      <c r="J81" s="7" t="n">
        <v>0.269</v>
      </c>
      <c r="K81" s="7" t="n">
        <v>-0.375</v>
      </c>
      <c r="L81" s="7" t="n">
        <v>0.058</v>
      </c>
      <c r="M81" s="7" t="n">
        <v>-0.1</v>
      </c>
      <c r="N81" s="7" t="n">
        <v>-0.404</v>
      </c>
      <c r="O81" s="7" t="n">
        <v>0.834</v>
      </c>
      <c r="P81" s="7" t="n">
        <v>0.959</v>
      </c>
      <c r="Q81" s="7" t="n">
        <v>0.01</v>
      </c>
      <c r="R81" s="7" t="n">
        <v>0.699</v>
      </c>
      <c r="S81" s="7" t="n">
        <v>-0.506</v>
      </c>
      <c r="T81" s="7" t="n">
        <v>-0.591</v>
      </c>
      <c r="U81" s="7" t="n">
        <v>-0.506</v>
      </c>
      <c r="V81" s="7" t="n">
        <v>0.881</v>
      </c>
      <c r="W81" s="7" t="n">
        <v>0</v>
      </c>
      <c r="X81" s="7" t="n">
        <v>0.958</v>
      </c>
      <c r="Y81" s="7" t="n">
        <v>0.162</v>
      </c>
      <c r="Z81" s="7" t="n">
        <v>-0.156</v>
      </c>
      <c r="AA81" s="7" t="n">
        <v>-0.342</v>
      </c>
      <c r="AB81" s="7" t="n">
        <v>0.171</v>
      </c>
      <c r="AC81" s="7" t="n">
        <v>-0.018</v>
      </c>
      <c r="AD81" s="7" t="n">
        <v>0.898</v>
      </c>
      <c r="AE81" s="7" t="n">
        <v>0.077</v>
      </c>
      <c r="AF81" s="7" t="n">
        <v>-0.018</v>
      </c>
      <c r="AG81" s="7" t="n">
        <v>-0.259</v>
      </c>
      <c r="AH81" s="7" t="n">
        <v>0.209</v>
      </c>
      <c r="AI81" s="7" t="n">
        <v>0.16</v>
      </c>
      <c r="AJ81" s="7" t="n">
        <v>0.536</v>
      </c>
      <c r="AK81" s="7" t="n">
        <v>-0.621</v>
      </c>
      <c r="AL81" s="7" t="n">
        <v>0.838</v>
      </c>
      <c r="AM81" s="7" t="n">
        <v>0.178</v>
      </c>
      <c r="AN81" s="7" t="n">
        <v>0.479</v>
      </c>
      <c r="AO81" s="7" t="n">
        <v>0.096</v>
      </c>
      <c r="AP81" s="7" t="n">
        <v>0</v>
      </c>
      <c r="AQ81" s="7" t="n">
        <v>-0.018</v>
      </c>
    </row>
    <row r="82" customFormat="false" ht="15" hidden="false" customHeight="false" outlineLevel="0" collapsed="false">
      <c r="A82" s="23" t="n">
        <v>46399</v>
      </c>
      <c r="B82" s="7" t="n">
        <v>-0.026</v>
      </c>
      <c r="C82" s="7" t="n">
        <v>-0.604</v>
      </c>
      <c r="D82" s="7" t="n">
        <v>-0.061</v>
      </c>
      <c r="E82" s="7" t="n">
        <v>0.33</v>
      </c>
      <c r="F82" s="7" t="n">
        <v>-0.164</v>
      </c>
      <c r="G82" s="7" t="n">
        <v>0.096</v>
      </c>
      <c r="H82" s="7" t="n">
        <v>0.404</v>
      </c>
      <c r="I82" s="7" t="n">
        <v>-0.091</v>
      </c>
      <c r="J82" s="7" t="n">
        <v>0.234</v>
      </c>
      <c r="K82" s="7" t="n">
        <v>-0.375</v>
      </c>
      <c r="L82" s="7" t="n">
        <v>0.045</v>
      </c>
      <c r="M82" s="7" t="n">
        <v>-0.108</v>
      </c>
      <c r="N82" s="7" t="n">
        <v>-0.42</v>
      </c>
      <c r="O82" s="7" t="n">
        <v>0.08</v>
      </c>
      <c r="P82" s="7" t="n">
        <v>0.527</v>
      </c>
      <c r="Q82" s="7" t="n">
        <v>-0.044</v>
      </c>
      <c r="R82" s="7" t="n">
        <v>0.394</v>
      </c>
      <c r="S82" s="7" t="n">
        <v>-0.499</v>
      </c>
      <c r="T82" s="7" t="n">
        <v>-0.621</v>
      </c>
      <c r="U82" s="7" t="n">
        <v>0.256</v>
      </c>
      <c r="V82" s="7" t="n">
        <v>0.74</v>
      </c>
      <c r="W82" s="7" t="n">
        <v>0</v>
      </c>
      <c r="X82" s="7" t="n">
        <v>0.558</v>
      </c>
      <c r="Y82" s="7" t="n">
        <v>0.678</v>
      </c>
      <c r="Z82" s="7" t="n">
        <v>-0.156</v>
      </c>
      <c r="AA82" s="7" t="n">
        <v>0.31</v>
      </c>
      <c r="AB82" s="7" t="n">
        <v>0.155</v>
      </c>
      <c r="AC82" s="7" t="n">
        <v>-0.016</v>
      </c>
      <c r="AD82" s="7" t="n">
        <v>0.796</v>
      </c>
      <c r="AE82" s="7" t="n">
        <v>0.08</v>
      </c>
      <c r="AF82" s="7" t="n">
        <v>-0.016</v>
      </c>
      <c r="AG82" s="7" t="n">
        <v>-0.245</v>
      </c>
      <c r="AH82" s="7" t="n">
        <v>0.172</v>
      </c>
      <c r="AI82" s="7" t="n">
        <v>0.126</v>
      </c>
      <c r="AJ82" s="7" t="n">
        <v>-0.521</v>
      </c>
      <c r="AK82" s="7" t="n">
        <v>-0.639</v>
      </c>
      <c r="AL82" s="7" t="n">
        <v>0.075</v>
      </c>
      <c r="AM82" s="7" t="n">
        <v>0.142</v>
      </c>
      <c r="AN82" s="7" t="n">
        <v>0.068</v>
      </c>
      <c r="AO82" s="7" t="n">
        <v>0.096</v>
      </c>
      <c r="AP82" s="7" t="n">
        <v>0</v>
      </c>
      <c r="AQ82" s="7" t="n">
        <v>-0.016</v>
      </c>
    </row>
    <row r="83" customFormat="false" ht="15" hidden="false" customHeight="false" outlineLevel="0" collapsed="false">
      <c r="A83" s="23" t="n">
        <v>46400</v>
      </c>
      <c r="B83" s="7" t="n">
        <v>0.525</v>
      </c>
      <c r="C83" s="7" t="n">
        <v>0.258</v>
      </c>
      <c r="D83" s="7" t="n">
        <v>0.096</v>
      </c>
      <c r="E83" s="7" t="n">
        <v>0.361</v>
      </c>
      <c r="F83" s="7" t="n">
        <v>0.862</v>
      </c>
      <c r="G83" s="7" t="n">
        <v>0.429</v>
      </c>
      <c r="H83" s="7" t="n">
        <v>-0.248</v>
      </c>
      <c r="I83" s="7" t="n">
        <v>-0.249</v>
      </c>
      <c r="J83" s="7" t="n">
        <v>0.949</v>
      </c>
      <c r="K83" s="7" t="n">
        <v>0</v>
      </c>
      <c r="L83" s="7" t="n">
        <v>-0.002</v>
      </c>
      <c r="M83" s="7" t="n">
        <v>0.865</v>
      </c>
      <c r="N83" s="7" t="n">
        <v>0.727</v>
      </c>
      <c r="O83" s="7" t="n">
        <v>0.868</v>
      </c>
      <c r="P83" s="7" t="n">
        <v>0.298</v>
      </c>
      <c r="Q83" s="7" t="n">
        <v>0.119</v>
      </c>
      <c r="R83" s="7" t="n">
        <v>-0.25</v>
      </c>
      <c r="S83" s="7" t="n">
        <v>-0.399</v>
      </c>
      <c r="T83" s="7" t="n">
        <v>-0.163</v>
      </c>
      <c r="U83" s="7" t="n">
        <v>-0.033</v>
      </c>
      <c r="V83" s="7" t="n">
        <v>-0.123</v>
      </c>
      <c r="W83" s="7" t="n">
        <v>0</v>
      </c>
      <c r="X83" s="7" t="n">
        <v>0.185</v>
      </c>
      <c r="Y83" s="7" t="n">
        <v>0.292</v>
      </c>
      <c r="Z83" s="7" t="n">
        <v>0</v>
      </c>
      <c r="AA83" s="7" t="n">
        <v>-0.338</v>
      </c>
      <c r="AB83" s="7" t="n">
        <v>0.905</v>
      </c>
      <c r="AC83" s="7" t="n">
        <v>-0.013</v>
      </c>
      <c r="AD83" s="7" t="n">
        <v>0.331</v>
      </c>
      <c r="AE83" s="7" t="n">
        <v>0.932</v>
      </c>
      <c r="AF83" s="7" t="n">
        <v>-0.013</v>
      </c>
      <c r="AG83" s="7" t="n">
        <v>-0.31</v>
      </c>
      <c r="AH83" s="7" t="n">
        <v>0.747</v>
      </c>
      <c r="AI83" s="7" t="n">
        <v>-0.002</v>
      </c>
      <c r="AJ83" s="7" t="n">
        <v>-0.578</v>
      </c>
      <c r="AK83" s="7" t="n">
        <v>-0.638</v>
      </c>
      <c r="AL83" s="7" t="n">
        <v>0.83</v>
      </c>
      <c r="AM83" s="7" t="n">
        <v>0.011</v>
      </c>
      <c r="AN83" s="7" t="n">
        <v>-0.585</v>
      </c>
      <c r="AO83" s="7" t="n">
        <v>0.84</v>
      </c>
      <c r="AP83" s="7" t="n">
        <v>0</v>
      </c>
      <c r="AQ83" s="7" t="n">
        <v>-0.013</v>
      </c>
    </row>
    <row r="84" customFormat="false" ht="15" hidden="false" customHeight="false" outlineLevel="0" collapsed="false">
      <c r="A84" s="23" t="n">
        <v>46401</v>
      </c>
      <c r="B84" s="7" t="n">
        <v>-0.353</v>
      </c>
      <c r="C84" s="7" t="n">
        <v>-0.971</v>
      </c>
      <c r="D84" s="7" t="n">
        <v>0.015</v>
      </c>
      <c r="E84" s="7" t="n">
        <v>0</v>
      </c>
      <c r="F84" s="7" t="n">
        <v>-0.156</v>
      </c>
      <c r="G84" s="7" t="n">
        <v>0.202</v>
      </c>
      <c r="H84" s="7" t="n">
        <v>-0.897</v>
      </c>
      <c r="I84" s="7" t="n">
        <v>-0.903</v>
      </c>
      <c r="J84" s="7" t="n">
        <v>-0.273</v>
      </c>
      <c r="K84" s="7" t="n">
        <v>0</v>
      </c>
      <c r="L84" s="7" t="n">
        <v>-0.138</v>
      </c>
      <c r="M84" s="7" t="n">
        <v>0.374</v>
      </c>
      <c r="N84" s="7" t="n">
        <v>-0.113</v>
      </c>
      <c r="O84" s="7" t="n">
        <v>-0.322</v>
      </c>
      <c r="P84" s="7" t="n">
        <v>0.338</v>
      </c>
      <c r="Q84" s="7" t="n">
        <v>0.071</v>
      </c>
      <c r="R84" s="7" t="n">
        <v>-0.878</v>
      </c>
      <c r="S84" s="7" t="n">
        <v>0</v>
      </c>
      <c r="T84" s="7" t="n">
        <v>-0.835</v>
      </c>
      <c r="U84" s="7" t="n">
        <v>-0.083</v>
      </c>
      <c r="V84" s="7" t="n">
        <v>-0.879</v>
      </c>
      <c r="W84" s="7" t="n">
        <v>0</v>
      </c>
      <c r="X84" s="7" t="n">
        <v>0.197</v>
      </c>
      <c r="Y84" s="7" t="n">
        <v>0.075</v>
      </c>
      <c r="Z84" s="7" t="n">
        <v>0</v>
      </c>
      <c r="AA84" s="7" t="n">
        <v>-0.881</v>
      </c>
      <c r="AB84" s="7" t="n">
        <v>-0.18</v>
      </c>
      <c r="AC84" s="7" t="n">
        <v>-0.143</v>
      </c>
      <c r="AD84" s="7" t="n">
        <v>0.015</v>
      </c>
      <c r="AE84" s="7" t="n">
        <v>0.143</v>
      </c>
      <c r="AF84" s="7" t="n">
        <v>-0.064</v>
      </c>
      <c r="AG84" s="7" t="n">
        <v>0</v>
      </c>
      <c r="AH84" s="7" t="n">
        <v>-0.387</v>
      </c>
      <c r="AI84" s="7" t="n">
        <v>-0.263</v>
      </c>
      <c r="AJ84" s="7" t="n">
        <v>-0.923</v>
      </c>
      <c r="AK84" s="7" t="n">
        <v>-0.935</v>
      </c>
      <c r="AL84" s="7" t="n">
        <v>-0.068</v>
      </c>
      <c r="AM84" s="7" t="n">
        <v>-0.203</v>
      </c>
      <c r="AN84" s="7" t="n">
        <v>-0.93</v>
      </c>
      <c r="AO84" s="7" t="n">
        <v>-0.021</v>
      </c>
      <c r="AP84" s="7" t="n">
        <v>0</v>
      </c>
      <c r="AQ84" s="7" t="n">
        <v>-0.064</v>
      </c>
    </row>
    <row r="85" customFormat="false" ht="15" hidden="false" customHeight="false" outlineLevel="0" collapsed="false">
      <c r="A85" s="23" t="n">
        <v>46402</v>
      </c>
      <c r="B85" s="7" t="n">
        <v>0.801</v>
      </c>
      <c r="C85" s="7" t="n">
        <v>0.437</v>
      </c>
      <c r="D85" s="7" t="n">
        <v>0.06</v>
      </c>
      <c r="E85" s="7" t="n">
        <v>0.942</v>
      </c>
      <c r="F85" s="7" t="n">
        <v>0.887</v>
      </c>
      <c r="G85" s="7" t="n">
        <v>0.195</v>
      </c>
      <c r="H85" s="7" t="n">
        <v>-0.332</v>
      </c>
      <c r="I85" s="7" t="n">
        <v>-0.062</v>
      </c>
      <c r="J85" s="7" t="n">
        <v>0.469</v>
      </c>
      <c r="K85" s="7" t="n">
        <v>0.942</v>
      </c>
      <c r="L85" s="7" t="n">
        <v>0.653</v>
      </c>
      <c r="M85" s="7" t="n">
        <v>0.719</v>
      </c>
      <c r="N85" s="7" t="n">
        <v>0.887</v>
      </c>
      <c r="O85" s="7" t="n">
        <v>0.803</v>
      </c>
      <c r="P85" s="7" t="n">
        <v>0.12</v>
      </c>
      <c r="Q85" s="7" t="n">
        <v>0.078</v>
      </c>
      <c r="R85" s="7" t="n">
        <v>-0.332</v>
      </c>
      <c r="S85" s="7" t="n">
        <v>0.817</v>
      </c>
      <c r="T85" s="7" t="n">
        <v>0.009</v>
      </c>
      <c r="U85" s="7" t="n">
        <v>0.037</v>
      </c>
      <c r="V85" s="7" t="n">
        <v>-0.332</v>
      </c>
      <c r="W85" s="7" t="n">
        <v>0</v>
      </c>
      <c r="X85" s="7" t="n">
        <v>0.142</v>
      </c>
      <c r="Y85" s="7" t="n">
        <v>0.124</v>
      </c>
      <c r="Z85" s="7" t="n">
        <v>0.942</v>
      </c>
      <c r="AA85" s="7" t="n">
        <v>-0.384</v>
      </c>
      <c r="AB85" s="7" t="n">
        <v>0.441</v>
      </c>
      <c r="AC85" s="7" t="n">
        <v>0.092</v>
      </c>
      <c r="AD85" s="7" t="n">
        <v>0.923</v>
      </c>
      <c r="AE85" s="7" t="n">
        <v>0.912</v>
      </c>
      <c r="AF85" s="7" t="n">
        <v>0.422</v>
      </c>
      <c r="AG85" s="7" t="n">
        <v>0</v>
      </c>
      <c r="AH85" s="7" t="n">
        <v>-0.17</v>
      </c>
      <c r="AI85" s="7" t="n">
        <v>-0.123</v>
      </c>
      <c r="AJ85" s="7" t="n">
        <v>-0.198</v>
      </c>
      <c r="AK85" s="7" t="n">
        <v>-0.322</v>
      </c>
      <c r="AL85" s="7" t="n">
        <v>0.006</v>
      </c>
      <c r="AM85" s="7" t="n">
        <v>-0.115</v>
      </c>
      <c r="AN85" s="7" t="n">
        <v>-0.407</v>
      </c>
      <c r="AO85" s="7" t="n">
        <v>0.767</v>
      </c>
      <c r="AP85" s="7" t="n">
        <v>0.673</v>
      </c>
      <c r="AQ85" s="7" t="n">
        <v>-0.008</v>
      </c>
    </row>
    <row r="86" customFormat="false" ht="15" hidden="false" customHeight="false" outlineLevel="0" collapsed="false">
      <c r="A86" s="23" t="n">
        <v>46403</v>
      </c>
      <c r="B86" s="7" t="n">
        <v>0.419</v>
      </c>
      <c r="C86" s="7" t="n">
        <v>-0.454</v>
      </c>
      <c r="D86" s="7" t="n">
        <v>0.77</v>
      </c>
      <c r="E86" s="7" t="n">
        <v>0.098</v>
      </c>
      <c r="F86" s="7" t="n">
        <v>-0.152</v>
      </c>
      <c r="G86" s="7" t="n">
        <v>0.923</v>
      </c>
      <c r="H86" s="7" t="n">
        <v>0.467</v>
      </c>
      <c r="I86" s="7" t="n">
        <v>0.603</v>
      </c>
      <c r="J86" s="7" t="n">
        <v>-0.157</v>
      </c>
      <c r="K86" s="7" t="n">
        <v>0.068</v>
      </c>
      <c r="L86" s="7" t="n">
        <v>0.113</v>
      </c>
      <c r="M86" s="7" t="n">
        <v>0.276</v>
      </c>
      <c r="N86" s="7" t="n">
        <v>-0.152</v>
      </c>
      <c r="O86" s="7" t="n">
        <v>-0.217</v>
      </c>
      <c r="P86" s="7" t="n">
        <v>0.57</v>
      </c>
      <c r="Q86" s="7" t="n">
        <v>0.077</v>
      </c>
      <c r="R86" s="7" t="n">
        <v>0.476</v>
      </c>
      <c r="S86" s="7" t="n">
        <v>0.56</v>
      </c>
      <c r="T86" s="7" t="n">
        <v>0.084</v>
      </c>
      <c r="U86" s="7" t="n">
        <v>0.042</v>
      </c>
      <c r="V86" s="7" t="n">
        <v>0.65</v>
      </c>
      <c r="W86" s="7" t="n">
        <v>0</v>
      </c>
      <c r="X86" s="7" t="n">
        <v>0.592</v>
      </c>
      <c r="Y86" s="7" t="n">
        <v>0.367</v>
      </c>
      <c r="Z86" s="7" t="n">
        <v>0.098</v>
      </c>
      <c r="AA86" s="7" t="n">
        <v>-0.074</v>
      </c>
      <c r="AB86" s="7" t="n">
        <v>0.078</v>
      </c>
      <c r="AC86" s="7" t="n">
        <v>-0.009</v>
      </c>
      <c r="AD86" s="7" t="n">
        <v>0.664</v>
      </c>
      <c r="AE86" s="7" t="n">
        <v>0.055</v>
      </c>
      <c r="AF86" s="7" t="n">
        <v>-0.009</v>
      </c>
      <c r="AG86" s="7" t="n">
        <v>0.462</v>
      </c>
      <c r="AH86" s="7" t="n">
        <v>-0.253</v>
      </c>
      <c r="AI86" s="7" t="n">
        <v>0.045</v>
      </c>
      <c r="AJ86" s="7" t="n">
        <v>0.396</v>
      </c>
      <c r="AK86" s="7" t="n">
        <v>-0.171</v>
      </c>
      <c r="AL86" s="7" t="n">
        <v>0.491</v>
      </c>
      <c r="AM86" s="7" t="n">
        <v>0.054</v>
      </c>
      <c r="AN86" s="7" t="n">
        <v>0.35</v>
      </c>
      <c r="AO86" s="7" t="n">
        <v>0.092</v>
      </c>
      <c r="AP86" s="7" t="n">
        <v>0.068</v>
      </c>
      <c r="AQ86" s="7" t="n">
        <v>-0.009</v>
      </c>
    </row>
    <row r="87" customFormat="false" ht="15" hidden="false" customHeight="false" outlineLevel="0" collapsed="false">
      <c r="A87" s="23" t="n">
        <v>46404</v>
      </c>
      <c r="B87" s="7" t="n">
        <v>1</v>
      </c>
      <c r="C87" s="7" t="n">
        <v>0.527</v>
      </c>
      <c r="D87" s="7" t="n">
        <v>0.802</v>
      </c>
      <c r="E87" s="7" t="n">
        <v>0.112</v>
      </c>
      <c r="F87" s="7" t="n">
        <v>0.805</v>
      </c>
      <c r="G87" s="7" t="n">
        <v>0.941</v>
      </c>
      <c r="H87" s="7" t="n">
        <v>0.487</v>
      </c>
      <c r="I87" s="7" t="n">
        <v>0.595</v>
      </c>
      <c r="J87" s="7" t="n">
        <v>-0.103</v>
      </c>
      <c r="K87" s="7" t="n">
        <v>0.067</v>
      </c>
      <c r="L87" s="7" t="n">
        <v>0.668</v>
      </c>
      <c r="M87" s="7" t="n">
        <v>0.126</v>
      </c>
      <c r="N87" s="7" t="n">
        <v>0.805</v>
      </c>
      <c r="O87" s="7" t="n">
        <v>0.649</v>
      </c>
      <c r="P87" s="7" t="n">
        <v>0.917</v>
      </c>
      <c r="Q87" s="7" t="n">
        <v>0.636</v>
      </c>
      <c r="R87" s="7" t="n">
        <v>0.453</v>
      </c>
      <c r="S87" s="7" t="n">
        <v>0.112</v>
      </c>
      <c r="T87" s="7" t="n">
        <v>0.073</v>
      </c>
      <c r="U87" s="7" t="n">
        <v>0.758</v>
      </c>
      <c r="V87" s="7" t="n">
        <v>0.607</v>
      </c>
      <c r="W87" s="7" t="n">
        <v>-0.1</v>
      </c>
      <c r="X87" s="7" t="n">
        <v>0.616</v>
      </c>
      <c r="Y87" s="7" t="n">
        <v>0.279</v>
      </c>
      <c r="Z87" s="7" t="n">
        <v>0.112</v>
      </c>
      <c r="AA87" s="7" t="n">
        <v>-0.107</v>
      </c>
      <c r="AB87" s="7" t="n">
        <v>0.133</v>
      </c>
      <c r="AC87" s="7" t="n">
        <v>0.583</v>
      </c>
      <c r="AD87" s="7" t="n">
        <v>0.61</v>
      </c>
      <c r="AE87" s="7" t="n">
        <v>0.88</v>
      </c>
      <c r="AF87" s="7" t="n">
        <v>0.839</v>
      </c>
      <c r="AG87" s="7" t="n">
        <v>0.462</v>
      </c>
      <c r="AH87" s="7" t="n">
        <v>-0.189</v>
      </c>
      <c r="AI87" s="7" t="n">
        <v>0.686</v>
      </c>
      <c r="AJ87" s="7" t="n">
        <v>0.318</v>
      </c>
      <c r="AK87" s="7" t="n">
        <v>-0.261</v>
      </c>
      <c r="AL87" s="7" t="n">
        <v>0.873</v>
      </c>
      <c r="AM87" s="7" t="n">
        <v>0.073</v>
      </c>
      <c r="AN87" s="7" t="n">
        <v>0.25</v>
      </c>
      <c r="AO87" s="7" t="n">
        <v>0.126</v>
      </c>
      <c r="AP87" s="7" t="n">
        <v>0.067</v>
      </c>
      <c r="AQ87" s="7" t="n">
        <v>0.645</v>
      </c>
    </row>
    <row r="88" customFormat="false" ht="15" hidden="false" customHeight="false" outlineLevel="0" collapsed="false">
      <c r="A88" s="23" t="n">
        <v>46405</v>
      </c>
      <c r="B88" s="7" t="n">
        <v>-0.387</v>
      </c>
      <c r="C88" s="7" t="n">
        <v>-0.791</v>
      </c>
      <c r="D88" s="7" t="n">
        <v>0.06</v>
      </c>
      <c r="E88" s="7" t="n">
        <v>0.036</v>
      </c>
      <c r="F88" s="7" t="n">
        <v>-0.439</v>
      </c>
      <c r="G88" s="7" t="n">
        <v>0.121</v>
      </c>
      <c r="H88" s="7" t="n">
        <v>-0.192</v>
      </c>
      <c r="I88" s="7" t="n">
        <v>-0.482</v>
      </c>
      <c r="J88" s="7" t="n">
        <v>-0.21</v>
      </c>
      <c r="K88" s="7" t="n">
        <v>0.036</v>
      </c>
      <c r="L88" s="7" t="n">
        <v>-0.82</v>
      </c>
      <c r="M88" s="7" t="n">
        <v>0.176</v>
      </c>
      <c r="N88" s="7" t="n">
        <v>-0.439</v>
      </c>
      <c r="O88" s="7" t="n">
        <v>-0.636</v>
      </c>
      <c r="P88" s="7" t="n">
        <v>-0.259</v>
      </c>
      <c r="Q88" s="7" t="n">
        <v>-0.748</v>
      </c>
      <c r="R88" s="7" t="n">
        <v>-0.202</v>
      </c>
      <c r="S88" s="7" t="n">
        <v>0.036</v>
      </c>
      <c r="T88" s="7" t="n">
        <v>0.18</v>
      </c>
      <c r="U88" s="7" t="n">
        <v>-0.44</v>
      </c>
      <c r="V88" s="7" t="n">
        <v>-0.344</v>
      </c>
      <c r="W88" s="7" t="n">
        <v>-0.792</v>
      </c>
      <c r="X88" s="7" t="n">
        <v>0.089</v>
      </c>
      <c r="Y88" s="7" t="n">
        <v>0.06</v>
      </c>
      <c r="Z88" s="7" t="n">
        <v>0.036</v>
      </c>
      <c r="AA88" s="7" t="n">
        <v>-0.258</v>
      </c>
      <c r="AB88" s="7" t="n">
        <v>0.023</v>
      </c>
      <c r="AC88" s="7" t="n">
        <v>-0.819</v>
      </c>
      <c r="AD88" s="7" t="n">
        <v>0.378</v>
      </c>
      <c r="AE88" s="7" t="n">
        <v>-0.202</v>
      </c>
      <c r="AF88" s="7" t="n">
        <v>-0.429</v>
      </c>
      <c r="AG88" s="7" t="n">
        <v>0.038</v>
      </c>
      <c r="AH88" s="7" t="n">
        <v>-0.129</v>
      </c>
      <c r="AI88" s="7" t="n">
        <v>-0.522</v>
      </c>
      <c r="AJ88" s="7" t="n">
        <v>-0.364</v>
      </c>
      <c r="AK88" s="7" t="n">
        <v>-0.415</v>
      </c>
      <c r="AL88" s="7" t="n">
        <v>-0.41</v>
      </c>
      <c r="AM88" s="7" t="n">
        <v>-0.037</v>
      </c>
      <c r="AN88" s="7" t="n">
        <v>-0.332</v>
      </c>
      <c r="AO88" s="7" t="n">
        <v>0.133</v>
      </c>
      <c r="AP88" s="7" t="n">
        <v>0.036</v>
      </c>
      <c r="AQ88" s="7" t="n">
        <v>-0.494</v>
      </c>
    </row>
    <row r="89" customFormat="false" ht="15" hidden="false" customHeight="false" outlineLevel="0" collapsed="false">
      <c r="A89" s="23" t="n">
        <v>46406</v>
      </c>
      <c r="B89" s="7" t="n">
        <v>-0.443</v>
      </c>
      <c r="C89" s="7" t="n">
        <v>-0.958</v>
      </c>
      <c r="D89" s="7" t="n">
        <v>0.06</v>
      </c>
      <c r="E89" s="7" t="n">
        <v>0.016</v>
      </c>
      <c r="F89" s="7" t="n">
        <v>-0.259</v>
      </c>
      <c r="G89" s="7" t="n">
        <v>0.028</v>
      </c>
      <c r="H89" s="7" t="n">
        <v>-0.224</v>
      </c>
      <c r="I89" s="7" t="n">
        <v>-0.937</v>
      </c>
      <c r="J89" s="7" t="n">
        <v>-0.664</v>
      </c>
      <c r="K89" s="7" t="n">
        <v>0.016</v>
      </c>
      <c r="L89" s="7" t="n">
        <v>-0.975</v>
      </c>
      <c r="M89" s="7" t="n">
        <v>0.156</v>
      </c>
      <c r="N89" s="7" t="n">
        <v>-0.883</v>
      </c>
      <c r="O89" s="7" t="n">
        <v>-0.931</v>
      </c>
      <c r="P89" s="7" t="n">
        <v>-0.017</v>
      </c>
      <c r="Q89" s="7" t="n">
        <v>-0.698</v>
      </c>
      <c r="R89" s="7" t="n">
        <v>-0.148</v>
      </c>
      <c r="S89" s="7" t="n">
        <v>0.016</v>
      </c>
      <c r="T89" s="7" t="n">
        <v>0.092</v>
      </c>
      <c r="U89" s="7" t="n">
        <v>-0.458</v>
      </c>
      <c r="V89" s="7" t="n">
        <v>-0.453</v>
      </c>
      <c r="W89" s="7" t="n">
        <v>-0.707</v>
      </c>
      <c r="X89" s="7" t="n">
        <v>0.091</v>
      </c>
      <c r="Y89" s="7" t="n">
        <v>-0.186</v>
      </c>
      <c r="Z89" s="7" t="n">
        <v>0.016</v>
      </c>
      <c r="AA89" s="7" t="n">
        <v>-0.206</v>
      </c>
      <c r="AB89" s="7" t="n">
        <v>-0.935</v>
      </c>
      <c r="AC89" s="7" t="n">
        <v>-0.752</v>
      </c>
      <c r="AD89" s="7" t="n">
        <v>0.244</v>
      </c>
      <c r="AE89" s="7" t="n">
        <v>0.003</v>
      </c>
      <c r="AF89" s="7" t="n">
        <v>-0.273</v>
      </c>
      <c r="AG89" s="7" t="n">
        <v>0</v>
      </c>
      <c r="AH89" s="7" t="n">
        <v>-0.187</v>
      </c>
      <c r="AI89" s="7" t="n">
        <v>-0.894</v>
      </c>
      <c r="AJ89" s="7" t="n">
        <v>-0.903</v>
      </c>
      <c r="AK89" s="7" t="n">
        <v>-0.913</v>
      </c>
      <c r="AL89" s="7" t="n">
        <v>-0.172</v>
      </c>
      <c r="AM89" s="7" t="n">
        <v>-0.84</v>
      </c>
      <c r="AN89" s="7" t="n">
        <v>-0.261</v>
      </c>
      <c r="AO89" s="7" t="n">
        <v>0.075</v>
      </c>
      <c r="AP89" s="7" t="n">
        <v>0.016</v>
      </c>
      <c r="AQ89" s="7" t="n">
        <v>-0.217</v>
      </c>
    </row>
    <row r="90" customFormat="false" ht="15" hidden="false" customHeight="false" outlineLevel="0" collapsed="false">
      <c r="A90" s="23" t="n">
        <v>46407</v>
      </c>
      <c r="B90" s="7" t="n">
        <v>0.622</v>
      </c>
      <c r="C90" s="7" t="n">
        <v>-0.173</v>
      </c>
      <c r="D90" s="7" t="n">
        <v>0.783</v>
      </c>
      <c r="E90" s="7" t="n">
        <v>0.732</v>
      </c>
      <c r="F90" s="7" t="n">
        <v>0.097</v>
      </c>
      <c r="G90" s="7" t="n">
        <v>0.882</v>
      </c>
      <c r="H90" s="7" t="n">
        <v>0.418</v>
      </c>
      <c r="I90" s="7" t="n">
        <v>0.431</v>
      </c>
      <c r="J90" s="7" t="n">
        <v>-0.184</v>
      </c>
      <c r="K90" s="7" t="n">
        <v>0.687</v>
      </c>
      <c r="L90" s="7" t="n">
        <v>-0.024</v>
      </c>
      <c r="M90" s="7" t="n">
        <v>0.146</v>
      </c>
      <c r="N90" s="7" t="n">
        <v>0.378</v>
      </c>
      <c r="O90" s="7" t="n">
        <v>0.35</v>
      </c>
      <c r="P90" s="7" t="n">
        <v>0.66</v>
      </c>
      <c r="Q90" s="7" t="n">
        <v>0.038</v>
      </c>
      <c r="R90" s="7" t="n">
        <v>0.489</v>
      </c>
      <c r="S90" s="7" t="n">
        <v>0.697</v>
      </c>
      <c r="T90" s="7" t="n">
        <v>0.173</v>
      </c>
      <c r="U90" s="7" t="n">
        <v>-0.25</v>
      </c>
      <c r="V90" s="7" t="n">
        <v>0.437</v>
      </c>
      <c r="W90" s="7" t="n">
        <v>0</v>
      </c>
      <c r="X90" s="7" t="n">
        <v>0.638</v>
      </c>
      <c r="Y90" s="7" t="n">
        <v>0.305</v>
      </c>
      <c r="Z90" s="7" t="n">
        <v>0.736</v>
      </c>
      <c r="AA90" s="7" t="n">
        <v>-0.086</v>
      </c>
      <c r="AB90" s="7" t="n">
        <v>0.05</v>
      </c>
      <c r="AC90" s="7" t="n">
        <v>-0.02</v>
      </c>
      <c r="AD90" s="7" t="n">
        <v>0.844</v>
      </c>
      <c r="AE90" s="7" t="n">
        <v>0.499</v>
      </c>
      <c r="AF90" s="7" t="n">
        <v>0.395</v>
      </c>
      <c r="AG90" s="7" t="n">
        <v>0.14</v>
      </c>
      <c r="AH90" s="7" t="n">
        <v>-0.225</v>
      </c>
      <c r="AI90" s="7" t="n">
        <v>-0.03</v>
      </c>
      <c r="AJ90" s="7" t="n">
        <v>0.38</v>
      </c>
      <c r="AK90" s="7" t="n">
        <v>-0.218</v>
      </c>
      <c r="AL90" s="7" t="n">
        <v>0.5</v>
      </c>
      <c r="AM90" s="7" t="n">
        <v>-0.009</v>
      </c>
      <c r="AN90" s="7" t="n">
        <v>0.388</v>
      </c>
      <c r="AO90" s="7" t="n">
        <v>0.065</v>
      </c>
      <c r="AP90" s="7" t="n">
        <v>0.005</v>
      </c>
      <c r="AQ90" s="7" t="n">
        <v>-0.02</v>
      </c>
    </row>
    <row r="91" customFormat="false" ht="15" hidden="false" customHeight="false" outlineLevel="0" collapsed="false">
      <c r="A91" s="23" t="n">
        <v>46408</v>
      </c>
      <c r="B91" s="7" t="n">
        <v>0.488</v>
      </c>
      <c r="C91" s="7" t="n">
        <v>-0.062</v>
      </c>
      <c r="D91" s="7" t="n">
        <v>0.015</v>
      </c>
      <c r="E91" s="7" t="n">
        <v>0.783</v>
      </c>
      <c r="F91" s="7" t="n">
        <v>0.367</v>
      </c>
      <c r="G91" s="7" t="n">
        <v>0.277</v>
      </c>
      <c r="H91" s="7" t="n">
        <v>0.081</v>
      </c>
      <c r="I91" s="7" t="n">
        <v>-0.198</v>
      </c>
      <c r="J91" s="7" t="n">
        <v>-0.174</v>
      </c>
      <c r="K91" s="7" t="n">
        <v>0.762</v>
      </c>
      <c r="L91" s="7" t="n">
        <v>0.115</v>
      </c>
      <c r="M91" s="7" t="n">
        <v>0.273</v>
      </c>
      <c r="N91" s="7" t="n">
        <v>0.482</v>
      </c>
      <c r="O91" s="7" t="n">
        <v>-0.196</v>
      </c>
      <c r="P91" s="7" t="n">
        <v>0.125</v>
      </c>
      <c r="Q91" s="7" t="n">
        <v>0.059</v>
      </c>
      <c r="R91" s="7" t="n">
        <v>0.157</v>
      </c>
      <c r="S91" s="7" t="n">
        <v>0.77</v>
      </c>
      <c r="T91" s="7" t="n">
        <v>0.192</v>
      </c>
      <c r="U91" s="7" t="n">
        <v>0.252</v>
      </c>
      <c r="V91" s="7" t="n">
        <v>0.102</v>
      </c>
      <c r="W91" s="7" t="n">
        <v>0</v>
      </c>
      <c r="X91" s="7" t="n">
        <v>0.067</v>
      </c>
      <c r="Y91" s="7" t="n">
        <v>0.467</v>
      </c>
      <c r="Z91" s="7" t="n">
        <v>0.792</v>
      </c>
      <c r="AA91" s="7" t="n">
        <v>0.143</v>
      </c>
      <c r="AB91" s="7" t="n">
        <v>0.06</v>
      </c>
      <c r="AC91" s="7" t="n">
        <v>-0.023</v>
      </c>
      <c r="AD91" s="7" t="n">
        <v>0.766</v>
      </c>
      <c r="AE91" s="7" t="n">
        <v>0.587</v>
      </c>
      <c r="AF91" s="7" t="n">
        <v>0.389</v>
      </c>
      <c r="AG91" s="7" t="n">
        <v>0.14</v>
      </c>
      <c r="AH91" s="7" t="n">
        <v>-0.226</v>
      </c>
      <c r="AI91" s="7" t="n">
        <v>-0.023</v>
      </c>
      <c r="AJ91" s="7" t="n">
        <v>-0.198</v>
      </c>
      <c r="AK91" s="7" t="n">
        <v>-0.213</v>
      </c>
      <c r="AL91" s="7" t="n">
        <v>-0.062</v>
      </c>
      <c r="AM91" s="7" t="n">
        <v>0</v>
      </c>
      <c r="AN91" s="7" t="n">
        <v>-0.044</v>
      </c>
      <c r="AO91" s="7" t="n">
        <v>0.196</v>
      </c>
      <c r="AP91" s="7" t="n">
        <v>0.137</v>
      </c>
      <c r="AQ91" s="7" t="n">
        <v>-0.023</v>
      </c>
    </row>
    <row r="92" customFormat="false" ht="15" hidden="false" customHeight="false" outlineLevel="0" collapsed="false">
      <c r="A92" s="23" t="n">
        <v>46409</v>
      </c>
      <c r="B92" s="7" t="n">
        <v>-0.173</v>
      </c>
      <c r="C92" s="7" t="n">
        <v>-0.695</v>
      </c>
      <c r="D92" s="7" t="n">
        <v>0.06</v>
      </c>
      <c r="E92" s="7" t="n">
        <v>0.001</v>
      </c>
      <c r="F92" s="7" t="n">
        <v>-0.091</v>
      </c>
      <c r="G92" s="7" t="n">
        <v>0.201</v>
      </c>
      <c r="H92" s="7" t="n">
        <v>-0.584</v>
      </c>
      <c r="I92" s="7" t="n">
        <v>-0.365</v>
      </c>
      <c r="J92" s="7" t="n">
        <v>0.281</v>
      </c>
      <c r="K92" s="7" t="n">
        <v>0.001</v>
      </c>
      <c r="L92" s="7" t="n">
        <v>0.005</v>
      </c>
      <c r="M92" s="7" t="n">
        <v>0.247</v>
      </c>
      <c r="N92" s="7" t="n">
        <v>-0.086</v>
      </c>
      <c r="O92" s="7" t="n">
        <v>-0.194</v>
      </c>
      <c r="P92" s="7" t="n">
        <v>0.168</v>
      </c>
      <c r="Q92" s="7" t="n">
        <v>0.161</v>
      </c>
      <c r="R92" s="7" t="n">
        <v>-0.569</v>
      </c>
      <c r="S92" s="7" t="n">
        <v>0.001</v>
      </c>
      <c r="T92" s="7" t="n">
        <v>-0.279</v>
      </c>
      <c r="U92" s="7" t="n">
        <v>-0.004</v>
      </c>
      <c r="V92" s="7" t="n">
        <v>-0.5</v>
      </c>
      <c r="W92" s="7" t="n">
        <v>0</v>
      </c>
      <c r="X92" s="7" t="n">
        <v>0.007</v>
      </c>
      <c r="Y92" s="7" t="n">
        <v>0.213</v>
      </c>
      <c r="Z92" s="7" t="n">
        <v>0.001</v>
      </c>
      <c r="AA92" s="7" t="n">
        <v>-0.608</v>
      </c>
      <c r="AB92" s="7" t="n">
        <v>0.249</v>
      </c>
      <c r="AC92" s="7" t="n">
        <v>-0.025</v>
      </c>
      <c r="AD92" s="7" t="n">
        <v>0.061</v>
      </c>
      <c r="AE92" s="7" t="n">
        <v>-0.017</v>
      </c>
      <c r="AF92" s="7" t="n">
        <v>-0.025</v>
      </c>
      <c r="AG92" s="7" t="n">
        <v>0</v>
      </c>
      <c r="AH92" s="7" t="n">
        <v>-0.155</v>
      </c>
      <c r="AI92" s="7" t="n">
        <v>0.004</v>
      </c>
      <c r="AJ92" s="7" t="n">
        <v>-0.473</v>
      </c>
      <c r="AK92" s="7" t="n">
        <v>-0.594</v>
      </c>
      <c r="AL92" s="7" t="n">
        <v>0.055</v>
      </c>
      <c r="AM92" s="7" t="n">
        <v>0.03</v>
      </c>
      <c r="AN92" s="7" t="n">
        <v>-0.574</v>
      </c>
      <c r="AO92" s="7" t="n">
        <v>0.061</v>
      </c>
      <c r="AP92" s="7" t="n">
        <v>0.001</v>
      </c>
      <c r="AQ92" s="7" t="n">
        <v>-0.025</v>
      </c>
    </row>
    <row r="93" customFormat="false" ht="15" hidden="false" customHeight="false" outlineLevel="0" collapsed="false">
      <c r="A93" s="23" t="n">
        <v>46410</v>
      </c>
      <c r="B93" s="7" t="n">
        <v>-0.362</v>
      </c>
      <c r="C93" s="7" t="n">
        <v>-0.812</v>
      </c>
      <c r="D93" s="7" t="n">
        <v>0.06</v>
      </c>
      <c r="E93" s="7" t="n">
        <v>0.369</v>
      </c>
      <c r="F93" s="7" t="n">
        <v>-0.357</v>
      </c>
      <c r="G93" s="7" t="n">
        <v>0.002</v>
      </c>
      <c r="H93" s="7" t="n">
        <v>-0.338</v>
      </c>
      <c r="I93" s="7" t="n">
        <v>-0.57</v>
      </c>
      <c r="J93" s="7" t="n">
        <v>-0.522</v>
      </c>
      <c r="K93" s="7" t="n">
        <v>0.363</v>
      </c>
      <c r="L93" s="7" t="n">
        <v>-0.276</v>
      </c>
      <c r="M93" s="7" t="n">
        <v>-0.058</v>
      </c>
      <c r="N93" s="7" t="n">
        <v>-0.408</v>
      </c>
      <c r="O93" s="7" t="n">
        <v>-0.418</v>
      </c>
      <c r="P93" s="7" t="n">
        <v>0.108</v>
      </c>
      <c r="Q93" s="7" t="n">
        <v>0.101</v>
      </c>
      <c r="R93" s="7" t="n">
        <v>-0.338</v>
      </c>
      <c r="S93" s="7" t="n">
        <v>0.122</v>
      </c>
      <c r="T93" s="7" t="n">
        <v>0.094</v>
      </c>
      <c r="U93" s="7" t="n">
        <v>-0.303</v>
      </c>
      <c r="V93" s="7" t="n">
        <v>-0.466</v>
      </c>
      <c r="W93" s="7" t="n">
        <v>0</v>
      </c>
      <c r="X93" s="7" t="n">
        <v>0.008</v>
      </c>
      <c r="Y93" s="7" t="n">
        <v>0.003</v>
      </c>
      <c r="Z93" s="7" t="n">
        <v>0.363</v>
      </c>
      <c r="AA93" s="7" t="n">
        <v>-0.39</v>
      </c>
      <c r="AB93" s="7" t="n">
        <v>-0.451</v>
      </c>
      <c r="AC93" s="7" t="n">
        <v>-0.077</v>
      </c>
      <c r="AD93" s="7" t="n">
        <v>0.148</v>
      </c>
      <c r="AE93" s="7" t="n">
        <v>-0.188</v>
      </c>
      <c r="AF93" s="7" t="n">
        <v>-0.142</v>
      </c>
      <c r="AG93" s="7" t="n">
        <v>0</v>
      </c>
      <c r="AH93" s="7" t="n">
        <v>-0.217</v>
      </c>
      <c r="AI93" s="7" t="n">
        <v>-0.188</v>
      </c>
      <c r="AJ93" s="7" t="n">
        <v>-0.434</v>
      </c>
      <c r="AK93" s="7" t="n">
        <v>-0.482</v>
      </c>
      <c r="AL93" s="7" t="n">
        <v>-0.009</v>
      </c>
      <c r="AM93" s="7" t="n">
        <v>-0.113</v>
      </c>
      <c r="AN93" s="7" t="n">
        <v>-0.338</v>
      </c>
      <c r="AO93" s="7" t="n">
        <v>-0.086</v>
      </c>
      <c r="AP93" s="7" t="n">
        <v>-0.093</v>
      </c>
      <c r="AQ93" s="7" t="n">
        <v>-0.077</v>
      </c>
    </row>
    <row r="94" customFormat="false" ht="15" hidden="false" customHeight="false" outlineLevel="0" collapsed="false">
      <c r="A94" s="23" t="n">
        <v>46411</v>
      </c>
      <c r="B94" s="7" t="n">
        <v>0.536</v>
      </c>
      <c r="C94" s="7" t="n">
        <v>-0.59</v>
      </c>
      <c r="D94" s="7" t="n">
        <v>0.963</v>
      </c>
      <c r="E94" s="7" t="n">
        <v>-0.126</v>
      </c>
      <c r="F94" s="7" t="n">
        <v>-0.094</v>
      </c>
      <c r="G94" s="7" t="n">
        <v>0.009</v>
      </c>
      <c r="H94" s="7" t="n">
        <v>-0.452</v>
      </c>
      <c r="I94" s="7" t="n">
        <v>0.784</v>
      </c>
      <c r="J94" s="7" t="n">
        <v>-0.066</v>
      </c>
      <c r="K94" s="7" t="n">
        <v>0.061</v>
      </c>
      <c r="L94" s="7" t="n">
        <v>0.12</v>
      </c>
      <c r="M94" s="7" t="n">
        <v>0.114</v>
      </c>
      <c r="N94" s="7" t="n">
        <v>-0.274</v>
      </c>
      <c r="O94" s="7" t="n">
        <v>-0.153</v>
      </c>
      <c r="P94" s="7" t="n">
        <v>0.426</v>
      </c>
      <c r="Q94" s="7" t="n">
        <v>0.065</v>
      </c>
      <c r="R94" s="7" t="n">
        <v>0.73</v>
      </c>
      <c r="S94" s="7" t="n">
        <v>0.948</v>
      </c>
      <c r="T94" s="7" t="n">
        <v>0.746</v>
      </c>
      <c r="U94" s="7" t="n">
        <v>0.505</v>
      </c>
      <c r="V94" s="7" t="n">
        <v>0.563</v>
      </c>
      <c r="W94" s="7" t="n">
        <v>0</v>
      </c>
      <c r="X94" s="7" t="n">
        <v>0.908</v>
      </c>
      <c r="Y94" s="7" t="n">
        <v>0.887</v>
      </c>
      <c r="Z94" s="7" t="n">
        <v>0.061</v>
      </c>
      <c r="AA94" s="7" t="n">
        <v>0.682</v>
      </c>
      <c r="AB94" s="7" t="n">
        <v>0.168</v>
      </c>
      <c r="AC94" s="7" t="n">
        <v>-0.014</v>
      </c>
      <c r="AD94" s="7" t="n">
        <v>0.798</v>
      </c>
      <c r="AE94" s="7" t="n">
        <v>0.185</v>
      </c>
      <c r="AF94" s="7" t="n">
        <v>-0.014</v>
      </c>
      <c r="AG94" s="7" t="n">
        <v>-0.185</v>
      </c>
      <c r="AH94" s="7" t="n">
        <v>0.381</v>
      </c>
      <c r="AI94" s="7" t="n">
        <v>0.059</v>
      </c>
      <c r="AJ94" s="7" t="n">
        <v>0.612</v>
      </c>
      <c r="AK94" s="7" t="n">
        <v>0.548</v>
      </c>
      <c r="AL94" s="7" t="n">
        <v>0.554</v>
      </c>
      <c r="AM94" s="7" t="n">
        <v>0.074</v>
      </c>
      <c r="AN94" s="7" t="n">
        <v>0.563</v>
      </c>
      <c r="AO94" s="7" t="n">
        <v>0.639</v>
      </c>
      <c r="AP94" s="7" t="n">
        <v>0.061</v>
      </c>
      <c r="AQ94" s="7" t="n">
        <v>-0.014</v>
      </c>
    </row>
    <row r="95" customFormat="false" ht="15" hidden="false" customHeight="false" outlineLevel="0" collapsed="false">
      <c r="A95" s="23" t="n">
        <v>46412</v>
      </c>
      <c r="B95" s="7" t="n">
        <v>-0.592</v>
      </c>
      <c r="C95" s="7" t="n">
        <v>-0.764</v>
      </c>
      <c r="D95" s="7" t="n">
        <v>0.074</v>
      </c>
      <c r="E95" s="7" t="n">
        <v>-0.305</v>
      </c>
      <c r="F95" s="7" t="n">
        <v>-0.438</v>
      </c>
      <c r="G95" s="7" t="n">
        <v>0.047</v>
      </c>
      <c r="H95" s="7" t="n">
        <v>-0.569</v>
      </c>
      <c r="I95" s="7" t="n">
        <v>-0.569</v>
      </c>
      <c r="J95" s="7" t="n">
        <v>-0.321</v>
      </c>
      <c r="K95" s="7" t="n">
        <v>0.06</v>
      </c>
      <c r="L95" s="7" t="n">
        <v>-0.409</v>
      </c>
      <c r="M95" s="7" t="n">
        <v>-0.337</v>
      </c>
      <c r="N95" s="7" t="n">
        <v>-0.688</v>
      </c>
      <c r="O95" s="7" t="n">
        <v>-0.816</v>
      </c>
      <c r="P95" s="7" t="n">
        <v>0.145</v>
      </c>
      <c r="Q95" s="7" t="n">
        <v>-0.327</v>
      </c>
      <c r="R95" s="7" t="n">
        <v>-0.569</v>
      </c>
      <c r="S95" s="7" t="n">
        <v>-0.305</v>
      </c>
      <c r="T95" s="7" t="n">
        <v>-0.232</v>
      </c>
      <c r="U95" s="7" t="n">
        <v>0.373</v>
      </c>
      <c r="V95" s="7" t="n">
        <v>-0.569</v>
      </c>
      <c r="W95" s="7" t="n">
        <v>-0.413</v>
      </c>
      <c r="X95" s="7" t="n">
        <v>0.047</v>
      </c>
      <c r="Y95" s="7" t="n">
        <v>0</v>
      </c>
      <c r="Z95" s="7" t="n">
        <v>0.06</v>
      </c>
      <c r="AA95" s="7" t="n">
        <v>-0.617</v>
      </c>
      <c r="AB95" s="7" t="n">
        <v>-0.096</v>
      </c>
      <c r="AC95" s="7" t="n">
        <v>-0.458</v>
      </c>
      <c r="AD95" s="7" t="n">
        <v>-0.236</v>
      </c>
      <c r="AE95" s="7" t="n">
        <v>-0.255</v>
      </c>
      <c r="AF95" s="7" t="n">
        <v>0.263</v>
      </c>
      <c r="AG95" s="7" t="n">
        <v>-0.358</v>
      </c>
      <c r="AH95" s="7" t="n">
        <v>0.126</v>
      </c>
      <c r="AI95" s="7" t="n">
        <v>-0.056</v>
      </c>
      <c r="AJ95" s="7" t="n">
        <v>-0.569</v>
      </c>
      <c r="AK95" s="7" t="n">
        <v>-0.617</v>
      </c>
      <c r="AL95" s="7" t="n">
        <v>0.444</v>
      </c>
      <c r="AM95" s="7" t="n">
        <v>0</v>
      </c>
      <c r="AN95" s="7" t="n">
        <v>-0.569</v>
      </c>
      <c r="AO95" s="7" t="n">
        <v>0.403</v>
      </c>
      <c r="AP95" s="7" t="n">
        <v>0.06</v>
      </c>
      <c r="AQ95" s="7" t="n">
        <v>-0.056</v>
      </c>
    </row>
    <row r="96" customFormat="false" ht="15" hidden="false" customHeight="false" outlineLevel="0" collapsed="false">
      <c r="A96" s="23" t="n">
        <v>46413</v>
      </c>
      <c r="B96" s="7" t="n">
        <v>-0.514</v>
      </c>
      <c r="C96" s="7" t="n">
        <v>-0.874</v>
      </c>
      <c r="D96" s="7" t="n">
        <v>0</v>
      </c>
      <c r="E96" s="7" t="n">
        <v>0.206</v>
      </c>
      <c r="F96" s="7" t="n">
        <v>-0.524</v>
      </c>
      <c r="G96" s="7" t="n">
        <v>-0.025</v>
      </c>
      <c r="H96" s="7" t="n">
        <v>-0.545</v>
      </c>
      <c r="I96" s="7" t="n">
        <v>-0.449</v>
      </c>
      <c r="J96" s="7" t="n">
        <v>-0.202</v>
      </c>
      <c r="K96" s="7" t="n">
        <v>0.76</v>
      </c>
      <c r="L96" s="7" t="n">
        <v>-0.328</v>
      </c>
      <c r="M96" s="7" t="n">
        <v>-0.134</v>
      </c>
      <c r="N96" s="7" t="n">
        <v>-0.647</v>
      </c>
      <c r="O96" s="7" t="n">
        <v>-0.098</v>
      </c>
      <c r="P96" s="7" t="n">
        <v>0.021</v>
      </c>
      <c r="Q96" s="7" t="n">
        <v>0.143</v>
      </c>
      <c r="R96" s="7" t="n">
        <v>-0.545</v>
      </c>
      <c r="S96" s="7" t="n">
        <v>0.133</v>
      </c>
      <c r="T96" s="7" t="n">
        <v>-0.084</v>
      </c>
      <c r="U96" s="7" t="n">
        <v>0.019</v>
      </c>
      <c r="V96" s="7" t="n">
        <v>-0.545</v>
      </c>
      <c r="W96" s="7" t="n">
        <v>0</v>
      </c>
      <c r="X96" s="7" t="n">
        <v>-0.123</v>
      </c>
      <c r="Y96" s="7" t="n">
        <v>0.021</v>
      </c>
      <c r="Z96" s="7" t="n">
        <v>0.612</v>
      </c>
      <c r="AA96" s="7" t="n">
        <v>-0.545</v>
      </c>
      <c r="AB96" s="7" t="n">
        <v>-0.154</v>
      </c>
      <c r="AC96" s="7" t="n">
        <v>-0.055</v>
      </c>
      <c r="AD96" s="7" t="n">
        <v>-0.147</v>
      </c>
      <c r="AE96" s="7" t="n">
        <v>-0.507</v>
      </c>
      <c r="AF96" s="7" t="n">
        <v>0.263</v>
      </c>
      <c r="AG96" s="7" t="n">
        <v>0.101</v>
      </c>
      <c r="AH96" s="7" t="n">
        <v>-0.034</v>
      </c>
      <c r="AI96" s="7" t="n">
        <v>-0.114</v>
      </c>
      <c r="AJ96" s="7" t="n">
        <v>-0.449</v>
      </c>
      <c r="AK96" s="7" t="n">
        <v>-0.586</v>
      </c>
      <c r="AL96" s="7" t="n">
        <v>0.239</v>
      </c>
      <c r="AM96" s="7" t="n">
        <v>-0.06</v>
      </c>
      <c r="AN96" s="7" t="n">
        <v>-0.545</v>
      </c>
      <c r="AO96" s="7" t="n">
        <v>-0.033</v>
      </c>
      <c r="AP96" s="7" t="n">
        <v>-0.222</v>
      </c>
      <c r="AQ96" s="7" t="n">
        <v>-0.055</v>
      </c>
    </row>
    <row r="97" customFormat="false" ht="15" hidden="false" customHeight="false" outlineLevel="0" collapsed="false">
      <c r="A97" s="23" t="n">
        <v>46414</v>
      </c>
      <c r="B97" s="7" t="n">
        <v>-0.692</v>
      </c>
      <c r="C97" s="7" t="n">
        <v>-0.974</v>
      </c>
      <c r="D97" s="7" t="n">
        <v>0</v>
      </c>
      <c r="E97" s="7" t="n">
        <v>0.327</v>
      </c>
      <c r="F97" s="7" t="n">
        <v>-0.566</v>
      </c>
      <c r="G97" s="7" t="n">
        <v>-0.022</v>
      </c>
      <c r="H97" s="7" t="n">
        <v>-0.545</v>
      </c>
      <c r="I97" s="7" t="n">
        <v>-0.883</v>
      </c>
      <c r="J97" s="7" t="n">
        <v>-0.783</v>
      </c>
      <c r="K97" s="7" t="n">
        <v>0.76</v>
      </c>
      <c r="L97" s="7" t="n">
        <v>-0.789</v>
      </c>
      <c r="M97" s="7" t="n">
        <v>-0.175</v>
      </c>
      <c r="N97" s="7" t="n">
        <v>-0.915</v>
      </c>
      <c r="O97" s="7" t="n">
        <v>-0.806</v>
      </c>
      <c r="P97" s="7" t="n">
        <v>0.037</v>
      </c>
      <c r="Q97" s="7" t="n">
        <v>0.142</v>
      </c>
      <c r="R97" s="7" t="n">
        <v>-0.545</v>
      </c>
      <c r="S97" s="7" t="n">
        <v>0.053</v>
      </c>
      <c r="T97" s="7" t="n">
        <v>-0.088</v>
      </c>
      <c r="U97" s="7" t="n">
        <v>-0.316</v>
      </c>
      <c r="V97" s="7" t="n">
        <v>-0.733</v>
      </c>
      <c r="W97" s="7" t="n">
        <v>0</v>
      </c>
      <c r="X97" s="7" t="n">
        <v>-0.105</v>
      </c>
      <c r="Y97" s="7" t="n">
        <v>-0.14</v>
      </c>
      <c r="Z97" s="7" t="n">
        <v>0.586</v>
      </c>
      <c r="AA97" s="7" t="n">
        <v>-0.545</v>
      </c>
      <c r="AB97" s="7" t="n">
        <v>-0.894</v>
      </c>
      <c r="AC97" s="7" t="n">
        <v>-0.053</v>
      </c>
      <c r="AD97" s="7" t="n">
        <v>-0.168</v>
      </c>
      <c r="AE97" s="7" t="n">
        <v>-0.545</v>
      </c>
      <c r="AF97" s="7" t="n">
        <v>0.259</v>
      </c>
      <c r="AG97" s="7" t="n">
        <v>-0.185</v>
      </c>
      <c r="AH97" s="7" t="n">
        <v>-0.278</v>
      </c>
      <c r="AI97" s="7" t="n">
        <v>-0.666</v>
      </c>
      <c r="AJ97" s="7" t="n">
        <v>-0.826</v>
      </c>
      <c r="AK97" s="7" t="n">
        <v>-0.877</v>
      </c>
      <c r="AL97" s="7" t="n">
        <v>-0.007</v>
      </c>
      <c r="AM97" s="7" t="n">
        <v>-0.635</v>
      </c>
      <c r="AN97" s="7" t="n">
        <v>-0.545</v>
      </c>
      <c r="AO97" s="7" t="n">
        <v>-0.347</v>
      </c>
      <c r="AP97" s="7" t="n">
        <v>-0.26</v>
      </c>
      <c r="AQ97" s="7" t="n">
        <v>-0.053</v>
      </c>
    </row>
    <row r="98" customFormat="false" ht="15" hidden="false" customHeight="false" outlineLevel="0" collapsed="false">
      <c r="A98" s="23" t="n">
        <v>46415</v>
      </c>
      <c r="B98" s="7" t="n">
        <v>-1</v>
      </c>
      <c r="C98" s="7" t="n">
        <v>-0.921</v>
      </c>
      <c r="D98" s="7" t="n">
        <v>-0.876</v>
      </c>
      <c r="E98" s="7" t="n">
        <v>-0.419</v>
      </c>
      <c r="F98" s="7" t="n">
        <v>-0.892</v>
      </c>
      <c r="G98" s="7" t="n">
        <v>-0.868</v>
      </c>
      <c r="H98" s="7" t="n">
        <v>-0.964</v>
      </c>
      <c r="I98" s="7" t="n">
        <v>-0.891</v>
      </c>
      <c r="J98" s="7" t="n">
        <v>-0.217</v>
      </c>
      <c r="K98" s="7" t="n">
        <v>-0.096</v>
      </c>
      <c r="L98" s="7" t="n">
        <v>-0.62</v>
      </c>
      <c r="M98" s="7" t="n">
        <v>-0.131</v>
      </c>
      <c r="N98" s="7" t="n">
        <v>-0.794</v>
      </c>
      <c r="O98" s="7" t="n">
        <v>-0.939</v>
      </c>
      <c r="P98" s="7" t="n">
        <v>-0.912</v>
      </c>
      <c r="Q98" s="7" t="n">
        <v>-0.53</v>
      </c>
      <c r="R98" s="7" t="n">
        <v>-0.961</v>
      </c>
      <c r="S98" s="7" t="n">
        <v>-0.419</v>
      </c>
      <c r="T98" s="7" t="n">
        <v>-0.077</v>
      </c>
      <c r="U98" s="7" t="n">
        <v>-0.805</v>
      </c>
      <c r="V98" s="7" t="n">
        <v>-0.915</v>
      </c>
      <c r="W98" s="7" t="n">
        <v>-0.484</v>
      </c>
      <c r="X98" s="7" t="n">
        <v>-0.875</v>
      </c>
      <c r="Y98" s="7" t="n">
        <v>-0.004</v>
      </c>
      <c r="Z98" s="7" t="n">
        <v>-0.096</v>
      </c>
      <c r="AA98" s="7" t="n">
        <v>-0.828</v>
      </c>
      <c r="AB98" s="7" t="n">
        <v>-0.122</v>
      </c>
      <c r="AC98" s="7" t="n">
        <v>-0.522</v>
      </c>
      <c r="AD98" s="7" t="n">
        <v>-0.84</v>
      </c>
      <c r="AE98" s="7" t="n">
        <v>-0.782</v>
      </c>
      <c r="AF98" s="7" t="n">
        <v>-0.691</v>
      </c>
      <c r="AG98" s="7" t="n">
        <v>-0.336</v>
      </c>
      <c r="AH98" s="7" t="n">
        <v>-0.304</v>
      </c>
      <c r="AI98" s="7" t="n">
        <v>-0.222</v>
      </c>
      <c r="AJ98" s="7" t="n">
        <v>-0.793</v>
      </c>
      <c r="AK98" s="7" t="n">
        <v>-0.417</v>
      </c>
      <c r="AL98" s="7" t="n">
        <v>-0.742</v>
      </c>
      <c r="AM98" s="7" t="n">
        <v>-0.049</v>
      </c>
      <c r="AN98" s="7" t="n">
        <v>-0.824</v>
      </c>
      <c r="AO98" s="7" t="n">
        <v>-0.167</v>
      </c>
      <c r="AP98" s="7" t="n">
        <v>-0.096</v>
      </c>
      <c r="AQ98" s="7" t="n">
        <v>-0.175</v>
      </c>
    </row>
    <row r="99" customFormat="false" ht="15" hidden="false" customHeight="false" outlineLevel="0" collapsed="false">
      <c r="A99" s="23" t="n">
        <v>46416</v>
      </c>
      <c r="B99" s="7" t="n">
        <v>-1</v>
      </c>
      <c r="C99" s="7" t="n">
        <v>-0.881</v>
      </c>
      <c r="D99" s="7" t="n">
        <v>-0.064</v>
      </c>
      <c r="E99" s="7" t="n">
        <v>-0.42</v>
      </c>
      <c r="F99" s="7" t="n">
        <v>-0.839</v>
      </c>
      <c r="G99" s="7" t="n">
        <v>-0.136</v>
      </c>
      <c r="H99" s="7" t="n">
        <v>-0.985</v>
      </c>
      <c r="I99" s="7" t="n">
        <v>-0.71</v>
      </c>
      <c r="J99" s="7" t="n">
        <v>-0.301</v>
      </c>
      <c r="K99" s="7" t="n">
        <v>-0.016</v>
      </c>
      <c r="L99" s="7" t="n">
        <v>-0.428</v>
      </c>
      <c r="M99" s="7" t="n">
        <v>-0.135</v>
      </c>
      <c r="N99" s="7" t="n">
        <v>-0.765</v>
      </c>
      <c r="O99" s="7" t="n">
        <v>-0.69</v>
      </c>
      <c r="P99" s="7" t="n">
        <v>-0.193</v>
      </c>
      <c r="Q99" s="7" t="n">
        <v>-0.421</v>
      </c>
      <c r="R99" s="7" t="n">
        <v>-0.985</v>
      </c>
      <c r="S99" s="7" t="n">
        <v>-0.467</v>
      </c>
      <c r="T99" s="7" t="n">
        <v>-0.211</v>
      </c>
      <c r="U99" s="7" t="n">
        <v>-0.95</v>
      </c>
      <c r="V99" s="7" t="n">
        <v>-0.963</v>
      </c>
      <c r="W99" s="7" t="n">
        <v>-0.372</v>
      </c>
      <c r="X99" s="7" t="n">
        <v>-0.136</v>
      </c>
      <c r="Y99" s="7" t="n">
        <v>-0.926</v>
      </c>
      <c r="Z99" s="7" t="n">
        <v>-0.016</v>
      </c>
      <c r="AA99" s="7" t="n">
        <v>-0.983</v>
      </c>
      <c r="AB99" s="7" t="n">
        <v>-0.015</v>
      </c>
      <c r="AC99" s="7" t="n">
        <v>-0.415</v>
      </c>
      <c r="AD99" s="7" t="n">
        <v>-0.967</v>
      </c>
      <c r="AE99" s="7" t="n">
        <v>-0.607</v>
      </c>
      <c r="AF99" s="7" t="n">
        <v>-0.411</v>
      </c>
      <c r="AG99" s="7" t="n">
        <v>-0.455</v>
      </c>
      <c r="AH99" s="7" t="n">
        <v>-0.305</v>
      </c>
      <c r="AI99" s="7" t="n">
        <v>-0.05</v>
      </c>
      <c r="AJ99" s="7" t="n">
        <v>-0.536</v>
      </c>
      <c r="AK99" s="7" t="n">
        <v>-0.489</v>
      </c>
      <c r="AL99" s="7" t="n">
        <v>-0.118</v>
      </c>
      <c r="AM99" s="7" t="n">
        <v>0</v>
      </c>
      <c r="AN99" s="7" t="n">
        <v>-0.938</v>
      </c>
      <c r="AO99" s="7" t="n">
        <v>-0.09</v>
      </c>
      <c r="AP99" s="7" t="n">
        <v>-0.016</v>
      </c>
      <c r="AQ99" s="7" t="n">
        <v>-0.05</v>
      </c>
    </row>
    <row r="100" customFormat="false" ht="15" hidden="false" customHeight="false" outlineLevel="0" collapsed="false">
      <c r="A100" s="23" t="n">
        <v>46417</v>
      </c>
      <c r="B100" s="7" t="n">
        <v>-0.938</v>
      </c>
      <c r="C100" s="7" t="n">
        <v>-0.93</v>
      </c>
      <c r="D100" s="7" t="n">
        <v>-0.066</v>
      </c>
      <c r="E100" s="7" t="n">
        <v>-0.459</v>
      </c>
      <c r="F100" s="7" t="n">
        <v>-0.889</v>
      </c>
      <c r="G100" s="7" t="n">
        <v>-0.142</v>
      </c>
      <c r="H100" s="7" t="n">
        <v>-0.537</v>
      </c>
      <c r="I100" s="7" t="n">
        <v>-0.537</v>
      </c>
      <c r="J100" s="7" t="n">
        <v>-0.822</v>
      </c>
      <c r="K100" s="7" t="n">
        <v>-0.066</v>
      </c>
      <c r="L100" s="7" t="n">
        <v>0.365</v>
      </c>
      <c r="M100" s="7" t="n">
        <v>-0.879</v>
      </c>
      <c r="N100" s="7" t="n">
        <v>-0.854</v>
      </c>
      <c r="O100" s="7" t="n">
        <v>-0.722</v>
      </c>
      <c r="P100" s="7" t="n">
        <v>-0.097</v>
      </c>
      <c r="Q100" s="7" t="n">
        <v>0.417</v>
      </c>
      <c r="R100" s="7" t="n">
        <v>-0.537</v>
      </c>
      <c r="S100" s="7" t="n">
        <v>-0.459</v>
      </c>
      <c r="T100" s="7" t="n">
        <v>-0.208</v>
      </c>
      <c r="U100" s="7" t="n">
        <v>-0.43</v>
      </c>
      <c r="V100" s="7" t="n">
        <v>-0.537</v>
      </c>
      <c r="W100" s="7" t="n">
        <v>0.378</v>
      </c>
      <c r="X100" s="7" t="n">
        <v>-0.142</v>
      </c>
      <c r="Y100" s="7" t="n">
        <v>-0.14</v>
      </c>
      <c r="Z100" s="7" t="n">
        <v>-0.066</v>
      </c>
      <c r="AA100" s="7" t="n">
        <v>-0.489</v>
      </c>
      <c r="AB100" s="7" t="n">
        <v>-0.769</v>
      </c>
      <c r="AC100" s="7" t="n">
        <v>0.421</v>
      </c>
      <c r="AD100" s="7" t="n">
        <v>-0.51</v>
      </c>
      <c r="AE100" s="7" t="n">
        <v>-0.749</v>
      </c>
      <c r="AF100" s="7" t="n">
        <v>-0.009</v>
      </c>
      <c r="AG100" s="7" t="n">
        <v>-0.405</v>
      </c>
      <c r="AH100" s="7" t="n">
        <v>-0.714</v>
      </c>
      <c r="AI100" s="7" t="n">
        <v>0.051</v>
      </c>
      <c r="AJ100" s="7" t="n">
        <v>-0.537</v>
      </c>
      <c r="AK100" s="7" t="n">
        <v>-0.489</v>
      </c>
      <c r="AL100" s="7" t="n">
        <v>-0.576</v>
      </c>
      <c r="AM100" s="7" t="n">
        <v>0</v>
      </c>
      <c r="AN100" s="7" t="n">
        <v>-0.537</v>
      </c>
      <c r="AO100" s="7" t="n">
        <v>-0.62</v>
      </c>
      <c r="AP100" s="7" t="n">
        <v>-0.066</v>
      </c>
      <c r="AQ100" s="7" t="n">
        <v>0.051</v>
      </c>
    </row>
    <row r="101" customFormat="false" ht="15" hidden="false" customHeight="false" outlineLevel="0" collapsed="false">
      <c r="A101" s="23" t="n">
        <v>46418</v>
      </c>
      <c r="B101" s="7" t="n">
        <v>-0.773</v>
      </c>
      <c r="C101" s="7" t="n">
        <v>-0.976</v>
      </c>
      <c r="D101" s="7" t="n">
        <v>-0.241</v>
      </c>
      <c r="E101" s="7" t="n">
        <v>-0.351</v>
      </c>
      <c r="F101" s="7" t="n">
        <v>-0.472</v>
      </c>
      <c r="G101" s="7" t="n">
        <v>-0.445</v>
      </c>
      <c r="H101" s="7" t="n">
        <v>-0.959</v>
      </c>
      <c r="I101" s="7" t="n">
        <v>-0.871</v>
      </c>
      <c r="J101" s="7" t="n">
        <v>-0.158</v>
      </c>
      <c r="K101" s="7" t="n">
        <v>-0.068</v>
      </c>
      <c r="L101" s="7" t="n">
        <v>-0.054</v>
      </c>
      <c r="M101" s="7" t="n">
        <v>-0.103</v>
      </c>
      <c r="N101" s="7" t="n">
        <v>-0.211</v>
      </c>
      <c r="O101" s="7" t="n">
        <v>-0.277</v>
      </c>
      <c r="P101" s="7" t="n">
        <v>0</v>
      </c>
      <c r="Q101" s="7" t="n">
        <v>0.011</v>
      </c>
      <c r="R101" s="7" t="n">
        <v>-0.959</v>
      </c>
      <c r="S101" s="7" t="n">
        <v>-0.779</v>
      </c>
      <c r="T101" s="7" t="n">
        <v>-0.966</v>
      </c>
      <c r="U101" s="7" t="n">
        <v>-0.054</v>
      </c>
      <c r="V101" s="7" t="n">
        <v>-0.907</v>
      </c>
      <c r="W101" s="7" t="n">
        <v>0</v>
      </c>
      <c r="X101" s="7" t="n">
        <v>-0.011</v>
      </c>
      <c r="Y101" s="7" t="n">
        <v>-0.358</v>
      </c>
      <c r="Z101" s="7" t="n">
        <v>-0.068</v>
      </c>
      <c r="AA101" s="7" t="n">
        <v>-0.983</v>
      </c>
      <c r="AB101" s="7" t="n">
        <v>-0.062</v>
      </c>
      <c r="AC101" s="7" t="n">
        <v>0.014</v>
      </c>
      <c r="AD101" s="7" t="n">
        <v>0.065</v>
      </c>
      <c r="AE101" s="7" t="n">
        <v>-0.196</v>
      </c>
      <c r="AF101" s="7" t="n">
        <v>0.014</v>
      </c>
      <c r="AG101" s="7" t="n">
        <v>0.199</v>
      </c>
      <c r="AH101" s="7" t="n">
        <v>-0.29</v>
      </c>
      <c r="AI101" s="7" t="n">
        <v>0.014</v>
      </c>
      <c r="AJ101" s="7" t="n">
        <v>-0.753</v>
      </c>
      <c r="AK101" s="7" t="n">
        <v>-0.914</v>
      </c>
      <c r="AL101" s="7" t="n">
        <v>0.418</v>
      </c>
      <c r="AM101" s="7" t="n">
        <v>0</v>
      </c>
      <c r="AN101" s="7" t="n">
        <v>-0.807</v>
      </c>
      <c r="AO101" s="7" t="n">
        <v>-0.129</v>
      </c>
      <c r="AP101" s="7" t="n">
        <v>-0.068</v>
      </c>
      <c r="AQ101" s="7" t="n">
        <v>0.014</v>
      </c>
    </row>
    <row r="102" customFormat="false" ht="15" hidden="false" customHeight="false" outlineLevel="0" collapsed="false">
      <c r="A102" s="23" t="n">
        <v>46419</v>
      </c>
      <c r="B102" s="7" t="n">
        <v>-1</v>
      </c>
      <c r="C102" s="7" t="n">
        <v>-0.951</v>
      </c>
      <c r="D102" s="7" t="n">
        <v>-0.411</v>
      </c>
      <c r="E102" s="7" t="n">
        <v>-0.913</v>
      </c>
      <c r="F102" s="7" t="n">
        <v>-0.915</v>
      </c>
      <c r="G102" s="7" t="n">
        <v>-0.491</v>
      </c>
      <c r="H102" s="7" t="n">
        <v>-0.655</v>
      </c>
      <c r="I102" s="7" t="n">
        <v>-0.363</v>
      </c>
      <c r="J102" s="7" t="n">
        <v>-0.253</v>
      </c>
      <c r="K102" s="7" t="n">
        <v>-0.903</v>
      </c>
      <c r="L102" s="7" t="n">
        <v>-0.709</v>
      </c>
      <c r="M102" s="7" t="n">
        <v>-0.206</v>
      </c>
      <c r="N102" s="7" t="n">
        <v>-0.848</v>
      </c>
      <c r="O102" s="7" t="n">
        <v>-0.791</v>
      </c>
      <c r="P102" s="7" t="n">
        <v>-0.172</v>
      </c>
      <c r="Q102" s="7" t="n">
        <v>0.053</v>
      </c>
      <c r="R102" s="7" t="n">
        <v>-0.697</v>
      </c>
      <c r="S102" s="7" t="n">
        <v>-0.971</v>
      </c>
      <c r="T102" s="7" t="n">
        <v>-0.746</v>
      </c>
      <c r="U102" s="7" t="n">
        <v>-0.443</v>
      </c>
      <c r="V102" s="7" t="n">
        <v>-0.274</v>
      </c>
      <c r="W102" s="7" t="n">
        <v>0</v>
      </c>
      <c r="X102" s="7" t="n">
        <v>-0.223</v>
      </c>
      <c r="Y102" s="7" t="n">
        <v>-0.391</v>
      </c>
      <c r="Z102" s="7" t="n">
        <v>-0.903</v>
      </c>
      <c r="AA102" s="7" t="n">
        <v>-0.859</v>
      </c>
      <c r="AB102" s="7" t="n">
        <v>-0.023</v>
      </c>
      <c r="AC102" s="7" t="n">
        <v>0.053</v>
      </c>
      <c r="AD102" s="7" t="n">
        <v>-0.884</v>
      </c>
      <c r="AE102" s="7" t="n">
        <v>-0.801</v>
      </c>
      <c r="AF102" s="7" t="n">
        <v>-0.014</v>
      </c>
      <c r="AG102" s="7" t="n">
        <v>0.19</v>
      </c>
      <c r="AH102" s="7" t="n">
        <v>-0.253</v>
      </c>
      <c r="AI102" s="7" t="n">
        <v>0.053</v>
      </c>
      <c r="AJ102" s="7" t="n">
        <v>0.076</v>
      </c>
      <c r="AK102" s="7" t="n">
        <v>-0.34</v>
      </c>
      <c r="AL102" s="7" t="n">
        <v>0.448</v>
      </c>
      <c r="AM102" s="7" t="n">
        <v>0</v>
      </c>
      <c r="AN102" s="7" t="n">
        <v>0.076</v>
      </c>
      <c r="AO102" s="7" t="n">
        <v>-0.745</v>
      </c>
      <c r="AP102" s="7" t="n">
        <v>-0.734</v>
      </c>
      <c r="AQ102" s="7" t="n">
        <v>0.053</v>
      </c>
    </row>
    <row r="103" customFormat="false" ht="15" hidden="false" customHeight="false" outlineLevel="0" collapsed="false">
      <c r="A103" s="23" t="n">
        <v>46420</v>
      </c>
      <c r="B103" s="7" t="n">
        <v>-1</v>
      </c>
      <c r="C103" s="7" t="n">
        <v>-0.697</v>
      </c>
      <c r="D103" s="7" t="n">
        <v>-0.971</v>
      </c>
      <c r="E103" s="7" t="n">
        <v>-0.37</v>
      </c>
      <c r="F103" s="7" t="n">
        <v>-0.772</v>
      </c>
      <c r="G103" s="7" t="n">
        <v>-0.356</v>
      </c>
      <c r="H103" s="7" t="n">
        <v>-0.434</v>
      </c>
      <c r="I103" s="7" t="n">
        <v>-0.92</v>
      </c>
      <c r="J103" s="7" t="n">
        <v>-0.577</v>
      </c>
      <c r="K103" s="7" t="n">
        <v>-0.072</v>
      </c>
      <c r="L103" s="7" t="n">
        <v>-0.094</v>
      </c>
      <c r="M103" s="7" t="n">
        <v>-0.53</v>
      </c>
      <c r="N103" s="7" t="n">
        <v>-0.609</v>
      </c>
      <c r="O103" s="7" t="n">
        <v>-0.439</v>
      </c>
      <c r="P103" s="7" t="n">
        <v>-0.637</v>
      </c>
      <c r="Q103" s="7" t="n">
        <v>-0.019</v>
      </c>
      <c r="R103" s="7" t="n">
        <v>-0.985</v>
      </c>
      <c r="S103" s="7" t="n">
        <v>-0.985</v>
      </c>
      <c r="T103" s="7" t="n">
        <v>-0.969</v>
      </c>
      <c r="U103" s="7" t="n">
        <v>-0.094</v>
      </c>
      <c r="V103" s="7" t="n">
        <v>-0.92</v>
      </c>
      <c r="W103" s="7" t="n">
        <v>0</v>
      </c>
      <c r="X103" s="7" t="n">
        <v>-0.953</v>
      </c>
      <c r="Y103" s="7" t="n">
        <v>-0.953</v>
      </c>
      <c r="Z103" s="7" t="n">
        <v>-0.072</v>
      </c>
      <c r="AA103" s="7" t="n">
        <v>-0.983</v>
      </c>
      <c r="AB103" s="7" t="n">
        <v>-0.468</v>
      </c>
      <c r="AC103" s="7" t="n">
        <v>-0.021</v>
      </c>
      <c r="AD103" s="7" t="n">
        <v>-0.92</v>
      </c>
      <c r="AE103" s="7" t="n">
        <v>-0.493</v>
      </c>
      <c r="AF103" s="7" t="n">
        <v>-0.021</v>
      </c>
      <c r="AG103" s="7" t="n">
        <v>-0.306</v>
      </c>
      <c r="AH103" s="7" t="n">
        <v>-0.359</v>
      </c>
      <c r="AI103" s="7" t="n">
        <v>-0.021</v>
      </c>
      <c r="AJ103" s="7" t="n">
        <v>-0.92</v>
      </c>
      <c r="AK103" s="7" t="n">
        <v>-0.908</v>
      </c>
      <c r="AL103" s="7" t="n">
        <v>-0.094</v>
      </c>
      <c r="AM103" s="7" t="n">
        <v>0</v>
      </c>
      <c r="AN103" s="7" t="n">
        <v>-0.92</v>
      </c>
      <c r="AO103" s="7" t="n">
        <v>-0.209</v>
      </c>
      <c r="AP103" s="7" t="n">
        <v>-0.072</v>
      </c>
      <c r="AQ103" s="7" t="n">
        <v>-0.021</v>
      </c>
    </row>
    <row r="104" customFormat="false" ht="15" hidden="false" customHeight="false" outlineLevel="0" collapsed="false">
      <c r="A104" s="23" t="n">
        <v>46421</v>
      </c>
      <c r="B104" s="7" t="n">
        <v>-1</v>
      </c>
      <c r="C104" s="7" t="n">
        <v>-0.715</v>
      </c>
      <c r="D104" s="7" t="n">
        <v>-0.945</v>
      </c>
      <c r="E104" s="7" t="n">
        <v>-0.379</v>
      </c>
      <c r="F104" s="7" t="n">
        <v>-0.911</v>
      </c>
      <c r="G104" s="7" t="n">
        <v>-0.159</v>
      </c>
      <c r="H104" s="7" t="n">
        <v>-0.386</v>
      </c>
      <c r="I104" s="7" t="n">
        <v>-0.914</v>
      </c>
      <c r="J104" s="7" t="n">
        <v>-0.705</v>
      </c>
      <c r="K104" s="7" t="n">
        <v>-0.074</v>
      </c>
      <c r="L104" s="7" t="n">
        <v>-0.136</v>
      </c>
      <c r="M104" s="7" t="n">
        <v>-0.772</v>
      </c>
      <c r="N104" s="7" t="n">
        <v>-0.731</v>
      </c>
      <c r="O104" s="7" t="n">
        <v>-0.651</v>
      </c>
      <c r="P104" s="7" t="n">
        <v>-0.576</v>
      </c>
      <c r="Q104" s="7" t="n">
        <v>-0.039</v>
      </c>
      <c r="R104" s="7" t="n">
        <v>-0.979</v>
      </c>
      <c r="S104" s="7" t="n">
        <v>-0.983</v>
      </c>
      <c r="T104" s="7" t="n">
        <v>-0.965</v>
      </c>
      <c r="U104" s="7" t="n">
        <v>-0.118</v>
      </c>
      <c r="V104" s="7" t="n">
        <v>-0.911</v>
      </c>
      <c r="W104" s="7" t="n">
        <v>0</v>
      </c>
      <c r="X104" s="7" t="n">
        <v>-0.941</v>
      </c>
      <c r="Y104" s="7" t="n">
        <v>-0.924</v>
      </c>
      <c r="Z104" s="7" t="n">
        <v>-0.074</v>
      </c>
      <c r="AA104" s="7" t="n">
        <v>-0.978</v>
      </c>
      <c r="AB104" s="7" t="n">
        <v>-0.581</v>
      </c>
      <c r="AC104" s="7" t="n">
        <v>-0.044</v>
      </c>
      <c r="AD104" s="7" t="n">
        <v>-0.912</v>
      </c>
      <c r="AE104" s="7" t="n">
        <v>-0.685</v>
      </c>
      <c r="AF104" s="7" t="n">
        <v>-0.044</v>
      </c>
      <c r="AG104" s="7" t="n">
        <v>-0.313</v>
      </c>
      <c r="AH104" s="7" t="n">
        <v>-0.37</v>
      </c>
      <c r="AI104" s="7" t="n">
        <v>-0.062</v>
      </c>
      <c r="AJ104" s="7" t="n">
        <v>-0.914</v>
      </c>
      <c r="AK104" s="7" t="n">
        <v>-0.911</v>
      </c>
      <c r="AL104" s="7" t="n">
        <v>-0.061</v>
      </c>
      <c r="AM104" s="7" t="n">
        <v>-0.018</v>
      </c>
      <c r="AN104" s="7" t="n">
        <v>-0.911</v>
      </c>
      <c r="AO104" s="7" t="n">
        <v>-0.223</v>
      </c>
      <c r="AP104" s="7" t="n">
        <v>-0.074</v>
      </c>
      <c r="AQ104" s="7" t="n">
        <v>-0.044</v>
      </c>
    </row>
    <row r="105" customFormat="false" ht="15" hidden="false" customHeight="false" outlineLevel="0" collapsed="false">
      <c r="A105" s="23" t="n">
        <v>46422</v>
      </c>
      <c r="B105" s="7" t="n">
        <v>-0.94</v>
      </c>
      <c r="C105" s="7" t="n">
        <v>-0.965</v>
      </c>
      <c r="D105" s="7" t="n">
        <v>-0.021</v>
      </c>
      <c r="E105" s="7" t="n">
        <v>-0.387</v>
      </c>
      <c r="F105" s="7" t="n">
        <v>-0.975</v>
      </c>
      <c r="G105" s="7" t="n">
        <v>-0.161</v>
      </c>
      <c r="H105" s="7" t="n">
        <v>-0.391</v>
      </c>
      <c r="I105" s="7" t="n">
        <v>-0.439</v>
      </c>
      <c r="J105" s="7" t="n">
        <v>-0.911</v>
      </c>
      <c r="K105" s="7" t="n">
        <v>-0.076</v>
      </c>
      <c r="L105" s="7" t="n">
        <v>-0.547</v>
      </c>
      <c r="M105" s="7" t="n">
        <v>-0.852</v>
      </c>
      <c r="N105" s="7" t="n">
        <v>-0.914</v>
      </c>
      <c r="O105" s="7" t="n">
        <v>-0.88</v>
      </c>
      <c r="P105" s="7" t="n">
        <v>-0.347</v>
      </c>
      <c r="Q105" s="7" t="n">
        <v>-0.44</v>
      </c>
      <c r="R105" s="7" t="n">
        <v>-0.391</v>
      </c>
      <c r="S105" s="7" t="n">
        <v>-0.387</v>
      </c>
      <c r="T105" s="7" t="n">
        <v>-0.055</v>
      </c>
      <c r="U105" s="7" t="n">
        <v>-0.736</v>
      </c>
      <c r="V105" s="7" t="n">
        <v>-0.391</v>
      </c>
      <c r="W105" s="7" t="n">
        <v>-0.266</v>
      </c>
      <c r="X105" s="7" t="n">
        <v>-0.161</v>
      </c>
      <c r="Y105" s="7" t="n">
        <v>0</v>
      </c>
      <c r="Z105" s="7" t="n">
        <v>-0.076</v>
      </c>
      <c r="AA105" s="7" t="n">
        <v>-0.373</v>
      </c>
      <c r="AB105" s="7" t="n">
        <v>-0.856</v>
      </c>
      <c r="AC105" s="7" t="n">
        <v>-0.446</v>
      </c>
      <c r="AD105" s="7" t="n">
        <v>-0.405</v>
      </c>
      <c r="AE105" s="7" t="n">
        <v>-0.897</v>
      </c>
      <c r="AF105" s="7" t="n">
        <v>-0.565</v>
      </c>
      <c r="AG105" s="7" t="n">
        <v>-0.32</v>
      </c>
      <c r="AH105" s="7" t="n">
        <v>-0.708</v>
      </c>
      <c r="AI105" s="7" t="n">
        <v>-0.259</v>
      </c>
      <c r="AJ105" s="7" t="n">
        <v>-0.439</v>
      </c>
      <c r="AK105" s="7" t="n">
        <v>-0.422</v>
      </c>
      <c r="AL105" s="7" t="n">
        <v>-0.225</v>
      </c>
      <c r="AM105" s="7" t="n">
        <v>-0.058</v>
      </c>
      <c r="AN105" s="7" t="n">
        <v>-0.391</v>
      </c>
      <c r="AO105" s="7" t="n">
        <v>-0.619</v>
      </c>
      <c r="AP105" s="7" t="n">
        <v>-0.076</v>
      </c>
      <c r="AQ105" s="7" t="n">
        <v>-0.204</v>
      </c>
    </row>
    <row r="106" customFormat="false" ht="15" hidden="false" customHeight="false" outlineLevel="0" collapsed="false">
      <c r="A106" s="23" t="n">
        <v>46423</v>
      </c>
      <c r="B106" s="7" t="n">
        <v>-0.721</v>
      </c>
      <c r="C106" s="7" t="n">
        <v>-0.908</v>
      </c>
      <c r="D106" s="7" t="n">
        <v>-0.077</v>
      </c>
      <c r="E106" s="7" t="n">
        <v>-0.346</v>
      </c>
      <c r="F106" s="7" t="n">
        <v>-0.564</v>
      </c>
      <c r="G106" s="7" t="n">
        <v>-0.193</v>
      </c>
      <c r="H106" s="7" t="n">
        <v>-0.962</v>
      </c>
      <c r="I106" s="7" t="n">
        <v>-0.902</v>
      </c>
      <c r="J106" s="7" t="n">
        <v>-0.135</v>
      </c>
      <c r="K106" s="7" t="n">
        <v>-0.022</v>
      </c>
      <c r="L106" s="7" t="n">
        <v>0.048</v>
      </c>
      <c r="M106" s="7" t="n">
        <v>-0.103</v>
      </c>
      <c r="N106" s="7" t="n">
        <v>-0.195</v>
      </c>
      <c r="O106" s="7" t="n">
        <v>0.628</v>
      </c>
      <c r="P106" s="7" t="n">
        <v>-0.23</v>
      </c>
      <c r="Q106" s="7" t="n">
        <v>-0.039</v>
      </c>
      <c r="R106" s="7" t="n">
        <v>-0.965</v>
      </c>
      <c r="S106" s="7" t="n">
        <v>-0.346</v>
      </c>
      <c r="T106" s="7" t="n">
        <v>-0.93</v>
      </c>
      <c r="U106" s="7" t="n">
        <v>0.386</v>
      </c>
      <c r="V106" s="7" t="n">
        <v>-0.896</v>
      </c>
      <c r="W106" s="7" t="n">
        <v>0</v>
      </c>
      <c r="X106" s="7" t="n">
        <v>-0.193</v>
      </c>
      <c r="Y106" s="7" t="n">
        <v>0.292</v>
      </c>
      <c r="Z106" s="7" t="n">
        <v>-0.022</v>
      </c>
      <c r="AA106" s="7" t="n">
        <v>-0.959</v>
      </c>
      <c r="AB106" s="7" t="n">
        <v>0.1</v>
      </c>
      <c r="AC106" s="7" t="n">
        <v>0.016</v>
      </c>
      <c r="AD106" s="7" t="n">
        <v>-0.412</v>
      </c>
      <c r="AE106" s="7" t="n">
        <v>-0.079</v>
      </c>
      <c r="AF106" s="7" t="n">
        <v>0.016</v>
      </c>
      <c r="AG106" s="7" t="n">
        <v>-0.03</v>
      </c>
      <c r="AH106" s="7" t="n">
        <v>0.652</v>
      </c>
      <c r="AI106" s="7" t="n">
        <v>0.07</v>
      </c>
      <c r="AJ106" s="7" t="n">
        <v>-0.769</v>
      </c>
      <c r="AK106" s="7" t="n">
        <v>-0.736</v>
      </c>
      <c r="AL106" s="7" t="n">
        <v>0.72</v>
      </c>
      <c r="AM106" s="7" t="n">
        <v>0.055</v>
      </c>
      <c r="AN106" s="7" t="n">
        <v>-0.791</v>
      </c>
      <c r="AO106" s="7" t="n">
        <v>0.734</v>
      </c>
      <c r="AP106" s="7" t="n">
        <v>-0.022</v>
      </c>
      <c r="AQ106" s="7" t="n">
        <v>0.016</v>
      </c>
    </row>
    <row r="107" customFormat="false" ht="15" hidden="false" customHeight="false" outlineLevel="0" collapsed="false">
      <c r="A107" s="23" t="n">
        <v>46424</v>
      </c>
      <c r="B107" s="7" t="n">
        <v>-0.71</v>
      </c>
      <c r="C107" s="7" t="n">
        <v>-0.751</v>
      </c>
      <c r="D107" s="7" t="n">
        <v>-0.075</v>
      </c>
      <c r="E107" s="7" t="n">
        <v>-0.4</v>
      </c>
      <c r="F107" s="7" t="n">
        <v>-0.634</v>
      </c>
      <c r="G107" s="7" t="n">
        <v>-0.191</v>
      </c>
      <c r="H107" s="7" t="n">
        <v>-0.966</v>
      </c>
      <c r="I107" s="7" t="n">
        <v>-0.635</v>
      </c>
      <c r="J107" s="7" t="n">
        <v>0.363</v>
      </c>
      <c r="K107" s="7" t="n">
        <v>-0.079</v>
      </c>
      <c r="L107" s="7" t="n">
        <v>0.589</v>
      </c>
      <c r="M107" s="7" t="n">
        <v>-0.187</v>
      </c>
      <c r="N107" s="7" t="n">
        <v>0.368</v>
      </c>
      <c r="O107" s="7" t="n">
        <v>0.434</v>
      </c>
      <c r="P107" s="7" t="n">
        <v>-0.22</v>
      </c>
      <c r="Q107" s="7" t="n">
        <v>-0.031</v>
      </c>
      <c r="R107" s="7" t="n">
        <v>-0.966</v>
      </c>
      <c r="S107" s="7" t="n">
        <v>-0.4</v>
      </c>
      <c r="T107" s="7" t="n">
        <v>-0.932</v>
      </c>
      <c r="U107" s="7" t="n">
        <v>0.003</v>
      </c>
      <c r="V107" s="7" t="n">
        <v>-0.886</v>
      </c>
      <c r="W107" s="7" t="n">
        <v>0</v>
      </c>
      <c r="X107" s="7" t="n">
        <v>-0.191</v>
      </c>
      <c r="Y107" s="7" t="n">
        <v>0.072</v>
      </c>
      <c r="Z107" s="7" t="n">
        <v>-0.079</v>
      </c>
      <c r="AA107" s="7" t="n">
        <v>-0.961</v>
      </c>
      <c r="AB107" s="7" t="n">
        <v>0.732</v>
      </c>
      <c r="AC107" s="7" t="n">
        <v>0.011</v>
      </c>
      <c r="AD107" s="7" t="n">
        <v>-0.461</v>
      </c>
      <c r="AE107" s="7" t="n">
        <v>-0.166</v>
      </c>
      <c r="AF107" s="7" t="n">
        <v>0.011</v>
      </c>
      <c r="AG107" s="7" t="n">
        <v>-0.751</v>
      </c>
      <c r="AH107" s="7" t="n">
        <v>-0.145</v>
      </c>
      <c r="AI107" s="7" t="n">
        <v>0.638</v>
      </c>
      <c r="AJ107" s="7" t="n">
        <v>-0.34</v>
      </c>
      <c r="AK107" s="7" t="n">
        <v>-0.271</v>
      </c>
      <c r="AL107" s="7" t="n">
        <v>0.007</v>
      </c>
      <c r="AM107" s="7" t="n">
        <v>0.631</v>
      </c>
      <c r="AN107" s="7" t="n">
        <v>-0.8</v>
      </c>
      <c r="AO107" s="7" t="n">
        <v>-0.06</v>
      </c>
      <c r="AP107" s="7" t="n">
        <v>-0.079</v>
      </c>
      <c r="AQ107" s="7" t="n">
        <v>0.011</v>
      </c>
    </row>
    <row r="108" customFormat="false" ht="15" hidden="false" customHeight="false" outlineLevel="0" collapsed="false">
      <c r="A108" s="23" t="n">
        <v>46425</v>
      </c>
      <c r="B108" s="7" t="n">
        <v>-0.852</v>
      </c>
      <c r="C108" s="7" t="n">
        <v>-0.951</v>
      </c>
      <c r="D108" s="7" t="n">
        <v>-0.426</v>
      </c>
      <c r="E108" s="7" t="n">
        <v>-0.822</v>
      </c>
      <c r="F108" s="7" t="n">
        <v>-0.216</v>
      </c>
      <c r="G108" s="7" t="n">
        <v>-0.048</v>
      </c>
      <c r="H108" s="7" t="n">
        <v>-0.876</v>
      </c>
      <c r="I108" s="7" t="n">
        <v>-0.92</v>
      </c>
      <c r="J108" s="7" t="n">
        <v>-0.334</v>
      </c>
      <c r="K108" s="7" t="n">
        <v>-0.11</v>
      </c>
      <c r="L108" s="7" t="n">
        <v>-0.089</v>
      </c>
      <c r="M108" s="7" t="n">
        <v>-0.412</v>
      </c>
      <c r="N108" s="7" t="n">
        <v>-0.848</v>
      </c>
      <c r="O108" s="7" t="n">
        <v>-0.214</v>
      </c>
      <c r="P108" s="7" t="n">
        <v>-0.444</v>
      </c>
      <c r="Q108" s="7" t="n">
        <v>0.002</v>
      </c>
      <c r="R108" s="7" t="n">
        <v>-0.943</v>
      </c>
      <c r="S108" s="7" t="n">
        <v>-0.673</v>
      </c>
      <c r="T108" s="7" t="n">
        <v>-0.938</v>
      </c>
      <c r="U108" s="7" t="n">
        <v>-0.022</v>
      </c>
      <c r="V108" s="7" t="n">
        <v>-0.819</v>
      </c>
      <c r="W108" s="7" t="n">
        <v>0</v>
      </c>
      <c r="X108" s="7" t="n">
        <v>-0.678</v>
      </c>
      <c r="Y108" s="7" t="n">
        <v>-0.761</v>
      </c>
      <c r="Z108" s="7" t="n">
        <v>-0.004</v>
      </c>
      <c r="AA108" s="7" t="n">
        <v>-0.954</v>
      </c>
      <c r="AB108" s="7" t="n">
        <v>-0.334</v>
      </c>
      <c r="AC108" s="7" t="n">
        <v>-0.332</v>
      </c>
      <c r="AD108" s="7" t="n">
        <v>-0.87</v>
      </c>
      <c r="AE108" s="7" t="n">
        <v>-0.513</v>
      </c>
      <c r="AF108" s="7" t="n">
        <v>0.002</v>
      </c>
      <c r="AG108" s="7" t="n">
        <v>-0.788</v>
      </c>
      <c r="AH108" s="7" t="n">
        <v>-0.334</v>
      </c>
      <c r="AI108" s="7" t="n">
        <v>0.002</v>
      </c>
      <c r="AJ108" s="7" t="n">
        <v>-0.803</v>
      </c>
      <c r="AK108" s="7" t="n">
        <v>-0.84</v>
      </c>
      <c r="AL108" s="7" t="n">
        <v>0.115</v>
      </c>
      <c r="AM108" s="7" t="n">
        <v>0</v>
      </c>
      <c r="AN108" s="7" t="n">
        <v>-0.768</v>
      </c>
      <c r="AO108" s="7" t="n">
        <v>-0.412</v>
      </c>
      <c r="AP108" s="7" t="n">
        <v>-0.091</v>
      </c>
      <c r="AQ108" s="7" t="n">
        <v>0.002</v>
      </c>
    </row>
    <row r="109" customFormat="false" ht="15" hidden="false" customHeight="false" outlineLevel="0" collapsed="false">
      <c r="A109" s="23" t="n">
        <v>46426</v>
      </c>
      <c r="B109" s="7" t="n">
        <v>-0.805</v>
      </c>
      <c r="C109" s="7" t="n">
        <v>-0.95</v>
      </c>
      <c r="D109" s="7" t="n">
        <v>0.087</v>
      </c>
      <c r="E109" s="7" t="n">
        <v>-0.837</v>
      </c>
      <c r="F109" s="7" t="n">
        <v>-0.229</v>
      </c>
      <c r="G109" s="7" t="n">
        <v>0.127</v>
      </c>
      <c r="H109" s="7" t="n">
        <v>-0.987</v>
      </c>
      <c r="I109" s="7" t="n">
        <v>-0.926</v>
      </c>
      <c r="J109" s="7" t="n">
        <v>-0.334</v>
      </c>
      <c r="K109" s="7" t="n">
        <v>-0.136</v>
      </c>
      <c r="L109" s="7" t="n">
        <v>-0.096</v>
      </c>
      <c r="M109" s="7" t="n">
        <v>-0.416</v>
      </c>
      <c r="N109" s="7" t="n">
        <v>-0.85</v>
      </c>
      <c r="O109" s="7" t="n">
        <v>-0.334</v>
      </c>
      <c r="P109" s="7" t="n">
        <v>0.113</v>
      </c>
      <c r="Q109" s="7" t="n">
        <v>0.07</v>
      </c>
      <c r="R109" s="7" t="n">
        <v>-0.994</v>
      </c>
      <c r="S109" s="7" t="n">
        <v>-0.676</v>
      </c>
      <c r="T109" s="7" t="n">
        <v>-0.923</v>
      </c>
      <c r="U109" s="7" t="n">
        <v>-0.959</v>
      </c>
      <c r="V109" s="7" t="n">
        <v>-0.981</v>
      </c>
      <c r="W109" s="7" t="n">
        <v>0</v>
      </c>
      <c r="X109" s="7" t="n">
        <v>-0.294</v>
      </c>
      <c r="Y109" s="7" t="n">
        <v>-0.972</v>
      </c>
      <c r="Z109" s="7" t="n">
        <v>-0.008</v>
      </c>
      <c r="AA109" s="7" t="n">
        <v>-0.994</v>
      </c>
      <c r="AB109" s="7" t="n">
        <v>-0.334</v>
      </c>
      <c r="AC109" s="7" t="n">
        <v>-0.334</v>
      </c>
      <c r="AD109" s="7" t="n">
        <v>-0.989</v>
      </c>
      <c r="AE109" s="7" t="n">
        <v>-0.379</v>
      </c>
      <c r="AF109" s="7" t="n">
        <v>0</v>
      </c>
      <c r="AG109" s="7" t="n">
        <v>-0.788</v>
      </c>
      <c r="AH109" s="7" t="n">
        <v>-0.334</v>
      </c>
      <c r="AI109" s="7" t="n">
        <v>0</v>
      </c>
      <c r="AJ109" s="7" t="n">
        <v>-0.827</v>
      </c>
      <c r="AK109" s="7" t="n">
        <v>-0.827</v>
      </c>
      <c r="AL109" s="7" t="n">
        <v>0</v>
      </c>
      <c r="AM109" s="7" t="n">
        <v>0</v>
      </c>
      <c r="AN109" s="7" t="n">
        <v>-0.976</v>
      </c>
      <c r="AO109" s="7" t="n">
        <v>-0.416</v>
      </c>
      <c r="AP109" s="7" t="n">
        <v>-0.096</v>
      </c>
      <c r="AQ109" s="7" t="n">
        <v>0</v>
      </c>
    </row>
    <row r="110" customFormat="false" ht="15" hidden="false" customHeight="false" outlineLevel="0" collapsed="false">
      <c r="A110" s="23" t="n">
        <v>46427</v>
      </c>
      <c r="B110" s="7" t="n">
        <v>-0.79</v>
      </c>
      <c r="C110" s="7" t="n">
        <v>-0.901</v>
      </c>
      <c r="D110" s="7" t="n">
        <v>0.069</v>
      </c>
      <c r="E110" s="7" t="n">
        <v>-0.797</v>
      </c>
      <c r="F110" s="7" t="n">
        <v>-0.274</v>
      </c>
      <c r="G110" s="7" t="n">
        <v>0.083</v>
      </c>
      <c r="H110" s="7" t="n">
        <v>-0.896</v>
      </c>
      <c r="I110" s="7" t="n">
        <v>-0.933</v>
      </c>
      <c r="J110" s="7" t="n">
        <v>0.155</v>
      </c>
      <c r="K110" s="7" t="n">
        <v>-0.129</v>
      </c>
      <c r="L110" s="7" t="n">
        <v>-0.086</v>
      </c>
      <c r="M110" s="7" t="n">
        <v>-0.416</v>
      </c>
      <c r="N110" s="7" t="n">
        <v>-0.851</v>
      </c>
      <c r="O110" s="7" t="n">
        <v>-0.028</v>
      </c>
      <c r="P110" s="7" t="n">
        <v>0.055</v>
      </c>
      <c r="Q110" s="7" t="n">
        <v>0.065</v>
      </c>
      <c r="R110" s="7" t="n">
        <v>-0.952</v>
      </c>
      <c r="S110" s="7" t="n">
        <v>-0.645</v>
      </c>
      <c r="T110" s="7" t="n">
        <v>-0.924</v>
      </c>
      <c r="U110" s="7" t="n">
        <v>-0.033</v>
      </c>
      <c r="V110" s="7" t="n">
        <v>-0.846</v>
      </c>
      <c r="W110" s="7" t="n">
        <v>0</v>
      </c>
      <c r="X110" s="7" t="n">
        <v>-0.343</v>
      </c>
      <c r="Y110" s="7" t="n">
        <v>-0.738</v>
      </c>
      <c r="Z110" s="7" t="n">
        <v>-0.008</v>
      </c>
      <c r="AA110" s="7" t="n">
        <v>-0.951</v>
      </c>
      <c r="AB110" s="7" t="n">
        <v>-0.1</v>
      </c>
      <c r="AC110" s="7" t="n">
        <v>-0.325</v>
      </c>
      <c r="AD110" s="7" t="n">
        <v>-0.888</v>
      </c>
      <c r="AE110" s="7" t="n">
        <v>-0.458</v>
      </c>
      <c r="AF110" s="7" t="n">
        <v>0.01</v>
      </c>
      <c r="AG110" s="7" t="n">
        <v>-0.765</v>
      </c>
      <c r="AH110" s="7" t="n">
        <v>-0.077</v>
      </c>
      <c r="AI110" s="7" t="n">
        <v>0.01</v>
      </c>
      <c r="AJ110" s="7" t="n">
        <v>-0.829</v>
      </c>
      <c r="AK110" s="7" t="n">
        <v>-0.823</v>
      </c>
      <c r="AL110" s="7" t="n">
        <v>0.255</v>
      </c>
      <c r="AM110" s="7" t="n">
        <v>0</v>
      </c>
      <c r="AN110" s="7" t="n">
        <v>-0.796</v>
      </c>
      <c r="AO110" s="7" t="n">
        <v>-0.171</v>
      </c>
      <c r="AP110" s="7" t="n">
        <v>-0.096</v>
      </c>
      <c r="AQ110" s="7" t="n">
        <v>0.01</v>
      </c>
    </row>
    <row r="111" customFormat="false" ht="15" hidden="false" customHeight="false" outlineLevel="0" collapsed="false">
      <c r="A111" s="23" t="n">
        <v>46428</v>
      </c>
      <c r="B111" s="7" t="n">
        <v>-0.157</v>
      </c>
      <c r="C111" s="7" t="n">
        <v>-0.949</v>
      </c>
      <c r="D111" s="7" t="n">
        <v>0.01</v>
      </c>
      <c r="E111" s="7" t="n">
        <v>0.01</v>
      </c>
      <c r="F111" s="7" t="n">
        <v>0.291</v>
      </c>
      <c r="G111" s="7" t="n">
        <v>-0.182</v>
      </c>
      <c r="H111" s="7" t="n">
        <v>-0.977</v>
      </c>
      <c r="I111" s="7" t="n">
        <v>-0.933</v>
      </c>
      <c r="J111" s="7" t="n">
        <v>0.083</v>
      </c>
      <c r="K111" s="7" t="n">
        <v>-0.104</v>
      </c>
      <c r="L111" s="7" t="n">
        <v>-0.069</v>
      </c>
      <c r="M111" s="7" t="n">
        <v>0.243</v>
      </c>
      <c r="N111" s="7" t="n">
        <v>0.066</v>
      </c>
      <c r="O111" s="7" t="n">
        <v>0.034</v>
      </c>
      <c r="P111" s="7" t="n">
        <v>-0.555</v>
      </c>
      <c r="Q111" s="7" t="n">
        <v>0.018</v>
      </c>
      <c r="R111" s="7" t="n">
        <v>-0.988</v>
      </c>
      <c r="S111" s="7" t="n">
        <v>0.01</v>
      </c>
      <c r="T111" s="7" t="n">
        <v>-0.973</v>
      </c>
      <c r="U111" s="7" t="n">
        <v>0.001</v>
      </c>
      <c r="V111" s="7" t="n">
        <v>-0.962</v>
      </c>
      <c r="W111" s="7" t="n">
        <v>0</v>
      </c>
      <c r="X111" s="7" t="n">
        <v>-0.348</v>
      </c>
      <c r="Y111" s="7" t="n">
        <v>0.253</v>
      </c>
      <c r="Z111" s="7" t="n">
        <v>0.01</v>
      </c>
      <c r="AA111" s="7" t="n">
        <v>-0.986</v>
      </c>
      <c r="AB111" s="7" t="n">
        <v>0.379</v>
      </c>
      <c r="AC111" s="7" t="n">
        <v>-0.04</v>
      </c>
      <c r="AD111" s="7" t="n">
        <v>-0.068</v>
      </c>
      <c r="AE111" s="7" t="n">
        <v>-0.38</v>
      </c>
      <c r="AF111" s="7" t="n">
        <v>0.018</v>
      </c>
      <c r="AG111" s="7" t="n">
        <v>-0.081</v>
      </c>
      <c r="AH111" s="7" t="n">
        <v>-0.058</v>
      </c>
      <c r="AI111" s="7" t="n">
        <v>0.009</v>
      </c>
      <c r="AJ111" s="7" t="n">
        <v>-0.876</v>
      </c>
      <c r="AK111" s="7" t="n">
        <v>-0.857</v>
      </c>
      <c r="AL111" s="7" t="n">
        <v>-0.06</v>
      </c>
      <c r="AM111" s="7" t="n">
        <v>-0.009</v>
      </c>
      <c r="AN111" s="7" t="n">
        <v>-0.925</v>
      </c>
      <c r="AO111" s="7" t="n">
        <v>-0.135</v>
      </c>
      <c r="AP111" s="7" t="n">
        <v>-0.078</v>
      </c>
      <c r="AQ111" s="7" t="n">
        <v>0.018</v>
      </c>
    </row>
    <row r="112" customFormat="false" ht="15" hidden="false" customHeight="false" outlineLevel="0" collapsed="false">
      <c r="A112" s="23" t="n">
        <v>46429</v>
      </c>
      <c r="B112" s="7" t="n">
        <v>-0.793</v>
      </c>
      <c r="C112" s="7" t="n">
        <v>-0.943</v>
      </c>
      <c r="D112" s="7" t="n">
        <v>0.062</v>
      </c>
      <c r="E112" s="7" t="n">
        <v>-0.815</v>
      </c>
      <c r="F112" s="7" t="n">
        <v>-0.591</v>
      </c>
      <c r="G112" s="7" t="n">
        <v>-0.124</v>
      </c>
      <c r="H112" s="7" t="n">
        <v>-0.121</v>
      </c>
      <c r="I112" s="7" t="n">
        <v>-0.276</v>
      </c>
      <c r="J112" s="7" t="n">
        <v>0.208</v>
      </c>
      <c r="K112" s="7" t="n">
        <v>-0.944</v>
      </c>
      <c r="L112" s="7" t="n">
        <v>-0.816</v>
      </c>
      <c r="M112" s="7" t="n">
        <v>0.286</v>
      </c>
      <c r="N112" s="7" t="n">
        <v>-0.727</v>
      </c>
      <c r="O112" s="7" t="n">
        <v>-0.687</v>
      </c>
      <c r="P112" s="7" t="n">
        <v>-0.591</v>
      </c>
      <c r="Q112" s="7" t="n">
        <v>0.025</v>
      </c>
      <c r="R112" s="7" t="n">
        <v>-0.422</v>
      </c>
      <c r="S112" s="7" t="n">
        <v>-0.964</v>
      </c>
      <c r="T112" s="7" t="n">
        <v>-0.096</v>
      </c>
      <c r="U112" s="7" t="n">
        <v>-0.492</v>
      </c>
      <c r="V112" s="7" t="n">
        <v>-0.422</v>
      </c>
      <c r="W112" s="7" t="n">
        <v>0</v>
      </c>
      <c r="X112" s="7" t="n">
        <v>-0.474</v>
      </c>
      <c r="Y112" s="7" t="n">
        <v>0.285</v>
      </c>
      <c r="Z112" s="7" t="n">
        <v>-0.931</v>
      </c>
      <c r="AA112" s="7" t="n">
        <v>-0.4</v>
      </c>
      <c r="AB112" s="7" t="n">
        <v>0.371</v>
      </c>
      <c r="AC112" s="7" t="n">
        <v>-0.074</v>
      </c>
      <c r="AD112" s="7" t="n">
        <v>-0.913</v>
      </c>
      <c r="AE112" s="7" t="n">
        <v>-0.871</v>
      </c>
      <c r="AF112" s="7" t="n">
        <v>-0.177</v>
      </c>
      <c r="AG112" s="7" t="n">
        <v>-0.103</v>
      </c>
      <c r="AH112" s="7" t="n">
        <v>-0.058</v>
      </c>
      <c r="AI112" s="7" t="n">
        <v>0.003</v>
      </c>
      <c r="AJ112" s="7" t="n">
        <v>-0.239</v>
      </c>
      <c r="AK112" s="7" t="n">
        <v>-0.214</v>
      </c>
      <c r="AL112" s="7" t="n">
        <v>0</v>
      </c>
      <c r="AM112" s="7" t="n">
        <v>-0.022</v>
      </c>
      <c r="AN112" s="7" t="n">
        <v>-0.422</v>
      </c>
      <c r="AO112" s="7" t="n">
        <v>-0.836</v>
      </c>
      <c r="AP112" s="7" t="n">
        <v>-0.817</v>
      </c>
      <c r="AQ112" s="7" t="n">
        <v>0.025</v>
      </c>
    </row>
    <row r="113" customFormat="false" ht="15" hidden="false" customHeight="false" outlineLevel="0" collapsed="false">
      <c r="A113" s="23" t="n">
        <v>46430</v>
      </c>
      <c r="B113" s="7" t="n">
        <v>-0.715</v>
      </c>
      <c r="C113" s="7" t="n">
        <v>-0.342</v>
      </c>
      <c r="D113" s="7" t="n">
        <v>-0.899</v>
      </c>
      <c r="E113" s="7" t="n">
        <v>0.061</v>
      </c>
      <c r="F113" s="7" t="n">
        <v>-0.068</v>
      </c>
      <c r="G113" s="7" t="n">
        <v>0.255</v>
      </c>
      <c r="H113" s="7" t="n">
        <v>-0.239</v>
      </c>
      <c r="I113" s="7" t="n">
        <v>-0.915</v>
      </c>
      <c r="J113" s="7" t="n">
        <v>-0.268</v>
      </c>
      <c r="K113" s="7" t="n">
        <v>-0.046</v>
      </c>
      <c r="L113" s="7" t="n">
        <v>0.046</v>
      </c>
      <c r="M113" s="7" t="n">
        <v>-0.319</v>
      </c>
      <c r="N113" s="7" t="n">
        <v>-0.297</v>
      </c>
      <c r="O113" s="7" t="n">
        <v>-0.265</v>
      </c>
      <c r="P113" s="7" t="n">
        <v>-0.129</v>
      </c>
      <c r="Q113" s="7" t="n">
        <v>0.033</v>
      </c>
      <c r="R113" s="7" t="n">
        <v>-0.95</v>
      </c>
      <c r="S113" s="7" t="n">
        <v>-0.964</v>
      </c>
      <c r="T113" s="7" t="n">
        <v>-0.972</v>
      </c>
      <c r="U113" s="7" t="n">
        <v>0.074</v>
      </c>
      <c r="V113" s="7" t="n">
        <v>-0.801</v>
      </c>
      <c r="W113" s="7" t="n">
        <v>0</v>
      </c>
      <c r="X113" s="7" t="n">
        <v>-0.927</v>
      </c>
      <c r="Y113" s="7" t="n">
        <v>-0.642</v>
      </c>
      <c r="Z113" s="7" t="n">
        <v>0.061</v>
      </c>
      <c r="AA113" s="7" t="n">
        <v>-0.98</v>
      </c>
      <c r="AB113" s="7" t="n">
        <v>-0.259</v>
      </c>
      <c r="AC113" s="7" t="n">
        <v>-0.304</v>
      </c>
      <c r="AD113" s="7" t="n">
        <v>-0.536</v>
      </c>
      <c r="AE113" s="7" t="n">
        <v>-0.331</v>
      </c>
      <c r="AF113" s="7" t="n">
        <v>0.033</v>
      </c>
      <c r="AG113" s="7" t="n">
        <v>0.251</v>
      </c>
      <c r="AH113" s="7" t="n">
        <v>-0.304</v>
      </c>
      <c r="AI113" s="7" t="n">
        <v>0.063</v>
      </c>
      <c r="AJ113" s="7" t="n">
        <v>-0.777</v>
      </c>
      <c r="AK113" s="7" t="n">
        <v>-0.904</v>
      </c>
      <c r="AL113" s="7" t="n">
        <v>0.46</v>
      </c>
      <c r="AM113" s="7" t="n">
        <v>0.03</v>
      </c>
      <c r="AN113" s="7" t="n">
        <v>-0.75</v>
      </c>
      <c r="AO113" s="7" t="n">
        <v>-0.319</v>
      </c>
      <c r="AP113" s="7" t="n">
        <v>-0.026</v>
      </c>
      <c r="AQ113" s="7" t="n">
        <v>0.033</v>
      </c>
    </row>
    <row r="114" customFormat="false" ht="15" hidden="false" customHeight="false" outlineLevel="0" collapsed="false">
      <c r="A114" s="23" t="n">
        <v>46431</v>
      </c>
      <c r="B114" s="7" t="n">
        <v>-0.39</v>
      </c>
      <c r="C114" s="7" t="n">
        <v>-0.367</v>
      </c>
      <c r="D114" s="7" t="n">
        <v>-0.219</v>
      </c>
      <c r="E114" s="7" t="n">
        <v>0.075</v>
      </c>
      <c r="F114" s="7" t="n">
        <v>-0.158</v>
      </c>
      <c r="G114" s="7" t="n">
        <v>-0.037</v>
      </c>
      <c r="H114" s="7" t="n">
        <v>-0.425</v>
      </c>
      <c r="I114" s="7" t="n">
        <v>-0.737</v>
      </c>
      <c r="J114" s="7" t="n">
        <v>-0.357</v>
      </c>
      <c r="K114" s="7" t="n">
        <v>-0.048</v>
      </c>
      <c r="L114" s="7" t="n">
        <v>0.266</v>
      </c>
      <c r="M114" s="7" t="n">
        <v>-0.368</v>
      </c>
      <c r="N114" s="7" t="n">
        <v>-0.361</v>
      </c>
      <c r="O114" s="7" t="n">
        <v>-0.402</v>
      </c>
      <c r="P114" s="7" t="n">
        <v>-0.154</v>
      </c>
      <c r="Q114" s="7" t="n">
        <v>0.277</v>
      </c>
      <c r="R114" s="7" t="n">
        <v>-0.65</v>
      </c>
      <c r="S114" s="7" t="n">
        <v>0.075</v>
      </c>
      <c r="T114" s="7" t="n">
        <v>-0.059</v>
      </c>
      <c r="U114" s="7" t="n">
        <v>0.294</v>
      </c>
      <c r="V114" s="7" t="n">
        <v>-0.468</v>
      </c>
      <c r="W114" s="7" t="n">
        <v>0.061</v>
      </c>
      <c r="X114" s="7" t="n">
        <v>-0.62</v>
      </c>
      <c r="Y114" s="7" t="n">
        <v>0.21</v>
      </c>
      <c r="Z114" s="7" t="n">
        <v>0.075</v>
      </c>
      <c r="AA114" s="7" t="n">
        <v>-0.586</v>
      </c>
      <c r="AB114" s="7" t="n">
        <v>-0.357</v>
      </c>
      <c r="AC114" s="7" t="n">
        <v>-0.063</v>
      </c>
      <c r="AD114" s="7" t="n">
        <v>-0.029</v>
      </c>
      <c r="AE114" s="7" t="n">
        <v>-0.393</v>
      </c>
      <c r="AF114" s="7" t="n">
        <v>0.204</v>
      </c>
      <c r="AG114" s="7" t="n">
        <v>-0.354</v>
      </c>
      <c r="AH114" s="7" t="n">
        <v>-0.297</v>
      </c>
      <c r="AI114" s="7" t="n">
        <v>0.219</v>
      </c>
      <c r="AJ114" s="7" t="n">
        <v>-0.47</v>
      </c>
      <c r="AK114" s="7" t="n">
        <v>-0.385</v>
      </c>
      <c r="AL114" s="7" t="n">
        <v>0.184</v>
      </c>
      <c r="AM114" s="7" t="n">
        <v>0</v>
      </c>
      <c r="AN114" s="7" t="n">
        <v>-0.384</v>
      </c>
      <c r="AO114" s="7" t="n">
        <v>-0.368</v>
      </c>
      <c r="AP114" s="7" t="n">
        <v>-0.012</v>
      </c>
      <c r="AQ114" s="7" t="n">
        <v>0.219</v>
      </c>
    </row>
    <row r="115" customFormat="false" ht="15" hidden="false" customHeight="false" outlineLevel="0" collapsed="false">
      <c r="A115" s="23" t="n">
        <v>46432</v>
      </c>
      <c r="B115" s="7" t="n">
        <v>-0.569</v>
      </c>
      <c r="C115" s="7" t="n">
        <v>-0.482</v>
      </c>
      <c r="D115" s="7" t="n">
        <v>0.079</v>
      </c>
      <c r="E115" s="7" t="n">
        <v>0.078</v>
      </c>
      <c r="F115" s="7" t="n">
        <v>-0.705</v>
      </c>
      <c r="G115" s="7" t="n">
        <v>0.143</v>
      </c>
      <c r="H115" s="7" t="n">
        <v>-0.418</v>
      </c>
      <c r="I115" s="7" t="n">
        <v>-0.815</v>
      </c>
      <c r="J115" s="7" t="n">
        <v>-0.469</v>
      </c>
      <c r="K115" s="7" t="n">
        <v>-0.397</v>
      </c>
      <c r="L115" s="7" t="n">
        <v>0.381</v>
      </c>
      <c r="M115" s="7" t="n">
        <v>-0.409</v>
      </c>
      <c r="N115" s="7" t="n">
        <v>-0.478</v>
      </c>
      <c r="O115" s="7" t="n">
        <v>0.154</v>
      </c>
      <c r="P115" s="7" t="n">
        <v>0.223</v>
      </c>
      <c r="Q115" s="7" t="n">
        <v>0.626</v>
      </c>
      <c r="R115" s="7" t="n">
        <v>-0.631</v>
      </c>
      <c r="S115" s="7" t="n">
        <v>0.078</v>
      </c>
      <c r="T115" s="7" t="n">
        <v>0.181</v>
      </c>
      <c r="U115" s="7" t="n">
        <v>0.428</v>
      </c>
      <c r="V115" s="7" t="n">
        <v>0.034</v>
      </c>
      <c r="W115" s="7" t="n">
        <v>0.438</v>
      </c>
      <c r="X115" s="7" t="n">
        <v>-0.32</v>
      </c>
      <c r="Y115" s="7" t="n">
        <v>0.733</v>
      </c>
      <c r="Z115" s="7" t="n">
        <v>0.078</v>
      </c>
      <c r="AA115" s="7" t="n">
        <v>-0.626</v>
      </c>
      <c r="AB115" s="7" t="n">
        <v>-0.469</v>
      </c>
      <c r="AC115" s="7" t="n">
        <v>0.146</v>
      </c>
      <c r="AD115" s="7" t="n">
        <v>-0.194</v>
      </c>
      <c r="AE115" s="7" t="n">
        <v>-0.459</v>
      </c>
      <c r="AF115" s="7" t="n">
        <v>0.19</v>
      </c>
      <c r="AG115" s="7" t="n">
        <v>0.394</v>
      </c>
      <c r="AH115" s="7" t="n">
        <v>0.291</v>
      </c>
      <c r="AI115" s="7" t="n">
        <v>-0.113</v>
      </c>
      <c r="AJ115" s="7" t="n">
        <v>-0.46</v>
      </c>
      <c r="AK115" s="7" t="n">
        <v>-0.453</v>
      </c>
      <c r="AL115" s="7" t="n">
        <v>0.596</v>
      </c>
      <c r="AM115" s="7" t="n">
        <v>-0.083</v>
      </c>
      <c r="AN115" s="7" t="n">
        <v>-0.297</v>
      </c>
      <c r="AO115" s="7" t="n">
        <v>0.218</v>
      </c>
      <c r="AP115" s="7" t="n">
        <v>-0.009</v>
      </c>
      <c r="AQ115" s="7" t="n">
        <v>-0.03</v>
      </c>
    </row>
    <row r="116" customFormat="false" ht="15" hidden="false" customHeight="false" outlineLevel="0" collapsed="false">
      <c r="A116" s="23" t="n">
        <v>46433</v>
      </c>
      <c r="B116" s="7" t="n">
        <v>-0.827</v>
      </c>
      <c r="C116" s="7" t="n">
        <v>-0.908</v>
      </c>
      <c r="D116" s="7" t="n">
        <v>-0.163</v>
      </c>
      <c r="E116" s="7" t="n">
        <v>-0.164</v>
      </c>
      <c r="F116" s="7" t="n">
        <v>-0.712</v>
      </c>
      <c r="G116" s="7" t="n">
        <v>0.143</v>
      </c>
      <c r="H116" s="7" t="n">
        <v>-0.381</v>
      </c>
      <c r="I116" s="7" t="n">
        <v>-0.974</v>
      </c>
      <c r="J116" s="7" t="n">
        <v>-0.851</v>
      </c>
      <c r="K116" s="7" t="n">
        <v>-0.434</v>
      </c>
      <c r="L116" s="7" t="n">
        <v>-0.577</v>
      </c>
      <c r="M116" s="7" t="n">
        <v>-0.401</v>
      </c>
      <c r="N116" s="7" t="n">
        <v>-0.913</v>
      </c>
      <c r="O116" s="7" t="n">
        <v>-0.911</v>
      </c>
      <c r="P116" s="7" t="n">
        <v>0.254</v>
      </c>
      <c r="Q116" s="7" t="n">
        <v>0.637</v>
      </c>
      <c r="R116" s="7" t="n">
        <v>-0.565</v>
      </c>
      <c r="S116" s="7" t="n">
        <v>-0.164</v>
      </c>
      <c r="T116" s="7" t="n">
        <v>0.224</v>
      </c>
      <c r="U116" s="7" t="n">
        <v>-0.43</v>
      </c>
      <c r="V116" s="7" t="n">
        <v>-0.549</v>
      </c>
      <c r="W116" s="7" t="n">
        <v>0.413</v>
      </c>
      <c r="X116" s="7" t="n">
        <v>-0.315</v>
      </c>
      <c r="Y116" s="7" t="n">
        <v>0.314</v>
      </c>
      <c r="Z116" s="7" t="n">
        <v>-0.164</v>
      </c>
      <c r="AA116" s="7" t="n">
        <v>-0.56</v>
      </c>
      <c r="AB116" s="7" t="n">
        <v>-0.978</v>
      </c>
      <c r="AC116" s="7" t="n">
        <v>0.157</v>
      </c>
      <c r="AD116" s="7" t="n">
        <v>-0.41</v>
      </c>
      <c r="AE116" s="7" t="n">
        <v>-0.431</v>
      </c>
      <c r="AF116" s="7" t="n">
        <v>0.213</v>
      </c>
      <c r="AG116" s="7" t="n">
        <v>-0.233</v>
      </c>
      <c r="AH116" s="7" t="n">
        <v>-0.332</v>
      </c>
      <c r="AI116" s="7" t="n">
        <v>-0.822</v>
      </c>
      <c r="AJ116" s="7" t="n">
        <v>-0.91</v>
      </c>
      <c r="AK116" s="7" t="n">
        <v>-0.909</v>
      </c>
      <c r="AL116" s="7" t="n">
        <v>0.055</v>
      </c>
      <c r="AM116" s="7" t="n">
        <v>-0.819</v>
      </c>
      <c r="AN116" s="7" t="n">
        <v>-0.259</v>
      </c>
      <c r="AO116" s="7" t="n">
        <v>-0.401</v>
      </c>
      <c r="AP116" s="7" t="n">
        <v>-0.008</v>
      </c>
      <c r="AQ116" s="7" t="n">
        <v>-0.009</v>
      </c>
    </row>
    <row r="117" customFormat="false" ht="15" hidden="false" customHeight="false" outlineLevel="0" collapsed="false">
      <c r="A117" s="23" t="n">
        <v>46434</v>
      </c>
      <c r="B117" s="7" t="n">
        <v>-1</v>
      </c>
      <c r="C117" s="7" t="n">
        <v>-0.743</v>
      </c>
      <c r="D117" s="7" t="n">
        <v>-0.491</v>
      </c>
      <c r="E117" s="7" t="n">
        <v>-0.142</v>
      </c>
      <c r="F117" s="7" t="n">
        <v>-0.876</v>
      </c>
      <c r="G117" s="7" t="n">
        <v>-0.114</v>
      </c>
      <c r="H117" s="7" t="n">
        <v>-0.655</v>
      </c>
      <c r="I117" s="7" t="n">
        <v>-0.842</v>
      </c>
      <c r="J117" s="7" t="n">
        <v>-0.453</v>
      </c>
      <c r="K117" s="7" t="n">
        <v>-0.457</v>
      </c>
      <c r="L117" s="7" t="n">
        <v>0.044</v>
      </c>
      <c r="M117" s="7" t="n">
        <v>-0.432</v>
      </c>
      <c r="N117" s="7" t="n">
        <v>-0.742</v>
      </c>
      <c r="O117" s="7" t="n">
        <v>-0.784</v>
      </c>
      <c r="P117" s="7" t="n">
        <v>-0.478</v>
      </c>
      <c r="Q117" s="7" t="n">
        <v>0.389</v>
      </c>
      <c r="R117" s="7" t="n">
        <v>-0.755</v>
      </c>
      <c r="S117" s="7" t="n">
        <v>-0.142</v>
      </c>
      <c r="T117" s="7" t="n">
        <v>0.208</v>
      </c>
      <c r="U117" s="7" t="n">
        <v>-0.71</v>
      </c>
      <c r="V117" s="7" t="n">
        <v>-0.686</v>
      </c>
      <c r="W117" s="7" t="n">
        <v>0.086</v>
      </c>
      <c r="X117" s="7" t="n">
        <v>-0.649</v>
      </c>
      <c r="Y117" s="7" t="n">
        <v>0.3</v>
      </c>
      <c r="Z117" s="7" t="n">
        <v>-0.142</v>
      </c>
      <c r="AA117" s="7" t="n">
        <v>-0.645</v>
      </c>
      <c r="AB117" s="7" t="n">
        <v>-0.453</v>
      </c>
      <c r="AC117" s="7" t="n">
        <v>-0.201</v>
      </c>
      <c r="AD117" s="7" t="n">
        <v>-0.657</v>
      </c>
      <c r="AE117" s="7" t="n">
        <v>-0.729</v>
      </c>
      <c r="AF117" s="7" t="n">
        <v>-0.246</v>
      </c>
      <c r="AG117" s="7" t="n">
        <v>-0.23</v>
      </c>
      <c r="AH117" s="7" t="n">
        <v>-0.371</v>
      </c>
      <c r="AI117" s="7" t="n">
        <v>-0.401</v>
      </c>
      <c r="AJ117" s="7" t="n">
        <v>-0.595</v>
      </c>
      <c r="AK117" s="7" t="n">
        <v>-0.436</v>
      </c>
      <c r="AL117" s="7" t="n">
        <v>-0.496</v>
      </c>
      <c r="AM117" s="7" t="n">
        <v>-0.063</v>
      </c>
      <c r="AN117" s="7" t="n">
        <v>-0.47</v>
      </c>
      <c r="AO117" s="7" t="n">
        <v>-0.432</v>
      </c>
      <c r="AP117" s="7" t="n">
        <v>-0.036</v>
      </c>
      <c r="AQ117" s="7" t="n">
        <v>-0.347</v>
      </c>
    </row>
    <row r="118" customFormat="false" ht="15" hidden="false" customHeight="false" outlineLevel="0" collapsed="false">
      <c r="A118" s="23" t="n">
        <v>46435</v>
      </c>
      <c r="B118" s="7" t="n">
        <v>-1</v>
      </c>
      <c r="C118" s="7" t="n">
        <v>-0.614</v>
      </c>
      <c r="D118" s="7" t="n">
        <v>0.083</v>
      </c>
      <c r="E118" s="7" t="n">
        <v>-0.17</v>
      </c>
      <c r="F118" s="7" t="n">
        <v>-0.901</v>
      </c>
      <c r="G118" s="7" t="n">
        <v>-0.126</v>
      </c>
      <c r="H118" s="7" t="n">
        <v>-0.81</v>
      </c>
      <c r="I118" s="7" t="n">
        <v>-0.431</v>
      </c>
      <c r="J118" s="7" t="n">
        <v>-0.389</v>
      </c>
      <c r="K118" s="7" t="n">
        <v>-0.69</v>
      </c>
      <c r="L118" s="7" t="n">
        <v>-0.289</v>
      </c>
      <c r="M118" s="7" t="n">
        <v>-0.625</v>
      </c>
      <c r="N118" s="7" t="n">
        <v>-0.791</v>
      </c>
      <c r="O118" s="7" t="n">
        <v>-0.406</v>
      </c>
      <c r="P118" s="7" t="n">
        <v>0.289</v>
      </c>
      <c r="Q118" s="7" t="n">
        <v>0.261</v>
      </c>
      <c r="R118" s="7" t="n">
        <v>-0.877</v>
      </c>
      <c r="S118" s="7" t="n">
        <v>-0.524</v>
      </c>
      <c r="T118" s="7" t="n">
        <v>0.22</v>
      </c>
      <c r="U118" s="7" t="n">
        <v>-0.932</v>
      </c>
      <c r="V118" s="7" t="n">
        <v>-0.815</v>
      </c>
      <c r="W118" s="7" t="n">
        <v>0</v>
      </c>
      <c r="X118" s="7" t="n">
        <v>-0.307</v>
      </c>
      <c r="Y118" s="7" t="n">
        <v>-0.675</v>
      </c>
      <c r="Z118" s="7" t="n">
        <v>-0.513</v>
      </c>
      <c r="AA118" s="7" t="n">
        <v>-0.876</v>
      </c>
      <c r="AB118" s="7" t="n">
        <v>-0.389</v>
      </c>
      <c r="AC118" s="7" t="n">
        <v>-0.338</v>
      </c>
      <c r="AD118" s="7" t="n">
        <v>-0.897</v>
      </c>
      <c r="AE118" s="7" t="n">
        <v>-0.778</v>
      </c>
      <c r="AF118" s="7" t="n">
        <v>-0.197</v>
      </c>
      <c r="AG118" s="7" t="n">
        <v>-0.228</v>
      </c>
      <c r="AH118" s="7" t="n">
        <v>-0.319</v>
      </c>
      <c r="AI118" s="7" t="n">
        <v>0.01</v>
      </c>
      <c r="AJ118" s="7" t="n">
        <v>-0.035</v>
      </c>
      <c r="AK118" s="7" t="n">
        <v>-0.031</v>
      </c>
      <c r="AL118" s="7" t="n">
        <v>0.086</v>
      </c>
      <c r="AM118" s="7" t="n">
        <v>0.015</v>
      </c>
      <c r="AN118" s="7" t="n">
        <v>-0.76</v>
      </c>
      <c r="AO118" s="7" t="n">
        <v>-0.625</v>
      </c>
      <c r="AP118" s="7" t="n">
        <v>-0.298</v>
      </c>
      <c r="AQ118" s="7" t="n">
        <v>-0.005</v>
      </c>
    </row>
    <row r="119" customFormat="false" ht="15" hidden="false" customHeight="false" outlineLevel="0" collapsed="false">
      <c r="A119" s="23" t="n">
        <v>46436</v>
      </c>
      <c r="B119" s="7" t="n">
        <v>-0.867</v>
      </c>
      <c r="C119" s="7" t="n">
        <v>-0.956</v>
      </c>
      <c r="D119" s="7" t="n">
        <v>0.087</v>
      </c>
      <c r="E119" s="7" t="n">
        <v>0.159</v>
      </c>
      <c r="F119" s="7" t="n">
        <v>-0.98</v>
      </c>
      <c r="G119" s="7" t="n">
        <v>-0.158</v>
      </c>
      <c r="H119" s="7" t="n">
        <v>-0.056</v>
      </c>
      <c r="I119" s="7" t="n">
        <v>-0.56</v>
      </c>
      <c r="J119" s="7" t="n">
        <v>-0.971</v>
      </c>
      <c r="K119" s="7" t="n">
        <v>-0.427</v>
      </c>
      <c r="L119" s="7" t="n">
        <v>-0.158</v>
      </c>
      <c r="M119" s="7" t="n">
        <v>-0.977</v>
      </c>
      <c r="N119" s="7" t="n">
        <v>-0.956</v>
      </c>
      <c r="O119" s="7" t="n">
        <v>-0.954</v>
      </c>
      <c r="P119" s="7" t="n">
        <v>0.292</v>
      </c>
      <c r="Q119" s="7" t="n">
        <v>0.256</v>
      </c>
      <c r="R119" s="7" t="n">
        <v>-0.278</v>
      </c>
      <c r="S119" s="7" t="n">
        <v>-0.243</v>
      </c>
      <c r="T119" s="7" t="n">
        <v>0.213</v>
      </c>
      <c r="U119" s="7" t="n">
        <v>-0.453</v>
      </c>
      <c r="V119" s="7" t="n">
        <v>-0.278</v>
      </c>
      <c r="W119" s="7" t="n">
        <v>0</v>
      </c>
      <c r="X119" s="7" t="n">
        <v>-0.298</v>
      </c>
      <c r="Y119" s="7" t="n">
        <v>0.097</v>
      </c>
      <c r="Z119" s="7" t="n">
        <v>-0.058</v>
      </c>
      <c r="AA119" s="7" t="n">
        <v>-0.278</v>
      </c>
      <c r="AB119" s="7" t="n">
        <v>-0.969</v>
      </c>
      <c r="AC119" s="7" t="n">
        <v>-0.343</v>
      </c>
      <c r="AD119" s="7" t="n">
        <v>-0.119</v>
      </c>
      <c r="AE119" s="7" t="n">
        <v>-0.953</v>
      </c>
      <c r="AF119" s="7" t="n">
        <v>-0.052</v>
      </c>
      <c r="AG119" s="7" t="n">
        <v>-0.226</v>
      </c>
      <c r="AH119" s="7" t="n">
        <v>-0.894</v>
      </c>
      <c r="AI119" s="7" t="n">
        <v>-0.011</v>
      </c>
      <c r="AJ119" s="7" t="n">
        <v>-0.382</v>
      </c>
      <c r="AK119" s="7" t="n">
        <v>-0.382</v>
      </c>
      <c r="AL119" s="7" t="n">
        <v>-0.773</v>
      </c>
      <c r="AM119" s="7" t="n">
        <v>0</v>
      </c>
      <c r="AN119" s="7" t="n">
        <v>-0.278</v>
      </c>
      <c r="AO119" s="7" t="n">
        <v>-0.93</v>
      </c>
      <c r="AP119" s="7" t="n">
        <v>-0.147</v>
      </c>
      <c r="AQ119" s="7" t="n">
        <v>-0.011</v>
      </c>
    </row>
    <row r="120" customFormat="false" ht="15" hidden="false" customHeight="false" outlineLevel="0" collapsed="false">
      <c r="A120" s="23" t="n">
        <v>46437</v>
      </c>
      <c r="B120" s="7" t="n">
        <v>-0.44</v>
      </c>
      <c r="C120" s="7" t="n">
        <v>-0.921</v>
      </c>
      <c r="D120" s="7" t="n">
        <v>0.087</v>
      </c>
      <c r="E120" s="7" t="n">
        <v>0.087</v>
      </c>
      <c r="F120" s="7" t="n">
        <v>-0.335</v>
      </c>
      <c r="G120" s="7" t="n">
        <v>0.051</v>
      </c>
      <c r="H120" s="7" t="n">
        <v>-0.952</v>
      </c>
      <c r="I120" s="7" t="n">
        <v>-0.962</v>
      </c>
      <c r="J120" s="7" t="n">
        <v>-0.474</v>
      </c>
      <c r="K120" s="7" t="n">
        <v>-0.435</v>
      </c>
      <c r="L120" s="7" t="n">
        <v>-0.088</v>
      </c>
      <c r="M120" s="7" t="n">
        <v>0.004</v>
      </c>
      <c r="N120" s="7" t="n">
        <v>-0.046</v>
      </c>
      <c r="O120" s="7" t="n">
        <v>-0.267</v>
      </c>
      <c r="P120" s="7" t="n">
        <v>0.365</v>
      </c>
      <c r="Q120" s="7" t="n">
        <v>0.325</v>
      </c>
      <c r="R120" s="7" t="n">
        <v>-0.977</v>
      </c>
      <c r="S120" s="7" t="n">
        <v>0.087</v>
      </c>
      <c r="T120" s="7" t="n">
        <v>-0.944</v>
      </c>
      <c r="U120" s="7" t="n">
        <v>-0.233</v>
      </c>
      <c r="V120" s="7" t="n">
        <v>-0.952</v>
      </c>
      <c r="W120" s="7" t="n">
        <v>0</v>
      </c>
      <c r="X120" s="7" t="n">
        <v>0.067</v>
      </c>
      <c r="Y120" s="7" t="n">
        <v>0.391</v>
      </c>
      <c r="Z120" s="7" t="n">
        <v>0.087</v>
      </c>
      <c r="AA120" s="7" t="n">
        <v>-0.977</v>
      </c>
      <c r="AB120" s="7" t="n">
        <v>-0.356</v>
      </c>
      <c r="AC120" s="7" t="n">
        <v>-0.144</v>
      </c>
      <c r="AD120" s="7" t="n">
        <v>0.087</v>
      </c>
      <c r="AE120" s="7" t="n">
        <v>-0.117</v>
      </c>
      <c r="AF120" s="7" t="n">
        <v>0.061</v>
      </c>
      <c r="AG120" s="7" t="n">
        <v>-0.1</v>
      </c>
      <c r="AH120" s="7" t="n">
        <v>-0.144</v>
      </c>
      <c r="AI120" s="7" t="n">
        <v>-0.088</v>
      </c>
      <c r="AJ120" s="7" t="n">
        <v>-0.918</v>
      </c>
      <c r="AK120" s="7" t="n">
        <v>-0.918</v>
      </c>
      <c r="AL120" s="7" t="n">
        <v>0.139</v>
      </c>
      <c r="AM120" s="7" t="n">
        <v>-0.148</v>
      </c>
      <c r="AN120" s="7" t="n">
        <v>-0.914</v>
      </c>
      <c r="AO120" s="7" t="n">
        <v>-0.221</v>
      </c>
      <c r="AP120" s="7" t="n">
        <v>0</v>
      </c>
      <c r="AQ120" s="7" t="n">
        <v>0.061</v>
      </c>
    </row>
    <row r="121" customFormat="false" ht="15" hidden="false" customHeight="false" outlineLevel="0" collapsed="false">
      <c r="A121" s="23" t="n">
        <v>46438</v>
      </c>
      <c r="B121" s="7" t="n">
        <v>-0.988</v>
      </c>
      <c r="C121" s="7" t="n">
        <v>-0.882</v>
      </c>
      <c r="D121" s="7" t="n">
        <v>0.087</v>
      </c>
      <c r="E121" s="7" t="n">
        <v>-0.65</v>
      </c>
      <c r="F121" s="7" t="n">
        <v>-0.883</v>
      </c>
      <c r="G121" s="7" t="n">
        <v>0.047</v>
      </c>
      <c r="H121" s="7" t="n">
        <v>-0.087</v>
      </c>
      <c r="I121" s="7" t="n">
        <v>-0.754</v>
      </c>
      <c r="J121" s="7" t="n">
        <v>-0.35</v>
      </c>
      <c r="K121" s="7" t="n">
        <v>-0.897</v>
      </c>
      <c r="L121" s="7" t="n">
        <v>-0.782</v>
      </c>
      <c r="M121" s="7" t="n">
        <v>-0.203</v>
      </c>
      <c r="N121" s="7" t="n">
        <v>-0.791</v>
      </c>
      <c r="O121" s="7" t="n">
        <v>-0.841</v>
      </c>
      <c r="P121" s="7" t="n">
        <v>0.361</v>
      </c>
      <c r="Q121" s="7" t="n">
        <v>0.319</v>
      </c>
      <c r="R121" s="7" t="n">
        <v>-0.393</v>
      </c>
      <c r="S121" s="7" t="n">
        <v>-0.903</v>
      </c>
      <c r="T121" s="7" t="n">
        <v>0.182</v>
      </c>
      <c r="U121" s="7" t="n">
        <v>-0.18</v>
      </c>
      <c r="V121" s="7" t="n">
        <v>-0.604</v>
      </c>
      <c r="W121" s="7" t="n">
        <v>0</v>
      </c>
      <c r="X121" s="7" t="n">
        <v>-0.158</v>
      </c>
      <c r="Y121" s="7" t="n">
        <v>0.385</v>
      </c>
      <c r="Z121" s="7" t="n">
        <v>-0.761</v>
      </c>
      <c r="AA121" s="7" t="n">
        <v>-0.393</v>
      </c>
      <c r="AB121" s="7" t="n">
        <v>-0.462</v>
      </c>
      <c r="AC121" s="7" t="n">
        <v>-0.145</v>
      </c>
      <c r="AD121" s="7" t="n">
        <v>-0.851</v>
      </c>
      <c r="AE121" s="7" t="n">
        <v>-0.773</v>
      </c>
      <c r="AF121" s="7" t="n">
        <v>0.281</v>
      </c>
      <c r="AG121" s="7" t="n">
        <v>-0.317</v>
      </c>
      <c r="AH121" s="7" t="n">
        <v>-0.127</v>
      </c>
      <c r="AI121" s="7" t="n">
        <v>0.028</v>
      </c>
      <c r="AJ121" s="7" t="n">
        <v>-0.314</v>
      </c>
      <c r="AK121" s="7" t="n">
        <v>-0.314</v>
      </c>
      <c r="AL121" s="7" t="n">
        <v>0.138</v>
      </c>
      <c r="AM121" s="7" t="n">
        <v>-0.032</v>
      </c>
      <c r="AN121" s="7" t="n">
        <v>-0.393</v>
      </c>
      <c r="AO121" s="7" t="n">
        <v>-0.858</v>
      </c>
      <c r="AP121" s="7" t="n">
        <v>-0.792</v>
      </c>
      <c r="AQ121" s="7" t="n">
        <v>0.06</v>
      </c>
    </row>
    <row r="122" customFormat="false" ht="15" hidden="false" customHeight="false" outlineLevel="0" collapsed="false">
      <c r="A122" s="23" t="n">
        <v>46439</v>
      </c>
      <c r="B122" s="7" t="n">
        <v>-0.736</v>
      </c>
      <c r="C122" s="7" t="n">
        <v>-0.473</v>
      </c>
      <c r="D122" s="7" t="n">
        <v>-0.038</v>
      </c>
      <c r="E122" s="7" t="n">
        <v>0.029</v>
      </c>
      <c r="F122" s="7" t="n">
        <v>-0.7</v>
      </c>
      <c r="G122" s="7" t="n">
        <v>0.283</v>
      </c>
      <c r="H122" s="7" t="n">
        <v>0.018</v>
      </c>
      <c r="I122" s="7" t="n">
        <v>-0.562</v>
      </c>
      <c r="J122" s="7" t="n">
        <v>-0.338</v>
      </c>
      <c r="K122" s="7" t="n">
        <v>-0.477</v>
      </c>
      <c r="L122" s="7" t="n">
        <v>0.041</v>
      </c>
      <c r="M122" s="7" t="n">
        <v>-0.45</v>
      </c>
      <c r="N122" s="7" t="n">
        <v>-0.43</v>
      </c>
      <c r="O122" s="7" t="n">
        <v>-0.382</v>
      </c>
      <c r="P122" s="7" t="n">
        <v>0.382</v>
      </c>
      <c r="Q122" s="7" t="n">
        <v>0.284</v>
      </c>
      <c r="R122" s="7" t="n">
        <v>-0.612</v>
      </c>
      <c r="S122" s="7" t="n">
        <v>-0.62</v>
      </c>
      <c r="T122" s="7" t="n">
        <v>-0.446</v>
      </c>
      <c r="U122" s="7" t="n">
        <v>-0.191</v>
      </c>
      <c r="V122" s="7" t="n">
        <v>-0.462</v>
      </c>
      <c r="W122" s="7" t="n">
        <v>0</v>
      </c>
      <c r="X122" s="7" t="n">
        <v>-0.487</v>
      </c>
      <c r="Y122" s="7" t="n">
        <v>0.242</v>
      </c>
      <c r="Z122" s="7" t="n">
        <v>0.029</v>
      </c>
      <c r="AA122" s="7" t="n">
        <v>-0.656</v>
      </c>
      <c r="AB122" s="7" t="n">
        <v>-0.338</v>
      </c>
      <c r="AC122" s="7" t="n">
        <v>-0.311</v>
      </c>
      <c r="AD122" s="7" t="n">
        <v>-0.191</v>
      </c>
      <c r="AE122" s="7" t="n">
        <v>-0.327</v>
      </c>
      <c r="AF122" s="7" t="n">
        <v>0.025</v>
      </c>
      <c r="AG122" s="7" t="n">
        <v>-0.219</v>
      </c>
      <c r="AH122" s="7" t="n">
        <v>-0.319</v>
      </c>
      <c r="AI122" s="7" t="n">
        <v>0.099</v>
      </c>
      <c r="AJ122" s="7" t="n">
        <v>-0.5</v>
      </c>
      <c r="AK122" s="7" t="n">
        <v>-0.552</v>
      </c>
      <c r="AL122" s="7" t="n">
        <v>0.191</v>
      </c>
      <c r="AM122" s="7" t="n">
        <v>0.074</v>
      </c>
      <c r="AN122" s="7" t="n">
        <v>-0.462</v>
      </c>
      <c r="AO122" s="7" t="n">
        <v>-0.45</v>
      </c>
      <c r="AP122" s="7" t="n">
        <v>-0.058</v>
      </c>
      <c r="AQ122" s="7" t="n">
        <v>0.025</v>
      </c>
    </row>
    <row r="123" customFormat="false" ht="15" hidden="false" customHeight="false" outlineLevel="0" collapsed="false">
      <c r="A123" s="23" t="n">
        <v>46440</v>
      </c>
      <c r="B123" s="7" t="n">
        <v>-0.423</v>
      </c>
      <c r="C123" s="7" t="n">
        <v>-0.451</v>
      </c>
      <c r="D123" s="7" t="n">
        <v>0.138</v>
      </c>
      <c r="E123" s="7" t="n">
        <v>0.036</v>
      </c>
      <c r="F123" s="7" t="n">
        <v>-0.703</v>
      </c>
      <c r="G123" s="7" t="n">
        <v>0.051</v>
      </c>
      <c r="H123" s="7" t="n">
        <v>0.028</v>
      </c>
      <c r="I123" s="7" t="n">
        <v>-0.448</v>
      </c>
      <c r="J123" s="7" t="n">
        <v>-0.342</v>
      </c>
      <c r="K123" s="7" t="n">
        <v>-0.472</v>
      </c>
      <c r="L123" s="7" t="n">
        <v>0.005</v>
      </c>
      <c r="M123" s="7" t="n">
        <v>-0.433</v>
      </c>
      <c r="N123" s="7" t="n">
        <v>-0.433</v>
      </c>
      <c r="O123" s="7" t="n">
        <v>0.612</v>
      </c>
      <c r="P123" s="7" t="n">
        <v>0.411</v>
      </c>
      <c r="Q123" s="7" t="n">
        <v>0.257</v>
      </c>
      <c r="R123" s="7" t="n">
        <v>-0.19</v>
      </c>
      <c r="S123" s="7" t="n">
        <v>0.036</v>
      </c>
      <c r="T123" s="7" t="n">
        <v>0.235</v>
      </c>
      <c r="U123" s="7" t="n">
        <v>0.661</v>
      </c>
      <c r="V123" s="7" t="n">
        <v>-0.19</v>
      </c>
      <c r="W123" s="7" t="n">
        <v>0</v>
      </c>
      <c r="X123" s="7" t="n">
        <v>-0.171</v>
      </c>
      <c r="Y123" s="7" t="n">
        <v>0.888</v>
      </c>
      <c r="Z123" s="7" t="n">
        <v>0.036</v>
      </c>
      <c r="AA123" s="7" t="n">
        <v>-0.239</v>
      </c>
      <c r="AB123" s="7" t="n">
        <v>-0.342</v>
      </c>
      <c r="AC123" s="7" t="n">
        <v>-0.334</v>
      </c>
      <c r="AD123" s="7" t="n">
        <v>0.088</v>
      </c>
      <c r="AE123" s="7" t="n">
        <v>-0.329</v>
      </c>
      <c r="AF123" s="7" t="n">
        <v>0</v>
      </c>
      <c r="AG123" s="7" t="n">
        <v>0.718</v>
      </c>
      <c r="AH123" s="7" t="n">
        <v>0.669</v>
      </c>
      <c r="AI123" s="7" t="n">
        <v>0.056</v>
      </c>
      <c r="AJ123" s="7" t="n">
        <v>-0.256</v>
      </c>
      <c r="AK123" s="7" t="n">
        <v>-0.304</v>
      </c>
      <c r="AL123" s="7" t="n">
        <v>0.855</v>
      </c>
      <c r="AM123" s="7" t="n">
        <v>0.056</v>
      </c>
      <c r="AN123" s="7" t="n">
        <v>-0.19</v>
      </c>
      <c r="AO123" s="7" t="n">
        <v>0.579</v>
      </c>
      <c r="AP123" s="7" t="n">
        <v>-0.051</v>
      </c>
      <c r="AQ123" s="7" t="n">
        <v>0</v>
      </c>
    </row>
    <row r="124" customFormat="false" ht="15" hidden="false" customHeight="false" outlineLevel="0" collapsed="false">
      <c r="A124" s="23" t="n">
        <v>46441</v>
      </c>
      <c r="B124" s="7" t="n">
        <v>-0.81</v>
      </c>
      <c r="C124" s="7" t="n">
        <v>-0.966</v>
      </c>
      <c r="D124" s="7" t="n">
        <v>-0.087</v>
      </c>
      <c r="E124" s="7" t="n">
        <v>-0.245</v>
      </c>
      <c r="F124" s="7" t="n">
        <v>-0.662</v>
      </c>
      <c r="G124" s="7" t="n">
        <v>0.019</v>
      </c>
      <c r="H124" s="7" t="n">
        <v>-0.096</v>
      </c>
      <c r="I124" s="7" t="n">
        <v>-0.968</v>
      </c>
      <c r="J124" s="7" t="n">
        <v>-0.883</v>
      </c>
      <c r="K124" s="7" t="n">
        <v>-0.479</v>
      </c>
      <c r="L124" s="7" t="n">
        <v>-0.862</v>
      </c>
      <c r="M124" s="7" t="n">
        <v>-0.592</v>
      </c>
      <c r="N124" s="7" t="n">
        <v>-0.899</v>
      </c>
      <c r="O124" s="7" t="n">
        <v>-0.917</v>
      </c>
      <c r="P124" s="7" t="n">
        <v>0.32</v>
      </c>
      <c r="Q124" s="7" t="n">
        <v>0.284</v>
      </c>
      <c r="R124" s="7" t="n">
        <v>-0.4</v>
      </c>
      <c r="S124" s="7" t="n">
        <v>-0.435</v>
      </c>
      <c r="T124" s="7" t="n">
        <v>0.15</v>
      </c>
      <c r="U124" s="7" t="n">
        <v>-0.506</v>
      </c>
      <c r="V124" s="7" t="n">
        <v>-0.68</v>
      </c>
      <c r="W124" s="7" t="n">
        <v>0</v>
      </c>
      <c r="X124" s="7" t="n">
        <v>-0.064</v>
      </c>
      <c r="Y124" s="7" t="n">
        <v>0.328</v>
      </c>
      <c r="Z124" s="7" t="n">
        <v>-0.3</v>
      </c>
      <c r="AA124" s="7" t="n">
        <v>-0.4</v>
      </c>
      <c r="AB124" s="7" t="n">
        <v>-0.951</v>
      </c>
      <c r="AC124" s="7" t="n">
        <v>-0.384</v>
      </c>
      <c r="AD124" s="7" t="n">
        <v>-0.43</v>
      </c>
      <c r="AE124" s="7" t="n">
        <v>-0.601</v>
      </c>
      <c r="AF124" s="7" t="n">
        <v>0.234</v>
      </c>
      <c r="AG124" s="7" t="n">
        <v>0.019</v>
      </c>
      <c r="AH124" s="7" t="n">
        <v>-0.46</v>
      </c>
      <c r="AI124" s="7" t="n">
        <v>-0.812</v>
      </c>
      <c r="AJ124" s="7" t="n">
        <v>-0.938</v>
      </c>
      <c r="AK124" s="7" t="n">
        <v>-0.938</v>
      </c>
      <c r="AL124" s="7" t="n">
        <v>0.078</v>
      </c>
      <c r="AM124" s="7" t="n">
        <v>-0.827</v>
      </c>
      <c r="AN124" s="7" t="n">
        <v>-0.4</v>
      </c>
      <c r="AO124" s="7" t="n">
        <v>-0.604</v>
      </c>
      <c r="AP124" s="7" t="n">
        <v>-0.168</v>
      </c>
      <c r="AQ124" s="7" t="n">
        <v>0.045</v>
      </c>
    </row>
    <row r="125" customFormat="false" ht="15" hidden="false" customHeight="false" outlineLevel="0" collapsed="false">
      <c r="A125" s="23" t="n">
        <v>46442</v>
      </c>
      <c r="B125" s="7" t="n">
        <v>-0.16</v>
      </c>
      <c r="C125" s="7" t="n">
        <v>-0.684</v>
      </c>
      <c r="D125" s="7" t="n">
        <v>0.84</v>
      </c>
      <c r="E125" s="7" t="n">
        <v>0.251</v>
      </c>
      <c r="F125" s="7" t="n">
        <v>-0.721</v>
      </c>
      <c r="G125" s="7" t="n">
        <v>0.891</v>
      </c>
      <c r="H125" s="7" t="n">
        <v>0.354</v>
      </c>
      <c r="I125" s="7" t="n">
        <v>-0.03</v>
      </c>
      <c r="J125" s="7" t="n">
        <v>-0.53</v>
      </c>
      <c r="K125" s="7" t="n">
        <v>-0.324</v>
      </c>
      <c r="L125" s="7" t="n">
        <v>-0.157</v>
      </c>
      <c r="M125" s="7" t="n">
        <v>-0.6</v>
      </c>
      <c r="N125" s="7" t="n">
        <v>-0.519</v>
      </c>
      <c r="O125" s="7" t="n">
        <v>0.176</v>
      </c>
      <c r="P125" s="7" t="n">
        <v>0.85</v>
      </c>
      <c r="Q125" s="7" t="n">
        <v>0.178</v>
      </c>
      <c r="R125" s="7" t="n">
        <v>0.171</v>
      </c>
      <c r="S125" s="7" t="n">
        <v>0.151</v>
      </c>
      <c r="T125" s="7" t="n">
        <v>0.049</v>
      </c>
      <c r="U125" s="7" t="n">
        <v>-0.29</v>
      </c>
      <c r="V125" s="7" t="n">
        <v>0.092</v>
      </c>
      <c r="W125" s="7" t="n">
        <v>0</v>
      </c>
      <c r="X125" s="7" t="n">
        <v>0.713</v>
      </c>
      <c r="Y125" s="7" t="n">
        <v>0.356</v>
      </c>
      <c r="Z125" s="7" t="n">
        <v>0.157</v>
      </c>
      <c r="AA125" s="7" t="n">
        <v>-0.514</v>
      </c>
      <c r="AB125" s="7" t="n">
        <v>-0.312</v>
      </c>
      <c r="AC125" s="7" t="n">
        <v>-0.376</v>
      </c>
      <c r="AD125" s="7" t="n">
        <v>0.621</v>
      </c>
      <c r="AE125" s="7" t="n">
        <v>-0.594</v>
      </c>
      <c r="AF125" s="7" t="n">
        <v>0.371</v>
      </c>
      <c r="AG125" s="7" t="n">
        <v>-0.062</v>
      </c>
      <c r="AH125" s="7" t="n">
        <v>-0.442</v>
      </c>
      <c r="AI125" s="7" t="n">
        <v>0.011</v>
      </c>
      <c r="AJ125" s="7" t="n">
        <v>0.169</v>
      </c>
      <c r="AK125" s="7" t="n">
        <v>-0.515</v>
      </c>
      <c r="AL125" s="7" t="n">
        <v>0.7</v>
      </c>
      <c r="AM125" s="7" t="n">
        <v>-0.044</v>
      </c>
      <c r="AN125" s="7" t="n">
        <v>0.324</v>
      </c>
      <c r="AO125" s="7" t="n">
        <v>-0.614</v>
      </c>
      <c r="AP125" s="7" t="n">
        <v>-0.168</v>
      </c>
      <c r="AQ125" s="7" t="n">
        <v>0.055</v>
      </c>
    </row>
    <row r="126" customFormat="false" ht="15" hidden="false" customHeight="false" outlineLevel="0" collapsed="false">
      <c r="A126" s="23" t="n">
        <v>46443</v>
      </c>
      <c r="B126" s="7" t="n">
        <v>-0.361</v>
      </c>
      <c r="C126" s="7" t="n">
        <v>-0.43</v>
      </c>
      <c r="D126" s="7" t="n">
        <v>0.119</v>
      </c>
      <c r="E126" s="7" t="n">
        <v>0.099</v>
      </c>
      <c r="F126" s="7" t="n">
        <v>-0.762</v>
      </c>
      <c r="G126" s="7" t="n">
        <v>-0.029</v>
      </c>
      <c r="H126" s="7" t="n">
        <v>0.721</v>
      </c>
      <c r="I126" s="7" t="n">
        <v>-0.485</v>
      </c>
      <c r="J126" s="7" t="n">
        <v>-0.373</v>
      </c>
      <c r="K126" s="7" t="n">
        <v>-0.477</v>
      </c>
      <c r="L126" s="7" t="n">
        <v>0.427</v>
      </c>
      <c r="M126" s="7" t="n">
        <v>-0.406</v>
      </c>
      <c r="N126" s="7" t="n">
        <v>-0.664</v>
      </c>
      <c r="O126" s="7" t="n">
        <v>-0.831</v>
      </c>
      <c r="P126" s="7" t="n">
        <v>0.04</v>
      </c>
      <c r="Q126" s="7" t="n">
        <v>0.487</v>
      </c>
      <c r="R126" s="7" t="n">
        <v>0.668</v>
      </c>
      <c r="S126" s="7" t="n">
        <v>0.099</v>
      </c>
      <c r="T126" s="7" t="n">
        <v>0.088</v>
      </c>
      <c r="U126" s="7" t="n">
        <v>0.652</v>
      </c>
      <c r="V126" s="7" t="n">
        <v>0.639</v>
      </c>
      <c r="W126" s="7" t="n">
        <v>0.336</v>
      </c>
      <c r="X126" s="7" t="n">
        <v>-0.141</v>
      </c>
      <c r="Y126" s="7" t="n">
        <v>0.865</v>
      </c>
      <c r="Z126" s="7" t="n">
        <v>0.099</v>
      </c>
      <c r="AA126" s="7" t="n">
        <v>0.65</v>
      </c>
      <c r="AB126" s="7" t="n">
        <v>-0.373</v>
      </c>
      <c r="AC126" s="7" t="n">
        <v>0.046</v>
      </c>
      <c r="AD126" s="7" t="n">
        <v>0.883</v>
      </c>
      <c r="AE126" s="7" t="n">
        <v>-0.57</v>
      </c>
      <c r="AF126" s="7" t="n">
        <v>0.371</v>
      </c>
      <c r="AG126" s="7" t="n">
        <v>-0.21</v>
      </c>
      <c r="AH126" s="7" t="n">
        <v>-0.352</v>
      </c>
      <c r="AI126" s="7" t="n">
        <v>-0.248</v>
      </c>
      <c r="AJ126" s="7" t="n">
        <v>-0.305</v>
      </c>
      <c r="AK126" s="7" t="n">
        <v>-0.334</v>
      </c>
      <c r="AL126" s="7" t="n">
        <v>-0.195</v>
      </c>
      <c r="AM126" s="7" t="n">
        <v>0.051</v>
      </c>
      <c r="AN126" s="7" t="n">
        <v>0.492</v>
      </c>
      <c r="AO126" s="7" t="n">
        <v>-0.406</v>
      </c>
      <c r="AP126" s="7" t="n">
        <v>0.012</v>
      </c>
      <c r="AQ126" s="7" t="n">
        <v>-0.296</v>
      </c>
    </row>
    <row r="127" customFormat="false" ht="15" hidden="false" customHeight="false" outlineLevel="0" collapsed="false">
      <c r="A127" s="23" t="n">
        <v>46444</v>
      </c>
      <c r="B127" s="7" t="n">
        <v>-0.704</v>
      </c>
      <c r="C127" s="7" t="n">
        <v>-0.879</v>
      </c>
      <c r="D127" s="7" t="n">
        <v>0.154</v>
      </c>
      <c r="E127" s="7" t="n">
        <v>0.109</v>
      </c>
      <c r="F127" s="7" t="n">
        <v>-0.949</v>
      </c>
      <c r="G127" s="7" t="n">
        <v>0.005</v>
      </c>
      <c r="H127" s="7" t="n">
        <v>0.016</v>
      </c>
      <c r="I127" s="7" t="n">
        <v>-0.469</v>
      </c>
      <c r="J127" s="7" t="n">
        <v>-0.974</v>
      </c>
      <c r="K127" s="7" t="n">
        <v>-0.469</v>
      </c>
      <c r="L127" s="7" t="n">
        <v>0.523</v>
      </c>
      <c r="M127" s="7" t="n">
        <v>-0.986</v>
      </c>
      <c r="N127" s="7" t="n">
        <v>-0.938</v>
      </c>
      <c r="O127" s="7" t="n">
        <v>-0.976</v>
      </c>
      <c r="P127" s="7" t="n">
        <v>0.191</v>
      </c>
      <c r="Q127" s="7" t="n">
        <v>0.583</v>
      </c>
      <c r="R127" s="7" t="n">
        <v>-0.193</v>
      </c>
      <c r="S127" s="7" t="n">
        <v>0.109</v>
      </c>
      <c r="T127" s="7" t="n">
        <v>0.088</v>
      </c>
      <c r="U127" s="7" t="n">
        <v>0.195</v>
      </c>
      <c r="V127" s="7" t="n">
        <v>-0.193</v>
      </c>
      <c r="W127" s="7" t="n">
        <v>0.447</v>
      </c>
      <c r="X127" s="7" t="n">
        <v>-0.091</v>
      </c>
      <c r="Y127" s="7" t="n">
        <v>0.096</v>
      </c>
      <c r="Z127" s="7" t="n">
        <v>0.109</v>
      </c>
      <c r="AA127" s="7" t="n">
        <v>-0.257</v>
      </c>
      <c r="AB127" s="7" t="n">
        <v>-0.972</v>
      </c>
      <c r="AC127" s="7" t="n">
        <v>0.178</v>
      </c>
      <c r="AD127" s="7" t="n">
        <v>0.175</v>
      </c>
      <c r="AE127" s="7" t="n">
        <v>-0.917</v>
      </c>
      <c r="AF127" s="7" t="n">
        <v>0.565</v>
      </c>
      <c r="AG127" s="7" t="n">
        <v>-0.208</v>
      </c>
      <c r="AH127" s="7" t="n">
        <v>-0.9</v>
      </c>
      <c r="AI127" s="7" t="n">
        <v>-0.168</v>
      </c>
      <c r="AJ127" s="7" t="n">
        <v>-0.289</v>
      </c>
      <c r="AK127" s="7" t="n">
        <v>-0.35</v>
      </c>
      <c r="AL127" s="7" t="n">
        <v>-0.822</v>
      </c>
      <c r="AM127" s="7" t="n">
        <v>0.033</v>
      </c>
      <c r="AN127" s="7" t="n">
        <v>-0.193</v>
      </c>
      <c r="AO127" s="7" t="n">
        <v>-0.913</v>
      </c>
      <c r="AP127" s="7" t="n">
        <v>0.022</v>
      </c>
      <c r="AQ127" s="7" t="n">
        <v>-0.2</v>
      </c>
    </row>
    <row r="128" customFormat="false" ht="15" hidden="false" customHeight="false" outlineLevel="0" collapsed="false">
      <c r="A128" s="23" t="n">
        <v>46445</v>
      </c>
      <c r="B128" s="7" t="n">
        <v>0.129</v>
      </c>
      <c r="C128" s="7" t="n">
        <v>-0.448</v>
      </c>
      <c r="D128" s="7" t="n">
        <v>0.78</v>
      </c>
      <c r="E128" s="7" t="n">
        <v>-0.171</v>
      </c>
      <c r="F128" s="7" t="n">
        <v>-0.323</v>
      </c>
      <c r="G128" s="7" t="n">
        <v>0.761</v>
      </c>
      <c r="H128" s="7" t="n">
        <v>0.184</v>
      </c>
      <c r="I128" s="7" t="n">
        <v>-0.181</v>
      </c>
      <c r="J128" s="7" t="n">
        <v>-0.429</v>
      </c>
      <c r="K128" s="7" t="n">
        <v>-0.449</v>
      </c>
      <c r="L128" s="7" t="n">
        <v>0.132</v>
      </c>
      <c r="M128" s="7" t="n">
        <v>-0.401</v>
      </c>
      <c r="N128" s="7" t="n">
        <v>-0.239</v>
      </c>
      <c r="O128" s="7" t="n">
        <v>-0.421</v>
      </c>
      <c r="P128" s="7" t="n">
        <v>0.8</v>
      </c>
      <c r="Q128" s="7" t="n">
        <v>0.162</v>
      </c>
      <c r="R128" s="7" t="n">
        <v>0.098</v>
      </c>
      <c r="S128" s="7" t="n">
        <v>0.65</v>
      </c>
      <c r="T128" s="7" t="n">
        <v>-0.279</v>
      </c>
      <c r="U128" s="7" t="n">
        <v>-0.428</v>
      </c>
      <c r="V128" s="7" t="n">
        <v>0.059</v>
      </c>
      <c r="W128" s="7" t="n">
        <v>0</v>
      </c>
      <c r="X128" s="7" t="n">
        <v>0.567</v>
      </c>
      <c r="Y128" s="7" t="n">
        <v>0.718</v>
      </c>
      <c r="Z128" s="7" t="n">
        <v>-0.04</v>
      </c>
      <c r="AA128" s="7" t="n">
        <v>-0.423</v>
      </c>
      <c r="AB128" s="7" t="n">
        <v>-0.409</v>
      </c>
      <c r="AC128" s="7" t="n">
        <v>-0.382</v>
      </c>
      <c r="AD128" s="7" t="n">
        <v>0.47</v>
      </c>
      <c r="AE128" s="7" t="n">
        <v>-0.252</v>
      </c>
      <c r="AF128" s="7" t="n">
        <v>-0.085</v>
      </c>
      <c r="AG128" s="7" t="n">
        <v>0.421</v>
      </c>
      <c r="AH128" s="7" t="n">
        <v>-0.406</v>
      </c>
      <c r="AI128" s="7" t="n">
        <v>0.085</v>
      </c>
      <c r="AJ128" s="7" t="n">
        <v>-0.371</v>
      </c>
      <c r="AK128" s="7" t="n">
        <v>-0.735</v>
      </c>
      <c r="AL128" s="7" t="n">
        <v>0.581</v>
      </c>
      <c r="AM128" s="7" t="n">
        <v>0.038</v>
      </c>
      <c r="AN128" s="7" t="n">
        <v>-0.185</v>
      </c>
      <c r="AO128" s="7" t="n">
        <v>-0.421</v>
      </c>
      <c r="AP128" s="7" t="n">
        <v>0.048</v>
      </c>
      <c r="AQ128" s="7" t="n">
        <v>0.048</v>
      </c>
    </row>
    <row r="129" customFormat="false" ht="15" hidden="false" customHeight="false" outlineLevel="0" collapsed="false">
      <c r="A129" s="23" t="n">
        <v>46446</v>
      </c>
      <c r="B129" s="7" t="n">
        <v>-0.15</v>
      </c>
      <c r="C129" s="7" t="n">
        <v>-0.88</v>
      </c>
      <c r="D129" s="7" t="n">
        <v>0.736</v>
      </c>
      <c r="E129" s="7" t="n">
        <v>-0.332</v>
      </c>
      <c r="F129" s="7" t="n">
        <v>-0.371</v>
      </c>
      <c r="G129" s="7" t="n">
        <v>0.704</v>
      </c>
      <c r="H129" s="7" t="n">
        <v>-0.555</v>
      </c>
      <c r="I129" s="7" t="n">
        <v>-0.824</v>
      </c>
      <c r="J129" s="7" t="n">
        <v>-0.498</v>
      </c>
      <c r="K129" s="7" t="n">
        <v>-0.457</v>
      </c>
      <c r="L129" s="7" t="n">
        <v>0.062</v>
      </c>
      <c r="M129" s="7" t="n">
        <v>-0.555</v>
      </c>
      <c r="N129" s="7" t="n">
        <v>-0.296</v>
      </c>
      <c r="O129" s="7" t="n">
        <v>-0.479</v>
      </c>
      <c r="P129" s="7" t="n">
        <v>0.766</v>
      </c>
      <c r="Q129" s="7" t="n">
        <v>0.136</v>
      </c>
      <c r="R129" s="7" t="n">
        <v>-0.693</v>
      </c>
      <c r="S129" s="7" t="n">
        <v>0.582</v>
      </c>
      <c r="T129" s="7" t="n">
        <v>-0.86</v>
      </c>
      <c r="U129" s="7" t="n">
        <v>-0.456</v>
      </c>
      <c r="V129" s="7" t="n">
        <v>-0.697</v>
      </c>
      <c r="W129" s="7" t="n">
        <v>0</v>
      </c>
      <c r="X129" s="7" t="n">
        <v>0.539</v>
      </c>
      <c r="Y129" s="7" t="n">
        <v>0.705</v>
      </c>
      <c r="Z129" s="7" t="n">
        <v>-0.05</v>
      </c>
      <c r="AA129" s="7" t="n">
        <v>-0.889</v>
      </c>
      <c r="AB129" s="7" t="n">
        <v>-0.58</v>
      </c>
      <c r="AC129" s="7" t="n">
        <v>-0.401</v>
      </c>
      <c r="AD129" s="7" t="n">
        <v>0.473</v>
      </c>
      <c r="AE129" s="7" t="n">
        <v>-0.331</v>
      </c>
      <c r="AF129" s="7" t="n">
        <v>-0.264</v>
      </c>
      <c r="AG129" s="7" t="n">
        <v>0.337</v>
      </c>
      <c r="AH129" s="7" t="n">
        <v>-0.448</v>
      </c>
      <c r="AI129" s="7" t="n">
        <v>0.025</v>
      </c>
      <c r="AJ129" s="7" t="n">
        <v>-0.803</v>
      </c>
      <c r="AK129" s="7" t="n">
        <v>-0.932</v>
      </c>
      <c r="AL129" s="7" t="n">
        <v>0.573</v>
      </c>
      <c r="AM129" s="7" t="n">
        <v>0</v>
      </c>
      <c r="AN129" s="7" t="n">
        <v>-0.755</v>
      </c>
      <c r="AO129" s="7" t="n">
        <v>-0.469</v>
      </c>
      <c r="AP129" s="7" t="n">
        <v>0.037</v>
      </c>
      <c r="AQ129" s="7" t="n">
        <v>0.025</v>
      </c>
    </row>
    <row r="130" customFormat="false" ht="15" hidden="false" customHeight="false" outlineLevel="0" collapsed="false">
      <c r="A130" s="23" t="n">
        <v>46447</v>
      </c>
      <c r="B130" s="7" t="n">
        <v>1</v>
      </c>
      <c r="C130" s="7" t="n">
        <v>0.785</v>
      </c>
      <c r="D130" s="7" t="n">
        <v>0.785</v>
      </c>
      <c r="E130" s="7" t="n">
        <v>0.907</v>
      </c>
      <c r="F130" s="7" t="n">
        <v>0.804</v>
      </c>
      <c r="G130" s="7" t="n">
        <v>0.857</v>
      </c>
      <c r="H130" s="7" t="n">
        <v>0.636</v>
      </c>
      <c r="I130" s="7" t="n">
        <v>-0.063</v>
      </c>
      <c r="J130" s="7" t="n">
        <v>-0.46</v>
      </c>
      <c r="K130" s="7" t="n">
        <v>0.953</v>
      </c>
      <c r="L130" s="7" t="n">
        <v>0.849</v>
      </c>
      <c r="M130" s="7" t="n">
        <v>-0.644</v>
      </c>
      <c r="N130" s="7" t="n">
        <v>0.721</v>
      </c>
      <c r="O130" s="7" t="n">
        <v>0.576</v>
      </c>
      <c r="P130" s="7" t="n">
        <v>0.792</v>
      </c>
      <c r="Q130" s="7" t="n">
        <v>0.159</v>
      </c>
      <c r="R130" s="7" t="n">
        <v>0.413</v>
      </c>
      <c r="S130" s="7" t="n">
        <v>0.939</v>
      </c>
      <c r="T130" s="7" t="n">
        <v>-0.129</v>
      </c>
      <c r="U130" s="7" t="n">
        <v>0.472</v>
      </c>
      <c r="V130" s="7" t="n">
        <v>0.442</v>
      </c>
      <c r="W130" s="7" t="n">
        <v>0</v>
      </c>
      <c r="X130" s="7" t="n">
        <v>0.434</v>
      </c>
      <c r="Y130" s="7" t="n">
        <v>0.705</v>
      </c>
      <c r="Z130" s="7" t="n">
        <v>0.966</v>
      </c>
      <c r="AA130" s="7" t="n">
        <v>-0.156</v>
      </c>
      <c r="AB130" s="7" t="n">
        <v>-0.66</v>
      </c>
      <c r="AC130" s="7" t="n">
        <v>-0.378</v>
      </c>
      <c r="AD130" s="7" t="n">
        <v>0.98</v>
      </c>
      <c r="AE130" s="7" t="n">
        <v>0.795</v>
      </c>
      <c r="AF130" s="7" t="n">
        <v>0.589</v>
      </c>
      <c r="AG130" s="7" t="n">
        <v>0.17</v>
      </c>
      <c r="AH130" s="7" t="n">
        <v>-0.429</v>
      </c>
      <c r="AI130" s="7" t="n">
        <v>0.075</v>
      </c>
      <c r="AJ130" s="7" t="n">
        <v>0.126</v>
      </c>
      <c r="AK130" s="7" t="n">
        <v>-0.438</v>
      </c>
      <c r="AL130" s="7" t="n">
        <v>0.611</v>
      </c>
      <c r="AM130" s="7" t="n">
        <v>0.024</v>
      </c>
      <c r="AN130" s="7" t="n">
        <v>0.221</v>
      </c>
      <c r="AO130" s="7" t="n">
        <v>0.576</v>
      </c>
      <c r="AP130" s="7" t="n">
        <v>0.826</v>
      </c>
      <c r="AQ130" s="7" t="n">
        <v>0.052</v>
      </c>
    </row>
    <row r="131" customFormat="false" ht="15" hidden="false" customHeight="false" outlineLevel="0" collapsed="false">
      <c r="A131" s="23" t="n">
        <v>46448</v>
      </c>
      <c r="B131" s="7" t="n">
        <v>0.304</v>
      </c>
      <c r="C131" s="7" t="n">
        <v>-0.466</v>
      </c>
      <c r="D131" s="7" t="n">
        <v>0.954</v>
      </c>
      <c r="E131" s="7" t="n">
        <v>0.14</v>
      </c>
      <c r="F131" s="7" t="n">
        <v>-0.427</v>
      </c>
      <c r="G131" s="7" t="n">
        <v>-0.159</v>
      </c>
      <c r="H131" s="7" t="n">
        <v>0.047</v>
      </c>
      <c r="I131" s="7" t="n">
        <v>0.541</v>
      </c>
      <c r="J131" s="7" t="n">
        <v>-0.908</v>
      </c>
      <c r="K131" s="7" t="n">
        <v>-0.443</v>
      </c>
      <c r="L131" s="7" t="n">
        <v>0.035</v>
      </c>
      <c r="M131" s="7" t="n">
        <v>-0.892</v>
      </c>
      <c r="N131" s="7" t="n">
        <v>-0.365</v>
      </c>
      <c r="O131" s="7" t="n">
        <v>-0.725</v>
      </c>
      <c r="P131" s="7" t="n">
        <v>0.574</v>
      </c>
      <c r="Q131" s="7" t="n">
        <v>0.144</v>
      </c>
      <c r="R131" s="7" t="n">
        <v>0.826</v>
      </c>
      <c r="S131" s="7" t="n">
        <v>0.962</v>
      </c>
      <c r="T131" s="7" t="n">
        <v>0.825</v>
      </c>
      <c r="U131" s="7" t="n">
        <v>-0.308</v>
      </c>
      <c r="V131" s="7" t="n">
        <v>0.663</v>
      </c>
      <c r="W131" s="7" t="n">
        <v>0</v>
      </c>
      <c r="X131" s="7" t="n">
        <v>0.806</v>
      </c>
      <c r="Y131" s="7" t="n">
        <v>0.849</v>
      </c>
      <c r="Z131" s="7" t="n">
        <v>0.14</v>
      </c>
      <c r="AA131" s="7" t="n">
        <v>0.793</v>
      </c>
      <c r="AB131" s="7" t="n">
        <v>-0.882</v>
      </c>
      <c r="AC131" s="7" t="n">
        <v>-0.299</v>
      </c>
      <c r="AD131" s="7" t="n">
        <v>0.831</v>
      </c>
      <c r="AE131" s="7" t="n">
        <v>-0.204</v>
      </c>
      <c r="AF131" s="7" t="n">
        <v>0.039</v>
      </c>
      <c r="AG131" s="7" t="n">
        <v>-0.2</v>
      </c>
      <c r="AH131" s="7" t="n">
        <v>-0.475</v>
      </c>
      <c r="AI131" s="7" t="n">
        <v>-0.019</v>
      </c>
      <c r="AJ131" s="7" t="n">
        <v>0.534</v>
      </c>
      <c r="AK131" s="7" t="n">
        <v>0.462</v>
      </c>
      <c r="AL131" s="7" t="n">
        <v>0.165</v>
      </c>
      <c r="AM131" s="7" t="n">
        <v>-0.058</v>
      </c>
      <c r="AN131" s="7" t="n">
        <v>0.663</v>
      </c>
      <c r="AO131" s="7" t="n">
        <v>-0.458</v>
      </c>
      <c r="AP131" s="7" t="n">
        <v>0.054</v>
      </c>
      <c r="AQ131" s="7" t="n">
        <v>0.039</v>
      </c>
    </row>
    <row r="132" customFormat="false" ht="15" hidden="false" customHeight="false" outlineLevel="0" collapsed="false">
      <c r="A132" s="23" t="n">
        <v>46449</v>
      </c>
      <c r="B132" s="7" t="n">
        <v>-0.05</v>
      </c>
      <c r="C132" s="7" t="n">
        <v>0.458</v>
      </c>
      <c r="D132" s="7" t="n">
        <v>-0.219</v>
      </c>
      <c r="E132" s="7" t="n">
        <v>-0.189</v>
      </c>
      <c r="F132" s="7" t="n">
        <v>0.014</v>
      </c>
      <c r="G132" s="7" t="n">
        <v>0.407</v>
      </c>
      <c r="H132" s="7" t="n">
        <v>-0.231</v>
      </c>
      <c r="I132" s="7" t="n">
        <v>-0.264</v>
      </c>
      <c r="J132" s="7" t="n">
        <v>-0.923</v>
      </c>
      <c r="K132" s="7" t="n">
        <v>-0.16</v>
      </c>
      <c r="L132" s="7" t="n">
        <v>0.898</v>
      </c>
      <c r="M132" s="7" t="n">
        <v>-0.923</v>
      </c>
      <c r="N132" s="7" t="n">
        <v>0.077</v>
      </c>
      <c r="O132" s="7" t="n">
        <v>-0.433</v>
      </c>
      <c r="P132" s="7" t="n">
        <v>0.216</v>
      </c>
      <c r="Q132" s="7" t="n">
        <v>0.865</v>
      </c>
      <c r="R132" s="7" t="n">
        <v>-0.231</v>
      </c>
      <c r="S132" s="7" t="n">
        <v>0.055</v>
      </c>
      <c r="T132" s="7" t="n">
        <v>-0.165</v>
      </c>
      <c r="U132" s="7" t="n">
        <v>0.826</v>
      </c>
      <c r="V132" s="7" t="n">
        <v>-0.231</v>
      </c>
      <c r="W132" s="7" t="n">
        <v>0.701</v>
      </c>
      <c r="X132" s="7" t="n">
        <v>-0.219</v>
      </c>
      <c r="Y132" s="7" t="n">
        <v>0.613</v>
      </c>
      <c r="Z132" s="7" t="n">
        <v>0.055</v>
      </c>
      <c r="AA132" s="7" t="n">
        <v>-0.013</v>
      </c>
      <c r="AB132" s="7" t="n">
        <v>-0.93</v>
      </c>
      <c r="AC132" s="7" t="n">
        <v>0.894</v>
      </c>
      <c r="AD132" s="7" t="n">
        <v>-0.166</v>
      </c>
      <c r="AE132" s="7" t="n">
        <v>0.23</v>
      </c>
      <c r="AF132" s="7" t="n">
        <v>0.852</v>
      </c>
      <c r="AG132" s="7" t="n">
        <v>-0.274</v>
      </c>
      <c r="AH132" s="7" t="n">
        <v>-0.52</v>
      </c>
      <c r="AI132" s="7" t="n">
        <v>0.492</v>
      </c>
      <c r="AJ132" s="7" t="n">
        <v>-0.264</v>
      </c>
      <c r="AK132" s="7" t="n">
        <v>-0.048</v>
      </c>
      <c r="AL132" s="7" t="n">
        <v>0.388</v>
      </c>
      <c r="AM132" s="7" t="n">
        <v>-0.035</v>
      </c>
      <c r="AN132" s="7" t="n">
        <v>-0.231</v>
      </c>
      <c r="AO132" s="7" t="n">
        <v>-0.399</v>
      </c>
      <c r="AP132" s="7" t="n">
        <v>0.055</v>
      </c>
      <c r="AQ132" s="7" t="n">
        <v>0.518</v>
      </c>
    </row>
    <row r="133" customFormat="false" ht="15" hidden="false" customHeight="false" outlineLevel="0" collapsed="false">
      <c r="A133" s="23" t="n">
        <v>46450</v>
      </c>
      <c r="B133" s="7" t="n">
        <v>-0.22</v>
      </c>
      <c r="C133" s="7" t="n">
        <v>-0.067</v>
      </c>
      <c r="D133" s="7" t="n">
        <v>-0.109</v>
      </c>
      <c r="E133" s="7" t="n">
        <v>0.008</v>
      </c>
      <c r="F133" s="7" t="n">
        <v>-0.38</v>
      </c>
      <c r="G133" s="7" t="n">
        <v>-0.015</v>
      </c>
      <c r="H133" s="7" t="n">
        <v>-0.004</v>
      </c>
      <c r="I133" s="7" t="n">
        <v>-0.077</v>
      </c>
      <c r="J133" s="7" t="n">
        <v>-0.321</v>
      </c>
      <c r="K133" s="7" t="n">
        <v>-0.2</v>
      </c>
      <c r="L133" s="7" t="n">
        <v>-0.008</v>
      </c>
      <c r="M133" s="7" t="n">
        <v>-0.088</v>
      </c>
      <c r="N133" s="7" t="n">
        <v>-0.327</v>
      </c>
      <c r="O133" s="7" t="n">
        <v>0.34</v>
      </c>
      <c r="P133" s="7" t="n">
        <v>-0.251</v>
      </c>
      <c r="Q133" s="7" t="n">
        <v>-0.146</v>
      </c>
      <c r="R133" s="7" t="n">
        <v>0.073</v>
      </c>
      <c r="S133" s="7" t="n">
        <v>0.008</v>
      </c>
      <c r="T133" s="7" t="n">
        <v>-0.308</v>
      </c>
      <c r="U133" s="7" t="n">
        <v>0.718</v>
      </c>
      <c r="V133" s="7" t="n">
        <v>-0.038</v>
      </c>
      <c r="W133" s="7" t="n">
        <v>0</v>
      </c>
      <c r="X133" s="7" t="n">
        <v>-0.109</v>
      </c>
      <c r="Y133" s="7" t="n">
        <v>0.802</v>
      </c>
      <c r="Z133" s="7" t="n">
        <v>0.008</v>
      </c>
      <c r="AA133" s="7" t="n">
        <v>0.181</v>
      </c>
      <c r="AB133" s="7" t="n">
        <v>-0.096</v>
      </c>
      <c r="AC133" s="7" t="n">
        <v>-0.015</v>
      </c>
      <c r="AD133" s="7" t="n">
        <v>-0.101</v>
      </c>
      <c r="AE133" s="7" t="n">
        <v>-0.103</v>
      </c>
      <c r="AF133" s="7" t="n">
        <v>-0.015</v>
      </c>
      <c r="AG133" s="7" t="n">
        <v>0.408</v>
      </c>
      <c r="AH133" s="7" t="n">
        <v>0.388</v>
      </c>
      <c r="AI133" s="7" t="n">
        <v>-0.015</v>
      </c>
      <c r="AJ133" s="7" t="n">
        <v>-0.049</v>
      </c>
      <c r="AK133" s="7" t="n">
        <v>0.061</v>
      </c>
      <c r="AL133" s="7" t="n">
        <v>0.549</v>
      </c>
      <c r="AM133" s="7" t="n">
        <v>0</v>
      </c>
      <c r="AN133" s="7" t="n">
        <v>-0.049</v>
      </c>
      <c r="AO133" s="7" t="n">
        <v>0.547</v>
      </c>
      <c r="AP133" s="7" t="n">
        <v>0.008</v>
      </c>
      <c r="AQ133" s="7" t="n">
        <v>-0.015</v>
      </c>
    </row>
    <row r="134" customFormat="false" ht="15" hidden="false" customHeight="false" outlineLevel="0" collapsed="false">
      <c r="A134" s="23" t="n">
        <v>46451</v>
      </c>
      <c r="B134" s="7" t="n">
        <v>-0.434</v>
      </c>
      <c r="C134" s="7" t="n">
        <v>-0.631</v>
      </c>
      <c r="D134" s="7" t="n">
        <v>-0.086</v>
      </c>
      <c r="E134" s="7" t="n">
        <v>-0.004</v>
      </c>
      <c r="F134" s="7" t="n">
        <v>-0.388</v>
      </c>
      <c r="G134" s="7" t="n">
        <v>0.013</v>
      </c>
      <c r="H134" s="7" t="n">
        <v>0.022</v>
      </c>
      <c r="I134" s="7" t="n">
        <v>-0.603</v>
      </c>
      <c r="J134" s="7" t="n">
        <v>-0.833</v>
      </c>
      <c r="K134" s="7" t="n">
        <v>-0.204</v>
      </c>
      <c r="L134" s="7" t="n">
        <v>-0.6</v>
      </c>
      <c r="M134" s="7" t="n">
        <v>-0.099</v>
      </c>
      <c r="N134" s="7" t="n">
        <v>-0.772</v>
      </c>
      <c r="O134" s="7" t="n">
        <v>-0.771</v>
      </c>
      <c r="P134" s="7" t="n">
        <v>-0.228</v>
      </c>
      <c r="Q134" s="7" t="n">
        <v>-0.146</v>
      </c>
      <c r="R134" s="7" t="n">
        <v>0.082</v>
      </c>
      <c r="S134" s="7" t="n">
        <v>-0.004</v>
      </c>
      <c r="T134" s="7" t="n">
        <v>-0.379</v>
      </c>
      <c r="U134" s="7" t="n">
        <v>-0.166</v>
      </c>
      <c r="V134" s="7" t="n">
        <v>0.014</v>
      </c>
      <c r="W134" s="7" t="n">
        <v>0</v>
      </c>
      <c r="X134" s="7" t="n">
        <v>-0.086</v>
      </c>
      <c r="Y134" s="7" t="n">
        <v>0.152</v>
      </c>
      <c r="Z134" s="7" t="n">
        <v>-0.004</v>
      </c>
      <c r="AA134" s="7" t="n">
        <v>0.166</v>
      </c>
      <c r="AB134" s="7" t="n">
        <v>-0.909</v>
      </c>
      <c r="AC134" s="7" t="n">
        <v>-0.015</v>
      </c>
      <c r="AD134" s="7" t="n">
        <v>-0.089</v>
      </c>
      <c r="AE134" s="7" t="n">
        <v>-0.114</v>
      </c>
      <c r="AF134" s="7" t="n">
        <v>-0.015</v>
      </c>
      <c r="AG134" s="7" t="n">
        <v>-0.288</v>
      </c>
      <c r="AH134" s="7" t="n">
        <v>-0.27</v>
      </c>
      <c r="AI134" s="7" t="n">
        <v>-0.598</v>
      </c>
      <c r="AJ134" s="7" t="n">
        <v>-0.576</v>
      </c>
      <c r="AK134" s="7" t="n">
        <v>-0.516</v>
      </c>
      <c r="AL134" s="7" t="n">
        <v>-0.046</v>
      </c>
      <c r="AM134" s="7" t="n">
        <v>-0.588</v>
      </c>
      <c r="AN134" s="7" t="n">
        <v>0.018</v>
      </c>
      <c r="AO134" s="7" t="n">
        <v>-0.099</v>
      </c>
      <c r="AP134" s="7" t="n">
        <v>-0.004</v>
      </c>
      <c r="AQ134" s="7" t="n">
        <v>-0.015</v>
      </c>
    </row>
    <row r="135" customFormat="false" ht="15" hidden="false" customHeight="false" outlineLevel="0" collapsed="false">
      <c r="A135" s="23" t="n">
        <v>46452</v>
      </c>
      <c r="B135" s="7" t="n">
        <v>0.227</v>
      </c>
      <c r="C135" s="7" t="n">
        <v>0.104</v>
      </c>
      <c r="D135" s="7" t="n">
        <v>0.725</v>
      </c>
      <c r="E135" s="7" t="n">
        <v>-0.02</v>
      </c>
      <c r="F135" s="7" t="n">
        <v>-0.282</v>
      </c>
      <c r="G135" s="7" t="n">
        <v>0.842</v>
      </c>
      <c r="H135" s="7" t="n">
        <v>0.635</v>
      </c>
      <c r="I135" s="7" t="n">
        <v>0.648</v>
      </c>
      <c r="J135" s="7" t="n">
        <v>-0.209</v>
      </c>
      <c r="K135" s="7" t="n">
        <v>-0.214</v>
      </c>
      <c r="L135" s="7" t="n">
        <v>-0.02</v>
      </c>
      <c r="M135" s="7" t="n">
        <v>-0.075</v>
      </c>
      <c r="N135" s="7" t="n">
        <v>-0.229</v>
      </c>
      <c r="O135" s="7" t="n">
        <v>0.481</v>
      </c>
      <c r="P135" s="7" t="n">
        <v>0.473</v>
      </c>
      <c r="Q135" s="7" t="n">
        <v>-0.131</v>
      </c>
      <c r="R135" s="7" t="n">
        <v>0.662</v>
      </c>
      <c r="S135" s="7" t="n">
        <v>-0.02</v>
      </c>
      <c r="T135" s="7" t="n">
        <v>-0.427</v>
      </c>
      <c r="U135" s="7" t="n">
        <v>-0.162</v>
      </c>
      <c r="V135" s="7" t="n">
        <v>0.669</v>
      </c>
      <c r="W135" s="7" t="n">
        <v>0</v>
      </c>
      <c r="X135" s="7" t="n">
        <v>0.569</v>
      </c>
      <c r="Y135" s="7" t="n">
        <v>0.231</v>
      </c>
      <c r="Z135" s="7" t="n">
        <v>-0.02</v>
      </c>
      <c r="AA135" s="7" t="n">
        <v>0.163</v>
      </c>
      <c r="AB135" s="7" t="n">
        <v>-0.055</v>
      </c>
      <c r="AC135" s="7" t="n">
        <v>0</v>
      </c>
      <c r="AD135" s="7" t="n">
        <v>0.546</v>
      </c>
      <c r="AE135" s="7" t="n">
        <v>-0.075</v>
      </c>
      <c r="AF135" s="7" t="n">
        <v>0</v>
      </c>
      <c r="AG135" s="7" t="n">
        <v>-0.303</v>
      </c>
      <c r="AH135" s="7" t="n">
        <v>-0.158</v>
      </c>
      <c r="AI135" s="7" t="n">
        <v>0</v>
      </c>
      <c r="AJ135" s="7" t="n">
        <v>0.652</v>
      </c>
      <c r="AK135" s="7" t="n">
        <v>0.146</v>
      </c>
      <c r="AL135" s="7" t="n">
        <v>0.595</v>
      </c>
      <c r="AM135" s="7" t="n">
        <v>0</v>
      </c>
      <c r="AN135" s="7" t="n">
        <v>0.652</v>
      </c>
      <c r="AO135" s="7" t="n">
        <v>-0.075</v>
      </c>
      <c r="AP135" s="7" t="n">
        <v>-0.02</v>
      </c>
      <c r="AQ135" s="7" t="n">
        <v>0</v>
      </c>
    </row>
    <row r="136" customFormat="false" ht="15" hidden="false" customHeight="false" outlineLevel="0" collapsed="false">
      <c r="A136" s="23" t="n">
        <v>46453</v>
      </c>
      <c r="B136" s="7" t="n">
        <v>-0.07</v>
      </c>
      <c r="C136" s="7" t="n">
        <v>-0.246</v>
      </c>
      <c r="D136" s="7" t="n">
        <v>-0.045</v>
      </c>
      <c r="E136" s="7" t="n">
        <v>0.311</v>
      </c>
      <c r="F136" s="7" t="n">
        <v>-0.181</v>
      </c>
      <c r="G136" s="7" t="n">
        <v>0.567</v>
      </c>
      <c r="H136" s="7" t="n">
        <v>0.664</v>
      </c>
      <c r="I136" s="7" t="n">
        <v>-0.187</v>
      </c>
      <c r="J136" s="7" t="n">
        <v>-0.188</v>
      </c>
      <c r="K136" s="7" t="n">
        <v>-0.25</v>
      </c>
      <c r="L136" s="7" t="n">
        <v>0.138</v>
      </c>
      <c r="M136" s="7" t="n">
        <v>-0.056</v>
      </c>
      <c r="N136" s="7" t="n">
        <v>-0.657</v>
      </c>
      <c r="O136" s="7" t="n">
        <v>-0.214</v>
      </c>
      <c r="P136" s="7" t="n">
        <v>-0.139</v>
      </c>
      <c r="Q136" s="7" t="n">
        <v>-0.095</v>
      </c>
      <c r="R136" s="7" t="n">
        <v>0.72</v>
      </c>
      <c r="S136" s="7" t="n">
        <v>-0.515</v>
      </c>
      <c r="T136" s="7" t="n">
        <v>-0.521</v>
      </c>
      <c r="U136" s="7" t="n">
        <v>0.953</v>
      </c>
      <c r="V136" s="7" t="n">
        <v>0.721</v>
      </c>
      <c r="W136" s="7" t="n">
        <v>0</v>
      </c>
      <c r="X136" s="7" t="n">
        <v>-0.045</v>
      </c>
      <c r="Y136" s="7" t="n">
        <v>0.954</v>
      </c>
      <c r="Z136" s="7" t="n">
        <v>0.04</v>
      </c>
      <c r="AA136" s="7" t="n">
        <v>0.74</v>
      </c>
      <c r="AB136" s="7" t="n">
        <v>-0.033</v>
      </c>
      <c r="AC136" s="7" t="n">
        <v>0.036</v>
      </c>
      <c r="AD136" s="7" t="n">
        <v>0.853</v>
      </c>
      <c r="AE136" s="7" t="n">
        <v>-0.02</v>
      </c>
      <c r="AF136" s="7" t="n">
        <v>0.036</v>
      </c>
      <c r="AG136" s="7" t="n">
        <v>-0.635</v>
      </c>
      <c r="AH136" s="7" t="n">
        <v>-0.156</v>
      </c>
      <c r="AI136" s="7" t="n">
        <v>0.098</v>
      </c>
      <c r="AJ136" s="7" t="n">
        <v>-0.548</v>
      </c>
      <c r="AK136" s="7" t="n">
        <v>-0.516</v>
      </c>
      <c r="AL136" s="7" t="n">
        <v>0.087</v>
      </c>
      <c r="AM136" s="7" t="n">
        <v>0.063</v>
      </c>
      <c r="AN136" s="7" t="n">
        <v>0.419</v>
      </c>
      <c r="AO136" s="7" t="n">
        <v>-0.056</v>
      </c>
      <c r="AP136" s="7" t="n">
        <v>0.04</v>
      </c>
      <c r="AQ136" s="7" t="n">
        <v>0.036</v>
      </c>
    </row>
    <row r="137" customFormat="false" ht="15" hidden="false" customHeight="false" outlineLevel="0" collapsed="false">
      <c r="A137" s="23" t="n">
        <v>46454</v>
      </c>
      <c r="B137" s="7" t="n">
        <v>-0.695</v>
      </c>
      <c r="C137" s="7" t="n">
        <v>-0.853</v>
      </c>
      <c r="D137" s="7" t="n">
        <v>-0.045</v>
      </c>
      <c r="E137" s="7" t="n">
        <v>0.208</v>
      </c>
      <c r="F137" s="7" t="n">
        <v>-0.796</v>
      </c>
      <c r="G137" s="7" t="n">
        <v>0.571</v>
      </c>
      <c r="H137" s="7" t="n">
        <v>-0.338</v>
      </c>
      <c r="I137" s="7" t="n">
        <v>-0.22</v>
      </c>
      <c r="J137" s="7" t="n">
        <v>-0.924</v>
      </c>
      <c r="K137" s="7" t="n">
        <v>-0.229</v>
      </c>
      <c r="L137" s="7" t="n">
        <v>0.199</v>
      </c>
      <c r="M137" s="7" t="n">
        <v>-0.968</v>
      </c>
      <c r="N137" s="7" t="n">
        <v>-0.937</v>
      </c>
      <c r="O137" s="7" t="n">
        <v>-0.929</v>
      </c>
      <c r="P137" s="7" t="n">
        <v>-0.114</v>
      </c>
      <c r="Q137" s="7" t="n">
        <v>-0.069</v>
      </c>
      <c r="R137" s="7" t="n">
        <v>-0.226</v>
      </c>
      <c r="S137" s="7" t="n">
        <v>-0.499</v>
      </c>
      <c r="T137" s="7" t="n">
        <v>-0.501</v>
      </c>
      <c r="U137" s="7" t="n">
        <v>-0.076</v>
      </c>
      <c r="V137" s="7" t="n">
        <v>-0.26</v>
      </c>
      <c r="W137" s="7" t="n">
        <v>0</v>
      </c>
      <c r="X137" s="7" t="n">
        <v>-0.045</v>
      </c>
      <c r="Y137" s="7" t="n">
        <v>0.619</v>
      </c>
      <c r="Z137" s="7" t="n">
        <v>0.062</v>
      </c>
      <c r="AA137" s="7" t="n">
        <v>-0.183</v>
      </c>
      <c r="AB137" s="7" t="n">
        <v>-0.908</v>
      </c>
      <c r="AC137" s="7" t="n">
        <v>0.062</v>
      </c>
      <c r="AD137" s="7" t="n">
        <v>0.079</v>
      </c>
      <c r="AE137" s="7" t="n">
        <v>-0.738</v>
      </c>
      <c r="AF137" s="7" t="n">
        <v>0.062</v>
      </c>
      <c r="AG137" s="7" t="n">
        <v>-0.635</v>
      </c>
      <c r="AH137" s="7" t="n">
        <v>-0.848</v>
      </c>
      <c r="AI137" s="7" t="n">
        <v>0.139</v>
      </c>
      <c r="AJ137" s="7" t="n">
        <v>-0.524</v>
      </c>
      <c r="AK137" s="7" t="n">
        <v>-0.491</v>
      </c>
      <c r="AL137" s="7" t="n">
        <v>-0.767</v>
      </c>
      <c r="AM137" s="7" t="n">
        <v>0.078</v>
      </c>
      <c r="AN137" s="7" t="n">
        <v>-0.578</v>
      </c>
      <c r="AO137" s="7" t="n">
        <v>-0.81</v>
      </c>
      <c r="AP137" s="7" t="n">
        <v>0.062</v>
      </c>
      <c r="AQ137" s="7" t="n">
        <v>0.062</v>
      </c>
    </row>
    <row r="138" customFormat="false" ht="15" hidden="false" customHeight="false" outlineLevel="0" collapsed="false">
      <c r="A138" s="23" t="n">
        <v>46455</v>
      </c>
      <c r="B138" s="7" t="n">
        <v>-0.123</v>
      </c>
      <c r="C138" s="7" t="n">
        <v>-0.651</v>
      </c>
      <c r="D138" s="7" t="n">
        <v>-0.092</v>
      </c>
      <c r="E138" s="7" t="n">
        <v>0.063</v>
      </c>
      <c r="F138" s="7" t="n">
        <v>0.071</v>
      </c>
      <c r="G138" s="7" t="n">
        <v>0.541</v>
      </c>
      <c r="H138" s="7" t="n">
        <v>-0.855</v>
      </c>
      <c r="I138" s="7" t="n">
        <v>-0.746</v>
      </c>
      <c r="J138" s="7" t="n">
        <v>-0.673</v>
      </c>
      <c r="K138" s="7" t="n">
        <v>-0.114</v>
      </c>
      <c r="L138" s="7" t="n">
        <v>0.083</v>
      </c>
      <c r="M138" s="7" t="n">
        <v>-0.613</v>
      </c>
      <c r="N138" s="7" t="n">
        <v>0.122</v>
      </c>
      <c r="O138" s="7" t="n">
        <v>-0.401</v>
      </c>
      <c r="P138" s="7" t="n">
        <v>0.074</v>
      </c>
      <c r="Q138" s="7" t="n">
        <v>-0.143</v>
      </c>
      <c r="R138" s="7" t="n">
        <v>-0.792</v>
      </c>
      <c r="S138" s="7" t="n">
        <v>0.063</v>
      </c>
      <c r="T138" s="7" t="n">
        <v>-0.888</v>
      </c>
      <c r="U138" s="7" t="n">
        <v>-0.046</v>
      </c>
      <c r="V138" s="7" t="n">
        <v>-0.82</v>
      </c>
      <c r="W138" s="7" t="n">
        <v>0</v>
      </c>
      <c r="X138" s="7" t="n">
        <v>0.353</v>
      </c>
      <c r="Y138" s="7" t="n">
        <v>0.622</v>
      </c>
      <c r="Z138" s="7" t="n">
        <v>0.063</v>
      </c>
      <c r="AA138" s="7" t="n">
        <v>-0.754</v>
      </c>
      <c r="AB138" s="7" t="n">
        <v>-0.386</v>
      </c>
      <c r="AC138" s="7" t="n">
        <v>0.188</v>
      </c>
      <c r="AD138" s="7" t="n">
        <v>-0.03</v>
      </c>
      <c r="AE138" s="7" t="n">
        <v>0.273</v>
      </c>
      <c r="AF138" s="7" t="n">
        <v>0.04</v>
      </c>
      <c r="AG138" s="7" t="n">
        <v>-0.14</v>
      </c>
      <c r="AH138" s="7" t="n">
        <v>-0.074</v>
      </c>
      <c r="AI138" s="7" t="n">
        <v>0.02</v>
      </c>
      <c r="AJ138" s="7" t="n">
        <v>-0.822</v>
      </c>
      <c r="AK138" s="7" t="n">
        <v>-0.789</v>
      </c>
      <c r="AL138" s="7" t="n">
        <v>-0.023</v>
      </c>
      <c r="AM138" s="7" t="n">
        <v>-0.02</v>
      </c>
      <c r="AN138" s="7" t="n">
        <v>-0.86</v>
      </c>
      <c r="AO138" s="7" t="n">
        <v>0.116</v>
      </c>
      <c r="AP138" s="7" t="n">
        <v>0.063</v>
      </c>
      <c r="AQ138" s="7" t="n">
        <v>0.04</v>
      </c>
    </row>
    <row r="139" customFormat="false" ht="15" hidden="false" customHeight="false" outlineLevel="0" collapsed="false">
      <c r="A139" s="23" t="n">
        <v>46456</v>
      </c>
      <c r="B139" s="7" t="n">
        <v>0.46</v>
      </c>
      <c r="C139" s="7" t="n">
        <v>0.314</v>
      </c>
      <c r="D139" s="7" t="n">
        <v>-0.081</v>
      </c>
      <c r="E139" s="7" t="n">
        <v>0.796</v>
      </c>
      <c r="F139" s="7" t="n">
        <v>0.449</v>
      </c>
      <c r="G139" s="7" t="n">
        <v>0.553</v>
      </c>
      <c r="H139" s="7" t="n">
        <v>-0.158</v>
      </c>
      <c r="I139" s="7" t="n">
        <v>-0.284</v>
      </c>
      <c r="J139" s="7" t="n">
        <v>-0.718</v>
      </c>
      <c r="K139" s="7" t="n">
        <v>0.805</v>
      </c>
      <c r="L139" s="7" t="n">
        <v>0.553</v>
      </c>
      <c r="M139" s="7" t="n">
        <v>-0.566</v>
      </c>
      <c r="N139" s="7" t="n">
        <v>0.309</v>
      </c>
      <c r="O139" s="7" t="n">
        <v>0.123</v>
      </c>
      <c r="P139" s="7" t="n">
        <v>-0.274</v>
      </c>
      <c r="Q139" s="7" t="n">
        <v>-0.182</v>
      </c>
      <c r="R139" s="7" t="n">
        <v>-0.158</v>
      </c>
      <c r="S139" s="7" t="n">
        <v>0.817</v>
      </c>
      <c r="T139" s="7" t="n">
        <v>-0.228</v>
      </c>
      <c r="U139" s="7" t="n">
        <v>0.501</v>
      </c>
      <c r="V139" s="7" t="n">
        <v>-0.158</v>
      </c>
      <c r="W139" s="7" t="n">
        <v>0</v>
      </c>
      <c r="X139" s="7" t="n">
        <v>-0.212</v>
      </c>
      <c r="Y139" s="7" t="n">
        <v>0.645</v>
      </c>
      <c r="Z139" s="7" t="n">
        <v>0.805</v>
      </c>
      <c r="AA139" s="7" t="n">
        <v>-0.078</v>
      </c>
      <c r="AB139" s="7" t="n">
        <v>-0.512</v>
      </c>
      <c r="AC139" s="7" t="n">
        <v>-0.118</v>
      </c>
      <c r="AD139" s="7" t="n">
        <v>0.773</v>
      </c>
      <c r="AE139" s="7" t="n">
        <v>0.444</v>
      </c>
      <c r="AF139" s="7" t="n">
        <v>0.467</v>
      </c>
      <c r="AG139" s="7" t="n">
        <v>0</v>
      </c>
      <c r="AH139" s="7" t="n">
        <v>-0.3</v>
      </c>
      <c r="AI139" s="7" t="n">
        <v>-0.015</v>
      </c>
      <c r="AJ139" s="7" t="n">
        <v>-0.284</v>
      </c>
      <c r="AK139" s="7" t="n">
        <v>-0.208</v>
      </c>
      <c r="AL139" s="7" t="n">
        <v>-0.018</v>
      </c>
      <c r="AM139" s="7" t="n">
        <v>-0.015</v>
      </c>
      <c r="AN139" s="7" t="n">
        <v>-0.158</v>
      </c>
      <c r="AO139" s="7" t="n">
        <v>0.399</v>
      </c>
      <c r="AP139" s="7" t="n">
        <v>0.563</v>
      </c>
      <c r="AQ139" s="7" t="n">
        <v>0</v>
      </c>
    </row>
    <row r="140" customFormat="false" ht="15" hidden="false" customHeight="false" outlineLevel="0" collapsed="false">
      <c r="A140" s="23" t="n">
        <v>46457</v>
      </c>
      <c r="B140" s="7" t="n">
        <v>0.677</v>
      </c>
      <c r="C140" s="7" t="n">
        <v>-0.323</v>
      </c>
      <c r="D140" s="7" t="n">
        <v>0.941</v>
      </c>
      <c r="E140" s="7" t="n">
        <v>-0.016</v>
      </c>
      <c r="F140" s="7" t="n">
        <v>-0.101</v>
      </c>
      <c r="G140" s="7" t="n">
        <v>0.76</v>
      </c>
      <c r="H140" s="7" t="n">
        <v>0.482</v>
      </c>
      <c r="I140" s="7" t="n">
        <v>0.941</v>
      </c>
      <c r="J140" s="7" t="n">
        <v>-0.208</v>
      </c>
      <c r="K140" s="7" t="n">
        <v>-0.016</v>
      </c>
      <c r="L140" s="7" t="n">
        <v>0.027</v>
      </c>
      <c r="M140" s="7" t="n">
        <v>-0.111</v>
      </c>
      <c r="N140" s="7" t="n">
        <v>-0.263</v>
      </c>
      <c r="O140" s="7" t="n">
        <v>-0.248</v>
      </c>
      <c r="P140" s="7" t="n">
        <v>0.216</v>
      </c>
      <c r="Q140" s="7" t="n">
        <v>-0.201</v>
      </c>
      <c r="R140" s="7" t="n">
        <v>0.94</v>
      </c>
      <c r="S140" s="7" t="n">
        <v>0.918</v>
      </c>
      <c r="T140" s="7" t="n">
        <v>0.819</v>
      </c>
      <c r="U140" s="7" t="n">
        <v>0.024</v>
      </c>
      <c r="V140" s="7" t="n">
        <v>0.947</v>
      </c>
      <c r="W140" s="7" t="n">
        <v>0</v>
      </c>
      <c r="X140" s="7" t="n">
        <v>0.913</v>
      </c>
      <c r="Y140" s="7" t="n">
        <v>0.954</v>
      </c>
      <c r="Z140" s="7" t="n">
        <v>-0.016</v>
      </c>
      <c r="AA140" s="7" t="n">
        <v>0.85</v>
      </c>
      <c r="AB140" s="7" t="n">
        <v>-0.054</v>
      </c>
      <c r="AC140" s="7" t="n">
        <v>0</v>
      </c>
      <c r="AD140" s="7" t="n">
        <v>0.921</v>
      </c>
      <c r="AE140" s="7" t="n">
        <v>-0.111</v>
      </c>
      <c r="AF140" s="7" t="n">
        <v>0</v>
      </c>
      <c r="AG140" s="7" t="n">
        <v>0.462</v>
      </c>
      <c r="AH140" s="7" t="n">
        <v>-0.211</v>
      </c>
      <c r="AI140" s="7" t="n">
        <v>0.042</v>
      </c>
      <c r="AJ140" s="7" t="n">
        <v>0.919</v>
      </c>
      <c r="AK140" s="7" t="n">
        <v>0.801</v>
      </c>
      <c r="AL140" s="7" t="n">
        <v>0.48</v>
      </c>
      <c r="AM140" s="7" t="n">
        <v>0.042</v>
      </c>
      <c r="AN140" s="7" t="n">
        <v>0.913</v>
      </c>
      <c r="AO140" s="7" t="n">
        <v>-0.111</v>
      </c>
      <c r="AP140" s="7" t="n">
        <v>-0.016</v>
      </c>
      <c r="AQ140" s="7" t="n">
        <v>0</v>
      </c>
    </row>
    <row r="141" customFormat="false" ht="15" hidden="false" customHeight="false" outlineLevel="0" collapsed="false">
      <c r="A141" s="23" t="n">
        <v>46458</v>
      </c>
      <c r="B141" s="7" t="n">
        <v>-0.07</v>
      </c>
      <c r="C141" s="7" t="n">
        <v>-0.311</v>
      </c>
      <c r="D141" s="7" t="n">
        <v>0.301</v>
      </c>
      <c r="E141" s="7" t="n">
        <v>0.006</v>
      </c>
      <c r="F141" s="7" t="n">
        <v>-0.232</v>
      </c>
      <c r="G141" s="7" t="n">
        <v>0.176</v>
      </c>
      <c r="H141" s="7" t="n">
        <v>0.101</v>
      </c>
      <c r="I141" s="7" t="n">
        <v>0.15</v>
      </c>
      <c r="J141" s="7" t="n">
        <v>-0.231</v>
      </c>
      <c r="K141" s="7" t="n">
        <v>0.006</v>
      </c>
      <c r="L141" s="7" t="n">
        <v>-0.025</v>
      </c>
      <c r="M141" s="7" t="n">
        <v>-0.071</v>
      </c>
      <c r="N141" s="7" t="n">
        <v>-0.431</v>
      </c>
      <c r="O141" s="7" t="n">
        <v>-0.526</v>
      </c>
      <c r="P141" s="7" t="n">
        <v>-0.076</v>
      </c>
      <c r="Q141" s="7" t="n">
        <v>-0.16</v>
      </c>
      <c r="R141" s="7" t="n">
        <v>0.171</v>
      </c>
      <c r="S141" s="7" t="n">
        <v>0.006</v>
      </c>
      <c r="T141" s="7" t="n">
        <v>-0.131</v>
      </c>
      <c r="U141" s="7" t="n">
        <v>0.145</v>
      </c>
      <c r="V141" s="7" t="n">
        <v>0.182</v>
      </c>
      <c r="W141" s="7" t="n">
        <v>0.036</v>
      </c>
      <c r="X141" s="7" t="n">
        <v>0.12</v>
      </c>
      <c r="Y141" s="7" t="n">
        <v>0.073</v>
      </c>
      <c r="Z141" s="7" t="n">
        <v>0.006</v>
      </c>
      <c r="AA141" s="7" t="n">
        <v>-0.014</v>
      </c>
      <c r="AB141" s="7" t="n">
        <v>-0.077</v>
      </c>
      <c r="AC141" s="7" t="n">
        <v>-0.03</v>
      </c>
      <c r="AD141" s="7" t="n">
        <v>0.191</v>
      </c>
      <c r="AE141" s="7" t="n">
        <v>-0.295</v>
      </c>
      <c r="AF141" s="7" t="n">
        <v>-0.013</v>
      </c>
      <c r="AG141" s="7" t="n">
        <v>0.185</v>
      </c>
      <c r="AH141" s="7" t="n">
        <v>-0.168</v>
      </c>
      <c r="AI141" s="7" t="n">
        <v>-0.066</v>
      </c>
      <c r="AJ141" s="7" t="n">
        <v>0.125</v>
      </c>
      <c r="AK141" s="7" t="n">
        <v>-0.062</v>
      </c>
      <c r="AL141" s="7" t="n">
        <v>0.185</v>
      </c>
      <c r="AM141" s="7" t="n">
        <v>0</v>
      </c>
      <c r="AN141" s="7" t="n">
        <v>0.125</v>
      </c>
      <c r="AO141" s="7" t="n">
        <v>-0.071</v>
      </c>
      <c r="AP141" s="7" t="n">
        <v>0.006</v>
      </c>
      <c r="AQ141" s="7" t="n">
        <v>-0.066</v>
      </c>
    </row>
    <row r="142" customFormat="false" ht="15" hidden="false" customHeight="false" outlineLevel="0" collapsed="false">
      <c r="A142" s="23" t="n">
        <v>46459</v>
      </c>
      <c r="B142" s="7" t="n">
        <v>0.155</v>
      </c>
      <c r="C142" s="7" t="n">
        <v>-0.321</v>
      </c>
      <c r="D142" s="7" t="n">
        <v>0.309</v>
      </c>
      <c r="E142" s="7" t="n">
        <v>0.008</v>
      </c>
      <c r="F142" s="7" t="n">
        <v>-0.046</v>
      </c>
      <c r="G142" s="7" t="n">
        <v>0.176</v>
      </c>
      <c r="H142" s="7" t="n">
        <v>0.105</v>
      </c>
      <c r="I142" s="7" t="n">
        <v>0.153</v>
      </c>
      <c r="J142" s="7" t="n">
        <v>-0.207</v>
      </c>
      <c r="K142" s="7" t="n">
        <v>0.008</v>
      </c>
      <c r="L142" s="7" t="n">
        <v>-0.06</v>
      </c>
      <c r="M142" s="7" t="n">
        <v>-0.045</v>
      </c>
      <c r="N142" s="7" t="n">
        <v>-0.264</v>
      </c>
      <c r="O142" s="7" t="n">
        <v>0.337</v>
      </c>
      <c r="P142" s="7" t="n">
        <v>-0.074</v>
      </c>
      <c r="Q142" s="7" t="n">
        <v>-0.197</v>
      </c>
      <c r="R142" s="7" t="n">
        <v>0.179</v>
      </c>
      <c r="S142" s="7" t="n">
        <v>0.008</v>
      </c>
      <c r="T142" s="7" t="n">
        <v>-0.131</v>
      </c>
      <c r="U142" s="7" t="n">
        <v>0.652</v>
      </c>
      <c r="V142" s="7" t="n">
        <v>0.672</v>
      </c>
      <c r="W142" s="7" t="n">
        <v>0</v>
      </c>
      <c r="X142" s="7" t="n">
        <v>0.125</v>
      </c>
      <c r="Y142" s="7" t="n">
        <v>0.735</v>
      </c>
      <c r="Z142" s="7" t="n">
        <v>0.008</v>
      </c>
      <c r="AA142" s="7" t="n">
        <v>-0.007</v>
      </c>
      <c r="AB142" s="7" t="n">
        <v>-0.052</v>
      </c>
      <c r="AC142" s="7" t="n">
        <v>-0.068</v>
      </c>
      <c r="AD142" s="7" t="n">
        <v>0.193</v>
      </c>
      <c r="AE142" s="7" t="n">
        <v>-0.112</v>
      </c>
      <c r="AF142" s="7" t="n">
        <v>-0.068</v>
      </c>
      <c r="AG142" s="7" t="n">
        <v>0.673</v>
      </c>
      <c r="AH142" s="7" t="n">
        <v>0.451</v>
      </c>
      <c r="AI142" s="7" t="n">
        <v>-0.068</v>
      </c>
      <c r="AJ142" s="7" t="n">
        <v>0.125</v>
      </c>
      <c r="AK142" s="7" t="n">
        <v>-0.062</v>
      </c>
      <c r="AL142" s="7" t="n">
        <v>0.672</v>
      </c>
      <c r="AM142" s="7" t="n">
        <v>0</v>
      </c>
      <c r="AN142" s="7" t="n">
        <v>0.125</v>
      </c>
      <c r="AO142" s="7" t="n">
        <v>0.525</v>
      </c>
      <c r="AP142" s="7" t="n">
        <v>0.008</v>
      </c>
      <c r="AQ142" s="7" t="n">
        <v>-0.068</v>
      </c>
    </row>
    <row r="143" customFormat="false" ht="15" hidden="false" customHeight="false" outlineLevel="0" collapsed="false">
      <c r="A143" s="23" t="n">
        <v>46460</v>
      </c>
      <c r="B143" s="7" t="n">
        <v>-0.545</v>
      </c>
      <c r="C143" s="7" t="n">
        <v>-0.892</v>
      </c>
      <c r="D143" s="7" t="n">
        <v>0</v>
      </c>
      <c r="E143" s="7" t="n">
        <v>0.003</v>
      </c>
      <c r="F143" s="7" t="n">
        <v>-0.48</v>
      </c>
      <c r="G143" s="7" t="n">
        <v>0.007</v>
      </c>
      <c r="H143" s="7" t="n">
        <v>-0.077</v>
      </c>
      <c r="I143" s="7" t="n">
        <v>-0.897</v>
      </c>
      <c r="J143" s="7" t="n">
        <v>-0.851</v>
      </c>
      <c r="K143" s="7" t="n">
        <v>0.003</v>
      </c>
      <c r="L143" s="7" t="n">
        <v>-0.816</v>
      </c>
      <c r="M143" s="7" t="n">
        <v>-0.077</v>
      </c>
      <c r="N143" s="7" t="n">
        <v>-0.937</v>
      </c>
      <c r="O143" s="7" t="n">
        <v>-0.935</v>
      </c>
      <c r="P143" s="7" t="n">
        <v>-0.245</v>
      </c>
      <c r="Q143" s="7" t="n">
        <v>-0.214</v>
      </c>
      <c r="R143" s="7" t="n">
        <v>0.001</v>
      </c>
      <c r="S143" s="7" t="n">
        <v>0.003</v>
      </c>
      <c r="T143" s="7" t="n">
        <v>-0.131</v>
      </c>
      <c r="U143" s="7" t="n">
        <v>0.097</v>
      </c>
      <c r="V143" s="7" t="n">
        <v>-0.228</v>
      </c>
      <c r="W143" s="7" t="n">
        <v>-0.039</v>
      </c>
      <c r="X143" s="7" t="n">
        <v>0</v>
      </c>
      <c r="Y143" s="7" t="n">
        <v>0.197</v>
      </c>
      <c r="Z143" s="7" t="n">
        <v>0.003</v>
      </c>
      <c r="AA143" s="7" t="n">
        <v>0.001</v>
      </c>
      <c r="AB143" s="7" t="n">
        <v>-0.946</v>
      </c>
      <c r="AC143" s="7" t="n">
        <v>-0.086</v>
      </c>
      <c r="AD143" s="7" t="n">
        <v>-0.047</v>
      </c>
      <c r="AE143" s="7" t="n">
        <v>-0.361</v>
      </c>
      <c r="AF143" s="7" t="n">
        <v>-0.079</v>
      </c>
      <c r="AG143" s="7" t="n">
        <v>0</v>
      </c>
      <c r="AH143" s="7" t="n">
        <v>-0.363</v>
      </c>
      <c r="AI143" s="7" t="n">
        <v>-0.864</v>
      </c>
      <c r="AJ143" s="7" t="n">
        <v>-0.849</v>
      </c>
      <c r="AK143" s="7" t="n">
        <v>-0.808</v>
      </c>
      <c r="AL143" s="7" t="n">
        <v>-0.051</v>
      </c>
      <c r="AM143" s="7" t="n">
        <v>-0.831</v>
      </c>
      <c r="AN143" s="7" t="n">
        <v>-0.191</v>
      </c>
      <c r="AO143" s="7" t="n">
        <v>-0.077</v>
      </c>
      <c r="AP143" s="7" t="n">
        <v>0.003</v>
      </c>
      <c r="AQ143" s="7" t="n">
        <v>-0.118</v>
      </c>
    </row>
    <row r="144" customFormat="false" ht="15" hidden="false" customHeight="false" outlineLevel="0" collapsed="false">
      <c r="A144" s="23" t="n">
        <v>46461</v>
      </c>
      <c r="B144" s="7" t="n">
        <v>-1</v>
      </c>
      <c r="C144" s="7" t="n">
        <v>-0.844</v>
      </c>
      <c r="D144" s="7" t="n">
        <v>-0.672</v>
      </c>
      <c r="E144" s="7" t="n">
        <v>-0.074</v>
      </c>
      <c r="F144" s="7" t="n">
        <v>-0.881</v>
      </c>
      <c r="G144" s="7" t="n">
        <v>-0.87</v>
      </c>
      <c r="H144" s="7" t="n">
        <v>-0.89</v>
      </c>
      <c r="I144" s="7" t="n">
        <v>-0.901</v>
      </c>
      <c r="J144" s="7" t="n">
        <v>-0.437</v>
      </c>
      <c r="K144" s="7" t="n">
        <v>-0.074</v>
      </c>
      <c r="L144" s="7" t="n">
        <v>-0.646</v>
      </c>
      <c r="M144" s="7" t="n">
        <v>-0.119</v>
      </c>
      <c r="N144" s="7" t="n">
        <v>-0.834</v>
      </c>
      <c r="O144" s="7" t="n">
        <v>-0.949</v>
      </c>
      <c r="P144" s="7" t="n">
        <v>-0.824</v>
      </c>
      <c r="Q144" s="7" t="n">
        <v>-0.619</v>
      </c>
      <c r="R144" s="7" t="n">
        <v>-0.842</v>
      </c>
      <c r="S144" s="7" t="n">
        <v>-0.074</v>
      </c>
      <c r="T144" s="7" t="n">
        <v>-0.181</v>
      </c>
      <c r="U144" s="7" t="n">
        <v>-0.646</v>
      </c>
      <c r="V144" s="7" t="n">
        <v>-0.89</v>
      </c>
      <c r="W144" s="7" t="n">
        <v>-0.463</v>
      </c>
      <c r="X144" s="7" t="n">
        <v>-0.677</v>
      </c>
      <c r="Y144" s="7" t="n">
        <v>-0.352</v>
      </c>
      <c r="Z144" s="7" t="n">
        <v>-0.074</v>
      </c>
      <c r="AA144" s="7" t="n">
        <v>-0.368</v>
      </c>
      <c r="AB144" s="7" t="n">
        <v>-0.141</v>
      </c>
      <c r="AC144" s="7" t="n">
        <v>-0.535</v>
      </c>
      <c r="AD144" s="7" t="n">
        <v>-0.856</v>
      </c>
      <c r="AE144" s="7" t="n">
        <v>-0.703</v>
      </c>
      <c r="AF144" s="7" t="n">
        <v>-0.604</v>
      </c>
      <c r="AG144" s="7" t="n">
        <v>0</v>
      </c>
      <c r="AH144" s="7" t="n">
        <v>-0.371</v>
      </c>
      <c r="AI144" s="7" t="n">
        <v>-0.387</v>
      </c>
      <c r="AJ144" s="7" t="n">
        <v>-0.818</v>
      </c>
      <c r="AK144" s="7" t="n">
        <v>-0.213</v>
      </c>
      <c r="AL144" s="7" t="n">
        <v>-0.793</v>
      </c>
      <c r="AM144" s="7" t="n">
        <v>-0.185</v>
      </c>
      <c r="AN144" s="7" t="n">
        <v>-0.784</v>
      </c>
      <c r="AO144" s="7" t="n">
        <v>-0.119</v>
      </c>
      <c r="AP144" s="7" t="n">
        <v>-0.074</v>
      </c>
      <c r="AQ144" s="7" t="n">
        <v>-0.217</v>
      </c>
    </row>
    <row r="145" customFormat="false" ht="15" hidden="false" customHeight="false" outlineLevel="0" collapsed="false">
      <c r="A145" s="23" t="n">
        <v>46462</v>
      </c>
      <c r="B145" s="7" t="n">
        <v>-0.593</v>
      </c>
      <c r="C145" s="7" t="n">
        <v>-0.699</v>
      </c>
      <c r="D145" s="7" t="n">
        <v>0.018</v>
      </c>
      <c r="E145" s="7" t="n">
        <v>-0.068</v>
      </c>
      <c r="F145" s="7" t="n">
        <v>-0.726</v>
      </c>
      <c r="G145" s="7" t="n">
        <v>-0.026</v>
      </c>
      <c r="H145" s="7" t="n">
        <v>-0.463</v>
      </c>
      <c r="I145" s="7" t="n">
        <v>-0.206</v>
      </c>
      <c r="J145" s="7" t="n">
        <v>-0.236</v>
      </c>
      <c r="K145" s="7" t="n">
        <v>-0.622</v>
      </c>
      <c r="L145" s="7" t="n">
        <v>-0.048</v>
      </c>
      <c r="M145" s="7" t="n">
        <v>-0.09</v>
      </c>
      <c r="N145" s="7" t="n">
        <v>-0.611</v>
      </c>
      <c r="O145" s="7" t="n">
        <v>-0.274</v>
      </c>
      <c r="P145" s="7" t="n">
        <v>-0.194</v>
      </c>
      <c r="Q145" s="7" t="n">
        <v>-0.161</v>
      </c>
      <c r="R145" s="7" t="n">
        <v>-0.327</v>
      </c>
      <c r="S145" s="7" t="n">
        <v>-0.111</v>
      </c>
      <c r="T145" s="7" t="n">
        <v>-0.205</v>
      </c>
      <c r="U145" s="7" t="n">
        <v>-0.262</v>
      </c>
      <c r="V145" s="7" t="n">
        <v>-0.267</v>
      </c>
      <c r="W145" s="7" t="n">
        <v>0</v>
      </c>
      <c r="X145" s="7" t="n">
        <v>-0.034</v>
      </c>
      <c r="Y145" s="7" t="n">
        <v>0.06</v>
      </c>
      <c r="Z145" s="7" t="n">
        <v>-0.537</v>
      </c>
      <c r="AA145" s="7" t="n">
        <v>-0.296</v>
      </c>
      <c r="AB145" s="7" t="n">
        <v>-0.083</v>
      </c>
      <c r="AC145" s="7" t="n">
        <v>-0.04</v>
      </c>
      <c r="AD145" s="7" t="n">
        <v>-0.069</v>
      </c>
      <c r="AE145" s="7" t="n">
        <v>-0.503</v>
      </c>
      <c r="AF145" s="7" t="n">
        <v>-0.336</v>
      </c>
      <c r="AG145" s="7" t="n">
        <v>0</v>
      </c>
      <c r="AH145" s="7" t="n">
        <v>-0.247</v>
      </c>
      <c r="AI145" s="7" t="n">
        <v>-0.04</v>
      </c>
      <c r="AJ145" s="7" t="n">
        <v>-0.181</v>
      </c>
      <c r="AK145" s="7" t="n">
        <v>-0.147</v>
      </c>
      <c r="AL145" s="7" t="n">
        <v>-0.086</v>
      </c>
      <c r="AM145" s="7" t="n">
        <v>0</v>
      </c>
      <c r="AN145" s="7" t="n">
        <v>-0.184</v>
      </c>
      <c r="AO145" s="7" t="n">
        <v>-0.09</v>
      </c>
      <c r="AP145" s="7" t="n">
        <v>-0.008</v>
      </c>
      <c r="AQ145" s="7" t="n">
        <v>-0.04</v>
      </c>
    </row>
    <row r="146" customFormat="false" ht="15" hidden="false" customHeight="false" outlineLevel="0" collapsed="false">
      <c r="A146" s="23" t="n">
        <v>46463</v>
      </c>
      <c r="B146" s="7" t="n">
        <v>-0.711</v>
      </c>
      <c r="C146" s="7" t="n">
        <v>-0.913</v>
      </c>
      <c r="D146" s="7" t="n">
        <v>0.004</v>
      </c>
      <c r="E146" s="7" t="n">
        <v>-0.11</v>
      </c>
      <c r="F146" s="7" t="n">
        <v>-0.91</v>
      </c>
      <c r="G146" s="7" t="n">
        <v>-0.027</v>
      </c>
      <c r="H146" s="7" t="n">
        <v>-0.144</v>
      </c>
      <c r="I146" s="7" t="n">
        <v>-0.115</v>
      </c>
      <c r="J146" s="7" t="n">
        <v>-0.747</v>
      </c>
      <c r="K146" s="7" t="n">
        <v>-0.349</v>
      </c>
      <c r="L146" s="7" t="n">
        <v>-0.24</v>
      </c>
      <c r="M146" s="7" t="n">
        <v>-0.825</v>
      </c>
      <c r="N146" s="7" t="n">
        <v>-0.889</v>
      </c>
      <c r="O146" s="7" t="n">
        <v>-0.838</v>
      </c>
      <c r="P146" s="7" t="n">
        <v>-0.165</v>
      </c>
      <c r="Q146" s="7" t="n">
        <v>-0.13</v>
      </c>
      <c r="R146" s="7" t="n">
        <v>-0.144</v>
      </c>
      <c r="S146" s="7" t="n">
        <v>-0.145</v>
      </c>
      <c r="T146" s="7" t="n">
        <v>-0.102</v>
      </c>
      <c r="U146" s="7" t="n">
        <v>-0.299</v>
      </c>
      <c r="V146" s="7" t="n">
        <v>-0.144</v>
      </c>
      <c r="W146" s="7" t="n">
        <v>0</v>
      </c>
      <c r="X146" s="7" t="n">
        <v>-0.036</v>
      </c>
      <c r="Y146" s="7" t="n">
        <v>0.032</v>
      </c>
      <c r="Z146" s="7" t="n">
        <v>-0.447</v>
      </c>
      <c r="AA146" s="7" t="n">
        <v>-0.109</v>
      </c>
      <c r="AB146" s="7" t="n">
        <v>-0.629</v>
      </c>
      <c r="AC146" s="7" t="n">
        <v>-0.075</v>
      </c>
      <c r="AD146" s="7" t="n">
        <v>-0.157</v>
      </c>
      <c r="AE146" s="7" t="n">
        <v>-0.851</v>
      </c>
      <c r="AF146" s="7" t="n">
        <v>-0.221</v>
      </c>
      <c r="AG146" s="7" t="n">
        <v>0</v>
      </c>
      <c r="AH146" s="7" t="n">
        <v>-0.669</v>
      </c>
      <c r="AI146" s="7" t="n">
        <v>-0.047</v>
      </c>
      <c r="AJ146" s="7" t="n">
        <v>-0.115</v>
      </c>
      <c r="AK146" s="7" t="n">
        <v>-0.08</v>
      </c>
      <c r="AL146" s="7" t="n">
        <v>-0.592</v>
      </c>
      <c r="AM146" s="7" t="n">
        <v>0.029</v>
      </c>
      <c r="AN146" s="7" t="n">
        <v>-0.144</v>
      </c>
      <c r="AO146" s="7" t="n">
        <v>-0.703</v>
      </c>
      <c r="AP146" s="7" t="n">
        <v>-0.196</v>
      </c>
      <c r="AQ146" s="7" t="n">
        <v>-0.075</v>
      </c>
    </row>
    <row r="147" customFormat="false" ht="15" hidden="false" customHeight="false" outlineLevel="0" collapsed="false">
      <c r="A147" s="23" t="n">
        <v>46464</v>
      </c>
      <c r="B147" s="7" t="n">
        <v>-0.561</v>
      </c>
      <c r="C147" s="7" t="n">
        <v>-0.968</v>
      </c>
      <c r="D147" s="7" t="n">
        <v>0.012</v>
      </c>
      <c r="E147" s="7" t="n">
        <v>-0.043</v>
      </c>
      <c r="F147" s="7" t="n">
        <v>-0.404</v>
      </c>
      <c r="G147" s="7" t="n">
        <v>-0.204</v>
      </c>
      <c r="H147" s="7" t="n">
        <v>-0.919</v>
      </c>
      <c r="I147" s="7" t="n">
        <v>-0.794</v>
      </c>
      <c r="J147" s="7" t="n">
        <v>-0.013</v>
      </c>
      <c r="K147" s="7" t="n">
        <v>-0.043</v>
      </c>
      <c r="L147" s="7" t="n">
        <v>-0.076</v>
      </c>
      <c r="M147" s="7" t="n">
        <v>-0.064</v>
      </c>
      <c r="N147" s="7" t="n">
        <v>-0.299</v>
      </c>
      <c r="O147" s="7" t="n">
        <v>-0.259</v>
      </c>
      <c r="P147" s="7" t="n">
        <v>-0.119</v>
      </c>
      <c r="Q147" s="7" t="n">
        <v>-0.13</v>
      </c>
      <c r="R147" s="7" t="n">
        <v>-0.908</v>
      </c>
      <c r="S147" s="7" t="n">
        <v>-0.043</v>
      </c>
      <c r="T147" s="7" t="n">
        <v>-0.928</v>
      </c>
      <c r="U147" s="7" t="n">
        <v>-0.121</v>
      </c>
      <c r="V147" s="7" t="n">
        <v>-0.856</v>
      </c>
      <c r="W147" s="7" t="n">
        <v>0</v>
      </c>
      <c r="X147" s="7" t="n">
        <v>0.012</v>
      </c>
      <c r="Y147" s="7" t="n">
        <v>-0.199</v>
      </c>
      <c r="Z147" s="7" t="n">
        <v>-0.043</v>
      </c>
      <c r="AA147" s="7" t="n">
        <v>-0.91</v>
      </c>
      <c r="AB147" s="7" t="n">
        <v>0.265</v>
      </c>
      <c r="AC147" s="7" t="n">
        <v>-0.096</v>
      </c>
      <c r="AD147" s="7" t="n">
        <v>-0.031</v>
      </c>
      <c r="AE147" s="7" t="n">
        <v>-0.159</v>
      </c>
      <c r="AF147" s="7" t="n">
        <v>-0.096</v>
      </c>
      <c r="AG147" s="7" t="n">
        <v>0</v>
      </c>
      <c r="AH147" s="7" t="n">
        <v>-0.16</v>
      </c>
      <c r="AI147" s="7" t="n">
        <v>-0.034</v>
      </c>
      <c r="AJ147" s="7" t="n">
        <v>-0.829</v>
      </c>
      <c r="AK147" s="7" t="n">
        <v>-0.833</v>
      </c>
      <c r="AL147" s="7" t="n">
        <v>-0.067</v>
      </c>
      <c r="AM147" s="7" t="n">
        <v>0.062</v>
      </c>
      <c r="AN147" s="7" t="n">
        <v>-0.848</v>
      </c>
      <c r="AO147" s="7" t="n">
        <v>-0.064</v>
      </c>
      <c r="AP147" s="7" t="n">
        <v>-0.043</v>
      </c>
      <c r="AQ147" s="7" t="n">
        <v>-0.096</v>
      </c>
    </row>
    <row r="148" customFormat="false" ht="15" hidden="false" customHeight="false" outlineLevel="0" collapsed="false">
      <c r="A148" s="23" t="n">
        <v>46465</v>
      </c>
      <c r="B148" s="7" t="n">
        <v>-0.884</v>
      </c>
      <c r="C148" s="7" t="n">
        <v>-0.942</v>
      </c>
      <c r="D148" s="7" t="n">
        <v>0.034</v>
      </c>
      <c r="E148" s="7" t="n">
        <v>-0.549</v>
      </c>
      <c r="F148" s="7" t="n">
        <v>-0.869</v>
      </c>
      <c r="G148" s="7" t="n">
        <v>-0.251</v>
      </c>
      <c r="H148" s="7" t="n">
        <v>-0.125</v>
      </c>
      <c r="I148" s="7" t="n">
        <v>-0.314</v>
      </c>
      <c r="J148" s="7" t="n">
        <v>-0.379</v>
      </c>
      <c r="K148" s="7" t="n">
        <v>-0.76</v>
      </c>
      <c r="L148" s="7" t="n">
        <v>-0.645</v>
      </c>
      <c r="M148" s="7" t="n">
        <v>-0.033</v>
      </c>
      <c r="N148" s="7" t="n">
        <v>-0.835</v>
      </c>
      <c r="O148" s="7" t="n">
        <v>-0.698</v>
      </c>
      <c r="P148" s="7" t="n">
        <v>-0.172</v>
      </c>
      <c r="Q148" s="7" t="n">
        <v>-0.206</v>
      </c>
      <c r="R148" s="7" t="n">
        <v>-0.125</v>
      </c>
      <c r="S148" s="7" t="n">
        <v>-0.737</v>
      </c>
      <c r="T148" s="7" t="n">
        <v>-0.206</v>
      </c>
      <c r="U148" s="7" t="n">
        <v>-0.559</v>
      </c>
      <c r="V148" s="7" t="n">
        <v>-0.358</v>
      </c>
      <c r="W148" s="7" t="n">
        <v>0</v>
      </c>
      <c r="X148" s="7" t="n">
        <v>0.034</v>
      </c>
      <c r="Y148" s="7" t="n">
        <v>-0.298</v>
      </c>
      <c r="Z148" s="7" t="n">
        <v>-0.76</v>
      </c>
      <c r="AA148" s="7" t="n">
        <v>-0.159</v>
      </c>
      <c r="AB148" s="7" t="n">
        <v>-0.139</v>
      </c>
      <c r="AC148" s="7" t="n">
        <v>-0.096</v>
      </c>
      <c r="AD148" s="7" t="n">
        <v>-0.657</v>
      </c>
      <c r="AE148" s="7" t="n">
        <v>-0.785</v>
      </c>
      <c r="AF148" s="7" t="n">
        <v>-0.507</v>
      </c>
      <c r="AG148" s="7" t="n">
        <v>0</v>
      </c>
      <c r="AH148" s="7" t="n">
        <v>-0.173</v>
      </c>
      <c r="AI148" s="7" t="n">
        <v>-0.113</v>
      </c>
      <c r="AJ148" s="7" t="n">
        <v>-0.143</v>
      </c>
      <c r="AK148" s="7" t="n">
        <v>-0.176</v>
      </c>
      <c r="AL148" s="7" t="n">
        <v>-0.079</v>
      </c>
      <c r="AM148" s="7" t="n">
        <v>-0.018</v>
      </c>
      <c r="AN148" s="7" t="n">
        <v>-0.125</v>
      </c>
      <c r="AO148" s="7" t="n">
        <v>-0.574</v>
      </c>
      <c r="AP148" s="7" t="n">
        <v>-0.574</v>
      </c>
      <c r="AQ148" s="7" t="n">
        <v>-0.096</v>
      </c>
    </row>
    <row r="149" customFormat="false" ht="15" hidden="false" customHeight="false" outlineLevel="0" collapsed="false">
      <c r="A149" s="23" t="n">
        <v>46466</v>
      </c>
      <c r="B149" s="7" t="n">
        <v>-0.031</v>
      </c>
      <c r="C149" s="7" t="n">
        <v>-0.499</v>
      </c>
      <c r="D149" s="7" t="n">
        <v>0.499</v>
      </c>
      <c r="E149" s="7" t="n">
        <v>-0.096</v>
      </c>
      <c r="F149" s="7" t="n">
        <v>-0.391</v>
      </c>
      <c r="G149" s="7" t="n">
        <v>0.13</v>
      </c>
      <c r="H149" s="7" t="n">
        <v>-0.036</v>
      </c>
      <c r="I149" s="7" t="n">
        <v>0.357</v>
      </c>
      <c r="J149" s="7" t="n">
        <v>-0.212</v>
      </c>
      <c r="K149" s="7" t="n">
        <v>0.091</v>
      </c>
      <c r="L149" s="7" t="n">
        <v>-0.173</v>
      </c>
      <c r="M149" s="7" t="n">
        <v>-0.153</v>
      </c>
      <c r="N149" s="7" t="n">
        <v>-0.372</v>
      </c>
      <c r="O149" s="7" t="n">
        <v>-0.286</v>
      </c>
      <c r="P149" s="7" t="n">
        <v>-0.04</v>
      </c>
      <c r="Q149" s="7" t="n">
        <v>-0.186</v>
      </c>
      <c r="R149" s="7" t="n">
        <v>0.193</v>
      </c>
      <c r="S149" s="7" t="n">
        <v>0</v>
      </c>
      <c r="T149" s="7" t="n">
        <v>0.005</v>
      </c>
      <c r="U149" s="7" t="n">
        <v>-0.281</v>
      </c>
      <c r="V149" s="7" t="n">
        <v>0.357</v>
      </c>
      <c r="W149" s="7" t="n">
        <v>0</v>
      </c>
      <c r="X149" s="7" t="n">
        <v>0.507</v>
      </c>
      <c r="Y149" s="7" t="n">
        <v>0.492</v>
      </c>
      <c r="Z149" s="7" t="n">
        <v>-0.096</v>
      </c>
      <c r="AA149" s="7" t="n">
        <v>0.074</v>
      </c>
      <c r="AB149" s="7" t="n">
        <v>-0.058</v>
      </c>
      <c r="AC149" s="7" t="n">
        <v>-0.079</v>
      </c>
      <c r="AD149" s="7" t="n">
        <v>0.41</v>
      </c>
      <c r="AE149" s="7" t="n">
        <v>-0.229</v>
      </c>
      <c r="AF149" s="7" t="n">
        <v>-0.079</v>
      </c>
      <c r="AG149" s="7" t="n">
        <v>0.14</v>
      </c>
      <c r="AH149" s="7" t="n">
        <v>-0.156</v>
      </c>
      <c r="AI149" s="7" t="n">
        <v>-0.079</v>
      </c>
      <c r="AJ149" s="7" t="n">
        <v>0.357</v>
      </c>
      <c r="AK149" s="7" t="n">
        <v>0.247</v>
      </c>
      <c r="AL149" s="7" t="n">
        <v>0.1</v>
      </c>
      <c r="AM149" s="7" t="n">
        <v>0</v>
      </c>
      <c r="AN149" s="7" t="n">
        <v>0.357</v>
      </c>
      <c r="AO149" s="7" t="n">
        <v>-0.079</v>
      </c>
      <c r="AP149" s="7" t="n">
        <v>-0.096</v>
      </c>
      <c r="AQ149" s="7" t="n">
        <v>-0.079</v>
      </c>
    </row>
    <row r="150" customFormat="false" ht="15" hidden="false" customHeight="false" outlineLevel="0" collapsed="false">
      <c r="A150" s="23" t="n">
        <v>46467</v>
      </c>
      <c r="B150" s="7" t="n">
        <v>-0.474</v>
      </c>
      <c r="C150" s="7" t="n">
        <v>-0.779</v>
      </c>
      <c r="D150" s="7" t="n">
        <v>0.1</v>
      </c>
      <c r="E150" s="7" t="n">
        <v>-0.045</v>
      </c>
      <c r="F150" s="7" t="n">
        <v>-0.702</v>
      </c>
      <c r="G150" s="7" t="n">
        <v>0.11</v>
      </c>
      <c r="H150" s="7" t="n">
        <v>-0.058</v>
      </c>
      <c r="I150" s="7" t="n">
        <v>-0.058</v>
      </c>
      <c r="J150" s="7" t="n">
        <v>-0.228</v>
      </c>
      <c r="K150" s="7" t="n">
        <v>0.117</v>
      </c>
      <c r="L150" s="7" t="n">
        <v>-0.123</v>
      </c>
      <c r="M150" s="7" t="n">
        <v>-0.119</v>
      </c>
      <c r="N150" s="7" t="n">
        <v>-0.678</v>
      </c>
      <c r="O150" s="7" t="n">
        <v>-0.53</v>
      </c>
      <c r="P150" s="7" t="n">
        <v>-0.065</v>
      </c>
      <c r="Q150" s="7" t="n">
        <v>-0.182</v>
      </c>
      <c r="R150" s="7" t="n">
        <v>-0.058</v>
      </c>
      <c r="S150" s="7" t="n">
        <v>-0.045</v>
      </c>
      <c r="T150" s="7" t="n">
        <v>-0.199</v>
      </c>
      <c r="U150" s="7" t="n">
        <v>-0.219</v>
      </c>
      <c r="V150" s="7" t="n">
        <v>-0.058</v>
      </c>
      <c r="W150" s="7" t="n">
        <v>-0.018</v>
      </c>
      <c r="X150" s="7" t="n">
        <v>0.1</v>
      </c>
      <c r="Y150" s="7" t="n">
        <v>0.123</v>
      </c>
      <c r="Z150" s="7" t="n">
        <v>-0.045</v>
      </c>
      <c r="AA150" s="7" t="n">
        <v>-0.157</v>
      </c>
      <c r="AB150" s="7" t="n">
        <v>-0.074</v>
      </c>
      <c r="AC150" s="7" t="n">
        <v>-0.078</v>
      </c>
      <c r="AD150" s="7" t="n">
        <v>0.055</v>
      </c>
      <c r="AE150" s="7" t="n">
        <v>-0.583</v>
      </c>
      <c r="AF150" s="7" t="n">
        <v>-0.464</v>
      </c>
      <c r="AG150" s="7" t="n">
        <v>0.14</v>
      </c>
      <c r="AH150" s="7" t="n">
        <v>-0.172</v>
      </c>
      <c r="AI150" s="7" t="n">
        <v>-0.06</v>
      </c>
      <c r="AJ150" s="7" t="n">
        <v>-0.058</v>
      </c>
      <c r="AK150" s="7" t="n">
        <v>-0.157</v>
      </c>
      <c r="AL150" s="7" t="n">
        <v>0.098</v>
      </c>
      <c r="AM150" s="7" t="n">
        <v>0</v>
      </c>
      <c r="AN150" s="7" t="n">
        <v>-0.058</v>
      </c>
      <c r="AO150" s="7" t="n">
        <v>-0.044</v>
      </c>
      <c r="AP150" s="7" t="n">
        <v>-0.045</v>
      </c>
      <c r="AQ150" s="7" t="n">
        <v>-0.06</v>
      </c>
    </row>
    <row r="151" customFormat="false" ht="15" hidden="false" customHeight="false" outlineLevel="0" collapsed="false">
      <c r="A151" s="23" t="n">
        <v>46468</v>
      </c>
      <c r="B151" s="7" t="n">
        <v>-0.383</v>
      </c>
      <c r="C151" s="7" t="n">
        <v>-0.83</v>
      </c>
      <c r="D151" s="7" t="n">
        <v>-0.041</v>
      </c>
      <c r="E151" s="7" t="n">
        <v>-0.307</v>
      </c>
      <c r="F151" s="7" t="n">
        <v>-0.302</v>
      </c>
      <c r="G151" s="7" t="n">
        <v>-0.097</v>
      </c>
      <c r="H151" s="7" t="n">
        <v>-0.32</v>
      </c>
      <c r="I151" s="7" t="n">
        <v>-0.338</v>
      </c>
      <c r="J151" s="7" t="n">
        <v>-0.251</v>
      </c>
      <c r="K151" s="7" t="n">
        <v>0.168</v>
      </c>
      <c r="L151" s="7" t="n">
        <v>-0.378</v>
      </c>
      <c r="M151" s="7" t="n">
        <v>-0.386</v>
      </c>
      <c r="N151" s="7" t="n">
        <v>-0.456</v>
      </c>
      <c r="O151" s="7" t="n">
        <v>0.547</v>
      </c>
      <c r="P151" s="7" t="n">
        <v>-0.112</v>
      </c>
      <c r="Q151" s="7" t="n">
        <v>-0.005</v>
      </c>
      <c r="R151" s="7" t="n">
        <v>-0.32</v>
      </c>
      <c r="S151" s="7" t="n">
        <v>-0.426</v>
      </c>
      <c r="T151" s="7" t="n">
        <v>-0.11</v>
      </c>
      <c r="U151" s="7" t="n">
        <v>0.449</v>
      </c>
      <c r="V151" s="7" t="n">
        <v>-0.32</v>
      </c>
      <c r="W151" s="7" t="n">
        <v>0</v>
      </c>
      <c r="X151" s="7" t="n">
        <v>-0.107</v>
      </c>
      <c r="Y151" s="7" t="n">
        <v>0.638</v>
      </c>
      <c r="Z151" s="7" t="n">
        <v>-0.252</v>
      </c>
      <c r="AA151" s="7" t="n">
        <v>-0.282</v>
      </c>
      <c r="AB151" s="7" t="n">
        <v>-0.02</v>
      </c>
      <c r="AC151" s="7" t="n">
        <v>0.03</v>
      </c>
      <c r="AD151" s="7" t="n">
        <v>-0.529</v>
      </c>
      <c r="AE151" s="7" t="n">
        <v>-0.311</v>
      </c>
      <c r="AF151" s="7" t="n">
        <v>0.217</v>
      </c>
      <c r="AG151" s="7" t="n">
        <v>0.675</v>
      </c>
      <c r="AH151" s="7" t="n">
        <v>0.568</v>
      </c>
      <c r="AI151" s="7" t="n">
        <v>0.009</v>
      </c>
      <c r="AJ151" s="7" t="n">
        <v>-0.338</v>
      </c>
      <c r="AK151" s="7" t="n">
        <v>-0.301</v>
      </c>
      <c r="AL151" s="7" t="n">
        <v>0.701</v>
      </c>
      <c r="AM151" s="7" t="n">
        <v>-0.02</v>
      </c>
      <c r="AN151" s="7" t="n">
        <v>-0.32</v>
      </c>
      <c r="AO151" s="7" t="n">
        <v>0.391</v>
      </c>
      <c r="AP151" s="7" t="n">
        <v>-0.386</v>
      </c>
      <c r="AQ151" s="7" t="n">
        <v>0.03</v>
      </c>
    </row>
    <row r="152" customFormat="false" ht="15" hidden="false" customHeight="false" outlineLevel="0" collapsed="false">
      <c r="A152" s="23" t="n">
        <v>46469</v>
      </c>
      <c r="B152" s="7" t="n">
        <v>-0.545</v>
      </c>
      <c r="C152" s="7" t="n">
        <v>-0.943</v>
      </c>
      <c r="D152" s="7" t="n">
        <v>-0.042</v>
      </c>
      <c r="E152" s="7" t="n">
        <v>-0.087</v>
      </c>
      <c r="F152" s="7" t="n">
        <v>-0.218</v>
      </c>
      <c r="G152" s="7" t="n">
        <v>-0.113</v>
      </c>
      <c r="H152" s="7" t="n">
        <v>-0.335</v>
      </c>
      <c r="I152" s="7" t="n">
        <v>-0.85</v>
      </c>
      <c r="J152" s="7" t="n">
        <v>-0.449</v>
      </c>
      <c r="K152" s="7" t="n">
        <v>0.155</v>
      </c>
      <c r="L152" s="7" t="n">
        <v>-0.77</v>
      </c>
      <c r="M152" s="7" t="n">
        <v>-0.348</v>
      </c>
      <c r="N152" s="7" t="n">
        <v>-0.762</v>
      </c>
      <c r="O152" s="7" t="n">
        <v>-0.636</v>
      </c>
      <c r="P152" s="7" t="n">
        <v>-0.136</v>
      </c>
      <c r="Q152" s="7" t="n">
        <v>-0.022</v>
      </c>
      <c r="R152" s="7" t="n">
        <v>-0.335</v>
      </c>
      <c r="S152" s="7" t="n">
        <v>-0.393</v>
      </c>
      <c r="T152" s="7" t="n">
        <v>-0.13</v>
      </c>
      <c r="U152" s="7" t="n">
        <v>-0.416</v>
      </c>
      <c r="V152" s="7" t="n">
        <v>-0.667</v>
      </c>
      <c r="W152" s="7" t="n">
        <v>0</v>
      </c>
      <c r="X152" s="7" t="n">
        <v>-0.113</v>
      </c>
      <c r="Y152" s="7" t="n">
        <v>0.039</v>
      </c>
      <c r="Z152" s="7" t="n">
        <v>-0.221</v>
      </c>
      <c r="AA152" s="7" t="n">
        <v>-0.298</v>
      </c>
      <c r="AB152" s="7" t="n">
        <v>-0.56</v>
      </c>
      <c r="AC152" s="7" t="n">
        <v>0.013</v>
      </c>
      <c r="AD152" s="7" t="n">
        <v>-0.485</v>
      </c>
      <c r="AE152" s="7" t="n">
        <v>-0.299</v>
      </c>
      <c r="AF152" s="7" t="n">
        <v>0.189</v>
      </c>
      <c r="AG152" s="7" t="n">
        <v>0</v>
      </c>
      <c r="AH152" s="7" t="n">
        <v>-0.118</v>
      </c>
      <c r="AI152" s="7" t="n">
        <v>-0.577</v>
      </c>
      <c r="AJ152" s="7" t="n">
        <v>-0.77</v>
      </c>
      <c r="AK152" s="7" t="n">
        <v>-0.752</v>
      </c>
      <c r="AL152" s="7" t="n">
        <v>0.009</v>
      </c>
      <c r="AM152" s="7" t="n">
        <v>-0.585</v>
      </c>
      <c r="AN152" s="7" t="n">
        <v>-0.335</v>
      </c>
      <c r="AO152" s="7" t="n">
        <v>-0.348</v>
      </c>
      <c r="AP152" s="7" t="n">
        <v>-0.348</v>
      </c>
      <c r="AQ152" s="7" t="n">
        <v>0.013</v>
      </c>
    </row>
    <row r="153" customFormat="false" ht="15" hidden="false" customHeight="false" outlineLevel="0" collapsed="false">
      <c r="A153" s="23" t="n">
        <v>46470</v>
      </c>
      <c r="B153" s="7" t="n">
        <v>-0.899</v>
      </c>
      <c r="C153" s="7" t="n">
        <v>-0.798</v>
      </c>
      <c r="D153" s="7" t="n">
        <v>-0.86</v>
      </c>
      <c r="E153" s="7" t="n">
        <v>0.016</v>
      </c>
      <c r="F153" s="7" t="n">
        <v>-0.472</v>
      </c>
      <c r="G153" s="7" t="n">
        <v>-0.872</v>
      </c>
      <c r="H153" s="7" t="n">
        <v>-0.96</v>
      </c>
      <c r="I153" s="7" t="n">
        <v>-0.906</v>
      </c>
      <c r="J153" s="7" t="n">
        <v>-0.187</v>
      </c>
      <c r="K153" s="7" t="n">
        <v>0.016</v>
      </c>
      <c r="L153" s="7" t="n">
        <v>-0.576</v>
      </c>
      <c r="M153" s="7" t="n">
        <v>-0.165</v>
      </c>
      <c r="N153" s="7" t="n">
        <v>-0.523</v>
      </c>
      <c r="O153" s="7" t="n">
        <v>-0.897</v>
      </c>
      <c r="P153" s="7" t="n">
        <v>-0.923</v>
      </c>
      <c r="Q153" s="7" t="n">
        <v>-0.627</v>
      </c>
      <c r="R153" s="7" t="n">
        <v>-0.95</v>
      </c>
      <c r="S153" s="7" t="n">
        <v>0.016</v>
      </c>
      <c r="T153" s="7" t="n">
        <v>-0.137</v>
      </c>
      <c r="U153" s="7" t="n">
        <v>-0.648</v>
      </c>
      <c r="V153" s="7" t="n">
        <v>-0.922</v>
      </c>
      <c r="W153" s="7" t="n">
        <v>-0.543</v>
      </c>
      <c r="X153" s="7" t="n">
        <v>-0.808</v>
      </c>
      <c r="Y153" s="7" t="n">
        <v>-0.018</v>
      </c>
      <c r="Z153" s="7" t="n">
        <v>0.016</v>
      </c>
      <c r="AA153" s="7" t="n">
        <v>-0.676</v>
      </c>
      <c r="AB153" s="7" t="n">
        <v>-0.032</v>
      </c>
      <c r="AC153" s="7" t="n">
        <v>-0.565</v>
      </c>
      <c r="AD153" s="7" t="n">
        <v>-0.758</v>
      </c>
      <c r="AE153" s="7" t="n">
        <v>-0.399</v>
      </c>
      <c r="AF153" s="7" t="n">
        <v>-0.425</v>
      </c>
      <c r="AG153" s="7" t="n">
        <v>-0.185</v>
      </c>
      <c r="AH153" s="7" t="n">
        <v>-0.173</v>
      </c>
      <c r="AI153" s="7" t="n">
        <v>-0.401</v>
      </c>
      <c r="AJ153" s="7" t="n">
        <v>-0.859</v>
      </c>
      <c r="AK153" s="7" t="n">
        <v>-0.274</v>
      </c>
      <c r="AL153" s="7" t="n">
        <v>-0.889</v>
      </c>
      <c r="AM153" s="7" t="n">
        <v>-0.032</v>
      </c>
      <c r="AN153" s="7" t="n">
        <v>-0.85</v>
      </c>
      <c r="AO153" s="7" t="n">
        <v>0.016</v>
      </c>
      <c r="AP153" s="7" t="n">
        <v>0.016</v>
      </c>
      <c r="AQ153" s="7" t="n">
        <v>-0.374</v>
      </c>
    </row>
    <row r="154" customFormat="false" ht="15" hidden="false" customHeight="false" outlineLevel="0" collapsed="false">
      <c r="A154" s="23" t="n">
        <v>46471</v>
      </c>
      <c r="B154" s="7" t="n">
        <v>-0.747</v>
      </c>
      <c r="C154" s="7" t="n">
        <v>-0.83</v>
      </c>
      <c r="D154" s="7" t="n">
        <v>-0.22</v>
      </c>
      <c r="E154" s="7" t="n">
        <v>-0.039</v>
      </c>
      <c r="F154" s="7" t="n">
        <v>-0.49</v>
      </c>
      <c r="G154" s="7" t="n">
        <v>-0.212</v>
      </c>
      <c r="H154" s="7" t="n">
        <v>-0.95</v>
      </c>
      <c r="I154" s="7" t="n">
        <v>-0.533</v>
      </c>
      <c r="J154" s="7" t="n">
        <v>-0.156</v>
      </c>
      <c r="K154" s="7" t="n">
        <v>-0.039</v>
      </c>
      <c r="L154" s="7" t="n">
        <v>-0.223</v>
      </c>
      <c r="M154" s="7" t="n">
        <v>0.088</v>
      </c>
      <c r="N154" s="7" t="n">
        <v>-0.552</v>
      </c>
      <c r="O154" s="7" t="n">
        <v>-0.423</v>
      </c>
      <c r="P154" s="7" t="n">
        <v>-0.605</v>
      </c>
      <c r="Q154" s="7" t="n">
        <v>-0.274</v>
      </c>
      <c r="R154" s="7" t="n">
        <v>-0.941</v>
      </c>
      <c r="S154" s="7" t="n">
        <v>-0.039</v>
      </c>
      <c r="T154" s="7" t="n">
        <v>-0.187</v>
      </c>
      <c r="U154" s="7" t="n">
        <v>-0.896</v>
      </c>
      <c r="V154" s="7" t="n">
        <v>-0.886</v>
      </c>
      <c r="W154" s="7" t="n">
        <v>-0.21</v>
      </c>
      <c r="X154" s="7" t="n">
        <v>-0.22</v>
      </c>
      <c r="Y154" s="7" t="n">
        <v>-0.719</v>
      </c>
      <c r="Z154" s="7" t="n">
        <v>-0.039</v>
      </c>
      <c r="AA154" s="7" t="n">
        <v>-0.909</v>
      </c>
      <c r="AB154" s="7" t="n">
        <v>0</v>
      </c>
      <c r="AC154" s="7" t="n">
        <v>-0.185</v>
      </c>
      <c r="AD154" s="7" t="n">
        <v>-0.818</v>
      </c>
      <c r="AE154" s="7" t="n">
        <v>-0.433</v>
      </c>
      <c r="AF154" s="7" t="n">
        <v>-0.411</v>
      </c>
      <c r="AG154" s="7" t="n">
        <v>-0.185</v>
      </c>
      <c r="AH154" s="7" t="n">
        <v>-0.163</v>
      </c>
      <c r="AI154" s="7" t="n">
        <v>-0.366</v>
      </c>
      <c r="AJ154" s="7" t="n">
        <v>-0.48</v>
      </c>
      <c r="AK154" s="7" t="n">
        <v>-0.291</v>
      </c>
      <c r="AL154" s="7" t="n">
        <v>-0.547</v>
      </c>
      <c r="AM154" s="7" t="n">
        <v>0</v>
      </c>
      <c r="AN154" s="7" t="n">
        <v>-0.848</v>
      </c>
      <c r="AO154" s="7" t="n">
        <v>-0.039</v>
      </c>
      <c r="AP154" s="7" t="n">
        <v>-0.039</v>
      </c>
      <c r="AQ154" s="7" t="n">
        <v>-0.366</v>
      </c>
    </row>
    <row r="155" customFormat="false" ht="15" hidden="false" customHeight="false" outlineLevel="0" collapsed="false">
      <c r="A155" s="23" t="n">
        <v>46472</v>
      </c>
      <c r="B155" s="7" t="n">
        <v>-0.269</v>
      </c>
      <c r="C155" s="7" t="n">
        <v>-0.631</v>
      </c>
      <c r="D155" s="7" t="n">
        <v>-0.228</v>
      </c>
      <c r="E155" s="7" t="n">
        <v>0.011</v>
      </c>
      <c r="F155" s="7" t="n">
        <v>-0.025</v>
      </c>
      <c r="G155" s="7" t="n">
        <v>-0.219</v>
      </c>
      <c r="H155" s="7" t="n">
        <v>-0.484</v>
      </c>
      <c r="I155" s="7" t="n">
        <v>-0.474</v>
      </c>
      <c r="J155" s="7" t="n">
        <v>0.511</v>
      </c>
      <c r="K155" s="7" t="n">
        <v>0.011</v>
      </c>
      <c r="L155" s="7" t="n">
        <v>-0.234</v>
      </c>
      <c r="M155" s="7" t="n">
        <v>0.37</v>
      </c>
      <c r="N155" s="7" t="n">
        <v>-0.171</v>
      </c>
      <c r="O155" s="7" t="n">
        <v>-0.187</v>
      </c>
      <c r="P155" s="7" t="n">
        <v>-0.647</v>
      </c>
      <c r="Q155" s="7" t="n">
        <v>-0.341</v>
      </c>
      <c r="R155" s="7" t="n">
        <v>-0.484</v>
      </c>
      <c r="S155" s="7" t="n">
        <v>0.011</v>
      </c>
      <c r="T155" s="7" t="n">
        <v>-0.187</v>
      </c>
      <c r="U155" s="7" t="n">
        <v>-0.508</v>
      </c>
      <c r="V155" s="7" t="n">
        <v>-0.484</v>
      </c>
      <c r="W155" s="7" t="n">
        <v>-0.278</v>
      </c>
      <c r="X155" s="7" t="n">
        <v>-0.228</v>
      </c>
      <c r="Y155" s="7" t="n">
        <v>0.024</v>
      </c>
      <c r="Z155" s="7" t="n">
        <v>0.011</v>
      </c>
      <c r="AA155" s="7" t="n">
        <v>-0.288</v>
      </c>
      <c r="AB155" s="7" t="n">
        <v>0.56</v>
      </c>
      <c r="AC155" s="7" t="n">
        <v>-0.256</v>
      </c>
      <c r="AD155" s="7" t="n">
        <v>-0.217</v>
      </c>
      <c r="AE155" s="7" t="n">
        <v>-0.015</v>
      </c>
      <c r="AF155" s="7" t="n">
        <v>-0.295</v>
      </c>
      <c r="AG155" s="7" t="n">
        <v>-0.185</v>
      </c>
      <c r="AH155" s="7" t="n">
        <v>0.187</v>
      </c>
      <c r="AI155" s="7" t="n">
        <v>-0.407</v>
      </c>
      <c r="AJ155" s="7" t="n">
        <v>-0.474</v>
      </c>
      <c r="AK155" s="7" t="n">
        <v>-0.276</v>
      </c>
      <c r="AL155" s="7" t="n">
        <v>-0.319</v>
      </c>
      <c r="AM155" s="7" t="n">
        <v>0.013</v>
      </c>
      <c r="AN155" s="7" t="n">
        <v>-0.484</v>
      </c>
      <c r="AO155" s="7" t="n">
        <v>0.329</v>
      </c>
      <c r="AP155" s="7" t="n">
        <v>0.011</v>
      </c>
      <c r="AQ155" s="7" t="n">
        <v>-0.418</v>
      </c>
    </row>
    <row r="156" customFormat="false" ht="15" hidden="false" customHeight="false" outlineLevel="0" collapsed="false">
      <c r="A156" s="23" t="n">
        <v>46473</v>
      </c>
      <c r="B156" s="7" t="n">
        <v>-0.184</v>
      </c>
      <c r="C156" s="7" t="n">
        <v>-0.952</v>
      </c>
      <c r="D156" s="7" t="n">
        <v>0.195</v>
      </c>
      <c r="E156" s="7" t="n">
        <v>0.011</v>
      </c>
      <c r="F156" s="7" t="n">
        <v>-0.039</v>
      </c>
      <c r="G156" s="7" t="n">
        <v>0.14</v>
      </c>
      <c r="H156" s="7" t="n">
        <v>-0.921</v>
      </c>
      <c r="I156" s="7" t="n">
        <v>-0.743</v>
      </c>
      <c r="J156" s="7" t="n">
        <v>-0.133</v>
      </c>
      <c r="K156" s="7" t="n">
        <v>0.011</v>
      </c>
      <c r="L156" s="7" t="n">
        <v>0.109</v>
      </c>
      <c r="M156" s="7" t="n">
        <v>0.037</v>
      </c>
      <c r="N156" s="7" t="n">
        <v>-0.176</v>
      </c>
      <c r="O156" s="7" t="n">
        <v>-0.186</v>
      </c>
      <c r="P156" s="7" t="n">
        <v>0.408</v>
      </c>
      <c r="Q156" s="7" t="n">
        <v>-0.013</v>
      </c>
      <c r="R156" s="7" t="n">
        <v>-0.901</v>
      </c>
      <c r="S156" s="7" t="n">
        <v>-0.056</v>
      </c>
      <c r="T156" s="7" t="n">
        <v>-0.957</v>
      </c>
      <c r="U156" s="7" t="n">
        <v>0.073</v>
      </c>
      <c r="V156" s="7" t="n">
        <v>-0.829</v>
      </c>
      <c r="W156" s="7" t="n">
        <v>0</v>
      </c>
      <c r="X156" s="7" t="n">
        <v>0.419</v>
      </c>
      <c r="Y156" s="7" t="n">
        <v>0.326</v>
      </c>
      <c r="Z156" s="7" t="n">
        <v>0.011</v>
      </c>
      <c r="AA156" s="7" t="n">
        <v>-0.961</v>
      </c>
      <c r="AB156" s="7" t="n">
        <v>0.102</v>
      </c>
      <c r="AC156" s="7" t="n">
        <v>0.022</v>
      </c>
      <c r="AD156" s="7" t="n">
        <v>0.457</v>
      </c>
      <c r="AE156" s="7" t="n">
        <v>0.059</v>
      </c>
      <c r="AF156" s="7" t="n">
        <v>0.022</v>
      </c>
      <c r="AG156" s="7" t="n">
        <v>0.462</v>
      </c>
      <c r="AH156" s="7" t="n">
        <v>-0.168</v>
      </c>
      <c r="AI156" s="7" t="n">
        <v>0.098</v>
      </c>
      <c r="AJ156" s="7" t="n">
        <v>-0.684</v>
      </c>
      <c r="AK156" s="7" t="n">
        <v>-0.867</v>
      </c>
      <c r="AL156" s="7" t="n">
        <v>0.497</v>
      </c>
      <c r="AM156" s="7" t="n">
        <v>0.077</v>
      </c>
      <c r="AN156" s="7" t="n">
        <v>-0.723</v>
      </c>
      <c r="AO156" s="7" t="n">
        <v>0.037</v>
      </c>
      <c r="AP156" s="7" t="n">
        <v>0.011</v>
      </c>
      <c r="AQ156" s="7" t="n">
        <v>0.022</v>
      </c>
    </row>
    <row r="157" customFormat="false" ht="15" hidden="false" customHeight="false" outlineLevel="0" collapsed="false">
      <c r="A157" s="23" t="n">
        <v>46474</v>
      </c>
      <c r="B157" s="7" t="n">
        <v>0.351</v>
      </c>
      <c r="C157" s="7" t="n">
        <v>-0.508</v>
      </c>
      <c r="D157" s="7" t="n">
        <v>0.081</v>
      </c>
      <c r="E157" s="7" t="n">
        <v>0.222</v>
      </c>
      <c r="F157" s="7" t="n">
        <v>0.486</v>
      </c>
      <c r="G157" s="7" t="n">
        <v>0.505</v>
      </c>
      <c r="H157" s="7" t="n">
        <v>-0.386</v>
      </c>
      <c r="I157" s="7" t="n">
        <v>0.022</v>
      </c>
      <c r="J157" s="7" t="n">
        <v>-0.105</v>
      </c>
      <c r="K157" s="7" t="n">
        <v>0.28</v>
      </c>
      <c r="L157" s="7" t="n">
        <v>0.268</v>
      </c>
      <c r="M157" s="7" t="n">
        <v>0.094</v>
      </c>
      <c r="N157" s="7" t="n">
        <v>0.38</v>
      </c>
      <c r="O157" s="7" t="n">
        <v>0.085</v>
      </c>
      <c r="P157" s="7" t="n">
        <v>0.195</v>
      </c>
      <c r="Q157" s="7" t="n">
        <v>-0.022</v>
      </c>
      <c r="R157" s="7" t="n">
        <v>-0.442</v>
      </c>
      <c r="S157" s="7" t="n">
        <v>-0.191</v>
      </c>
      <c r="T157" s="7" t="n">
        <v>-0.791</v>
      </c>
      <c r="U157" s="7" t="n">
        <v>-0.113</v>
      </c>
      <c r="V157" s="7" t="n">
        <v>0.013</v>
      </c>
      <c r="W157" s="7" t="n">
        <v>0</v>
      </c>
      <c r="X157" s="7" t="n">
        <v>0.216</v>
      </c>
      <c r="Y157" s="7" t="n">
        <v>0.168</v>
      </c>
      <c r="Z157" s="7" t="n">
        <v>0.28</v>
      </c>
      <c r="AA157" s="7" t="n">
        <v>-0.753</v>
      </c>
      <c r="AB157" s="7" t="n">
        <v>0.13</v>
      </c>
      <c r="AC157" s="7" t="n">
        <v>0.018</v>
      </c>
      <c r="AD157" s="7" t="n">
        <v>0.482</v>
      </c>
      <c r="AE157" s="7" t="n">
        <v>0.563</v>
      </c>
      <c r="AF157" s="7" t="n">
        <v>0.131</v>
      </c>
      <c r="AG157" s="7" t="n">
        <v>0.462</v>
      </c>
      <c r="AH157" s="7" t="n">
        <v>-0.127</v>
      </c>
      <c r="AI157" s="7" t="n">
        <v>0.058</v>
      </c>
      <c r="AJ157" s="7" t="n">
        <v>0.248</v>
      </c>
      <c r="AK157" s="7" t="n">
        <v>-0.247</v>
      </c>
      <c r="AL157" s="7" t="n">
        <v>0.494</v>
      </c>
      <c r="AM157" s="7" t="n">
        <v>0.04</v>
      </c>
      <c r="AN157" s="7" t="n">
        <v>0.21</v>
      </c>
      <c r="AO157" s="7" t="n">
        <v>0.298</v>
      </c>
      <c r="AP157" s="7" t="n">
        <v>0.213</v>
      </c>
      <c r="AQ157" s="7" t="n">
        <v>0.018</v>
      </c>
    </row>
    <row r="158" customFormat="false" ht="15" hidden="false" customHeight="false" outlineLevel="0" collapsed="false">
      <c r="A158" s="23" t="n">
        <v>46475</v>
      </c>
      <c r="B158" s="7" t="n">
        <v>-0.707</v>
      </c>
      <c r="C158" s="7" t="n">
        <v>-0.413</v>
      </c>
      <c r="D158" s="7" t="n">
        <v>-0.856</v>
      </c>
      <c r="E158" s="7" t="n">
        <v>0.194</v>
      </c>
      <c r="F158" s="7" t="n">
        <v>-0.265</v>
      </c>
      <c r="G158" s="7" t="n">
        <v>0.546</v>
      </c>
      <c r="H158" s="7" t="n">
        <v>-0.1</v>
      </c>
      <c r="I158" s="7" t="n">
        <v>-0.607</v>
      </c>
      <c r="J158" s="7" t="n">
        <v>-0.06</v>
      </c>
      <c r="K158" s="7" t="n">
        <v>0.007</v>
      </c>
      <c r="L158" s="7" t="n">
        <v>-0.313</v>
      </c>
      <c r="M158" s="7" t="n">
        <v>0.226</v>
      </c>
      <c r="N158" s="7" t="n">
        <v>-0.192</v>
      </c>
      <c r="O158" s="7" t="n">
        <v>-0.15</v>
      </c>
      <c r="P158" s="7" t="n">
        <v>-0.501</v>
      </c>
      <c r="Q158" s="7" t="n">
        <v>-0.274</v>
      </c>
      <c r="R158" s="7" t="n">
        <v>-0.824</v>
      </c>
      <c r="S158" s="7" t="n">
        <v>-0.894</v>
      </c>
      <c r="T158" s="7" t="n">
        <v>-0.912</v>
      </c>
      <c r="U158" s="7" t="n">
        <v>-0.639</v>
      </c>
      <c r="V158" s="7" t="n">
        <v>-0.708</v>
      </c>
      <c r="W158" s="7" t="n">
        <v>-0.291</v>
      </c>
      <c r="X158" s="7" t="n">
        <v>-0.783</v>
      </c>
      <c r="Y158" s="7" t="n">
        <v>-0.151</v>
      </c>
      <c r="Z158" s="7" t="n">
        <v>-0.427</v>
      </c>
      <c r="AA158" s="7" t="n">
        <v>-0.82</v>
      </c>
      <c r="AB158" s="7" t="n">
        <v>0.067</v>
      </c>
      <c r="AC158" s="7" t="n">
        <v>-0.274</v>
      </c>
      <c r="AD158" s="7" t="n">
        <v>-0.772</v>
      </c>
      <c r="AE158" s="7" t="n">
        <v>-0.192</v>
      </c>
      <c r="AF158" s="7" t="n">
        <v>-0.158</v>
      </c>
      <c r="AG158" s="7" t="n">
        <v>0.225</v>
      </c>
      <c r="AH158" s="7" t="n">
        <v>-0.097</v>
      </c>
      <c r="AI158" s="7" t="n">
        <v>-0.319</v>
      </c>
      <c r="AJ158" s="7" t="n">
        <v>-0.732</v>
      </c>
      <c r="AK158" s="7" t="n">
        <v>-0.725</v>
      </c>
      <c r="AL158" s="7" t="n">
        <v>-0.304</v>
      </c>
      <c r="AM158" s="7" t="n">
        <v>-0.049</v>
      </c>
      <c r="AN158" s="7" t="n">
        <v>-0.708</v>
      </c>
      <c r="AO158" s="7" t="n">
        <v>-0.072</v>
      </c>
      <c r="AP158" s="7" t="n">
        <v>0.007</v>
      </c>
      <c r="AQ158" s="7" t="n">
        <v>-0.274</v>
      </c>
    </row>
    <row r="159" customFormat="false" ht="15" hidden="false" customHeight="false" outlineLevel="0" collapsed="false">
      <c r="A159" s="23" t="n">
        <v>46476</v>
      </c>
      <c r="B159" s="7" t="n">
        <v>0.009</v>
      </c>
      <c r="C159" s="7" t="n">
        <v>-0.321</v>
      </c>
      <c r="D159" s="7" t="n">
        <v>-0.242</v>
      </c>
      <c r="E159" s="7" t="n">
        <v>0.192</v>
      </c>
      <c r="F159" s="7" t="n">
        <v>0.081</v>
      </c>
      <c r="G159" s="7" t="n">
        <v>0.515</v>
      </c>
      <c r="H159" s="7" t="n">
        <v>-0.142</v>
      </c>
      <c r="I159" s="7" t="n">
        <v>0.023</v>
      </c>
      <c r="J159" s="7" t="n">
        <v>-0.455</v>
      </c>
      <c r="K159" s="7" t="n">
        <v>0.005</v>
      </c>
      <c r="L159" s="7" t="n">
        <v>0.383</v>
      </c>
      <c r="M159" s="7" t="n">
        <v>-0.017</v>
      </c>
      <c r="N159" s="7" t="n">
        <v>0.159</v>
      </c>
      <c r="O159" s="7" t="n">
        <v>0.209</v>
      </c>
      <c r="P159" s="7" t="n">
        <v>0.18</v>
      </c>
      <c r="Q159" s="7" t="n">
        <v>0.431</v>
      </c>
      <c r="R159" s="7" t="n">
        <v>0.086</v>
      </c>
      <c r="S159" s="7" t="n">
        <v>-0.422</v>
      </c>
      <c r="T159" s="7" t="n">
        <v>-0.096</v>
      </c>
      <c r="U159" s="7" t="n">
        <v>-0.361</v>
      </c>
      <c r="V159" s="7" t="n">
        <v>-0.142</v>
      </c>
      <c r="W159" s="7" t="n">
        <v>-0.167</v>
      </c>
      <c r="X159" s="7" t="n">
        <v>-0.146</v>
      </c>
      <c r="Y159" s="7" t="n">
        <v>0.7</v>
      </c>
      <c r="Z159" s="7" t="n">
        <v>-0.422</v>
      </c>
      <c r="AA159" s="7" t="n">
        <v>0.132</v>
      </c>
      <c r="AB159" s="7" t="n">
        <v>-0.301</v>
      </c>
      <c r="AC159" s="7" t="n">
        <v>0.431</v>
      </c>
      <c r="AD159" s="7" t="n">
        <v>-0.262</v>
      </c>
      <c r="AE159" s="7" t="n">
        <v>0.159</v>
      </c>
      <c r="AF159" s="7" t="n">
        <v>0.491</v>
      </c>
      <c r="AG159" s="7" t="n">
        <v>0.225</v>
      </c>
      <c r="AH159" s="7" t="n">
        <v>-0.334</v>
      </c>
      <c r="AI159" s="7" t="n">
        <v>0.26</v>
      </c>
      <c r="AJ159" s="7" t="n">
        <v>-0.203</v>
      </c>
      <c r="AK159" s="7" t="n">
        <v>-0.158</v>
      </c>
      <c r="AL159" s="7" t="n">
        <v>0.26</v>
      </c>
      <c r="AM159" s="7" t="n">
        <v>-0.063</v>
      </c>
      <c r="AN159" s="7" t="n">
        <v>-0.142</v>
      </c>
      <c r="AO159" s="7" t="n">
        <v>-0.314</v>
      </c>
      <c r="AP159" s="7" t="n">
        <v>0.005</v>
      </c>
      <c r="AQ159" s="7" t="n">
        <v>0.318</v>
      </c>
    </row>
    <row r="160" customFormat="false" ht="15" hidden="false" customHeight="false" outlineLevel="0" collapsed="false">
      <c r="A160" s="23" t="n">
        <v>46477</v>
      </c>
      <c r="B160" s="7" t="n">
        <v>-0.343</v>
      </c>
      <c r="C160" s="7" t="n">
        <v>-0.556</v>
      </c>
      <c r="D160" s="7" t="n">
        <v>-0.205</v>
      </c>
      <c r="E160" s="7" t="n">
        <v>0.186</v>
      </c>
      <c r="F160" s="7" t="n">
        <v>-0.425</v>
      </c>
      <c r="G160" s="7" t="n">
        <v>0.541</v>
      </c>
      <c r="H160" s="7" t="n">
        <v>-0.048</v>
      </c>
      <c r="I160" s="7" t="n">
        <v>0.125</v>
      </c>
      <c r="J160" s="7" t="n">
        <v>-0.415</v>
      </c>
      <c r="K160" s="7" t="n">
        <v>0</v>
      </c>
      <c r="L160" s="7" t="n">
        <v>-0.327</v>
      </c>
      <c r="M160" s="7" t="n">
        <v>0.003</v>
      </c>
      <c r="N160" s="7" t="n">
        <v>-0.415</v>
      </c>
      <c r="O160" s="7" t="n">
        <v>-0.464</v>
      </c>
      <c r="P160" s="7" t="n">
        <v>-0.381</v>
      </c>
      <c r="Q160" s="7" t="n">
        <v>-0.277</v>
      </c>
      <c r="R160" s="7" t="n">
        <v>0.179</v>
      </c>
      <c r="S160" s="7" t="n">
        <v>-0.433</v>
      </c>
      <c r="T160" s="7" t="n">
        <v>-0.032</v>
      </c>
      <c r="U160" s="7" t="n">
        <v>-0.781</v>
      </c>
      <c r="V160" s="7" t="n">
        <v>-0.048</v>
      </c>
      <c r="W160" s="7" t="n">
        <v>-0.291</v>
      </c>
      <c r="X160" s="7" t="n">
        <v>-0.116</v>
      </c>
      <c r="Y160" s="7" t="n">
        <v>0.516</v>
      </c>
      <c r="Z160" s="7" t="n">
        <v>-0.433</v>
      </c>
      <c r="AA160" s="7" t="n">
        <v>0.194</v>
      </c>
      <c r="AB160" s="7" t="n">
        <v>-0.265</v>
      </c>
      <c r="AC160" s="7" t="n">
        <v>-0.277</v>
      </c>
      <c r="AD160" s="7" t="n">
        <v>-0.246</v>
      </c>
      <c r="AE160" s="7" t="n">
        <v>-0.415</v>
      </c>
      <c r="AF160" s="7" t="n">
        <v>-0.161</v>
      </c>
      <c r="AG160" s="7" t="n">
        <v>0.103</v>
      </c>
      <c r="AH160" s="7" t="n">
        <v>-0.399</v>
      </c>
      <c r="AI160" s="7" t="n">
        <v>-0.327</v>
      </c>
      <c r="AJ160" s="7" t="n">
        <v>-0.102</v>
      </c>
      <c r="AK160" s="7" t="n">
        <v>-0.087</v>
      </c>
      <c r="AL160" s="7" t="n">
        <v>-0.39</v>
      </c>
      <c r="AM160" s="7" t="n">
        <v>-0.055</v>
      </c>
      <c r="AN160" s="7" t="n">
        <v>-0.048</v>
      </c>
      <c r="AO160" s="7" t="n">
        <v>-0.41</v>
      </c>
      <c r="AP160" s="7" t="n">
        <v>0</v>
      </c>
      <c r="AQ160" s="7" t="n">
        <v>-0.277</v>
      </c>
    </row>
    <row r="161" customFormat="false" ht="15" hidden="false" customHeight="false" outlineLevel="0" collapsed="false">
      <c r="A161" s="23" t="n">
        <v>46478</v>
      </c>
      <c r="B161" s="7" t="n">
        <v>-0.4</v>
      </c>
      <c r="C161" s="7" t="n">
        <v>-0.589</v>
      </c>
      <c r="D161" s="7" t="n">
        <v>-0.148</v>
      </c>
      <c r="E161" s="7" t="n">
        <v>-0.325</v>
      </c>
      <c r="F161" s="7" t="n">
        <v>-0.336</v>
      </c>
      <c r="G161" s="7" t="n">
        <v>0.579</v>
      </c>
      <c r="H161" s="7" t="n">
        <v>-0.823</v>
      </c>
      <c r="I161" s="7" t="n">
        <v>-0.194</v>
      </c>
      <c r="J161" s="7" t="n">
        <v>0.642</v>
      </c>
      <c r="K161" s="7" t="n">
        <v>0</v>
      </c>
      <c r="L161" s="7" t="n">
        <v>0.157</v>
      </c>
      <c r="M161" s="7" t="n">
        <v>-0.081</v>
      </c>
      <c r="N161" s="7" t="n">
        <v>0.249</v>
      </c>
      <c r="O161" s="7" t="n">
        <v>0.249</v>
      </c>
      <c r="P161" s="7" t="n">
        <v>-0.366</v>
      </c>
      <c r="Q161" s="7" t="n">
        <v>-0.403</v>
      </c>
      <c r="R161" s="7" t="n">
        <v>-0.856</v>
      </c>
      <c r="S161" s="7" t="n">
        <v>-0.433</v>
      </c>
      <c r="T161" s="7" t="n">
        <v>-0.921</v>
      </c>
      <c r="U161" s="7" t="n">
        <v>-0.709</v>
      </c>
      <c r="V161" s="7" t="n">
        <v>-0.669</v>
      </c>
      <c r="W161" s="7" t="n">
        <v>-0.414</v>
      </c>
      <c r="X161" s="7" t="n">
        <v>0.043</v>
      </c>
      <c r="Y161" s="7" t="n">
        <v>0.575</v>
      </c>
      <c r="Z161" s="7" t="n">
        <v>-0.433</v>
      </c>
      <c r="AA161" s="7" t="n">
        <v>-0.867</v>
      </c>
      <c r="AB161" s="7" t="n">
        <v>0.747</v>
      </c>
      <c r="AC161" s="7" t="n">
        <v>-0.403</v>
      </c>
      <c r="AD161" s="7" t="n">
        <v>-0.396</v>
      </c>
      <c r="AE161" s="7" t="n">
        <v>-0.32</v>
      </c>
      <c r="AF161" s="7" t="n">
        <v>-0.54</v>
      </c>
      <c r="AG161" s="7" t="n">
        <v>-0.511</v>
      </c>
      <c r="AH161" s="7" t="n">
        <v>0.101</v>
      </c>
      <c r="AI161" s="7" t="n">
        <v>0.157</v>
      </c>
      <c r="AJ161" s="7" t="n">
        <v>-0.033</v>
      </c>
      <c r="AK161" s="7" t="n">
        <v>-0.075</v>
      </c>
      <c r="AL161" s="7" t="n">
        <v>-0.362</v>
      </c>
      <c r="AM161" s="7" t="n">
        <v>0.527</v>
      </c>
      <c r="AN161" s="7" t="n">
        <v>-0.55</v>
      </c>
      <c r="AO161" s="7" t="n">
        <v>0.096</v>
      </c>
      <c r="AP161" s="7" t="n">
        <v>0</v>
      </c>
      <c r="AQ161" s="7" t="n">
        <v>-0.403</v>
      </c>
    </row>
    <row r="162" customFormat="false" ht="15" hidden="false" customHeight="false" outlineLevel="0" collapsed="false">
      <c r="A162" s="23" t="n">
        <v>46479</v>
      </c>
      <c r="B162" s="7" t="n">
        <v>-0.035</v>
      </c>
      <c r="C162" s="7" t="n">
        <v>-0.862</v>
      </c>
      <c r="D162" s="7" t="n">
        <v>0.442</v>
      </c>
      <c r="E162" s="7" t="n">
        <v>-0.111</v>
      </c>
      <c r="F162" s="7" t="n">
        <v>-0.343</v>
      </c>
      <c r="G162" s="7" t="n">
        <v>0.97</v>
      </c>
      <c r="H162" s="7" t="n">
        <v>-0.246</v>
      </c>
      <c r="I162" s="7" t="n">
        <v>0.413</v>
      </c>
      <c r="J162" s="7" t="n">
        <v>0.096</v>
      </c>
      <c r="K162" s="7" t="n">
        <v>0</v>
      </c>
      <c r="L162" s="7" t="n">
        <v>-0.405</v>
      </c>
      <c r="M162" s="7" t="n">
        <v>-0.081</v>
      </c>
      <c r="N162" s="7" t="n">
        <v>-0.321</v>
      </c>
      <c r="O162" s="7" t="n">
        <v>0.527</v>
      </c>
      <c r="P162" s="7" t="n">
        <v>0.386</v>
      </c>
      <c r="Q162" s="7" t="n">
        <v>-0.405</v>
      </c>
      <c r="R162" s="7" t="n">
        <v>-0.169</v>
      </c>
      <c r="S162" s="7" t="n">
        <v>-0.433</v>
      </c>
      <c r="T162" s="7" t="n">
        <v>-0.925</v>
      </c>
      <c r="U162" s="7" t="n">
        <v>-0.703</v>
      </c>
      <c r="V162" s="7" t="n">
        <v>0.189</v>
      </c>
      <c r="W162" s="7" t="n">
        <v>-0.414</v>
      </c>
      <c r="X162" s="7" t="n">
        <v>0.684</v>
      </c>
      <c r="Y162" s="7" t="n">
        <v>0.711</v>
      </c>
      <c r="Z162" s="7" t="n">
        <v>-0.433</v>
      </c>
      <c r="AA162" s="7" t="n">
        <v>-0.819</v>
      </c>
      <c r="AB162" s="7" t="n">
        <v>-0.081</v>
      </c>
      <c r="AC162" s="7" t="n">
        <v>-0.405</v>
      </c>
      <c r="AD162" s="7" t="n">
        <v>0.633</v>
      </c>
      <c r="AE162" s="7" t="n">
        <v>-0.321</v>
      </c>
      <c r="AF162" s="7" t="n">
        <v>-0.541</v>
      </c>
      <c r="AG162" s="7" t="n">
        <v>-0.348</v>
      </c>
      <c r="AH162" s="7" t="n">
        <v>0.114</v>
      </c>
      <c r="AI162" s="7" t="n">
        <v>-0.405</v>
      </c>
      <c r="AJ162" s="7" t="n">
        <v>0.288</v>
      </c>
      <c r="AK162" s="7" t="n">
        <v>-0.596</v>
      </c>
      <c r="AL162" s="7" t="n">
        <v>0.517</v>
      </c>
      <c r="AM162" s="7" t="n">
        <v>0</v>
      </c>
      <c r="AN162" s="7" t="n">
        <v>0.288</v>
      </c>
      <c r="AO162" s="7" t="n">
        <v>0.096</v>
      </c>
      <c r="AP162" s="7" t="n">
        <v>0</v>
      </c>
      <c r="AQ162" s="7" t="n">
        <v>-0.405</v>
      </c>
    </row>
    <row r="163" customFormat="false" ht="15" hidden="false" customHeight="false" outlineLevel="0" collapsed="false">
      <c r="A163" s="23" t="n">
        <v>46480</v>
      </c>
      <c r="B163" s="7" t="n">
        <v>-0.856</v>
      </c>
      <c r="C163" s="7" t="n">
        <v>-0.916</v>
      </c>
      <c r="D163" s="7" t="n">
        <v>-0.653</v>
      </c>
      <c r="E163" s="7" t="n">
        <v>-0.358</v>
      </c>
      <c r="F163" s="7" t="n">
        <v>-0.377</v>
      </c>
      <c r="G163" s="7" t="n">
        <v>0.044</v>
      </c>
      <c r="H163" s="7" t="n">
        <v>-0.888</v>
      </c>
      <c r="I163" s="7" t="n">
        <v>-0.698</v>
      </c>
      <c r="J163" s="7" t="n">
        <v>0.046</v>
      </c>
      <c r="K163" s="7" t="n">
        <v>-0.055</v>
      </c>
      <c r="L163" s="7" t="n">
        <v>-0.39</v>
      </c>
      <c r="M163" s="7" t="n">
        <v>0.113</v>
      </c>
      <c r="N163" s="7" t="n">
        <v>-0.698</v>
      </c>
      <c r="O163" s="7" t="n">
        <v>-0.529</v>
      </c>
      <c r="P163" s="7" t="n">
        <v>-0.654</v>
      </c>
      <c r="Q163" s="7" t="n">
        <v>-0.343</v>
      </c>
      <c r="R163" s="7" t="n">
        <v>-0.83</v>
      </c>
      <c r="S163" s="7" t="n">
        <v>-0.768</v>
      </c>
      <c r="T163" s="7" t="n">
        <v>-0.871</v>
      </c>
      <c r="U163" s="7" t="n">
        <v>-0.693</v>
      </c>
      <c r="V163" s="7" t="n">
        <v>-0.803</v>
      </c>
      <c r="W163" s="7" t="n">
        <v>-0.291</v>
      </c>
      <c r="X163" s="7" t="n">
        <v>-0.401</v>
      </c>
      <c r="Y163" s="7" t="n">
        <v>-0.02</v>
      </c>
      <c r="Z163" s="7" t="n">
        <v>-0.476</v>
      </c>
      <c r="AA163" s="7" t="n">
        <v>-0.72</v>
      </c>
      <c r="AB163" s="7" t="n">
        <v>0.167</v>
      </c>
      <c r="AC163" s="7" t="n">
        <v>-0.343</v>
      </c>
      <c r="AD163" s="7" t="n">
        <v>-0.856</v>
      </c>
      <c r="AE163" s="7" t="n">
        <v>-0.35</v>
      </c>
      <c r="AF163" s="7" t="n">
        <v>-0.23</v>
      </c>
      <c r="AG163" s="7" t="n">
        <v>-0.264</v>
      </c>
      <c r="AH163" s="7" t="n">
        <v>0.067</v>
      </c>
      <c r="AI163" s="7" t="n">
        <v>-0.343</v>
      </c>
      <c r="AJ163" s="7" t="n">
        <v>-0.704</v>
      </c>
      <c r="AK163" s="7" t="n">
        <v>-0.532</v>
      </c>
      <c r="AL163" s="7" t="n">
        <v>-0.549</v>
      </c>
      <c r="AM163" s="7" t="n">
        <v>0</v>
      </c>
      <c r="AN163" s="7" t="n">
        <v>-0.704</v>
      </c>
      <c r="AO163" s="7" t="n">
        <v>-0.009</v>
      </c>
      <c r="AP163" s="7" t="n">
        <v>-0.055</v>
      </c>
      <c r="AQ163" s="7" t="n">
        <v>-0.343</v>
      </c>
    </row>
    <row r="164" customFormat="false" ht="15" hidden="false" customHeight="false" outlineLevel="0" collapsed="false">
      <c r="A164" s="23" t="n">
        <v>46481</v>
      </c>
      <c r="B164" s="7" t="n">
        <v>-0.822</v>
      </c>
      <c r="C164" s="7" t="n">
        <v>-0.937</v>
      </c>
      <c r="D164" s="7" t="n">
        <v>-0.196</v>
      </c>
      <c r="E164" s="7" t="n">
        <v>-0.461</v>
      </c>
      <c r="F164" s="7" t="n">
        <v>-0.357</v>
      </c>
      <c r="G164" s="7" t="n">
        <v>0.329</v>
      </c>
      <c r="H164" s="7" t="n">
        <v>-0.981</v>
      </c>
      <c r="I164" s="7" t="n">
        <v>-0.602</v>
      </c>
      <c r="J164" s="7" t="n">
        <v>0.051</v>
      </c>
      <c r="K164" s="7" t="n">
        <v>-0.019</v>
      </c>
      <c r="L164" s="7" t="n">
        <v>-0.369</v>
      </c>
      <c r="M164" s="7" t="n">
        <v>0.153</v>
      </c>
      <c r="N164" s="7" t="n">
        <v>-0.735</v>
      </c>
      <c r="O164" s="7" t="n">
        <v>-0.308</v>
      </c>
      <c r="P164" s="7" t="n">
        <v>-0.359</v>
      </c>
      <c r="Q164" s="7" t="n">
        <v>-0.353</v>
      </c>
      <c r="R164" s="7" t="n">
        <v>-0.97</v>
      </c>
      <c r="S164" s="7" t="n">
        <v>-0.795</v>
      </c>
      <c r="T164" s="7" t="n">
        <v>-0.897</v>
      </c>
      <c r="U164" s="7" t="n">
        <v>-0.983</v>
      </c>
      <c r="V164" s="7" t="n">
        <v>-0.965</v>
      </c>
      <c r="W164" s="7" t="n">
        <v>-0.291</v>
      </c>
      <c r="X164" s="7" t="n">
        <v>-0.007</v>
      </c>
      <c r="Y164" s="7" t="n">
        <v>-0.849</v>
      </c>
      <c r="Z164" s="7" t="n">
        <v>-0.448</v>
      </c>
      <c r="AA164" s="7" t="n">
        <v>-0.97</v>
      </c>
      <c r="AB164" s="7" t="n">
        <v>0.171</v>
      </c>
      <c r="AC164" s="7" t="n">
        <v>-0.353</v>
      </c>
      <c r="AD164" s="7" t="n">
        <v>-0.975</v>
      </c>
      <c r="AE164" s="7" t="n">
        <v>-0.324</v>
      </c>
      <c r="AF164" s="7" t="n">
        <v>-0.241</v>
      </c>
      <c r="AG164" s="7" t="n">
        <v>-0.36</v>
      </c>
      <c r="AH164" s="7" t="n">
        <v>0.074</v>
      </c>
      <c r="AI164" s="7" t="n">
        <v>-0.353</v>
      </c>
      <c r="AJ164" s="7" t="n">
        <v>-0.609</v>
      </c>
      <c r="AK164" s="7" t="n">
        <v>-0.604</v>
      </c>
      <c r="AL164" s="7" t="n">
        <v>-0.338</v>
      </c>
      <c r="AM164" s="7" t="n">
        <v>0</v>
      </c>
      <c r="AN164" s="7" t="n">
        <v>-0.945</v>
      </c>
      <c r="AO164" s="7" t="n">
        <v>0.032</v>
      </c>
      <c r="AP164" s="7" t="n">
        <v>-0.019</v>
      </c>
      <c r="AQ164" s="7" t="n">
        <v>-0.353</v>
      </c>
    </row>
    <row r="165" customFormat="false" ht="15" hidden="false" customHeight="false" outlineLevel="0" collapsed="false">
      <c r="A165" s="23" t="n">
        <v>46482</v>
      </c>
      <c r="B165" s="7" t="n">
        <v>0.516</v>
      </c>
      <c r="C165" s="7" t="n">
        <v>0.615</v>
      </c>
      <c r="D165" s="7" t="n">
        <v>-0.194</v>
      </c>
      <c r="E165" s="7" t="n">
        <v>0.185</v>
      </c>
      <c r="F165" s="7" t="n">
        <v>0.726</v>
      </c>
      <c r="G165" s="7" t="n">
        <v>0.393</v>
      </c>
      <c r="H165" s="7" t="n">
        <v>-0.099</v>
      </c>
      <c r="I165" s="7" t="n">
        <v>0.359</v>
      </c>
      <c r="J165" s="7" t="n">
        <v>0.907</v>
      </c>
      <c r="K165" s="7" t="n">
        <v>0</v>
      </c>
      <c r="L165" s="7" t="n">
        <v>-0.248</v>
      </c>
      <c r="M165" s="7" t="n">
        <v>0.936</v>
      </c>
      <c r="N165" s="7" t="n">
        <v>0.746</v>
      </c>
      <c r="O165" s="7" t="n">
        <v>0.779</v>
      </c>
      <c r="P165" s="7" t="n">
        <v>-0.305</v>
      </c>
      <c r="Q165" s="7" t="n">
        <v>-0.286</v>
      </c>
      <c r="R165" s="7" t="n">
        <v>0.126</v>
      </c>
      <c r="S165" s="7" t="n">
        <v>-0.432</v>
      </c>
      <c r="T165" s="7" t="n">
        <v>-0.094</v>
      </c>
      <c r="U165" s="7" t="n">
        <v>-0.59</v>
      </c>
      <c r="V165" s="7" t="n">
        <v>-0.099</v>
      </c>
      <c r="W165" s="7" t="n">
        <v>-0.291</v>
      </c>
      <c r="X165" s="7" t="n">
        <v>0.185</v>
      </c>
      <c r="Y165" s="7" t="n">
        <v>0.638</v>
      </c>
      <c r="Z165" s="7" t="n">
        <v>-0.432</v>
      </c>
      <c r="AA165" s="7" t="n">
        <v>0.131</v>
      </c>
      <c r="AB165" s="7" t="n">
        <v>0.934</v>
      </c>
      <c r="AC165" s="7" t="n">
        <v>-0.085</v>
      </c>
      <c r="AD165" s="7" t="n">
        <v>-0.237</v>
      </c>
      <c r="AE165" s="7" t="n">
        <v>0.746</v>
      </c>
      <c r="AF165" s="7" t="n">
        <v>-0.17</v>
      </c>
      <c r="AG165" s="7" t="n">
        <v>0.222</v>
      </c>
      <c r="AH165" s="7" t="n">
        <v>0.828</v>
      </c>
      <c r="AI165" s="7" t="n">
        <v>-0.248</v>
      </c>
      <c r="AJ165" s="7" t="n">
        <v>0.148</v>
      </c>
      <c r="AK165" s="7" t="n">
        <v>0.153</v>
      </c>
      <c r="AL165" s="7" t="n">
        <v>0.58</v>
      </c>
      <c r="AM165" s="7" t="n">
        <v>0.04</v>
      </c>
      <c r="AN165" s="7" t="n">
        <v>-0.099</v>
      </c>
      <c r="AO165" s="7" t="n">
        <v>0.802</v>
      </c>
      <c r="AP165" s="7" t="n">
        <v>0</v>
      </c>
      <c r="AQ165" s="7" t="n">
        <v>-0.286</v>
      </c>
    </row>
    <row r="166" customFormat="false" ht="15" hidden="false" customHeight="false" outlineLevel="0" collapsed="false">
      <c r="A166" s="23" t="n">
        <v>46483</v>
      </c>
      <c r="B166" s="7" t="n">
        <v>-0.33</v>
      </c>
      <c r="C166" s="7" t="n">
        <v>-0.951</v>
      </c>
      <c r="D166" s="7" t="n">
        <v>-0.189</v>
      </c>
      <c r="E166" s="7" t="n">
        <v>0.173</v>
      </c>
      <c r="F166" s="7" t="n">
        <v>0.027</v>
      </c>
      <c r="G166" s="7" t="n">
        <v>-0.029</v>
      </c>
      <c r="H166" s="7" t="n">
        <v>-0.947</v>
      </c>
      <c r="I166" s="7" t="n">
        <v>-0.702</v>
      </c>
      <c r="J166" s="7" t="n">
        <v>0.618</v>
      </c>
      <c r="K166" s="7" t="n">
        <v>-0.012</v>
      </c>
      <c r="L166" s="7" t="n">
        <v>-0.267</v>
      </c>
      <c r="M166" s="7" t="n">
        <v>0.816</v>
      </c>
      <c r="N166" s="7" t="n">
        <v>-0.027</v>
      </c>
      <c r="O166" s="7" t="n">
        <v>-0.08</v>
      </c>
      <c r="P166" s="7" t="n">
        <v>-0.181</v>
      </c>
      <c r="Q166" s="7" t="n">
        <v>-0.305</v>
      </c>
      <c r="R166" s="7" t="n">
        <v>-0.918</v>
      </c>
      <c r="S166" s="7" t="n">
        <v>-0.441</v>
      </c>
      <c r="T166" s="7" t="n">
        <v>-0.969</v>
      </c>
      <c r="U166" s="7" t="n">
        <v>-0.6</v>
      </c>
      <c r="V166" s="7" t="n">
        <v>-0.88</v>
      </c>
      <c r="W166" s="7" t="n">
        <v>-0.291</v>
      </c>
      <c r="X166" s="7" t="n">
        <v>0.163</v>
      </c>
      <c r="Y166" s="7" t="n">
        <v>0.311</v>
      </c>
      <c r="Z166" s="7" t="n">
        <v>-0.441</v>
      </c>
      <c r="AA166" s="7" t="n">
        <v>-0.918</v>
      </c>
      <c r="AB166" s="7" t="n">
        <v>0.778</v>
      </c>
      <c r="AC166" s="7" t="n">
        <v>-0.275</v>
      </c>
      <c r="AD166" s="7" t="n">
        <v>-0.243</v>
      </c>
      <c r="AE166" s="7" t="n">
        <v>-0.027</v>
      </c>
      <c r="AF166" s="7" t="n">
        <v>-0.19</v>
      </c>
      <c r="AG166" s="7" t="n">
        <v>0.222</v>
      </c>
      <c r="AH166" s="7" t="n">
        <v>0.213</v>
      </c>
      <c r="AI166" s="7" t="n">
        <v>-0.257</v>
      </c>
      <c r="AJ166" s="7" t="n">
        <v>-0.813</v>
      </c>
      <c r="AK166" s="7" t="n">
        <v>-0.813</v>
      </c>
      <c r="AL166" s="7" t="n">
        <v>-0.215</v>
      </c>
      <c r="AM166" s="7" t="n">
        <v>0.052</v>
      </c>
      <c r="AN166" s="7" t="n">
        <v>-0.84</v>
      </c>
      <c r="AO166" s="7" t="n">
        <v>0.109</v>
      </c>
      <c r="AP166" s="7" t="n">
        <v>-0.012</v>
      </c>
      <c r="AQ166" s="7" t="n">
        <v>-0.305</v>
      </c>
    </row>
    <row r="167" customFormat="false" ht="15" hidden="false" customHeight="false" outlineLevel="0" collapsed="false">
      <c r="A167" s="23" t="n">
        <v>46484</v>
      </c>
      <c r="B167" s="7" t="n">
        <v>0.116</v>
      </c>
      <c r="C167" s="7" t="n">
        <v>-0.53</v>
      </c>
      <c r="D167" s="7" t="n">
        <v>-0.131</v>
      </c>
      <c r="E167" s="7" t="n">
        <v>0.597</v>
      </c>
      <c r="F167" s="7" t="n">
        <v>0.188</v>
      </c>
      <c r="G167" s="7" t="n">
        <v>0.03</v>
      </c>
      <c r="H167" s="7" t="n">
        <v>0.035</v>
      </c>
      <c r="I167" s="7" t="n">
        <v>0.403</v>
      </c>
      <c r="J167" s="7" t="n">
        <v>0.774</v>
      </c>
      <c r="K167" s="7" t="n">
        <v>0.484</v>
      </c>
      <c r="L167" s="7" t="n">
        <v>-0.223</v>
      </c>
      <c r="M167" s="7" t="n">
        <v>0.82</v>
      </c>
      <c r="N167" s="7" t="n">
        <v>0.098</v>
      </c>
      <c r="O167" s="7" t="n">
        <v>0.002</v>
      </c>
      <c r="P167" s="7" t="n">
        <v>-0.19</v>
      </c>
      <c r="Q167" s="7" t="n">
        <v>-0.346</v>
      </c>
      <c r="R167" s="7" t="n">
        <v>0.255</v>
      </c>
      <c r="S167" s="7" t="n">
        <v>-0.589</v>
      </c>
      <c r="T167" s="7" t="n">
        <v>-0.024</v>
      </c>
      <c r="U167" s="7" t="n">
        <v>-0.657</v>
      </c>
      <c r="V167" s="7" t="n">
        <v>0.035</v>
      </c>
      <c r="W167" s="7" t="n">
        <v>-0.291</v>
      </c>
      <c r="X167" s="7" t="n">
        <v>0.183</v>
      </c>
      <c r="Y167" s="7" t="n">
        <v>0.311</v>
      </c>
      <c r="Z167" s="7" t="n">
        <v>0.066</v>
      </c>
      <c r="AA167" s="7" t="n">
        <v>0.199</v>
      </c>
      <c r="AB167" s="7" t="n">
        <v>0.834</v>
      </c>
      <c r="AC167" s="7" t="n">
        <v>-0.331</v>
      </c>
      <c r="AD167" s="7" t="n">
        <v>-0.017</v>
      </c>
      <c r="AE167" s="7" t="n">
        <v>0.098</v>
      </c>
      <c r="AF167" s="7" t="n">
        <v>-0.244</v>
      </c>
      <c r="AG167" s="7" t="n">
        <v>0.222</v>
      </c>
      <c r="AH167" s="7" t="n">
        <v>0.206</v>
      </c>
      <c r="AI167" s="7" t="n">
        <v>-0.296</v>
      </c>
      <c r="AJ167" s="7" t="n">
        <v>0.107</v>
      </c>
      <c r="AK167" s="7" t="n">
        <v>0.049</v>
      </c>
      <c r="AL167" s="7" t="n">
        <v>-0.202</v>
      </c>
      <c r="AM167" s="7" t="n">
        <v>0.056</v>
      </c>
      <c r="AN167" s="7" t="n">
        <v>0.035</v>
      </c>
      <c r="AO167" s="7" t="n">
        <v>0.189</v>
      </c>
      <c r="AP167" s="7" t="n">
        <v>0.078</v>
      </c>
      <c r="AQ167" s="7" t="n">
        <v>-0.346</v>
      </c>
    </row>
    <row r="168" customFormat="false" ht="15" hidden="false" customHeight="false" outlineLevel="0" collapsed="false">
      <c r="A168" s="23" t="n">
        <v>46485</v>
      </c>
      <c r="B168" s="7" t="n">
        <v>-0.579</v>
      </c>
      <c r="C168" s="7" t="n">
        <v>-0.315</v>
      </c>
      <c r="D168" s="7" t="n">
        <v>-0.846</v>
      </c>
      <c r="E168" s="7" t="n">
        <v>0.234</v>
      </c>
      <c r="F168" s="7" t="n">
        <v>-0.003</v>
      </c>
      <c r="G168" s="7" t="n">
        <v>-0.009</v>
      </c>
      <c r="H168" s="7" t="n">
        <v>-0.426</v>
      </c>
      <c r="I168" s="7" t="n">
        <v>-0.557</v>
      </c>
      <c r="J168" s="7" t="n">
        <v>0.054</v>
      </c>
      <c r="K168" s="7" t="n">
        <v>0.054</v>
      </c>
      <c r="L168" s="7" t="n">
        <v>-0.298</v>
      </c>
      <c r="M168" s="7" t="n">
        <v>0.226</v>
      </c>
      <c r="N168" s="7" t="n">
        <v>-0.248</v>
      </c>
      <c r="O168" s="7" t="n">
        <v>-0.298</v>
      </c>
      <c r="P168" s="7" t="n">
        <v>-0.356</v>
      </c>
      <c r="Q168" s="7" t="n">
        <v>-0.347</v>
      </c>
      <c r="R168" s="7" t="n">
        <v>-0.777</v>
      </c>
      <c r="S168" s="7" t="n">
        <v>-0.778</v>
      </c>
      <c r="T168" s="7" t="n">
        <v>-0.888</v>
      </c>
      <c r="U168" s="7" t="n">
        <v>-0.642</v>
      </c>
      <c r="V168" s="7" t="n">
        <v>-0.737</v>
      </c>
      <c r="W168" s="7" t="n">
        <v>-0.291</v>
      </c>
      <c r="X168" s="7" t="n">
        <v>-0.64</v>
      </c>
      <c r="Y168" s="7" t="n">
        <v>-0.474</v>
      </c>
      <c r="Z168" s="7" t="n">
        <v>-0.386</v>
      </c>
      <c r="AA168" s="7" t="n">
        <v>-0.777</v>
      </c>
      <c r="AB168" s="7" t="n">
        <v>0.174</v>
      </c>
      <c r="AC168" s="7" t="n">
        <v>-0.347</v>
      </c>
      <c r="AD168" s="7" t="n">
        <v>-0.731</v>
      </c>
      <c r="AE168" s="7" t="n">
        <v>-0.248</v>
      </c>
      <c r="AF168" s="7" t="n">
        <v>-0.236</v>
      </c>
      <c r="AG168" s="7" t="n">
        <v>0.221</v>
      </c>
      <c r="AH168" s="7" t="n">
        <v>0.062</v>
      </c>
      <c r="AI168" s="7" t="n">
        <v>-0.347</v>
      </c>
      <c r="AJ168" s="7" t="n">
        <v>-0.675</v>
      </c>
      <c r="AK168" s="7" t="n">
        <v>-0.675</v>
      </c>
      <c r="AL168" s="7" t="n">
        <v>-0.34</v>
      </c>
      <c r="AM168" s="7" t="n">
        <v>0</v>
      </c>
      <c r="AN168" s="7" t="n">
        <v>-0.675</v>
      </c>
      <c r="AO168" s="7" t="n">
        <v>0.108</v>
      </c>
      <c r="AP168" s="7" t="n">
        <v>0.054</v>
      </c>
      <c r="AQ168" s="7" t="n">
        <v>-0.347</v>
      </c>
    </row>
    <row r="169" customFormat="false" ht="15" hidden="false" customHeight="false" outlineLevel="0" collapsed="false">
      <c r="A169" s="23" t="n">
        <v>46486</v>
      </c>
      <c r="B169" s="7" t="n">
        <v>-0.007</v>
      </c>
      <c r="C169" s="7" t="n">
        <v>-0.361</v>
      </c>
      <c r="D169" s="7" t="n">
        <v>-0.441</v>
      </c>
      <c r="E169" s="7" t="n">
        <v>0.234</v>
      </c>
      <c r="F169" s="7" t="n">
        <v>0.252</v>
      </c>
      <c r="G169" s="7" t="n">
        <v>0.015</v>
      </c>
      <c r="H169" s="7" t="n">
        <v>-0.409</v>
      </c>
      <c r="I169" s="7" t="n">
        <v>0.135</v>
      </c>
      <c r="J169" s="7" t="n">
        <v>0.051</v>
      </c>
      <c r="K169" s="7" t="n">
        <v>0.055</v>
      </c>
      <c r="L169" s="7" t="n">
        <v>-0.664</v>
      </c>
      <c r="M169" s="7" t="n">
        <v>0.223</v>
      </c>
      <c r="N169" s="7" t="n">
        <v>0.004</v>
      </c>
      <c r="O169" s="7" t="n">
        <v>-0.344</v>
      </c>
      <c r="P169" s="7" t="n">
        <v>-0.346</v>
      </c>
      <c r="Q169" s="7" t="n">
        <v>-0.694</v>
      </c>
      <c r="R169" s="7" t="n">
        <v>-0.264</v>
      </c>
      <c r="S169" s="7" t="n">
        <v>-0.385</v>
      </c>
      <c r="T169" s="7" t="n">
        <v>-0.069</v>
      </c>
      <c r="U169" s="7" t="n">
        <v>-0.686</v>
      </c>
      <c r="V169" s="7" t="n">
        <v>-0.18</v>
      </c>
      <c r="W169" s="7" t="n">
        <v>-0.659</v>
      </c>
      <c r="X169" s="7" t="n">
        <v>0.002</v>
      </c>
      <c r="Y169" s="7" t="n">
        <v>0.253</v>
      </c>
      <c r="Z169" s="7" t="n">
        <v>-0.385</v>
      </c>
      <c r="AA169" s="7" t="n">
        <v>-0.269</v>
      </c>
      <c r="AB169" s="7" t="n">
        <v>0.17</v>
      </c>
      <c r="AC169" s="7" t="n">
        <v>-0.694</v>
      </c>
      <c r="AD169" s="7" t="n">
        <v>-0.175</v>
      </c>
      <c r="AE169" s="7" t="n">
        <v>0.004</v>
      </c>
      <c r="AF169" s="7" t="n">
        <v>-0.05</v>
      </c>
      <c r="AG169" s="7" t="n">
        <v>0.221</v>
      </c>
      <c r="AH169" s="7" t="n">
        <v>0.085</v>
      </c>
      <c r="AI169" s="7" t="n">
        <v>-0.348</v>
      </c>
      <c r="AJ169" s="7" t="n">
        <v>-0.064</v>
      </c>
      <c r="AK169" s="7" t="n">
        <v>-0.069</v>
      </c>
      <c r="AL169" s="7" t="n">
        <v>-0.313</v>
      </c>
      <c r="AM169" s="7" t="n">
        <v>0</v>
      </c>
      <c r="AN169" s="7" t="n">
        <v>-0.064</v>
      </c>
      <c r="AO169" s="7" t="n">
        <v>0.106</v>
      </c>
      <c r="AP169" s="7" t="n">
        <v>0.055</v>
      </c>
      <c r="AQ169" s="7" t="n">
        <v>-0.348</v>
      </c>
    </row>
    <row r="170" customFormat="false" ht="15" hidden="false" customHeight="false" outlineLevel="0" collapsed="false">
      <c r="A170" s="23" t="n">
        <v>46487</v>
      </c>
      <c r="B170" s="7" t="n">
        <v>-0.102</v>
      </c>
      <c r="C170" s="7" t="n">
        <v>-0.241</v>
      </c>
      <c r="D170" s="7" t="n">
        <v>-0.186</v>
      </c>
      <c r="E170" s="7" t="n">
        <v>-0.074</v>
      </c>
      <c r="F170" s="7" t="n">
        <v>0.357</v>
      </c>
      <c r="G170" s="7" t="n">
        <v>-0.025</v>
      </c>
      <c r="H170" s="7" t="n">
        <v>-0.397</v>
      </c>
      <c r="I170" s="7" t="n">
        <v>-0.446</v>
      </c>
      <c r="J170" s="7" t="n">
        <v>-0.045</v>
      </c>
      <c r="K170" s="7" t="n">
        <v>0.056</v>
      </c>
      <c r="L170" s="7" t="n">
        <v>-0.655</v>
      </c>
      <c r="M170" s="7" t="n">
        <v>0.221</v>
      </c>
      <c r="N170" s="7" t="n">
        <v>0.117</v>
      </c>
      <c r="O170" s="7" t="n">
        <v>-0.27</v>
      </c>
      <c r="P170" s="7" t="n">
        <v>-0.238</v>
      </c>
      <c r="Q170" s="7" t="n">
        <v>-0.633</v>
      </c>
      <c r="R170" s="7" t="n">
        <v>-0.512</v>
      </c>
      <c r="S170" s="7" t="n">
        <v>-0.384</v>
      </c>
      <c r="T170" s="7" t="n">
        <v>-0.066</v>
      </c>
      <c r="U170" s="7" t="n">
        <v>-0.621</v>
      </c>
      <c r="V170" s="7" t="n">
        <v>-0.394</v>
      </c>
      <c r="W170" s="7" t="n">
        <v>-0.593</v>
      </c>
      <c r="X170" s="7" t="n">
        <v>0.002</v>
      </c>
      <c r="Y170" s="7" t="n">
        <v>-0.507</v>
      </c>
      <c r="Z170" s="7" t="n">
        <v>-0.384</v>
      </c>
      <c r="AA170" s="7" t="n">
        <v>-0.513</v>
      </c>
      <c r="AB170" s="7" t="n">
        <v>0.075</v>
      </c>
      <c r="AC170" s="7" t="n">
        <v>-0.633</v>
      </c>
      <c r="AD170" s="7" t="n">
        <v>-0.434</v>
      </c>
      <c r="AE170" s="7" t="n">
        <v>0.117</v>
      </c>
      <c r="AF170" s="7" t="n">
        <v>0.074</v>
      </c>
      <c r="AG170" s="7" t="n">
        <v>-0.273</v>
      </c>
      <c r="AH170" s="7" t="n">
        <v>0.067</v>
      </c>
      <c r="AI170" s="7" t="n">
        <v>-0.326</v>
      </c>
      <c r="AJ170" s="7" t="n">
        <v>-0.156</v>
      </c>
      <c r="AK170" s="7" t="n">
        <v>-0.158</v>
      </c>
      <c r="AL170" s="7" t="n">
        <v>-0.22</v>
      </c>
      <c r="AM170" s="7" t="n">
        <v>-0.093</v>
      </c>
      <c r="AN170" s="7" t="n">
        <v>-0.064</v>
      </c>
      <c r="AO170" s="7" t="n">
        <v>0.086</v>
      </c>
      <c r="AP170" s="7" t="n">
        <v>0.056</v>
      </c>
      <c r="AQ170" s="7" t="n">
        <v>-0.24</v>
      </c>
    </row>
    <row r="171" customFormat="false" ht="15" hidden="false" customHeight="false" outlineLevel="0" collapsed="false">
      <c r="A171" s="23" t="n">
        <v>46488</v>
      </c>
      <c r="B171" s="7" t="n">
        <v>-0.338</v>
      </c>
      <c r="C171" s="7" t="n">
        <v>-0.89</v>
      </c>
      <c r="D171" s="7" t="n">
        <v>-0.178</v>
      </c>
      <c r="E171" s="7" t="n">
        <v>-0.075</v>
      </c>
      <c r="F171" s="7" t="n">
        <v>0.297</v>
      </c>
      <c r="G171" s="7" t="n">
        <v>-0.016</v>
      </c>
      <c r="H171" s="7" t="n">
        <v>-0.489</v>
      </c>
      <c r="I171" s="7" t="n">
        <v>-0.915</v>
      </c>
      <c r="J171" s="7" t="n">
        <v>-0.341</v>
      </c>
      <c r="K171" s="7" t="n">
        <v>0.014</v>
      </c>
      <c r="L171" s="7" t="n">
        <v>-0.963</v>
      </c>
      <c r="M171" s="7" t="n">
        <v>0.176</v>
      </c>
      <c r="N171" s="7" t="n">
        <v>-0.793</v>
      </c>
      <c r="O171" s="7" t="n">
        <v>-0.891</v>
      </c>
      <c r="P171" s="7" t="n">
        <v>-0.253</v>
      </c>
      <c r="Q171" s="7" t="n">
        <v>-0.652</v>
      </c>
      <c r="R171" s="7" t="n">
        <v>-0.535</v>
      </c>
      <c r="S171" s="7" t="n">
        <v>-0.419</v>
      </c>
      <c r="T171" s="7" t="n">
        <v>-0.062</v>
      </c>
      <c r="U171" s="7" t="n">
        <v>-0.699</v>
      </c>
      <c r="V171" s="7" t="n">
        <v>-0.438</v>
      </c>
      <c r="W171" s="7" t="n">
        <v>-0.613</v>
      </c>
      <c r="X171" s="7" t="n">
        <v>0.01</v>
      </c>
      <c r="Y171" s="7" t="n">
        <v>-0.496</v>
      </c>
      <c r="Z171" s="7" t="n">
        <v>-0.419</v>
      </c>
      <c r="AA171" s="7" t="n">
        <v>-0.542</v>
      </c>
      <c r="AB171" s="7" t="n">
        <v>-0.788</v>
      </c>
      <c r="AC171" s="7" t="n">
        <v>-0.652</v>
      </c>
      <c r="AD171" s="7" t="n">
        <v>-0.498</v>
      </c>
      <c r="AE171" s="7" t="n">
        <v>0.047</v>
      </c>
      <c r="AF171" s="7" t="n">
        <v>0.056</v>
      </c>
      <c r="AG171" s="7" t="n">
        <v>-0.215</v>
      </c>
      <c r="AH171" s="7" t="n">
        <v>0.084</v>
      </c>
      <c r="AI171" s="7" t="n">
        <v>-0.903</v>
      </c>
      <c r="AJ171" s="7" t="n">
        <v>-0.855</v>
      </c>
      <c r="AK171" s="7" t="n">
        <v>-0.857</v>
      </c>
      <c r="AL171" s="7" t="n">
        <v>-0.216</v>
      </c>
      <c r="AM171" s="7" t="n">
        <v>-0.84</v>
      </c>
      <c r="AN171" s="7" t="n">
        <v>-0.053</v>
      </c>
      <c r="AO171" s="7" t="n">
        <v>0.06</v>
      </c>
      <c r="AP171" s="7" t="n">
        <v>0.014</v>
      </c>
      <c r="AQ171" s="7" t="n">
        <v>-0.262</v>
      </c>
    </row>
    <row r="172" customFormat="false" ht="15" hidden="false" customHeight="false" outlineLevel="0" collapsed="false">
      <c r="A172" s="23" t="n">
        <v>46489</v>
      </c>
      <c r="B172" s="7" t="n">
        <v>0.118</v>
      </c>
      <c r="C172" s="7" t="n">
        <v>-0.286</v>
      </c>
      <c r="D172" s="7" t="n">
        <v>-0.317</v>
      </c>
      <c r="E172" s="7" t="n">
        <v>0.755</v>
      </c>
      <c r="F172" s="7" t="n">
        <v>0.237</v>
      </c>
      <c r="G172" s="7" t="n">
        <v>0.137</v>
      </c>
      <c r="H172" s="7" t="n">
        <v>-0.293</v>
      </c>
      <c r="I172" s="7" t="n">
        <v>0.21</v>
      </c>
      <c r="J172" s="7" t="n">
        <v>-0.04</v>
      </c>
      <c r="K172" s="7" t="n">
        <v>0.76</v>
      </c>
      <c r="L172" s="7" t="n">
        <v>-0.229</v>
      </c>
      <c r="M172" s="7" t="n">
        <v>0.256</v>
      </c>
      <c r="N172" s="7" t="n">
        <v>-0.021</v>
      </c>
      <c r="O172" s="7" t="n">
        <v>-0.266</v>
      </c>
      <c r="P172" s="7" t="n">
        <v>-0.242</v>
      </c>
      <c r="Q172" s="7" t="n">
        <v>-0.351</v>
      </c>
      <c r="R172" s="7" t="n">
        <v>-0.128</v>
      </c>
      <c r="S172" s="7" t="n">
        <v>-0.12</v>
      </c>
      <c r="T172" s="7" t="n">
        <v>-0.059</v>
      </c>
      <c r="U172" s="7" t="n">
        <v>-0.626</v>
      </c>
      <c r="V172" s="7" t="n">
        <v>-0.067</v>
      </c>
      <c r="W172" s="7" t="n">
        <v>-0.291</v>
      </c>
      <c r="X172" s="7" t="n">
        <v>0.12</v>
      </c>
      <c r="Y172" s="7" t="n">
        <v>0.085</v>
      </c>
      <c r="Z172" s="7" t="n">
        <v>0.545</v>
      </c>
      <c r="AA172" s="7" t="n">
        <v>-0.218</v>
      </c>
      <c r="AB172" s="7" t="n">
        <v>0.128</v>
      </c>
      <c r="AC172" s="7" t="n">
        <v>-0.351</v>
      </c>
      <c r="AD172" s="7" t="n">
        <v>0.23</v>
      </c>
      <c r="AE172" s="7" t="n">
        <v>0.03</v>
      </c>
      <c r="AF172" s="7" t="n">
        <v>-0.035</v>
      </c>
      <c r="AG172" s="7" t="n">
        <v>0.22</v>
      </c>
      <c r="AH172" s="7" t="n">
        <v>-0.002</v>
      </c>
      <c r="AI172" s="7" t="n">
        <v>-0.395</v>
      </c>
      <c r="AJ172" s="7" t="n">
        <v>-0.017</v>
      </c>
      <c r="AK172" s="7" t="n">
        <v>-0.059</v>
      </c>
      <c r="AL172" s="7" t="n">
        <v>-0.231</v>
      </c>
      <c r="AM172" s="7" t="n">
        <v>-0.051</v>
      </c>
      <c r="AN172" s="7" t="n">
        <v>-0.017</v>
      </c>
      <c r="AO172" s="7" t="n">
        <v>0.143</v>
      </c>
      <c r="AP172" s="7" t="n">
        <v>0.132</v>
      </c>
      <c r="AQ172" s="7" t="n">
        <v>-0.351</v>
      </c>
    </row>
    <row r="173" customFormat="false" ht="15" hidden="false" customHeight="false" outlineLevel="0" collapsed="false">
      <c r="A173" s="23" t="n">
        <v>46490</v>
      </c>
      <c r="B173" s="7" t="n">
        <v>0.167</v>
      </c>
      <c r="C173" s="7" t="n">
        <v>-0.224</v>
      </c>
      <c r="D173" s="7" t="n">
        <v>-0.18</v>
      </c>
      <c r="E173" s="7" t="n">
        <v>0.7</v>
      </c>
      <c r="F173" s="7" t="n">
        <v>0.33</v>
      </c>
      <c r="G173" s="7" t="n">
        <v>-0.146</v>
      </c>
      <c r="H173" s="7" t="n">
        <v>-0.049</v>
      </c>
      <c r="I173" s="7" t="n">
        <v>0.172</v>
      </c>
      <c r="J173" s="7" t="n">
        <v>0.252</v>
      </c>
      <c r="K173" s="7" t="n">
        <v>0.76</v>
      </c>
      <c r="L173" s="7" t="n">
        <v>-0.312</v>
      </c>
      <c r="M173" s="7" t="n">
        <v>0.662</v>
      </c>
      <c r="N173" s="7" t="n">
        <v>0.078</v>
      </c>
      <c r="O173" s="7" t="n">
        <v>-0.32</v>
      </c>
      <c r="P173" s="7" t="n">
        <v>-0.307</v>
      </c>
      <c r="Q173" s="7" t="n">
        <v>-0.313</v>
      </c>
      <c r="R173" s="7" t="n">
        <v>0.172</v>
      </c>
      <c r="S173" s="7" t="n">
        <v>-0.228</v>
      </c>
      <c r="T173" s="7" t="n">
        <v>-0.056</v>
      </c>
      <c r="U173" s="7" t="n">
        <v>-0.715</v>
      </c>
      <c r="V173" s="7" t="n">
        <v>-0.049</v>
      </c>
      <c r="W173" s="7" t="n">
        <v>-0.291</v>
      </c>
      <c r="X173" s="7" t="n">
        <v>0.007</v>
      </c>
      <c r="Y173" s="7" t="n">
        <v>0.129</v>
      </c>
      <c r="Z173" s="7" t="n">
        <v>0.446</v>
      </c>
      <c r="AA173" s="7" t="n">
        <v>0.165</v>
      </c>
      <c r="AB173" s="7" t="n">
        <v>0.505</v>
      </c>
      <c r="AC173" s="7" t="n">
        <v>-0.313</v>
      </c>
      <c r="AD173" s="7" t="n">
        <v>0.025</v>
      </c>
      <c r="AE173" s="7" t="n">
        <v>0.078</v>
      </c>
      <c r="AF173" s="7" t="n">
        <v>-0.125</v>
      </c>
      <c r="AG173" s="7" t="n">
        <v>0.219</v>
      </c>
      <c r="AH173" s="7" t="n">
        <v>0.274</v>
      </c>
      <c r="AI173" s="7" t="n">
        <v>-0.313</v>
      </c>
      <c r="AJ173" s="7" t="n">
        <v>-0.049</v>
      </c>
      <c r="AK173" s="7" t="n">
        <v>-0.056</v>
      </c>
      <c r="AL173" s="7" t="n">
        <v>-0.075</v>
      </c>
      <c r="AM173" s="7" t="n">
        <v>0</v>
      </c>
      <c r="AN173" s="7" t="n">
        <v>-0.049</v>
      </c>
      <c r="AO173" s="7" t="n">
        <v>0.242</v>
      </c>
      <c r="AP173" s="7" t="n">
        <v>0.002</v>
      </c>
      <c r="AQ173" s="7" t="n">
        <v>-0.313</v>
      </c>
    </row>
    <row r="174" customFormat="false" ht="15" hidden="false" customHeight="false" outlineLevel="0" collapsed="false">
      <c r="A174" s="23" t="n">
        <v>46491</v>
      </c>
      <c r="B174" s="7" t="n">
        <v>-0.309</v>
      </c>
      <c r="C174" s="7" t="n">
        <v>-0.802</v>
      </c>
      <c r="D174" s="7" t="n">
        <v>-0.146</v>
      </c>
      <c r="E174" s="7" t="n">
        <v>0.221</v>
      </c>
      <c r="F174" s="7" t="n">
        <v>-0.007</v>
      </c>
      <c r="G174" s="7" t="n">
        <v>-0.165</v>
      </c>
      <c r="H174" s="7" t="n">
        <v>-0.778</v>
      </c>
      <c r="I174" s="7" t="n">
        <v>-0.386</v>
      </c>
      <c r="J174" s="7" t="n">
        <v>0.322</v>
      </c>
      <c r="K174" s="7" t="n">
        <v>0.06</v>
      </c>
      <c r="L174" s="7" t="n">
        <v>-0.315</v>
      </c>
      <c r="M174" s="7" t="n">
        <v>0.235</v>
      </c>
      <c r="N174" s="7" t="n">
        <v>-0.259</v>
      </c>
      <c r="O174" s="7" t="n">
        <v>-0.314</v>
      </c>
      <c r="P174" s="7" t="n">
        <v>-0.33</v>
      </c>
      <c r="Q174" s="7" t="n">
        <v>-0.377</v>
      </c>
      <c r="R174" s="7" t="n">
        <v>-0.746</v>
      </c>
      <c r="S174" s="7" t="n">
        <v>-0.389</v>
      </c>
      <c r="T174" s="7" t="n">
        <v>-0.889</v>
      </c>
      <c r="U174" s="7" t="n">
        <v>-0.649</v>
      </c>
      <c r="V174" s="7" t="n">
        <v>-0.66</v>
      </c>
      <c r="W174" s="7" t="n">
        <v>-0.291</v>
      </c>
      <c r="X174" s="7" t="n">
        <v>0.053</v>
      </c>
      <c r="Y174" s="7" t="n">
        <v>0.061</v>
      </c>
      <c r="Z174" s="7" t="n">
        <v>-0.389</v>
      </c>
      <c r="AA174" s="7" t="n">
        <v>-0.769</v>
      </c>
      <c r="AB174" s="7" t="n">
        <v>0.566</v>
      </c>
      <c r="AC174" s="7" t="n">
        <v>-0.377</v>
      </c>
      <c r="AD174" s="7" t="n">
        <v>-0.134</v>
      </c>
      <c r="AE174" s="7" t="n">
        <v>-0.267</v>
      </c>
      <c r="AF174" s="7" t="n">
        <v>-0.271</v>
      </c>
      <c r="AG174" s="7" t="n">
        <v>0.219</v>
      </c>
      <c r="AH174" s="7" t="n">
        <v>0.096</v>
      </c>
      <c r="AI174" s="7" t="n">
        <v>-0.368</v>
      </c>
      <c r="AJ174" s="7" t="n">
        <v>-0.598</v>
      </c>
      <c r="AK174" s="7" t="n">
        <v>-0.631</v>
      </c>
      <c r="AL174" s="7" t="n">
        <v>-0.299</v>
      </c>
      <c r="AM174" s="7" t="n">
        <v>0.009</v>
      </c>
      <c r="AN174" s="7" t="n">
        <v>-0.604</v>
      </c>
      <c r="AO174" s="7" t="n">
        <v>0.121</v>
      </c>
      <c r="AP174" s="7" t="n">
        <v>0.06</v>
      </c>
      <c r="AQ174" s="7" t="n">
        <v>-0.377</v>
      </c>
    </row>
    <row r="175" customFormat="false" ht="15" hidden="false" customHeight="false" outlineLevel="0" collapsed="false">
      <c r="A175" s="23" t="n">
        <v>46492</v>
      </c>
      <c r="B175" s="7" t="n">
        <v>-0.037</v>
      </c>
      <c r="C175" s="7" t="n">
        <v>-0.328</v>
      </c>
      <c r="D175" s="7" t="n">
        <v>-0.1</v>
      </c>
      <c r="E175" s="7" t="n">
        <v>0.537</v>
      </c>
      <c r="F175" s="7" t="n">
        <v>-0.013</v>
      </c>
      <c r="G175" s="7" t="n">
        <v>0.046</v>
      </c>
      <c r="H175" s="7" t="n">
        <v>0.049</v>
      </c>
      <c r="I175" s="7" t="n">
        <v>0.382</v>
      </c>
      <c r="J175" s="7" t="n">
        <v>0.514</v>
      </c>
      <c r="K175" s="7" t="n">
        <v>0.259</v>
      </c>
      <c r="L175" s="7" t="n">
        <v>-0.211</v>
      </c>
      <c r="M175" s="7" t="n">
        <v>0.133</v>
      </c>
      <c r="N175" s="7" t="n">
        <v>-0.083</v>
      </c>
      <c r="O175" s="7" t="n">
        <v>-0.079</v>
      </c>
      <c r="P175" s="7" t="n">
        <v>-0.223</v>
      </c>
      <c r="Q175" s="7" t="n">
        <v>-0.288</v>
      </c>
      <c r="R175" s="7" t="n">
        <v>0.265</v>
      </c>
      <c r="S175" s="7" t="n">
        <v>-0.559</v>
      </c>
      <c r="T175" s="7" t="n">
        <v>0.049</v>
      </c>
      <c r="U175" s="7" t="n">
        <v>-0.791</v>
      </c>
      <c r="V175" s="7" t="n">
        <v>0.06</v>
      </c>
      <c r="W175" s="7" t="n">
        <v>-0.291</v>
      </c>
      <c r="X175" s="7" t="n">
        <v>0.07</v>
      </c>
      <c r="Y175" s="7" t="n">
        <v>0.241</v>
      </c>
      <c r="Z175" s="7" t="n">
        <v>-0.175</v>
      </c>
      <c r="AA175" s="7" t="n">
        <v>0.199</v>
      </c>
      <c r="AB175" s="7" t="n">
        <v>0.564</v>
      </c>
      <c r="AC175" s="7" t="n">
        <v>-0.35</v>
      </c>
      <c r="AD175" s="7" t="n">
        <v>-0.218</v>
      </c>
      <c r="AE175" s="7" t="n">
        <v>-0.092</v>
      </c>
      <c r="AF175" s="7" t="n">
        <v>-0.419</v>
      </c>
      <c r="AG175" s="7" t="n">
        <v>0.219</v>
      </c>
      <c r="AH175" s="7" t="n">
        <v>0.095</v>
      </c>
      <c r="AI175" s="7" t="n">
        <v>-0.35</v>
      </c>
      <c r="AJ175" s="7" t="n">
        <v>0.05</v>
      </c>
      <c r="AK175" s="7" t="n">
        <v>-0.02</v>
      </c>
      <c r="AL175" s="7" t="n">
        <v>-0.265</v>
      </c>
      <c r="AM175" s="7" t="n">
        <v>0</v>
      </c>
      <c r="AN175" s="7" t="n">
        <v>0.049</v>
      </c>
      <c r="AO175" s="7" t="n">
        <v>0.218</v>
      </c>
      <c r="AP175" s="7" t="n">
        <v>0.149</v>
      </c>
      <c r="AQ175" s="7" t="n">
        <v>-0.35</v>
      </c>
    </row>
    <row r="176" customFormat="false" ht="15" hidden="false" customHeight="false" outlineLevel="0" collapsed="false">
      <c r="A176" s="23" t="n">
        <v>46493</v>
      </c>
      <c r="B176" s="7" t="n">
        <v>0.07</v>
      </c>
      <c r="C176" s="7" t="n">
        <v>-0.048</v>
      </c>
      <c r="D176" s="7" t="n">
        <v>-0.359</v>
      </c>
      <c r="E176" s="7" t="n">
        <v>0.231</v>
      </c>
      <c r="F176" s="7" t="n">
        <v>0.195</v>
      </c>
      <c r="G176" s="7" t="n">
        <v>-0.023</v>
      </c>
      <c r="H176" s="7" t="n">
        <v>0.112</v>
      </c>
      <c r="I176" s="7" t="n">
        <v>0.259</v>
      </c>
      <c r="J176" s="7" t="n">
        <v>-0.007</v>
      </c>
      <c r="K176" s="7" t="n">
        <v>0.056</v>
      </c>
      <c r="L176" s="7" t="n">
        <v>-0.141</v>
      </c>
      <c r="M176" s="7" t="n">
        <v>0.163</v>
      </c>
      <c r="N176" s="7" t="n">
        <v>-0.159</v>
      </c>
      <c r="O176" s="7" t="n">
        <v>-0.213</v>
      </c>
      <c r="P176" s="7" t="n">
        <v>-0.278</v>
      </c>
      <c r="Q176" s="7" t="n">
        <v>-0.13</v>
      </c>
      <c r="R176" s="7" t="n">
        <v>0.101</v>
      </c>
      <c r="S176" s="7" t="n">
        <v>-0.089</v>
      </c>
      <c r="T176" s="7" t="n">
        <v>0.059</v>
      </c>
      <c r="U176" s="7" t="n">
        <v>0.146</v>
      </c>
      <c r="V176" s="7" t="n">
        <v>0.001</v>
      </c>
      <c r="W176" s="7" t="n">
        <v>-0.291</v>
      </c>
      <c r="X176" s="7" t="n">
        <v>-0.26</v>
      </c>
      <c r="Y176" s="7" t="n">
        <v>0.417</v>
      </c>
      <c r="Z176" s="7" t="n">
        <v>-0.382</v>
      </c>
      <c r="AA176" s="7" t="n">
        <v>0.101</v>
      </c>
      <c r="AB176" s="7" t="n">
        <v>0.113</v>
      </c>
      <c r="AC176" s="7" t="n">
        <v>-0.201</v>
      </c>
      <c r="AD176" s="7" t="n">
        <v>-0.283</v>
      </c>
      <c r="AE176" s="7" t="n">
        <v>-0.159</v>
      </c>
      <c r="AF176" s="7" t="n">
        <v>-0.083</v>
      </c>
      <c r="AG176" s="7" t="n">
        <v>0.218</v>
      </c>
      <c r="AH176" s="7" t="n">
        <v>0.227</v>
      </c>
      <c r="AI176" s="7" t="n">
        <v>-0.196</v>
      </c>
      <c r="AJ176" s="7" t="n">
        <v>0.006</v>
      </c>
      <c r="AK176" s="7" t="n">
        <v>0.006</v>
      </c>
      <c r="AL176" s="7" t="n">
        <v>0.04</v>
      </c>
      <c r="AM176" s="7" t="n">
        <v>0.005</v>
      </c>
      <c r="AN176" s="7" t="n">
        <v>0.001</v>
      </c>
      <c r="AO176" s="7" t="n">
        <v>0.189</v>
      </c>
      <c r="AP176" s="7" t="n">
        <v>0.056</v>
      </c>
      <c r="AQ176" s="7" t="n">
        <v>-0.201</v>
      </c>
    </row>
    <row r="177" customFormat="false" ht="15" hidden="false" customHeight="false" outlineLevel="0" collapsed="false">
      <c r="A177" s="23" t="n">
        <v>46494</v>
      </c>
      <c r="B177" s="7" t="n">
        <v>0.708</v>
      </c>
      <c r="C177" s="7" t="n">
        <v>0.953</v>
      </c>
      <c r="D177" s="7" t="n">
        <v>-0.185</v>
      </c>
      <c r="E177" s="7" t="n">
        <v>0.23</v>
      </c>
      <c r="F177" s="7" t="n">
        <v>0.939</v>
      </c>
      <c r="G177" s="7" t="n">
        <v>-0.023</v>
      </c>
      <c r="H177" s="7" t="n">
        <v>0.221</v>
      </c>
      <c r="I177" s="7" t="n">
        <v>0.419</v>
      </c>
      <c r="J177" s="7" t="n">
        <v>-0.022</v>
      </c>
      <c r="K177" s="7" t="n">
        <v>0.056</v>
      </c>
      <c r="L177" s="7" t="n">
        <v>0.931</v>
      </c>
      <c r="M177" s="7" t="n">
        <v>0.152</v>
      </c>
      <c r="N177" s="7" t="n">
        <v>0.88</v>
      </c>
      <c r="O177" s="7" t="n">
        <v>0.797</v>
      </c>
      <c r="P177" s="7" t="n">
        <v>0.699</v>
      </c>
      <c r="Q177" s="7" t="n">
        <v>0.934</v>
      </c>
      <c r="R177" s="7" t="n">
        <v>0.419</v>
      </c>
      <c r="S177" s="7" t="n">
        <v>-0.382</v>
      </c>
      <c r="T177" s="7" t="n">
        <v>0.154</v>
      </c>
      <c r="U177" s="7" t="n">
        <v>0.734</v>
      </c>
      <c r="V177" s="7" t="n">
        <v>0.221</v>
      </c>
      <c r="W177" s="7" t="n">
        <v>0.483</v>
      </c>
      <c r="X177" s="7" t="n">
        <v>0</v>
      </c>
      <c r="Y177" s="7" t="n">
        <v>0.369</v>
      </c>
      <c r="Z177" s="7" t="n">
        <v>-0.382</v>
      </c>
      <c r="AA177" s="7" t="n">
        <v>0.419</v>
      </c>
      <c r="AB177" s="7" t="n">
        <v>0.098</v>
      </c>
      <c r="AC177" s="7" t="n">
        <v>0.924</v>
      </c>
      <c r="AD177" s="7" t="n">
        <v>-0.179</v>
      </c>
      <c r="AE177" s="7" t="n">
        <v>0.88</v>
      </c>
      <c r="AF177" s="7" t="n">
        <v>0.95</v>
      </c>
      <c r="AG177" s="7" t="n">
        <v>0.218</v>
      </c>
      <c r="AH177" s="7" t="n">
        <v>0.134</v>
      </c>
      <c r="AI177" s="7" t="n">
        <v>0.657</v>
      </c>
      <c r="AJ177" s="7" t="n">
        <v>0.221</v>
      </c>
      <c r="AK177" s="7" t="n">
        <v>0.221</v>
      </c>
      <c r="AL177" s="7" t="n">
        <v>0.737</v>
      </c>
      <c r="AM177" s="7" t="n">
        <v>0</v>
      </c>
      <c r="AN177" s="7" t="n">
        <v>0.221</v>
      </c>
      <c r="AO177" s="7" t="n">
        <v>0.108</v>
      </c>
      <c r="AP177" s="7" t="n">
        <v>0.056</v>
      </c>
      <c r="AQ177" s="7" t="n">
        <v>0.657</v>
      </c>
    </row>
    <row r="178" customFormat="false" ht="15" hidden="false" customHeight="false" outlineLevel="0" collapsed="false">
      <c r="A178" s="23" t="n">
        <v>46495</v>
      </c>
      <c r="B178" s="7" t="n">
        <v>-0.096</v>
      </c>
      <c r="C178" s="7" t="n">
        <v>-0.115</v>
      </c>
      <c r="D178" s="7" t="n">
        <v>-0.234</v>
      </c>
      <c r="E178" s="7" t="n">
        <v>0.396</v>
      </c>
      <c r="F178" s="7" t="n">
        <v>-0.074</v>
      </c>
      <c r="G178" s="7" t="n">
        <v>-0.074</v>
      </c>
      <c r="H178" s="7" t="n">
        <v>-0.005</v>
      </c>
      <c r="I178" s="7" t="n">
        <v>0.131</v>
      </c>
      <c r="J178" s="7" t="n">
        <v>-0.115</v>
      </c>
      <c r="K178" s="7" t="n">
        <v>0.332</v>
      </c>
      <c r="L178" s="7" t="n">
        <v>-0.451</v>
      </c>
      <c r="M178" s="7" t="n">
        <v>-0.045</v>
      </c>
      <c r="N178" s="7" t="n">
        <v>-0.311</v>
      </c>
      <c r="O178" s="7" t="n">
        <v>0.404</v>
      </c>
      <c r="P178" s="7" t="n">
        <v>-0.226</v>
      </c>
      <c r="Q178" s="7" t="n">
        <v>-0.188</v>
      </c>
      <c r="R178" s="7" t="n">
        <v>0.212</v>
      </c>
      <c r="S178" s="7" t="n">
        <v>-0.409</v>
      </c>
      <c r="T178" s="7" t="n">
        <v>0.112</v>
      </c>
      <c r="U178" s="7" t="n">
        <v>0.012</v>
      </c>
      <c r="V178" s="7" t="n">
        <v>-0.005</v>
      </c>
      <c r="W178" s="7" t="n">
        <v>-0.291</v>
      </c>
      <c r="X178" s="7" t="n">
        <v>-0.039</v>
      </c>
      <c r="Y178" s="7" t="n">
        <v>0.781</v>
      </c>
      <c r="Z178" s="7" t="n">
        <v>-0.245</v>
      </c>
      <c r="AA178" s="7" t="n">
        <v>0.25</v>
      </c>
      <c r="AB178" s="7" t="n">
        <v>0.004</v>
      </c>
      <c r="AC178" s="7" t="n">
        <v>-0.263</v>
      </c>
      <c r="AD178" s="7" t="n">
        <v>-0.36</v>
      </c>
      <c r="AE178" s="7" t="n">
        <v>-0.311</v>
      </c>
      <c r="AF178" s="7" t="n">
        <v>0.145</v>
      </c>
      <c r="AG178" s="7" t="n">
        <v>0.74</v>
      </c>
      <c r="AH178" s="7" t="n">
        <v>0.65</v>
      </c>
      <c r="AI178" s="7" t="n">
        <v>-0.339</v>
      </c>
      <c r="AJ178" s="7" t="n">
        <v>-0.089</v>
      </c>
      <c r="AK178" s="7" t="n">
        <v>-0.05</v>
      </c>
      <c r="AL178" s="7" t="n">
        <v>0.461</v>
      </c>
      <c r="AM178" s="7" t="n">
        <v>-0.084</v>
      </c>
      <c r="AN178" s="7" t="n">
        <v>-0.005</v>
      </c>
      <c r="AO178" s="7" t="n">
        <v>0.511</v>
      </c>
      <c r="AP178" s="7" t="n">
        <v>-0.132</v>
      </c>
      <c r="AQ178" s="7" t="n">
        <v>-0.263</v>
      </c>
    </row>
    <row r="179" customFormat="false" ht="15" hidden="false" customHeight="false" outlineLevel="0" collapsed="false">
      <c r="A179" s="23" t="n">
        <v>46496</v>
      </c>
      <c r="B179" s="7" t="n">
        <v>-0.649</v>
      </c>
      <c r="C179" s="7" t="n">
        <v>-0.833</v>
      </c>
      <c r="D179" s="7" t="n">
        <v>-0.243</v>
      </c>
      <c r="E179" s="7" t="n">
        <v>-0.089</v>
      </c>
      <c r="F179" s="7" t="n">
        <v>-0.349</v>
      </c>
      <c r="G179" s="7" t="n">
        <v>-0.083</v>
      </c>
      <c r="H179" s="7" t="n">
        <v>-0.028</v>
      </c>
      <c r="I179" s="7" t="n">
        <v>-0.903</v>
      </c>
      <c r="J179" s="7" t="n">
        <v>-0.734</v>
      </c>
      <c r="K179" s="7" t="n">
        <v>-0.01</v>
      </c>
      <c r="L179" s="7" t="n">
        <v>-0.909</v>
      </c>
      <c r="M179" s="7" t="n">
        <v>-0.068</v>
      </c>
      <c r="N179" s="7" t="n">
        <v>-0.874</v>
      </c>
      <c r="O179" s="7" t="n">
        <v>-0.849</v>
      </c>
      <c r="P179" s="7" t="n">
        <v>-0.093</v>
      </c>
      <c r="Q179" s="7" t="n">
        <v>-0.045</v>
      </c>
      <c r="R179" s="7" t="n">
        <v>-0.012</v>
      </c>
      <c r="S179" s="7" t="n">
        <v>-0.5</v>
      </c>
      <c r="T179" s="7" t="n">
        <v>0.095</v>
      </c>
      <c r="U179" s="7" t="n">
        <v>-0.691</v>
      </c>
      <c r="V179" s="7" t="n">
        <v>-0.413</v>
      </c>
      <c r="W179" s="7" t="n">
        <v>-0.158</v>
      </c>
      <c r="X179" s="7" t="n">
        <v>-0.048</v>
      </c>
      <c r="Y179" s="7" t="n">
        <v>0.09</v>
      </c>
      <c r="Z179" s="7" t="n">
        <v>-0.436</v>
      </c>
      <c r="AA179" s="7" t="n">
        <v>0.037</v>
      </c>
      <c r="AB179" s="7" t="n">
        <v>-0.929</v>
      </c>
      <c r="AC179" s="7" t="n">
        <v>-0.12</v>
      </c>
      <c r="AD179" s="7" t="n">
        <v>-0.713</v>
      </c>
      <c r="AE179" s="7" t="n">
        <v>-0.22</v>
      </c>
      <c r="AF179" s="7" t="n">
        <v>0.24</v>
      </c>
      <c r="AG179" s="7" t="n">
        <v>0.017</v>
      </c>
      <c r="AH179" s="7" t="n">
        <v>0.066</v>
      </c>
      <c r="AI179" s="7" t="n">
        <v>-0.872</v>
      </c>
      <c r="AJ179" s="7" t="n">
        <v>-0.848</v>
      </c>
      <c r="AK179" s="7" t="n">
        <v>-0.834</v>
      </c>
      <c r="AL179" s="7" t="n">
        <v>-0.095</v>
      </c>
      <c r="AM179" s="7" t="n">
        <v>-0.84</v>
      </c>
      <c r="AN179" s="7" t="n">
        <v>-0.028</v>
      </c>
      <c r="AO179" s="7" t="n">
        <v>-0.186</v>
      </c>
      <c r="AP179" s="7" t="n">
        <v>-0.179</v>
      </c>
      <c r="AQ179" s="7" t="n">
        <v>-0.12</v>
      </c>
    </row>
    <row r="180" customFormat="false" ht="15" hidden="false" customHeight="false" outlineLevel="0" collapsed="false">
      <c r="A180" s="23" t="n">
        <v>46497</v>
      </c>
      <c r="B180" s="7" t="n">
        <v>-0.914</v>
      </c>
      <c r="C180" s="7" t="n">
        <v>-0.21</v>
      </c>
      <c r="D180" s="7" t="n">
        <v>-0.908</v>
      </c>
      <c r="E180" s="7" t="n">
        <v>0.165</v>
      </c>
      <c r="F180" s="7" t="n">
        <v>-0.423</v>
      </c>
      <c r="G180" s="7" t="n">
        <v>-0.931</v>
      </c>
      <c r="H180" s="7" t="n">
        <v>-0.926</v>
      </c>
      <c r="I180" s="7" t="n">
        <v>-0.855</v>
      </c>
      <c r="J180" s="7" t="n">
        <v>-0.148</v>
      </c>
      <c r="K180" s="7" t="n">
        <v>-0.158</v>
      </c>
      <c r="L180" s="7" t="n">
        <v>-0.416</v>
      </c>
      <c r="M180" s="7" t="n">
        <v>-0.136</v>
      </c>
      <c r="N180" s="7" t="n">
        <v>-0.369</v>
      </c>
      <c r="O180" s="7" t="n">
        <v>-0.868</v>
      </c>
      <c r="P180" s="7" t="n">
        <v>-0.874</v>
      </c>
      <c r="Q180" s="7" t="n">
        <v>-0.073</v>
      </c>
      <c r="R180" s="7" t="n">
        <v>-0.846</v>
      </c>
      <c r="S180" s="7" t="n">
        <v>-0.518</v>
      </c>
      <c r="T180" s="7" t="n">
        <v>0.082</v>
      </c>
      <c r="U180" s="7" t="n">
        <v>-0.735</v>
      </c>
      <c r="V180" s="7" t="n">
        <v>-0.918</v>
      </c>
      <c r="W180" s="7" t="n">
        <v>-0.158</v>
      </c>
      <c r="X180" s="7" t="n">
        <v>-0.856</v>
      </c>
      <c r="Y180" s="7" t="n">
        <v>0.256</v>
      </c>
      <c r="Z180" s="7" t="n">
        <v>-0.583</v>
      </c>
      <c r="AA180" s="7" t="n">
        <v>-0.061</v>
      </c>
      <c r="AB180" s="7" t="n">
        <v>-0.031</v>
      </c>
      <c r="AC180" s="7" t="n">
        <v>-0.144</v>
      </c>
      <c r="AD180" s="7" t="n">
        <v>-0.951</v>
      </c>
      <c r="AE180" s="7" t="n">
        <v>-0.369</v>
      </c>
      <c r="AF180" s="7" t="n">
        <v>0.198</v>
      </c>
      <c r="AG180" s="7" t="n">
        <v>0.217</v>
      </c>
      <c r="AH180" s="7" t="n">
        <v>-0.012</v>
      </c>
      <c r="AI180" s="7" t="n">
        <v>-0.237</v>
      </c>
      <c r="AJ180" s="7" t="n">
        <v>-0.853</v>
      </c>
      <c r="AK180" s="7" t="n">
        <v>-0.086</v>
      </c>
      <c r="AL180" s="7" t="n">
        <v>-0.858</v>
      </c>
      <c r="AM180" s="7" t="n">
        <v>-0.096</v>
      </c>
      <c r="AN180" s="7" t="n">
        <v>-0.825</v>
      </c>
      <c r="AO180" s="7" t="n">
        <v>-0.249</v>
      </c>
      <c r="AP180" s="7" t="n">
        <v>-0.198</v>
      </c>
      <c r="AQ180" s="7" t="n">
        <v>-0.144</v>
      </c>
    </row>
    <row r="181" customFormat="false" ht="15" hidden="false" customHeight="false" outlineLevel="0" collapsed="false">
      <c r="A181" s="23" t="n">
        <v>46498</v>
      </c>
      <c r="B181" s="7" t="n">
        <v>-0.408</v>
      </c>
      <c r="C181" s="7" t="n">
        <v>-0.021</v>
      </c>
      <c r="D181" s="7" t="n">
        <v>-0.272</v>
      </c>
      <c r="E181" s="7" t="n">
        <v>0.154</v>
      </c>
      <c r="F181" s="7" t="n">
        <v>-0.219</v>
      </c>
      <c r="G181" s="7" t="n">
        <v>-0.034</v>
      </c>
      <c r="H181" s="7" t="n">
        <v>-0.737</v>
      </c>
      <c r="I181" s="7" t="n">
        <v>0.245</v>
      </c>
      <c r="J181" s="7" t="n">
        <v>0.028</v>
      </c>
      <c r="K181" s="7" t="n">
        <v>-0.006</v>
      </c>
      <c r="L181" s="7" t="n">
        <v>0.232</v>
      </c>
      <c r="M181" s="7" t="n">
        <v>0.066</v>
      </c>
      <c r="N181" s="7" t="n">
        <v>-0.368</v>
      </c>
      <c r="O181" s="7" t="n">
        <v>-0.447</v>
      </c>
      <c r="P181" s="7" t="n">
        <v>-0.487</v>
      </c>
      <c r="Q181" s="7" t="n">
        <v>0.299</v>
      </c>
      <c r="R181" s="7" t="n">
        <v>-0.574</v>
      </c>
      <c r="S181" s="7" t="n">
        <v>-0.454</v>
      </c>
      <c r="T181" s="7" t="n">
        <v>0.16</v>
      </c>
      <c r="U181" s="7" t="n">
        <v>-0.885</v>
      </c>
      <c r="V181" s="7" t="n">
        <v>-0.566</v>
      </c>
      <c r="W181" s="7" t="n">
        <v>0.072</v>
      </c>
      <c r="X181" s="7" t="n">
        <v>0.001</v>
      </c>
      <c r="Y181" s="7" t="n">
        <v>-0.263</v>
      </c>
      <c r="Z181" s="7" t="n">
        <v>-0.454</v>
      </c>
      <c r="AA181" s="7" t="n">
        <v>-0.528</v>
      </c>
      <c r="AB181" s="7" t="n">
        <v>0.146</v>
      </c>
      <c r="AC181" s="7" t="n">
        <v>0.167</v>
      </c>
      <c r="AD181" s="7" t="n">
        <v>-0.75</v>
      </c>
      <c r="AE181" s="7" t="n">
        <v>-0.309</v>
      </c>
      <c r="AF181" s="7" t="n">
        <v>0.138</v>
      </c>
      <c r="AG181" s="7" t="n">
        <v>0.217</v>
      </c>
      <c r="AH181" s="7" t="n">
        <v>0.049</v>
      </c>
      <c r="AI181" s="7" t="n">
        <v>-0.536</v>
      </c>
      <c r="AJ181" s="7" t="n">
        <v>0.03</v>
      </c>
      <c r="AK181" s="7" t="n">
        <v>0.095</v>
      </c>
      <c r="AL181" s="7" t="n">
        <v>-0.567</v>
      </c>
      <c r="AM181" s="7" t="n">
        <v>0.074</v>
      </c>
      <c r="AN181" s="7" t="n">
        <v>-0.657</v>
      </c>
      <c r="AO181" s="7" t="n">
        <v>-0.053</v>
      </c>
      <c r="AP181" s="7" t="n">
        <v>-0.006</v>
      </c>
      <c r="AQ181" s="7" t="n">
        <v>-0.587</v>
      </c>
    </row>
    <row r="182" customFormat="false" ht="15" hidden="false" customHeight="false" outlineLevel="0" collapsed="false">
      <c r="A182" s="23" t="n">
        <v>46499</v>
      </c>
      <c r="B182" s="7" t="n">
        <v>-0.65</v>
      </c>
      <c r="C182" s="7" t="n">
        <v>-0.659</v>
      </c>
      <c r="D182" s="7" t="n">
        <v>-0.271</v>
      </c>
      <c r="E182" s="7" t="n">
        <v>0.126</v>
      </c>
      <c r="F182" s="7" t="n">
        <v>-0.825</v>
      </c>
      <c r="G182" s="7" t="n">
        <v>-0.029</v>
      </c>
      <c r="H182" s="7" t="n">
        <v>-0.053</v>
      </c>
      <c r="I182" s="7" t="n">
        <v>0.221</v>
      </c>
      <c r="J182" s="7" t="n">
        <v>0.288</v>
      </c>
      <c r="K182" s="7" t="n">
        <v>-0.033</v>
      </c>
      <c r="L182" s="7" t="n">
        <v>-0.303</v>
      </c>
      <c r="M182" s="7" t="n">
        <v>-0.594</v>
      </c>
      <c r="N182" s="7" t="n">
        <v>-0.733</v>
      </c>
      <c r="O182" s="7" t="n">
        <v>-0.661</v>
      </c>
      <c r="P182" s="7" t="n">
        <v>-0.477</v>
      </c>
      <c r="Q182" s="7" t="n">
        <v>-0.075</v>
      </c>
      <c r="R182" s="7" t="n">
        <v>0.165</v>
      </c>
      <c r="S182" s="7" t="n">
        <v>-0.476</v>
      </c>
      <c r="T182" s="7" t="n">
        <v>0.267</v>
      </c>
      <c r="U182" s="7" t="n">
        <v>-0.835</v>
      </c>
      <c r="V182" s="7" t="n">
        <v>-0.053</v>
      </c>
      <c r="W182" s="7" t="n">
        <v>-0.376</v>
      </c>
      <c r="X182" s="7" t="n">
        <v>0.006</v>
      </c>
      <c r="Y182" s="7" t="n">
        <v>0.239</v>
      </c>
      <c r="Z182" s="7" t="n">
        <v>-0.476</v>
      </c>
      <c r="AA182" s="7" t="n">
        <v>0.227</v>
      </c>
      <c r="AB182" s="7" t="n">
        <v>-0.048</v>
      </c>
      <c r="AC182" s="7" t="n">
        <v>-0.326</v>
      </c>
      <c r="AD182" s="7" t="n">
        <v>-0.348</v>
      </c>
      <c r="AE182" s="7" t="n">
        <v>-0.699</v>
      </c>
      <c r="AF182" s="7" t="n">
        <v>-0.517</v>
      </c>
      <c r="AG182" s="7" t="n">
        <v>0.216</v>
      </c>
      <c r="AH182" s="7" t="n">
        <v>-0.053</v>
      </c>
      <c r="AI182" s="7" t="n">
        <v>-0.622</v>
      </c>
      <c r="AJ182" s="7" t="n">
        <v>0.005</v>
      </c>
      <c r="AK182" s="7" t="n">
        <v>0.069</v>
      </c>
      <c r="AL182" s="7" t="n">
        <v>-0.699</v>
      </c>
      <c r="AM182" s="7" t="n">
        <v>0.058</v>
      </c>
      <c r="AN182" s="7" t="n">
        <v>-0.053</v>
      </c>
      <c r="AO182" s="7" t="n">
        <v>-0.109</v>
      </c>
      <c r="AP182" s="7" t="n">
        <v>-0.033</v>
      </c>
      <c r="AQ182" s="7" t="n">
        <v>-0.657</v>
      </c>
    </row>
    <row r="183" customFormat="false" ht="15" hidden="false" customHeight="false" outlineLevel="0" collapsed="false">
      <c r="A183" s="23" t="n">
        <v>46500</v>
      </c>
      <c r="B183" s="7" t="n">
        <v>-0.726</v>
      </c>
      <c r="C183" s="7" t="n">
        <v>-0.161</v>
      </c>
      <c r="D183" s="7" t="n">
        <v>-0.563</v>
      </c>
      <c r="E183" s="7" t="n">
        <v>-0.122</v>
      </c>
      <c r="F183" s="7" t="n">
        <v>-0.587</v>
      </c>
      <c r="G183" s="7" t="n">
        <v>-0.519</v>
      </c>
      <c r="H183" s="7" t="n">
        <v>-0.257</v>
      </c>
      <c r="I183" s="7" t="n">
        <v>-0.266</v>
      </c>
      <c r="J183" s="7" t="n">
        <v>0.003</v>
      </c>
      <c r="K183" s="7" t="n">
        <v>0.024</v>
      </c>
      <c r="L183" s="7" t="n">
        <v>-0.386</v>
      </c>
      <c r="M183" s="7" t="n">
        <v>-0.039</v>
      </c>
      <c r="N183" s="7" t="n">
        <v>-0.403</v>
      </c>
      <c r="O183" s="7" t="n">
        <v>-0.423</v>
      </c>
      <c r="P183" s="7" t="n">
        <v>-0.599</v>
      </c>
      <c r="Q183" s="7" t="n">
        <v>-0.251</v>
      </c>
      <c r="R183" s="7" t="n">
        <v>-0.311</v>
      </c>
      <c r="S183" s="7" t="n">
        <v>-0.443</v>
      </c>
      <c r="T183" s="7" t="n">
        <v>0.271</v>
      </c>
      <c r="U183" s="7" t="n">
        <v>-0.701</v>
      </c>
      <c r="V183" s="7" t="n">
        <v>-0.144</v>
      </c>
      <c r="W183" s="7" t="n">
        <v>-0.422</v>
      </c>
      <c r="X183" s="7" t="n">
        <v>-0.41</v>
      </c>
      <c r="Y183" s="7" t="n">
        <v>-0.229</v>
      </c>
      <c r="Z183" s="7" t="n">
        <v>-0.432</v>
      </c>
      <c r="AA183" s="7" t="n">
        <v>-0.23</v>
      </c>
      <c r="AB183" s="7" t="n">
        <v>0.12</v>
      </c>
      <c r="AC183" s="7" t="n">
        <v>-0.416</v>
      </c>
      <c r="AD183" s="7" t="n">
        <v>-0.561</v>
      </c>
      <c r="AE183" s="7" t="n">
        <v>-0.403</v>
      </c>
      <c r="AF183" s="7" t="n">
        <v>-0.314</v>
      </c>
      <c r="AG183" s="7" t="n">
        <v>-0.113</v>
      </c>
      <c r="AH183" s="7" t="n">
        <v>0.027</v>
      </c>
      <c r="AI183" s="7" t="n">
        <v>-0.407</v>
      </c>
      <c r="AJ183" s="7" t="n">
        <v>0.073</v>
      </c>
      <c r="AK183" s="7" t="n">
        <v>0.159</v>
      </c>
      <c r="AL183" s="7" t="n">
        <v>-0.458</v>
      </c>
      <c r="AM183" s="7" t="n">
        <v>0.011</v>
      </c>
      <c r="AN183" s="7" t="n">
        <v>0.062</v>
      </c>
      <c r="AO183" s="7" t="n">
        <v>0.016</v>
      </c>
      <c r="AP183" s="7" t="n">
        <v>0.024</v>
      </c>
      <c r="AQ183" s="7" t="n">
        <v>-0.416</v>
      </c>
    </row>
    <row r="184" customFormat="false" ht="15" hidden="false" customHeight="false" outlineLevel="0" collapsed="false">
      <c r="A184" s="23" t="n">
        <v>46501</v>
      </c>
      <c r="B184" s="7" t="n">
        <v>-0.882</v>
      </c>
      <c r="C184" s="7" t="n">
        <v>-0.683</v>
      </c>
      <c r="D184" s="7" t="n">
        <v>-0.51</v>
      </c>
      <c r="E184" s="7" t="n">
        <v>-0.509</v>
      </c>
      <c r="F184" s="7" t="n">
        <v>-0.697</v>
      </c>
      <c r="G184" s="7" t="n">
        <v>-0.282</v>
      </c>
      <c r="H184" s="7" t="n">
        <v>-0.285</v>
      </c>
      <c r="I184" s="7" t="n">
        <v>-0.349</v>
      </c>
      <c r="J184" s="7" t="n">
        <v>0.055</v>
      </c>
      <c r="K184" s="7" t="n">
        <v>-0.248</v>
      </c>
      <c r="L184" s="7" t="n">
        <v>-0.727</v>
      </c>
      <c r="M184" s="7" t="n">
        <v>-0.134</v>
      </c>
      <c r="N184" s="7" t="n">
        <v>-0.556</v>
      </c>
      <c r="O184" s="7" t="n">
        <v>-0.73</v>
      </c>
      <c r="P184" s="7" t="n">
        <v>-0.549</v>
      </c>
      <c r="Q184" s="7" t="n">
        <v>-0.232</v>
      </c>
      <c r="R184" s="7" t="n">
        <v>-0.387</v>
      </c>
      <c r="S184" s="7" t="n">
        <v>-0.823</v>
      </c>
      <c r="T184" s="7" t="n">
        <v>-0.254</v>
      </c>
      <c r="U184" s="7" t="n">
        <v>-0.664</v>
      </c>
      <c r="V184" s="7" t="n">
        <v>-0.131</v>
      </c>
      <c r="W184" s="7" t="n">
        <v>-0.422</v>
      </c>
      <c r="X184" s="7" t="n">
        <v>-0.363</v>
      </c>
      <c r="Y184" s="7" t="n">
        <v>-0.091</v>
      </c>
      <c r="Z184" s="7" t="n">
        <v>-0.62</v>
      </c>
      <c r="AA184" s="7" t="n">
        <v>-0.507</v>
      </c>
      <c r="AB184" s="7" t="n">
        <v>0.172</v>
      </c>
      <c r="AC184" s="7" t="n">
        <v>-0.399</v>
      </c>
      <c r="AD184" s="7" t="n">
        <v>-0.787</v>
      </c>
      <c r="AE184" s="7" t="n">
        <v>-0.556</v>
      </c>
      <c r="AF184" s="7" t="n">
        <v>-0.065</v>
      </c>
      <c r="AG184" s="7" t="n">
        <v>0.099</v>
      </c>
      <c r="AH184" s="7" t="n">
        <v>0.074</v>
      </c>
      <c r="AI184" s="7" t="n">
        <v>-0.387</v>
      </c>
      <c r="AJ184" s="7" t="n">
        <v>0.135</v>
      </c>
      <c r="AK184" s="7" t="n">
        <v>-0.014</v>
      </c>
      <c r="AL184" s="7" t="n">
        <v>-0.234</v>
      </c>
      <c r="AM184" s="7" t="n">
        <v>0.014</v>
      </c>
      <c r="AN184" s="7" t="n">
        <v>0.122</v>
      </c>
      <c r="AO184" s="7" t="n">
        <v>-0.44</v>
      </c>
      <c r="AP184" s="7" t="n">
        <v>-0.473</v>
      </c>
      <c r="AQ184" s="7" t="n">
        <v>-0.399</v>
      </c>
    </row>
    <row r="185" customFormat="false" ht="15" hidden="false" customHeight="false" outlineLevel="0" collapsed="false">
      <c r="A185" s="23" t="n">
        <v>46502</v>
      </c>
      <c r="B185" s="7" t="n">
        <v>-0.438</v>
      </c>
      <c r="C185" s="7" t="n">
        <v>0.023</v>
      </c>
      <c r="D185" s="7" t="n">
        <v>-0.779</v>
      </c>
      <c r="E185" s="7" t="n">
        <v>0.17</v>
      </c>
      <c r="F185" s="7" t="n">
        <v>0.035</v>
      </c>
      <c r="G185" s="7" t="n">
        <v>-0.027</v>
      </c>
      <c r="H185" s="7" t="n">
        <v>-0.017</v>
      </c>
      <c r="I185" s="7" t="n">
        <v>-0.378</v>
      </c>
      <c r="J185" s="7" t="n">
        <v>0.647</v>
      </c>
      <c r="K185" s="7" t="n">
        <v>0</v>
      </c>
      <c r="L185" s="7" t="n">
        <v>-0.201</v>
      </c>
      <c r="M185" s="7" t="n">
        <v>-0.035</v>
      </c>
      <c r="N185" s="7" t="n">
        <v>0.265</v>
      </c>
      <c r="O185" s="7" t="n">
        <v>0.374</v>
      </c>
      <c r="P185" s="7" t="n">
        <v>-0.397</v>
      </c>
      <c r="Q185" s="7" t="n">
        <v>0.011</v>
      </c>
      <c r="R185" s="7" t="n">
        <v>-0.633</v>
      </c>
      <c r="S185" s="7" t="n">
        <v>-0.877</v>
      </c>
      <c r="T185" s="7" t="n">
        <v>-0.64</v>
      </c>
      <c r="U185" s="7" t="n">
        <v>-0.564</v>
      </c>
      <c r="V185" s="7" t="n">
        <v>-0.572</v>
      </c>
      <c r="W185" s="7" t="n">
        <v>-0.291</v>
      </c>
      <c r="X185" s="7" t="n">
        <v>-0.787</v>
      </c>
      <c r="Y185" s="7" t="n">
        <v>-0.361</v>
      </c>
      <c r="Z185" s="7" t="n">
        <v>-0.44</v>
      </c>
      <c r="AA185" s="7" t="n">
        <v>-0.638</v>
      </c>
      <c r="AB185" s="7" t="n">
        <v>0.359</v>
      </c>
      <c r="AC185" s="7" t="n">
        <v>-0.234</v>
      </c>
      <c r="AD185" s="7" t="n">
        <v>-0.706</v>
      </c>
      <c r="AE185" s="7" t="n">
        <v>0.265</v>
      </c>
      <c r="AF185" s="7" t="n">
        <v>-0.119</v>
      </c>
      <c r="AG185" s="7" t="n">
        <v>0.215</v>
      </c>
      <c r="AH185" s="7" t="n">
        <v>0.344</v>
      </c>
      <c r="AI185" s="7" t="n">
        <v>-0.201</v>
      </c>
      <c r="AJ185" s="7" t="n">
        <v>-0.549</v>
      </c>
      <c r="AK185" s="7" t="n">
        <v>-0.555</v>
      </c>
      <c r="AL185" s="7" t="n">
        <v>-0.157</v>
      </c>
      <c r="AM185" s="7" t="n">
        <v>0.034</v>
      </c>
      <c r="AN185" s="7" t="n">
        <v>-0.572</v>
      </c>
      <c r="AO185" s="7" t="n">
        <v>0.279</v>
      </c>
      <c r="AP185" s="7" t="n">
        <v>0</v>
      </c>
      <c r="AQ185" s="7" t="n">
        <v>-0.234</v>
      </c>
    </row>
    <row r="186" customFormat="false" ht="15" hidden="false" customHeight="false" outlineLevel="0" collapsed="false">
      <c r="A186" s="23" t="n">
        <v>46503</v>
      </c>
      <c r="B186" s="7" t="n">
        <v>0.124</v>
      </c>
      <c r="C186" s="7" t="n">
        <v>0.632</v>
      </c>
      <c r="D186" s="7" t="n">
        <v>-0.249</v>
      </c>
      <c r="E186" s="7" t="n">
        <v>0.187</v>
      </c>
      <c r="F186" s="7" t="n">
        <v>0.211</v>
      </c>
      <c r="G186" s="7" t="n">
        <v>-0.074</v>
      </c>
      <c r="H186" s="7" t="n">
        <v>-0.02</v>
      </c>
      <c r="I186" s="7" t="n">
        <v>0.196</v>
      </c>
      <c r="J186" s="7" t="n">
        <v>-0.293</v>
      </c>
      <c r="K186" s="7" t="n">
        <v>0.032</v>
      </c>
      <c r="L186" s="7" t="n">
        <v>0.551</v>
      </c>
      <c r="M186" s="7" t="n">
        <v>-0.598</v>
      </c>
      <c r="N186" s="7" t="n">
        <v>0.422</v>
      </c>
      <c r="O186" s="7" t="n">
        <v>0.239</v>
      </c>
      <c r="P186" s="7" t="n">
        <v>0.593</v>
      </c>
      <c r="Q186" s="7" t="n">
        <v>0.677</v>
      </c>
      <c r="R186" s="7" t="n">
        <v>0.196</v>
      </c>
      <c r="S186" s="7" t="n">
        <v>-0.395</v>
      </c>
      <c r="T186" s="7" t="n">
        <v>0.254</v>
      </c>
      <c r="U186" s="7" t="n">
        <v>0.179</v>
      </c>
      <c r="V186" s="7" t="n">
        <v>-0.02</v>
      </c>
      <c r="W186" s="7" t="n">
        <v>-0.217</v>
      </c>
      <c r="X186" s="7" t="n">
        <v>-0.061</v>
      </c>
      <c r="Y186" s="7" t="n">
        <v>0.267</v>
      </c>
      <c r="Z186" s="7" t="n">
        <v>-0.395</v>
      </c>
      <c r="AA186" s="7" t="n">
        <v>0.238</v>
      </c>
      <c r="AB186" s="7" t="n">
        <v>-0.412</v>
      </c>
      <c r="AC186" s="7" t="n">
        <v>0.528</v>
      </c>
      <c r="AD186" s="7" t="n">
        <v>-0.239</v>
      </c>
      <c r="AE186" s="7" t="n">
        <v>0.422</v>
      </c>
      <c r="AF186" s="7" t="n">
        <v>0.66</v>
      </c>
      <c r="AG186" s="7" t="n">
        <v>0.215</v>
      </c>
      <c r="AH186" s="7" t="n">
        <v>0.061</v>
      </c>
      <c r="AI186" s="7" t="n">
        <v>0.468</v>
      </c>
      <c r="AJ186" s="7" t="n">
        <v>-0.02</v>
      </c>
      <c r="AK186" s="7" t="n">
        <v>0.024</v>
      </c>
      <c r="AL186" s="7" t="n">
        <v>0.476</v>
      </c>
      <c r="AM186" s="7" t="n">
        <v>0</v>
      </c>
      <c r="AN186" s="7" t="n">
        <v>-0.02</v>
      </c>
      <c r="AO186" s="7" t="n">
        <v>0.038</v>
      </c>
      <c r="AP186" s="7" t="n">
        <v>0.032</v>
      </c>
      <c r="AQ186" s="7" t="n">
        <v>0.468</v>
      </c>
    </row>
    <row r="187" customFormat="false" ht="15" hidden="false" customHeight="false" outlineLevel="0" collapsed="false">
      <c r="A187" s="23" t="n">
        <v>46504</v>
      </c>
      <c r="B187" s="7" t="n">
        <v>-0.072</v>
      </c>
      <c r="C187" s="7" t="n">
        <v>0.481</v>
      </c>
      <c r="D187" s="7" t="n">
        <v>-0.334</v>
      </c>
      <c r="E187" s="7" t="n">
        <v>0.11</v>
      </c>
      <c r="F187" s="7" t="n">
        <v>-0.115</v>
      </c>
      <c r="G187" s="7" t="n">
        <v>-0.044</v>
      </c>
      <c r="H187" s="7" t="n">
        <v>-0.042</v>
      </c>
      <c r="I187" s="7" t="n">
        <v>0.138</v>
      </c>
      <c r="J187" s="7" t="n">
        <v>-0.649</v>
      </c>
      <c r="K187" s="7" t="n">
        <v>0.077</v>
      </c>
      <c r="L187" s="7" t="n">
        <v>0.513</v>
      </c>
      <c r="M187" s="7" t="n">
        <v>-0.729</v>
      </c>
      <c r="N187" s="7" t="n">
        <v>0.244</v>
      </c>
      <c r="O187" s="7" t="n">
        <v>-0.116</v>
      </c>
      <c r="P187" s="7" t="n">
        <v>0.462</v>
      </c>
      <c r="Q187" s="7" t="n">
        <v>0.618</v>
      </c>
      <c r="R187" s="7" t="n">
        <v>0.174</v>
      </c>
      <c r="S187" s="7" t="n">
        <v>-0.223</v>
      </c>
      <c r="T187" s="7" t="n">
        <v>0.217</v>
      </c>
      <c r="U187" s="7" t="n">
        <v>0.303</v>
      </c>
      <c r="V187" s="7" t="n">
        <v>-0.042</v>
      </c>
      <c r="W187" s="7" t="n">
        <v>-0.198</v>
      </c>
      <c r="X187" s="7" t="n">
        <v>-0.122</v>
      </c>
      <c r="Y187" s="7" t="n">
        <v>0.244</v>
      </c>
      <c r="Z187" s="7" t="n">
        <v>-0.223</v>
      </c>
      <c r="AA187" s="7" t="n">
        <v>0.216</v>
      </c>
      <c r="AB187" s="7" t="n">
        <v>-0.695</v>
      </c>
      <c r="AC187" s="7" t="n">
        <v>0.483</v>
      </c>
      <c r="AD187" s="7" t="n">
        <v>-0.053</v>
      </c>
      <c r="AE187" s="7" t="n">
        <v>0.244</v>
      </c>
      <c r="AF187" s="7" t="n">
        <v>0.716</v>
      </c>
      <c r="AG187" s="7" t="n">
        <v>0.215</v>
      </c>
      <c r="AH187" s="7" t="n">
        <v>-0.247</v>
      </c>
      <c r="AI187" s="7" t="n">
        <v>0.372</v>
      </c>
      <c r="AJ187" s="7" t="n">
        <v>-0.079</v>
      </c>
      <c r="AK187" s="7" t="n">
        <v>-0.035</v>
      </c>
      <c r="AL187" s="7" t="n">
        <v>0.392</v>
      </c>
      <c r="AM187" s="7" t="n">
        <v>-0.037</v>
      </c>
      <c r="AN187" s="7" t="n">
        <v>-0.042</v>
      </c>
      <c r="AO187" s="7" t="n">
        <v>-0.204</v>
      </c>
      <c r="AP187" s="7" t="n">
        <v>0.077</v>
      </c>
      <c r="AQ187" s="7" t="n">
        <v>0.403</v>
      </c>
    </row>
    <row r="188" customFormat="false" ht="15" hidden="false" customHeight="false" outlineLevel="0" collapsed="false">
      <c r="A188" s="23" t="n">
        <v>46505</v>
      </c>
      <c r="B188" s="7" t="n">
        <v>-0.723</v>
      </c>
      <c r="C188" s="7" t="n">
        <v>-0.491</v>
      </c>
      <c r="D188" s="7" t="n">
        <v>-0.245</v>
      </c>
      <c r="E188" s="7" t="n">
        <v>-0.269</v>
      </c>
      <c r="F188" s="7" t="n">
        <v>-0.641</v>
      </c>
      <c r="G188" s="7" t="n">
        <v>-0.043</v>
      </c>
      <c r="H188" s="7" t="n">
        <v>-0.719</v>
      </c>
      <c r="I188" s="7" t="n">
        <v>-0.632</v>
      </c>
      <c r="J188" s="7" t="n">
        <v>-0.051</v>
      </c>
      <c r="K188" s="7" t="n">
        <v>0.079</v>
      </c>
      <c r="L188" s="7" t="n">
        <v>-0.333</v>
      </c>
      <c r="M188" s="7" t="n">
        <v>-0.148</v>
      </c>
      <c r="N188" s="7" t="n">
        <v>-0.378</v>
      </c>
      <c r="O188" s="7" t="n">
        <v>-0.443</v>
      </c>
      <c r="P188" s="7" t="n">
        <v>-0.319</v>
      </c>
      <c r="Q188" s="7" t="n">
        <v>-0.28</v>
      </c>
      <c r="R188" s="7" t="n">
        <v>-0.71</v>
      </c>
      <c r="S188" s="7" t="n">
        <v>-0.127</v>
      </c>
      <c r="T188" s="7" t="n">
        <v>-0.389</v>
      </c>
      <c r="U188" s="7" t="n">
        <v>-0.565</v>
      </c>
      <c r="V188" s="7" t="n">
        <v>-0.608</v>
      </c>
      <c r="W188" s="7" t="n">
        <v>-0.414</v>
      </c>
      <c r="X188" s="7" t="n">
        <v>-0.043</v>
      </c>
      <c r="Y188" s="7" t="n">
        <v>-0.273</v>
      </c>
      <c r="Z188" s="7" t="n">
        <v>-0.127</v>
      </c>
      <c r="AA188" s="7" t="n">
        <v>-0.687</v>
      </c>
      <c r="AB188" s="7" t="n">
        <v>-0.224</v>
      </c>
      <c r="AC188" s="7" t="n">
        <v>-0.401</v>
      </c>
      <c r="AD188" s="7" t="n">
        <v>-0.141</v>
      </c>
      <c r="AE188" s="7" t="n">
        <v>-0.378</v>
      </c>
      <c r="AF188" s="7" t="n">
        <v>-0.539</v>
      </c>
      <c r="AG188" s="7" t="n">
        <v>-0.39</v>
      </c>
      <c r="AH188" s="7" t="n">
        <v>-0.051</v>
      </c>
      <c r="AI188" s="7" t="n">
        <v>-0.401</v>
      </c>
      <c r="AJ188" s="7" t="n">
        <v>-0.462</v>
      </c>
      <c r="AK188" s="7" t="n">
        <v>-0.427</v>
      </c>
      <c r="AL188" s="7" t="n">
        <v>-0.437</v>
      </c>
      <c r="AM188" s="7" t="n">
        <v>0</v>
      </c>
      <c r="AN188" s="7" t="n">
        <v>-0.462</v>
      </c>
      <c r="AO188" s="7" t="n">
        <v>0.028</v>
      </c>
      <c r="AP188" s="7" t="n">
        <v>0.079</v>
      </c>
      <c r="AQ188" s="7" t="n">
        <v>-0.401</v>
      </c>
    </row>
    <row r="189" customFormat="false" ht="15" hidden="false" customHeight="false" outlineLevel="0" collapsed="false">
      <c r="A189" s="23" t="n">
        <v>46506</v>
      </c>
      <c r="B189" s="7" t="n">
        <v>-0.182</v>
      </c>
      <c r="C189" s="7" t="n">
        <v>-0.152</v>
      </c>
      <c r="D189" s="7" t="n">
        <v>-0.043</v>
      </c>
      <c r="E189" s="7" t="n">
        <v>0.079</v>
      </c>
      <c r="F189" s="7" t="n">
        <v>0.077</v>
      </c>
      <c r="G189" s="7" t="n">
        <v>0.53</v>
      </c>
      <c r="H189" s="7" t="n">
        <v>-0.767</v>
      </c>
      <c r="I189" s="7" t="n">
        <v>-0.775</v>
      </c>
      <c r="J189" s="7" t="n">
        <v>-0.203</v>
      </c>
      <c r="K189" s="7" t="n">
        <v>0.079</v>
      </c>
      <c r="L189" s="7" t="n">
        <v>0.089</v>
      </c>
      <c r="M189" s="7" t="n">
        <v>0.035</v>
      </c>
      <c r="N189" s="7" t="n">
        <v>-0.189</v>
      </c>
      <c r="O189" s="7" t="n">
        <v>-0.264</v>
      </c>
      <c r="P189" s="7" t="n">
        <v>-0.297</v>
      </c>
      <c r="Q189" s="7" t="n">
        <v>-0.114</v>
      </c>
      <c r="R189" s="7" t="n">
        <v>-0.776</v>
      </c>
      <c r="S189" s="7" t="n">
        <v>0.079</v>
      </c>
      <c r="T189" s="7" t="n">
        <v>-0.673</v>
      </c>
      <c r="U189" s="7" t="n">
        <v>0.096</v>
      </c>
      <c r="V189" s="7" t="n">
        <v>-0.622</v>
      </c>
      <c r="W189" s="7" t="n">
        <v>0</v>
      </c>
      <c r="X189" s="7" t="n">
        <v>-0.189</v>
      </c>
      <c r="Y189" s="7" t="n">
        <v>0.56</v>
      </c>
      <c r="Z189" s="7" t="n">
        <v>0.079</v>
      </c>
      <c r="AA189" s="7" t="n">
        <v>-0.759</v>
      </c>
      <c r="AB189" s="7" t="n">
        <v>-0.463</v>
      </c>
      <c r="AC189" s="7" t="n">
        <v>0.017</v>
      </c>
      <c r="AD189" s="7" t="n">
        <v>0.036</v>
      </c>
      <c r="AE189" s="7" t="n">
        <v>0.056</v>
      </c>
      <c r="AF189" s="7" t="n">
        <v>0.017</v>
      </c>
      <c r="AG189" s="7" t="n">
        <v>-0.506</v>
      </c>
      <c r="AH189" s="7" t="n">
        <v>-0.044</v>
      </c>
      <c r="AI189" s="7" t="n">
        <v>0.01</v>
      </c>
      <c r="AJ189" s="7" t="n">
        <v>-0.673</v>
      </c>
      <c r="AK189" s="7" t="n">
        <v>-0.49</v>
      </c>
      <c r="AL189" s="7" t="n">
        <v>-0.256</v>
      </c>
      <c r="AM189" s="7" t="n">
        <v>-0.007</v>
      </c>
      <c r="AN189" s="7" t="n">
        <v>-0.517</v>
      </c>
      <c r="AO189" s="7" t="n">
        <v>0.039</v>
      </c>
      <c r="AP189" s="7" t="n">
        <v>0.079</v>
      </c>
      <c r="AQ189" s="7" t="n">
        <v>0.017</v>
      </c>
    </row>
    <row r="190" customFormat="false" ht="15" hidden="false" customHeight="false" outlineLevel="0" collapsed="false">
      <c r="A190" s="23" t="n">
        <v>46507</v>
      </c>
      <c r="B190" s="7" t="n">
        <v>0.058</v>
      </c>
      <c r="C190" s="7" t="n">
        <v>-0.24</v>
      </c>
      <c r="D190" s="7" t="n">
        <v>0.74</v>
      </c>
      <c r="E190" s="7" t="n">
        <v>-0.032</v>
      </c>
      <c r="F190" s="7" t="n">
        <v>0.014</v>
      </c>
      <c r="G190" s="7" t="n">
        <v>0.934</v>
      </c>
      <c r="H190" s="7" t="n">
        <v>0.147</v>
      </c>
      <c r="I190" s="7" t="n">
        <v>0.045</v>
      </c>
      <c r="J190" s="7" t="n">
        <v>-0.103</v>
      </c>
      <c r="K190" s="7" t="n">
        <v>0.078</v>
      </c>
      <c r="L190" s="7" t="n">
        <v>0.098</v>
      </c>
      <c r="M190" s="7" t="n">
        <v>-0.026</v>
      </c>
      <c r="N190" s="7" t="n">
        <v>-0.691</v>
      </c>
      <c r="O190" s="7" t="n">
        <v>0.382</v>
      </c>
      <c r="P190" s="7" t="n">
        <v>0.327</v>
      </c>
      <c r="Q190" s="7" t="n">
        <v>-0.111</v>
      </c>
      <c r="R190" s="7" t="n">
        <v>0.177</v>
      </c>
      <c r="S190" s="7" t="n">
        <v>-0.485</v>
      </c>
      <c r="T190" s="7" t="n">
        <v>-0.5</v>
      </c>
      <c r="U190" s="7" t="n">
        <v>0.098</v>
      </c>
      <c r="V190" s="7" t="n">
        <v>0.321</v>
      </c>
      <c r="W190" s="7" t="n">
        <v>0</v>
      </c>
      <c r="X190" s="7" t="n">
        <v>0.423</v>
      </c>
      <c r="Y190" s="7" t="n">
        <v>0.005</v>
      </c>
      <c r="Z190" s="7" t="n">
        <v>0.078</v>
      </c>
      <c r="AA190" s="7" t="n">
        <v>-0.523</v>
      </c>
      <c r="AB190" s="7" t="n">
        <v>-0.096</v>
      </c>
      <c r="AC190" s="7" t="n">
        <v>0.02</v>
      </c>
      <c r="AD190" s="7" t="n">
        <v>0.341</v>
      </c>
      <c r="AE190" s="7" t="n">
        <v>0.002</v>
      </c>
      <c r="AF190" s="7" t="n">
        <v>0.02</v>
      </c>
      <c r="AG190" s="7" t="n">
        <v>-0.542</v>
      </c>
      <c r="AH190" s="7" t="n">
        <v>-0.103</v>
      </c>
      <c r="AI190" s="7" t="n">
        <v>0.02</v>
      </c>
      <c r="AJ190" s="7" t="n">
        <v>-0.056</v>
      </c>
      <c r="AK190" s="7" t="n">
        <v>-0.522</v>
      </c>
      <c r="AL190" s="7" t="n">
        <v>0.496</v>
      </c>
      <c r="AM190" s="7" t="n">
        <v>0</v>
      </c>
      <c r="AN190" s="7" t="n">
        <v>0.178</v>
      </c>
      <c r="AO190" s="7" t="n">
        <v>-0.018</v>
      </c>
      <c r="AP190" s="7" t="n">
        <v>0.078</v>
      </c>
      <c r="AQ190" s="7" t="n">
        <v>0.02</v>
      </c>
    </row>
    <row r="191" customFormat="false" ht="15" hidden="false" customHeight="false" outlineLevel="0" collapsed="false">
      <c r="A191" s="23" t="n">
        <v>46508</v>
      </c>
      <c r="B191" s="7" t="n">
        <v>-0.649</v>
      </c>
      <c r="C191" s="7" t="n">
        <v>-0.251</v>
      </c>
      <c r="D191" s="7" t="n">
        <v>0.122</v>
      </c>
      <c r="E191" s="7" t="n">
        <v>-0.061</v>
      </c>
      <c r="F191" s="7" t="n">
        <v>-0.307</v>
      </c>
      <c r="G191" s="7" t="n">
        <v>0.647</v>
      </c>
      <c r="H191" s="7" t="n">
        <v>-0.851</v>
      </c>
      <c r="I191" s="7" t="n">
        <v>-0.549</v>
      </c>
      <c r="J191" s="7" t="n">
        <v>-0.283</v>
      </c>
      <c r="K191" s="7" t="n">
        <v>0.076</v>
      </c>
      <c r="L191" s="7" t="n">
        <v>-0.042</v>
      </c>
      <c r="M191" s="7" t="n">
        <v>-0.341</v>
      </c>
      <c r="N191" s="7" t="n">
        <v>-0.784</v>
      </c>
      <c r="O191" s="7" t="n">
        <v>-0.465</v>
      </c>
      <c r="P191" s="7" t="n">
        <v>-0.118</v>
      </c>
      <c r="Q191" s="7" t="n">
        <v>-0.108</v>
      </c>
      <c r="R191" s="7" t="n">
        <v>-0.837</v>
      </c>
      <c r="S191" s="7" t="n">
        <v>-0.579</v>
      </c>
      <c r="T191" s="7" t="n">
        <v>-0.385</v>
      </c>
      <c r="U191" s="7" t="n">
        <v>-0.692</v>
      </c>
      <c r="V191" s="7" t="n">
        <v>-0.792</v>
      </c>
      <c r="W191" s="7" t="n">
        <v>0</v>
      </c>
      <c r="X191" s="7" t="n">
        <v>-0.01</v>
      </c>
      <c r="Y191" s="7" t="n">
        <v>-0.538</v>
      </c>
      <c r="Z191" s="7" t="n">
        <v>-0.171</v>
      </c>
      <c r="AA191" s="7" t="n">
        <v>-0.839</v>
      </c>
      <c r="AB191" s="7" t="n">
        <v>-0.096</v>
      </c>
      <c r="AC191" s="7" t="n">
        <v>0.023</v>
      </c>
      <c r="AD191" s="7" t="n">
        <v>-0.854</v>
      </c>
      <c r="AE191" s="7" t="n">
        <v>-0.137</v>
      </c>
      <c r="AF191" s="7" t="n">
        <v>0.023</v>
      </c>
      <c r="AG191" s="7" t="n">
        <v>-0.452</v>
      </c>
      <c r="AH191" s="7" t="n">
        <v>-0.283</v>
      </c>
      <c r="AI191" s="7" t="n">
        <v>0.023</v>
      </c>
      <c r="AJ191" s="7" t="n">
        <v>-0.595</v>
      </c>
      <c r="AK191" s="7" t="n">
        <v>-0.427</v>
      </c>
      <c r="AL191" s="7" t="n">
        <v>-0.204</v>
      </c>
      <c r="AM191" s="7" t="n">
        <v>0</v>
      </c>
      <c r="AN191" s="7" t="n">
        <v>-0.831</v>
      </c>
      <c r="AO191" s="7" t="n">
        <v>-0.159</v>
      </c>
      <c r="AP191" s="7" t="n">
        <v>-0.064</v>
      </c>
      <c r="AQ191" s="7" t="n">
        <v>0.023</v>
      </c>
    </row>
    <row r="192" customFormat="false" ht="15" hidden="false" customHeight="false" outlineLevel="0" collapsed="false">
      <c r="A192" s="23" t="n">
        <v>46509</v>
      </c>
      <c r="B192" s="7" t="n">
        <v>-0.848</v>
      </c>
      <c r="C192" s="7" t="n">
        <v>-0.862</v>
      </c>
      <c r="D192" s="7" t="n">
        <v>0.094</v>
      </c>
      <c r="E192" s="7" t="n">
        <v>0.003</v>
      </c>
      <c r="F192" s="7" t="n">
        <v>-0.917</v>
      </c>
      <c r="G192" s="7" t="n">
        <v>0.635</v>
      </c>
      <c r="H192" s="7" t="n">
        <v>-0.405</v>
      </c>
      <c r="I192" s="7" t="n">
        <v>-0.481</v>
      </c>
      <c r="J192" s="7" t="n">
        <v>-0.939</v>
      </c>
      <c r="K192" s="7" t="n">
        <v>0.023</v>
      </c>
      <c r="L192" s="7" t="n">
        <v>-0.092</v>
      </c>
      <c r="M192" s="7" t="n">
        <v>-0.986</v>
      </c>
      <c r="N192" s="7" t="n">
        <v>-0.975</v>
      </c>
      <c r="O192" s="7" t="n">
        <v>-0.966</v>
      </c>
      <c r="P192" s="7" t="n">
        <v>-0.115</v>
      </c>
      <c r="Q192" s="7" t="n">
        <v>-0.105</v>
      </c>
      <c r="R192" s="7" t="n">
        <v>-0.349</v>
      </c>
      <c r="S192" s="7" t="n">
        <v>-0.511</v>
      </c>
      <c r="T192" s="7" t="n">
        <v>-0.253</v>
      </c>
      <c r="U192" s="7" t="n">
        <v>-0.172</v>
      </c>
      <c r="V192" s="7" t="n">
        <v>-0.246</v>
      </c>
      <c r="W192" s="7" t="n">
        <v>0</v>
      </c>
      <c r="X192" s="7" t="n">
        <v>-0.009</v>
      </c>
      <c r="Y192" s="7" t="n">
        <v>0.27</v>
      </c>
      <c r="Z192" s="7" t="n">
        <v>-0.197</v>
      </c>
      <c r="AA192" s="7" t="n">
        <v>-0.355</v>
      </c>
      <c r="AB192" s="7" t="n">
        <v>-0.943</v>
      </c>
      <c r="AC192" s="7" t="n">
        <v>0.025</v>
      </c>
      <c r="AD192" s="7" t="n">
        <v>-0.413</v>
      </c>
      <c r="AE192" s="7" t="n">
        <v>-0.882</v>
      </c>
      <c r="AF192" s="7" t="n">
        <v>0.025</v>
      </c>
      <c r="AG192" s="7" t="n">
        <v>-0.349</v>
      </c>
      <c r="AH192" s="7" t="n">
        <v>-0.889</v>
      </c>
      <c r="AI192" s="7" t="n">
        <v>0.025</v>
      </c>
      <c r="AJ192" s="7" t="n">
        <v>-0.509</v>
      </c>
      <c r="AK192" s="7" t="n">
        <v>-0.321</v>
      </c>
      <c r="AL192" s="7" t="n">
        <v>-0.869</v>
      </c>
      <c r="AM192" s="7" t="n">
        <v>0</v>
      </c>
      <c r="AN192" s="7" t="n">
        <v>-0.315</v>
      </c>
      <c r="AO192" s="7" t="n">
        <v>-0.871</v>
      </c>
      <c r="AP192" s="7" t="n">
        <v>-0.117</v>
      </c>
      <c r="AQ192" s="7" t="n">
        <v>0.025</v>
      </c>
    </row>
    <row r="193" customFormat="false" ht="15" hidden="false" customHeight="false" outlineLevel="0" collapsed="false">
      <c r="A193" s="23" t="n">
        <v>46510</v>
      </c>
      <c r="B193" s="7" t="n">
        <v>-0.501</v>
      </c>
      <c r="C193" s="7" t="n">
        <v>-0.248</v>
      </c>
      <c r="D193" s="7" t="n">
        <v>-0.038</v>
      </c>
      <c r="E193" s="7" t="n">
        <v>0.073</v>
      </c>
      <c r="F193" s="7" t="n">
        <v>-0.37</v>
      </c>
      <c r="G193" s="7" t="n">
        <v>-0.383</v>
      </c>
      <c r="H193" s="7" t="n">
        <v>-0.633</v>
      </c>
      <c r="I193" s="7" t="n">
        <v>-0.574</v>
      </c>
      <c r="J193" s="7" t="n">
        <v>-0.643</v>
      </c>
      <c r="K193" s="7" t="n">
        <v>0.073</v>
      </c>
      <c r="L193" s="7" t="n">
        <v>0.028</v>
      </c>
      <c r="M193" s="7" t="n">
        <v>-0.676</v>
      </c>
      <c r="N193" s="7" t="n">
        <v>-0.557</v>
      </c>
      <c r="O193" s="7" t="n">
        <v>-0.804</v>
      </c>
      <c r="P193" s="7" t="n">
        <v>-0.333</v>
      </c>
      <c r="Q193" s="7" t="n">
        <v>-0.164</v>
      </c>
      <c r="R193" s="7" t="n">
        <v>-0.541</v>
      </c>
      <c r="S193" s="7" t="n">
        <v>0.073</v>
      </c>
      <c r="T193" s="7" t="n">
        <v>-0.432</v>
      </c>
      <c r="U193" s="7" t="n">
        <v>0.038</v>
      </c>
      <c r="V193" s="7" t="n">
        <v>-0.473</v>
      </c>
      <c r="W193" s="7" t="n">
        <v>0</v>
      </c>
      <c r="X193" s="7" t="n">
        <v>-0.142</v>
      </c>
      <c r="Y193" s="7" t="n">
        <v>-0.35</v>
      </c>
      <c r="Z193" s="7" t="n">
        <v>0.073</v>
      </c>
      <c r="AA193" s="7" t="n">
        <v>-0.514</v>
      </c>
      <c r="AB193" s="7" t="n">
        <v>-0.47</v>
      </c>
      <c r="AC193" s="7" t="n">
        <v>0.003</v>
      </c>
      <c r="AD193" s="7" t="n">
        <v>0.035</v>
      </c>
      <c r="AE193" s="7" t="n">
        <v>-0.196</v>
      </c>
      <c r="AF193" s="7" t="n">
        <v>-0.035</v>
      </c>
      <c r="AG193" s="7" t="n">
        <v>0</v>
      </c>
      <c r="AH193" s="7" t="n">
        <v>-0.184</v>
      </c>
      <c r="AI193" s="7" t="n">
        <v>-0.045</v>
      </c>
      <c r="AJ193" s="7" t="n">
        <v>-0.528</v>
      </c>
      <c r="AK193" s="7" t="n">
        <v>-0.303</v>
      </c>
      <c r="AL193" s="7" t="n">
        <v>-0.299</v>
      </c>
      <c r="AM193" s="7" t="n">
        <v>-0.011</v>
      </c>
      <c r="AN193" s="7" t="n">
        <v>-0.361</v>
      </c>
      <c r="AO193" s="7" t="n">
        <v>0.08</v>
      </c>
      <c r="AP193" s="7" t="n">
        <v>0.073</v>
      </c>
      <c r="AQ193" s="7" t="n">
        <v>-0.035</v>
      </c>
    </row>
    <row r="194" customFormat="false" ht="15" hidden="false" customHeight="false" outlineLevel="0" collapsed="false">
      <c r="A194" s="23" t="n">
        <v>46511</v>
      </c>
      <c r="B194" s="7" t="n">
        <v>-0.251</v>
      </c>
      <c r="C194" s="7" t="n">
        <v>-0.072</v>
      </c>
      <c r="D194" s="7" t="n">
        <v>-0.04</v>
      </c>
      <c r="E194" s="7" t="n">
        <v>0.491</v>
      </c>
      <c r="F194" s="7" t="n">
        <v>-0.204</v>
      </c>
      <c r="G194" s="7" t="n">
        <v>-0.409</v>
      </c>
      <c r="H194" s="7" t="n">
        <v>-0.078</v>
      </c>
      <c r="I194" s="7" t="n">
        <v>-0.284</v>
      </c>
      <c r="J194" s="7" t="n">
        <v>-0.553</v>
      </c>
      <c r="K194" s="7" t="n">
        <v>0.554</v>
      </c>
      <c r="L194" s="7" t="n">
        <v>0.035</v>
      </c>
      <c r="M194" s="7" t="n">
        <v>-0.525</v>
      </c>
      <c r="N194" s="7" t="n">
        <v>-0.415</v>
      </c>
      <c r="O194" s="7" t="n">
        <v>-0.698</v>
      </c>
      <c r="P194" s="7" t="n">
        <v>-0.43</v>
      </c>
      <c r="Q194" s="7" t="n">
        <v>-0.146</v>
      </c>
      <c r="R194" s="7" t="n">
        <v>-0.078</v>
      </c>
      <c r="S194" s="7" t="n">
        <v>0.208</v>
      </c>
      <c r="T194" s="7" t="n">
        <v>-0.168</v>
      </c>
      <c r="U194" s="7" t="n">
        <v>-0.057</v>
      </c>
      <c r="V194" s="7" t="n">
        <v>-0.078</v>
      </c>
      <c r="W194" s="7" t="n">
        <v>0</v>
      </c>
      <c r="X194" s="7" t="n">
        <v>-0.269</v>
      </c>
      <c r="Y194" s="7" t="n">
        <v>-0.375</v>
      </c>
      <c r="Z194" s="7" t="n">
        <v>0.554</v>
      </c>
      <c r="AA194" s="7" t="n">
        <v>-0.039</v>
      </c>
      <c r="AB194" s="7" t="n">
        <v>-0.497</v>
      </c>
      <c r="AC194" s="7" t="n">
        <v>0.022</v>
      </c>
      <c r="AD194" s="7" t="n">
        <v>0.136</v>
      </c>
      <c r="AE194" s="7" t="n">
        <v>-0.143</v>
      </c>
      <c r="AF194" s="7" t="n">
        <v>0.076</v>
      </c>
      <c r="AG194" s="7" t="n">
        <v>0</v>
      </c>
      <c r="AH194" s="7" t="n">
        <v>-0.105</v>
      </c>
      <c r="AI194" s="7" t="n">
        <v>-0.031</v>
      </c>
      <c r="AJ194" s="7" t="n">
        <v>-0.284</v>
      </c>
      <c r="AK194" s="7" t="n">
        <v>-0.016</v>
      </c>
      <c r="AL194" s="7" t="n">
        <v>-0.284</v>
      </c>
      <c r="AM194" s="7" t="n">
        <v>-0.015</v>
      </c>
      <c r="AN194" s="7" t="n">
        <v>-0.078</v>
      </c>
      <c r="AO194" s="7" t="n">
        <v>0.022</v>
      </c>
      <c r="AP194" s="7" t="n">
        <v>0.066</v>
      </c>
      <c r="AQ194" s="7" t="n">
        <v>-0.016</v>
      </c>
    </row>
    <row r="195" customFormat="false" ht="15" hidden="false" customHeight="false" outlineLevel="0" collapsed="false">
      <c r="A195" s="23" t="n">
        <v>46512</v>
      </c>
      <c r="B195" s="7" t="n">
        <v>0.516</v>
      </c>
      <c r="C195" s="7" t="n">
        <v>-0.023</v>
      </c>
      <c r="D195" s="7" t="n">
        <v>0.802</v>
      </c>
      <c r="E195" s="7" t="n">
        <v>0.02</v>
      </c>
      <c r="F195" s="7" t="n">
        <v>-0.018</v>
      </c>
      <c r="G195" s="7" t="n">
        <v>0.815</v>
      </c>
      <c r="H195" s="7" t="n">
        <v>0.196</v>
      </c>
      <c r="I195" s="7" t="n">
        <v>0.694</v>
      </c>
      <c r="J195" s="7" t="n">
        <v>-0.136</v>
      </c>
      <c r="K195" s="7" t="n">
        <v>0.02</v>
      </c>
      <c r="L195" s="7" t="n">
        <v>0.112</v>
      </c>
      <c r="M195" s="7" t="n">
        <v>-0.175</v>
      </c>
      <c r="N195" s="7" t="n">
        <v>-0.362</v>
      </c>
      <c r="O195" s="7" t="n">
        <v>-0.38</v>
      </c>
      <c r="P195" s="7" t="n">
        <v>-0.029</v>
      </c>
      <c r="Q195" s="7" t="n">
        <v>-0.098</v>
      </c>
      <c r="R195" s="7" t="n">
        <v>0.703</v>
      </c>
      <c r="S195" s="7" t="n">
        <v>0.601</v>
      </c>
      <c r="T195" s="7" t="n">
        <v>0.611</v>
      </c>
      <c r="U195" s="7" t="n">
        <v>0.019</v>
      </c>
      <c r="V195" s="7" t="n">
        <v>0.788</v>
      </c>
      <c r="W195" s="7" t="n">
        <v>0</v>
      </c>
      <c r="X195" s="7" t="n">
        <v>0.597</v>
      </c>
      <c r="Y195" s="7" t="n">
        <v>0.876</v>
      </c>
      <c r="Z195" s="7" t="n">
        <v>-0.074</v>
      </c>
      <c r="AA195" s="7" t="n">
        <v>0.544</v>
      </c>
      <c r="AB195" s="7" t="n">
        <v>-0.028</v>
      </c>
      <c r="AC195" s="7" t="n">
        <v>0.033</v>
      </c>
      <c r="AD195" s="7" t="n">
        <v>0.669</v>
      </c>
      <c r="AE195" s="7" t="n">
        <v>-0.035</v>
      </c>
      <c r="AF195" s="7" t="n">
        <v>0.033</v>
      </c>
      <c r="AG195" s="7" t="n">
        <v>0.245</v>
      </c>
      <c r="AH195" s="7" t="n">
        <v>-0.136</v>
      </c>
      <c r="AI195" s="7" t="n">
        <v>0.092</v>
      </c>
      <c r="AJ195" s="7" t="n">
        <v>0.616</v>
      </c>
      <c r="AK195" s="7" t="n">
        <v>0.599</v>
      </c>
      <c r="AL195" s="7" t="n">
        <v>0.119</v>
      </c>
      <c r="AM195" s="7" t="n">
        <v>0.06</v>
      </c>
      <c r="AN195" s="7" t="n">
        <v>0.714</v>
      </c>
      <c r="AO195" s="7" t="n">
        <v>-0.067</v>
      </c>
      <c r="AP195" s="7" t="n">
        <v>0.02</v>
      </c>
      <c r="AQ195" s="7" t="n">
        <v>0.033</v>
      </c>
    </row>
    <row r="196" customFormat="false" ht="15" hidden="false" customHeight="false" outlineLevel="0" collapsed="false">
      <c r="A196" s="23" t="n">
        <v>46513</v>
      </c>
      <c r="B196" s="7" t="n">
        <v>0.45</v>
      </c>
      <c r="C196" s="7" t="n">
        <v>0.848</v>
      </c>
      <c r="D196" s="7" t="n">
        <v>-0.024</v>
      </c>
      <c r="E196" s="7" t="n">
        <v>0</v>
      </c>
      <c r="F196" s="7" t="n">
        <v>0.61</v>
      </c>
      <c r="G196" s="7" t="n">
        <v>0.433</v>
      </c>
      <c r="H196" s="7" t="n">
        <v>-0.089</v>
      </c>
      <c r="I196" s="7" t="n">
        <v>-0.021</v>
      </c>
      <c r="J196" s="7" t="n">
        <v>-0.207</v>
      </c>
      <c r="K196" s="7" t="n">
        <v>0</v>
      </c>
      <c r="L196" s="7" t="n">
        <v>0.899</v>
      </c>
      <c r="M196" s="7" t="n">
        <v>-0.28</v>
      </c>
      <c r="N196" s="7" t="n">
        <v>0.335</v>
      </c>
      <c r="O196" s="7" t="n">
        <v>0.213</v>
      </c>
      <c r="P196" s="7" t="n">
        <v>0.641</v>
      </c>
      <c r="Q196" s="7" t="n">
        <v>0.85</v>
      </c>
      <c r="R196" s="7" t="n">
        <v>-0.014</v>
      </c>
      <c r="S196" s="7" t="n">
        <v>0</v>
      </c>
      <c r="T196" s="7" t="n">
        <v>-0.094</v>
      </c>
      <c r="U196" s="7" t="n">
        <v>0.838</v>
      </c>
      <c r="V196" s="7" t="n">
        <v>0.176</v>
      </c>
      <c r="W196" s="7" t="n">
        <v>0.269</v>
      </c>
      <c r="X196" s="7" t="n">
        <v>-0.219</v>
      </c>
      <c r="Y196" s="7" t="n">
        <v>0.612</v>
      </c>
      <c r="Z196" s="7" t="n">
        <v>0</v>
      </c>
      <c r="AA196" s="7" t="n">
        <v>-0.093</v>
      </c>
      <c r="AB196" s="7" t="n">
        <v>-0.019</v>
      </c>
      <c r="AC196" s="7" t="n">
        <v>0.883</v>
      </c>
      <c r="AD196" s="7" t="n">
        <v>0.079</v>
      </c>
      <c r="AE196" s="7" t="n">
        <v>0.65</v>
      </c>
      <c r="AF196" s="7" t="n">
        <v>0.852</v>
      </c>
      <c r="AG196" s="7" t="n">
        <v>0.117</v>
      </c>
      <c r="AH196" s="7" t="n">
        <v>-0.255</v>
      </c>
      <c r="AI196" s="7" t="n">
        <v>0.831</v>
      </c>
      <c r="AJ196" s="7" t="n">
        <v>-0.042</v>
      </c>
      <c r="AK196" s="7" t="n">
        <v>0.114</v>
      </c>
      <c r="AL196" s="7" t="n">
        <v>0.754</v>
      </c>
      <c r="AM196" s="7" t="n">
        <v>0.077</v>
      </c>
      <c r="AN196" s="7" t="n">
        <v>0.116</v>
      </c>
      <c r="AO196" s="7" t="n">
        <v>-0.096</v>
      </c>
      <c r="AP196" s="7" t="n">
        <v>0</v>
      </c>
      <c r="AQ196" s="7" t="n">
        <v>0.805</v>
      </c>
    </row>
    <row r="197" customFormat="false" ht="15" hidden="false" customHeight="false" outlineLevel="0" collapsed="false">
      <c r="A197" s="23" t="n">
        <v>46514</v>
      </c>
      <c r="B197" s="7" t="n">
        <v>-0.574</v>
      </c>
      <c r="C197" s="7" t="n">
        <v>-0.025</v>
      </c>
      <c r="D197" s="7" t="n">
        <v>-0.038</v>
      </c>
      <c r="E197" s="7" t="n">
        <v>-0.078</v>
      </c>
      <c r="F197" s="7" t="n">
        <v>-0.723</v>
      </c>
      <c r="G197" s="7" t="n">
        <v>0.575</v>
      </c>
      <c r="H197" s="7" t="n">
        <v>-0.2</v>
      </c>
      <c r="I197" s="7" t="n">
        <v>-0.43</v>
      </c>
      <c r="J197" s="7" t="n">
        <v>-0.305</v>
      </c>
      <c r="K197" s="7" t="n">
        <v>-0.078</v>
      </c>
      <c r="L197" s="7" t="n">
        <v>0.1</v>
      </c>
      <c r="M197" s="7" t="n">
        <v>-0.349</v>
      </c>
      <c r="N197" s="7" t="n">
        <v>-0.723</v>
      </c>
      <c r="O197" s="7" t="n">
        <v>-0.742</v>
      </c>
      <c r="P197" s="7" t="n">
        <v>-0.318</v>
      </c>
      <c r="Q197" s="7" t="n">
        <v>0.017</v>
      </c>
      <c r="R197" s="7" t="n">
        <v>-0.14</v>
      </c>
      <c r="S197" s="7" t="n">
        <v>-0.078</v>
      </c>
      <c r="T197" s="7" t="n">
        <v>-0.155</v>
      </c>
      <c r="U197" s="7" t="n">
        <v>-0.235</v>
      </c>
      <c r="V197" s="7" t="n">
        <v>-0.148</v>
      </c>
      <c r="W197" s="7" t="n">
        <v>0.168</v>
      </c>
      <c r="X197" s="7" t="n">
        <v>-0.052</v>
      </c>
      <c r="Y197" s="7" t="n">
        <v>0.576</v>
      </c>
      <c r="Z197" s="7" t="n">
        <v>-0.078</v>
      </c>
      <c r="AA197" s="7" t="n">
        <v>-0.103</v>
      </c>
      <c r="AB197" s="7" t="n">
        <v>-0.125</v>
      </c>
      <c r="AC197" s="7" t="n">
        <v>0.205</v>
      </c>
      <c r="AD197" s="7" t="n">
        <v>-0.187</v>
      </c>
      <c r="AE197" s="7" t="n">
        <v>-0.453</v>
      </c>
      <c r="AF197" s="7" t="n">
        <v>0.067</v>
      </c>
      <c r="AG197" s="7" t="n">
        <v>0</v>
      </c>
      <c r="AH197" s="7" t="n">
        <v>-0.279</v>
      </c>
      <c r="AI197" s="7" t="n">
        <v>-0.116</v>
      </c>
      <c r="AJ197" s="7" t="n">
        <v>-0.262</v>
      </c>
      <c r="AK197" s="7" t="n">
        <v>0.005</v>
      </c>
      <c r="AL197" s="7" t="n">
        <v>-0.346</v>
      </c>
      <c r="AM197" s="7" t="n">
        <v>-0.029</v>
      </c>
      <c r="AN197" s="7" t="n">
        <v>-0.003</v>
      </c>
      <c r="AO197" s="7" t="n">
        <v>-0.173</v>
      </c>
      <c r="AP197" s="7" t="n">
        <v>-0.078</v>
      </c>
      <c r="AQ197" s="7" t="n">
        <v>-0.087</v>
      </c>
    </row>
    <row r="198" customFormat="false" ht="15" hidden="false" customHeight="false" outlineLevel="0" collapsed="false">
      <c r="A198" s="23" t="n">
        <v>46515</v>
      </c>
      <c r="B198" s="7" t="n">
        <v>-0.664</v>
      </c>
      <c r="C198" s="7" t="n">
        <v>-0.766</v>
      </c>
      <c r="D198" s="7" t="n">
        <v>-0.013</v>
      </c>
      <c r="E198" s="7" t="n">
        <v>-0.062</v>
      </c>
      <c r="F198" s="7" t="n">
        <v>-0.676</v>
      </c>
      <c r="G198" s="7" t="n">
        <v>0.592</v>
      </c>
      <c r="H198" s="7" t="n">
        <v>-0.292</v>
      </c>
      <c r="I198" s="7" t="n">
        <v>-0.921</v>
      </c>
      <c r="J198" s="7" t="n">
        <v>-0.862</v>
      </c>
      <c r="K198" s="7" t="n">
        <v>-0.062</v>
      </c>
      <c r="L198" s="7" t="n">
        <v>-0.763</v>
      </c>
      <c r="M198" s="7" t="n">
        <v>-0.334</v>
      </c>
      <c r="N198" s="7" t="n">
        <v>-0.955</v>
      </c>
      <c r="O198" s="7" t="n">
        <v>-0.963</v>
      </c>
      <c r="P198" s="7" t="n">
        <v>-0.313</v>
      </c>
      <c r="Q198" s="7" t="n">
        <v>0.01</v>
      </c>
      <c r="R198" s="7" t="n">
        <v>-0.215</v>
      </c>
      <c r="S198" s="7" t="n">
        <v>-0.062</v>
      </c>
      <c r="T198" s="7" t="n">
        <v>-0.167</v>
      </c>
      <c r="U198" s="7" t="n">
        <v>-0.268</v>
      </c>
      <c r="V198" s="7" t="n">
        <v>-0.217</v>
      </c>
      <c r="W198" s="7" t="n">
        <v>0.176</v>
      </c>
      <c r="X198" s="7" t="n">
        <v>-0.031</v>
      </c>
      <c r="Y198" s="7" t="n">
        <v>0.52</v>
      </c>
      <c r="Z198" s="7" t="n">
        <v>-0.062</v>
      </c>
      <c r="AA198" s="7" t="n">
        <v>-0.203</v>
      </c>
      <c r="AB198" s="7" t="n">
        <v>-0.974</v>
      </c>
      <c r="AC198" s="7" t="n">
        <v>0.213</v>
      </c>
      <c r="AD198" s="7" t="n">
        <v>-0.211</v>
      </c>
      <c r="AE198" s="7" t="n">
        <v>-0.382</v>
      </c>
      <c r="AF198" s="7" t="n">
        <v>0.152</v>
      </c>
      <c r="AG198" s="7" t="n">
        <v>0</v>
      </c>
      <c r="AH198" s="7" t="n">
        <v>-0.278</v>
      </c>
      <c r="AI198" s="7" t="n">
        <v>-0.847</v>
      </c>
      <c r="AJ198" s="7" t="n">
        <v>-0.877</v>
      </c>
      <c r="AK198" s="7" t="n">
        <v>-0.808</v>
      </c>
      <c r="AL198" s="7" t="n">
        <v>-0.318</v>
      </c>
      <c r="AM198" s="7" t="n">
        <v>-0.82</v>
      </c>
      <c r="AN198" s="7" t="n">
        <v>0.025</v>
      </c>
      <c r="AO198" s="7" t="n">
        <v>-0.157</v>
      </c>
      <c r="AP198" s="7" t="n">
        <v>-0.062</v>
      </c>
      <c r="AQ198" s="7" t="n">
        <v>-0.086</v>
      </c>
    </row>
    <row r="199" customFormat="false" ht="15" hidden="false" customHeight="false" outlineLevel="0" collapsed="false">
      <c r="A199" s="23" t="n">
        <v>46516</v>
      </c>
      <c r="B199" s="7" t="n">
        <v>-0.204</v>
      </c>
      <c r="C199" s="7" t="n">
        <v>0.598</v>
      </c>
      <c r="D199" s="7" t="n">
        <v>-0.491</v>
      </c>
      <c r="E199" s="7" t="n">
        <v>0.805</v>
      </c>
      <c r="F199" s="7" t="n">
        <v>-0.149</v>
      </c>
      <c r="G199" s="7" t="n">
        <v>0.028</v>
      </c>
      <c r="H199" s="7" t="n">
        <v>-0.491</v>
      </c>
      <c r="I199" s="7" t="n">
        <v>-0.5</v>
      </c>
      <c r="J199" s="7" t="n">
        <v>-0.277</v>
      </c>
      <c r="K199" s="7" t="n">
        <v>0.601</v>
      </c>
      <c r="L199" s="7" t="n">
        <v>0.313</v>
      </c>
      <c r="M199" s="7" t="n">
        <v>0</v>
      </c>
      <c r="N199" s="7" t="n">
        <v>-0.149</v>
      </c>
      <c r="O199" s="7" t="n">
        <v>-0.664</v>
      </c>
      <c r="P199" s="7" t="n">
        <v>-0.66</v>
      </c>
      <c r="Q199" s="7" t="n">
        <v>-0.093</v>
      </c>
      <c r="R199" s="7" t="n">
        <v>-0.461</v>
      </c>
      <c r="S199" s="7" t="n">
        <v>0.545</v>
      </c>
      <c r="T199" s="7" t="n">
        <v>-0.095</v>
      </c>
      <c r="U199" s="7" t="n">
        <v>0.399</v>
      </c>
      <c r="V199" s="7" t="n">
        <v>-0.271</v>
      </c>
      <c r="W199" s="7" t="n">
        <v>0</v>
      </c>
      <c r="X199" s="7" t="n">
        <v>-0.604</v>
      </c>
      <c r="Y199" s="7" t="n">
        <v>0.588</v>
      </c>
      <c r="Z199" s="7" t="n">
        <v>0.753</v>
      </c>
      <c r="AA199" s="7" t="n">
        <v>-0.123</v>
      </c>
      <c r="AB199" s="7" t="n">
        <v>-0.096</v>
      </c>
      <c r="AC199" s="7" t="n">
        <v>0.038</v>
      </c>
      <c r="AD199" s="7" t="n">
        <v>0.256</v>
      </c>
      <c r="AE199" s="7" t="n">
        <v>0.248</v>
      </c>
      <c r="AF199" s="7" t="n">
        <v>0.489</v>
      </c>
      <c r="AG199" s="7" t="n">
        <v>-0.076</v>
      </c>
      <c r="AH199" s="7" t="n">
        <v>-0.277</v>
      </c>
      <c r="AI199" s="7" t="n">
        <v>0.038</v>
      </c>
      <c r="AJ199" s="7" t="n">
        <v>-0.503</v>
      </c>
      <c r="AK199" s="7" t="n">
        <v>0.036</v>
      </c>
      <c r="AL199" s="7" t="n">
        <v>-0.501</v>
      </c>
      <c r="AM199" s="7" t="n">
        <v>0</v>
      </c>
      <c r="AN199" s="7" t="n">
        <v>-0.326</v>
      </c>
      <c r="AO199" s="7" t="n">
        <v>0.187</v>
      </c>
      <c r="AP199" s="7" t="n">
        <v>0.278</v>
      </c>
      <c r="AQ199" s="7" t="n">
        <v>0.038</v>
      </c>
    </row>
    <row r="200" customFormat="false" ht="15" hidden="false" customHeight="false" outlineLevel="0" collapsed="false">
      <c r="A200" s="23" t="n">
        <v>46517</v>
      </c>
      <c r="B200" s="7" t="n">
        <v>-0.534</v>
      </c>
      <c r="C200" s="7" t="n">
        <v>0.017</v>
      </c>
      <c r="D200" s="7" t="n">
        <v>-0.031</v>
      </c>
      <c r="E200" s="7" t="n">
        <v>0.814</v>
      </c>
      <c r="F200" s="7" t="n">
        <v>-0.638</v>
      </c>
      <c r="G200" s="7" t="n">
        <v>0.113</v>
      </c>
      <c r="H200" s="7" t="n">
        <v>-0.83</v>
      </c>
      <c r="I200" s="7" t="n">
        <v>-0.257</v>
      </c>
      <c r="J200" s="7" t="n">
        <v>-0.221</v>
      </c>
      <c r="K200" s="7" t="n">
        <v>0.622</v>
      </c>
      <c r="L200" s="7" t="n">
        <v>0.193</v>
      </c>
      <c r="M200" s="7" t="n">
        <v>0.061</v>
      </c>
      <c r="N200" s="7" t="n">
        <v>-0.416</v>
      </c>
      <c r="O200" s="7" t="n">
        <v>-0.416</v>
      </c>
      <c r="P200" s="7" t="n">
        <v>-0.259</v>
      </c>
      <c r="Q200" s="7" t="n">
        <v>-0.218</v>
      </c>
      <c r="R200" s="7" t="n">
        <v>-0.822</v>
      </c>
      <c r="S200" s="7" t="n">
        <v>0.465</v>
      </c>
      <c r="T200" s="7" t="n">
        <v>-0.171</v>
      </c>
      <c r="U200" s="7" t="n">
        <v>-0.666</v>
      </c>
      <c r="V200" s="7" t="n">
        <v>-0.678</v>
      </c>
      <c r="W200" s="7" t="n">
        <v>0</v>
      </c>
      <c r="X200" s="7" t="n">
        <v>-0.044</v>
      </c>
      <c r="Y200" s="7" t="n">
        <v>-0.587</v>
      </c>
      <c r="Z200" s="7" t="n">
        <v>0.767</v>
      </c>
      <c r="AA200" s="7" t="n">
        <v>-0.811</v>
      </c>
      <c r="AB200" s="7" t="n">
        <v>-0.036</v>
      </c>
      <c r="AC200" s="7" t="n">
        <v>-0.09</v>
      </c>
      <c r="AD200" s="7" t="n">
        <v>-0.092</v>
      </c>
      <c r="AE200" s="7" t="n">
        <v>-0.126</v>
      </c>
      <c r="AF200" s="7" t="n">
        <v>-0.078</v>
      </c>
      <c r="AG200" s="7" t="n">
        <v>0</v>
      </c>
      <c r="AH200" s="7" t="n">
        <v>-0.265</v>
      </c>
      <c r="AI200" s="7" t="n">
        <v>-0.09</v>
      </c>
      <c r="AJ200" s="7" t="n">
        <v>-0.198</v>
      </c>
      <c r="AK200" s="7" t="n">
        <v>-0.042</v>
      </c>
      <c r="AL200" s="7" t="n">
        <v>-0.288</v>
      </c>
      <c r="AM200" s="7" t="n">
        <v>0</v>
      </c>
      <c r="AN200" s="7" t="n">
        <v>-0.658</v>
      </c>
      <c r="AO200" s="7" t="n">
        <v>0.244</v>
      </c>
      <c r="AP200" s="7" t="n">
        <v>0.278</v>
      </c>
      <c r="AQ200" s="7" t="n">
        <v>-0.09</v>
      </c>
    </row>
    <row r="201" customFormat="false" ht="15" hidden="false" customHeight="false" outlineLevel="0" collapsed="false">
      <c r="A201" s="23" t="n">
        <v>46518</v>
      </c>
      <c r="B201" s="7" t="n">
        <v>-0.636</v>
      </c>
      <c r="C201" s="7" t="n">
        <v>-0.605</v>
      </c>
      <c r="D201" s="7" t="n">
        <v>-0.035</v>
      </c>
      <c r="E201" s="7" t="n">
        <v>0.185</v>
      </c>
      <c r="F201" s="7" t="n">
        <v>-0.891</v>
      </c>
      <c r="G201" s="7" t="n">
        <v>0.108</v>
      </c>
      <c r="H201" s="7" t="n">
        <v>-0.076</v>
      </c>
      <c r="I201" s="7" t="n">
        <v>-0.325</v>
      </c>
      <c r="J201" s="7" t="n">
        <v>-0.846</v>
      </c>
      <c r="K201" s="7" t="n">
        <v>0</v>
      </c>
      <c r="L201" s="7" t="n">
        <v>0.148</v>
      </c>
      <c r="M201" s="7" t="n">
        <v>-0.853</v>
      </c>
      <c r="N201" s="7" t="n">
        <v>-0.807</v>
      </c>
      <c r="O201" s="7" t="n">
        <v>-0.942</v>
      </c>
      <c r="P201" s="7" t="n">
        <v>-0.211</v>
      </c>
      <c r="Q201" s="7" t="n">
        <v>-0.166</v>
      </c>
      <c r="R201" s="7" t="n">
        <v>-0.076</v>
      </c>
      <c r="S201" s="7" t="n">
        <v>0.185</v>
      </c>
      <c r="T201" s="7" t="n">
        <v>-0.171</v>
      </c>
      <c r="U201" s="7" t="n">
        <v>0.104</v>
      </c>
      <c r="V201" s="7" t="n">
        <v>-0.18</v>
      </c>
      <c r="W201" s="7" t="n">
        <v>0</v>
      </c>
      <c r="X201" s="7" t="n">
        <v>-0.047</v>
      </c>
      <c r="Y201" s="7" t="n">
        <v>0.095</v>
      </c>
      <c r="Z201" s="7" t="n">
        <v>0.185</v>
      </c>
      <c r="AA201" s="7" t="n">
        <v>-0.042</v>
      </c>
      <c r="AB201" s="7" t="n">
        <v>-0.81</v>
      </c>
      <c r="AC201" s="7" t="n">
        <v>-0.036</v>
      </c>
      <c r="AD201" s="7" t="n">
        <v>0.152</v>
      </c>
      <c r="AE201" s="7" t="n">
        <v>-0.665</v>
      </c>
      <c r="AF201" s="7" t="n">
        <v>-0.036</v>
      </c>
      <c r="AG201" s="7" t="n">
        <v>0</v>
      </c>
      <c r="AH201" s="7" t="n">
        <v>-0.779</v>
      </c>
      <c r="AI201" s="7" t="n">
        <v>-0.038</v>
      </c>
      <c r="AJ201" s="7" t="n">
        <v>-0.203</v>
      </c>
      <c r="AK201" s="7" t="n">
        <v>-0.044</v>
      </c>
      <c r="AL201" s="7" t="n">
        <v>-0.759</v>
      </c>
      <c r="AM201" s="7" t="n">
        <v>-0.002</v>
      </c>
      <c r="AN201" s="7" t="n">
        <v>-0.076</v>
      </c>
      <c r="AO201" s="7" t="n">
        <v>-0.551</v>
      </c>
      <c r="AP201" s="7" t="n">
        <v>0.185</v>
      </c>
      <c r="AQ201" s="7" t="n">
        <v>-0.036</v>
      </c>
    </row>
    <row r="202" customFormat="false" ht="15" hidden="false" customHeight="false" outlineLevel="0" collapsed="false">
      <c r="A202" s="23" t="n">
        <v>46519</v>
      </c>
      <c r="B202" s="7" t="n">
        <v>-0.602</v>
      </c>
      <c r="C202" s="7" t="n">
        <v>-0.658</v>
      </c>
      <c r="D202" s="7" t="n">
        <v>-0.034</v>
      </c>
      <c r="E202" s="7" t="n">
        <v>0</v>
      </c>
      <c r="F202" s="7" t="n">
        <v>-0.539</v>
      </c>
      <c r="G202" s="7" t="n">
        <v>-0.155</v>
      </c>
      <c r="H202" s="7" t="n">
        <v>-0.836</v>
      </c>
      <c r="I202" s="7" t="n">
        <v>-0.71</v>
      </c>
      <c r="J202" s="7" t="n">
        <v>-0.112</v>
      </c>
      <c r="K202" s="7" t="n">
        <v>0</v>
      </c>
      <c r="L202" s="7" t="n">
        <v>-0.091</v>
      </c>
      <c r="M202" s="7" t="n">
        <v>-0.022</v>
      </c>
      <c r="N202" s="7" t="n">
        <v>-0.277</v>
      </c>
      <c r="O202" s="7" t="n">
        <v>-0.235</v>
      </c>
      <c r="P202" s="7" t="n">
        <v>-0.271</v>
      </c>
      <c r="Q202" s="7" t="n">
        <v>-0.223</v>
      </c>
      <c r="R202" s="7" t="n">
        <v>-0.856</v>
      </c>
      <c r="S202" s="7" t="n">
        <v>0</v>
      </c>
      <c r="T202" s="7" t="n">
        <v>-0.866</v>
      </c>
      <c r="U202" s="7" t="n">
        <v>-0.142</v>
      </c>
      <c r="V202" s="7" t="n">
        <v>-0.639</v>
      </c>
      <c r="W202" s="7" t="n">
        <v>0</v>
      </c>
      <c r="X202" s="7" t="n">
        <v>-0.051</v>
      </c>
      <c r="Y202" s="7" t="n">
        <v>-0.168</v>
      </c>
      <c r="Z202" s="7" t="n">
        <v>0</v>
      </c>
      <c r="AA202" s="7" t="n">
        <v>-0.846</v>
      </c>
      <c r="AB202" s="7" t="n">
        <v>-0.062</v>
      </c>
      <c r="AC202" s="7" t="n">
        <v>-0.096</v>
      </c>
      <c r="AD202" s="7" t="n">
        <v>-0.034</v>
      </c>
      <c r="AE202" s="7" t="n">
        <v>-0.103</v>
      </c>
      <c r="AF202" s="7" t="n">
        <v>-0.096</v>
      </c>
      <c r="AG202" s="7" t="n">
        <v>0</v>
      </c>
      <c r="AH202" s="7" t="n">
        <v>-0.113</v>
      </c>
      <c r="AI202" s="7" t="n">
        <v>-0.135</v>
      </c>
      <c r="AJ202" s="7" t="n">
        <v>-0.659</v>
      </c>
      <c r="AK202" s="7" t="n">
        <v>-0.527</v>
      </c>
      <c r="AL202" s="7" t="n">
        <v>-0.295</v>
      </c>
      <c r="AM202" s="7" t="n">
        <v>-0.04</v>
      </c>
      <c r="AN202" s="7" t="n">
        <v>-0.585</v>
      </c>
      <c r="AO202" s="7" t="n">
        <v>-0.007</v>
      </c>
      <c r="AP202" s="7" t="n">
        <v>0</v>
      </c>
      <c r="AQ202" s="7" t="n">
        <v>-0.096</v>
      </c>
    </row>
    <row r="203" customFormat="false" ht="15" hidden="false" customHeight="false" outlineLevel="0" collapsed="false">
      <c r="A203" s="23" t="n">
        <v>46520</v>
      </c>
      <c r="B203" s="7" t="n">
        <v>0.407</v>
      </c>
      <c r="C203" s="7" t="n">
        <v>0.515</v>
      </c>
      <c r="D203" s="7" t="n">
        <v>-0.033</v>
      </c>
      <c r="E203" s="7" t="n">
        <v>0.965</v>
      </c>
      <c r="F203" s="7" t="n">
        <v>0.434</v>
      </c>
      <c r="G203" s="7" t="n">
        <v>0.026</v>
      </c>
      <c r="H203" s="7" t="n">
        <v>-0.128</v>
      </c>
      <c r="I203" s="7" t="n">
        <v>-0.605</v>
      </c>
      <c r="J203" s="7" t="n">
        <v>-0.434</v>
      </c>
      <c r="K203" s="7" t="n">
        <v>0.96</v>
      </c>
      <c r="L203" s="7" t="n">
        <v>0.753</v>
      </c>
      <c r="M203" s="7" t="n">
        <v>0.011</v>
      </c>
      <c r="N203" s="7" t="n">
        <v>0.646</v>
      </c>
      <c r="O203" s="7" t="n">
        <v>0.725</v>
      </c>
      <c r="P203" s="7" t="n">
        <v>-0.231</v>
      </c>
      <c r="Q203" s="7" t="n">
        <v>-0.21</v>
      </c>
      <c r="R203" s="7" t="n">
        <v>-0.128</v>
      </c>
      <c r="S203" s="7" t="n">
        <v>0.806</v>
      </c>
      <c r="T203" s="7" t="n">
        <v>-0.223</v>
      </c>
      <c r="U203" s="7" t="n">
        <v>-0.459</v>
      </c>
      <c r="V203" s="7" t="n">
        <v>-0.389</v>
      </c>
      <c r="W203" s="7" t="n">
        <v>0</v>
      </c>
      <c r="X203" s="7" t="n">
        <v>-0.022</v>
      </c>
      <c r="Y203" s="7" t="n">
        <v>0.039</v>
      </c>
      <c r="Z203" s="7" t="n">
        <v>0.96</v>
      </c>
      <c r="AA203" s="7" t="n">
        <v>-0.096</v>
      </c>
      <c r="AB203" s="7" t="n">
        <v>-0.443</v>
      </c>
      <c r="AC203" s="7" t="n">
        <v>-0.082</v>
      </c>
      <c r="AD203" s="7" t="n">
        <v>0.885</v>
      </c>
      <c r="AE203" s="7" t="n">
        <v>0.729</v>
      </c>
      <c r="AF203" s="7" t="n">
        <v>-0.242</v>
      </c>
      <c r="AG203" s="7" t="n">
        <v>0</v>
      </c>
      <c r="AH203" s="7" t="n">
        <v>-0.04</v>
      </c>
      <c r="AI203" s="7" t="n">
        <v>-0.175</v>
      </c>
      <c r="AJ203" s="7" t="n">
        <v>-0.336</v>
      </c>
      <c r="AK203" s="7" t="n">
        <v>-0.158</v>
      </c>
      <c r="AL203" s="7" t="n">
        <v>-0.254</v>
      </c>
      <c r="AM203" s="7" t="n">
        <v>-0.095</v>
      </c>
      <c r="AN203" s="7" t="n">
        <v>-0.159</v>
      </c>
      <c r="AO203" s="7" t="n">
        <v>0.809</v>
      </c>
      <c r="AP203" s="7" t="n">
        <v>0.809</v>
      </c>
      <c r="AQ203" s="7" t="n">
        <v>-0.082</v>
      </c>
    </row>
    <row r="204" customFormat="false" ht="15" hidden="false" customHeight="false" outlineLevel="0" collapsed="false">
      <c r="A204" s="23" t="n">
        <v>46521</v>
      </c>
      <c r="B204" s="7" t="n">
        <v>-0.647</v>
      </c>
      <c r="C204" s="7" t="n">
        <v>-0.205</v>
      </c>
      <c r="D204" s="7" t="n">
        <v>-0.193</v>
      </c>
      <c r="E204" s="7" t="n">
        <v>0</v>
      </c>
      <c r="F204" s="7" t="n">
        <v>-0.662</v>
      </c>
      <c r="G204" s="7" t="n">
        <v>0.295</v>
      </c>
      <c r="H204" s="7" t="n">
        <v>0.002</v>
      </c>
      <c r="I204" s="7" t="n">
        <v>-0.386</v>
      </c>
      <c r="J204" s="7" t="n">
        <v>-0.257</v>
      </c>
      <c r="K204" s="7" t="n">
        <v>0</v>
      </c>
      <c r="L204" s="7" t="n">
        <v>-0.096</v>
      </c>
      <c r="M204" s="7" t="n">
        <v>-0.257</v>
      </c>
      <c r="N204" s="7" t="n">
        <v>-0.448</v>
      </c>
      <c r="O204" s="7" t="n">
        <v>-0.448</v>
      </c>
      <c r="P204" s="7" t="n">
        <v>-0.274</v>
      </c>
      <c r="Q204" s="7" t="n">
        <v>-0.223</v>
      </c>
      <c r="R204" s="7" t="n">
        <v>-0.472</v>
      </c>
      <c r="S204" s="7" t="n">
        <v>-0.2</v>
      </c>
      <c r="T204" s="7" t="n">
        <v>-0.688</v>
      </c>
      <c r="U204" s="7" t="n">
        <v>-0.247</v>
      </c>
      <c r="V204" s="7" t="n">
        <v>-0.343</v>
      </c>
      <c r="W204" s="7" t="n">
        <v>0</v>
      </c>
      <c r="X204" s="7" t="n">
        <v>-0.391</v>
      </c>
      <c r="Y204" s="7" t="n">
        <v>-0.033</v>
      </c>
      <c r="Z204" s="7" t="n">
        <v>-0.118</v>
      </c>
      <c r="AA204" s="7" t="n">
        <v>-0.501</v>
      </c>
      <c r="AB204" s="7" t="n">
        <v>-0.076</v>
      </c>
      <c r="AC204" s="7" t="n">
        <v>-0.096</v>
      </c>
      <c r="AD204" s="7" t="n">
        <v>-0.413</v>
      </c>
      <c r="AE204" s="7" t="n">
        <v>-0.17</v>
      </c>
      <c r="AF204" s="7" t="n">
        <v>-0.096</v>
      </c>
      <c r="AG204" s="7" t="n">
        <v>0</v>
      </c>
      <c r="AH204" s="7" t="n">
        <v>-0.075</v>
      </c>
      <c r="AI204" s="7" t="n">
        <v>-0.096</v>
      </c>
      <c r="AJ204" s="7" t="n">
        <v>-0.447</v>
      </c>
      <c r="AK204" s="7" t="n">
        <v>-0.376</v>
      </c>
      <c r="AL204" s="7" t="n">
        <v>0.007</v>
      </c>
      <c r="AM204" s="7" t="n">
        <v>0</v>
      </c>
      <c r="AN204" s="7" t="n">
        <v>-0.343</v>
      </c>
      <c r="AO204" s="7" t="n">
        <v>0.159</v>
      </c>
      <c r="AP204" s="7" t="n">
        <v>0</v>
      </c>
      <c r="AQ204" s="7" t="n">
        <v>-0.096</v>
      </c>
    </row>
    <row r="205" customFormat="false" ht="15" hidden="false" customHeight="false" outlineLevel="0" collapsed="false">
      <c r="A205" s="23" t="n">
        <v>46522</v>
      </c>
      <c r="B205" s="7" t="n">
        <v>-0.295</v>
      </c>
      <c r="C205" s="7" t="n">
        <v>-0.121</v>
      </c>
      <c r="D205" s="7" t="n">
        <v>0.157</v>
      </c>
      <c r="E205" s="7" t="n">
        <v>0.11</v>
      </c>
      <c r="F205" s="7" t="n">
        <v>-0.517</v>
      </c>
      <c r="G205" s="7" t="n">
        <v>0.238</v>
      </c>
      <c r="H205" s="7" t="n">
        <v>-0.034</v>
      </c>
      <c r="I205" s="7" t="n">
        <v>-0.103</v>
      </c>
      <c r="J205" s="7" t="n">
        <v>-0.206</v>
      </c>
      <c r="K205" s="7" t="n">
        <v>0.057</v>
      </c>
      <c r="L205" s="7" t="n">
        <v>0.051</v>
      </c>
      <c r="M205" s="7" t="n">
        <v>-0.203</v>
      </c>
      <c r="N205" s="7" t="n">
        <v>-0.368</v>
      </c>
      <c r="O205" s="7" t="n">
        <v>-0.381</v>
      </c>
      <c r="P205" s="7" t="n">
        <v>-0.152</v>
      </c>
      <c r="Q205" s="7" t="n">
        <v>-0.188</v>
      </c>
      <c r="R205" s="7" t="n">
        <v>-0.034</v>
      </c>
      <c r="S205" s="7" t="n">
        <v>0.021</v>
      </c>
      <c r="T205" s="7" t="n">
        <v>-0.173</v>
      </c>
      <c r="U205" s="7" t="n">
        <v>0.537</v>
      </c>
      <c r="V205" s="7" t="n">
        <v>-0.034</v>
      </c>
      <c r="W205" s="7" t="n">
        <v>0</v>
      </c>
      <c r="X205" s="7" t="n">
        <v>0.037</v>
      </c>
      <c r="Y205" s="7" t="n">
        <v>0.541</v>
      </c>
      <c r="Z205" s="7" t="n">
        <v>0.021</v>
      </c>
      <c r="AA205" s="7" t="n">
        <v>-0.043</v>
      </c>
      <c r="AB205" s="7" t="n">
        <v>-0.023</v>
      </c>
      <c r="AC205" s="7" t="n">
        <v>-0.059</v>
      </c>
      <c r="AD205" s="7" t="n">
        <v>0.03</v>
      </c>
      <c r="AE205" s="7" t="n">
        <v>-0.078</v>
      </c>
      <c r="AF205" s="7" t="n">
        <v>-0.059</v>
      </c>
      <c r="AG205" s="7" t="n">
        <v>0.042</v>
      </c>
      <c r="AH205" s="7" t="n">
        <v>0.255</v>
      </c>
      <c r="AI205" s="7" t="n">
        <v>-0.006</v>
      </c>
      <c r="AJ205" s="7" t="n">
        <v>-0.103</v>
      </c>
      <c r="AK205" s="7" t="n">
        <v>0.01</v>
      </c>
      <c r="AL205" s="7" t="n">
        <v>0.337</v>
      </c>
      <c r="AM205" s="7" t="n">
        <v>0.053</v>
      </c>
      <c r="AN205" s="7" t="n">
        <v>-0.034</v>
      </c>
      <c r="AO205" s="7" t="n">
        <v>0.48</v>
      </c>
      <c r="AP205" s="7" t="n">
        <v>0.057</v>
      </c>
      <c r="AQ205" s="7" t="n">
        <v>-0.059</v>
      </c>
    </row>
    <row r="206" customFormat="false" ht="15" hidden="false" customHeight="false" outlineLevel="0" collapsed="false">
      <c r="A206" s="23" t="n">
        <v>46523</v>
      </c>
      <c r="B206" s="7" t="n">
        <v>-0.685</v>
      </c>
      <c r="C206" s="7" t="n">
        <v>-0.863</v>
      </c>
      <c r="D206" s="7" t="n">
        <v>0</v>
      </c>
      <c r="E206" s="7" t="n">
        <v>0.242</v>
      </c>
      <c r="F206" s="7" t="n">
        <v>-0.675</v>
      </c>
      <c r="G206" s="7" t="n">
        <v>-0.307</v>
      </c>
      <c r="H206" s="7" t="n">
        <v>-0.234</v>
      </c>
      <c r="I206" s="7" t="n">
        <v>-0.86</v>
      </c>
      <c r="J206" s="7" t="n">
        <v>-0.703</v>
      </c>
      <c r="K206" s="7" t="n">
        <v>0.739</v>
      </c>
      <c r="L206" s="7" t="n">
        <v>-0.764</v>
      </c>
      <c r="M206" s="7" t="n">
        <v>-0.484</v>
      </c>
      <c r="N206" s="7" t="n">
        <v>-0.864</v>
      </c>
      <c r="O206" s="7" t="n">
        <v>-0.787</v>
      </c>
      <c r="P206" s="7" t="n">
        <v>-0.106</v>
      </c>
      <c r="Q206" s="7" t="n">
        <v>-0.14</v>
      </c>
      <c r="R206" s="7" t="n">
        <v>-0.234</v>
      </c>
      <c r="S206" s="7" t="n">
        <v>0.124</v>
      </c>
      <c r="T206" s="7" t="n">
        <v>-0.179</v>
      </c>
      <c r="U206" s="7" t="n">
        <v>-0.305</v>
      </c>
      <c r="V206" s="7" t="n">
        <v>-0.458</v>
      </c>
      <c r="W206" s="7" t="n">
        <v>0</v>
      </c>
      <c r="X206" s="7" t="n">
        <v>0.034</v>
      </c>
      <c r="Y206" s="7" t="n">
        <v>-0.342</v>
      </c>
      <c r="Z206" s="7" t="n">
        <v>0.585</v>
      </c>
      <c r="AA206" s="7" t="n">
        <v>-0.234</v>
      </c>
      <c r="AB206" s="7" t="n">
        <v>-0.792</v>
      </c>
      <c r="AC206" s="7" t="n">
        <v>-0.055</v>
      </c>
      <c r="AD206" s="7" t="n">
        <v>0.017</v>
      </c>
      <c r="AE206" s="7" t="n">
        <v>-0.36</v>
      </c>
      <c r="AF206" s="7" t="n">
        <v>0.266</v>
      </c>
      <c r="AG206" s="7" t="n">
        <v>0</v>
      </c>
      <c r="AH206" s="7" t="n">
        <v>-0.291</v>
      </c>
      <c r="AI206" s="7" t="n">
        <v>-0.628</v>
      </c>
      <c r="AJ206" s="7" t="n">
        <v>-0.778</v>
      </c>
      <c r="AK206" s="7" t="n">
        <v>-0.726</v>
      </c>
      <c r="AL206" s="7" t="n">
        <v>-0.211</v>
      </c>
      <c r="AM206" s="7" t="n">
        <v>-0.593</v>
      </c>
      <c r="AN206" s="7" t="n">
        <v>-0.234</v>
      </c>
      <c r="AO206" s="7" t="n">
        <v>-0.33</v>
      </c>
      <c r="AP206" s="7" t="n">
        <v>-0.261</v>
      </c>
      <c r="AQ206" s="7" t="n">
        <v>-0.055</v>
      </c>
    </row>
    <row r="207" customFormat="false" ht="15" hidden="false" customHeight="false" outlineLevel="0" collapsed="false">
      <c r="A207" s="23" t="n">
        <v>46524</v>
      </c>
      <c r="B207" s="7" t="n">
        <v>-0.564</v>
      </c>
      <c r="C207" s="7" t="n">
        <v>-0.467</v>
      </c>
      <c r="D207" s="7" t="n">
        <v>-0.153</v>
      </c>
      <c r="E207" s="7" t="n">
        <v>0.498</v>
      </c>
      <c r="F207" s="7" t="n">
        <v>-0.57</v>
      </c>
      <c r="G207" s="7" t="n">
        <v>-0.263</v>
      </c>
      <c r="H207" s="7" t="n">
        <v>-0.58</v>
      </c>
      <c r="I207" s="7" t="n">
        <v>-0.606</v>
      </c>
      <c r="J207" s="7" t="n">
        <v>-0.303</v>
      </c>
      <c r="K207" s="7" t="n">
        <v>0.736</v>
      </c>
      <c r="L207" s="7" t="n">
        <v>-0.263</v>
      </c>
      <c r="M207" s="7" t="n">
        <v>-0.326</v>
      </c>
      <c r="N207" s="7" t="n">
        <v>-0.476</v>
      </c>
      <c r="O207" s="7" t="n">
        <v>-0.369</v>
      </c>
      <c r="P207" s="7" t="n">
        <v>-0.244</v>
      </c>
      <c r="Q207" s="7" t="n">
        <v>-0.213</v>
      </c>
      <c r="R207" s="7" t="n">
        <v>-0.551</v>
      </c>
      <c r="S207" s="7" t="n">
        <v>0.205</v>
      </c>
      <c r="T207" s="7" t="n">
        <v>-0.255</v>
      </c>
      <c r="U207" s="7" t="n">
        <v>-0.378</v>
      </c>
      <c r="V207" s="7" t="n">
        <v>-0.486</v>
      </c>
      <c r="W207" s="7" t="n">
        <v>0</v>
      </c>
      <c r="X207" s="7" t="n">
        <v>-0.032</v>
      </c>
      <c r="Y207" s="7" t="n">
        <v>-0.335</v>
      </c>
      <c r="Z207" s="7" t="n">
        <v>0.673</v>
      </c>
      <c r="AA207" s="7" t="n">
        <v>-0.551</v>
      </c>
      <c r="AB207" s="7" t="n">
        <v>-0.127</v>
      </c>
      <c r="AC207" s="7" t="n">
        <v>-0.052</v>
      </c>
      <c r="AD207" s="7" t="n">
        <v>0.148</v>
      </c>
      <c r="AE207" s="7" t="n">
        <v>-0.211</v>
      </c>
      <c r="AF207" s="7" t="n">
        <v>0.224</v>
      </c>
      <c r="AG207" s="7" t="n">
        <v>0</v>
      </c>
      <c r="AH207" s="7" t="n">
        <v>-0.288</v>
      </c>
      <c r="AI207" s="7" t="n">
        <v>-0.147</v>
      </c>
      <c r="AJ207" s="7" t="n">
        <v>-0.376</v>
      </c>
      <c r="AK207" s="7" t="n">
        <v>-0.27</v>
      </c>
      <c r="AL207" s="7" t="n">
        <v>-0.245</v>
      </c>
      <c r="AM207" s="7" t="n">
        <v>-0.096</v>
      </c>
      <c r="AN207" s="7" t="n">
        <v>-0.179</v>
      </c>
      <c r="AO207" s="7" t="n">
        <v>-0.152</v>
      </c>
      <c r="AP207" s="7" t="n">
        <v>-0.12</v>
      </c>
      <c r="AQ207" s="7" t="n">
        <v>-0.052</v>
      </c>
    </row>
    <row r="208" customFormat="false" ht="15" hidden="false" customHeight="false" outlineLevel="0" collapsed="false">
      <c r="A208" s="23" t="n">
        <v>46525</v>
      </c>
      <c r="B208" s="7" t="n">
        <v>-0.526</v>
      </c>
      <c r="C208" s="7" t="n">
        <v>-0.082</v>
      </c>
      <c r="D208" s="7" t="n">
        <v>0</v>
      </c>
      <c r="E208" s="7" t="n">
        <v>0.183</v>
      </c>
      <c r="F208" s="7" t="n">
        <v>-0.548</v>
      </c>
      <c r="G208" s="7" t="n">
        <v>0.132</v>
      </c>
      <c r="H208" s="7" t="n">
        <v>-0.635</v>
      </c>
      <c r="I208" s="7" t="n">
        <v>-0.369</v>
      </c>
      <c r="J208" s="7" t="n">
        <v>-0.254</v>
      </c>
      <c r="K208" s="7" t="n">
        <v>0.044</v>
      </c>
      <c r="L208" s="7" t="n">
        <v>-0.722</v>
      </c>
      <c r="M208" s="7" t="n">
        <v>-0.074</v>
      </c>
      <c r="N208" s="7" t="n">
        <v>-0.396</v>
      </c>
      <c r="O208" s="7" t="n">
        <v>-0.866</v>
      </c>
      <c r="P208" s="7" t="n">
        <v>-0.283</v>
      </c>
      <c r="Q208" s="7" t="n">
        <v>-0.853</v>
      </c>
      <c r="R208" s="7" t="n">
        <v>-0.656</v>
      </c>
      <c r="S208" s="7" t="n">
        <v>0.183</v>
      </c>
      <c r="T208" s="7" t="n">
        <v>-0.209</v>
      </c>
      <c r="U208" s="7" t="n">
        <v>-0.603</v>
      </c>
      <c r="V208" s="7" t="n">
        <v>-0.609</v>
      </c>
      <c r="W208" s="7" t="n">
        <v>-0.784</v>
      </c>
      <c r="X208" s="7" t="n">
        <v>0.037</v>
      </c>
      <c r="Y208" s="7" t="n">
        <v>-0.564</v>
      </c>
      <c r="Z208" s="7" t="n">
        <v>0.183</v>
      </c>
      <c r="AA208" s="7" t="n">
        <v>-0.656</v>
      </c>
      <c r="AB208" s="7" t="n">
        <v>-0.075</v>
      </c>
      <c r="AC208" s="7" t="n">
        <v>-0.8</v>
      </c>
      <c r="AD208" s="7" t="n">
        <v>0.158</v>
      </c>
      <c r="AE208" s="7" t="n">
        <v>-0.118</v>
      </c>
      <c r="AF208" s="7" t="n">
        <v>0.03</v>
      </c>
      <c r="AG208" s="7" t="n">
        <v>0</v>
      </c>
      <c r="AH208" s="7" t="n">
        <v>-0.328</v>
      </c>
      <c r="AI208" s="7" t="n">
        <v>-0.159</v>
      </c>
      <c r="AJ208" s="7" t="n">
        <v>-0.159</v>
      </c>
      <c r="AK208" s="7" t="n">
        <v>-0.044</v>
      </c>
      <c r="AL208" s="7" t="n">
        <v>-0.343</v>
      </c>
      <c r="AM208" s="7" t="n">
        <v>0</v>
      </c>
      <c r="AN208" s="7" t="n">
        <v>-0.522</v>
      </c>
      <c r="AO208" s="7" t="n">
        <v>0.11</v>
      </c>
      <c r="AP208" s="7" t="n">
        <v>0.183</v>
      </c>
      <c r="AQ208" s="7" t="n">
        <v>-0.159</v>
      </c>
    </row>
    <row r="209" customFormat="false" ht="15" hidden="false" customHeight="false" outlineLevel="0" collapsed="false">
      <c r="A209" s="23" t="n">
        <v>46526</v>
      </c>
      <c r="B209" s="7" t="n">
        <v>-0.621</v>
      </c>
      <c r="C209" s="7" t="n">
        <v>-0.78</v>
      </c>
      <c r="D209" s="7" t="n">
        <v>0</v>
      </c>
      <c r="E209" s="7" t="n">
        <v>0.191</v>
      </c>
      <c r="F209" s="7" t="n">
        <v>-0.921</v>
      </c>
      <c r="G209" s="7" t="n">
        <v>0.131</v>
      </c>
      <c r="H209" s="7" t="n">
        <v>-0.019</v>
      </c>
      <c r="I209" s="7" t="n">
        <v>-0.132</v>
      </c>
      <c r="J209" s="7" t="n">
        <v>-0.947</v>
      </c>
      <c r="K209" s="7" t="n">
        <v>0.053</v>
      </c>
      <c r="L209" s="7" t="n">
        <v>-0.714</v>
      </c>
      <c r="M209" s="7" t="n">
        <v>-0.916</v>
      </c>
      <c r="N209" s="7" t="n">
        <v>-0.886</v>
      </c>
      <c r="O209" s="7" t="n">
        <v>-0.98</v>
      </c>
      <c r="P209" s="7" t="n">
        <v>-0.328</v>
      </c>
      <c r="Q209" s="7" t="n">
        <v>-0.85</v>
      </c>
      <c r="R209" s="7" t="n">
        <v>-0.019</v>
      </c>
      <c r="S209" s="7" t="n">
        <v>0.191</v>
      </c>
      <c r="T209" s="7" t="n">
        <v>-0.186</v>
      </c>
      <c r="U209" s="7" t="n">
        <v>-0.191</v>
      </c>
      <c r="V209" s="7" t="n">
        <v>-0.019</v>
      </c>
      <c r="W209" s="7" t="n">
        <v>-0.758</v>
      </c>
      <c r="X209" s="7" t="n">
        <v>0.031</v>
      </c>
      <c r="Y209" s="7" t="n">
        <v>0.048</v>
      </c>
      <c r="Z209" s="7" t="n">
        <v>0.191</v>
      </c>
      <c r="AA209" s="7" t="n">
        <v>-0.019</v>
      </c>
      <c r="AB209" s="7" t="n">
        <v>-0.918</v>
      </c>
      <c r="AC209" s="7" t="n">
        <v>-0.796</v>
      </c>
      <c r="AD209" s="7" t="n">
        <v>0.191</v>
      </c>
      <c r="AE209" s="7" t="n">
        <v>-0.802</v>
      </c>
      <c r="AF209" s="7" t="n">
        <v>0.029</v>
      </c>
      <c r="AG209" s="7" t="n">
        <v>0</v>
      </c>
      <c r="AH209" s="7" t="n">
        <v>-0.868</v>
      </c>
      <c r="AI209" s="7" t="n">
        <v>-0.2</v>
      </c>
      <c r="AJ209" s="7" t="n">
        <v>-0.132</v>
      </c>
      <c r="AK209" s="7" t="n">
        <v>-0.019</v>
      </c>
      <c r="AL209" s="7" t="n">
        <v>-0.884</v>
      </c>
      <c r="AM209" s="7" t="n">
        <v>0</v>
      </c>
      <c r="AN209" s="7" t="n">
        <v>-0.019</v>
      </c>
      <c r="AO209" s="7" t="n">
        <v>-0.698</v>
      </c>
      <c r="AP209" s="7" t="n">
        <v>0.191</v>
      </c>
      <c r="AQ209" s="7" t="n">
        <v>-0.2</v>
      </c>
    </row>
    <row r="210" customFormat="false" ht="15" hidden="false" customHeight="false" outlineLevel="0" collapsed="false">
      <c r="A210" s="23" t="n">
        <v>46527</v>
      </c>
      <c r="B210" s="7" t="n">
        <v>-0.441</v>
      </c>
      <c r="C210" s="7" t="n">
        <v>-0.69</v>
      </c>
      <c r="D210" s="7" t="n">
        <v>0.047</v>
      </c>
      <c r="E210" s="7" t="n">
        <v>0</v>
      </c>
      <c r="F210" s="7" t="n">
        <v>-0.828</v>
      </c>
      <c r="G210" s="7" t="n">
        <v>0.329</v>
      </c>
      <c r="H210" s="7" t="n">
        <v>-0.039</v>
      </c>
      <c r="I210" s="7" t="n">
        <v>0.152</v>
      </c>
      <c r="J210" s="7" t="n">
        <v>-0.423</v>
      </c>
      <c r="K210" s="7" t="n">
        <v>0</v>
      </c>
      <c r="L210" s="7" t="n">
        <v>0.062</v>
      </c>
      <c r="M210" s="7" t="n">
        <v>-0.899</v>
      </c>
      <c r="N210" s="7" t="n">
        <v>-0.793</v>
      </c>
      <c r="O210" s="7" t="n">
        <v>-0.913</v>
      </c>
      <c r="P210" s="7" t="n">
        <v>-0.028</v>
      </c>
      <c r="Q210" s="7" t="n">
        <v>-0.073</v>
      </c>
      <c r="R210" s="7" t="n">
        <v>-0.07</v>
      </c>
      <c r="S210" s="7" t="n">
        <v>0.305</v>
      </c>
      <c r="T210" s="7" t="n">
        <v>-0.397</v>
      </c>
      <c r="U210" s="7" t="n">
        <v>-0.038</v>
      </c>
      <c r="V210" s="7" t="n">
        <v>0.247</v>
      </c>
      <c r="W210" s="7" t="n">
        <v>0</v>
      </c>
      <c r="X210" s="7" t="n">
        <v>0.045</v>
      </c>
      <c r="Y210" s="7" t="n">
        <v>0.154</v>
      </c>
      <c r="Z210" s="7" t="n">
        <v>0</v>
      </c>
      <c r="AA210" s="7" t="n">
        <v>-0.272</v>
      </c>
      <c r="AB210" s="7" t="n">
        <v>-0.503</v>
      </c>
      <c r="AC210" s="7" t="n">
        <v>-0.034</v>
      </c>
      <c r="AD210" s="7" t="n">
        <v>0.206</v>
      </c>
      <c r="AE210" s="7" t="n">
        <v>-0.655</v>
      </c>
      <c r="AF210" s="7" t="n">
        <v>-0.034</v>
      </c>
      <c r="AG210" s="7" t="n">
        <v>0.206</v>
      </c>
      <c r="AH210" s="7" t="n">
        <v>-0.742</v>
      </c>
      <c r="AI210" s="7" t="n">
        <v>0.062</v>
      </c>
      <c r="AJ210" s="7" t="n">
        <v>0.149</v>
      </c>
      <c r="AK210" s="7" t="n">
        <v>0.051</v>
      </c>
      <c r="AL210" s="7" t="n">
        <v>-0.56</v>
      </c>
      <c r="AM210" s="7" t="n">
        <v>0.096</v>
      </c>
      <c r="AN210" s="7" t="n">
        <v>0.163</v>
      </c>
      <c r="AO210" s="7" t="n">
        <v>-0.646</v>
      </c>
      <c r="AP210" s="7" t="n">
        <v>0</v>
      </c>
      <c r="AQ210" s="7" t="n">
        <v>-0.034</v>
      </c>
    </row>
    <row r="211" customFormat="false" ht="15" hidden="false" customHeight="false" outlineLevel="0" collapsed="false">
      <c r="A211" s="23" t="n">
        <v>46528</v>
      </c>
      <c r="B211" s="7" t="n">
        <v>-0.46</v>
      </c>
      <c r="C211" s="7" t="n">
        <v>-0.454</v>
      </c>
      <c r="D211" s="7" t="n">
        <v>-0.221</v>
      </c>
      <c r="E211" s="7" t="n">
        <v>-0.013</v>
      </c>
      <c r="F211" s="7" t="n">
        <v>-0.445</v>
      </c>
      <c r="G211" s="7" t="n">
        <v>-0.03</v>
      </c>
      <c r="H211" s="7" t="n">
        <v>-0.505</v>
      </c>
      <c r="I211" s="7" t="n">
        <v>-0.389</v>
      </c>
      <c r="J211" s="7" t="n">
        <v>-0.178</v>
      </c>
      <c r="K211" s="7" t="n">
        <v>-0.013</v>
      </c>
      <c r="L211" s="7" t="n">
        <v>-0.009</v>
      </c>
      <c r="M211" s="7" t="n">
        <v>-0.231</v>
      </c>
      <c r="N211" s="7" t="n">
        <v>-0.365</v>
      </c>
      <c r="O211" s="7" t="n">
        <v>-0.354</v>
      </c>
      <c r="P211" s="7" t="n">
        <v>-0.156</v>
      </c>
      <c r="Q211" s="7" t="n">
        <v>-0.089</v>
      </c>
      <c r="R211" s="7" t="n">
        <v>-0.587</v>
      </c>
      <c r="S211" s="7" t="n">
        <v>0.057</v>
      </c>
      <c r="T211" s="7" t="n">
        <v>-0.774</v>
      </c>
      <c r="U211" s="7" t="n">
        <v>-0.072</v>
      </c>
      <c r="V211" s="7" t="n">
        <v>-0.26</v>
      </c>
      <c r="W211" s="7" t="n">
        <v>0</v>
      </c>
      <c r="X211" s="7" t="n">
        <v>-0.068</v>
      </c>
      <c r="Y211" s="7" t="n">
        <v>-0.316</v>
      </c>
      <c r="Z211" s="7" t="n">
        <v>-0.013</v>
      </c>
      <c r="AA211" s="7" t="n">
        <v>-0.661</v>
      </c>
      <c r="AB211" s="7" t="n">
        <v>0.002</v>
      </c>
      <c r="AC211" s="7" t="n">
        <v>-0.038</v>
      </c>
      <c r="AD211" s="7" t="n">
        <v>0.108</v>
      </c>
      <c r="AE211" s="7" t="n">
        <v>-0.11</v>
      </c>
      <c r="AF211" s="7" t="n">
        <v>-0.038</v>
      </c>
      <c r="AG211" s="7" t="n">
        <v>0.121</v>
      </c>
      <c r="AH211" s="7" t="n">
        <v>-0.238</v>
      </c>
      <c r="AI211" s="7" t="n">
        <v>0.004</v>
      </c>
      <c r="AJ211" s="7" t="n">
        <v>-0.383</v>
      </c>
      <c r="AK211" s="7" t="n">
        <v>-0.393</v>
      </c>
      <c r="AL211" s="7" t="n">
        <v>-0.047</v>
      </c>
      <c r="AM211" s="7" t="n">
        <v>0.042</v>
      </c>
      <c r="AN211" s="7" t="n">
        <v>-0.324</v>
      </c>
      <c r="AO211" s="7" t="n">
        <v>-0.054</v>
      </c>
      <c r="AP211" s="7" t="n">
        <v>-0.013</v>
      </c>
      <c r="AQ211" s="7" t="n">
        <v>-0.038</v>
      </c>
    </row>
    <row r="212" customFormat="false" ht="15" hidden="false" customHeight="false" outlineLevel="0" collapsed="false">
      <c r="A212" s="23" t="n">
        <v>46529</v>
      </c>
      <c r="B212" s="7" t="n">
        <v>0.271</v>
      </c>
      <c r="C212" s="7" t="n">
        <v>0.352</v>
      </c>
      <c r="D212" s="7" t="n">
        <v>-0.272</v>
      </c>
      <c r="E212" s="7" t="n">
        <v>0.712</v>
      </c>
      <c r="F212" s="7" t="n">
        <v>0.421</v>
      </c>
      <c r="G212" s="7" t="n">
        <v>0.024</v>
      </c>
      <c r="H212" s="7" t="n">
        <v>-0.475</v>
      </c>
      <c r="I212" s="7" t="n">
        <v>-0.322</v>
      </c>
      <c r="J212" s="7" t="n">
        <v>0</v>
      </c>
      <c r="K212" s="7" t="n">
        <v>0.875</v>
      </c>
      <c r="L212" s="7" t="n">
        <v>0.577</v>
      </c>
      <c r="M212" s="7" t="n">
        <v>-0.081</v>
      </c>
      <c r="N212" s="7" t="n">
        <v>0.49</v>
      </c>
      <c r="O212" s="7" t="n">
        <v>0.441</v>
      </c>
      <c r="P212" s="7" t="n">
        <v>-0.394</v>
      </c>
      <c r="Q212" s="7" t="n">
        <v>-0.113</v>
      </c>
      <c r="R212" s="7" t="n">
        <v>-0.508</v>
      </c>
      <c r="S212" s="7" t="n">
        <v>0.593</v>
      </c>
      <c r="T212" s="7" t="n">
        <v>-0.711</v>
      </c>
      <c r="U212" s="7" t="n">
        <v>-0.198</v>
      </c>
      <c r="V212" s="7" t="n">
        <v>-0.192</v>
      </c>
      <c r="W212" s="7" t="n">
        <v>0</v>
      </c>
      <c r="X212" s="7" t="n">
        <v>-0.294</v>
      </c>
      <c r="Y212" s="7" t="n">
        <v>-0.279</v>
      </c>
      <c r="Z212" s="7" t="n">
        <v>0.875</v>
      </c>
      <c r="AA212" s="7" t="n">
        <v>-0.534</v>
      </c>
      <c r="AB212" s="7" t="n">
        <v>0.031</v>
      </c>
      <c r="AC212" s="7" t="n">
        <v>-0.035</v>
      </c>
      <c r="AD212" s="7" t="n">
        <v>0.574</v>
      </c>
      <c r="AE212" s="7" t="n">
        <v>0.547</v>
      </c>
      <c r="AF212" s="7" t="n">
        <v>0.182</v>
      </c>
      <c r="AG212" s="7" t="n">
        <v>0.036</v>
      </c>
      <c r="AH212" s="7" t="n">
        <v>-0.083</v>
      </c>
      <c r="AI212" s="7" t="n">
        <v>0.017</v>
      </c>
      <c r="AJ212" s="7" t="n">
        <v>-0.114</v>
      </c>
      <c r="AK212" s="7" t="n">
        <v>-0.044</v>
      </c>
      <c r="AL212" s="7" t="n">
        <v>-0.136</v>
      </c>
      <c r="AM212" s="7" t="n">
        <v>0.052</v>
      </c>
      <c r="AN212" s="7" t="n">
        <v>-0.06</v>
      </c>
      <c r="AO212" s="7" t="n">
        <v>0.551</v>
      </c>
      <c r="AP212" s="7" t="n">
        <v>0.565</v>
      </c>
      <c r="AQ212" s="7" t="n">
        <v>-0.035</v>
      </c>
    </row>
    <row r="213" customFormat="false" ht="15" hidden="false" customHeight="false" outlineLevel="0" collapsed="false">
      <c r="A213" s="23" t="n">
        <v>46530</v>
      </c>
      <c r="B213" s="7" t="n">
        <v>-1</v>
      </c>
      <c r="C213" s="7" t="n">
        <v>-0.432</v>
      </c>
      <c r="D213" s="7" t="n">
        <v>-0.729</v>
      </c>
      <c r="E213" s="7" t="n">
        <v>-0.163</v>
      </c>
      <c r="F213" s="7" t="n">
        <v>-0.623</v>
      </c>
      <c r="G213" s="7" t="n">
        <v>0.206</v>
      </c>
      <c r="H213" s="7" t="n">
        <v>0.012</v>
      </c>
      <c r="I213" s="7" t="n">
        <v>-0.791</v>
      </c>
      <c r="J213" s="7" t="n">
        <v>-0.662</v>
      </c>
      <c r="K213" s="7" t="n">
        <v>0.023</v>
      </c>
      <c r="L213" s="7" t="n">
        <v>-0.268</v>
      </c>
      <c r="M213" s="7" t="n">
        <v>-0.838</v>
      </c>
      <c r="N213" s="7" t="n">
        <v>-0.509</v>
      </c>
      <c r="O213" s="7" t="n">
        <v>-0.772</v>
      </c>
      <c r="P213" s="7" t="n">
        <v>-0.325</v>
      </c>
      <c r="Q213" s="7" t="n">
        <v>-0.241</v>
      </c>
      <c r="R213" s="7" t="n">
        <v>-0.855</v>
      </c>
      <c r="S213" s="7" t="n">
        <v>-0.723</v>
      </c>
      <c r="T213" s="7" t="n">
        <v>-0.936</v>
      </c>
      <c r="U213" s="7" t="n">
        <v>-0.4</v>
      </c>
      <c r="V213" s="7" t="n">
        <v>-0.767</v>
      </c>
      <c r="W213" s="7" t="n">
        <v>0</v>
      </c>
      <c r="X213" s="7" t="n">
        <v>-0.807</v>
      </c>
      <c r="Y213" s="7" t="n">
        <v>-0.884</v>
      </c>
      <c r="Z213" s="7" t="n">
        <v>-0.253</v>
      </c>
      <c r="AA213" s="7" t="n">
        <v>-0.87</v>
      </c>
      <c r="AB213" s="7" t="n">
        <v>-0.56</v>
      </c>
      <c r="AC213" s="7" t="n">
        <v>-0.072</v>
      </c>
      <c r="AD213" s="7" t="n">
        <v>-0.842</v>
      </c>
      <c r="AE213" s="7" t="n">
        <v>-0.344</v>
      </c>
      <c r="AF213" s="7" t="n">
        <v>-0.072</v>
      </c>
      <c r="AG213" s="7" t="n">
        <v>0</v>
      </c>
      <c r="AH213" s="7" t="n">
        <v>-0.423</v>
      </c>
      <c r="AI213" s="7" t="n">
        <v>-0.109</v>
      </c>
      <c r="AJ213" s="7" t="n">
        <v>-0.791</v>
      </c>
      <c r="AK213" s="7" t="n">
        <v>-0.804</v>
      </c>
      <c r="AL213" s="7" t="n">
        <v>-0.13</v>
      </c>
      <c r="AM213" s="7" t="n">
        <v>-0.037</v>
      </c>
      <c r="AN213" s="7" t="n">
        <v>-0.767</v>
      </c>
      <c r="AO213" s="7" t="n">
        <v>-0.332</v>
      </c>
      <c r="AP213" s="7" t="n">
        <v>-0.163</v>
      </c>
      <c r="AQ213" s="7" t="n">
        <v>-0.072</v>
      </c>
    </row>
    <row r="214" customFormat="false" ht="15" hidden="false" customHeight="false" outlineLevel="0" collapsed="false">
      <c r="A214" s="23" t="n">
        <v>46531</v>
      </c>
      <c r="B214" s="7" t="n">
        <v>-0.794</v>
      </c>
      <c r="C214" s="7" t="n">
        <v>-0.922</v>
      </c>
      <c r="D214" s="7" t="n">
        <v>0</v>
      </c>
      <c r="E214" s="7" t="n">
        <v>-0.281</v>
      </c>
      <c r="F214" s="7" t="n">
        <v>-0.975</v>
      </c>
      <c r="G214" s="7" t="n">
        <v>0.121</v>
      </c>
      <c r="H214" s="7" t="n">
        <v>-0.046</v>
      </c>
      <c r="I214" s="7" t="n">
        <v>-0.129</v>
      </c>
      <c r="J214" s="7" t="n">
        <v>-0.893</v>
      </c>
      <c r="K214" s="7" t="n">
        <v>-0.052</v>
      </c>
      <c r="L214" s="7" t="n">
        <v>-0.799</v>
      </c>
      <c r="M214" s="7" t="n">
        <v>-0.876</v>
      </c>
      <c r="N214" s="7" t="n">
        <v>-0.95</v>
      </c>
      <c r="O214" s="7" t="n">
        <v>-0.946</v>
      </c>
      <c r="P214" s="7" t="n">
        <v>-0.721</v>
      </c>
      <c r="Q214" s="7" t="n">
        <v>-0.847</v>
      </c>
      <c r="R214" s="7" t="n">
        <v>-0.046</v>
      </c>
      <c r="S214" s="7" t="n">
        <v>-0.281</v>
      </c>
      <c r="T214" s="7" t="n">
        <v>-0.299</v>
      </c>
      <c r="U214" s="7" t="n">
        <v>-0.875</v>
      </c>
      <c r="V214" s="7" t="n">
        <v>-0.046</v>
      </c>
      <c r="W214" s="7" t="n">
        <v>-0.34</v>
      </c>
      <c r="X214" s="7" t="n">
        <v>-0.017</v>
      </c>
      <c r="Y214" s="7" t="n">
        <v>0.028</v>
      </c>
      <c r="Z214" s="7" t="n">
        <v>-0.052</v>
      </c>
      <c r="AA214" s="7" t="n">
        <v>-0.046</v>
      </c>
      <c r="AB214" s="7" t="n">
        <v>-0.825</v>
      </c>
      <c r="AC214" s="7" t="n">
        <v>-0.755</v>
      </c>
      <c r="AD214" s="7" t="n">
        <v>-0.281</v>
      </c>
      <c r="AE214" s="7" t="n">
        <v>-0.926</v>
      </c>
      <c r="AF214" s="7" t="n">
        <v>-0.766</v>
      </c>
      <c r="AG214" s="7" t="n">
        <v>-0.232</v>
      </c>
      <c r="AH214" s="7" t="n">
        <v>-0.65</v>
      </c>
      <c r="AI214" s="7" t="n">
        <v>-0.598</v>
      </c>
      <c r="AJ214" s="7" t="n">
        <v>-0.129</v>
      </c>
      <c r="AK214" s="7" t="n">
        <v>-0.105</v>
      </c>
      <c r="AL214" s="7" t="n">
        <v>-0.634</v>
      </c>
      <c r="AM214" s="7" t="n">
        <v>-0.06</v>
      </c>
      <c r="AN214" s="7" t="n">
        <v>-0.046</v>
      </c>
      <c r="AO214" s="7" t="n">
        <v>-0.503</v>
      </c>
      <c r="AP214" s="7" t="n">
        <v>-0.052</v>
      </c>
      <c r="AQ214" s="7" t="n">
        <v>-0.558</v>
      </c>
    </row>
    <row r="215" customFormat="false" ht="15" hidden="false" customHeight="false" outlineLevel="0" collapsed="false">
      <c r="A215" s="23" t="n">
        <v>46532</v>
      </c>
      <c r="B215" s="7" t="n">
        <v>-0.224</v>
      </c>
      <c r="C215" s="7" t="n">
        <v>-0.509</v>
      </c>
      <c r="D215" s="7" t="n">
        <v>0</v>
      </c>
      <c r="E215" s="7" t="n">
        <v>0.185</v>
      </c>
      <c r="F215" s="7" t="n">
        <v>0.09</v>
      </c>
      <c r="G215" s="7" t="n">
        <v>0.119</v>
      </c>
      <c r="H215" s="7" t="n">
        <v>-0.821</v>
      </c>
      <c r="I215" s="7" t="n">
        <v>-0.73</v>
      </c>
      <c r="J215" s="7" t="n">
        <v>-0.031</v>
      </c>
      <c r="K215" s="7" t="n">
        <v>0</v>
      </c>
      <c r="L215" s="7" t="n">
        <v>0.223</v>
      </c>
      <c r="M215" s="7" t="n">
        <v>0.116</v>
      </c>
      <c r="N215" s="7" t="n">
        <v>0.09</v>
      </c>
      <c r="O215" s="7" t="n">
        <v>-0.583</v>
      </c>
      <c r="P215" s="7" t="n">
        <v>-0.288</v>
      </c>
      <c r="Q215" s="7" t="n">
        <v>-0.184</v>
      </c>
      <c r="R215" s="7" t="n">
        <v>-0.856</v>
      </c>
      <c r="S215" s="7" t="n">
        <v>0.185</v>
      </c>
      <c r="T215" s="7" t="n">
        <v>-0.903</v>
      </c>
      <c r="U215" s="7" t="n">
        <v>-0.692</v>
      </c>
      <c r="V215" s="7" t="n">
        <v>-0.723</v>
      </c>
      <c r="W215" s="7" t="n">
        <v>0</v>
      </c>
      <c r="X215" s="7" t="n">
        <v>-0.11</v>
      </c>
      <c r="Y215" s="7" t="n">
        <v>-0.814</v>
      </c>
      <c r="Z215" s="7" t="n">
        <v>0.185</v>
      </c>
      <c r="AA215" s="7" t="n">
        <v>-0.856</v>
      </c>
      <c r="AB215" s="7" t="n">
        <v>0.018</v>
      </c>
      <c r="AC215" s="7" t="n">
        <v>0</v>
      </c>
      <c r="AD215" s="7" t="n">
        <v>0.185</v>
      </c>
      <c r="AE215" s="7" t="n">
        <v>0.165</v>
      </c>
      <c r="AF215" s="7" t="n">
        <v>0</v>
      </c>
      <c r="AG215" s="7" t="n">
        <v>-0.811</v>
      </c>
      <c r="AH215" s="7" t="n">
        <v>-0.598</v>
      </c>
      <c r="AI215" s="7" t="n">
        <v>0.039</v>
      </c>
      <c r="AJ215" s="7" t="n">
        <v>-0.533</v>
      </c>
      <c r="AK215" s="7" t="n">
        <v>-0.514</v>
      </c>
      <c r="AL215" s="7" t="n">
        <v>-0.569</v>
      </c>
      <c r="AM215" s="7" t="n">
        <v>0.039</v>
      </c>
      <c r="AN215" s="7" t="n">
        <v>-0.542</v>
      </c>
      <c r="AO215" s="7" t="n">
        <v>-0.383</v>
      </c>
      <c r="AP215" s="7" t="n">
        <v>0.185</v>
      </c>
      <c r="AQ215" s="7" t="n">
        <v>0</v>
      </c>
    </row>
    <row r="216" customFormat="false" ht="15" hidden="false" customHeight="false" outlineLevel="0" collapsed="false">
      <c r="A216" s="23" t="n">
        <v>46533</v>
      </c>
      <c r="B216" s="7" t="n">
        <v>-0.035</v>
      </c>
      <c r="C216" s="7" t="n">
        <v>-0.156</v>
      </c>
      <c r="D216" s="7" t="n">
        <v>0</v>
      </c>
      <c r="E216" s="7" t="n">
        <v>0.185</v>
      </c>
      <c r="F216" s="7" t="n">
        <v>0.148</v>
      </c>
      <c r="G216" s="7" t="n">
        <v>0.118</v>
      </c>
      <c r="H216" s="7" t="n">
        <v>-0.836</v>
      </c>
      <c r="I216" s="7" t="n">
        <v>-0.52</v>
      </c>
      <c r="J216" s="7" t="n">
        <v>0.167</v>
      </c>
      <c r="K216" s="7" t="n">
        <v>0</v>
      </c>
      <c r="L216" s="7" t="n">
        <v>0.549</v>
      </c>
      <c r="M216" s="7" t="n">
        <v>0.173</v>
      </c>
      <c r="N216" s="7" t="n">
        <v>0.49</v>
      </c>
      <c r="O216" s="7" t="n">
        <v>0.336</v>
      </c>
      <c r="P216" s="7" t="n">
        <v>-0.267</v>
      </c>
      <c r="Q216" s="7" t="n">
        <v>-0.169</v>
      </c>
      <c r="R216" s="7" t="n">
        <v>-0.873</v>
      </c>
      <c r="S216" s="7" t="n">
        <v>0.185</v>
      </c>
      <c r="T216" s="7" t="n">
        <v>-0.911</v>
      </c>
      <c r="U216" s="7" t="n">
        <v>0.138</v>
      </c>
      <c r="V216" s="7" t="n">
        <v>-0.741</v>
      </c>
      <c r="W216" s="7" t="n">
        <v>0</v>
      </c>
      <c r="X216" s="7" t="n">
        <v>-0.103</v>
      </c>
      <c r="Y216" s="7" t="n">
        <v>0.07</v>
      </c>
      <c r="Z216" s="7" t="n">
        <v>0.185</v>
      </c>
      <c r="AA216" s="7" t="n">
        <v>-0.873</v>
      </c>
      <c r="AB216" s="7" t="n">
        <v>0.354</v>
      </c>
      <c r="AC216" s="7" t="n">
        <v>0</v>
      </c>
      <c r="AD216" s="7" t="n">
        <v>0.185</v>
      </c>
      <c r="AE216" s="7" t="n">
        <v>0.181</v>
      </c>
      <c r="AF216" s="7" t="n">
        <v>0</v>
      </c>
      <c r="AG216" s="7" t="n">
        <v>-0.526</v>
      </c>
      <c r="AH216" s="7" t="n">
        <v>-0.061</v>
      </c>
      <c r="AI216" s="7" t="n">
        <v>0.405</v>
      </c>
      <c r="AJ216" s="7" t="n">
        <v>-0.201</v>
      </c>
      <c r="AK216" s="7" t="n">
        <v>-0.176</v>
      </c>
      <c r="AL216" s="7" t="n">
        <v>-0.075</v>
      </c>
      <c r="AM216" s="7" t="n">
        <v>0.405</v>
      </c>
      <c r="AN216" s="7" t="n">
        <v>-0.542</v>
      </c>
      <c r="AO216" s="7" t="n">
        <v>0.181</v>
      </c>
      <c r="AP216" s="7" t="n">
        <v>0.185</v>
      </c>
      <c r="AQ216" s="7" t="n">
        <v>0</v>
      </c>
    </row>
    <row r="217" customFormat="false" ht="15" hidden="false" customHeight="false" outlineLevel="0" collapsed="false">
      <c r="A217" s="23" t="n">
        <v>46534</v>
      </c>
      <c r="B217" s="7" t="n">
        <v>-0.324</v>
      </c>
      <c r="C217" s="7" t="n">
        <v>-0.6</v>
      </c>
      <c r="D217" s="7" t="n">
        <v>-0.504</v>
      </c>
      <c r="E217" s="7" t="n">
        <v>0.004</v>
      </c>
      <c r="F217" s="7" t="n">
        <v>0.015</v>
      </c>
      <c r="G217" s="7" t="n">
        <v>0.117</v>
      </c>
      <c r="H217" s="7" t="n">
        <v>-0.84</v>
      </c>
      <c r="I217" s="7" t="n">
        <v>-0.76</v>
      </c>
      <c r="J217" s="7" t="n">
        <v>0.045</v>
      </c>
      <c r="K217" s="7" t="n">
        <v>-0.038</v>
      </c>
      <c r="L217" s="7" t="n">
        <v>0.156</v>
      </c>
      <c r="M217" s="7" t="n">
        <v>0.185</v>
      </c>
      <c r="N217" s="7" t="n">
        <v>0.16</v>
      </c>
      <c r="O217" s="7" t="n">
        <v>0.011</v>
      </c>
      <c r="P217" s="7" t="n">
        <v>-0.647</v>
      </c>
      <c r="Q217" s="7" t="n">
        <v>-0.257</v>
      </c>
      <c r="R217" s="7" t="n">
        <v>-0.874</v>
      </c>
      <c r="S217" s="7" t="n">
        <v>0.004</v>
      </c>
      <c r="T217" s="7" t="n">
        <v>-0.926</v>
      </c>
      <c r="U217" s="7" t="n">
        <v>0.105</v>
      </c>
      <c r="V217" s="7" t="n">
        <v>-0.743</v>
      </c>
      <c r="W217" s="7" t="n">
        <v>0</v>
      </c>
      <c r="X217" s="7" t="n">
        <v>-0.468</v>
      </c>
      <c r="Y217" s="7" t="n">
        <v>0.073</v>
      </c>
      <c r="Z217" s="7" t="n">
        <v>0.149</v>
      </c>
      <c r="AA217" s="7" t="n">
        <v>-0.874</v>
      </c>
      <c r="AB217" s="7" t="n">
        <v>0.014</v>
      </c>
      <c r="AC217" s="7" t="n">
        <v>0</v>
      </c>
      <c r="AD217" s="7" t="n">
        <v>0.004</v>
      </c>
      <c r="AE217" s="7" t="n">
        <v>0.154</v>
      </c>
      <c r="AF217" s="7" t="n">
        <v>0</v>
      </c>
      <c r="AG217" s="7" t="n">
        <v>-0.621</v>
      </c>
      <c r="AH217" s="7" t="n">
        <v>-0.007</v>
      </c>
      <c r="AI217" s="7" t="n">
        <v>0.008</v>
      </c>
      <c r="AJ217" s="7" t="n">
        <v>-0.569</v>
      </c>
      <c r="AK217" s="7" t="n">
        <v>-0.551</v>
      </c>
      <c r="AL217" s="7" t="n">
        <v>-0.071</v>
      </c>
      <c r="AM217" s="7" t="n">
        <v>0.008</v>
      </c>
      <c r="AN217" s="7" t="n">
        <v>-0.556</v>
      </c>
      <c r="AO217" s="7" t="n">
        <v>0.154</v>
      </c>
      <c r="AP217" s="7" t="n">
        <v>0.149</v>
      </c>
      <c r="AQ217" s="7" t="n">
        <v>0</v>
      </c>
    </row>
    <row r="218" customFormat="false" ht="15" hidden="false" customHeight="false" outlineLevel="0" collapsed="false">
      <c r="A218" s="23" t="n">
        <v>46535</v>
      </c>
      <c r="B218" s="7" t="n">
        <v>-0.848</v>
      </c>
      <c r="C218" s="7" t="n">
        <v>-0.779</v>
      </c>
      <c r="D218" s="7" t="n">
        <v>0.206</v>
      </c>
      <c r="E218" s="7" t="n">
        <v>-0.808</v>
      </c>
      <c r="F218" s="7" t="n">
        <v>-0.464</v>
      </c>
      <c r="G218" s="7" t="n">
        <v>0.314</v>
      </c>
      <c r="H218" s="7" t="n">
        <v>-0.959</v>
      </c>
      <c r="I218" s="7" t="n">
        <v>-0.628</v>
      </c>
      <c r="J218" s="7" t="n">
        <v>-0.244</v>
      </c>
      <c r="K218" s="7" t="n">
        <v>-0.048</v>
      </c>
      <c r="L218" s="7" t="n">
        <v>-0.001</v>
      </c>
      <c r="M218" s="7" t="n">
        <v>-0.146</v>
      </c>
      <c r="N218" s="7" t="n">
        <v>-0.744</v>
      </c>
      <c r="O218" s="7" t="n">
        <v>-0.266</v>
      </c>
      <c r="P218" s="7" t="n">
        <v>-0.2</v>
      </c>
      <c r="Q218" s="7" t="n">
        <v>-0.257</v>
      </c>
      <c r="R218" s="7" t="n">
        <v>-0.965</v>
      </c>
      <c r="S218" s="7" t="n">
        <v>-0.777</v>
      </c>
      <c r="T218" s="7" t="n">
        <v>-0.896</v>
      </c>
      <c r="U218" s="7" t="n">
        <v>-0.947</v>
      </c>
      <c r="V218" s="7" t="n">
        <v>-0.943</v>
      </c>
      <c r="W218" s="7" t="n">
        <v>0</v>
      </c>
      <c r="X218" s="7" t="n">
        <v>0.06</v>
      </c>
      <c r="Y218" s="7" t="n">
        <v>-0.977</v>
      </c>
      <c r="Z218" s="7" t="n">
        <v>-0.124</v>
      </c>
      <c r="AA218" s="7" t="n">
        <v>-0.97</v>
      </c>
      <c r="AB218" s="7" t="n">
        <v>0.031</v>
      </c>
      <c r="AC218" s="7" t="n">
        <v>0</v>
      </c>
      <c r="AD218" s="7" t="n">
        <v>-0.987</v>
      </c>
      <c r="AE218" s="7" t="n">
        <v>-0.073</v>
      </c>
      <c r="AF218" s="7" t="n">
        <v>0.102</v>
      </c>
      <c r="AG218" s="7" t="n">
        <v>-0.723</v>
      </c>
      <c r="AH218" s="7" t="n">
        <v>-0.332</v>
      </c>
      <c r="AI218" s="7" t="n">
        <v>0</v>
      </c>
      <c r="AJ218" s="7" t="n">
        <v>-0.584</v>
      </c>
      <c r="AK218" s="7" t="n">
        <v>-0.619</v>
      </c>
      <c r="AL218" s="7" t="n">
        <v>-0.042</v>
      </c>
      <c r="AM218" s="7" t="n">
        <v>0</v>
      </c>
      <c r="AN218" s="7" t="n">
        <v>-0.937</v>
      </c>
      <c r="AO218" s="7" t="n">
        <v>-0.073</v>
      </c>
      <c r="AP218" s="7" t="n">
        <v>-0.001</v>
      </c>
      <c r="AQ218" s="7" t="n">
        <v>0</v>
      </c>
    </row>
    <row r="219" customFormat="false" ht="15" hidden="false" customHeight="false" outlineLevel="0" collapsed="false">
      <c r="A219" s="23" t="n">
        <v>46536</v>
      </c>
      <c r="B219" s="7" t="n">
        <v>-0.932</v>
      </c>
      <c r="C219" s="7" t="n">
        <v>-0.881</v>
      </c>
      <c r="D219" s="7" t="n">
        <v>0.151</v>
      </c>
      <c r="E219" s="7" t="n">
        <v>-0.523</v>
      </c>
      <c r="F219" s="7" t="n">
        <v>-0.795</v>
      </c>
      <c r="G219" s="7" t="n">
        <v>0.261</v>
      </c>
      <c r="H219" s="7" t="n">
        <v>-0.653</v>
      </c>
      <c r="I219" s="7" t="n">
        <v>-0.568</v>
      </c>
      <c r="J219" s="7" t="n">
        <v>-0.735</v>
      </c>
      <c r="K219" s="7" t="n">
        <v>0</v>
      </c>
      <c r="L219" s="7" t="n">
        <v>0.047</v>
      </c>
      <c r="M219" s="7" t="n">
        <v>-0.88</v>
      </c>
      <c r="N219" s="7" t="n">
        <v>-0.921</v>
      </c>
      <c r="O219" s="7" t="n">
        <v>-0.841</v>
      </c>
      <c r="P219" s="7" t="n">
        <v>-0.244</v>
      </c>
      <c r="Q219" s="7" t="n">
        <v>-0.257</v>
      </c>
      <c r="R219" s="7" t="n">
        <v>-0.695</v>
      </c>
      <c r="S219" s="7" t="n">
        <v>-0.521</v>
      </c>
      <c r="T219" s="7" t="n">
        <v>-0.859</v>
      </c>
      <c r="U219" s="7" t="n">
        <v>-0.141</v>
      </c>
      <c r="V219" s="7" t="n">
        <v>-0.541</v>
      </c>
      <c r="W219" s="7" t="n">
        <v>0</v>
      </c>
      <c r="X219" s="7" t="n">
        <v>0.014</v>
      </c>
      <c r="Y219" s="7" t="n">
        <v>-0.75</v>
      </c>
      <c r="Z219" s="7" t="n">
        <v>-0.067</v>
      </c>
      <c r="AA219" s="7" t="n">
        <v>-0.711</v>
      </c>
      <c r="AB219" s="7" t="n">
        <v>-0.718</v>
      </c>
      <c r="AC219" s="7" t="n">
        <v>0</v>
      </c>
      <c r="AD219" s="7" t="n">
        <v>-0.729</v>
      </c>
      <c r="AE219" s="7" t="n">
        <v>-0.709</v>
      </c>
      <c r="AF219" s="7" t="n">
        <v>0</v>
      </c>
      <c r="AG219" s="7" t="n">
        <v>-0.471</v>
      </c>
      <c r="AH219" s="7" t="n">
        <v>-0.76</v>
      </c>
      <c r="AI219" s="7" t="n">
        <v>0</v>
      </c>
      <c r="AJ219" s="7" t="n">
        <v>-0.501</v>
      </c>
      <c r="AK219" s="7" t="n">
        <v>-0.507</v>
      </c>
      <c r="AL219" s="7" t="n">
        <v>-0.629</v>
      </c>
      <c r="AM219" s="7" t="n">
        <v>0</v>
      </c>
      <c r="AN219" s="7" t="n">
        <v>-0.484</v>
      </c>
      <c r="AO219" s="7" t="n">
        <v>-0.603</v>
      </c>
      <c r="AP219" s="7" t="n">
        <v>0.047</v>
      </c>
      <c r="AQ219" s="7" t="n">
        <v>0</v>
      </c>
    </row>
    <row r="220" customFormat="false" ht="15" hidden="false" customHeight="false" outlineLevel="0" collapsed="false">
      <c r="A220" s="23" t="n">
        <v>46537</v>
      </c>
      <c r="B220" s="7" t="n">
        <v>-0.318</v>
      </c>
      <c r="C220" s="7" t="n">
        <v>-0.805</v>
      </c>
      <c r="D220" s="7" t="n">
        <v>0</v>
      </c>
      <c r="E220" s="7" t="n">
        <v>0.185</v>
      </c>
      <c r="F220" s="7" t="n">
        <v>-0.037</v>
      </c>
      <c r="G220" s="7" t="n">
        <v>-0.547</v>
      </c>
      <c r="H220" s="7" t="n">
        <v>-0.944</v>
      </c>
      <c r="I220" s="7" t="n">
        <v>-0.829</v>
      </c>
      <c r="J220" s="7" t="n">
        <v>-0.101</v>
      </c>
      <c r="K220" s="7" t="n">
        <v>0</v>
      </c>
      <c r="L220" s="7" t="n">
        <v>0.18</v>
      </c>
      <c r="M220" s="7" t="n">
        <v>-0.057</v>
      </c>
      <c r="N220" s="7" t="n">
        <v>-0.037</v>
      </c>
      <c r="O220" s="7" t="n">
        <v>-0.307</v>
      </c>
      <c r="P220" s="7" t="n">
        <v>-0.376</v>
      </c>
      <c r="Q220" s="7" t="n">
        <v>-0.257</v>
      </c>
      <c r="R220" s="7" t="n">
        <v>-0.944</v>
      </c>
      <c r="S220" s="7" t="n">
        <v>0.185</v>
      </c>
      <c r="T220" s="7" t="n">
        <v>-0.972</v>
      </c>
      <c r="U220" s="7" t="n">
        <v>0.091</v>
      </c>
      <c r="V220" s="7" t="n">
        <v>-0.899</v>
      </c>
      <c r="W220" s="7" t="n">
        <v>0</v>
      </c>
      <c r="X220" s="7" t="n">
        <v>0.1</v>
      </c>
      <c r="Y220" s="7" t="n">
        <v>-0.61</v>
      </c>
      <c r="Z220" s="7" t="n">
        <v>0.185</v>
      </c>
      <c r="AA220" s="7" t="n">
        <v>-0.944</v>
      </c>
      <c r="AB220" s="7" t="n">
        <v>0.134</v>
      </c>
      <c r="AC220" s="7" t="n">
        <v>0.229</v>
      </c>
      <c r="AD220" s="7" t="n">
        <v>0.185</v>
      </c>
      <c r="AE220" s="7" t="n">
        <v>0.162</v>
      </c>
      <c r="AF220" s="7" t="n">
        <v>0</v>
      </c>
      <c r="AG220" s="7" t="n">
        <v>0</v>
      </c>
      <c r="AH220" s="7" t="n">
        <v>-0.11</v>
      </c>
      <c r="AI220" s="7" t="n">
        <v>-0.006</v>
      </c>
      <c r="AJ220" s="7" t="n">
        <v>-0.768</v>
      </c>
      <c r="AK220" s="7" t="n">
        <v>-0.758</v>
      </c>
      <c r="AL220" s="7" t="n">
        <v>-0.119</v>
      </c>
      <c r="AM220" s="7" t="n">
        <v>-0.006</v>
      </c>
      <c r="AN220" s="7" t="n">
        <v>-0.839</v>
      </c>
      <c r="AO220" s="7" t="n">
        <v>0.336</v>
      </c>
      <c r="AP220" s="7" t="n">
        <v>0.185</v>
      </c>
      <c r="AQ220" s="7" t="n">
        <v>0</v>
      </c>
    </row>
    <row r="221" customFormat="false" ht="15" hidden="false" customHeight="false" outlineLevel="0" collapsed="false">
      <c r="A221" s="23" t="n">
        <v>46538</v>
      </c>
      <c r="B221" s="7" t="n">
        <v>-0.316</v>
      </c>
      <c r="C221" s="7" t="n">
        <v>-0.836</v>
      </c>
      <c r="D221" s="7" t="n">
        <v>0</v>
      </c>
      <c r="E221" s="7" t="n">
        <v>0.185</v>
      </c>
      <c r="F221" s="7" t="n">
        <v>0.002</v>
      </c>
      <c r="G221" s="7" t="n">
        <v>-0.578</v>
      </c>
      <c r="H221" s="7" t="n">
        <v>-0.949</v>
      </c>
      <c r="I221" s="7" t="n">
        <v>-0.88</v>
      </c>
      <c r="J221" s="7" t="n">
        <v>-0.02</v>
      </c>
      <c r="K221" s="7" t="n">
        <v>0</v>
      </c>
      <c r="L221" s="7" t="n">
        <v>0.174</v>
      </c>
      <c r="M221" s="7" t="n">
        <v>0.046</v>
      </c>
      <c r="N221" s="7" t="n">
        <v>0.002</v>
      </c>
      <c r="O221" s="7" t="n">
        <v>-0.232</v>
      </c>
      <c r="P221" s="7" t="n">
        <v>-0.45</v>
      </c>
      <c r="Q221" s="7" t="n">
        <v>-0.257</v>
      </c>
      <c r="R221" s="7" t="n">
        <v>-0.957</v>
      </c>
      <c r="S221" s="7" t="n">
        <v>0.185</v>
      </c>
      <c r="T221" s="7" t="n">
        <v>-0.984</v>
      </c>
      <c r="U221" s="7" t="n">
        <v>0.091</v>
      </c>
      <c r="V221" s="7" t="n">
        <v>-0.904</v>
      </c>
      <c r="W221" s="7" t="n">
        <v>0</v>
      </c>
      <c r="X221" s="7" t="n">
        <v>-0.088</v>
      </c>
      <c r="Y221" s="7" t="n">
        <v>-0.639</v>
      </c>
      <c r="Z221" s="7" t="n">
        <v>0.185</v>
      </c>
      <c r="AA221" s="7" t="n">
        <v>-0.957</v>
      </c>
      <c r="AB221" s="7" t="n">
        <v>0.182</v>
      </c>
      <c r="AC221" s="7" t="n">
        <v>0.134</v>
      </c>
      <c r="AD221" s="7" t="n">
        <v>0.185</v>
      </c>
      <c r="AE221" s="7" t="n">
        <v>0.201</v>
      </c>
      <c r="AF221" s="7" t="n">
        <v>0</v>
      </c>
      <c r="AG221" s="7" t="n">
        <v>0</v>
      </c>
      <c r="AH221" s="7" t="n">
        <v>-0.154</v>
      </c>
      <c r="AI221" s="7" t="n">
        <v>-0.012</v>
      </c>
      <c r="AJ221" s="7" t="n">
        <v>-0.809</v>
      </c>
      <c r="AK221" s="7" t="n">
        <v>-0.8</v>
      </c>
      <c r="AL221" s="7" t="n">
        <v>-0.122</v>
      </c>
      <c r="AM221" s="7" t="n">
        <v>-0.012</v>
      </c>
      <c r="AN221" s="7" t="n">
        <v>-0.84</v>
      </c>
      <c r="AO221" s="7" t="n">
        <v>0.295</v>
      </c>
      <c r="AP221" s="7" t="n">
        <v>0.185</v>
      </c>
      <c r="AQ221" s="7" t="n">
        <v>0</v>
      </c>
    </row>
    <row r="222" customFormat="false" ht="15" hidden="false" customHeight="false" outlineLevel="0" collapsed="false">
      <c r="A222" s="23" t="n">
        <v>46539</v>
      </c>
      <c r="B222" s="7" t="n">
        <v>-0.408</v>
      </c>
      <c r="C222" s="7" t="n">
        <v>-0.702</v>
      </c>
      <c r="D222" s="7" t="n">
        <v>0</v>
      </c>
      <c r="E222" s="7" t="n">
        <v>-0.384</v>
      </c>
      <c r="F222" s="7" t="n">
        <v>-0.168</v>
      </c>
      <c r="G222" s="7" t="n">
        <v>0</v>
      </c>
      <c r="H222" s="7" t="n">
        <v>-0.096</v>
      </c>
      <c r="I222" s="7" t="n">
        <v>-0.626</v>
      </c>
      <c r="J222" s="7" t="n">
        <v>0.005</v>
      </c>
      <c r="K222" s="7" t="n">
        <v>0</v>
      </c>
      <c r="L222" s="7" t="n">
        <v>-0.441</v>
      </c>
      <c r="M222" s="7" t="n">
        <v>-0.237</v>
      </c>
      <c r="N222" s="7" t="n">
        <v>-0.457</v>
      </c>
      <c r="O222" s="7" t="n">
        <v>-0.479</v>
      </c>
      <c r="P222" s="7" t="n">
        <v>-0.195</v>
      </c>
      <c r="Q222" s="7" t="n">
        <v>0</v>
      </c>
      <c r="R222" s="7" t="n">
        <v>-0.096</v>
      </c>
      <c r="S222" s="7" t="n">
        <v>-0.377</v>
      </c>
      <c r="T222" s="7" t="n">
        <v>-0.096</v>
      </c>
      <c r="U222" s="7" t="n">
        <v>-0.501</v>
      </c>
      <c r="V222" s="7" t="n">
        <v>-0.488</v>
      </c>
      <c r="W222" s="7" t="n">
        <v>0</v>
      </c>
      <c r="X222" s="7" t="n">
        <v>-0.165</v>
      </c>
      <c r="Y222" s="7" t="n">
        <v>-0.286</v>
      </c>
      <c r="Z222" s="7" t="n">
        <v>0</v>
      </c>
      <c r="AA222" s="7" t="n">
        <v>-0.096</v>
      </c>
      <c r="AB222" s="7" t="n">
        <v>-0.636</v>
      </c>
      <c r="AC222" s="7" t="n">
        <v>0.032</v>
      </c>
      <c r="AD222" s="7" t="n">
        <v>-0.371</v>
      </c>
      <c r="AE222" s="7" t="n">
        <v>-0.044</v>
      </c>
      <c r="AF222" s="7" t="n">
        <v>-0.293</v>
      </c>
      <c r="AG222" s="7" t="n">
        <v>0.235</v>
      </c>
      <c r="AH222" s="7" t="n">
        <v>-0.085</v>
      </c>
      <c r="AI222" s="7" t="n">
        <v>-0.441</v>
      </c>
      <c r="AJ222" s="7" t="n">
        <v>-0.491</v>
      </c>
      <c r="AK222" s="7" t="n">
        <v>-0.491</v>
      </c>
      <c r="AL222" s="7" t="n">
        <v>-0.096</v>
      </c>
      <c r="AM222" s="7" t="n">
        <v>-0.441</v>
      </c>
      <c r="AN222" s="7" t="n">
        <v>-0.096</v>
      </c>
      <c r="AO222" s="7" t="n">
        <v>0.011</v>
      </c>
      <c r="AP222" s="7" t="n">
        <v>0</v>
      </c>
      <c r="AQ222" s="7" t="n">
        <v>0</v>
      </c>
    </row>
    <row r="223" customFormat="false" ht="15" hidden="false" customHeight="false" outlineLevel="0" collapsed="false">
      <c r="A223" s="23" t="n">
        <v>46540</v>
      </c>
      <c r="B223" s="7" t="n">
        <v>-0.807</v>
      </c>
      <c r="C223" s="7" t="n">
        <v>-0.866</v>
      </c>
      <c r="D223" s="7" t="n">
        <v>0.181</v>
      </c>
      <c r="E223" s="7" t="n">
        <v>-0.287</v>
      </c>
      <c r="F223" s="7" t="n">
        <v>-0.909</v>
      </c>
      <c r="G223" s="7" t="n">
        <v>0.302</v>
      </c>
      <c r="H223" s="7" t="n">
        <v>-0.098</v>
      </c>
      <c r="I223" s="7" t="n">
        <v>-0.686</v>
      </c>
      <c r="J223" s="7" t="n">
        <v>-0.055</v>
      </c>
      <c r="K223" s="7" t="n">
        <v>0</v>
      </c>
      <c r="L223" s="7" t="n">
        <v>-0.891</v>
      </c>
      <c r="M223" s="7" t="n">
        <v>-0.215</v>
      </c>
      <c r="N223" s="7" t="n">
        <v>-0.902</v>
      </c>
      <c r="O223" s="7" t="n">
        <v>-0.909</v>
      </c>
      <c r="P223" s="7" t="n">
        <v>-0.587</v>
      </c>
      <c r="Q223" s="7" t="n">
        <v>-0.799</v>
      </c>
      <c r="R223" s="7" t="n">
        <v>-0.294</v>
      </c>
      <c r="S223" s="7" t="n">
        <v>0</v>
      </c>
      <c r="T223" s="7" t="n">
        <v>-0.023</v>
      </c>
      <c r="U223" s="7" t="n">
        <v>-0.863</v>
      </c>
      <c r="V223" s="7" t="n">
        <v>-0.471</v>
      </c>
      <c r="W223" s="7" t="n">
        <v>-0.439</v>
      </c>
      <c r="X223" s="7" t="n">
        <v>-0.048</v>
      </c>
      <c r="Y223" s="7" t="n">
        <v>-0.618</v>
      </c>
      <c r="Z223" s="7" t="n">
        <v>0</v>
      </c>
      <c r="AA223" s="7" t="n">
        <v>-0.368</v>
      </c>
      <c r="AB223" s="7" t="n">
        <v>-0.59</v>
      </c>
      <c r="AC223" s="7" t="n">
        <v>-0.799</v>
      </c>
      <c r="AD223" s="7" t="n">
        <v>0.083</v>
      </c>
      <c r="AE223" s="7" t="n">
        <v>-0.771</v>
      </c>
      <c r="AF223" s="7" t="n">
        <v>-0.82</v>
      </c>
      <c r="AG223" s="7" t="n">
        <v>0.023</v>
      </c>
      <c r="AH223" s="7" t="n">
        <v>-0.15</v>
      </c>
      <c r="AI223" s="7" t="n">
        <v>-0.742</v>
      </c>
      <c r="AJ223" s="7" t="n">
        <v>-0.262</v>
      </c>
      <c r="AK223" s="7" t="n">
        <v>-0.338</v>
      </c>
      <c r="AL223" s="7" t="n">
        <v>-0.564</v>
      </c>
      <c r="AM223" s="7" t="n">
        <v>-0.317</v>
      </c>
      <c r="AN223" s="7" t="n">
        <v>0.06</v>
      </c>
      <c r="AO223" s="7" t="n">
        <v>-0.055</v>
      </c>
      <c r="AP223" s="7" t="n">
        <v>0</v>
      </c>
      <c r="AQ223" s="7" t="n">
        <v>-0.555</v>
      </c>
    </row>
    <row r="224" customFormat="false" ht="15" hidden="false" customHeight="false" outlineLevel="0" collapsed="false">
      <c r="A224" s="23" t="n">
        <v>46541</v>
      </c>
      <c r="B224" s="7" t="n">
        <v>-0.732</v>
      </c>
      <c r="C224" s="7" t="n">
        <v>-0.278</v>
      </c>
      <c r="D224" s="7" t="n">
        <v>-0.622</v>
      </c>
      <c r="E224" s="7" t="n">
        <v>0</v>
      </c>
      <c r="F224" s="7" t="n">
        <v>-0.323</v>
      </c>
      <c r="G224" s="7" t="n">
        <v>-0.569</v>
      </c>
      <c r="H224" s="7" t="n">
        <v>-0.587</v>
      </c>
      <c r="I224" s="7" t="n">
        <v>-0.888</v>
      </c>
      <c r="J224" s="7" t="n">
        <v>-0.113</v>
      </c>
      <c r="K224" s="7" t="n">
        <v>0</v>
      </c>
      <c r="L224" s="7" t="n">
        <v>-0.254</v>
      </c>
      <c r="M224" s="7" t="n">
        <v>0.061</v>
      </c>
      <c r="N224" s="7" t="n">
        <v>-0.278</v>
      </c>
      <c r="O224" s="7" t="n">
        <v>-0.807</v>
      </c>
      <c r="P224" s="7" t="n">
        <v>-0.551</v>
      </c>
      <c r="Q224" s="7" t="n">
        <v>-0.028</v>
      </c>
      <c r="R224" s="7" t="n">
        <v>-0.638</v>
      </c>
      <c r="S224" s="7" t="n">
        <v>0</v>
      </c>
      <c r="T224" s="7" t="n">
        <v>0</v>
      </c>
      <c r="U224" s="7" t="n">
        <v>-0.809</v>
      </c>
      <c r="V224" s="7" t="n">
        <v>-0.966</v>
      </c>
      <c r="W224" s="7" t="n">
        <v>0</v>
      </c>
      <c r="X224" s="7" t="n">
        <v>-0.531</v>
      </c>
      <c r="Y224" s="7" t="n">
        <v>-0.954</v>
      </c>
      <c r="Z224" s="7" t="n">
        <v>0</v>
      </c>
      <c r="AA224" s="7" t="n">
        <v>-0.293</v>
      </c>
      <c r="AB224" s="7" t="n">
        <v>-0.292</v>
      </c>
      <c r="AC224" s="7" t="n">
        <v>-0.028</v>
      </c>
      <c r="AD224" s="7" t="n">
        <v>-0.425</v>
      </c>
      <c r="AE224" s="7" t="n">
        <v>-0.098</v>
      </c>
      <c r="AF224" s="7" t="n">
        <v>-0.028</v>
      </c>
      <c r="AG224" s="7" t="n">
        <v>-0.858</v>
      </c>
      <c r="AH224" s="7" t="n">
        <v>-0.73</v>
      </c>
      <c r="AI224" s="7" t="n">
        <v>-0.254</v>
      </c>
      <c r="AJ224" s="7" t="n">
        <v>-0.595</v>
      </c>
      <c r="AK224" s="7" t="n">
        <v>-0.227</v>
      </c>
      <c r="AL224" s="7" t="n">
        <v>-0.872</v>
      </c>
      <c r="AM224" s="7" t="n">
        <v>-0.227</v>
      </c>
      <c r="AN224" s="7" t="n">
        <v>-0.425</v>
      </c>
      <c r="AO224" s="7" t="n">
        <v>-0.717</v>
      </c>
      <c r="AP224" s="7" t="n">
        <v>0</v>
      </c>
      <c r="AQ224" s="7" t="n">
        <v>-0.028</v>
      </c>
    </row>
    <row r="225" customFormat="false" ht="15" hidden="false" customHeight="false" outlineLevel="0" collapsed="false">
      <c r="A225" s="23" t="n">
        <v>46542</v>
      </c>
      <c r="B225" s="7" t="n">
        <v>-0.904</v>
      </c>
      <c r="C225" s="7" t="n">
        <v>-0.884</v>
      </c>
      <c r="D225" s="7" t="n">
        <v>0</v>
      </c>
      <c r="E225" s="7" t="n">
        <v>0</v>
      </c>
      <c r="F225" s="7" t="n">
        <v>-0.869</v>
      </c>
      <c r="G225" s="7" t="n">
        <v>0</v>
      </c>
      <c r="H225" s="7" t="n">
        <v>-0.308</v>
      </c>
      <c r="I225" s="7" t="n">
        <v>-0.854</v>
      </c>
      <c r="J225" s="7" t="n">
        <v>-0.478</v>
      </c>
      <c r="K225" s="7" t="n">
        <v>0</v>
      </c>
      <c r="L225" s="7" t="n">
        <v>-0.954</v>
      </c>
      <c r="M225" s="7" t="n">
        <v>0.061</v>
      </c>
      <c r="N225" s="7" t="n">
        <v>-0.918</v>
      </c>
      <c r="O225" s="7" t="n">
        <v>-0.957</v>
      </c>
      <c r="P225" s="7" t="n">
        <v>-0.56</v>
      </c>
      <c r="Q225" s="7" t="n">
        <v>-0.847</v>
      </c>
      <c r="R225" s="7" t="n">
        <v>-0.359</v>
      </c>
      <c r="S225" s="7" t="n">
        <v>0</v>
      </c>
      <c r="T225" s="7" t="n">
        <v>0</v>
      </c>
      <c r="U225" s="7" t="n">
        <v>-0.781</v>
      </c>
      <c r="V225" s="7" t="n">
        <v>-0.614</v>
      </c>
      <c r="W225" s="7" t="n">
        <v>-0.818</v>
      </c>
      <c r="X225" s="7" t="n">
        <v>0</v>
      </c>
      <c r="Y225" s="7" t="n">
        <v>-0.731</v>
      </c>
      <c r="Z225" s="7" t="n">
        <v>0</v>
      </c>
      <c r="AA225" s="7" t="n">
        <v>-0.359</v>
      </c>
      <c r="AB225" s="7" t="n">
        <v>-0.762</v>
      </c>
      <c r="AC225" s="7" t="n">
        <v>-0.847</v>
      </c>
      <c r="AD225" s="7" t="n">
        <v>-0.375</v>
      </c>
      <c r="AE225" s="7" t="n">
        <v>-0.736</v>
      </c>
      <c r="AF225" s="7" t="n">
        <v>-0.617</v>
      </c>
      <c r="AG225" s="7" t="n">
        <v>0</v>
      </c>
      <c r="AH225" s="7" t="n">
        <v>-0.114</v>
      </c>
      <c r="AI225" s="7" t="n">
        <v>-0.85</v>
      </c>
      <c r="AJ225" s="7" t="n">
        <v>-0.554</v>
      </c>
      <c r="AK225" s="7" t="n">
        <v>-0.554</v>
      </c>
      <c r="AL225" s="7" t="n">
        <v>-0.59</v>
      </c>
      <c r="AM225" s="7" t="n">
        <v>-0.554</v>
      </c>
      <c r="AN225" s="7" t="n">
        <v>0</v>
      </c>
      <c r="AO225" s="7" t="n">
        <v>-0.07</v>
      </c>
      <c r="AP225" s="7" t="n">
        <v>0</v>
      </c>
      <c r="AQ225" s="7" t="n">
        <v>-0.56</v>
      </c>
    </row>
    <row r="226" customFormat="false" ht="15" hidden="false" customHeight="false" outlineLevel="0" collapsed="false">
      <c r="A226" s="23" t="n">
        <v>46543</v>
      </c>
      <c r="B226" s="7" t="n">
        <v>-0.876</v>
      </c>
      <c r="C226" s="7" t="n">
        <v>-0.719</v>
      </c>
      <c r="D226" s="7" t="n">
        <v>-0.265</v>
      </c>
      <c r="E226" s="7" t="n">
        <v>0</v>
      </c>
      <c r="F226" s="7" t="n">
        <v>-0.853</v>
      </c>
      <c r="G226" s="7" t="n">
        <v>0</v>
      </c>
      <c r="H226" s="7" t="n">
        <v>-0.296</v>
      </c>
      <c r="I226" s="7" t="n">
        <v>-0.64</v>
      </c>
      <c r="J226" s="7" t="n">
        <v>-0.05</v>
      </c>
      <c r="K226" s="7" t="n">
        <v>0</v>
      </c>
      <c r="L226" s="7" t="n">
        <v>-0.854</v>
      </c>
      <c r="M226" s="7" t="n">
        <v>0.062</v>
      </c>
      <c r="N226" s="7" t="n">
        <v>-0.796</v>
      </c>
      <c r="O226" s="7" t="n">
        <v>-0.885</v>
      </c>
      <c r="P226" s="7" t="n">
        <v>-0.65</v>
      </c>
      <c r="Q226" s="7" t="n">
        <v>-0.802</v>
      </c>
      <c r="R226" s="7" t="n">
        <v>-0.349</v>
      </c>
      <c r="S226" s="7" t="n">
        <v>0</v>
      </c>
      <c r="T226" s="7" t="n">
        <v>0</v>
      </c>
      <c r="U226" s="7" t="n">
        <v>-0.758</v>
      </c>
      <c r="V226" s="7" t="n">
        <v>-0.573</v>
      </c>
      <c r="W226" s="7" t="n">
        <v>-0.765</v>
      </c>
      <c r="X226" s="7" t="n">
        <v>-0.135</v>
      </c>
      <c r="Y226" s="7" t="n">
        <v>-0.702</v>
      </c>
      <c r="Z226" s="7" t="n">
        <v>0</v>
      </c>
      <c r="AA226" s="7" t="n">
        <v>-0.349</v>
      </c>
      <c r="AB226" s="7" t="n">
        <v>-0.233</v>
      </c>
      <c r="AC226" s="7" t="n">
        <v>-0.802</v>
      </c>
      <c r="AD226" s="7" t="n">
        <v>-0.314</v>
      </c>
      <c r="AE226" s="7" t="n">
        <v>-0.716</v>
      </c>
      <c r="AF226" s="7" t="n">
        <v>-0.574</v>
      </c>
      <c r="AG226" s="7" t="n">
        <v>0</v>
      </c>
      <c r="AH226" s="7" t="n">
        <v>-0.102</v>
      </c>
      <c r="AI226" s="7" t="n">
        <v>-0.668</v>
      </c>
      <c r="AJ226" s="7" t="n">
        <v>-0.167</v>
      </c>
      <c r="AK226" s="7" t="n">
        <v>-0.167</v>
      </c>
      <c r="AL226" s="7" t="n">
        <v>-0.587</v>
      </c>
      <c r="AM226" s="7" t="n">
        <v>-0.167</v>
      </c>
      <c r="AN226" s="7" t="n">
        <v>0</v>
      </c>
      <c r="AO226" s="7" t="n">
        <v>-0.069</v>
      </c>
      <c r="AP226" s="7" t="n">
        <v>0</v>
      </c>
      <c r="AQ226" s="7" t="n">
        <v>-0.565</v>
      </c>
    </row>
    <row r="227" customFormat="false" ht="15" hidden="false" customHeight="false" outlineLevel="0" collapsed="false">
      <c r="A227" s="23" t="n">
        <v>46544</v>
      </c>
      <c r="B227" s="7" t="n">
        <v>-0.953</v>
      </c>
      <c r="C227" s="7" t="n">
        <v>-0.486</v>
      </c>
      <c r="D227" s="7" t="n">
        <v>0</v>
      </c>
      <c r="E227" s="7" t="n">
        <v>-0.216</v>
      </c>
      <c r="F227" s="7" t="n">
        <v>-0.776</v>
      </c>
      <c r="G227" s="7" t="n">
        <v>0</v>
      </c>
      <c r="H227" s="7" t="n">
        <v>-0.865</v>
      </c>
      <c r="I227" s="7" t="n">
        <v>-0.647</v>
      </c>
      <c r="J227" s="7" t="n">
        <v>-0.111</v>
      </c>
      <c r="K227" s="7" t="n">
        <v>-0.224</v>
      </c>
      <c r="L227" s="7" t="n">
        <v>-0.389</v>
      </c>
      <c r="M227" s="7" t="n">
        <v>-0.062</v>
      </c>
      <c r="N227" s="7" t="n">
        <v>-0.611</v>
      </c>
      <c r="O227" s="7" t="n">
        <v>-0.303</v>
      </c>
      <c r="P227" s="7" t="n">
        <v>-0.082</v>
      </c>
      <c r="Q227" s="7" t="n">
        <v>-0.082</v>
      </c>
      <c r="R227" s="7" t="n">
        <v>-0.885</v>
      </c>
      <c r="S227" s="7" t="n">
        <v>-0.454</v>
      </c>
      <c r="T227" s="7" t="n">
        <v>-0.026</v>
      </c>
      <c r="U227" s="7" t="n">
        <v>-0.95</v>
      </c>
      <c r="V227" s="7" t="n">
        <v>-0.931</v>
      </c>
      <c r="W227" s="7" t="n">
        <v>0</v>
      </c>
      <c r="X227" s="7" t="n">
        <v>0</v>
      </c>
      <c r="Y227" s="7" t="n">
        <v>-0.963</v>
      </c>
      <c r="Z227" s="7" t="n">
        <v>-0.305</v>
      </c>
      <c r="AA227" s="7" t="n">
        <v>-0.885</v>
      </c>
      <c r="AB227" s="7" t="n">
        <v>-0.291</v>
      </c>
      <c r="AC227" s="7" t="n">
        <v>-0.056</v>
      </c>
      <c r="AD227" s="7" t="n">
        <v>-0.905</v>
      </c>
      <c r="AE227" s="7" t="n">
        <v>-0.48</v>
      </c>
      <c r="AF227" s="7" t="n">
        <v>-0.194</v>
      </c>
      <c r="AG227" s="7" t="n">
        <v>0</v>
      </c>
      <c r="AH227" s="7" t="n">
        <v>-0.164</v>
      </c>
      <c r="AI227" s="7" t="n">
        <v>-0.279</v>
      </c>
      <c r="AJ227" s="7" t="n">
        <v>-0.226</v>
      </c>
      <c r="AK227" s="7" t="n">
        <v>-0.226</v>
      </c>
      <c r="AL227" s="7" t="n">
        <v>-0.151</v>
      </c>
      <c r="AM227" s="7" t="n">
        <v>-0.226</v>
      </c>
      <c r="AN227" s="7" t="n">
        <v>-0.805</v>
      </c>
      <c r="AO227" s="7" t="n">
        <v>-0.191</v>
      </c>
      <c r="AP227" s="7" t="n">
        <v>-0.124</v>
      </c>
      <c r="AQ227" s="7" t="n">
        <v>-0.056</v>
      </c>
    </row>
    <row r="228" customFormat="false" ht="15" hidden="false" customHeight="false" outlineLevel="0" collapsed="false">
      <c r="A228" s="23" t="n">
        <v>46545</v>
      </c>
      <c r="B228" s="7" t="n">
        <v>-0.869</v>
      </c>
      <c r="C228" s="7" t="n">
        <v>-0.846</v>
      </c>
      <c r="D228" s="7" t="n">
        <v>0</v>
      </c>
      <c r="E228" s="7" t="n">
        <v>-0.13</v>
      </c>
      <c r="F228" s="7" t="n">
        <v>-0.941</v>
      </c>
      <c r="G228" s="7" t="n">
        <v>0</v>
      </c>
      <c r="H228" s="7" t="n">
        <v>0</v>
      </c>
      <c r="I228" s="7" t="n">
        <v>-0.539</v>
      </c>
      <c r="J228" s="7" t="n">
        <v>-0.86</v>
      </c>
      <c r="K228" s="7" t="n">
        <v>-0.101</v>
      </c>
      <c r="L228" s="7" t="n">
        <v>-0.383</v>
      </c>
      <c r="M228" s="7" t="n">
        <v>-0.798</v>
      </c>
      <c r="N228" s="7" t="n">
        <v>-0.89</v>
      </c>
      <c r="O228" s="7" t="n">
        <v>-0.883</v>
      </c>
      <c r="P228" s="7" t="n">
        <v>-0.068</v>
      </c>
      <c r="Q228" s="7" t="n">
        <v>-0.068</v>
      </c>
      <c r="R228" s="7" t="n">
        <v>0</v>
      </c>
      <c r="S228" s="7" t="n">
        <v>-0.389</v>
      </c>
      <c r="T228" s="7" t="n">
        <v>-0.012</v>
      </c>
      <c r="U228" s="7" t="n">
        <v>-0.583</v>
      </c>
      <c r="V228" s="7" t="n">
        <v>-0.36</v>
      </c>
      <c r="W228" s="7" t="n">
        <v>0</v>
      </c>
      <c r="X228" s="7" t="n">
        <v>0</v>
      </c>
      <c r="Y228" s="7" t="n">
        <v>-0.44</v>
      </c>
      <c r="Z228" s="7" t="n">
        <v>-0.16</v>
      </c>
      <c r="AA228" s="7" t="n">
        <v>0</v>
      </c>
      <c r="AB228" s="7" t="n">
        <v>-0.872</v>
      </c>
      <c r="AC228" s="7" t="n">
        <v>-0.056</v>
      </c>
      <c r="AD228" s="7" t="n">
        <v>-0.308</v>
      </c>
      <c r="AE228" s="7" t="n">
        <v>-0.843</v>
      </c>
      <c r="AF228" s="7" t="n">
        <v>-0.118</v>
      </c>
      <c r="AG228" s="7" t="n">
        <v>0</v>
      </c>
      <c r="AH228" s="7" t="n">
        <v>-0.731</v>
      </c>
      <c r="AI228" s="7" t="n">
        <v>-0.275</v>
      </c>
      <c r="AJ228" s="7" t="n">
        <v>-0.222</v>
      </c>
      <c r="AK228" s="7" t="n">
        <v>-0.222</v>
      </c>
      <c r="AL228" s="7" t="n">
        <v>-0.742</v>
      </c>
      <c r="AM228" s="7" t="n">
        <v>-0.222</v>
      </c>
      <c r="AN228" s="7" t="n">
        <v>0</v>
      </c>
      <c r="AO228" s="7" t="n">
        <v>-0.742</v>
      </c>
      <c r="AP228" s="7" t="n">
        <v>-0.12</v>
      </c>
      <c r="AQ228" s="7" t="n">
        <v>-0.056</v>
      </c>
    </row>
    <row r="229" customFormat="false" ht="15" hidden="false" customHeight="false" outlineLevel="0" collapsed="false">
      <c r="A229" s="23" t="n">
        <v>46546</v>
      </c>
      <c r="B229" s="7" t="n">
        <v>-0.319</v>
      </c>
      <c r="C229" s="7" t="n">
        <v>0.037</v>
      </c>
      <c r="D229" s="7" t="n">
        <v>0</v>
      </c>
      <c r="E229" s="7" t="n">
        <v>0.239</v>
      </c>
      <c r="F229" s="7" t="n">
        <v>-0.297</v>
      </c>
      <c r="G229" s="7" t="n">
        <v>0</v>
      </c>
      <c r="H229" s="7" t="n">
        <v>-0.349</v>
      </c>
      <c r="I229" s="7" t="n">
        <v>-0.347</v>
      </c>
      <c r="J229" s="7" t="n">
        <v>-0.105</v>
      </c>
      <c r="K229" s="7" t="n">
        <v>0</v>
      </c>
      <c r="L229" s="7" t="n">
        <v>-0.082</v>
      </c>
      <c r="M229" s="7" t="n">
        <v>0.349</v>
      </c>
      <c r="N229" s="7" t="n">
        <v>-0.081</v>
      </c>
      <c r="O229" s="7" t="n">
        <v>-0.081</v>
      </c>
      <c r="P229" s="7" t="n">
        <v>-0.027</v>
      </c>
      <c r="Q229" s="7" t="n">
        <v>-0.027</v>
      </c>
      <c r="R229" s="7" t="n">
        <v>-0.496</v>
      </c>
      <c r="S229" s="7" t="n">
        <v>0</v>
      </c>
      <c r="T229" s="7" t="n">
        <v>-0.494</v>
      </c>
      <c r="U229" s="7" t="n">
        <v>-0.122</v>
      </c>
      <c r="V229" s="7" t="n">
        <v>-0.556</v>
      </c>
      <c r="W229" s="7" t="n">
        <v>0</v>
      </c>
      <c r="X229" s="7" t="n">
        <v>0</v>
      </c>
      <c r="Y229" s="7" t="n">
        <v>-0.328</v>
      </c>
      <c r="Z229" s="7" t="n">
        <v>0</v>
      </c>
      <c r="AA229" s="7" t="n">
        <v>-0.496</v>
      </c>
      <c r="AB229" s="7" t="n">
        <v>0.262</v>
      </c>
      <c r="AC229" s="7" t="n">
        <v>-0.027</v>
      </c>
      <c r="AD229" s="7" t="n">
        <v>0</v>
      </c>
      <c r="AE229" s="7" t="n">
        <v>-0.037</v>
      </c>
      <c r="AF229" s="7" t="n">
        <v>0.213</v>
      </c>
      <c r="AG229" s="7" t="n">
        <v>0.19</v>
      </c>
      <c r="AH229" s="7" t="n">
        <v>-0.106</v>
      </c>
      <c r="AI229" s="7" t="n">
        <v>-0.082</v>
      </c>
      <c r="AJ229" s="7" t="n">
        <v>-0.055</v>
      </c>
      <c r="AK229" s="7" t="n">
        <v>-0.055</v>
      </c>
      <c r="AL229" s="7" t="n">
        <v>-0.122</v>
      </c>
      <c r="AM229" s="7" t="n">
        <v>-0.055</v>
      </c>
      <c r="AN229" s="7" t="n">
        <v>0</v>
      </c>
      <c r="AO229" s="7" t="n">
        <v>-0.01</v>
      </c>
      <c r="AP229" s="7" t="n">
        <v>0</v>
      </c>
      <c r="AQ229" s="7" t="n">
        <v>-0.027</v>
      </c>
    </row>
    <row r="230" customFormat="false" ht="15" hidden="false" customHeight="false" outlineLevel="0" collapsed="false">
      <c r="A230" s="23" t="n">
        <v>46547</v>
      </c>
      <c r="B230" s="7" t="n">
        <v>0.424</v>
      </c>
      <c r="C230" s="7" t="n">
        <v>0.615</v>
      </c>
      <c r="D230" s="7" t="n">
        <v>0</v>
      </c>
      <c r="E230" s="7" t="n">
        <v>0.767</v>
      </c>
      <c r="F230" s="7" t="n">
        <v>0.587</v>
      </c>
      <c r="G230" s="7" t="n">
        <v>-0.088</v>
      </c>
      <c r="H230" s="7" t="n">
        <v>-0.022</v>
      </c>
      <c r="I230" s="7" t="n">
        <v>-0.405</v>
      </c>
      <c r="J230" s="7" t="n">
        <v>-0.146</v>
      </c>
      <c r="K230" s="7" t="n">
        <v>0.833</v>
      </c>
      <c r="L230" s="7" t="n">
        <v>0.599</v>
      </c>
      <c r="M230" s="7" t="n">
        <v>0.137</v>
      </c>
      <c r="N230" s="7" t="n">
        <v>0.707</v>
      </c>
      <c r="O230" s="7" t="n">
        <v>0.627</v>
      </c>
      <c r="P230" s="7" t="n">
        <v>-0.057</v>
      </c>
      <c r="Q230" s="7" t="n">
        <v>-0.057</v>
      </c>
      <c r="R230" s="7" t="n">
        <v>-0.022</v>
      </c>
      <c r="S230" s="7" t="n">
        <v>0.412</v>
      </c>
      <c r="T230" s="7" t="n">
        <v>-0.022</v>
      </c>
      <c r="U230" s="7" t="n">
        <v>-0.501</v>
      </c>
      <c r="V230" s="7" t="n">
        <v>-0.628</v>
      </c>
      <c r="W230" s="7" t="n">
        <v>0</v>
      </c>
      <c r="X230" s="7" t="n">
        <v>0</v>
      </c>
      <c r="Y230" s="7" t="n">
        <v>-0.294</v>
      </c>
      <c r="Z230" s="7" t="n">
        <v>0.833</v>
      </c>
      <c r="AA230" s="7" t="n">
        <v>-0.022</v>
      </c>
      <c r="AB230" s="7" t="n">
        <v>-0.088</v>
      </c>
      <c r="AC230" s="7" t="n">
        <v>-0.057</v>
      </c>
      <c r="AD230" s="7" t="n">
        <v>0.516</v>
      </c>
      <c r="AE230" s="7" t="n">
        <v>0.697</v>
      </c>
      <c r="AF230" s="7" t="n">
        <v>0.123</v>
      </c>
      <c r="AG230" s="7" t="n">
        <v>0.308</v>
      </c>
      <c r="AH230" s="7" t="n">
        <v>-0.089</v>
      </c>
      <c r="AI230" s="7" t="n">
        <v>-0.075</v>
      </c>
      <c r="AJ230" s="7" t="n">
        <v>-0.04</v>
      </c>
      <c r="AK230" s="7" t="n">
        <v>-0.04</v>
      </c>
      <c r="AL230" s="7" t="n">
        <v>-0.152</v>
      </c>
      <c r="AM230" s="7" t="n">
        <v>-0.019</v>
      </c>
      <c r="AN230" s="7" t="n">
        <v>-0.022</v>
      </c>
      <c r="AO230" s="7" t="n">
        <v>0.649</v>
      </c>
      <c r="AP230" s="7" t="n">
        <v>0.645</v>
      </c>
      <c r="AQ230" s="7" t="n">
        <v>-0.057</v>
      </c>
    </row>
    <row r="231" customFormat="false" ht="15" hidden="false" customHeight="false" outlineLevel="0" collapsed="false">
      <c r="A231" s="23" t="n">
        <v>46548</v>
      </c>
      <c r="B231" s="7" t="n">
        <v>-0.978</v>
      </c>
      <c r="C231" s="7" t="n">
        <v>-0.322</v>
      </c>
      <c r="D231" s="7" t="n">
        <v>-0.478</v>
      </c>
      <c r="E231" s="7" t="n">
        <v>0</v>
      </c>
      <c r="F231" s="7" t="n">
        <v>-0.697</v>
      </c>
      <c r="G231" s="7" t="n">
        <v>-0.016</v>
      </c>
      <c r="H231" s="7" t="n">
        <v>0.211</v>
      </c>
      <c r="I231" s="7" t="n">
        <v>-0.881</v>
      </c>
      <c r="J231" s="7" t="n">
        <v>-0.165</v>
      </c>
      <c r="K231" s="7" t="n">
        <v>0</v>
      </c>
      <c r="L231" s="7" t="n">
        <v>-0.26</v>
      </c>
      <c r="M231" s="7" t="n">
        <v>0.063</v>
      </c>
      <c r="N231" s="7" t="n">
        <v>-0.486</v>
      </c>
      <c r="O231" s="7" t="n">
        <v>-0.291</v>
      </c>
      <c r="P231" s="7" t="n">
        <v>0.029</v>
      </c>
      <c r="Q231" s="7" t="n">
        <v>-0.044</v>
      </c>
      <c r="R231" s="7" t="n">
        <v>-0.73</v>
      </c>
      <c r="S231" s="7" t="n">
        <v>-0.679</v>
      </c>
      <c r="T231" s="7" t="n">
        <v>-0.836</v>
      </c>
      <c r="U231" s="7" t="n">
        <v>-0.102</v>
      </c>
      <c r="V231" s="7" t="n">
        <v>-0.805</v>
      </c>
      <c r="W231" s="7" t="n">
        <v>0</v>
      </c>
      <c r="X231" s="7" t="n">
        <v>-0.606</v>
      </c>
      <c r="Y231" s="7" t="n">
        <v>-0.887</v>
      </c>
      <c r="Z231" s="7" t="n">
        <v>0</v>
      </c>
      <c r="AA231" s="7" t="n">
        <v>-0.761</v>
      </c>
      <c r="AB231" s="7" t="n">
        <v>-0.282</v>
      </c>
      <c r="AC231" s="7" t="n">
        <v>-0.044</v>
      </c>
      <c r="AD231" s="7" t="n">
        <v>-0.608</v>
      </c>
      <c r="AE231" s="7" t="n">
        <v>-0.112</v>
      </c>
      <c r="AF231" s="7" t="n">
        <v>-0.044</v>
      </c>
      <c r="AG231" s="7" t="n">
        <v>0</v>
      </c>
      <c r="AH231" s="7" t="n">
        <v>0.061</v>
      </c>
      <c r="AI231" s="7" t="n">
        <v>-0.319</v>
      </c>
      <c r="AJ231" s="7" t="n">
        <v>-0.772</v>
      </c>
      <c r="AK231" s="7" t="n">
        <v>-0.774</v>
      </c>
      <c r="AL231" s="7" t="n">
        <v>0.215</v>
      </c>
      <c r="AM231" s="7" t="n">
        <v>-0.278</v>
      </c>
      <c r="AN231" s="7" t="n">
        <v>-0.666</v>
      </c>
      <c r="AO231" s="7" t="n">
        <v>0.169</v>
      </c>
      <c r="AP231" s="7" t="n">
        <v>0</v>
      </c>
      <c r="AQ231" s="7" t="n">
        <v>-0.044</v>
      </c>
    </row>
    <row r="232" customFormat="false" ht="15" hidden="false" customHeight="false" outlineLevel="0" collapsed="false">
      <c r="A232" s="23" t="n">
        <v>46549</v>
      </c>
      <c r="B232" s="7" t="n">
        <v>-0.669</v>
      </c>
      <c r="C232" s="7" t="n">
        <v>-0.622</v>
      </c>
      <c r="D232" s="7" t="n">
        <v>0.261</v>
      </c>
      <c r="E232" s="7" t="n">
        <v>0</v>
      </c>
      <c r="F232" s="7" t="n">
        <v>-0.89</v>
      </c>
      <c r="G232" s="7" t="n">
        <v>0.072</v>
      </c>
      <c r="H232" s="7" t="n">
        <v>0.261</v>
      </c>
      <c r="I232" s="7" t="n">
        <v>-0.452</v>
      </c>
      <c r="J232" s="7" t="n">
        <v>-0.068</v>
      </c>
      <c r="K232" s="7" t="n">
        <v>0</v>
      </c>
      <c r="L232" s="7" t="n">
        <v>-0.686</v>
      </c>
      <c r="M232" s="7" t="n">
        <v>0.063</v>
      </c>
      <c r="N232" s="7" t="n">
        <v>-0.796</v>
      </c>
      <c r="O232" s="7" t="n">
        <v>-0.817</v>
      </c>
      <c r="P232" s="7" t="n">
        <v>-0.482</v>
      </c>
      <c r="Q232" s="7" t="n">
        <v>-0.574</v>
      </c>
      <c r="R232" s="7" t="n">
        <v>0.072</v>
      </c>
      <c r="S232" s="7" t="n">
        <v>0</v>
      </c>
      <c r="T232" s="7" t="n">
        <v>0</v>
      </c>
      <c r="U232" s="7" t="n">
        <v>-0.452</v>
      </c>
      <c r="V232" s="7" t="n">
        <v>-0.292</v>
      </c>
      <c r="W232" s="7" t="n">
        <v>-0.056</v>
      </c>
      <c r="X232" s="7" t="n">
        <v>0.072</v>
      </c>
      <c r="Y232" s="7" t="n">
        <v>-0.357</v>
      </c>
      <c r="Z232" s="7" t="n">
        <v>0</v>
      </c>
      <c r="AA232" s="7" t="n">
        <v>0</v>
      </c>
      <c r="AB232" s="7" t="n">
        <v>-0.25</v>
      </c>
      <c r="AC232" s="7" t="n">
        <v>-0.574</v>
      </c>
      <c r="AD232" s="7" t="n">
        <v>0.072</v>
      </c>
      <c r="AE232" s="7" t="n">
        <v>-0.616</v>
      </c>
      <c r="AF232" s="7" t="n">
        <v>-0.388</v>
      </c>
      <c r="AG232" s="7" t="n">
        <v>0</v>
      </c>
      <c r="AH232" s="7" t="n">
        <v>0.278</v>
      </c>
      <c r="AI232" s="7" t="n">
        <v>-0.656</v>
      </c>
      <c r="AJ232" s="7" t="n">
        <v>-0.115</v>
      </c>
      <c r="AK232" s="7" t="n">
        <v>-0.185</v>
      </c>
      <c r="AL232" s="7" t="n">
        <v>-0.17</v>
      </c>
      <c r="AM232" s="7" t="n">
        <v>-0.185</v>
      </c>
      <c r="AN232" s="7" t="n">
        <v>0.072</v>
      </c>
      <c r="AO232" s="7" t="n">
        <v>0.364</v>
      </c>
      <c r="AP232" s="7" t="n">
        <v>0</v>
      </c>
      <c r="AQ232" s="7" t="n">
        <v>-0.535</v>
      </c>
    </row>
    <row r="233" customFormat="false" ht="15" hidden="false" customHeight="false" outlineLevel="0" collapsed="false">
      <c r="A233" s="23" t="n">
        <v>46550</v>
      </c>
      <c r="B233" s="7" t="n">
        <v>-0.765</v>
      </c>
      <c r="C233" s="7" t="n">
        <v>-0.447</v>
      </c>
      <c r="D233" s="7" t="n">
        <v>-0.041</v>
      </c>
      <c r="E233" s="7" t="n">
        <v>0.292</v>
      </c>
      <c r="F233" s="7" t="n">
        <v>-0.78</v>
      </c>
      <c r="G233" s="7" t="n">
        <v>0</v>
      </c>
      <c r="H233" s="7" t="n">
        <v>0</v>
      </c>
      <c r="I233" s="7" t="n">
        <v>-0.542</v>
      </c>
      <c r="J233" s="7" t="n">
        <v>-0.116</v>
      </c>
      <c r="K233" s="7" t="n">
        <v>0.407</v>
      </c>
      <c r="L233" s="7" t="n">
        <v>-0.428</v>
      </c>
      <c r="M233" s="7" t="n">
        <v>0.281</v>
      </c>
      <c r="N233" s="7" t="n">
        <v>-0.577</v>
      </c>
      <c r="O233" s="7" t="n">
        <v>-0.901</v>
      </c>
      <c r="P233" s="7" t="n">
        <v>-0.096</v>
      </c>
      <c r="Q233" s="7" t="n">
        <v>-0.096</v>
      </c>
      <c r="R233" s="7" t="n">
        <v>0</v>
      </c>
      <c r="S233" s="7" t="n">
        <v>-0.212</v>
      </c>
      <c r="T233" s="7" t="n">
        <v>0</v>
      </c>
      <c r="U233" s="7" t="n">
        <v>-0.946</v>
      </c>
      <c r="V233" s="7" t="n">
        <v>-0.355</v>
      </c>
      <c r="W233" s="7" t="n">
        <v>0</v>
      </c>
      <c r="X233" s="7" t="n">
        <v>0</v>
      </c>
      <c r="Y233" s="7" t="n">
        <v>-0.963</v>
      </c>
      <c r="Z233" s="7" t="n">
        <v>0.26</v>
      </c>
      <c r="AA233" s="7" t="n">
        <v>0</v>
      </c>
      <c r="AB233" s="7" t="n">
        <v>0.047</v>
      </c>
      <c r="AC233" s="7" t="n">
        <v>-0.096</v>
      </c>
      <c r="AD233" s="7" t="n">
        <v>-0.239</v>
      </c>
      <c r="AE233" s="7" t="n">
        <v>-0.438</v>
      </c>
      <c r="AF233" s="7" t="n">
        <v>0.243</v>
      </c>
      <c r="AG233" s="7" t="n">
        <v>-0.809</v>
      </c>
      <c r="AH233" s="7" t="n">
        <v>-0.853</v>
      </c>
      <c r="AI233" s="7" t="n">
        <v>-0.321</v>
      </c>
      <c r="AJ233" s="7" t="n">
        <v>-0.232</v>
      </c>
      <c r="AK233" s="7" t="n">
        <v>-0.232</v>
      </c>
      <c r="AL233" s="7" t="n">
        <v>-0.861</v>
      </c>
      <c r="AM233" s="7" t="n">
        <v>-0.232</v>
      </c>
      <c r="AN233" s="7" t="n">
        <v>0</v>
      </c>
      <c r="AO233" s="7" t="n">
        <v>-0.866</v>
      </c>
      <c r="AP233" s="7" t="n">
        <v>-0.124</v>
      </c>
      <c r="AQ233" s="7" t="n">
        <v>-0.096</v>
      </c>
    </row>
    <row r="234" customFormat="false" ht="15" hidden="false" customHeight="false" outlineLevel="0" collapsed="false">
      <c r="A234" s="23" t="n">
        <v>46551</v>
      </c>
      <c r="B234" s="7" t="n">
        <v>-0.805</v>
      </c>
      <c r="C234" s="7" t="n">
        <v>-0.765</v>
      </c>
      <c r="D234" s="7" t="n">
        <v>-0.008</v>
      </c>
      <c r="E234" s="7" t="n">
        <v>0.212</v>
      </c>
      <c r="F234" s="7" t="n">
        <v>-0.782</v>
      </c>
      <c r="G234" s="7" t="n">
        <v>0</v>
      </c>
      <c r="H234" s="7" t="n">
        <v>0</v>
      </c>
      <c r="I234" s="7" t="n">
        <v>-0.784</v>
      </c>
      <c r="J234" s="7" t="n">
        <v>-0.474</v>
      </c>
      <c r="K234" s="7" t="n">
        <v>0.409</v>
      </c>
      <c r="L234" s="7" t="n">
        <v>-0.762</v>
      </c>
      <c r="M234" s="7" t="n">
        <v>0.114</v>
      </c>
      <c r="N234" s="7" t="n">
        <v>-0.829</v>
      </c>
      <c r="O234" s="7" t="n">
        <v>-0.641</v>
      </c>
      <c r="P234" s="7" t="n">
        <v>-0.089</v>
      </c>
      <c r="Q234" s="7" t="n">
        <v>-0.089</v>
      </c>
      <c r="R234" s="7" t="n">
        <v>0</v>
      </c>
      <c r="S234" s="7" t="n">
        <v>-0.339</v>
      </c>
      <c r="T234" s="7" t="n">
        <v>0</v>
      </c>
      <c r="U234" s="7" t="n">
        <v>-0.604</v>
      </c>
      <c r="V234" s="7" t="n">
        <v>-0.496</v>
      </c>
      <c r="W234" s="7" t="n">
        <v>0</v>
      </c>
      <c r="X234" s="7" t="n">
        <v>0</v>
      </c>
      <c r="Y234" s="7" t="n">
        <v>-0.409</v>
      </c>
      <c r="Z234" s="7" t="n">
        <v>0.128</v>
      </c>
      <c r="AA234" s="7" t="n">
        <v>0</v>
      </c>
      <c r="AB234" s="7" t="n">
        <v>-0.419</v>
      </c>
      <c r="AC234" s="7" t="n">
        <v>-0.089</v>
      </c>
      <c r="AD234" s="7" t="n">
        <v>-0.373</v>
      </c>
      <c r="AE234" s="7" t="n">
        <v>-0.523</v>
      </c>
      <c r="AF234" s="7" t="n">
        <v>0.323</v>
      </c>
      <c r="AG234" s="7" t="n">
        <v>0</v>
      </c>
      <c r="AH234" s="7" t="n">
        <v>-0.132</v>
      </c>
      <c r="AI234" s="7" t="n">
        <v>-0.607</v>
      </c>
      <c r="AJ234" s="7" t="n">
        <v>-0.547</v>
      </c>
      <c r="AK234" s="7" t="n">
        <v>-0.547</v>
      </c>
      <c r="AL234" s="7" t="n">
        <v>-0.153</v>
      </c>
      <c r="AM234" s="7" t="n">
        <v>-0.547</v>
      </c>
      <c r="AN234" s="7" t="n">
        <v>0</v>
      </c>
      <c r="AO234" s="7" t="n">
        <v>-0.35</v>
      </c>
      <c r="AP234" s="7" t="n">
        <v>-0.29</v>
      </c>
      <c r="AQ234" s="7" t="n">
        <v>-0.089</v>
      </c>
    </row>
    <row r="235" customFormat="false" ht="15" hidden="false" customHeight="false" outlineLevel="0" collapsed="false">
      <c r="A235" s="23" t="n">
        <v>46552</v>
      </c>
      <c r="B235" s="7" t="n">
        <v>-0.778</v>
      </c>
      <c r="C235" s="7" t="n">
        <v>-0.695</v>
      </c>
      <c r="D235" s="7" t="n">
        <v>-0.257</v>
      </c>
      <c r="E235" s="7" t="n">
        <v>-0.036</v>
      </c>
      <c r="F235" s="7" t="n">
        <v>-0.756</v>
      </c>
      <c r="G235" s="7" t="n">
        <v>-0.17</v>
      </c>
      <c r="H235" s="7" t="n">
        <v>-0.278</v>
      </c>
      <c r="I235" s="7" t="n">
        <v>-0.678</v>
      </c>
      <c r="J235" s="7" t="n">
        <v>-0.059</v>
      </c>
      <c r="K235" s="7" t="n">
        <v>-0.036</v>
      </c>
      <c r="L235" s="7" t="n">
        <v>-0.594</v>
      </c>
      <c r="M235" s="7" t="n">
        <v>0.064</v>
      </c>
      <c r="N235" s="7" t="n">
        <v>-0.657</v>
      </c>
      <c r="O235" s="7" t="n">
        <v>-0.715</v>
      </c>
      <c r="P235" s="7" t="n">
        <v>-0.486</v>
      </c>
      <c r="Q235" s="7" t="n">
        <v>-0.408</v>
      </c>
      <c r="R235" s="7" t="n">
        <v>-0.343</v>
      </c>
      <c r="S235" s="7" t="n">
        <v>-0.036</v>
      </c>
      <c r="T235" s="7" t="n">
        <v>-0.076</v>
      </c>
      <c r="U235" s="7" t="n">
        <v>-0.544</v>
      </c>
      <c r="V235" s="7" t="n">
        <v>-0.495</v>
      </c>
      <c r="W235" s="7" t="n">
        <v>-0.358</v>
      </c>
      <c r="X235" s="7" t="n">
        <v>-0.131</v>
      </c>
      <c r="Y235" s="7" t="n">
        <v>-0.537</v>
      </c>
      <c r="Z235" s="7" t="n">
        <v>-0.036</v>
      </c>
      <c r="AA235" s="7" t="n">
        <v>-0.343</v>
      </c>
      <c r="AB235" s="7" t="n">
        <v>-0.242</v>
      </c>
      <c r="AC235" s="7" t="n">
        <v>-0.408</v>
      </c>
      <c r="AD235" s="7" t="n">
        <v>-0.036</v>
      </c>
      <c r="AE235" s="7" t="n">
        <v>-0.537</v>
      </c>
      <c r="AF235" s="7" t="n">
        <v>-0.324</v>
      </c>
      <c r="AG235" s="7" t="n">
        <v>0</v>
      </c>
      <c r="AH235" s="7" t="n">
        <v>-0.091</v>
      </c>
      <c r="AI235" s="7" t="n">
        <v>-0.547</v>
      </c>
      <c r="AJ235" s="7" t="n">
        <v>-0.257</v>
      </c>
      <c r="AK235" s="7" t="n">
        <v>-0.257</v>
      </c>
      <c r="AL235" s="7" t="n">
        <v>-0.429</v>
      </c>
      <c r="AM235" s="7" t="n">
        <v>-0.212</v>
      </c>
      <c r="AN235" s="7" t="n">
        <v>-0.048</v>
      </c>
      <c r="AO235" s="7" t="n">
        <v>-0.067</v>
      </c>
      <c r="AP235" s="7" t="n">
        <v>-0.036</v>
      </c>
      <c r="AQ235" s="7" t="n">
        <v>-0.379</v>
      </c>
    </row>
    <row r="236" customFormat="false" ht="15" hidden="false" customHeight="false" outlineLevel="0" collapsed="false">
      <c r="A236" s="23" t="n">
        <v>46553</v>
      </c>
      <c r="B236" s="7" t="n">
        <v>-0.77</v>
      </c>
      <c r="C236" s="7" t="n">
        <v>-0.544</v>
      </c>
      <c r="D236" s="7" t="n">
        <v>0</v>
      </c>
      <c r="E236" s="7" t="n">
        <v>-0.034</v>
      </c>
      <c r="F236" s="7" t="n">
        <v>-0.701</v>
      </c>
      <c r="G236" s="7" t="n">
        <v>-0.133</v>
      </c>
      <c r="H236" s="7" t="n">
        <v>-0.591</v>
      </c>
      <c r="I236" s="7" t="n">
        <v>-0.729</v>
      </c>
      <c r="J236" s="7" t="n">
        <v>-0.125</v>
      </c>
      <c r="K236" s="7" t="n">
        <v>-0.034</v>
      </c>
      <c r="L236" s="7" t="n">
        <v>-0.382</v>
      </c>
      <c r="M236" s="7" t="n">
        <v>0.031</v>
      </c>
      <c r="N236" s="7" t="n">
        <v>-0.486</v>
      </c>
      <c r="O236" s="7" t="n">
        <v>-0.554</v>
      </c>
      <c r="P236" s="7" t="n">
        <v>-0.094</v>
      </c>
      <c r="Q236" s="7" t="n">
        <v>-0.121</v>
      </c>
      <c r="R236" s="7" t="n">
        <v>-0.645</v>
      </c>
      <c r="S236" s="7" t="n">
        <v>-0.034</v>
      </c>
      <c r="T236" s="7" t="n">
        <v>-0.059</v>
      </c>
      <c r="U236" s="7" t="n">
        <v>-0.684</v>
      </c>
      <c r="V236" s="7" t="n">
        <v>-0.765</v>
      </c>
      <c r="W236" s="7" t="n">
        <v>-0.094</v>
      </c>
      <c r="X236" s="7" t="n">
        <v>0</v>
      </c>
      <c r="Y236" s="7" t="n">
        <v>-0.85</v>
      </c>
      <c r="Z236" s="7" t="n">
        <v>-0.034</v>
      </c>
      <c r="AA236" s="7" t="n">
        <v>-0.645</v>
      </c>
      <c r="AB236" s="7" t="n">
        <v>-0.304</v>
      </c>
      <c r="AC236" s="7" t="n">
        <v>-0.121</v>
      </c>
      <c r="AD236" s="7" t="n">
        <v>-0.353</v>
      </c>
      <c r="AE236" s="7" t="n">
        <v>-0.331</v>
      </c>
      <c r="AF236" s="7" t="n">
        <v>-0.055</v>
      </c>
      <c r="AG236" s="7" t="n">
        <v>0</v>
      </c>
      <c r="AH236" s="7" t="n">
        <v>-0.162</v>
      </c>
      <c r="AI236" s="7" t="n">
        <v>-0.329</v>
      </c>
      <c r="AJ236" s="7" t="n">
        <v>-0.333</v>
      </c>
      <c r="AK236" s="7" t="n">
        <v>-0.333</v>
      </c>
      <c r="AL236" s="7" t="n">
        <v>-0.188</v>
      </c>
      <c r="AM236" s="7" t="n">
        <v>-0.242</v>
      </c>
      <c r="AN236" s="7" t="n">
        <v>-0.467</v>
      </c>
      <c r="AO236" s="7" t="n">
        <v>-0.1</v>
      </c>
      <c r="AP236" s="7" t="n">
        <v>-0.034</v>
      </c>
      <c r="AQ236" s="7" t="n">
        <v>-0.094</v>
      </c>
    </row>
    <row r="237" customFormat="false" ht="15" hidden="false" customHeight="false" outlineLevel="0" collapsed="false">
      <c r="A237" s="23" t="n">
        <v>46554</v>
      </c>
      <c r="B237" s="7" t="n">
        <v>-0.558</v>
      </c>
      <c r="C237" s="7" t="n">
        <v>-0.667</v>
      </c>
      <c r="D237" s="7" t="n">
        <v>0</v>
      </c>
      <c r="E237" s="7" t="n">
        <v>0.066</v>
      </c>
      <c r="F237" s="7" t="n">
        <v>-0.563</v>
      </c>
      <c r="G237" s="7" t="n">
        <v>-0.097</v>
      </c>
      <c r="H237" s="7" t="n">
        <v>-0.199</v>
      </c>
      <c r="I237" s="7" t="n">
        <v>-0.662</v>
      </c>
      <c r="J237" s="7" t="n">
        <v>-0.864</v>
      </c>
      <c r="K237" s="7" t="n">
        <v>0.066</v>
      </c>
      <c r="L237" s="7" t="n">
        <v>0.274</v>
      </c>
      <c r="M237" s="7" t="n">
        <v>-0.707</v>
      </c>
      <c r="N237" s="7" t="n">
        <v>-0.583</v>
      </c>
      <c r="O237" s="7" t="n">
        <v>-0.788</v>
      </c>
      <c r="P237" s="7" t="n">
        <v>0.005</v>
      </c>
      <c r="Q237" s="7" t="n">
        <v>0.421</v>
      </c>
      <c r="R237" s="7" t="n">
        <v>-0.199</v>
      </c>
      <c r="S237" s="7" t="n">
        <v>0.066</v>
      </c>
      <c r="T237" s="7" t="n">
        <v>-0.015</v>
      </c>
      <c r="U237" s="7" t="n">
        <v>0.271</v>
      </c>
      <c r="V237" s="7" t="n">
        <v>-0.513</v>
      </c>
      <c r="W237" s="7" t="n">
        <v>0.417</v>
      </c>
      <c r="X237" s="7" t="n">
        <v>0</v>
      </c>
      <c r="Y237" s="7" t="n">
        <v>-0.485</v>
      </c>
      <c r="Z237" s="7" t="n">
        <v>0.066</v>
      </c>
      <c r="AA237" s="7" t="n">
        <v>-0.199</v>
      </c>
      <c r="AB237" s="7" t="n">
        <v>-0.875</v>
      </c>
      <c r="AC237" s="7" t="n">
        <v>0.417</v>
      </c>
      <c r="AD237" s="7" t="n">
        <v>0.066</v>
      </c>
      <c r="AE237" s="7" t="n">
        <v>-0.446</v>
      </c>
      <c r="AF237" s="7" t="n">
        <v>0.606</v>
      </c>
      <c r="AG237" s="7" t="n">
        <v>0</v>
      </c>
      <c r="AH237" s="7" t="n">
        <v>-0.721</v>
      </c>
      <c r="AI237" s="7" t="n">
        <v>-0.226</v>
      </c>
      <c r="AJ237" s="7" t="n">
        <v>-0.407</v>
      </c>
      <c r="AK237" s="7" t="n">
        <v>-0.407</v>
      </c>
      <c r="AL237" s="7" t="n">
        <v>-0.694</v>
      </c>
      <c r="AM237" s="7" t="n">
        <v>-0.226</v>
      </c>
      <c r="AN237" s="7" t="n">
        <v>-0.199</v>
      </c>
      <c r="AO237" s="7" t="n">
        <v>-0.65</v>
      </c>
      <c r="AP237" s="7" t="n">
        <v>0.066</v>
      </c>
      <c r="AQ237" s="7" t="n">
        <v>0</v>
      </c>
    </row>
    <row r="238" customFormat="false" ht="15" hidden="false" customHeight="false" outlineLevel="0" collapsed="false">
      <c r="A238" s="23" t="n">
        <v>46555</v>
      </c>
      <c r="B238" s="7" t="n">
        <v>-0.45</v>
      </c>
      <c r="C238" s="7" t="n">
        <v>0.18</v>
      </c>
      <c r="D238" s="7" t="n">
        <v>-0.343</v>
      </c>
      <c r="E238" s="7" t="n">
        <v>0.318</v>
      </c>
      <c r="F238" s="7" t="n">
        <v>-0.58</v>
      </c>
      <c r="G238" s="7" t="n">
        <v>0.066</v>
      </c>
      <c r="H238" s="7" t="n">
        <v>0.159</v>
      </c>
      <c r="I238" s="7" t="n">
        <v>-0.387</v>
      </c>
      <c r="J238" s="7" t="n">
        <v>-0.023</v>
      </c>
      <c r="K238" s="7" t="n">
        <v>-0.124</v>
      </c>
      <c r="L238" s="7" t="n">
        <v>0.006</v>
      </c>
      <c r="M238" s="7" t="n">
        <v>0.395</v>
      </c>
      <c r="N238" s="7" t="n">
        <v>-0.103</v>
      </c>
      <c r="O238" s="7" t="n">
        <v>-0.17</v>
      </c>
      <c r="P238" s="7" t="n">
        <v>-0.081</v>
      </c>
      <c r="Q238" s="7" t="n">
        <v>-0.051</v>
      </c>
      <c r="R238" s="7" t="n">
        <v>-0.075</v>
      </c>
      <c r="S238" s="7" t="n">
        <v>0.134</v>
      </c>
      <c r="T238" s="7" t="n">
        <v>-0.394</v>
      </c>
      <c r="U238" s="7" t="n">
        <v>-0.211</v>
      </c>
      <c r="V238" s="7" t="n">
        <v>-0.285</v>
      </c>
      <c r="W238" s="7" t="n">
        <v>0</v>
      </c>
      <c r="X238" s="7" t="n">
        <v>-0.03</v>
      </c>
      <c r="Y238" s="7" t="n">
        <v>-0.556</v>
      </c>
      <c r="Z238" s="7" t="n">
        <v>0.068</v>
      </c>
      <c r="AA238" s="7" t="n">
        <v>-0.14</v>
      </c>
      <c r="AB238" s="7" t="n">
        <v>0.19</v>
      </c>
      <c r="AC238" s="7" t="n">
        <v>-0.058</v>
      </c>
      <c r="AD238" s="7" t="n">
        <v>0.134</v>
      </c>
      <c r="AE238" s="7" t="n">
        <v>-0.056</v>
      </c>
      <c r="AF238" s="7" t="n">
        <v>0.201</v>
      </c>
      <c r="AG238" s="7" t="n">
        <v>0.066</v>
      </c>
      <c r="AH238" s="7" t="n">
        <v>-0.097</v>
      </c>
      <c r="AI238" s="7" t="n">
        <v>-0.062</v>
      </c>
      <c r="AJ238" s="7" t="n">
        <v>0.063</v>
      </c>
      <c r="AK238" s="7" t="n">
        <v>-0.003</v>
      </c>
      <c r="AL238" s="7" t="n">
        <v>-0.023</v>
      </c>
      <c r="AM238" s="7" t="n">
        <v>-0.003</v>
      </c>
      <c r="AN238" s="7" t="n">
        <v>0.066</v>
      </c>
      <c r="AO238" s="7" t="n">
        <v>0.002</v>
      </c>
      <c r="AP238" s="7" t="n">
        <v>0.068</v>
      </c>
      <c r="AQ238" s="7" t="n">
        <v>-0.058</v>
      </c>
    </row>
    <row r="239" customFormat="false" ht="15" hidden="false" customHeight="false" outlineLevel="0" collapsed="false">
      <c r="A239" s="23" t="n">
        <v>46556</v>
      </c>
      <c r="B239" s="7" t="n">
        <v>0.415</v>
      </c>
      <c r="C239" s="7" t="n">
        <v>0.725</v>
      </c>
      <c r="D239" s="7" t="n">
        <v>-0.327</v>
      </c>
      <c r="E239" s="7" t="n">
        <v>0.89</v>
      </c>
      <c r="F239" s="7" t="n">
        <v>0.483</v>
      </c>
      <c r="G239" s="7" t="n">
        <v>0.006</v>
      </c>
      <c r="H239" s="7" t="n">
        <v>0.057</v>
      </c>
      <c r="I239" s="7" t="n">
        <v>-0.386</v>
      </c>
      <c r="J239" s="7" t="n">
        <v>-0.011</v>
      </c>
      <c r="K239" s="7" t="n">
        <v>0.91</v>
      </c>
      <c r="L239" s="7" t="n">
        <v>0.65</v>
      </c>
      <c r="M239" s="7" t="n">
        <v>0.203</v>
      </c>
      <c r="N239" s="7" t="n">
        <v>0.763</v>
      </c>
      <c r="O239" s="7" t="n">
        <v>0.591</v>
      </c>
      <c r="P239" s="7" t="n">
        <v>-0.185</v>
      </c>
      <c r="Q239" s="7" t="n">
        <v>-0.059</v>
      </c>
      <c r="R239" s="7" t="n">
        <v>-0.154</v>
      </c>
      <c r="S239" s="7" t="n">
        <v>0.746</v>
      </c>
      <c r="T239" s="7" t="n">
        <v>-0.534</v>
      </c>
      <c r="U239" s="7" t="n">
        <v>-0.182</v>
      </c>
      <c r="V239" s="7" t="n">
        <v>-0.345</v>
      </c>
      <c r="W239" s="7" t="n">
        <v>0</v>
      </c>
      <c r="X239" s="7" t="n">
        <v>-0.127</v>
      </c>
      <c r="Y239" s="7" t="n">
        <v>-0.466</v>
      </c>
      <c r="Z239" s="7" t="n">
        <v>0.949</v>
      </c>
      <c r="AA239" s="7" t="n">
        <v>-0.234</v>
      </c>
      <c r="AB239" s="7" t="n">
        <v>-0.058</v>
      </c>
      <c r="AC239" s="7" t="n">
        <v>-0.071</v>
      </c>
      <c r="AD239" s="7" t="n">
        <v>0.892</v>
      </c>
      <c r="AE239" s="7" t="n">
        <v>0.782</v>
      </c>
      <c r="AF239" s="7" t="n">
        <v>0.365</v>
      </c>
      <c r="AG239" s="7" t="n">
        <v>0.264</v>
      </c>
      <c r="AH239" s="7" t="n">
        <v>-0.085</v>
      </c>
      <c r="AI239" s="7" t="n">
        <v>-0.11</v>
      </c>
      <c r="AJ239" s="7" t="n">
        <v>0.012</v>
      </c>
      <c r="AK239" s="7" t="n">
        <v>-0.071</v>
      </c>
      <c r="AL239" s="7" t="n">
        <v>-0.055</v>
      </c>
      <c r="AM239" s="7" t="n">
        <v>-0.04</v>
      </c>
      <c r="AN239" s="7" t="n">
        <v>0.051</v>
      </c>
      <c r="AO239" s="7" t="n">
        <v>0.7</v>
      </c>
      <c r="AP239" s="7" t="n">
        <v>0.709</v>
      </c>
      <c r="AQ239" s="7" t="n">
        <v>-0.071</v>
      </c>
    </row>
    <row r="240" customFormat="false" ht="15" hidden="false" customHeight="false" outlineLevel="0" collapsed="false">
      <c r="A240" s="23" t="n">
        <v>46557</v>
      </c>
      <c r="B240" s="7" t="n">
        <v>-0.287</v>
      </c>
      <c r="C240" s="7" t="n">
        <v>-0.029</v>
      </c>
      <c r="D240" s="7" t="n">
        <v>-0.78</v>
      </c>
      <c r="E240" s="7" t="n">
        <v>0</v>
      </c>
      <c r="F240" s="7" t="n">
        <v>0.431</v>
      </c>
      <c r="G240" s="7" t="n">
        <v>-0.122</v>
      </c>
      <c r="H240" s="7" t="n">
        <v>-0.046</v>
      </c>
      <c r="I240" s="7" t="n">
        <v>-0.795</v>
      </c>
      <c r="J240" s="7" t="n">
        <v>0.411</v>
      </c>
      <c r="K240" s="7" t="n">
        <v>0</v>
      </c>
      <c r="L240" s="7" t="n">
        <v>-0.118</v>
      </c>
      <c r="M240" s="7" t="n">
        <v>0.249</v>
      </c>
      <c r="N240" s="7" t="n">
        <v>0.239</v>
      </c>
      <c r="O240" s="7" t="n">
        <v>0.141</v>
      </c>
      <c r="P240" s="7" t="n">
        <v>0.014</v>
      </c>
      <c r="Q240" s="7" t="n">
        <v>0.153</v>
      </c>
      <c r="R240" s="7" t="n">
        <v>-0.75</v>
      </c>
      <c r="S240" s="7" t="n">
        <v>-0.681</v>
      </c>
      <c r="T240" s="7" t="n">
        <v>-0.806</v>
      </c>
      <c r="U240" s="7" t="n">
        <v>0.008</v>
      </c>
      <c r="V240" s="7" t="n">
        <v>-0.832</v>
      </c>
      <c r="W240" s="7" t="n">
        <v>0</v>
      </c>
      <c r="X240" s="7" t="n">
        <v>-0.73</v>
      </c>
      <c r="Y240" s="7" t="n">
        <v>-0.749</v>
      </c>
      <c r="Z240" s="7" t="n">
        <v>0</v>
      </c>
      <c r="AA240" s="7" t="n">
        <v>-0.75</v>
      </c>
      <c r="AB240" s="7" t="n">
        <v>0.193</v>
      </c>
      <c r="AC240" s="7" t="n">
        <v>0</v>
      </c>
      <c r="AD240" s="7" t="n">
        <v>-0.658</v>
      </c>
      <c r="AE240" s="7" t="n">
        <v>0.396</v>
      </c>
      <c r="AF240" s="7" t="n">
        <v>0</v>
      </c>
      <c r="AG240" s="7" t="n">
        <v>0.185</v>
      </c>
      <c r="AH240" s="7" t="n">
        <v>0.21</v>
      </c>
      <c r="AI240" s="7" t="n">
        <v>-0.118</v>
      </c>
      <c r="AJ240" s="7" t="n">
        <v>-0.741</v>
      </c>
      <c r="AK240" s="7" t="n">
        <v>-0.741</v>
      </c>
      <c r="AL240" s="7" t="n">
        <v>0.008</v>
      </c>
      <c r="AM240" s="7" t="n">
        <v>-0.118</v>
      </c>
      <c r="AN240" s="7" t="n">
        <v>-0.683</v>
      </c>
      <c r="AO240" s="7" t="n">
        <v>0.202</v>
      </c>
      <c r="AP240" s="7" t="n">
        <v>0</v>
      </c>
      <c r="AQ240" s="7" t="n">
        <v>0</v>
      </c>
    </row>
    <row r="241" customFormat="false" ht="15" hidden="false" customHeight="false" outlineLevel="0" collapsed="false">
      <c r="A241" s="23" t="n">
        <v>46558</v>
      </c>
      <c r="B241" s="7" t="n">
        <v>0.166</v>
      </c>
      <c r="C241" s="7" t="n">
        <v>0.516</v>
      </c>
      <c r="D241" s="7" t="n">
        <v>0.161</v>
      </c>
      <c r="E241" s="7" t="n">
        <v>0.003</v>
      </c>
      <c r="F241" s="7" t="n">
        <v>0.313</v>
      </c>
      <c r="G241" s="7" t="n">
        <v>0.118</v>
      </c>
      <c r="H241" s="7" t="n">
        <v>0.161</v>
      </c>
      <c r="I241" s="7" t="n">
        <v>-0.419</v>
      </c>
      <c r="J241" s="7" t="n">
        <v>0.578</v>
      </c>
      <c r="K241" s="7" t="n">
        <v>0.003</v>
      </c>
      <c r="L241" s="7" t="n">
        <v>0.306</v>
      </c>
      <c r="M241" s="7" t="n">
        <v>0.327</v>
      </c>
      <c r="N241" s="7" t="n">
        <v>0.286</v>
      </c>
      <c r="O241" s="7" t="n">
        <v>0.216</v>
      </c>
      <c r="P241" s="7" t="n">
        <v>0.246</v>
      </c>
      <c r="Q241" s="7" t="n">
        <v>0.526</v>
      </c>
      <c r="R241" s="7" t="n">
        <v>0.048</v>
      </c>
      <c r="S241" s="7" t="n">
        <v>0.003</v>
      </c>
      <c r="T241" s="7" t="n">
        <v>0.133</v>
      </c>
      <c r="U241" s="7" t="n">
        <v>0.298</v>
      </c>
      <c r="V241" s="7" t="n">
        <v>-0.299</v>
      </c>
      <c r="W241" s="7" t="n">
        <v>0.423</v>
      </c>
      <c r="X241" s="7" t="n">
        <v>0.118</v>
      </c>
      <c r="Y241" s="7" t="n">
        <v>-0.342</v>
      </c>
      <c r="Z241" s="7" t="n">
        <v>0.003</v>
      </c>
      <c r="AA241" s="7" t="n">
        <v>0</v>
      </c>
      <c r="AB241" s="7" t="n">
        <v>0.391</v>
      </c>
      <c r="AC241" s="7" t="n">
        <v>0.423</v>
      </c>
      <c r="AD241" s="7" t="n">
        <v>0.051</v>
      </c>
      <c r="AE241" s="7" t="n">
        <v>0.578</v>
      </c>
      <c r="AF241" s="7" t="n">
        <v>0.447</v>
      </c>
      <c r="AG241" s="7" t="n">
        <v>0</v>
      </c>
      <c r="AH241" s="7" t="n">
        <v>0.409</v>
      </c>
      <c r="AI241" s="7" t="n">
        <v>-0.138</v>
      </c>
      <c r="AJ241" s="7" t="n">
        <v>-0.09</v>
      </c>
      <c r="AK241" s="7" t="n">
        <v>-0.138</v>
      </c>
      <c r="AL241" s="7" t="n">
        <v>0.048</v>
      </c>
      <c r="AM241" s="7" t="n">
        <v>-0.138</v>
      </c>
      <c r="AN241" s="7" t="n">
        <v>0.048</v>
      </c>
      <c r="AO241" s="7" t="n">
        <v>0.412</v>
      </c>
      <c r="AP241" s="7" t="n">
        <v>0.003</v>
      </c>
      <c r="AQ241" s="7" t="n">
        <v>0</v>
      </c>
    </row>
    <row r="242" customFormat="false" ht="15" hidden="false" customHeight="false" outlineLevel="0" collapsed="false">
      <c r="A242" s="23" t="n">
        <v>46559</v>
      </c>
      <c r="B242" s="7" t="n">
        <v>-0.409</v>
      </c>
      <c r="C242" s="7" t="n">
        <v>-0.202</v>
      </c>
      <c r="D242" s="7" t="n">
        <v>0.137</v>
      </c>
      <c r="E242" s="7" t="n">
        <v>0.076</v>
      </c>
      <c r="F242" s="7" t="n">
        <v>-0.191</v>
      </c>
      <c r="G242" s="7" t="n">
        <v>0.099</v>
      </c>
      <c r="H242" s="7" t="n">
        <v>-0.393</v>
      </c>
      <c r="I242" s="7" t="n">
        <v>-0.85</v>
      </c>
      <c r="J242" s="7" t="n">
        <v>-0.092</v>
      </c>
      <c r="K242" s="7" t="n">
        <v>0.076</v>
      </c>
      <c r="L242" s="7" t="n">
        <v>-0.191</v>
      </c>
      <c r="M242" s="7" t="n">
        <v>0.218</v>
      </c>
      <c r="N242" s="7" t="n">
        <v>-0.22</v>
      </c>
      <c r="O242" s="7" t="n">
        <v>-0.798</v>
      </c>
      <c r="P242" s="7" t="n">
        <v>0.209</v>
      </c>
      <c r="Q242" s="7" t="n">
        <v>0.113</v>
      </c>
      <c r="R242" s="7" t="n">
        <v>-0.646</v>
      </c>
      <c r="S242" s="7" t="n">
        <v>0.076</v>
      </c>
      <c r="T242" s="7" t="n">
        <v>-0.737</v>
      </c>
      <c r="U242" s="7" t="n">
        <v>-0.591</v>
      </c>
      <c r="V242" s="7" t="n">
        <v>-0.697</v>
      </c>
      <c r="W242" s="7" t="n">
        <v>0</v>
      </c>
      <c r="X242" s="7" t="n">
        <v>0.099</v>
      </c>
      <c r="Y242" s="7" t="n">
        <v>-0.911</v>
      </c>
      <c r="Z242" s="7" t="n">
        <v>0.076</v>
      </c>
      <c r="AA242" s="7" t="n">
        <v>-0.663</v>
      </c>
      <c r="AB242" s="7" t="n">
        <v>-0.273</v>
      </c>
      <c r="AC242" s="7" t="n">
        <v>0</v>
      </c>
      <c r="AD242" s="7" t="n">
        <v>0.105</v>
      </c>
      <c r="AE242" s="7" t="n">
        <v>0.135</v>
      </c>
      <c r="AF242" s="7" t="n">
        <v>0</v>
      </c>
      <c r="AG242" s="7" t="n">
        <v>-0.901</v>
      </c>
      <c r="AH242" s="7" t="n">
        <v>-0.748</v>
      </c>
      <c r="AI242" s="7" t="n">
        <v>-0.263</v>
      </c>
      <c r="AJ242" s="7" t="n">
        <v>-0.677</v>
      </c>
      <c r="AK242" s="7" t="n">
        <v>-0.692</v>
      </c>
      <c r="AL242" s="7" t="n">
        <v>-0.73</v>
      </c>
      <c r="AM242" s="7" t="n">
        <v>-0.263</v>
      </c>
      <c r="AN242" s="7" t="n">
        <v>-0.503</v>
      </c>
      <c r="AO242" s="7" t="n">
        <v>-0.68</v>
      </c>
      <c r="AP242" s="7" t="n">
        <v>0.076</v>
      </c>
      <c r="AQ242" s="7" t="n">
        <v>0</v>
      </c>
    </row>
    <row r="243" customFormat="false" ht="15" hidden="false" customHeight="false" outlineLevel="0" collapsed="false">
      <c r="A243" s="23" t="n">
        <v>46560</v>
      </c>
      <c r="B243" s="7" t="n">
        <v>-0.33</v>
      </c>
      <c r="C243" s="7" t="n">
        <v>-0.738</v>
      </c>
      <c r="D243" s="7" t="n">
        <v>0</v>
      </c>
      <c r="E243" s="7" t="n">
        <v>0.063</v>
      </c>
      <c r="F243" s="7" t="n">
        <v>0.059</v>
      </c>
      <c r="G243" s="7" t="n">
        <v>0</v>
      </c>
      <c r="H243" s="7" t="n">
        <v>-0.52</v>
      </c>
      <c r="I243" s="7" t="n">
        <v>-0.966</v>
      </c>
      <c r="J243" s="7" t="n">
        <v>-0.37</v>
      </c>
      <c r="K243" s="7" t="n">
        <v>0.063</v>
      </c>
      <c r="L243" s="7" t="n">
        <v>-0.784</v>
      </c>
      <c r="M243" s="7" t="n">
        <v>-0.141</v>
      </c>
      <c r="N243" s="7" t="n">
        <v>-0.758</v>
      </c>
      <c r="O243" s="7" t="n">
        <v>-0.784</v>
      </c>
      <c r="P243" s="7" t="n">
        <v>0.033</v>
      </c>
      <c r="Q243" s="7" t="n">
        <v>0.033</v>
      </c>
      <c r="R243" s="7" t="n">
        <v>-0.672</v>
      </c>
      <c r="S243" s="7" t="n">
        <v>0.063</v>
      </c>
      <c r="T243" s="7" t="n">
        <v>-0.745</v>
      </c>
      <c r="U243" s="7" t="n">
        <v>0</v>
      </c>
      <c r="V243" s="7" t="n">
        <v>-0.776</v>
      </c>
      <c r="W243" s="7" t="n">
        <v>0</v>
      </c>
      <c r="X243" s="7" t="n">
        <v>0</v>
      </c>
      <c r="Y243" s="7" t="n">
        <v>-0.254</v>
      </c>
      <c r="Z243" s="7" t="n">
        <v>0.063</v>
      </c>
      <c r="AA243" s="7" t="n">
        <v>-0.672</v>
      </c>
      <c r="AB243" s="7" t="n">
        <v>-0.87</v>
      </c>
      <c r="AC243" s="7" t="n">
        <v>0</v>
      </c>
      <c r="AD243" s="7" t="n">
        <v>0.063</v>
      </c>
      <c r="AE243" s="7" t="n">
        <v>0.055</v>
      </c>
      <c r="AF243" s="7" t="n">
        <v>0</v>
      </c>
      <c r="AG243" s="7" t="n">
        <v>-0.215</v>
      </c>
      <c r="AH243" s="7" t="n">
        <v>-0.07</v>
      </c>
      <c r="AI243" s="7" t="n">
        <v>-0.807</v>
      </c>
      <c r="AJ243" s="7" t="n">
        <v>-0.918</v>
      </c>
      <c r="AK243" s="7" t="n">
        <v>-0.918</v>
      </c>
      <c r="AL243" s="7" t="n">
        <v>-0.063</v>
      </c>
      <c r="AM243" s="7" t="n">
        <v>-0.807</v>
      </c>
      <c r="AN243" s="7" t="n">
        <v>-0.429</v>
      </c>
      <c r="AO243" s="7" t="n">
        <v>0.055</v>
      </c>
      <c r="AP243" s="7" t="n">
        <v>0.063</v>
      </c>
      <c r="AQ243" s="7" t="n">
        <v>0</v>
      </c>
    </row>
    <row r="244" customFormat="false" ht="15" hidden="false" customHeight="false" outlineLevel="0" collapsed="false">
      <c r="A244" s="23" t="n">
        <v>46561</v>
      </c>
      <c r="B244" s="7" t="n">
        <v>-0.344</v>
      </c>
      <c r="C244" s="7" t="n">
        <v>-0.496</v>
      </c>
      <c r="D244" s="7" t="n">
        <v>-0.487</v>
      </c>
      <c r="E244" s="7" t="n">
        <v>0.08</v>
      </c>
      <c r="F244" s="7" t="n">
        <v>0.04</v>
      </c>
      <c r="G244" s="7" t="n">
        <v>0</v>
      </c>
      <c r="H244" s="7" t="n">
        <v>-0.589</v>
      </c>
      <c r="I244" s="7" t="n">
        <v>-0.867</v>
      </c>
      <c r="J244" s="7" t="n">
        <v>-0.036</v>
      </c>
      <c r="K244" s="7" t="n">
        <v>0.08</v>
      </c>
      <c r="L244" s="7" t="n">
        <v>-0.378</v>
      </c>
      <c r="M244" s="7" t="n">
        <v>-0.11</v>
      </c>
      <c r="N244" s="7" t="n">
        <v>-0.335</v>
      </c>
      <c r="O244" s="7" t="n">
        <v>-0.404</v>
      </c>
      <c r="P244" s="7" t="n">
        <v>-0.28</v>
      </c>
      <c r="Q244" s="7" t="n">
        <v>-0.022</v>
      </c>
      <c r="R244" s="7" t="n">
        <v>-0.721</v>
      </c>
      <c r="S244" s="7" t="n">
        <v>0.08</v>
      </c>
      <c r="T244" s="7" t="n">
        <v>-0.779</v>
      </c>
      <c r="U244" s="7" t="n">
        <v>-0.041</v>
      </c>
      <c r="V244" s="7" t="n">
        <v>-0.8</v>
      </c>
      <c r="W244" s="7" t="n">
        <v>0</v>
      </c>
      <c r="X244" s="7" t="n">
        <v>-0.26</v>
      </c>
      <c r="Y244" s="7" t="n">
        <v>-0.189</v>
      </c>
      <c r="Z244" s="7" t="n">
        <v>0.08</v>
      </c>
      <c r="AA244" s="7" t="n">
        <v>-0.721</v>
      </c>
      <c r="AB244" s="7" t="n">
        <v>-0.389</v>
      </c>
      <c r="AC244" s="7" t="n">
        <v>-0.06</v>
      </c>
      <c r="AD244" s="7" t="n">
        <v>0.08</v>
      </c>
      <c r="AE244" s="7" t="n">
        <v>0.027</v>
      </c>
      <c r="AF244" s="7" t="n">
        <v>-0.06</v>
      </c>
      <c r="AG244" s="7" t="n">
        <v>-0.237</v>
      </c>
      <c r="AH244" s="7" t="n">
        <v>-0.055</v>
      </c>
      <c r="AI244" s="7" t="n">
        <v>-0.444</v>
      </c>
      <c r="AJ244" s="7" t="n">
        <v>-0.747</v>
      </c>
      <c r="AK244" s="7" t="n">
        <v>-0.747</v>
      </c>
      <c r="AL244" s="7" t="n">
        <v>-0.121</v>
      </c>
      <c r="AM244" s="7" t="n">
        <v>-0.395</v>
      </c>
      <c r="AN244" s="7" t="n">
        <v>-0.5</v>
      </c>
      <c r="AO244" s="7" t="n">
        <v>0.086</v>
      </c>
      <c r="AP244" s="7" t="n">
        <v>0.08</v>
      </c>
      <c r="AQ244" s="7" t="n">
        <v>-0.06</v>
      </c>
    </row>
    <row r="245" customFormat="false" ht="15" hidden="false" customHeight="false" outlineLevel="0" collapsed="false">
      <c r="A245" s="23" t="n">
        <v>46562</v>
      </c>
      <c r="B245" s="7" t="n">
        <v>-0.158</v>
      </c>
      <c r="C245" s="7" t="n">
        <v>-0.405</v>
      </c>
      <c r="D245" s="7" t="n">
        <v>0.734</v>
      </c>
      <c r="E245" s="7" t="n">
        <v>0.045</v>
      </c>
      <c r="F245" s="7" t="n">
        <v>-0.385</v>
      </c>
      <c r="G245" s="7" t="n">
        <v>0.852</v>
      </c>
      <c r="H245" s="7" t="n">
        <v>0.542</v>
      </c>
      <c r="I245" s="7" t="n">
        <v>0.005</v>
      </c>
      <c r="J245" s="7" t="n">
        <v>-0.01</v>
      </c>
      <c r="K245" s="7" t="n">
        <v>0.022</v>
      </c>
      <c r="L245" s="7" t="n">
        <v>-0.111</v>
      </c>
      <c r="M245" s="7" t="n">
        <v>0.115</v>
      </c>
      <c r="N245" s="7" t="n">
        <v>-0.725</v>
      </c>
      <c r="O245" s="7" t="n">
        <v>0.481</v>
      </c>
      <c r="P245" s="7" t="n">
        <v>0.766</v>
      </c>
      <c r="Q245" s="7" t="n">
        <v>0.126</v>
      </c>
      <c r="R245" s="7" t="n">
        <v>0.286</v>
      </c>
      <c r="S245" s="7" t="n">
        <v>-0.489</v>
      </c>
      <c r="T245" s="7" t="n">
        <v>-0.592</v>
      </c>
      <c r="U245" s="7" t="n">
        <v>0.019</v>
      </c>
      <c r="V245" s="7" t="n">
        <v>0.242</v>
      </c>
      <c r="W245" s="7" t="n">
        <v>0</v>
      </c>
      <c r="X245" s="7" t="n">
        <v>0.708</v>
      </c>
      <c r="Y245" s="7" t="n">
        <v>-0.712</v>
      </c>
      <c r="Z245" s="7" t="n">
        <v>0.022</v>
      </c>
      <c r="AA245" s="7" t="n">
        <v>-0.491</v>
      </c>
      <c r="AB245" s="7" t="n">
        <v>-0.195</v>
      </c>
      <c r="AC245" s="7" t="n">
        <v>0</v>
      </c>
      <c r="AD245" s="7" t="n">
        <v>0.624</v>
      </c>
      <c r="AE245" s="7" t="n">
        <v>-0.042</v>
      </c>
      <c r="AF245" s="7" t="n">
        <v>0</v>
      </c>
      <c r="AG245" s="7" t="n">
        <v>-0.505</v>
      </c>
      <c r="AH245" s="7" t="n">
        <v>-0.067</v>
      </c>
      <c r="AI245" s="7" t="n">
        <v>-0.133</v>
      </c>
      <c r="AJ245" s="7" t="n">
        <v>0.141</v>
      </c>
      <c r="AK245" s="7" t="n">
        <v>-0.598</v>
      </c>
      <c r="AL245" s="7" t="n">
        <v>0.68</v>
      </c>
      <c r="AM245" s="7" t="n">
        <v>-0.133</v>
      </c>
      <c r="AN245" s="7" t="n">
        <v>0.268</v>
      </c>
      <c r="AO245" s="7" t="n">
        <v>-0.042</v>
      </c>
      <c r="AP245" s="7" t="n">
        <v>0.022</v>
      </c>
      <c r="AQ245" s="7" t="n">
        <v>0</v>
      </c>
    </row>
    <row r="246" customFormat="false" ht="15" hidden="false" customHeight="false" outlineLevel="0" collapsed="false">
      <c r="A246" s="23" t="n">
        <v>46563</v>
      </c>
      <c r="B246" s="7" t="n">
        <v>-0.432</v>
      </c>
      <c r="C246" s="7" t="n">
        <v>-0.147</v>
      </c>
      <c r="D246" s="7" t="n">
        <v>0.245</v>
      </c>
      <c r="E246" s="7" t="n">
        <v>0.376</v>
      </c>
      <c r="F246" s="7" t="n">
        <v>-0.304</v>
      </c>
      <c r="G246" s="7" t="n">
        <v>0.07</v>
      </c>
      <c r="H246" s="7" t="n">
        <v>0.032</v>
      </c>
      <c r="I246" s="7" t="n">
        <v>-0.593</v>
      </c>
      <c r="J246" s="7" t="n">
        <v>-0.046</v>
      </c>
      <c r="K246" s="7" t="n">
        <v>0.076</v>
      </c>
      <c r="L246" s="7" t="n">
        <v>-0.093</v>
      </c>
      <c r="M246" s="7" t="n">
        <v>0.168</v>
      </c>
      <c r="N246" s="7" t="n">
        <v>-0.671</v>
      </c>
      <c r="O246" s="7" t="n">
        <v>-0.246</v>
      </c>
      <c r="P246" s="7" t="n">
        <v>0.219</v>
      </c>
      <c r="Q246" s="7" t="n">
        <v>0.113</v>
      </c>
      <c r="R246" s="7" t="n">
        <v>-0.3</v>
      </c>
      <c r="S246" s="7" t="n">
        <v>-0.374</v>
      </c>
      <c r="T246" s="7" t="n">
        <v>-0.54</v>
      </c>
      <c r="U246" s="7" t="n">
        <v>0.439</v>
      </c>
      <c r="V246" s="7" t="n">
        <v>-0.33</v>
      </c>
      <c r="W246" s="7" t="n">
        <v>0</v>
      </c>
      <c r="X246" s="7" t="n">
        <v>0.109</v>
      </c>
      <c r="Y246" s="7" t="n">
        <v>-0.656</v>
      </c>
      <c r="Z246" s="7" t="n">
        <v>0.076</v>
      </c>
      <c r="AA246" s="7" t="n">
        <v>-0.362</v>
      </c>
      <c r="AB246" s="7" t="n">
        <v>-0.229</v>
      </c>
      <c r="AC246" s="7" t="n">
        <v>0</v>
      </c>
      <c r="AD246" s="7" t="n">
        <v>0.264</v>
      </c>
      <c r="AE246" s="7" t="n">
        <v>0.012</v>
      </c>
      <c r="AF246" s="7" t="n">
        <v>0</v>
      </c>
      <c r="AG246" s="7" t="n">
        <v>-0.437</v>
      </c>
      <c r="AH246" s="7" t="n">
        <v>-0.082</v>
      </c>
      <c r="AI246" s="7" t="n">
        <v>-0.168</v>
      </c>
      <c r="AJ246" s="7" t="n">
        <v>-0.514</v>
      </c>
      <c r="AK246" s="7" t="n">
        <v>-0.564</v>
      </c>
      <c r="AL246" s="7" t="n">
        <v>0.052</v>
      </c>
      <c r="AM246" s="7" t="n">
        <v>-0.168</v>
      </c>
      <c r="AN246" s="7" t="n">
        <v>-0.286</v>
      </c>
      <c r="AO246" s="7" t="n">
        <v>0.012</v>
      </c>
      <c r="AP246" s="7" t="n">
        <v>0.076</v>
      </c>
      <c r="AQ246" s="7" t="n">
        <v>0</v>
      </c>
    </row>
    <row r="247" customFormat="false" ht="15" hidden="false" customHeight="false" outlineLevel="0" collapsed="false">
      <c r="A247" s="23" t="n">
        <v>46564</v>
      </c>
      <c r="B247" s="7" t="n">
        <v>0.549</v>
      </c>
      <c r="C247" s="7" t="n">
        <v>0.732</v>
      </c>
      <c r="D247" s="7" t="n">
        <v>0.246</v>
      </c>
      <c r="E247" s="7" t="n">
        <v>0.364</v>
      </c>
      <c r="F247" s="7" t="n">
        <v>0.952</v>
      </c>
      <c r="G247" s="7" t="n">
        <v>0.041</v>
      </c>
      <c r="H247" s="7" t="n">
        <v>0.223</v>
      </c>
      <c r="I247" s="7" t="n">
        <v>-0.36</v>
      </c>
      <c r="J247" s="7" t="n">
        <v>0.978</v>
      </c>
      <c r="K247" s="7" t="n">
        <v>0.074</v>
      </c>
      <c r="L247" s="7" t="n">
        <v>-0.255</v>
      </c>
      <c r="M247" s="7" t="n">
        <v>0.97</v>
      </c>
      <c r="N247" s="7" t="n">
        <v>0.825</v>
      </c>
      <c r="O247" s="7" t="n">
        <v>0.919</v>
      </c>
      <c r="P247" s="7" t="n">
        <v>0.075</v>
      </c>
      <c r="Q247" s="7" t="n">
        <v>0.034</v>
      </c>
      <c r="R247" s="7" t="n">
        <v>-0.094</v>
      </c>
      <c r="S247" s="7" t="n">
        <v>-0.375</v>
      </c>
      <c r="T247" s="7" t="n">
        <v>-0.41</v>
      </c>
      <c r="U247" s="7" t="n">
        <v>0.026</v>
      </c>
      <c r="V247" s="7" t="n">
        <v>0.023</v>
      </c>
      <c r="W247" s="7" t="n">
        <v>0</v>
      </c>
      <c r="X247" s="7" t="n">
        <v>0.041</v>
      </c>
      <c r="Y247" s="7" t="n">
        <v>-0.409</v>
      </c>
      <c r="Z247" s="7" t="n">
        <v>0.074</v>
      </c>
      <c r="AA247" s="7" t="n">
        <v>-0.135</v>
      </c>
      <c r="AB247" s="7" t="n">
        <v>0.886</v>
      </c>
      <c r="AC247" s="7" t="n">
        <v>0</v>
      </c>
      <c r="AD247" s="7" t="n">
        <v>0.286</v>
      </c>
      <c r="AE247" s="7" t="n">
        <v>0.964</v>
      </c>
      <c r="AF247" s="7" t="n">
        <v>0</v>
      </c>
      <c r="AG247" s="7" t="n">
        <v>-0.437</v>
      </c>
      <c r="AH247" s="7" t="n">
        <v>0.88</v>
      </c>
      <c r="AI247" s="7" t="n">
        <v>-0.323</v>
      </c>
      <c r="AJ247" s="7" t="n">
        <v>-0.642</v>
      </c>
      <c r="AK247" s="7" t="n">
        <v>-0.666</v>
      </c>
      <c r="AL247" s="7" t="n">
        <v>0.807</v>
      </c>
      <c r="AM247" s="7" t="n">
        <v>-0.323</v>
      </c>
      <c r="AN247" s="7" t="n">
        <v>-0.403</v>
      </c>
      <c r="AO247" s="7" t="n">
        <v>0.858</v>
      </c>
      <c r="AP247" s="7" t="n">
        <v>0.074</v>
      </c>
      <c r="AQ247" s="7" t="n">
        <v>0</v>
      </c>
    </row>
    <row r="248" customFormat="false" ht="15" hidden="false" customHeight="false" outlineLevel="0" collapsed="false">
      <c r="A248" s="23" t="n">
        <v>46565</v>
      </c>
      <c r="B248" s="7" t="n">
        <v>0.531</v>
      </c>
      <c r="C248" s="7" t="n">
        <v>0.412</v>
      </c>
      <c r="D248" s="7" t="n">
        <v>0.165</v>
      </c>
      <c r="E248" s="7" t="n">
        <v>0.214</v>
      </c>
      <c r="F248" s="7" t="n">
        <v>0.695</v>
      </c>
      <c r="G248" s="7" t="n">
        <v>0.046</v>
      </c>
      <c r="H248" s="7" t="n">
        <v>0.394</v>
      </c>
      <c r="I248" s="7" t="n">
        <v>-0.038</v>
      </c>
      <c r="J248" s="7" t="n">
        <v>0.706</v>
      </c>
      <c r="K248" s="7" t="n">
        <v>0.031</v>
      </c>
      <c r="L248" s="7" t="n">
        <v>-0.396</v>
      </c>
      <c r="M248" s="7" t="n">
        <v>0.899</v>
      </c>
      <c r="N248" s="7" t="n">
        <v>0.512</v>
      </c>
      <c r="O248" s="7" t="n">
        <v>0.393</v>
      </c>
      <c r="P248" s="7" t="n">
        <v>0.233</v>
      </c>
      <c r="Q248" s="7" t="n">
        <v>0.032</v>
      </c>
      <c r="R248" s="7" t="n">
        <v>0.147</v>
      </c>
      <c r="S248" s="7" t="n">
        <v>0.031</v>
      </c>
      <c r="T248" s="7" t="n">
        <v>-0.138</v>
      </c>
      <c r="U248" s="7" t="n">
        <v>-0.027</v>
      </c>
      <c r="V248" s="7" t="n">
        <v>0.102</v>
      </c>
      <c r="W248" s="7" t="n">
        <v>0</v>
      </c>
      <c r="X248" s="7" t="n">
        <v>0.488</v>
      </c>
      <c r="Y248" s="7" t="n">
        <v>-0.265</v>
      </c>
      <c r="Z248" s="7" t="n">
        <v>0.031</v>
      </c>
      <c r="AA248" s="7" t="n">
        <v>0.102</v>
      </c>
      <c r="AB248" s="7" t="n">
        <v>0.519</v>
      </c>
      <c r="AC248" s="7" t="n">
        <v>0.317</v>
      </c>
      <c r="AD248" s="7" t="n">
        <v>0.076</v>
      </c>
      <c r="AE248" s="7" t="n">
        <v>0.765</v>
      </c>
      <c r="AF248" s="7" t="n">
        <v>0.185</v>
      </c>
      <c r="AG248" s="7" t="n">
        <v>0</v>
      </c>
      <c r="AH248" s="7" t="n">
        <v>0.411</v>
      </c>
      <c r="AI248" s="7" t="n">
        <v>-0.422</v>
      </c>
      <c r="AJ248" s="7" t="n">
        <v>-0.076</v>
      </c>
      <c r="AK248" s="7" t="n">
        <v>-0.121</v>
      </c>
      <c r="AL248" s="7" t="n">
        <v>-0.012</v>
      </c>
      <c r="AM248" s="7" t="n">
        <v>-0.422</v>
      </c>
      <c r="AN248" s="7" t="n">
        <v>0.046</v>
      </c>
      <c r="AO248" s="7" t="n">
        <v>0.384</v>
      </c>
      <c r="AP248" s="7" t="n">
        <v>0.031</v>
      </c>
      <c r="AQ248" s="7" t="n">
        <v>0</v>
      </c>
    </row>
    <row r="249" customFormat="false" ht="15" hidden="false" customHeight="false" outlineLevel="0" collapsed="false">
      <c r="A249" s="23" t="n">
        <v>46566</v>
      </c>
      <c r="B249" s="7" t="n">
        <v>0.97</v>
      </c>
      <c r="C249" s="7" t="n">
        <v>0.913</v>
      </c>
      <c r="D249" s="7" t="n">
        <v>0.156</v>
      </c>
      <c r="E249" s="7" t="n">
        <v>0.953</v>
      </c>
      <c r="F249" s="7" t="n">
        <v>0.974</v>
      </c>
      <c r="G249" s="7" t="n">
        <v>0.038</v>
      </c>
      <c r="H249" s="7" t="n">
        <v>0.156</v>
      </c>
      <c r="I249" s="7" t="n">
        <v>0.194</v>
      </c>
      <c r="J249" s="7" t="n">
        <v>0.918</v>
      </c>
      <c r="K249" s="7" t="n">
        <v>0.958</v>
      </c>
      <c r="L249" s="7" t="n">
        <v>0.521</v>
      </c>
      <c r="M249" s="7" t="n">
        <v>0.947</v>
      </c>
      <c r="N249" s="7" t="n">
        <v>0.954</v>
      </c>
      <c r="O249" s="7" t="n">
        <v>0.941</v>
      </c>
      <c r="P249" s="7" t="n">
        <v>0.2</v>
      </c>
      <c r="Q249" s="7" t="n">
        <v>0.03</v>
      </c>
      <c r="R249" s="7" t="n">
        <v>0.038</v>
      </c>
      <c r="S249" s="7" t="n">
        <v>0.875</v>
      </c>
      <c r="T249" s="7" t="n">
        <v>0.03</v>
      </c>
      <c r="U249" s="7" t="n">
        <v>0.344</v>
      </c>
      <c r="V249" s="7" t="n">
        <v>-0.204</v>
      </c>
      <c r="W249" s="7" t="n">
        <v>0</v>
      </c>
      <c r="X249" s="7" t="n">
        <v>0.587</v>
      </c>
      <c r="Y249" s="7" t="n">
        <v>-0.292</v>
      </c>
      <c r="Z249" s="7" t="n">
        <v>0.958</v>
      </c>
      <c r="AA249" s="7" t="n">
        <v>0</v>
      </c>
      <c r="AB249" s="7" t="n">
        <v>0.735</v>
      </c>
      <c r="AC249" s="7" t="n">
        <v>0.462</v>
      </c>
      <c r="AD249" s="7" t="n">
        <v>0.93</v>
      </c>
      <c r="AE249" s="7" t="n">
        <v>0.977</v>
      </c>
      <c r="AF249" s="7" t="n">
        <v>0.684</v>
      </c>
      <c r="AG249" s="7" t="n">
        <v>0</v>
      </c>
      <c r="AH249" s="7" t="n">
        <v>0.599</v>
      </c>
      <c r="AI249" s="7" t="n">
        <v>-0.385</v>
      </c>
      <c r="AJ249" s="7" t="n">
        <v>0.131</v>
      </c>
      <c r="AK249" s="7" t="n">
        <v>0.094</v>
      </c>
      <c r="AL249" s="7" t="n">
        <v>-0.019</v>
      </c>
      <c r="AM249" s="7" t="n">
        <v>-0.385</v>
      </c>
      <c r="AN249" s="7" t="n">
        <v>0.038</v>
      </c>
      <c r="AO249" s="7" t="n">
        <v>0.909</v>
      </c>
      <c r="AP249" s="7" t="n">
        <v>0.755</v>
      </c>
      <c r="AQ249" s="7" t="n">
        <v>0</v>
      </c>
    </row>
    <row r="250" customFormat="false" ht="15" hidden="false" customHeight="false" outlineLevel="0" collapsed="false">
      <c r="A250" s="23" t="n">
        <v>46567</v>
      </c>
      <c r="B250" s="7" t="n">
        <v>0.341</v>
      </c>
      <c r="C250" s="7" t="n">
        <v>-0.246</v>
      </c>
      <c r="D250" s="7" t="n">
        <v>0.583</v>
      </c>
      <c r="E250" s="7" t="n">
        <v>0.08</v>
      </c>
      <c r="F250" s="7" t="n">
        <v>0.137</v>
      </c>
      <c r="G250" s="7" t="n">
        <v>0.25</v>
      </c>
      <c r="H250" s="7" t="n">
        <v>0.445</v>
      </c>
      <c r="I250" s="7" t="n">
        <v>-0.154</v>
      </c>
      <c r="J250" s="7" t="n">
        <v>0.267</v>
      </c>
      <c r="K250" s="7" t="n">
        <v>0.08</v>
      </c>
      <c r="L250" s="7" t="n">
        <v>-0.275</v>
      </c>
      <c r="M250" s="7" t="n">
        <v>0.562</v>
      </c>
      <c r="N250" s="7" t="n">
        <v>-0.079</v>
      </c>
      <c r="O250" s="7" t="n">
        <v>-0.049</v>
      </c>
      <c r="P250" s="7" t="n">
        <v>0.527</v>
      </c>
      <c r="Q250" s="7" t="n">
        <v>0.125</v>
      </c>
      <c r="R250" s="7" t="n">
        <v>0.333</v>
      </c>
      <c r="S250" s="7" t="n">
        <v>0.716</v>
      </c>
      <c r="T250" s="7" t="n">
        <v>-0.256</v>
      </c>
      <c r="U250" s="7" t="n">
        <v>0.017</v>
      </c>
      <c r="V250" s="7" t="n">
        <v>0.296</v>
      </c>
      <c r="W250" s="7" t="n">
        <v>0</v>
      </c>
      <c r="X250" s="7" t="n">
        <v>0.431</v>
      </c>
      <c r="Y250" s="7" t="n">
        <v>-0.511</v>
      </c>
      <c r="Z250" s="7" t="n">
        <v>0.08</v>
      </c>
      <c r="AA250" s="7" t="n">
        <v>-0.027</v>
      </c>
      <c r="AB250" s="7" t="n">
        <v>-0.301</v>
      </c>
      <c r="AC250" s="7" t="n">
        <v>0.033</v>
      </c>
      <c r="AD250" s="7" t="n">
        <v>0.425</v>
      </c>
      <c r="AE250" s="7" t="n">
        <v>0.194</v>
      </c>
      <c r="AF250" s="7" t="n">
        <v>0.033</v>
      </c>
      <c r="AG250" s="7" t="n">
        <v>0.317</v>
      </c>
      <c r="AH250" s="7" t="n">
        <v>0.195</v>
      </c>
      <c r="AI250" s="7" t="n">
        <v>-0.347</v>
      </c>
      <c r="AJ250" s="7" t="n">
        <v>-0.093</v>
      </c>
      <c r="AK250" s="7" t="n">
        <v>-0.436</v>
      </c>
      <c r="AL250" s="7" t="n">
        <v>0.3</v>
      </c>
      <c r="AM250" s="7" t="n">
        <v>-0.375</v>
      </c>
      <c r="AN250" s="7" t="n">
        <v>0.292</v>
      </c>
      <c r="AO250" s="7" t="n">
        <v>0.162</v>
      </c>
      <c r="AP250" s="7" t="n">
        <v>0.08</v>
      </c>
      <c r="AQ250" s="7" t="n">
        <v>0.033</v>
      </c>
    </row>
    <row r="251" customFormat="false" ht="15" hidden="false" customHeight="false" outlineLevel="0" collapsed="false">
      <c r="A251" s="23" t="n">
        <v>46568</v>
      </c>
      <c r="B251" s="7" t="n">
        <v>1</v>
      </c>
      <c r="C251" s="7" t="n">
        <v>0.916</v>
      </c>
      <c r="D251" s="7" t="n">
        <v>0.812</v>
      </c>
      <c r="E251" s="7" t="n">
        <v>0.096</v>
      </c>
      <c r="F251" s="7" t="n">
        <v>0.962</v>
      </c>
      <c r="G251" s="7" t="n">
        <v>0.719</v>
      </c>
      <c r="H251" s="7" t="n">
        <v>0.757</v>
      </c>
      <c r="I251" s="7" t="n">
        <v>0.246</v>
      </c>
      <c r="J251" s="7" t="n">
        <v>0.138</v>
      </c>
      <c r="K251" s="7" t="n">
        <v>0.096</v>
      </c>
      <c r="L251" s="7" t="n">
        <v>0.913</v>
      </c>
      <c r="M251" s="7" t="n">
        <v>0.472</v>
      </c>
      <c r="N251" s="7" t="n">
        <v>0.942</v>
      </c>
      <c r="O251" s="7" t="n">
        <v>0.901</v>
      </c>
      <c r="P251" s="7" t="n">
        <v>0.968</v>
      </c>
      <c r="Q251" s="7" t="n">
        <v>0.959</v>
      </c>
      <c r="R251" s="7" t="n">
        <v>0.621</v>
      </c>
      <c r="S251" s="7" t="n">
        <v>0.096</v>
      </c>
      <c r="T251" s="7" t="n">
        <v>0.07</v>
      </c>
      <c r="U251" s="7" t="n">
        <v>0.928</v>
      </c>
      <c r="V251" s="7" t="n">
        <v>0.609</v>
      </c>
      <c r="W251" s="7" t="n">
        <v>0.561</v>
      </c>
      <c r="X251" s="7" t="n">
        <v>0.638</v>
      </c>
      <c r="Y251" s="7" t="n">
        <v>-0.423</v>
      </c>
      <c r="Z251" s="7" t="n">
        <v>0.096</v>
      </c>
      <c r="AA251" s="7" t="n">
        <v>0.139</v>
      </c>
      <c r="AB251" s="7" t="n">
        <v>-0.339</v>
      </c>
      <c r="AC251" s="7" t="n">
        <v>0.951</v>
      </c>
      <c r="AD251" s="7" t="n">
        <v>0.593</v>
      </c>
      <c r="AE251" s="7" t="n">
        <v>0.976</v>
      </c>
      <c r="AF251" s="7" t="n">
        <v>0.973</v>
      </c>
      <c r="AG251" s="7" t="n">
        <v>0.462</v>
      </c>
      <c r="AH251" s="7" t="n">
        <v>0.058</v>
      </c>
      <c r="AI251" s="7" t="n">
        <v>0.673</v>
      </c>
      <c r="AJ251" s="7" t="n">
        <v>0.172</v>
      </c>
      <c r="AK251" s="7" t="n">
        <v>-0.39</v>
      </c>
      <c r="AL251" s="7" t="n">
        <v>0.935</v>
      </c>
      <c r="AM251" s="7" t="n">
        <v>-0.371</v>
      </c>
      <c r="AN251" s="7" t="n">
        <v>0.511</v>
      </c>
      <c r="AO251" s="7" t="n">
        <v>0.132</v>
      </c>
      <c r="AP251" s="7" t="n">
        <v>0.096</v>
      </c>
      <c r="AQ251" s="7" t="n">
        <v>0.836</v>
      </c>
    </row>
    <row r="252" customFormat="false" ht="15" hidden="false" customHeight="false" outlineLevel="0" collapsed="false">
      <c r="A252" s="23" t="n">
        <v>46569</v>
      </c>
      <c r="B252" s="7" t="n">
        <v>0.208</v>
      </c>
      <c r="C252" s="7" t="n">
        <v>0.299</v>
      </c>
      <c r="D252" s="7" t="n">
        <v>0.282</v>
      </c>
      <c r="E252" s="7" t="n">
        <v>0.096</v>
      </c>
      <c r="F252" s="7" t="n">
        <v>0.384</v>
      </c>
      <c r="G252" s="7" t="n">
        <v>0.08</v>
      </c>
      <c r="H252" s="7" t="n">
        <v>0.559</v>
      </c>
      <c r="I252" s="7" t="n">
        <v>-0.332</v>
      </c>
      <c r="J252" s="7" t="n">
        <v>0.111</v>
      </c>
      <c r="K252" s="7" t="n">
        <v>0.096</v>
      </c>
      <c r="L252" s="7" t="n">
        <v>0.092</v>
      </c>
      <c r="M252" s="7" t="n">
        <v>0.476</v>
      </c>
      <c r="N252" s="7" t="n">
        <v>0.329</v>
      </c>
      <c r="O252" s="7" t="n">
        <v>-0.789</v>
      </c>
      <c r="P252" s="7" t="n">
        <v>-0.046</v>
      </c>
      <c r="Q252" s="7" t="n">
        <v>0.471</v>
      </c>
      <c r="R252" s="7" t="n">
        <v>0.324</v>
      </c>
      <c r="S252" s="7" t="n">
        <v>0.096</v>
      </c>
      <c r="T252" s="7" t="n">
        <v>0.092</v>
      </c>
      <c r="U252" s="7" t="n">
        <v>-0.689</v>
      </c>
      <c r="V252" s="7" t="n">
        <v>-0.753</v>
      </c>
      <c r="W252" s="7" t="n">
        <v>0.337</v>
      </c>
      <c r="X252" s="7" t="n">
        <v>0.08</v>
      </c>
      <c r="Y252" s="7" t="n">
        <v>-0.881</v>
      </c>
      <c r="Z252" s="7" t="n">
        <v>0.096</v>
      </c>
      <c r="AA252" s="7" t="n">
        <v>0.25</v>
      </c>
      <c r="AB252" s="7" t="n">
        <v>-0.362</v>
      </c>
      <c r="AC252" s="7" t="n">
        <v>0.397</v>
      </c>
      <c r="AD252" s="7" t="n">
        <v>0.589</v>
      </c>
      <c r="AE252" s="7" t="n">
        <v>0.663</v>
      </c>
      <c r="AF252" s="7" t="n">
        <v>0.616</v>
      </c>
      <c r="AG252" s="7" t="n">
        <v>-0.809</v>
      </c>
      <c r="AH252" s="7" t="n">
        <v>-0.763</v>
      </c>
      <c r="AI252" s="7" t="n">
        <v>-0.566</v>
      </c>
      <c r="AJ252" s="7" t="n">
        <v>-0.33</v>
      </c>
      <c r="AK252" s="7" t="n">
        <v>-0.4</v>
      </c>
      <c r="AL252" s="7" t="n">
        <v>-0.862</v>
      </c>
      <c r="AM252" s="7" t="n">
        <v>-0.4</v>
      </c>
      <c r="AN252" s="7" t="n">
        <v>0.08</v>
      </c>
      <c r="AO252" s="7" t="n">
        <v>-0.755</v>
      </c>
      <c r="AP252" s="7" t="n">
        <v>0.096</v>
      </c>
      <c r="AQ252" s="7" t="n">
        <v>-0.215</v>
      </c>
    </row>
    <row r="253" customFormat="false" ht="15" hidden="false" customHeight="false" outlineLevel="0" collapsed="false">
      <c r="A253" s="23" t="n">
        <v>46570</v>
      </c>
      <c r="B253" s="7" t="n">
        <v>0.283</v>
      </c>
      <c r="C253" s="7" t="n">
        <v>-0.038</v>
      </c>
      <c r="D253" s="7" t="n">
        <v>0.156</v>
      </c>
      <c r="E253" s="7" t="n">
        <v>0.096</v>
      </c>
      <c r="F253" s="7" t="n">
        <v>0.58</v>
      </c>
      <c r="G253" s="7" t="n">
        <v>0.043</v>
      </c>
      <c r="H253" s="7" t="n">
        <v>0.26</v>
      </c>
      <c r="I253" s="7" t="n">
        <v>-0.763</v>
      </c>
      <c r="J253" s="7" t="n">
        <v>0.08</v>
      </c>
      <c r="K253" s="7" t="n">
        <v>0.096</v>
      </c>
      <c r="L253" s="7" t="n">
        <v>-0.234</v>
      </c>
      <c r="M253" s="7" t="n">
        <v>0.398</v>
      </c>
      <c r="N253" s="7" t="n">
        <v>0.082</v>
      </c>
      <c r="O253" s="7" t="n">
        <v>-0.282</v>
      </c>
      <c r="P253" s="7" t="n">
        <v>0.123</v>
      </c>
      <c r="Q253" s="7" t="n">
        <v>0.6</v>
      </c>
      <c r="R253" s="7" t="n">
        <v>0.125</v>
      </c>
      <c r="S253" s="7" t="n">
        <v>0.096</v>
      </c>
      <c r="T253" s="7" t="n">
        <v>0.092</v>
      </c>
      <c r="U253" s="7" t="n">
        <v>0.306</v>
      </c>
      <c r="V253" s="7" t="n">
        <v>-0.069</v>
      </c>
      <c r="W253" s="7" t="n">
        <v>0.48</v>
      </c>
      <c r="X253" s="7" t="n">
        <v>0.043</v>
      </c>
      <c r="Y253" s="7" t="n">
        <v>-0.374</v>
      </c>
      <c r="Z253" s="7" t="n">
        <v>0.096</v>
      </c>
      <c r="AA253" s="7" t="n">
        <v>0.082</v>
      </c>
      <c r="AB253" s="7" t="n">
        <v>-0.73</v>
      </c>
      <c r="AC253" s="7" t="n">
        <v>0.538</v>
      </c>
      <c r="AD253" s="7" t="n">
        <v>0.456</v>
      </c>
      <c r="AE253" s="7" t="n">
        <v>0.757</v>
      </c>
      <c r="AF253" s="7" t="n">
        <v>0.729</v>
      </c>
      <c r="AG253" s="7" t="n">
        <v>0</v>
      </c>
      <c r="AH253" s="7" t="n">
        <v>0.062</v>
      </c>
      <c r="AI253" s="7" t="n">
        <v>-0.738</v>
      </c>
      <c r="AJ253" s="7" t="n">
        <v>-0.713</v>
      </c>
      <c r="AK253" s="7" t="n">
        <v>-0.733</v>
      </c>
      <c r="AL253" s="7" t="n">
        <v>-0.064</v>
      </c>
      <c r="AM253" s="7" t="n">
        <v>-0.733</v>
      </c>
      <c r="AN253" s="7" t="n">
        <v>0.043</v>
      </c>
      <c r="AO253" s="7" t="n">
        <v>0.139</v>
      </c>
      <c r="AP253" s="7" t="n">
        <v>0.096</v>
      </c>
      <c r="AQ253" s="7" t="n">
        <v>-0.011</v>
      </c>
    </row>
    <row r="254" customFormat="false" ht="15" hidden="false" customHeight="false" outlineLevel="0" collapsed="false">
      <c r="A254" s="23" t="n">
        <v>46571</v>
      </c>
      <c r="B254" s="7" t="n">
        <v>0.568</v>
      </c>
      <c r="C254" s="7" t="n">
        <v>-0.062</v>
      </c>
      <c r="D254" s="7" t="n">
        <v>0.697</v>
      </c>
      <c r="E254" s="7" t="n">
        <v>0.419</v>
      </c>
      <c r="F254" s="7" t="n">
        <v>0.268</v>
      </c>
      <c r="G254" s="7" t="n">
        <v>0.724</v>
      </c>
      <c r="H254" s="7" t="n">
        <v>0.735</v>
      </c>
      <c r="I254" s="7" t="n">
        <v>0.158</v>
      </c>
      <c r="J254" s="7" t="n">
        <v>0.155</v>
      </c>
      <c r="K254" s="7" t="n">
        <v>0.761</v>
      </c>
      <c r="L254" s="7" t="n">
        <v>-0.403</v>
      </c>
      <c r="M254" s="7" t="n">
        <v>0.351</v>
      </c>
      <c r="N254" s="7" t="n">
        <v>0.057</v>
      </c>
      <c r="O254" s="7" t="n">
        <v>0.332</v>
      </c>
      <c r="P254" s="7" t="n">
        <v>0.671</v>
      </c>
      <c r="Q254" s="7" t="n">
        <v>0.146</v>
      </c>
      <c r="R254" s="7" t="n">
        <v>0.644</v>
      </c>
      <c r="S254" s="7" t="n">
        <v>0.419</v>
      </c>
      <c r="T254" s="7" t="n">
        <v>0.146</v>
      </c>
      <c r="U254" s="7" t="n">
        <v>0.14</v>
      </c>
      <c r="V254" s="7" t="n">
        <v>0.537</v>
      </c>
      <c r="W254" s="7" t="n">
        <v>0</v>
      </c>
      <c r="X254" s="7" t="n">
        <v>0.582</v>
      </c>
      <c r="Y254" s="7" t="n">
        <v>-0.048</v>
      </c>
      <c r="Z254" s="7" t="n">
        <v>0.709</v>
      </c>
      <c r="AA254" s="7" t="n">
        <v>0.181</v>
      </c>
      <c r="AB254" s="7" t="n">
        <v>-0.32</v>
      </c>
      <c r="AC254" s="7" t="n">
        <v>0</v>
      </c>
      <c r="AD254" s="7" t="n">
        <v>0.759</v>
      </c>
      <c r="AE254" s="7" t="n">
        <v>0.401</v>
      </c>
      <c r="AF254" s="7" t="n">
        <v>0.449</v>
      </c>
      <c r="AG254" s="7" t="n">
        <v>0</v>
      </c>
      <c r="AH254" s="7" t="n">
        <v>0.11</v>
      </c>
      <c r="AI254" s="7" t="n">
        <v>-0.358</v>
      </c>
      <c r="AJ254" s="7" t="n">
        <v>0.204</v>
      </c>
      <c r="AK254" s="7" t="n">
        <v>-0.358</v>
      </c>
      <c r="AL254" s="7" t="n">
        <v>0.49</v>
      </c>
      <c r="AM254" s="7" t="n">
        <v>-0.358</v>
      </c>
      <c r="AN254" s="7" t="n">
        <v>0.524</v>
      </c>
      <c r="AO254" s="7" t="n">
        <v>-0.009</v>
      </c>
      <c r="AP254" s="7" t="n">
        <v>-0.052</v>
      </c>
      <c r="AQ254" s="7" t="n">
        <v>0</v>
      </c>
    </row>
    <row r="255" customFormat="false" ht="15" hidden="false" customHeight="false" outlineLevel="0" collapsed="false">
      <c r="A255" s="23" t="n">
        <v>46572</v>
      </c>
      <c r="B255" s="7" t="n">
        <v>0.578</v>
      </c>
      <c r="C255" s="7" t="n">
        <v>0.514</v>
      </c>
      <c r="D255" s="7" t="n">
        <v>0.153</v>
      </c>
      <c r="E255" s="7" t="n">
        <v>0.437</v>
      </c>
      <c r="F255" s="7" t="n">
        <v>0.718</v>
      </c>
      <c r="G255" s="7" t="n">
        <v>0.042</v>
      </c>
      <c r="H255" s="7" t="n">
        <v>0.153</v>
      </c>
      <c r="I255" s="7" t="n">
        <v>-0.298</v>
      </c>
      <c r="J255" s="7" t="n">
        <v>0.666</v>
      </c>
      <c r="K255" s="7" t="n">
        <v>0.748</v>
      </c>
      <c r="L255" s="7" t="n">
        <v>-0.413</v>
      </c>
      <c r="M255" s="7" t="n">
        <v>0.791</v>
      </c>
      <c r="N255" s="7" t="n">
        <v>0.595</v>
      </c>
      <c r="O255" s="7" t="n">
        <v>0.521</v>
      </c>
      <c r="P255" s="7" t="n">
        <v>0.251</v>
      </c>
      <c r="Q255" s="7" t="n">
        <v>0.211</v>
      </c>
      <c r="R255" s="7" t="n">
        <v>0.042</v>
      </c>
      <c r="S255" s="7" t="n">
        <v>0.437</v>
      </c>
      <c r="T255" s="7" t="n">
        <v>0.203</v>
      </c>
      <c r="U255" s="7" t="n">
        <v>0.192</v>
      </c>
      <c r="V255" s="7" t="n">
        <v>0.042</v>
      </c>
      <c r="W255" s="7" t="n">
        <v>0</v>
      </c>
      <c r="X255" s="7" t="n">
        <v>0.042</v>
      </c>
      <c r="Y255" s="7" t="n">
        <v>-0.039</v>
      </c>
      <c r="Z255" s="7" t="n">
        <v>0.686</v>
      </c>
      <c r="AA255" s="7" t="n">
        <v>0</v>
      </c>
      <c r="AB255" s="7" t="n">
        <v>0.296</v>
      </c>
      <c r="AC255" s="7" t="n">
        <v>0.009</v>
      </c>
      <c r="AD255" s="7" t="n">
        <v>0.426</v>
      </c>
      <c r="AE255" s="7" t="n">
        <v>0.783</v>
      </c>
      <c r="AF255" s="7" t="n">
        <v>0.543</v>
      </c>
      <c r="AG255" s="7" t="n">
        <v>0</v>
      </c>
      <c r="AH255" s="7" t="n">
        <v>0.607</v>
      </c>
      <c r="AI255" s="7" t="n">
        <v>-0.329</v>
      </c>
      <c r="AJ255" s="7" t="n">
        <v>-0.298</v>
      </c>
      <c r="AK255" s="7" t="n">
        <v>-0.336</v>
      </c>
      <c r="AL255" s="7" t="n">
        <v>0.538</v>
      </c>
      <c r="AM255" s="7" t="n">
        <v>-0.336</v>
      </c>
      <c r="AN255" s="7" t="n">
        <v>0.042</v>
      </c>
      <c r="AO255" s="7" t="n">
        <v>0.489</v>
      </c>
      <c r="AP255" s="7" t="n">
        <v>-0.097</v>
      </c>
      <c r="AQ255" s="7" t="n">
        <v>0.009</v>
      </c>
    </row>
    <row r="256" customFormat="false" ht="15" hidden="false" customHeight="false" outlineLevel="0" collapsed="false">
      <c r="A256" s="23" t="n">
        <v>46573</v>
      </c>
      <c r="B256" s="7" t="n">
        <v>-0.126</v>
      </c>
      <c r="C256" s="7" t="n">
        <v>-0.539</v>
      </c>
      <c r="D256" s="7" t="n">
        <v>-0.037</v>
      </c>
      <c r="E256" s="7" t="n">
        <v>-0.197</v>
      </c>
      <c r="F256" s="7" t="n">
        <v>0.254</v>
      </c>
      <c r="G256" s="7" t="n">
        <v>0.28</v>
      </c>
      <c r="H256" s="7" t="n">
        <v>-0.854</v>
      </c>
      <c r="I256" s="7" t="n">
        <v>-0.93</v>
      </c>
      <c r="J256" s="7" t="n">
        <v>-0.303</v>
      </c>
      <c r="K256" s="7" t="n">
        <v>0.096</v>
      </c>
      <c r="L256" s="7" t="n">
        <v>-0.267</v>
      </c>
      <c r="M256" s="7" t="n">
        <v>-0.197</v>
      </c>
      <c r="N256" s="7" t="n">
        <v>-0.206</v>
      </c>
      <c r="O256" s="7" t="n">
        <v>-0.296</v>
      </c>
      <c r="P256" s="7" t="n">
        <v>-0.121</v>
      </c>
      <c r="Q256" s="7" t="n">
        <v>-0.162</v>
      </c>
      <c r="R256" s="7" t="n">
        <v>-0.866</v>
      </c>
      <c r="S256" s="7" t="n">
        <v>0.096</v>
      </c>
      <c r="T256" s="7" t="n">
        <v>-0.93</v>
      </c>
      <c r="U256" s="7" t="n">
        <v>0.115</v>
      </c>
      <c r="V256" s="7" t="n">
        <v>-0.833</v>
      </c>
      <c r="W256" s="7" t="n">
        <v>0</v>
      </c>
      <c r="X256" s="7" t="n">
        <v>0.042</v>
      </c>
      <c r="Y256" s="7" t="n">
        <v>0.194</v>
      </c>
      <c r="Z256" s="7" t="n">
        <v>0.096</v>
      </c>
      <c r="AA256" s="7" t="n">
        <v>-0.857</v>
      </c>
      <c r="AB256" s="7" t="n">
        <v>-0.669</v>
      </c>
      <c r="AC256" s="7" t="n">
        <v>0.068</v>
      </c>
      <c r="AD256" s="7" t="n">
        <v>0.059</v>
      </c>
      <c r="AE256" s="7" t="n">
        <v>0.238</v>
      </c>
      <c r="AF256" s="7" t="n">
        <v>-0.223</v>
      </c>
      <c r="AG256" s="7" t="n">
        <v>0</v>
      </c>
      <c r="AH256" s="7" t="n">
        <v>-0.049</v>
      </c>
      <c r="AI256" s="7" t="n">
        <v>-0.353</v>
      </c>
      <c r="AJ256" s="7" t="n">
        <v>-0.884</v>
      </c>
      <c r="AK256" s="7" t="n">
        <v>-0.876</v>
      </c>
      <c r="AL256" s="7" t="n">
        <v>-0.018</v>
      </c>
      <c r="AM256" s="7" t="n">
        <v>-0.411</v>
      </c>
      <c r="AN256" s="7" t="n">
        <v>-0.743</v>
      </c>
      <c r="AO256" s="7" t="n">
        <v>0.142</v>
      </c>
      <c r="AP256" s="7" t="n">
        <v>0.096</v>
      </c>
      <c r="AQ256" s="7" t="n">
        <v>0.068</v>
      </c>
    </row>
    <row r="257" customFormat="false" ht="15" hidden="false" customHeight="false" outlineLevel="0" collapsed="false">
      <c r="A257" s="23" t="n">
        <v>46574</v>
      </c>
      <c r="B257" s="7" t="n">
        <v>0.765</v>
      </c>
      <c r="C257" s="7" t="n">
        <v>0.843</v>
      </c>
      <c r="D257" s="7" t="n">
        <v>-0.043</v>
      </c>
      <c r="E257" s="7" t="n">
        <v>0.933</v>
      </c>
      <c r="F257" s="7" t="n">
        <v>0.964</v>
      </c>
      <c r="G257" s="7" t="n">
        <v>0.26</v>
      </c>
      <c r="H257" s="7" t="n">
        <v>-0.109</v>
      </c>
      <c r="I257" s="7" t="n">
        <v>-0.731</v>
      </c>
      <c r="J257" s="7" t="n">
        <v>-0.357</v>
      </c>
      <c r="K257" s="7" t="n">
        <v>0.973</v>
      </c>
      <c r="L257" s="7" t="n">
        <v>0.611</v>
      </c>
      <c r="M257" s="7" t="n">
        <v>-0.209</v>
      </c>
      <c r="N257" s="7" t="n">
        <v>0.899</v>
      </c>
      <c r="O257" s="7" t="n">
        <v>0.606</v>
      </c>
      <c r="P257" s="7" t="n">
        <v>-0.171</v>
      </c>
      <c r="Q257" s="7" t="n">
        <v>-0.232</v>
      </c>
      <c r="R257" s="7" t="n">
        <v>-0.109</v>
      </c>
      <c r="S257" s="7" t="n">
        <v>0.933</v>
      </c>
      <c r="T257" s="7" t="n">
        <v>-0.315</v>
      </c>
      <c r="U257" s="7" t="n">
        <v>0.289</v>
      </c>
      <c r="V257" s="7" t="n">
        <v>-0.365</v>
      </c>
      <c r="W257" s="7" t="n">
        <v>0</v>
      </c>
      <c r="X257" s="7" t="n">
        <v>0.063</v>
      </c>
      <c r="Y257" s="7" t="n">
        <v>0.195</v>
      </c>
      <c r="Z257" s="7" t="n">
        <v>0.973</v>
      </c>
      <c r="AA257" s="7" t="n">
        <v>-0.066</v>
      </c>
      <c r="AB257" s="7" t="n">
        <v>-0.732</v>
      </c>
      <c r="AC257" s="7" t="n">
        <v>0.025</v>
      </c>
      <c r="AD257" s="7" t="n">
        <v>0.924</v>
      </c>
      <c r="AE257" s="7" t="n">
        <v>0.962</v>
      </c>
      <c r="AF257" s="7" t="n">
        <v>0.583</v>
      </c>
      <c r="AG257" s="7" t="n">
        <v>0</v>
      </c>
      <c r="AH257" s="7" t="n">
        <v>-0.049</v>
      </c>
      <c r="AI257" s="7" t="n">
        <v>-0.46</v>
      </c>
      <c r="AJ257" s="7" t="n">
        <v>-0.559</v>
      </c>
      <c r="AK257" s="7" t="n">
        <v>-0.529</v>
      </c>
      <c r="AL257" s="7" t="n">
        <v>-0.068</v>
      </c>
      <c r="AM257" s="7" t="n">
        <v>-0.48</v>
      </c>
      <c r="AN257" s="7" t="n">
        <v>-0.109</v>
      </c>
      <c r="AO257" s="7" t="n">
        <v>0.85</v>
      </c>
      <c r="AP257" s="7" t="n">
        <v>0.836</v>
      </c>
      <c r="AQ257" s="7" t="n">
        <v>0.025</v>
      </c>
    </row>
    <row r="258" customFormat="false" ht="15" hidden="false" customHeight="false" outlineLevel="0" collapsed="false">
      <c r="A258" s="23" t="n">
        <v>46575</v>
      </c>
      <c r="B258" s="7" t="n">
        <v>0.53</v>
      </c>
      <c r="C258" s="7" t="n">
        <v>0.186</v>
      </c>
      <c r="D258" s="7" t="n">
        <v>-0.212</v>
      </c>
      <c r="E258" s="7" t="n">
        <v>-0.197</v>
      </c>
      <c r="F258" s="7" t="n">
        <v>0.574</v>
      </c>
      <c r="G258" s="7" t="n">
        <v>0.323</v>
      </c>
      <c r="H258" s="7" t="n">
        <v>-0.079</v>
      </c>
      <c r="I258" s="7" t="n">
        <v>0.279</v>
      </c>
      <c r="J258" s="7" t="n">
        <v>0.089</v>
      </c>
      <c r="K258" s="7" t="n">
        <v>0.096</v>
      </c>
      <c r="L258" s="7" t="n">
        <v>0.179</v>
      </c>
      <c r="M258" s="7" t="n">
        <v>-0.132</v>
      </c>
      <c r="N258" s="7" t="n">
        <v>0.221</v>
      </c>
      <c r="O258" s="7" t="n">
        <v>0.128</v>
      </c>
      <c r="P258" s="7" t="n">
        <v>0.065</v>
      </c>
      <c r="Q258" s="7" t="n">
        <v>0.062</v>
      </c>
      <c r="R258" s="7" t="n">
        <v>-0.29</v>
      </c>
      <c r="S258" s="7" t="n">
        <v>0.694</v>
      </c>
      <c r="T258" s="7" t="n">
        <v>-0.464</v>
      </c>
      <c r="U258" s="7" t="n">
        <v>0.648</v>
      </c>
      <c r="V258" s="7" t="n">
        <v>-0.079</v>
      </c>
      <c r="W258" s="7" t="n">
        <v>0</v>
      </c>
      <c r="X258" s="7" t="n">
        <v>0.003</v>
      </c>
      <c r="Y258" s="7" t="n">
        <v>0.647</v>
      </c>
      <c r="Z258" s="7" t="n">
        <v>0.096</v>
      </c>
      <c r="AA258" s="7" t="n">
        <v>-0.249</v>
      </c>
      <c r="AB258" s="7" t="n">
        <v>-0.203</v>
      </c>
      <c r="AC258" s="7" t="n">
        <v>0.062</v>
      </c>
      <c r="AD258" s="7" t="n">
        <v>0.052</v>
      </c>
      <c r="AE258" s="7" t="n">
        <v>0.342</v>
      </c>
      <c r="AF258" s="7" t="n">
        <v>-0.229</v>
      </c>
      <c r="AG258" s="7" t="n">
        <v>0.368</v>
      </c>
      <c r="AH258" s="7" t="n">
        <v>0.294</v>
      </c>
      <c r="AI258" s="7" t="n">
        <v>0.085</v>
      </c>
      <c r="AJ258" s="7" t="n">
        <v>-0.057</v>
      </c>
      <c r="AK258" s="7" t="n">
        <v>-0.013</v>
      </c>
      <c r="AL258" s="7" t="n">
        <v>0.249</v>
      </c>
      <c r="AM258" s="7" t="n">
        <v>0.023</v>
      </c>
      <c r="AN258" s="7" t="n">
        <v>-0.079</v>
      </c>
      <c r="AO258" s="7" t="n">
        <v>0.458</v>
      </c>
      <c r="AP258" s="7" t="n">
        <v>0.096</v>
      </c>
      <c r="AQ258" s="7" t="n">
        <v>0.062</v>
      </c>
    </row>
    <row r="259" customFormat="false" ht="15" hidden="false" customHeight="false" outlineLevel="0" collapsed="false">
      <c r="A259" s="23" t="n">
        <v>46576</v>
      </c>
      <c r="B259" s="7" t="n">
        <v>0.802</v>
      </c>
      <c r="C259" s="7" t="n">
        <v>0.92</v>
      </c>
      <c r="D259" s="7" t="n">
        <v>-0.044</v>
      </c>
      <c r="E259" s="7" t="n">
        <v>-0.197</v>
      </c>
      <c r="F259" s="7" t="n">
        <v>0.981</v>
      </c>
      <c r="G259" s="7" t="n">
        <v>0.323</v>
      </c>
      <c r="H259" s="7" t="n">
        <v>-0.111</v>
      </c>
      <c r="I259" s="7" t="n">
        <v>0.202</v>
      </c>
      <c r="J259" s="7" t="n">
        <v>0.113</v>
      </c>
      <c r="K259" s="7" t="n">
        <v>0.096</v>
      </c>
      <c r="L259" s="7" t="n">
        <v>0.927</v>
      </c>
      <c r="M259" s="7" t="n">
        <v>-0.141</v>
      </c>
      <c r="N259" s="7" t="n">
        <v>0.962</v>
      </c>
      <c r="O259" s="7" t="n">
        <v>0.911</v>
      </c>
      <c r="P259" s="7" t="n">
        <v>0.805</v>
      </c>
      <c r="Q259" s="7" t="n">
        <v>0.902</v>
      </c>
      <c r="R259" s="7" t="n">
        <v>-0.111</v>
      </c>
      <c r="S259" s="7" t="n">
        <v>0.096</v>
      </c>
      <c r="T259" s="7" t="n">
        <v>-0.067</v>
      </c>
      <c r="U259" s="7" t="n">
        <v>0.956</v>
      </c>
      <c r="V259" s="7" t="n">
        <v>-0.111</v>
      </c>
      <c r="W259" s="7" t="n">
        <v>0.43</v>
      </c>
      <c r="X259" s="7" t="n">
        <v>0.088</v>
      </c>
      <c r="Y259" s="7" t="n">
        <v>0.74</v>
      </c>
      <c r="Z259" s="7" t="n">
        <v>0.096</v>
      </c>
      <c r="AA259" s="7" t="n">
        <v>-0.067</v>
      </c>
      <c r="AB259" s="7" t="n">
        <v>-0.18</v>
      </c>
      <c r="AC259" s="7" t="n">
        <v>0.902</v>
      </c>
      <c r="AD259" s="7" t="n">
        <v>0.052</v>
      </c>
      <c r="AE259" s="7" t="n">
        <v>0.971</v>
      </c>
      <c r="AF259" s="7" t="n">
        <v>0.931</v>
      </c>
      <c r="AG259" s="7" t="n">
        <v>0.371</v>
      </c>
      <c r="AH259" s="7" t="n">
        <v>0.438</v>
      </c>
      <c r="AI259" s="7" t="n">
        <v>0.794</v>
      </c>
      <c r="AJ259" s="7" t="n">
        <v>-0.054</v>
      </c>
      <c r="AK259" s="7" t="n">
        <v>-0.01</v>
      </c>
      <c r="AL259" s="7" t="n">
        <v>0.884</v>
      </c>
      <c r="AM259" s="7" t="n">
        <v>0.057</v>
      </c>
      <c r="AN259" s="7" t="n">
        <v>-0.111</v>
      </c>
      <c r="AO259" s="7" t="n">
        <v>0.537</v>
      </c>
      <c r="AP259" s="7" t="n">
        <v>0.096</v>
      </c>
      <c r="AQ259" s="7" t="n">
        <v>0.772</v>
      </c>
    </row>
    <row r="260" customFormat="false" ht="15" hidden="false" customHeight="false" outlineLevel="0" collapsed="false">
      <c r="A260" s="23" t="n">
        <v>46577</v>
      </c>
      <c r="B260" s="7" t="n">
        <v>0.198</v>
      </c>
      <c r="C260" s="7" t="n">
        <v>0.175</v>
      </c>
      <c r="D260" s="7" t="n">
        <v>0.237</v>
      </c>
      <c r="E260" s="7" t="n">
        <v>0.161</v>
      </c>
      <c r="F260" s="7" t="n">
        <v>0.218</v>
      </c>
      <c r="G260" s="7" t="n">
        <v>0.391</v>
      </c>
      <c r="H260" s="7" t="n">
        <v>0.18</v>
      </c>
      <c r="I260" s="7" t="n">
        <v>-0.116</v>
      </c>
      <c r="J260" s="7" t="n">
        <v>-0.089</v>
      </c>
      <c r="K260" s="7" t="n">
        <v>0.775</v>
      </c>
      <c r="L260" s="7" t="n">
        <v>-0.238</v>
      </c>
      <c r="M260" s="7" t="n">
        <v>-0.521</v>
      </c>
      <c r="N260" s="7" t="n">
        <v>0.144</v>
      </c>
      <c r="O260" s="7" t="n">
        <v>-0.789</v>
      </c>
      <c r="P260" s="7" t="n">
        <v>0.286</v>
      </c>
      <c r="Q260" s="7" t="n">
        <v>0.056</v>
      </c>
      <c r="R260" s="7" t="n">
        <v>-0.027</v>
      </c>
      <c r="S260" s="7" t="n">
        <v>0.428</v>
      </c>
      <c r="T260" s="7" t="n">
        <v>-0.06</v>
      </c>
      <c r="U260" s="7" t="n">
        <v>-0.778</v>
      </c>
      <c r="V260" s="7" t="n">
        <v>-0.027</v>
      </c>
      <c r="W260" s="7" t="n">
        <v>0</v>
      </c>
      <c r="X260" s="7" t="n">
        <v>0.234</v>
      </c>
      <c r="Y260" s="7" t="n">
        <v>-0.771</v>
      </c>
      <c r="Z260" s="7" t="n">
        <v>0.575</v>
      </c>
      <c r="AA260" s="7" t="n">
        <v>-0.06</v>
      </c>
      <c r="AB260" s="7" t="n">
        <v>-0.302</v>
      </c>
      <c r="AC260" s="7" t="n">
        <v>0.056</v>
      </c>
      <c r="AD260" s="7" t="n">
        <v>0.361</v>
      </c>
      <c r="AE260" s="7" t="n">
        <v>0.497</v>
      </c>
      <c r="AF260" s="7" t="n">
        <v>0.603</v>
      </c>
      <c r="AG260" s="7" t="n">
        <v>-0.809</v>
      </c>
      <c r="AH260" s="7" t="n">
        <v>-0.847</v>
      </c>
      <c r="AI260" s="7" t="n">
        <v>-0.034</v>
      </c>
      <c r="AJ260" s="7" t="n">
        <v>-0.116</v>
      </c>
      <c r="AK260" s="7" t="n">
        <v>-0.077</v>
      </c>
      <c r="AL260" s="7" t="n">
        <v>-0.795</v>
      </c>
      <c r="AM260" s="7" t="n">
        <v>-0.089</v>
      </c>
      <c r="AN260" s="7" t="n">
        <v>-0.099</v>
      </c>
      <c r="AO260" s="7" t="n">
        <v>-0.876</v>
      </c>
      <c r="AP260" s="7" t="n">
        <v>-0.275</v>
      </c>
      <c r="AQ260" s="7" t="n">
        <v>0.056</v>
      </c>
    </row>
    <row r="261" customFormat="false" ht="15" hidden="false" customHeight="false" outlineLevel="0" collapsed="false">
      <c r="A261" s="23" t="n">
        <v>46578</v>
      </c>
      <c r="B261" s="7" t="n">
        <v>0.245</v>
      </c>
      <c r="C261" s="7" t="n">
        <v>0.204</v>
      </c>
      <c r="D261" s="7" t="n">
        <v>0.169</v>
      </c>
      <c r="E261" s="7" t="n">
        <v>0.015</v>
      </c>
      <c r="F261" s="7" t="n">
        <v>0.262</v>
      </c>
      <c r="G261" s="7" t="n">
        <v>0.116</v>
      </c>
      <c r="H261" s="7" t="n">
        <v>0.102</v>
      </c>
      <c r="I261" s="7" t="n">
        <v>-0.241</v>
      </c>
      <c r="J261" s="7" t="n">
        <v>-0.152</v>
      </c>
      <c r="K261" s="7" t="n">
        <v>0.775</v>
      </c>
      <c r="L261" s="7" t="n">
        <v>-0.231</v>
      </c>
      <c r="M261" s="7" t="n">
        <v>-0.485</v>
      </c>
      <c r="N261" s="7" t="n">
        <v>0.198</v>
      </c>
      <c r="O261" s="7" t="n">
        <v>0.059</v>
      </c>
      <c r="P261" s="7" t="n">
        <v>0.222</v>
      </c>
      <c r="Q261" s="7" t="n">
        <v>0.053</v>
      </c>
      <c r="R261" s="7" t="n">
        <v>-0.062</v>
      </c>
      <c r="S261" s="7" t="n">
        <v>0.459</v>
      </c>
      <c r="T261" s="7" t="n">
        <v>-0.068</v>
      </c>
      <c r="U261" s="7" t="n">
        <v>0.013</v>
      </c>
      <c r="V261" s="7" t="n">
        <v>-0.2</v>
      </c>
      <c r="W261" s="7" t="n">
        <v>0</v>
      </c>
      <c r="X261" s="7" t="n">
        <v>0.171</v>
      </c>
      <c r="Y261" s="7" t="n">
        <v>-0.013</v>
      </c>
      <c r="Z261" s="7" t="n">
        <v>0.606</v>
      </c>
      <c r="AA261" s="7" t="n">
        <v>-0.068</v>
      </c>
      <c r="AB261" s="7" t="n">
        <v>-0.156</v>
      </c>
      <c r="AC261" s="7" t="n">
        <v>0.053</v>
      </c>
      <c r="AD261" s="7" t="n">
        <v>0.112</v>
      </c>
      <c r="AE261" s="7" t="n">
        <v>0.485</v>
      </c>
      <c r="AF261" s="7" t="n">
        <v>0.601</v>
      </c>
      <c r="AG261" s="7" t="n">
        <v>0</v>
      </c>
      <c r="AH261" s="7" t="n">
        <v>-0.134</v>
      </c>
      <c r="AI261" s="7" t="n">
        <v>-0.096</v>
      </c>
      <c r="AJ261" s="7" t="n">
        <v>-0.209</v>
      </c>
      <c r="AK261" s="7" t="n">
        <v>-0.121</v>
      </c>
      <c r="AL261" s="7" t="n">
        <v>0.02</v>
      </c>
      <c r="AM261" s="7" t="n">
        <v>-0.148</v>
      </c>
      <c r="AN261" s="7" t="n">
        <v>-0.157</v>
      </c>
      <c r="AO261" s="7" t="n">
        <v>-0.186</v>
      </c>
      <c r="AP261" s="7" t="n">
        <v>-0.23</v>
      </c>
      <c r="AQ261" s="7" t="n">
        <v>0.053</v>
      </c>
    </row>
    <row r="262" customFormat="false" ht="15" hidden="false" customHeight="false" outlineLevel="0" collapsed="false">
      <c r="A262" s="23" t="n">
        <v>46579</v>
      </c>
      <c r="B262" s="7" t="n">
        <v>-0.21</v>
      </c>
      <c r="C262" s="7" t="n">
        <v>0.022</v>
      </c>
      <c r="D262" s="7" t="n">
        <v>-0.632</v>
      </c>
      <c r="E262" s="7" t="n">
        <v>-0.264</v>
      </c>
      <c r="F262" s="7" t="n">
        <v>0.308</v>
      </c>
      <c r="G262" s="7" t="n">
        <v>-0.582</v>
      </c>
      <c r="H262" s="7" t="n">
        <v>-0.771</v>
      </c>
      <c r="I262" s="7" t="n">
        <v>-0.841</v>
      </c>
      <c r="J262" s="7" t="n">
        <v>-0.094</v>
      </c>
      <c r="K262" s="7" t="n">
        <v>0.025</v>
      </c>
      <c r="L262" s="7" t="n">
        <v>0.318</v>
      </c>
      <c r="M262" s="7" t="n">
        <v>-0.264</v>
      </c>
      <c r="N262" s="7" t="n">
        <v>0.343</v>
      </c>
      <c r="O262" s="7" t="n">
        <v>-0.433</v>
      </c>
      <c r="P262" s="7" t="n">
        <v>-0.539</v>
      </c>
      <c r="Q262" s="7" t="n">
        <v>0.357</v>
      </c>
      <c r="R262" s="7" t="n">
        <v>-0.783</v>
      </c>
      <c r="S262" s="7" t="n">
        <v>0.025</v>
      </c>
      <c r="T262" s="7" t="n">
        <v>-0.096</v>
      </c>
      <c r="U262" s="7" t="n">
        <v>0.202</v>
      </c>
      <c r="V262" s="7" t="n">
        <v>-0.787</v>
      </c>
      <c r="W262" s="7" t="n">
        <v>0.312</v>
      </c>
      <c r="X262" s="7" t="n">
        <v>-0.522</v>
      </c>
      <c r="Y262" s="7" t="n">
        <v>0.195</v>
      </c>
      <c r="Z262" s="7" t="n">
        <v>0.025</v>
      </c>
      <c r="AA262" s="7" t="n">
        <v>-0.352</v>
      </c>
      <c r="AB262" s="7" t="n">
        <v>-0.349</v>
      </c>
      <c r="AC262" s="7" t="n">
        <v>0.357</v>
      </c>
      <c r="AD262" s="7" t="n">
        <v>-0.578</v>
      </c>
      <c r="AE262" s="7" t="n">
        <v>0.556</v>
      </c>
      <c r="AF262" s="7" t="n">
        <v>0.397</v>
      </c>
      <c r="AG262" s="7" t="n">
        <v>0</v>
      </c>
      <c r="AH262" s="7" t="n">
        <v>-0.074</v>
      </c>
      <c r="AI262" s="7" t="n">
        <v>-0.116</v>
      </c>
      <c r="AJ262" s="7" t="n">
        <v>-0.704</v>
      </c>
      <c r="AK262" s="7" t="n">
        <v>-0.164</v>
      </c>
      <c r="AL262" s="7" t="n">
        <v>-0.639</v>
      </c>
      <c r="AM262" s="7" t="n">
        <v>-0.094</v>
      </c>
      <c r="AN262" s="7" t="n">
        <v>-0.667</v>
      </c>
      <c r="AO262" s="7" t="n">
        <v>0.072</v>
      </c>
      <c r="AP262" s="7" t="n">
        <v>0.025</v>
      </c>
      <c r="AQ262" s="7" t="n">
        <v>-0.023</v>
      </c>
    </row>
    <row r="263" customFormat="false" ht="15" hidden="false" customHeight="false" outlineLevel="0" collapsed="false">
      <c r="A263" s="23" t="n">
        <v>46580</v>
      </c>
      <c r="B263" s="7" t="n">
        <v>0.171</v>
      </c>
      <c r="C263" s="7" t="n">
        <v>-0.288</v>
      </c>
      <c r="D263" s="7" t="n">
        <v>-0.025</v>
      </c>
      <c r="E263" s="7" t="n">
        <v>-0.192</v>
      </c>
      <c r="F263" s="7" t="n">
        <v>0.159</v>
      </c>
      <c r="G263" s="7" t="n">
        <v>0.325</v>
      </c>
      <c r="H263" s="7" t="n">
        <v>0.116</v>
      </c>
      <c r="I263" s="7" t="n">
        <v>-0.469</v>
      </c>
      <c r="J263" s="7" t="n">
        <v>-0.031</v>
      </c>
      <c r="K263" s="7" t="n">
        <v>0.084</v>
      </c>
      <c r="L263" s="7" t="n">
        <v>-0.279</v>
      </c>
      <c r="M263" s="7" t="n">
        <v>-0.208</v>
      </c>
      <c r="N263" s="7" t="n">
        <v>0.142</v>
      </c>
      <c r="O263" s="7" t="n">
        <v>-0.32</v>
      </c>
      <c r="P263" s="7" t="n">
        <v>-0.23</v>
      </c>
      <c r="Q263" s="7" t="n">
        <v>-0.327</v>
      </c>
      <c r="R263" s="7" t="n">
        <v>0.196</v>
      </c>
      <c r="S263" s="7" t="n">
        <v>0.101</v>
      </c>
      <c r="T263" s="7" t="n">
        <v>-0.096</v>
      </c>
      <c r="U263" s="7" t="n">
        <v>0.515</v>
      </c>
      <c r="V263" s="7" t="n">
        <v>0.174</v>
      </c>
      <c r="W263" s="7" t="n">
        <v>-0.327</v>
      </c>
      <c r="X263" s="7" t="n">
        <v>0.09</v>
      </c>
      <c r="Y263" s="7" t="n">
        <v>0.643</v>
      </c>
      <c r="Z263" s="7" t="n">
        <v>0.101</v>
      </c>
      <c r="AA263" s="7" t="n">
        <v>0.237</v>
      </c>
      <c r="AB263" s="7" t="n">
        <v>-0.316</v>
      </c>
      <c r="AC263" s="7" t="n">
        <v>-0.327</v>
      </c>
      <c r="AD263" s="7" t="n">
        <v>0.824</v>
      </c>
      <c r="AE263" s="7" t="n">
        <v>0.269</v>
      </c>
      <c r="AF263" s="7" t="n">
        <v>-0.044</v>
      </c>
      <c r="AG263" s="7" t="n">
        <v>0</v>
      </c>
      <c r="AH263" s="7" t="n">
        <v>-0.03</v>
      </c>
      <c r="AI263" s="7" t="n">
        <v>-0.342</v>
      </c>
      <c r="AJ263" s="7" t="n">
        <v>-0.168</v>
      </c>
      <c r="AK263" s="7" t="n">
        <v>-0.127</v>
      </c>
      <c r="AL263" s="7" t="n">
        <v>-0.378</v>
      </c>
      <c r="AM263" s="7" t="n">
        <v>-0.031</v>
      </c>
      <c r="AN263" s="7" t="n">
        <v>0.42</v>
      </c>
      <c r="AO263" s="7" t="n">
        <v>0.13</v>
      </c>
      <c r="AP263" s="7" t="n">
        <v>0.084</v>
      </c>
      <c r="AQ263" s="7" t="n">
        <v>-0.314</v>
      </c>
    </row>
    <row r="264" customFormat="false" ht="15" hidden="false" customHeight="false" outlineLevel="0" collapsed="false">
      <c r="A264" s="23" t="n">
        <v>46581</v>
      </c>
      <c r="B264" s="7" t="n">
        <v>0.215</v>
      </c>
      <c r="C264" s="7" t="n">
        <v>-0.201</v>
      </c>
      <c r="D264" s="7" t="n">
        <v>-0.029</v>
      </c>
      <c r="E264" s="7" t="n">
        <v>-0.188</v>
      </c>
      <c r="F264" s="7" t="n">
        <v>0.361</v>
      </c>
      <c r="G264" s="7" t="n">
        <v>0.321</v>
      </c>
      <c r="H264" s="7" t="n">
        <v>-0.142</v>
      </c>
      <c r="I264" s="7" t="n">
        <v>-0.131</v>
      </c>
      <c r="J264" s="7" t="n">
        <v>-0.077</v>
      </c>
      <c r="K264" s="7" t="n">
        <v>0.087</v>
      </c>
      <c r="L264" s="7" t="n">
        <v>-0.205</v>
      </c>
      <c r="M264" s="7" t="n">
        <v>-0.205</v>
      </c>
      <c r="N264" s="7" t="n">
        <v>0.189</v>
      </c>
      <c r="O264" s="7" t="n">
        <v>-0.339</v>
      </c>
      <c r="P264" s="7" t="n">
        <v>-0.304</v>
      </c>
      <c r="Q264" s="7" t="n">
        <v>-0.298</v>
      </c>
      <c r="R264" s="7" t="n">
        <v>-0.142</v>
      </c>
      <c r="S264" s="7" t="n">
        <v>0.105</v>
      </c>
      <c r="T264" s="7" t="n">
        <v>-0.096</v>
      </c>
      <c r="U264" s="7" t="n">
        <v>0.081</v>
      </c>
      <c r="V264" s="7" t="n">
        <v>-0.142</v>
      </c>
      <c r="W264" s="7" t="n">
        <v>-0.301</v>
      </c>
      <c r="X264" s="7" t="n">
        <v>0.085</v>
      </c>
      <c r="Y264" s="7" t="n">
        <v>0.239</v>
      </c>
      <c r="Z264" s="7" t="n">
        <v>0.105</v>
      </c>
      <c r="AA264" s="7" t="n">
        <v>-0.096</v>
      </c>
      <c r="AB264" s="7" t="n">
        <v>-0.33</v>
      </c>
      <c r="AC264" s="7" t="n">
        <v>-0.298</v>
      </c>
      <c r="AD264" s="7" t="n">
        <v>0.058</v>
      </c>
      <c r="AE264" s="7" t="n">
        <v>0.313</v>
      </c>
      <c r="AF264" s="7" t="n">
        <v>0.06</v>
      </c>
      <c r="AG264" s="7" t="n">
        <v>0</v>
      </c>
      <c r="AH264" s="7" t="n">
        <v>-0.004</v>
      </c>
      <c r="AI264" s="7" t="n">
        <v>-0.37</v>
      </c>
      <c r="AJ264" s="7" t="n">
        <v>-0.131</v>
      </c>
      <c r="AK264" s="7" t="n">
        <v>-0.085</v>
      </c>
      <c r="AL264" s="7" t="n">
        <v>-0.422</v>
      </c>
      <c r="AM264" s="7" t="n">
        <v>0.011</v>
      </c>
      <c r="AN264" s="7" t="n">
        <v>-0.142</v>
      </c>
      <c r="AO264" s="7" t="n">
        <v>0.134</v>
      </c>
      <c r="AP264" s="7" t="n">
        <v>0.087</v>
      </c>
      <c r="AQ264" s="7" t="n">
        <v>-0.379</v>
      </c>
    </row>
    <row r="265" customFormat="false" ht="15" hidden="false" customHeight="false" outlineLevel="0" collapsed="false">
      <c r="A265" s="23" t="n">
        <v>46582</v>
      </c>
      <c r="B265" s="7" t="n">
        <v>0.113</v>
      </c>
      <c r="C265" s="7" t="n">
        <v>-0.127</v>
      </c>
      <c r="D265" s="7" t="n">
        <v>-0.161</v>
      </c>
      <c r="E265" s="7" t="n">
        <v>-0.197</v>
      </c>
      <c r="F265" s="7" t="n">
        <v>0.29</v>
      </c>
      <c r="G265" s="7" t="n">
        <v>-0.118</v>
      </c>
      <c r="H265" s="7" t="n">
        <v>-0.586</v>
      </c>
      <c r="I265" s="7" t="n">
        <v>-0.578</v>
      </c>
      <c r="J265" s="7" t="n">
        <v>0.034</v>
      </c>
      <c r="K265" s="7" t="n">
        <v>0.096</v>
      </c>
      <c r="L265" s="7" t="n">
        <v>0.172</v>
      </c>
      <c r="M265" s="7" t="n">
        <v>-0.197</v>
      </c>
      <c r="N265" s="7" t="n">
        <v>0.138</v>
      </c>
      <c r="O265" s="7" t="n">
        <v>0.043</v>
      </c>
      <c r="P265" s="7" t="n">
        <v>0.26</v>
      </c>
      <c r="Q265" s="7" t="n">
        <v>-0.008</v>
      </c>
      <c r="R265" s="7" t="n">
        <v>-0.606</v>
      </c>
      <c r="S265" s="7" t="n">
        <v>0.576</v>
      </c>
      <c r="T265" s="7" t="n">
        <v>-0.795</v>
      </c>
      <c r="U265" s="7" t="n">
        <v>0.11</v>
      </c>
      <c r="V265" s="7" t="n">
        <v>-0.566</v>
      </c>
      <c r="W265" s="7" t="n">
        <v>0</v>
      </c>
      <c r="X265" s="7" t="n">
        <v>0.268</v>
      </c>
      <c r="Y265" s="7" t="n">
        <v>-0.067</v>
      </c>
      <c r="Z265" s="7" t="n">
        <v>0.096</v>
      </c>
      <c r="AA265" s="7" t="n">
        <v>-0.7</v>
      </c>
      <c r="AB265" s="7" t="n">
        <v>-0.255</v>
      </c>
      <c r="AC265" s="7" t="n">
        <v>0.043</v>
      </c>
      <c r="AD265" s="7" t="n">
        <v>0.256</v>
      </c>
      <c r="AE265" s="7" t="n">
        <v>0.266</v>
      </c>
      <c r="AF265" s="7" t="n">
        <v>-0.247</v>
      </c>
      <c r="AG265" s="7" t="n">
        <v>0.21</v>
      </c>
      <c r="AH265" s="7" t="n">
        <v>-0.029</v>
      </c>
      <c r="AI265" s="7" t="n">
        <v>0.077</v>
      </c>
      <c r="AJ265" s="7" t="n">
        <v>-0.444</v>
      </c>
      <c r="AK265" s="7" t="n">
        <v>-0.567</v>
      </c>
      <c r="AL265" s="7" t="n">
        <v>0.178</v>
      </c>
      <c r="AM265" s="7" t="n">
        <v>0.034</v>
      </c>
      <c r="AN265" s="7" t="n">
        <v>-0.471</v>
      </c>
      <c r="AO265" s="7" t="n">
        <v>0.142</v>
      </c>
      <c r="AP265" s="7" t="n">
        <v>0.096</v>
      </c>
      <c r="AQ265" s="7" t="n">
        <v>0.043</v>
      </c>
    </row>
    <row r="266" customFormat="false" ht="15" hidden="false" customHeight="false" outlineLevel="0" collapsed="false">
      <c r="A266" s="23" t="n">
        <v>46583</v>
      </c>
      <c r="B266" s="7" t="n">
        <v>0.557</v>
      </c>
      <c r="C266" s="7" t="n">
        <v>0.876</v>
      </c>
      <c r="D266" s="7" t="n">
        <v>-0.548</v>
      </c>
      <c r="E266" s="7" t="n">
        <v>0.873</v>
      </c>
      <c r="F266" s="7" t="n">
        <v>0.955</v>
      </c>
      <c r="G266" s="7" t="n">
        <v>-0.486</v>
      </c>
      <c r="H266" s="7" t="n">
        <v>-0.603</v>
      </c>
      <c r="I266" s="7" t="n">
        <v>-0.686</v>
      </c>
      <c r="J266" s="7" t="n">
        <v>0</v>
      </c>
      <c r="K266" s="7" t="n">
        <v>0.974</v>
      </c>
      <c r="L266" s="7" t="n">
        <v>0.851</v>
      </c>
      <c r="M266" s="7" t="n">
        <v>-0.197</v>
      </c>
      <c r="N266" s="7" t="n">
        <v>0.95</v>
      </c>
      <c r="O266" s="7" t="n">
        <v>0.822</v>
      </c>
      <c r="P266" s="7" t="n">
        <v>-0.296</v>
      </c>
      <c r="Q266" s="7" t="n">
        <v>-0.05</v>
      </c>
      <c r="R266" s="7" t="n">
        <v>-0.637</v>
      </c>
      <c r="S266" s="7" t="n">
        <v>0.939</v>
      </c>
      <c r="T266" s="7" t="n">
        <v>-0.535</v>
      </c>
      <c r="U266" s="7" t="n">
        <v>0.434</v>
      </c>
      <c r="V266" s="7" t="n">
        <v>-0.61</v>
      </c>
      <c r="W266" s="7" t="n">
        <v>0</v>
      </c>
      <c r="X266" s="7" t="n">
        <v>-0.25</v>
      </c>
      <c r="Y266" s="7" t="n">
        <v>-0.46</v>
      </c>
      <c r="Z266" s="7" t="n">
        <v>0.974</v>
      </c>
      <c r="AA266" s="7" t="n">
        <v>-0.475</v>
      </c>
      <c r="AB266" s="7" t="n">
        <v>-0.287</v>
      </c>
      <c r="AC266" s="7" t="n">
        <v>0.038</v>
      </c>
      <c r="AD266" s="7" t="n">
        <v>0.885</v>
      </c>
      <c r="AE266" s="7" t="n">
        <v>0.961</v>
      </c>
      <c r="AF266" s="7" t="n">
        <v>0.536</v>
      </c>
      <c r="AG266" s="7" t="n">
        <v>-0.185</v>
      </c>
      <c r="AH266" s="7" t="n">
        <v>0.016</v>
      </c>
      <c r="AI266" s="7" t="n">
        <v>0.038</v>
      </c>
      <c r="AJ266" s="7" t="n">
        <v>-0.491</v>
      </c>
      <c r="AK266" s="7" t="n">
        <v>-0.293</v>
      </c>
      <c r="AL266" s="7" t="n">
        <v>-0.181</v>
      </c>
      <c r="AM266" s="7" t="n">
        <v>0</v>
      </c>
      <c r="AN266" s="7" t="n">
        <v>-0.491</v>
      </c>
      <c r="AO266" s="7" t="n">
        <v>0.853</v>
      </c>
      <c r="AP266" s="7" t="n">
        <v>0.84</v>
      </c>
      <c r="AQ266" s="7" t="n">
        <v>0.038</v>
      </c>
    </row>
    <row r="267" customFormat="false" ht="15" hidden="false" customHeight="false" outlineLevel="0" collapsed="false">
      <c r="A267" s="23" t="n">
        <v>46584</v>
      </c>
      <c r="B267" s="7" t="n">
        <v>0.452</v>
      </c>
      <c r="C267" s="7" t="n">
        <v>-0.004</v>
      </c>
      <c r="D267" s="7" t="n">
        <v>-0.236</v>
      </c>
      <c r="E267" s="7" t="n">
        <v>-0.248</v>
      </c>
      <c r="F267" s="7" t="n">
        <v>0.575</v>
      </c>
      <c r="G267" s="7" t="n">
        <v>0.321</v>
      </c>
      <c r="H267" s="7" t="n">
        <v>-0.137</v>
      </c>
      <c r="I267" s="7" t="n">
        <v>0.114</v>
      </c>
      <c r="J267" s="7" t="n">
        <v>0.477</v>
      </c>
      <c r="K267" s="7" t="n">
        <v>0.031</v>
      </c>
      <c r="L267" s="7" t="n">
        <v>0.041</v>
      </c>
      <c r="M267" s="7" t="n">
        <v>0.036</v>
      </c>
      <c r="N267" s="7" t="n">
        <v>0.435</v>
      </c>
      <c r="O267" s="7" t="n">
        <v>0.206</v>
      </c>
      <c r="P267" s="7" t="n">
        <v>-0.028</v>
      </c>
      <c r="Q267" s="7" t="n">
        <v>-0.016</v>
      </c>
      <c r="R267" s="7" t="n">
        <v>-0.358</v>
      </c>
      <c r="S267" s="7" t="n">
        <v>0.42</v>
      </c>
      <c r="T267" s="7" t="n">
        <v>-0.517</v>
      </c>
      <c r="U267" s="7" t="n">
        <v>0.139</v>
      </c>
      <c r="V267" s="7" t="n">
        <v>-0.137</v>
      </c>
      <c r="W267" s="7" t="n">
        <v>0</v>
      </c>
      <c r="X267" s="7" t="n">
        <v>-0.012</v>
      </c>
      <c r="Y267" s="7" t="n">
        <v>0.533</v>
      </c>
      <c r="Z267" s="7" t="n">
        <v>0.042</v>
      </c>
      <c r="AA267" s="7" t="n">
        <v>-0.314</v>
      </c>
      <c r="AB267" s="7" t="n">
        <v>0.075</v>
      </c>
      <c r="AC267" s="7" t="n">
        <v>-0.016</v>
      </c>
      <c r="AD267" s="7" t="n">
        <v>-0.007</v>
      </c>
      <c r="AE267" s="7" t="n">
        <v>0.536</v>
      </c>
      <c r="AF267" s="7" t="n">
        <v>-0.302</v>
      </c>
      <c r="AG267" s="7" t="n">
        <v>0.234</v>
      </c>
      <c r="AH267" s="7" t="n">
        <v>0.181</v>
      </c>
      <c r="AI267" s="7" t="n">
        <v>-0.002</v>
      </c>
      <c r="AJ267" s="7" t="n">
        <v>-0.123</v>
      </c>
      <c r="AK267" s="7" t="n">
        <v>-0.074</v>
      </c>
      <c r="AL267" s="7" t="n">
        <v>0.059</v>
      </c>
      <c r="AM267" s="7" t="n">
        <v>0.015</v>
      </c>
      <c r="AN267" s="7" t="n">
        <v>-0.137</v>
      </c>
      <c r="AO267" s="7" t="n">
        <v>0.281</v>
      </c>
      <c r="AP267" s="7" t="n">
        <v>0.042</v>
      </c>
      <c r="AQ267" s="7" t="n">
        <v>-0.016</v>
      </c>
    </row>
    <row r="268" customFormat="false" ht="15" hidden="false" customHeight="false" outlineLevel="0" collapsed="false">
      <c r="A268" s="23" t="n">
        <v>46585</v>
      </c>
      <c r="B268" s="7" t="n">
        <v>0.679</v>
      </c>
      <c r="C268" s="7" t="n">
        <v>0.71</v>
      </c>
      <c r="D268" s="7" t="n">
        <v>-0.016</v>
      </c>
      <c r="E268" s="7" t="n">
        <v>-0.297</v>
      </c>
      <c r="F268" s="7" t="n">
        <v>0.906</v>
      </c>
      <c r="G268" s="7" t="n">
        <v>0.307</v>
      </c>
      <c r="H268" s="7" t="n">
        <v>-0.079</v>
      </c>
      <c r="I268" s="7" t="n">
        <v>0.108</v>
      </c>
      <c r="J268" s="7" t="n">
        <v>0.193</v>
      </c>
      <c r="K268" s="7" t="n">
        <v>0.171</v>
      </c>
      <c r="L268" s="7" t="n">
        <v>0.844</v>
      </c>
      <c r="M268" s="7" t="n">
        <v>-0.297</v>
      </c>
      <c r="N268" s="7" t="n">
        <v>0.807</v>
      </c>
      <c r="O268" s="7" t="n">
        <v>0.781</v>
      </c>
      <c r="P268" s="7" t="n">
        <v>0.629</v>
      </c>
      <c r="Q268" s="7" t="n">
        <v>0.749</v>
      </c>
      <c r="R268" s="7" t="n">
        <v>-0.079</v>
      </c>
      <c r="S268" s="7" t="n">
        <v>-0.01</v>
      </c>
      <c r="T268" s="7" t="n">
        <v>-0.281</v>
      </c>
      <c r="U268" s="7" t="n">
        <v>0.815</v>
      </c>
      <c r="V268" s="7" t="n">
        <v>-0.079</v>
      </c>
      <c r="W268" s="7" t="n">
        <v>0.288</v>
      </c>
      <c r="X268" s="7" t="n">
        <v>0.067</v>
      </c>
      <c r="Y268" s="7" t="n">
        <v>0.48</v>
      </c>
      <c r="Z268" s="7" t="n">
        <v>-0.01</v>
      </c>
      <c r="AA268" s="7" t="n">
        <v>-0.064</v>
      </c>
      <c r="AB268" s="7" t="n">
        <v>-0.148</v>
      </c>
      <c r="AC268" s="7" t="n">
        <v>0.832</v>
      </c>
      <c r="AD268" s="7" t="n">
        <v>-0.026</v>
      </c>
      <c r="AE268" s="7" t="n">
        <v>0.834</v>
      </c>
      <c r="AF268" s="7" t="n">
        <v>0.738</v>
      </c>
      <c r="AG268" s="7" t="n">
        <v>0.139</v>
      </c>
      <c r="AH268" s="7" t="n">
        <v>0.133</v>
      </c>
      <c r="AI268" s="7" t="n">
        <v>0.738</v>
      </c>
      <c r="AJ268" s="7" t="n">
        <v>-0.031</v>
      </c>
      <c r="AK268" s="7" t="n">
        <v>-0.015</v>
      </c>
      <c r="AL268" s="7" t="n">
        <v>0.768</v>
      </c>
      <c r="AM268" s="7" t="n">
        <v>0.049</v>
      </c>
      <c r="AN268" s="7" t="n">
        <v>-0.079</v>
      </c>
      <c r="AO268" s="7" t="n">
        <v>0.175</v>
      </c>
      <c r="AP268" s="7" t="n">
        <v>-0.01</v>
      </c>
      <c r="AQ268" s="7" t="n">
        <v>0.715</v>
      </c>
    </row>
    <row r="269" customFormat="false" ht="15" hidden="false" customHeight="false" outlineLevel="0" collapsed="false">
      <c r="A269" s="23" t="n">
        <v>46586</v>
      </c>
      <c r="B269" s="7" t="n">
        <v>0.188</v>
      </c>
      <c r="C269" s="7" t="n">
        <v>-0.033</v>
      </c>
      <c r="D269" s="7" t="n">
        <v>-0.05</v>
      </c>
      <c r="E269" s="7" t="n">
        <v>-0.287</v>
      </c>
      <c r="F269" s="7" t="n">
        <v>0.458</v>
      </c>
      <c r="G269" s="7" t="n">
        <v>0.274</v>
      </c>
      <c r="H269" s="7" t="n">
        <v>-0.113</v>
      </c>
      <c r="I269" s="7" t="n">
        <v>-0.078</v>
      </c>
      <c r="J269" s="7" t="n">
        <v>0.06</v>
      </c>
      <c r="K269" s="7" t="n">
        <v>0.147</v>
      </c>
      <c r="L269" s="7" t="n">
        <v>0.064</v>
      </c>
      <c r="M269" s="7" t="n">
        <v>-0.287</v>
      </c>
      <c r="N269" s="7" t="n">
        <v>0.265</v>
      </c>
      <c r="O269" s="7" t="n">
        <v>-0.582</v>
      </c>
      <c r="P269" s="7" t="n">
        <v>-0.164</v>
      </c>
      <c r="Q269" s="7" t="n">
        <v>-0.195</v>
      </c>
      <c r="R269" s="7" t="n">
        <v>-0.113</v>
      </c>
      <c r="S269" s="7" t="n">
        <v>0</v>
      </c>
      <c r="T269" s="7" t="n">
        <v>-0.282</v>
      </c>
      <c r="U269" s="7" t="n">
        <v>-0.512</v>
      </c>
      <c r="V269" s="7" t="n">
        <v>-0.113</v>
      </c>
      <c r="W269" s="7" t="n">
        <v>0</v>
      </c>
      <c r="X269" s="7" t="n">
        <v>0.032</v>
      </c>
      <c r="Y269" s="7" t="n">
        <v>-0.616</v>
      </c>
      <c r="Z269" s="7" t="n">
        <v>0</v>
      </c>
      <c r="AA269" s="7" t="n">
        <v>-0.063</v>
      </c>
      <c r="AB269" s="7" t="n">
        <v>-0.239</v>
      </c>
      <c r="AC269" s="7" t="n">
        <v>0.03</v>
      </c>
      <c r="AD269" s="7" t="n">
        <v>-0.05</v>
      </c>
      <c r="AE269" s="7" t="n">
        <v>0.339</v>
      </c>
      <c r="AF269" s="7" t="n">
        <v>-0.26</v>
      </c>
      <c r="AG269" s="7" t="n">
        <v>-0.671</v>
      </c>
      <c r="AH269" s="7" t="n">
        <v>-0.593</v>
      </c>
      <c r="AI269" s="7" t="n">
        <v>0.064</v>
      </c>
      <c r="AJ269" s="7" t="n">
        <v>-0.078</v>
      </c>
      <c r="AK269" s="7" t="n">
        <v>-0.028</v>
      </c>
      <c r="AL269" s="7" t="n">
        <v>-0.607</v>
      </c>
      <c r="AM269" s="7" t="n">
        <v>0.035</v>
      </c>
      <c r="AN269" s="7" t="n">
        <v>-0.113</v>
      </c>
      <c r="AO269" s="7" t="n">
        <v>-0.554</v>
      </c>
      <c r="AP269" s="7" t="n">
        <v>0</v>
      </c>
      <c r="AQ269" s="7" t="n">
        <v>0.03</v>
      </c>
    </row>
    <row r="270" customFormat="false" ht="15" hidden="false" customHeight="false" outlineLevel="0" collapsed="false">
      <c r="A270" s="23" t="n">
        <v>46587</v>
      </c>
      <c r="B270" s="7" t="n">
        <v>-0.007</v>
      </c>
      <c r="C270" s="7" t="n">
        <v>-0.249</v>
      </c>
      <c r="D270" s="7" t="n">
        <v>0.158</v>
      </c>
      <c r="E270" s="7" t="n">
        <v>-0.229</v>
      </c>
      <c r="F270" s="7" t="n">
        <v>0.413</v>
      </c>
      <c r="G270" s="7" t="n">
        <v>0.104</v>
      </c>
      <c r="H270" s="7" t="n">
        <v>-0.771</v>
      </c>
      <c r="I270" s="7" t="n">
        <v>-0.829</v>
      </c>
      <c r="J270" s="7" t="n">
        <v>-0.06</v>
      </c>
      <c r="K270" s="7" t="n">
        <v>0.062</v>
      </c>
      <c r="L270" s="7" t="n">
        <v>0.098</v>
      </c>
      <c r="M270" s="7" t="n">
        <v>-0.229</v>
      </c>
      <c r="N270" s="7" t="n">
        <v>0.014</v>
      </c>
      <c r="O270" s="7" t="n">
        <v>0.245</v>
      </c>
      <c r="P270" s="7" t="n">
        <v>-0.038</v>
      </c>
      <c r="Q270" s="7" t="n">
        <v>-0.039</v>
      </c>
      <c r="R270" s="7" t="n">
        <v>-0.872</v>
      </c>
      <c r="S270" s="7" t="n">
        <v>0.062</v>
      </c>
      <c r="T270" s="7" t="n">
        <v>-0.938</v>
      </c>
      <c r="U270" s="7" t="n">
        <v>0.51</v>
      </c>
      <c r="V270" s="7" t="n">
        <v>-0.785</v>
      </c>
      <c r="W270" s="7" t="n">
        <v>0</v>
      </c>
      <c r="X270" s="7" t="n">
        <v>0.002</v>
      </c>
      <c r="Y270" s="7" t="n">
        <v>-0.146</v>
      </c>
      <c r="Z270" s="7" t="n">
        <v>0.062</v>
      </c>
      <c r="AA270" s="7" t="n">
        <v>-0.873</v>
      </c>
      <c r="AB270" s="7" t="n">
        <v>-0.341</v>
      </c>
      <c r="AC270" s="7" t="n">
        <v>0.096</v>
      </c>
      <c r="AD270" s="7" t="n">
        <v>0.068</v>
      </c>
      <c r="AE270" s="7" t="n">
        <v>0.152</v>
      </c>
      <c r="AF270" s="7" t="n">
        <v>-0.197</v>
      </c>
      <c r="AG270" s="7" t="n">
        <v>-0.55</v>
      </c>
      <c r="AH270" s="7" t="n">
        <v>0.209</v>
      </c>
      <c r="AI270" s="7" t="n">
        <v>0.036</v>
      </c>
      <c r="AJ270" s="7" t="n">
        <v>-0.71</v>
      </c>
      <c r="AK270" s="7" t="n">
        <v>-0.713</v>
      </c>
      <c r="AL270" s="7" t="n">
        <v>0.304</v>
      </c>
      <c r="AM270" s="7" t="n">
        <v>-0.06</v>
      </c>
      <c r="AN270" s="7" t="n">
        <v>-0.68</v>
      </c>
      <c r="AO270" s="7" t="n">
        <v>0.257</v>
      </c>
      <c r="AP270" s="7" t="n">
        <v>0.062</v>
      </c>
      <c r="AQ270" s="7" t="n">
        <v>0.096</v>
      </c>
    </row>
    <row r="271" customFormat="false" ht="15" hidden="false" customHeight="false" outlineLevel="0" collapsed="false">
      <c r="A271" s="23" t="n">
        <v>46588</v>
      </c>
      <c r="B271" s="7" t="n">
        <v>-0.107</v>
      </c>
      <c r="C271" s="7" t="n">
        <v>-0.652</v>
      </c>
      <c r="D271" s="7" t="n">
        <v>-0.051</v>
      </c>
      <c r="E271" s="7" t="n">
        <v>-0.232</v>
      </c>
      <c r="F271" s="7" t="n">
        <v>0.472</v>
      </c>
      <c r="G271" s="7" t="n">
        <v>-0.125</v>
      </c>
      <c r="H271" s="7" t="n">
        <v>-0.84</v>
      </c>
      <c r="I271" s="7" t="n">
        <v>-0.953</v>
      </c>
      <c r="J271" s="7" t="n">
        <v>-0.317</v>
      </c>
      <c r="K271" s="7" t="n">
        <v>0.059</v>
      </c>
      <c r="L271" s="7" t="n">
        <v>-0.542</v>
      </c>
      <c r="M271" s="7" t="n">
        <v>-0.232</v>
      </c>
      <c r="N271" s="7" t="n">
        <v>-0.493</v>
      </c>
      <c r="O271" s="7" t="n">
        <v>-0.537</v>
      </c>
      <c r="P271" s="7" t="n">
        <v>-0.164</v>
      </c>
      <c r="Q271" s="7" t="n">
        <v>-0.131</v>
      </c>
      <c r="R271" s="7" t="n">
        <v>-0.876</v>
      </c>
      <c r="S271" s="7" t="n">
        <v>0.059</v>
      </c>
      <c r="T271" s="7" t="n">
        <v>-0.92</v>
      </c>
      <c r="U271" s="7" t="n">
        <v>0.129</v>
      </c>
      <c r="V271" s="7" t="n">
        <v>-0.815</v>
      </c>
      <c r="W271" s="7" t="n">
        <v>0</v>
      </c>
      <c r="X271" s="7" t="n">
        <v>-0.034</v>
      </c>
      <c r="Y271" s="7" t="n">
        <v>-0.015</v>
      </c>
      <c r="Z271" s="7" t="n">
        <v>0.059</v>
      </c>
      <c r="AA271" s="7" t="n">
        <v>-0.863</v>
      </c>
      <c r="AB271" s="7" t="n">
        <v>-0.793</v>
      </c>
      <c r="AC271" s="7" t="n">
        <v>0.028</v>
      </c>
      <c r="AD271" s="7" t="n">
        <v>0.008</v>
      </c>
      <c r="AE271" s="7" t="n">
        <v>0.07</v>
      </c>
      <c r="AF271" s="7" t="n">
        <v>-0.261</v>
      </c>
      <c r="AG271" s="7" t="n">
        <v>-0.531</v>
      </c>
      <c r="AH271" s="7" t="n">
        <v>0.042</v>
      </c>
      <c r="AI271" s="7" t="n">
        <v>-0.583</v>
      </c>
      <c r="AJ271" s="7" t="n">
        <v>-0.885</v>
      </c>
      <c r="AK271" s="7" t="n">
        <v>-0.874</v>
      </c>
      <c r="AL271" s="7" t="n">
        <v>0.019</v>
      </c>
      <c r="AM271" s="7" t="n">
        <v>-0.601</v>
      </c>
      <c r="AN271" s="7" t="n">
        <v>-0.608</v>
      </c>
      <c r="AO271" s="7" t="n">
        <v>0.106</v>
      </c>
      <c r="AP271" s="7" t="n">
        <v>0.059</v>
      </c>
      <c r="AQ271" s="7" t="n">
        <v>0.028</v>
      </c>
    </row>
    <row r="272" customFormat="false" ht="15" hidden="false" customHeight="false" outlineLevel="0" collapsed="false">
      <c r="A272" s="23" t="n">
        <v>46589</v>
      </c>
      <c r="B272" s="7" t="n">
        <v>-0.199</v>
      </c>
      <c r="C272" s="7" t="n">
        <v>0.038</v>
      </c>
      <c r="D272" s="7" t="n">
        <v>-0.756</v>
      </c>
      <c r="E272" s="7" t="n">
        <v>-0.462</v>
      </c>
      <c r="F272" s="7" t="n">
        <v>0.756</v>
      </c>
      <c r="G272" s="7" t="n">
        <v>-0.641</v>
      </c>
      <c r="H272" s="7" t="n">
        <v>-0.899</v>
      </c>
      <c r="I272" s="7" t="n">
        <v>-0.7</v>
      </c>
      <c r="J272" s="7" t="n">
        <v>0.15</v>
      </c>
      <c r="K272" s="7" t="n">
        <v>0.062</v>
      </c>
      <c r="L272" s="7" t="n">
        <v>0.231</v>
      </c>
      <c r="M272" s="7" t="n">
        <v>-0.158</v>
      </c>
      <c r="N272" s="7" t="n">
        <v>-0.341</v>
      </c>
      <c r="O272" s="7" t="n">
        <v>-0.307</v>
      </c>
      <c r="P272" s="7" t="n">
        <v>-0.614</v>
      </c>
      <c r="Q272" s="7" t="n">
        <v>-0.137</v>
      </c>
      <c r="R272" s="7" t="n">
        <v>-0.907</v>
      </c>
      <c r="S272" s="7" t="n">
        <v>-0.482</v>
      </c>
      <c r="T272" s="7" t="n">
        <v>-0.867</v>
      </c>
      <c r="U272" s="7" t="n">
        <v>-0.045</v>
      </c>
      <c r="V272" s="7" t="n">
        <v>-0.849</v>
      </c>
      <c r="W272" s="7" t="n">
        <v>0</v>
      </c>
      <c r="X272" s="7" t="n">
        <v>-0.521</v>
      </c>
      <c r="Y272" s="7" t="n">
        <v>-0.615</v>
      </c>
      <c r="Z272" s="7" t="n">
        <v>0.062</v>
      </c>
      <c r="AA272" s="7" t="n">
        <v>-0.748</v>
      </c>
      <c r="AB272" s="7" t="n">
        <v>-0.143</v>
      </c>
      <c r="AC272" s="7" t="n">
        <v>0.096</v>
      </c>
      <c r="AD272" s="7" t="n">
        <v>-0.705</v>
      </c>
      <c r="AE272" s="7" t="n">
        <v>0.301</v>
      </c>
      <c r="AF272" s="7" t="n">
        <v>-0.197</v>
      </c>
      <c r="AG272" s="7" t="n">
        <v>-0.253</v>
      </c>
      <c r="AH272" s="7" t="n">
        <v>-0.128</v>
      </c>
      <c r="AI272" s="7" t="n">
        <v>0.171</v>
      </c>
      <c r="AJ272" s="7" t="n">
        <v>-0.789</v>
      </c>
      <c r="AK272" s="7" t="n">
        <v>-0.484</v>
      </c>
      <c r="AL272" s="7" t="n">
        <v>-0.569</v>
      </c>
      <c r="AM272" s="7" t="n">
        <v>0.077</v>
      </c>
      <c r="AN272" s="7" t="n">
        <v>-0.816</v>
      </c>
      <c r="AO272" s="7" t="n">
        <v>-0.005</v>
      </c>
      <c r="AP272" s="7" t="n">
        <v>0.062</v>
      </c>
      <c r="AQ272" s="7" t="n">
        <v>0.096</v>
      </c>
    </row>
    <row r="273" customFormat="false" ht="15" hidden="false" customHeight="false" outlineLevel="0" collapsed="false">
      <c r="A273" s="23" t="n">
        <v>46590</v>
      </c>
      <c r="B273" s="7" t="n">
        <v>0.041</v>
      </c>
      <c r="C273" s="7" t="n">
        <v>-0.111</v>
      </c>
      <c r="D273" s="7" t="n">
        <v>-0.053</v>
      </c>
      <c r="E273" s="7" t="n">
        <v>-0.591</v>
      </c>
      <c r="F273" s="7" t="n">
        <v>0.642</v>
      </c>
      <c r="G273" s="7" t="n">
        <v>0.122</v>
      </c>
      <c r="H273" s="7" t="n">
        <v>-0.676</v>
      </c>
      <c r="I273" s="7" t="n">
        <v>-0.35</v>
      </c>
      <c r="J273" s="7" t="n">
        <v>0.134</v>
      </c>
      <c r="K273" s="7" t="n">
        <v>0.007</v>
      </c>
      <c r="L273" s="7" t="n">
        <v>0.165</v>
      </c>
      <c r="M273" s="7" t="n">
        <v>-0.109</v>
      </c>
      <c r="N273" s="7" t="n">
        <v>-0.304</v>
      </c>
      <c r="O273" s="7" t="n">
        <v>0.159</v>
      </c>
      <c r="P273" s="7" t="n">
        <v>-0.077</v>
      </c>
      <c r="Q273" s="7" t="n">
        <v>-0.142</v>
      </c>
      <c r="R273" s="7" t="n">
        <v>-0.698</v>
      </c>
      <c r="S273" s="7" t="n">
        <v>-0.441</v>
      </c>
      <c r="T273" s="7" t="n">
        <v>-0.852</v>
      </c>
      <c r="U273" s="7" t="n">
        <v>0.082</v>
      </c>
      <c r="V273" s="7" t="n">
        <v>-0.551</v>
      </c>
      <c r="W273" s="7" t="n">
        <v>0</v>
      </c>
      <c r="X273" s="7" t="n">
        <v>0.066</v>
      </c>
      <c r="Y273" s="7" t="n">
        <v>-0.475</v>
      </c>
      <c r="Z273" s="7" t="n">
        <v>0.007</v>
      </c>
      <c r="AA273" s="7" t="n">
        <v>-0.67</v>
      </c>
      <c r="AB273" s="7" t="n">
        <v>-0.159</v>
      </c>
      <c r="AC273" s="7" t="n">
        <v>0.092</v>
      </c>
      <c r="AD273" s="7" t="n">
        <v>-0.379</v>
      </c>
      <c r="AE273" s="7" t="n">
        <v>0.24</v>
      </c>
      <c r="AF273" s="7" t="n">
        <v>-0.2</v>
      </c>
      <c r="AG273" s="7" t="n">
        <v>-0.175</v>
      </c>
      <c r="AH273" s="7" t="n">
        <v>-0.091</v>
      </c>
      <c r="AI273" s="7" t="n">
        <v>0.159</v>
      </c>
      <c r="AJ273" s="7" t="n">
        <v>-0.483</v>
      </c>
      <c r="AK273" s="7" t="n">
        <v>-0.441</v>
      </c>
      <c r="AL273" s="7" t="n">
        <v>-0.118</v>
      </c>
      <c r="AM273" s="7" t="n">
        <v>0.067</v>
      </c>
      <c r="AN273" s="7" t="n">
        <v>-0.459</v>
      </c>
      <c r="AO273" s="7" t="n">
        <v>-0.066</v>
      </c>
      <c r="AP273" s="7" t="n">
        <v>0.007</v>
      </c>
      <c r="AQ273" s="7" t="n">
        <v>0.092</v>
      </c>
    </row>
    <row r="274" customFormat="false" ht="15" hidden="false" customHeight="false" outlineLevel="0" collapsed="false">
      <c r="A274" s="23" t="n">
        <v>46591</v>
      </c>
      <c r="B274" s="7" t="n">
        <v>0.082</v>
      </c>
      <c r="C274" s="7" t="n">
        <v>-0.26</v>
      </c>
      <c r="D274" s="7" t="n">
        <v>-0.053</v>
      </c>
      <c r="E274" s="7" t="n">
        <v>-0.759</v>
      </c>
      <c r="F274" s="7" t="n">
        <v>0.756</v>
      </c>
      <c r="G274" s="7" t="n">
        <v>0.134</v>
      </c>
      <c r="H274" s="7" t="n">
        <v>-0.707</v>
      </c>
      <c r="I274" s="7" t="n">
        <v>-0.495</v>
      </c>
      <c r="J274" s="7" t="n">
        <v>0.825</v>
      </c>
      <c r="K274" s="7" t="n">
        <v>-0.031</v>
      </c>
      <c r="L274" s="7" t="n">
        <v>-0.102</v>
      </c>
      <c r="M274" s="7" t="n">
        <v>0.747</v>
      </c>
      <c r="N274" s="7" t="n">
        <v>0.083</v>
      </c>
      <c r="O274" s="7" t="n">
        <v>0.564</v>
      </c>
      <c r="P274" s="7" t="n">
        <v>-0.048</v>
      </c>
      <c r="Q274" s="7" t="n">
        <v>-0.139</v>
      </c>
      <c r="R274" s="7" t="n">
        <v>-0.691</v>
      </c>
      <c r="S274" s="7" t="n">
        <v>-0.553</v>
      </c>
      <c r="T274" s="7" t="n">
        <v>-0.743</v>
      </c>
      <c r="U274" s="7" t="n">
        <v>-0.349</v>
      </c>
      <c r="V274" s="7" t="n">
        <v>-0.657</v>
      </c>
      <c r="W274" s="7" t="n">
        <v>0</v>
      </c>
      <c r="X274" s="7" t="n">
        <v>0.092</v>
      </c>
      <c r="Y274" s="7" t="n">
        <v>-0.645</v>
      </c>
      <c r="Z274" s="7" t="n">
        <v>-0.031</v>
      </c>
      <c r="AA274" s="7" t="n">
        <v>-0.662</v>
      </c>
      <c r="AB274" s="7" t="n">
        <v>0.696</v>
      </c>
      <c r="AC274" s="7" t="n">
        <v>-0.096</v>
      </c>
      <c r="AD274" s="7" t="n">
        <v>-0.544</v>
      </c>
      <c r="AE274" s="7" t="n">
        <v>0.65</v>
      </c>
      <c r="AF274" s="7" t="n">
        <v>-0.372</v>
      </c>
      <c r="AG274" s="7" t="n">
        <v>-0.343</v>
      </c>
      <c r="AH274" s="7" t="n">
        <v>0.493</v>
      </c>
      <c r="AI274" s="7" t="n">
        <v>-0.071</v>
      </c>
      <c r="AJ274" s="7" t="n">
        <v>-0.59</v>
      </c>
      <c r="AK274" s="7" t="n">
        <v>-0.554</v>
      </c>
      <c r="AL274" s="7" t="n">
        <v>0.326</v>
      </c>
      <c r="AM274" s="7" t="n">
        <v>0.025</v>
      </c>
      <c r="AN274" s="7" t="n">
        <v>-0.606</v>
      </c>
      <c r="AO274" s="7" t="n">
        <v>0.54</v>
      </c>
      <c r="AP274" s="7" t="n">
        <v>-0.031</v>
      </c>
      <c r="AQ274" s="7" t="n">
        <v>-0.096</v>
      </c>
    </row>
    <row r="275" customFormat="false" ht="15" hidden="false" customHeight="false" outlineLevel="0" collapsed="false">
      <c r="A275" s="23" t="n">
        <v>46592</v>
      </c>
      <c r="B275" s="7" t="n">
        <v>0.017</v>
      </c>
      <c r="C275" s="7" t="n">
        <v>-0.622</v>
      </c>
      <c r="D275" s="7" t="n">
        <v>0.2</v>
      </c>
      <c r="E275" s="7" t="n">
        <v>-0.287</v>
      </c>
      <c r="F275" s="7" t="n">
        <v>0.156</v>
      </c>
      <c r="G275" s="7" t="n">
        <v>0.18</v>
      </c>
      <c r="H275" s="7" t="n">
        <v>-0.479</v>
      </c>
      <c r="I275" s="7" t="n">
        <v>-0.282</v>
      </c>
      <c r="J275" s="7" t="n">
        <v>0.606</v>
      </c>
      <c r="K275" s="7" t="n">
        <v>0</v>
      </c>
      <c r="L275" s="7" t="n">
        <v>-0.04</v>
      </c>
      <c r="M275" s="7" t="n">
        <v>0.418</v>
      </c>
      <c r="N275" s="7" t="n">
        <v>-0.009</v>
      </c>
      <c r="O275" s="7" t="n">
        <v>-0.023</v>
      </c>
      <c r="P275" s="7" t="n">
        <v>0.236</v>
      </c>
      <c r="Q275" s="7" t="n">
        <v>-0.117</v>
      </c>
      <c r="R275" s="7" t="n">
        <v>-0.668</v>
      </c>
      <c r="S275" s="7" t="n">
        <v>0</v>
      </c>
      <c r="T275" s="7" t="n">
        <v>-0.824</v>
      </c>
      <c r="U275" s="7" t="n">
        <v>-0.13</v>
      </c>
      <c r="V275" s="7" t="n">
        <v>-0.58</v>
      </c>
      <c r="W275" s="7" t="n">
        <v>0</v>
      </c>
      <c r="X275" s="7" t="n">
        <v>0.561</v>
      </c>
      <c r="Y275" s="7" t="n">
        <v>0.042</v>
      </c>
      <c r="Z275" s="7" t="n">
        <v>0</v>
      </c>
      <c r="AA275" s="7" t="n">
        <v>-0.672</v>
      </c>
      <c r="AB275" s="7" t="n">
        <v>0.532</v>
      </c>
      <c r="AC275" s="7" t="n">
        <v>0.178</v>
      </c>
      <c r="AD275" s="7" t="n">
        <v>0.006</v>
      </c>
      <c r="AE275" s="7" t="n">
        <v>0.268</v>
      </c>
      <c r="AF275" s="7" t="n">
        <v>-0.372</v>
      </c>
      <c r="AG275" s="7" t="n">
        <v>0</v>
      </c>
      <c r="AH275" s="7" t="n">
        <v>0.237</v>
      </c>
      <c r="AI275" s="7" t="n">
        <v>-0.04</v>
      </c>
      <c r="AJ275" s="7" t="n">
        <v>-0.389</v>
      </c>
      <c r="AK275" s="7" t="n">
        <v>-0.394</v>
      </c>
      <c r="AL275" s="7" t="n">
        <v>-0.124</v>
      </c>
      <c r="AM275" s="7" t="n">
        <v>0.056</v>
      </c>
      <c r="AN275" s="7" t="n">
        <v>-0.631</v>
      </c>
      <c r="AO275" s="7" t="n">
        <v>0.312</v>
      </c>
      <c r="AP275" s="7" t="n">
        <v>0</v>
      </c>
      <c r="AQ275" s="7" t="n">
        <v>-0.096</v>
      </c>
    </row>
    <row r="276" customFormat="false" ht="15" hidden="false" customHeight="false" outlineLevel="0" collapsed="false">
      <c r="A276" s="23" t="n">
        <v>46593</v>
      </c>
      <c r="B276" s="7" t="n">
        <v>0.873</v>
      </c>
      <c r="C276" s="7" t="n">
        <v>0.758</v>
      </c>
      <c r="D276" s="7" t="n">
        <v>0.193</v>
      </c>
      <c r="E276" s="7" t="n">
        <v>0.379</v>
      </c>
      <c r="F276" s="7" t="n">
        <v>0.831</v>
      </c>
      <c r="G276" s="7" t="n">
        <v>0.175</v>
      </c>
      <c r="H276" s="7" t="n">
        <v>0.136</v>
      </c>
      <c r="I276" s="7" t="n">
        <v>0.516</v>
      </c>
      <c r="J276" s="7" t="n">
        <v>0.723</v>
      </c>
      <c r="K276" s="7" t="n">
        <v>0.787</v>
      </c>
      <c r="L276" s="7" t="n">
        <v>0.565</v>
      </c>
      <c r="M276" s="7" t="n">
        <v>0.574</v>
      </c>
      <c r="N276" s="7" t="n">
        <v>0.775</v>
      </c>
      <c r="O276" s="7" t="n">
        <v>0.786</v>
      </c>
      <c r="P276" s="7" t="n">
        <v>0.146</v>
      </c>
      <c r="Q276" s="7" t="n">
        <v>-0.127</v>
      </c>
      <c r="R276" s="7" t="n">
        <v>-0.046</v>
      </c>
      <c r="S276" s="7" t="n">
        <v>0.575</v>
      </c>
      <c r="T276" s="7" t="n">
        <v>-0.113</v>
      </c>
      <c r="U276" s="7" t="n">
        <v>-0.3</v>
      </c>
      <c r="V276" s="7" t="n">
        <v>-0.046</v>
      </c>
      <c r="W276" s="7" t="n">
        <v>0</v>
      </c>
      <c r="X276" s="7" t="n">
        <v>0.65</v>
      </c>
      <c r="Y276" s="7" t="n">
        <v>0.016</v>
      </c>
      <c r="Z276" s="7" t="n">
        <v>0.787</v>
      </c>
      <c r="AA276" s="7" t="n">
        <v>-0.059</v>
      </c>
      <c r="AB276" s="7" t="n">
        <v>0.658</v>
      </c>
      <c r="AC276" s="7" t="n">
        <v>0.402</v>
      </c>
      <c r="AD276" s="7" t="n">
        <v>0.677</v>
      </c>
      <c r="AE276" s="7" t="n">
        <v>0.862</v>
      </c>
      <c r="AF276" s="7" t="n">
        <v>-0.224</v>
      </c>
      <c r="AG276" s="7" t="n">
        <v>0</v>
      </c>
      <c r="AH276" s="7" t="n">
        <v>0.423</v>
      </c>
      <c r="AI276" s="7" t="n">
        <v>-0.043</v>
      </c>
      <c r="AJ276" s="7" t="n">
        <v>0.45</v>
      </c>
      <c r="AK276" s="7" t="n">
        <v>0.439</v>
      </c>
      <c r="AL276" s="7" t="n">
        <v>-0.109</v>
      </c>
      <c r="AM276" s="7" t="n">
        <v>0.03</v>
      </c>
      <c r="AN276" s="7" t="n">
        <v>-0.046</v>
      </c>
      <c r="AO276" s="7" t="n">
        <v>0.843</v>
      </c>
      <c r="AP276" s="7" t="n">
        <v>0.593</v>
      </c>
      <c r="AQ276" s="7" t="n">
        <v>-0.073</v>
      </c>
    </row>
    <row r="277" customFormat="false" ht="15" hidden="false" customHeight="false" outlineLevel="0" collapsed="false">
      <c r="A277" s="23" t="n">
        <v>46594</v>
      </c>
      <c r="B277" s="7" t="n">
        <v>0.304</v>
      </c>
      <c r="C277" s="7" t="n">
        <v>-0.154</v>
      </c>
      <c r="D277" s="7" t="n">
        <v>0.122</v>
      </c>
      <c r="E277" s="7" t="n">
        <v>-0.526</v>
      </c>
      <c r="F277" s="7" t="n">
        <v>0.302</v>
      </c>
      <c r="G277" s="7" t="n">
        <v>0.168</v>
      </c>
      <c r="H277" s="7" t="n">
        <v>-0.031</v>
      </c>
      <c r="I277" s="7" t="n">
        <v>0.247</v>
      </c>
      <c r="J277" s="7" t="n">
        <v>-0.007</v>
      </c>
      <c r="K277" s="7" t="n">
        <v>0</v>
      </c>
      <c r="L277" s="7" t="n">
        <v>-0.095</v>
      </c>
      <c r="M277" s="7" t="n">
        <v>-0.515</v>
      </c>
      <c r="N277" s="7" t="n">
        <v>-0.06</v>
      </c>
      <c r="O277" s="7" t="n">
        <v>-0.06</v>
      </c>
      <c r="P277" s="7" t="n">
        <v>0.389</v>
      </c>
      <c r="Q277" s="7" t="n">
        <v>-0.162</v>
      </c>
      <c r="R277" s="7" t="n">
        <v>-0.033</v>
      </c>
      <c r="S277" s="7" t="n">
        <v>0.074</v>
      </c>
      <c r="T277" s="7" t="n">
        <v>-0.682</v>
      </c>
      <c r="U277" s="7" t="n">
        <v>-0.258</v>
      </c>
      <c r="V277" s="7" t="n">
        <v>0.06</v>
      </c>
      <c r="W277" s="7" t="n">
        <v>0</v>
      </c>
      <c r="X277" s="7" t="n">
        <v>0.454</v>
      </c>
      <c r="Y277" s="7" t="n">
        <v>-0.002</v>
      </c>
      <c r="Z277" s="7" t="n">
        <v>0</v>
      </c>
      <c r="AA277" s="7" t="n">
        <v>-0.445</v>
      </c>
      <c r="AB277" s="7" t="n">
        <v>-0.531</v>
      </c>
      <c r="AC277" s="7" t="n">
        <v>-0.074</v>
      </c>
      <c r="AD277" s="7" t="n">
        <v>0.346</v>
      </c>
      <c r="AE277" s="7" t="n">
        <v>0.038</v>
      </c>
      <c r="AF277" s="7" t="n">
        <v>-0.577</v>
      </c>
      <c r="AG277" s="7" t="n">
        <v>0.615</v>
      </c>
      <c r="AH277" s="7" t="n">
        <v>-0.174</v>
      </c>
      <c r="AI277" s="7" t="n">
        <v>-0.095</v>
      </c>
      <c r="AJ277" s="7" t="n">
        <v>0.239</v>
      </c>
      <c r="AK277" s="7" t="n">
        <v>-0.199</v>
      </c>
      <c r="AL277" s="7" t="n">
        <v>0.18</v>
      </c>
      <c r="AM277" s="7" t="n">
        <v>-0.021</v>
      </c>
      <c r="AN277" s="7" t="n">
        <v>0.259</v>
      </c>
      <c r="AO277" s="7" t="n">
        <v>-0.079</v>
      </c>
      <c r="AP277" s="7" t="n">
        <v>0</v>
      </c>
      <c r="AQ277" s="7" t="n">
        <v>-0.074</v>
      </c>
    </row>
    <row r="278" customFormat="false" ht="15" hidden="false" customHeight="false" outlineLevel="0" collapsed="false">
      <c r="A278" s="23" t="n">
        <v>46595</v>
      </c>
      <c r="B278" s="7" t="n">
        <v>-0.245</v>
      </c>
      <c r="C278" s="7" t="n">
        <v>-0.862</v>
      </c>
      <c r="D278" s="7" t="n">
        <v>0.202</v>
      </c>
      <c r="E278" s="7" t="n">
        <v>-0.488</v>
      </c>
      <c r="F278" s="7" t="n">
        <v>-0.537</v>
      </c>
      <c r="G278" s="7" t="n">
        <v>0.15</v>
      </c>
      <c r="H278" s="7" t="n">
        <v>0.014</v>
      </c>
      <c r="I278" s="7" t="n">
        <v>0.304</v>
      </c>
      <c r="J278" s="7" t="n">
        <v>-0.013</v>
      </c>
      <c r="K278" s="7" t="n">
        <v>0</v>
      </c>
      <c r="L278" s="7" t="n">
        <v>-0.792</v>
      </c>
      <c r="M278" s="7" t="n">
        <v>-0.488</v>
      </c>
      <c r="N278" s="7" t="n">
        <v>-0.714</v>
      </c>
      <c r="O278" s="7" t="n">
        <v>-0.772</v>
      </c>
      <c r="P278" s="7" t="n">
        <v>-0.455</v>
      </c>
      <c r="Q278" s="7" t="n">
        <v>-0.818</v>
      </c>
      <c r="R278" s="7" t="n">
        <v>0.086</v>
      </c>
      <c r="S278" s="7" t="n">
        <v>0</v>
      </c>
      <c r="T278" s="7" t="n">
        <v>-0.18</v>
      </c>
      <c r="U278" s="7" t="n">
        <v>-0.893</v>
      </c>
      <c r="V278" s="7" t="n">
        <v>0.179</v>
      </c>
      <c r="W278" s="7" t="n">
        <v>-0.078</v>
      </c>
      <c r="X278" s="7" t="n">
        <v>0.523</v>
      </c>
      <c r="Y278" s="7" t="n">
        <v>0.002</v>
      </c>
      <c r="Z278" s="7" t="n">
        <v>0</v>
      </c>
      <c r="AA278" s="7" t="n">
        <v>-0.344</v>
      </c>
      <c r="AB278" s="7" t="n">
        <v>-0.498</v>
      </c>
      <c r="AC278" s="7" t="n">
        <v>-0.787</v>
      </c>
      <c r="AD278" s="7" t="n">
        <v>0.417</v>
      </c>
      <c r="AE278" s="7" t="n">
        <v>-0.663</v>
      </c>
      <c r="AF278" s="7" t="n">
        <v>-0.881</v>
      </c>
      <c r="AG278" s="7" t="n">
        <v>0.57</v>
      </c>
      <c r="AH278" s="7" t="n">
        <v>-0.188</v>
      </c>
      <c r="AI278" s="7" t="n">
        <v>-0.761</v>
      </c>
      <c r="AJ278" s="7" t="n">
        <v>0.323</v>
      </c>
      <c r="AK278" s="7" t="n">
        <v>-0.109</v>
      </c>
      <c r="AL278" s="7" t="n">
        <v>-0.623</v>
      </c>
      <c r="AM278" s="7" t="n">
        <v>-0.013</v>
      </c>
      <c r="AN278" s="7" t="n">
        <v>0.335</v>
      </c>
      <c r="AO278" s="7" t="n">
        <v>-0.093</v>
      </c>
      <c r="AP278" s="7" t="n">
        <v>0</v>
      </c>
      <c r="AQ278" s="7" t="n">
        <v>-0.755</v>
      </c>
    </row>
    <row r="279" customFormat="false" ht="15" hidden="false" customHeight="false" outlineLevel="0" collapsed="false">
      <c r="A279" s="23" t="n">
        <v>46596</v>
      </c>
      <c r="B279" s="7" t="n">
        <v>-0.205</v>
      </c>
      <c r="C279" s="7" t="n">
        <v>-0.212</v>
      </c>
      <c r="D279" s="7" t="n">
        <v>-0.056</v>
      </c>
      <c r="E279" s="7" t="n">
        <v>-0.436</v>
      </c>
      <c r="F279" s="7" t="n">
        <v>0.088</v>
      </c>
      <c r="G279" s="7" t="n">
        <v>0.072</v>
      </c>
      <c r="H279" s="7" t="n">
        <v>-0.237</v>
      </c>
      <c r="I279" s="7" t="n">
        <v>-0.415</v>
      </c>
      <c r="J279" s="7" t="n">
        <v>-0.043</v>
      </c>
      <c r="K279" s="7" t="n">
        <v>0</v>
      </c>
      <c r="L279" s="7" t="n">
        <v>-0.247</v>
      </c>
      <c r="M279" s="7" t="n">
        <v>-0.436</v>
      </c>
      <c r="N279" s="7" t="n">
        <v>-0.053</v>
      </c>
      <c r="O279" s="7" t="n">
        <v>-0.862</v>
      </c>
      <c r="P279" s="7" t="n">
        <v>-0.125</v>
      </c>
      <c r="Q279" s="7" t="n">
        <v>-0.285</v>
      </c>
      <c r="R279" s="7" t="n">
        <v>-0.207</v>
      </c>
      <c r="S279" s="7" t="n">
        <v>0</v>
      </c>
      <c r="T279" s="7" t="n">
        <v>-0.097</v>
      </c>
      <c r="U279" s="7" t="n">
        <v>-0.938</v>
      </c>
      <c r="V279" s="7" t="n">
        <v>-0.903</v>
      </c>
      <c r="W279" s="7" t="n">
        <v>-0.134</v>
      </c>
      <c r="X279" s="7" t="n">
        <v>0.099</v>
      </c>
      <c r="Y279" s="7" t="n">
        <v>-0.94</v>
      </c>
      <c r="Z279" s="7" t="n">
        <v>0</v>
      </c>
      <c r="AA279" s="7" t="n">
        <v>-0.152</v>
      </c>
      <c r="AB279" s="7" t="n">
        <v>-0.47</v>
      </c>
      <c r="AC279" s="7" t="n">
        <v>-0.206</v>
      </c>
      <c r="AD279" s="7" t="n">
        <v>-0.12</v>
      </c>
      <c r="AE279" s="7" t="n">
        <v>0.042</v>
      </c>
      <c r="AF279" s="7" t="n">
        <v>-0.443</v>
      </c>
      <c r="AG279" s="7" t="n">
        <v>-0.809</v>
      </c>
      <c r="AH279" s="7" t="n">
        <v>-0.865</v>
      </c>
      <c r="AI279" s="7" t="n">
        <v>-0.183</v>
      </c>
      <c r="AJ279" s="7" t="n">
        <v>-0.113</v>
      </c>
      <c r="AK279" s="7" t="n">
        <v>-0.057</v>
      </c>
      <c r="AL279" s="7" t="n">
        <v>-0.907</v>
      </c>
      <c r="AM279" s="7" t="n">
        <v>-0.043</v>
      </c>
      <c r="AN279" s="7" t="n">
        <v>-0.07</v>
      </c>
      <c r="AO279" s="7" t="n">
        <v>-0.839</v>
      </c>
      <c r="AP279" s="7" t="n">
        <v>0</v>
      </c>
      <c r="AQ279" s="7" t="n">
        <v>-0.141</v>
      </c>
    </row>
    <row r="280" customFormat="false" ht="15" hidden="false" customHeight="false" outlineLevel="0" collapsed="false">
      <c r="A280" s="23" t="n">
        <v>46597</v>
      </c>
      <c r="B280" s="7" t="n">
        <v>-0.43</v>
      </c>
      <c r="C280" s="7" t="n">
        <v>-0.543</v>
      </c>
      <c r="D280" s="7" t="n">
        <v>0.145</v>
      </c>
      <c r="E280" s="7" t="n">
        <v>-0.287</v>
      </c>
      <c r="F280" s="7" t="n">
        <v>-0.401</v>
      </c>
      <c r="G280" s="7" t="n">
        <v>-0.212</v>
      </c>
      <c r="H280" s="7" t="n">
        <v>-0.062</v>
      </c>
      <c r="I280" s="7" t="n">
        <v>-0.312</v>
      </c>
      <c r="J280" s="7" t="n">
        <v>-0.051</v>
      </c>
      <c r="K280" s="7" t="n">
        <v>0</v>
      </c>
      <c r="L280" s="7" t="n">
        <v>-0.543</v>
      </c>
      <c r="M280" s="7" t="n">
        <v>-0.287</v>
      </c>
      <c r="N280" s="7" t="n">
        <v>-0.496</v>
      </c>
      <c r="O280" s="7" t="n">
        <v>-0.479</v>
      </c>
      <c r="P280" s="7" t="n">
        <v>-0.412</v>
      </c>
      <c r="Q280" s="7" t="n">
        <v>-0.569</v>
      </c>
      <c r="R280" s="7" t="n">
        <v>-0.178</v>
      </c>
      <c r="S280" s="7" t="n">
        <v>0</v>
      </c>
      <c r="T280" s="7" t="n">
        <v>-0.135</v>
      </c>
      <c r="U280" s="7" t="n">
        <v>-0.696</v>
      </c>
      <c r="V280" s="7" t="n">
        <v>-0.297</v>
      </c>
      <c r="W280" s="7" t="n">
        <v>-0.456</v>
      </c>
      <c r="X280" s="7" t="n">
        <v>0.15</v>
      </c>
      <c r="Y280" s="7" t="n">
        <v>-0.692</v>
      </c>
      <c r="Z280" s="7" t="n">
        <v>0</v>
      </c>
      <c r="AA280" s="7" t="n">
        <v>-0.178</v>
      </c>
      <c r="AB280" s="7" t="n">
        <v>-0.273</v>
      </c>
      <c r="AC280" s="7" t="n">
        <v>-0.513</v>
      </c>
      <c r="AD280" s="7" t="n">
        <v>-0.253</v>
      </c>
      <c r="AE280" s="7" t="n">
        <v>-0.323</v>
      </c>
      <c r="AF280" s="7" t="n">
        <v>-0.588</v>
      </c>
      <c r="AG280" s="7" t="n">
        <v>0</v>
      </c>
      <c r="AH280" s="7" t="n">
        <v>0.023</v>
      </c>
      <c r="AI280" s="7" t="n">
        <v>-0.501</v>
      </c>
      <c r="AJ280" s="7" t="n">
        <v>-0.097</v>
      </c>
      <c r="AK280" s="7" t="n">
        <v>-0.097</v>
      </c>
      <c r="AL280" s="7" t="n">
        <v>-0.451</v>
      </c>
      <c r="AM280" s="7" t="n">
        <v>-0.041</v>
      </c>
      <c r="AN280" s="7" t="n">
        <v>-0.056</v>
      </c>
      <c r="AO280" s="7" t="n">
        <v>0.047</v>
      </c>
      <c r="AP280" s="7" t="n">
        <v>0</v>
      </c>
      <c r="AQ280" s="7" t="n">
        <v>-0.469</v>
      </c>
    </row>
    <row r="281" customFormat="false" ht="15" hidden="false" customHeight="false" outlineLevel="0" collapsed="false">
      <c r="A281" s="23" t="n">
        <v>46598</v>
      </c>
      <c r="B281" s="7" t="n">
        <v>-0.499</v>
      </c>
      <c r="C281" s="7" t="n">
        <v>-0.261</v>
      </c>
      <c r="D281" s="7" t="n">
        <v>-0.761</v>
      </c>
      <c r="E281" s="7" t="n">
        <v>-0.287</v>
      </c>
      <c r="F281" s="7" t="n">
        <v>0.061</v>
      </c>
      <c r="G281" s="7" t="n">
        <v>-0.885</v>
      </c>
      <c r="H281" s="7" t="n">
        <v>-0.754</v>
      </c>
      <c r="I281" s="7" t="n">
        <v>-0.827</v>
      </c>
      <c r="J281" s="7" t="n">
        <v>-0.012</v>
      </c>
      <c r="K281" s="7" t="n">
        <v>0</v>
      </c>
      <c r="L281" s="7" t="n">
        <v>-0.208</v>
      </c>
      <c r="M281" s="7" t="n">
        <v>-0.287</v>
      </c>
      <c r="N281" s="7" t="n">
        <v>-0.066</v>
      </c>
      <c r="O281" s="7" t="n">
        <v>-0.704</v>
      </c>
      <c r="P281" s="7" t="n">
        <v>-0.728</v>
      </c>
      <c r="Q281" s="7" t="n">
        <v>-0.269</v>
      </c>
      <c r="R281" s="7" t="n">
        <v>-0.739</v>
      </c>
      <c r="S281" s="7" t="n">
        <v>0</v>
      </c>
      <c r="T281" s="7" t="n">
        <v>-0.132</v>
      </c>
      <c r="U281" s="7" t="n">
        <v>-0.446</v>
      </c>
      <c r="V281" s="7" t="n">
        <v>-0.807</v>
      </c>
      <c r="W281" s="7" t="n">
        <v>-0.123</v>
      </c>
      <c r="X281" s="7" t="n">
        <v>-0.603</v>
      </c>
      <c r="Y281" s="7" t="n">
        <v>-0.665</v>
      </c>
      <c r="Z281" s="7" t="n">
        <v>0</v>
      </c>
      <c r="AA281" s="7" t="n">
        <v>-0.189</v>
      </c>
      <c r="AB281" s="7" t="n">
        <v>-0.298</v>
      </c>
      <c r="AC281" s="7" t="n">
        <v>-0.196</v>
      </c>
      <c r="AD281" s="7" t="n">
        <v>-0.689</v>
      </c>
      <c r="AE281" s="7" t="n">
        <v>0.021</v>
      </c>
      <c r="AF281" s="7" t="n">
        <v>-0.309</v>
      </c>
      <c r="AG281" s="7" t="n">
        <v>0</v>
      </c>
      <c r="AH281" s="7" t="n">
        <v>-0.049</v>
      </c>
      <c r="AI281" s="7" t="n">
        <v>-0.162</v>
      </c>
      <c r="AJ281" s="7" t="n">
        <v>-0.678</v>
      </c>
      <c r="AK281" s="7" t="n">
        <v>-0.068</v>
      </c>
      <c r="AL281" s="7" t="n">
        <v>-0.743</v>
      </c>
      <c r="AM281" s="7" t="n">
        <v>-0.012</v>
      </c>
      <c r="AN281" s="7" t="n">
        <v>-0.671</v>
      </c>
      <c r="AO281" s="7" t="n">
        <v>0.047</v>
      </c>
      <c r="AP281" s="7" t="n">
        <v>0</v>
      </c>
      <c r="AQ281" s="7" t="n">
        <v>-0.15</v>
      </c>
    </row>
    <row r="282" customFormat="false" ht="15" hidden="false" customHeight="false" outlineLevel="0" collapsed="false">
      <c r="A282" s="23" t="n">
        <v>46599</v>
      </c>
      <c r="B282" s="7" t="n">
        <v>0.608</v>
      </c>
      <c r="C282" s="7" t="n">
        <v>0.411</v>
      </c>
      <c r="D282" s="7" t="n">
        <v>-0.014</v>
      </c>
      <c r="E282" s="7" t="n">
        <v>0.2</v>
      </c>
      <c r="F282" s="7" t="n">
        <v>0.491</v>
      </c>
      <c r="G282" s="7" t="n">
        <v>0.088</v>
      </c>
      <c r="H282" s="7" t="n">
        <v>0.585</v>
      </c>
      <c r="I282" s="7" t="n">
        <v>-0.332</v>
      </c>
      <c r="J282" s="7" t="n">
        <v>-0.057</v>
      </c>
      <c r="K282" s="7" t="n">
        <v>0.775</v>
      </c>
      <c r="L282" s="7" t="n">
        <v>-0.084</v>
      </c>
      <c r="M282" s="7" t="n">
        <v>-0.305</v>
      </c>
      <c r="N282" s="7" t="n">
        <v>0.561</v>
      </c>
      <c r="O282" s="7" t="n">
        <v>-0.008</v>
      </c>
      <c r="P282" s="7" t="n">
        <v>0.227</v>
      </c>
      <c r="Q282" s="7" t="n">
        <v>0.092</v>
      </c>
      <c r="R282" s="7" t="n">
        <v>0.653</v>
      </c>
      <c r="S282" s="7" t="n">
        <v>0.725</v>
      </c>
      <c r="T282" s="7" t="n">
        <v>0.045</v>
      </c>
      <c r="U282" s="7" t="n">
        <v>0.736</v>
      </c>
      <c r="V282" s="7" t="n">
        <v>0.483</v>
      </c>
      <c r="W282" s="7" t="n">
        <v>0</v>
      </c>
      <c r="X282" s="7" t="n">
        <v>0.138</v>
      </c>
      <c r="Y282" s="7" t="n">
        <v>0.481</v>
      </c>
      <c r="Z282" s="7" t="n">
        <v>0.725</v>
      </c>
      <c r="AA282" s="7" t="n">
        <v>0.661</v>
      </c>
      <c r="AB282" s="7" t="n">
        <v>-0.338</v>
      </c>
      <c r="AC282" s="7" t="n">
        <v>-0.008</v>
      </c>
      <c r="AD282" s="7" t="n">
        <v>0.873</v>
      </c>
      <c r="AE282" s="7" t="n">
        <v>0.621</v>
      </c>
      <c r="AF282" s="7" t="n">
        <v>0.561</v>
      </c>
      <c r="AG282" s="7" t="n">
        <v>0</v>
      </c>
      <c r="AH282" s="7" t="n">
        <v>-0.049</v>
      </c>
      <c r="AI282" s="7" t="n">
        <v>-0.064</v>
      </c>
      <c r="AJ282" s="7" t="n">
        <v>-0.125</v>
      </c>
      <c r="AK282" s="7" t="n">
        <v>-0.111</v>
      </c>
      <c r="AL282" s="7" t="n">
        <v>-0.071</v>
      </c>
      <c r="AM282" s="7" t="n">
        <v>-0.057</v>
      </c>
      <c r="AN282" s="7" t="n">
        <v>0.595</v>
      </c>
      <c r="AO282" s="7" t="n">
        <v>0.027</v>
      </c>
      <c r="AP282" s="7" t="n">
        <v>-0.019</v>
      </c>
      <c r="AQ282" s="7" t="n">
        <v>-0.008</v>
      </c>
    </row>
    <row r="283" customFormat="false" ht="15" hidden="false" customHeight="false" outlineLevel="0" collapsed="false">
      <c r="A283" s="23" t="n">
        <v>46600</v>
      </c>
      <c r="B283" s="7" t="n">
        <v>0.467</v>
      </c>
      <c r="C283" s="7" t="n">
        <v>0.398</v>
      </c>
      <c r="D283" s="7" t="n">
        <v>-0.058</v>
      </c>
      <c r="E283" s="7" t="n">
        <v>0.192</v>
      </c>
      <c r="F283" s="7" t="n">
        <v>0.498</v>
      </c>
      <c r="G283" s="7" t="n">
        <v>0.054</v>
      </c>
      <c r="H283" s="7" t="n">
        <v>-0.112</v>
      </c>
      <c r="I283" s="7" t="n">
        <v>-0.151</v>
      </c>
      <c r="J283" s="7" t="n">
        <v>-0.193</v>
      </c>
      <c r="K283" s="7" t="n">
        <v>0.745</v>
      </c>
      <c r="L283" s="7" t="n">
        <v>-0.103</v>
      </c>
      <c r="M283" s="7" t="n">
        <v>-0.351</v>
      </c>
      <c r="N283" s="7" t="n">
        <v>0.548</v>
      </c>
      <c r="O283" s="7" t="n">
        <v>0.244</v>
      </c>
      <c r="P283" s="7" t="n">
        <v>0.179</v>
      </c>
      <c r="Q283" s="7" t="n">
        <v>0.09</v>
      </c>
      <c r="R283" s="7" t="n">
        <v>-0.112</v>
      </c>
      <c r="S283" s="7" t="n">
        <v>0.707</v>
      </c>
      <c r="T283" s="7" t="n">
        <v>0.043</v>
      </c>
      <c r="U283" s="7" t="n">
        <v>0.163</v>
      </c>
      <c r="V283" s="7" t="n">
        <v>-0.112</v>
      </c>
      <c r="W283" s="7" t="n">
        <v>0</v>
      </c>
      <c r="X283" s="7" t="n">
        <v>0.09</v>
      </c>
      <c r="Y283" s="7" t="n">
        <v>-0.027</v>
      </c>
      <c r="Z283" s="7" t="n">
        <v>0.707</v>
      </c>
      <c r="AA283" s="7" t="n">
        <v>-0.054</v>
      </c>
      <c r="AB283" s="7" t="n">
        <v>-0.42</v>
      </c>
      <c r="AC283" s="7" t="n">
        <v>-0.007</v>
      </c>
      <c r="AD283" s="7" t="n">
        <v>0.49</v>
      </c>
      <c r="AE283" s="7" t="n">
        <v>0.609</v>
      </c>
      <c r="AF283" s="7" t="n">
        <v>0.562</v>
      </c>
      <c r="AG283" s="7" t="n">
        <v>0</v>
      </c>
      <c r="AH283" s="7" t="n">
        <v>-0.049</v>
      </c>
      <c r="AI283" s="7" t="n">
        <v>-0.047</v>
      </c>
      <c r="AJ283" s="7" t="n">
        <v>-0.151</v>
      </c>
      <c r="AK283" s="7" t="n">
        <v>-0.094</v>
      </c>
      <c r="AL283" s="7" t="n">
        <v>-0.114</v>
      </c>
      <c r="AM283" s="7" t="n">
        <v>-0.04</v>
      </c>
      <c r="AN283" s="7" t="n">
        <v>-0.112</v>
      </c>
      <c r="AO283" s="7" t="n">
        <v>-0.01</v>
      </c>
      <c r="AP283" s="7" t="n">
        <v>-0.057</v>
      </c>
      <c r="AQ283" s="7" t="n">
        <v>-0.007</v>
      </c>
    </row>
    <row r="284" customFormat="false" ht="15" hidden="false" customHeight="false" outlineLevel="0" collapsed="false">
      <c r="A284" s="23" t="n">
        <v>46601</v>
      </c>
      <c r="B284" s="7" t="n">
        <v>-0.248</v>
      </c>
      <c r="C284" s="7" t="n">
        <v>-0.571</v>
      </c>
      <c r="D284" s="7" t="n">
        <v>-0.059</v>
      </c>
      <c r="E284" s="7" t="n">
        <v>-0.224</v>
      </c>
      <c r="F284" s="7" t="n">
        <v>-0.018</v>
      </c>
      <c r="G284" s="7" t="n">
        <v>0.062</v>
      </c>
      <c r="H284" s="7" t="n">
        <v>-0.786</v>
      </c>
      <c r="I284" s="7" t="n">
        <v>-0.813</v>
      </c>
      <c r="J284" s="7" t="n">
        <v>-0.291</v>
      </c>
      <c r="K284" s="7" t="n">
        <v>0.067</v>
      </c>
      <c r="L284" s="7" t="n">
        <v>-0.018</v>
      </c>
      <c r="M284" s="7" t="n">
        <v>-0.224</v>
      </c>
      <c r="N284" s="7" t="n">
        <v>-0.018</v>
      </c>
      <c r="O284" s="7" t="n">
        <v>-0.085</v>
      </c>
      <c r="P284" s="7" t="n">
        <v>0.186</v>
      </c>
      <c r="Q284" s="7" t="n">
        <v>0.072</v>
      </c>
      <c r="R284" s="7" t="n">
        <v>-0.778</v>
      </c>
      <c r="S284" s="7" t="n">
        <v>0.067</v>
      </c>
      <c r="T284" s="7" t="n">
        <v>-0.723</v>
      </c>
      <c r="U284" s="7" t="n">
        <v>-0.048</v>
      </c>
      <c r="V284" s="7" t="n">
        <v>-0.811</v>
      </c>
      <c r="W284" s="7" t="n">
        <v>0</v>
      </c>
      <c r="X284" s="7" t="n">
        <v>0.115</v>
      </c>
      <c r="Y284" s="7" t="n">
        <v>0.004</v>
      </c>
      <c r="Z284" s="7" t="n">
        <v>0.067</v>
      </c>
      <c r="AA284" s="7" t="n">
        <v>-0.753</v>
      </c>
      <c r="AB284" s="7" t="n">
        <v>-0.353</v>
      </c>
      <c r="AC284" s="7" t="n">
        <v>-0.085</v>
      </c>
      <c r="AD284" s="7" t="n">
        <v>0.008</v>
      </c>
      <c r="AE284" s="7" t="n">
        <v>0.07</v>
      </c>
      <c r="AF284" s="7" t="n">
        <v>-0.363</v>
      </c>
      <c r="AG284" s="7" t="n">
        <v>0</v>
      </c>
      <c r="AH284" s="7" t="n">
        <v>-0.03</v>
      </c>
      <c r="AI284" s="7" t="n">
        <v>-0.085</v>
      </c>
      <c r="AJ284" s="7" t="n">
        <v>-0.699</v>
      </c>
      <c r="AK284" s="7" t="n">
        <v>-0.667</v>
      </c>
      <c r="AL284" s="7" t="n">
        <v>-0.173</v>
      </c>
      <c r="AM284" s="7" t="n">
        <v>0</v>
      </c>
      <c r="AN284" s="7" t="n">
        <v>-0.699</v>
      </c>
      <c r="AO284" s="7" t="n">
        <v>0.114</v>
      </c>
      <c r="AP284" s="7" t="n">
        <v>0.067</v>
      </c>
      <c r="AQ284" s="7" t="n">
        <v>-0.085</v>
      </c>
    </row>
    <row r="285" customFormat="false" ht="15" hidden="false" customHeight="false" outlineLevel="0" collapsed="false">
      <c r="A285" s="23" t="n">
        <v>46602</v>
      </c>
      <c r="B285" s="7" t="n">
        <v>0.753</v>
      </c>
      <c r="C285" s="7" t="n">
        <v>0.834</v>
      </c>
      <c r="D285" s="7" t="n">
        <v>-0.06</v>
      </c>
      <c r="E285" s="7" t="n">
        <v>0.858</v>
      </c>
      <c r="F285" s="7" t="n">
        <v>0.919</v>
      </c>
      <c r="G285" s="7" t="n">
        <v>0.072</v>
      </c>
      <c r="H285" s="7" t="n">
        <v>-0.155</v>
      </c>
      <c r="I285" s="7" t="n">
        <v>-0.539</v>
      </c>
      <c r="J285" s="7" t="n">
        <v>-0.437</v>
      </c>
      <c r="K285" s="7" t="n">
        <v>0.971</v>
      </c>
      <c r="L285" s="7" t="n">
        <v>0.793</v>
      </c>
      <c r="M285" s="7" t="n">
        <v>-0.205</v>
      </c>
      <c r="N285" s="7" t="n">
        <v>0.915</v>
      </c>
      <c r="O285" s="7" t="n">
        <v>0.778</v>
      </c>
      <c r="P285" s="7" t="n">
        <v>0.236</v>
      </c>
      <c r="Q285" s="7" t="n">
        <v>0.125</v>
      </c>
      <c r="R285" s="7" t="n">
        <v>-0.155</v>
      </c>
      <c r="S285" s="7" t="n">
        <v>0.944</v>
      </c>
      <c r="T285" s="7" t="n">
        <v>0.046</v>
      </c>
      <c r="U285" s="7" t="n">
        <v>0.112</v>
      </c>
      <c r="V285" s="7" t="n">
        <v>-0.463</v>
      </c>
      <c r="W285" s="7" t="n">
        <v>0</v>
      </c>
      <c r="X285" s="7" t="n">
        <v>0.115</v>
      </c>
      <c r="Y285" s="7" t="n">
        <v>-0.001</v>
      </c>
      <c r="Z285" s="7" t="n">
        <v>0.971</v>
      </c>
      <c r="AA285" s="7" t="n">
        <v>-0.096</v>
      </c>
      <c r="AB285" s="7" t="n">
        <v>-0.513</v>
      </c>
      <c r="AC285" s="7" t="n">
        <v>-0.017</v>
      </c>
      <c r="AD285" s="7" t="n">
        <v>0.908</v>
      </c>
      <c r="AE285" s="7" t="n">
        <v>0.932</v>
      </c>
      <c r="AF285" s="7" t="n">
        <v>0.318</v>
      </c>
      <c r="AG285" s="7" t="n">
        <v>0</v>
      </c>
      <c r="AH285" s="7" t="n">
        <v>-0.045</v>
      </c>
      <c r="AI285" s="7" t="n">
        <v>-0.091</v>
      </c>
      <c r="AJ285" s="7" t="n">
        <v>-0.227</v>
      </c>
      <c r="AK285" s="7" t="n">
        <v>-0.169</v>
      </c>
      <c r="AL285" s="7" t="n">
        <v>-0.121</v>
      </c>
      <c r="AM285" s="7" t="n">
        <v>-0.075</v>
      </c>
      <c r="AN285" s="7" t="n">
        <v>-0.155</v>
      </c>
      <c r="AO285" s="7" t="n">
        <v>0.839</v>
      </c>
      <c r="AP285" s="7" t="n">
        <v>0.825</v>
      </c>
      <c r="AQ285" s="7" t="n">
        <v>-0.017</v>
      </c>
    </row>
    <row r="286" customFormat="false" ht="15" hidden="false" customHeight="false" outlineLevel="0" collapsed="false">
      <c r="A286" s="23" t="n">
        <v>46603</v>
      </c>
      <c r="B286" s="7" t="n">
        <v>0.722</v>
      </c>
      <c r="C286" s="7" t="n">
        <v>0.655</v>
      </c>
      <c r="D286" s="7" t="n">
        <v>-0.06</v>
      </c>
      <c r="E286" s="7" t="n">
        <v>-0.197</v>
      </c>
      <c r="F286" s="7" t="n">
        <v>0.911</v>
      </c>
      <c r="G286" s="7" t="n">
        <v>0.084</v>
      </c>
      <c r="H286" s="7" t="n">
        <v>-0.08</v>
      </c>
      <c r="I286" s="7" t="n">
        <v>0.278</v>
      </c>
      <c r="J286" s="7" t="n">
        <v>0.112</v>
      </c>
      <c r="K286" s="7" t="n">
        <v>0.096</v>
      </c>
      <c r="L286" s="7" t="n">
        <v>0.674</v>
      </c>
      <c r="M286" s="7" t="n">
        <v>-0.127</v>
      </c>
      <c r="N286" s="7" t="n">
        <v>0.836</v>
      </c>
      <c r="O286" s="7" t="n">
        <v>0.635</v>
      </c>
      <c r="P286" s="7" t="n">
        <v>0.309</v>
      </c>
      <c r="Q286" s="7" t="n">
        <v>0.647</v>
      </c>
      <c r="R286" s="7" t="n">
        <v>-0.08</v>
      </c>
      <c r="S286" s="7" t="n">
        <v>0.096</v>
      </c>
      <c r="T286" s="7" t="n">
        <v>0.069</v>
      </c>
      <c r="U286" s="7" t="n">
        <v>0.588</v>
      </c>
      <c r="V286" s="7" t="n">
        <v>-0.08</v>
      </c>
      <c r="W286" s="7" t="n">
        <v>0.513</v>
      </c>
      <c r="X286" s="7" t="n">
        <v>0.115</v>
      </c>
      <c r="Y286" s="7" t="n">
        <v>0.424</v>
      </c>
      <c r="Z286" s="7" t="n">
        <v>0.096</v>
      </c>
      <c r="AA286" s="7" t="n">
        <v>-0.021</v>
      </c>
      <c r="AB286" s="7" t="n">
        <v>-0.181</v>
      </c>
      <c r="AC286" s="7" t="n">
        <v>0.592</v>
      </c>
      <c r="AD286" s="7" t="n">
        <v>0.036</v>
      </c>
      <c r="AE286" s="7" t="n">
        <v>0.86</v>
      </c>
      <c r="AF286" s="7" t="n">
        <v>0.639</v>
      </c>
      <c r="AG286" s="7" t="n">
        <v>0.387</v>
      </c>
      <c r="AH286" s="7" t="n">
        <v>0.207</v>
      </c>
      <c r="AI286" s="7" t="n">
        <v>0.153</v>
      </c>
      <c r="AJ286" s="7" t="n">
        <v>-0.04</v>
      </c>
      <c r="AK286" s="7" t="n">
        <v>0.02</v>
      </c>
      <c r="AL286" s="7" t="n">
        <v>0.19</v>
      </c>
      <c r="AM286" s="7" t="n">
        <v>0.041</v>
      </c>
      <c r="AN286" s="7" t="n">
        <v>-0.08</v>
      </c>
      <c r="AO286" s="7" t="n">
        <v>0.382</v>
      </c>
      <c r="AP286" s="7" t="n">
        <v>0.096</v>
      </c>
      <c r="AQ286" s="7" t="n">
        <v>0.113</v>
      </c>
    </row>
    <row r="287" customFormat="false" ht="15" hidden="false" customHeight="false" outlineLevel="0" collapsed="false">
      <c r="A287" s="23" t="n">
        <v>46604</v>
      </c>
      <c r="B287" s="7" t="n">
        <v>0.19</v>
      </c>
      <c r="C287" s="7" t="n">
        <v>0.093</v>
      </c>
      <c r="D287" s="7" t="n">
        <v>-0.059</v>
      </c>
      <c r="E287" s="7" t="n">
        <v>-0.197</v>
      </c>
      <c r="F287" s="7" t="n">
        <v>0.367</v>
      </c>
      <c r="G287" s="7" t="n">
        <v>0.097</v>
      </c>
      <c r="H287" s="7" t="n">
        <v>-0.11</v>
      </c>
      <c r="I287" s="7" t="n">
        <v>0.18</v>
      </c>
      <c r="J287" s="7" t="n">
        <v>0.105</v>
      </c>
      <c r="K287" s="7" t="n">
        <v>0.096</v>
      </c>
      <c r="L287" s="7" t="n">
        <v>0.143</v>
      </c>
      <c r="M287" s="7" t="n">
        <v>-0.146</v>
      </c>
      <c r="N287" s="7" t="n">
        <v>0.143</v>
      </c>
      <c r="O287" s="7" t="n">
        <v>-0.792</v>
      </c>
      <c r="P287" s="7" t="n">
        <v>0.202</v>
      </c>
      <c r="Q287" s="7" t="n">
        <v>0.088</v>
      </c>
      <c r="R287" s="7" t="n">
        <v>-0.11</v>
      </c>
      <c r="S287" s="7" t="n">
        <v>0.096</v>
      </c>
      <c r="T287" s="7" t="n">
        <v>0.041</v>
      </c>
      <c r="U287" s="7" t="n">
        <v>-0.435</v>
      </c>
      <c r="V287" s="7" t="n">
        <v>-0.11</v>
      </c>
      <c r="W287" s="7" t="n">
        <v>0</v>
      </c>
      <c r="X287" s="7" t="n">
        <v>0.117</v>
      </c>
      <c r="Y287" s="7" t="n">
        <v>-0.545</v>
      </c>
      <c r="Z287" s="7" t="n">
        <v>0.096</v>
      </c>
      <c r="AA287" s="7" t="n">
        <v>-0.051</v>
      </c>
      <c r="AB287" s="7" t="n">
        <v>-0.188</v>
      </c>
      <c r="AC287" s="7" t="n">
        <v>-0.004</v>
      </c>
      <c r="AD287" s="7" t="n">
        <v>0.037</v>
      </c>
      <c r="AE287" s="7" t="n">
        <v>0.229</v>
      </c>
      <c r="AF287" s="7" t="n">
        <v>-0.291</v>
      </c>
      <c r="AG287" s="7" t="n">
        <v>-0.644</v>
      </c>
      <c r="AH287" s="7" t="n">
        <v>-0.697</v>
      </c>
      <c r="AI287" s="7" t="n">
        <v>0.048</v>
      </c>
      <c r="AJ287" s="7" t="n">
        <v>-0.058</v>
      </c>
      <c r="AK287" s="7" t="n">
        <v>0.001</v>
      </c>
      <c r="AL287" s="7" t="n">
        <v>-0.752</v>
      </c>
      <c r="AM287" s="7" t="n">
        <v>0.052</v>
      </c>
      <c r="AN287" s="7" t="n">
        <v>-0.11</v>
      </c>
      <c r="AO287" s="7" t="n">
        <v>-0.63</v>
      </c>
      <c r="AP287" s="7" t="n">
        <v>0.096</v>
      </c>
      <c r="AQ287" s="7" t="n">
        <v>-0.004</v>
      </c>
    </row>
    <row r="288" customFormat="false" ht="15" hidden="false" customHeight="false" outlineLevel="0" collapsed="false">
      <c r="A288" s="23" t="n">
        <v>46605</v>
      </c>
      <c r="B288" s="7" t="n">
        <v>0.351</v>
      </c>
      <c r="C288" s="7" t="n">
        <v>0.442</v>
      </c>
      <c r="D288" s="7" t="n">
        <v>0.194</v>
      </c>
      <c r="E288" s="7" t="n">
        <v>-0.068</v>
      </c>
      <c r="F288" s="7" t="n">
        <v>0.239</v>
      </c>
      <c r="G288" s="7" t="n">
        <v>0.026</v>
      </c>
      <c r="H288" s="7" t="n">
        <v>0.145</v>
      </c>
      <c r="I288" s="7" t="n">
        <v>0.146</v>
      </c>
      <c r="J288" s="7" t="n">
        <v>-0.038</v>
      </c>
      <c r="K288" s="7" t="n">
        <v>0.775</v>
      </c>
      <c r="L288" s="7" t="n">
        <v>-0.131</v>
      </c>
      <c r="M288" s="7" t="n">
        <v>-0.514</v>
      </c>
      <c r="N288" s="7" t="n">
        <v>0.378</v>
      </c>
      <c r="O288" s="7" t="n">
        <v>0.153</v>
      </c>
      <c r="P288" s="7" t="n">
        <v>0.275</v>
      </c>
      <c r="Q288" s="7" t="n">
        <v>0.094</v>
      </c>
      <c r="R288" s="7" t="n">
        <v>-0.037</v>
      </c>
      <c r="S288" s="7" t="n">
        <v>0.582</v>
      </c>
      <c r="T288" s="7" t="n">
        <v>0.043</v>
      </c>
      <c r="U288" s="7" t="n">
        <v>-0.032</v>
      </c>
      <c r="V288" s="7" t="n">
        <v>-0.079</v>
      </c>
      <c r="W288" s="7" t="n">
        <v>0</v>
      </c>
      <c r="X288" s="7" t="n">
        <v>0.186</v>
      </c>
      <c r="Y288" s="7" t="n">
        <v>-0.124</v>
      </c>
      <c r="Z288" s="7" t="n">
        <v>0.582</v>
      </c>
      <c r="AA288" s="7" t="n">
        <v>-0.051</v>
      </c>
      <c r="AB288" s="7" t="n">
        <v>0.244</v>
      </c>
      <c r="AC288" s="7" t="n">
        <v>0</v>
      </c>
      <c r="AD288" s="7" t="n">
        <v>0.281</v>
      </c>
      <c r="AE288" s="7" t="n">
        <v>0.53</v>
      </c>
      <c r="AF288" s="7" t="n">
        <v>0.566</v>
      </c>
      <c r="AG288" s="7" t="n">
        <v>0</v>
      </c>
      <c r="AH288" s="7" t="n">
        <v>-0.136</v>
      </c>
      <c r="AI288" s="7" t="n">
        <v>0.052</v>
      </c>
      <c r="AJ288" s="7" t="n">
        <v>0.015</v>
      </c>
      <c r="AK288" s="7" t="n">
        <v>0.09</v>
      </c>
      <c r="AL288" s="7" t="n">
        <v>-0.035</v>
      </c>
      <c r="AM288" s="7" t="n">
        <v>0.052</v>
      </c>
      <c r="AN288" s="7" t="n">
        <v>-0.125</v>
      </c>
      <c r="AO288" s="7" t="n">
        <v>-0.222</v>
      </c>
      <c r="AP288" s="7" t="n">
        <v>-0.266</v>
      </c>
      <c r="AQ288" s="7" t="n">
        <v>0</v>
      </c>
    </row>
    <row r="289" customFormat="false" ht="15" hidden="false" customHeight="false" outlineLevel="0" collapsed="false">
      <c r="A289" s="23" t="n">
        <v>46606</v>
      </c>
      <c r="B289" s="7" t="n">
        <v>0.542</v>
      </c>
      <c r="C289" s="7" t="n">
        <v>0.206</v>
      </c>
      <c r="D289" s="7" t="n">
        <v>0.535</v>
      </c>
      <c r="E289" s="7" t="n">
        <v>0.042</v>
      </c>
      <c r="F289" s="7" t="n">
        <v>0.286</v>
      </c>
      <c r="G289" s="7" t="n">
        <v>0.392</v>
      </c>
      <c r="H289" s="7" t="n">
        <v>0.335</v>
      </c>
      <c r="I289" s="7" t="n">
        <v>0.334</v>
      </c>
      <c r="J289" s="7" t="n">
        <v>-0.05</v>
      </c>
      <c r="K289" s="7" t="n">
        <v>0.791</v>
      </c>
      <c r="L289" s="7" t="n">
        <v>-0.421</v>
      </c>
      <c r="M289" s="7" t="n">
        <v>-0.25</v>
      </c>
      <c r="N289" s="7" t="n">
        <v>0.371</v>
      </c>
      <c r="O289" s="7" t="n">
        <v>0.23</v>
      </c>
      <c r="P289" s="7" t="n">
        <v>0.506</v>
      </c>
      <c r="Q289" s="7" t="n">
        <v>0</v>
      </c>
      <c r="R289" s="7" t="n">
        <v>0.433</v>
      </c>
      <c r="S289" s="7" t="n">
        <v>0.493</v>
      </c>
      <c r="T289" s="7" t="n">
        <v>-0.05</v>
      </c>
      <c r="U289" s="7" t="n">
        <v>-0.118</v>
      </c>
      <c r="V289" s="7" t="n">
        <v>0.238</v>
      </c>
      <c r="W289" s="7" t="n">
        <v>0</v>
      </c>
      <c r="X289" s="7" t="n">
        <v>0.506</v>
      </c>
      <c r="Y289" s="7" t="n">
        <v>-0.13</v>
      </c>
      <c r="Z289" s="7" t="n">
        <v>0.493</v>
      </c>
      <c r="AA289" s="7" t="n">
        <v>0.223</v>
      </c>
      <c r="AB289" s="7" t="n">
        <v>-0.333</v>
      </c>
      <c r="AC289" s="7" t="n">
        <v>0</v>
      </c>
      <c r="AD289" s="7" t="n">
        <v>0.529</v>
      </c>
      <c r="AE289" s="7" t="n">
        <v>0.371</v>
      </c>
      <c r="AF289" s="7" t="n">
        <v>0.566</v>
      </c>
      <c r="AG289" s="7" t="n">
        <v>-0.035</v>
      </c>
      <c r="AH289" s="7" t="n">
        <v>-0.096</v>
      </c>
      <c r="AI289" s="7" t="n">
        <v>-0.05</v>
      </c>
      <c r="AJ289" s="7" t="n">
        <v>0.136</v>
      </c>
      <c r="AK289" s="7" t="n">
        <v>-0.1</v>
      </c>
      <c r="AL289" s="7" t="n">
        <v>0.14</v>
      </c>
      <c r="AM289" s="7" t="n">
        <v>-0.05</v>
      </c>
      <c r="AN289" s="7" t="n">
        <v>0.185</v>
      </c>
      <c r="AO289" s="7" t="n">
        <v>-0.378</v>
      </c>
      <c r="AP289" s="7" t="n">
        <v>-0.378</v>
      </c>
      <c r="AQ289" s="7" t="n">
        <v>0</v>
      </c>
    </row>
    <row r="290" customFormat="false" ht="15" hidden="false" customHeight="false" outlineLevel="0" collapsed="false">
      <c r="A290" s="23" t="n">
        <v>46607</v>
      </c>
      <c r="B290" s="7" t="n">
        <v>0.217</v>
      </c>
      <c r="C290" s="7" t="n">
        <v>0.081</v>
      </c>
      <c r="D290" s="7" t="n">
        <v>-0.057</v>
      </c>
      <c r="E290" s="7" t="n">
        <v>-0.537</v>
      </c>
      <c r="F290" s="7" t="n">
        <v>0.279</v>
      </c>
      <c r="G290" s="7" t="n">
        <v>-0.354</v>
      </c>
      <c r="H290" s="7" t="n">
        <v>0.584</v>
      </c>
      <c r="I290" s="7" t="n">
        <v>-0.484</v>
      </c>
      <c r="J290" s="7" t="n">
        <v>-0.19</v>
      </c>
      <c r="K290" s="7" t="n">
        <v>0.074</v>
      </c>
      <c r="L290" s="7" t="n">
        <v>0.201</v>
      </c>
      <c r="M290" s="7" t="n">
        <v>-0.232</v>
      </c>
      <c r="N290" s="7" t="n">
        <v>0.354</v>
      </c>
      <c r="O290" s="7" t="n">
        <v>0.282</v>
      </c>
      <c r="P290" s="7" t="n">
        <v>-0.186</v>
      </c>
      <c r="Q290" s="7" t="n">
        <v>0.522</v>
      </c>
      <c r="R290" s="7" t="n">
        <v>0.694</v>
      </c>
      <c r="S290" s="7" t="n">
        <v>-0.295</v>
      </c>
      <c r="T290" s="7" t="n">
        <v>-0.096</v>
      </c>
      <c r="U290" s="7" t="n">
        <v>0.761</v>
      </c>
      <c r="V290" s="7" t="n">
        <v>0.527</v>
      </c>
      <c r="W290" s="7" t="n">
        <v>0.522</v>
      </c>
      <c r="X290" s="7" t="n">
        <v>-0.186</v>
      </c>
      <c r="Y290" s="7" t="n">
        <v>0.422</v>
      </c>
      <c r="Z290" s="7" t="n">
        <v>-0.295</v>
      </c>
      <c r="AA290" s="7" t="n">
        <v>0.722</v>
      </c>
      <c r="AB290" s="7" t="n">
        <v>-0.351</v>
      </c>
      <c r="AC290" s="7" t="n">
        <v>0.522</v>
      </c>
      <c r="AD290" s="7" t="n">
        <v>0.892</v>
      </c>
      <c r="AE290" s="7" t="n">
        <v>0.455</v>
      </c>
      <c r="AF290" s="7" t="n">
        <v>0.566</v>
      </c>
      <c r="AG290" s="7" t="n">
        <v>-0.303</v>
      </c>
      <c r="AH290" s="7" t="n">
        <v>-0.213</v>
      </c>
      <c r="AI290" s="7" t="n">
        <v>-0.19</v>
      </c>
      <c r="AJ290" s="7" t="n">
        <v>-0.332</v>
      </c>
      <c r="AK290" s="7" t="n">
        <v>-0.166</v>
      </c>
      <c r="AL290" s="7" t="n">
        <v>-0.152</v>
      </c>
      <c r="AM290" s="7" t="n">
        <v>-0.19</v>
      </c>
      <c r="AN290" s="7" t="n">
        <v>0.581</v>
      </c>
      <c r="AO290" s="7" t="n">
        <v>-0.295</v>
      </c>
      <c r="AP290" s="7" t="n">
        <v>-0.295</v>
      </c>
      <c r="AQ290" s="7" t="n">
        <v>0</v>
      </c>
    </row>
    <row r="291" customFormat="false" ht="15" hidden="false" customHeight="false" outlineLevel="0" collapsed="false">
      <c r="A291" s="23" t="n">
        <v>46608</v>
      </c>
      <c r="B291" s="7" t="n">
        <v>0.07</v>
      </c>
      <c r="C291" s="7" t="n">
        <v>0.115</v>
      </c>
      <c r="D291" s="7" t="n">
        <v>-0.056</v>
      </c>
      <c r="E291" s="7" t="n">
        <v>-0.483</v>
      </c>
      <c r="F291" s="7" t="n">
        <v>0.368</v>
      </c>
      <c r="G291" s="7" t="n">
        <v>-0.351</v>
      </c>
      <c r="H291" s="7" t="n">
        <v>-0.151</v>
      </c>
      <c r="I291" s="7" t="n">
        <v>-0.29</v>
      </c>
      <c r="J291" s="7" t="n">
        <v>-0.342</v>
      </c>
      <c r="K291" s="7" t="n">
        <v>0.147</v>
      </c>
      <c r="L291" s="7" t="n">
        <v>0.278</v>
      </c>
      <c r="M291" s="7" t="n">
        <v>-0.347</v>
      </c>
      <c r="N291" s="7" t="n">
        <v>0.437</v>
      </c>
      <c r="O291" s="7" t="n">
        <v>0.278</v>
      </c>
      <c r="P291" s="7" t="n">
        <v>-0.186</v>
      </c>
      <c r="Q291" s="7" t="n">
        <v>0.517</v>
      </c>
      <c r="R291" s="7" t="n">
        <v>-0.151</v>
      </c>
      <c r="S291" s="7" t="n">
        <v>-0.228</v>
      </c>
      <c r="T291" s="7" t="n">
        <v>-0.096</v>
      </c>
      <c r="U291" s="7" t="n">
        <v>0.07</v>
      </c>
      <c r="V291" s="7" t="n">
        <v>-0.151</v>
      </c>
      <c r="W291" s="7" t="n">
        <v>0.517</v>
      </c>
      <c r="X291" s="7" t="n">
        <v>-0.186</v>
      </c>
      <c r="Y291" s="7" t="n">
        <v>-0.385</v>
      </c>
      <c r="Z291" s="7" t="n">
        <v>-0.228</v>
      </c>
      <c r="AA291" s="7" t="n">
        <v>-0.096</v>
      </c>
      <c r="AB291" s="7" t="n">
        <v>-0.454</v>
      </c>
      <c r="AC291" s="7" t="n">
        <v>0.517</v>
      </c>
      <c r="AD291" s="7" t="n">
        <v>-0.281</v>
      </c>
      <c r="AE291" s="7" t="n">
        <v>0.508</v>
      </c>
      <c r="AF291" s="7" t="n">
        <v>0.566</v>
      </c>
      <c r="AG291" s="7" t="n">
        <v>-0.3</v>
      </c>
      <c r="AH291" s="7" t="n">
        <v>-0.186</v>
      </c>
      <c r="AI291" s="7" t="n">
        <v>-0.145</v>
      </c>
      <c r="AJ291" s="7" t="n">
        <v>-0.29</v>
      </c>
      <c r="AK291" s="7" t="n">
        <v>-0.149</v>
      </c>
      <c r="AL291" s="7" t="n">
        <v>-0.151</v>
      </c>
      <c r="AM291" s="7" t="n">
        <v>-0.145</v>
      </c>
      <c r="AN291" s="7" t="n">
        <v>-0.24</v>
      </c>
      <c r="AO291" s="7" t="n">
        <v>-0.228</v>
      </c>
      <c r="AP291" s="7" t="n">
        <v>-0.228</v>
      </c>
      <c r="AQ291" s="7" t="n">
        <v>0</v>
      </c>
    </row>
    <row r="292" customFormat="false" ht="15" hidden="false" customHeight="false" outlineLevel="0" collapsed="false">
      <c r="A292" s="23" t="n">
        <v>46609</v>
      </c>
      <c r="B292" s="7" t="n">
        <v>-0.52</v>
      </c>
      <c r="C292" s="7" t="n">
        <v>-0.466</v>
      </c>
      <c r="D292" s="7" t="n">
        <v>-0.21</v>
      </c>
      <c r="E292" s="7" t="n">
        <v>-0.514</v>
      </c>
      <c r="F292" s="7" t="n">
        <v>-0.3</v>
      </c>
      <c r="G292" s="7" t="n">
        <v>-0.756</v>
      </c>
      <c r="H292" s="7" t="n">
        <v>-0.808</v>
      </c>
      <c r="I292" s="7" t="n">
        <v>-0.85</v>
      </c>
      <c r="J292" s="7" t="n">
        <v>0</v>
      </c>
      <c r="K292" s="7" t="n">
        <v>0.15</v>
      </c>
      <c r="L292" s="7" t="n">
        <v>-0.228</v>
      </c>
      <c r="M292" s="7" t="n">
        <v>-0.338</v>
      </c>
      <c r="N292" s="7" t="n">
        <v>-0.228</v>
      </c>
      <c r="O292" s="7" t="n">
        <v>0</v>
      </c>
      <c r="P292" s="7" t="n">
        <v>-0.259</v>
      </c>
      <c r="Q292" s="7" t="n">
        <v>0</v>
      </c>
      <c r="R292" s="7" t="n">
        <v>-0.748</v>
      </c>
      <c r="S292" s="7" t="n">
        <v>0.581</v>
      </c>
      <c r="T292" s="7" t="n">
        <v>-0.706</v>
      </c>
      <c r="U292" s="7" t="n">
        <v>-0.305</v>
      </c>
      <c r="V292" s="7" t="n">
        <v>-0.844</v>
      </c>
      <c r="W292" s="7" t="n">
        <v>0</v>
      </c>
      <c r="X292" s="7" t="n">
        <v>-0.259</v>
      </c>
      <c r="Y292" s="7" t="n">
        <v>-0.681</v>
      </c>
      <c r="Z292" s="7" t="n">
        <v>-0.267</v>
      </c>
      <c r="AA292" s="7" t="n">
        <v>-0.621</v>
      </c>
      <c r="AB292" s="7" t="n">
        <v>-0.287</v>
      </c>
      <c r="AC292" s="7" t="n">
        <v>0</v>
      </c>
      <c r="AD292" s="7" t="n">
        <v>-0.475</v>
      </c>
      <c r="AE292" s="7" t="n">
        <v>-0.228</v>
      </c>
      <c r="AF292" s="7" t="n">
        <v>-0.287</v>
      </c>
      <c r="AG292" s="7" t="n">
        <v>-0.458</v>
      </c>
      <c r="AH292" s="7" t="n">
        <v>-0.096</v>
      </c>
      <c r="AI292" s="7" t="n">
        <v>0</v>
      </c>
      <c r="AJ292" s="7" t="n">
        <v>-0.798</v>
      </c>
      <c r="AK292" s="7" t="n">
        <v>-0.691</v>
      </c>
      <c r="AL292" s="7" t="n">
        <v>-0.327</v>
      </c>
      <c r="AM292" s="7" t="n">
        <v>0</v>
      </c>
      <c r="AN292" s="7" t="n">
        <v>-0.798</v>
      </c>
      <c r="AO292" s="7" t="n">
        <v>-0.228</v>
      </c>
      <c r="AP292" s="7" t="n">
        <v>-0.228</v>
      </c>
      <c r="AQ292" s="7" t="n">
        <v>0</v>
      </c>
    </row>
    <row r="293" customFormat="false" ht="15" hidden="false" customHeight="false" outlineLevel="0" collapsed="false">
      <c r="A293" s="23" t="n">
        <v>46610</v>
      </c>
      <c r="B293" s="7" t="n">
        <v>0.584</v>
      </c>
      <c r="C293" s="7" t="n">
        <v>0.828</v>
      </c>
      <c r="D293" s="7" t="n">
        <v>-0.342</v>
      </c>
      <c r="E293" s="7" t="n">
        <v>0.791</v>
      </c>
      <c r="F293" s="7" t="n">
        <v>0.876</v>
      </c>
      <c r="G293" s="7" t="n">
        <v>-0.747</v>
      </c>
      <c r="H293" s="7" t="n">
        <v>-0.283</v>
      </c>
      <c r="I293" s="7" t="n">
        <v>-0.389</v>
      </c>
      <c r="J293" s="7" t="n">
        <v>0.047</v>
      </c>
      <c r="K293" s="7" t="n">
        <v>0.976</v>
      </c>
      <c r="L293" s="7" t="n">
        <v>0.715</v>
      </c>
      <c r="M293" s="7" t="n">
        <v>-0.279</v>
      </c>
      <c r="N293" s="7" t="n">
        <v>0.889</v>
      </c>
      <c r="O293" s="7" t="n">
        <v>0.794</v>
      </c>
      <c r="P293" s="7" t="n">
        <v>-0.388</v>
      </c>
      <c r="Q293" s="7" t="n">
        <v>-0.042</v>
      </c>
      <c r="R293" s="7" t="n">
        <v>-0.248</v>
      </c>
      <c r="S293" s="7" t="n">
        <v>0.938</v>
      </c>
      <c r="T293" s="7" t="n">
        <v>-0.284</v>
      </c>
      <c r="U293" s="7" t="n">
        <v>-0.021</v>
      </c>
      <c r="V293" s="7" t="n">
        <v>-0.349</v>
      </c>
      <c r="W293" s="7" t="n">
        <v>0</v>
      </c>
      <c r="X293" s="7" t="n">
        <v>-0.352</v>
      </c>
      <c r="Y293" s="7" t="n">
        <v>-0.668</v>
      </c>
      <c r="Z293" s="7" t="n">
        <v>0.953</v>
      </c>
      <c r="AA293" s="7" t="n">
        <v>-0.022</v>
      </c>
      <c r="AB293" s="7" t="n">
        <v>-0.243</v>
      </c>
      <c r="AC293" s="7" t="n">
        <v>-0.042</v>
      </c>
      <c r="AD293" s="7" t="n">
        <v>0.865</v>
      </c>
      <c r="AE293" s="7" t="n">
        <v>0.889</v>
      </c>
      <c r="AF293" s="7" t="n">
        <v>0.474</v>
      </c>
      <c r="AG293" s="7" t="n">
        <v>-0.445</v>
      </c>
      <c r="AH293" s="7" t="n">
        <v>-0.096</v>
      </c>
      <c r="AI293" s="7" t="n">
        <v>0.005</v>
      </c>
      <c r="AJ293" s="7" t="n">
        <v>-0.202</v>
      </c>
      <c r="AK293" s="7" t="n">
        <v>0.026</v>
      </c>
      <c r="AL293" s="7" t="n">
        <v>-0.353</v>
      </c>
      <c r="AM293" s="7" t="n">
        <v>0.047</v>
      </c>
      <c r="AN293" s="7" t="n">
        <v>-0.247</v>
      </c>
      <c r="AO293" s="7" t="n">
        <v>0.713</v>
      </c>
      <c r="AP293" s="7" t="n">
        <v>0.713</v>
      </c>
      <c r="AQ293" s="7" t="n">
        <v>-0.042</v>
      </c>
    </row>
    <row r="294" customFormat="false" ht="15" hidden="false" customHeight="false" outlineLevel="0" collapsed="false">
      <c r="A294" s="23" t="n">
        <v>46611</v>
      </c>
      <c r="B294" s="7" t="n">
        <v>0.794</v>
      </c>
      <c r="C294" s="7" t="n">
        <v>-0.298</v>
      </c>
      <c r="D294" s="7" t="n">
        <v>0.75</v>
      </c>
      <c r="E294" s="7" t="n">
        <v>-0.47</v>
      </c>
      <c r="F294" s="7" t="n">
        <v>0.399</v>
      </c>
      <c r="G294" s="7" t="n">
        <v>-0.34</v>
      </c>
      <c r="H294" s="7" t="n">
        <v>-0.15</v>
      </c>
      <c r="I294" s="7" t="n">
        <v>0.694</v>
      </c>
      <c r="J294" s="7" t="n">
        <v>0.41</v>
      </c>
      <c r="K294" s="7" t="n">
        <v>0.154</v>
      </c>
      <c r="L294" s="7" t="n">
        <v>-0.224</v>
      </c>
      <c r="M294" s="7" t="n">
        <v>-0.316</v>
      </c>
      <c r="N294" s="7" t="n">
        <v>0.457</v>
      </c>
      <c r="O294" s="7" t="n">
        <v>0.247</v>
      </c>
      <c r="P294" s="7" t="n">
        <v>-0.151</v>
      </c>
      <c r="Q294" s="7" t="n">
        <v>0.008</v>
      </c>
      <c r="R294" s="7" t="n">
        <v>0.699</v>
      </c>
      <c r="S294" s="7" t="n">
        <v>0.933</v>
      </c>
      <c r="T294" s="7" t="n">
        <v>0.648</v>
      </c>
      <c r="U294" s="7" t="n">
        <v>-0.22</v>
      </c>
      <c r="V294" s="7" t="n">
        <v>0.668</v>
      </c>
      <c r="W294" s="7" t="n">
        <v>0</v>
      </c>
      <c r="X294" s="7" t="n">
        <v>0.663</v>
      </c>
      <c r="Y294" s="7" t="n">
        <v>0.539</v>
      </c>
      <c r="Z294" s="7" t="n">
        <v>-0.211</v>
      </c>
      <c r="AA294" s="7" t="n">
        <v>0.726</v>
      </c>
      <c r="AB294" s="7" t="n">
        <v>0.033</v>
      </c>
      <c r="AC294" s="7" t="n">
        <v>-0.045</v>
      </c>
      <c r="AD294" s="7" t="n">
        <v>0.597</v>
      </c>
      <c r="AE294" s="7" t="n">
        <v>0.457</v>
      </c>
      <c r="AF294" s="7" t="n">
        <v>-0.327</v>
      </c>
      <c r="AG294" s="7" t="n">
        <v>-0.291</v>
      </c>
      <c r="AH294" s="7" t="n">
        <v>0.042</v>
      </c>
      <c r="AI294" s="7" t="n">
        <v>0.004</v>
      </c>
      <c r="AJ294" s="7" t="n">
        <v>0.694</v>
      </c>
      <c r="AK294" s="7" t="n">
        <v>0.722</v>
      </c>
      <c r="AL294" s="7" t="n">
        <v>-0.123</v>
      </c>
      <c r="AM294" s="7" t="n">
        <v>0.048</v>
      </c>
      <c r="AN294" s="7" t="n">
        <v>0.668</v>
      </c>
      <c r="AO294" s="7" t="n">
        <v>-0.165</v>
      </c>
      <c r="AP294" s="7" t="n">
        <v>-0.228</v>
      </c>
      <c r="AQ294" s="7" t="n">
        <v>-0.045</v>
      </c>
    </row>
    <row r="295" customFormat="false" ht="15" hidden="false" customHeight="false" outlineLevel="0" collapsed="false">
      <c r="A295" s="23" t="n">
        <v>46612</v>
      </c>
      <c r="B295" s="7" t="n">
        <v>1</v>
      </c>
      <c r="C295" s="7" t="n">
        <v>0.189</v>
      </c>
      <c r="D295" s="7" t="n">
        <v>0.795</v>
      </c>
      <c r="E295" s="7" t="n">
        <v>-0.483</v>
      </c>
      <c r="F295" s="7" t="n">
        <v>0.766</v>
      </c>
      <c r="G295" s="7" t="n">
        <v>-0.337</v>
      </c>
      <c r="H295" s="7" t="n">
        <v>-0.009</v>
      </c>
      <c r="I295" s="7" t="n">
        <v>0.816</v>
      </c>
      <c r="J295" s="7" t="n">
        <v>0.696</v>
      </c>
      <c r="K295" s="7" t="n">
        <v>0.157</v>
      </c>
      <c r="L295" s="7" t="n">
        <v>-0.193</v>
      </c>
      <c r="M295" s="7" t="n">
        <v>0.022</v>
      </c>
      <c r="N295" s="7" t="n">
        <v>0.794</v>
      </c>
      <c r="O295" s="7" t="n">
        <v>0.748</v>
      </c>
      <c r="P295" s="7" t="n">
        <v>-0.034</v>
      </c>
      <c r="Q295" s="7" t="n">
        <v>0.129</v>
      </c>
      <c r="R295" s="7" t="n">
        <v>0.846</v>
      </c>
      <c r="S295" s="7" t="n">
        <v>0.947</v>
      </c>
      <c r="T295" s="7" t="n">
        <v>0.835</v>
      </c>
      <c r="U295" s="7" t="n">
        <v>-0.23</v>
      </c>
      <c r="V295" s="7" t="n">
        <v>0.796</v>
      </c>
      <c r="W295" s="7" t="n">
        <v>0</v>
      </c>
      <c r="X295" s="7" t="n">
        <v>0.732</v>
      </c>
      <c r="Y295" s="7" t="n">
        <v>0.529</v>
      </c>
      <c r="Z295" s="7" t="n">
        <v>-0.228</v>
      </c>
      <c r="AA295" s="7" t="n">
        <v>0.861</v>
      </c>
      <c r="AB295" s="7" t="n">
        <v>0.376</v>
      </c>
      <c r="AC295" s="7" t="n">
        <v>0.031</v>
      </c>
      <c r="AD295" s="7" t="n">
        <v>0.67</v>
      </c>
      <c r="AE295" s="7" t="n">
        <v>0.794</v>
      </c>
      <c r="AF295" s="7" t="n">
        <v>-0.258</v>
      </c>
      <c r="AG295" s="7" t="n">
        <v>-0.288</v>
      </c>
      <c r="AH295" s="7" t="n">
        <v>0.245</v>
      </c>
      <c r="AI295" s="7" t="n">
        <v>0.037</v>
      </c>
      <c r="AJ295" s="7" t="n">
        <v>0.798</v>
      </c>
      <c r="AK295" s="7" t="n">
        <v>0.817</v>
      </c>
      <c r="AL295" s="7" t="n">
        <v>-0.118</v>
      </c>
      <c r="AM295" s="7" t="n">
        <v>0.006</v>
      </c>
      <c r="AN295" s="7" t="n">
        <v>0.796</v>
      </c>
      <c r="AO295" s="7" t="n">
        <v>0.114</v>
      </c>
      <c r="AP295" s="7" t="n">
        <v>-0.228</v>
      </c>
      <c r="AQ295" s="7" t="n">
        <v>0.031</v>
      </c>
    </row>
    <row r="296" customFormat="false" ht="15" hidden="false" customHeight="false" outlineLevel="0" collapsed="false">
      <c r="A296" s="23" t="n">
        <v>46613</v>
      </c>
      <c r="B296" s="7" t="n">
        <v>-0.208</v>
      </c>
      <c r="C296" s="7" t="n">
        <v>0.222</v>
      </c>
      <c r="D296" s="7" t="n">
        <v>-0.013</v>
      </c>
      <c r="E296" s="7" t="n">
        <v>-0.554</v>
      </c>
      <c r="F296" s="7" t="n">
        <v>-0.208</v>
      </c>
      <c r="G296" s="7" t="n">
        <v>-0.297</v>
      </c>
      <c r="H296" s="7" t="n">
        <v>0.186</v>
      </c>
      <c r="I296" s="7" t="n">
        <v>0.229</v>
      </c>
      <c r="J296" s="7" t="n">
        <v>0.577</v>
      </c>
      <c r="K296" s="7" t="n">
        <v>0.065</v>
      </c>
      <c r="L296" s="7" t="n">
        <v>-0.331</v>
      </c>
      <c r="M296" s="7" t="n">
        <v>-0.424</v>
      </c>
      <c r="N296" s="7" t="n">
        <v>-0.138</v>
      </c>
      <c r="O296" s="7" t="n">
        <v>0.013</v>
      </c>
      <c r="P296" s="7" t="n">
        <v>-0.379</v>
      </c>
      <c r="Q296" s="7" t="n">
        <v>-0.062</v>
      </c>
      <c r="R296" s="7" t="n">
        <v>0.186</v>
      </c>
      <c r="S296" s="7" t="n">
        <v>-0.317</v>
      </c>
      <c r="T296" s="7" t="n">
        <v>-0.005</v>
      </c>
      <c r="U296" s="7" t="n">
        <v>-0.704</v>
      </c>
      <c r="V296" s="7" t="n">
        <v>0.186</v>
      </c>
      <c r="W296" s="7" t="n">
        <v>0.19</v>
      </c>
      <c r="X296" s="7" t="n">
        <v>-0.144</v>
      </c>
      <c r="Y296" s="7" t="n">
        <v>-0.371</v>
      </c>
      <c r="Z296" s="7" t="n">
        <v>-0.317</v>
      </c>
      <c r="AA296" s="7" t="n">
        <v>0.199</v>
      </c>
      <c r="AB296" s="7" t="n">
        <v>0.294</v>
      </c>
      <c r="AC296" s="7" t="n">
        <v>-0.062</v>
      </c>
      <c r="AD296" s="7" t="n">
        <v>-0.329</v>
      </c>
      <c r="AE296" s="7" t="n">
        <v>-0.138</v>
      </c>
      <c r="AF296" s="7" t="n">
        <v>-0.265</v>
      </c>
      <c r="AG296" s="7" t="n">
        <v>-0.285</v>
      </c>
      <c r="AH296" s="7" t="n">
        <v>0.325</v>
      </c>
      <c r="AI296" s="7" t="n">
        <v>-0.206</v>
      </c>
      <c r="AJ296" s="7" t="n">
        <v>0.229</v>
      </c>
      <c r="AK296" s="7" t="n">
        <v>0.242</v>
      </c>
      <c r="AL296" s="7" t="n">
        <v>-0.348</v>
      </c>
      <c r="AM296" s="7" t="n">
        <v>0.045</v>
      </c>
      <c r="AN296" s="7" t="n">
        <v>0.186</v>
      </c>
      <c r="AO296" s="7" t="n">
        <v>0.104</v>
      </c>
      <c r="AP296" s="7" t="n">
        <v>-0.317</v>
      </c>
      <c r="AQ296" s="7" t="n">
        <v>-0.249</v>
      </c>
    </row>
    <row r="297" customFormat="false" ht="15" hidden="false" customHeight="false" outlineLevel="0" collapsed="false">
      <c r="A297" s="23" t="n">
        <v>46614</v>
      </c>
      <c r="B297" s="7" t="n">
        <v>-0.864</v>
      </c>
      <c r="C297" s="7" t="n">
        <v>-0.656</v>
      </c>
      <c r="D297" s="7" t="n">
        <v>-0.053</v>
      </c>
      <c r="E297" s="7" t="n">
        <v>-0.448</v>
      </c>
      <c r="F297" s="7" t="n">
        <v>-0.723</v>
      </c>
      <c r="G297" s="7" t="n">
        <v>-0.33</v>
      </c>
      <c r="H297" s="7" t="n">
        <v>-0.637</v>
      </c>
      <c r="I297" s="7" t="n">
        <v>-0.758</v>
      </c>
      <c r="J297" s="7" t="n">
        <v>-0.148</v>
      </c>
      <c r="K297" s="7" t="n">
        <v>-0.135</v>
      </c>
      <c r="L297" s="7" t="n">
        <v>-0.339</v>
      </c>
      <c r="M297" s="7" t="n">
        <v>-0.502</v>
      </c>
      <c r="N297" s="7" t="n">
        <v>-0.33</v>
      </c>
      <c r="O297" s="7" t="n">
        <v>-0.857</v>
      </c>
      <c r="P297" s="7" t="n">
        <v>-0.366</v>
      </c>
      <c r="Q297" s="7" t="n">
        <v>-0.197</v>
      </c>
      <c r="R297" s="7" t="n">
        <v>-0.688</v>
      </c>
      <c r="S297" s="7" t="n">
        <v>-0.185</v>
      </c>
      <c r="T297" s="7" t="n">
        <v>-0.712</v>
      </c>
      <c r="U297" s="7" t="n">
        <v>-0.964</v>
      </c>
      <c r="V297" s="7" t="n">
        <v>-0.687</v>
      </c>
      <c r="W297" s="7" t="n">
        <v>0</v>
      </c>
      <c r="X297" s="7" t="n">
        <v>-0.182</v>
      </c>
      <c r="Y297" s="7" t="n">
        <v>-0.961</v>
      </c>
      <c r="Z297" s="7" t="n">
        <v>-0.185</v>
      </c>
      <c r="AA297" s="7" t="n">
        <v>-0.659</v>
      </c>
      <c r="AB297" s="7" t="n">
        <v>-0.417</v>
      </c>
      <c r="AC297" s="7" t="n">
        <v>-0.086</v>
      </c>
      <c r="AD297" s="7" t="n">
        <v>-0.236</v>
      </c>
      <c r="AE297" s="7" t="n">
        <v>-0.33</v>
      </c>
      <c r="AF297" s="7" t="n">
        <v>-0.364</v>
      </c>
      <c r="AG297" s="7" t="n">
        <v>-0.961</v>
      </c>
      <c r="AH297" s="7" t="n">
        <v>-0.859</v>
      </c>
      <c r="AI297" s="7" t="n">
        <v>-0.164</v>
      </c>
      <c r="AJ297" s="7" t="n">
        <v>-0.588</v>
      </c>
      <c r="AK297" s="7" t="n">
        <v>-0.553</v>
      </c>
      <c r="AL297" s="7" t="n">
        <v>-0.876</v>
      </c>
      <c r="AM297" s="7" t="n">
        <v>-0.079</v>
      </c>
      <c r="AN297" s="7" t="n">
        <v>-0.534</v>
      </c>
      <c r="AO297" s="7" t="n">
        <v>-0.881</v>
      </c>
      <c r="AP297" s="7" t="n">
        <v>-0.185</v>
      </c>
      <c r="AQ297" s="7" t="n">
        <v>-0.086</v>
      </c>
    </row>
    <row r="298" customFormat="false" ht="15" hidden="false" customHeight="false" outlineLevel="0" collapsed="false">
      <c r="A298" s="23" t="n">
        <v>46615</v>
      </c>
      <c r="B298" s="7" t="n">
        <v>-0.656</v>
      </c>
      <c r="C298" s="7" t="n">
        <v>-0.348</v>
      </c>
      <c r="D298" s="7" t="n">
        <v>-0.014</v>
      </c>
      <c r="E298" s="7" t="n">
        <v>-0.387</v>
      </c>
      <c r="F298" s="7" t="n">
        <v>-0.489</v>
      </c>
      <c r="G298" s="7" t="n">
        <v>-0.118</v>
      </c>
      <c r="H298" s="7" t="n">
        <v>-0.767</v>
      </c>
      <c r="I298" s="7" t="n">
        <v>-0.884</v>
      </c>
      <c r="J298" s="7" t="n">
        <v>-0.63</v>
      </c>
      <c r="K298" s="7" t="n">
        <v>-0.025</v>
      </c>
      <c r="L298" s="7" t="n">
        <v>-0.333</v>
      </c>
      <c r="M298" s="7" t="n">
        <v>-0.407</v>
      </c>
      <c r="N298" s="7" t="n">
        <v>-0.296</v>
      </c>
      <c r="O298" s="7" t="n">
        <v>-0.19</v>
      </c>
      <c r="P298" s="7" t="n">
        <v>-0.165</v>
      </c>
      <c r="Q298" s="7" t="n">
        <v>-0.021</v>
      </c>
      <c r="R298" s="7" t="n">
        <v>-0.844</v>
      </c>
      <c r="S298" s="7" t="n">
        <v>-0.112</v>
      </c>
      <c r="T298" s="7" t="n">
        <v>-0.882</v>
      </c>
      <c r="U298" s="7" t="n">
        <v>-0.163</v>
      </c>
      <c r="V298" s="7" t="n">
        <v>-0.76</v>
      </c>
      <c r="W298" s="7" t="n">
        <v>0</v>
      </c>
      <c r="X298" s="7" t="n">
        <v>-0.145</v>
      </c>
      <c r="Y298" s="7" t="n">
        <v>-0.15</v>
      </c>
      <c r="Z298" s="7" t="n">
        <v>-0.112</v>
      </c>
      <c r="AA298" s="7" t="n">
        <v>-0.839</v>
      </c>
      <c r="AB298" s="7" t="n">
        <v>-0.794</v>
      </c>
      <c r="AC298" s="7" t="n">
        <v>0.096</v>
      </c>
      <c r="AD298" s="7" t="n">
        <v>-0.126</v>
      </c>
      <c r="AE298" s="7" t="n">
        <v>-0.041</v>
      </c>
      <c r="AF298" s="7" t="n">
        <v>-0.197</v>
      </c>
      <c r="AG298" s="7" t="n">
        <v>-0.704</v>
      </c>
      <c r="AH298" s="7" t="n">
        <v>-0.072</v>
      </c>
      <c r="AI298" s="7" t="n">
        <v>-0.23</v>
      </c>
      <c r="AJ298" s="7" t="n">
        <v>-0.802</v>
      </c>
      <c r="AK298" s="7" t="n">
        <v>-0.796</v>
      </c>
      <c r="AL298" s="7" t="n">
        <v>0.034</v>
      </c>
      <c r="AM298" s="7" t="n">
        <v>-0.319</v>
      </c>
      <c r="AN298" s="7" t="n">
        <v>-0.649</v>
      </c>
      <c r="AO298" s="7" t="n">
        <v>-0.136</v>
      </c>
      <c r="AP298" s="7" t="n">
        <v>-0.112</v>
      </c>
      <c r="AQ298" s="7" t="n">
        <v>0.096</v>
      </c>
    </row>
    <row r="299" customFormat="false" ht="15" hidden="false" customHeight="false" outlineLevel="0" collapsed="false">
      <c r="A299" s="23" t="n">
        <v>46616</v>
      </c>
      <c r="B299" s="7" t="n">
        <v>-0.506</v>
      </c>
      <c r="C299" s="7" t="n">
        <v>-0.265</v>
      </c>
      <c r="D299" s="7" t="n">
        <v>-0.517</v>
      </c>
      <c r="E299" s="7" t="n">
        <v>-0.388</v>
      </c>
      <c r="F299" s="7" t="n">
        <v>-0.169</v>
      </c>
      <c r="G299" s="7" t="n">
        <v>-0.091</v>
      </c>
      <c r="H299" s="7" t="n">
        <v>-0.763</v>
      </c>
      <c r="I299" s="7" t="n">
        <v>-0.75</v>
      </c>
      <c r="J299" s="7" t="n">
        <v>-0.118</v>
      </c>
      <c r="K299" s="7" t="n">
        <v>0.009</v>
      </c>
      <c r="L299" s="7" t="n">
        <v>-0.112</v>
      </c>
      <c r="M299" s="7" t="n">
        <v>-0.466</v>
      </c>
      <c r="N299" s="7" t="n">
        <v>-0.183</v>
      </c>
      <c r="O299" s="7" t="n">
        <v>-0.129</v>
      </c>
      <c r="P299" s="7" t="n">
        <v>-0.278</v>
      </c>
      <c r="Q299" s="7" t="n">
        <v>0.161</v>
      </c>
      <c r="R299" s="7" t="n">
        <v>-0.836</v>
      </c>
      <c r="S299" s="7" t="n">
        <v>-0.113</v>
      </c>
      <c r="T299" s="7" t="n">
        <v>-0.795</v>
      </c>
      <c r="U299" s="7" t="n">
        <v>-0.186</v>
      </c>
      <c r="V299" s="7" t="n">
        <v>-0.707</v>
      </c>
      <c r="W299" s="7" t="n">
        <v>0</v>
      </c>
      <c r="X299" s="7" t="n">
        <v>-0.42</v>
      </c>
      <c r="Y299" s="7" t="n">
        <v>-0.033</v>
      </c>
      <c r="Z299" s="7" t="n">
        <v>-0.113</v>
      </c>
      <c r="AA299" s="7" t="n">
        <v>-0.816</v>
      </c>
      <c r="AB299" s="7" t="n">
        <v>-0.392</v>
      </c>
      <c r="AC299" s="7" t="n">
        <v>0.024</v>
      </c>
      <c r="AD299" s="7" t="n">
        <v>-0.173</v>
      </c>
      <c r="AE299" s="7" t="n">
        <v>-0.183</v>
      </c>
      <c r="AF299" s="7" t="n">
        <v>-0.265</v>
      </c>
      <c r="AG299" s="7" t="n">
        <v>-0.647</v>
      </c>
      <c r="AH299" s="7" t="n">
        <v>-0.13</v>
      </c>
      <c r="AI299" s="7" t="n">
        <v>0.002</v>
      </c>
      <c r="AJ299" s="7" t="n">
        <v>-0.689</v>
      </c>
      <c r="AK299" s="7" t="n">
        <v>-0.656</v>
      </c>
      <c r="AL299" s="7" t="n">
        <v>-0.072</v>
      </c>
      <c r="AM299" s="7" t="n">
        <v>-0.022</v>
      </c>
      <c r="AN299" s="7" t="n">
        <v>-0.677</v>
      </c>
      <c r="AO299" s="7" t="n">
        <v>-0.207</v>
      </c>
      <c r="AP299" s="7" t="n">
        <v>-0.113</v>
      </c>
      <c r="AQ299" s="7" t="n">
        <v>0.024</v>
      </c>
    </row>
    <row r="300" customFormat="false" ht="15" hidden="false" customHeight="false" outlineLevel="0" collapsed="false">
      <c r="A300" s="23" t="n">
        <v>46617</v>
      </c>
      <c r="B300" s="7" t="n">
        <v>-0.42</v>
      </c>
      <c r="C300" s="7" t="n">
        <v>-0.654</v>
      </c>
      <c r="D300" s="7" t="n">
        <v>-0.051</v>
      </c>
      <c r="E300" s="7" t="n">
        <v>-0.71</v>
      </c>
      <c r="F300" s="7" t="n">
        <v>-0.079</v>
      </c>
      <c r="G300" s="7" t="n">
        <v>-0.255</v>
      </c>
      <c r="H300" s="7" t="n">
        <v>-0.067</v>
      </c>
      <c r="I300" s="7" t="n">
        <v>-0.596</v>
      </c>
      <c r="J300" s="7" t="n">
        <v>0.096</v>
      </c>
      <c r="K300" s="7" t="n">
        <v>0.26</v>
      </c>
      <c r="L300" s="7" t="n">
        <v>-0.178</v>
      </c>
      <c r="M300" s="7" t="n">
        <v>-0.504</v>
      </c>
      <c r="N300" s="7" t="n">
        <v>-0.781</v>
      </c>
      <c r="O300" s="7" t="n">
        <v>-0.016</v>
      </c>
      <c r="P300" s="7" t="n">
        <v>0.099</v>
      </c>
      <c r="Q300" s="7" t="n">
        <v>0.208</v>
      </c>
      <c r="R300" s="7" t="n">
        <v>-0.071</v>
      </c>
      <c r="S300" s="7" t="n">
        <v>-0.774</v>
      </c>
      <c r="T300" s="7" t="n">
        <v>-0.481</v>
      </c>
      <c r="U300" s="7" t="n">
        <v>0.741</v>
      </c>
      <c r="V300" s="7" t="n">
        <v>0.024</v>
      </c>
      <c r="W300" s="7" t="n">
        <v>0</v>
      </c>
      <c r="X300" s="7" t="n">
        <v>-0.112</v>
      </c>
      <c r="Y300" s="7" t="n">
        <v>-0.225</v>
      </c>
      <c r="Z300" s="7" t="n">
        <v>-0.254</v>
      </c>
      <c r="AA300" s="7" t="n">
        <v>-0.02</v>
      </c>
      <c r="AB300" s="7" t="n">
        <v>-0.197</v>
      </c>
      <c r="AC300" s="7" t="n">
        <v>-0.016</v>
      </c>
      <c r="AD300" s="7" t="n">
        <v>0.086</v>
      </c>
      <c r="AE300" s="7" t="n">
        <v>-0.203</v>
      </c>
      <c r="AF300" s="7" t="n">
        <v>-0.302</v>
      </c>
      <c r="AG300" s="7" t="n">
        <v>-0.782</v>
      </c>
      <c r="AH300" s="7" t="n">
        <v>0</v>
      </c>
      <c r="AI300" s="7" t="n">
        <v>0.08</v>
      </c>
      <c r="AJ300" s="7" t="n">
        <v>-0.62</v>
      </c>
      <c r="AK300" s="7" t="n">
        <v>-0.588</v>
      </c>
      <c r="AL300" s="7" t="n">
        <v>-0.067</v>
      </c>
      <c r="AM300" s="7" t="n">
        <v>0.096</v>
      </c>
      <c r="AN300" s="7" t="n">
        <v>-0.084</v>
      </c>
      <c r="AO300" s="7" t="n">
        <v>-0.254</v>
      </c>
      <c r="AP300" s="7" t="n">
        <v>-0.254</v>
      </c>
      <c r="AQ300" s="7" t="n">
        <v>-0.016</v>
      </c>
    </row>
    <row r="301" customFormat="false" ht="15" hidden="false" customHeight="false" outlineLevel="0" collapsed="false">
      <c r="A301" s="23" t="n">
        <v>46618</v>
      </c>
      <c r="B301" s="7" t="n">
        <v>-0.452</v>
      </c>
      <c r="C301" s="7" t="n">
        <v>-0.644</v>
      </c>
      <c r="D301" s="7" t="n">
        <v>-0.05</v>
      </c>
      <c r="E301" s="7" t="n">
        <v>-0.696</v>
      </c>
      <c r="F301" s="7" t="n">
        <v>0.16</v>
      </c>
      <c r="G301" s="7" t="n">
        <v>-0.251</v>
      </c>
      <c r="H301" s="7" t="n">
        <v>-0.675</v>
      </c>
      <c r="I301" s="7" t="n">
        <v>-0.614</v>
      </c>
      <c r="J301" s="7" t="n">
        <v>0.213</v>
      </c>
      <c r="K301" s="7" t="n">
        <v>0.27</v>
      </c>
      <c r="L301" s="7" t="n">
        <v>-0.151</v>
      </c>
      <c r="M301" s="7" t="n">
        <v>-0.578</v>
      </c>
      <c r="N301" s="7" t="n">
        <v>-0.668</v>
      </c>
      <c r="O301" s="7" t="n">
        <v>-0.115</v>
      </c>
      <c r="P301" s="7" t="n">
        <v>0.115</v>
      </c>
      <c r="Q301" s="7" t="n">
        <v>0.224</v>
      </c>
      <c r="R301" s="7" t="n">
        <v>-0.676</v>
      </c>
      <c r="S301" s="7" t="n">
        <v>-0.77</v>
      </c>
      <c r="T301" s="7" t="n">
        <v>-0.501</v>
      </c>
      <c r="U301" s="7" t="n">
        <v>-0.055</v>
      </c>
      <c r="V301" s="7" t="n">
        <v>-0.631</v>
      </c>
      <c r="W301" s="7" t="n">
        <v>0</v>
      </c>
      <c r="X301" s="7" t="n">
        <v>-0.111</v>
      </c>
      <c r="Y301" s="7" t="n">
        <v>-0.758</v>
      </c>
      <c r="Z301" s="7" t="n">
        <v>-0.243</v>
      </c>
      <c r="AA301" s="7" t="n">
        <v>-0.647</v>
      </c>
      <c r="AB301" s="7" t="n">
        <v>-0.133</v>
      </c>
      <c r="AC301" s="7" t="n">
        <v>0</v>
      </c>
      <c r="AD301" s="7" t="n">
        <v>-0.557</v>
      </c>
      <c r="AE301" s="7" t="n">
        <v>0.034</v>
      </c>
      <c r="AF301" s="7" t="n">
        <v>-0.287</v>
      </c>
      <c r="AG301" s="7" t="n">
        <v>-0.781</v>
      </c>
      <c r="AH301" s="7" t="n">
        <v>-0.048</v>
      </c>
      <c r="AI301" s="7" t="n">
        <v>0.096</v>
      </c>
      <c r="AJ301" s="7" t="n">
        <v>-0.621</v>
      </c>
      <c r="AK301" s="7" t="n">
        <v>-0.589</v>
      </c>
      <c r="AL301" s="7" t="n">
        <v>-0.08</v>
      </c>
      <c r="AM301" s="7" t="n">
        <v>0.096</v>
      </c>
      <c r="AN301" s="7" t="n">
        <v>-0.676</v>
      </c>
      <c r="AO301" s="7" t="n">
        <v>-0.284</v>
      </c>
      <c r="AP301" s="7" t="n">
        <v>-0.243</v>
      </c>
      <c r="AQ301" s="7" t="n">
        <v>0</v>
      </c>
    </row>
    <row r="302" customFormat="false" ht="15" hidden="false" customHeight="false" outlineLevel="0" collapsed="false">
      <c r="A302" s="23" t="n">
        <v>46619</v>
      </c>
      <c r="B302" s="7" t="n">
        <v>-0.128</v>
      </c>
      <c r="C302" s="7" t="n">
        <v>-0.308</v>
      </c>
      <c r="D302" s="7" t="n">
        <v>0</v>
      </c>
      <c r="E302" s="7" t="n">
        <v>-0.571</v>
      </c>
      <c r="F302" s="7" t="n">
        <v>0.084</v>
      </c>
      <c r="G302" s="7" t="n">
        <v>-0.004</v>
      </c>
      <c r="H302" s="7" t="n">
        <v>-0.273</v>
      </c>
      <c r="I302" s="7" t="n">
        <v>-0.197</v>
      </c>
      <c r="J302" s="7" t="n">
        <v>-0.202</v>
      </c>
      <c r="K302" s="7" t="n">
        <v>0.285</v>
      </c>
      <c r="L302" s="7" t="n">
        <v>-0.296</v>
      </c>
      <c r="M302" s="7" t="n">
        <v>-0.527</v>
      </c>
      <c r="N302" s="7" t="n">
        <v>-0.112</v>
      </c>
      <c r="O302" s="7" t="n">
        <v>-0.165</v>
      </c>
      <c r="P302" s="7" t="n">
        <v>0.246</v>
      </c>
      <c r="Q302" s="7" t="n">
        <v>0.235</v>
      </c>
      <c r="R302" s="7" t="n">
        <v>-0.278</v>
      </c>
      <c r="S302" s="7" t="n">
        <v>-0.34</v>
      </c>
      <c r="T302" s="7" t="n">
        <v>-0.279</v>
      </c>
      <c r="U302" s="7" t="n">
        <v>-0.173</v>
      </c>
      <c r="V302" s="7" t="n">
        <v>-0.221</v>
      </c>
      <c r="W302" s="7" t="n">
        <v>0</v>
      </c>
      <c r="X302" s="7" t="n">
        <v>0.011</v>
      </c>
      <c r="Y302" s="7" t="n">
        <v>-0.07</v>
      </c>
      <c r="Z302" s="7" t="n">
        <v>-0.34</v>
      </c>
      <c r="AA302" s="7" t="n">
        <v>-0.278</v>
      </c>
      <c r="AB302" s="7" t="n">
        <v>-0.266</v>
      </c>
      <c r="AC302" s="7" t="n">
        <v>0.048</v>
      </c>
      <c r="AD302" s="7" t="n">
        <v>-0.34</v>
      </c>
      <c r="AE302" s="7" t="n">
        <v>-0.112</v>
      </c>
      <c r="AF302" s="7" t="n">
        <v>-0.242</v>
      </c>
      <c r="AG302" s="7" t="n">
        <v>-0.004</v>
      </c>
      <c r="AH302" s="7" t="n">
        <v>-0.147</v>
      </c>
      <c r="AI302" s="7" t="n">
        <v>0.048</v>
      </c>
      <c r="AJ302" s="7" t="n">
        <v>-0.294</v>
      </c>
      <c r="AK302" s="7" t="n">
        <v>-0.294</v>
      </c>
      <c r="AL302" s="7" t="n">
        <v>-0.018</v>
      </c>
      <c r="AM302" s="7" t="n">
        <v>0</v>
      </c>
      <c r="AN302" s="7" t="n">
        <v>-0.294</v>
      </c>
      <c r="AO302" s="7" t="n">
        <v>-0.411</v>
      </c>
      <c r="AP302" s="7" t="n">
        <v>-0.34</v>
      </c>
      <c r="AQ302" s="7" t="n">
        <v>0.048</v>
      </c>
    </row>
    <row r="303" customFormat="false" ht="15" hidden="false" customHeight="false" outlineLevel="0" collapsed="false">
      <c r="A303" s="23" t="n">
        <v>46620</v>
      </c>
      <c r="B303" s="7" t="n">
        <v>0.886</v>
      </c>
      <c r="C303" s="7" t="n">
        <v>0.849</v>
      </c>
      <c r="D303" s="7" t="n">
        <v>0.004</v>
      </c>
      <c r="E303" s="7" t="n">
        <v>0.677</v>
      </c>
      <c r="F303" s="7" t="n">
        <v>0.889</v>
      </c>
      <c r="G303" s="7" t="n">
        <v>0.088</v>
      </c>
      <c r="H303" s="7" t="n">
        <v>-0.046</v>
      </c>
      <c r="I303" s="7" t="n">
        <v>0.408</v>
      </c>
      <c r="J303" s="7" t="n">
        <v>0.274</v>
      </c>
      <c r="K303" s="7" t="n">
        <v>0.974</v>
      </c>
      <c r="L303" s="7" t="n">
        <v>0.555</v>
      </c>
      <c r="M303" s="7" t="n">
        <v>-0.184</v>
      </c>
      <c r="N303" s="7" t="n">
        <v>0.84</v>
      </c>
      <c r="O303" s="7" t="n">
        <v>0.824</v>
      </c>
      <c r="P303" s="7" t="n">
        <v>0.172</v>
      </c>
      <c r="Q303" s="7" t="n">
        <v>0.234</v>
      </c>
      <c r="R303" s="7" t="n">
        <v>-0.046</v>
      </c>
      <c r="S303" s="7" t="n">
        <v>0.714</v>
      </c>
      <c r="T303" s="7" t="n">
        <v>0.144</v>
      </c>
      <c r="U303" s="7" t="n">
        <v>0.147</v>
      </c>
      <c r="V303" s="7" t="n">
        <v>-0.046</v>
      </c>
      <c r="W303" s="7" t="n">
        <v>0</v>
      </c>
      <c r="X303" s="7" t="n">
        <v>0.338</v>
      </c>
      <c r="Y303" s="7" t="n">
        <v>0.018</v>
      </c>
      <c r="Z303" s="7" t="n">
        <v>0.909</v>
      </c>
      <c r="AA303" s="7" t="n">
        <v>-0.05</v>
      </c>
      <c r="AB303" s="7" t="n">
        <v>0.188</v>
      </c>
      <c r="AC303" s="7" t="n">
        <v>0.43</v>
      </c>
      <c r="AD303" s="7" t="n">
        <v>0.794</v>
      </c>
      <c r="AE303" s="7" t="n">
        <v>0.84</v>
      </c>
      <c r="AF303" s="7" t="n">
        <v>0.426</v>
      </c>
      <c r="AG303" s="7" t="n">
        <v>0.084</v>
      </c>
      <c r="AH303" s="7" t="n">
        <v>0.263</v>
      </c>
      <c r="AI303" s="7" t="n">
        <v>0.043</v>
      </c>
      <c r="AJ303" s="7" t="n">
        <v>0.354</v>
      </c>
      <c r="AK303" s="7" t="n">
        <v>0.35</v>
      </c>
      <c r="AL303" s="7" t="n">
        <v>-0.018</v>
      </c>
      <c r="AM303" s="7" t="n">
        <v>0</v>
      </c>
      <c r="AN303" s="7" t="n">
        <v>-0.046</v>
      </c>
      <c r="AO303" s="7" t="n">
        <v>0.725</v>
      </c>
      <c r="AP303" s="7" t="n">
        <v>0.524</v>
      </c>
      <c r="AQ303" s="7" t="n">
        <v>0.043</v>
      </c>
    </row>
    <row r="304" customFormat="false" ht="15" hidden="false" customHeight="false" outlineLevel="0" collapsed="false">
      <c r="A304" s="23" t="n">
        <v>46621</v>
      </c>
      <c r="B304" s="7" t="n">
        <v>-0.215</v>
      </c>
      <c r="C304" s="7" t="n">
        <v>-0.538</v>
      </c>
      <c r="D304" s="7" t="n">
        <v>0.04</v>
      </c>
      <c r="E304" s="7" t="n">
        <v>-0.618</v>
      </c>
      <c r="F304" s="7" t="n">
        <v>-0.299</v>
      </c>
      <c r="G304" s="7" t="n">
        <v>0.022</v>
      </c>
      <c r="H304" s="7" t="n">
        <v>-0.187</v>
      </c>
      <c r="I304" s="7" t="n">
        <v>-0.044</v>
      </c>
      <c r="J304" s="7" t="n">
        <v>-0.055</v>
      </c>
      <c r="K304" s="7" t="n">
        <v>0.217</v>
      </c>
      <c r="L304" s="7" t="n">
        <v>-0.382</v>
      </c>
      <c r="M304" s="7" t="n">
        <v>-0.523</v>
      </c>
      <c r="N304" s="7" t="n">
        <v>-0.466</v>
      </c>
      <c r="O304" s="7" t="n">
        <v>-0.079</v>
      </c>
      <c r="P304" s="7" t="n">
        <v>0.211</v>
      </c>
      <c r="Q304" s="7" t="n">
        <v>0.208</v>
      </c>
      <c r="R304" s="7" t="n">
        <v>-0.108</v>
      </c>
      <c r="S304" s="7" t="n">
        <v>0.103</v>
      </c>
      <c r="T304" s="7" t="n">
        <v>-0.365</v>
      </c>
      <c r="U304" s="7" t="n">
        <v>-0.236</v>
      </c>
      <c r="V304" s="7" t="n">
        <v>0</v>
      </c>
      <c r="W304" s="7" t="n">
        <v>0</v>
      </c>
      <c r="X304" s="7" t="n">
        <v>0.003</v>
      </c>
      <c r="Y304" s="7" t="n">
        <v>0.158</v>
      </c>
      <c r="Z304" s="7" t="n">
        <v>-0.402</v>
      </c>
      <c r="AA304" s="7" t="n">
        <v>-0.325</v>
      </c>
      <c r="AB304" s="7" t="n">
        <v>-0.337</v>
      </c>
      <c r="AC304" s="7" t="n">
        <v>0</v>
      </c>
      <c r="AD304" s="7" t="n">
        <v>-0.195</v>
      </c>
      <c r="AE304" s="7" t="n">
        <v>-0.466</v>
      </c>
      <c r="AF304" s="7" t="n">
        <v>-0.287</v>
      </c>
      <c r="AG304" s="7" t="n">
        <v>0.42</v>
      </c>
      <c r="AH304" s="7" t="n">
        <v>-0.09</v>
      </c>
      <c r="AI304" s="7" t="n">
        <v>0.024</v>
      </c>
      <c r="AJ304" s="7" t="n">
        <v>0.155</v>
      </c>
      <c r="AK304" s="7" t="n">
        <v>-0.072</v>
      </c>
      <c r="AL304" s="7" t="n">
        <v>0.214</v>
      </c>
      <c r="AM304" s="7" t="n">
        <v>0.024</v>
      </c>
      <c r="AN304" s="7" t="n">
        <v>0.132</v>
      </c>
      <c r="AO304" s="7" t="n">
        <v>-0.466</v>
      </c>
      <c r="AP304" s="7" t="n">
        <v>-0.402</v>
      </c>
      <c r="AQ304" s="7" t="n">
        <v>0</v>
      </c>
    </row>
    <row r="305" customFormat="false" ht="15" hidden="false" customHeight="false" outlineLevel="0" collapsed="false">
      <c r="A305" s="23" t="n">
        <v>46622</v>
      </c>
      <c r="B305" s="7" t="n">
        <v>-0.271</v>
      </c>
      <c r="C305" s="7" t="n">
        <v>-0.505</v>
      </c>
      <c r="D305" s="7" t="n">
        <v>-0.2</v>
      </c>
      <c r="E305" s="7" t="n">
        <v>-0.492</v>
      </c>
      <c r="F305" s="7" t="n">
        <v>-0.008</v>
      </c>
      <c r="G305" s="7" t="n">
        <v>-0.572</v>
      </c>
      <c r="H305" s="7" t="n">
        <v>-0.39</v>
      </c>
      <c r="I305" s="7" t="n">
        <v>-0.241</v>
      </c>
      <c r="J305" s="7" t="n">
        <v>0.029</v>
      </c>
      <c r="K305" s="7" t="n">
        <v>0.275</v>
      </c>
      <c r="L305" s="7" t="n">
        <v>-0.375</v>
      </c>
      <c r="M305" s="7" t="n">
        <v>-0.496</v>
      </c>
      <c r="N305" s="7" t="n">
        <v>-0.202</v>
      </c>
      <c r="O305" s="7" t="n">
        <v>-0.225</v>
      </c>
      <c r="P305" s="7" t="n">
        <v>-0.145</v>
      </c>
      <c r="Q305" s="7" t="n">
        <v>0.042</v>
      </c>
      <c r="R305" s="7" t="n">
        <v>-0.325</v>
      </c>
      <c r="S305" s="7" t="n">
        <v>-0.238</v>
      </c>
      <c r="T305" s="7" t="n">
        <v>0.131</v>
      </c>
      <c r="U305" s="7" t="n">
        <v>0.063</v>
      </c>
      <c r="V305" s="7" t="n">
        <v>-0.208</v>
      </c>
      <c r="W305" s="7" t="n">
        <v>-0.095</v>
      </c>
      <c r="X305" s="7" t="n">
        <v>-0.277</v>
      </c>
      <c r="Y305" s="7" t="n">
        <v>-0.27</v>
      </c>
      <c r="Z305" s="7" t="n">
        <v>-0.238</v>
      </c>
      <c r="AA305" s="7" t="n">
        <v>-0.31</v>
      </c>
      <c r="AB305" s="7" t="n">
        <v>-0.26</v>
      </c>
      <c r="AC305" s="7" t="n">
        <v>-0.184</v>
      </c>
      <c r="AD305" s="7" t="n">
        <v>-0.254</v>
      </c>
      <c r="AE305" s="7" t="n">
        <v>-0.202</v>
      </c>
      <c r="AF305" s="7" t="n">
        <v>-0.1</v>
      </c>
      <c r="AG305" s="7" t="n">
        <v>-0.226</v>
      </c>
      <c r="AH305" s="7" t="n">
        <v>-0.021</v>
      </c>
      <c r="AI305" s="7" t="n">
        <v>-0.056</v>
      </c>
      <c r="AJ305" s="7" t="n">
        <v>-0.078</v>
      </c>
      <c r="AK305" s="7" t="n">
        <v>-0.062</v>
      </c>
      <c r="AL305" s="7" t="n">
        <v>-0.121</v>
      </c>
      <c r="AM305" s="7" t="n">
        <v>0.034</v>
      </c>
      <c r="AN305" s="7" t="n">
        <v>-0.112</v>
      </c>
      <c r="AO305" s="7" t="n">
        <v>-0.243</v>
      </c>
      <c r="AP305" s="7" t="n">
        <v>-0.238</v>
      </c>
      <c r="AQ305" s="7" t="n">
        <v>-0.09</v>
      </c>
    </row>
    <row r="306" customFormat="false" ht="15" hidden="false" customHeight="false" outlineLevel="0" collapsed="false">
      <c r="A306" s="23" t="n">
        <v>46623</v>
      </c>
      <c r="B306" s="7" t="n">
        <v>0.267</v>
      </c>
      <c r="C306" s="7" t="n">
        <v>0.088</v>
      </c>
      <c r="D306" s="7" t="n">
        <v>0.138</v>
      </c>
      <c r="E306" s="7" t="n">
        <v>-0.483</v>
      </c>
      <c r="F306" s="7" t="n">
        <v>0.503</v>
      </c>
      <c r="G306" s="7" t="n">
        <v>-0.235</v>
      </c>
      <c r="H306" s="7" t="n">
        <v>-0.147</v>
      </c>
      <c r="I306" s="7" t="n">
        <v>-0.073</v>
      </c>
      <c r="J306" s="7" t="n">
        <v>-0.075</v>
      </c>
      <c r="K306" s="7" t="n">
        <v>0.285</v>
      </c>
      <c r="L306" s="7" t="n">
        <v>0.481</v>
      </c>
      <c r="M306" s="7" t="n">
        <v>-0.539</v>
      </c>
      <c r="N306" s="7" t="n">
        <v>0.343</v>
      </c>
      <c r="O306" s="7" t="n">
        <v>0.27</v>
      </c>
      <c r="P306" s="7" t="n">
        <v>0.642</v>
      </c>
      <c r="Q306" s="7" t="n">
        <v>0.745</v>
      </c>
      <c r="R306" s="7" t="n">
        <v>-0.07</v>
      </c>
      <c r="S306" s="7" t="n">
        <v>-0.228</v>
      </c>
      <c r="T306" s="7" t="n">
        <v>0.11</v>
      </c>
      <c r="U306" s="7" t="n">
        <v>0.595</v>
      </c>
      <c r="V306" s="7" t="n">
        <v>-0.005</v>
      </c>
      <c r="W306" s="7" t="n">
        <v>0.215</v>
      </c>
      <c r="X306" s="7" t="n">
        <v>0.019</v>
      </c>
      <c r="Y306" s="7" t="n">
        <v>-0.302</v>
      </c>
      <c r="Z306" s="7" t="n">
        <v>-0.228</v>
      </c>
      <c r="AA306" s="7" t="n">
        <v>-0.318</v>
      </c>
      <c r="AB306" s="7" t="n">
        <v>-0.355</v>
      </c>
      <c r="AC306" s="7" t="n">
        <v>0.639</v>
      </c>
      <c r="AD306" s="7" t="n">
        <v>0.027</v>
      </c>
      <c r="AE306" s="7" t="n">
        <v>0.343</v>
      </c>
      <c r="AF306" s="7" t="n">
        <v>0.621</v>
      </c>
      <c r="AG306" s="7" t="n">
        <v>0.032</v>
      </c>
      <c r="AH306" s="7" t="n">
        <v>-0.129</v>
      </c>
      <c r="AI306" s="7" t="n">
        <v>0.491</v>
      </c>
      <c r="AJ306" s="7" t="n">
        <v>0.162</v>
      </c>
      <c r="AK306" s="7" t="n">
        <v>-0.096</v>
      </c>
      <c r="AL306" s="7" t="n">
        <v>0.63</v>
      </c>
      <c r="AM306" s="7" t="n">
        <v>0</v>
      </c>
      <c r="AN306" s="7" t="n">
        <v>0.162</v>
      </c>
      <c r="AO306" s="7" t="n">
        <v>-0.298</v>
      </c>
      <c r="AP306" s="7" t="n">
        <v>-0.228</v>
      </c>
      <c r="AQ306" s="7" t="n">
        <v>0.491</v>
      </c>
    </row>
    <row r="307" customFormat="false" ht="15" hidden="false" customHeight="false" outlineLevel="0" collapsed="false">
      <c r="A307" s="23" t="n">
        <v>46624</v>
      </c>
      <c r="B307" s="7" t="n">
        <v>-0.546</v>
      </c>
      <c r="C307" s="7" t="n">
        <v>-0.485</v>
      </c>
      <c r="D307" s="7" t="n">
        <v>-0.076</v>
      </c>
      <c r="E307" s="7" t="n">
        <v>-0.584</v>
      </c>
      <c r="F307" s="7" t="n">
        <v>-0.309</v>
      </c>
      <c r="G307" s="7" t="n">
        <v>-0.076</v>
      </c>
      <c r="H307" s="7" t="n">
        <v>-0.473</v>
      </c>
      <c r="I307" s="7" t="n">
        <v>-0.487</v>
      </c>
      <c r="J307" s="7" t="n">
        <v>-0.126</v>
      </c>
      <c r="K307" s="7" t="n">
        <v>0.221</v>
      </c>
      <c r="L307" s="7" t="n">
        <v>-0.426</v>
      </c>
      <c r="M307" s="7" t="n">
        <v>-0.631</v>
      </c>
      <c r="N307" s="7" t="n">
        <v>-0.421</v>
      </c>
      <c r="O307" s="7" t="n">
        <v>-0.856</v>
      </c>
      <c r="P307" s="7" t="n">
        <v>-0.375</v>
      </c>
      <c r="Q307" s="7" t="n">
        <v>-0.007</v>
      </c>
      <c r="R307" s="7" t="n">
        <v>-0.389</v>
      </c>
      <c r="S307" s="7" t="n">
        <v>-0.183</v>
      </c>
      <c r="T307" s="7" t="n">
        <v>0.184</v>
      </c>
      <c r="U307" s="7" t="n">
        <v>-0.711</v>
      </c>
      <c r="V307" s="7" t="n">
        <v>-0.791</v>
      </c>
      <c r="W307" s="7" t="n">
        <v>-0.236</v>
      </c>
      <c r="X307" s="7" t="n">
        <v>-0.205</v>
      </c>
      <c r="Y307" s="7" t="n">
        <v>-0.723</v>
      </c>
      <c r="Z307" s="7" t="n">
        <v>-0.183</v>
      </c>
      <c r="AA307" s="7" t="n">
        <v>-0.322</v>
      </c>
      <c r="AB307" s="7" t="n">
        <v>-0.544</v>
      </c>
      <c r="AC307" s="7" t="n">
        <v>-0.214</v>
      </c>
      <c r="AD307" s="7" t="n">
        <v>-0.208</v>
      </c>
      <c r="AE307" s="7" t="n">
        <v>-0.421</v>
      </c>
      <c r="AF307" s="7" t="n">
        <v>-0.275</v>
      </c>
      <c r="AG307" s="7" t="n">
        <v>-0.545</v>
      </c>
      <c r="AH307" s="7" t="n">
        <v>-0.627</v>
      </c>
      <c r="AI307" s="7" t="n">
        <v>-0.422</v>
      </c>
      <c r="AJ307" s="7" t="n">
        <v>-0.152</v>
      </c>
      <c r="AK307" s="7" t="n">
        <v>-0.077</v>
      </c>
      <c r="AL307" s="7" t="n">
        <v>-0.813</v>
      </c>
      <c r="AM307" s="7" t="n">
        <v>-0.053</v>
      </c>
      <c r="AN307" s="7" t="n">
        <v>-0.1</v>
      </c>
      <c r="AO307" s="7" t="n">
        <v>-0.702</v>
      </c>
      <c r="AP307" s="7" t="n">
        <v>-0.183</v>
      </c>
      <c r="AQ307" s="7" t="n">
        <v>-0.377</v>
      </c>
    </row>
    <row r="308" customFormat="false" ht="15" hidden="false" customHeight="false" outlineLevel="0" collapsed="false">
      <c r="A308" s="23" t="n">
        <v>46625</v>
      </c>
      <c r="B308" s="7" t="n">
        <v>-0.798</v>
      </c>
      <c r="C308" s="7" t="n">
        <v>-0.607</v>
      </c>
      <c r="D308" s="7" t="n">
        <v>-0.572</v>
      </c>
      <c r="E308" s="7" t="n">
        <v>-0.594</v>
      </c>
      <c r="F308" s="7" t="n">
        <v>-0.414</v>
      </c>
      <c r="G308" s="7" t="n">
        <v>-0.712</v>
      </c>
      <c r="H308" s="7" t="n">
        <v>-0.756</v>
      </c>
      <c r="I308" s="7" t="n">
        <v>-0.804</v>
      </c>
      <c r="J308" s="7" t="n">
        <v>-0.124</v>
      </c>
      <c r="K308" s="7" t="n">
        <v>0.199</v>
      </c>
      <c r="L308" s="7" t="n">
        <v>-0.566</v>
      </c>
      <c r="M308" s="7" t="n">
        <v>-0.639</v>
      </c>
      <c r="N308" s="7" t="n">
        <v>-0.498</v>
      </c>
      <c r="O308" s="7" t="n">
        <v>-0.85</v>
      </c>
      <c r="P308" s="7" t="n">
        <v>-0.732</v>
      </c>
      <c r="Q308" s="7" t="n">
        <v>-0.209</v>
      </c>
      <c r="R308" s="7" t="n">
        <v>-0.748</v>
      </c>
      <c r="S308" s="7" t="n">
        <v>-0.183</v>
      </c>
      <c r="T308" s="7" t="n">
        <v>0.095</v>
      </c>
      <c r="U308" s="7" t="n">
        <v>-0.26</v>
      </c>
      <c r="V308" s="7" t="n">
        <v>-0.778</v>
      </c>
      <c r="W308" s="7" t="n">
        <v>-0.376</v>
      </c>
      <c r="X308" s="7" t="n">
        <v>-0.655</v>
      </c>
      <c r="Y308" s="7" t="n">
        <v>-0.251</v>
      </c>
      <c r="Z308" s="7" t="n">
        <v>-0.183</v>
      </c>
      <c r="AA308" s="7" t="n">
        <v>-0.377</v>
      </c>
      <c r="AB308" s="7" t="n">
        <v>-0.554</v>
      </c>
      <c r="AC308" s="7" t="n">
        <v>-0.383</v>
      </c>
      <c r="AD308" s="7" t="n">
        <v>-0.61</v>
      </c>
      <c r="AE308" s="7" t="n">
        <v>-0.438</v>
      </c>
      <c r="AF308" s="7" t="n">
        <v>-0.353</v>
      </c>
      <c r="AG308" s="7" t="n">
        <v>0</v>
      </c>
      <c r="AH308" s="7" t="n">
        <v>-0.083</v>
      </c>
      <c r="AI308" s="7" t="n">
        <v>-0.375</v>
      </c>
      <c r="AJ308" s="7" t="n">
        <v>-0.618</v>
      </c>
      <c r="AK308" s="7" t="n">
        <v>-0.148</v>
      </c>
      <c r="AL308" s="7" t="n">
        <v>-0.729</v>
      </c>
      <c r="AM308" s="7" t="n">
        <v>-0.053</v>
      </c>
      <c r="AN308" s="7" t="n">
        <v>-0.584</v>
      </c>
      <c r="AO308" s="7" t="n">
        <v>-0.251</v>
      </c>
      <c r="AP308" s="7" t="n">
        <v>-0.183</v>
      </c>
      <c r="AQ308" s="7" t="n">
        <v>-0.328</v>
      </c>
    </row>
    <row r="309" customFormat="false" ht="15" hidden="false" customHeight="false" outlineLevel="0" collapsed="false">
      <c r="A309" s="23" t="n">
        <v>46626</v>
      </c>
      <c r="B309" s="7" t="n">
        <v>-0.088</v>
      </c>
      <c r="C309" s="7" t="n">
        <v>-0.453</v>
      </c>
      <c r="D309" s="7" t="n">
        <v>0.088</v>
      </c>
      <c r="E309" s="7" t="n">
        <v>-0.302</v>
      </c>
      <c r="F309" s="7" t="n">
        <v>-0.166</v>
      </c>
      <c r="G309" s="7" t="n">
        <v>-0.294</v>
      </c>
      <c r="H309" s="7" t="n">
        <v>0.323</v>
      </c>
      <c r="I309" s="7" t="n">
        <v>-0.422</v>
      </c>
      <c r="J309" s="7" t="n">
        <v>-0.083</v>
      </c>
      <c r="K309" s="7" t="n">
        <v>0.843</v>
      </c>
      <c r="L309" s="7" t="n">
        <v>-0.319</v>
      </c>
      <c r="M309" s="7" t="n">
        <v>-0.585</v>
      </c>
      <c r="N309" s="7" t="n">
        <v>-0.349</v>
      </c>
      <c r="O309" s="7" t="n">
        <v>-0.075</v>
      </c>
      <c r="P309" s="7" t="n">
        <v>0.018</v>
      </c>
      <c r="Q309" s="7" t="n">
        <v>0.184</v>
      </c>
      <c r="R309" s="7" t="n">
        <v>0.273</v>
      </c>
      <c r="S309" s="7" t="n">
        <v>0.186</v>
      </c>
      <c r="T309" s="7" t="n">
        <v>0.098</v>
      </c>
      <c r="U309" s="7" t="n">
        <v>0.61</v>
      </c>
      <c r="V309" s="7" t="n">
        <v>0.248</v>
      </c>
      <c r="W309" s="7" t="n">
        <v>0</v>
      </c>
      <c r="X309" s="7" t="n">
        <v>-0.166</v>
      </c>
      <c r="Y309" s="7" t="n">
        <v>0.238</v>
      </c>
      <c r="Z309" s="7" t="n">
        <v>0.558</v>
      </c>
      <c r="AA309" s="7" t="n">
        <v>0.306</v>
      </c>
      <c r="AB309" s="7" t="n">
        <v>-0.361</v>
      </c>
      <c r="AC309" s="7" t="n">
        <v>-0.008</v>
      </c>
      <c r="AD309" s="7" t="n">
        <v>0.542</v>
      </c>
      <c r="AE309" s="7" t="n">
        <v>-0.243</v>
      </c>
      <c r="AF309" s="7" t="n">
        <v>0.159</v>
      </c>
      <c r="AG309" s="7" t="n">
        <v>0</v>
      </c>
      <c r="AH309" s="7" t="n">
        <v>-0.11</v>
      </c>
      <c r="AI309" s="7" t="n">
        <v>-0.024</v>
      </c>
      <c r="AJ309" s="7" t="n">
        <v>-0.147</v>
      </c>
      <c r="AK309" s="7" t="n">
        <v>-0.111</v>
      </c>
      <c r="AL309" s="7" t="n">
        <v>-0.087</v>
      </c>
      <c r="AM309" s="7" t="n">
        <v>-0.016</v>
      </c>
      <c r="AN309" s="7" t="n">
        <v>0.453</v>
      </c>
      <c r="AO309" s="7" t="n">
        <v>-0.357</v>
      </c>
      <c r="AP309" s="7" t="n">
        <v>-0.298</v>
      </c>
      <c r="AQ309" s="7" t="n">
        <v>-0.008</v>
      </c>
    </row>
    <row r="310" customFormat="false" ht="15" hidden="false" customHeight="false" outlineLevel="0" collapsed="false">
      <c r="A310" s="23" t="n">
        <v>46627</v>
      </c>
      <c r="B310" s="7" t="n">
        <v>-0.487</v>
      </c>
      <c r="C310" s="7" t="n">
        <v>-0.852</v>
      </c>
      <c r="D310" s="7" t="n">
        <v>-0.02</v>
      </c>
      <c r="E310" s="7" t="n">
        <v>-0.131</v>
      </c>
      <c r="F310" s="7" t="n">
        <v>-0.675</v>
      </c>
      <c r="G310" s="7" t="n">
        <v>-0.216</v>
      </c>
      <c r="H310" s="7" t="n">
        <v>-0.115</v>
      </c>
      <c r="I310" s="7" t="n">
        <v>-0.161</v>
      </c>
      <c r="J310" s="7" t="n">
        <v>-0.906</v>
      </c>
      <c r="K310" s="7" t="n">
        <v>0.843</v>
      </c>
      <c r="L310" s="7" t="n">
        <v>-0.17</v>
      </c>
      <c r="M310" s="7" t="n">
        <v>-0.934</v>
      </c>
      <c r="N310" s="7" t="n">
        <v>-0.768</v>
      </c>
      <c r="O310" s="7" t="n">
        <v>-0.866</v>
      </c>
      <c r="P310" s="7" t="n">
        <v>0.037</v>
      </c>
      <c r="Q310" s="7" t="n">
        <v>0.186</v>
      </c>
      <c r="R310" s="7" t="n">
        <v>-0.115</v>
      </c>
      <c r="S310" s="7" t="n">
        <v>0.356</v>
      </c>
      <c r="T310" s="7" t="n">
        <v>0.1</v>
      </c>
      <c r="U310" s="7" t="n">
        <v>0.279</v>
      </c>
      <c r="V310" s="7" t="n">
        <v>-0.115</v>
      </c>
      <c r="W310" s="7" t="n">
        <v>0</v>
      </c>
      <c r="X310" s="7" t="n">
        <v>-0.15</v>
      </c>
      <c r="Y310" s="7" t="n">
        <v>-0.234</v>
      </c>
      <c r="Z310" s="7" t="n">
        <v>0.675</v>
      </c>
      <c r="AA310" s="7" t="n">
        <v>-0.096</v>
      </c>
      <c r="AB310" s="7" t="n">
        <v>-0.93</v>
      </c>
      <c r="AC310" s="7" t="n">
        <v>-0.008</v>
      </c>
      <c r="AD310" s="7" t="n">
        <v>0.185</v>
      </c>
      <c r="AE310" s="7" t="n">
        <v>-0.768</v>
      </c>
      <c r="AF310" s="7" t="n">
        <v>0.152</v>
      </c>
      <c r="AG310" s="7" t="n">
        <v>0</v>
      </c>
      <c r="AH310" s="7" t="n">
        <v>-0.79</v>
      </c>
      <c r="AI310" s="7" t="n">
        <v>-0.055</v>
      </c>
      <c r="AJ310" s="7" t="n">
        <v>-0.161</v>
      </c>
      <c r="AK310" s="7" t="n">
        <v>-0.142</v>
      </c>
      <c r="AL310" s="7" t="n">
        <v>-0.777</v>
      </c>
      <c r="AM310" s="7" t="n">
        <v>-0.046</v>
      </c>
      <c r="AN310" s="7" t="n">
        <v>-0.115</v>
      </c>
      <c r="AO310" s="7" t="n">
        <v>-0.818</v>
      </c>
      <c r="AP310" s="7" t="n">
        <v>-0.117</v>
      </c>
      <c r="AQ310" s="7" t="n">
        <v>-0.008</v>
      </c>
    </row>
    <row r="311" customFormat="false" ht="15" hidden="false" customHeight="false" outlineLevel="0" collapsed="false">
      <c r="A311" s="23" t="n">
        <v>46628</v>
      </c>
      <c r="B311" s="7" t="n">
        <v>-0.568</v>
      </c>
      <c r="C311" s="7" t="n">
        <v>-0.947</v>
      </c>
      <c r="D311" s="7" t="n">
        <v>-0.08</v>
      </c>
      <c r="E311" s="7" t="n">
        <v>-0.39</v>
      </c>
      <c r="F311" s="7" t="n">
        <v>-0.239</v>
      </c>
      <c r="G311" s="7" t="n">
        <v>-0.08</v>
      </c>
      <c r="H311" s="7" t="n">
        <v>-0.952</v>
      </c>
      <c r="I311" s="7" t="n">
        <v>-0.976</v>
      </c>
      <c r="J311" s="7" t="n">
        <v>-0.547</v>
      </c>
      <c r="K311" s="7" t="n">
        <v>0.095</v>
      </c>
      <c r="L311" s="7" t="n">
        <v>-0.524</v>
      </c>
      <c r="M311" s="7" t="n">
        <v>-0.264</v>
      </c>
      <c r="N311" s="7" t="n">
        <v>-0.518</v>
      </c>
      <c r="O311" s="7" t="n">
        <v>-0.428</v>
      </c>
      <c r="P311" s="7" t="n">
        <v>-0.02</v>
      </c>
      <c r="Q311" s="7" t="n">
        <v>0.189</v>
      </c>
      <c r="R311" s="7" t="n">
        <v>-0.952</v>
      </c>
      <c r="S311" s="7" t="n">
        <v>-0.116</v>
      </c>
      <c r="T311" s="7" t="n">
        <v>-0.941</v>
      </c>
      <c r="U311" s="7" t="n">
        <v>-0.089</v>
      </c>
      <c r="V311" s="7" t="n">
        <v>-0.94</v>
      </c>
      <c r="W311" s="7" t="n">
        <v>0</v>
      </c>
      <c r="X311" s="7" t="n">
        <v>-0.208</v>
      </c>
      <c r="Y311" s="7" t="n">
        <v>-0.035</v>
      </c>
      <c r="Z311" s="7" t="n">
        <v>-0.116</v>
      </c>
      <c r="AA311" s="7" t="n">
        <v>-0.943</v>
      </c>
      <c r="AB311" s="7" t="n">
        <v>-0.771</v>
      </c>
      <c r="AC311" s="7" t="n">
        <v>-0.009</v>
      </c>
      <c r="AD311" s="7" t="n">
        <v>-0.194</v>
      </c>
      <c r="AE311" s="7" t="n">
        <v>-0.182</v>
      </c>
      <c r="AF311" s="7" t="n">
        <v>-0.295</v>
      </c>
      <c r="AG311" s="7" t="n">
        <v>0</v>
      </c>
      <c r="AH311" s="7" t="n">
        <v>-0.093</v>
      </c>
      <c r="AI311" s="7" t="n">
        <v>-0.435</v>
      </c>
      <c r="AJ311" s="7" t="n">
        <v>-0.942</v>
      </c>
      <c r="AK311" s="7" t="n">
        <v>-0.933</v>
      </c>
      <c r="AL311" s="7" t="n">
        <v>-0.123</v>
      </c>
      <c r="AM311" s="7" t="n">
        <v>-0.428</v>
      </c>
      <c r="AN311" s="7" t="n">
        <v>-0.862</v>
      </c>
      <c r="AO311" s="7" t="n">
        <v>-0.173</v>
      </c>
      <c r="AP311" s="7" t="n">
        <v>-0.116</v>
      </c>
      <c r="AQ311" s="7" t="n">
        <v>-0.009</v>
      </c>
    </row>
    <row r="312" customFormat="false" ht="15" hidden="false" customHeight="false" outlineLevel="0" collapsed="false">
      <c r="A312" s="23" t="n">
        <v>46629</v>
      </c>
      <c r="B312" s="7" t="n">
        <v>0.285</v>
      </c>
      <c r="C312" s="7" t="n">
        <v>0.006</v>
      </c>
      <c r="D312" s="7" t="n">
        <v>-0.079</v>
      </c>
      <c r="E312" s="7" t="n">
        <v>0.485</v>
      </c>
      <c r="F312" s="7" t="n">
        <v>0.543</v>
      </c>
      <c r="G312" s="7" t="n">
        <v>-0.079</v>
      </c>
      <c r="H312" s="7" t="n">
        <v>-0.173</v>
      </c>
      <c r="I312" s="7" t="n">
        <v>-0.832</v>
      </c>
      <c r="J312" s="7" t="n">
        <v>-0.527</v>
      </c>
      <c r="K312" s="7" t="n">
        <v>0.934</v>
      </c>
      <c r="L312" s="7" t="n">
        <v>0.048</v>
      </c>
      <c r="M312" s="7" t="n">
        <v>-0.184</v>
      </c>
      <c r="N312" s="7" t="n">
        <v>0.257</v>
      </c>
      <c r="O312" s="7" t="n">
        <v>0.151</v>
      </c>
      <c r="P312" s="7" t="n">
        <v>-0.017</v>
      </c>
      <c r="Q312" s="7" t="n">
        <v>0.191</v>
      </c>
      <c r="R312" s="7" t="n">
        <v>-0.173</v>
      </c>
      <c r="S312" s="7" t="n">
        <v>0.636</v>
      </c>
      <c r="T312" s="7" t="n">
        <v>0.106</v>
      </c>
      <c r="U312" s="7" t="n">
        <v>0.082</v>
      </c>
      <c r="V312" s="7" t="n">
        <v>-0.554</v>
      </c>
      <c r="W312" s="7" t="n">
        <v>0</v>
      </c>
      <c r="X312" s="7" t="n">
        <v>-0.207</v>
      </c>
      <c r="Y312" s="7" t="n">
        <v>-0.031</v>
      </c>
      <c r="Z312" s="7" t="n">
        <v>0.905</v>
      </c>
      <c r="AA312" s="7" t="n">
        <v>-0.096</v>
      </c>
      <c r="AB312" s="7" t="n">
        <v>-0.816</v>
      </c>
      <c r="AC312" s="7" t="n">
        <v>-0.009</v>
      </c>
      <c r="AD312" s="7" t="n">
        <v>0.539</v>
      </c>
      <c r="AE312" s="7" t="n">
        <v>0.6</v>
      </c>
      <c r="AF312" s="7" t="n">
        <v>0.139</v>
      </c>
      <c r="AG312" s="7" t="n">
        <v>0</v>
      </c>
      <c r="AH312" s="7" t="n">
        <v>-0.045</v>
      </c>
      <c r="AI312" s="7" t="n">
        <v>-0.472</v>
      </c>
      <c r="AJ312" s="7" t="n">
        <v>-0.591</v>
      </c>
      <c r="AK312" s="7" t="n">
        <v>-0.537</v>
      </c>
      <c r="AL312" s="7" t="n">
        <v>-0.119</v>
      </c>
      <c r="AM312" s="7" t="n">
        <v>-0.465</v>
      </c>
      <c r="AN312" s="7" t="n">
        <v>-0.173</v>
      </c>
      <c r="AO312" s="7" t="n">
        <v>0.498</v>
      </c>
      <c r="AP312" s="7" t="n">
        <v>0.508</v>
      </c>
      <c r="AQ312" s="7" t="n">
        <v>-0.009</v>
      </c>
    </row>
    <row r="313" customFormat="false" ht="15" hidden="false" customHeight="false" outlineLevel="0" collapsed="false">
      <c r="A313" s="23" t="n">
        <v>46630</v>
      </c>
      <c r="B313" s="7" t="n">
        <v>0.232</v>
      </c>
      <c r="C313" s="7" t="n">
        <v>0.005</v>
      </c>
      <c r="D313" s="7" t="n">
        <v>-0.366</v>
      </c>
      <c r="E313" s="7" t="n">
        <v>-0.059</v>
      </c>
      <c r="F313" s="7" t="n">
        <v>0.453</v>
      </c>
      <c r="G313" s="7" t="n">
        <v>-0.078</v>
      </c>
      <c r="H313" s="7" t="n">
        <v>-0.172</v>
      </c>
      <c r="I313" s="7" t="n">
        <v>-0.08</v>
      </c>
      <c r="J313" s="7" t="n">
        <v>0.171</v>
      </c>
      <c r="K313" s="7" t="n">
        <v>0.194</v>
      </c>
      <c r="L313" s="7" t="n">
        <v>0.117</v>
      </c>
      <c r="M313" s="7" t="n">
        <v>0.183</v>
      </c>
      <c r="N313" s="7" t="n">
        <v>0.101</v>
      </c>
      <c r="O313" s="7" t="n">
        <v>0.055</v>
      </c>
      <c r="P313" s="7" t="n">
        <v>-0.318</v>
      </c>
      <c r="Q313" s="7" t="n">
        <v>-0.094</v>
      </c>
      <c r="R313" s="7" t="n">
        <v>-0.494</v>
      </c>
      <c r="S313" s="7" t="n">
        <v>0.386</v>
      </c>
      <c r="T313" s="7" t="n">
        <v>-0.663</v>
      </c>
      <c r="U313" s="7" t="n">
        <v>0.271</v>
      </c>
      <c r="V313" s="7" t="n">
        <v>-0.172</v>
      </c>
      <c r="W313" s="7" t="n">
        <v>0</v>
      </c>
      <c r="X313" s="7" t="n">
        <v>-0.231</v>
      </c>
      <c r="Y313" s="7" t="n">
        <v>0.117</v>
      </c>
      <c r="Z313" s="7" t="n">
        <v>0.047</v>
      </c>
      <c r="AA313" s="7" t="n">
        <v>-0.432</v>
      </c>
      <c r="AB313" s="7" t="n">
        <v>-0.122</v>
      </c>
      <c r="AC313" s="7" t="n">
        <v>-0.024</v>
      </c>
      <c r="AD313" s="7" t="n">
        <v>0.157</v>
      </c>
      <c r="AE313" s="7" t="n">
        <v>0.101</v>
      </c>
      <c r="AF313" s="7" t="n">
        <v>-0.309</v>
      </c>
      <c r="AG313" s="7" t="n">
        <v>0.187</v>
      </c>
      <c r="AH313" s="7" t="n">
        <v>0.131</v>
      </c>
      <c r="AI313" s="7" t="n">
        <v>0.07</v>
      </c>
      <c r="AJ313" s="7" t="n">
        <v>-0.08</v>
      </c>
      <c r="AK313" s="7" t="n">
        <v>-0.002</v>
      </c>
      <c r="AL313" s="7" t="n">
        <v>-0.049</v>
      </c>
      <c r="AM313" s="7" t="n">
        <v>0.094</v>
      </c>
      <c r="AN313" s="7" t="n">
        <v>-0.172</v>
      </c>
      <c r="AO313" s="7" t="n">
        <v>0.134</v>
      </c>
      <c r="AP313" s="7" t="n">
        <v>0.047</v>
      </c>
      <c r="AQ313" s="7" t="n">
        <v>-0.024</v>
      </c>
    </row>
    <row r="314" customFormat="false" ht="15" hidden="false" customHeight="false" outlineLevel="0" collapsed="false">
      <c r="A314" s="23" t="n">
        <v>46631</v>
      </c>
      <c r="B314" s="7" t="n">
        <v>-0.482</v>
      </c>
      <c r="C314" s="7" t="n">
        <v>-0.933</v>
      </c>
      <c r="D314" s="7" t="n">
        <v>-0.077</v>
      </c>
      <c r="E314" s="7" t="n">
        <v>-0.051</v>
      </c>
      <c r="F314" s="7" t="n">
        <v>-0.651</v>
      </c>
      <c r="G314" s="7" t="n">
        <v>-0.077</v>
      </c>
      <c r="H314" s="7" t="n">
        <v>-0.101</v>
      </c>
      <c r="I314" s="7" t="n">
        <v>-0.005</v>
      </c>
      <c r="J314" s="7" t="n">
        <v>0.171</v>
      </c>
      <c r="K314" s="7" t="n">
        <v>0.194</v>
      </c>
      <c r="L314" s="7" t="n">
        <v>-0.965</v>
      </c>
      <c r="M314" s="7" t="n">
        <v>0.193</v>
      </c>
      <c r="N314" s="7" t="n">
        <v>-0.825</v>
      </c>
      <c r="O314" s="7" t="n">
        <v>-0.892</v>
      </c>
      <c r="P314" s="7" t="n">
        <v>-0.887</v>
      </c>
      <c r="Q314" s="7" t="n">
        <v>-0.972</v>
      </c>
      <c r="R314" s="7" t="n">
        <v>-0.101</v>
      </c>
      <c r="S314" s="7" t="n">
        <v>0.239</v>
      </c>
      <c r="T314" s="7" t="n">
        <v>0</v>
      </c>
      <c r="U314" s="7" t="n">
        <v>-0.733</v>
      </c>
      <c r="V314" s="7" t="n">
        <v>-0.101</v>
      </c>
      <c r="W314" s="7" t="n">
        <v>-0.734</v>
      </c>
      <c r="X314" s="7" t="n">
        <v>-0.206</v>
      </c>
      <c r="Y314" s="7" t="n">
        <v>0.121</v>
      </c>
      <c r="Z314" s="7" t="n">
        <v>0.047</v>
      </c>
      <c r="AA314" s="7" t="n">
        <v>-0.024</v>
      </c>
      <c r="AB314" s="7" t="n">
        <v>-0.122</v>
      </c>
      <c r="AC314" s="7" t="n">
        <v>-0.974</v>
      </c>
      <c r="AD314" s="7" t="n">
        <v>0.165</v>
      </c>
      <c r="AE314" s="7" t="n">
        <v>-0.825</v>
      </c>
      <c r="AF314" s="7" t="n">
        <v>-0.958</v>
      </c>
      <c r="AG314" s="7" t="n">
        <v>0.195</v>
      </c>
      <c r="AH314" s="7" t="n">
        <v>0.134</v>
      </c>
      <c r="AI314" s="7" t="n">
        <v>-0.809</v>
      </c>
      <c r="AJ314" s="7" t="n">
        <v>-0.005</v>
      </c>
      <c r="AK314" s="7" t="n">
        <v>0.072</v>
      </c>
      <c r="AL314" s="7" t="n">
        <v>-0.845</v>
      </c>
      <c r="AM314" s="7" t="n">
        <v>0.096</v>
      </c>
      <c r="AN314" s="7" t="n">
        <v>-0.101</v>
      </c>
      <c r="AO314" s="7" t="n">
        <v>0.137</v>
      </c>
      <c r="AP314" s="7" t="n">
        <v>0.047</v>
      </c>
      <c r="AQ314" s="7" t="n">
        <v>-0.84</v>
      </c>
    </row>
    <row r="315" customFormat="false" ht="15" hidden="false" customHeight="false" outlineLevel="0" collapsed="false">
      <c r="A315" s="23" t="n">
        <v>46632</v>
      </c>
      <c r="B315" s="7" t="n">
        <v>-0.278</v>
      </c>
      <c r="C315" s="7" t="n">
        <v>-0.48</v>
      </c>
      <c r="D315" s="7" t="n">
        <v>-0.076</v>
      </c>
      <c r="E315" s="7" t="n">
        <v>-0.598</v>
      </c>
      <c r="F315" s="7" t="n">
        <v>-0.168</v>
      </c>
      <c r="G315" s="7" t="n">
        <v>-0.076</v>
      </c>
      <c r="H315" s="7" t="n">
        <v>-0.152</v>
      </c>
      <c r="I315" s="7" t="n">
        <v>-0.2</v>
      </c>
      <c r="J315" s="7" t="n">
        <v>-0.042</v>
      </c>
      <c r="K315" s="7" t="n">
        <v>-0.107</v>
      </c>
      <c r="L315" s="7" t="n">
        <v>-0.041</v>
      </c>
      <c r="M315" s="7" t="n">
        <v>0.226</v>
      </c>
      <c r="N315" s="7" t="n">
        <v>-0.224</v>
      </c>
      <c r="O315" s="7" t="n">
        <v>-0.218</v>
      </c>
      <c r="P315" s="7" t="n">
        <v>-0.295</v>
      </c>
      <c r="Q315" s="7" t="n">
        <v>-0.096</v>
      </c>
      <c r="R315" s="7" t="n">
        <v>-0.152</v>
      </c>
      <c r="S315" s="7" t="n">
        <v>-0.17</v>
      </c>
      <c r="T315" s="7" t="n">
        <v>-0.1</v>
      </c>
      <c r="U315" s="7" t="n">
        <v>-0.095</v>
      </c>
      <c r="V315" s="7" t="n">
        <v>-0.152</v>
      </c>
      <c r="W315" s="7" t="n">
        <v>0</v>
      </c>
      <c r="X315" s="7" t="n">
        <v>-0.205</v>
      </c>
      <c r="Y315" s="7" t="n">
        <v>-0.134</v>
      </c>
      <c r="Z315" s="7" t="n">
        <v>-0.147</v>
      </c>
      <c r="AA315" s="7" t="n">
        <v>-0.076</v>
      </c>
      <c r="AB315" s="7" t="n">
        <v>-0.325</v>
      </c>
      <c r="AC315" s="7" t="n">
        <v>-0.072</v>
      </c>
      <c r="AD315" s="7" t="n">
        <v>-0.294</v>
      </c>
      <c r="AE315" s="7" t="n">
        <v>-0.224</v>
      </c>
      <c r="AF315" s="7" t="n">
        <v>-0.643</v>
      </c>
      <c r="AG315" s="7" t="n">
        <v>-0.225</v>
      </c>
      <c r="AH315" s="7" t="n">
        <v>-0.146</v>
      </c>
      <c r="AI315" s="7" t="n">
        <v>-0.121</v>
      </c>
      <c r="AJ315" s="7" t="n">
        <v>-0.2</v>
      </c>
      <c r="AK315" s="7" t="n">
        <v>-0.125</v>
      </c>
      <c r="AL315" s="7" t="n">
        <v>-0.295</v>
      </c>
      <c r="AM315" s="7" t="n">
        <v>-0.05</v>
      </c>
      <c r="AN315" s="7" t="n">
        <v>-0.152</v>
      </c>
      <c r="AO315" s="7" t="n">
        <v>-0.068</v>
      </c>
      <c r="AP315" s="7" t="n">
        <v>0.08</v>
      </c>
      <c r="AQ315" s="7" t="n">
        <v>-0.072</v>
      </c>
    </row>
    <row r="316" customFormat="false" ht="15" hidden="false" customHeight="false" outlineLevel="0" collapsed="false">
      <c r="A316" s="23" t="n">
        <v>46633</v>
      </c>
      <c r="B316" s="7" t="n">
        <v>-0.364</v>
      </c>
      <c r="C316" s="7" t="n">
        <v>-0.755</v>
      </c>
      <c r="D316" s="7" t="n">
        <v>-0.075</v>
      </c>
      <c r="E316" s="7" t="n">
        <v>-0.596</v>
      </c>
      <c r="F316" s="7" t="n">
        <v>-0.132</v>
      </c>
      <c r="G316" s="7" t="n">
        <v>-0.075</v>
      </c>
      <c r="H316" s="7" t="n">
        <v>-0.15</v>
      </c>
      <c r="I316" s="7" t="n">
        <v>-0.717</v>
      </c>
      <c r="J316" s="7" t="n">
        <v>-0.189</v>
      </c>
      <c r="K316" s="7" t="n">
        <v>-0.048</v>
      </c>
      <c r="L316" s="7" t="n">
        <v>-0.477</v>
      </c>
      <c r="M316" s="7" t="n">
        <v>0.234</v>
      </c>
      <c r="N316" s="7" t="n">
        <v>-0.598</v>
      </c>
      <c r="O316" s="7" t="n">
        <v>-0.527</v>
      </c>
      <c r="P316" s="7" t="n">
        <v>-0.294</v>
      </c>
      <c r="Q316" s="7" t="n">
        <v>-0.096</v>
      </c>
      <c r="R316" s="7" t="n">
        <v>-0.15</v>
      </c>
      <c r="S316" s="7" t="n">
        <v>-0.009</v>
      </c>
      <c r="T316" s="7" t="n">
        <v>-0.099</v>
      </c>
      <c r="U316" s="7" t="n">
        <v>-0.027</v>
      </c>
      <c r="V316" s="7" t="n">
        <v>-0.494</v>
      </c>
      <c r="W316" s="7" t="n">
        <v>0</v>
      </c>
      <c r="X316" s="7" t="n">
        <v>-0.204</v>
      </c>
      <c r="Y316" s="7" t="n">
        <v>0.013</v>
      </c>
      <c r="Z316" s="7" t="n">
        <v>0.007</v>
      </c>
      <c r="AA316" s="7" t="n">
        <v>-0.075</v>
      </c>
      <c r="AB316" s="7" t="n">
        <v>-0.526</v>
      </c>
      <c r="AC316" s="7" t="n">
        <v>-0.072</v>
      </c>
      <c r="AD316" s="7" t="n">
        <v>-0.304</v>
      </c>
      <c r="AE316" s="7" t="n">
        <v>-0.167</v>
      </c>
      <c r="AF316" s="7" t="n">
        <v>-0.597</v>
      </c>
      <c r="AG316" s="7" t="n">
        <v>-0.049</v>
      </c>
      <c r="AH316" s="7" t="n">
        <v>0.013</v>
      </c>
      <c r="AI316" s="7" t="n">
        <v>-0.543</v>
      </c>
      <c r="AJ316" s="7" t="n">
        <v>-0.596</v>
      </c>
      <c r="AK316" s="7" t="n">
        <v>-0.545</v>
      </c>
      <c r="AL316" s="7" t="n">
        <v>-0.141</v>
      </c>
      <c r="AM316" s="7" t="n">
        <v>-0.49</v>
      </c>
      <c r="AN316" s="7" t="n">
        <v>-0.15</v>
      </c>
      <c r="AO316" s="7" t="n">
        <v>0.096</v>
      </c>
      <c r="AP316" s="7" t="n">
        <v>0.088</v>
      </c>
      <c r="AQ316" s="7" t="n">
        <v>-0.072</v>
      </c>
    </row>
    <row r="317" customFormat="false" ht="15" hidden="false" customHeight="false" outlineLevel="0" collapsed="false">
      <c r="A317" s="23" t="n">
        <v>46634</v>
      </c>
      <c r="B317" s="7" t="n">
        <v>-0.316</v>
      </c>
      <c r="C317" s="7" t="n">
        <v>-0.768</v>
      </c>
      <c r="D317" s="7" t="n">
        <v>0.246</v>
      </c>
      <c r="E317" s="7" t="n">
        <v>-0.03</v>
      </c>
      <c r="F317" s="7" t="n">
        <v>-0.383</v>
      </c>
      <c r="G317" s="7" t="n">
        <v>0.066</v>
      </c>
      <c r="H317" s="7" t="n">
        <v>-0.107</v>
      </c>
      <c r="I317" s="7" t="n">
        <v>-0.409</v>
      </c>
      <c r="J317" s="7" t="n">
        <v>-0.197</v>
      </c>
      <c r="K317" s="7" t="n">
        <v>0.194</v>
      </c>
      <c r="L317" s="7" t="n">
        <v>-0.806</v>
      </c>
      <c r="M317" s="7" t="n">
        <v>0.161</v>
      </c>
      <c r="N317" s="7" t="n">
        <v>-0.675</v>
      </c>
      <c r="O317" s="7" t="n">
        <v>-0.617</v>
      </c>
      <c r="P317" s="7" t="n">
        <v>-0.453</v>
      </c>
      <c r="Q317" s="7" t="n">
        <v>-0.804</v>
      </c>
      <c r="R317" s="7" t="n">
        <v>-0.237</v>
      </c>
      <c r="S317" s="7" t="n">
        <v>0.259</v>
      </c>
      <c r="T317" s="7" t="n">
        <v>-0.12</v>
      </c>
      <c r="U317" s="7" t="n">
        <v>-0.205</v>
      </c>
      <c r="V317" s="7" t="n">
        <v>-0.249</v>
      </c>
      <c r="W317" s="7" t="n">
        <v>-0.767</v>
      </c>
      <c r="X317" s="7" t="n">
        <v>0.061</v>
      </c>
      <c r="Y317" s="7" t="n">
        <v>0.004</v>
      </c>
      <c r="Z317" s="7" t="n">
        <v>0.047</v>
      </c>
      <c r="AA317" s="7" t="n">
        <v>-0.277</v>
      </c>
      <c r="AB317" s="7" t="n">
        <v>-0.349</v>
      </c>
      <c r="AC317" s="7" t="n">
        <v>-0.795</v>
      </c>
      <c r="AD317" s="7" t="n">
        <v>0.298</v>
      </c>
      <c r="AE317" s="7" t="n">
        <v>-0.465</v>
      </c>
      <c r="AF317" s="7" t="n">
        <v>-0.718</v>
      </c>
      <c r="AG317" s="7" t="n">
        <v>0.215</v>
      </c>
      <c r="AH317" s="7" t="n">
        <v>-0.117</v>
      </c>
      <c r="AI317" s="7" t="n">
        <v>-0.625</v>
      </c>
      <c r="AJ317" s="7" t="n">
        <v>-0.255</v>
      </c>
      <c r="AK317" s="7" t="n">
        <v>-0.171</v>
      </c>
      <c r="AL317" s="7" t="n">
        <v>-0.445</v>
      </c>
      <c r="AM317" s="7" t="n">
        <v>-0.205</v>
      </c>
      <c r="AN317" s="7" t="n">
        <v>-0.182</v>
      </c>
      <c r="AO317" s="7" t="n">
        <v>0.055</v>
      </c>
      <c r="AP317" s="7" t="n">
        <v>0.047</v>
      </c>
      <c r="AQ317" s="7" t="n">
        <v>-0.482</v>
      </c>
    </row>
    <row r="318" customFormat="false" ht="15" hidden="false" customHeight="false" outlineLevel="0" collapsed="false">
      <c r="A318" s="23" t="n">
        <v>46635</v>
      </c>
      <c r="B318" s="7" t="n">
        <v>-0.095</v>
      </c>
      <c r="C318" s="7" t="n">
        <v>-0.711</v>
      </c>
      <c r="D318" s="7" t="n">
        <v>0.168</v>
      </c>
      <c r="E318" s="7" t="n">
        <v>-0.023</v>
      </c>
      <c r="F318" s="7" t="n">
        <v>-0.264</v>
      </c>
      <c r="G318" s="7" t="n">
        <v>-0.008</v>
      </c>
      <c r="H318" s="7" t="n">
        <v>0.489</v>
      </c>
      <c r="I318" s="7" t="n">
        <v>-0.394</v>
      </c>
      <c r="J318" s="7" t="n">
        <v>-0.149</v>
      </c>
      <c r="K318" s="7" t="n">
        <v>0.194</v>
      </c>
      <c r="L318" s="7" t="n">
        <v>-0.771</v>
      </c>
      <c r="M318" s="7" t="n">
        <v>0.172</v>
      </c>
      <c r="N318" s="7" t="n">
        <v>-0.6</v>
      </c>
      <c r="O318" s="7" t="n">
        <v>-0.597</v>
      </c>
      <c r="P318" s="7" t="n">
        <v>-0.55</v>
      </c>
      <c r="Q318" s="7" t="n">
        <v>-0.776</v>
      </c>
      <c r="R318" s="7" t="n">
        <v>0.393</v>
      </c>
      <c r="S318" s="7" t="n">
        <v>0.265</v>
      </c>
      <c r="T318" s="7" t="n">
        <v>-0.12</v>
      </c>
      <c r="U318" s="7" t="n">
        <v>0.503</v>
      </c>
      <c r="V318" s="7" t="n">
        <v>0.383</v>
      </c>
      <c r="W318" s="7" t="n">
        <v>-0.735</v>
      </c>
      <c r="X318" s="7" t="n">
        <v>-0.139</v>
      </c>
      <c r="Y318" s="7" t="n">
        <v>0.596</v>
      </c>
      <c r="Z318" s="7" t="n">
        <v>0.047</v>
      </c>
      <c r="AA318" s="7" t="n">
        <v>0.4</v>
      </c>
      <c r="AB318" s="7" t="n">
        <v>-0.332</v>
      </c>
      <c r="AC318" s="7" t="n">
        <v>-0.766</v>
      </c>
      <c r="AD318" s="7" t="n">
        <v>0.79</v>
      </c>
      <c r="AE318" s="7" t="n">
        <v>-0.402</v>
      </c>
      <c r="AF318" s="7" t="n">
        <v>-0.678</v>
      </c>
      <c r="AG318" s="7" t="n">
        <v>0.221</v>
      </c>
      <c r="AH318" s="7" t="n">
        <v>-0.091</v>
      </c>
      <c r="AI318" s="7" t="n">
        <v>-0.547</v>
      </c>
      <c r="AJ318" s="7" t="n">
        <v>-0.258</v>
      </c>
      <c r="AK318" s="7" t="n">
        <v>-0.154</v>
      </c>
      <c r="AL318" s="7" t="n">
        <v>-0.432</v>
      </c>
      <c r="AM318" s="7" t="n">
        <v>-0.158</v>
      </c>
      <c r="AN318" s="7" t="n">
        <v>0.452</v>
      </c>
      <c r="AO318" s="7" t="n">
        <v>0.056</v>
      </c>
      <c r="AP318" s="7" t="n">
        <v>0.047</v>
      </c>
      <c r="AQ318" s="7" t="n">
        <v>-0.425</v>
      </c>
    </row>
    <row r="319" customFormat="false" ht="15" hidden="false" customHeight="false" outlineLevel="0" collapsed="false">
      <c r="A319" s="23" t="n">
        <v>46636</v>
      </c>
      <c r="B319" s="7" t="n">
        <v>0.045</v>
      </c>
      <c r="C319" s="7" t="n">
        <v>-0.008</v>
      </c>
      <c r="D319" s="7" t="n">
        <v>-0.524</v>
      </c>
      <c r="E319" s="7" t="n">
        <v>-0.054</v>
      </c>
      <c r="F319" s="7" t="n">
        <v>0.44</v>
      </c>
      <c r="G319" s="7" t="n">
        <v>-0.679</v>
      </c>
      <c r="H319" s="7" t="n">
        <v>-0.45</v>
      </c>
      <c r="I319" s="7" t="n">
        <v>-0.491</v>
      </c>
      <c r="J319" s="7" t="n">
        <v>0.124</v>
      </c>
      <c r="K319" s="7" t="n">
        <v>0.194</v>
      </c>
      <c r="L319" s="7" t="n">
        <v>-0.024</v>
      </c>
      <c r="M319" s="7" t="n">
        <v>0.54</v>
      </c>
      <c r="N319" s="7" t="n">
        <v>0.043</v>
      </c>
      <c r="O319" s="7" t="n">
        <v>-0.219</v>
      </c>
      <c r="P319" s="7" t="n">
        <v>-0.444</v>
      </c>
      <c r="Q319" s="7" t="n">
        <v>-0.096</v>
      </c>
      <c r="R319" s="7" t="n">
        <v>-0.419</v>
      </c>
      <c r="S319" s="7" t="n">
        <v>0.421</v>
      </c>
      <c r="T319" s="7" t="n">
        <v>-0.364</v>
      </c>
      <c r="U319" s="7" t="n">
        <v>0.134</v>
      </c>
      <c r="V319" s="7" t="n">
        <v>-0.482</v>
      </c>
      <c r="W319" s="7" t="n">
        <v>0</v>
      </c>
      <c r="X319" s="7" t="n">
        <v>-0.364</v>
      </c>
      <c r="Y319" s="7" t="n">
        <v>-0.185</v>
      </c>
      <c r="Z319" s="7" t="n">
        <v>0.009</v>
      </c>
      <c r="AA319" s="7" t="n">
        <v>-0.184</v>
      </c>
      <c r="AB319" s="7" t="n">
        <v>0.02</v>
      </c>
      <c r="AC319" s="7" t="n">
        <v>-0.071</v>
      </c>
      <c r="AD319" s="7" t="n">
        <v>-0.019</v>
      </c>
      <c r="AE319" s="7" t="n">
        <v>0.043</v>
      </c>
      <c r="AF319" s="7" t="n">
        <v>-0.351</v>
      </c>
      <c r="AG319" s="7" t="n">
        <v>0.045</v>
      </c>
      <c r="AH319" s="7" t="n">
        <v>0.088</v>
      </c>
      <c r="AI319" s="7" t="n">
        <v>-0.071</v>
      </c>
      <c r="AJ319" s="7" t="n">
        <v>-0.321</v>
      </c>
      <c r="AK319" s="7" t="n">
        <v>-0.073</v>
      </c>
      <c r="AL319" s="7" t="n">
        <v>-0.24</v>
      </c>
      <c r="AM319" s="7" t="n">
        <v>0</v>
      </c>
      <c r="AN319" s="7" t="n">
        <v>-0.321</v>
      </c>
      <c r="AO319" s="7" t="n">
        <v>0.135</v>
      </c>
      <c r="AP319" s="7" t="n">
        <v>0.047</v>
      </c>
      <c r="AQ319" s="7" t="n">
        <v>-0.071</v>
      </c>
    </row>
    <row r="320" customFormat="false" ht="15" hidden="false" customHeight="false" outlineLevel="0" collapsed="false">
      <c r="A320" s="23" t="n">
        <v>46637</v>
      </c>
      <c r="B320" s="7" t="n">
        <v>-0.116</v>
      </c>
      <c r="C320" s="7" t="n">
        <v>-0.732</v>
      </c>
      <c r="D320" s="7" t="n">
        <v>-0.663</v>
      </c>
      <c r="E320" s="7" t="n">
        <v>-0.059</v>
      </c>
      <c r="F320" s="7" t="n">
        <v>0.442</v>
      </c>
      <c r="G320" s="7" t="n">
        <v>-0.675</v>
      </c>
      <c r="H320" s="7" t="n">
        <v>-0.813</v>
      </c>
      <c r="I320" s="7" t="n">
        <v>-0.84</v>
      </c>
      <c r="J320" s="7" t="n">
        <v>0.01</v>
      </c>
      <c r="K320" s="7" t="n">
        <v>0.194</v>
      </c>
      <c r="L320" s="7" t="n">
        <v>0.029</v>
      </c>
      <c r="M320" s="7" t="n">
        <v>0.196</v>
      </c>
      <c r="N320" s="7" t="n">
        <v>0.039</v>
      </c>
      <c r="O320" s="7" t="n">
        <v>-0.008</v>
      </c>
      <c r="P320" s="7" t="n">
        <v>-0.403</v>
      </c>
      <c r="Q320" s="7" t="n">
        <v>-0.043</v>
      </c>
      <c r="R320" s="7" t="n">
        <v>-0.836</v>
      </c>
      <c r="S320" s="7" t="n">
        <v>0.235</v>
      </c>
      <c r="T320" s="7" t="n">
        <v>-0.851</v>
      </c>
      <c r="U320" s="7" t="n">
        <v>0.175</v>
      </c>
      <c r="V320" s="7" t="n">
        <v>-0.834</v>
      </c>
      <c r="W320" s="7" t="n">
        <v>0</v>
      </c>
      <c r="X320" s="7" t="n">
        <v>-0.366</v>
      </c>
      <c r="Y320" s="7" t="n">
        <v>-0.273</v>
      </c>
      <c r="Z320" s="7" t="n">
        <v>-0.002</v>
      </c>
      <c r="AA320" s="7" t="n">
        <v>-0.739</v>
      </c>
      <c r="AB320" s="7" t="n">
        <v>-0.278</v>
      </c>
      <c r="AC320" s="7" t="n">
        <v>-0.018</v>
      </c>
      <c r="AD320" s="7" t="n">
        <v>-0.023</v>
      </c>
      <c r="AE320" s="7" t="n">
        <v>0.039</v>
      </c>
      <c r="AF320" s="7" t="n">
        <v>-0.303</v>
      </c>
      <c r="AG320" s="7" t="n">
        <v>0.051</v>
      </c>
      <c r="AH320" s="7" t="n">
        <v>0.01</v>
      </c>
      <c r="AI320" s="7" t="n">
        <v>-0.018</v>
      </c>
      <c r="AJ320" s="7" t="n">
        <v>-0.763</v>
      </c>
      <c r="AK320" s="7" t="n">
        <v>-0.631</v>
      </c>
      <c r="AL320" s="7" t="n">
        <v>-0.27</v>
      </c>
      <c r="AM320" s="7" t="n">
        <v>0</v>
      </c>
      <c r="AN320" s="7" t="n">
        <v>-0.763</v>
      </c>
      <c r="AO320" s="7" t="n">
        <v>0.056</v>
      </c>
      <c r="AP320" s="7" t="n">
        <v>0.047</v>
      </c>
      <c r="AQ320" s="7" t="n">
        <v>-0.018</v>
      </c>
    </row>
    <row r="321" customFormat="false" ht="15" hidden="false" customHeight="false" outlineLevel="0" collapsed="false">
      <c r="A321" s="23" t="n">
        <v>46638</v>
      </c>
      <c r="B321" s="7" t="n">
        <v>-0.049</v>
      </c>
      <c r="C321" s="7" t="n">
        <v>0.334</v>
      </c>
      <c r="D321" s="7" t="n">
        <v>-0.575</v>
      </c>
      <c r="E321" s="7" t="n">
        <v>0.408</v>
      </c>
      <c r="F321" s="7" t="n">
        <v>-0.016</v>
      </c>
      <c r="G321" s="7" t="n">
        <v>-0.665</v>
      </c>
      <c r="H321" s="7" t="n">
        <v>0.104</v>
      </c>
      <c r="I321" s="7" t="n">
        <v>-0.181</v>
      </c>
      <c r="J321" s="7" t="n">
        <v>-0.163</v>
      </c>
      <c r="K321" s="7" t="n">
        <v>0.747</v>
      </c>
      <c r="L321" s="7" t="n">
        <v>0.038</v>
      </c>
      <c r="M321" s="7" t="n">
        <v>-0.308</v>
      </c>
      <c r="N321" s="7" t="n">
        <v>-0.05</v>
      </c>
      <c r="O321" s="7" t="n">
        <v>0.091</v>
      </c>
      <c r="P321" s="7" t="n">
        <v>-0.661</v>
      </c>
      <c r="Q321" s="7" t="n">
        <v>-0.418</v>
      </c>
      <c r="R321" s="7" t="n">
        <v>0.101</v>
      </c>
      <c r="S321" s="7" t="n">
        <v>0.555</v>
      </c>
      <c r="T321" s="7" t="n">
        <v>-0.529</v>
      </c>
      <c r="U321" s="7" t="n">
        <v>-0.27</v>
      </c>
      <c r="V321" s="7" t="n">
        <v>0.057</v>
      </c>
      <c r="W321" s="7" t="n">
        <v>-0.358</v>
      </c>
      <c r="X321" s="7" t="n">
        <v>-0.336</v>
      </c>
      <c r="Y321" s="7" t="n">
        <v>-0.274</v>
      </c>
      <c r="Z321" s="7" t="n">
        <v>0.747</v>
      </c>
      <c r="AA321" s="7" t="n">
        <v>0.345</v>
      </c>
      <c r="AB321" s="7" t="n">
        <v>-0.033</v>
      </c>
      <c r="AC321" s="7" t="n">
        <v>-0.418</v>
      </c>
      <c r="AD321" s="7" t="n">
        <v>0.431</v>
      </c>
      <c r="AE321" s="7" t="n">
        <v>0.165</v>
      </c>
      <c r="AF321" s="7" t="n">
        <v>-0.462</v>
      </c>
      <c r="AG321" s="7" t="n">
        <v>-0.185</v>
      </c>
      <c r="AH321" s="7" t="n">
        <v>-0.121</v>
      </c>
      <c r="AI321" s="7" t="n">
        <v>-0.551</v>
      </c>
      <c r="AJ321" s="7" t="n">
        <v>0.155</v>
      </c>
      <c r="AK321" s="7" t="n">
        <v>0.497</v>
      </c>
      <c r="AL321" s="7" t="n">
        <v>-0.606</v>
      </c>
      <c r="AM321" s="7" t="n">
        <v>-0.173</v>
      </c>
      <c r="AN321" s="7" t="n">
        <v>0.196</v>
      </c>
      <c r="AO321" s="7" t="n">
        <v>0.49</v>
      </c>
      <c r="AP321" s="7" t="n">
        <v>0.483</v>
      </c>
      <c r="AQ321" s="7" t="n">
        <v>-0.418</v>
      </c>
    </row>
    <row r="322" customFormat="false" ht="15" hidden="false" customHeight="false" outlineLevel="0" collapsed="false">
      <c r="A322" s="23" t="n">
        <v>46639</v>
      </c>
      <c r="B322" s="7" t="n">
        <v>0.123</v>
      </c>
      <c r="C322" s="7" t="n">
        <v>0.36</v>
      </c>
      <c r="D322" s="7" t="n">
        <v>-0.315</v>
      </c>
      <c r="E322" s="7" t="n">
        <v>0.016</v>
      </c>
      <c r="F322" s="7" t="n">
        <v>0.018</v>
      </c>
      <c r="G322" s="7" t="n">
        <v>0.014</v>
      </c>
      <c r="H322" s="7" t="n">
        <v>0.419</v>
      </c>
      <c r="I322" s="7" t="n">
        <v>0.454</v>
      </c>
      <c r="J322" s="7" t="n">
        <v>0.616</v>
      </c>
      <c r="K322" s="7" t="n">
        <v>0</v>
      </c>
      <c r="L322" s="7" t="n">
        <v>-0.382</v>
      </c>
      <c r="M322" s="7" t="n">
        <v>0.445</v>
      </c>
      <c r="N322" s="7" t="n">
        <v>-0.035</v>
      </c>
      <c r="O322" s="7" t="n">
        <v>-0.205</v>
      </c>
      <c r="P322" s="7" t="n">
        <v>-0.5</v>
      </c>
      <c r="Q322" s="7" t="n">
        <v>-0.418</v>
      </c>
      <c r="R322" s="7" t="n">
        <v>0.285</v>
      </c>
      <c r="S322" s="7" t="n">
        <v>0.237</v>
      </c>
      <c r="T322" s="7" t="n">
        <v>-0.488</v>
      </c>
      <c r="U322" s="7" t="n">
        <v>-0.397</v>
      </c>
      <c r="V322" s="7" t="n">
        <v>0.419</v>
      </c>
      <c r="W322" s="7" t="n">
        <v>-0.358</v>
      </c>
      <c r="X322" s="7" t="n">
        <v>-0.105</v>
      </c>
      <c r="Y322" s="7" t="n">
        <v>0.204</v>
      </c>
      <c r="Z322" s="7" t="n">
        <v>0.016</v>
      </c>
      <c r="AA322" s="7" t="n">
        <v>0.348</v>
      </c>
      <c r="AB322" s="7" t="n">
        <v>0.66</v>
      </c>
      <c r="AC322" s="7" t="n">
        <v>-0.418</v>
      </c>
      <c r="AD322" s="7" t="n">
        <v>-0.053</v>
      </c>
      <c r="AE322" s="7" t="n">
        <v>0.049</v>
      </c>
      <c r="AF322" s="7" t="n">
        <v>-0.418</v>
      </c>
      <c r="AG322" s="7" t="n">
        <v>0</v>
      </c>
      <c r="AH322" s="7" t="n">
        <v>0.303</v>
      </c>
      <c r="AI322" s="7" t="n">
        <v>-0.382</v>
      </c>
      <c r="AJ322" s="7" t="n">
        <v>0.454</v>
      </c>
      <c r="AK322" s="7" t="n">
        <v>0.507</v>
      </c>
      <c r="AL322" s="7" t="n">
        <v>-0.467</v>
      </c>
      <c r="AM322" s="7" t="n">
        <v>0.043</v>
      </c>
      <c r="AN322" s="7" t="n">
        <v>0.419</v>
      </c>
      <c r="AO322" s="7" t="n">
        <v>0.296</v>
      </c>
      <c r="AP322" s="7" t="n">
        <v>0</v>
      </c>
      <c r="AQ322" s="7" t="n">
        <v>-0.418</v>
      </c>
    </row>
    <row r="323" customFormat="false" ht="15" hidden="false" customHeight="false" outlineLevel="0" collapsed="false">
      <c r="A323" s="23" t="n">
        <v>46640</v>
      </c>
      <c r="B323" s="7" t="n">
        <v>0.877</v>
      </c>
      <c r="C323" s="7" t="n">
        <v>0.973</v>
      </c>
      <c r="D323" s="7" t="n">
        <v>0.019</v>
      </c>
      <c r="E323" s="7" t="n">
        <v>0.147</v>
      </c>
      <c r="F323" s="7" t="n">
        <v>0.986</v>
      </c>
      <c r="G323" s="7" t="n">
        <v>0.013</v>
      </c>
      <c r="H323" s="7" t="n">
        <v>0.442</v>
      </c>
      <c r="I323" s="7" t="n">
        <v>0.461</v>
      </c>
      <c r="J323" s="7" t="n">
        <v>0.905</v>
      </c>
      <c r="K323" s="7" t="n">
        <v>0.06</v>
      </c>
      <c r="L323" s="7" t="n">
        <v>0.894</v>
      </c>
      <c r="M323" s="7" t="n">
        <v>0.668</v>
      </c>
      <c r="N323" s="7" t="n">
        <v>0.969</v>
      </c>
      <c r="O323" s="7" t="n">
        <v>0.963</v>
      </c>
      <c r="P323" s="7" t="n">
        <v>0.58</v>
      </c>
      <c r="Q323" s="7" t="n">
        <v>0.922</v>
      </c>
      <c r="R323" s="7" t="n">
        <v>0.442</v>
      </c>
      <c r="S323" s="7" t="n">
        <v>0.147</v>
      </c>
      <c r="T323" s="7" t="n">
        <v>0.175</v>
      </c>
      <c r="U323" s="7" t="n">
        <v>0.932</v>
      </c>
      <c r="V323" s="7" t="n">
        <v>0.442</v>
      </c>
      <c r="W323" s="7" t="n">
        <v>0.417</v>
      </c>
      <c r="X323" s="7" t="n">
        <v>-0.118</v>
      </c>
      <c r="Y323" s="7" t="n">
        <v>0.096</v>
      </c>
      <c r="Z323" s="7" t="n">
        <v>0.147</v>
      </c>
      <c r="AA323" s="7" t="n">
        <v>0.496</v>
      </c>
      <c r="AB323" s="7" t="n">
        <v>0.841</v>
      </c>
      <c r="AC323" s="7" t="n">
        <v>0.875</v>
      </c>
      <c r="AD323" s="7" t="n">
        <v>0.079</v>
      </c>
      <c r="AE323" s="7" t="n">
        <v>0.974</v>
      </c>
      <c r="AF323" s="7" t="n">
        <v>0.888</v>
      </c>
      <c r="AG323" s="7" t="n">
        <v>0</v>
      </c>
      <c r="AH323" s="7" t="n">
        <v>0.599</v>
      </c>
      <c r="AI323" s="7" t="n">
        <v>0.508</v>
      </c>
      <c r="AJ323" s="7" t="n">
        <v>0.461</v>
      </c>
      <c r="AK323" s="7" t="n">
        <v>0.514</v>
      </c>
      <c r="AL323" s="7" t="n">
        <v>0.51</v>
      </c>
      <c r="AM323" s="7" t="n">
        <v>0.024</v>
      </c>
      <c r="AN323" s="7" t="n">
        <v>0.442</v>
      </c>
      <c r="AO323" s="7" t="n">
        <v>0.576</v>
      </c>
      <c r="AP323" s="7" t="n">
        <v>0.06</v>
      </c>
      <c r="AQ323" s="7" t="n">
        <v>0.49</v>
      </c>
    </row>
    <row r="324" customFormat="false" ht="15" hidden="false" customHeight="false" outlineLevel="0" collapsed="false">
      <c r="A324" s="23" t="n">
        <v>46641</v>
      </c>
      <c r="B324" s="7" t="n">
        <v>-0.029</v>
      </c>
      <c r="C324" s="7" t="n">
        <v>-0.172</v>
      </c>
      <c r="D324" s="7" t="n">
        <v>-0.017</v>
      </c>
      <c r="E324" s="7" t="n">
        <v>0.06</v>
      </c>
      <c r="F324" s="7" t="n">
        <v>0.145</v>
      </c>
      <c r="G324" s="7" t="n">
        <v>-0.067</v>
      </c>
      <c r="H324" s="7" t="n">
        <v>-0.404</v>
      </c>
      <c r="I324" s="7" t="n">
        <v>-0.587</v>
      </c>
      <c r="J324" s="7" t="n">
        <v>-0.02</v>
      </c>
      <c r="K324" s="7" t="n">
        <v>0.06</v>
      </c>
      <c r="L324" s="7" t="n">
        <v>-0.383</v>
      </c>
      <c r="M324" s="7" t="n">
        <v>-0.196</v>
      </c>
      <c r="N324" s="7" t="n">
        <v>-0.241</v>
      </c>
      <c r="O324" s="7" t="n">
        <v>0.675</v>
      </c>
      <c r="P324" s="7" t="n">
        <v>-0.243</v>
      </c>
      <c r="Q324" s="7" t="n">
        <v>-0.178</v>
      </c>
      <c r="R324" s="7" t="n">
        <v>-0.456</v>
      </c>
      <c r="S324" s="7" t="n">
        <v>0.06</v>
      </c>
      <c r="T324" s="7" t="n">
        <v>-0.749</v>
      </c>
      <c r="U324" s="7" t="n">
        <v>0.913</v>
      </c>
      <c r="V324" s="7" t="n">
        <v>-0.419</v>
      </c>
      <c r="W324" s="7" t="n">
        <v>-0.358</v>
      </c>
      <c r="X324" s="7" t="n">
        <v>-0.069</v>
      </c>
      <c r="Y324" s="7" t="n">
        <v>0.842</v>
      </c>
      <c r="Z324" s="7" t="n">
        <v>0.06</v>
      </c>
      <c r="AA324" s="7" t="n">
        <v>-0.442</v>
      </c>
      <c r="AB324" s="7" t="n">
        <v>-0.02</v>
      </c>
      <c r="AC324" s="7" t="n">
        <v>-0.358</v>
      </c>
      <c r="AD324" s="7" t="n">
        <v>0.043</v>
      </c>
      <c r="AE324" s="7" t="n">
        <v>-0.165</v>
      </c>
      <c r="AF324" s="7" t="n">
        <v>-0.358</v>
      </c>
      <c r="AG324" s="7" t="n">
        <v>0.486</v>
      </c>
      <c r="AH324" s="7" t="n">
        <v>0.859</v>
      </c>
      <c r="AI324" s="7" t="n">
        <v>-0.433</v>
      </c>
      <c r="AJ324" s="7" t="n">
        <v>-0.284</v>
      </c>
      <c r="AK324" s="7" t="n">
        <v>-0.268</v>
      </c>
      <c r="AL324" s="7" t="n">
        <v>0.68</v>
      </c>
      <c r="AM324" s="7" t="n">
        <v>-0.088</v>
      </c>
      <c r="AN324" s="7" t="n">
        <v>-0.2</v>
      </c>
      <c r="AO324" s="7" t="n">
        <v>0.849</v>
      </c>
      <c r="AP324" s="7" t="n">
        <v>0.06</v>
      </c>
      <c r="AQ324" s="7" t="n">
        <v>-0.358</v>
      </c>
    </row>
    <row r="325" customFormat="false" ht="15" hidden="false" customHeight="false" outlineLevel="0" collapsed="false">
      <c r="A325" s="23" t="n">
        <v>46642</v>
      </c>
      <c r="B325" s="7" t="n">
        <v>-0.292</v>
      </c>
      <c r="C325" s="7" t="n">
        <v>-0.589</v>
      </c>
      <c r="D325" s="7" t="n">
        <v>-0.067</v>
      </c>
      <c r="E325" s="7" t="n">
        <v>0.003</v>
      </c>
      <c r="F325" s="7" t="n">
        <v>0.113</v>
      </c>
      <c r="G325" s="7" t="n">
        <v>-0.152</v>
      </c>
      <c r="H325" s="7" t="n">
        <v>-0.417</v>
      </c>
      <c r="I325" s="7" t="n">
        <v>-0.872</v>
      </c>
      <c r="J325" s="7" t="n">
        <v>-0.02</v>
      </c>
      <c r="K325" s="7" t="n">
        <v>0.003</v>
      </c>
      <c r="L325" s="7" t="n">
        <v>-0.772</v>
      </c>
      <c r="M325" s="7" t="n">
        <v>-0.251</v>
      </c>
      <c r="N325" s="7" t="n">
        <v>-0.697</v>
      </c>
      <c r="O325" s="7" t="n">
        <v>-0.699</v>
      </c>
      <c r="P325" s="7" t="n">
        <v>-0.188</v>
      </c>
      <c r="Q325" s="7" t="n">
        <v>-0.07</v>
      </c>
      <c r="R325" s="7" t="n">
        <v>-0.482</v>
      </c>
      <c r="S325" s="7" t="n">
        <v>0.003</v>
      </c>
      <c r="T325" s="7" t="n">
        <v>-0.713</v>
      </c>
      <c r="U325" s="7" t="n">
        <v>-0.239</v>
      </c>
      <c r="V325" s="7" t="n">
        <v>-0.454</v>
      </c>
      <c r="W325" s="7" t="n">
        <v>-0.358</v>
      </c>
      <c r="X325" s="7" t="n">
        <v>-0.12</v>
      </c>
      <c r="Y325" s="7" t="n">
        <v>-0.096</v>
      </c>
      <c r="Z325" s="7" t="n">
        <v>0.003</v>
      </c>
      <c r="AA325" s="7" t="n">
        <v>-0.429</v>
      </c>
      <c r="AB325" s="7" t="n">
        <v>-0.564</v>
      </c>
      <c r="AC325" s="7" t="n">
        <v>-0.305</v>
      </c>
      <c r="AD325" s="7" t="n">
        <v>-0.064</v>
      </c>
      <c r="AE325" s="7" t="n">
        <v>-0.165</v>
      </c>
      <c r="AF325" s="7" t="n">
        <v>-0.305</v>
      </c>
      <c r="AG325" s="7" t="n">
        <v>-0.469</v>
      </c>
      <c r="AH325" s="7" t="n">
        <v>0.135</v>
      </c>
      <c r="AI325" s="7" t="n">
        <v>-0.773</v>
      </c>
      <c r="AJ325" s="7" t="n">
        <v>-0.708</v>
      </c>
      <c r="AK325" s="7" t="n">
        <v>-0.673</v>
      </c>
      <c r="AL325" s="7" t="n">
        <v>-0.304</v>
      </c>
      <c r="AM325" s="7" t="n">
        <v>-0.613</v>
      </c>
      <c r="AN325" s="7" t="n">
        <v>-0.168</v>
      </c>
      <c r="AO325" s="7" t="n">
        <v>0.071</v>
      </c>
      <c r="AP325" s="7" t="n">
        <v>0.003</v>
      </c>
      <c r="AQ325" s="7" t="n">
        <v>-0.305</v>
      </c>
    </row>
    <row r="326" customFormat="false" ht="15" hidden="false" customHeight="false" outlineLevel="0" collapsed="false">
      <c r="A326" s="23" t="n">
        <v>46643</v>
      </c>
      <c r="B326" s="7" t="n">
        <v>-0.562</v>
      </c>
      <c r="C326" s="7" t="n">
        <v>0.007</v>
      </c>
      <c r="D326" s="7" t="n">
        <v>-0.908</v>
      </c>
      <c r="E326" s="7" t="n">
        <v>0.021</v>
      </c>
      <c r="F326" s="7" t="n">
        <v>0.074</v>
      </c>
      <c r="G326" s="7" t="n">
        <v>-0.92</v>
      </c>
      <c r="H326" s="7" t="n">
        <v>-0.856</v>
      </c>
      <c r="I326" s="7" t="n">
        <v>-0.902</v>
      </c>
      <c r="J326" s="7" t="n">
        <v>-0.079</v>
      </c>
      <c r="K326" s="7" t="n">
        <v>0.021</v>
      </c>
      <c r="L326" s="7" t="n">
        <v>-0.372</v>
      </c>
      <c r="M326" s="7" t="n">
        <v>-0.283</v>
      </c>
      <c r="N326" s="7" t="n">
        <v>-0.271</v>
      </c>
      <c r="O326" s="7" t="n">
        <v>-0.842</v>
      </c>
      <c r="P326" s="7" t="n">
        <v>-0.882</v>
      </c>
      <c r="Q326" s="7" t="n">
        <v>-0.07</v>
      </c>
      <c r="R326" s="7" t="n">
        <v>-0.873</v>
      </c>
      <c r="S326" s="7" t="n">
        <v>0.021</v>
      </c>
      <c r="T326" s="7" t="n">
        <v>-0.651</v>
      </c>
      <c r="U326" s="7" t="n">
        <v>-0.224</v>
      </c>
      <c r="V326" s="7" t="n">
        <v>-0.85</v>
      </c>
      <c r="W326" s="7" t="n">
        <v>-0.358</v>
      </c>
      <c r="X326" s="7" t="n">
        <v>-0.866</v>
      </c>
      <c r="Y326" s="7" t="n">
        <v>-0.084</v>
      </c>
      <c r="Z326" s="7" t="n">
        <v>0.021</v>
      </c>
      <c r="AA326" s="7" t="n">
        <v>-0.336</v>
      </c>
      <c r="AB326" s="7" t="n">
        <v>-0.079</v>
      </c>
      <c r="AC326" s="7" t="n">
        <v>-0.305</v>
      </c>
      <c r="AD326" s="7" t="n">
        <v>-0.75</v>
      </c>
      <c r="AE326" s="7" t="n">
        <v>-0.2</v>
      </c>
      <c r="AF326" s="7" t="n">
        <v>-0.305</v>
      </c>
      <c r="AG326" s="7" t="n">
        <v>-0.41</v>
      </c>
      <c r="AH326" s="7" t="n">
        <v>0.084</v>
      </c>
      <c r="AI326" s="7" t="n">
        <v>-0.389</v>
      </c>
      <c r="AJ326" s="7" t="n">
        <v>-0.806</v>
      </c>
      <c r="AK326" s="7" t="n">
        <v>-0.121</v>
      </c>
      <c r="AL326" s="7" t="n">
        <v>-0.846</v>
      </c>
      <c r="AM326" s="7" t="n">
        <v>-0.096</v>
      </c>
      <c r="AN326" s="7" t="n">
        <v>-0.77</v>
      </c>
      <c r="AO326" s="7" t="n">
        <v>0.037</v>
      </c>
      <c r="AP326" s="7" t="n">
        <v>0.021</v>
      </c>
      <c r="AQ326" s="7" t="n">
        <v>-0.305</v>
      </c>
    </row>
    <row r="327" customFormat="false" ht="15" hidden="false" customHeight="false" outlineLevel="0" collapsed="false">
      <c r="A327" s="23" t="n">
        <v>46644</v>
      </c>
      <c r="B327" s="7" t="n">
        <v>0.395</v>
      </c>
      <c r="C327" s="7" t="n">
        <v>0.406</v>
      </c>
      <c r="D327" s="7" t="n">
        <v>-0.022</v>
      </c>
      <c r="E327" s="7" t="n">
        <v>-0.088</v>
      </c>
      <c r="F327" s="7" t="n">
        <v>0.452</v>
      </c>
      <c r="G327" s="7" t="n">
        <v>0.257</v>
      </c>
      <c r="H327" s="7" t="n">
        <v>0.835</v>
      </c>
      <c r="I327" s="7" t="n">
        <v>0.204</v>
      </c>
      <c r="J327" s="7" t="n">
        <v>0.19</v>
      </c>
      <c r="K327" s="7" t="n">
        <v>0.188</v>
      </c>
      <c r="L327" s="7" t="n">
        <v>-0.063</v>
      </c>
      <c r="M327" s="7" t="n">
        <v>-0.171</v>
      </c>
      <c r="N327" s="7" t="n">
        <v>-0.487</v>
      </c>
      <c r="O327" s="7" t="n">
        <v>-0.123</v>
      </c>
      <c r="P327" s="7" t="n">
        <v>-0.054</v>
      </c>
      <c r="Q327" s="7" t="n">
        <v>0.025</v>
      </c>
      <c r="R327" s="7" t="n">
        <v>0.833</v>
      </c>
      <c r="S327" s="7" t="n">
        <v>-0.388</v>
      </c>
      <c r="T327" s="7" t="n">
        <v>-0.495</v>
      </c>
      <c r="U327" s="7" t="n">
        <v>0.968</v>
      </c>
      <c r="V327" s="7" t="n">
        <v>0.878</v>
      </c>
      <c r="W327" s="7" t="n">
        <v>-0.23</v>
      </c>
      <c r="X327" s="7" t="n">
        <v>-0.08</v>
      </c>
      <c r="Y327" s="7" t="n">
        <v>0.848</v>
      </c>
      <c r="Z327" s="7" t="n">
        <v>0.06</v>
      </c>
      <c r="AA327" s="7" t="n">
        <v>0.84</v>
      </c>
      <c r="AB327" s="7" t="n">
        <v>0.19</v>
      </c>
      <c r="AC327" s="7" t="n">
        <v>-0.216</v>
      </c>
      <c r="AD327" s="7" t="n">
        <v>0.82</v>
      </c>
      <c r="AE327" s="7" t="n">
        <v>0.01</v>
      </c>
      <c r="AF327" s="7" t="n">
        <v>-0.216</v>
      </c>
      <c r="AG327" s="7" t="n">
        <v>-0.252</v>
      </c>
      <c r="AH327" s="7" t="n">
        <v>0.19</v>
      </c>
      <c r="AI327" s="7" t="n">
        <v>-0.123</v>
      </c>
      <c r="AJ327" s="7" t="n">
        <v>0.152</v>
      </c>
      <c r="AK327" s="7" t="n">
        <v>0.173</v>
      </c>
      <c r="AL327" s="7" t="n">
        <v>-0.144</v>
      </c>
      <c r="AM327" s="7" t="n">
        <v>0.096</v>
      </c>
      <c r="AN327" s="7" t="n">
        <v>0.828</v>
      </c>
      <c r="AO327" s="7" t="n">
        <v>0.155</v>
      </c>
      <c r="AP327" s="7" t="n">
        <v>0.06</v>
      </c>
      <c r="AQ327" s="7" t="n">
        <v>-0.216</v>
      </c>
    </row>
    <row r="328" customFormat="false" ht="15" hidden="false" customHeight="false" outlineLevel="0" collapsed="false">
      <c r="A328" s="23" t="n">
        <v>46645</v>
      </c>
      <c r="B328" s="7" t="n">
        <v>0.672</v>
      </c>
      <c r="C328" s="7" t="n">
        <v>0.929</v>
      </c>
      <c r="D328" s="7" t="n">
        <v>-0.022</v>
      </c>
      <c r="E328" s="7" t="n">
        <v>-0.22</v>
      </c>
      <c r="F328" s="7" t="n">
        <v>0.99</v>
      </c>
      <c r="G328" s="7" t="n">
        <v>0.294</v>
      </c>
      <c r="H328" s="7" t="n">
        <v>0.116</v>
      </c>
      <c r="I328" s="7" t="n">
        <v>0.229</v>
      </c>
      <c r="J328" s="7" t="n">
        <v>0.978</v>
      </c>
      <c r="K328" s="7" t="n">
        <v>0.223</v>
      </c>
      <c r="L328" s="7" t="n">
        <v>-0.019</v>
      </c>
      <c r="M328" s="7" t="n">
        <v>0.898</v>
      </c>
      <c r="N328" s="7" t="n">
        <v>0.918</v>
      </c>
      <c r="O328" s="7" t="n">
        <v>0.963</v>
      </c>
      <c r="P328" s="7" t="n">
        <v>-0.012</v>
      </c>
      <c r="Q328" s="7" t="n">
        <v>0.07</v>
      </c>
      <c r="R328" s="7" t="n">
        <v>0.113</v>
      </c>
      <c r="S328" s="7" t="n">
        <v>-0.388</v>
      </c>
      <c r="T328" s="7" t="n">
        <v>-0.454</v>
      </c>
      <c r="U328" s="7" t="n">
        <v>0.147</v>
      </c>
      <c r="V328" s="7" t="n">
        <v>0.261</v>
      </c>
      <c r="W328" s="7" t="n">
        <v>-0.23</v>
      </c>
      <c r="X328" s="7" t="n">
        <v>-0.082</v>
      </c>
      <c r="Y328" s="7" t="n">
        <v>0.128</v>
      </c>
      <c r="Z328" s="7" t="n">
        <v>0.06</v>
      </c>
      <c r="AA328" s="7" t="n">
        <v>0.135</v>
      </c>
      <c r="AB328" s="7" t="n">
        <v>0.973</v>
      </c>
      <c r="AC328" s="7" t="n">
        <v>-0.173</v>
      </c>
      <c r="AD328" s="7" t="n">
        <v>-0.073</v>
      </c>
      <c r="AE328" s="7" t="n">
        <v>0.971</v>
      </c>
      <c r="AF328" s="7" t="n">
        <v>-0.173</v>
      </c>
      <c r="AG328" s="7" t="n">
        <v>-0.212</v>
      </c>
      <c r="AH328" s="7" t="n">
        <v>0.866</v>
      </c>
      <c r="AI328" s="7" t="n">
        <v>-0.078</v>
      </c>
      <c r="AJ328" s="7" t="n">
        <v>0.199</v>
      </c>
      <c r="AK328" s="7" t="n">
        <v>0.22</v>
      </c>
      <c r="AL328" s="7" t="n">
        <v>0.772</v>
      </c>
      <c r="AM328" s="7" t="n">
        <v>0.096</v>
      </c>
      <c r="AN328" s="7" t="n">
        <v>0.105</v>
      </c>
      <c r="AO328" s="7" t="n">
        <v>0.857</v>
      </c>
      <c r="AP328" s="7" t="n">
        <v>0.06</v>
      </c>
      <c r="AQ328" s="7" t="n">
        <v>-0.173</v>
      </c>
    </row>
    <row r="329" customFormat="false" ht="15" hidden="false" customHeight="false" outlineLevel="0" collapsed="false">
      <c r="A329" s="23" t="n">
        <v>46646</v>
      </c>
      <c r="B329" s="7" t="n">
        <v>0.377</v>
      </c>
      <c r="C329" s="7" t="n">
        <v>0.389</v>
      </c>
      <c r="D329" s="7" t="n">
        <v>-0.063</v>
      </c>
      <c r="E329" s="7" t="n">
        <v>0.008</v>
      </c>
      <c r="F329" s="7" t="n">
        <v>0.555</v>
      </c>
      <c r="G329" s="7" t="n">
        <v>-0.005</v>
      </c>
      <c r="H329" s="7" t="n">
        <v>0.451</v>
      </c>
      <c r="I329" s="7" t="n">
        <v>0.064</v>
      </c>
      <c r="J329" s="7" t="n">
        <v>0.206</v>
      </c>
      <c r="K329" s="7" t="n">
        <v>0.008</v>
      </c>
      <c r="L329" s="7" t="n">
        <v>-0.362</v>
      </c>
      <c r="M329" s="7" t="n">
        <v>0.369</v>
      </c>
      <c r="N329" s="7" t="n">
        <v>0.281</v>
      </c>
      <c r="O329" s="7" t="n">
        <v>0.252</v>
      </c>
      <c r="P329" s="7" t="n">
        <v>-0.341</v>
      </c>
      <c r="Q329" s="7" t="n">
        <v>-0.202</v>
      </c>
      <c r="R329" s="7" t="n">
        <v>0.451</v>
      </c>
      <c r="S329" s="7" t="n">
        <v>0.008</v>
      </c>
      <c r="T329" s="7" t="n">
        <v>0.119</v>
      </c>
      <c r="U329" s="7" t="n">
        <v>-0.348</v>
      </c>
      <c r="V329" s="7" t="n">
        <v>0.451</v>
      </c>
      <c r="W329" s="7" t="n">
        <v>-0.358</v>
      </c>
      <c r="X329" s="7" t="n">
        <v>-0.518</v>
      </c>
      <c r="Y329" s="7" t="n">
        <v>0.016</v>
      </c>
      <c r="Z329" s="7" t="n">
        <v>0.008</v>
      </c>
      <c r="AA329" s="7" t="n">
        <v>0.5</v>
      </c>
      <c r="AB329" s="7" t="n">
        <v>0.349</v>
      </c>
      <c r="AC329" s="7" t="n">
        <v>-0.669</v>
      </c>
      <c r="AD329" s="7" t="n">
        <v>-0.055</v>
      </c>
      <c r="AE329" s="7" t="n">
        <v>0.334</v>
      </c>
      <c r="AF329" s="7" t="n">
        <v>-0.369</v>
      </c>
      <c r="AG329" s="7" t="n">
        <v>0</v>
      </c>
      <c r="AH329" s="7" t="n">
        <v>0.251</v>
      </c>
      <c r="AI329" s="7" t="n">
        <v>-0.369</v>
      </c>
      <c r="AJ329" s="7" t="n">
        <v>0.064</v>
      </c>
      <c r="AK329" s="7" t="n">
        <v>0.126</v>
      </c>
      <c r="AL329" s="7" t="n">
        <v>0.163</v>
      </c>
      <c r="AM329" s="7" t="n">
        <v>0</v>
      </c>
      <c r="AN329" s="7" t="n">
        <v>0.451</v>
      </c>
      <c r="AO329" s="7" t="n">
        <v>0.244</v>
      </c>
      <c r="AP329" s="7" t="n">
        <v>0.008</v>
      </c>
      <c r="AQ329" s="7" t="n">
        <v>-0.369</v>
      </c>
    </row>
    <row r="330" customFormat="false" ht="15" hidden="false" customHeight="false" outlineLevel="0" collapsed="false">
      <c r="A330" s="23" t="n">
        <v>46647</v>
      </c>
      <c r="B330" s="7" t="n">
        <v>-0.345</v>
      </c>
      <c r="C330" s="7" t="n">
        <v>-0.761</v>
      </c>
      <c r="D330" s="7" t="n">
        <v>-0.062</v>
      </c>
      <c r="E330" s="7" t="n">
        <v>-0.007</v>
      </c>
      <c r="F330" s="7" t="n">
        <v>-0.046</v>
      </c>
      <c r="G330" s="7" t="n">
        <v>-0.122</v>
      </c>
      <c r="H330" s="7" t="n">
        <v>-0.427</v>
      </c>
      <c r="I330" s="7" t="n">
        <v>-0.796</v>
      </c>
      <c r="J330" s="7" t="n">
        <v>-0.384</v>
      </c>
      <c r="K330" s="7" t="n">
        <v>-0.007</v>
      </c>
      <c r="L330" s="7" t="n">
        <v>-0.376</v>
      </c>
      <c r="M330" s="7" t="n">
        <v>-0.221</v>
      </c>
      <c r="N330" s="7" t="n">
        <v>-0.36</v>
      </c>
      <c r="O330" s="7" t="n">
        <v>-0.338</v>
      </c>
      <c r="P330" s="7" t="n">
        <v>-0.436</v>
      </c>
      <c r="Q330" s="7" t="n">
        <v>-0.206</v>
      </c>
      <c r="R330" s="7" t="n">
        <v>-0.494</v>
      </c>
      <c r="S330" s="7" t="n">
        <v>-0.007</v>
      </c>
      <c r="T330" s="7" t="n">
        <v>-0.831</v>
      </c>
      <c r="U330" s="7" t="n">
        <v>-0.321</v>
      </c>
      <c r="V330" s="7" t="n">
        <v>-0.502</v>
      </c>
      <c r="W330" s="7" t="n">
        <v>-0.358</v>
      </c>
      <c r="X330" s="7" t="n">
        <v>-0.595</v>
      </c>
      <c r="Y330" s="7" t="n">
        <v>-0.049</v>
      </c>
      <c r="Z330" s="7" t="n">
        <v>-0.007</v>
      </c>
      <c r="AA330" s="7" t="n">
        <v>-0.446</v>
      </c>
      <c r="AB330" s="7" t="n">
        <v>-0.234</v>
      </c>
      <c r="AC330" s="7" t="n">
        <v>-0.673</v>
      </c>
      <c r="AD330" s="7" t="n">
        <v>-0.069</v>
      </c>
      <c r="AE330" s="7" t="n">
        <v>-0.315</v>
      </c>
      <c r="AF330" s="7" t="n">
        <v>-0.37</v>
      </c>
      <c r="AG330" s="7" t="n">
        <v>0</v>
      </c>
      <c r="AH330" s="7" t="n">
        <v>-0.293</v>
      </c>
      <c r="AI330" s="7" t="n">
        <v>-0.37</v>
      </c>
      <c r="AJ330" s="7" t="n">
        <v>-0.657</v>
      </c>
      <c r="AK330" s="7" t="n">
        <v>-0.62</v>
      </c>
      <c r="AL330" s="7" t="n">
        <v>-0.369</v>
      </c>
      <c r="AM330" s="7" t="n">
        <v>0</v>
      </c>
      <c r="AN330" s="7" t="n">
        <v>-0.345</v>
      </c>
      <c r="AO330" s="7" t="n">
        <v>-0.356</v>
      </c>
      <c r="AP330" s="7" t="n">
        <v>-0.007</v>
      </c>
      <c r="AQ330" s="7" t="n">
        <v>-0.37</v>
      </c>
    </row>
    <row r="331" customFormat="false" ht="15" hidden="false" customHeight="false" outlineLevel="0" collapsed="false">
      <c r="A331" s="23" t="n">
        <v>46648</v>
      </c>
      <c r="B331" s="7" t="n">
        <v>0.283</v>
      </c>
      <c r="C331" s="7" t="n">
        <v>0.392</v>
      </c>
      <c r="D331" s="7" t="n">
        <v>-0.015</v>
      </c>
      <c r="E331" s="7" t="n">
        <v>0.487</v>
      </c>
      <c r="F331" s="7" t="n">
        <v>0.022</v>
      </c>
      <c r="G331" s="7" t="n">
        <v>-0.012</v>
      </c>
      <c r="H331" s="7" t="n">
        <v>0.49</v>
      </c>
      <c r="I331" s="7" t="n">
        <v>0.477</v>
      </c>
      <c r="J331" s="7" t="n">
        <v>-0.07</v>
      </c>
      <c r="K331" s="7" t="n">
        <v>0.742</v>
      </c>
      <c r="L331" s="7" t="n">
        <v>-0.049</v>
      </c>
      <c r="M331" s="7" t="n">
        <v>0.047</v>
      </c>
      <c r="N331" s="7" t="n">
        <v>0.022</v>
      </c>
      <c r="O331" s="7" t="n">
        <v>-0.218</v>
      </c>
      <c r="P331" s="7" t="n">
        <v>-0.26</v>
      </c>
      <c r="Q331" s="7" t="n">
        <v>-0.273</v>
      </c>
      <c r="R331" s="7" t="n">
        <v>0.49</v>
      </c>
      <c r="S331" s="7" t="n">
        <v>0.572</v>
      </c>
      <c r="T331" s="7" t="n">
        <v>0.099</v>
      </c>
      <c r="U331" s="7" t="n">
        <v>-0.288</v>
      </c>
      <c r="V331" s="7" t="n">
        <v>0.49</v>
      </c>
      <c r="W331" s="7" t="n">
        <v>-0.358</v>
      </c>
      <c r="X331" s="7" t="n">
        <v>-0.049</v>
      </c>
      <c r="Y331" s="7" t="n">
        <v>-0.137</v>
      </c>
      <c r="Z331" s="7" t="n">
        <v>0.742</v>
      </c>
      <c r="AA331" s="7" t="n">
        <v>0.502</v>
      </c>
      <c r="AB331" s="7" t="n">
        <v>0.216</v>
      </c>
      <c r="AC331" s="7" t="n">
        <v>-0.463</v>
      </c>
      <c r="AD331" s="7" t="n">
        <v>0.601</v>
      </c>
      <c r="AE331" s="7" t="n">
        <v>0.096</v>
      </c>
      <c r="AF331" s="7" t="n">
        <v>-0.172</v>
      </c>
      <c r="AG331" s="7" t="n">
        <v>0</v>
      </c>
      <c r="AH331" s="7" t="n">
        <v>-0.128</v>
      </c>
      <c r="AI331" s="7" t="n">
        <v>-0.376</v>
      </c>
      <c r="AJ331" s="7" t="n">
        <v>0.477</v>
      </c>
      <c r="AK331" s="7" t="n">
        <v>0.488</v>
      </c>
      <c r="AL331" s="7" t="n">
        <v>-0.479</v>
      </c>
      <c r="AM331" s="7" t="n">
        <v>0.044</v>
      </c>
      <c r="AN331" s="7" t="n">
        <v>0.49</v>
      </c>
      <c r="AO331" s="7" t="n">
        <v>0.277</v>
      </c>
      <c r="AP331" s="7" t="n">
        <v>0.333</v>
      </c>
      <c r="AQ331" s="7" t="n">
        <v>-0.413</v>
      </c>
    </row>
    <row r="332" customFormat="false" ht="15" hidden="false" customHeight="false" outlineLevel="0" collapsed="false">
      <c r="A332" s="23" t="n">
        <v>46649</v>
      </c>
      <c r="B332" s="7" t="n">
        <v>0.306</v>
      </c>
      <c r="C332" s="7" t="n">
        <v>0.123</v>
      </c>
      <c r="D332" s="7" t="n">
        <v>0.503</v>
      </c>
      <c r="E332" s="7" t="n">
        <v>0.024</v>
      </c>
      <c r="F332" s="7" t="n">
        <v>-0.292</v>
      </c>
      <c r="G332" s="7" t="n">
        <v>0.786</v>
      </c>
      <c r="H332" s="7" t="n">
        <v>0.75</v>
      </c>
      <c r="I332" s="7" t="n">
        <v>0.744</v>
      </c>
      <c r="J332" s="7" t="n">
        <v>0.024</v>
      </c>
      <c r="K332" s="7" t="n">
        <v>0.024</v>
      </c>
      <c r="L332" s="7" t="n">
        <v>-0.421</v>
      </c>
      <c r="M332" s="7" t="n">
        <v>-0.506</v>
      </c>
      <c r="N332" s="7" t="n">
        <v>-0.373</v>
      </c>
      <c r="O332" s="7" t="n">
        <v>-0.394</v>
      </c>
      <c r="P332" s="7" t="n">
        <v>0.212</v>
      </c>
      <c r="Q332" s="7" t="n">
        <v>-0.35</v>
      </c>
      <c r="R332" s="7" t="n">
        <v>0.756</v>
      </c>
      <c r="S332" s="7" t="n">
        <v>0.557</v>
      </c>
      <c r="T332" s="7" t="n">
        <v>-0.47</v>
      </c>
      <c r="U332" s="7" t="n">
        <v>-0.484</v>
      </c>
      <c r="V332" s="7" t="n">
        <v>0.778</v>
      </c>
      <c r="W332" s="7" t="n">
        <v>-0.422</v>
      </c>
      <c r="X332" s="7" t="n">
        <v>0.523</v>
      </c>
      <c r="Y332" s="7" t="n">
        <v>0.274</v>
      </c>
      <c r="Z332" s="7" t="n">
        <v>0.024</v>
      </c>
      <c r="AA332" s="7" t="n">
        <v>0.443</v>
      </c>
      <c r="AB332" s="7" t="n">
        <v>0.024</v>
      </c>
      <c r="AC332" s="7" t="n">
        <v>-0.427</v>
      </c>
      <c r="AD332" s="7" t="n">
        <v>0.489</v>
      </c>
      <c r="AE332" s="7" t="n">
        <v>-0.296</v>
      </c>
      <c r="AF332" s="7" t="n">
        <v>-0.427</v>
      </c>
      <c r="AG332" s="7" t="n">
        <v>0.705</v>
      </c>
      <c r="AH332" s="7" t="n">
        <v>-0.056</v>
      </c>
      <c r="AI332" s="7" t="n">
        <v>-0.44</v>
      </c>
      <c r="AJ332" s="7" t="n">
        <v>0.766</v>
      </c>
      <c r="AK332" s="7" t="n">
        <v>0.462</v>
      </c>
      <c r="AL332" s="7" t="n">
        <v>-0.041</v>
      </c>
      <c r="AM332" s="7" t="n">
        <v>-0.016</v>
      </c>
      <c r="AN332" s="7" t="n">
        <v>0.773</v>
      </c>
      <c r="AO332" s="7" t="n">
        <v>0.064</v>
      </c>
      <c r="AP332" s="7" t="n">
        <v>0.024</v>
      </c>
      <c r="AQ332" s="7" t="n">
        <v>-0.427</v>
      </c>
    </row>
    <row r="333" customFormat="false" ht="15" hidden="false" customHeight="false" outlineLevel="0" collapsed="false">
      <c r="A333" s="23" t="n">
        <v>46650</v>
      </c>
      <c r="B333" s="7" t="n">
        <v>0.748</v>
      </c>
      <c r="C333" s="7" t="n">
        <v>0.413</v>
      </c>
      <c r="D333" s="7" t="n">
        <v>0.512</v>
      </c>
      <c r="E333" s="7" t="n">
        <v>0.096</v>
      </c>
      <c r="F333" s="7" t="n">
        <v>0.424</v>
      </c>
      <c r="G333" s="7" t="n">
        <v>0.805</v>
      </c>
      <c r="H333" s="7" t="n">
        <v>0.779</v>
      </c>
      <c r="I333" s="7" t="n">
        <v>0.813</v>
      </c>
      <c r="J333" s="7" t="n">
        <v>0.053</v>
      </c>
      <c r="K333" s="7" t="n">
        <v>0.096</v>
      </c>
      <c r="L333" s="7" t="n">
        <v>0.112</v>
      </c>
      <c r="M333" s="7" t="n">
        <v>-0.349</v>
      </c>
      <c r="N333" s="7" t="n">
        <v>0.314</v>
      </c>
      <c r="O333" s="7" t="n">
        <v>-0.046</v>
      </c>
      <c r="P333" s="7" t="n">
        <v>0.306</v>
      </c>
      <c r="Q333" s="7" t="n">
        <v>0.127</v>
      </c>
      <c r="R333" s="7" t="n">
        <v>0.778</v>
      </c>
      <c r="S333" s="7" t="n">
        <v>0.096</v>
      </c>
      <c r="T333" s="7" t="n">
        <v>0.058</v>
      </c>
      <c r="U333" s="7" t="n">
        <v>0.051</v>
      </c>
      <c r="V333" s="7" t="n">
        <v>0.822</v>
      </c>
      <c r="W333" s="7" t="n">
        <v>-0.047</v>
      </c>
      <c r="X333" s="7" t="n">
        <v>0.531</v>
      </c>
      <c r="Y333" s="7" t="n">
        <v>0.323</v>
      </c>
      <c r="Z333" s="7" t="n">
        <v>0.096</v>
      </c>
      <c r="AA333" s="7" t="n">
        <v>0.483</v>
      </c>
      <c r="AB333" s="7" t="n">
        <v>0.053</v>
      </c>
      <c r="AC333" s="7" t="n">
        <v>-0.025</v>
      </c>
      <c r="AD333" s="7" t="n">
        <v>0.544</v>
      </c>
      <c r="AE333" s="7" t="n">
        <v>0.391</v>
      </c>
      <c r="AF333" s="7" t="n">
        <v>0.355</v>
      </c>
      <c r="AG333" s="7" t="n">
        <v>0.72</v>
      </c>
      <c r="AH333" s="7" t="n">
        <v>-0.062</v>
      </c>
      <c r="AI333" s="7" t="n">
        <v>-0.369</v>
      </c>
      <c r="AJ333" s="7" t="n">
        <v>0.79</v>
      </c>
      <c r="AK333" s="7" t="n">
        <v>0.507</v>
      </c>
      <c r="AL333" s="7" t="n">
        <v>0.012</v>
      </c>
      <c r="AM333" s="7" t="n">
        <v>0.042</v>
      </c>
      <c r="AN333" s="7" t="n">
        <v>0.774</v>
      </c>
      <c r="AO333" s="7" t="n">
        <v>0.106</v>
      </c>
      <c r="AP333" s="7" t="n">
        <v>0.096</v>
      </c>
      <c r="AQ333" s="7" t="n">
        <v>-0.404</v>
      </c>
    </row>
    <row r="334" customFormat="false" ht="15" hidden="false" customHeight="false" outlineLevel="0" collapsed="false">
      <c r="A334" s="23" t="n">
        <v>46651</v>
      </c>
      <c r="B334" s="7" t="n">
        <v>-0.288</v>
      </c>
      <c r="C334" s="7" t="n">
        <v>-0.036</v>
      </c>
      <c r="D334" s="7" t="n">
        <v>-0.058</v>
      </c>
      <c r="E334" s="7" t="n">
        <v>0.096</v>
      </c>
      <c r="F334" s="7" t="n">
        <v>-0.412</v>
      </c>
      <c r="G334" s="7" t="n">
        <v>0.029</v>
      </c>
      <c r="H334" s="7" t="n">
        <v>0.368</v>
      </c>
      <c r="I334" s="7" t="n">
        <v>0.327</v>
      </c>
      <c r="J334" s="7" t="n">
        <v>0</v>
      </c>
      <c r="K334" s="7" t="n">
        <v>0.096</v>
      </c>
      <c r="L334" s="7" t="n">
        <v>-0.627</v>
      </c>
      <c r="M334" s="7" t="n">
        <v>-0.228</v>
      </c>
      <c r="N334" s="7" t="n">
        <v>-0.412</v>
      </c>
      <c r="O334" s="7" t="n">
        <v>-0.941</v>
      </c>
      <c r="P334" s="7" t="n">
        <v>-0.726</v>
      </c>
      <c r="Q334" s="7" t="n">
        <v>-0.566</v>
      </c>
      <c r="R334" s="7" t="n">
        <v>0.391</v>
      </c>
      <c r="S334" s="7" t="n">
        <v>0.096</v>
      </c>
      <c r="T334" s="7" t="n">
        <v>0.133</v>
      </c>
      <c r="U334" s="7" t="n">
        <v>-0.89</v>
      </c>
      <c r="V334" s="7" t="n">
        <v>-0.438</v>
      </c>
      <c r="W334" s="7" t="n">
        <v>-0.676</v>
      </c>
      <c r="X334" s="7" t="n">
        <v>-0.131</v>
      </c>
      <c r="Y334" s="7" t="n">
        <v>-0.761</v>
      </c>
      <c r="Z334" s="7" t="n">
        <v>0.096</v>
      </c>
      <c r="AA334" s="7" t="n">
        <v>0.44</v>
      </c>
      <c r="AB334" s="7" t="n">
        <v>0</v>
      </c>
      <c r="AC334" s="7" t="n">
        <v>-0.682</v>
      </c>
      <c r="AD334" s="7" t="n">
        <v>0.401</v>
      </c>
      <c r="AE334" s="7" t="n">
        <v>-0.337</v>
      </c>
      <c r="AF334" s="7" t="n">
        <v>-0.303</v>
      </c>
      <c r="AG334" s="7" t="n">
        <v>-0.685</v>
      </c>
      <c r="AH334" s="7" t="n">
        <v>-0.716</v>
      </c>
      <c r="AI334" s="7" t="n">
        <v>-0.753</v>
      </c>
      <c r="AJ334" s="7" t="n">
        <v>0.459</v>
      </c>
      <c r="AK334" s="7" t="n">
        <v>0.504</v>
      </c>
      <c r="AL334" s="7" t="n">
        <v>-0.959</v>
      </c>
      <c r="AM334" s="7" t="n">
        <v>0</v>
      </c>
      <c r="AN334" s="7" t="n">
        <v>0.459</v>
      </c>
      <c r="AO334" s="7" t="n">
        <v>-0.631</v>
      </c>
      <c r="AP334" s="7" t="n">
        <v>0.096</v>
      </c>
      <c r="AQ334" s="7" t="n">
        <v>-0.753</v>
      </c>
    </row>
    <row r="335" customFormat="false" ht="15" hidden="false" customHeight="false" outlineLevel="0" collapsed="false">
      <c r="A335" s="23" t="n">
        <v>46652</v>
      </c>
      <c r="B335" s="7" t="n">
        <v>-0.57</v>
      </c>
      <c r="C335" s="7" t="n">
        <v>-0.531</v>
      </c>
      <c r="D335" s="7" t="n">
        <v>-0.096</v>
      </c>
      <c r="E335" s="7" t="n">
        <v>0.044</v>
      </c>
      <c r="F335" s="7" t="n">
        <v>-0.681</v>
      </c>
      <c r="G335" s="7" t="n">
        <v>-0.31</v>
      </c>
      <c r="H335" s="7" t="n">
        <v>0.352</v>
      </c>
      <c r="I335" s="7" t="n">
        <v>-0.138</v>
      </c>
      <c r="J335" s="7" t="n">
        <v>-0.192</v>
      </c>
      <c r="K335" s="7" t="n">
        <v>-0.055</v>
      </c>
      <c r="L335" s="7" t="n">
        <v>-0.929</v>
      </c>
      <c r="M335" s="7" t="n">
        <v>-0.366</v>
      </c>
      <c r="N335" s="7" t="n">
        <v>-0.852</v>
      </c>
      <c r="O335" s="7" t="n">
        <v>-0.871</v>
      </c>
      <c r="P335" s="7" t="n">
        <v>-0.815</v>
      </c>
      <c r="Q335" s="7" t="n">
        <v>-0.862</v>
      </c>
      <c r="R335" s="7" t="n">
        <v>0.385</v>
      </c>
      <c r="S335" s="7" t="n">
        <v>0.044</v>
      </c>
      <c r="T335" s="7" t="n">
        <v>-0.091</v>
      </c>
      <c r="U335" s="7" t="n">
        <v>-0.824</v>
      </c>
      <c r="V335" s="7" t="n">
        <v>0.286</v>
      </c>
      <c r="W335" s="7" t="n">
        <v>-0.804</v>
      </c>
      <c r="X335" s="7" t="n">
        <v>-0.239</v>
      </c>
      <c r="Y335" s="7" t="n">
        <v>-0.572</v>
      </c>
      <c r="Z335" s="7" t="n">
        <v>-0.055</v>
      </c>
      <c r="AA335" s="7" t="n">
        <v>0.464</v>
      </c>
      <c r="AB335" s="7" t="n">
        <v>-0.452</v>
      </c>
      <c r="AC335" s="7" t="n">
        <v>-0.835</v>
      </c>
      <c r="AD335" s="7" t="n">
        <v>-0.115</v>
      </c>
      <c r="AE335" s="7" t="n">
        <v>-0.693</v>
      </c>
      <c r="AF335" s="7" t="n">
        <v>-0.723</v>
      </c>
      <c r="AG335" s="7" t="n">
        <v>-0.201</v>
      </c>
      <c r="AH335" s="7" t="n">
        <v>-0.096</v>
      </c>
      <c r="AI335" s="7" t="n">
        <v>-0.831</v>
      </c>
      <c r="AJ335" s="7" t="n">
        <v>0.132</v>
      </c>
      <c r="AK335" s="7" t="n">
        <v>0.224</v>
      </c>
      <c r="AL335" s="7" t="n">
        <v>-0.758</v>
      </c>
      <c r="AM335" s="7" t="n">
        <v>-0.371</v>
      </c>
      <c r="AN335" s="7" t="n">
        <v>0.479</v>
      </c>
      <c r="AO335" s="7" t="n">
        <v>-0.055</v>
      </c>
      <c r="AP335" s="7" t="n">
        <v>-0.055</v>
      </c>
      <c r="AQ335" s="7" t="n">
        <v>-0.664</v>
      </c>
    </row>
    <row r="336" customFormat="false" ht="15" hidden="false" customHeight="false" outlineLevel="0" collapsed="false">
      <c r="A336" s="23" t="n">
        <v>46653</v>
      </c>
      <c r="B336" s="7" t="n">
        <v>-0.996</v>
      </c>
      <c r="C336" s="7" t="n">
        <v>0.013</v>
      </c>
      <c r="D336" s="7" t="n">
        <v>-0.93</v>
      </c>
      <c r="E336" s="7" t="n">
        <v>-0.547</v>
      </c>
      <c r="F336" s="7" t="n">
        <v>-0.596</v>
      </c>
      <c r="G336" s="7" t="n">
        <v>-0.981</v>
      </c>
      <c r="H336" s="7" t="n">
        <v>-0.555</v>
      </c>
      <c r="I336" s="7" t="n">
        <v>-0.718</v>
      </c>
      <c r="J336" s="7" t="n">
        <v>-0.066</v>
      </c>
      <c r="K336" s="7" t="n">
        <v>-0.317</v>
      </c>
      <c r="L336" s="7" t="n">
        <v>-0.577</v>
      </c>
      <c r="M336" s="7" t="n">
        <v>-0.58</v>
      </c>
      <c r="N336" s="7" t="n">
        <v>-0.595</v>
      </c>
      <c r="O336" s="7" t="n">
        <v>-0.908</v>
      </c>
      <c r="P336" s="7" t="n">
        <v>-0.962</v>
      </c>
      <c r="Q336" s="7" t="n">
        <v>-0.444</v>
      </c>
      <c r="R336" s="7" t="n">
        <v>-0.548</v>
      </c>
      <c r="S336" s="7" t="n">
        <v>-0.306</v>
      </c>
      <c r="T336" s="7" t="n">
        <v>-0.061</v>
      </c>
      <c r="U336" s="7" t="n">
        <v>-0.645</v>
      </c>
      <c r="V336" s="7" t="n">
        <v>-0.632</v>
      </c>
      <c r="W336" s="7" t="n">
        <v>-0.317</v>
      </c>
      <c r="X336" s="7" t="n">
        <v>-0.903</v>
      </c>
      <c r="Y336" s="7" t="n">
        <v>-0.429</v>
      </c>
      <c r="Z336" s="7" t="n">
        <v>-0.406</v>
      </c>
      <c r="AA336" s="7" t="n">
        <v>0.541</v>
      </c>
      <c r="AB336" s="7" t="n">
        <v>-0.198</v>
      </c>
      <c r="AC336" s="7" t="n">
        <v>-0.374</v>
      </c>
      <c r="AD336" s="7" t="n">
        <v>-0.889</v>
      </c>
      <c r="AE336" s="7" t="n">
        <v>-0.541</v>
      </c>
      <c r="AF336" s="7" t="n">
        <v>-0.583</v>
      </c>
      <c r="AG336" s="7" t="n">
        <v>-0.298</v>
      </c>
      <c r="AH336" s="7" t="n">
        <v>-0.024</v>
      </c>
      <c r="AI336" s="7" t="n">
        <v>-0.429</v>
      </c>
      <c r="AJ336" s="7" t="n">
        <v>-0.572</v>
      </c>
      <c r="AK336" s="7" t="n">
        <v>0.516</v>
      </c>
      <c r="AL336" s="7" t="n">
        <v>-0.927</v>
      </c>
      <c r="AM336" s="7" t="n">
        <v>-0.066</v>
      </c>
      <c r="AN336" s="7" t="n">
        <v>-0.526</v>
      </c>
      <c r="AO336" s="7" t="n">
        <v>-0.196</v>
      </c>
      <c r="AP336" s="7" t="n">
        <v>-0.196</v>
      </c>
      <c r="AQ336" s="7" t="n">
        <v>-0.374</v>
      </c>
    </row>
    <row r="337" customFormat="false" ht="15" hidden="false" customHeight="false" outlineLevel="0" collapsed="false">
      <c r="A337" s="23" t="n">
        <v>46654</v>
      </c>
      <c r="B337" s="7" t="n">
        <v>-0.158</v>
      </c>
      <c r="C337" s="7" t="n">
        <v>0.01</v>
      </c>
      <c r="D337" s="7" t="n">
        <v>-0.06</v>
      </c>
      <c r="E337" s="7" t="n">
        <v>-0.49</v>
      </c>
      <c r="F337" s="7" t="n">
        <v>-0.529</v>
      </c>
      <c r="G337" s="7" t="n">
        <v>-0.034</v>
      </c>
      <c r="H337" s="7" t="n">
        <v>0.9</v>
      </c>
      <c r="I337" s="7" t="n">
        <v>0.429</v>
      </c>
      <c r="J337" s="7" t="n">
        <v>-0.012</v>
      </c>
      <c r="K337" s="7" t="n">
        <v>0.118</v>
      </c>
      <c r="L337" s="7" t="n">
        <v>-0.63</v>
      </c>
      <c r="M337" s="7" t="n">
        <v>-0.694</v>
      </c>
      <c r="N337" s="7" t="n">
        <v>-0.597</v>
      </c>
      <c r="O337" s="7" t="n">
        <v>-0.373</v>
      </c>
      <c r="P337" s="7" t="n">
        <v>-0.529</v>
      </c>
      <c r="Q337" s="7" t="n">
        <v>-0.446</v>
      </c>
      <c r="R337" s="7" t="n">
        <v>0.896</v>
      </c>
      <c r="S337" s="7" t="n">
        <v>-0.148</v>
      </c>
      <c r="T337" s="7" t="n">
        <v>-0.063</v>
      </c>
      <c r="U337" s="7" t="n">
        <v>-0.072</v>
      </c>
      <c r="V337" s="7" t="n">
        <v>0.879</v>
      </c>
      <c r="W337" s="7" t="n">
        <v>-0.317</v>
      </c>
      <c r="X337" s="7" t="n">
        <v>-0.11</v>
      </c>
      <c r="Y337" s="7" t="n">
        <v>0.471</v>
      </c>
      <c r="Z337" s="7" t="n">
        <v>-0.16</v>
      </c>
      <c r="AA337" s="7" t="n">
        <v>0.907</v>
      </c>
      <c r="AB337" s="7" t="n">
        <v>-0.202</v>
      </c>
      <c r="AC337" s="7" t="n">
        <v>-0.373</v>
      </c>
      <c r="AD337" s="7" t="n">
        <v>0.552</v>
      </c>
      <c r="AE337" s="7" t="n">
        <v>-0.542</v>
      </c>
      <c r="AF337" s="7" t="n">
        <v>-0.48</v>
      </c>
      <c r="AG337" s="7" t="n">
        <v>0.044</v>
      </c>
      <c r="AH337" s="7" t="n">
        <v>-0.096</v>
      </c>
      <c r="AI337" s="7" t="n">
        <v>-0.384</v>
      </c>
      <c r="AJ337" s="7" t="n">
        <v>0.511</v>
      </c>
      <c r="AK337" s="7" t="n">
        <v>0.554</v>
      </c>
      <c r="AL337" s="7" t="n">
        <v>-0.499</v>
      </c>
      <c r="AM337" s="7" t="n">
        <v>-0.012</v>
      </c>
      <c r="AN337" s="7" t="n">
        <v>0.884</v>
      </c>
      <c r="AO337" s="7" t="n">
        <v>-0.324</v>
      </c>
      <c r="AP337" s="7" t="n">
        <v>-0.324</v>
      </c>
      <c r="AQ337" s="7" t="n">
        <v>-0.373</v>
      </c>
    </row>
    <row r="338" customFormat="false" ht="15" hidden="false" customHeight="false" outlineLevel="0" collapsed="false">
      <c r="A338" s="23" t="n">
        <v>46655</v>
      </c>
      <c r="B338" s="7" t="n">
        <v>-0.194</v>
      </c>
      <c r="C338" s="7" t="n">
        <v>-0.033</v>
      </c>
      <c r="D338" s="7" t="n">
        <v>-0.024</v>
      </c>
      <c r="E338" s="7" t="n">
        <v>0.034</v>
      </c>
      <c r="F338" s="7" t="n">
        <v>-0.182</v>
      </c>
      <c r="G338" s="7" t="n">
        <v>-0.487</v>
      </c>
      <c r="H338" s="7" t="n">
        <v>0.545</v>
      </c>
      <c r="I338" s="7" t="n">
        <v>-0.149</v>
      </c>
      <c r="J338" s="7" t="n">
        <v>-0.293</v>
      </c>
      <c r="K338" s="7" t="n">
        <v>-0.057</v>
      </c>
      <c r="L338" s="7" t="n">
        <v>-0.623</v>
      </c>
      <c r="M338" s="7" t="n">
        <v>-0.343</v>
      </c>
      <c r="N338" s="7" t="n">
        <v>-0.561</v>
      </c>
      <c r="O338" s="7" t="n">
        <v>-0.566</v>
      </c>
      <c r="P338" s="7" t="n">
        <v>-0.391</v>
      </c>
      <c r="Q338" s="7" t="n">
        <v>-0.328</v>
      </c>
      <c r="R338" s="7" t="n">
        <v>0.545</v>
      </c>
      <c r="S338" s="7" t="n">
        <v>0.034</v>
      </c>
      <c r="T338" s="7" t="n">
        <v>-0.065</v>
      </c>
      <c r="U338" s="7" t="n">
        <v>-0.384</v>
      </c>
      <c r="V338" s="7" t="n">
        <v>0.326</v>
      </c>
      <c r="W338" s="7" t="n">
        <v>-0.185</v>
      </c>
      <c r="X338" s="7" t="n">
        <v>-0.073</v>
      </c>
      <c r="Y338" s="7" t="n">
        <v>-0.596</v>
      </c>
      <c r="Z338" s="7" t="n">
        <v>-0.057</v>
      </c>
      <c r="AA338" s="7" t="n">
        <v>0.562</v>
      </c>
      <c r="AB338" s="7" t="n">
        <v>-0.51</v>
      </c>
      <c r="AC338" s="7" t="n">
        <v>-0.246</v>
      </c>
      <c r="AD338" s="7" t="n">
        <v>0.01</v>
      </c>
      <c r="AE338" s="7" t="n">
        <v>-0.19</v>
      </c>
      <c r="AF338" s="7" t="n">
        <v>-0.246</v>
      </c>
      <c r="AG338" s="7" t="n">
        <v>-0.043</v>
      </c>
      <c r="AH338" s="7" t="n">
        <v>-0.096</v>
      </c>
      <c r="AI338" s="7" t="n">
        <v>-0.587</v>
      </c>
      <c r="AJ338" s="7" t="n">
        <v>0.188</v>
      </c>
      <c r="AK338" s="7" t="n">
        <v>0.211</v>
      </c>
      <c r="AL338" s="7" t="n">
        <v>-0.355</v>
      </c>
      <c r="AM338" s="7" t="n">
        <v>-0.398</v>
      </c>
      <c r="AN338" s="7" t="n">
        <v>0.545</v>
      </c>
      <c r="AO338" s="7" t="n">
        <v>-0.057</v>
      </c>
      <c r="AP338" s="7" t="n">
        <v>-0.057</v>
      </c>
      <c r="AQ338" s="7" t="n">
        <v>-0.246</v>
      </c>
    </row>
    <row r="339" customFormat="false" ht="15" hidden="false" customHeight="false" outlineLevel="0" collapsed="false">
      <c r="A339" s="23" t="n">
        <v>46656</v>
      </c>
      <c r="B339" s="7" t="n">
        <v>-0.312</v>
      </c>
      <c r="C339" s="7" t="n">
        <v>-0.04</v>
      </c>
      <c r="D339" s="7" t="n">
        <v>-0.096</v>
      </c>
      <c r="E339" s="7" t="n">
        <v>0.07</v>
      </c>
      <c r="F339" s="7" t="n">
        <v>-0.179</v>
      </c>
      <c r="G339" s="7" t="n">
        <v>-0.675</v>
      </c>
      <c r="H339" s="7" t="n">
        <v>0.205</v>
      </c>
      <c r="I339" s="7" t="n">
        <v>-0.361</v>
      </c>
      <c r="J339" s="7" t="n">
        <v>-0.371</v>
      </c>
      <c r="K339" s="7" t="n">
        <v>-0.014</v>
      </c>
      <c r="L339" s="7" t="n">
        <v>-0.669</v>
      </c>
      <c r="M339" s="7" t="n">
        <v>-0.33</v>
      </c>
      <c r="N339" s="7" t="n">
        <v>-0.623</v>
      </c>
      <c r="O339" s="7" t="n">
        <v>-0.615</v>
      </c>
      <c r="P339" s="7" t="n">
        <v>-0.447</v>
      </c>
      <c r="Q339" s="7" t="n">
        <v>-0.329</v>
      </c>
      <c r="R339" s="7" t="n">
        <v>0.127</v>
      </c>
      <c r="S339" s="7" t="n">
        <v>0.07</v>
      </c>
      <c r="T339" s="7" t="n">
        <v>-0.309</v>
      </c>
      <c r="U339" s="7" t="n">
        <v>-0.346</v>
      </c>
      <c r="V339" s="7" t="n">
        <v>0.166</v>
      </c>
      <c r="W339" s="7" t="n">
        <v>-0.185</v>
      </c>
      <c r="X339" s="7" t="n">
        <v>-0.139</v>
      </c>
      <c r="Y339" s="7" t="n">
        <v>-0.72</v>
      </c>
      <c r="Z339" s="7" t="n">
        <v>-0.014</v>
      </c>
      <c r="AA339" s="7" t="n">
        <v>0.22</v>
      </c>
      <c r="AB339" s="7" t="n">
        <v>-0.55</v>
      </c>
      <c r="AC339" s="7" t="n">
        <v>-0.246</v>
      </c>
      <c r="AD339" s="7" t="n">
        <v>-0.026</v>
      </c>
      <c r="AE339" s="7" t="n">
        <v>-0.176</v>
      </c>
      <c r="AF339" s="7" t="n">
        <v>-0.246</v>
      </c>
      <c r="AG339" s="7" t="n">
        <v>-0.224</v>
      </c>
      <c r="AH339" s="7" t="n">
        <v>-0.096</v>
      </c>
      <c r="AI339" s="7" t="n">
        <v>-0.662</v>
      </c>
      <c r="AJ339" s="7" t="n">
        <v>-0.037</v>
      </c>
      <c r="AK339" s="7" t="n">
        <v>0.059</v>
      </c>
      <c r="AL339" s="7" t="n">
        <v>-0.416</v>
      </c>
      <c r="AM339" s="7" t="n">
        <v>-0.496</v>
      </c>
      <c r="AN339" s="7" t="n">
        <v>0.468</v>
      </c>
      <c r="AO339" s="7" t="n">
        <v>-0.014</v>
      </c>
      <c r="AP339" s="7" t="n">
        <v>-0.014</v>
      </c>
      <c r="AQ339" s="7" t="n">
        <v>-0.246</v>
      </c>
    </row>
    <row r="340" customFormat="false" ht="15" hidden="false" customHeight="false" outlineLevel="0" collapsed="false">
      <c r="A340" s="23" t="n">
        <v>46657</v>
      </c>
      <c r="B340" s="7" t="n">
        <v>-0.187</v>
      </c>
      <c r="C340" s="7" t="n">
        <v>0.276</v>
      </c>
      <c r="D340" s="7" t="n">
        <v>-0.48</v>
      </c>
      <c r="E340" s="7" t="n">
        <v>0.02</v>
      </c>
      <c r="F340" s="7" t="n">
        <v>-0.213</v>
      </c>
      <c r="G340" s="7" t="n">
        <v>-0.658</v>
      </c>
      <c r="H340" s="7" t="n">
        <v>0.447</v>
      </c>
      <c r="I340" s="7" t="n">
        <v>0.447</v>
      </c>
      <c r="J340" s="7" t="n">
        <v>0.014</v>
      </c>
      <c r="K340" s="7" t="n">
        <v>-0.057</v>
      </c>
      <c r="L340" s="7" t="n">
        <v>-0.299</v>
      </c>
      <c r="M340" s="7" t="n">
        <v>-0.355</v>
      </c>
      <c r="N340" s="7" t="n">
        <v>-0.286</v>
      </c>
      <c r="O340" s="7" t="n">
        <v>-0.232</v>
      </c>
      <c r="P340" s="7" t="n">
        <v>-0.587</v>
      </c>
      <c r="Q340" s="7" t="n">
        <v>-0.33</v>
      </c>
      <c r="R340" s="7" t="n">
        <v>0.277</v>
      </c>
      <c r="S340" s="7" t="n">
        <v>0.088</v>
      </c>
      <c r="T340" s="7" t="n">
        <v>-0.26</v>
      </c>
      <c r="U340" s="7" t="n">
        <v>-0.482</v>
      </c>
      <c r="V340" s="7" t="n">
        <v>0.447</v>
      </c>
      <c r="W340" s="7" t="n">
        <v>-0.185</v>
      </c>
      <c r="X340" s="7" t="n">
        <v>-0.318</v>
      </c>
      <c r="Y340" s="7" t="n">
        <v>-0.815</v>
      </c>
      <c r="Z340" s="7" t="n">
        <v>-0.057</v>
      </c>
      <c r="AA340" s="7" t="n">
        <v>0.363</v>
      </c>
      <c r="AB340" s="7" t="n">
        <v>0.014</v>
      </c>
      <c r="AC340" s="7" t="n">
        <v>-0.246</v>
      </c>
      <c r="AD340" s="7" t="n">
        <v>-0.076</v>
      </c>
      <c r="AE340" s="7" t="n">
        <v>-0.206</v>
      </c>
      <c r="AF340" s="7" t="n">
        <v>-0.246</v>
      </c>
      <c r="AG340" s="7" t="n">
        <v>-0.232</v>
      </c>
      <c r="AH340" s="7" t="n">
        <v>-0.077</v>
      </c>
      <c r="AI340" s="7" t="n">
        <v>-0.246</v>
      </c>
      <c r="AJ340" s="7" t="n">
        <v>0.447</v>
      </c>
      <c r="AK340" s="7" t="n">
        <v>0.521</v>
      </c>
      <c r="AL340" s="7" t="n">
        <v>-0.412</v>
      </c>
      <c r="AM340" s="7" t="n">
        <v>0</v>
      </c>
      <c r="AN340" s="7" t="n">
        <v>0.447</v>
      </c>
      <c r="AO340" s="7" t="n">
        <v>-0.038</v>
      </c>
      <c r="AP340" s="7" t="n">
        <v>-0.057</v>
      </c>
      <c r="AQ340" s="7" t="n">
        <v>-0.246</v>
      </c>
    </row>
    <row r="341" customFormat="false" ht="15" hidden="false" customHeight="false" outlineLevel="0" collapsed="false">
      <c r="A341" s="23" t="n">
        <v>46658</v>
      </c>
      <c r="B341" s="7" t="n">
        <v>-0.104</v>
      </c>
      <c r="C341" s="7" t="n">
        <v>-0.068</v>
      </c>
      <c r="D341" s="7" t="n">
        <v>-0.096</v>
      </c>
      <c r="E341" s="7" t="n">
        <v>0.014</v>
      </c>
      <c r="F341" s="7" t="n">
        <v>-0.206</v>
      </c>
      <c r="G341" s="7" t="n">
        <v>-0.313</v>
      </c>
      <c r="H341" s="7" t="n">
        <v>0.492</v>
      </c>
      <c r="I341" s="7" t="n">
        <v>0.547</v>
      </c>
      <c r="J341" s="7" t="n">
        <v>0.149</v>
      </c>
      <c r="K341" s="7" t="n">
        <v>-0.057</v>
      </c>
      <c r="L341" s="7" t="n">
        <v>-0.695</v>
      </c>
      <c r="M341" s="7" t="n">
        <v>-0.301</v>
      </c>
      <c r="N341" s="7" t="n">
        <v>-0.512</v>
      </c>
      <c r="O341" s="7" t="n">
        <v>-0.435</v>
      </c>
      <c r="P341" s="7" t="n">
        <v>-0.773</v>
      </c>
      <c r="Q341" s="7" t="n">
        <v>-0.749</v>
      </c>
      <c r="R341" s="7" t="n">
        <v>0.492</v>
      </c>
      <c r="S341" s="7" t="n">
        <v>0.014</v>
      </c>
      <c r="T341" s="7" t="n">
        <v>-0.072</v>
      </c>
      <c r="U341" s="7" t="n">
        <v>-0.671</v>
      </c>
      <c r="V341" s="7" t="n">
        <v>0.492</v>
      </c>
      <c r="W341" s="7" t="n">
        <v>-0.263</v>
      </c>
      <c r="X341" s="7" t="n">
        <v>-0.139</v>
      </c>
      <c r="Y341" s="7" t="n">
        <v>-0.396</v>
      </c>
      <c r="Z341" s="7" t="n">
        <v>-0.057</v>
      </c>
      <c r="AA341" s="7" t="n">
        <v>0.561</v>
      </c>
      <c r="AB341" s="7" t="n">
        <v>0.149</v>
      </c>
      <c r="AC341" s="7" t="n">
        <v>-0.704</v>
      </c>
      <c r="AD341" s="7" t="n">
        <v>-0.082</v>
      </c>
      <c r="AE341" s="7" t="n">
        <v>-0.445</v>
      </c>
      <c r="AF341" s="7" t="n">
        <v>-0.648</v>
      </c>
      <c r="AG341" s="7" t="n">
        <v>-0.239</v>
      </c>
      <c r="AH341" s="7" t="n">
        <v>0.255</v>
      </c>
      <c r="AI341" s="7" t="n">
        <v>-0.616</v>
      </c>
      <c r="AJ341" s="7" t="n">
        <v>0.547</v>
      </c>
      <c r="AK341" s="7" t="n">
        <v>0.611</v>
      </c>
      <c r="AL341" s="7" t="n">
        <v>-0.607</v>
      </c>
      <c r="AM341" s="7" t="n">
        <v>0.075</v>
      </c>
      <c r="AN341" s="7" t="n">
        <v>0.492</v>
      </c>
      <c r="AO341" s="7" t="n">
        <v>0.291</v>
      </c>
      <c r="AP341" s="7" t="n">
        <v>-0.057</v>
      </c>
      <c r="AQ341" s="7" t="n">
        <v>-0.66</v>
      </c>
    </row>
    <row r="342" customFormat="false" ht="15" hidden="false" customHeight="false" outlineLevel="0" collapsed="false">
      <c r="A342" s="23" t="n">
        <v>46659</v>
      </c>
      <c r="B342" s="7" t="n">
        <v>-0.454</v>
      </c>
      <c r="C342" s="7" t="n">
        <v>-0.275</v>
      </c>
      <c r="D342" s="7" t="n">
        <v>-0.096</v>
      </c>
      <c r="E342" s="7" t="n">
        <v>-0.623</v>
      </c>
      <c r="F342" s="7" t="n">
        <v>-0.464</v>
      </c>
      <c r="G342" s="7" t="n">
        <v>-0.313</v>
      </c>
      <c r="H342" s="7" t="n">
        <v>0.379</v>
      </c>
      <c r="I342" s="7" t="n">
        <v>0.396</v>
      </c>
      <c r="J342" s="7" t="n">
        <v>0.02</v>
      </c>
      <c r="K342" s="7" t="n">
        <v>0.059</v>
      </c>
      <c r="L342" s="7" t="n">
        <v>-0.604</v>
      </c>
      <c r="M342" s="7" t="n">
        <v>-0.644</v>
      </c>
      <c r="N342" s="7" t="n">
        <v>-0.684</v>
      </c>
      <c r="O342" s="7" t="n">
        <v>-0.797</v>
      </c>
      <c r="P342" s="7" t="n">
        <v>-0.478</v>
      </c>
      <c r="Q342" s="7" t="n">
        <v>-0.363</v>
      </c>
      <c r="R342" s="7" t="n">
        <v>0.379</v>
      </c>
      <c r="S342" s="7" t="n">
        <v>-0.304</v>
      </c>
      <c r="T342" s="7" t="n">
        <v>-0.09</v>
      </c>
      <c r="U342" s="7" t="n">
        <v>-0.943</v>
      </c>
      <c r="V342" s="7" t="n">
        <v>0.379</v>
      </c>
      <c r="W342" s="7" t="n">
        <v>-0.185</v>
      </c>
      <c r="X342" s="7" t="n">
        <v>-0.14</v>
      </c>
      <c r="Y342" s="7" t="n">
        <v>-0.89</v>
      </c>
      <c r="Z342" s="7" t="n">
        <v>-0.31</v>
      </c>
      <c r="AA342" s="7" t="n">
        <v>0.458</v>
      </c>
      <c r="AB342" s="7" t="n">
        <v>0.02</v>
      </c>
      <c r="AC342" s="7" t="n">
        <v>-0.276</v>
      </c>
      <c r="AD342" s="7" t="n">
        <v>-0.605</v>
      </c>
      <c r="AE342" s="7" t="n">
        <v>-0.635</v>
      </c>
      <c r="AF342" s="7" t="n">
        <v>-0.427</v>
      </c>
      <c r="AG342" s="7" t="n">
        <v>-0.784</v>
      </c>
      <c r="AH342" s="7" t="n">
        <v>-0.697</v>
      </c>
      <c r="AI342" s="7" t="n">
        <v>-0.257</v>
      </c>
      <c r="AJ342" s="7" t="n">
        <v>0.396</v>
      </c>
      <c r="AK342" s="7" t="n">
        <v>0.474</v>
      </c>
      <c r="AL342" s="7" t="n">
        <v>-0.845</v>
      </c>
      <c r="AM342" s="7" t="n">
        <v>0.02</v>
      </c>
      <c r="AN342" s="7" t="n">
        <v>0.379</v>
      </c>
      <c r="AO342" s="7" t="n">
        <v>-0.847</v>
      </c>
      <c r="AP342" s="7" t="n">
        <v>-0.411</v>
      </c>
      <c r="AQ342" s="7" t="n">
        <v>-0.276</v>
      </c>
    </row>
    <row r="343" customFormat="false" ht="15" hidden="false" customHeight="false" outlineLevel="0" collapsed="false">
      <c r="A343" s="23" t="n">
        <v>46660</v>
      </c>
      <c r="B343" s="7" t="n">
        <v>-0.706</v>
      </c>
      <c r="C343" s="7" t="n">
        <v>-0.671</v>
      </c>
      <c r="D343" s="7" t="n">
        <v>-0.096</v>
      </c>
      <c r="E343" s="7" t="n">
        <v>-0.77</v>
      </c>
      <c r="F343" s="7" t="n">
        <v>-0.703</v>
      </c>
      <c r="G343" s="7" t="n">
        <v>-0.313</v>
      </c>
      <c r="H343" s="7" t="n">
        <v>0.394</v>
      </c>
      <c r="I343" s="7" t="n">
        <v>-0.278</v>
      </c>
      <c r="J343" s="7" t="n">
        <v>-0.168</v>
      </c>
      <c r="K343" s="7" t="n">
        <v>0.05</v>
      </c>
      <c r="L343" s="7" t="n">
        <v>-0.833</v>
      </c>
      <c r="M343" s="7" t="n">
        <v>-0.67</v>
      </c>
      <c r="N343" s="7" t="n">
        <v>-0.882</v>
      </c>
      <c r="O343" s="7" t="n">
        <v>-0.625</v>
      </c>
      <c r="P343" s="7" t="n">
        <v>-0.4</v>
      </c>
      <c r="Q343" s="7" t="n">
        <v>-0.277</v>
      </c>
      <c r="R343" s="7" t="n">
        <v>0.394</v>
      </c>
      <c r="S343" s="7" t="n">
        <v>-0.353</v>
      </c>
      <c r="T343" s="7" t="n">
        <v>0.022</v>
      </c>
      <c r="U343" s="7" t="n">
        <v>-0.8</v>
      </c>
      <c r="V343" s="7" t="n">
        <v>-0.05</v>
      </c>
      <c r="W343" s="7" t="n">
        <v>-0.185</v>
      </c>
      <c r="X343" s="7" t="n">
        <v>-0.139</v>
      </c>
      <c r="Y343" s="7" t="n">
        <v>-0.315</v>
      </c>
      <c r="Z343" s="7" t="n">
        <v>-0.359</v>
      </c>
      <c r="AA343" s="7" t="n">
        <v>0.472</v>
      </c>
      <c r="AB343" s="7" t="n">
        <v>-0.307</v>
      </c>
      <c r="AC343" s="7" t="n">
        <v>-0.276</v>
      </c>
      <c r="AD343" s="7" t="n">
        <v>-0.789</v>
      </c>
      <c r="AE343" s="7" t="n">
        <v>-0.689</v>
      </c>
      <c r="AF343" s="7" t="n">
        <v>-0.489</v>
      </c>
      <c r="AG343" s="7" t="n">
        <v>-0.25</v>
      </c>
      <c r="AH343" s="7" t="n">
        <v>-0.011</v>
      </c>
      <c r="AI343" s="7" t="n">
        <v>-0.614</v>
      </c>
      <c r="AJ343" s="7" t="n">
        <v>-0.017</v>
      </c>
      <c r="AK343" s="7" t="n">
        <v>0.079</v>
      </c>
      <c r="AL343" s="7" t="n">
        <v>-0.371</v>
      </c>
      <c r="AM343" s="7" t="n">
        <v>-0.407</v>
      </c>
      <c r="AN343" s="7" t="n">
        <v>0.394</v>
      </c>
      <c r="AO343" s="7" t="n">
        <v>-0.448</v>
      </c>
      <c r="AP343" s="7" t="n">
        <v>-0.448</v>
      </c>
      <c r="AQ343" s="7" t="n">
        <v>-0.276</v>
      </c>
    </row>
    <row r="344" customFormat="false" ht="15" hidden="false" customHeight="false" outlineLevel="0" collapsed="false">
      <c r="A344" s="23" t="n">
        <v>46661</v>
      </c>
      <c r="B344" s="7" t="n">
        <v>-1</v>
      </c>
      <c r="C344" s="7" t="n">
        <v>-0.317</v>
      </c>
      <c r="D344" s="7" t="n">
        <v>-0.927</v>
      </c>
      <c r="E344" s="7" t="n">
        <v>-0.629</v>
      </c>
      <c r="F344" s="7" t="n">
        <v>-0.687</v>
      </c>
      <c r="G344" s="7" t="n">
        <v>-0.979</v>
      </c>
      <c r="H344" s="7" t="n">
        <v>-0.732</v>
      </c>
      <c r="I344" s="7" t="n">
        <v>-0.738</v>
      </c>
      <c r="J344" s="7" t="n">
        <v>0.003</v>
      </c>
      <c r="K344" s="7" t="n">
        <v>0.043</v>
      </c>
      <c r="L344" s="7" t="n">
        <v>-0.6</v>
      </c>
      <c r="M344" s="7" t="n">
        <v>-0.63</v>
      </c>
      <c r="N344" s="7" t="n">
        <v>-0.716</v>
      </c>
      <c r="O344" s="7" t="n">
        <v>-0.887</v>
      </c>
      <c r="P344" s="7" t="n">
        <v>-0.928</v>
      </c>
      <c r="Q344" s="7" t="n">
        <v>-0.308</v>
      </c>
      <c r="R344" s="7" t="n">
        <v>-0.705</v>
      </c>
      <c r="S344" s="7" t="n">
        <v>-0.297</v>
      </c>
      <c r="T344" s="7" t="n">
        <v>-0.012</v>
      </c>
      <c r="U344" s="7" t="n">
        <v>-0.776</v>
      </c>
      <c r="V344" s="7" t="n">
        <v>-0.782</v>
      </c>
      <c r="W344" s="7" t="n">
        <v>-0.185</v>
      </c>
      <c r="X344" s="7" t="n">
        <v>-0.869</v>
      </c>
      <c r="Y344" s="7" t="n">
        <v>-0.359</v>
      </c>
      <c r="Z344" s="7" t="n">
        <v>-0.303</v>
      </c>
      <c r="AA344" s="7" t="n">
        <v>0.331</v>
      </c>
      <c r="AB344" s="7" t="n">
        <v>0.003</v>
      </c>
      <c r="AC344" s="7" t="n">
        <v>-0.276</v>
      </c>
      <c r="AD344" s="7" t="n">
        <v>-0.951</v>
      </c>
      <c r="AE344" s="7" t="n">
        <v>-0.67</v>
      </c>
      <c r="AF344" s="7" t="n">
        <v>-0.528</v>
      </c>
      <c r="AG344" s="7" t="n">
        <v>-0.253</v>
      </c>
      <c r="AH344" s="7" t="n">
        <v>-0.061</v>
      </c>
      <c r="AI344" s="7" t="n">
        <v>-0.273</v>
      </c>
      <c r="AJ344" s="7" t="n">
        <v>-0.608</v>
      </c>
      <c r="AK344" s="7" t="n">
        <v>0.474</v>
      </c>
      <c r="AL344" s="7" t="n">
        <v>-0.916</v>
      </c>
      <c r="AM344" s="7" t="n">
        <v>0.003</v>
      </c>
      <c r="AN344" s="7" t="n">
        <v>-0.61</v>
      </c>
      <c r="AO344" s="7" t="n">
        <v>-0.391</v>
      </c>
      <c r="AP344" s="7" t="n">
        <v>-0.391</v>
      </c>
      <c r="AQ344" s="7" t="n">
        <v>-0.276</v>
      </c>
    </row>
    <row r="345" customFormat="false" ht="15" hidden="false" customHeight="false" outlineLevel="0" collapsed="false">
      <c r="A345" s="23" t="n">
        <v>46662</v>
      </c>
      <c r="B345" s="7" t="n">
        <v>-0.56</v>
      </c>
      <c r="C345" s="7" t="n">
        <v>-0.464</v>
      </c>
      <c r="D345" s="7" t="n">
        <v>-0.011</v>
      </c>
      <c r="E345" s="7" t="n">
        <v>-0.14</v>
      </c>
      <c r="F345" s="7" t="n">
        <v>-0.711</v>
      </c>
      <c r="G345" s="7" t="n">
        <v>0.089</v>
      </c>
      <c r="H345" s="7" t="n">
        <v>0.125</v>
      </c>
      <c r="I345" s="7" t="n">
        <v>0.14</v>
      </c>
      <c r="J345" s="7" t="n">
        <v>-0.064</v>
      </c>
      <c r="K345" s="7" t="n">
        <v>-0.096</v>
      </c>
      <c r="L345" s="7" t="n">
        <v>-0.676</v>
      </c>
      <c r="M345" s="7" t="n">
        <v>-0.4</v>
      </c>
      <c r="N345" s="7" t="n">
        <v>-0.688</v>
      </c>
      <c r="O345" s="7" t="n">
        <v>-0.54</v>
      </c>
      <c r="P345" s="7" t="n">
        <v>-0.61</v>
      </c>
      <c r="Q345" s="7" t="n">
        <v>-0.643</v>
      </c>
      <c r="R345" s="7" t="n">
        <v>0.181</v>
      </c>
      <c r="S345" s="7" t="n">
        <v>-0.14</v>
      </c>
      <c r="T345" s="7" t="n">
        <v>-0.143</v>
      </c>
      <c r="U345" s="7" t="n">
        <v>-0.839</v>
      </c>
      <c r="V345" s="7" t="n">
        <v>0.092</v>
      </c>
      <c r="W345" s="7" t="n">
        <v>-0.537</v>
      </c>
      <c r="X345" s="7" t="n">
        <v>-0.06</v>
      </c>
      <c r="Y345" s="7" t="n">
        <v>-0.472</v>
      </c>
      <c r="Z345" s="7" t="n">
        <v>-0.096</v>
      </c>
      <c r="AA345" s="7" t="n">
        <v>0.192</v>
      </c>
      <c r="AB345" s="7" t="n">
        <v>-0.064</v>
      </c>
      <c r="AC345" s="7" t="n">
        <v>-0.579</v>
      </c>
      <c r="AD345" s="7" t="n">
        <v>-0.608</v>
      </c>
      <c r="AE345" s="7" t="n">
        <v>-0.642</v>
      </c>
      <c r="AF345" s="7" t="n">
        <v>-0.69</v>
      </c>
      <c r="AG345" s="7" t="n">
        <v>-0.005</v>
      </c>
      <c r="AH345" s="7" t="n">
        <v>-0.096</v>
      </c>
      <c r="AI345" s="7" t="n">
        <v>-0.545</v>
      </c>
      <c r="AJ345" s="7" t="n">
        <v>0.358</v>
      </c>
      <c r="AK345" s="7" t="n">
        <v>0.367</v>
      </c>
      <c r="AL345" s="7" t="n">
        <v>-0.574</v>
      </c>
      <c r="AM345" s="7" t="n">
        <v>-0.064</v>
      </c>
      <c r="AN345" s="7" t="n">
        <v>0.343</v>
      </c>
      <c r="AO345" s="7" t="n">
        <v>-0.096</v>
      </c>
      <c r="AP345" s="7" t="n">
        <v>-0.096</v>
      </c>
      <c r="AQ345" s="7" t="n">
        <v>-0.498</v>
      </c>
    </row>
    <row r="346" customFormat="false" ht="15" hidden="false" customHeight="false" outlineLevel="0" collapsed="false">
      <c r="A346" s="23" t="n">
        <v>46663</v>
      </c>
      <c r="B346" s="7" t="n">
        <v>-0.387</v>
      </c>
      <c r="C346" s="7" t="n">
        <v>-0.374</v>
      </c>
      <c r="D346" s="7" t="n">
        <v>-0.023</v>
      </c>
      <c r="E346" s="7" t="n">
        <v>-0.073</v>
      </c>
      <c r="F346" s="7" t="n">
        <v>-0.691</v>
      </c>
      <c r="G346" s="7" t="n">
        <v>0.169</v>
      </c>
      <c r="H346" s="7" t="n">
        <v>0.417</v>
      </c>
      <c r="I346" s="7" t="n">
        <v>0.379</v>
      </c>
      <c r="J346" s="7" t="n">
        <v>0.087</v>
      </c>
      <c r="K346" s="7" t="n">
        <v>-0.025</v>
      </c>
      <c r="L346" s="7" t="n">
        <v>-0.67</v>
      </c>
      <c r="M346" s="7" t="n">
        <v>-0.273</v>
      </c>
      <c r="N346" s="7" t="n">
        <v>-0.665</v>
      </c>
      <c r="O346" s="7" t="n">
        <v>-0.591</v>
      </c>
      <c r="P346" s="7" t="n">
        <v>-0.662</v>
      </c>
      <c r="Q346" s="7" t="n">
        <v>-0.688</v>
      </c>
      <c r="R346" s="7" t="n">
        <v>0.417</v>
      </c>
      <c r="S346" s="7" t="n">
        <v>-0.073</v>
      </c>
      <c r="T346" s="7" t="n">
        <v>-0.127</v>
      </c>
      <c r="U346" s="7" t="n">
        <v>-0.803</v>
      </c>
      <c r="V346" s="7" t="n">
        <v>0.417</v>
      </c>
      <c r="W346" s="7" t="n">
        <v>-0.591</v>
      </c>
      <c r="X346" s="7" t="n">
        <v>-0.074</v>
      </c>
      <c r="Y346" s="7" t="n">
        <v>0.041</v>
      </c>
      <c r="Z346" s="7" t="n">
        <v>-0.025</v>
      </c>
      <c r="AA346" s="7" t="n">
        <v>0.436</v>
      </c>
      <c r="AB346" s="7" t="n">
        <v>0.092</v>
      </c>
      <c r="AC346" s="7" t="n">
        <v>-0.629</v>
      </c>
      <c r="AD346" s="7" t="n">
        <v>-0.096</v>
      </c>
      <c r="AE346" s="7" t="n">
        <v>-0.617</v>
      </c>
      <c r="AF346" s="7" t="n">
        <v>-0.694</v>
      </c>
      <c r="AG346" s="7" t="n">
        <v>0.089</v>
      </c>
      <c r="AH346" s="7" t="n">
        <v>-0.096</v>
      </c>
      <c r="AI346" s="7" t="n">
        <v>-0.581</v>
      </c>
      <c r="AJ346" s="7" t="n">
        <v>0.379</v>
      </c>
      <c r="AK346" s="7" t="n">
        <v>0.399</v>
      </c>
      <c r="AL346" s="7" t="n">
        <v>-0.627</v>
      </c>
      <c r="AM346" s="7" t="n">
        <v>-0.046</v>
      </c>
      <c r="AN346" s="7" t="n">
        <v>0.417</v>
      </c>
      <c r="AO346" s="7" t="n">
        <v>-0.025</v>
      </c>
      <c r="AP346" s="7" t="n">
        <v>-0.025</v>
      </c>
      <c r="AQ346" s="7" t="n">
        <v>-0.55</v>
      </c>
    </row>
    <row r="347" customFormat="false" ht="15" hidden="false" customHeight="false" outlineLevel="0" collapsed="false">
      <c r="A347" s="23" t="n">
        <v>46664</v>
      </c>
      <c r="B347" s="7" t="n">
        <v>0.343</v>
      </c>
      <c r="C347" s="7" t="n">
        <v>0.984</v>
      </c>
      <c r="D347" s="7" t="n">
        <v>-0.695</v>
      </c>
      <c r="E347" s="7" t="n">
        <v>0.112</v>
      </c>
      <c r="F347" s="7" t="n">
        <v>0.439</v>
      </c>
      <c r="G347" s="7" t="n">
        <v>-0.883</v>
      </c>
      <c r="H347" s="7" t="n">
        <v>0.851</v>
      </c>
      <c r="I347" s="7" t="n">
        <v>0.782</v>
      </c>
      <c r="J347" s="7" t="n">
        <v>-0.087</v>
      </c>
      <c r="K347" s="7" t="n">
        <v>0.011</v>
      </c>
      <c r="L347" s="7" t="n">
        <v>0.107</v>
      </c>
      <c r="M347" s="7" t="n">
        <v>-0.307</v>
      </c>
      <c r="N347" s="7" t="n">
        <v>0.02</v>
      </c>
      <c r="O347" s="7" t="n">
        <v>0.096</v>
      </c>
      <c r="P347" s="7" t="n">
        <v>-0.347</v>
      </c>
      <c r="Q347" s="7" t="n">
        <v>0.336</v>
      </c>
      <c r="R347" s="7" t="n">
        <v>0.825</v>
      </c>
      <c r="S347" s="7" t="n">
        <v>0.24</v>
      </c>
      <c r="T347" s="7" t="n">
        <v>0.83</v>
      </c>
      <c r="U347" s="7" t="n">
        <v>0.379</v>
      </c>
      <c r="V347" s="7" t="n">
        <v>0.771</v>
      </c>
      <c r="W347" s="7" t="n">
        <v>0</v>
      </c>
      <c r="X347" s="7" t="n">
        <v>-0.347</v>
      </c>
      <c r="Y347" s="7" t="n">
        <v>-0.801</v>
      </c>
      <c r="Z347" s="7" t="n">
        <v>0.011</v>
      </c>
      <c r="AA347" s="7" t="n">
        <v>0.897</v>
      </c>
      <c r="AB347" s="7" t="n">
        <v>0</v>
      </c>
      <c r="AC347" s="7" t="n">
        <v>0.419</v>
      </c>
      <c r="AD347" s="7" t="n">
        <v>-0.169</v>
      </c>
      <c r="AE347" s="7" t="n">
        <v>0.192</v>
      </c>
      <c r="AF347" s="7" t="n">
        <v>0.419</v>
      </c>
      <c r="AG347" s="7" t="n">
        <v>-0.047</v>
      </c>
      <c r="AH347" s="7" t="n">
        <v>-0.145</v>
      </c>
      <c r="AI347" s="7" t="n">
        <v>0.009</v>
      </c>
      <c r="AJ347" s="7" t="n">
        <v>0.827</v>
      </c>
      <c r="AK347" s="7" t="n">
        <v>0.914</v>
      </c>
      <c r="AL347" s="7" t="n">
        <v>-0.241</v>
      </c>
      <c r="AM347" s="7" t="n">
        <v>-0.087</v>
      </c>
      <c r="AN347" s="7" t="n">
        <v>0.827</v>
      </c>
      <c r="AO347" s="7" t="n">
        <v>0.011</v>
      </c>
      <c r="AP347" s="7" t="n">
        <v>0.011</v>
      </c>
      <c r="AQ347" s="7" t="n">
        <v>0.096</v>
      </c>
    </row>
    <row r="348" customFormat="false" ht="15" hidden="false" customHeight="false" outlineLevel="0" collapsed="false">
      <c r="A348" s="23" t="n">
        <v>46665</v>
      </c>
      <c r="B348" s="7" t="n">
        <v>0.541</v>
      </c>
      <c r="C348" s="7" t="n">
        <v>0.955</v>
      </c>
      <c r="D348" s="7" t="n">
        <v>-0.676</v>
      </c>
      <c r="E348" s="7" t="n">
        <v>0.355</v>
      </c>
      <c r="F348" s="7" t="n">
        <v>0.9</v>
      </c>
      <c r="G348" s="7" t="n">
        <v>-0.883</v>
      </c>
      <c r="H348" s="7" t="n">
        <v>0.18</v>
      </c>
      <c r="I348" s="7" t="n">
        <v>-0.171</v>
      </c>
      <c r="J348" s="7" t="n">
        <v>-0.166</v>
      </c>
      <c r="K348" s="7" t="n">
        <v>0.856</v>
      </c>
      <c r="L348" s="7" t="n">
        <v>0.564</v>
      </c>
      <c r="M348" s="7" t="n">
        <v>-0.305</v>
      </c>
      <c r="N348" s="7" t="n">
        <v>0.77</v>
      </c>
      <c r="O348" s="7" t="n">
        <v>0.579</v>
      </c>
      <c r="P348" s="7" t="n">
        <v>-0.49</v>
      </c>
      <c r="Q348" s="7" t="n">
        <v>0.274</v>
      </c>
      <c r="R348" s="7" t="n">
        <v>0.13</v>
      </c>
      <c r="S348" s="7" t="n">
        <v>0.725</v>
      </c>
      <c r="T348" s="7" t="n">
        <v>0.083</v>
      </c>
      <c r="U348" s="7" t="n">
        <v>0.519</v>
      </c>
      <c r="V348" s="7" t="n">
        <v>-0.051</v>
      </c>
      <c r="W348" s="7" t="n">
        <v>0</v>
      </c>
      <c r="X348" s="7" t="n">
        <v>-0.437</v>
      </c>
      <c r="Y348" s="7" t="n">
        <v>-0.791</v>
      </c>
      <c r="Z348" s="7" t="n">
        <v>0.856</v>
      </c>
      <c r="AA348" s="7" t="n">
        <v>0.392</v>
      </c>
      <c r="AB348" s="7" t="n">
        <v>-0.036</v>
      </c>
      <c r="AC348" s="7" t="n">
        <v>0.359</v>
      </c>
      <c r="AD348" s="7" t="n">
        <v>0.208</v>
      </c>
      <c r="AE348" s="7" t="n">
        <v>0.842</v>
      </c>
      <c r="AF348" s="7" t="n">
        <v>0.797</v>
      </c>
      <c r="AG348" s="7" t="n">
        <v>-0.042</v>
      </c>
      <c r="AH348" s="7" t="n">
        <v>-0.185</v>
      </c>
      <c r="AI348" s="7" t="n">
        <v>-0.141</v>
      </c>
      <c r="AJ348" s="7" t="n">
        <v>0.106</v>
      </c>
      <c r="AK348" s="7" t="n">
        <v>0.479</v>
      </c>
      <c r="AL348" s="7" t="n">
        <v>-0.304</v>
      </c>
      <c r="AM348" s="7" t="n">
        <v>-0.166</v>
      </c>
      <c r="AN348" s="7" t="n">
        <v>0.142</v>
      </c>
      <c r="AO348" s="7" t="n">
        <v>0.571</v>
      </c>
      <c r="AP348" s="7" t="n">
        <v>0.571</v>
      </c>
      <c r="AQ348" s="7" t="n">
        <v>0.026</v>
      </c>
    </row>
    <row r="349" customFormat="false" ht="15" hidden="false" customHeight="false" outlineLevel="0" collapsed="false">
      <c r="A349" s="23" t="n">
        <v>46666</v>
      </c>
      <c r="B349" s="7" t="n">
        <v>0.593</v>
      </c>
      <c r="C349" s="7" t="n">
        <v>0.543</v>
      </c>
      <c r="D349" s="7" t="n">
        <v>-0.446</v>
      </c>
      <c r="E349" s="7" t="n">
        <v>0.121</v>
      </c>
      <c r="F349" s="7" t="n">
        <v>0.777</v>
      </c>
      <c r="G349" s="7" t="n">
        <v>-0.313</v>
      </c>
      <c r="H349" s="7" t="n">
        <v>0.388</v>
      </c>
      <c r="I349" s="7" t="n">
        <v>0.385</v>
      </c>
      <c r="J349" s="7" t="n">
        <v>-0.028</v>
      </c>
      <c r="K349" s="7" t="n">
        <v>0.015</v>
      </c>
      <c r="L349" s="7" t="n">
        <v>0.106</v>
      </c>
      <c r="M349" s="7" t="n">
        <v>-0.049</v>
      </c>
      <c r="N349" s="7" t="n">
        <v>0.524</v>
      </c>
      <c r="O349" s="7" t="n">
        <v>0.45</v>
      </c>
      <c r="P349" s="7" t="n">
        <v>-0.201</v>
      </c>
      <c r="Q349" s="7" t="n">
        <v>0.339</v>
      </c>
      <c r="R349" s="7" t="n">
        <v>0.312</v>
      </c>
      <c r="S349" s="7" t="n">
        <v>0.416</v>
      </c>
      <c r="T349" s="7" t="n">
        <v>0.128</v>
      </c>
      <c r="U349" s="7" t="n">
        <v>0.384</v>
      </c>
      <c r="V349" s="7" t="n">
        <v>0.388</v>
      </c>
      <c r="W349" s="7" t="n">
        <v>0</v>
      </c>
      <c r="X349" s="7" t="n">
        <v>-0.204</v>
      </c>
      <c r="Y349" s="7" t="n">
        <v>-0.544</v>
      </c>
      <c r="Z349" s="7" t="n">
        <v>0.015</v>
      </c>
      <c r="AA349" s="7" t="n">
        <v>0.396</v>
      </c>
      <c r="AB349" s="7" t="n">
        <v>0.157</v>
      </c>
      <c r="AC349" s="7" t="n">
        <v>0.419</v>
      </c>
      <c r="AD349" s="7" t="n">
        <v>0.026</v>
      </c>
      <c r="AE349" s="7" t="n">
        <v>0.577</v>
      </c>
      <c r="AF349" s="7" t="n">
        <v>0.419</v>
      </c>
      <c r="AG349" s="7" t="n">
        <v>0.151</v>
      </c>
      <c r="AH349" s="7" t="n">
        <v>-0.064</v>
      </c>
      <c r="AI349" s="7" t="n">
        <v>0.092</v>
      </c>
      <c r="AJ349" s="7" t="n">
        <v>0.385</v>
      </c>
      <c r="AK349" s="7" t="n">
        <v>0.463</v>
      </c>
      <c r="AL349" s="7" t="n">
        <v>-0.056</v>
      </c>
      <c r="AM349" s="7" t="n">
        <v>-0.004</v>
      </c>
      <c r="AN349" s="7" t="n">
        <v>0.388</v>
      </c>
      <c r="AO349" s="7" t="n">
        <v>0.007</v>
      </c>
      <c r="AP349" s="7" t="n">
        <v>0.015</v>
      </c>
      <c r="AQ349" s="7" t="n">
        <v>0.096</v>
      </c>
    </row>
    <row r="350" customFormat="false" ht="15" hidden="false" customHeight="false" outlineLevel="0" collapsed="false">
      <c r="A350" s="23" t="n">
        <v>46667</v>
      </c>
      <c r="B350" s="7" t="n">
        <v>0.865</v>
      </c>
      <c r="C350" s="7" t="n">
        <v>0.995</v>
      </c>
      <c r="D350" s="7" t="n">
        <v>-0.034</v>
      </c>
      <c r="E350" s="7" t="n">
        <v>0.185</v>
      </c>
      <c r="F350" s="7" t="n">
        <v>0.993</v>
      </c>
      <c r="G350" s="7" t="n">
        <v>-0.308</v>
      </c>
      <c r="H350" s="7" t="n">
        <v>0.457</v>
      </c>
      <c r="I350" s="7" t="n">
        <v>0.5</v>
      </c>
      <c r="J350" s="7" t="n">
        <v>0.698</v>
      </c>
      <c r="K350" s="7" t="n">
        <v>0.017</v>
      </c>
      <c r="L350" s="7" t="n">
        <v>0.969</v>
      </c>
      <c r="M350" s="7" t="n">
        <v>0.496</v>
      </c>
      <c r="N350" s="7" t="n">
        <v>0.978</v>
      </c>
      <c r="O350" s="7" t="n">
        <v>0.976</v>
      </c>
      <c r="P350" s="7" t="n">
        <v>0.753</v>
      </c>
      <c r="Q350" s="7" t="n">
        <v>0.979</v>
      </c>
      <c r="R350" s="7" t="n">
        <v>0.457</v>
      </c>
      <c r="S350" s="7" t="n">
        <v>0.185</v>
      </c>
      <c r="T350" s="7" t="n">
        <v>0.005</v>
      </c>
      <c r="U350" s="7" t="n">
        <v>0.956</v>
      </c>
      <c r="V350" s="7" t="n">
        <v>0.457</v>
      </c>
      <c r="W350" s="7" t="n">
        <v>0.655</v>
      </c>
      <c r="X350" s="7" t="n">
        <v>-0.149</v>
      </c>
      <c r="Y350" s="7" t="n">
        <v>-0.305</v>
      </c>
      <c r="Z350" s="7" t="n">
        <v>0.077</v>
      </c>
      <c r="AA350" s="7" t="n">
        <v>0.528</v>
      </c>
      <c r="AB350" s="7" t="n">
        <v>0.718</v>
      </c>
      <c r="AC350" s="7" t="n">
        <v>0.982</v>
      </c>
      <c r="AD350" s="7" t="n">
        <v>0.093</v>
      </c>
      <c r="AE350" s="7" t="n">
        <v>0.981</v>
      </c>
      <c r="AF350" s="7" t="n">
        <v>0.98</v>
      </c>
      <c r="AG350" s="7" t="n">
        <v>0.158</v>
      </c>
      <c r="AH350" s="7" t="n">
        <v>0.365</v>
      </c>
      <c r="AI350" s="7" t="n">
        <v>0.856</v>
      </c>
      <c r="AJ350" s="7" t="n">
        <v>0.5</v>
      </c>
      <c r="AK350" s="7" t="n">
        <v>0.567</v>
      </c>
      <c r="AL350" s="7" t="n">
        <v>0.805</v>
      </c>
      <c r="AM350" s="7" t="n">
        <v>0.056</v>
      </c>
      <c r="AN350" s="7" t="n">
        <v>0.457</v>
      </c>
      <c r="AO350" s="7" t="n">
        <v>0.393</v>
      </c>
      <c r="AP350" s="7" t="n">
        <v>0.017</v>
      </c>
      <c r="AQ350" s="7" t="n">
        <v>0.84</v>
      </c>
    </row>
    <row r="351" customFormat="false" ht="15" hidden="false" customHeight="false" outlineLevel="0" collapsed="false">
      <c r="A351" s="23" t="n">
        <v>46668</v>
      </c>
      <c r="B351" s="7" t="n">
        <v>0.932</v>
      </c>
      <c r="C351" s="7" t="n">
        <v>0.863</v>
      </c>
      <c r="D351" s="7" t="n">
        <v>0.059</v>
      </c>
      <c r="E351" s="7" t="n">
        <v>0.447</v>
      </c>
      <c r="F351" s="7" t="n">
        <v>0.983</v>
      </c>
      <c r="G351" s="7" t="n">
        <v>0.073</v>
      </c>
      <c r="H351" s="7" t="n">
        <v>0.527</v>
      </c>
      <c r="I351" s="7" t="n">
        <v>0.538</v>
      </c>
      <c r="J351" s="7" t="n">
        <v>0.625</v>
      </c>
      <c r="K351" s="7" t="n">
        <v>0.071</v>
      </c>
      <c r="L351" s="7" t="n">
        <v>0.354</v>
      </c>
      <c r="M351" s="7" t="n">
        <v>0.476</v>
      </c>
      <c r="N351" s="7" t="n">
        <v>0.917</v>
      </c>
      <c r="O351" s="7" t="n">
        <v>0.697</v>
      </c>
      <c r="P351" s="7" t="n">
        <v>0.135</v>
      </c>
      <c r="Q351" s="7" t="n">
        <v>0.496</v>
      </c>
      <c r="R351" s="7" t="n">
        <v>0.527</v>
      </c>
      <c r="S351" s="7" t="n">
        <v>0.447</v>
      </c>
      <c r="T351" s="7" t="n">
        <v>0.006</v>
      </c>
      <c r="U351" s="7" t="n">
        <v>0.582</v>
      </c>
      <c r="V351" s="7" t="n">
        <v>0.527</v>
      </c>
      <c r="W351" s="7" t="n">
        <v>0.185</v>
      </c>
      <c r="X351" s="7" t="n">
        <v>-0.058</v>
      </c>
      <c r="Y351" s="7" t="n">
        <v>-0.667</v>
      </c>
      <c r="Z351" s="7" t="n">
        <v>0.13</v>
      </c>
      <c r="AA351" s="7" t="n">
        <v>0.527</v>
      </c>
      <c r="AB351" s="7" t="n">
        <v>0.658</v>
      </c>
      <c r="AC351" s="7" t="n">
        <v>0.56</v>
      </c>
      <c r="AD351" s="7" t="n">
        <v>0.447</v>
      </c>
      <c r="AE351" s="7" t="n">
        <v>0.928</v>
      </c>
      <c r="AF351" s="7" t="n">
        <v>0.56</v>
      </c>
      <c r="AG351" s="7" t="n">
        <v>0.187</v>
      </c>
      <c r="AH351" s="7" t="n">
        <v>-0.198</v>
      </c>
      <c r="AI351" s="7" t="n">
        <v>0.29</v>
      </c>
      <c r="AJ351" s="7" t="n">
        <v>0.538</v>
      </c>
      <c r="AK351" s="7" t="n">
        <v>0.538</v>
      </c>
      <c r="AL351" s="7" t="n">
        <v>-0.275</v>
      </c>
      <c r="AM351" s="7" t="n">
        <v>0.015</v>
      </c>
      <c r="AN351" s="7" t="n">
        <v>0.527</v>
      </c>
      <c r="AO351" s="7" t="n">
        <v>-0.074</v>
      </c>
      <c r="AP351" s="7" t="n">
        <v>0.071</v>
      </c>
      <c r="AQ351" s="7" t="n">
        <v>0.276</v>
      </c>
    </row>
    <row r="352" customFormat="false" ht="15" hidden="false" customHeight="false" outlineLevel="0" collapsed="false">
      <c r="A352" s="23" t="n">
        <v>46669</v>
      </c>
      <c r="B352" s="7" t="n">
        <v>0.36</v>
      </c>
      <c r="C352" s="7" t="n">
        <v>0.442</v>
      </c>
      <c r="D352" s="7" t="n">
        <v>0</v>
      </c>
      <c r="E352" s="7" t="n">
        <v>0.402</v>
      </c>
      <c r="F352" s="7" t="n">
        <v>0.785</v>
      </c>
      <c r="G352" s="7" t="n">
        <v>-0.087</v>
      </c>
      <c r="H352" s="7" t="n">
        <v>0.248</v>
      </c>
      <c r="I352" s="7" t="n">
        <v>-0.786</v>
      </c>
      <c r="J352" s="7" t="n">
        <v>-0.433</v>
      </c>
      <c r="K352" s="7" t="n">
        <v>0.075</v>
      </c>
      <c r="L352" s="7" t="n">
        <v>-0.553</v>
      </c>
      <c r="M352" s="7" t="n">
        <v>-0.247</v>
      </c>
      <c r="N352" s="7" t="n">
        <v>-0.483</v>
      </c>
      <c r="O352" s="7" t="n">
        <v>-0.539</v>
      </c>
      <c r="P352" s="7" t="n">
        <v>0.192</v>
      </c>
      <c r="Q352" s="7" t="n">
        <v>0.54</v>
      </c>
      <c r="R352" s="7" t="n">
        <v>0.06</v>
      </c>
      <c r="S352" s="7" t="n">
        <v>0.402</v>
      </c>
      <c r="T352" s="7" t="n">
        <v>-0.023</v>
      </c>
      <c r="U352" s="7" t="n">
        <v>0.599</v>
      </c>
      <c r="V352" s="7" t="n">
        <v>-0.154</v>
      </c>
      <c r="W352" s="7" t="n">
        <v>0.185</v>
      </c>
      <c r="X352" s="7" t="n">
        <v>-0.059</v>
      </c>
      <c r="Y352" s="7" t="n">
        <v>-0.174</v>
      </c>
      <c r="Z352" s="7" t="n">
        <v>0.075</v>
      </c>
      <c r="AA352" s="7" t="n">
        <v>0.06</v>
      </c>
      <c r="AB352" s="7" t="n">
        <v>-0.784</v>
      </c>
      <c r="AC352" s="7" t="n">
        <v>0.56</v>
      </c>
      <c r="AD352" s="7" t="n">
        <v>0.402</v>
      </c>
      <c r="AE352" s="7" t="n">
        <v>0.406</v>
      </c>
      <c r="AF352" s="7" t="n">
        <v>0.56</v>
      </c>
      <c r="AG352" s="7" t="n">
        <v>0.345</v>
      </c>
      <c r="AH352" s="7" t="n">
        <v>-0.017</v>
      </c>
      <c r="AI352" s="7" t="n">
        <v>-0.603</v>
      </c>
      <c r="AJ352" s="7" t="n">
        <v>-0.724</v>
      </c>
      <c r="AK352" s="7" t="n">
        <v>-0.724</v>
      </c>
      <c r="AL352" s="7" t="n">
        <v>0.261</v>
      </c>
      <c r="AM352" s="7" t="n">
        <v>-0.754</v>
      </c>
      <c r="AN352" s="7" t="n">
        <v>0.065</v>
      </c>
      <c r="AO352" s="7" t="n">
        <v>0.075</v>
      </c>
      <c r="AP352" s="7" t="n">
        <v>0.075</v>
      </c>
      <c r="AQ352" s="7" t="n">
        <v>0.276</v>
      </c>
    </row>
    <row r="353" customFormat="false" ht="15" hidden="false" customHeight="false" outlineLevel="0" collapsed="false">
      <c r="A353" s="23" t="n">
        <v>46670</v>
      </c>
      <c r="B353" s="7" t="n">
        <v>0.415</v>
      </c>
      <c r="C353" s="7" t="n">
        <v>0.651</v>
      </c>
      <c r="D353" s="7" t="n">
        <v>0</v>
      </c>
      <c r="E353" s="7" t="n">
        <v>0.356</v>
      </c>
      <c r="F353" s="7" t="n">
        <v>0.763</v>
      </c>
      <c r="G353" s="7" t="n">
        <v>-0.086</v>
      </c>
      <c r="H353" s="7" t="n">
        <v>0.236</v>
      </c>
      <c r="I353" s="7" t="n">
        <v>-0.529</v>
      </c>
      <c r="J353" s="7" t="n">
        <v>-0.256</v>
      </c>
      <c r="K353" s="7" t="n">
        <v>0.022</v>
      </c>
      <c r="L353" s="7" t="n">
        <v>-0.245</v>
      </c>
      <c r="M353" s="7" t="n">
        <v>-0.297</v>
      </c>
      <c r="N353" s="7" t="n">
        <v>-0.195</v>
      </c>
      <c r="O353" s="7" t="n">
        <v>-0.216</v>
      </c>
      <c r="P353" s="7" t="n">
        <v>0.229</v>
      </c>
      <c r="Q353" s="7" t="n">
        <v>0.568</v>
      </c>
      <c r="R353" s="7" t="n">
        <v>0.054</v>
      </c>
      <c r="S353" s="7" t="n">
        <v>0.356</v>
      </c>
      <c r="T353" s="7" t="n">
        <v>-0.097</v>
      </c>
      <c r="U353" s="7" t="n">
        <v>0.578</v>
      </c>
      <c r="V353" s="7" t="n">
        <v>-0.105</v>
      </c>
      <c r="W353" s="7" t="n">
        <v>0.185</v>
      </c>
      <c r="X353" s="7" t="n">
        <v>-0.061</v>
      </c>
      <c r="Y353" s="7" t="n">
        <v>-0.149</v>
      </c>
      <c r="Z353" s="7" t="n">
        <v>0.022</v>
      </c>
      <c r="AA353" s="7" t="n">
        <v>0.054</v>
      </c>
      <c r="AB353" s="7" t="n">
        <v>-0.481</v>
      </c>
      <c r="AC353" s="7" t="n">
        <v>0.558</v>
      </c>
      <c r="AD353" s="7" t="n">
        <v>0.356</v>
      </c>
      <c r="AE353" s="7" t="n">
        <v>0.356</v>
      </c>
      <c r="AF353" s="7" t="n">
        <v>0.558</v>
      </c>
      <c r="AG353" s="7" t="n">
        <v>0.224</v>
      </c>
      <c r="AH353" s="7" t="n">
        <v>0.007</v>
      </c>
      <c r="AI353" s="7" t="n">
        <v>-0.266</v>
      </c>
      <c r="AJ353" s="7" t="n">
        <v>-0.475</v>
      </c>
      <c r="AK353" s="7" t="n">
        <v>-0.475</v>
      </c>
      <c r="AL353" s="7" t="n">
        <v>0.279</v>
      </c>
      <c r="AM353" s="7" t="n">
        <v>-0.503</v>
      </c>
      <c r="AN353" s="7" t="n">
        <v>0.037</v>
      </c>
      <c r="AO353" s="7" t="n">
        <v>0.022</v>
      </c>
      <c r="AP353" s="7" t="n">
        <v>0.022</v>
      </c>
      <c r="AQ353" s="7" t="n">
        <v>0.273</v>
      </c>
    </row>
    <row r="354" customFormat="false" ht="15" hidden="false" customHeight="false" outlineLevel="0" collapsed="false">
      <c r="A354" s="23" t="n">
        <v>46671</v>
      </c>
      <c r="B354" s="7" t="n">
        <v>0.448</v>
      </c>
      <c r="C354" s="7" t="n">
        <v>0.876</v>
      </c>
      <c r="D354" s="7" t="n">
        <v>0</v>
      </c>
      <c r="E354" s="7" t="n">
        <v>-0.342</v>
      </c>
      <c r="F354" s="7" t="n">
        <v>0.826</v>
      </c>
      <c r="G354" s="7" t="n">
        <v>0.069</v>
      </c>
      <c r="H354" s="7" t="n">
        <v>0.359</v>
      </c>
      <c r="I354" s="7" t="n">
        <v>0.342</v>
      </c>
      <c r="J354" s="7" t="n">
        <v>0.108</v>
      </c>
      <c r="K354" s="7" t="n">
        <v>0.222</v>
      </c>
      <c r="L354" s="7" t="n">
        <v>0.502</v>
      </c>
      <c r="M354" s="7" t="n">
        <v>-0.269</v>
      </c>
      <c r="N354" s="7" t="n">
        <v>-0.116</v>
      </c>
      <c r="O354" s="7" t="n">
        <v>0.414</v>
      </c>
      <c r="P354" s="7" t="n">
        <v>0.436</v>
      </c>
      <c r="Q354" s="7" t="n">
        <v>0.532</v>
      </c>
      <c r="R354" s="7" t="n">
        <v>0.272</v>
      </c>
      <c r="S354" s="7" t="n">
        <v>-0.36</v>
      </c>
      <c r="T354" s="7" t="n">
        <v>0.011</v>
      </c>
      <c r="U354" s="7" t="n">
        <v>0.675</v>
      </c>
      <c r="V354" s="7" t="n">
        <v>0.198</v>
      </c>
      <c r="W354" s="7" t="n">
        <v>0.317</v>
      </c>
      <c r="X354" s="7" t="n">
        <v>0.06</v>
      </c>
      <c r="Y354" s="7" t="n">
        <v>-0.646</v>
      </c>
      <c r="Z354" s="7" t="n">
        <v>0.036</v>
      </c>
      <c r="AA354" s="7" t="n">
        <v>0.272</v>
      </c>
      <c r="AB354" s="7" t="n">
        <v>0.108</v>
      </c>
      <c r="AC354" s="7" t="n">
        <v>0.544</v>
      </c>
      <c r="AD354" s="7" t="n">
        <v>-0.317</v>
      </c>
      <c r="AE354" s="7" t="n">
        <v>0.497</v>
      </c>
      <c r="AF354" s="7" t="n">
        <v>0.544</v>
      </c>
      <c r="AG354" s="7" t="n">
        <v>-0.223</v>
      </c>
      <c r="AH354" s="7" t="n">
        <v>0</v>
      </c>
      <c r="AI354" s="7" t="n">
        <v>0.475</v>
      </c>
      <c r="AJ354" s="7" t="n">
        <v>0.079</v>
      </c>
      <c r="AK354" s="7" t="n">
        <v>0.079</v>
      </c>
      <c r="AL354" s="7" t="n">
        <v>0.387</v>
      </c>
      <c r="AM354" s="7" t="n">
        <v>0.092</v>
      </c>
      <c r="AN354" s="7" t="n">
        <v>-0.013</v>
      </c>
      <c r="AO354" s="7" t="n">
        <v>0.053</v>
      </c>
      <c r="AP354" s="7" t="n">
        <v>0.036</v>
      </c>
      <c r="AQ354" s="7" t="n">
        <v>0.4</v>
      </c>
    </row>
    <row r="355" customFormat="false" ht="15" hidden="false" customHeight="false" outlineLevel="0" collapsed="false">
      <c r="A355" s="23" t="n">
        <v>46672</v>
      </c>
      <c r="B355" s="7" t="n">
        <v>-0.112</v>
      </c>
      <c r="C355" s="7" t="n">
        <v>0.717</v>
      </c>
      <c r="D355" s="7" t="n">
        <v>-0.277</v>
      </c>
      <c r="E355" s="7" t="n">
        <v>-0.425</v>
      </c>
      <c r="F355" s="7" t="n">
        <v>0.286</v>
      </c>
      <c r="G355" s="7" t="n">
        <v>-0.074</v>
      </c>
      <c r="H355" s="7" t="n">
        <v>0.219</v>
      </c>
      <c r="I355" s="7" t="n">
        <v>-0.16</v>
      </c>
      <c r="J355" s="7" t="n">
        <v>0.144</v>
      </c>
      <c r="K355" s="7" t="n">
        <v>0.191</v>
      </c>
      <c r="L355" s="7" t="n">
        <v>0.141</v>
      </c>
      <c r="M355" s="7" t="n">
        <v>-0.211</v>
      </c>
      <c r="N355" s="7" t="n">
        <v>-0.421</v>
      </c>
      <c r="O355" s="7" t="n">
        <v>0.101</v>
      </c>
      <c r="P355" s="7" t="n">
        <v>-0.192</v>
      </c>
      <c r="Q355" s="7" t="n">
        <v>0.259</v>
      </c>
      <c r="R355" s="7" t="n">
        <v>0.124</v>
      </c>
      <c r="S355" s="7" t="n">
        <v>-0.467</v>
      </c>
      <c r="T355" s="7" t="n">
        <v>0.262</v>
      </c>
      <c r="U355" s="7" t="n">
        <v>0.701</v>
      </c>
      <c r="V355" s="7" t="n">
        <v>0.01</v>
      </c>
      <c r="W355" s="7" t="n">
        <v>0</v>
      </c>
      <c r="X355" s="7" t="n">
        <v>-0.43</v>
      </c>
      <c r="Y355" s="7" t="n">
        <v>-0.449</v>
      </c>
      <c r="Z355" s="7" t="n">
        <v>0.085</v>
      </c>
      <c r="AA355" s="7" t="n">
        <v>0.424</v>
      </c>
      <c r="AB355" s="7" t="n">
        <v>0.144</v>
      </c>
      <c r="AC355" s="7" t="n">
        <v>0.029</v>
      </c>
      <c r="AD355" s="7" t="n">
        <v>-0.425</v>
      </c>
      <c r="AE355" s="7" t="n">
        <v>0.011</v>
      </c>
      <c r="AF355" s="7" t="n">
        <v>0.029</v>
      </c>
      <c r="AG355" s="7" t="n">
        <v>-0.725</v>
      </c>
      <c r="AH355" s="7" t="n">
        <v>0.024</v>
      </c>
      <c r="AI355" s="7" t="n">
        <v>0.101</v>
      </c>
      <c r="AJ355" s="7" t="n">
        <v>-0.38</v>
      </c>
      <c r="AK355" s="7" t="n">
        <v>-0.072</v>
      </c>
      <c r="AL355" s="7" t="n">
        <v>-0.334</v>
      </c>
      <c r="AM355" s="7" t="n">
        <v>0.072</v>
      </c>
      <c r="AN355" s="7" t="n">
        <v>-0.168</v>
      </c>
      <c r="AO355" s="7" t="n">
        <v>0.113</v>
      </c>
      <c r="AP355" s="7" t="n">
        <v>0.041</v>
      </c>
      <c r="AQ355" s="7" t="n">
        <v>0.029</v>
      </c>
    </row>
    <row r="356" customFormat="false" ht="15" hidden="false" customHeight="false" outlineLevel="0" collapsed="false">
      <c r="A356" s="23" t="n">
        <v>46673</v>
      </c>
      <c r="B356" s="7" t="n">
        <v>0.525</v>
      </c>
      <c r="C356" s="7" t="n">
        <v>0.969</v>
      </c>
      <c r="D356" s="7" t="n">
        <v>-0.23</v>
      </c>
      <c r="E356" s="7" t="n">
        <v>-0.032</v>
      </c>
      <c r="F356" s="7" t="n">
        <v>0.981</v>
      </c>
      <c r="G356" s="7" t="n">
        <v>0.204</v>
      </c>
      <c r="H356" s="7" t="n">
        <v>0.112</v>
      </c>
      <c r="I356" s="7" t="n">
        <v>0.038</v>
      </c>
      <c r="J356" s="7" t="n">
        <v>0.953</v>
      </c>
      <c r="K356" s="7" t="n">
        <v>0.22</v>
      </c>
      <c r="L356" s="7" t="n">
        <v>0.235</v>
      </c>
      <c r="M356" s="7" t="n">
        <v>0.871</v>
      </c>
      <c r="N356" s="7" t="n">
        <v>0.936</v>
      </c>
      <c r="O356" s="7" t="n">
        <v>0.964</v>
      </c>
      <c r="P356" s="7" t="n">
        <v>-0.046</v>
      </c>
      <c r="Q356" s="7" t="n">
        <v>0.353</v>
      </c>
      <c r="R356" s="7" t="n">
        <v>-0.016</v>
      </c>
      <c r="S356" s="7" t="n">
        <v>-0.331</v>
      </c>
      <c r="T356" s="7" t="n">
        <v>0.341</v>
      </c>
      <c r="U356" s="7" t="n">
        <v>0.309</v>
      </c>
      <c r="V356" s="7" t="n">
        <v>-0.083</v>
      </c>
      <c r="W356" s="7" t="n">
        <v>0</v>
      </c>
      <c r="X356" s="7" t="n">
        <v>-0.392</v>
      </c>
      <c r="Y356" s="7" t="n">
        <v>-0.357</v>
      </c>
      <c r="Z356" s="7" t="n">
        <v>0.124</v>
      </c>
      <c r="AA356" s="7" t="n">
        <v>0.261</v>
      </c>
      <c r="AB356" s="7" t="n">
        <v>0.944</v>
      </c>
      <c r="AC356" s="7" t="n">
        <v>0.096</v>
      </c>
      <c r="AD356" s="7" t="n">
        <v>-0.355</v>
      </c>
      <c r="AE356" s="7" t="n">
        <v>0.967</v>
      </c>
      <c r="AF356" s="7" t="n">
        <v>0.096</v>
      </c>
      <c r="AG356" s="7" t="n">
        <v>-0.521</v>
      </c>
      <c r="AH356" s="7" t="n">
        <v>0.773</v>
      </c>
      <c r="AI356" s="7" t="n">
        <v>0.162</v>
      </c>
      <c r="AJ356" s="7" t="n">
        <v>-0.321</v>
      </c>
      <c r="AK356" s="7" t="n">
        <v>-0.05</v>
      </c>
      <c r="AL356" s="7" t="n">
        <v>0.646</v>
      </c>
      <c r="AM356" s="7" t="n">
        <v>0.068</v>
      </c>
      <c r="AN356" s="7" t="n">
        <v>-0.381</v>
      </c>
      <c r="AO356" s="7" t="n">
        <v>0.819</v>
      </c>
      <c r="AP356" s="7" t="n">
        <v>0.075</v>
      </c>
      <c r="AQ356" s="7" t="n">
        <v>0.096</v>
      </c>
    </row>
    <row r="357" customFormat="false" ht="15" hidden="false" customHeight="false" outlineLevel="0" collapsed="false">
      <c r="A357" s="23" t="n">
        <v>46674</v>
      </c>
      <c r="B357" s="7" t="n">
        <v>0.977</v>
      </c>
      <c r="C357" s="7" t="n">
        <v>0.993</v>
      </c>
      <c r="D357" s="7" t="n">
        <v>-0.095</v>
      </c>
      <c r="E357" s="7" t="n">
        <v>0.127</v>
      </c>
      <c r="F357" s="7" t="n">
        <v>0.933</v>
      </c>
      <c r="G357" s="7" t="n">
        <v>-0.042</v>
      </c>
      <c r="H357" s="7" t="n">
        <v>0.918</v>
      </c>
      <c r="I357" s="7" t="n">
        <v>0.965</v>
      </c>
      <c r="J357" s="7" t="n">
        <v>0.738</v>
      </c>
      <c r="K357" s="7" t="n">
        <v>0.206</v>
      </c>
      <c r="L357" s="7" t="n">
        <v>0.225</v>
      </c>
      <c r="M357" s="7" t="n">
        <v>0.654</v>
      </c>
      <c r="N357" s="7" t="n">
        <v>0.884</v>
      </c>
      <c r="O357" s="7" t="n">
        <v>0.809</v>
      </c>
      <c r="P357" s="7" t="n">
        <v>0.317</v>
      </c>
      <c r="Q357" s="7" t="n">
        <v>0.348</v>
      </c>
      <c r="R357" s="7" t="n">
        <v>0.874</v>
      </c>
      <c r="S357" s="7" t="n">
        <v>0.127</v>
      </c>
      <c r="T357" s="7" t="n">
        <v>0.948</v>
      </c>
      <c r="U357" s="7" t="n">
        <v>0.348</v>
      </c>
      <c r="V357" s="7" t="n">
        <v>0.878</v>
      </c>
      <c r="W357" s="7" t="n">
        <v>0</v>
      </c>
      <c r="X357" s="7" t="n">
        <v>0.434</v>
      </c>
      <c r="Y357" s="7" t="n">
        <v>0.056</v>
      </c>
      <c r="Z357" s="7" t="n">
        <v>0.127</v>
      </c>
      <c r="AA357" s="7" t="n">
        <v>0.905</v>
      </c>
      <c r="AB357" s="7" t="n">
        <v>0.826</v>
      </c>
      <c r="AC357" s="7" t="n">
        <v>0.534</v>
      </c>
      <c r="AD357" s="7" t="n">
        <v>-0.023</v>
      </c>
      <c r="AE357" s="7" t="n">
        <v>0.852</v>
      </c>
      <c r="AF357" s="7" t="n">
        <v>0.096</v>
      </c>
      <c r="AG357" s="7" t="n">
        <v>0.053</v>
      </c>
      <c r="AH357" s="7" t="n">
        <v>0.465</v>
      </c>
      <c r="AI357" s="7" t="n">
        <v>0.155</v>
      </c>
      <c r="AJ357" s="7" t="n">
        <v>0.926</v>
      </c>
      <c r="AK357" s="7" t="n">
        <v>0.945</v>
      </c>
      <c r="AL357" s="7" t="n">
        <v>-0.051</v>
      </c>
      <c r="AM357" s="7" t="n">
        <v>0.06</v>
      </c>
      <c r="AN357" s="7" t="n">
        <v>0.79</v>
      </c>
      <c r="AO357" s="7" t="n">
        <v>0.517</v>
      </c>
      <c r="AP357" s="7" t="n">
        <v>0.072</v>
      </c>
      <c r="AQ357" s="7" t="n">
        <v>0.096</v>
      </c>
    </row>
    <row r="358" customFormat="false" ht="15" hidden="false" customHeight="false" outlineLevel="0" collapsed="false">
      <c r="A358" s="23" t="n">
        <v>46675</v>
      </c>
      <c r="B358" s="7" t="n">
        <v>0.994</v>
      </c>
      <c r="C358" s="7" t="n">
        <v>0.993</v>
      </c>
      <c r="D358" s="7" t="n">
        <v>-0.072</v>
      </c>
      <c r="E358" s="7" t="n">
        <v>0.921</v>
      </c>
      <c r="F358" s="7" t="n">
        <v>0.993</v>
      </c>
      <c r="G358" s="7" t="n">
        <v>-0.308</v>
      </c>
      <c r="H358" s="7" t="n">
        <v>-0.091</v>
      </c>
      <c r="I358" s="7" t="n">
        <v>0.605</v>
      </c>
      <c r="J358" s="7" t="n">
        <v>0.658</v>
      </c>
      <c r="K358" s="7" t="n">
        <v>0.981</v>
      </c>
      <c r="L358" s="7" t="n">
        <v>0.864</v>
      </c>
      <c r="M358" s="7" t="n">
        <v>0.588</v>
      </c>
      <c r="N358" s="7" t="n">
        <v>0.986</v>
      </c>
      <c r="O358" s="7" t="n">
        <v>0.976</v>
      </c>
      <c r="P358" s="7" t="n">
        <v>0.206</v>
      </c>
      <c r="Q358" s="7" t="n">
        <v>0.344</v>
      </c>
      <c r="R358" s="7" t="n">
        <v>-0.091</v>
      </c>
      <c r="S358" s="7" t="n">
        <v>0.939</v>
      </c>
      <c r="T358" s="7" t="n">
        <v>0.344</v>
      </c>
      <c r="U358" s="7" t="n">
        <v>0.827</v>
      </c>
      <c r="V358" s="7" t="n">
        <v>-0.091</v>
      </c>
      <c r="W358" s="7" t="n">
        <v>0</v>
      </c>
      <c r="X358" s="7" t="n">
        <v>0.312</v>
      </c>
      <c r="Y358" s="7" t="n">
        <v>-0.158</v>
      </c>
      <c r="Z358" s="7" t="n">
        <v>0.978</v>
      </c>
      <c r="AA358" s="7" t="n">
        <v>0.096</v>
      </c>
      <c r="AB358" s="7" t="n">
        <v>0.763</v>
      </c>
      <c r="AC358" s="7" t="n">
        <v>0.514</v>
      </c>
      <c r="AD358" s="7" t="n">
        <v>0.895</v>
      </c>
      <c r="AE358" s="7" t="n">
        <v>0.981</v>
      </c>
      <c r="AF358" s="7" t="n">
        <v>0.775</v>
      </c>
      <c r="AG358" s="7" t="n">
        <v>-0.185</v>
      </c>
      <c r="AH358" s="7" t="n">
        <v>0.462</v>
      </c>
      <c r="AI358" s="7" t="n">
        <v>0.119</v>
      </c>
      <c r="AJ358" s="7" t="n">
        <v>0.383</v>
      </c>
      <c r="AK358" s="7" t="n">
        <v>0.531</v>
      </c>
      <c r="AL358" s="7" t="n">
        <v>-0.063</v>
      </c>
      <c r="AM358" s="7" t="n">
        <v>0.023</v>
      </c>
      <c r="AN358" s="7" t="n">
        <v>-0.091</v>
      </c>
      <c r="AO358" s="7" t="n">
        <v>0.93</v>
      </c>
      <c r="AP358" s="7" t="n">
        <v>0.831</v>
      </c>
      <c r="AQ358" s="7" t="n">
        <v>0.096</v>
      </c>
    </row>
    <row r="359" customFormat="false" ht="15" hidden="false" customHeight="false" outlineLevel="0" collapsed="false">
      <c r="A359" s="23" t="n">
        <v>46676</v>
      </c>
      <c r="B359" s="7" t="n">
        <v>-0.127</v>
      </c>
      <c r="C359" s="7" t="n">
        <v>0.106</v>
      </c>
      <c r="D359" s="7" t="n">
        <v>-0.386</v>
      </c>
      <c r="E359" s="7" t="n">
        <v>0.103</v>
      </c>
      <c r="F359" s="7" t="n">
        <v>0.182</v>
      </c>
      <c r="G359" s="7" t="n">
        <v>-0.608</v>
      </c>
      <c r="H359" s="7" t="n">
        <v>-0.166</v>
      </c>
      <c r="I359" s="7" t="n">
        <v>-0.5</v>
      </c>
      <c r="J359" s="7" t="n">
        <v>-0.027</v>
      </c>
      <c r="K359" s="7" t="n">
        <v>0.126</v>
      </c>
      <c r="L359" s="7" t="n">
        <v>0.019</v>
      </c>
      <c r="M359" s="7" t="n">
        <v>-0.327</v>
      </c>
      <c r="N359" s="7" t="n">
        <v>0.046</v>
      </c>
      <c r="O359" s="7" t="n">
        <v>0.058</v>
      </c>
      <c r="P359" s="7" t="n">
        <v>-0.326</v>
      </c>
      <c r="Q359" s="7" t="n">
        <v>0.251</v>
      </c>
      <c r="R359" s="7" t="n">
        <v>-0.236</v>
      </c>
      <c r="S359" s="7" t="n">
        <v>0.329</v>
      </c>
      <c r="T359" s="7" t="n">
        <v>0.461</v>
      </c>
      <c r="U359" s="7" t="n">
        <v>0.249</v>
      </c>
      <c r="V359" s="7" t="n">
        <v>-0.483</v>
      </c>
      <c r="W359" s="7" t="n">
        <v>0</v>
      </c>
      <c r="X359" s="7" t="n">
        <v>-0.534</v>
      </c>
      <c r="Y359" s="7" t="n">
        <v>-0.357</v>
      </c>
      <c r="Z359" s="7" t="n">
        <v>0.103</v>
      </c>
      <c r="AA359" s="7" t="n">
        <v>0.275</v>
      </c>
      <c r="AB359" s="7" t="n">
        <v>-0.027</v>
      </c>
      <c r="AC359" s="7" t="n">
        <v>0.058</v>
      </c>
      <c r="AD359" s="7" t="n">
        <v>-0.396</v>
      </c>
      <c r="AE359" s="7" t="n">
        <v>-0.136</v>
      </c>
      <c r="AF359" s="7" t="n">
        <v>0.058</v>
      </c>
      <c r="AG359" s="7" t="n">
        <v>-0.48</v>
      </c>
      <c r="AH359" s="7" t="n">
        <v>-0.046</v>
      </c>
      <c r="AI359" s="7" t="n">
        <v>0.03</v>
      </c>
      <c r="AJ359" s="7" t="n">
        <v>-0.454</v>
      </c>
      <c r="AK359" s="7" t="n">
        <v>0.034</v>
      </c>
      <c r="AL359" s="7" t="n">
        <v>-0.471</v>
      </c>
      <c r="AM359" s="7" t="n">
        <v>-0.027</v>
      </c>
      <c r="AN359" s="7" t="n">
        <v>-0.432</v>
      </c>
      <c r="AO359" s="7" t="n">
        <v>-0.012</v>
      </c>
      <c r="AP359" s="7" t="n">
        <v>-0.012</v>
      </c>
      <c r="AQ359" s="7" t="n">
        <v>0.058</v>
      </c>
    </row>
    <row r="360" customFormat="false" ht="15" hidden="false" customHeight="false" outlineLevel="0" collapsed="false">
      <c r="A360" s="23" t="n">
        <v>46677</v>
      </c>
      <c r="B360" s="7" t="n">
        <v>0.42</v>
      </c>
      <c r="C360" s="7" t="n">
        <v>0.858</v>
      </c>
      <c r="D360" s="7" t="n">
        <v>-0.314</v>
      </c>
      <c r="E360" s="7" t="n">
        <v>0.117</v>
      </c>
      <c r="F360" s="7" t="n">
        <v>0.854</v>
      </c>
      <c r="G360" s="7" t="n">
        <v>-0.343</v>
      </c>
      <c r="H360" s="7" t="n">
        <v>-0.023</v>
      </c>
      <c r="I360" s="7" t="n">
        <v>-0.357</v>
      </c>
      <c r="J360" s="7" t="n">
        <v>0.051</v>
      </c>
      <c r="K360" s="7" t="n">
        <v>0.136</v>
      </c>
      <c r="L360" s="7" t="n">
        <v>0.754</v>
      </c>
      <c r="M360" s="7" t="n">
        <v>-0.269</v>
      </c>
      <c r="N360" s="7" t="n">
        <v>0.813</v>
      </c>
      <c r="O360" s="7" t="n">
        <v>0.784</v>
      </c>
      <c r="P360" s="7" t="n">
        <v>0.3</v>
      </c>
      <c r="Q360" s="7" t="n">
        <v>0.823</v>
      </c>
      <c r="R360" s="7" t="n">
        <v>-0.108</v>
      </c>
      <c r="S360" s="7" t="n">
        <v>0.117</v>
      </c>
      <c r="T360" s="7" t="n">
        <v>0.256</v>
      </c>
      <c r="U360" s="7" t="n">
        <v>0.798</v>
      </c>
      <c r="V360" s="7" t="n">
        <v>-0.36</v>
      </c>
      <c r="W360" s="7" t="n">
        <v>0.338</v>
      </c>
      <c r="X360" s="7" t="n">
        <v>-0.465</v>
      </c>
      <c r="Y360" s="7" t="n">
        <v>-0.12</v>
      </c>
      <c r="Z360" s="7" t="n">
        <v>0.117</v>
      </c>
      <c r="AA360" s="7" t="n">
        <v>0.321</v>
      </c>
      <c r="AB360" s="7" t="n">
        <v>0.051</v>
      </c>
      <c r="AC360" s="7" t="n">
        <v>0.754</v>
      </c>
      <c r="AD360" s="7" t="n">
        <v>-0.313</v>
      </c>
      <c r="AE360" s="7" t="n">
        <v>0.747</v>
      </c>
      <c r="AF360" s="7" t="n">
        <v>0.804</v>
      </c>
      <c r="AG360" s="7" t="n">
        <v>-0.415</v>
      </c>
      <c r="AH360" s="7" t="n">
        <v>0.006</v>
      </c>
      <c r="AI360" s="7" t="n">
        <v>0.558</v>
      </c>
      <c r="AJ360" s="7" t="n">
        <v>-0.348</v>
      </c>
      <c r="AK360" s="7" t="n">
        <v>0.078</v>
      </c>
      <c r="AL360" s="7" t="n">
        <v>0.143</v>
      </c>
      <c r="AM360" s="7" t="n">
        <v>0</v>
      </c>
      <c r="AN360" s="7" t="n">
        <v>-0.348</v>
      </c>
      <c r="AO360" s="7" t="n">
        <v>0.052</v>
      </c>
      <c r="AP360" s="7" t="n">
        <v>0.001</v>
      </c>
      <c r="AQ360" s="7" t="n">
        <v>0.558</v>
      </c>
    </row>
    <row r="361" customFormat="false" ht="15" hidden="false" customHeight="false" outlineLevel="0" collapsed="false">
      <c r="A361" s="23" t="n">
        <v>46678</v>
      </c>
      <c r="B361" s="7" t="n">
        <v>0.044</v>
      </c>
      <c r="C361" s="7" t="n">
        <v>0.469</v>
      </c>
      <c r="D361" s="7" t="n">
        <v>-0.254</v>
      </c>
      <c r="E361" s="7" t="n">
        <v>0.209</v>
      </c>
      <c r="F361" s="7" t="n">
        <v>0.387</v>
      </c>
      <c r="G361" s="7" t="n">
        <v>0.088</v>
      </c>
      <c r="H361" s="7" t="n">
        <v>0.059</v>
      </c>
      <c r="I361" s="7" t="n">
        <v>-0.333</v>
      </c>
      <c r="J361" s="7" t="n">
        <v>-0.008</v>
      </c>
      <c r="K361" s="7" t="n">
        <v>0.096</v>
      </c>
      <c r="L361" s="7" t="n">
        <v>0.058</v>
      </c>
      <c r="M361" s="7" t="n">
        <v>-0.396</v>
      </c>
      <c r="N361" s="7" t="n">
        <v>0.387</v>
      </c>
      <c r="O361" s="7" t="n">
        <v>-0.847</v>
      </c>
      <c r="P361" s="7" t="n">
        <v>-0.713</v>
      </c>
      <c r="Q361" s="7" t="n">
        <v>0.08</v>
      </c>
      <c r="R361" s="7" t="n">
        <v>-0.037</v>
      </c>
      <c r="S361" s="7" t="n">
        <v>0.209</v>
      </c>
      <c r="T361" s="7" t="n">
        <v>0.146</v>
      </c>
      <c r="U361" s="7" t="n">
        <v>-0.83</v>
      </c>
      <c r="V361" s="7" t="n">
        <v>-0.876</v>
      </c>
      <c r="W361" s="7" t="n">
        <v>-0.079</v>
      </c>
      <c r="X361" s="7" t="n">
        <v>-0.467</v>
      </c>
      <c r="Y361" s="7" t="n">
        <v>-0.898</v>
      </c>
      <c r="Z361" s="7" t="n">
        <v>0.209</v>
      </c>
      <c r="AA361" s="7" t="n">
        <v>0.325</v>
      </c>
      <c r="AB361" s="7" t="n">
        <v>-0.008</v>
      </c>
      <c r="AC361" s="7" t="n">
        <v>-0.02</v>
      </c>
      <c r="AD361" s="7" t="n">
        <v>0.096</v>
      </c>
      <c r="AE361" s="7" t="n">
        <v>0.27</v>
      </c>
      <c r="AF361" s="7" t="n">
        <v>0.423</v>
      </c>
      <c r="AG361" s="7" t="n">
        <v>-0.827</v>
      </c>
      <c r="AH361" s="7" t="n">
        <v>-0.837</v>
      </c>
      <c r="AI361" s="7" t="n">
        <v>-0.466</v>
      </c>
      <c r="AJ361" s="7" t="n">
        <v>-0.333</v>
      </c>
      <c r="AK361" s="7" t="n">
        <v>0.029</v>
      </c>
      <c r="AL361" s="7" t="n">
        <v>-0.969</v>
      </c>
      <c r="AM361" s="7" t="n">
        <v>-0.018</v>
      </c>
      <c r="AN361" s="7" t="n">
        <v>-0.316</v>
      </c>
      <c r="AO361" s="7" t="n">
        <v>-0.769</v>
      </c>
      <c r="AP361" s="7" t="n">
        <v>0.096</v>
      </c>
      <c r="AQ361" s="7" t="n">
        <v>-0.452</v>
      </c>
    </row>
    <row r="362" customFormat="false" ht="15" hidden="false" customHeight="false" outlineLevel="0" collapsed="false">
      <c r="A362" s="23" t="n">
        <v>46679</v>
      </c>
      <c r="B362" s="7" t="n">
        <v>0.044</v>
      </c>
      <c r="C362" s="7" t="n">
        <v>0.554</v>
      </c>
      <c r="D362" s="7" t="n">
        <v>-0.358</v>
      </c>
      <c r="E362" s="7" t="n">
        <v>0.103</v>
      </c>
      <c r="F362" s="7" t="n">
        <v>0.315</v>
      </c>
      <c r="G362" s="7" t="n">
        <v>-0.128</v>
      </c>
      <c r="H362" s="7" t="n">
        <v>-0.008</v>
      </c>
      <c r="I362" s="7" t="n">
        <v>-0.29</v>
      </c>
      <c r="J362" s="7" t="n">
        <v>-0.012</v>
      </c>
      <c r="K362" s="7" t="n">
        <v>0.096</v>
      </c>
      <c r="L362" s="7" t="n">
        <v>0.108</v>
      </c>
      <c r="M362" s="7" t="n">
        <v>-0.439</v>
      </c>
      <c r="N362" s="7" t="n">
        <v>0.408</v>
      </c>
      <c r="O362" s="7" t="n">
        <v>-0.145</v>
      </c>
      <c r="P362" s="7" t="n">
        <v>-0.707</v>
      </c>
      <c r="Q362" s="7" t="n">
        <v>0.062</v>
      </c>
      <c r="R362" s="7" t="n">
        <v>-0.088</v>
      </c>
      <c r="S362" s="7" t="n">
        <v>0.103</v>
      </c>
      <c r="T362" s="7" t="n">
        <v>0.152</v>
      </c>
      <c r="U362" s="7" t="n">
        <v>-0.184</v>
      </c>
      <c r="V362" s="7" t="n">
        <v>-0.333</v>
      </c>
      <c r="W362" s="7" t="n">
        <v>-0.056</v>
      </c>
      <c r="X362" s="7" t="n">
        <v>-0.472</v>
      </c>
      <c r="Y362" s="7" t="n">
        <v>-0.53</v>
      </c>
      <c r="Z362" s="7" t="n">
        <v>0.103</v>
      </c>
      <c r="AA362" s="7" t="n">
        <v>0.286</v>
      </c>
      <c r="AB362" s="7" t="n">
        <v>0.08</v>
      </c>
      <c r="AC362" s="7" t="n">
        <v>-0.038</v>
      </c>
      <c r="AD362" s="7" t="n">
        <v>-0.102</v>
      </c>
      <c r="AE362" s="7" t="n">
        <v>0.192</v>
      </c>
      <c r="AF362" s="7" t="n">
        <v>0.437</v>
      </c>
      <c r="AG362" s="7" t="n">
        <v>-0.066</v>
      </c>
      <c r="AH362" s="7" t="n">
        <v>-0.088</v>
      </c>
      <c r="AI362" s="7" t="n">
        <v>-0.395</v>
      </c>
      <c r="AJ362" s="7" t="n">
        <v>-0.271</v>
      </c>
      <c r="AK362" s="7" t="n">
        <v>0.103</v>
      </c>
      <c r="AL362" s="7" t="n">
        <v>-0.735</v>
      </c>
      <c r="AM362" s="7" t="n">
        <v>0.051</v>
      </c>
      <c r="AN362" s="7" t="n">
        <v>-0.318</v>
      </c>
      <c r="AO362" s="7" t="n">
        <v>0.096</v>
      </c>
      <c r="AP362" s="7" t="n">
        <v>0.096</v>
      </c>
      <c r="AQ362" s="7" t="n">
        <v>-0.437</v>
      </c>
    </row>
    <row r="363" customFormat="false" ht="15" hidden="false" customHeight="false" outlineLevel="0" collapsed="false">
      <c r="A363" s="23" t="n">
        <v>46680</v>
      </c>
      <c r="B363" s="7" t="n">
        <v>-0.418</v>
      </c>
      <c r="C363" s="7" t="n">
        <v>-0.057</v>
      </c>
      <c r="D363" s="7" t="n">
        <v>-0.363</v>
      </c>
      <c r="E363" s="7" t="n">
        <v>0.032</v>
      </c>
      <c r="F363" s="7" t="n">
        <v>-0.339</v>
      </c>
      <c r="G363" s="7" t="n">
        <v>-0.159</v>
      </c>
      <c r="H363" s="7" t="n">
        <v>-0.422</v>
      </c>
      <c r="I363" s="7" t="n">
        <v>-0.332</v>
      </c>
      <c r="J363" s="7" t="n">
        <v>0.051</v>
      </c>
      <c r="K363" s="7" t="n">
        <v>0.328</v>
      </c>
      <c r="L363" s="7" t="n">
        <v>-0.187</v>
      </c>
      <c r="M363" s="7" t="n">
        <v>-0.618</v>
      </c>
      <c r="N363" s="7" t="n">
        <v>-0.057</v>
      </c>
      <c r="O363" s="7" t="n">
        <v>0</v>
      </c>
      <c r="P363" s="7" t="n">
        <v>-0.352</v>
      </c>
      <c r="Q363" s="7" t="n">
        <v>0.185</v>
      </c>
      <c r="R363" s="7" t="n">
        <v>-0.422</v>
      </c>
      <c r="S363" s="7" t="n">
        <v>0.111</v>
      </c>
      <c r="T363" s="7" t="n">
        <v>0.185</v>
      </c>
      <c r="U363" s="7" t="n">
        <v>-0.315</v>
      </c>
      <c r="V363" s="7" t="n">
        <v>-0.315</v>
      </c>
      <c r="W363" s="7" t="n">
        <v>0</v>
      </c>
      <c r="X363" s="7" t="n">
        <v>-0.504</v>
      </c>
      <c r="Y363" s="7" t="n">
        <v>-0.188</v>
      </c>
      <c r="Z363" s="7" t="n">
        <v>0.374</v>
      </c>
      <c r="AA363" s="7" t="n">
        <v>0</v>
      </c>
      <c r="AB363" s="7" t="n">
        <v>0.051</v>
      </c>
      <c r="AC363" s="7" t="n">
        <v>0</v>
      </c>
      <c r="AD363" s="7" t="n">
        <v>-0.45</v>
      </c>
      <c r="AE363" s="7" t="n">
        <v>-0.057</v>
      </c>
      <c r="AF363" s="7" t="n">
        <v>0.268</v>
      </c>
      <c r="AG363" s="7" t="n">
        <v>-0.159</v>
      </c>
      <c r="AH363" s="7" t="n">
        <v>0</v>
      </c>
      <c r="AI363" s="7" t="n">
        <v>0.051</v>
      </c>
      <c r="AJ363" s="7" t="n">
        <v>-0.379</v>
      </c>
      <c r="AK363" s="7" t="n">
        <v>0.051</v>
      </c>
      <c r="AL363" s="7" t="n">
        <v>-0.422</v>
      </c>
      <c r="AM363" s="7" t="n">
        <v>0.051</v>
      </c>
      <c r="AN363" s="7" t="n">
        <v>-0.422</v>
      </c>
      <c r="AO363" s="7" t="n">
        <v>-0.236</v>
      </c>
      <c r="AP363" s="7" t="n">
        <v>-0.236</v>
      </c>
      <c r="AQ363" s="7" t="n">
        <v>0</v>
      </c>
    </row>
    <row r="364" customFormat="false" ht="15" hidden="false" customHeight="false" outlineLevel="0" collapsed="false">
      <c r="A364" s="23" t="n">
        <v>46681</v>
      </c>
      <c r="B364" s="7" t="n">
        <v>-0.407</v>
      </c>
      <c r="C364" s="7" t="n">
        <v>-0.091</v>
      </c>
      <c r="D364" s="7" t="n">
        <v>-0.363</v>
      </c>
      <c r="E364" s="7" t="n">
        <v>0.1</v>
      </c>
      <c r="F364" s="7" t="n">
        <v>-0.272</v>
      </c>
      <c r="G364" s="7" t="n">
        <v>-0.422</v>
      </c>
      <c r="H364" s="7" t="n">
        <v>-0.161</v>
      </c>
      <c r="I364" s="7" t="n">
        <v>-0.323</v>
      </c>
      <c r="J364" s="7" t="n">
        <v>0.035</v>
      </c>
      <c r="K364" s="7" t="n">
        <v>0.65</v>
      </c>
      <c r="L364" s="7" t="n">
        <v>-0.403</v>
      </c>
      <c r="M364" s="7" t="n">
        <v>-0.603</v>
      </c>
      <c r="N364" s="7" t="n">
        <v>-0.362</v>
      </c>
      <c r="O364" s="7" t="n">
        <v>-0.092</v>
      </c>
      <c r="P364" s="7" t="n">
        <v>-0.538</v>
      </c>
      <c r="Q364" s="7" t="n">
        <v>-0.183</v>
      </c>
      <c r="R364" s="7" t="n">
        <v>-0.211</v>
      </c>
      <c r="S364" s="7" t="n">
        <v>0.181</v>
      </c>
      <c r="T364" s="7" t="n">
        <v>-0.013</v>
      </c>
      <c r="U364" s="7" t="n">
        <v>-0.492</v>
      </c>
      <c r="V364" s="7" t="n">
        <v>-0.212</v>
      </c>
      <c r="W364" s="7" t="n">
        <v>0</v>
      </c>
      <c r="X364" s="7" t="n">
        <v>-0.394</v>
      </c>
      <c r="Y364" s="7" t="n">
        <v>-0.479</v>
      </c>
      <c r="Z364" s="7" t="n">
        <v>0.563</v>
      </c>
      <c r="AA364" s="7" t="n">
        <v>0.232</v>
      </c>
      <c r="AB364" s="7" t="n">
        <v>0.035</v>
      </c>
      <c r="AC364" s="7" t="n">
        <v>-0.092</v>
      </c>
      <c r="AD364" s="7" t="n">
        <v>-0.449</v>
      </c>
      <c r="AE364" s="7" t="n">
        <v>-0.362</v>
      </c>
      <c r="AF364" s="7" t="n">
        <v>0.032</v>
      </c>
      <c r="AG364" s="7" t="n">
        <v>-0.422</v>
      </c>
      <c r="AH364" s="7" t="n">
        <v>-0.007</v>
      </c>
      <c r="AI364" s="7" t="n">
        <v>-0.057</v>
      </c>
      <c r="AJ364" s="7" t="n">
        <v>-0.323</v>
      </c>
      <c r="AK364" s="7" t="n">
        <v>0.114</v>
      </c>
      <c r="AL364" s="7" t="n">
        <v>-0.5</v>
      </c>
      <c r="AM364" s="7" t="n">
        <v>0.035</v>
      </c>
      <c r="AN364" s="7" t="n">
        <v>-0.354</v>
      </c>
      <c r="AO364" s="7" t="n">
        <v>-0.354</v>
      </c>
      <c r="AP364" s="7" t="n">
        <v>-0.354</v>
      </c>
      <c r="AQ364" s="7" t="n">
        <v>-0.092</v>
      </c>
    </row>
    <row r="365" customFormat="false" ht="15" hidden="false" customHeight="false" outlineLevel="0" collapsed="false">
      <c r="A365" s="23" t="n">
        <v>46682</v>
      </c>
      <c r="B365" s="7" t="n">
        <v>-0.358</v>
      </c>
      <c r="C365" s="7" t="n">
        <v>0.001</v>
      </c>
      <c r="D365" s="7" t="n">
        <v>-0.363</v>
      </c>
      <c r="E365" s="7" t="n">
        <v>0.21</v>
      </c>
      <c r="F365" s="7" t="n">
        <v>-0.181</v>
      </c>
      <c r="G365" s="7" t="n">
        <v>-0.422</v>
      </c>
      <c r="H365" s="7" t="n">
        <v>-0.355</v>
      </c>
      <c r="I365" s="7" t="n">
        <v>-0.355</v>
      </c>
      <c r="J365" s="7" t="n">
        <v>0.016</v>
      </c>
      <c r="K365" s="7" t="n">
        <v>0.652</v>
      </c>
      <c r="L365" s="7" t="n">
        <v>-0.334</v>
      </c>
      <c r="M365" s="7" t="n">
        <v>-0.518</v>
      </c>
      <c r="N365" s="7" t="n">
        <v>-0.274</v>
      </c>
      <c r="O365" s="7" t="n">
        <v>-0.445</v>
      </c>
      <c r="P365" s="7" t="n">
        <v>-0.608</v>
      </c>
      <c r="Q365" s="7" t="n">
        <v>-0.251</v>
      </c>
      <c r="R365" s="7" t="n">
        <v>-0.355</v>
      </c>
      <c r="S365" s="7" t="n">
        <v>0.291</v>
      </c>
      <c r="T365" s="7" t="n">
        <v>-0.081</v>
      </c>
      <c r="U365" s="7" t="n">
        <v>-0.5</v>
      </c>
      <c r="V365" s="7" t="n">
        <v>-0.355</v>
      </c>
      <c r="W365" s="7" t="n">
        <v>0</v>
      </c>
      <c r="X365" s="7" t="n">
        <v>-0.422</v>
      </c>
      <c r="Y365" s="7" t="n">
        <v>-0.466</v>
      </c>
      <c r="Z365" s="7" t="n">
        <v>0.639</v>
      </c>
      <c r="AA365" s="7" t="n">
        <v>0.078</v>
      </c>
      <c r="AB365" s="7" t="n">
        <v>0.015</v>
      </c>
      <c r="AC365" s="7" t="n">
        <v>-0.096</v>
      </c>
      <c r="AD365" s="7" t="n">
        <v>-0.353</v>
      </c>
      <c r="AE365" s="7" t="n">
        <v>-0.274</v>
      </c>
      <c r="AF365" s="7" t="n">
        <v>0.003</v>
      </c>
      <c r="AG365" s="7" t="n">
        <v>-0.422</v>
      </c>
      <c r="AH365" s="7" t="n">
        <v>-0.055</v>
      </c>
      <c r="AI365" s="7" t="n">
        <v>-0.096</v>
      </c>
      <c r="AJ365" s="7" t="n">
        <v>-0.355</v>
      </c>
      <c r="AK365" s="7" t="n">
        <v>0.078</v>
      </c>
      <c r="AL365" s="7" t="n">
        <v>-0.538</v>
      </c>
      <c r="AM365" s="7" t="n">
        <v>0</v>
      </c>
      <c r="AN365" s="7" t="n">
        <v>-0.355</v>
      </c>
      <c r="AO365" s="7" t="n">
        <v>-0.247</v>
      </c>
      <c r="AP365" s="7" t="n">
        <v>-0.247</v>
      </c>
      <c r="AQ365" s="7" t="n">
        <v>-0.096</v>
      </c>
    </row>
    <row r="366" customFormat="false" ht="15" hidden="false" customHeight="false" outlineLevel="0" collapsed="false">
      <c r="A366" s="23" t="n">
        <v>46683</v>
      </c>
      <c r="B366" s="7" t="n">
        <v>0.039</v>
      </c>
      <c r="C366" s="7" t="n">
        <v>0.85</v>
      </c>
      <c r="D366" s="7" t="n">
        <v>-0.471</v>
      </c>
      <c r="E366" s="7" t="n">
        <v>-0.359</v>
      </c>
      <c r="F366" s="7" t="n">
        <v>0.101</v>
      </c>
      <c r="G366" s="7" t="n">
        <v>-0.103</v>
      </c>
      <c r="H366" s="7" t="n">
        <v>0.64</v>
      </c>
      <c r="I366" s="7" t="n">
        <v>0.461</v>
      </c>
      <c r="J366" s="7" t="n">
        <v>-0.172</v>
      </c>
      <c r="K366" s="7" t="n">
        <v>-0.098</v>
      </c>
      <c r="L366" s="7" t="n">
        <v>-0.248</v>
      </c>
      <c r="M366" s="7" t="n">
        <v>-0.554</v>
      </c>
      <c r="N366" s="7" t="n">
        <v>-0.173</v>
      </c>
      <c r="O366" s="7" t="n">
        <v>-0.173</v>
      </c>
      <c r="P366" s="7" t="n">
        <v>-0.553</v>
      </c>
      <c r="Q366" s="7" t="n">
        <v>-0.189</v>
      </c>
      <c r="R366" s="7" t="n">
        <v>0.515</v>
      </c>
      <c r="S366" s="7" t="n">
        <v>-0.08</v>
      </c>
      <c r="T366" s="7" t="n">
        <v>0.719</v>
      </c>
      <c r="U366" s="7" t="n">
        <v>-0.28</v>
      </c>
      <c r="V366" s="7" t="n">
        <v>0.556</v>
      </c>
      <c r="W366" s="7" t="n">
        <v>0</v>
      </c>
      <c r="X366" s="7" t="n">
        <v>-0.406</v>
      </c>
      <c r="Y366" s="7" t="n">
        <v>-0.175</v>
      </c>
      <c r="Z366" s="7" t="n">
        <v>-0.08</v>
      </c>
      <c r="AA366" s="7" t="n">
        <v>0.761</v>
      </c>
      <c r="AB366" s="7" t="n">
        <v>-0.393</v>
      </c>
      <c r="AC366" s="7" t="n">
        <v>-0.054</v>
      </c>
      <c r="AD366" s="7" t="n">
        <v>-0.471</v>
      </c>
      <c r="AE366" s="7" t="n">
        <v>-0.054</v>
      </c>
      <c r="AF366" s="7" t="n">
        <v>-0.336</v>
      </c>
      <c r="AG366" s="7" t="n">
        <v>-0.122</v>
      </c>
      <c r="AH366" s="7" t="n">
        <v>-0.054</v>
      </c>
      <c r="AI366" s="7" t="n">
        <v>-0.248</v>
      </c>
      <c r="AJ366" s="7" t="n">
        <v>0.397</v>
      </c>
      <c r="AK366" s="7" t="n">
        <v>0.691</v>
      </c>
      <c r="AL366" s="7" t="n">
        <v>-0.493</v>
      </c>
      <c r="AM366" s="7" t="n">
        <v>-0.197</v>
      </c>
      <c r="AN366" s="7" t="n">
        <v>0.551</v>
      </c>
      <c r="AO366" s="7" t="n">
        <v>0</v>
      </c>
      <c r="AP366" s="7" t="n">
        <v>0</v>
      </c>
      <c r="AQ366" s="7" t="n">
        <v>-0.054</v>
      </c>
    </row>
    <row r="367" customFormat="false" ht="15" hidden="false" customHeight="false" outlineLevel="0" collapsed="false">
      <c r="A367" s="23" t="n">
        <v>46684</v>
      </c>
      <c r="B367" s="7" t="n">
        <v>0.416</v>
      </c>
      <c r="C367" s="7" t="n">
        <v>0.704</v>
      </c>
      <c r="D367" s="7" t="n">
        <v>-0.468</v>
      </c>
      <c r="E367" s="7" t="n">
        <v>0.821</v>
      </c>
      <c r="F367" s="7" t="n">
        <v>0.85</v>
      </c>
      <c r="G367" s="7" t="n">
        <v>-0.422</v>
      </c>
      <c r="H367" s="7" t="n">
        <v>-0.402</v>
      </c>
      <c r="I367" s="7" t="n">
        <v>-0.838</v>
      </c>
      <c r="J367" s="7" t="n">
        <v>-0.494</v>
      </c>
      <c r="K367" s="7" t="n">
        <v>0.948</v>
      </c>
      <c r="L367" s="7" t="n">
        <v>0.472</v>
      </c>
      <c r="M367" s="7" t="n">
        <v>-0.554</v>
      </c>
      <c r="N367" s="7" t="n">
        <v>0.657</v>
      </c>
      <c r="O367" s="7" t="n">
        <v>0.543</v>
      </c>
      <c r="P367" s="7" t="n">
        <v>-0.561</v>
      </c>
      <c r="Q367" s="7" t="n">
        <v>-0.182</v>
      </c>
      <c r="R367" s="7" t="n">
        <v>-0.402</v>
      </c>
      <c r="S367" s="7" t="n">
        <v>0.863</v>
      </c>
      <c r="T367" s="7" t="n">
        <v>-0.112</v>
      </c>
      <c r="U367" s="7" t="n">
        <v>-0.465</v>
      </c>
      <c r="V367" s="7" t="n">
        <v>-0.575</v>
      </c>
      <c r="W367" s="7" t="n">
        <v>0</v>
      </c>
      <c r="X367" s="7" t="n">
        <v>-0.422</v>
      </c>
      <c r="Y367" s="7" t="n">
        <v>-0.465</v>
      </c>
      <c r="Z367" s="7" t="n">
        <v>0.964</v>
      </c>
      <c r="AA367" s="7" t="n">
        <v>0.024</v>
      </c>
      <c r="AB367" s="7" t="n">
        <v>-0.817</v>
      </c>
      <c r="AC367" s="7" t="n">
        <v>-0.048</v>
      </c>
      <c r="AD367" s="7" t="n">
        <v>0.613</v>
      </c>
      <c r="AE367" s="7" t="n">
        <v>0.85</v>
      </c>
      <c r="AF367" s="7" t="n">
        <v>-0.075</v>
      </c>
      <c r="AG367" s="7" t="n">
        <v>-0.422</v>
      </c>
      <c r="AH367" s="7" t="n">
        <v>-0.054</v>
      </c>
      <c r="AI367" s="7" t="n">
        <v>-0.546</v>
      </c>
      <c r="AJ367" s="7" t="n">
        <v>-0.758</v>
      </c>
      <c r="AK367" s="7" t="n">
        <v>-0.493</v>
      </c>
      <c r="AL367" s="7" t="n">
        <v>-0.502</v>
      </c>
      <c r="AM367" s="7" t="n">
        <v>-0.511</v>
      </c>
      <c r="AN367" s="7" t="n">
        <v>-0.402</v>
      </c>
      <c r="AO367" s="7" t="n">
        <v>0.809</v>
      </c>
      <c r="AP367" s="7" t="n">
        <v>0.809</v>
      </c>
      <c r="AQ367" s="7" t="n">
        <v>-0.048</v>
      </c>
    </row>
    <row r="368" customFormat="false" ht="15" hidden="false" customHeight="false" outlineLevel="0" collapsed="false">
      <c r="A368" s="23" t="n">
        <v>46685</v>
      </c>
      <c r="B368" s="7" t="n">
        <v>-0.129</v>
      </c>
      <c r="C368" s="7" t="n">
        <v>0.035</v>
      </c>
      <c r="D368" s="7" t="n">
        <v>-0.363</v>
      </c>
      <c r="E368" s="7" t="n">
        <v>0.07</v>
      </c>
      <c r="F368" s="7" t="n">
        <v>-0.033</v>
      </c>
      <c r="G368" s="7" t="n">
        <v>-0.253</v>
      </c>
      <c r="H368" s="7" t="n">
        <v>-0.366</v>
      </c>
      <c r="I368" s="7" t="n">
        <v>-0.168</v>
      </c>
      <c r="J368" s="7" t="n">
        <v>0.084</v>
      </c>
      <c r="K368" s="7" t="n">
        <v>-0.244</v>
      </c>
      <c r="L368" s="7" t="n">
        <v>0.008</v>
      </c>
      <c r="M368" s="7" t="n">
        <v>-0.296</v>
      </c>
      <c r="N368" s="7" t="n">
        <v>-0.031</v>
      </c>
      <c r="O368" s="7" t="n">
        <v>-0.031</v>
      </c>
      <c r="P368" s="7" t="n">
        <v>-0.558</v>
      </c>
      <c r="Q368" s="7" t="n">
        <v>-0.187</v>
      </c>
      <c r="R368" s="7" t="n">
        <v>-0.232</v>
      </c>
      <c r="S368" s="7" t="n">
        <v>0.5</v>
      </c>
      <c r="T368" s="7" t="n">
        <v>0.222</v>
      </c>
      <c r="U368" s="7" t="n">
        <v>0.202</v>
      </c>
      <c r="V368" s="7" t="n">
        <v>-0.366</v>
      </c>
      <c r="W368" s="7" t="n">
        <v>0</v>
      </c>
      <c r="X368" s="7" t="n">
        <v>-0.414</v>
      </c>
      <c r="Y368" s="7" t="n">
        <v>0.027</v>
      </c>
      <c r="Z368" s="7" t="n">
        <v>0.07</v>
      </c>
      <c r="AA368" s="7" t="n">
        <v>0.211</v>
      </c>
      <c r="AB368" s="7" t="n">
        <v>0.084</v>
      </c>
      <c r="AC368" s="7" t="n">
        <v>-0.054</v>
      </c>
      <c r="AD368" s="7" t="n">
        <v>-0.363</v>
      </c>
      <c r="AE368" s="7" t="n">
        <v>-0.031</v>
      </c>
      <c r="AF368" s="7" t="n">
        <v>-0.054</v>
      </c>
      <c r="AG368" s="7" t="n">
        <v>-0.422</v>
      </c>
      <c r="AH368" s="7" t="n">
        <v>0.406</v>
      </c>
      <c r="AI368" s="7" t="n">
        <v>0.008</v>
      </c>
      <c r="AJ368" s="7" t="n">
        <v>-0.311</v>
      </c>
      <c r="AK368" s="7" t="n">
        <v>0.128</v>
      </c>
      <c r="AL368" s="7" t="n">
        <v>-0.095</v>
      </c>
      <c r="AM368" s="7" t="n">
        <v>0.062</v>
      </c>
      <c r="AN368" s="7" t="n">
        <v>-0.366</v>
      </c>
      <c r="AO368" s="7" t="n">
        <v>0.45</v>
      </c>
      <c r="AP368" s="7" t="n">
        <v>0</v>
      </c>
      <c r="AQ368" s="7" t="n">
        <v>-0.054</v>
      </c>
    </row>
    <row r="369" customFormat="false" ht="15" hidden="false" customHeight="false" outlineLevel="0" collapsed="false">
      <c r="A369" s="23" t="n">
        <v>46686</v>
      </c>
      <c r="B369" s="7" t="n">
        <v>-0.179</v>
      </c>
      <c r="C369" s="7" t="n">
        <v>0.007</v>
      </c>
      <c r="D369" s="7" t="n">
        <v>-0.363</v>
      </c>
      <c r="E369" s="7" t="n">
        <v>0.07</v>
      </c>
      <c r="F369" s="7" t="n">
        <v>0.041</v>
      </c>
      <c r="G369" s="7" t="n">
        <v>-0.023</v>
      </c>
      <c r="H369" s="7" t="n">
        <v>-0.359</v>
      </c>
      <c r="I369" s="7" t="n">
        <v>-0.287</v>
      </c>
      <c r="J369" s="7" t="n">
        <v>0.158</v>
      </c>
      <c r="K369" s="7" t="n">
        <v>-0.148</v>
      </c>
      <c r="L369" s="7" t="n">
        <v>-0.696</v>
      </c>
      <c r="M369" s="7" t="n">
        <v>-0.244</v>
      </c>
      <c r="N369" s="7" t="n">
        <v>-0.055</v>
      </c>
      <c r="O369" s="7" t="n">
        <v>-0.328</v>
      </c>
      <c r="P369" s="7" t="n">
        <v>-0.803</v>
      </c>
      <c r="Q369" s="7" t="n">
        <v>-0.791</v>
      </c>
      <c r="R369" s="7" t="n">
        <v>-0.359</v>
      </c>
      <c r="S369" s="7" t="n">
        <v>0.07</v>
      </c>
      <c r="T369" s="7" t="n">
        <v>-0.06</v>
      </c>
      <c r="U369" s="7" t="n">
        <v>-0.021</v>
      </c>
      <c r="V369" s="7" t="n">
        <v>-0.359</v>
      </c>
      <c r="W369" s="7" t="n">
        <v>-0.395</v>
      </c>
      <c r="X369" s="7" t="n">
        <v>-0.422</v>
      </c>
      <c r="Y369" s="7" t="n">
        <v>0.382</v>
      </c>
      <c r="Z369" s="7" t="n">
        <v>0.07</v>
      </c>
      <c r="AA369" s="7" t="n">
        <v>0.075</v>
      </c>
      <c r="AB369" s="7" t="n">
        <v>0.158</v>
      </c>
      <c r="AC369" s="7" t="n">
        <v>-0.735</v>
      </c>
      <c r="AD369" s="7" t="n">
        <v>-0.363</v>
      </c>
      <c r="AE369" s="7" t="n">
        <v>-0.055</v>
      </c>
      <c r="AF369" s="7" t="n">
        <v>-0.247</v>
      </c>
      <c r="AG369" s="7" t="n">
        <v>-0.422</v>
      </c>
      <c r="AH369" s="7" t="n">
        <v>0.557</v>
      </c>
      <c r="AI369" s="7" t="n">
        <v>-0.415</v>
      </c>
      <c r="AJ369" s="7" t="n">
        <v>-0.287</v>
      </c>
      <c r="AK369" s="7" t="n">
        <v>0.153</v>
      </c>
      <c r="AL369" s="7" t="n">
        <v>-0.399</v>
      </c>
      <c r="AM369" s="7" t="n">
        <v>0.079</v>
      </c>
      <c r="AN369" s="7" t="n">
        <v>-0.359</v>
      </c>
      <c r="AO369" s="7" t="n">
        <v>0.589</v>
      </c>
      <c r="AP369" s="7" t="n">
        <v>0</v>
      </c>
      <c r="AQ369" s="7" t="n">
        <v>-0.479</v>
      </c>
    </row>
  </sheetData>
  <conditionalFormatting sqref="B5:AQ369">
    <cfRule type="expression" priority="2" aboveAverage="0" equalAverage="0" bottom="0" percent="0" rank="0" text="" dxfId="0">
      <formula>AND(ISNUMBER(B5),B5&gt;Settings!$C$4)</formula>
    </cfRule>
    <cfRule type="expression" priority="3" aboveAverage="0" equalAverage="0" bottom="0" percent="0" rank="0" text="" dxfId="1">
      <formula>AND(ISNUMBER(B5),B5&lt;-Settings!$C$4)</formula>
    </cfRule>
    <cfRule type="expression" priority="4" aboveAverage="0" equalAverage="0" bottom="0" percent="0" rank="0" text="" dxfId="2">
      <formula>AND(ISNUMBER(B5),ABS(B5)&lt;=Settings!$C$4)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3" min="2" style="0" width="9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215</v>
      </c>
    </row>
    <row r="4" customFormat="false" ht="64.9" hidden="false" customHeight="false" outlineLevel="0" collapsed="false">
      <c r="A4" s="5" t="s">
        <v>139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34</v>
      </c>
      <c r="S4" s="5" t="s">
        <v>35</v>
      </c>
      <c r="T4" s="5" t="s">
        <v>36</v>
      </c>
      <c r="U4" s="5" t="s">
        <v>37</v>
      </c>
      <c r="V4" s="5" t="s">
        <v>38</v>
      </c>
      <c r="W4" s="5" t="s">
        <v>39</v>
      </c>
      <c r="X4" s="5" t="s">
        <v>40</v>
      </c>
      <c r="Y4" s="5" t="s">
        <v>41</v>
      </c>
      <c r="Z4" s="5" t="s">
        <v>42</v>
      </c>
      <c r="AA4" s="5" t="s">
        <v>43</v>
      </c>
      <c r="AB4" s="5" t="s">
        <v>44</v>
      </c>
      <c r="AC4" s="5" t="s">
        <v>45</v>
      </c>
      <c r="AD4" s="5" t="s">
        <v>46</v>
      </c>
      <c r="AE4" s="5" t="s">
        <v>47</v>
      </c>
      <c r="AF4" s="5" t="s">
        <v>48</v>
      </c>
      <c r="AG4" s="5" t="s">
        <v>49</v>
      </c>
      <c r="AH4" s="5" t="s">
        <v>50</v>
      </c>
      <c r="AI4" s="5" t="s">
        <v>51</v>
      </c>
      <c r="AJ4" s="5" t="s">
        <v>52</v>
      </c>
      <c r="AK4" s="5" t="s">
        <v>53</v>
      </c>
      <c r="AL4" s="5" t="s">
        <v>54</v>
      </c>
      <c r="AM4" s="5" t="s">
        <v>55</v>
      </c>
      <c r="AN4" s="5" t="s">
        <v>56</v>
      </c>
      <c r="AO4" s="5" t="s">
        <v>57</v>
      </c>
      <c r="AP4" s="5" t="s">
        <v>58</v>
      </c>
      <c r="AQ4" s="5" t="s">
        <v>59</v>
      </c>
    </row>
    <row r="5" customFormat="false" ht="15" hidden="false" customHeight="false" outlineLevel="0" collapsed="false">
      <c r="A5" s="23" t="n">
        <v>46322</v>
      </c>
      <c r="B5" s="7" t="n">
        <v>0.203</v>
      </c>
      <c r="C5" s="7" t="n">
        <v>0.142</v>
      </c>
      <c r="D5" s="7" t="n">
        <v>0.032</v>
      </c>
      <c r="E5" s="7" t="n">
        <v>0.032</v>
      </c>
      <c r="F5" s="7" t="n">
        <v>0.146</v>
      </c>
      <c r="G5" s="7" t="n">
        <v>0.032</v>
      </c>
      <c r="H5" s="7" t="n">
        <v>0.097</v>
      </c>
      <c r="I5" s="7" t="n">
        <v>0.233</v>
      </c>
      <c r="J5" s="7" t="n">
        <v>0.032</v>
      </c>
      <c r="K5" s="7" t="n">
        <v>0.032</v>
      </c>
      <c r="L5" s="7" t="n">
        <v>-0.047</v>
      </c>
      <c r="M5" s="7" t="n">
        <v>0.032</v>
      </c>
      <c r="N5" s="7" t="n">
        <v>0.284</v>
      </c>
      <c r="O5" s="7" t="n">
        <v>0.127</v>
      </c>
      <c r="P5" s="7" t="n">
        <v>-0.182</v>
      </c>
      <c r="Q5" s="7" t="n">
        <v>-0.202</v>
      </c>
      <c r="R5" s="7" t="n">
        <v>0.052</v>
      </c>
      <c r="S5" s="7" t="n">
        <v>0.032</v>
      </c>
      <c r="T5" s="7" t="n">
        <v>0.032</v>
      </c>
      <c r="U5" s="7" t="n">
        <v>-0.121</v>
      </c>
      <c r="V5" s="7" t="n">
        <v>0.097</v>
      </c>
      <c r="W5" s="7" t="n">
        <v>-0.202</v>
      </c>
      <c r="X5" s="7" t="n">
        <v>0.032</v>
      </c>
      <c r="Y5" s="7" t="n">
        <v>0.021</v>
      </c>
      <c r="Z5" s="7" t="n">
        <v>0.032</v>
      </c>
      <c r="AA5" s="7" t="n">
        <v>0.052</v>
      </c>
      <c r="AB5" s="7" t="n">
        <v>0.184</v>
      </c>
      <c r="AC5" s="7" t="n">
        <v>-0.202</v>
      </c>
      <c r="AD5" s="7" t="n">
        <v>0.424</v>
      </c>
      <c r="AE5" s="7" t="n">
        <v>0.146</v>
      </c>
      <c r="AF5" s="7" t="n">
        <v>0.152</v>
      </c>
      <c r="AG5" s="7" t="n">
        <v>0.032</v>
      </c>
      <c r="AH5" s="7" t="n">
        <v>0.642</v>
      </c>
      <c r="AI5" s="7" t="n">
        <v>-0.056</v>
      </c>
      <c r="AJ5" s="7" t="n">
        <v>0.134</v>
      </c>
      <c r="AK5" s="7" t="n">
        <v>0.142</v>
      </c>
      <c r="AL5" s="7" t="n">
        <v>-0.213</v>
      </c>
      <c r="AM5" s="7" t="n">
        <v>0.154</v>
      </c>
      <c r="AN5" s="7" t="n">
        <v>0</v>
      </c>
      <c r="AO5" s="7" t="n">
        <v>0</v>
      </c>
      <c r="AP5" s="7" t="n">
        <v>0</v>
      </c>
      <c r="AQ5" s="7" t="n">
        <v>-0.213</v>
      </c>
    </row>
    <row r="6" customFormat="false" ht="15" hidden="false" customHeight="false" outlineLevel="0" collapsed="false">
      <c r="A6" s="23" t="n">
        <v>46323</v>
      </c>
      <c r="B6" s="7" t="n">
        <v>0.143</v>
      </c>
      <c r="C6" s="7" t="n">
        <v>0.128</v>
      </c>
      <c r="D6" s="7" t="n">
        <v>0.026</v>
      </c>
      <c r="E6" s="7" t="n">
        <v>0.026</v>
      </c>
      <c r="F6" s="7" t="n">
        <v>0.104</v>
      </c>
      <c r="G6" s="7" t="n">
        <v>0.026</v>
      </c>
      <c r="H6" s="7" t="n">
        <v>0.075</v>
      </c>
      <c r="I6" s="7" t="n">
        <v>0.154</v>
      </c>
      <c r="J6" s="7" t="n">
        <v>0.026</v>
      </c>
      <c r="K6" s="7" t="n">
        <v>0.026</v>
      </c>
      <c r="L6" s="7" t="n">
        <v>-0.067</v>
      </c>
      <c r="M6" s="7" t="n">
        <v>0.026</v>
      </c>
      <c r="N6" s="7" t="n">
        <v>0.179</v>
      </c>
      <c r="O6" s="7" t="n">
        <v>-0.018</v>
      </c>
      <c r="P6" s="7" t="n">
        <v>-0.177</v>
      </c>
      <c r="Q6" s="7" t="n">
        <v>-0.158</v>
      </c>
      <c r="R6" s="7" t="n">
        <v>0.004</v>
      </c>
      <c r="S6" s="7" t="n">
        <v>0.026</v>
      </c>
      <c r="T6" s="7" t="n">
        <v>0.026</v>
      </c>
      <c r="U6" s="7" t="n">
        <v>-0.097</v>
      </c>
      <c r="V6" s="7" t="n">
        <v>0.08</v>
      </c>
      <c r="W6" s="7" t="n">
        <v>-0.158</v>
      </c>
      <c r="X6" s="7" t="n">
        <v>0.026</v>
      </c>
      <c r="Y6" s="7" t="n">
        <v>-0.011</v>
      </c>
      <c r="Z6" s="7" t="n">
        <v>0.026</v>
      </c>
      <c r="AA6" s="7" t="n">
        <v>0.004</v>
      </c>
      <c r="AB6" s="7" t="n">
        <v>0.113</v>
      </c>
      <c r="AC6" s="7" t="n">
        <v>-0.158</v>
      </c>
      <c r="AD6" s="7" t="n">
        <v>0.417</v>
      </c>
      <c r="AE6" s="7" t="n">
        <v>0.104</v>
      </c>
      <c r="AF6" s="7" t="n">
        <v>0.198</v>
      </c>
      <c r="AG6" s="7" t="n">
        <v>0.026</v>
      </c>
      <c r="AH6" s="7" t="n">
        <v>0.628</v>
      </c>
      <c r="AI6" s="7" t="n">
        <v>-0.109</v>
      </c>
      <c r="AJ6" s="7" t="n">
        <v>0.073</v>
      </c>
      <c r="AK6" s="7" t="n">
        <v>0.079</v>
      </c>
      <c r="AL6" s="7" t="n">
        <v>-0.202</v>
      </c>
      <c r="AM6" s="7" t="n">
        <v>0.088</v>
      </c>
      <c r="AN6" s="7" t="n">
        <v>0</v>
      </c>
      <c r="AO6" s="7" t="n">
        <v>0</v>
      </c>
      <c r="AP6" s="7" t="n">
        <v>0</v>
      </c>
      <c r="AQ6" s="7" t="n">
        <v>-0.202</v>
      </c>
    </row>
    <row r="7" customFormat="false" ht="15" hidden="false" customHeight="false" outlineLevel="0" collapsed="false">
      <c r="A7" s="23" t="n">
        <v>46324</v>
      </c>
      <c r="B7" s="7" t="n">
        <v>0.092</v>
      </c>
      <c r="C7" s="7" t="n">
        <v>0.12</v>
      </c>
      <c r="D7" s="7" t="n">
        <v>0.021</v>
      </c>
      <c r="E7" s="7" t="n">
        <v>0.021</v>
      </c>
      <c r="F7" s="7" t="n">
        <v>0.071</v>
      </c>
      <c r="G7" s="7" t="n">
        <v>0.021</v>
      </c>
      <c r="H7" s="7" t="n">
        <v>0.047</v>
      </c>
      <c r="I7" s="7" t="n">
        <v>0.087</v>
      </c>
      <c r="J7" s="7" t="n">
        <v>0.021</v>
      </c>
      <c r="K7" s="7" t="n">
        <v>0.021</v>
      </c>
      <c r="L7" s="7" t="n">
        <v>-0.085</v>
      </c>
      <c r="M7" s="7" t="n">
        <v>0.021</v>
      </c>
      <c r="N7" s="7" t="n">
        <v>0.08</v>
      </c>
      <c r="O7" s="7" t="n">
        <v>-0.162</v>
      </c>
      <c r="P7" s="7" t="n">
        <v>-0.167</v>
      </c>
      <c r="Q7" s="7" t="n">
        <v>-0.108</v>
      </c>
      <c r="R7" s="7" t="n">
        <v>-0.048</v>
      </c>
      <c r="S7" s="7" t="n">
        <v>0.021</v>
      </c>
      <c r="T7" s="7" t="n">
        <v>0.021</v>
      </c>
      <c r="U7" s="7" t="n">
        <v>-0.068</v>
      </c>
      <c r="V7" s="7" t="n">
        <v>0.079</v>
      </c>
      <c r="W7" s="7" t="n">
        <v>-0.108</v>
      </c>
      <c r="X7" s="7" t="n">
        <v>0.021</v>
      </c>
      <c r="Y7" s="7" t="n">
        <v>-0.045</v>
      </c>
      <c r="Z7" s="7" t="n">
        <v>0.021</v>
      </c>
      <c r="AA7" s="7" t="n">
        <v>-0.048</v>
      </c>
      <c r="AB7" s="7" t="n">
        <v>0.039</v>
      </c>
      <c r="AC7" s="7" t="n">
        <v>-0.108</v>
      </c>
      <c r="AD7" s="7" t="n">
        <v>0.411</v>
      </c>
      <c r="AE7" s="7" t="n">
        <v>0.071</v>
      </c>
      <c r="AF7" s="7" t="n">
        <v>0.253</v>
      </c>
      <c r="AG7" s="7" t="n">
        <v>0.021</v>
      </c>
      <c r="AH7" s="7" t="n">
        <v>0.613</v>
      </c>
      <c r="AI7" s="7" t="n">
        <v>-0.16</v>
      </c>
      <c r="AJ7" s="7" t="n">
        <v>0.01</v>
      </c>
      <c r="AK7" s="7" t="n">
        <v>0.014</v>
      </c>
      <c r="AL7" s="7" t="n">
        <v>-0.187</v>
      </c>
      <c r="AM7" s="7" t="n">
        <v>0.02</v>
      </c>
      <c r="AN7" s="7" t="n">
        <v>0</v>
      </c>
      <c r="AO7" s="7" t="n">
        <v>0</v>
      </c>
      <c r="AP7" s="7" t="n">
        <v>0</v>
      </c>
      <c r="AQ7" s="7" t="n">
        <v>-0.187</v>
      </c>
    </row>
    <row r="8" customFormat="false" ht="15" hidden="false" customHeight="false" outlineLevel="0" collapsed="false">
      <c r="A8" s="23" t="n">
        <v>46325</v>
      </c>
      <c r="B8" s="7" t="n">
        <v>0.042</v>
      </c>
      <c r="C8" s="7" t="n">
        <v>0.114</v>
      </c>
      <c r="D8" s="7" t="n">
        <v>0.015</v>
      </c>
      <c r="E8" s="7" t="n">
        <v>0.015</v>
      </c>
      <c r="F8" s="7" t="n">
        <v>0.043</v>
      </c>
      <c r="G8" s="7" t="n">
        <v>0.015</v>
      </c>
      <c r="H8" s="7" t="n">
        <v>0.013</v>
      </c>
      <c r="I8" s="7" t="n">
        <v>0.015</v>
      </c>
      <c r="J8" s="7" t="n">
        <v>0.015</v>
      </c>
      <c r="K8" s="7" t="n">
        <v>0.015</v>
      </c>
      <c r="L8" s="7" t="n">
        <v>-0.1</v>
      </c>
      <c r="M8" s="7" t="n">
        <v>0.015</v>
      </c>
      <c r="N8" s="7" t="n">
        <v>-0.015</v>
      </c>
      <c r="O8" s="7" t="n">
        <v>-0.305</v>
      </c>
      <c r="P8" s="7" t="n">
        <v>-0.151</v>
      </c>
      <c r="Q8" s="7" t="n">
        <v>-0.053</v>
      </c>
      <c r="R8" s="7" t="n">
        <v>-0.105</v>
      </c>
      <c r="S8" s="7" t="n">
        <v>0.015</v>
      </c>
      <c r="T8" s="7" t="n">
        <v>0.015</v>
      </c>
      <c r="U8" s="7" t="n">
        <v>-0.036</v>
      </c>
      <c r="V8" s="7" t="n">
        <v>0.075</v>
      </c>
      <c r="W8" s="7" t="n">
        <v>-0.053</v>
      </c>
      <c r="X8" s="7" t="n">
        <v>0.015</v>
      </c>
      <c r="Y8" s="7" t="n">
        <v>-0.081</v>
      </c>
      <c r="Z8" s="7" t="n">
        <v>0.015</v>
      </c>
      <c r="AA8" s="7" t="n">
        <v>-0.105</v>
      </c>
      <c r="AB8" s="7" t="n">
        <v>-0.037</v>
      </c>
      <c r="AC8" s="7" t="n">
        <v>-0.053</v>
      </c>
      <c r="AD8" s="7" t="n">
        <v>0.403</v>
      </c>
      <c r="AE8" s="7" t="n">
        <v>0.043</v>
      </c>
      <c r="AF8" s="7" t="n">
        <v>0.312</v>
      </c>
      <c r="AG8" s="7" t="n">
        <v>0.015</v>
      </c>
      <c r="AH8" s="7" t="n">
        <v>0.598</v>
      </c>
      <c r="AI8" s="7" t="n">
        <v>-0.209</v>
      </c>
      <c r="AJ8" s="7" t="n">
        <v>-0.056</v>
      </c>
      <c r="AK8" s="7" t="n">
        <v>-0.054</v>
      </c>
      <c r="AL8" s="7" t="n">
        <v>-0.166</v>
      </c>
      <c r="AM8" s="7" t="n">
        <v>-0.05</v>
      </c>
      <c r="AN8" s="7" t="n">
        <v>0</v>
      </c>
      <c r="AO8" s="7" t="n">
        <v>0</v>
      </c>
      <c r="AP8" s="7" t="n">
        <v>0</v>
      </c>
      <c r="AQ8" s="7" t="n">
        <v>-0.166</v>
      </c>
    </row>
    <row r="9" customFormat="false" ht="15" hidden="false" customHeight="false" outlineLevel="0" collapsed="false">
      <c r="A9" s="23" t="n">
        <v>46326</v>
      </c>
      <c r="B9" s="7" t="n">
        <v>0.06</v>
      </c>
      <c r="C9" s="7" t="n">
        <v>0.176</v>
      </c>
      <c r="D9" s="7" t="n">
        <v>0.009</v>
      </c>
      <c r="E9" s="7" t="n">
        <v>0.074</v>
      </c>
      <c r="F9" s="7" t="n">
        <v>0.11</v>
      </c>
      <c r="G9" s="7" t="n">
        <v>0.009</v>
      </c>
      <c r="H9" s="7" t="n">
        <v>-0.024</v>
      </c>
      <c r="I9" s="7" t="n">
        <v>-0.122</v>
      </c>
      <c r="J9" s="7" t="n">
        <v>0.009</v>
      </c>
      <c r="K9" s="7" t="n">
        <v>0.009</v>
      </c>
      <c r="L9" s="7" t="n">
        <v>0.025</v>
      </c>
      <c r="M9" s="7" t="n">
        <v>0.074</v>
      </c>
      <c r="N9" s="7" t="n">
        <v>-0.031</v>
      </c>
      <c r="O9" s="7" t="n">
        <v>-0.387</v>
      </c>
      <c r="P9" s="7" t="n">
        <v>-0.107</v>
      </c>
      <c r="Q9" s="7" t="n">
        <v>0.127</v>
      </c>
      <c r="R9" s="7" t="n">
        <v>-0.165</v>
      </c>
      <c r="S9" s="7" t="n">
        <v>0.074</v>
      </c>
      <c r="T9" s="7" t="n">
        <v>0.009</v>
      </c>
      <c r="U9" s="7" t="n">
        <v>0.102</v>
      </c>
      <c r="V9" s="7" t="n">
        <v>0.029</v>
      </c>
      <c r="W9" s="7" t="n">
        <v>0.127</v>
      </c>
      <c r="X9" s="7" t="n">
        <v>0.009</v>
      </c>
      <c r="Y9" s="7" t="n">
        <v>-0.103</v>
      </c>
      <c r="Z9" s="7" t="n">
        <v>0.074</v>
      </c>
      <c r="AA9" s="7" t="n">
        <v>-0.165</v>
      </c>
      <c r="AB9" s="7" t="n">
        <v>-0.14</v>
      </c>
      <c r="AC9" s="7" t="n">
        <v>0.127</v>
      </c>
      <c r="AD9" s="7" t="n">
        <v>0.42</v>
      </c>
      <c r="AE9" s="7" t="n">
        <v>0.11</v>
      </c>
      <c r="AF9" s="7" t="n">
        <v>0.406</v>
      </c>
      <c r="AG9" s="7" t="n">
        <v>0.009</v>
      </c>
      <c r="AH9" s="7" t="n">
        <v>0.584</v>
      </c>
      <c r="AI9" s="7" t="n">
        <v>-0.26</v>
      </c>
      <c r="AJ9" s="7" t="n">
        <v>-0.153</v>
      </c>
      <c r="AK9" s="7" t="n">
        <v>-0.151</v>
      </c>
      <c r="AL9" s="7" t="n">
        <v>-0.116</v>
      </c>
      <c r="AM9" s="7" t="n">
        <v>-0.149</v>
      </c>
      <c r="AN9" s="7" t="n">
        <v>0</v>
      </c>
      <c r="AO9" s="7" t="n">
        <v>0.065</v>
      </c>
      <c r="AP9" s="7" t="n">
        <v>0.065</v>
      </c>
      <c r="AQ9" s="7" t="n">
        <v>-0.116</v>
      </c>
    </row>
    <row r="10" customFormat="false" ht="15" hidden="false" customHeight="false" outlineLevel="0" collapsed="false">
      <c r="A10" s="23" t="n">
        <v>46327</v>
      </c>
      <c r="B10" s="7" t="n">
        <v>0.06</v>
      </c>
      <c r="C10" s="7" t="n">
        <v>0.176</v>
      </c>
      <c r="D10" s="7" t="n">
        <v>0.009</v>
      </c>
      <c r="E10" s="7" t="n">
        <v>0.074</v>
      </c>
      <c r="F10" s="7" t="n">
        <v>0.11</v>
      </c>
      <c r="G10" s="7" t="n">
        <v>0.009</v>
      </c>
      <c r="H10" s="7" t="n">
        <v>-0.024</v>
      </c>
      <c r="I10" s="7" t="n">
        <v>-0.122</v>
      </c>
      <c r="J10" s="7" t="n">
        <v>0.009</v>
      </c>
      <c r="K10" s="7" t="n">
        <v>0.009</v>
      </c>
      <c r="L10" s="7" t="n">
        <v>0.025</v>
      </c>
      <c r="M10" s="7" t="n">
        <v>0.074</v>
      </c>
      <c r="N10" s="7" t="n">
        <v>-0.031</v>
      </c>
      <c r="O10" s="7" t="n">
        <v>-0.387</v>
      </c>
      <c r="P10" s="7" t="n">
        <v>-0.107</v>
      </c>
      <c r="Q10" s="7" t="n">
        <v>0.127</v>
      </c>
      <c r="R10" s="7" t="n">
        <v>-0.165</v>
      </c>
      <c r="S10" s="7" t="n">
        <v>0.074</v>
      </c>
      <c r="T10" s="7" t="n">
        <v>0.009</v>
      </c>
      <c r="U10" s="7" t="n">
        <v>0.102</v>
      </c>
      <c r="V10" s="7" t="n">
        <v>0.029</v>
      </c>
      <c r="W10" s="7" t="n">
        <v>0.127</v>
      </c>
      <c r="X10" s="7" t="n">
        <v>0.009</v>
      </c>
      <c r="Y10" s="7" t="n">
        <v>-0.103</v>
      </c>
      <c r="Z10" s="7" t="n">
        <v>0.074</v>
      </c>
      <c r="AA10" s="7" t="n">
        <v>-0.165</v>
      </c>
      <c r="AB10" s="7" t="n">
        <v>-0.14</v>
      </c>
      <c r="AC10" s="7" t="n">
        <v>0.127</v>
      </c>
      <c r="AD10" s="7" t="n">
        <v>0.42</v>
      </c>
      <c r="AE10" s="7" t="n">
        <v>0.11</v>
      </c>
      <c r="AF10" s="7" t="n">
        <v>0.406</v>
      </c>
      <c r="AG10" s="7" t="n">
        <v>0.009</v>
      </c>
      <c r="AH10" s="7" t="n">
        <v>0.584</v>
      </c>
      <c r="AI10" s="7" t="n">
        <v>-0.26</v>
      </c>
      <c r="AJ10" s="7" t="n">
        <v>-0.153</v>
      </c>
      <c r="AK10" s="7" t="n">
        <v>-0.151</v>
      </c>
      <c r="AL10" s="7" t="n">
        <v>-0.116</v>
      </c>
      <c r="AM10" s="7" t="n">
        <v>-0.149</v>
      </c>
      <c r="AN10" s="7" t="n">
        <v>0</v>
      </c>
      <c r="AO10" s="7" t="n">
        <v>0.065</v>
      </c>
      <c r="AP10" s="7" t="n">
        <v>0.065</v>
      </c>
      <c r="AQ10" s="7" t="n">
        <v>-0.116</v>
      </c>
    </row>
    <row r="11" customFormat="false" ht="15" hidden="false" customHeight="false" outlineLevel="0" collapsed="false">
      <c r="A11" s="23" t="n">
        <v>46328</v>
      </c>
      <c r="B11" s="7" t="n">
        <v>0.06</v>
      </c>
      <c r="C11" s="7" t="n">
        <v>0.176</v>
      </c>
      <c r="D11" s="7" t="n">
        <v>0.009</v>
      </c>
      <c r="E11" s="7" t="n">
        <v>0.074</v>
      </c>
      <c r="F11" s="7" t="n">
        <v>0.11</v>
      </c>
      <c r="G11" s="7" t="n">
        <v>0.009</v>
      </c>
      <c r="H11" s="7" t="n">
        <v>-0.024</v>
      </c>
      <c r="I11" s="7" t="n">
        <v>-0.122</v>
      </c>
      <c r="J11" s="7" t="n">
        <v>0.009</v>
      </c>
      <c r="K11" s="7" t="n">
        <v>0.009</v>
      </c>
      <c r="L11" s="7" t="n">
        <v>0.025</v>
      </c>
      <c r="M11" s="7" t="n">
        <v>0.074</v>
      </c>
      <c r="N11" s="7" t="n">
        <v>-0.031</v>
      </c>
      <c r="O11" s="7" t="n">
        <v>-0.387</v>
      </c>
      <c r="P11" s="7" t="n">
        <v>-0.107</v>
      </c>
      <c r="Q11" s="7" t="n">
        <v>0.127</v>
      </c>
      <c r="R11" s="7" t="n">
        <v>-0.165</v>
      </c>
      <c r="S11" s="7" t="n">
        <v>0.074</v>
      </c>
      <c r="T11" s="7" t="n">
        <v>0.009</v>
      </c>
      <c r="U11" s="7" t="n">
        <v>0.102</v>
      </c>
      <c r="V11" s="7" t="n">
        <v>0.029</v>
      </c>
      <c r="W11" s="7" t="n">
        <v>0.127</v>
      </c>
      <c r="X11" s="7" t="n">
        <v>0.009</v>
      </c>
      <c r="Y11" s="7" t="n">
        <v>-0.103</v>
      </c>
      <c r="Z11" s="7" t="n">
        <v>0.074</v>
      </c>
      <c r="AA11" s="7" t="n">
        <v>-0.165</v>
      </c>
      <c r="AB11" s="7" t="n">
        <v>-0.14</v>
      </c>
      <c r="AC11" s="7" t="n">
        <v>0.127</v>
      </c>
      <c r="AD11" s="7" t="n">
        <v>0.42</v>
      </c>
      <c r="AE11" s="7" t="n">
        <v>0.11</v>
      </c>
      <c r="AF11" s="7" t="n">
        <v>0.406</v>
      </c>
      <c r="AG11" s="7" t="n">
        <v>0.009</v>
      </c>
      <c r="AH11" s="7" t="n">
        <v>0.584</v>
      </c>
      <c r="AI11" s="7" t="n">
        <v>-0.26</v>
      </c>
      <c r="AJ11" s="7" t="n">
        <v>-0.153</v>
      </c>
      <c r="AK11" s="7" t="n">
        <v>-0.151</v>
      </c>
      <c r="AL11" s="7" t="n">
        <v>-0.116</v>
      </c>
      <c r="AM11" s="7" t="n">
        <v>-0.149</v>
      </c>
      <c r="AN11" s="7" t="n">
        <v>0</v>
      </c>
      <c r="AO11" s="7" t="n">
        <v>0.065</v>
      </c>
      <c r="AP11" s="7" t="n">
        <v>0.065</v>
      </c>
      <c r="AQ11" s="7" t="n">
        <v>-0.116</v>
      </c>
    </row>
    <row r="12" customFormat="false" ht="15" hidden="false" customHeight="false" outlineLevel="0" collapsed="false">
      <c r="A12" s="23" t="n">
        <v>46329</v>
      </c>
      <c r="B12" s="7" t="n">
        <v>0.157</v>
      </c>
      <c r="C12" s="7" t="n">
        <v>0.313</v>
      </c>
      <c r="D12" s="7" t="n">
        <v>0.009</v>
      </c>
      <c r="E12" s="7" t="n">
        <v>0.129</v>
      </c>
      <c r="F12" s="7" t="n">
        <v>0.23</v>
      </c>
      <c r="G12" s="7" t="n">
        <v>0.009</v>
      </c>
      <c r="H12" s="7" t="n">
        <v>-0.013</v>
      </c>
      <c r="I12" s="7" t="n">
        <v>-0.141</v>
      </c>
      <c r="J12" s="7" t="n">
        <v>-0.123</v>
      </c>
      <c r="K12" s="7" t="n">
        <v>0.009</v>
      </c>
      <c r="L12" s="7" t="n">
        <v>0.228</v>
      </c>
      <c r="M12" s="7" t="n">
        <v>-0.019</v>
      </c>
      <c r="N12" s="7" t="n">
        <v>0.094</v>
      </c>
      <c r="O12" s="7" t="n">
        <v>-0.278</v>
      </c>
      <c r="P12" s="7" t="n">
        <v>-0.063</v>
      </c>
      <c r="Q12" s="7" t="n">
        <v>0.29</v>
      </c>
      <c r="R12" s="7" t="n">
        <v>-0.127</v>
      </c>
      <c r="S12" s="7" t="n">
        <v>0.129</v>
      </c>
      <c r="T12" s="7" t="n">
        <v>0.009</v>
      </c>
      <c r="U12" s="7" t="n">
        <v>0.236</v>
      </c>
      <c r="V12" s="7" t="n">
        <v>0.01</v>
      </c>
      <c r="W12" s="7" t="n">
        <v>0.29</v>
      </c>
      <c r="X12" s="7" t="n">
        <v>0.009</v>
      </c>
      <c r="Y12" s="7" t="n">
        <v>-0.076</v>
      </c>
      <c r="Z12" s="7" t="n">
        <v>0.129</v>
      </c>
      <c r="AA12" s="7" t="n">
        <v>-0.127</v>
      </c>
      <c r="AB12" s="7" t="n">
        <v>-0.188</v>
      </c>
      <c r="AC12" s="7" t="n">
        <v>0.29</v>
      </c>
      <c r="AD12" s="7" t="n">
        <v>0.403</v>
      </c>
      <c r="AE12" s="7" t="n">
        <v>0.23</v>
      </c>
      <c r="AF12" s="7" t="n">
        <v>0.477</v>
      </c>
      <c r="AG12" s="7" t="n">
        <v>0.009</v>
      </c>
      <c r="AH12" s="7" t="n">
        <v>0.586</v>
      </c>
      <c r="AI12" s="7" t="n">
        <v>-0.218</v>
      </c>
      <c r="AJ12" s="7" t="n">
        <v>-0.152</v>
      </c>
      <c r="AK12" s="7" t="n">
        <v>-0.151</v>
      </c>
      <c r="AL12" s="7" t="n">
        <v>-0.072</v>
      </c>
      <c r="AM12" s="7" t="n">
        <v>-0.149</v>
      </c>
      <c r="AN12" s="7" t="n">
        <v>0</v>
      </c>
      <c r="AO12" s="7" t="n">
        <v>0.12</v>
      </c>
      <c r="AP12" s="7" t="n">
        <v>0.12</v>
      </c>
      <c r="AQ12" s="7" t="n">
        <v>-0.072</v>
      </c>
    </row>
    <row r="13" customFormat="false" ht="15" hidden="false" customHeight="false" outlineLevel="0" collapsed="false">
      <c r="A13" s="23" t="n">
        <v>46330</v>
      </c>
      <c r="B13" s="7" t="n">
        <v>0.248</v>
      </c>
      <c r="C13" s="7" t="n">
        <v>0.44</v>
      </c>
      <c r="D13" s="7" t="n">
        <v>0.009</v>
      </c>
      <c r="E13" s="7" t="n">
        <v>0.185</v>
      </c>
      <c r="F13" s="7" t="n">
        <v>0.339</v>
      </c>
      <c r="G13" s="7" t="n">
        <v>0.009</v>
      </c>
      <c r="H13" s="7" t="n">
        <v>-0.001</v>
      </c>
      <c r="I13" s="7" t="n">
        <v>-0.149</v>
      </c>
      <c r="J13" s="7" t="n">
        <v>-0.255</v>
      </c>
      <c r="K13" s="7" t="n">
        <v>0.009</v>
      </c>
      <c r="L13" s="7" t="n">
        <v>0.423</v>
      </c>
      <c r="M13" s="7" t="n">
        <v>-0.112</v>
      </c>
      <c r="N13" s="7" t="n">
        <v>0.21</v>
      </c>
      <c r="O13" s="7" t="n">
        <v>-0.175</v>
      </c>
      <c r="P13" s="7" t="n">
        <v>-0.024</v>
      </c>
      <c r="Q13" s="7" t="n">
        <v>0.443</v>
      </c>
      <c r="R13" s="7" t="n">
        <v>-0.088</v>
      </c>
      <c r="S13" s="7" t="n">
        <v>0.185</v>
      </c>
      <c r="T13" s="7" t="n">
        <v>0.009</v>
      </c>
      <c r="U13" s="7" t="n">
        <v>0.361</v>
      </c>
      <c r="V13" s="7" t="n">
        <v>0</v>
      </c>
      <c r="W13" s="7" t="n">
        <v>0.443</v>
      </c>
      <c r="X13" s="7" t="n">
        <v>0.009</v>
      </c>
      <c r="Y13" s="7" t="n">
        <v>-0.05</v>
      </c>
      <c r="Z13" s="7" t="n">
        <v>0.185</v>
      </c>
      <c r="AA13" s="7" t="n">
        <v>-0.088</v>
      </c>
      <c r="AB13" s="7" t="n">
        <v>-0.287</v>
      </c>
      <c r="AC13" s="7" t="n">
        <v>0.443</v>
      </c>
      <c r="AD13" s="7" t="n">
        <v>0.383</v>
      </c>
      <c r="AE13" s="7" t="n">
        <v>0.339</v>
      </c>
      <c r="AF13" s="7" t="n">
        <v>0.536</v>
      </c>
      <c r="AG13" s="7" t="n">
        <v>0.009</v>
      </c>
      <c r="AH13" s="7" t="n">
        <v>0.589</v>
      </c>
      <c r="AI13" s="7" t="n">
        <v>-0.18</v>
      </c>
      <c r="AJ13" s="7" t="n">
        <v>-0.151</v>
      </c>
      <c r="AK13" s="7" t="n">
        <v>-0.15</v>
      </c>
      <c r="AL13" s="7" t="n">
        <v>-0.033</v>
      </c>
      <c r="AM13" s="7" t="n">
        <v>-0.149</v>
      </c>
      <c r="AN13" s="7" t="n">
        <v>0</v>
      </c>
      <c r="AO13" s="7" t="n">
        <v>0.176</v>
      </c>
      <c r="AP13" s="7" t="n">
        <v>0.176</v>
      </c>
      <c r="AQ13" s="7" t="n">
        <v>-0.033</v>
      </c>
    </row>
    <row r="14" customFormat="false" ht="15" hidden="false" customHeight="false" outlineLevel="0" collapsed="false">
      <c r="A14" s="23" t="n">
        <v>46331</v>
      </c>
      <c r="B14" s="7" t="n">
        <v>0.332</v>
      </c>
      <c r="C14" s="7" t="n">
        <v>0.557</v>
      </c>
      <c r="D14" s="7" t="n">
        <v>0.009</v>
      </c>
      <c r="E14" s="7" t="n">
        <v>0.24</v>
      </c>
      <c r="F14" s="7" t="n">
        <v>0.439</v>
      </c>
      <c r="G14" s="7" t="n">
        <v>0.009</v>
      </c>
      <c r="H14" s="7" t="n">
        <v>0.012</v>
      </c>
      <c r="I14" s="7" t="n">
        <v>-0.158</v>
      </c>
      <c r="J14" s="7" t="n">
        <v>-0.387</v>
      </c>
      <c r="K14" s="7" t="n">
        <v>0.009</v>
      </c>
      <c r="L14" s="7" t="n">
        <v>0.607</v>
      </c>
      <c r="M14" s="7" t="n">
        <v>-0.206</v>
      </c>
      <c r="N14" s="7" t="n">
        <v>0.316</v>
      </c>
      <c r="O14" s="7" t="n">
        <v>-0.077</v>
      </c>
      <c r="P14" s="7" t="n">
        <v>0.012</v>
      </c>
      <c r="Q14" s="7" t="n">
        <v>0.586</v>
      </c>
      <c r="R14" s="7" t="n">
        <v>-0.048</v>
      </c>
      <c r="S14" s="7" t="n">
        <v>0.24</v>
      </c>
      <c r="T14" s="7" t="n">
        <v>0.009</v>
      </c>
      <c r="U14" s="7" t="n">
        <v>0.476</v>
      </c>
      <c r="V14" s="7" t="n">
        <v>-0.009</v>
      </c>
      <c r="W14" s="7" t="n">
        <v>0.586</v>
      </c>
      <c r="X14" s="7" t="n">
        <v>0.009</v>
      </c>
      <c r="Y14" s="7" t="n">
        <v>-0.024</v>
      </c>
      <c r="Z14" s="7" t="n">
        <v>0.24</v>
      </c>
      <c r="AA14" s="7" t="n">
        <v>-0.048</v>
      </c>
      <c r="AB14" s="7" t="n">
        <v>-0.392</v>
      </c>
      <c r="AC14" s="7" t="n">
        <v>0.586</v>
      </c>
      <c r="AD14" s="7" t="n">
        <v>0.361</v>
      </c>
      <c r="AE14" s="7" t="n">
        <v>0.439</v>
      </c>
      <c r="AF14" s="7" t="n">
        <v>0.583</v>
      </c>
      <c r="AG14" s="7" t="n">
        <v>0.009</v>
      </c>
      <c r="AH14" s="7" t="n">
        <v>0.593</v>
      </c>
      <c r="AI14" s="7" t="n">
        <v>-0.146</v>
      </c>
      <c r="AJ14" s="7" t="n">
        <v>-0.149</v>
      </c>
      <c r="AK14" s="7" t="n">
        <v>-0.149</v>
      </c>
      <c r="AL14" s="7" t="n">
        <v>0.002</v>
      </c>
      <c r="AM14" s="7" t="n">
        <v>-0.149</v>
      </c>
      <c r="AN14" s="7" t="n">
        <v>0</v>
      </c>
      <c r="AO14" s="7" t="n">
        <v>0.231</v>
      </c>
      <c r="AP14" s="7" t="n">
        <v>0.231</v>
      </c>
      <c r="AQ14" s="7" t="n">
        <v>0.002</v>
      </c>
    </row>
    <row r="15" customFormat="false" ht="15" hidden="false" customHeight="false" outlineLevel="0" collapsed="false">
      <c r="A15" s="23" t="n">
        <v>46332</v>
      </c>
      <c r="B15" s="7" t="n">
        <v>0.414</v>
      </c>
      <c r="C15" s="7" t="n">
        <v>0.666</v>
      </c>
      <c r="D15" s="7" t="n">
        <v>0.009</v>
      </c>
      <c r="E15" s="7" t="n">
        <v>0.296</v>
      </c>
      <c r="F15" s="7" t="n">
        <v>0.53</v>
      </c>
      <c r="G15" s="7" t="n">
        <v>0.009</v>
      </c>
      <c r="H15" s="7" t="n">
        <v>0.026</v>
      </c>
      <c r="I15" s="7" t="n">
        <v>-0.15</v>
      </c>
      <c r="J15" s="7" t="n">
        <v>-0.52</v>
      </c>
      <c r="K15" s="7" t="n">
        <v>0.009</v>
      </c>
      <c r="L15" s="7" t="n">
        <v>0.782</v>
      </c>
      <c r="M15" s="7" t="n">
        <v>-0.3</v>
      </c>
      <c r="N15" s="7" t="n">
        <v>0.413</v>
      </c>
      <c r="O15" s="7" t="n">
        <v>0.015</v>
      </c>
      <c r="P15" s="7" t="n">
        <v>0.043</v>
      </c>
      <c r="Q15" s="7" t="n">
        <v>0.719</v>
      </c>
      <c r="R15" s="7" t="n">
        <v>-0.008</v>
      </c>
      <c r="S15" s="7" t="n">
        <v>0.296</v>
      </c>
      <c r="T15" s="7" t="n">
        <v>0.009</v>
      </c>
      <c r="U15" s="7" t="n">
        <v>0.585</v>
      </c>
      <c r="V15" s="7" t="n">
        <v>-0.002</v>
      </c>
      <c r="W15" s="7" t="n">
        <v>0.719</v>
      </c>
      <c r="X15" s="7" t="n">
        <v>0.009</v>
      </c>
      <c r="Y15" s="7" t="n">
        <v>0.001</v>
      </c>
      <c r="Z15" s="7" t="n">
        <v>0.296</v>
      </c>
      <c r="AA15" s="7" t="n">
        <v>-0.008</v>
      </c>
      <c r="AB15" s="7" t="n">
        <v>-0.437</v>
      </c>
      <c r="AC15" s="7" t="n">
        <v>0.719</v>
      </c>
      <c r="AD15" s="7" t="n">
        <v>0.338</v>
      </c>
      <c r="AE15" s="7" t="n">
        <v>0.53</v>
      </c>
      <c r="AF15" s="7" t="n">
        <v>0.622</v>
      </c>
      <c r="AG15" s="7" t="n">
        <v>0.009</v>
      </c>
      <c r="AH15" s="7" t="n">
        <v>0.596</v>
      </c>
      <c r="AI15" s="7" t="n">
        <v>-0.116</v>
      </c>
      <c r="AJ15" s="7" t="n">
        <v>-0.148</v>
      </c>
      <c r="AK15" s="7" t="n">
        <v>-0.148</v>
      </c>
      <c r="AL15" s="7" t="n">
        <v>0.033</v>
      </c>
      <c r="AM15" s="7" t="n">
        <v>-0.149</v>
      </c>
      <c r="AN15" s="7" t="n">
        <v>0</v>
      </c>
      <c r="AO15" s="7" t="n">
        <v>0.287</v>
      </c>
      <c r="AP15" s="7" t="n">
        <v>0.287</v>
      </c>
      <c r="AQ15" s="7" t="n">
        <v>0.033</v>
      </c>
    </row>
    <row r="16" customFormat="false" ht="15" hidden="false" customHeight="false" outlineLevel="0" collapsed="false">
      <c r="A16" s="23" t="n">
        <v>46333</v>
      </c>
      <c r="B16" s="7" t="n">
        <v>0.428</v>
      </c>
      <c r="C16" s="7" t="n">
        <v>0.656</v>
      </c>
      <c r="D16" s="7" t="n">
        <v>0.009</v>
      </c>
      <c r="E16" s="7" t="n">
        <v>0.286</v>
      </c>
      <c r="F16" s="7" t="n">
        <v>0.542</v>
      </c>
      <c r="G16" s="7" t="n">
        <v>0.009</v>
      </c>
      <c r="H16" s="7" t="n">
        <v>0.009</v>
      </c>
      <c r="I16" s="7" t="n">
        <v>-0.113</v>
      </c>
      <c r="J16" s="7" t="n">
        <v>-0.61</v>
      </c>
      <c r="K16" s="7" t="n">
        <v>0.009</v>
      </c>
      <c r="L16" s="7" t="n">
        <v>0.777</v>
      </c>
      <c r="M16" s="7" t="n">
        <v>-0.404</v>
      </c>
      <c r="N16" s="7" t="n">
        <v>0.448</v>
      </c>
      <c r="O16" s="7" t="n">
        <v>0.071</v>
      </c>
      <c r="P16" s="7" t="n">
        <v>0.009</v>
      </c>
      <c r="Q16" s="7" t="n">
        <v>0.701</v>
      </c>
      <c r="R16" s="7" t="n">
        <v>0.009</v>
      </c>
      <c r="S16" s="7" t="n">
        <v>0.286</v>
      </c>
      <c r="T16" s="7" t="n">
        <v>0.009</v>
      </c>
      <c r="U16" s="7" t="n">
        <v>0.554</v>
      </c>
      <c r="V16" s="7" t="n">
        <v>0.009</v>
      </c>
      <c r="W16" s="7" t="n">
        <v>0.701</v>
      </c>
      <c r="X16" s="7" t="n">
        <v>0.009</v>
      </c>
      <c r="Y16" s="7" t="n">
        <v>0.014</v>
      </c>
      <c r="Z16" s="7" t="n">
        <v>0.286</v>
      </c>
      <c r="AA16" s="7" t="n">
        <v>0.009</v>
      </c>
      <c r="AB16" s="7" t="n">
        <v>-0.476</v>
      </c>
      <c r="AC16" s="7" t="n">
        <v>0.701</v>
      </c>
      <c r="AD16" s="7" t="n">
        <v>0.286</v>
      </c>
      <c r="AE16" s="7" t="n">
        <v>0.542</v>
      </c>
      <c r="AF16" s="7" t="n">
        <v>0.623</v>
      </c>
      <c r="AG16" s="7" t="n">
        <v>0.009</v>
      </c>
      <c r="AH16" s="7" t="n">
        <v>0.602</v>
      </c>
      <c r="AI16" s="7" t="n">
        <v>-0.12</v>
      </c>
      <c r="AJ16" s="7" t="n">
        <v>-0.126</v>
      </c>
      <c r="AK16" s="7" t="n">
        <v>-0.123</v>
      </c>
      <c r="AL16" s="7" t="n">
        <v>0.004</v>
      </c>
      <c r="AM16" s="7" t="n">
        <v>-0.119</v>
      </c>
      <c r="AN16" s="7" t="n">
        <v>0</v>
      </c>
      <c r="AO16" s="7" t="n">
        <v>0.282</v>
      </c>
      <c r="AP16" s="7" t="n">
        <v>0.278</v>
      </c>
      <c r="AQ16" s="7" t="n">
        <v>-0.001</v>
      </c>
    </row>
    <row r="17" customFormat="false" ht="15" hidden="false" customHeight="false" outlineLevel="0" collapsed="false">
      <c r="A17" s="23" t="n">
        <v>46334</v>
      </c>
      <c r="B17" s="7" t="n">
        <v>0.428</v>
      </c>
      <c r="C17" s="7" t="n">
        <v>0.656</v>
      </c>
      <c r="D17" s="7" t="n">
        <v>0.009</v>
      </c>
      <c r="E17" s="7" t="n">
        <v>0.286</v>
      </c>
      <c r="F17" s="7" t="n">
        <v>0.542</v>
      </c>
      <c r="G17" s="7" t="n">
        <v>0.009</v>
      </c>
      <c r="H17" s="7" t="n">
        <v>0.009</v>
      </c>
      <c r="I17" s="7" t="n">
        <v>-0.113</v>
      </c>
      <c r="J17" s="7" t="n">
        <v>-0.61</v>
      </c>
      <c r="K17" s="7" t="n">
        <v>0.009</v>
      </c>
      <c r="L17" s="7" t="n">
        <v>0.777</v>
      </c>
      <c r="M17" s="7" t="n">
        <v>-0.404</v>
      </c>
      <c r="N17" s="7" t="n">
        <v>0.448</v>
      </c>
      <c r="O17" s="7" t="n">
        <v>0.071</v>
      </c>
      <c r="P17" s="7" t="n">
        <v>0.009</v>
      </c>
      <c r="Q17" s="7" t="n">
        <v>0.701</v>
      </c>
      <c r="R17" s="7" t="n">
        <v>0.009</v>
      </c>
      <c r="S17" s="7" t="n">
        <v>0.286</v>
      </c>
      <c r="T17" s="7" t="n">
        <v>0.009</v>
      </c>
      <c r="U17" s="7" t="n">
        <v>0.554</v>
      </c>
      <c r="V17" s="7" t="n">
        <v>0.009</v>
      </c>
      <c r="W17" s="7" t="n">
        <v>0.701</v>
      </c>
      <c r="X17" s="7" t="n">
        <v>0.009</v>
      </c>
      <c r="Y17" s="7" t="n">
        <v>0.014</v>
      </c>
      <c r="Z17" s="7" t="n">
        <v>0.286</v>
      </c>
      <c r="AA17" s="7" t="n">
        <v>0.009</v>
      </c>
      <c r="AB17" s="7" t="n">
        <v>-0.476</v>
      </c>
      <c r="AC17" s="7" t="n">
        <v>0.701</v>
      </c>
      <c r="AD17" s="7" t="n">
        <v>0.286</v>
      </c>
      <c r="AE17" s="7" t="n">
        <v>0.542</v>
      </c>
      <c r="AF17" s="7" t="n">
        <v>0.623</v>
      </c>
      <c r="AG17" s="7" t="n">
        <v>0.009</v>
      </c>
      <c r="AH17" s="7" t="n">
        <v>0.602</v>
      </c>
      <c r="AI17" s="7" t="n">
        <v>-0.12</v>
      </c>
      <c r="AJ17" s="7" t="n">
        <v>-0.126</v>
      </c>
      <c r="AK17" s="7" t="n">
        <v>-0.123</v>
      </c>
      <c r="AL17" s="7" t="n">
        <v>0.004</v>
      </c>
      <c r="AM17" s="7" t="n">
        <v>-0.119</v>
      </c>
      <c r="AN17" s="7" t="n">
        <v>0</v>
      </c>
      <c r="AO17" s="7" t="n">
        <v>0.282</v>
      </c>
      <c r="AP17" s="7" t="n">
        <v>0.278</v>
      </c>
      <c r="AQ17" s="7" t="n">
        <v>-0.001</v>
      </c>
    </row>
    <row r="18" customFormat="false" ht="15" hidden="false" customHeight="false" outlineLevel="0" collapsed="false">
      <c r="A18" s="23" t="n">
        <v>46335</v>
      </c>
      <c r="B18" s="7" t="n">
        <v>0.428</v>
      </c>
      <c r="C18" s="7" t="n">
        <v>0.656</v>
      </c>
      <c r="D18" s="7" t="n">
        <v>0.009</v>
      </c>
      <c r="E18" s="7" t="n">
        <v>0.286</v>
      </c>
      <c r="F18" s="7" t="n">
        <v>0.542</v>
      </c>
      <c r="G18" s="7" t="n">
        <v>0.009</v>
      </c>
      <c r="H18" s="7" t="n">
        <v>0.009</v>
      </c>
      <c r="I18" s="7" t="n">
        <v>-0.113</v>
      </c>
      <c r="J18" s="7" t="n">
        <v>-0.61</v>
      </c>
      <c r="K18" s="7" t="n">
        <v>0.009</v>
      </c>
      <c r="L18" s="7" t="n">
        <v>0.777</v>
      </c>
      <c r="M18" s="7" t="n">
        <v>-0.404</v>
      </c>
      <c r="N18" s="7" t="n">
        <v>0.448</v>
      </c>
      <c r="O18" s="7" t="n">
        <v>0.071</v>
      </c>
      <c r="P18" s="7" t="n">
        <v>0.009</v>
      </c>
      <c r="Q18" s="7" t="n">
        <v>0.701</v>
      </c>
      <c r="R18" s="7" t="n">
        <v>0.009</v>
      </c>
      <c r="S18" s="7" t="n">
        <v>0.286</v>
      </c>
      <c r="T18" s="7" t="n">
        <v>0.009</v>
      </c>
      <c r="U18" s="7" t="n">
        <v>0.554</v>
      </c>
      <c r="V18" s="7" t="n">
        <v>0.009</v>
      </c>
      <c r="W18" s="7" t="n">
        <v>0.701</v>
      </c>
      <c r="X18" s="7" t="n">
        <v>0.009</v>
      </c>
      <c r="Y18" s="7" t="n">
        <v>0.014</v>
      </c>
      <c r="Z18" s="7" t="n">
        <v>0.286</v>
      </c>
      <c r="AA18" s="7" t="n">
        <v>0.009</v>
      </c>
      <c r="AB18" s="7" t="n">
        <v>-0.476</v>
      </c>
      <c r="AC18" s="7" t="n">
        <v>0.701</v>
      </c>
      <c r="AD18" s="7" t="n">
        <v>0.286</v>
      </c>
      <c r="AE18" s="7" t="n">
        <v>0.542</v>
      </c>
      <c r="AF18" s="7" t="n">
        <v>0.623</v>
      </c>
      <c r="AG18" s="7" t="n">
        <v>0.009</v>
      </c>
      <c r="AH18" s="7" t="n">
        <v>0.602</v>
      </c>
      <c r="AI18" s="7" t="n">
        <v>-0.12</v>
      </c>
      <c r="AJ18" s="7" t="n">
        <v>-0.126</v>
      </c>
      <c r="AK18" s="7" t="n">
        <v>-0.123</v>
      </c>
      <c r="AL18" s="7" t="n">
        <v>0.004</v>
      </c>
      <c r="AM18" s="7" t="n">
        <v>-0.119</v>
      </c>
      <c r="AN18" s="7" t="n">
        <v>0</v>
      </c>
      <c r="AO18" s="7" t="n">
        <v>0.282</v>
      </c>
      <c r="AP18" s="7" t="n">
        <v>0.278</v>
      </c>
      <c r="AQ18" s="7" t="n">
        <v>-0.001</v>
      </c>
    </row>
    <row r="19" customFormat="false" ht="15" hidden="false" customHeight="false" outlineLevel="0" collapsed="false">
      <c r="A19" s="23" t="n">
        <v>46336</v>
      </c>
      <c r="B19" s="7" t="n">
        <v>0.433</v>
      </c>
      <c r="C19" s="7" t="n">
        <v>0.632</v>
      </c>
      <c r="D19" s="7" t="n">
        <v>0.009</v>
      </c>
      <c r="E19" s="7" t="n">
        <v>0.276</v>
      </c>
      <c r="F19" s="7" t="n">
        <v>0.544</v>
      </c>
      <c r="G19" s="7" t="n">
        <v>0.009</v>
      </c>
      <c r="H19" s="7" t="n">
        <v>0.009</v>
      </c>
      <c r="I19" s="7" t="n">
        <v>-0.085</v>
      </c>
      <c r="J19" s="7" t="n">
        <v>-0.543</v>
      </c>
      <c r="K19" s="7" t="n">
        <v>0.009</v>
      </c>
      <c r="L19" s="7" t="n">
        <v>0.766</v>
      </c>
      <c r="M19" s="7" t="n">
        <v>-0.332</v>
      </c>
      <c r="N19" s="7" t="n">
        <v>0.473</v>
      </c>
      <c r="O19" s="7" t="n">
        <v>0.114</v>
      </c>
      <c r="P19" s="7" t="n">
        <v>-0.04</v>
      </c>
      <c r="Q19" s="7" t="n">
        <v>0.676</v>
      </c>
      <c r="R19" s="7" t="n">
        <v>0.009</v>
      </c>
      <c r="S19" s="7" t="n">
        <v>0.276</v>
      </c>
      <c r="T19" s="7" t="n">
        <v>0.009</v>
      </c>
      <c r="U19" s="7" t="n">
        <v>0.508</v>
      </c>
      <c r="V19" s="7" t="n">
        <v>0.009</v>
      </c>
      <c r="W19" s="7" t="n">
        <v>0.676</v>
      </c>
      <c r="X19" s="7" t="n">
        <v>0.009</v>
      </c>
      <c r="Y19" s="7" t="n">
        <v>0.02</v>
      </c>
      <c r="Z19" s="7" t="n">
        <v>0.276</v>
      </c>
      <c r="AA19" s="7" t="n">
        <v>0.009</v>
      </c>
      <c r="AB19" s="7" t="n">
        <v>-0.442</v>
      </c>
      <c r="AC19" s="7" t="n">
        <v>0.676</v>
      </c>
      <c r="AD19" s="7" t="n">
        <v>0.276</v>
      </c>
      <c r="AE19" s="7" t="n">
        <v>0.544</v>
      </c>
      <c r="AF19" s="7" t="n">
        <v>0.612</v>
      </c>
      <c r="AG19" s="7" t="n">
        <v>0.009</v>
      </c>
      <c r="AH19" s="7" t="n">
        <v>0.606</v>
      </c>
      <c r="AI19" s="7" t="n">
        <v>-0.139</v>
      </c>
      <c r="AJ19" s="7" t="n">
        <v>-0.099</v>
      </c>
      <c r="AK19" s="7" t="n">
        <v>-0.095</v>
      </c>
      <c r="AL19" s="7" t="n">
        <v>-0.039</v>
      </c>
      <c r="AM19" s="7" t="n">
        <v>-0.089</v>
      </c>
      <c r="AN19" s="7" t="n">
        <v>0</v>
      </c>
      <c r="AO19" s="7" t="n">
        <v>0.277</v>
      </c>
      <c r="AP19" s="7" t="n">
        <v>0.267</v>
      </c>
      <c r="AQ19" s="7" t="n">
        <v>-0.05</v>
      </c>
    </row>
    <row r="20" customFormat="false" ht="15" hidden="false" customHeight="false" outlineLevel="0" collapsed="false">
      <c r="A20" s="23" t="n">
        <v>46337</v>
      </c>
      <c r="B20" s="7" t="n">
        <v>0.475</v>
      </c>
      <c r="C20" s="7" t="n">
        <v>0.555</v>
      </c>
      <c r="D20" s="7" t="n">
        <v>0.023</v>
      </c>
      <c r="E20" s="7" t="n">
        <v>0.265</v>
      </c>
      <c r="F20" s="7" t="n">
        <v>0.56</v>
      </c>
      <c r="G20" s="7" t="n">
        <v>0.082</v>
      </c>
      <c r="H20" s="7" t="n">
        <v>0.072</v>
      </c>
      <c r="I20" s="7" t="n">
        <v>-0.009</v>
      </c>
      <c r="J20" s="7" t="n">
        <v>-0.474</v>
      </c>
      <c r="K20" s="7" t="n">
        <v>0.009</v>
      </c>
      <c r="L20" s="7" t="n">
        <v>0.665</v>
      </c>
      <c r="M20" s="7" t="n">
        <v>-0.258</v>
      </c>
      <c r="N20" s="7" t="n">
        <v>0.513</v>
      </c>
      <c r="O20" s="7" t="n">
        <v>0.203</v>
      </c>
      <c r="P20" s="7" t="n">
        <v>-0.027</v>
      </c>
      <c r="Q20" s="7" t="n">
        <v>0.543</v>
      </c>
      <c r="R20" s="7" t="n">
        <v>0.045</v>
      </c>
      <c r="S20" s="7" t="n">
        <v>0.242</v>
      </c>
      <c r="T20" s="7" t="n">
        <v>-0.046</v>
      </c>
      <c r="U20" s="7" t="n">
        <v>0.453</v>
      </c>
      <c r="V20" s="7" t="n">
        <v>0.061</v>
      </c>
      <c r="W20" s="7" t="n">
        <v>0.543</v>
      </c>
      <c r="X20" s="7" t="n">
        <v>0.021</v>
      </c>
      <c r="Y20" s="7" t="n">
        <v>0.084</v>
      </c>
      <c r="Z20" s="7" t="n">
        <v>0.265</v>
      </c>
      <c r="AA20" s="7" t="n">
        <v>-0.029</v>
      </c>
      <c r="AB20" s="7" t="n">
        <v>-0.384</v>
      </c>
      <c r="AC20" s="7" t="n">
        <v>0.543</v>
      </c>
      <c r="AD20" s="7" t="n">
        <v>0.327</v>
      </c>
      <c r="AE20" s="7" t="n">
        <v>0.56</v>
      </c>
      <c r="AF20" s="7" t="n">
        <v>0.498</v>
      </c>
      <c r="AG20" s="7" t="n">
        <v>0.081</v>
      </c>
      <c r="AH20" s="7" t="n">
        <v>0.61</v>
      </c>
      <c r="AI20" s="7" t="n">
        <v>-0.107</v>
      </c>
      <c r="AJ20" s="7" t="n">
        <v>-0.009</v>
      </c>
      <c r="AK20" s="7" t="n">
        <v>-0.073</v>
      </c>
      <c r="AL20" s="7" t="n">
        <v>0.038</v>
      </c>
      <c r="AM20" s="7" t="n">
        <v>-0.06</v>
      </c>
      <c r="AN20" s="7" t="n">
        <v>0.071</v>
      </c>
      <c r="AO20" s="7" t="n">
        <v>0.272</v>
      </c>
      <c r="AP20" s="7" t="n">
        <v>0.256</v>
      </c>
      <c r="AQ20" s="7" t="n">
        <v>-0.048</v>
      </c>
    </row>
    <row r="21" customFormat="false" ht="15" hidden="false" customHeight="false" outlineLevel="0" collapsed="false">
      <c r="A21" s="23" t="n">
        <v>46338</v>
      </c>
      <c r="B21" s="7" t="n">
        <v>0.523</v>
      </c>
      <c r="C21" s="7" t="n">
        <v>0.477</v>
      </c>
      <c r="D21" s="7" t="n">
        <v>0.038</v>
      </c>
      <c r="E21" s="7" t="n">
        <v>0.254</v>
      </c>
      <c r="F21" s="7" t="n">
        <v>0.577</v>
      </c>
      <c r="G21" s="7" t="n">
        <v>0.155</v>
      </c>
      <c r="H21" s="7" t="n">
        <v>0.135</v>
      </c>
      <c r="I21" s="7" t="n">
        <v>0.097</v>
      </c>
      <c r="J21" s="7" t="n">
        <v>-0.402</v>
      </c>
      <c r="K21" s="7" t="n">
        <v>0.009</v>
      </c>
      <c r="L21" s="7" t="n">
        <v>0.563</v>
      </c>
      <c r="M21" s="7" t="n">
        <v>-0.182</v>
      </c>
      <c r="N21" s="7" t="n">
        <v>0.553</v>
      </c>
      <c r="O21" s="7" t="n">
        <v>0.292</v>
      </c>
      <c r="P21" s="7" t="n">
        <v>-0.011</v>
      </c>
      <c r="Q21" s="7" t="n">
        <v>0.409</v>
      </c>
      <c r="R21" s="7" t="n">
        <v>0.082</v>
      </c>
      <c r="S21" s="7" t="n">
        <v>0.208</v>
      </c>
      <c r="T21" s="7" t="n">
        <v>-0.102</v>
      </c>
      <c r="U21" s="7" t="n">
        <v>0.396</v>
      </c>
      <c r="V21" s="7" t="n">
        <v>0.143</v>
      </c>
      <c r="W21" s="7" t="n">
        <v>0.409</v>
      </c>
      <c r="X21" s="7" t="n">
        <v>0.035</v>
      </c>
      <c r="Y21" s="7" t="n">
        <v>0.149</v>
      </c>
      <c r="Z21" s="7" t="n">
        <v>0.254</v>
      </c>
      <c r="AA21" s="7" t="n">
        <v>-0.067</v>
      </c>
      <c r="AB21" s="7" t="n">
        <v>-0.254</v>
      </c>
      <c r="AC21" s="7" t="n">
        <v>0.409</v>
      </c>
      <c r="AD21" s="7" t="n">
        <v>0.379</v>
      </c>
      <c r="AE21" s="7" t="n">
        <v>0.577</v>
      </c>
      <c r="AF21" s="7" t="n">
        <v>0.384</v>
      </c>
      <c r="AG21" s="7" t="n">
        <v>0.152</v>
      </c>
      <c r="AH21" s="7" t="n">
        <v>0.612</v>
      </c>
      <c r="AI21" s="7" t="n">
        <v>-0.076</v>
      </c>
      <c r="AJ21" s="7" t="n">
        <v>0.082</v>
      </c>
      <c r="AK21" s="7" t="n">
        <v>-0.05</v>
      </c>
      <c r="AL21" s="7" t="n">
        <v>0.115</v>
      </c>
      <c r="AM21" s="7" t="n">
        <v>-0.03</v>
      </c>
      <c r="AN21" s="7" t="n">
        <v>0.143</v>
      </c>
      <c r="AO21" s="7" t="n">
        <v>0.266</v>
      </c>
      <c r="AP21" s="7" t="n">
        <v>0.245</v>
      </c>
      <c r="AQ21" s="7" t="n">
        <v>-0.046</v>
      </c>
    </row>
    <row r="22" customFormat="false" ht="15" hidden="false" customHeight="false" outlineLevel="0" collapsed="false">
      <c r="A22" s="23" t="n">
        <v>46339</v>
      </c>
      <c r="B22" s="7" t="n">
        <v>0.569</v>
      </c>
      <c r="C22" s="7" t="n">
        <v>0.399</v>
      </c>
      <c r="D22" s="7" t="n">
        <v>0.054</v>
      </c>
      <c r="E22" s="7" t="n">
        <v>0.242</v>
      </c>
      <c r="F22" s="7" t="n">
        <v>0.593</v>
      </c>
      <c r="G22" s="7" t="n">
        <v>0.23</v>
      </c>
      <c r="H22" s="7" t="n">
        <v>0.183</v>
      </c>
      <c r="I22" s="7" t="n">
        <v>0.2</v>
      </c>
      <c r="J22" s="7" t="n">
        <v>-0.327</v>
      </c>
      <c r="K22" s="7" t="n">
        <v>0.009</v>
      </c>
      <c r="L22" s="7" t="n">
        <v>0.461</v>
      </c>
      <c r="M22" s="7" t="n">
        <v>-0.103</v>
      </c>
      <c r="N22" s="7" t="n">
        <v>0.593</v>
      </c>
      <c r="O22" s="7" t="n">
        <v>0.38</v>
      </c>
      <c r="P22" s="7" t="n">
        <v>0.006</v>
      </c>
      <c r="Q22" s="7" t="n">
        <v>0.276</v>
      </c>
      <c r="R22" s="7" t="n">
        <v>0.107</v>
      </c>
      <c r="S22" s="7" t="n">
        <v>0.173</v>
      </c>
      <c r="T22" s="7" t="n">
        <v>-0.18</v>
      </c>
      <c r="U22" s="7" t="n">
        <v>0.34</v>
      </c>
      <c r="V22" s="7" t="n">
        <v>0.223</v>
      </c>
      <c r="W22" s="7" t="n">
        <v>0.276</v>
      </c>
      <c r="X22" s="7" t="n">
        <v>0.051</v>
      </c>
      <c r="Y22" s="7" t="n">
        <v>0.206</v>
      </c>
      <c r="Z22" s="7" t="n">
        <v>0.242</v>
      </c>
      <c r="AA22" s="7" t="n">
        <v>-0.116</v>
      </c>
      <c r="AB22" s="7" t="n">
        <v>-0.171</v>
      </c>
      <c r="AC22" s="7" t="n">
        <v>0.276</v>
      </c>
      <c r="AD22" s="7" t="n">
        <v>0.431</v>
      </c>
      <c r="AE22" s="7" t="n">
        <v>0.593</v>
      </c>
      <c r="AF22" s="7" t="n">
        <v>0.271</v>
      </c>
      <c r="AG22" s="7" t="n">
        <v>0.225</v>
      </c>
      <c r="AH22" s="7" t="n">
        <v>0.615</v>
      </c>
      <c r="AI22" s="7" t="n">
        <v>-0.044</v>
      </c>
      <c r="AJ22" s="7" t="n">
        <v>0.169</v>
      </c>
      <c r="AK22" s="7" t="n">
        <v>-0.031</v>
      </c>
      <c r="AL22" s="7" t="n">
        <v>0.194</v>
      </c>
      <c r="AM22" s="7" t="n">
        <v>0</v>
      </c>
      <c r="AN22" s="7" t="n">
        <v>0.216</v>
      </c>
      <c r="AO22" s="7" t="n">
        <v>0.261</v>
      </c>
      <c r="AP22" s="7" t="n">
        <v>0.234</v>
      </c>
      <c r="AQ22" s="7" t="n">
        <v>-0.044</v>
      </c>
    </row>
    <row r="23" customFormat="false" ht="15" hidden="false" customHeight="false" outlineLevel="0" collapsed="false">
      <c r="A23" s="23" t="n">
        <v>46340</v>
      </c>
      <c r="B23" s="7" t="n">
        <v>0.543</v>
      </c>
      <c r="C23" s="7" t="n">
        <v>0.382</v>
      </c>
      <c r="D23" s="7" t="n">
        <v>0.07</v>
      </c>
      <c r="E23" s="7" t="n">
        <v>0.231</v>
      </c>
      <c r="F23" s="7" t="n">
        <v>0.524</v>
      </c>
      <c r="G23" s="7" t="n">
        <v>0.304</v>
      </c>
      <c r="H23" s="7" t="n">
        <v>0.231</v>
      </c>
      <c r="I23" s="7" t="n">
        <v>0.254</v>
      </c>
      <c r="J23" s="7" t="n">
        <v>-0.237</v>
      </c>
      <c r="K23" s="7" t="n">
        <v>0.009</v>
      </c>
      <c r="L23" s="7" t="n">
        <v>0.361</v>
      </c>
      <c r="M23" s="7" t="n">
        <v>-0.02</v>
      </c>
      <c r="N23" s="7" t="n">
        <v>0.524</v>
      </c>
      <c r="O23" s="7" t="n">
        <v>0.334</v>
      </c>
      <c r="P23" s="7" t="n">
        <v>0.062</v>
      </c>
      <c r="Q23" s="7" t="n">
        <v>0.161</v>
      </c>
      <c r="R23" s="7" t="n">
        <v>0.132</v>
      </c>
      <c r="S23" s="7" t="n">
        <v>0.137</v>
      </c>
      <c r="T23" s="7" t="n">
        <v>-0.261</v>
      </c>
      <c r="U23" s="7" t="n">
        <v>0.31</v>
      </c>
      <c r="V23" s="7" t="n">
        <v>0.281</v>
      </c>
      <c r="W23" s="7" t="n">
        <v>0.161</v>
      </c>
      <c r="X23" s="7" t="n">
        <v>0.068</v>
      </c>
      <c r="Y23" s="7" t="n">
        <v>0.258</v>
      </c>
      <c r="Z23" s="7" t="n">
        <v>0.231</v>
      </c>
      <c r="AA23" s="7" t="n">
        <v>-0.166</v>
      </c>
      <c r="AB23" s="7" t="n">
        <v>-0.102</v>
      </c>
      <c r="AC23" s="7" t="n">
        <v>0.161</v>
      </c>
      <c r="AD23" s="7" t="n">
        <v>0.483</v>
      </c>
      <c r="AE23" s="7" t="n">
        <v>0.524</v>
      </c>
      <c r="AF23" s="7" t="n">
        <v>0.157</v>
      </c>
      <c r="AG23" s="7" t="n">
        <v>0.297</v>
      </c>
      <c r="AH23" s="7" t="n">
        <v>0.614</v>
      </c>
      <c r="AI23" s="7" t="n">
        <v>-0.006</v>
      </c>
      <c r="AJ23" s="7" t="n">
        <v>0.234</v>
      </c>
      <c r="AK23" s="7" t="n">
        <v>-0.036</v>
      </c>
      <c r="AL23" s="7" t="n">
        <v>0.304</v>
      </c>
      <c r="AM23" s="7" t="n">
        <v>0</v>
      </c>
      <c r="AN23" s="7" t="n">
        <v>0.289</v>
      </c>
      <c r="AO23" s="7" t="n">
        <v>0.251</v>
      </c>
      <c r="AP23" s="7" t="n">
        <v>0.222</v>
      </c>
      <c r="AQ23" s="7" t="n">
        <v>-0.006</v>
      </c>
    </row>
    <row r="24" customFormat="false" ht="15" hidden="false" customHeight="false" outlineLevel="0" collapsed="false">
      <c r="A24" s="23" t="n">
        <v>46341</v>
      </c>
      <c r="B24" s="7" t="n">
        <v>0.543</v>
      </c>
      <c r="C24" s="7" t="n">
        <v>0.382</v>
      </c>
      <c r="D24" s="7" t="n">
        <v>0.07</v>
      </c>
      <c r="E24" s="7" t="n">
        <v>0.231</v>
      </c>
      <c r="F24" s="7" t="n">
        <v>0.524</v>
      </c>
      <c r="G24" s="7" t="n">
        <v>0.304</v>
      </c>
      <c r="H24" s="7" t="n">
        <v>0.231</v>
      </c>
      <c r="I24" s="7" t="n">
        <v>0.254</v>
      </c>
      <c r="J24" s="7" t="n">
        <v>-0.237</v>
      </c>
      <c r="K24" s="7" t="n">
        <v>0.009</v>
      </c>
      <c r="L24" s="7" t="n">
        <v>0.361</v>
      </c>
      <c r="M24" s="7" t="n">
        <v>-0.02</v>
      </c>
      <c r="N24" s="7" t="n">
        <v>0.524</v>
      </c>
      <c r="O24" s="7" t="n">
        <v>0.334</v>
      </c>
      <c r="P24" s="7" t="n">
        <v>0.062</v>
      </c>
      <c r="Q24" s="7" t="n">
        <v>0.161</v>
      </c>
      <c r="R24" s="7" t="n">
        <v>0.132</v>
      </c>
      <c r="S24" s="7" t="n">
        <v>0.137</v>
      </c>
      <c r="T24" s="7" t="n">
        <v>-0.261</v>
      </c>
      <c r="U24" s="7" t="n">
        <v>0.31</v>
      </c>
      <c r="V24" s="7" t="n">
        <v>0.281</v>
      </c>
      <c r="W24" s="7" t="n">
        <v>0.161</v>
      </c>
      <c r="X24" s="7" t="n">
        <v>0.068</v>
      </c>
      <c r="Y24" s="7" t="n">
        <v>0.258</v>
      </c>
      <c r="Z24" s="7" t="n">
        <v>0.231</v>
      </c>
      <c r="AA24" s="7" t="n">
        <v>-0.166</v>
      </c>
      <c r="AB24" s="7" t="n">
        <v>-0.102</v>
      </c>
      <c r="AC24" s="7" t="n">
        <v>0.161</v>
      </c>
      <c r="AD24" s="7" t="n">
        <v>0.483</v>
      </c>
      <c r="AE24" s="7" t="n">
        <v>0.524</v>
      </c>
      <c r="AF24" s="7" t="n">
        <v>0.157</v>
      </c>
      <c r="AG24" s="7" t="n">
        <v>0.297</v>
      </c>
      <c r="AH24" s="7" t="n">
        <v>0.614</v>
      </c>
      <c r="AI24" s="7" t="n">
        <v>-0.006</v>
      </c>
      <c r="AJ24" s="7" t="n">
        <v>0.234</v>
      </c>
      <c r="AK24" s="7" t="n">
        <v>-0.036</v>
      </c>
      <c r="AL24" s="7" t="n">
        <v>0.304</v>
      </c>
      <c r="AM24" s="7" t="n">
        <v>0</v>
      </c>
      <c r="AN24" s="7" t="n">
        <v>0.289</v>
      </c>
      <c r="AO24" s="7" t="n">
        <v>0.251</v>
      </c>
      <c r="AP24" s="7" t="n">
        <v>0.222</v>
      </c>
      <c r="AQ24" s="7" t="n">
        <v>-0.006</v>
      </c>
    </row>
    <row r="25" customFormat="false" ht="15" hidden="false" customHeight="false" outlineLevel="0" collapsed="false">
      <c r="A25" s="23" t="n">
        <v>46342</v>
      </c>
      <c r="B25" s="7" t="n">
        <v>0.543</v>
      </c>
      <c r="C25" s="7" t="n">
        <v>0.382</v>
      </c>
      <c r="D25" s="7" t="n">
        <v>0.07</v>
      </c>
      <c r="E25" s="7" t="n">
        <v>0.231</v>
      </c>
      <c r="F25" s="7" t="n">
        <v>0.524</v>
      </c>
      <c r="G25" s="7" t="n">
        <v>0.304</v>
      </c>
      <c r="H25" s="7" t="n">
        <v>0.231</v>
      </c>
      <c r="I25" s="7" t="n">
        <v>0.254</v>
      </c>
      <c r="J25" s="7" t="n">
        <v>-0.237</v>
      </c>
      <c r="K25" s="7" t="n">
        <v>0.009</v>
      </c>
      <c r="L25" s="7" t="n">
        <v>0.361</v>
      </c>
      <c r="M25" s="7" t="n">
        <v>-0.02</v>
      </c>
      <c r="N25" s="7" t="n">
        <v>0.524</v>
      </c>
      <c r="O25" s="7" t="n">
        <v>0.334</v>
      </c>
      <c r="P25" s="7" t="n">
        <v>0.062</v>
      </c>
      <c r="Q25" s="7" t="n">
        <v>0.161</v>
      </c>
      <c r="R25" s="7" t="n">
        <v>0.132</v>
      </c>
      <c r="S25" s="7" t="n">
        <v>0.137</v>
      </c>
      <c r="T25" s="7" t="n">
        <v>-0.261</v>
      </c>
      <c r="U25" s="7" t="n">
        <v>0.31</v>
      </c>
      <c r="V25" s="7" t="n">
        <v>0.281</v>
      </c>
      <c r="W25" s="7" t="n">
        <v>0.161</v>
      </c>
      <c r="X25" s="7" t="n">
        <v>0.068</v>
      </c>
      <c r="Y25" s="7" t="n">
        <v>0.258</v>
      </c>
      <c r="Z25" s="7" t="n">
        <v>0.231</v>
      </c>
      <c r="AA25" s="7" t="n">
        <v>-0.166</v>
      </c>
      <c r="AB25" s="7" t="n">
        <v>-0.102</v>
      </c>
      <c r="AC25" s="7" t="n">
        <v>0.161</v>
      </c>
      <c r="AD25" s="7" t="n">
        <v>0.483</v>
      </c>
      <c r="AE25" s="7" t="n">
        <v>0.524</v>
      </c>
      <c r="AF25" s="7" t="n">
        <v>0.157</v>
      </c>
      <c r="AG25" s="7" t="n">
        <v>0.297</v>
      </c>
      <c r="AH25" s="7" t="n">
        <v>0.614</v>
      </c>
      <c r="AI25" s="7" t="n">
        <v>-0.006</v>
      </c>
      <c r="AJ25" s="7" t="n">
        <v>0.234</v>
      </c>
      <c r="AK25" s="7" t="n">
        <v>-0.036</v>
      </c>
      <c r="AL25" s="7" t="n">
        <v>0.304</v>
      </c>
      <c r="AM25" s="7" t="n">
        <v>0</v>
      </c>
      <c r="AN25" s="7" t="n">
        <v>0.289</v>
      </c>
      <c r="AO25" s="7" t="n">
        <v>0.251</v>
      </c>
      <c r="AP25" s="7" t="n">
        <v>0.222</v>
      </c>
      <c r="AQ25" s="7" t="n">
        <v>-0.006</v>
      </c>
    </row>
    <row r="26" customFormat="false" ht="15" hidden="false" customHeight="false" outlineLevel="0" collapsed="false">
      <c r="A26" s="23" t="n">
        <v>46343</v>
      </c>
      <c r="B26" s="7" t="n">
        <v>0.555</v>
      </c>
      <c r="C26" s="7" t="n">
        <v>0.41</v>
      </c>
      <c r="D26" s="7" t="n">
        <v>0.085</v>
      </c>
      <c r="E26" s="7" t="n">
        <v>0.186</v>
      </c>
      <c r="F26" s="7" t="n">
        <v>0.513</v>
      </c>
      <c r="G26" s="7" t="n">
        <v>0.378</v>
      </c>
      <c r="H26" s="7" t="n">
        <v>0.244</v>
      </c>
      <c r="I26" s="7" t="n">
        <v>0.283</v>
      </c>
      <c r="J26" s="7" t="n">
        <v>-0.172</v>
      </c>
      <c r="K26" s="7" t="n">
        <v>0.009</v>
      </c>
      <c r="L26" s="7" t="n">
        <v>0.314</v>
      </c>
      <c r="M26" s="7" t="n">
        <v>0.002</v>
      </c>
      <c r="N26" s="7" t="n">
        <v>0.513</v>
      </c>
      <c r="O26" s="7" t="n">
        <v>0.383</v>
      </c>
      <c r="P26" s="7" t="n">
        <v>0.225</v>
      </c>
      <c r="Q26" s="7" t="n">
        <v>0.139</v>
      </c>
      <c r="R26" s="7" t="n">
        <v>0.13</v>
      </c>
      <c r="S26" s="7" t="n">
        <v>0.11</v>
      </c>
      <c r="T26" s="7" t="n">
        <v>-0.382</v>
      </c>
      <c r="U26" s="7" t="n">
        <v>0.342</v>
      </c>
      <c r="V26" s="7" t="n">
        <v>0.318</v>
      </c>
      <c r="W26" s="7" t="n">
        <v>0.139</v>
      </c>
      <c r="X26" s="7" t="n">
        <v>0.107</v>
      </c>
      <c r="Y26" s="7" t="n">
        <v>0.305</v>
      </c>
      <c r="Z26" s="7" t="n">
        <v>0.186</v>
      </c>
      <c r="AA26" s="7" t="n">
        <v>-0.239</v>
      </c>
      <c r="AB26" s="7" t="n">
        <v>-0.058</v>
      </c>
      <c r="AC26" s="7" t="n">
        <v>0.139</v>
      </c>
      <c r="AD26" s="7" t="n">
        <v>0.509</v>
      </c>
      <c r="AE26" s="7" t="n">
        <v>0.513</v>
      </c>
      <c r="AF26" s="7" t="n">
        <v>0.139</v>
      </c>
      <c r="AG26" s="7" t="n">
        <v>0.368</v>
      </c>
      <c r="AH26" s="7" t="n">
        <v>0.613</v>
      </c>
      <c r="AI26" s="7" t="n">
        <v>0.13</v>
      </c>
      <c r="AJ26" s="7" t="n">
        <v>0.29</v>
      </c>
      <c r="AK26" s="7" t="n">
        <v>-0.046</v>
      </c>
      <c r="AL26" s="7" t="n">
        <v>0.485</v>
      </c>
      <c r="AM26" s="7" t="n">
        <v>0</v>
      </c>
      <c r="AN26" s="7" t="n">
        <v>0.359</v>
      </c>
      <c r="AO26" s="7" t="n">
        <v>0.207</v>
      </c>
      <c r="AP26" s="7" t="n">
        <v>0.177</v>
      </c>
      <c r="AQ26" s="7" t="n">
        <v>0.13</v>
      </c>
    </row>
    <row r="27" customFormat="false" ht="15" hidden="false" customHeight="false" outlineLevel="0" collapsed="false">
      <c r="A27" s="23" t="n">
        <v>46344</v>
      </c>
      <c r="B27" s="7" t="n">
        <v>0.53</v>
      </c>
      <c r="C27" s="7" t="n">
        <v>0.488</v>
      </c>
      <c r="D27" s="7" t="n">
        <v>0.085</v>
      </c>
      <c r="E27" s="7" t="n">
        <v>0.142</v>
      </c>
      <c r="F27" s="7" t="n">
        <v>0.486</v>
      </c>
      <c r="G27" s="7" t="n">
        <v>0.378</v>
      </c>
      <c r="H27" s="7" t="n">
        <v>0.193</v>
      </c>
      <c r="I27" s="7" t="n">
        <v>0.27</v>
      </c>
      <c r="J27" s="7" t="n">
        <v>-0.11</v>
      </c>
      <c r="K27" s="7" t="n">
        <v>0.009</v>
      </c>
      <c r="L27" s="7" t="n">
        <v>0.354</v>
      </c>
      <c r="M27" s="7" t="n">
        <v>0.021</v>
      </c>
      <c r="N27" s="7" t="n">
        <v>0.486</v>
      </c>
      <c r="O27" s="7" t="n">
        <v>0.385</v>
      </c>
      <c r="P27" s="7" t="n">
        <v>0.324</v>
      </c>
      <c r="Q27" s="7" t="n">
        <v>0.223</v>
      </c>
      <c r="R27" s="7" t="n">
        <v>0.091</v>
      </c>
      <c r="S27" s="7" t="n">
        <v>0.104</v>
      </c>
      <c r="T27" s="7" t="n">
        <v>-0.448</v>
      </c>
      <c r="U27" s="7" t="n">
        <v>0.381</v>
      </c>
      <c r="V27" s="7" t="n">
        <v>0.308</v>
      </c>
      <c r="W27" s="7" t="n">
        <v>0.223</v>
      </c>
      <c r="X27" s="7" t="n">
        <v>0.133</v>
      </c>
      <c r="Y27" s="7" t="n">
        <v>0.291</v>
      </c>
      <c r="Z27" s="7" t="n">
        <v>0.142</v>
      </c>
      <c r="AA27" s="7" t="n">
        <v>-0.274</v>
      </c>
      <c r="AB27" s="7" t="n">
        <v>0.013</v>
      </c>
      <c r="AC27" s="7" t="n">
        <v>0.223</v>
      </c>
      <c r="AD27" s="7" t="n">
        <v>0.472</v>
      </c>
      <c r="AE27" s="7" t="n">
        <v>0.486</v>
      </c>
      <c r="AF27" s="7" t="n">
        <v>0.223</v>
      </c>
      <c r="AG27" s="7" t="n">
        <v>0.366</v>
      </c>
      <c r="AH27" s="7" t="n">
        <v>0.612</v>
      </c>
      <c r="AI27" s="7" t="n">
        <v>0.214</v>
      </c>
      <c r="AJ27" s="7" t="n">
        <v>0.282</v>
      </c>
      <c r="AK27" s="7" t="n">
        <v>-0.05</v>
      </c>
      <c r="AL27" s="7" t="n">
        <v>0.544</v>
      </c>
      <c r="AM27" s="7" t="n">
        <v>0</v>
      </c>
      <c r="AN27" s="7" t="n">
        <v>0.358</v>
      </c>
      <c r="AO27" s="7" t="n">
        <v>0.164</v>
      </c>
      <c r="AP27" s="7" t="n">
        <v>0.133</v>
      </c>
      <c r="AQ27" s="7" t="n">
        <v>0.214</v>
      </c>
    </row>
    <row r="28" customFormat="false" ht="15" hidden="false" customHeight="false" outlineLevel="0" collapsed="false">
      <c r="A28" s="23" t="n">
        <v>46345</v>
      </c>
      <c r="B28" s="7" t="n">
        <v>0.495</v>
      </c>
      <c r="C28" s="7" t="n">
        <v>0.563</v>
      </c>
      <c r="D28" s="7" t="n">
        <v>0.085</v>
      </c>
      <c r="E28" s="7" t="n">
        <v>0.097</v>
      </c>
      <c r="F28" s="7" t="n">
        <v>0.458</v>
      </c>
      <c r="G28" s="7" t="n">
        <v>0.378</v>
      </c>
      <c r="H28" s="7" t="n">
        <v>0.139</v>
      </c>
      <c r="I28" s="7" t="n">
        <v>0.22</v>
      </c>
      <c r="J28" s="7" t="n">
        <v>-0.049</v>
      </c>
      <c r="K28" s="7" t="n">
        <v>0.009</v>
      </c>
      <c r="L28" s="7" t="n">
        <v>0.392</v>
      </c>
      <c r="M28" s="7" t="n">
        <v>0.038</v>
      </c>
      <c r="N28" s="7" t="n">
        <v>0.458</v>
      </c>
      <c r="O28" s="7" t="n">
        <v>0.386</v>
      </c>
      <c r="P28" s="7" t="n">
        <v>0.419</v>
      </c>
      <c r="Q28" s="7" t="n">
        <v>0.305</v>
      </c>
      <c r="R28" s="7" t="n">
        <v>0.048</v>
      </c>
      <c r="S28" s="7" t="n">
        <v>0.097</v>
      </c>
      <c r="T28" s="7" t="n">
        <v>-0.515</v>
      </c>
      <c r="U28" s="7" t="n">
        <v>0.42</v>
      </c>
      <c r="V28" s="7" t="n">
        <v>0.263</v>
      </c>
      <c r="W28" s="7" t="n">
        <v>0.305</v>
      </c>
      <c r="X28" s="7" t="n">
        <v>0.157</v>
      </c>
      <c r="Y28" s="7" t="n">
        <v>0.275</v>
      </c>
      <c r="Z28" s="7" t="n">
        <v>0.097</v>
      </c>
      <c r="AA28" s="7" t="n">
        <v>-0.311</v>
      </c>
      <c r="AB28" s="7" t="n">
        <v>0.018</v>
      </c>
      <c r="AC28" s="7" t="n">
        <v>0.305</v>
      </c>
      <c r="AD28" s="7" t="n">
        <v>0.434</v>
      </c>
      <c r="AE28" s="7" t="n">
        <v>0.458</v>
      </c>
      <c r="AF28" s="7" t="n">
        <v>0.305</v>
      </c>
      <c r="AG28" s="7" t="n">
        <v>0.363</v>
      </c>
      <c r="AH28" s="7" t="n">
        <v>0.611</v>
      </c>
      <c r="AI28" s="7" t="n">
        <v>0.297</v>
      </c>
      <c r="AJ28" s="7" t="n">
        <v>0.272</v>
      </c>
      <c r="AK28" s="7" t="n">
        <v>-0.055</v>
      </c>
      <c r="AL28" s="7" t="n">
        <v>0.602</v>
      </c>
      <c r="AM28" s="7" t="n">
        <v>0</v>
      </c>
      <c r="AN28" s="7" t="n">
        <v>0.355</v>
      </c>
      <c r="AO28" s="7" t="n">
        <v>0.122</v>
      </c>
      <c r="AP28" s="7" t="n">
        <v>0.088</v>
      </c>
      <c r="AQ28" s="7" t="n">
        <v>0.297</v>
      </c>
    </row>
    <row r="29" customFormat="false" ht="15" hidden="false" customHeight="false" outlineLevel="0" collapsed="false">
      <c r="A29" s="23" t="n">
        <v>46346</v>
      </c>
      <c r="B29" s="7" t="n">
        <v>0.496</v>
      </c>
      <c r="C29" s="7" t="n">
        <v>0.62</v>
      </c>
      <c r="D29" s="7" t="n">
        <v>0.183</v>
      </c>
      <c r="E29" s="7" t="n">
        <v>0.053</v>
      </c>
      <c r="F29" s="7" t="n">
        <v>0.429</v>
      </c>
      <c r="G29" s="7" t="n">
        <v>0.45</v>
      </c>
      <c r="H29" s="7" t="n">
        <v>0.168</v>
      </c>
      <c r="I29" s="7" t="n">
        <v>0.172</v>
      </c>
      <c r="J29" s="7" t="n">
        <v>0.009</v>
      </c>
      <c r="K29" s="7" t="n">
        <v>0.009</v>
      </c>
      <c r="L29" s="7" t="n">
        <v>0.429</v>
      </c>
      <c r="M29" s="7" t="n">
        <v>0.053</v>
      </c>
      <c r="N29" s="7" t="n">
        <v>0.429</v>
      </c>
      <c r="O29" s="7" t="n">
        <v>0.385</v>
      </c>
      <c r="P29" s="7" t="n">
        <v>0.542</v>
      </c>
      <c r="Q29" s="7" t="n">
        <v>0.385</v>
      </c>
      <c r="R29" s="7" t="n">
        <v>0.098</v>
      </c>
      <c r="S29" s="7" t="n">
        <v>0.117</v>
      </c>
      <c r="T29" s="7" t="n">
        <v>-0.517</v>
      </c>
      <c r="U29" s="7" t="n">
        <v>0.5</v>
      </c>
      <c r="V29" s="7" t="n">
        <v>0.228</v>
      </c>
      <c r="W29" s="7" t="n">
        <v>0.385</v>
      </c>
      <c r="X29" s="7" t="n">
        <v>0.228</v>
      </c>
      <c r="Y29" s="7" t="n">
        <v>0.344</v>
      </c>
      <c r="Z29" s="7" t="n">
        <v>0.053</v>
      </c>
      <c r="AA29" s="7" t="n">
        <v>-0.253</v>
      </c>
      <c r="AB29" s="7" t="n">
        <v>0.009</v>
      </c>
      <c r="AC29" s="7" t="n">
        <v>0.385</v>
      </c>
      <c r="AD29" s="7" t="n">
        <v>0.394</v>
      </c>
      <c r="AE29" s="7" t="n">
        <v>0.429</v>
      </c>
      <c r="AF29" s="7" t="n">
        <v>0.385</v>
      </c>
      <c r="AG29" s="7" t="n">
        <v>0.359</v>
      </c>
      <c r="AH29" s="7" t="n">
        <v>0.644</v>
      </c>
      <c r="AI29" s="7" t="n">
        <v>0.377</v>
      </c>
      <c r="AJ29" s="7" t="n">
        <v>0.246</v>
      </c>
      <c r="AK29" s="7" t="n">
        <v>-0.069</v>
      </c>
      <c r="AL29" s="7" t="n">
        <v>0.684</v>
      </c>
      <c r="AM29" s="7" t="n">
        <v>0</v>
      </c>
      <c r="AN29" s="7" t="n">
        <v>0.351</v>
      </c>
      <c r="AO29" s="7" t="n">
        <v>0.144</v>
      </c>
      <c r="AP29" s="7" t="n">
        <v>0.044</v>
      </c>
      <c r="AQ29" s="7" t="n">
        <v>0.377</v>
      </c>
    </row>
    <row r="30" customFormat="false" ht="15" hidden="false" customHeight="false" outlineLevel="0" collapsed="false">
      <c r="A30" s="23" t="n">
        <v>46347</v>
      </c>
      <c r="B30" s="7" t="n">
        <v>0.552</v>
      </c>
      <c r="C30" s="7" t="n">
        <v>0.617</v>
      </c>
      <c r="D30" s="7" t="n">
        <v>0.28</v>
      </c>
      <c r="E30" s="7" t="n">
        <v>0.009</v>
      </c>
      <c r="F30" s="7" t="n">
        <v>0.464</v>
      </c>
      <c r="G30" s="7" t="n">
        <v>0.522</v>
      </c>
      <c r="H30" s="7" t="n">
        <v>0.195</v>
      </c>
      <c r="I30" s="7" t="n">
        <v>0.171</v>
      </c>
      <c r="J30" s="7" t="n">
        <v>0.009</v>
      </c>
      <c r="K30" s="7" t="n">
        <v>0.009</v>
      </c>
      <c r="L30" s="7" t="n">
        <v>0.464</v>
      </c>
      <c r="M30" s="7" t="n">
        <v>0.009</v>
      </c>
      <c r="N30" s="7" t="n">
        <v>0.464</v>
      </c>
      <c r="O30" s="7" t="n">
        <v>0.464</v>
      </c>
      <c r="P30" s="7" t="n">
        <v>0.66</v>
      </c>
      <c r="Q30" s="7" t="n">
        <v>0.464</v>
      </c>
      <c r="R30" s="7" t="n">
        <v>0.147</v>
      </c>
      <c r="S30" s="7" t="n">
        <v>0.138</v>
      </c>
      <c r="T30" s="7" t="n">
        <v>-0.519</v>
      </c>
      <c r="U30" s="7" t="n">
        <v>0.579</v>
      </c>
      <c r="V30" s="7" t="n">
        <v>0.237</v>
      </c>
      <c r="W30" s="7" t="n">
        <v>0.464</v>
      </c>
      <c r="X30" s="7" t="n">
        <v>0.296</v>
      </c>
      <c r="Y30" s="7" t="n">
        <v>0.413</v>
      </c>
      <c r="Z30" s="7" t="n">
        <v>0.009</v>
      </c>
      <c r="AA30" s="7" t="n">
        <v>-0.197</v>
      </c>
      <c r="AB30" s="7" t="n">
        <v>0.009</v>
      </c>
      <c r="AC30" s="7" t="n">
        <v>0.464</v>
      </c>
      <c r="AD30" s="7" t="n">
        <v>0.355</v>
      </c>
      <c r="AE30" s="7" t="n">
        <v>0.464</v>
      </c>
      <c r="AF30" s="7" t="n">
        <v>0.464</v>
      </c>
      <c r="AG30" s="7" t="n">
        <v>0.355</v>
      </c>
      <c r="AH30" s="7" t="n">
        <v>0.676</v>
      </c>
      <c r="AI30" s="7" t="n">
        <v>0.456</v>
      </c>
      <c r="AJ30" s="7" t="n">
        <v>0.219</v>
      </c>
      <c r="AK30" s="7" t="n">
        <v>-0.083</v>
      </c>
      <c r="AL30" s="7" t="n">
        <v>0.766</v>
      </c>
      <c r="AM30" s="7" t="n">
        <v>0</v>
      </c>
      <c r="AN30" s="7" t="n">
        <v>0.346</v>
      </c>
      <c r="AO30" s="7" t="n">
        <v>0.165</v>
      </c>
      <c r="AP30" s="7" t="n">
        <v>0</v>
      </c>
      <c r="AQ30" s="7" t="n">
        <v>0.456</v>
      </c>
    </row>
    <row r="31" customFormat="false" ht="15" hidden="false" customHeight="false" outlineLevel="0" collapsed="false">
      <c r="A31" s="23" t="n">
        <v>46348</v>
      </c>
      <c r="B31" s="7" t="n">
        <v>0.552</v>
      </c>
      <c r="C31" s="7" t="n">
        <v>0.617</v>
      </c>
      <c r="D31" s="7" t="n">
        <v>0.28</v>
      </c>
      <c r="E31" s="7" t="n">
        <v>0.009</v>
      </c>
      <c r="F31" s="7" t="n">
        <v>0.464</v>
      </c>
      <c r="G31" s="7" t="n">
        <v>0.522</v>
      </c>
      <c r="H31" s="7" t="n">
        <v>0.195</v>
      </c>
      <c r="I31" s="7" t="n">
        <v>0.171</v>
      </c>
      <c r="J31" s="7" t="n">
        <v>0.009</v>
      </c>
      <c r="K31" s="7" t="n">
        <v>0.009</v>
      </c>
      <c r="L31" s="7" t="n">
        <v>0.464</v>
      </c>
      <c r="M31" s="7" t="n">
        <v>0.009</v>
      </c>
      <c r="N31" s="7" t="n">
        <v>0.464</v>
      </c>
      <c r="O31" s="7" t="n">
        <v>0.464</v>
      </c>
      <c r="P31" s="7" t="n">
        <v>0.66</v>
      </c>
      <c r="Q31" s="7" t="n">
        <v>0.464</v>
      </c>
      <c r="R31" s="7" t="n">
        <v>0.147</v>
      </c>
      <c r="S31" s="7" t="n">
        <v>0.138</v>
      </c>
      <c r="T31" s="7" t="n">
        <v>-0.519</v>
      </c>
      <c r="U31" s="7" t="n">
        <v>0.579</v>
      </c>
      <c r="V31" s="7" t="n">
        <v>0.237</v>
      </c>
      <c r="W31" s="7" t="n">
        <v>0.464</v>
      </c>
      <c r="X31" s="7" t="n">
        <v>0.296</v>
      </c>
      <c r="Y31" s="7" t="n">
        <v>0.413</v>
      </c>
      <c r="Z31" s="7" t="n">
        <v>0.009</v>
      </c>
      <c r="AA31" s="7" t="n">
        <v>-0.197</v>
      </c>
      <c r="AB31" s="7" t="n">
        <v>0.009</v>
      </c>
      <c r="AC31" s="7" t="n">
        <v>0.464</v>
      </c>
      <c r="AD31" s="7" t="n">
        <v>0.355</v>
      </c>
      <c r="AE31" s="7" t="n">
        <v>0.464</v>
      </c>
      <c r="AF31" s="7" t="n">
        <v>0.464</v>
      </c>
      <c r="AG31" s="7" t="n">
        <v>0.355</v>
      </c>
      <c r="AH31" s="7" t="n">
        <v>0.676</v>
      </c>
      <c r="AI31" s="7" t="n">
        <v>0.456</v>
      </c>
      <c r="AJ31" s="7" t="n">
        <v>0.219</v>
      </c>
      <c r="AK31" s="7" t="n">
        <v>-0.083</v>
      </c>
      <c r="AL31" s="7" t="n">
        <v>0.766</v>
      </c>
      <c r="AM31" s="7" t="n">
        <v>0</v>
      </c>
      <c r="AN31" s="7" t="n">
        <v>0.346</v>
      </c>
      <c r="AO31" s="7" t="n">
        <v>0.165</v>
      </c>
      <c r="AP31" s="7" t="n">
        <v>0</v>
      </c>
      <c r="AQ31" s="7" t="n">
        <v>0.456</v>
      </c>
    </row>
    <row r="32" customFormat="false" ht="15" hidden="false" customHeight="false" outlineLevel="0" collapsed="false">
      <c r="A32" s="23" t="n">
        <v>46349</v>
      </c>
      <c r="B32" s="7" t="n">
        <v>0.552</v>
      </c>
      <c r="C32" s="7" t="n">
        <v>0.617</v>
      </c>
      <c r="D32" s="7" t="n">
        <v>0.28</v>
      </c>
      <c r="E32" s="7" t="n">
        <v>0.009</v>
      </c>
      <c r="F32" s="7" t="n">
        <v>0.464</v>
      </c>
      <c r="G32" s="7" t="n">
        <v>0.522</v>
      </c>
      <c r="H32" s="7" t="n">
        <v>0.195</v>
      </c>
      <c r="I32" s="7" t="n">
        <v>0.171</v>
      </c>
      <c r="J32" s="7" t="n">
        <v>0.009</v>
      </c>
      <c r="K32" s="7" t="n">
        <v>0.009</v>
      </c>
      <c r="L32" s="7" t="n">
        <v>0.464</v>
      </c>
      <c r="M32" s="7" t="n">
        <v>0.009</v>
      </c>
      <c r="N32" s="7" t="n">
        <v>0.464</v>
      </c>
      <c r="O32" s="7" t="n">
        <v>0.464</v>
      </c>
      <c r="P32" s="7" t="n">
        <v>0.66</v>
      </c>
      <c r="Q32" s="7" t="n">
        <v>0.464</v>
      </c>
      <c r="R32" s="7" t="n">
        <v>0.147</v>
      </c>
      <c r="S32" s="7" t="n">
        <v>0.138</v>
      </c>
      <c r="T32" s="7" t="n">
        <v>-0.519</v>
      </c>
      <c r="U32" s="7" t="n">
        <v>0.579</v>
      </c>
      <c r="V32" s="7" t="n">
        <v>0.237</v>
      </c>
      <c r="W32" s="7" t="n">
        <v>0.464</v>
      </c>
      <c r="X32" s="7" t="n">
        <v>0.296</v>
      </c>
      <c r="Y32" s="7" t="n">
        <v>0.413</v>
      </c>
      <c r="Z32" s="7" t="n">
        <v>0.009</v>
      </c>
      <c r="AA32" s="7" t="n">
        <v>-0.197</v>
      </c>
      <c r="AB32" s="7" t="n">
        <v>0.009</v>
      </c>
      <c r="AC32" s="7" t="n">
        <v>0.464</v>
      </c>
      <c r="AD32" s="7" t="n">
        <v>0.355</v>
      </c>
      <c r="AE32" s="7" t="n">
        <v>0.464</v>
      </c>
      <c r="AF32" s="7" t="n">
        <v>0.464</v>
      </c>
      <c r="AG32" s="7" t="n">
        <v>0.355</v>
      </c>
      <c r="AH32" s="7" t="n">
        <v>0.676</v>
      </c>
      <c r="AI32" s="7" t="n">
        <v>0.456</v>
      </c>
      <c r="AJ32" s="7" t="n">
        <v>0.219</v>
      </c>
      <c r="AK32" s="7" t="n">
        <v>-0.083</v>
      </c>
      <c r="AL32" s="7" t="n">
        <v>0.766</v>
      </c>
      <c r="AM32" s="7" t="n">
        <v>0</v>
      </c>
      <c r="AN32" s="7" t="n">
        <v>0.346</v>
      </c>
      <c r="AO32" s="7" t="n">
        <v>0.165</v>
      </c>
      <c r="AP32" s="7" t="n">
        <v>0</v>
      </c>
      <c r="AQ32" s="7" t="n">
        <v>0.456</v>
      </c>
    </row>
    <row r="33" customFormat="false" ht="15" hidden="false" customHeight="false" outlineLevel="0" collapsed="false">
      <c r="A33" s="23" t="n">
        <v>46350</v>
      </c>
      <c r="B33" s="7" t="n">
        <v>0.585</v>
      </c>
      <c r="C33" s="7" t="n">
        <v>0.575</v>
      </c>
      <c r="D33" s="7" t="n">
        <v>0.376</v>
      </c>
      <c r="E33" s="7" t="n">
        <v>0.009</v>
      </c>
      <c r="F33" s="7" t="n">
        <v>0.452</v>
      </c>
      <c r="G33" s="7" t="n">
        <v>0.592</v>
      </c>
      <c r="H33" s="7" t="n">
        <v>0.246</v>
      </c>
      <c r="I33" s="7" t="n">
        <v>0.222</v>
      </c>
      <c r="J33" s="7" t="n">
        <v>0.009</v>
      </c>
      <c r="K33" s="7" t="n">
        <v>0.009</v>
      </c>
      <c r="L33" s="7" t="n">
        <v>0.452</v>
      </c>
      <c r="M33" s="7" t="n">
        <v>0.009</v>
      </c>
      <c r="N33" s="7" t="n">
        <v>0.452</v>
      </c>
      <c r="O33" s="7" t="n">
        <v>0.452</v>
      </c>
      <c r="P33" s="7" t="n">
        <v>0.678</v>
      </c>
      <c r="Q33" s="7" t="n">
        <v>0.452</v>
      </c>
      <c r="R33" s="7" t="n">
        <v>0.213</v>
      </c>
      <c r="S33" s="7" t="n">
        <v>0.158</v>
      </c>
      <c r="T33" s="7" t="n">
        <v>-0.487</v>
      </c>
      <c r="U33" s="7" t="n">
        <v>0.62</v>
      </c>
      <c r="V33" s="7" t="n">
        <v>0.296</v>
      </c>
      <c r="W33" s="7" t="n">
        <v>0.452</v>
      </c>
      <c r="X33" s="7" t="n">
        <v>0.337</v>
      </c>
      <c r="Y33" s="7" t="n">
        <v>0.488</v>
      </c>
      <c r="Z33" s="7" t="n">
        <v>0.009</v>
      </c>
      <c r="AA33" s="7" t="n">
        <v>-0.125</v>
      </c>
      <c r="AB33" s="7" t="n">
        <v>0.009</v>
      </c>
      <c r="AC33" s="7" t="n">
        <v>0.452</v>
      </c>
      <c r="AD33" s="7" t="n">
        <v>0.35</v>
      </c>
      <c r="AE33" s="7" t="n">
        <v>0.452</v>
      </c>
      <c r="AF33" s="7" t="n">
        <v>0.452</v>
      </c>
      <c r="AG33" s="7" t="n">
        <v>0.35</v>
      </c>
      <c r="AH33" s="7" t="n">
        <v>0.714</v>
      </c>
      <c r="AI33" s="7" t="n">
        <v>0.444</v>
      </c>
      <c r="AJ33" s="7" t="n">
        <v>0.191</v>
      </c>
      <c r="AK33" s="7" t="n">
        <v>-0.097</v>
      </c>
      <c r="AL33" s="7" t="n">
        <v>0.789</v>
      </c>
      <c r="AM33" s="7" t="n">
        <v>0</v>
      </c>
      <c r="AN33" s="7" t="n">
        <v>0.342</v>
      </c>
      <c r="AO33" s="7" t="n">
        <v>0.241</v>
      </c>
      <c r="AP33" s="7" t="n">
        <v>0</v>
      </c>
      <c r="AQ33" s="7" t="n">
        <v>0.444</v>
      </c>
    </row>
    <row r="34" customFormat="false" ht="15" hidden="false" customHeight="false" outlineLevel="0" collapsed="false">
      <c r="A34" s="23" t="n">
        <v>46351</v>
      </c>
      <c r="B34" s="7" t="n">
        <v>0.616</v>
      </c>
      <c r="C34" s="7" t="n">
        <v>0.533</v>
      </c>
      <c r="D34" s="7" t="n">
        <v>0.472</v>
      </c>
      <c r="E34" s="7" t="n">
        <v>0.009</v>
      </c>
      <c r="F34" s="7" t="n">
        <v>0.44</v>
      </c>
      <c r="G34" s="7" t="n">
        <v>0.662</v>
      </c>
      <c r="H34" s="7" t="n">
        <v>0.299</v>
      </c>
      <c r="I34" s="7" t="n">
        <v>0.263</v>
      </c>
      <c r="J34" s="7" t="n">
        <v>0.009</v>
      </c>
      <c r="K34" s="7" t="n">
        <v>0.009</v>
      </c>
      <c r="L34" s="7" t="n">
        <v>0.44</v>
      </c>
      <c r="M34" s="7" t="n">
        <v>0.009</v>
      </c>
      <c r="N34" s="7" t="n">
        <v>0.44</v>
      </c>
      <c r="O34" s="7" t="n">
        <v>0.44</v>
      </c>
      <c r="P34" s="7" t="n">
        <v>0.694</v>
      </c>
      <c r="Q34" s="7" t="n">
        <v>0.44</v>
      </c>
      <c r="R34" s="7" t="n">
        <v>0.281</v>
      </c>
      <c r="S34" s="7" t="n">
        <v>0.179</v>
      </c>
      <c r="T34" s="7" t="n">
        <v>-0.452</v>
      </c>
      <c r="U34" s="7" t="n">
        <v>0.661</v>
      </c>
      <c r="V34" s="7" t="n">
        <v>0.345</v>
      </c>
      <c r="W34" s="7" t="n">
        <v>0.44</v>
      </c>
      <c r="X34" s="7" t="n">
        <v>0.377</v>
      </c>
      <c r="Y34" s="7" t="n">
        <v>0.565</v>
      </c>
      <c r="Z34" s="7" t="n">
        <v>0.009</v>
      </c>
      <c r="AA34" s="7" t="n">
        <v>-0.053</v>
      </c>
      <c r="AB34" s="7" t="n">
        <v>0.009</v>
      </c>
      <c r="AC34" s="7" t="n">
        <v>0.44</v>
      </c>
      <c r="AD34" s="7" t="n">
        <v>0.345</v>
      </c>
      <c r="AE34" s="7" t="n">
        <v>0.44</v>
      </c>
      <c r="AF34" s="7" t="n">
        <v>0.44</v>
      </c>
      <c r="AG34" s="7" t="n">
        <v>0.345</v>
      </c>
      <c r="AH34" s="7" t="n">
        <v>0.752</v>
      </c>
      <c r="AI34" s="7" t="n">
        <v>0.432</v>
      </c>
      <c r="AJ34" s="7" t="n">
        <v>0.163</v>
      </c>
      <c r="AK34" s="7" t="n">
        <v>-0.111</v>
      </c>
      <c r="AL34" s="7" t="n">
        <v>0.812</v>
      </c>
      <c r="AM34" s="7" t="n">
        <v>0</v>
      </c>
      <c r="AN34" s="7" t="n">
        <v>0.337</v>
      </c>
      <c r="AO34" s="7" t="n">
        <v>0.316</v>
      </c>
      <c r="AP34" s="7" t="n">
        <v>0</v>
      </c>
      <c r="AQ34" s="7" t="n">
        <v>0.432</v>
      </c>
    </row>
    <row r="35" customFormat="false" ht="15" hidden="false" customHeight="false" outlineLevel="0" collapsed="false">
      <c r="A35" s="23" t="n">
        <v>46352</v>
      </c>
      <c r="B35" s="7" t="n">
        <v>0.646</v>
      </c>
      <c r="C35" s="7" t="n">
        <v>0.492</v>
      </c>
      <c r="D35" s="7" t="n">
        <v>0.567</v>
      </c>
      <c r="E35" s="7" t="n">
        <v>0.009</v>
      </c>
      <c r="F35" s="7" t="n">
        <v>0.428</v>
      </c>
      <c r="G35" s="7" t="n">
        <v>0.731</v>
      </c>
      <c r="H35" s="7" t="n">
        <v>0.354</v>
      </c>
      <c r="I35" s="7" t="n">
        <v>0.302</v>
      </c>
      <c r="J35" s="7" t="n">
        <v>0.009</v>
      </c>
      <c r="K35" s="7" t="n">
        <v>0.009</v>
      </c>
      <c r="L35" s="7" t="n">
        <v>0.428</v>
      </c>
      <c r="M35" s="7" t="n">
        <v>0.009</v>
      </c>
      <c r="N35" s="7" t="n">
        <v>0.428</v>
      </c>
      <c r="O35" s="7" t="n">
        <v>0.428</v>
      </c>
      <c r="P35" s="7" t="n">
        <v>0.711</v>
      </c>
      <c r="Q35" s="7" t="n">
        <v>0.428</v>
      </c>
      <c r="R35" s="7" t="n">
        <v>0.35</v>
      </c>
      <c r="S35" s="7" t="n">
        <v>0.201</v>
      </c>
      <c r="T35" s="7" t="n">
        <v>-0.414</v>
      </c>
      <c r="U35" s="7" t="n">
        <v>0.701</v>
      </c>
      <c r="V35" s="7" t="n">
        <v>0.392</v>
      </c>
      <c r="W35" s="7" t="n">
        <v>0.428</v>
      </c>
      <c r="X35" s="7" t="n">
        <v>0.416</v>
      </c>
      <c r="Y35" s="7" t="n">
        <v>0.644</v>
      </c>
      <c r="Z35" s="7" t="n">
        <v>0.009</v>
      </c>
      <c r="AA35" s="7" t="n">
        <v>0.021</v>
      </c>
      <c r="AB35" s="7" t="n">
        <v>0.009</v>
      </c>
      <c r="AC35" s="7" t="n">
        <v>0.428</v>
      </c>
      <c r="AD35" s="7" t="n">
        <v>0.34</v>
      </c>
      <c r="AE35" s="7" t="n">
        <v>0.428</v>
      </c>
      <c r="AF35" s="7" t="n">
        <v>0.428</v>
      </c>
      <c r="AG35" s="7" t="n">
        <v>0.34</v>
      </c>
      <c r="AH35" s="7" t="n">
        <v>0.79</v>
      </c>
      <c r="AI35" s="7" t="n">
        <v>0.42</v>
      </c>
      <c r="AJ35" s="7" t="n">
        <v>0.137</v>
      </c>
      <c r="AK35" s="7" t="n">
        <v>-0.123</v>
      </c>
      <c r="AL35" s="7" t="n">
        <v>0.835</v>
      </c>
      <c r="AM35" s="7" t="n">
        <v>0</v>
      </c>
      <c r="AN35" s="7" t="n">
        <v>0.332</v>
      </c>
      <c r="AO35" s="7" t="n">
        <v>0.391</v>
      </c>
      <c r="AP35" s="7" t="n">
        <v>0</v>
      </c>
      <c r="AQ35" s="7" t="n">
        <v>0.42</v>
      </c>
    </row>
    <row r="36" customFormat="false" ht="15" hidden="false" customHeight="false" outlineLevel="0" collapsed="false">
      <c r="A36" s="23" t="n">
        <v>46353</v>
      </c>
      <c r="B36" s="7" t="n">
        <v>0.584</v>
      </c>
      <c r="C36" s="7" t="n">
        <v>0.365</v>
      </c>
      <c r="D36" s="7" t="n">
        <v>0.503</v>
      </c>
      <c r="E36" s="7" t="n">
        <v>0.057</v>
      </c>
      <c r="F36" s="7" t="n">
        <v>0.414</v>
      </c>
      <c r="G36" s="7" t="n">
        <v>0.682</v>
      </c>
      <c r="H36" s="7" t="n">
        <v>0.27</v>
      </c>
      <c r="I36" s="7" t="n">
        <v>0.241</v>
      </c>
      <c r="J36" s="7" t="n">
        <v>0.009</v>
      </c>
      <c r="K36" s="7" t="n">
        <v>0.008</v>
      </c>
      <c r="L36" s="7" t="n">
        <v>0.36</v>
      </c>
      <c r="M36" s="7" t="n">
        <v>0.009</v>
      </c>
      <c r="N36" s="7" t="n">
        <v>0.414</v>
      </c>
      <c r="O36" s="7" t="n">
        <v>0.36</v>
      </c>
      <c r="P36" s="7" t="n">
        <v>0.593</v>
      </c>
      <c r="Q36" s="7" t="n">
        <v>0.36</v>
      </c>
      <c r="R36" s="7" t="n">
        <v>0.269</v>
      </c>
      <c r="S36" s="7" t="n">
        <v>0.159</v>
      </c>
      <c r="T36" s="7" t="n">
        <v>-0.418</v>
      </c>
      <c r="U36" s="7" t="n">
        <v>0.662</v>
      </c>
      <c r="V36" s="7" t="n">
        <v>0.327</v>
      </c>
      <c r="W36" s="7" t="n">
        <v>0.36</v>
      </c>
      <c r="X36" s="7" t="n">
        <v>0.337</v>
      </c>
      <c r="Y36" s="7" t="n">
        <v>0.598</v>
      </c>
      <c r="Z36" s="7" t="n">
        <v>0.008</v>
      </c>
      <c r="AA36" s="7" t="n">
        <v>0.012</v>
      </c>
      <c r="AB36" s="7" t="n">
        <v>0.009</v>
      </c>
      <c r="AC36" s="7" t="n">
        <v>0.36</v>
      </c>
      <c r="AD36" s="7" t="n">
        <v>0.319</v>
      </c>
      <c r="AE36" s="7" t="n">
        <v>0.414</v>
      </c>
      <c r="AF36" s="7" t="n">
        <v>0.389</v>
      </c>
      <c r="AG36" s="7" t="n">
        <v>0.267</v>
      </c>
      <c r="AH36" s="7" t="n">
        <v>0.788</v>
      </c>
      <c r="AI36" s="7" t="n">
        <v>0.352</v>
      </c>
      <c r="AJ36" s="7" t="n">
        <v>0.069</v>
      </c>
      <c r="AK36" s="7" t="n">
        <v>-0.119</v>
      </c>
      <c r="AL36" s="7" t="n">
        <v>0.751</v>
      </c>
      <c r="AM36" s="7" t="n">
        <v>0</v>
      </c>
      <c r="AN36" s="7" t="n">
        <v>0.258</v>
      </c>
      <c r="AO36" s="7" t="n">
        <v>0.388</v>
      </c>
      <c r="AP36" s="7" t="n">
        <v>0</v>
      </c>
      <c r="AQ36" s="7" t="n">
        <v>0.352</v>
      </c>
    </row>
    <row r="37" customFormat="false" ht="15" hidden="false" customHeight="false" outlineLevel="0" collapsed="false">
      <c r="A37" s="23" t="n">
        <v>46354</v>
      </c>
      <c r="B37" s="7" t="n">
        <v>0.508</v>
      </c>
      <c r="C37" s="7" t="n">
        <v>0.241</v>
      </c>
      <c r="D37" s="7" t="n">
        <v>0.415</v>
      </c>
      <c r="E37" s="7" t="n">
        <v>0.106</v>
      </c>
      <c r="F37" s="7" t="n">
        <v>0.4</v>
      </c>
      <c r="G37" s="7" t="n">
        <v>0.633</v>
      </c>
      <c r="H37" s="7" t="n">
        <v>0.187</v>
      </c>
      <c r="I37" s="7" t="n">
        <v>0.155</v>
      </c>
      <c r="J37" s="7" t="n">
        <v>0.009</v>
      </c>
      <c r="K37" s="7" t="n">
        <v>0.006</v>
      </c>
      <c r="L37" s="7" t="n">
        <v>0.294</v>
      </c>
      <c r="M37" s="7" t="n">
        <v>0.009</v>
      </c>
      <c r="N37" s="7" t="n">
        <v>0.4</v>
      </c>
      <c r="O37" s="7" t="n">
        <v>0.294</v>
      </c>
      <c r="P37" s="7" t="n">
        <v>0.466</v>
      </c>
      <c r="Q37" s="7" t="n">
        <v>0.294</v>
      </c>
      <c r="R37" s="7" t="n">
        <v>0.176</v>
      </c>
      <c r="S37" s="7" t="n">
        <v>0.094</v>
      </c>
      <c r="T37" s="7" t="n">
        <v>-0.437</v>
      </c>
      <c r="U37" s="7" t="n">
        <v>0.621</v>
      </c>
      <c r="V37" s="7" t="n">
        <v>0.238</v>
      </c>
      <c r="W37" s="7" t="n">
        <v>0.294</v>
      </c>
      <c r="X37" s="7" t="n">
        <v>0.247</v>
      </c>
      <c r="Y37" s="7" t="n">
        <v>0.545</v>
      </c>
      <c r="Z37" s="7" t="n">
        <v>0.006</v>
      </c>
      <c r="AA37" s="7" t="n">
        <v>-0.007</v>
      </c>
      <c r="AB37" s="7" t="n">
        <v>0.009</v>
      </c>
      <c r="AC37" s="7" t="n">
        <v>0.294</v>
      </c>
      <c r="AD37" s="7" t="n">
        <v>0.296</v>
      </c>
      <c r="AE37" s="7" t="n">
        <v>0.4</v>
      </c>
      <c r="AF37" s="7" t="n">
        <v>0.35</v>
      </c>
      <c r="AG37" s="7" t="n">
        <v>0.193</v>
      </c>
      <c r="AH37" s="7" t="n">
        <v>0.787</v>
      </c>
      <c r="AI37" s="7" t="n">
        <v>0.286</v>
      </c>
      <c r="AJ37" s="7" t="n">
        <v>0.003</v>
      </c>
      <c r="AK37" s="7" t="n">
        <v>-0.113</v>
      </c>
      <c r="AL37" s="7" t="n">
        <v>0.667</v>
      </c>
      <c r="AM37" s="7" t="n">
        <v>0</v>
      </c>
      <c r="AN37" s="7" t="n">
        <v>0.184</v>
      </c>
      <c r="AO37" s="7" t="n">
        <v>0.385</v>
      </c>
      <c r="AP37" s="7" t="n">
        <v>0</v>
      </c>
      <c r="AQ37" s="7" t="n">
        <v>0.286</v>
      </c>
    </row>
    <row r="38" customFormat="false" ht="15" hidden="false" customHeight="false" outlineLevel="0" collapsed="false">
      <c r="A38" s="23" t="n">
        <v>46355</v>
      </c>
      <c r="B38" s="7" t="n">
        <v>0.508</v>
      </c>
      <c r="C38" s="7" t="n">
        <v>0.241</v>
      </c>
      <c r="D38" s="7" t="n">
        <v>0.415</v>
      </c>
      <c r="E38" s="7" t="n">
        <v>0.106</v>
      </c>
      <c r="F38" s="7" t="n">
        <v>0.4</v>
      </c>
      <c r="G38" s="7" t="n">
        <v>0.633</v>
      </c>
      <c r="H38" s="7" t="n">
        <v>0.187</v>
      </c>
      <c r="I38" s="7" t="n">
        <v>0.155</v>
      </c>
      <c r="J38" s="7" t="n">
        <v>0.009</v>
      </c>
      <c r="K38" s="7" t="n">
        <v>0.006</v>
      </c>
      <c r="L38" s="7" t="n">
        <v>0.294</v>
      </c>
      <c r="M38" s="7" t="n">
        <v>0.009</v>
      </c>
      <c r="N38" s="7" t="n">
        <v>0.4</v>
      </c>
      <c r="O38" s="7" t="n">
        <v>0.294</v>
      </c>
      <c r="P38" s="7" t="n">
        <v>0.466</v>
      </c>
      <c r="Q38" s="7" t="n">
        <v>0.294</v>
      </c>
      <c r="R38" s="7" t="n">
        <v>0.176</v>
      </c>
      <c r="S38" s="7" t="n">
        <v>0.094</v>
      </c>
      <c r="T38" s="7" t="n">
        <v>-0.437</v>
      </c>
      <c r="U38" s="7" t="n">
        <v>0.621</v>
      </c>
      <c r="V38" s="7" t="n">
        <v>0.238</v>
      </c>
      <c r="W38" s="7" t="n">
        <v>0.294</v>
      </c>
      <c r="X38" s="7" t="n">
        <v>0.247</v>
      </c>
      <c r="Y38" s="7" t="n">
        <v>0.545</v>
      </c>
      <c r="Z38" s="7" t="n">
        <v>0.006</v>
      </c>
      <c r="AA38" s="7" t="n">
        <v>-0.007</v>
      </c>
      <c r="AB38" s="7" t="n">
        <v>0.009</v>
      </c>
      <c r="AC38" s="7" t="n">
        <v>0.294</v>
      </c>
      <c r="AD38" s="7" t="n">
        <v>0.296</v>
      </c>
      <c r="AE38" s="7" t="n">
        <v>0.4</v>
      </c>
      <c r="AF38" s="7" t="n">
        <v>0.35</v>
      </c>
      <c r="AG38" s="7" t="n">
        <v>0.193</v>
      </c>
      <c r="AH38" s="7" t="n">
        <v>0.787</v>
      </c>
      <c r="AI38" s="7" t="n">
        <v>0.286</v>
      </c>
      <c r="AJ38" s="7" t="n">
        <v>0.003</v>
      </c>
      <c r="AK38" s="7" t="n">
        <v>-0.113</v>
      </c>
      <c r="AL38" s="7" t="n">
        <v>0.667</v>
      </c>
      <c r="AM38" s="7" t="n">
        <v>0</v>
      </c>
      <c r="AN38" s="7" t="n">
        <v>0.184</v>
      </c>
      <c r="AO38" s="7" t="n">
        <v>0.385</v>
      </c>
      <c r="AP38" s="7" t="n">
        <v>0</v>
      </c>
      <c r="AQ38" s="7" t="n">
        <v>0.286</v>
      </c>
    </row>
    <row r="39" customFormat="false" ht="15" hidden="false" customHeight="false" outlineLevel="0" collapsed="false">
      <c r="A39" s="23" t="n">
        <v>46356</v>
      </c>
      <c r="B39" s="7" t="n">
        <v>0.508</v>
      </c>
      <c r="C39" s="7" t="n">
        <v>0.241</v>
      </c>
      <c r="D39" s="7" t="n">
        <v>0.415</v>
      </c>
      <c r="E39" s="7" t="n">
        <v>0.106</v>
      </c>
      <c r="F39" s="7" t="n">
        <v>0.4</v>
      </c>
      <c r="G39" s="7" t="n">
        <v>0.633</v>
      </c>
      <c r="H39" s="7" t="n">
        <v>0.187</v>
      </c>
      <c r="I39" s="7" t="n">
        <v>0.155</v>
      </c>
      <c r="J39" s="7" t="n">
        <v>0.009</v>
      </c>
      <c r="K39" s="7" t="n">
        <v>0.006</v>
      </c>
      <c r="L39" s="7" t="n">
        <v>0.294</v>
      </c>
      <c r="M39" s="7" t="n">
        <v>0.009</v>
      </c>
      <c r="N39" s="7" t="n">
        <v>0.4</v>
      </c>
      <c r="O39" s="7" t="n">
        <v>0.294</v>
      </c>
      <c r="P39" s="7" t="n">
        <v>0.466</v>
      </c>
      <c r="Q39" s="7" t="n">
        <v>0.294</v>
      </c>
      <c r="R39" s="7" t="n">
        <v>0.176</v>
      </c>
      <c r="S39" s="7" t="n">
        <v>0.094</v>
      </c>
      <c r="T39" s="7" t="n">
        <v>-0.437</v>
      </c>
      <c r="U39" s="7" t="n">
        <v>0.621</v>
      </c>
      <c r="V39" s="7" t="n">
        <v>0.238</v>
      </c>
      <c r="W39" s="7" t="n">
        <v>0.294</v>
      </c>
      <c r="X39" s="7" t="n">
        <v>0.247</v>
      </c>
      <c r="Y39" s="7" t="n">
        <v>0.545</v>
      </c>
      <c r="Z39" s="7" t="n">
        <v>0.006</v>
      </c>
      <c r="AA39" s="7" t="n">
        <v>-0.007</v>
      </c>
      <c r="AB39" s="7" t="n">
        <v>0.009</v>
      </c>
      <c r="AC39" s="7" t="n">
        <v>0.294</v>
      </c>
      <c r="AD39" s="7" t="n">
        <v>0.296</v>
      </c>
      <c r="AE39" s="7" t="n">
        <v>0.4</v>
      </c>
      <c r="AF39" s="7" t="n">
        <v>0.35</v>
      </c>
      <c r="AG39" s="7" t="n">
        <v>0.193</v>
      </c>
      <c r="AH39" s="7" t="n">
        <v>0.787</v>
      </c>
      <c r="AI39" s="7" t="n">
        <v>0.286</v>
      </c>
      <c r="AJ39" s="7" t="n">
        <v>0.003</v>
      </c>
      <c r="AK39" s="7" t="n">
        <v>-0.113</v>
      </c>
      <c r="AL39" s="7" t="n">
        <v>0.667</v>
      </c>
      <c r="AM39" s="7" t="n">
        <v>0</v>
      </c>
      <c r="AN39" s="7" t="n">
        <v>0.184</v>
      </c>
      <c r="AO39" s="7" t="n">
        <v>0.385</v>
      </c>
      <c r="AP39" s="7" t="n">
        <v>0</v>
      </c>
      <c r="AQ39" s="7" t="n">
        <v>0.286</v>
      </c>
    </row>
    <row r="40" customFormat="false" ht="15" hidden="false" customHeight="false" outlineLevel="0" collapsed="false">
      <c r="A40" s="23" t="n">
        <v>46357</v>
      </c>
      <c r="B40" s="7" t="n">
        <v>0.455</v>
      </c>
      <c r="C40" s="7" t="n">
        <v>0.147</v>
      </c>
      <c r="D40" s="7" t="n">
        <v>0.324</v>
      </c>
      <c r="E40" s="7" t="n">
        <v>0.186</v>
      </c>
      <c r="F40" s="7" t="n">
        <v>0.399</v>
      </c>
      <c r="G40" s="7" t="n">
        <v>0.586</v>
      </c>
      <c r="H40" s="7" t="n">
        <v>0.118</v>
      </c>
      <c r="I40" s="7" t="n">
        <v>0.112</v>
      </c>
      <c r="J40" s="7" t="n">
        <v>0.009</v>
      </c>
      <c r="K40" s="7" t="n">
        <v>0.056</v>
      </c>
      <c r="L40" s="7" t="n">
        <v>0.229</v>
      </c>
      <c r="M40" s="7" t="n">
        <v>0.009</v>
      </c>
      <c r="N40" s="7" t="n">
        <v>0.399</v>
      </c>
      <c r="O40" s="7" t="n">
        <v>0.229</v>
      </c>
      <c r="P40" s="7" t="n">
        <v>0.347</v>
      </c>
      <c r="Q40" s="7" t="n">
        <v>0.229</v>
      </c>
      <c r="R40" s="7" t="n">
        <v>0.091</v>
      </c>
      <c r="S40" s="7" t="n">
        <v>0.05</v>
      </c>
      <c r="T40" s="7" t="n">
        <v>-0.43</v>
      </c>
      <c r="U40" s="7" t="n">
        <v>0.571</v>
      </c>
      <c r="V40" s="7" t="n">
        <v>0.187</v>
      </c>
      <c r="W40" s="7" t="n">
        <v>0.229</v>
      </c>
      <c r="X40" s="7" t="n">
        <v>0.17</v>
      </c>
      <c r="Y40" s="7" t="n">
        <v>0.488</v>
      </c>
      <c r="Z40" s="7" t="n">
        <v>0.056</v>
      </c>
      <c r="AA40" s="7" t="n">
        <v>-0.022</v>
      </c>
      <c r="AB40" s="7" t="n">
        <v>0.009</v>
      </c>
      <c r="AC40" s="7" t="n">
        <v>0.229</v>
      </c>
      <c r="AD40" s="7" t="n">
        <v>0.282</v>
      </c>
      <c r="AE40" s="7" t="n">
        <v>0.399</v>
      </c>
      <c r="AF40" s="7" t="n">
        <v>0.309</v>
      </c>
      <c r="AG40" s="7" t="n">
        <v>0.123</v>
      </c>
      <c r="AH40" s="7" t="n">
        <v>0.784</v>
      </c>
      <c r="AI40" s="7" t="n">
        <v>0.22</v>
      </c>
      <c r="AJ40" s="7" t="n">
        <v>-0.046</v>
      </c>
      <c r="AK40" s="7" t="n">
        <v>-0.099</v>
      </c>
      <c r="AL40" s="7" t="n">
        <v>0.577</v>
      </c>
      <c r="AM40" s="7" t="n">
        <v>0</v>
      </c>
      <c r="AN40" s="7" t="n">
        <v>0.114</v>
      </c>
      <c r="AO40" s="7" t="n">
        <v>0.37</v>
      </c>
      <c r="AP40" s="7" t="n">
        <v>0</v>
      </c>
      <c r="AQ40" s="7" t="n">
        <v>0.22</v>
      </c>
    </row>
    <row r="41" customFormat="false" ht="15" hidden="false" customHeight="false" outlineLevel="0" collapsed="false">
      <c r="A41" s="23" t="n">
        <v>46358</v>
      </c>
      <c r="B41" s="7" t="n">
        <v>0.403</v>
      </c>
      <c r="C41" s="7" t="n">
        <v>0.061</v>
      </c>
      <c r="D41" s="7" t="n">
        <v>0.225</v>
      </c>
      <c r="E41" s="7" t="n">
        <v>0.271</v>
      </c>
      <c r="F41" s="7" t="n">
        <v>0.402</v>
      </c>
      <c r="G41" s="7" t="n">
        <v>0.535</v>
      </c>
      <c r="H41" s="7" t="n">
        <v>0.049</v>
      </c>
      <c r="I41" s="7" t="n">
        <v>0.061</v>
      </c>
      <c r="J41" s="7" t="n">
        <v>0.009</v>
      </c>
      <c r="K41" s="7" t="n">
        <v>0.112</v>
      </c>
      <c r="L41" s="7" t="n">
        <v>0.165</v>
      </c>
      <c r="M41" s="7" t="n">
        <v>0.009</v>
      </c>
      <c r="N41" s="7" t="n">
        <v>0.402</v>
      </c>
      <c r="O41" s="7" t="n">
        <v>0.165</v>
      </c>
      <c r="P41" s="7" t="n">
        <v>0.221</v>
      </c>
      <c r="Q41" s="7" t="n">
        <v>0.165</v>
      </c>
      <c r="R41" s="7" t="n">
        <v>0.004</v>
      </c>
      <c r="S41" s="7" t="n">
        <v>0.009</v>
      </c>
      <c r="T41" s="7" t="n">
        <v>-0.422</v>
      </c>
      <c r="U41" s="7" t="n">
        <v>0.523</v>
      </c>
      <c r="V41" s="7" t="n">
        <v>0.128</v>
      </c>
      <c r="W41" s="7" t="n">
        <v>0.165</v>
      </c>
      <c r="X41" s="7" t="n">
        <v>0.086</v>
      </c>
      <c r="Y41" s="7" t="n">
        <v>0.428</v>
      </c>
      <c r="Z41" s="7" t="n">
        <v>0.112</v>
      </c>
      <c r="AA41" s="7" t="n">
        <v>-0.035</v>
      </c>
      <c r="AB41" s="7" t="n">
        <v>0.009</v>
      </c>
      <c r="AC41" s="7" t="n">
        <v>0.165</v>
      </c>
      <c r="AD41" s="7" t="n">
        <v>0.267</v>
      </c>
      <c r="AE41" s="7" t="n">
        <v>0.402</v>
      </c>
      <c r="AF41" s="7" t="n">
        <v>0.274</v>
      </c>
      <c r="AG41" s="7" t="n">
        <v>0.049</v>
      </c>
      <c r="AH41" s="7" t="n">
        <v>0.782</v>
      </c>
      <c r="AI41" s="7" t="n">
        <v>0.156</v>
      </c>
      <c r="AJ41" s="7" t="n">
        <v>-0.098</v>
      </c>
      <c r="AK41" s="7" t="n">
        <v>-0.085</v>
      </c>
      <c r="AL41" s="7" t="n">
        <v>0.484</v>
      </c>
      <c r="AM41" s="7" t="n">
        <v>0</v>
      </c>
      <c r="AN41" s="7" t="n">
        <v>0.04</v>
      </c>
      <c r="AO41" s="7" t="n">
        <v>0.355</v>
      </c>
      <c r="AP41" s="7" t="n">
        <v>0</v>
      </c>
      <c r="AQ41" s="7" t="n">
        <v>0.156</v>
      </c>
    </row>
    <row r="42" customFormat="false" ht="15" hidden="false" customHeight="false" outlineLevel="0" collapsed="false">
      <c r="A42" s="23" t="n">
        <v>46359</v>
      </c>
      <c r="B42" s="7" t="n">
        <v>0.358</v>
      </c>
      <c r="C42" s="7" t="n">
        <v>-0.014</v>
      </c>
      <c r="D42" s="7" t="n">
        <v>0.12</v>
      </c>
      <c r="E42" s="7" t="n">
        <v>0.359</v>
      </c>
      <c r="F42" s="7" t="n">
        <v>0.41</v>
      </c>
      <c r="G42" s="7" t="n">
        <v>0.48</v>
      </c>
      <c r="H42" s="7" t="n">
        <v>-0.021</v>
      </c>
      <c r="I42" s="7" t="n">
        <v>0.04</v>
      </c>
      <c r="J42" s="7" t="n">
        <v>0.009</v>
      </c>
      <c r="K42" s="7" t="n">
        <v>0.176</v>
      </c>
      <c r="L42" s="7" t="n">
        <v>0.103</v>
      </c>
      <c r="M42" s="7" t="n">
        <v>0.009</v>
      </c>
      <c r="N42" s="7" t="n">
        <v>0.41</v>
      </c>
      <c r="O42" s="7" t="n">
        <v>0.103</v>
      </c>
      <c r="P42" s="7" t="n">
        <v>0.089</v>
      </c>
      <c r="Q42" s="7" t="n">
        <v>0.103</v>
      </c>
      <c r="R42" s="7" t="n">
        <v>-0.085</v>
      </c>
      <c r="S42" s="7" t="n">
        <v>-0.03</v>
      </c>
      <c r="T42" s="7" t="n">
        <v>-0.411</v>
      </c>
      <c r="U42" s="7" t="n">
        <v>0.48</v>
      </c>
      <c r="V42" s="7" t="n">
        <v>0.096</v>
      </c>
      <c r="W42" s="7" t="n">
        <v>0.103</v>
      </c>
      <c r="X42" s="7" t="n">
        <v>-0.005</v>
      </c>
      <c r="Y42" s="7" t="n">
        <v>0.364</v>
      </c>
      <c r="Z42" s="7" t="n">
        <v>0.176</v>
      </c>
      <c r="AA42" s="7" t="n">
        <v>-0.047</v>
      </c>
      <c r="AB42" s="7" t="n">
        <v>0.009</v>
      </c>
      <c r="AC42" s="7" t="n">
        <v>0.103</v>
      </c>
      <c r="AD42" s="7" t="n">
        <v>0.251</v>
      </c>
      <c r="AE42" s="7" t="n">
        <v>0.41</v>
      </c>
      <c r="AF42" s="7" t="n">
        <v>0.244</v>
      </c>
      <c r="AG42" s="7" t="n">
        <v>-0.03</v>
      </c>
      <c r="AH42" s="7" t="n">
        <v>0.78</v>
      </c>
      <c r="AI42" s="7" t="n">
        <v>0.094</v>
      </c>
      <c r="AJ42" s="7" t="n">
        <v>-0.155</v>
      </c>
      <c r="AK42" s="7" t="n">
        <v>-0.07</v>
      </c>
      <c r="AL42" s="7" t="n">
        <v>0.388</v>
      </c>
      <c r="AM42" s="7" t="n">
        <v>0</v>
      </c>
      <c r="AN42" s="7" t="n">
        <v>-0.039</v>
      </c>
      <c r="AO42" s="7" t="n">
        <v>0.34</v>
      </c>
      <c r="AP42" s="7" t="n">
        <v>0</v>
      </c>
      <c r="AQ42" s="7" t="n">
        <v>0.094</v>
      </c>
    </row>
    <row r="43" customFormat="false" ht="15" hidden="false" customHeight="false" outlineLevel="0" collapsed="false">
      <c r="A43" s="23" t="n">
        <v>46360</v>
      </c>
      <c r="B43" s="7" t="n">
        <v>0.377</v>
      </c>
      <c r="C43" s="7" t="n">
        <v>0.021</v>
      </c>
      <c r="D43" s="7" t="n">
        <v>0.083</v>
      </c>
      <c r="E43" s="7" t="n">
        <v>0.404</v>
      </c>
      <c r="F43" s="7" t="n">
        <v>0.426</v>
      </c>
      <c r="G43" s="7" t="n">
        <v>0.478</v>
      </c>
      <c r="H43" s="7" t="n">
        <v>-0.006</v>
      </c>
      <c r="I43" s="7" t="n">
        <v>0.101</v>
      </c>
      <c r="J43" s="7" t="n">
        <v>0.009</v>
      </c>
      <c r="K43" s="7" t="n">
        <v>0.25</v>
      </c>
      <c r="L43" s="7" t="n">
        <v>0.098</v>
      </c>
      <c r="M43" s="7" t="n">
        <v>0.009</v>
      </c>
      <c r="N43" s="7" t="n">
        <v>0.426</v>
      </c>
      <c r="O43" s="7" t="n">
        <v>0.098</v>
      </c>
      <c r="P43" s="7" t="n">
        <v>0.068</v>
      </c>
      <c r="Q43" s="7" t="n">
        <v>0.098</v>
      </c>
      <c r="R43" s="7" t="n">
        <v>-0.093</v>
      </c>
      <c r="S43" s="7" t="n">
        <v>-0.029</v>
      </c>
      <c r="T43" s="7" t="n">
        <v>-0.399</v>
      </c>
      <c r="U43" s="7" t="n">
        <v>0.477</v>
      </c>
      <c r="V43" s="7" t="n">
        <v>0.151</v>
      </c>
      <c r="W43" s="7" t="n">
        <v>0.098</v>
      </c>
      <c r="X43" s="7" t="n">
        <v>-0.021</v>
      </c>
      <c r="Y43" s="7" t="n">
        <v>0.355</v>
      </c>
      <c r="Z43" s="7" t="n">
        <v>0.25</v>
      </c>
      <c r="AA43" s="7" t="n">
        <v>-0.056</v>
      </c>
      <c r="AB43" s="7" t="n">
        <v>0.009</v>
      </c>
      <c r="AC43" s="7" t="n">
        <v>0.098</v>
      </c>
      <c r="AD43" s="7" t="n">
        <v>0.266</v>
      </c>
      <c r="AE43" s="7" t="n">
        <v>0.426</v>
      </c>
      <c r="AF43" s="7" t="n">
        <v>0.247</v>
      </c>
      <c r="AG43" s="7" t="n">
        <v>-0.028</v>
      </c>
      <c r="AH43" s="7" t="n">
        <v>0.784</v>
      </c>
      <c r="AI43" s="7" t="n">
        <v>0.089</v>
      </c>
      <c r="AJ43" s="7" t="n">
        <v>-0.14</v>
      </c>
      <c r="AK43" s="7" t="n">
        <v>-0.062</v>
      </c>
      <c r="AL43" s="7" t="n">
        <v>0.383</v>
      </c>
      <c r="AM43" s="7" t="n">
        <v>0</v>
      </c>
      <c r="AN43" s="7" t="n">
        <v>-0.037</v>
      </c>
      <c r="AO43" s="7" t="n">
        <v>0.337</v>
      </c>
      <c r="AP43" s="7" t="n">
        <v>0</v>
      </c>
      <c r="AQ43" s="7" t="n">
        <v>0.089</v>
      </c>
    </row>
    <row r="44" customFormat="false" ht="15" hidden="false" customHeight="false" outlineLevel="0" collapsed="false">
      <c r="A44" s="23" t="n">
        <v>46361</v>
      </c>
      <c r="B44" s="7" t="n">
        <v>0.406</v>
      </c>
      <c r="C44" s="7" t="n">
        <v>0.066</v>
      </c>
      <c r="D44" s="7" t="n">
        <v>0.064</v>
      </c>
      <c r="E44" s="7" t="n">
        <v>0.451</v>
      </c>
      <c r="F44" s="7" t="n">
        <v>0.447</v>
      </c>
      <c r="G44" s="7" t="n">
        <v>0.475</v>
      </c>
      <c r="H44" s="7" t="n">
        <v>0.012</v>
      </c>
      <c r="I44" s="7" t="n">
        <v>0.155</v>
      </c>
      <c r="J44" s="7" t="n">
        <v>0.009</v>
      </c>
      <c r="K44" s="7" t="n">
        <v>0.336</v>
      </c>
      <c r="L44" s="7" t="n">
        <v>0.093</v>
      </c>
      <c r="M44" s="7" t="n">
        <v>0.009</v>
      </c>
      <c r="N44" s="7" t="n">
        <v>0.447</v>
      </c>
      <c r="O44" s="7" t="n">
        <v>0.093</v>
      </c>
      <c r="P44" s="7" t="n">
        <v>0.051</v>
      </c>
      <c r="Q44" s="7" t="n">
        <v>0.093</v>
      </c>
      <c r="R44" s="7" t="n">
        <v>-0.087</v>
      </c>
      <c r="S44" s="7" t="n">
        <v>0</v>
      </c>
      <c r="T44" s="7" t="n">
        <v>-0.365</v>
      </c>
      <c r="U44" s="7" t="n">
        <v>0.48</v>
      </c>
      <c r="V44" s="7" t="n">
        <v>0.199</v>
      </c>
      <c r="W44" s="7" t="n">
        <v>0.093</v>
      </c>
      <c r="X44" s="7" t="n">
        <v>-0.033</v>
      </c>
      <c r="Y44" s="7" t="n">
        <v>0.352</v>
      </c>
      <c r="Z44" s="7" t="n">
        <v>0.336</v>
      </c>
      <c r="AA44" s="7" t="n">
        <v>-0.051</v>
      </c>
      <c r="AB44" s="7" t="n">
        <v>0.009</v>
      </c>
      <c r="AC44" s="7" t="n">
        <v>0.093</v>
      </c>
      <c r="AD44" s="7" t="n">
        <v>0.282</v>
      </c>
      <c r="AE44" s="7" t="n">
        <v>0.447</v>
      </c>
      <c r="AF44" s="7" t="n">
        <v>0.258</v>
      </c>
      <c r="AG44" s="7" t="n">
        <v>-0.028</v>
      </c>
      <c r="AH44" s="7" t="n">
        <v>0.789</v>
      </c>
      <c r="AI44" s="7" t="n">
        <v>0.084</v>
      </c>
      <c r="AJ44" s="7" t="n">
        <v>-0.128</v>
      </c>
      <c r="AK44" s="7" t="n">
        <v>-0.055</v>
      </c>
      <c r="AL44" s="7" t="n">
        <v>0.376</v>
      </c>
      <c r="AM44" s="7" t="n">
        <v>0</v>
      </c>
      <c r="AN44" s="7" t="n">
        <v>-0.037</v>
      </c>
      <c r="AO44" s="7" t="n">
        <v>0.335</v>
      </c>
      <c r="AP44" s="7" t="n">
        <v>0</v>
      </c>
      <c r="AQ44" s="7" t="n">
        <v>0.084</v>
      </c>
    </row>
    <row r="45" customFormat="false" ht="15" hidden="false" customHeight="false" outlineLevel="0" collapsed="false">
      <c r="A45" s="23" t="n">
        <v>46362</v>
      </c>
      <c r="B45" s="7" t="n">
        <v>0.406</v>
      </c>
      <c r="C45" s="7" t="n">
        <v>0.066</v>
      </c>
      <c r="D45" s="7" t="n">
        <v>0.064</v>
      </c>
      <c r="E45" s="7" t="n">
        <v>0.451</v>
      </c>
      <c r="F45" s="7" t="n">
        <v>0.447</v>
      </c>
      <c r="G45" s="7" t="n">
        <v>0.475</v>
      </c>
      <c r="H45" s="7" t="n">
        <v>0.012</v>
      </c>
      <c r="I45" s="7" t="n">
        <v>0.155</v>
      </c>
      <c r="J45" s="7" t="n">
        <v>0.009</v>
      </c>
      <c r="K45" s="7" t="n">
        <v>0.336</v>
      </c>
      <c r="L45" s="7" t="n">
        <v>0.093</v>
      </c>
      <c r="M45" s="7" t="n">
        <v>0.009</v>
      </c>
      <c r="N45" s="7" t="n">
        <v>0.447</v>
      </c>
      <c r="O45" s="7" t="n">
        <v>0.093</v>
      </c>
      <c r="P45" s="7" t="n">
        <v>0.051</v>
      </c>
      <c r="Q45" s="7" t="n">
        <v>0.093</v>
      </c>
      <c r="R45" s="7" t="n">
        <v>-0.087</v>
      </c>
      <c r="S45" s="7" t="n">
        <v>0</v>
      </c>
      <c r="T45" s="7" t="n">
        <v>-0.365</v>
      </c>
      <c r="U45" s="7" t="n">
        <v>0.48</v>
      </c>
      <c r="V45" s="7" t="n">
        <v>0.199</v>
      </c>
      <c r="W45" s="7" t="n">
        <v>0.093</v>
      </c>
      <c r="X45" s="7" t="n">
        <v>-0.033</v>
      </c>
      <c r="Y45" s="7" t="n">
        <v>0.352</v>
      </c>
      <c r="Z45" s="7" t="n">
        <v>0.336</v>
      </c>
      <c r="AA45" s="7" t="n">
        <v>-0.051</v>
      </c>
      <c r="AB45" s="7" t="n">
        <v>0.009</v>
      </c>
      <c r="AC45" s="7" t="n">
        <v>0.093</v>
      </c>
      <c r="AD45" s="7" t="n">
        <v>0.282</v>
      </c>
      <c r="AE45" s="7" t="n">
        <v>0.447</v>
      </c>
      <c r="AF45" s="7" t="n">
        <v>0.258</v>
      </c>
      <c r="AG45" s="7" t="n">
        <v>-0.028</v>
      </c>
      <c r="AH45" s="7" t="n">
        <v>0.789</v>
      </c>
      <c r="AI45" s="7" t="n">
        <v>0.084</v>
      </c>
      <c r="AJ45" s="7" t="n">
        <v>-0.128</v>
      </c>
      <c r="AK45" s="7" t="n">
        <v>-0.055</v>
      </c>
      <c r="AL45" s="7" t="n">
        <v>0.376</v>
      </c>
      <c r="AM45" s="7" t="n">
        <v>0</v>
      </c>
      <c r="AN45" s="7" t="n">
        <v>-0.037</v>
      </c>
      <c r="AO45" s="7" t="n">
        <v>0.335</v>
      </c>
      <c r="AP45" s="7" t="n">
        <v>0</v>
      </c>
      <c r="AQ45" s="7" t="n">
        <v>0.084</v>
      </c>
    </row>
    <row r="46" customFormat="false" ht="15" hidden="false" customHeight="false" outlineLevel="0" collapsed="false">
      <c r="A46" s="23" t="n">
        <v>46363</v>
      </c>
      <c r="B46" s="7" t="n">
        <v>0.406</v>
      </c>
      <c r="C46" s="7" t="n">
        <v>0.066</v>
      </c>
      <c r="D46" s="7" t="n">
        <v>0.064</v>
      </c>
      <c r="E46" s="7" t="n">
        <v>0.451</v>
      </c>
      <c r="F46" s="7" t="n">
        <v>0.447</v>
      </c>
      <c r="G46" s="7" t="n">
        <v>0.475</v>
      </c>
      <c r="H46" s="7" t="n">
        <v>0.012</v>
      </c>
      <c r="I46" s="7" t="n">
        <v>0.155</v>
      </c>
      <c r="J46" s="7" t="n">
        <v>0.009</v>
      </c>
      <c r="K46" s="7" t="n">
        <v>0.336</v>
      </c>
      <c r="L46" s="7" t="n">
        <v>0.093</v>
      </c>
      <c r="M46" s="7" t="n">
        <v>0.009</v>
      </c>
      <c r="N46" s="7" t="n">
        <v>0.447</v>
      </c>
      <c r="O46" s="7" t="n">
        <v>0.093</v>
      </c>
      <c r="P46" s="7" t="n">
        <v>0.051</v>
      </c>
      <c r="Q46" s="7" t="n">
        <v>0.093</v>
      </c>
      <c r="R46" s="7" t="n">
        <v>-0.087</v>
      </c>
      <c r="S46" s="7" t="n">
        <v>0</v>
      </c>
      <c r="T46" s="7" t="n">
        <v>-0.365</v>
      </c>
      <c r="U46" s="7" t="n">
        <v>0.48</v>
      </c>
      <c r="V46" s="7" t="n">
        <v>0.199</v>
      </c>
      <c r="W46" s="7" t="n">
        <v>0.093</v>
      </c>
      <c r="X46" s="7" t="n">
        <v>-0.033</v>
      </c>
      <c r="Y46" s="7" t="n">
        <v>0.352</v>
      </c>
      <c r="Z46" s="7" t="n">
        <v>0.336</v>
      </c>
      <c r="AA46" s="7" t="n">
        <v>-0.051</v>
      </c>
      <c r="AB46" s="7" t="n">
        <v>0.009</v>
      </c>
      <c r="AC46" s="7" t="n">
        <v>0.093</v>
      </c>
      <c r="AD46" s="7" t="n">
        <v>0.282</v>
      </c>
      <c r="AE46" s="7" t="n">
        <v>0.447</v>
      </c>
      <c r="AF46" s="7" t="n">
        <v>0.258</v>
      </c>
      <c r="AG46" s="7" t="n">
        <v>-0.028</v>
      </c>
      <c r="AH46" s="7" t="n">
        <v>0.789</v>
      </c>
      <c r="AI46" s="7" t="n">
        <v>0.084</v>
      </c>
      <c r="AJ46" s="7" t="n">
        <v>-0.128</v>
      </c>
      <c r="AK46" s="7" t="n">
        <v>-0.055</v>
      </c>
      <c r="AL46" s="7" t="n">
        <v>0.376</v>
      </c>
      <c r="AM46" s="7" t="n">
        <v>0</v>
      </c>
      <c r="AN46" s="7" t="n">
        <v>-0.037</v>
      </c>
      <c r="AO46" s="7" t="n">
        <v>0.335</v>
      </c>
      <c r="AP46" s="7" t="n">
        <v>0</v>
      </c>
      <c r="AQ46" s="7" t="n">
        <v>0.084</v>
      </c>
    </row>
    <row r="47" customFormat="false" ht="15" hidden="false" customHeight="false" outlineLevel="0" collapsed="false">
      <c r="A47" s="23" t="n">
        <v>46364</v>
      </c>
      <c r="B47" s="7" t="n">
        <v>0.394</v>
      </c>
      <c r="C47" s="7" t="n">
        <v>0.1</v>
      </c>
      <c r="D47" s="7" t="n">
        <v>0.031</v>
      </c>
      <c r="E47" s="7" t="n">
        <v>0.462</v>
      </c>
      <c r="F47" s="7" t="n">
        <v>0.46</v>
      </c>
      <c r="G47" s="7" t="n">
        <v>0.459</v>
      </c>
      <c r="H47" s="7" t="n">
        <v>0.02</v>
      </c>
      <c r="I47" s="7" t="n">
        <v>0.101</v>
      </c>
      <c r="J47" s="7" t="n">
        <v>0.009</v>
      </c>
      <c r="K47" s="7" t="n">
        <v>0.36</v>
      </c>
      <c r="L47" s="7" t="n">
        <v>0.093</v>
      </c>
      <c r="M47" s="7" t="n">
        <v>0.009</v>
      </c>
      <c r="N47" s="7" t="n">
        <v>0.46</v>
      </c>
      <c r="O47" s="7" t="n">
        <v>0.093</v>
      </c>
      <c r="P47" s="7" t="n">
        <v>0.004</v>
      </c>
      <c r="Q47" s="7" t="n">
        <v>0.093</v>
      </c>
      <c r="R47" s="7" t="n">
        <v>-0.093</v>
      </c>
      <c r="S47" s="7" t="n">
        <v>-0.002</v>
      </c>
      <c r="T47" s="7" t="n">
        <v>-0.345</v>
      </c>
      <c r="U47" s="7" t="n">
        <v>0.497</v>
      </c>
      <c r="V47" s="7" t="n">
        <v>0.147</v>
      </c>
      <c r="W47" s="7" t="n">
        <v>0.093</v>
      </c>
      <c r="X47" s="7" t="n">
        <v>-0.08</v>
      </c>
      <c r="Y47" s="7" t="n">
        <v>0.343</v>
      </c>
      <c r="Z47" s="7" t="n">
        <v>0.36</v>
      </c>
      <c r="AA47" s="7" t="n">
        <v>-0.041</v>
      </c>
      <c r="AB47" s="7" t="n">
        <v>0.009</v>
      </c>
      <c r="AC47" s="7" t="n">
        <v>0.093</v>
      </c>
      <c r="AD47" s="7" t="n">
        <v>0.276</v>
      </c>
      <c r="AE47" s="7" t="n">
        <v>0.46</v>
      </c>
      <c r="AF47" s="7" t="n">
        <v>0.271</v>
      </c>
      <c r="AG47" s="7" t="n">
        <v>-0.043</v>
      </c>
      <c r="AH47" s="7" t="n">
        <v>0.79</v>
      </c>
      <c r="AI47" s="7" t="n">
        <v>0.084</v>
      </c>
      <c r="AJ47" s="7" t="n">
        <v>-0.145</v>
      </c>
      <c r="AK47" s="7" t="n">
        <v>-0.056</v>
      </c>
      <c r="AL47" s="7" t="n">
        <v>0.36</v>
      </c>
      <c r="AM47" s="7" t="n">
        <v>0</v>
      </c>
      <c r="AN47" s="7" t="n">
        <v>-0.053</v>
      </c>
      <c r="AO47" s="7" t="n">
        <v>0.332</v>
      </c>
      <c r="AP47" s="7" t="n">
        <v>0</v>
      </c>
      <c r="AQ47" s="7" t="n">
        <v>0.084</v>
      </c>
    </row>
    <row r="48" customFormat="false" ht="15" hidden="false" customHeight="false" outlineLevel="0" collapsed="false">
      <c r="A48" s="23" t="n">
        <v>46365</v>
      </c>
      <c r="B48" s="7" t="n">
        <v>0.396</v>
      </c>
      <c r="C48" s="7" t="n">
        <v>0.122</v>
      </c>
      <c r="D48" s="7" t="n">
        <v>0.011</v>
      </c>
      <c r="E48" s="7" t="n">
        <v>0.464</v>
      </c>
      <c r="F48" s="7" t="n">
        <v>0.47</v>
      </c>
      <c r="G48" s="7" t="n">
        <v>0.45</v>
      </c>
      <c r="H48" s="7" t="n">
        <v>0.029</v>
      </c>
      <c r="I48" s="7" t="n">
        <v>0.109</v>
      </c>
      <c r="J48" s="7" t="n">
        <v>0.009</v>
      </c>
      <c r="K48" s="7" t="n">
        <v>0.372</v>
      </c>
      <c r="L48" s="7" t="n">
        <v>0.093</v>
      </c>
      <c r="M48" s="7" t="n">
        <v>0.009</v>
      </c>
      <c r="N48" s="7" t="n">
        <v>0.47</v>
      </c>
      <c r="O48" s="7" t="n">
        <v>0.093</v>
      </c>
      <c r="P48" s="7" t="n">
        <v>-0.03</v>
      </c>
      <c r="Q48" s="7" t="n">
        <v>0.093</v>
      </c>
      <c r="R48" s="7" t="n">
        <v>-0.093</v>
      </c>
      <c r="S48" s="7" t="n">
        <v>-0.006</v>
      </c>
      <c r="T48" s="7" t="n">
        <v>-0.332</v>
      </c>
      <c r="U48" s="7" t="n">
        <v>0.51</v>
      </c>
      <c r="V48" s="7" t="n">
        <v>0.156</v>
      </c>
      <c r="W48" s="7" t="n">
        <v>0.093</v>
      </c>
      <c r="X48" s="7" t="n">
        <v>-0.114</v>
      </c>
      <c r="Y48" s="7" t="n">
        <v>0.342</v>
      </c>
      <c r="Z48" s="7" t="n">
        <v>0.372</v>
      </c>
      <c r="AA48" s="7" t="n">
        <v>-0.034</v>
      </c>
      <c r="AB48" s="7" t="n">
        <v>0.009</v>
      </c>
      <c r="AC48" s="7" t="n">
        <v>0.093</v>
      </c>
      <c r="AD48" s="7" t="n">
        <v>0.271</v>
      </c>
      <c r="AE48" s="7" t="n">
        <v>0.47</v>
      </c>
      <c r="AF48" s="7" t="n">
        <v>0.277</v>
      </c>
      <c r="AG48" s="7" t="n">
        <v>-0.05</v>
      </c>
      <c r="AH48" s="7" t="n">
        <v>0.766</v>
      </c>
      <c r="AI48" s="7" t="n">
        <v>0.084</v>
      </c>
      <c r="AJ48" s="7" t="n">
        <v>-0.155</v>
      </c>
      <c r="AK48" s="7" t="n">
        <v>-0.058</v>
      </c>
      <c r="AL48" s="7" t="n">
        <v>0.351</v>
      </c>
      <c r="AM48" s="7" t="n">
        <v>0</v>
      </c>
      <c r="AN48" s="7" t="n">
        <v>-0.06</v>
      </c>
      <c r="AO48" s="7" t="n">
        <v>0.33</v>
      </c>
      <c r="AP48" s="7" t="n">
        <v>0</v>
      </c>
      <c r="AQ48" s="7" t="n">
        <v>0.084</v>
      </c>
    </row>
    <row r="49" customFormat="false" ht="15" hidden="false" customHeight="false" outlineLevel="0" collapsed="false">
      <c r="A49" s="23" t="n">
        <v>46366</v>
      </c>
      <c r="B49" s="7" t="n">
        <v>0.348</v>
      </c>
      <c r="C49" s="7" t="n">
        <v>0.137</v>
      </c>
      <c r="D49" s="7" t="n">
        <v>0.011</v>
      </c>
      <c r="E49" s="7" t="n">
        <v>0.376</v>
      </c>
      <c r="F49" s="7" t="n">
        <v>0.454</v>
      </c>
      <c r="G49" s="7" t="n">
        <v>0.331</v>
      </c>
      <c r="H49" s="7" t="n">
        <v>0.005</v>
      </c>
      <c r="I49" s="7" t="n">
        <v>0.026</v>
      </c>
      <c r="J49" s="7" t="n">
        <v>0.055</v>
      </c>
      <c r="K49" s="7" t="n">
        <v>0.308</v>
      </c>
      <c r="L49" s="7" t="n">
        <v>0.093</v>
      </c>
      <c r="M49" s="7" t="n">
        <v>0.055</v>
      </c>
      <c r="N49" s="7" t="n">
        <v>0.454</v>
      </c>
      <c r="O49" s="7" t="n">
        <v>0.183</v>
      </c>
      <c r="P49" s="7" t="n">
        <v>-0.057</v>
      </c>
      <c r="Q49" s="7" t="n">
        <v>0.093</v>
      </c>
      <c r="R49" s="7" t="n">
        <v>-0.094</v>
      </c>
      <c r="S49" s="7" t="n">
        <v>-0.04</v>
      </c>
      <c r="T49" s="7" t="n">
        <v>-0.299</v>
      </c>
      <c r="U49" s="7" t="n">
        <v>0.496</v>
      </c>
      <c r="V49" s="7" t="n">
        <v>0.072</v>
      </c>
      <c r="W49" s="7" t="n">
        <v>0.093</v>
      </c>
      <c r="X49" s="7" t="n">
        <v>-0.14</v>
      </c>
      <c r="Y49" s="7" t="n">
        <v>0.33</v>
      </c>
      <c r="Z49" s="7" t="n">
        <v>0.308</v>
      </c>
      <c r="AA49" s="7" t="n">
        <v>-0.017</v>
      </c>
      <c r="AB49" s="7" t="n">
        <v>0.083</v>
      </c>
      <c r="AC49" s="7" t="n">
        <v>0.093</v>
      </c>
      <c r="AD49" s="7" t="n">
        <v>0.192</v>
      </c>
      <c r="AE49" s="7" t="n">
        <v>0.454</v>
      </c>
      <c r="AF49" s="7" t="n">
        <v>0.245</v>
      </c>
      <c r="AG49" s="7" t="n">
        <v>-0.067</v>
      </c>
      <c r="AH49" s="7" t="n">
        <v>0.748</v>
      </c>
      <c r="AI49" s="7" t="n">
        <v>0.084</v>
      </c>
      <c r="AJ49" s="7" t="n">
        <v>-0.168</v>
      </c>
      <c r="AK49" s="7" t="n">
        <v>-0.056</v>
      </c>
      <c r="AL49" s="7" t="n">
        <v>0.333</v>
      </c>
      <c r="AM49" s="7" t="n">
        <v>0</v>
      </c>
      <c r="AN49" s="7" t="n">
        <v>-0.077</v>
      </c>
      <c r="AO49" s="7" t="n">
        <v>0.335</v>
      </c>
      <c r="AP49" s="7" t="n">
        <v>0</v>
      </c>
      <c r="AQ49" s="7" t="n">
        <v>0.084</v>
      </c>
    </row>
    <row r="50" customFormat="false" ht="15" hidden="false" customHeight="false" outlineLevel="0" collapsed="false">
      <c r="A50" s="23" t="n">
        <v>46367</v>
      </c>
      <c r="B50" s="7" t="n">
        <v>0.301</v>
      </c>
      <c r="C50" s="7" t="n">
        <v>0.144</v>
      </c>
      <c r="D50" s="7" t="n">
        <v>0.032</v>
      </c>
      <c r="E50" s="7" t="n">
        <v>0.284</v>
      </c>
      <c r="F50" s="7" t="n">
        <v>0.422</v>
      </c>
      <c r="G50" s="7" t="n">
        <v>0.227</v>
      </c>
      <c r="H50" s="7" t="n">
        <v>-0.012</v>
      </c>
      <c r="I50" s="7" t="n">
        <v>-0.018</v>
      </c>
      <c r="J50" s="7" t="n">
        <v>0.103</v>
      </c>
      <c r="K50" s="7" t="n">
        <v>0.235</v>
      </c>
      <c r="L50" s="7" t="n">
        <v>0.093</v>
      </c>
      <c r="M50" s="7" t="n">
        <v>0.103</v>
      </c>
      <c r="N50" s="7" t="n">
        <v>0.422</v>
      </c>
      <c r="O50" s="7" t="n">
        <v>0.274</v>
      </c>
      <c r="P50" s="7" t="n">
        <v>-0.063</v>
      </c>
      <c r="Q50" s="7" t="n">
        <v>0.093</v>
      </c>
      <c r="R50" s="7" t="n">
        <v>-0.094</v>
      </c>
      <c r="S50" s="7" t="n">
        <v>-0.093</v>
      </c>
      <c r="T50" s="7" t="n">
        <v>-0.288</v>
      </c>
      <c r="U50" s="7" t="n">
        <v>0.478</v>
      </c>
      <c r="V50" s="7" t="n">
        <v>0.029</v>
      </c>
      <c r="W50" s="7" t="n">
        <v>0.093</v>
      </c>
      <c r="X50" s="7" t="n">
        <v>-0.146</v>
      </c>
      <c r="Y50" s="7" t="n">
        <v>0.332</v>
      </c>
      <c r="Z50" s="7" t="n">
        <v>0.235</v>
      </c>
      <c r="AA50" s="7" t="n">
        <v>-0.012</v>
      </c>
      <c r="AB50" s="7" t="n">
        <v>0.114</v>
      </c>
      <c r="AC50" s="7" t="n">
        <v>0.093</v>
      </c>
      <c r="AD50" s="7" t="n">
        <v>0.122</v>
      </c>
      <c r="AE50" s="7" t="n">
        <v>0.422</v>
      </c>
      <c r="AF50" s="7" t="n">
        <v>0.208</v>
      </c>
      <c r="AG50" s="7" t="n">
        <v>-0.072</v>
      </c>
      <c r="AH50" s="7" t="n">
        <v>0.73</v>
      </c>
      <c r="AI50" s="7" t="n">
        <v>0.084</v>
      </c>
      <c r="AJ50" s="7" t="n">
        <v>-0.176</v>
      </c>
      <c r="AK50" s="7" t="n">
        <v>-0.057</v>
      </c>
      <c r="AL50" s="7" t="n">
        <v>0.326</v>
      </c>
      <c r="AM50" s="7" t="n">
        <v>0</v>
      </c>
      <c r="AN50" s="7" t="n">
        <v>-0.082</v>
      </c>
      <c r="AO50" s="7" t="n">
        <v>0.341</v>
      </c>
      <c r="AP50" s="7" t="n">
        <v>0</v>
      </c>
      <c r="AQ50" s="7" t="n">
        <v>0.084</v>
      </c>
    </row>
    <row r="51" customFormat="false" ht="15" hidden="false" customHeight="false" outlineLevel="0" collapsed="false">
      <c r="A51" s="23" t="n">
        <v>46368</v>
      </c>
      <c r="B51" s="7" t="n">
        <v>0.276</v>
      </c>
      <c r="C51" s="7" t="n">
        <v>0.166</v>
      </c>
      <c r="D51" s="7" t="n">
        <v>0.087</v>
      </c>
      <c r="E51" s="7" t="n">
        <v>0.187</v>
      </c>
      <c r="F51" s="7" t="n">
        <v>0.407</v>
      </c>
      <c r="G51" s="7" t="n">
        <v>0.126</v>
      </c>
      <c r="H51" s="7" t="n">
        <v>-0.029</v>
      </c>
      <c r="I51" s="7" t="n">
        <v>-0.053</v>
      </c>
      <c r="J51" s="7" t="n">
        <v>0.173</v>
      </c>
      <c r="K51" s="7" t="n">
        <v>0.151</v>
      </c>
      <c r="L51" s="7" t="n">
        <v>0.093</v>
      </c>
      <c r="M51" s="7" t="n">
        <v>0.173</v>
      </c>
      <c r="N51" s="7" t="n">
        <v>0.407</v>
      </c>
      <c r="O51" s="7" t="n">
        <v>0.382</v>
      </c>
      <c r="P51" s="7" t="n">
        <v>-0.047</v>
      </c>
      <c r="Q51" s="7" t="n">
        <v>0.093</v>
      </c>
      <c r="R51" s="7" t="n">
        <v>-0.077</v>
      </c>
      <c r="S51" s="7" t="n">
        <v>-0.143</v>
      </c>
      <c r="T51" s="7" t="n">
        <v>-0.275</v>
      </c>
      <c r="U51" s="7" t="n">
        <v>0.468</v>
      </c>
      <c r="V51" s="7" t="n">
        <v>-0.004</v>
      </c>
      <c r="W51" s="7" t="n">
        <v>0.093</v>
      </c>
      <c r="X51" s="7" t="n">
        <v>-0.13</v>
      </c>
      <c r="Y51" s="7" t="n">
        <v>0.359</v>
      </c>
      <c r="Z51" s="7" t="n">
        <v>0.151</v>
      </c>
      <c r="AA51" s="7" t="n">
        <v>0.006</v>
      </c>
      <c r="AB51" s="7" t="n">
        <v>0.166</v>
      </c>
      <c r="AC51" s="7" t="n">
        <v>0.093</v>
      </c>
      <c r="AD51" s="7" t="n">
        <v>0.053</v>
      </c>
      <c r="AE51" s="7" t="n">
        <v>0.407</v>
      </c>
      <c r="AF51" s="7" t="n">
        <v>0.165</v>
      </c>
      <c r="AG51" s="7" t="n">
        <v>-0.074</v>
      </c>
      <c r="AH51" s="7" t="n">
        <v>0.729</v>
      </c>
      <c r="AI51" s="7" t="n">
        <v>0.084</v>
      </c>
      <c r="AJ51" s="7" t="n">
        <v>-0.179</v>
      </c>
      <c r="AK51" s="7" t="n">
        <v>-0.059</v>
      </c>
      <c r="AL51" s="7" t="n">
        <v>0.335</v>
      </c>
      <c r="AM51" s="7" t="n">
        <v>0</v>
      </c>
      <c r="AN51" s="7" t="n">
        <v>-0.083</v>
      </c>
      <c r="AO51" s="7" t="n">
        <v>0.376</v>
      </c>
      <c r="AP51" s="7" t="n">
        <v>0</v>
      </c>
      <c r="AQ51" s="7" t="n">
        <v>0.084</v>
      </c>
    </row>
    <row r="52" customFormat="false" ht="15" hidden="false" customHeight="false" outlineLevel="0" collapsed="false">
      <c r="A52" s="23" t="n">
        <v>46369</v>
      </c>
      <c r="B52" s="7" t="n">
        <v>0.276</v>
      </c>
      <c r="C52" s="7" t="n">
        <v>0.166</v>
      </c>
      <c r="D52" s="7" t="n">
        <v>0.087</v>
      </c>
      <c r="E52" s="7" t="n">
        <v>0.187</v>
      </c>
      <c r="F52" s="7" t="n">
        <v>0.407</v>
      </c>
      <c r="G52" s="7" t="n">
        <v>0.126</v>
      </c>
      <c r="H52" s="7" t="n">
        <v>-0.029</v>
      </c>
      <c r="I52" s="7" t="n">
        <v>-0.053</v>
      </c>
      <c r="J52" s="7" t="n">
        <v>0.173</v>
      </c>
      <c r="K52" s="7" t="n">
        <v>0.151</v>
      </c>
      <c r="L52" s="7" t="n">
        <v>0.093</v>
      </c>
      <c r="M52" s="7" t="n">
        <v>0.173</v>
      </c>
      <c r="N52" s="7" t="n">
        <v>0.407</v>
      </c>
      <c r="O52" s="7" t="n">
        <v>0.382</v>
      </c>
      <c r="P52" s="7" t="n">
        <v>-0.047</v>
      </c>
      <c r="Q52" s="7" t="n">
        <v>0.093</v>
      </c>
      <c r="R52" s="7" t="n">
        <v>-0.077</v>
      </c>
      <c r="S52" s="7" t="n">
        <v>-0.143</v>
      </c>
      <c r="T52" s="7" t="n">
        <v>-0.275</v>
      </c>
      <c r="U52" s="7" t="n">
        <v>0.468</v>
      </c>
      <c r="V52" s="7" t="n">
        <v>-0.004</v>
      </c>
      <c r="W52" s="7" t="n">
        <v>0.093</v>
      </c>
      <c r="X52" s="7" t="n">
        <v>-0.13</v>
      </c>
      <c r="Y52" s="7" t="n">
        <v>0.359</v>
      </c>
      <c r="Z52" s="7" t="n">
        <v>0.151</v>
      </c>
      <c r="AA52" s="7" t="n">
        <v>0.006</v>
      </c>
      <c r="AB52" s="7" t="n">
        <v>0.166</v>
      </c>
      <c r="AC52" s="7" t="n">
        <v>0.093</v>
      </c>
      <c r="AD52" s="7" t="n">
        <v>0.053</v>
      </c>
      <c r="AE52" s="7" t="n">
        <v>0.407</v>
      </c>
      <c r="AF52" s="7" t="n">
        <v>0.165</v>
      </c>
      <c r="AG52" s="7" t="n">
        <v>-0.074</v>
      </c>
      <c r="AH52" s="7" t="n">
        <v>0.729</v>
      </c>
      <c r="AI52" s="7" t="n">
        <v>0.084</v>
      </c>
      <c r="AJ52" s="7" t="n">
        <v>-0.179</v>
      </c>
      <c r="AK52" s="7" t="n">
        <v>-0.059</v>
      </c>
      <c r="AL52" s="7" t="n">
        <v>0.335</v>
      </c>
      <c r="AM52" s="7" t="n">
        <v>0</v>
      </c>
      <c r="AN52" s="7" t="n">
        <v>-0.083</v>
      </c>
      <c r="AO52" s="7" t="n">
        <v>0.376</v>
      </c>
      <c r="AP52" s="7" t="n">
        <v>0</v>
      </c>
      <c r="AQ52" s="7" t="n">
        <v>0.084</v>
      </c>
    </row>
    <row r="53" customFormat="false" ht="15" hidden="false" customHeight="false" outlineLevel="0" collapsed="false">
      <c r="A53" s="23" t="n">
        <v>46370</v>
      </c>
      <c r="B53" s="7" t="n">
        <v>0.276</v>
      </c>
      <c r="C53" s="7" t="n">
        <v>0.166</v>
      </c>
      <c r="D53" s="7" t="n">
        <v>0.087</v>
      </c>
      <c r="E53" s="7" t="n">
        <v>0.187</v>
      </c>
      <c r="F53" s="7" t="n">
        <v>0.407</v>
      </c>
      <c r="G53" s="7" t="n">
        <v>0.126</v>
      </c>
      <c r="H53" s="7" t="n">
        <v>-0.029</v>
      </c>
      <c r="I53" s="7" t="n">
        <v>-0.053</v>
      </c>
      <c r="J53" s="7" t="n">
        <v>0.173</v>
      </c>
      <c r="K53" s="7" t="n">
        <v>0.151</v>
      </c>
      <c r="L53" s="7" t="n">
        <v>0.093</v>
      </c>
      <c r="M53" s="7" t="n">
        <v>0.173</v>
      </c>
      <c r="N53" s="7" t="n">
        <v>0.407</v>
      </c>
      <c r="O53" s="7" t="n">
        <v>0.382</v>
      </c>
      <c r="P53" s="7" t="n">
        <v>-0.047</v>
      </c>
      <c r="Q53" s="7" t="n">
        <v>0.093</v>
      </c>
      <c r="R53" s="7" t="n">
        <v>-0.077</v>
      </c>
      <c r="S53" s="7" t="n">
        <v>-0.143</v>
      </c>
      <c r="T53" s="7" t="n">
        <v>-0.275</v>
      </c>
      <c r="U53" s="7" t="n">
        <v>0.468</v>
      </c>
      <c r="V53" s="7" t="n">
        <v>-0.004</v>
      </c>
      <c r="W53" s="7" t="n">
        <v>0.093</v>
      </c>
      <c r="X53" s="7" t="n">
        <v>-0.13</v>
      </c>
      <c r="Y53" s="7" t="n">
        <v>0.359</v>
      </c>
      <c r="Z53" s="7" t="n">
        <v>0.151</v>
      </c>
      <c r="AA53" s="7" t="n">
        <v>0.006</v>
      </c>
      <c r="AB53" s="7" t="n">
        <v>0.166</v>
      </c>
      <c r="AC53" s="7" t="n">
        <v>0.093</v>
      </c>
      <c r="AD53" s="7" t="n">
        <v>0.053</v>
      </c>
      <c r="AE53" s="7" t="n">
        <v>0.407</v>
      </c>
      <c r="AF53" s="7" t="n">
        <v>0.165</v>
      </c>
      <c r="AG53" s="7" t="n">
        <v>-0.074</v>
      </c>
      <c r="AH53" s="7" t="n">
        <v>0.729</v>
      </c>
      <c r="AI53" s="7" t="n">
        <v>0.084</v>
      </c>
      <c r="AJ53" s="7" t="n">
        <v>-0.179</v>
      </c>
      <c r="AK53" s="7" t="n">
        <v>-0.059</v>
      </c>
      <c r="AL53" s="7" t="n">
        <v>0.335</v>
      </c>
      <c r="AM53" s="7" t="n">
        <v>0</v>
      </c>
      <c r="AN53" s="7" t="n">
        <v>-0.083</v>
      </c>
      <c r="AO53" s="7" t="n">
        <v>0.376</v>
      </c>
      <c r="AP53" s="7" t="n">
        <v>0</v>
      </c>
      <c r="AQ53" s="7" t="n">
        <v>0.084</v>
      </c>
    </row>
    <row r="54" customFormat="false" ht="15" hidden="false" customHeight="false" outlineLevel="0" collapsed="false">
      <c r="A54" s="23" t="n">
        <v>46371</v>
      </c>
      <c r="B54" s="7" t="n">
        <v>0.256</v>
      </c>
      <c r="C54" s="7" t="n">
        <v>0.179</v>
      </c>
      <c r="D54" s="7" t="n">
        <v>0.177</v>
      </c>
      <c r="E54" s="7" t="n">
        <v>0.097</v>
      </c>
      <c r="F54" s="7" t="n">
        <v>0.368</v>
      </c>
      <c r="G54" s="7" t="n">
        <v>0.034</v>
      </c>
      <c r="H54" s="7" t="n">
        <v>-0.045</v>
      </c>
      <c r="I54" s="7" t="n">
        <v>-0.056</v>
      </c>
      <c r="J54" s="7" t="n">
        <v>0.203</v>
      </c>
      <c r="K54" s="7" t="n">
        <v>0.078</v>
      </c>
      <c r="L54" s="7" t="n">
        <v>0.093</v>
      </c>
      <c r="M54" s="7" t="n">
        <v>0.203</v>
      </c>
      <c r="N54" s="7" t="n">
        <v>0.368</v>
      </c>
      <c r="O54" s="7" t="n">
        <v>0.459</v>
      </c>
      <c r="P54" s="7" t="n">
        <v>0.004</v>
      </c>
      <c r="Q54" s="7" t="n">
        <v>0.093</v>
      </c>
      <c r="R54" s="7" t="n">
        <v>-0.044</v>
      </c>
      <c r="S54" s="7" t="n">
        <v>-0.163</v>
      </c>
      <c r="T54" s="7" t="n">
        <v>-0.254</v>
      </c>
      <c r="U54" s="7" t="n">
        <v>0.451</v>
      </c>
      <c r="V54" s="7" t="n">
        <v>-0.008</v>
      </c>
      <c r="W54" s="7" t="n">
        <v>0.093</v>
      </c>
      <c r="X54" s="7" t="n">
        <v>-0.079</v>
      </c>
      <c r="Y54" s="7" t="n">
        <v>0.395</v>
      </c>
      <c r="Z54" s="7" t="n">
        <v>0.078</v>
      </c>
      <c r="AA54" s="7" t="n">
        <v>0.031</v>
      </c>
      <c r="AB54" s="7" t="n">
        <v>0.178</v>
      </c>
      <c r="AC54" s="7" t="n">
        <v>0.093</v>
      </c>
      <c r="AD54" s="7" t="n">
        <v>-0.003</v>
      </c>
      <c r="AE54" s="7" t="n">
        <v>0.368</v>
      </c>
      <c r="AF54" s="7" t="n">
        <v>0.128</v>
      </c>
      <c r="AG54" s="7" t="n">
        <v>-0.065</v>
      </c>
      <c r="AH54" s="7" t="n">
        <v>0.725</v>
      </c>
      <c r="AI54" s="7" t="n">
        <v>0.084</v>
      </c>
      <c r="AJ54" s="7" t="n">
        <v>-0.172</v>
      </c>
      <c r="AK54" s="7" t="n">
        <v>-0.059</v>
      </c>
      <c r="AL54" s="7" t="n">
        <v>0.353</v>
      </c>
      <c r="AM54" s="7" t="n">
        <v>0</v>
      </c>
      <c r="AN54" s="7" t="n">
        <v>-0.074</v>
      </c>
      <c r="AO54" s="7" t="n">
        <v>0.41</v>
      </c>
      <c r="AP54" s="7" t="n">
        <v>0</v>
      </c>
      <c r="AQ54" s="7" t="n">
        <v>0.084</v>
      </c>
    </row>
    <row r="55" customFormat="false" ht="15" hidden="false" customHeight="false" outlineLevel="0" collapsed="false">
      <c r="A55" s="23" t="n">
        <v>46372</v>
      </c>
      <c r="B55" s="7" t="n">
        <v>0.268</v>
      </c>
      <c r="C55" s="7" t="n">
        <v>0.14</v>
      </c>
      <c r="D55" s="7" t="n">
        <v>0.269</v>
      </c>
      <c r="E55" s="7" t="n">
        <v>0.009</v>
      </c>
      <c r="F55" s="7" t="n">
        <v>0.355</v>
      </c>
      <c r="G55" s="7" t="n">
        <v>-0.049</v>
      </c>
      <c r="H55" s="7" t="n">
        <v>-0.049</v>
      </c>
      <c r="I55" s="7" t="n">
        <v>-0.102</v>
      </c>
      <c r="J55" s="7" t="n">
        <v>0.168</v>
      </c>
      <c r="K55" s="7" t="n">
        <v>0.009</v>
      </c>
      <c r="L55" s="7" t="n">
        <v>0.093</v>
      </c>
      <c r="M55" s="7" t="n">
        <v>0.168</v>
      </c>
      <c r="N55" s="7" t="n">
        <v>0.355</v>
      </c>
      <c r="O55" s="7" t="n">
        <v>0.479</v>
      </c>
      <c r="P55" s="7" t="n">
        <v>0.061</v>
      </c>
      <c r="Q55" s="7" t="n">
        <v>0.093</v>
      </c>
      <c r="R55" s="7" t="n">
        <v>-0.002</v>
      </c>
      <c r="S55" s="7" t="n">
        <v>-0.058</v>
      </c>
      <c r="T55" s="7" t="n">
        <v>-0.233</v>
      </c>
      <c r="U55" s="7" t="n">
        <v>0.436</v>
      </c>
      <c r="V55" s="7" t="n">
        <v>-0.049</v>
      </c>
      <c r="W55" s="7" t="n">
        <v>0.093</v>
      </c>
      <c r="X55" s="7" t="n">
        <v>-0.022</v>
      </c>
      <c r="Y55" s="7" t="n">
        <v>0.422</v>
      </c>
      <c r="Z55" s="7" t="n">
        <v>0.009</v>
      </c>
      <c r="AA55" s="7" t="n">
        <v>0.056</v>
      </c>
      <c r="AB55" s="7" t="n">
        <v>0.093</v>
      </c>
      <c r="AC55" s="7" t="n">
        <v>0.093</v>
      </c>
      <c r="AD55" s="7" t="n">
        <v>-0.049</v>
      </c>
      <c r="AE55" s="7" t="n">
        <v>0.355</v>
      </c>
      <c r="AF55" s="7" t="n">
        <v>0.093</v>
      </c>
      <c r="AG55" s="7" t="n">
        <v>-0.049</v>
      </c>
      <c r="AH55" s="7" t="n">
        <v>0.715</v>
      </c>
      <c r="AI55" s="7" t="n">
        <v>0.084</v>
      </c>
      <c r="AJ55" s="7" t="n">
        <v>-0.164</v>
      </c>
      <c r="AK55" s="7" t="n">
        <v>-0.064</v>
      </c>
      <c r="AL55" s="7" t="n">
        <v>0.378</v>
      </c>
      <c r="AM55" s="7" t="n">
        <v>0</v>
      </c>
      <c r="AN55" s="7" t="n">
        <v>-0.058</v>
      </c>
      <c r="AO55" s="7" t="n">
        <v>0.394</v>
      </c>
      <c r="AP55" s="7" t="n">
        <v>0</v>
      </c>
      <c r="AQ55" s="7" t="n">
        <v>0.084</v>
      </c>
    </row>
    <row r="56" customFormat="false" ht="15" hidden="false" customHeight="false" outlineLevel="0" collapsed="false">
      <c r="A56" s="23" t="n">
        <v>46373</v>
      </c>
      <c r="B56" s="7" t="n">
        <v>0.321</v>
      </c>
      <c r="C56" s="7" t="n">
        <v>0.099</v>
      </c>
      <c r="D56" s="7" t="n">
        <v>0.348</v>
      </c>
      <c r="E56" s="7" t="n">
        <v>0.009</v>
      </c>
      <c r="F56" s="7" t="n">
        <v>0.359</v>
      </c>
      <c r="G56" s="7" t="n">
        <v>-0.018</v>
      </c>
      <c r="H56" s="7" t="n">
        <v>-0.018</v>
      </c>
      <c r="I56" s="7" t="n">
        <v>-0.078</v>
      </c>
      <c r="J56" s="7" t="n">
        <v>0.078</v>
      </c>
      <c r="K56" s="7" t="n">
        <v>0.009</v>
      </c>
      <c r="L56" s="7" t="n">
        <v>0.093</v>
      </c>
      <c r="M56" s="7" t="n">
        <v>0.078</v>
      </c>
      <c r="N56" s="7" t="n">
        <v>0.359</v>
      </c>
      <c r="O56" s="7" t="n">
        <v>0.4</v>
      </c>
      <c r="P56" s="7" t="n">
        <v>0.118</v>
      </c>
      <c r="Q56" s="7" t="n">
        <v>0.093</v>
      </c>
      <c r="R56" s="7" t="n">
        <v>0.042</v>
      </c>
      <c r="S56" s="7" t="n">
        <v>0.075</v>
      </c>
      <c r="T56" s="7" t="n">
        <v>-0.236</v>
      </c>
      <c r="U56" s="7" t="n">
        <v>0.446</v>
      </c>
      <c r="V56" s="7" t="n">
        <v>-0.018</v>
      </c>
      <c r="W56" s="7" t="n">
        <v>0.093</v>
      </c>
      <c r="X56" s="7" t="n">
        <v>0.035</v>
      </c>
      <c r="Y56" s="7" t="n">
        <v>0.464</v>
      </c>
      <c r="Z56" s="7" t="n">
        <v>0.009</v>
      </c>
      <c r="AA56" s="7" t="n">
        <v>0.069</v>
      </c>
      <c r="AB56" s="7" t="n">
        <v>-0.073</v>
      </c>
      <c r="AC56" s="7" t="n">
        <v>0.093</v>
      </c>
      <c r="AD56" s="7" t="n">
        <v>-0.018</v>
      </c>
      <c r="AE56" s="7" t="n">
        <v>0.359</v>
      </c>
      <c r="AF56" s="7" t="n">
        <v>0.093</v>
      </c>
      <c r="AG56" s="7" t="n">
        <v>-0.018</v>
      </c>
      <c r="AH56" s="7" t="n">
        <v>0.696</v>
      </c>
      <c r="AI56" s="7" t="n">
        <v>0.084</v>
      </c>
      <c r="AJ56" s="7" t="n">
        <v>-0.148</v>
      </c>
      <c r="AK56" s="7" t="n">
        <v>-0.073</v>
      </c>
      <c r="AL56" s="7" t="n">
        <v>0.416</v>
      </c>
      <c r="AM56" s="7" t="n">
        <v>0</v>
      </c>
      <c r="AN56" s="7" t="n">
        <v>-0.027</v>
      </c>
      <c r="AO56" s="7" t="n">
        <v>0.368</v>
      </c>
      <c r="AP56" s="7" t="n">
        <v>0</v>
      </c>
      <c r="AQ56" s="7" t="n">
        <v>0.084</v>
      </c>
    </row>
    <row r="57" customFormat="false" ht="15" hidden="false" customHeight="false" outlineLevel="0" collapsed="false">
      <c r="A57" s="23" t="n">
        <v>46374</v>
      </c>
      <c r="B57" s="7" t="n">
        <v>0.368</v>
      </c>
      <c r="C57" s="7" t="n">
        <v>0.055</v>
      </c>
      <c r="D57" s="7" t="n">
        <v>0.396</v>
      </c>
      <c r="E57" s="7" t="n">
        <v>0.009</v>
      </c>
      <c r="F57" s="7" t="n">
        <v>0.374</v>
      </c>
      <c r="G57" s="7" t="n">
        <v>-0.01</v>
      </c>
      <c r="H57" s="7" t="n">
        <v>-0.01</v>
      </c>
      <c r="I57" s="7" t="n">
        <v>-0.075</v>
      </c>
      <c r="J57" s="7" t="n">
        <v>-0.018</v>
      </c>
      <c r="K57" s="7" t="n">
        <v>0.009</v>
      </c>
      <c r="L57" s="7" t="n">
        <v>0.093</v>
      </c>
      <c r="M57" s="7" t="n">
        <v>-0.018</v>
      </c>
      <c r="N57" s="7" t="n">
        <v>0.374</v>
      </c>
      <c r="O57" s="7" t="n">
        <v>0.316</v>
      </c>
      <c r="P57" s="7" t="n">
        <v>0.149</v>
      </c>
      <c r="Q57" s="7" t="n">
        <v>0.093</v>
      </c>
      <c r="R57" s="7" t="n">
        <v>0.073</v>
      </c>
      <c r="S57" s="7" t="n">
        <v>0.224</v>
      </c>
      <c r="T57" s="7" t="n">
        <v>-0.224</v>
      </c>
      <c r="U57" s="7" t="n">
        <v>0.457</v>
      </c>
      <c r="V57" s="7" t="n">
        <v>-0.01</v>
      </c>
      <c r="W57" s="7" t="n">
        <v>0.093</v>
      </c>
      <c r="X57" s="7" t="n">
        <v>0.066</v>
      </c>
      <c r="Y57" s="7" t="n">
        <v>0.483</v>
      </c>
      <c r="Z57" s="7" t="n">
        <v>0.009</v>
      </c>
      <c r="AA57" s="7" t="n">
        <v>0.092</v>
      </c>
      <c r="AB57" s="7" t="n">
        <v>-0.109</v>
      </c>
      <c r="AC57" s="7" t="n">
        <v>0.093</v>
      </c>
      <c r="AD57" s="7" t="n">
        <v>-0.01</v>
      </c>
      <c r="AE57" s="7" t="n">
        <v>0.374</v>
      </c>
      <c r="AF57" s="7" t="n">
        <v>0.093</v>
      </c>
      <c r="AG57" s="7" t="n">
        <v>-0.01</v>
      </c>
      <c r="AH57" s="7" t="n">
        <v>0.705</v>
      </c>
      <c r="AI57" s="7" t="n">
        <v>0.084</v>
      </c>
      <c r="AJ57" s="7" t="n">
        <v>-0.149</v>
      </c>
      <c r="AK57" s="7" t="n">
        <v>-0.078</v>
      </c>
      <c r="AL57" s="7" t="n">
        <v>0.434</v>
      </c>
      <c r="AM57" s="7" t="n">
        <v>0</v>
      </c>
      <c r="AN57" s="7" t="n">
        <v>-0.019</v>
      </c>
      <c r="AO57" s="7" t="n">
        <v>0.34</v>
      </c>
      <c r="AP57" s="7" t="n">
        <v>0</v>
      </c>
      <c r="AQ57" s="7" t="n">
        <v>0.084</v>
      </c>
    </row>
    <row r="58" customFormat="false" ht="15" hidden="false" customHeight="false" outlineLevel="0" collapsed="false">
      <c r="A58" s="23" t="n">
        <v>46375</v>
      </c>
      <c r="B58" s="7" t="n">
        <v>0.392</v>
      </c>
      <c r="C58" s="7" t="n">
        <v>-0.014</v>
      </c>
      <c r="D58" s="7" t="n">
        <v>0.415</v>
      </c>
      <c r="E58" s="7" t="n">
        <v>0.009</v>
      </c>
      <c r="F58" s="7" t="n">
        <v>0.368</v>
      </c>
      <c r="G58" s="7" t="n">
        <v>-0.002</v>
      </c>
      <c r="H58" s="7" t="n">
        <v>-0.002</v>
      </c>
      <c r="I58" s="7" t="n">
        <v>-0.072</v>
      </c>
      <c r="J58" s="7" t="n">
        <v>-0.137</v>
      </c>
      <c r="K58" s="7" t="n">
        <v>0.009</v>
      </c>
      <c r="L58" s="7" t="n">
        <v>0.093</v>
      </c>
      <c r="M58" s="7" t="n">
        <v>-0.137</v>
      </c>
      <c r="N58" s="7" t="n">
        <v>0.368</v>
      </c>
      <c r="O58" s="7" t="n">
        <v>0.215</v>
      </c>
      <c r="P58" s="7" t="n">
        <v>0.163</v>
      </c>
      <c r="Q58" s="7" t="n">
        <v>0.093</v>
      </c>
      <c r="R58" s="7" t="n">
        <v>0.088</v>
      </c>
      <c r="S58" s="7" t="n">
        <v>0.365</v>
      </c>
      <c r="T58" s="7" t="n">
        <v>-0.22</v>
      </c>
      <c r="U58" s="7" t="n">
        <v>0.457</v>
      </c>
      <c r="V58" s="7" t="n">
        <v>-0.002</v>
      </c>
      <c r="W58" s="7" t="n">
        <v>0.093</v>
      </c>
      <c r="X58" s="7" t="n">
        <v>0.08</v>
      </c>
      <c r="Y58" s="7" t="n">
        <v>0.481</v>
      </c>
      <c r="Z58" s="7" t="n">
        <v>0.009</v>
      </c>
      <c r="AA58" s="7" t="n">
        <v>0.099</v>
      </c>
      <c r="AB58" s="7" t="n">
        <v>-0.201</v>
      </c>
      <c r="AC58" s="7" t="n">
        <v>0.093</v>
      </c>
      <c r="AD58" s="7" t="n">
        <v>-0.002</v>
      </c>
      <c r="AE58" s="7" t="n">
        <v>0.368</v>
      </c>
      <c r="AF58" s="7" t="n">
        <v>0.093</v>
      </c>
      <c r="AG58" s="7" t="n">
        <v>-0.002</v>
      </c>
      <c r="AH58" s="7" t="n">
        <v>0.695</v>
      </c>
      <c r="AI58" s="7" t="n">
        <v>0.084</v>
      </c>
      <c r="AJ58" s="7" t="n">
        <v>-0.15</v>
      </c>
      <c r="AK58" s="7" t="n">
        <v>-0.084</v>
      </c>
      <c r="AL58" s="7" t="n">
        <v>0.441</v>
      </c>
      <c r="AM58" s="7" t="n">
        <v>0</v>
      </c>
      <c r="AN58" s="7" t="n">
        <v>-0.011</v>
      </c>
      <c r="AO58" s="7" t="n">
        <v>0.28</v>
      </c>
      <c r="AP58" s="7" t="n">
        <v>0</v>
      </c>
      <c r="AQ58" s="7" t="n">
        <v>0.084</v>
      </c>
    </row>
    <row r="59" customFormat="false" ht="15" hidden="false" customHeight="false" outlineLevel="0" collapsed="false">
      <c r="A59" s="23" t="n">
        <v>46376</v>
      </c>
      <c r="B59" s="7" t="n">
        <v>0.392</v>
      </c>
      <c r="C59" s="7" t="n">
        <v>-0.014</v>
      </c>
      <c r="D59" s="7" t="n">
        <v>0.415</v>
      </c>
      <c r="E59" s="7" t="n">
        <v>0.009</v>
      </c>
      <c r="F59" s="7" t="n">
        <v>0.368</v>
      </c>
      <c r="G59" s="7" t="n">
        <v>-0.002</v>
      </c>
      <c r="H59" s="7" t="n">
        <v>-0.002</v>
      </c>
      <c r="I59" s="7" t="n">
        <v>-0.072</v>
      </c>
      <c r="J59" s="7" t="n">
        <v>-0.137</v>
      </c>
      <c r="K59" s="7" t="n">
        <v>0.009</v>
      </c>
      <c r="L59" s="7" t="n">
        <v>0.093</v>
      </c>
      <c r="M59" s="7" t="n">
        <v>-0.137</v>
      </c>
      <c r="N59" s="7" t="n">
        <v>0.368</v>
      </c>
      <c r="O59" s="7" t="n">
        <v>0.215</v>
      </c>
      <c r="P59" s="7" t="n">
        <v>0.163</v>
      </c>
      <c r="Q59" s="7" t="n">
        <v>0.093</v>
      </c>
      <c r="R59" s="7" t="n">
        <v>0.088</v>
      </c>
      <c r="S59" s="7" t="n">
        <v>0.365</v>
      </c>
      <c r="T59" s="7" t="n">
        <v>-0.22</v>
      </c>
      <c r="U59" s="7" t="n">
        <v>0.457</v>
      </c>
      <c r="V59" s="7" t="n">
        <v>-0.002</v>
      </c>
      <c r="W59" s="7" t="n">
        <v>0.093</v>
      </c>
      <c r="X59" s="7" t="n">
        <v>0.08</v>
      </c>
      <c r="Y59" s="7" t="n">
        <v>0.481</v>
      </c>
      <c r="Z59" s="7" t="n">
        <v>0.009</v>
      </c>
      <c r="AA59" s="7" t="n">
        <v>0.099</v>
      </c>
      <c r="AB59" s="7" t="n">
        <v>-0.201</v>
      </c>
      <c r="AC59" s="7" t="n">
        <v>0.093</v>
      </c>
      <c r="AD59" s="7" t="n">
        <v>-0.002</v>
      </c>
      <c r="AE59" s="7" t="n">
        <v>0.368</v>
      </c>
      <c r="AF59" s="7" t="n">
        <v>0.093</v>
      </c>
      <c r="AG59" s="7" t="n">
        <v>-0.002</v>
      </c>
      <c r="AH59" s="7" t="n">
        <v>0.695</v>
      </c>
      <c r="AI59" s="7" t="n">
        <v>0.084</v>
      </c>
      <c r="AJ59" s="7" t="n">
        <v>-0.15</v>
      </c>
      <c r="AK59" s="7" t="n">
        <v>-0.084</v>
      </c>
      <c r="AL59" s="7" t="n">
        <v>0.441</v>
      </c>
      <c r="AM59" s="7" t="n">
        <v>0</v>
      </c>
      <c r="AN59" s="7" t="n">
        <v>-0.011</v>
      </c>
      <c r="AO59" s="7" t="n">
        <v>0.28</v>
      </c>
      <c r="AP59" s="7" t="n">
        <v>0</v>
      </c>
      <c r="AQ59" s="7" t="n">
        <v>0.084</v>
      </c>
    </row>
    <row r="60" customFormat="false" ht="15" hidden="false" customHeight="false" outlineLevel="0" collapsed="false">
      <c r="A60" s="23" t="n">
        <v>46377</v>
      </c>
      <c r="B60" s="7" t="n">
        <v>0.392</v>
      </c>
      <c r="C60" s="7" t="n">
        <v>-0.014</v>
      </c>
      <c r="D60" s="7" t="n">
        <v>0.415</v>
      </c>
      <c r="E60" s="7" t="n">
        <v>0.009</v>
      </c>
      <c r="F60" s="7" t="n">
        <v>0.368</v>
      </c>
      <c r="G60" s="7" t="n">
        <v>-0.002</v>
      </c>
      <c r="H60" s="7" t="n">
        <v>-0.002</v>
      </c>
      <c r="I60" s="7" t="n">
        <v>-0.072</v>
      </c>
      <c r="J60" s="7" t="n">
        <v>-0.137</v>
      </c>
      <c r="K60" s="7" t="n">
        <v>0.009</v>
      </c>
      <c r="L60" s="7" t="n">
        <v>0.093</v>
      </c>
      <c r="M60" s="7" t="n">
        <v>-0.137</v>
      </c>
      <c r="N60" s="7" t="n">
        <v>0.368</v>
      </c>
      <c r="O60" s="7" t="n">
        <v>0.215</v>
      </c>
      <c r="P60" s="7" t="n">
        <v>0.163</v>
      </c>
      <c r="Q60" s="7" t="n">
        <v>0.093</v>
      </c>
      <c r="R60" s="7" t="n">
        <v>0.088</v>
      </c>
      <c r="S60" s="7" t="n">
        <v>0.365</v>
      </c>
      <c r="T60" s="7" t="n">
        <v>-0.22</v>
      </c>
      <c r="U60" s="7" t="n">
        <v>0.457</v>
      </c>
      <c r="V60" s="7" t="n">
        <v>-0.002</v>
      </c>
      <c r="W60" s="7" t="n">
        <v>0.093</v>
      </c>
      <c r="X60" s="7" t="n">
        <v>0.08</v>
      </c>
      <c r="Y60" s="7" t="n">
        <v>0.481</v>
      </c>
      <c r="Z60" s="7" t="n">
        <v>0.009</v>
      </c>
      <c r="AA60" s="7" t="n">
        <v>0.099</v>
      </c>
      <c r="AB60" s="7" t="n">
        <v>-0.201</v>
      </c>
      <c r="AC60" s="7" t="n">
        <v>0.093</v>
      </c>
      <c r="AD60" s="7" t="n">
        <v>-0.002</v>
      </c>
      <c r="AE60" s="7" t="n">
        <v>0.368</v>
      </c>
      <c r="AF60" s="7" t="n">
        <v>0.093</v>
      </c>
      <c r="AG60" s="7" t="n">
        <v>-0.002</v>
      </c>
      <c r="AH60" s="7" t="n">
        <v>0.695</v>
      </c>
      <c r="AI60" s="7" t="n">
        <v>0.084</v>
      </c>
      <c r="AJ60" s="7" t="n">
        <v>-0.15</v>
      </c>
      <c r="AK60" s="7" t="n">
        <v>-0.084</v>
      </c>
      <c r="AL60" s="7" t="n">
        <v>0.441</v>
      </c>
      <c r="AM60" s="7" t="n">
        <v>0</v>
      </c>
      <c r="AN60" s="7" t="n">
        <v>-0.011</v>
      </c>
      <c r="AO60" s="7" t="n">
        <v>0.28</v>
      </c>
      <c r="AP60" s="7" t="n">
        <v>0</v>
      </c>
      <c r="AQ60" s="7" t="n">
        <v>0.084</v>
      </c>
    </row>
    <row r="61" customFormat="false" ht="15" hidden="false" customHeight="false" outlineLevel="0" collapsed="false">
      <c r="A61" s="23" t="n">
        <v>46378</v>
      </c>
      <c r="B61" s="7" t="n">
        <v>0.411</v>
      </c>
      <c r="C61" s="7" t="n">
        <v>-0.088</v>
      </c>
      <c r="D61" s="7" t="n">
        <v>0.398</v>
      </c>
      <c r="E61" s="7" t="n">
        <v>0.009</v>
      </c>
      <c r="F61" s="7" t="n">
        <v>0.368</v>
      </c>
      <c r="G61" s="7" t="n">
        <v>0.009</v>
      </c>
      <c r="H61" s="7" t="n">
        <v>0.009</v>
      </c>
      <c r="I61" s="7" t="n">
        <v>-0.064</v>
      </c>
      <c r="J61" s="7" t="n">
        <v>-0.217</v>
      </c>
      <c r="K61" s="7" t="n">
        <v>0.009</v>
      </c>
      <c r="L61" s="7" t="n">
        <v>0.093</v>
      </c>
      <c r="M61" s="7" t="n">
        <v>-0.217</v>
      </c>
      <c r="N61" s="7" t="n">
        <v>0.368</v>
      </c>
      <c r="O61" s="7" t="n">
        <v>0.142</v>
      </c>
      <c r="P61" s="7" t="n">
        <v>0.159</v>
      </c>
      <c r="Q61" s="7" t="n">
        <v>0.093</v>
      </c>
      <c r="R61" s="7" t="n">
        <v>0.084</v>
      </c>
      <c r="S61" s="7" t="n">
        <v>0.469</v>
      </c>
      <c r="T61" s="7" t="n">
        <v>-0.23</v>
      </c>
      <c r="U61" s="7" t="n">
        <v>0.469</v>
      </c>
      <c r="V61" s="7" t="n">
        <v>0.009</v>
      </c>
      <c r="W61" s="7" t="n">
        <v>0.093</v>
      </c>
      <c r="X61" s="7" t="n">
        <v>0.076</v>
      </c>
      <c r="Y61" s="7" t="n">
        <v>0.494</v>
      </c>
      <c r="Z61" s="7" t="n">
        <v>0.009</v>
      </c>
      <c r="AA61" s="7" t="n">
        <v>0.084</v>
      </c>
      <c r="AB61" s="7" t="n">
        <v>-0.16</v>
      </c>
      <c r="AC61" s="7" t="n">
        <v>0.093</v>
      </c>
      <c r="AD61" s="7" t="n">
        <v>0.009</v>
      </c>
      <c r="AE61" s="7" t="n">
        <v>0.368</v>
      </c>
      <c r="AF61" s="7" t="n">
        <v>0.093</v>
      </c>
      <c r="AG61" s="7" t="n">
        <v>0.009</v>
      </c>
      <c r="AH61" s="7" t="n">
        <v>0.689</v>
      </c>
      <c r="AI61" s="7" t="n">
        <v>0.084</v>
      </c>
      <c r="AJ61" s="7" t="n">
        <v>-0.147</v>
      </c>
      <c r="AK61" s="7" t="n">
        <v>-0.088</v>
      </c>
      <c r="AL61" s="7" t="n">
        <v>0.462</v>
      </c>
      <c r="AM61" s="7" t="n">
        <v>0</v>
      </c>
      <c r="AN61" s="7" t="n">
        <v>0</v>
      </c>
      <c r="AO61" s="7" t="n">
        <v>0.23</v>
      </c>
      <c r="AP61" s="7" t="n">
        <v>0</v>
      </c>
      <c r="AQ61" s="7" t="n">
        <v>0.084</v>
      </c>
    </row>
    <row r="62" customFormat="false" ht="15" hidden="false" customHeight="false" outlineLevel="0" collapsed="false">
      <c r="A62" s="23" t="n">
        <v>46379</v>
      </c>
      <c r="B62" s="7" t="n">
        <v>0.392</v>
      </c>
      <c r="C62" s="7" t="n">
        <v>-0.107</v>
      </c>
      <c r="D62" s="7" t="n">
        <v>0.37</v>
      </c>
      <c r="E62" s="7" t="n">
        <v>0.009</v>
      </c>
      <c r="F62" s="7" t="n">
        <v>0.354</v>
      </c>
      <c r="G62" s="7" t="n">
        <v>0.009</v>
      </c>
      <c r="H62" s="7" t="n">
        <v>0.009</v>
      </c>
      <c r="I62" s="7" t="n">
        <v>-0.064</v>
      </c>
      <c r="J62" s="7" t="n">
        <v>-0.212</v>
      </c>
      <c r="K62" s="7" t="n">
        <v>0.009</v>
      </c>
      <c r="L62" s="7" t="n">
        <v>0.093</v>
      </c>
      <c r="M62" s="7" t="n">
        <v>-0.212</v>
      </c>
      <c r="N62" s="7" t="n">
        <v>0.354</v>
      </c>
      <c r="O62" s="7" t="n">
        <v>0.147</v>
      </c>
      <c r="P62" s="7" t="n">
        <v>0.144</v>
      </c>
      <c r="Q62" s="7" t="n">
        <v>0.093</v>
      </c>
      <c r="R62" s="7" t="n">
        <v>0.069</v>
      </c>
      <c r="S62" s="7" t="n">
        <v>0.445</v>
      </c>
      <c r="T62" s="7" t="n">
        <v>-0.238</v>
      </c>
      <c r="U62" s="7" t="n">
        <v>0.482</v>
      </c>
      <c r="V62" s="7" t="n">
        <v>0.009</v>
      </c>
      <c r="W62" s="7" t="n">
        <v>0.093</v>
      </c>
      <c r="X62" s="7" t="n">
        <v>0.06</v>
      </c>
      <c r="Y62" s="7" t="n">
        <v>0.512</v>
      </c>
      <c r="Z62" s="7" t="n">
        <v>0.009</v>
      </c>
      <c r="AA62" s="7" t="n">
        <v>0.069</v>
      </c>
      <c r="AB62" s="7" t="n">
        <v>-0.033</v>
      </c>
      <c r="AC62" s="7" t="n">
        <v>0.093</v>
      </c>
      <c r="AD62" s="7" t="n">
        <v>0.009</v>
      </c>
      <c r="AE62" s="7" t="n">
        <v>0.354</v>
      </c>
      <c r="AF62" s="7" t="n">
        <v>0.093</v>
      </c>
      <c r="AG62" s="7" t="n">
        <v>0.009</v>
      </c>
      <c r="AH62" s="7" t="n">
        <v>0.711</v>
      </c>
      <c r="AI62" s="7" t="n">
        <v>0.084</v>
      </c>
      <c r="AJ62" s="7" t="n">
        <v>-0.147</v>
      </c>
      <c r="AK62" s="7" t="n">
        <v>-0.088</v>
      </c>
      <c r="AL62" s="7" t="n">
        <v>0.474</v>
      </c>
      <c r="AM62" s="7" t="n">
        <v>0</v>
      </c>
      <c r="AN62" s="7" t="n">
        <v>0</v>
      </c>
      <c r="AO62" s="7" t="n">
        <v>0.227</v>
      </c>
      <c r="AP62" s="7" t="n">
        <v>0</v>
      </c>
      <c r="AQ62" s="7" t="n">
        <v>0.084</v>
      </c>
    </row>
    <row r="63" customFormat="false" ht="15" hidden="false" customHeight="false" outlineLevel="0" collapsed="false">
      <c r="A63" s="23" t="n">
        <v>46380</v>
      </c>
      <c r="B63" s="7" t="n">
        <v>0.344</v>
      </c>
      <c r="C63" s="7" t="n">
        <v>-0.11</v>
      </c>
      <c r="D63" s="7" t="n">
        <v>0.287</v>
      </c>
      <c r="E63" s="7" t="n">
        <v>0.009</v>
      </c>
      <c r="F63" s="7" t="n">
        <v>0.325</v>
      </c>
      <c r="G63" s="7" t="n">
        <v>0.009</v>
      </c>
      <c r="H63" s="7" t="n">
        <v>0.009</v>
      </c>
      <c r="I63" s="7" t="n">
        <v>-0.064</v>
      </c>
      <c r="J63" s="7" t="n">
        <v>-0.224</v>
      </c>
      <c r="K63" s="7" t="n">
        <v>0.009</v>
      </c>
      <c r="L63" s="7" t="n">
        <v>0.093</v>
      </c>
      <c r="M63" s="7" t="n">
        <v>-0.224</v>
      </c>
      <c r="N63" s="7" t="n">
        <v>0.325</v>
      </c>
      <c r="O63" s="7" t="n">
        <v>0.134</v>
      </c>
      <c r="P63" s="7" t="n">
        <v>0.128</v>
      </c>
      <c r="Q63" s="7" t="n">
        <v>0.093</v>
      </c>
      <c r="R63" s="7" t="n">
        <v>0.051</v>
      </c>
      <c r="S63" s="7" t="n">
        <v>0.349</v>
      </c>
      <c r="T63" s="7" t="n">
        <v>-0.192</v>
      </c>
      <c r="U63" s="7" t="n">
        <v>0.517</v>
      </c>
      <c r="V63" s="7" t="n">
        <v>0.009</v>
      </c>
      <c r="W63" s="7" t="n">
        <v>0.093</v>
      </c>
      <c r="X63" s="7" t="n">
        <v>0.044</v>
      </c>
      <c r="Y63" s="7" t="n">
        <v>0.494</v>
      </c>
      <c r="Z63" s="7" t="n">
        <v>0.009</v>
      </c>
      <c r="AA63" s="7" t="n">
        <v>0.051</v>
      </c>
      <c r="AB63" s="7" t="n">
        <v>-0.045</v>
      </c>
      <c r="AC63" s="7" t="n">
        <v>0.093</v>
      </c>
      <c r="AD63" s="7" t="n">
        <v>0.009</v>
      </c>
      <c r="AE63" s="7" t="n">
        <v>0.325</v>
      </c>
      <c r="AF63" s="7" t="n">
        <v>0.162</v>
      </c>
      <c r="AG63" s="7" t="n">
        <v>0.009</v>
      </c>
      <c r="AH63" s="7" t="n">
        <v>0.72</v>
      </c>
      <c r="AI63" s="7" t="n">
        <v>0.084</v>
      </c>
      <c r="AJ63" s="7" t="n">
        <v>-0.146</v>
      </c>
      <c r="AK63" s="7" t="n">
        <v>-0.088</v>
      </c>
      <c r="AL63" s="7" t="n">
        <v>0.474</v>
      </c>
      <c r="AM63" s="7" t="n">
        <v>0</v>
      </c>
      <c r="AN63" s="7" t="n">
        <v>0</v>
      </c>
      <c r="AO63" s="7" t="n">
        <v>0.209</v>
      </c>
      <c r="AP63" s="7" t="n">
        <v>0</v>
      </c>
      <c r="AQ63" s="7" t="n">
        <v>0.084</v>
      </c>
    </row>
    <row r="64" customFormat="false" ht="15" hidden="false" customHeight="false" outlineLevel="0" collapsed="false">
      <c r="A64" s="23" t="n">
        <v>46381</v>
      </c>
      <c r="B64" s="7" t="n">
        <v>0.296</v>
      </c>
      <c r="C64" s="7" t="n">
        <v>-0.112</v>
      </c>
      <c r="D64" s="7" t="n">
        <v>0.205</v>
      </c>
      <c r="E64" s="7" t="n">
        <v>0.009</v>
      </c>
      <c r="F64" s="7" t="n">
        <v>0.298</v>
      </c>
      <c r="G64" s="7" t="n">
        <v>0.009</v>
      </c>
      <c r="H64" s="7" t="n">
        <v>0.009</v>
      </c>
      <c r="I64" s="7" t="n">
        <v>-0.064</v>
      </c>
      <c r="J64" s="7" t="n">
        <v>-0.231</v>
      </c>
      <c r="K64" s="7" t="n">
        <v>0.009</v>
      </c>
      <c r="L64" s="7" t="n">
        <v>0.093</v>
      </c>
      <c r="M64" s="7" t="n">
        <v>-0.231</v>
      </c>
      <c r="N64" s="7" t="n">
        <v>0.298</v>
      </c>
      <c r="O64" s="7" t="n">
        <v>0.126</v>
      </c>
      <c r="P64" s="7" t="n">
        <v>0.112</v>
      </c>
      <c r="Q64" s="7" t="n">
        <v>0.093</v>
      </c>
      <c r="R64" s="7" t="n">
        <v>0.033</v>
      </c>
      <c r="S64" s="7" t="n">
        <v>0.253</v>
      </c>
      <c r="T64" s="7" t="n">
        <v>-0.143</v>
      </c>
      <c r="U64" s="7" t="n">
        <v>0.553</v>
      </c>
      <c r="V64" s="7" t="n">
        <v>0.009</v>
      </c>
      <c r="W64" s="7" t="n">
        <v>0.093</v>
      </c>
      <c r="X64" s="7" t="n">
        <v>0.028</v>
      </c>
      <c r="Y64" s="7" t="n">
        <v>0.477</v>
      </c>
      <c r="Z64" s="7" t="n">
        <v>0.009</v>
      </c>
      <c r="AA64" s="7" t="n">
        <v>0.033</v>
      </c>
      <c r="AB64" s="7" t="n">
        <v>-0.147</v>
      </c>
      <c r="AC64" s="7" t="n">
        <v>0.093</v>
      </c>
      <c r="AD64" s="7" t="n">
        <v>0.009</v>
      </c>
      <c r="AE64" s="7" t="n">
        <v>0.298</v>
      </c>
      <c r="AF64" s="7" t="n">
        <v>0.227</v>
      </c>
      <c r="AG64" s="7" t="n">
        <v>0.009</v>
      </c>
      <c r="AH64" s="7" t="n">
        <v>0.665</v>
      </c>
      <c r="AI64" s="7" t="n">
        <v>0.084</v>
      </c>
      <c r="AJ64" s="7" t="n">
        <v>-0.146</v>
      </c>
      <c r="AK64" s="7" t="n">
        <v>-0.088</v>
      </c>
      <c r="AL64" s="7" t="n">
        <v>0.474</v>
      </c>
      <c r="AM64" s="7" t="n">
        <v>0</v>
      </c>
      <c r="AN64" s="7" t="n">
        <v>0</v>
      </c>
      <c r="AO64" s="7" t="n">
        <v>0.195</v>
      </c>
      <c r="AP64" s="7" t="n">
        <v>0</v>
      </c>
      <c r="AQ64" s="7" t="n">
        <v>0.084</v>
      </c>
    </row>
    <row r="65" customFormat="false" ht="15" hidden="false" customHeight="false" outlineLevel="0" collapsed="false">
      <c r="A65" s="23" t="n">
        <v>46382</v>
      </c>
      <c r="B65" s="7" t="n">
        <v>0.252</v>
      </c>
      <c r="C65" s="7" t="n">
        <v>-0.108</v>
      </c>
      <c r="D65" s="7" t="n">
        <v>0.124</v>
      </c>
      <c r="E65" s="7" t="n">
        <v>0.009</v>
      </c>
      <c r="F65" s="7" t="n">
        <v>0.273</v>
      </c>
      <c r="G65" s="7" t="n">
        <v>0.009</v>
      </c>
      <c r="H65" s="7" t="n">
        <v>0.009</v>
      </c>
      <c r="I65" s="7" t="n">
        <v>-0.064</v>
      </c>
      <c r="J65" s="7" t="n">
        <v>-0.236</v>
      </c>
      <c r="K65" s="7" t="n">
        <v>0.009</v>
      </c>
      <c r="L65" s="7" t="n">
        <v>0.097</v>
      </c>
      <c r="M65" s="7" t="n">
        <v>-0.236</v>
      </c>
      <c r="N65" s="7" t="n">
        <v>0.273</v>
      </c>
      <c r="O65" s="7" t="n">
        <v>0.124</v>
      </c>
      <c r="P65" s="7" t="n">
        <v>0.1</v>
      </c>
      <c r="Q65" s="7" t="n">
        <v>0.097</v>
      </c>
      <c r="R65" s="7" t="n">
        <v>0.017</v>
      </c>
      <c r="S65" s="7" t="n">
        <v>0.158</v>
      </c>
      <c r="T65" s="7" t="n">
        <v>-0.093</v>
      </c>
      <c r="U65" s="7" t="n">
        <v>0.589</v>
      </c>
      <c r="V65" s="7" t="n">
        <v>0.009</v>
      </c>
      <c r="W65" s="7" t="n">
        <v>0.097</v>
      </c>
      <c r="X65" s="7" t="n">
        <v>0.013</v>
      </c>
      <c r="Y65" s="7" t="n">
        <v>0.459</v>
      </c>
      <c r="Z65" s="7" t="n">
        <v>0.009</v>
      </c>
      <c r="AA65" s="7" t="n">
        <v>0.017</v>
      </c>
      <c r="AB65" s="7" t="n">
        <v>-0.198</v>
      </c>
      <c r="AC65" s="7" t="n">
        <v>0.097</v>
      </c>
      <c r="AD65" s="7" t="n">
        <v>0.009</v>
      </c>
      <c r="AE65" s="7" t="n">
        <v>0.273</v>
      </c>
      <c r="AF65" s="7" t="n">
        <v>0.293</v>
      </c>
      <c r="AG65" s="7" t="n">
        <v>0.009</v>
      </c>
      <c r="AH65" s="7" t="n">
        <v>0.615</v>
      </c>
      <c r="AI65" s="7" t="n">
        <v>0.088</v>
      </c>
      <c r="AJ65" s="7" t="n">
        <v>-0.146</v>
      </c>
      <c r="AK65" s="7" t="n">
        <v>-0.088</v>
      </c>
      <c r="AL65" s="7" t="n">
        <v>0.477</v>
      </c>
      <c r="AM65" s="7" t="n">
        <v>0</v>
      </c>
      <c r="AN65" s="7" t="n">
        <v>0</v>
      </c>
      <c r="AO65" s="7" t="n">
        <v>0.185</v>
      </c>
      <c r="AP65" s="7" t="n">
        <v>0</v>
      </c>
      <c r="AQ65" s="7" t="n">
        <v>0.088</v>
      </c>
    </row>
    <row r="66" customFormat="false" ht="15" hidden="false" customHeight="false" outlineLevel="0" collapsed="false">
      <c r="A66" s="23" t="n">
        <v>46383</v>
      </c>
      <c r="B66" s="7" t="n">
        <v>0.252</v>
      </c>
      <c r="C66" s="7" t="n">
        <v>-0.108</v>
      </c>
      <c r="D66" s="7" t="n">
        <v>0.124</v>
      </c>
      <c r="E66" s="7" t="n">
        <v>0.009</v>
      </c>
      <c r="F66" s="7" t="n">
        <v>0.273</v>
      </c>
      <c r="G66" s="7" t="n">
        <v>0.009</v>
      </c>
      <c r="H66" s="7" t="n">
        <v>0.009</v>
      </c>
      <c r="I66" s="7" t="n">
        <v>-0.064</v>
      </c>
      <c r="J66" s="7" t="n">
        <v>-0.236</v>
      </c>
      <c r="K66" s="7" t="n">
        <v>0.009</v>
      </c>
      <c r="L66" s="7" t="n">
        <v>0.097</v>
      </c>
      <c r="M66" s="7" t="n">
        <v>-0.236</v>
      </c>
      <c r="N66" s="7" t="n">
        <v>0.273</v>
      </c>
      <c r="O66" s="7" t="n">
        <v>0.124</v>
      </c>
      <c r="P66" s="7" t="n">
        <v>0.1</v>
      </c>
      <c r="Q66" s="7" t="n">
        <v>0.097</v>
      </c>
      <c r="R66" s="7" t="n">
        <v>0.017</v>
      </c>
      <c r="S66" s="7" t="n">
        <v>0.158</v>
      </c>
      <c r="T66" s="7" t="n">
        <v>-0.093</v>
      </c>
      <c r="U66" s="7" t="n">
        <v>0.589</v>
      </c>
      <c r="V66" s="7" t="n">
        <v>0.009</v>
      </c>
      <c r="W66" s="7" t="n">
        <v>0.097</v>
      </c>
      <c r="X66" s="7" t="n">
        <v>0.013</v>
      </c>
      <c r="Y66" s="7" t="n">
        <v>0.459</v>
      </c>
      <c r="Z66" s="7" t="n">
        <v>0.009</v>
      </c>
      <c r="AA66" s="7" t="n">
        <v>0.017</v>
      </c>
      <c r="AB66" s="7" t="n">
        <v>-0.198</v>
      </c>
      <c r="AC66" s="7" t="n">
        <v>0.097</v>
      </c>
      <c r="AD66" s="7" t="n">
        <v>0.009</v>
      </c>
      <c r="AE66" s="7" t="n">
        <v>0.273</v>
      </c>
      <c r="AF66" s="7" t="n">
        <v>0.293</v>
      </c>
      <c r="AG66" s="7" t="n">
        <v>0.009</v>
      </c>
      <c r="AH66" s="7" t="n">
        <v>0.615</v>
      </c>
      <c r="AI66" s="7" t="n">
        <v>0.088</v>
      </c>
      <c r="AJ66" s="7" t="n">
        <v>-0.146</v>
      </c>
      <c r="AK66" s="7" t="n">
        <v>-0.088</v>
      </c>
      <c r="AL66" s="7" t="n">
        <v>0.477</v>
      </c>
      <c r="AM66" s="7" t="n">
        <v>0</v>
      </c>
      <c r="AN66" s="7" t="n">
        <v>0</v>
      </c>
      <c r="AO66" s="7" t="n">
        <v>0.185</v>
      </c>
      <c r="AP66" s="7" t="n">
        <v>0</v>
      </c>
      <c r="AQ66" s="7" t="n">
        <v>0.088</v>
      </c>
    </row>
    <row r="67" customFormat="false" ht="15" hidden="false" customHeight="false" outlineLevel="0" collapsed="false">
      <c r="A67" s="23" t="n">
        <v>46384</v>
      </c>
      <c r="B67" s="7" t="n">
        <v>0.252</v>
      </c>
      <c r="C67" s="7" t="n">
        <v>-0.108</v>
      </c>
      <c r="D67" s="7" t="n">
        <v>0.124</v>
      </c>
      <c r="E67" s="7" t="n">
        <v>0.009</v>
      </c>
      <c r="F67" s="7" t="n">
        <v>0.273</v>
      </c>
      <c r="G67" s="7" t="n">
        <v>0.009</v>
      </c>
      <c r="H67" s="7" t="n">
        <v>0.009</v>
      </c>
      <c r="I67" s="7" t="n">
        <v>-0.064</v>
      </c>
      <c r="J67" s="7" t="n">
        <v>-0.236</v>
      </c>
      <c r="K67" s="7" t="n">
        <v>0.009</v>
      </c>
      <c r="L67" s="7" t="n">
        <v>0.097</v>
      </c>
      <c r="M67" s="7" t="n">
        <v>-0.236</v>
      </c>
      <c r="N67" s="7" t="n">
        <v>0.273</v>
      </c>
      <c r="O67" s="7" t="n">
        <v>0.124</v>
      </c>
      <c r="P67" s="7" t="n">
        <v>0.1</v>
      </c>
      <c r="Q67" s="7" t="n">
        <v>0.097</v>
      </c>
      <c r="R67" s="7" t="n">
        <v>0.017</v>
      </c>
      <c r="S67" s="7" t="n">
        <v>0.158</v>
      </c>
      <c r="T67" s="7" t="n">
        <v>-0.093</v>
      </c>
      <c r="U67" s="7" t="n">
        <v>0.589</v>
      </c>
      <c r="V67" s="7" t="n">
        <v>0.009</v>
      </c>
      <c r="W67" s="7" t="n">
        <v>0.097</v>
      </c>
      <c r="X67" s="7" t="n">
        <v>0.013</v>
      </c>
      <c r="Y67" s="7" t="n">
        <v>0.459</v>
      </c>
      <c r="Z67" s="7" t="n">
        <v>0.009</v>
      </c>
      <c r="AA67" s="7" t="n">
        <v>0.017</v>
      </c>
      <c r="AB67" s="7" t="n">
        <v>-0.198</v>
      </c>
      <c r="AC67" s="7" t="n">
        <v>0.097</v>
      </c>
      <c r="AD67" s="7" t="n">
        <v>0.009</v>
      </c>
      <c r="AE67" s="7" t="n">
        <v>0.273</v>
      </c>
      <c r="AF67" s="7" t="n">
        <v>0.293</v>
      </c>
      <c r="AG67" s="7" t="n">
        <v>0.009</v>
      </c>
      <c r="AH67" s="7" t="n">
        <v>0.615</v>
      </c>
      <c r="AI67" s="7" t="n">
        <v>0.088</v>
      </c>
      <c r="AJ67" s="7" t="n">
        <v>-0.146</v>
      </c>
      <c r="AK67" s="7" t="n">
        <v>-0.088</v>
      </c>
      <c r="AL67" s="7" t="n">
        <v>0.477</v>
      </c>
      <c r="AM67" s="7" t="n">
        <v>0</v>
      </c>
      <c r="AN67" s="7" t="n">
        <v>0</v>
      </c>
      <c r="AO67" s="7" t="n">
        <v>0.185</v>
      </c>
      <c r="AP67" s="7" t="n">
        <v>0</v>
      </c>
      <c r="AQ67" s="7" t="n">
        <v>0.088</v>
      </c>
    </row>
    <row r="68" customFormat="false" ht="15" hidden="false" customHeight="false" outlineLevel="0" collapsed="false">
      <c r="A68" s="23" t="n">
        <v>46385</v>
      </c>
      <c r="B68" s="7" t="n">
        <v>0.193</v>
      </c>
      <c r="C68" s="7" t="n">
        <v>-0.128</v>
      </c>
      <c r="D68" s="7" t="n">
        <v>0.055</v>
      </c>
      <c r="E68" s="7" t="n">
        <v>0.009</v>
      </c>
      <c r="F68" s="7" t="n">
        <v>0.233</v>
      </c>
      <c r="G68" s="7" t="n">
        <v>-0.001</v>
      </c>
      <c r="H68" s="7" t="n">
        <v>-0.001</v>
      </c>
      <c r="I68" s="7" t="n">
        <v>-0.071</v>
      </c>
      <c r="J68" s="7" t="n">
        <v>-0.259</v>
      </c>
      <c r="K68" s="7" t="n">
        <v>0.009</v>
      </c>
      <c r="L68" s="7" t="n">
        <v>0.001</v>
      </c>
      <c r="M68" s="7" t="n">
        <v>-0.259</v>
      </c>
      <c r="N68" s="7" t="n">
        <v>0.233</v>
      </c>
      <c r="O68" s="7" t="n">
        <v>0.069</v>
      </c>
      <c r="P68" s="7" t="n">
        <v>0.071</v>
      </c>
      <c r="Q68" s="7" t="n">
        <v>0.001</v>
      </c>
      <c r="R68" s="7" t="n">
        <v>0.002</v>
      </c>
      <c r="S68" s="7" t="n">
        <v>0.083</v>
      </c>
      <c r="T68" s="7" t="n">
        <v>-0.042</v>
      </c>
      <c r="U68" s="7" t="n">
        <v>0.587</v>
      </c>
      <c r="V68" s="7" t="n">
        <v>-0.001</v>
      </c>
      <c r="W68" s="7" t="n">
        <v>0.001</v>
      </c>
      <c r="X68" s="7" t="n">
        <v>0</v>
      </c>
      <c r="Y68" s="7" t="n">
        <v>0.415</v>
      </c>
      <c r="Z68" s="7" t="n">
        <v>0.009</v>
      </c>
      <c r="AA68" s="7" t="n">
        <v>0.012</v>
      </c>
      <c r="AB68" s="7" t="n">
        <v>-0.339</v>
      </c>
      <c r="AC68" s="7" t="n">
        <v>0.001</v>
      </c>
      <c r="AD68" s="7" t="n">
        <v>-0.001</v>
      </c>
      <c r="AE68" s="7" t="n">
        <v>0.233</v>
      </c>
      <c r="AF68" s="7" t="n">
        <v>0.312</v>
      </c>
      <c r="AG68" s="7" t="n">
        <v>-0.001</v>
      </c>
      <c r="AH68" s="7" t="n">
        <v>0.567</v>
      </c>
      <c r="AI68" s="7" t="n">
        <v>0.071</v>
      </c>
      <c r="AJ68" s="7" t="n">
        <v>-0.15</v>
      </c>
      <c r="AK68" s="7" t="n">
        <v>-0.085</v>
      </c>
      <c r="AL68" s="7" t="n">
        <v>0.442</v>
      </c>
      <c r="AM68" s="7" t="n">
        <v>0</v>
      </c>
      <c r="AN68" s="7" t="n">
        <v>-0.01</v>
      </c>
      <c r="AO68" s="7" t="n">
        <v>0.176</v>
      </c>
      <c r="AP68" s="7" t="n">
        <v>0</v>
      </c>
      <c r="AQ68" s="7" t="n">
        <v>0.071</v>
      </c>
    </row>
    <row r="69" customFormat="false" ht="15" hidden="false" customHeight="false" outlineLevel="0" collapsed="false">
      <c r="A69" s="23" t="n">
        <v>46386</v>
      </c>
      <c r="B69" s="7" t="n">
        <v>0.131</v>
      </c>
      <c r="C69" s="7" t="n">
        <v>-0.143</v>
      </c>
      <c r="D69" s="7" t="n">
        <v>-0.011</v>
      </c>
      <c r="E69" s="7" t="n">
        <v>0.009</v>
      </c>
      <c r="F69" s="7" t="n">
        <v>0.186</v>
      </c>
      <c r="G69" s="7" t="n">
        <v>-0.011</v>
      </c>
      <c r="H69" s="7" t="n">
        <v>-0.011</v>
      </c>
      <c r="I69" s="7" t="n">
        <v>-0.079</v>
      </c>
      <c r="J69" s="7" t="n">
        <v>-0.303</v>
      </c>
      <c r="K69" s="7" t="n">
        <v>0.009</v>
      </c>
      <c r="L69" s="7" t="n">
        <v>-0.095</v>
      </c>
      <c r="M69" s="7" t="n">
        <v>-0.303</v>
      </c>
      <c r="N69" s="7" t="n">
        <v>0.186</v>
      </c>
      <c r="O69" s="7" t="n">
        <v>-0.005</v>
      </c>
      <c r="P69" s="7" t="n">
        <v>0.043</v>
      </c>
      <c r="Q69" s="7" t="n">
        <v>-0.095</v>
      </c>
      <c r="R69" s="7" t="n">
        <v>-0.011</v>
      </c>
      <c r="S69" s="7" t="n">
        <v>0.009</v>
      </c>
      <c r="T69" s="7" t="n">
        <v>0.009</v>
      </c>
      <c r="U69" s="7" t="n">
        <v>0.585</v>
      </c>
      <c r="V69" s="7" t="n">
        <v>-0.011</v>
      </c>
      <c r="W69" s="7" t="n">
        <v>-0.095</v>
      </c>
      <c r="X69" s="7" t="n">
        <v>-0.011</v>
      </c>
      <c r="Y69" s="7" t="n">
        <v>0.371</v>
      </c>
      <c r="Z69" s="7" t="n">
        <v>0.009</v>
      </c>
      <c r="AA69" s="7" t="n">
        <v>0.009</v>
      </c>
      <c r="AB69" s="7" t="n">
        <v>-0.441</v>
      </c>
      <c r="AC69" s="7" t="n">
        <v>-0.095</v>
      </c>
      <c r="AD69" s="7" t="n">
        <v>-0.011</v>
      </c>
      <c r="AE69" s="7" t="n">
        <v>0.186</v>
      </c>
      <c r="AF69" s="7" t="n">
        <v>0.333</v>
      </c>
      <c r="AG69" s="7" t="n">
        <v>-0.011</v>
      </c>
      <c r="AH69" s="7" t="n">
        <v>0.558</v>
      </c>
      <c r="AI69" s="7" t="n">
        <v>0.054</v>
      </c>
      <c r="AJ69" s="7" t="n">
        <v>-0.155</v>
      </c>
      <c r="AK69" s="7" t="n">
        <v>-0.082</v>
      </c>
      <c r="AL69" s="7" t="n">
        <v>0.407</v>
      </c>
      <c r="AM69" s="7" t="n">
        <v>0</v>
      </c>
      <c r="AN69" s="7" t="n">
        <v>-0.02</v>
      </c>
      <c r="AO69" s="7" t="n">
        <v>0.171</v>
      </c>
      <c r="AP69" s="7" t="n">
        <v>0</v>
      </c>
      <c r="AQ69" s="7" t="n">
        <v>0.054</v>
      </c>
    </row>
    <row r="70" customFormat="false" ht="15" hidden="false" customHeight="false" outlineLevel="0" collapsed="false">
      <c r="A70" s="23" t="n">
        <v>46387</v>
      </c>
      <c r="B70" s="7" t="n">
        <v>0.118</v>
      </c>
      <c r="C70" s="7" t="n">
        <v>-0.146</v>
      </c>
      <c r="D70" s="7" t="n">
        <v>-0.021</v>
      </c>
      <c r="E70" s="7" t="n">
        <v>0.009</v>
      </c>
      <c r="F70" s="7" t="n">
        <v>0.181</v>
      </c>
      <c r="G70" s="7" t="n">
        <v>-0.021</v>
      </c>
      <c r="H70" s="7" t="n">
        <v>-0.021</v>
      </c>
      <c r="I70" s="7" t="n">
        <v>-0.087</v>
      </c>
      <c r="J70" s="7" t="n">
        <v>-0.316</v>
      </c>
      <c r="K70" s="7" t="n">
        <v>0.009</v>
      </c>
      <c r="L70" s="7" t="n">
        <v>-0.193</v>
      </c>
      <c r="M70" s="7" t="n">
        <v>-0.316</v>
      </c>
      <c r="N70" s="7" t="n">
        <v>0.181</v>
      </c>
      <c r="O70" s="7" t="n">
        <v>-0.045</v>
      </c>
      <c r="P70" s="7" t="n">
        <v>0.016</v>
      </c>
      <c r="Q70" s="7" t="n">
        <v>-0.193</v>
      </c>
      <c r="R70" s="7" t="n">
        <v>-0.021</v>
      </c>
      <c r="S70" s="7" t="n">
        <v>0.009</v>
      </c>
      <c r="T70" s="7" t="n">
        <v>0.009</v>
      </c>
      <c r="U70" s="7" t="n">
        <v>0.567</v>
      </c>
      <c r="V70" s="7" t="n">
        <v>-0.021</v>
      </c>
      <c r="W70" s="7" t="n">
        <v>-0.193</v>
      </c>
      <c r="X70" s="7" t="n">
        <v>-0.021</v>
      </c>
      <c r="Y70" s="7" t="n">
        <v>0.362</v>
      </c>
      <c r="Z70" s="7" t="n">
        <v>0.009</v>
      </c>
      <c r="AA70" s="7" t="n">
        <v>0.009</v>
      </c>
      <c r="AB70" s="7" t="n">
        <v>-0.365</v>
      </c>
      <c r="AC70" s="7" t="n">
        <v>-0.193</v>
      </c>
      <c r="AD70" s="7" t="n">
        <v>-0.021</v>
      </c>
      <c r="AE70" s="7" t="n">
        <v>0.181</v>
      </c>
      <c r="AF70" s="7" t="n">
        <v>0.307</v>
      </c>
      <c r="AG70" s="7" t="n">
        <v>-0.021</v>
      </c>
      <c r="AH70" s="7" t="n">
        <v>0.569</v>
      </c>
      <c r="AI70" s="7" t="n">
        <v>0.037</v>
      </c>
      <c r="AJ70" s="7" t="n">
        <v>-0.161</v>
      </c>
      <c r="AK70" s="7" t="n">
        <v>-0.079</v>
      </c>
      <c r="AL70" s="7" t="n">
        <v>0.384</v>
      </c>
      <c r="AM70" s="7" t="n">
        <v>0</v>
      </c>
      <c r="AN70" s="7" t="n">
        <v>-0.03</v>
      </c>
      <c r="AO70" s="7" t="n">
        <v>0.192</v>
      </c>
      <c r="AP70" s="7" t="n">
        <v>0</v>
      </c>
      <c r="AQ70" s="7" t="n">
        <v>0.037</v>
      </c>
    </row>
    <row r="71" customFormat="false" ht="15" hidden="false" customHeight="false" outlineLevel="0" collapsed="false">
      <c r="A71" s="23" t="n">
        <v>46388</v>
      </c>
      <c r="B71" s="7" t="n">
        <v>0.107</v>
      </c>
      <c r="C71" s="7" t="n">
        <v>-0.148</v>
      </c>
      <c r="D71" s="7" t="n">
        <v>-0.031</v>
      </c>
      <c r="E71" s="7" t="n">
        <v>0.009</v>
      </c>
      <c r="F71" s="7" t="n">
        <v>0.179</v>
      </c>
      <c r="G71" s="7" t="n">
        <v>-0.031</v>
      </c>
      <c r="H71" s="7" t="n">
        <v>-0.031</v>
      </c>
      <c r="I71" s="7" t="n">
        <v>-0.095</v>
      </c>
      <c r="J71" s="7" t="n">
        <v>-0.331</v>
      </c>
      <c r="K71" s="7" t="n">
        <v>0.009</v>
      </c>
      <c r="L71" s="7" t="n">
        <v>-0.293</v>
      </c>
      <c r="M71" s="7" t="n">
        <v>-0.331</v>
      </c>
      <c r="N71" s="7" t="n">
        <v>0.179</v>
      </c>
      <c r="O71" s="7" t="n">
        <v>-0.082</v>
      </c>
      <c r="P71" s="7" t="n">
        <v>-0.011</v>
      </c>
      <c r="Q71" s="7" t="n">
        <v>-0.293</v>
      </c>
      <c r="R71" s="7" t="n">
        <v>-0.031</v>
      </c>
      <c r="S71" s="7" t="n">
        <v>0.009</v>
      </c>
      <c r="T71" s="7" t="n">
        <v>0.009</v>
      </c>
      <c r="U71" s="7" t="n">
        <v>0.548</v>
      </c>
      <c r="V71" s="7" t="n">
        <v>-0.031</v>
      </c>
      <c r="W71" s="7" t="n">
        <v>-0.293</v>
      </c>
      <c r="X71" s="7" t="n">
        <v>-0.031</v>
      </c>
      <c r="Y71" s="7" t="n">
        <v>0.353</v>
      </c>
      <c r="Z71" s="7" t="n">
        <v>0.009</v>
      </c>
      <c r="AA71" s="7" t="n">
        <v>0.009</v>
      </c>
      <c r="AB71" s="7" t="n">
        <v>-0.258</v>
      </c>
      <c r="AC71" s="7" t="n">
        <v>-0.293</v>
      </c>
      <c r="AD71" s="7" t="n">
        <v>-0.031</v>
      </c>
      <c r="AE71" s="7" t="n">
        <v>0.179</v>
      </c>
      <c r="AF71" s="7" t="n">
        <v>0.281</v>
      </c>
      <c r="AG71" s="7" t="n">
        <v>-0.031</v>
      </c>
      <c r="AH71" s="7" t="n">
        <v>0.618</v>
      </c>
      <c r="AI71" s="7" t="n">
        <v>0.02</v>
      </c>
      <c r="AJ71" s="7" t="n">
        <v>-0.167</v>
      </c>
      <c r="AK71" s="7" t="n">
        <v>-0.077</v>
      </c>
      <c r="AL71" s="7" t="n">
        <v>0.361</v>
      </c>
      <c r="AM71" s="7" t="n">
        <v>0</v>
      </c>
      <c r="AN71" s="7" t="n">
        <v>-0.041</v>
      </c>
      <c r="AO71" s="7" t="n">
        <v>0.215</v>
      </c>
      <c r="AP71" s="7" t="n">
        <v>0</v>
      </c>
      <c r="AQ71" s="7" t="n">
        <v>0.02</v>
      </c>
    </row>
    <row r="72" customFormat="false" ht="15" hidden="false" customHeight="false" outlineLevel="0" collapsed="false">
      <c r="A72" s="23" t="n">
        <v>46389</v>
      </c>
      <c r="B72" s="7" t="n">
        <v>0.084</v>
      </c>
      <c r="C72" s="7" t="n">
        <v>-0.122</v>
      </c>
      <c r="D72" s="7" t="n">
        <v>-0.071</v>
      </c>
      <c r="E72" s="7" t="n">
        <v>0.009</v>
      </c>
      <c r="F72" s="7" t="n">
        <v>0.187</v>
      </c>
      <c r="G72" s="7" t="n">
        <v>-0.071</v>
      </c>
      <c r="H72" s="7" t="n">
        <v>-0.071</v>
      </c>
      <c r="I72" s="7" t="n">
        <v>-0.13</v>
      </c>
      <c r="J72" s="7" t="n">
        <v>-0.351</v>
      </c>
      <c r="K72" s="7" t="n">
        <v>0.009</v>
      </c>
      <c r="L72" s="7" t="n">
        <v>-0.354</v>
      </c>
      <c r="M72" s="7" t="n">
        <v>-0.351</v>
      </c>
      <c r="N72" s="7" t="n">
        <v>0.187</v>
      </c>
      <c r="O72" s="7" t="n">
        <v>-0.102</v>
      </c>
      <c r="P72" s="7" t="n">
        <v>-0.071</v>
      </c>
      <c r="Q72" s="7" t="n">
        <v>-0.354</v>
      </c>
      <c r="R72" s="7" t="n">
        <v>-0.071</v>
      </c>
      <c r="S72" s="7" t="n">
        <v>0.009</v>
      </c>
      <c r="T72" s="7" t="n">
        <v>0.009</v>
      </c>
      <c r="U72" s="7" t="n">
        <v>0.534</v>
      </c>
      <c r="V72" s="7" t="n">
        <v>-0.071</v>
      </c>
      <c r="W72" s="7" t="n">
        <v>-0.354</v>
      </c>
      <c r="X72" s="7" t="n">
        <v>-0.071</v>
      </c>
      <c r="Y72" s="7" t="n">
        <v>0.316</v>
      </c>
      <c r="Z72" s="7" t="n">
        <v>0.009</v>
      </c>
      <c r="AA72" s="7" t="n">
        <v>0.009</v>
      </c>
      <c r="AB72" s="7" t="n">
        <v>-0.198</v>
      </c>
      <c r="AC72" s="7" t="n">
        <v>-0.354</v>
      </c>
      <c r="AD72" s="7" t="n">
        <v>-0.071</v>
      </c>
      <c r="AE72" s="7" t="n">
        <v>0.187</v>
      </c>
      <c r="AF72" s="7" t="n">
        <v>0.273</v>
      </c>
      <c r="AG72" s="7" t="n">
        <v>-0.071</v>
      </c>
      <c r="AH72" s="7" t="n">
        <v>0.666</v>
      </c>
      <c r="AI72" s="7" t="n">
        <v>0</v>
      </c>
      <c r="AJ72" s="7" t="n">
        <v>-0.197</v>
      </c>
      <c r="AK72" s="7" t="n">
        <v>-0.072</v>
      </c>
      <c r="AL72" s="7" t="n">
        <v>0.308</v>
      </c>
      <c r="AM72" s="7" t="n">
        <v>0</v>
      </c>
      <c r="AN72" s="7" t="n">
        <v>-0.08</v>
      </c>
      <c r="AO72" s="7" t="n">
        <v>0.236</v>
      </c>
      <c r="AP72" s="7" t="n">
        <v>0</v>
      </c>
      <c r="AQ72" s="7" t="n">
        <v>0</v>
      </c>
    </row>
    <row r="73" customFormat="false" ht="15" hidden="false" customHeight="false" outlineLevel="0" collapsed="false">
      <c r="A73" s="23" t="n">
        <v>46390</v>
      </c>
      <c r="B73" s="7" t="n">
        <v>0.084</v>
      </c>
      <c r="C73" s="7" t="n">
        <v>-0.122</v>
      </c>
      <c r="D73" s="7" t="n">
        <v>-0.071</v>
      </c>
      <c r="E73" s="7" t="n">
        <v>0.009</v>
      </c>
      <c r="F73" s="7" t="n">
        <v>0.187</v>
      </c>
      <c r="G73" s="7" t="n">
        <v>-0.071</v>
      </c>
      <c r="H73" s="7" t="n">
        <v>-0.071</v>
      </c>
      <c r="I73" s="7" t="n">
        <v>-0.13</v>
      </c>
      <c r="J73" s="7" t="n">
        <v>-0.351</v>
      </c>
      <c r="K73" s="7" t="n">
        <v>0.009</v>
      </c>
      <c r="L73" s="7" t="n">
        <v>-0.354</v>
      </c>
      <c r="M73" s="7" t="n">
        <v>-0.351</v>
      </c>
      <c r="N73" s="7" t="n">
        <v>0.187</v>
      </c>
      <c r="O73" s="7" t="n">
        <v>-0.102</v>
      </c>
      <c r="P73" s="7" t="n">
        <v>-0.071</v>
      </c>
      <c r="Q73" s="7" t="n">
        <v>-0.354</v>
      </c>
      <c r="R73" s="7" t="n">
        <v>-0.071</v>
      </c>
      <c r="S73" s="7" t="n">
        <v>0.009</v>
      </c>
      <c r="T73" s="7" t="n">
        <v>0.009</v>
      </c>
      <c r="U73" s="7" t="n">
        <v>0.534</v>
      </c>
      <c r="V73" s="7" t="n">
        <v>-0.071</v>
      </c>
      <c r="W73" s="7" t="n">
        <v>-0.354</v>
      </c>
      <c r="X73" s="7" t="n">
        <v>-0.071</v>
      </c>
      <c r="Y73" s="7" t="n">
        <v>0.316</v>
      </c>
      <c r="Z73" s="7" t="n">
        <v>0.009</v>
      </c>
      <c r="AA73" s="7" t="n">
        <v>0.009</v>
      </c>
      <c r="AB73" s="7" t="n">
        <v>-0.198</v>
      </c>
      <c r="AC73" s="7" t="n">
        <v>-0.354</v>
      </c>
      <c r="AD73" s="7" t="n">
        <v>-0.071</v>
      </c>
      <c r="AE73" s="7" t="n">
        <v>0.187</v>
      </c>
      <c r="AF73" s="7" t="n">
        <v>0.273</v>
      </c>
      <c r="AG73" s="7" t="n">
        <v>-0.071</v>
      </c>
      <c r="AH73" s="7" t="n">
        <v>0.666</v>
      </c>
      <c r="AI73" s="7" t="n">
        <v>0</v>
      </c>
      <c r="AJ73" s="7" t="n">
        <v>-0.197</v>
      </c>
      <c r="AK73" s="7" t="n">
        <v>-0.072</v>
      </c>
      <c r="AL73" s="7" t="n">
        <v>0.308</v>
      </c>
      <c r="AM73" s="7" t="n">
        <v>0</v>
      </c>
      <c r="AN73" s="7" t="n">
        <v>-0.08</v>
      </c>
      <c r="AO73" s="7" t="n">
        <v>0.236</v>
      </c>
      <c r="AP73" s="7" t="n">
        <v>0</v>
      </c>
      <c r="AQ73" s="7" t="n">
        <v>0</v>
      </c>
    </row>
    <row r="74" customFormat="false" ht="15" hidden="false" customHeight="false" outlineLevel="0" collapsed="false">
      <c r="A74" s="23" t="n">
        <v>46391</v>
      </c>
      <c r="B74" s="7" t="n">
        <v>0.084</v>
      </c>
      <c r="C74" s="7" t="n">
        <v>-0.122</v>
      </c>
      <c r="D74" s="7" t="n">
        <v>-0.071</v>
      </c>
      <c r="E74" s="7" t="n">
        <v>0.009</v>
      </c>
      <c r="F74" s="7" t="n">
        <v>0.187</v>
      </c>
      <c r="G74" s="7" t="n">
        <v>-0.071</v>
      </c>
      <c r="H74" s="7" t="n">
        <v>-0.071</v>
      </c>
      <c r="I74" s="7" t="n">
        <v>-0.13</v>
      </c>
      <c r="J74" s="7" t="n">
        <v>-0.351</v>
      </c>
      <c r="K74" s="7" t="n">
        <v>0.009</v>
      </c>
      <c r="L74" s="7" t="n">
        <v>-0.354</v>
      </c>
      <c r="M74" s="7" t="n">
        <v>-0.351</v>
      </c>
      <c r="N74" s="7" t="n">
        <v>0.187</v>
      </c>
      <c r="O74" s="7" t="n">
        <v>-0.102</v>
      </c>
      <c r="P74" s="7" t="n">
        <v>-0.071</v>
      </c>
      <c r="Q74" s="7" t="n">
        <v>-0.354</v>
      </c>
      <c r="R74" s="7" t="n">
        <v>-0.071</v>
      </c>
      <c r="S74" s="7" t="n">
        <v>0.009</v>
      </c>
      <c r="T74" s="7" t="n">
        <v>0.009</v>
      </c>
      <c r="U74" s="7" t="n">
        <v>0.534</v>
      </c>
      <c r="V74" s="7" t="n">
        <v>-0.071</v>
      </c>
      <c r="W74" s="7" t="n">
        <v>-0.354</v>
      </c>
      <c r="X74" s="7" t="n">
        <v>-0.071</v>
      </c>
      <c r="Y74" s="7" t="n">
        <v>0.316</v>
      </c>
      <c r="Z74" s="7" t="n">
        <v>0.009</v>
      </c>
      <c r="AA74" s="7" t="n">
        <v>0.009</v>
      </c>
      <c r="AB74" s="7" t="n">
        <v>-0.198</v>
      </c>
      <c r="AC74" s="7" t="n">
        <v>-0.354</v>
      </c>
      <c r="AD74" s="7" t="n">
        <v>-0.071</v>
      </c>
      <c r="AE74" s="7" t="n">
        <v>0.187</v>
      </c>
      <c r="AF74" s="7" t="n">
        <v>0.273</v>
      </c>
      <c r="AG74" s="7" t="n">
        <v>-0.071</v>
      </c>
      <c r="AH74" s="7" t="n">
        <v>0.666</v>
      </c>
      <c r="AI74" s="7" t="n">
        <v>0</v>
      </c>
      <c r="AJ74" s="7" t="n">
        <v>-0.197</v>
      </c>
      <c r="AK74" s="7" t="n">
        <v>-0.072</v>
      </c>
      <c r="AL74" s="7" t="n">
        <v>0.308</v>
      </c>
      <c r="AM74" s="7" t="n">
        <v>0</v>
      </c>
      <c r="AN74" s="7" t="n">
        <v>-0.08</v>
      </c>
      <c r="AO74" s="7" t="n">
        <v>0.236</v>
      </c>
      <c r="AP74" s="7" t="n">
        <v>0</v>
      </c>
      <c r="AQ74" s="7" t="n">
        <v>0</v>
      </c>
    </row>
    <row r="75" customFormat="false" ht="15" hidden="false" customHeight="false" outlineLevel="0" collapsed="false">
      <c r="A75" s="23" t="n">
        <v>46392</v>
      </c>
      <c r="B75" s="7" t="n">
        <v>0.107</v>
      </c>
      <c r="C75" s="7" t="n">
        <v>-0.012</v>
      </c>
      <c r="D75" s="7" t="n">
        <v>-0.111</v>
      </c>
      <c r="E75" s="7" t="n">
        <v>0.009</v>
      </c>
      <c r="F75" s="7" t="n">
        <v>0.239</v>
      </c>
      <c r="G75" s="7" t="n">
        <v>-0.111</v>
      </c>
      <c r="H75" s="7" t="n">
        <v>-0.076</v>
      </c>
      <c r="I75" s="7" t="n">
        <v>-0.13</v>
      </c>
      <c r="J75" s="7" t="n">
        <v>-0.301</v>
      </c>
      <c r="K75" s="7" t="n">
        <v>0.009</v>
      </c>
      <c r="L75" s="7" t="n">
        <v>-0.304</v>
      </c>
      <c r="M75" s="7" t="n">
        <v>-0.301</v>
      </c>
      <c r="N75" s="7" t="n">
        <v>0.239</v>
      </c>
      <c r="O75" s="7" t="n">
        <v>-0.013</v>
      </c>
      <c r="P75" s="7" t="n">
        <v>-0.111</v>
      </c>
      <c r="Q75" s="7" t="n">
        <v>-0.304</v>
      </c>
      <c r="R75" s="7" t="n">
        <v>-0.076</v>
      </c>
      <c r="S75" s="7" t="n">
        <v>0.009</v>
      </c>
      <c r="T75" s="7" t="n">
        <v>0.045</v>
      </c>
      <c r="U75" s="7" t="n">
        <v>0.538</v>
      </c>
      <c r="V75" s="7" t="n">
        <v>-0.076</v>
      </c>
      <c r="W75" s="7" t="n">
        <v>-0.304</v>
      </c>
      <c r="X75" s="7" t="n">
        <v>-0.111</v>
      </c>
      <c r="Y75" s="7" t="n">
        <v>0.278</v>
      </c>
      <c r="Z75" s="7" t="n">
        <v>0.009</v>
      </c>
      <c r="AA75" s="7" t="n">
        <v>0.045</v>
      </c>
      <c r="AB75" s="7" t="n">
        <v>-0.046</v>
      </c>
      <c r="AC75" s="7" t="n">
        <v>-0.304</v>
      </c>
      <c r="AD75" s="7" t="n">
        <v>-0.111</v>
      </c>
      <c r="AE75" s="7" t="n">
        <v>0.239</v>
      </c>
      <c r="AF75" s="7" t="n">
        <v>0.261</v>
      </c>
      <c r="AG75" s="7" t="n">
        <v>-0.076</v>
      </c>
      <c r="AH75" s="7" t="n">
        <v>0.728</v>
      </c>
      <c r="AI75" s="7" t="n">
        <v>0</v>
      </c>
      <c r="AJ75" s="7" t="n">
        <v>-0.193</v>
      </c>
      <c r="AK75" s="7" t="n">
        <v>-0.03</v>
      </c>
      <c r="AL75" s="7" t="n">
        <v>0.269</v>
      </c>
      <c r="AM75" s="7" t="n">
        <v>0</v>
      </c>
      <c r="AN75" s="7" t="n">
        <v>-0.085</v>
      </c>
      <c r="AO75" s="7" t="n">
        <v>0.292</v>
      </c>
      <c r="AP75" s="7" t="n">
        <v>0</v>
      </c>
      <c r="AQ75" s="7" t="n">
        <v>0</v>
      </c>
    </row>
    <row r="76" customFormat="false" ht="15" hidden="false" customHeight="false" outlineLevel="0" collapsed="false">
      <c r="A76" s="23" t="n">
        <v>46393</v>
      </c>
      <c r="B76" s="7" t="n">
        <v>0.103</v>
      </c>
      <c r="C76" s="7" t="n">
        <v>0.054</v>
      </c>
      <c r="D76" s="7" t="n">
        <v>-0.155</v>
      </c>
      <c r="E76" s="7" t="n">
        <v>0.009</v>
      </c>
      <c r="F76" s="7" t="n">
        <v>0.251</v>
      </c>
      <c r="G76" s="7" t="n">
        <v>-0.155</v>
      </c>
      <c r="H76" s="7" t="n">
        <v>-0.083</v>
      </c>
      <c r="I76" s="7" t="n">
        <v>-0.131</v>
      </c>
      <c r="J76" s="7" t="n">
        <v>-0.286</v>
      </c>
      <c r="K76" s="7" t="n">
        <v>0.009</v>
      </c>
      <c r="L76" s="7" t="n">
        <v>-0.224</v>
      </c>
      <c r="M76" s="7" t="n">
        <v>-0.286</v>
      </c>
      <c r="N76" s="7" t="n">
        <v>0.251</v>
      </c>
      <c r="O76" s="7" t="n">
        <v>0.035</v>
      </c>
      <c r="P76" s="7" t="n">
        <v>-0.155</v>
      </c>
      <c r="Q76" s="7" t="n">
        <v>-0.224</v>
      </c>
      <c r="R76" s="7" t="n">
        <v>-0.083</v>
      </c>
      <c r="S76" s="7" t="n">
        <v>0.009</v>
      </c>
      <c r="T76" s="7" t="n">
        <v>0.082</v>
      </c>
      <c r="U76" s="7" t="n">
        <v>0.519</v>
      </c>
      <c r="V76" s="7" t="n">
        <v>-0.083</v>
      </c>
      <c r="W76" s="7" t="n">
        <v>-0.224</v>
      </c>
      <c r="X76" s="7" t="n">
        <v>-0.155</v>
      </c>
      <c r="Y76" s="7" t="n">
        <v>0.292</v>
      </c>
      <c r="Z76" s="7" t="n">
        <v>0.009</v>
      </c>
      <c r="AA76" s="7" t="n">
        <v>0.082</v>
      </c>
      <c r="AB76" s="7" t="n">
        <v>0.041</v>
      </c>
      <c r="AC76" s="7" t="n">
        <v>-0.224</v>
      </c>
      <c r="AD76" s="7" t="n">
        <v>-0.155</v>
      </c>
      <c r="AE76" s="7" t="n">
        <v>0.251</v>
      </c>
      <c r="AF76" s="7" t="n">
        <v>0.223</v>
      </c>
      <c r="AG76" s="7" t="n">
        <v>-0.083</v>
      </c>
      <c r="AH76" s="7" t="n">
        <v>0.729</v>
      </c>
      <c r="AI76" s="7" t="n">
        <v>0</v>
      </c>
      <c r="AJ76" s="7" t="n">
        <v>-0.187</v>
      </c>
      <c r="AK76" s="7" t="n">
        <v>0.015</v>
      </c>
      <c r="AL76" s="7" t="n">
        <v>0.207</v>
      </c>
      <c r="AM76" s="7" t="n">
        <v>0</v>
      </c>
      <c r="AN76" s="7" t="n">
        <v>-0.093</v>
      </c>
      <c r="AO76" s="7" t="n">
        <v>0.292</v>
      </c>
      <c r="AP76" s="7" t="n">
        <v>0</v>
      </c>
      <c r="AQ76" s="7" t="n">
        <v>0</v>
      </c>
    </row>
    <row r="77" customFormat="false" ht="15" hidden="false" customHeight="false" outlineLevel="0" collapsed="false">
      <c r="A77" s="23" t="n">
        <v>46394</v>
      </c>
      <c r="B77" s="7" t="n">
        <v>0.083</v>
      </c>
      <c r="C77" s="7" t="n">
        <v>0.098</v>
      </c>
      <c r="D77" s="7" t="n">
        <v>-0.202</v>
      </c>
      <c r="E77" s="7" t="n">
        <v>0.009</v>
      </c>
      <c r="F77" s="7" t="n">
        <v>0.241</v>
      </c>
      <c r="G77" s="7" t="n">
        <v>-0.202</v>
      </c>
      <c r="H77" s="7" t="n">
        <v>-0.092</v>
      </c>
      <c r="I77" s="7" t="n">
        <v>-0.135</v>
      </c>
      <c r="J77" s="7" t="n">
        <v>-0.271</v>
      </c>
      <c r="K77" s="7" t="n">
        <v>0.009</v>
      </c>
      <c r="L77" s="7" t="n">
        <v>-0.143</v>
      </c>
      <c r="M77" s="7" t="n">
        <v>-0.271</v>
      </c>
      <c r="N77" s="7" t="n">
        <v>0.241</v>
      </c>
      <c r="O77" s="7" t="n">
        <v>0.078</v>
      </c>
      <c r="P77" s="7" t="n">
        <v>-0.202</v>
      </c>
      <c r="Q77" s="7" t="n">
        <v>-0.143</v>
      </c>
      <c r="R77" s="7" t="n">
        <v>-0.092</v>
      </c>
      <c r="S77" s="7" t="n">
        <v>0.009</v>
      </c>
      <c r="T77" s="7" t="n">
        <v>0.121</v>
      </c>
      <c r="U77" s="7" t="n">
        <v>0.494</v>
      </c>
      <c r="V77" s="7" t="n">
        <v>-0.092</v>
      </c>
      <c r="W77" s="7" t="n">
        <v>-0.143</v>
      </c>
      <c r="X77" s="7" t="n">
        <v>-0.202</v>
      </c>
      <c r="Y77" s="7" t="n">
        <v>0.297</v>
      </c>
      <c r="Z77" s="7" t="n">
        <v>0.009</v>
      </c>
      <c r="AA77" s="7" t="n">
        <v>0.121</v>
      </c>
      <c r="AB77" s="7" t="n">
        <v>0.081</v>
      </c>
      <c r="AC77" s="7" t="n">
        <v>-0.143</v>
      </c>
      <c r="AD77" s="7" t="n">
        <v>-0.202</v>
      </c>
      <c r="AE77" s="7" t="n">
        <v>0.241</v>
      </c>
      <c r="AF77" s="7" t="n">
        <v>0.164</v>
      </c>
      <c r="AG77" s="7" t="n">
        <v>-0.092</v>
      </c>
      <c r="AH77" s="7" t="n">
        <v>0.725</v>
      </c>
      <c r="AI77" s="7" t="n">
        <v>0</v>
      </c>
      <c r="AJ77" s="7" t="n">
        <v>-0.185</v>
      </c>
      <c r="AK77" s="7" t="n">
        <v>0.061</v>
      </c>
      <c r="AL77" s="7" t="n">
        <v>0.142</v>
      </c>
      <c r="AM77" s="7" t="n">
        <v>0</v>
      </c>
      <c r="AN77" s="7" t="n">
        <v>-0.102</v>
      </c>
      <c r="AO77" s="7" t="n">
        <v>0.284</v>
      </c>
      <c r="AP77" s="7" t="n">
        <v>0</v>
      </c>
      <c r="AQ77" s="7" t="n">
        <v>0</v>
      </c>
    </row>
    <row r="78" customFormat="false" ht="15" hidden="false" customHeight="false" outlineLevel="0" collapsed="false">
      <c r="A78" s="23" t="n">
        <v>46395</v>
      </c>
      <c r="B78" s="7" t="n">
        <v>0.062</v>
      </c>
      <c r="C78" s="7" t="n">
        <v>0.142</v>
      </c>
      <c r="D78" s="7" t="n">
        <v>-0.252</v>
      </c>
      <c r="E78" s="7" t="n">
        <v>0.009</v>
      </c>
      <c r="F78" s="7" t="n">
        <v>0.233</v>
      </c>
      <c r="G78" s="7" t="n">
        <v>-0.252</v>
      </c>
      <c r="H78" s="7" t="n">
        <v>-0.103</v>
      </c>
      <c r="I78" s="7" t="n">
        <v>-0.139</v>
      </c>
      <c r="J78" s="7" t="n">
        <v>-0.252</v>
      </c>
      <c r="K78" s="7" t="n">
        <v>0.009</v>
      </c>
      <c r="L78" s="7" t="n">
        <v>-0.06</v>
      </c>
      <c r="M78" s="7" t="n">
        <v>-0.252</v>
      </c>
      <c r="N78" s="7" t="n">
        <v>0.233</v>
      </c>
      <c r="O78" s="7" t="n">
        <v>0.12</v>
      </c>
      <c r="P78" s="7" t="n">
        <v>-0.252</v>
      </c>
      <c r="Q78" s="7" t="n">
        <v>-0.06</v>
      </c>
      <c r="R78" s="7" t="n">
        <v>-0.103</v>
      </c>
      <c r="S78" s="7" t="n">
        <v>0.009</v>
      </c>
      <c r="T78" s="7" t="n">
        <v>0.161</v>
      </c>
      <c r="U78" s="7" t="n">
        <v>0.473</v>
      </c>
      <c r="V78" s="7" t="n">
        <v>-0.103</v>
      </c>
      <c r="W78" s="7" t="n">
        <v>-0.06</v>
      </c>
      <c r="X78" s="7" t="n">
        <v>-0.252</v>
      </c>
      <c r="Y78" s="7" t="n">
        <v>0.301</v>
      </c>
      <c r="Z78" s="7" t="n">
        <v>0.009</v>
      </c>
      <c r="AA78" s="7" t="n">
        <v>0.161</v>
      </c>
      <c r="AB78" s="7" t="n">
        <v>0.009</v>
      </c>
      <c r="AC78" s="7" t="n">
        <v>-0.06</v>
      </c>
      <c r="AD78" s="7" t="n">
        <v>-0.252</v>
      </c>
      <c r="AE78" s="7" t="n">
        <v>0.233</v>
      </c>
      <c r="AF78" s="7" t="n">
        <v>0.108</v>
      </c>
      <c r="AG78" s="7" t="n">
        <v>-0.103</v>
      </c>
      <c r="AH78" s="7" t="n">
        <v>0.719</v>
      </c>
      <c r="AI78" s="7" t="n">
        <v>0</v>
      </c>
      <c r="AJ78" s="7" t="n">
        <v>-0.183</v>
      </c>
      <c r="AK78" s="7" t="n">
        <v>0.109</v>
      </c>
      <c r="AL78" s="7" t="n">
        <v>0.072</v>
      </c>
      <c r="AM78" s="7" t="n">
        <v>0</v>
      </c>
      <c r="AN78" s="7" t="n">
        <v>-0.113</v>
      </c>
      <c r="AO78" s="7" t="n">
        <v>0.272</v>
      </c>
      <c r="AP78" s="7" t="n">
        <v>0</v>
      </c>
      <c r="AQ78" s="7" t="n">
        <v>0</v>
      </c>
    </row>
    <row r="79" customFormat="false" ht="15" hidden="false" customHeight="false" outlineLevel="0" collapsed="false">
      <c r="A79" s="23" t="n">
        <v>46396</v>
      </c>
      <c r="B79" s="7" t="n">
        <v>0.007</v>
      </c>
      <c r="C79" s="7" t="n">
        <v>0.136</v>
      </c>
      <c r="D79" s="7" t="n">
        <v>-0.277</v>
      </c>
      <c r="E79" s="7" t="n">
        <v>0.009</v>
      </c>
      <c r="F79" s="7" t="n">
        <v>0.176</v>
      </c>
      <c r="G79" s="7" t="n">
        <v>-0.277</v>
      </c>
      <c r="H79" s="7" t="n">
        <v>-0.146</v>
      </c>
      <c r="I79" s="7" t="n">
        <v>-0.149</v>
      </c>
      <c r="J79" s="7" t="n">
        <v>-0.178</v>
      </c>
      <c r="K79" s="7" t="n">
        <v>0.009</v>
      </c>
      <c r="L79" s="7" t="n">
        <v>-0.019</v>
      </c>
      <c r="M79" s="7" t="n">
        <v>-0.178</v>
      </c>
      <c r="N79" s="7" t="n">
        <v>0.176</v>
      </c>
      <c r="O79" s="7" t="n">
        <v>0.119</v>
      </c>
      <c r="P79" s="7" t="n">
        <v>-0.277</v>
      </c>
      <c r="Q79" s="7" t="n">
        <v>-0.019</v>
      </c>
      <c r="R79" s="7" t="n">
        <v>-0.149</v>
      </c>
      <c r="S79" s="7" t="n">
        <v>0.009</v>
      </c>
      <c r="T79" s="7" t="n">
        <v>0.111</v>
      </c>
      <c r="U79" s="7" t="n">
        <v>0.432</v>
      </c>
      <c r="V79" s="7" t="n">
        <v>-0.12</v>
      </c>
      <c r="W79" s="7" t="n">
        <v>-0.019</v>
      </c>
      <c r="X79" s="7" t="n">
        <v>-0.277</v>
      </c>
      <c r="Y79" s="7" t="n">
        <v>0.279</v>
      </c>
      <c r="Z79" s="7" t="n">
        <v>0.009</v>
      </c>
      <c r="AA79" s="7" t="n">
        <v>0.137</v>
      </c>
      <c r="AB79" s="7" t="n">
        <v>0.04</v>
      </c>
      <c r="AC79" s="7" t="n">
        <v>-0.019</v>
      </c>
      <c r="AD79" s="7" t="n">
        <v>-0.277</v>
      </c>
      <c r="AE79" s="7" t="n">
        <v>0.176</v>
      </c>
      <c r="AF79" s="7" t="n">
        <v>0.032</v>
      </c>
      <c r="AG79" s="7" t="n">
        <v>-0.172</v>
      </c>
      <c r="AH79" s="7" t="n">
        <v>0.722</v>
      </c>
      <c r="AI79" s="7" t="n">
        <v>0</v>
      </c>
      <c r="AJ79" s="7" t="n">
        <v>-0.236</v>
      </c>
      <c r="AK79" s="7" t="n">
        <v>0.066</v>
      </c>
      <c r="AL79" s="7" t="n">
        <v>0.026</v>
      </c>
      <c r="AM79" s="7" t="n">
        <v>0</v>
      </c>
      <c r="AN79" s="7" t="n">
        <v>-0.18</v>
      </c>
      <c r="AO79" s="7" t="n">
        <v>0.277</v>
      </c>
      <c r="AP79" s="7" t="n">
        <v>0</v>
      </c>
      <c r="AQ79" s="7" t="n">
        <v>0</v>
      </c>
    </row>
    <row r="80" customFormat="false" ht="15" hidden="false" customHeight="false" outlineLevel="0" collapsed="false">
      <c r="A80" s="23" t="n">
        <v>46397</v>
      </c>
      <c r="B80" s="7" t="n">
        <v>0.007</v>
      </c>
      <c r="C80" s="7" t="n">
        <v>0.136</v>
      </c>
      <c r="D80" s="7" t="n">
        <v>-0.277</v>
      </c>
      <c r="E80" s="7" t="n">
        <v>0.009</v>
      </c>
      <c r="F80" s="7" t="n">
        <v>0.176</v>
      </c>
      <c r="G80" s="7" t="n">
        <v>-0.277</v>
      </c>
      <c r="H80" s="7" t="n">
        <v>-0.146</v>
      </c>
      <c r="I80" s="7" t="n">
        <v>-0.149</v>
      </c>
      <c r="J80" s="7" t="n">
        <v>-0.178</v>
      </c>
      <c r="K80" s="7" t="n">
        <v>0.009</v>
      </c>
      <c r="L80" s="7" t="n">
        <v>-0.019</v>
      </c>
      <c r="M80" s="7" t="n">
        <v>-0.178</v>
      </c>
      <c r="N80" s="7" t="n">
        <v>0.176</v>
      </c>
      <c r="O80" s="7" t="n">
        <v>0.119</v>
      </c>
      <c r="P80" s="7" t="n">
        <v>-0.277</v>
      </c>
      <c r="Q80" s="7" t="n">
        <v>-0.019</v>
      </c>
      <c r="R80" s="7" t="n">
        <v>-0.149</v>
      </c>
      <c r="S80" s="7" t="n">
        <v>0.009</v>
      </c>
      <c r="T80" s="7" t="n">
        <v>0.111</v>
      </c>
      <c r="U80" s="7" t="n">
        <v>0.432</v>
      </c>
      <c r="V80" s="7" t="n">
        <v>-0.12</v>
      </c>
      <c r="W80" s="7" t="n">
        <v>-0.019</v>
      </c>
      <c r="X80" s="7" t="n">
        <v>-0.277</v>
      </c>
      <c r="Y80" s="7" t="n">
        <v>0.279</v>
      </c>
      <c r="Z80" s="7" t="n">
        <v>0.009</v>
      </c>
      <c r="AA80" s="7" t="n">
        <v>0.137</v>
      </c>
      <c r="AB80" s="7" t="n">
        <v>0.04</v>
      </c>
      <c r="AC80" s="7" t="n">
        <v>-0.019</v>
      </c>
      <c r="AD80" s="7" t="n">
        <v>-0.277</v>
      </c>
      <c r="AE80" s="7" t="n">
        <v>0.176</v>
      </c>
      <c r="AF80" s="7" t="n">
        <v>0.032</v>
      </c>
      <c r="AG80" s="7" t="n">
        <v>-0.172</v>
      </c>
      <c r="AH80" s="7" t="n">
        <v>0.722</v>
      </c>
      <c r="AI80" s="7" t="n">
        <v>0</v>
      </c>
      <c r="AJ80" s="7" t="n">
        <v>-0.236</v>
      </c>
      <c r="AK80" s="7" t="n">
        <v>0.066</v>
      </c>
      <c r="AL80" s="7" t="n">
        <v>0.026</v>
      </c>
      <c r="AM80" s="7" t="n">
        <v>0</v>
      </c>
      <c r="AN80" s="7" t="n">
        <v>-0.18</v>
      </c>
      <c r="AO80" s="7" t="n">
        <v>0.277</v>
      </c>
      <c r="AP80" s="7" t="n">
        <v>0</v>
      </c>
      <c r="AQ80" s="7" t="n">
        <v>0</v>
      </c>
    </row>
    <row r="81" customFormat="false" ht="15" hidden="false" customHeight="false" outlineLevel="0" collapsed="false">
      <c r="A81" s="23" t="n">
        <v>46398</v>
      </c>
      <c r="B81" s="7" t="n">
        <v>0.007</v>
      </c>
      <c r="C81" s="7" t="n">
        <v>0.136</v>
      </c>
      <c r="D81" s="7" t="n">
        <v>-0.277</v>
      </c>
      <c r="E81" s="7" t="n">
        <v>0.009</v>
      </c>
      <c r="F81" s="7" t="n">
        <v>0.176</v>
      </c>
      <c r="G81" s="7" t="n">
        <v>-0.277</v>
      </c>
      <c r="H81" s="7" t="n">
        <v>-0.146</v>
      </c>
      <c r="I81" s="7" t="n">
        <v>-0.149</v>
      </c>
      <c r="J81" s="7" t="n">
        <v>-0.178</v>
      </c>
      <c r="K81" s="7" t="n">
        <v>0.009</v>
      </c>
      <c r="L81" s="7" t="n">
        <v>-0.019</v>
      </c>
      <c r="M81" s="7" t="n">
        <v>-0.178</v>
      </c>
      <c r="N81" s="7" t="n">
        <v>0.176</v>
      </c>
      <c r="O81" s="7" t="n">
        <v>0.119</v>
      </c>
      <c r="P81" s="7" t="n">
        <v>-0.277</v>
      </c>
      <c r="Q81" s="7" t="n">
        <v>-0.019</v>
      </c>
      <c r="R81" s="7" t="n">
        <v>-0.149</v>
      </c>
      <c r="S81" s="7" t="n">
        <v>0.009</v>
      </c>
      <c r="T81" s="7" t="n">
        <v>0.111</v>
      </c>
      <c r="U81" s="7" t="n">
        <v>0.432</v>
      </c>
      <c r="V81" s="7" t="n">
        <v>-0.12</v>
      </c>
      <c r="W81" s="7" t="n">
        <v>-0.019</v>
      </c>
      <c r="X81" s="7" t="n">
        <v>-0.277</v>
      </c>
      <c r="Y81" s="7" t="n">
        <v>0.279</v>
      </c>
      <c r="Z81" s="7" t="n">
        <v>0.009</v>
      </c>
      <c r="AA81" s="7" t="n">
        <v>0.137</v>
      </c>
      <c r="AB81" s="7" t="n">
        <v>0.04</v>
      </c>
      <c r="AC81" s="7" t="n">
        <v>-0.019</v>
      </c>
      <c r="AD81" s="7" t="n">
        <v>-0.277</v>
      </c>
      <c r="AE81" s="7" t="n">
        <v>0.176</v>
      </c>
      <c r="AF81" s="7" t="n">
        <v>0.032</v>
      </c>
      <c r="AG81" s="7" t="n">
        <v>-0.172</v>
      </c>
      <c r="AH81" s="7" t="n">
        <v>0.722</v>
      </c>
      <c r="AI81" s="7" t="n">
        <v>0</v>
      </c>
      <c r="AJ81" s="7" t="n">
        <v>-0.236</v>
      </c>
      <c r="AK81" s="7" t="n">
        <v>0.066</v>
      </c>
      <c r="AL81" s="7" t="n">
        <v>0.026</v>
      </c>
      <c r="AM81" s="7" t="n">
        <v>0</v>
      </c>
      <c r="AN81" s="7" t="n">
        <v>-0.18</v>
      </c>
      <c r="AO81" s="7" t="n">
        <v>0.277</v>
      </c>
      <c r="AP81" s="7" t="n">
        <v>0</v>
      </c>
      <c r="AQ81" s="7" t="n">
        <v>0</v>
      </c>
    </row>
    <row r="82" customFormat="false" ht="15" hidden="false" customHeight="false" outlineLevel="0" collapsed="false">
      <c r="A82" s="23" t="n">
        <v>46399</v>
      </c>
      <c r="B82" s="7" t="n">
        <v>-0.068</v>
      </c>
      <c r="C82" s="7" t="n">
        <v>0.083</v>
      </c>
      <c r="D82" s="7" t="n">
        <v>-0.285</v>
      </c>
      <c r="E82" s="7" t="n">
        <v>0.009</v>
      </c>
      <c r="F82" s="7" t="n">
        <v>0.108</v>
      </c>
      <c r="G82" s="7" t="n">
        <v>-0.285</v>
      </c>
      <c r="H82" s="7" t="n">
        <v>-0.202</v>
      </c>
      <c r="I82" s="7" t="n">
        <v>-0.223</v>
      </c>
      <c r="J82" s="7" t="n">
        <v>-0.156</v>
      </c>
      <c r="K82" s="7" t="n">
        <v>0.009</v>
      </c>
      <c r="L82" s="7" t="n">
        <v>0.009</v>
      </c>
      <c r="M82" s="7" t="n">
        <v>-0.156</v>
      </c>
      <c r="N82" s="7" t="n">
        <v>0.108</v>
      </c>
      <c r="O82" s="7" t="n">
        <v>0.064</v>
      </c>
      <c r="P82" s="7" t="n">
        <v>-0.285</v>
      </c>
      <c r="Q82" s="7" t="n">
        <v>0.009</v>
      </c>
      <c r="R82" s="7" t="n">
        <v>-0.207</v>
      </c>
      <c r="S82" s="7" t="n">
        <v>0.009</v>
      </c>
      <c r="T82" s="7" t="n">
        <v>0.031</v>
      </c>
      <c r="U82" s="7" t="n">
        <v>0.397</v>
      </c>
      <c r="V82" s="7" t="n">
        <v>-0.193</v>
      </c>
      <c r="W82" s="7" t="n">
        <v>0.009</v>
      </c>
      <c r="X82" s="7" t="n">
        <v>-0.285</v>
      </c>
      <c r="Y82" s="7" t="n">
        <v>0.253</v>
      </c>
      <c r="Z82" s="7" t="n">
        <v>0.009</v>
      </c>
      <c r="AA82" s="7" t="n">
        <v>0.086</v>
      </c>
      <c r="AB82" s="7" t="n">
        <v>-0.024</v>
      </c>
      <c r="AC82" s="7" t="n">
        <v>0.009</v>
      </c>
      <c r="AD82" s="7" t="n">
        <v>-0.285</v>
      </c>
      <c r="AE82" s="7" t="n">
        <v>0.108</v>
      </c>
      <c r="AF82" s="7" t="n">
        <v>0.009</v>
      </c>
      <c r="AG82" s="7" t="n">
        <v>-0.252</v>
      </c>
      <c r="AH82" s="7" t="n">
        <v>0.706</v>
      </c>
      <c r="AI82" s="7" t="n">
        <v>0</v>
      </c>
      <c r="AJ82" s="7" t="n">
        <v>-0.317</v>
      </c>
      <c r="AK82" s="7" t="n">
        <v>-0.016</v>
      </c>
      <c r="AL82" s="7" t="n">
        <v>-0.002</v>
      </c>
      <c r="AM82" s="7" t="n">
        <v>0</v>
      </c>
      <c r="AN82" s="7" t="n">
        <v>-0.261</v>
      </c>
      <c r="AO82" s="7" t="n">
        <v>0.24</v>
      </c>
      <c r="AP82" s="7" t="n">
        <v>0</v>
      </c>
      <c r="AQ82" s="7" t="n">
        <v>0</v>
      </c>
    </row>
    <row r="83" customFormat="false" ht="15" hidden="false" customHeight="false" outlineLevel="0" collapsed="false">
      <c r="A83" s="23" t="n">
        <v>46400</v>
      </c>
      <c r="B83" s="7" t="n">
        <v>-0.118</v>
      </c>
      <c r="C83" s="7" t="n">
        <v>0.071</v>
      </c>
      <c r="D83" s="7" t="n">
        <v>-0.286</v>
      </c>
      <c r="E83" s="7" t="n">
        <v>0.009</v>
      </c>
      <c r="F83" s="7" t="n">
        <v>0.078</v>
      </c>
      <c r="G83" s="7" t="n">
        <v>-0.286</v>
      </c>
      <c r="H83" s="7" t="n">
        <v>-0.251</v>
      </c>
      <c r="I83" s="7" t="n">
        <v>-0.312</v>
      </c>
      <c r="J83" s="7" t="n">
        <v>-0.097</v>
      </c>
      <c r="K83" s="7" t="n">
        <v>0.009</v>
      </c>
      <c r="L83" s="7" t="n">
        <v>0.009</v>
      </c>
      <c r="M83" s="7" t="n">
        <v>-0.097</v>
      </c>
      <c r="N83" s="7" t="n">
        <v>0.078</v>
      </c>
      <c r="O83" s="7" t="n">
        <v>0.048</v>
      </c>
      <c r="P83" s="7" t="n">
        <v>-0.286</v>
      </c>
      <c r="Q83" s="7" t="n">
        <v>0.009</v>
      </c>
      <c r="R83" s="7" t="n">
        <v>-0.246</v>
      </c>
      <c r="S83" s="7" t="n">
        <v>0.009</v>
      </c>
      <c r="T83" s="7" t="n">
        <v>-0.028</v>
      </c>
      <c r="U83" s="7" t="n">
        <v>0.383</v>
      </c>
      <c r="V83" s="7" t="n">
        <v>-0.28</v>
      </c>
      <c r="W83" s="7" t="n">
        <v>0.009</v>
      </c>
      <c r="X83" s="7" t="n">
        <v>-0.286</v>
      </c>
      <c r="Y83" s="7" t="n">
        <v>0.186</v>
      </c>
      <c r="Z83" s="7" t="n">
        <v>0.009</v>
      </c>
      <c r="AA83" s="7" t="n">
        <v>0.047</v>
      </c>
      <c r="AB83" s="7" t="n">
        <v>-0.05</v>
      </c>
      <c r="AC83" s="7" t="n">
        <v>0.009</v>
      </c>
      <c r="AD83" s="7" t="n">
        <v>-0.286</v>
      </c>
      <c r="AE83" s="7" t="n">
        <v>0.078</v>
      </c>
      <c r="AF83" s="7" t="n">
        <v>0.009</v>
      </c>
      <c r="AG83" s="7" t="n">
        <v>-0.325</v>
      </c>
      <c r="AH83" s="7" t="n">
        <v>0.716</v>
      </c>
      <c r="AI83" s="7" t="n">
        <v>0</v>
      </c>
      <c r="AJ83" s="7" t="n">
        <v>-0.394</v>
      </c>
      <c r="AK83" s="7" t="n">
        <v>-0.098</v>
      </c>
      <c r="AL83" s="7" t="n">
        <v>-0.004</v>
      </c>
      <c r="AM83" s="7" t="n">
        <v>0</v>
      </c>
      <c r="AN83" s="7" t="n">
        <v>-0.333</v>
      </c>
      <c r="AO83" s="7" t="n">
        <v>0.257</v>
      </c>
      <c r="AP83" s="7" t="n">
        <v>0</v>
      </c>
      <c r="AQ83" s="7" t="n">
        <v>0</v>
      </c>
    </row>
    <row r="84" customFormat="false" ht="15" hidden="false" customHeight="false" outlineLevel="0" collapsed="false">
      <c r="A84" s="23" t="n">
        <v>46401</v>
      </c>
      <c r="B84" s="7" t="n">
        <v>-0.157</v>
      </c>
      <c r="C84" s="7" t="n">
        <v>0.058</v>
      </c>
      <c r="D84" s="7" t="n">
        <v>-0.28</v>
      </c>
      <c r="E84" s="7" t="n">
        <v>0.009</v>
      </c>
      <c r="F84" s="7" t="n">
        <v>0.045</v>
      </c>
      <c r="G84" s="7" t="n">
        <v>-0.28</v>
      </c>
      <c r="H84" s="7" t="n">
        <v>-0.293</v>
      </c>
      <c r="I84" s="7" t="n">
        <v>-0.361</v>
      </c>
      <c r="J84" s="7" t="n">
        <v>-0.042</v>
      </c>
      <c r="K84" s="7" t="n">
        <v>0.009</v>
      </c>
      <c r="L84" s="7" t="n">
        <v>0.009</v>
      </c>
      <c r="M84" s="7" t="n">
        <v>-0.042</v>
      </c>
      <c r="N84" s="7" t="n">
        <v>0.045</v>
      </c>
      <c r="O84" s="7" t="n">
        <v>0.029</v>
      </c>
      <c r="P84" s="7" t="n">
        <v>-0.28</v>
      </c>
      <c r="Q84" s="7" t="n">
        <v>0.009</v>
      </c>
      <c r="R84" s="7" t="n">
        <v>-0.276</v>
      </c>
      <c r="S84" s="7" t="n">
        <v>0.009</v>
      </c>
      <c r="T84" s="7" t="n">
        <v>-0.084</v>
      </c>
      <c r="U84" s="7" t="n">
        <v>0.367</v>
      </c>
      <c r="V84" s="7" t="n">
        <v>-0.327</v>
      </c>
      <c r="W84" s="7" t="n">
        <v>0.009</v>
      </c>
      <c r="X84" s="7" t="n">
        <v>-0.28</v>
      </c>
      <c r="Y84" s="7" t="n">
        <v>0.131</v>
      </c>
      <c r="Z84" s="7" t="n">
        <v>0.009</v>
      </c>
      <c r="AA84" s="7" t="n">
        <v>0.01</v>
      </c>
      <c r="AB84" s="7" t="n">
        <v>-0.063</v>
      </c>
      <c r="AC84" s="7" t="n">
        <v>0.009</v>
      </c>
      <c r="AD84" s="7" t="n">
        <v>-0.28</v>
      </c>
      <c r="AE84" s="7" t="n">
        <v>0.045</v>
      </c>
      <c r="AF84" s="7" t="n">
        <v>0.009</v>
      </c>
      <c r="AG84" s="7" t="n">
        <v>-0.391</v>
      </c>
      <c r="AH84" s="7" t="n">
        <v>0.726</v>
      </c>
      <c r="AI84" s="7" t="n">
        <v>0</v>
      </c>
      <c r="AJ84" s="7" t="n">
        <v>-0.463</v>
      </c>
      <c r="AK84" s="7" t="n">
        <v>-0.179</v>
      </c>
      <c r="AL84" s="7" t="n">
        <v>0.002</v>
      </c>
      <c r="AM84" s="7" t="n">
        <v>0</v>
      </c>
      <c r="AN84" s="7" t="n">
        <v>-0.398</v>
      </c>
      <c r="AO84" s="7" t="n">
        <v>0.274</v>
      </c>
      <c r="AP84" s="7" t="n">
        <v>0</v>
      </c>
      <c r="AQ84" s="7" t="n">
        <v>0</v>
      </c>
    </row>
    <row r="85" customFormat="false" ht="15" hidden="false" customHeight="false" outlineLevel="0" collapsed="false">
      <c r="A85" s="23" t="n">
        <v>46402</v>
      </c>
      <c r="B85" s="7" t="n">
        <v>-0.192</v>
      </c>
      <c r="C85" s="7" t="n">
        <v>0.044</v>
      </c>
      <c r="D85" s="7" t="n">
        <v>-0.267</v>
      </c>
      <c r="E85" s="7" t="n">
        <v>0.009</v>
      </c>
      <c r="F85" s="7" t="n">
        <v>0.009</v>
      </c>
      <c r="G85" s="7" t="n">
        <v>-0.267</v>
      </c>
      <c r="H85" s="7" t="n">
        <v>-0.328</v>
      </c>
      <c r="I85" s="7" t="n">
        <v>-0.397</v>
      </c>
      <c r="J85" s="7" t="n">
        <v>0.009</v>
      </c>
      <c r="K85" s="7" t="n">
        <v>0.009</v>
      </c>
      <c r="L85" s="7" t="n">
        <v>0.009</v>
      </c>
      <c r="M85" s="7" t="n">
        <v>0.009</v>
      </c>
      <c r="N85" s="7" t="n">
        <v>0.009</v>
      </c>
      <c r="O85" s="7" t="n">
        <v>0.009</v>
      </c>
      <c r="P85" s="7" t="n">
        <v>-0.267</v>
      </c>
      <c r="Q85" s="7" t="n">
        <v>0.009</v>
      </c>
      <c r="R85" s="7" t="n">
        <v>-0.296</v>
      </c>
      <c r="S85" s="7" t="n">
        <v>0.009</v>
      </c>
      <c r="T85" s="7" t="n">
        <v>-0.138</v>
      </c>
      <c r="U85" s="7" t="n">
        <v>0.347</v>
      </c>
      <c r="V85" s="7" t="n">
        <v>-0.358</v>
      </c>
      <c r="W85" s="7" t="n">
        <v>0.009</v>
      </c>
      <c r="X85" s="7" t="n">
        <v>-0.267</v>
      </c>
      <c r="Y85" s="7" t="n">
        <v>0.081</v>
      </c>
      <c r="Z85" s="7" t="n">
        <v>0.009</v>
      </c>
      <c r="AA85" s="7" t="n">
        <v>-0.024</v>
      </c>
      <c r="AB85" s="7" t="n">
        <v>0.009</v>
      </c>
      <c r="AC85" s="7" t="n">
        <v>0.009</v>
      </c>
      <c r="AD85" s="7" t="n">
        <v>-0.267</v>
      </c>
      <c r="AE85" s="7" t="n">
        <v>0.009</v>
      </c>
      <c r="AF85" s="7" t="n">
        <v>0.009</v>
      </c>
      <c r="AG85" s="7" t="n">
        <v>-0.448</v>
      </c>
      <c r="AH85" s="7" t="n">
        <v>0.735</v>
      </c>
      <c r="AI85" s="7" t="n">
        <v>0</v>
      </c>
      <c r="AJ85" s="7" t="n">
        <v>-0.527</v>
      </c>
      <c r="AK85" s="7" t="n">
        <v>-0.26</v>
      </c>
      <c r="AL85" s="7" t="n">
        <v>0.016</v>
      </c>
      <c r="AM85" s="7" t="n">
        <v>0</v>
      </c>
      <c r="AN85" s="7" t="n">
        <v>-0.455</v>
      </c>
      <c r="AO85" s="7" t="n">
        <v>0.291</v>
      </c>
      <c r="AP85" s="7" t="n">
        <v>0</v>
      </c>
      <c r="AQ85" s="7" t="n">
        <v>0</v>
      </c>
    </row>
    <row r="86" customFormat="false" ht="15" hidden="false" customHeight="false" outlineLevel="0" collapsed="false">
      <c r="A86" s="23" t="n">
        <v>46403</v>
      </c>
      <c r="B86" s="7" t="n">
        <v>-0.178</v>
      </c>
      <c r="C86" s="7" t="n">
        <v>0.049</v>
      </c>
      <c r="D86" s="7" t="n">
        <v>-0.247</v>
      </c>
      <c r="E86" s="7" t="n">
        <v>0.009</v>
      </c>
      <c r="F86" s="7" t="n">
        <v>0.009</v>
      </c>
      <c r="G86" s="7" t="n">
        <v>-0.247</v>
      </c>
      <c r="H86" s="7" t="n">
        <v>-0.297</v>
      </c>
      <c r="I86" s="7" t="n">
        <v>-0.39</v>
      </c>
      <c r="J86" s="7" t="n">
        <v>0.009</v>
      </c>
      <c r="K86" s="7" t="n">
        <v>0.009</v>
      </c>
      <c r="L86" s="7" t="n">
        <v>0.009</v>
      </c>
      <c r="M86" s="7" t="n">
        <v>0.009</v>
      </c>
      <c r="N86" s="7" t="n">
        <v>0.009</v>
      </c>
      <c r="O86" s="7" t="n">
        <v>0.009</v>
      </c>
      <c r="P86" s="7" t="n">
        <v>-0.247</v>
      </c>
      <c r="Q86" s="7" t="n">
        <v>0.009</v>
      </c>
      <c r="R86" s="7" t="n">
        <v>-0.246</v>
      </c>
      <c r="S86" s="7" t="n">
        <v>0.009</v>
      </c>
      <c r="T86" s="7" t="n">
        <v>-0.097</v>
      </c>
      <c r="U86" s="7" t="n">
        <v>0.34</v>
      </c>
      <c r="V86" s="7" t="n">
        <v>-0.343</v>
      </c>
      <c r="W86" s="7" t="n">
        <v>0.009</v>
      </c>
      <c r="X86" s="7" t="n">
        <v>-0.247</v>
      </c>
      <c r="Y86" s="7" t="n">
        <v>0.087</v>
      </c>
      <c r="Z86" s="7" t="n">
        <v>0.009</v>
      </c>
      <c r="AA86" s="7" t="n">
        <v>0.009</v>
      </c>
      <c r="AB86" s="7" t="n">
        <v>0.009</v>
      </c>
      <c r="AC86" s="7" t="n">
        <v>0.009</v>
      </c>
      <c r="AD86" s="7" t="n">
        <v>-0.247</v>
      </c>
      <c r="AE86" s="7" t="n">
        <v>0.009</v>
      </c>
      <c r="AF86" s="7" t="n">
        <v>0.009</v>
      </c>
      <c r="AG86" s="7" t="n">
        <v>-0.413</v>
      </c>
      <c r="AH86" s="7" t="n">
        <v>0.736</v>
      </c>
      <c r="AI86" s="7" t="n">
        <v>0</v>
      </c>
      <c r="AJ86" s="7" t="n">
        <v>-0.507</v>
      </c>
      <c r="AK86" s="7" t="n">
        <v>-0.249</v>
      </c>
      <c r="AL86" s="7" t="n">
        <v>0.038</v>
      </c>
      <c r="AM86" s="7" t="n">
        <v>0</v>
      </c>
      <c r="AN86" s="7" t="n">
        <v>-0.421</v>
      </c>
      <c r="AO86" s="7" t="n">
        <v>0.291</v>
      </c>
      <c r="AP86" s="7" t="n">
        <v>0</v>
      </c>
      <c r="AQ86" s="7" t="n">
        <v>0</v>
      </c>
    </row>
    <row r="87" customFormat="false" ht="15" hidden="false" customHeight="false" outlineLevel="0" collapsed="false">
      <c r="A87" s="23" t="n">
        <v>46404</v>
      </c>
      <c r="B87" s="7" t="n">
        <v>-0.178</v>
      </c>
      <c r="C87" s="7" t="n">
        <v>0.049</v>
      </c>
      <c r="D87" s="7" t="n">
        <v>-0.247</v>
      </c>
      <c r="E87" s="7" t="n">
        <v>0.009</v>
      </c>
      <c r="F87" s="7" t="n">
        <v>0.009</v>
      </c>
      <c r="G87" s="7" t="n">
        <v>-0.247</v>
      </c>
      <c r="H87" s="7" t="n">
        <v>-0.297</v>
      </c>
      <c r="I87" s="7" t="n">
        <v>-0.39</v>
      </c>
      <c r="J87" s="7" t="n">
        <v>0.009</v>
      </c>
      <c r="K87" s="7" t="n">
        <v>0.009</v>
      </c>
      <c r="L87" s="7" t="n">
        <v>0.009</v>
      </c>
      <c r="M87" s="7" t="n">
        <v>0.009</v>
      </c>
      <c r="N87" s="7" t="n">
        <v>0.009</v>
      </c>
      <c r="O87" s="7" t="n">
        <v>0.009</v>
      </c>
      <c r="P87" s="7" t="n">
        <v>-0.247</v>
      </c>
      <c r="Q87" s="7" t="n">
        <v>0.009</v>
      </c>
      <c r="R87" s="7" t="n">
        <v>-0.246</v>
      </c>
      <c r="S87" s="7" t="n">
        <v>0.009</v>
      </c>
      <c r="T87" s="7" t="n">
        <v>-0.097</v>
      </c>
      <c r="U87" s="7" t="n">
        <v>0.34</v>
      </c>
      <c r="V87" s="7" t="n">
        <v>-0.343</v>
      </c>
      <c r="W87" s="7" t="n">
        <v>0.009</v>
      </c>
      <c r="X87" s="7" t="n">
        <v>-0.247</v>
      </c>
      <c r="Y87" s="7" t="n">
        <v>0.087</v>
      </c>
      <c r="Z87" s="7" t="n">
        <v>0.009</v>
      </c>
      <c r="AA87" s="7" t="n">
        <v>0.009</v>
      </c>
      <c r="AB87" s="7" t="n">
        <v>0.009</v>
      </c>
      <c r="AC87" s="7" t="n">
        <v>0.009</v>
      </c>
      <c r="AD87" s="7" t="n">
        <v>-0.247</v>
      </c>
      <c r="AE87" s="7" t="n">
        <v>0.009</v>
      </c>
      <c r="AF87" s="7" t="n">
        <v>0.009</v>
      </c>
      <c r="AG87" s="7" t="n">
        <v>-0.413</v>
      </c>
      <c r="AH87" s="7" t="n">
        <v>0.736</v>
      </c>
      <c r="AI87" s="7" t="n">
        <v>0</v>
      </c>
      <c r="AJ87" s="7" t="n">
        <v>-0.507</v>
      </c>
      <c r="AK87" s="7" t="n">
        <v>-0.249</v>
      </c>
      <c r="AL87" s="7" t="n">
        <v>0.038</v>
      </c>
      <c r="AM87" s="7" t="n">
        <v>0</v>
      </c>
      <c r="AN87" s="7" t="n">
        <v>-0.421</v>
      </c>
      <c r="AO87" s="7" t="n">
        <v>0.291</v>
      </c>
      <c r="AP87" s="7" t="n">
        <v>0</v>
      </c>
      <c r="AQ87" s="7" t="n">
        <v>0</v>
      </c>
    </row>
    <row r="88" customFormat="false" ht="15" hidden="false" customHeight="false" outlineLevel="0" collapsed="false">
      <c r="A88" s="23" t="n">
        <v>46405</v>
      </c>
      <c r="B88" s="7" t="n">
        <v>-0.178</v>
      </c>
      <c r="C88" s="7" t="n">
        <v>0.049</v>
      </c>
      <c r="D88" s="7" t="n">
        <v>-0.247</v>
      </c>
      <c r="E88" s="7" t="n">
        <v>0.009</v>
      </c>
      <c r="F88" s="7" t="n">
        <v>0.009</v>
      </c>
      <c r="G88" s="7" t="n">
        <v>-0.247</v>
      </c>
      <c r="H88" s="7" t="n">
        <v>-0.297</v>
      </c>
      <c r="I88" s="7" t="n">
        <v>-0.39</v>
      </c>
      <c r="J88" s="7" t="n">
        <v>0.009</v>
      </c>
      <c r="K88" s="7" t="n">
        <v>0.009</v>
      </c>
      <c r="L88" s="7" t="n">
        <v>0.009</v>
      </c>
      <c r="M88" s="7" t="n">
        <v>0.009</v>
      </c>
      <c r="N88" s="7" t="n">
        <v>0.009</v>
      </c>
      <c r="O88" s="7" t="n">
        <v>0.009</v>
      </c>
      <c r="P88" s="7" t="n">
        <v>-0.247</v>
      </c>
      <c r="Q88" s="7" t="n">
        <v>0.009</v>
      </c>
      <c r="R88" s="7" t="n">
        <v>-0.246</v>
      </c>
      <c r="S88" s="7" t="n">
        <v>0.009</v>
      </c>
      <c r="T88" s="7" t="n">
        <v>-0.097</v>
      </c>
      <c r="U88" s="7" t="n">
        <v>0.34</v>
      </c>
      <c r="V88" s="7" t="n">
        <v>-0.343</v>
      </c>
      <c r="W88" s="7" t="n">
        <v>0.009</v>
      </c>
      <c r="X88" s="7" t="n">
        <v>-0.247</v>
      </c>
      <c r="Y88" s="7" t="n">
        <v>0.087</v>
      </c>
      <c r="Z88" s="7" t="n">
        <v>0.009</v>
      </c>
      <c r="AA88" s="7" t="n">
        <v>0.009</v>
      </c>
      <c r="AB88" s="7" t="n">
        <v>0.009</v>
      </c>
      <c r="AC88" s="7" t="n">
        <v>0.009</v>
      </c>
      <c r="AD88" s="7" t="n">
        <v>-0.247</v>
      </c>
      <c r="AE88" s="7" t="n">
        <v>0.009</v>
      </c>
      <c r="AF88" s="7" t="n">
        <v>0.009</v>
      </c>
      <c r="AG88" s="7" t="n">
        <v>-0.413</v>
      </c>
      <c r="AH88" s="7" t="n">
        <v>0.736</v>
      </c>
      <c r="AI88" s="7" t="n">
        <v>0</v>
      </c>
      <c r="AJ88" s="7" t="n">
        <v>-0.507</v>
      </c>
      <c r="AK88" s="7" t="n">
        <v>-0.249</v>
      </c>
      <c r="AL88" s="7" t="n">
        <v>0.038</v>
      </c>
      <c r="AM88" s="7" t="n">
        <v>0</v>
      </c>
      <c r="AN88" s="7" t="n">
        <v>-0.421</v>
      </c>
      <c r="AO88" s="7" t="n">
        <v>0.291</v>
      </c>
      <c r="AP88" s="7" t="n">
        <v>0</v>
      </c>
      <c r="AQ88" s="7" t="n">
        <v>0</v>
      </c>
    </row>
    <row r="89" customFormat="false" ht="15" hidden="false" customHeight="false" outlineLevel="0" collapsed="false">
      <c r="A89" s="23" t="n">
        <v>46406</v>
      </c>
      <c r="B89" s="7" t="n">
        <v>-0.166</v>
      </c>
      <c r="C89" s="7" t="n">
        <v>-0.033</v>
      </c>
      <c r="D89" s="7" t="n">
        <v>-0.198</v>
      </c>
      <c r="E89" s="7" t="n">
        <v>0.015</v>
      </c>
      <c r="F89" s="7" t="n">
        <v>0.015</v>
      </c>
      <c r="G89" s="7" t="n">
        <v>-0.198</v>
      </c>
      <c r="H89" s="7" t="n">
        <v>-0.363</v>
      </c>
      <c r="I89" s="7" t="n">
        <v>-0.396</v>
      </c>
      <c r="J89" s="7" t="n">
        <v>-0.122</v>
      </c>
      <c r="K89" s="7" t="n">
        <v>0.015</v>
      </c>
      <c r="L89" s="7" t="n">
        <v>0.015</v>
      </c>
      <c r="M89" s="7" t="n">
        <v>0.015</v>
      </c>
      <c r="N89" s="7" t="n">
        <v>0.015</v>
      </c>
      <c r="O89" s="7" t="n">
        <v>0.015</v>
      </c>
      <c r="P89" s="7" t="n">
        <v>-0.198</v>
      </c>
      <c r="Q89" s="7" t="n">
        <v>0.015</v>
      </c>
      <c r="R89" s="7" t="n">
        <v>-0.3</v>
      </c>
      <c r="S89" s="7" t="n">
        <v>0.015</v>
      </c>
      <c r="T89" s="7" t="n">
        <v>-0.173</v>
      </c>
      <c r="U89" s="7" t="n">
        <v>0.289</v>
      </c>
      <c r="V89" s="7" t="n">
        <v>-0.346</v>
      </c>
      <c r="W89" s="7" t="n">
        <v>0.015</v>
      </c>
      <c r="X89" s="7" t="n">
        <v>-0.198</v>
      </c>
      <c r="Y89" s="7" t="n">
        <v>0.088</v>
      </c>
      <c r="Z89" s="7" t="n">
        <v>0.015</v>
      </c>
      <c r="AA89" s="7" t="n">
        <v>-0.093</v>
      </c>
      <c r="AB89" s="7" t="n">
        <v>-0.052</v>
      </c>
      <c r="AC89" s="7" t="n">
        <v>0.015</v>
      </c>
      <c r="AD89" s="7" t="n">
        <v>-0.198</v>
      </c>
      <c r="AE89" s="7" t="n">
        <v>0.015</v>
      </c>
      <c r="AF89" s="7" t="n">
        <v>0.015</v>
      </c>
      <c r="AG89" s="7" t="n">
        <v>-0.412</v>
      </c>
      <c r="AH89" s="7" t="n">
        <v>0.729</v>
      </c>
      <c r="AI89" s="7" t="n">
        <v>0</v>
      </c>
      <c r="AJ89" s="7" t="n">
        <v>-0.516</v>
      </c>
      <c r="AK89" s="7" t="n">
        <v>-0.295</v>
      </c>
      <c r="AL89" s="7" t="n">
        <v>0.035</v>
      </c>
      <c r="AM89" s="7" t="n">
        <v>0</v>
      </c>
      <c r="AN89" s="7" t="n">
        <v>-0.424</v>
      </c>
      <c r="AO89" s="7" t="n">
        <v>0.245</v>
      </c>
      <c r="AP89" s="7" t="n">
        <v>0</v>
      </c>
      <c r="AQ89" s="7" t="n">
        <v>0</v>
      </c>
    </row>
    <row r="90" customFormat="false" ht="15" hidden="false" customHeight="false" outlineLevel="0" collapsed="false">
      <c r="A90" s="23" t="n">
        <v>46407</v>
      </c>
      <c r="B90" s="7" t="n">
        <v>-0.158</v>
      </c>
      <c r="C90" s="7" t="n">
        <v>-0.117</v>
      </c>
      <c r="D90" s="7" t="n">
        <v>-0.152</v>
      </c>
      <c r="E90" s="7" t="n">
        <v>0.021</v>
      </c>
      <c r="F90" s="7" t="n">
        <v>0.021</v>
      </c>
      <c r="G90" s="7" t="n">
        <v>-0.152</v>
      </c>
      <c r="H90" s="7" t="n">
        <v>-0.435</v>
      </c>
      <c r="I90" s="7" t="n">
        <v>-0.412</v>
      </c>
      <c r="J90" s="7" t="n">
        <v>-0.256</v>
      </c>
      <c r="K90" s="7" t="n">
        <v>0.021</v>
      </c>
      <c r="L90" s="7" t="n">
        <v>0.021</v>
      </c>
      <c r="M90" s="7" t="n">
        <v>0.021</v>
      </c>
      <c r="N90" s="7" t="n">
        <v>0.021</v>
      </c>
      <c r="O90" s="7" t="n">
        <v>0.021</v>
      </c>
      <c r="P90" s="7" t="n">
        <v>-0.152</v>
      </c>
      <c r="Q90" s="7" t="n">
        <v>0.021</v>
      </c>
      <c r="R90" s="7" t="n">
        <v>-0.372</v>
      </c>
      <c r="S90" s="7" t="n">
        <v>0.021</v>
      </c>
      <c r="T90" s="7" t="n">
        <v>-0.273</v>
      </c>
      <c r="U90" s="7" t="n">
        <v>0.243</v>
      </c>
      <c r="V90" s="7" t="n">
        <v>-0.36</v>
      </c>
      <c r="W90" s="7" t="n">
        <v>0.021</v>
      </c>
      <c r="X90" s="7" t="n">
        <v>-0.152</v>
      </c>
      <c r="Y90" s="7" t="n">
        <v>0.08</v>
      </c>
      <c r="Z90" s="7" t="n">
        <v>0.021</v>
      </c>
      <c r="AA90" s="7" t="n">
        <v>-0.21</v>
      </c>
      <c r="AB90" s="7" t="n">
        <v>-0.172</v>
      </c>
      <c r="AC90" s="7" t="n">
        <v>0.021</v>
      </c>
      <c r="AD90" s="7" t="n">
        <v>-0.152</v>
      </c>
      <c r="AE90" s="7" t="n">
        <v>0.021</v>
      </c>
      <c r="AF90" s="7" t="n">
        <v>0.021</v>
      </c>
      <c r="AG90" s="7" t="n">
        <v>-0.417</v>
      </c>
      <c r="AH90" s="7" t="n">
        <v>0.724</v>
      </c>
      <c r="AI90" s="7" t="n">
        <v>0</v>
      </c>
      <c r="AJ90" s="7" t="n">
        <v>-0.53</v>
      </c>
      <c r="AK90" s="7" t="n">
        <v>-0.344</v>
      </c>
      <c r="AL90" s="7" t="n">
        <v>0.032</v>
      </c>
      <c r="AM90" s="7" t="n">
        <v>0</v>
      </c>
      <c r="AN90" s="7" t="n">
        <v>-0.434</v>
      </c>
      <c r="AO90" s="7" t="n">
        <v>0.202</v>
      </c>
      <c r="AP90" s="7" t="n">
        <v>0</v>
      </c>
      <c r="AQ90" s="7" t="n">
        <v>0</v>
      </c>
    </row>
    <row r="91" customFormat="false" ht="15" hidden="false" customHeight="false" outlineLevel="0" collapsed="false">
      <c r="A91" s="23" t="n">
        <v>46408</v>
      </c>
      <c r="B91" s="7" t="n">
        <v>-0.162</v>
      </c>
      <c r="C91" s="7" t="n">
        <v>-0.205</v>
      </c>
      <c r="D91" s="7" t="n">
        <v>-0.11</v>
      </c>
      <c r="E91" s="7" t="n">
        <v>0.026</v>
      </c>
      <c r="F91" s="7" t="n">
        <v>0.026</v>
      </c>
      <c r="G91" s="7" t="n">
        <v>-0.11</v>
      </c>
      <c r="H91" s="7" t="n">
        <v>-0.515</v>
      </c>
      <c r="I91" s="7" t="n">
        <v>-0.468</v>
      </c>
      <c r="J91" s="7" t="n">
        <v>-0.393</v>
      </c>
      <c r="K91" s="7" t="n">
        <v>0.026</v>
      </c>
      <c r="L91" s="7" t="n">
        <v>0.026</v>
      </c>
      <c r="M91" s="7" t="n">
        <v>0.026</v>
      </c>
      <c r="N91" s="7" t="n">
        <v>0.026</v>
      </c>
      <c r="O91" s="7" t="n">
        <v>0.026</v>
      </c>
      <c r="P91" s="7" t="n">
        <v>-0.11</v>
      </c>
      <c r="Q91" s="7" t="n">
        <v>0.026</v>
      </c>
      <c r="R91" s="7" t="n">
        <v>-0.456</v>
      </c>
      <c r="S91" s="7" t="n">
        <v>0.026</v>
      </c>
      <c r="T91" s="7" t="n">
        <v>-0.382</v>
      </c>
      <c r="U91" s="7" t="n">
        <v>0.198</v>
      </c>
      <c r="V91" s="7" t="n">
        <v>-0.417</v>
      </c>
      <c r="W91" s="7" t="n">
        <v>0.026</v>
      </c>
      <c r="X91" s="7" t="n">
        <v>-0.11</v>
      </c>
      <c r="Y91" s="7" t="n">
        <v>0.069</v>
      </c>
      <c r="Z91" s="7" t="n">
        <v>0.026</v>
      </c>
      <c r="AA91" s="7" t="n">
        <v>-0.336</v>
      </c>
      <c r="AB91" s="7" t="n">
        <v>-0.299</v>
      </c>
      <c r="AC91" s="7" t="n">
        <v>0.026</v>
      </c>
      <c r="AD91" s="7" t="n">
        <v>-0.11</v>
      </c>
      <c r="AE91" s="7" t="n">
        <v>0.026</v>
      </c>
      <c r="AF91" s="7" t="n">
        <v>0.026</v>
      </c>
      <c r="AG91" s="7" t="n">
        <v>-0.431</v>
      </c>
      <c r="AH91" s="7" t="n">
        <v>0.719</v>
      </c>
      <c r="AI91" s="7" t="n">
        <v>0</v>
      </c>
      <c r="AJ91" s="7" t="n">
        <v>-0.549</v>
      </c>
      <c r="AK91" s="7" t="n">
        <v>-0.397</v>
      </c>
      <c r="AL91" s="7" t="n">
        <v>0.025</v>
      </c>
      <c r="AM91" s="7" t="n">
        <v>0</v>
      </c>
      <c r="AN91" s="7" t="n">
        <v>-0.451</v>
      </c>
      <c r="AO91" s="7" t="n">
        <v>0.16</v>
      </c>
      <c r="AP91" s="7" t="n">
        <v>0</v>
      </c>
      <c r="AQ91" s="7" t="n">
        <v>0</v>
      </c>
    </row>
    <row r="92" customFormat="false" ht="15" hidden="false" customHeight="false" outlineLevel="0" collapsed="false">
      <c r="A92" s="23" t="n">
        <v>46409</v>
      </c>
      <c r="B92" s="7" t="n">
        <v>-0.217</v>
      </c>
      <c r="C92" s="7" t="n">
        <v>-0.387</v>
      </c>
      <c r="D92" s="7" t="n">
        <v>-0.072</v>
      </c>
      <c r="E92" s="7" t="n">
        <v>-0.041</v>
      </c>
      <c r="F92" s="7" t="n">
        <v>0.032</v>
      </c>
      <c r="G92" s="7" t="n">
        <v>-0.072</v>
      </c>
      <c r="H92" s="7" t="n">
        <v>-0.644</v>
      </c>
      <c r="I92" s="7" t="n">
        <v>-0.578</v>
      </c>
      <c r="J92" s="7" t="n">
        <v>-0.49</v>
      </c>
      <c r="K92" s="7" t="n">
        <v>0.032</v>
      </c>
      <c r="L92" s="7" t="n">
        <v>0.032</v>
      </c>
      <c r="M92" s="7" t="n">
        <v>0.032</v>
      </c>
      <c r="N92" s="7" t="n">
        <v>-0.041</v>
      </c>
      <c r="O92" s="7" t="n">
        <v>0.032</v>
      </c>
      <c r="P92" s="7" t="n">
        <v>-0.072</v>
      </c>
      <c r="Q92" s="7" t="n">
        <v>0.032</v>
      </c>
      <c r="R92" s="7" t="n">
        <v>-0.6</v>
      </c>
      <c r="S92" s="7" t="n">
        <v>-0.041</v>
      </c>
      <c r="T92" s="7" t="n">
        <v>-0.548</v>
      </c>
      <c r="U92" s="7" t="n">
        <v>0.151</v>
      </c>
      <c r="V92" s="7" t="n">
        <v>-0.534</v>
      </c>
      <c r="W92" s="7" t="n">
        <v>0.032</v>
      </c>
      <c r="X92" s="7" t="n">
        <v>-0.072</v>
      </c>
      <c r="Y92" s="7" t="n">
        <v>-0.021</v>
      </c>
      <c r="Z92" s="7" t="n">
        <v>0.032</v>
      </c>
      <c r="AA92" s="7" t="n">
        <v>-0.525</v>
      </c>
      <c r="AB92" s="7" t="n">
        <v>-0.387</v>
      </c>
      <c r="AC92" s="7" t="n">
        <v>0.032</v>
      </c>
      <c r="AD92" s="7" t="n">
        <v>-0.143</v>
      </c>
      <c r="AE92" s="7" t="n">
        <v>0.032</v>
      </c>
      <c r="AF92" s="7" t="n">
        <v>0.032</v>
      </c>
      <c r="AG92" s="7" t="n">
        <v>-0.496</v>
      </c>
      <c r="AH92" s="7" t="n">
        <v>0.712</v>
      </c>
      <c r="AI92" s="7" t="n">
        <v>0</v>
      </c>
      <c r="AJ92" s="7" t="n">
        <v>-0.61</v>
      </c>
      <c r="AK92" s="7" t="n">
        <v>-0.497</v>
      </c>
      <c r="AL92" s="7" t="n">
        <v>0.011</v>
      </c>
      <c r="AM92" s="7" t="n">
        <v>0</v>
      </c>
      <c r="AN92" s="7" t="n">
        <v>-0.519</v>
      </c>
      <c r="AO92" s="7" t="n">
        <v>0.113</v>
      </c>
      <c r="AP92" s="7" t="n">
        <v>0</v>
      </c>
      <c r="AQ92" s="7" t="n">
        <v>0</v>
      </c>
    </row>
    <row r="93" customFormat="false" ht="15" hidden="false" customHeight="false" outlineLevel="0" collapsed="false">
      <c r="A93" s="23" t="n">
        <v>46410</v>
      </c>
      <c r="B93" s="7" t="n">
        <v>-0.277</v>
      </c>
      <c r="C93" s="7" t="n">
        <v>-0.57</v>
      </c>
      <c r="D93" s="7" t="n">
        <v>-0.037</v>
      </c>
      <c r="E93" s="7" t="n">
        <v>-0.111</v>
      </c>
      <c r="F93" s="7" t="n">
        <v>0.037</v>
      </c>
      <c r="G93" s="7" t="n">
        <v>-0.037</v>
      </c>
      <c r="H93" s="7" t="n">
        <v>-0.779</v>
      </c>
      <c r="I93" s="7" t="n">
        <v>-0.696</v>
      </c>
      <c r="J93" s="7" t="n">
        <v>-0.588</v>
      </c>
      <c r="K93" s="7" t="n">
        <v>0.037</v>
      </c>
      <c r="L93" s="7" t="n">
        <v>0.037</v>
      </c>
      <c r="M93" s="7" t="n">
        <v>0.037</v>
      </c>
      <c r="N93" s="7" t="n">
        <v>-0.111</v>
      </c>
      <c r="O93" s="7" t="n">
        <v>0.037</v>
      </c>
      <c r="P93" s="7" t="n">
        <v>-0.037</v>
      </c>
      <c r="Q93" s="7" t="n">
        <v>0.037</v>
      </c>
      <c r="R93" s="7" t="n">
        <v>-0.752</v>
      </c>
      <c r="S93" s="7" t="n">
        <v>-0.111</v>
      </c>
      <c r="T93" s="7" t="n">
        <v>-0.72</v>
      </c>
      <c r="U93" s="7" t="n">
        <v>0.104</v>
      </c>
      <c r="V93" s="7" t="n">
        <v>-0.659</v>
      </c>
      <c r="W93" s="7" t="n">
        <v>0.037</v>
      </c>
      <c r="X93" s="7" t="n">
        <v>-0.037</v>
      </c>
      <c r="Y93" s="7" t="n">
        <v>-0.118</v>
      </c>
      <c r="Z93" s="7" t="n">
        <v>0.037</v>
      </c>
      <c r="AA93" s="7" t="n">
        <v>-0.72</v>
      </c>
      <c r="AB93" s="7" t="n">
        <v>-0.454</v>
      </c>
      <c r="AC93" s="7" t="n">
        <v>0.037</v>
      </c>
      <c r="AD93" s="7" t="n">
        <v>-0.182</v>
      </c>
      <c r="AE93" s="7" t="n">
        <v>0.037</v>
      </c>
      <c r="AF93" s="7" t="n">
        <v>0.037</v>
      </c>
      <c r="AG93" s="7" t="n">
        <v>-0.571</v>
      </c>
      <c r="AH93" s="7" t="n">
        <v>0.705</v>
      </c>
      <c r="AI93" s="7" t="n">
        <v>0</v>
      </c>
      <c r="AJ93" s="7" t="n">
        <v>-0.677</v>
      </c>
      <c r="AK93" s="7" t="n">
        <v>-0.601</v>
      </c>
      <c r="AL93" s="7" t="n">
        <v>-0.008</v>
      </c>
      <c r="AM93" s="7" t="n">
        <v>0</v>
      </c>
      <c r="AN93" s="7" t="n">
        <v>-0.595</v>
      </c>
      <c r="AO93" s="7" t="n">
        <v>0.067</v>
      </c>
      <c r="AP93" s="7" t="n">
        <v>0</v>
      </c>
      <c r="AQ93" s="7" t="n">
        <v>0</v>
      </c>
    </row>
    <row r="94" customFormat="false" ht="15" hidden="false" customHeight="false" outlineLevel="0" collapsed="false">
      <c r="A94" s="23" t="n">
        <v>46411</v>
      </c>
      <c r="B94" s="7" t="n">
        <v>-0.277</v>
      </c>
      <c r="C94" s="7" t="n">
        <v>-0.57</v>
      </c>
      <c r="D94" s="7" t="n">
        <v>-0.037</v>
      </c>
      <c r="E94" s="7" t="n">
        <v>-0.111</v>
      </c>
      <c r="F94" s="7" t="n">
        <v>0.037</v>
      </c>
      <c r="G94" s="7" t="n">
        <v>-0.037</v>
      </c>
      <c r="H94" s="7" t="n">
        <v>-0.779</v>
      </c>
      <c r="I94" s="7" t="n">
        <v>-0.696</v>
      </c>
      <c r="J94" s="7" t="n">
        <v>-0.588</v>
      </c>
      <c r="K94" s="7" t="n">
        <v>0.037</v>
      </c>
      <c r="L94" s="7" t="n">
        <v>0.037</v>
      </c>
      <c r="M94" s="7" t="n">
        <v>0.037</v>
      </c>
      <c r="N94" s="7" t="n">
        <v>-0.111</v>
      </c>
      <c r="O94" s="7" t="n">
        <v>0.037</v>
      </c>
      <c r="P94" s="7" t="n">
        <v>-0.037</v>
      </c>
      <c r="Q94" s="7" t="n">
        <v>0.037</v>
      </c>
      <c r="R94" s="7" t="n">
        <v>-0.752</v>
      </c>
      <c r="S94" s="7" t="n">
        <v>-0.111</v>
      </c>
      <c r="T94" s="7" t="n">
        <v>-0.72</v>
      </c>
      <c r="U94" s="7" t="n">
        <v>0.104</v>
      </c>
      <c r="V94" s="7" t="n">
        <v>-0.659</v>
      </c>
      <c r="W94" s="7" t="n">
        <v>0.037</v>
      </c>
      <c r="X94" s="7" t="n">
        <v>-0.037</v>
      </c>
      <c r="Y94" s="7" t="n">
        <v>-0.118</v>
      </c>
      <c r="Z94" s="7" t="n">
        <v>0.037</v>
      </c>
      <c r="AA94" s="7" t="n">
        <v>-0.72</v>
      </c>
      <c r="AB94" s="7" t="n">
        <v>-0.454</v>
      </c>
      <c r="AC94" s="7" t="n">
        <v>0.037</v>
      </c>
      <c r="AD94" s="7" t="n">
        <v>-0.182</v>
      </c>
      <c r="AE94" s="7" t="n">
        <v>0.037</v>
      </c>
      <c r="AF94" s="7" t="n">
        <v>0.037</v>
      </c>
      <c r="AG94" s="7" t="n">
        <v>-0.571</v>
      </c>
      <c r="AH94" s="7" t="n">
        <v>0.705</v>
      </c>
      <c r="AI94" s="7" t="n">
        <v>0</v>
      </c>
      <c r="AJ94" s="7" t="n">
        <v>-0.677</v>
      </c>
      <c r="AK94" s="7" t="n">
        <v>-0.601</v>
      </c>
      <c r="AL94" s="7" t="n">
        <v>-0.008</v>
      </c>
      <c r="AM94" s="7" t="n">
        <v>0</v>
      </c>
      <c r="AN94" s="7" t="n">
        <v>-0.595</v>
      </c>
      <c r="AO94" s="7" t="n">
        <v>0.067</v>
      </c>
      <c r="AP94" s="7" t="n">
        <v>0</v>
      </c>
      <c r="AQ94" s="7" t="n">
        <v>0</v>
      </c>
    </row>
    <row r="95" customFormat="false" ht="15" hidden="false" customHeight="false" outlineLevel="0" collapsed="false">
      <c r="A95" s="23" t="n">
        <v>46412</v>
      </c>
      <c r="B95" s="7" t="n">
        <v>-0.277</v>
      </c>
      <c r="C95" s="7" t="n">
        <v>-0.57</v>
      </c>
      <c r="D95" s="7" t="n">
        <v>-0.037</v>
      </c>
      <c r="E95" s="7" t="n">
        <v>-0.111</v>
      </c>
      <c r="F95" s="7" t="n">
        <v>0.037</v>
      </c>
      <c r="G95" s="7" t="n">
        <v>-0.037</v>
      </c>
      <c r="H95" s="7" t="n">
        <v>-0.779</v>
      </c>
      <c r="I95" s="7" t="n">
        <v>-0.696</v>
      </c>
      <c r="J95" s="7" t="n">
        <v>-0.588</v>
      </c>
      <c r="K95" s="7" t="n">
        <v>0.037</v>
      </c>
      <c r="L95" s="7" t="n">
        <v>0.037</v>
      </c>
      <c r="M95" s="7" t="n">
        <v>0.037</v>
      </c>
      <c r="N95" s="7" t="n">
        <v>-0.111</v>
      </c>
      <c r="O95" s="7" t="n">
        <v>0.037</v>
      </c>
      <c r="P95" s="7" t="n">
        <v>-0.037</v>
      </c>
      <c r="Q95" s="7" t="n">
        <v>0.037</v>
      </c>
      <c r="R95" s="7" t="n">
        <v>-0.752</v>
      </c>
      <c r="S95" s="7" t="n">
        <v>-0.111</v>
      </c>
      <c r="T95" s="7" t="n">
        <v>-0.72</v>
      </c>
      <c r="U95" s="7" t="n">
        <v>0.104</v>
      </c>
      <c r="V95" s="7" t="n">
        <v>-0.659</v>
      </c>
      <c r="W95" s="7" t="n">
        <v>0.037</v>
      </c>
      <c r="X95" s="7" t="n">
        <v>-0.037</v>
      </c>
      <c r="Y95" s="7" t="n">
        <v>-0.118</v>
      </c>
      <c r="Z95" s="7" t="n">
        <v>0.037</v>
      </c>
      <c r="AA95" s="7" t="n">
        <v>-0.72</v>
      </c>
      <c r="AB95" s="7" t="n">
        <v>-0.454</v>
      </c>
      <c r="AC95" s="7" t="n">
        <v>0.037</v>
      </c>
      <c r="AD95" s="7" t="n">
        <v>-0.182</v>
      </c>
      <c r="AE95" s="7" t="n">
        <v>0.037</v>
      </c>
      <c r="AF95" s="7" t="n">
        <v>0.037</v>
      </c>
      <c r="AG95" s="7" t="n">
        <v>-0.571</v>
      </c>
      <c r="AH95" s="7" t="n">
        <v>0.705</v>
      </c>
      <c r="AI95" s="7" t="n">
        <v>0</v>
      </c>
      <c r="AJ95" s="7" t="n">
        <v>-0.677</v>
      </c>
      <c r="AK95" s="7" t="n">
        <v>-0.601</v>
      </c>
      <c r="AL95" s="7" t="n">
        <v>-0.008</v>
      </c>
      <c r="AM95" s="7" t="n">
        <v>0</v>
      </c>
      <c r="AN95" s="7" t="n">
        <v>-0.595</v>
      </c>
      <c r="AO95" s="7" t="n">
        <v>0.067</v>
      </c>
      <c r="AP95" s="7" t="n">
        <v>0</v>
      </c>
      <c r="AQ95" s="7" t="n">
        <v>0</v>
      </c>
    </row>
    <row r="96" customFormat="false" ht="15" hidden="false" customHeight="false" outlineLevel="0" collapsed="false">
      <c r="A96" s="23" t="n">
        <v>46413</v>
      </c>
      <c r="B96" s="7" t="n">
        <v>-0.35</v>
      </c>
      <c r="C96" s="7" t="n">
        <v>-0.662</v>
      </c>
      <c r="D96" s="7" t="n">
        <v>-0.022</v>
      </c>
      <c r="E96" s="7" t="n">
        <v>-0.193</v>
      </c>
      <c r="F96" s="7" t="n">
        <v>0</v>
      </c>
      <c r="G96" s="7" t="n">
        <v>-0.022</v>
      </c>
      <c r="H96" s="7" t="n">
        <v>-0.825</v>
      </c>
      <c r="I96" s="7" t="n">
        <v>-0.752</v>
      </c>
      <c r="J96" s="7" t="n">
        <v>-0.572</v>
      </c>
      <c r="K96" s="7" t="n">
        <v>0.037</v>
      </c>
      <c r="L96" s="7" t="n">
        <v>0.037</v>
      </c>
      <c r="M96" s="7" t="n">
        <v>0</v>
      </c>
      <c r="N96" s="7" t="n">
        <v>-0.223</v>
      </c>
      <c r="O96" s="7" t="n">
        <v>0</v>
      </c>
      <c r="P96" s="7" t="n">
        <v>-0.022</v>
      </c>
      <c r="Q96" s="7" t="n">
        <v>0.037</v>
      </c>
      <c r="R96" s="7" t="n">
        <v>-0.809</v>
      </c>
      <c r="S96" s="7" t="n">
        <v>-0.193</v>
      </c>
      <c r="T96" s="7" t="n">
        <v>-0.78</v>
      </c>
      <c r="U96" s="7" t="n">
        <v>0.104</v>
      </c>
      <c r="V96" s="7" t="n">
        <v>-0.72</v>
      </c>
      <c r="W96" s="7" t="n">
        <v>0.037</v>
      </c>
      <c r="X96" s="7" t="n">
        <v>-0.022</v>
      </c>
      <c r="Y96" s="7" t="n">
        <v>-0.187</v>
      </c>
      <c r="Z96" s="7" t="n">
        <v>0.037</v>
      </c>
      <c r="AA96" s="7" t="n">
        <v>-0.786</v>
      </c>
      <c r="AB96" s="7" t="n">
        <v>-0.455</v>
      </c>
      <c r="AC96" s="7" t="n">
        <v>0.037</v>
      </c>
      <c r="AD96" s="7" t="n">
        <v>-0.249</v>
      </c>
      <c r="AE96" s="7" t="n">
        <v>0</v>
      </c>
      <c r="AF96" s="7" t="n">
        <v>0.037</v>
      </c>
      <c r="AG96" s="7" t="n">
        <v>-0.607</v>
      </c>
      <c r="AH96" s="7" t="n">
        <v>0.683</v>
      </c>
      <c r="AI96" s="7" t="n">
        <v>0</v>
      </c>
      <c r="AJ96" s="7" t="n">
        <v>-0.706</v>
      </c>
      <c r="AK96" s="7" t="n">
        <v>-0.643</v>
      </c>
      <c r="AL96" s="7" t="n">
        <v>0.007</v>
      </c>
      <c r="AM96" s="7" t="n">
        <v>0</v>
      </c>
      <c r="AN96" s="7" t="n">
        <v>-0.629</v>
      </c>
      <c r="AO96" s="7" t="n">
        <v>0.03</v>
      </c>
      <c r="AP96" s="7" t="n">
        <v>0</v>
      </c>
      <c r="AQ96" s="7" t="n">
        <v>0</v>
      </c>
    </row>
    <row r="97" customFormat="false" ht="15" hidden="false" customHeight="false" outlineLevel="0" collapsed="false">
      <c r="A97" s="23" t="n">
        <v>46414</v>
      </c>
      <c r="B97" s="7" t="n">
        <v>-0.422</v>
      </c>
      <c r="C97" s="7" t="n">
        <v>-0.753</v>
      </c>
      <c r="D97" s="7" t="n">
        <v>-0.007</v>
      </c>
      <c r="E97" s="7" t="n">
        <v>-0.277</v>
      </c>
      <c r="F97" s="7" t="n">
        <v>-0.038</v>
      </c>
      <c r="G97" s="7" t="n">
        <v>-0.007</v>
      </c>
      <c r="H97" s="7" t="n">
        <v>-0.871</v>
      </c>
      <c r="I97" s="7" t="n">
        <v>-0.796</v>
      </c>
      <c r="J97" s="7" t="n">
        <v>-0.55</v>
      </c>
      <c r="K97" s="7" t="n">
        <v>0.037</v>
      </c>
      <c r="L97" s="7" t="n">
        <v>0.037</v>
      </c>
      <c r="M97" s="7" t="n">
        <v>-0.038</v>
      </c>
      <c r="N97" s="7" t="n">
        <v>-0.337</v>
      </c>
      <c r="O97" s="7" t="n">
        <v>-0.038</v>
      </c>
      <c r="P97" s="7" t="n">
        <v>-0.007</v>
      </c>
      <c r="Q97" s="7" t="n">
        <v>0.037</v>
      </c>
      <c r="R97" s="7" t="n">
        <v>-0.865</v>
      </c>
      <c r="S97" s="7" t="n">
        <v>-0.277</v>
      </c>
      <c r="T97" s="7" t="n">
        <v>-0.842</v>
      </c>
      <c r="U97" s="7" t="n">
        <v>0.101</v>
      </c>
      <c r="V97" s="7" t="n">
        <v>-0.769</v>
      </c>
      <c r="W97" s="7" t="n">
        <v>0.037</v>
      </c>
      <c r="X97" s="7" t="n">
        <v>-0.007</v>
      </c>
      <c r="Y97" s="7" t="n">
        <v>-0.261</v>
      </c>
      <c r="Z97" s="7" t="n">
        <v>0.037</v>
      </c>
      <c r="AA97" s="7" t="n">
        <v>-0.851</v>
      </c>
      <c r="AB97" s="7" t="n">
        <v>-0.454</v>
      </c>
      <c r="AC97" s="7" t="n">
        <v>0.037</v>
      </c>
      <c r="AD97" s="7" t="n">
        <v>-0.318</v>
      </c>
      <c r="AE97" s="7" t="n">
        <v>-0.038</v>
      </c>
      <c r="AF97" s="7" t="n">
        <v>0.037</v>
      </c>
      <c r="AG97" s="7" t="n">
        <v>-0.644</v>
      </c>
      <c r="AH97" s="7" t="n">
        <v>0.659</v>
      </c>
      <c r="AI97" s="7" t="n">
        <v>0</v>
      </c>
      <c r="AJ97" s="7" t="n">
        <v>-0.736</v>
      </c>
      <c r="AK97" s="7" t="n">
        <v>-0.686</v>
      </c>
      <c r="AL97" s="7" t="n">
        <v>0.019</v>
      </c>
      <c r="AM97" s="7" t="n">
        <v>0</v>
      </c>
      <c r="AN97" s="7" t="n">
        <v>-0.665</v>
      </c>
      <c r="AO97" s="7" t="n">
        <v>-0.012</v>
      </c>
      <c r="AP97" s="7" t="n">
        <v>0</v>
      </c>
      <c r="AQ97" s="7" t="n">
        <v>0</v>
      </c>
    </row>
    <row r="98" customFormat="false" ht="15" hidden="false" customHeight="false" outlineLevel="0" collapsed="false">
      <c r="A98" s="23" t="n">
        <v>46415</v>
      </c>
      <c r="B98" s="7" t="n">
        <v>-0.5</v>
      </c>
      <c r="C98" s="7" t="n">
        <v>-0.849</v>
      </c>
      <c r="D98" s="7" t="n">
        <v>0.007</v>
      </c>
      <c r="E98" s="7" t="n">
        <v>-0.363</v>
      </c>
      <c r="F98" s="7" t="n">
        <v>-0.082</v>
      </c>
      <c r="G98" s="7" t="n">
        <v>0.007</v>
      </c>
      <c r="H98" s="7" t="n">
        <v>-0.914</v>
      </c>
      <c r="I98" s="7" t="n">
        <v>-0.838</v>
      </c>
      <c r="J98" s="7" t="n">
        <v>-0.526</v>
      </c>
      <c r="K98" s="7" t="n">
        <v>0.037</v>
      </c>
      <c r="L98" s="7" t="n">
        <v>0.037</v>
      </c>
      <c r="M98" s="7" t="n">
        <v>-0.082</v>
      </c>
      <c r="N98" s="7" t="n">
        <v>-0.458</v>
      </c>
      <c r="O98" s="7" t="n">
        <v>-0.082</v>
      </c>
      <c r="P98" s="7" t="n">
        <v>0.007</v>
      </c>
      <c r="Q98" s="7" t="n">
        <v>0.037</v>
      </c>
      <c r="R98" s="7" t="n">
        <v>-0.92</v>
      </c>
      <c r="S98" s="7" t="n">
        <v>-0.363</v>
      </c>
      <c r="T98" s="7" t="n">
        <v>-0.902</v>
      </c>
      <c r="U98" s="7" t="n">
        <v>0.05</v>
      </c>
      <c r="V98" s="7" t="n">
        <v>-0.815</v>
      </c>
      <c r="W98" s="7" t="n">
        <v>0.037</v>
      </c>
      <c r="X98" s="7" t="n">
        <v>0.007</v>
      </c>
      <c r="Y98" s="7" t="n">
        <v>-0.376</v>
      </c>
      <c r="Z98" s="7" t="n">
        <v>0.037</v>
      </c>
      <c r="AA98" s="7" t="n">
        <v>-0.915</v>
      </c>
      <c r="AB98" s="7" t="n">
        <v>-0.447</v>
      </c>
      <c r="AC98" s="7" t="n">
        <v>0.037</v>
      </c>
      <c r="AD98" s="7" t="n">
        <v>-0.389</v>
      </c>
      <c r="AE98" s="7" t="n">
        <v>-0.082</v>
      </c>
      <c r="AF98" s="7" t="n">
        <v>0.037</v>
      </c>
      <c r="AG98" s="7" t="n">
        <v>-0.68</v>
      </c>
      <c r="AH98" s="7" t="n">
        <v>0.594</v>
      </c>
      <c r="AI98" s="7" t="n">
        <v>0</v>
      </c>
      <c r="AJ98" s="7" t="n">
        <v>-0.766</v>
      </c>
      <c r="AK98" s="7" t="n">
        <v>-0.729</v>
      </c>
      <c r="AL98" s="7" t="n">
        <v>-0.017</v>
      </c>
      <c r="AM98" s="7" t="n">
        <v>0</v>
      </c>
      <c r="AN98" s="7" t="n">
        <v>-0.7</v>
      </c>
      <c r="AO98" s="7" t="n">
        <v>-0.104</v>
      </c>
      <c r="AP98" s="7" t="n">
        <v>0</v>
      </c>
      <c r="AQ98" s="7" t="n">
        <v>0</v>
      </c>
    </row>
    <row r="99" customFormat="false" ht="15" hidden="false" customHeight="false" outlineLevel="0" collapsed="false">
      <c r="A99" s="23" t="n">
        <v>46416</v>
      </c>
      <c r="B99" s="7" t="n">
        <v>-0.537</v>
      </c>
      <c r="C99" s="7" t="n">
        <v>-0.857</v>
      </c>
      <c r="D99" s="7" t="n">
        <v>0.022</v>
      </c>
      <c r="E99" s="7" t="n">
        <v>-0.378</v>
      </c>
      <c r="F99" s="7" t="n">
        <v>-0.129</v>
      </c>
      <c r="G99" s="7" t="n">
        <v>0.022</v>
      </c>
      <c r="H99" s="7" t="n">
        <v>-0.917</v>
      </c>
      <c r="I99" s="7" t="n">
        <v>-0.845</v>
      </c>
      <c r="J99" s="7" t="n">
        <v>-0.54</v>
      </c>
      <c r="K99" s="7" t="n">
        <v>0.037</v>
      </c>
      <c r="L99" s="7" t="n">
        <v>0.037</v>
      </c>
      <c r="M99" s="7" t="n">
        <v>-0.129</v>
      </c>
      <c r="N99" s="7" t="n">
        <v>-0.508</v>
      </c>
      <c r="O99" s="7" t="n">
        <v>-0.129</v>
      </c>
      <c r="P99" s="7" t="n">
        <v>0.022</v>
      </c>
      <c r="Q99" s="7" t="n">
        <v>0.037</v>
      </c>
      <c r="R99" s="7" t="n">
        <v>-0.925</v>
      </c>
      <c r="S99" s="7" t="n">
        <v>-0.378</v>
      </c>
      <c r="T99" s="7" t="n">
        <v>-0.913</v>
      </c>
      <c r="U99" s="7" t="n">
        <v>-0.005</v>
      </c>
      <c r="V99" s="7" t="n">
        <v>-0.824</v>
      </c>
      <c r="W99" s="7" t="n">
        <v>0.037</v>
      </c>
      <c r="X99" s="7" t="n">
        <v>0.022</v>
      </c>
      <c r="Y99" s="7" t="n">
        <v>-0.421</v>
      </c>
      <c r="Z99" s="7" t="n">
        <v>0.037</v>
      </c>
      <c r="AA99" s="7" t="n">
        <v>-0.923</v>
      </c>
      <c r="AB99" s="7" t="n">
        <v>-0.49</v>
      </c>
      <c r="AC99" s="7" t="n">
        <v>0.037</v>
      </c>
      <c r="AD99" s="7" t="n">
        <v>-0.391</v>
      </c>
      <c r="AE99" s="7" t="n">
        <v>-0.129</v>
      </c>
      <c r="AF99" s="7" t="n">
        <v>0.037</v>
      </c>
      <c r="AG99" s="7" t="n">
        <v>-0.685</v>
      </c>
      <c r="AH99" s="7" t="n">
        <v>0.523</v>
      </c>
      <c r="AI99" s="7" t="n">
        <v>0</v>
      </c>
      <c r="AJ99" s="7" t="n">
        <v>-0.77</v>
      </c>
      <c r="AK99" s="7" t="n">
        <v>-0.739</v>
      </c>
      <c r="AL99" s="7" t="n">
        <v>-0.057</v>
      </c>
      <c r="AM99" s="7" t="n">
        <v>0</v>
      </c>
      <c r="AN99" s="7" t="n">
        <v>-0.704</v>
      </c>
      <c r="AO99" s="7" t="n">
        <v>-0.2</v>
      </c>
      <c r="AP99" s="7" t="n">
        <v>0</v>
      </c>
      <c r="AQ99" s="7" t="n">
        <v>0</v>
      </c>
    </row>
    <row r="100" customFormat="false" ht="15" hidden="false" customHeight="false" outlineLevel="0" collapsed="false">
      <c r="A100" s="23" t="n">
        <v>46417</v>
      </c>
      <c r="B100" s="7" t="n">
        <v>-0.574</v>
      </c>
      <c r="C100" s="7" t="n">
        <v>-0.866</v>
      </c>
      <c r="D100" s="7" t="n">
        <v>0.037</v>
      </c>
      <c r="E100" s="7" t="n">
        <v>-0.392</v>
      </c>
      <c r="F100" s="7" t="n">
        <v>-0.177</v>
      </c>
      <c r="G100" s="7" t="n">
        <v>0.037</v>
      </c>
      <c r="H100" s="7" t="n">
        <v>-0.92</v>
      </c>
      <c r="I100" s="7" t="n">
        <v>-0.846</v>
      </c>
      <c r="J100" s="7" t="n">
        <v>-0.536</v>
      </c>
      <c r="K100" s="7" t="n">
        <v>0.037</v>
      </c>
      <c r="L100" s="7" t="n">
        <v>0.037</v>
      </c>
      <c r="M100" s="7" t="n">
        <v>-0.177</v>
      </c>
      <c r="N100" s="7" t="n">
        <v>-0.558</v>
      </c>
      <c r="O100" s="7" t="n">
        <v>-0.177</v>
      </c>
      <c r="P100" s="7" t="n">
        <v>0.037</v>
      </c>
      <c r="Q100" s="7" t="n">
        <v>0.037</v>
      </c>
      <c r="R100" s="7" t="n">
        <v>-0.93</v>
      </c>
      <c r="S100" s="7" t="n">
        <v>-0.392</v>
      </c>
      <c r="T100" s="7" t="n">
        <v>-0.923</v>
      </c>
      <c r="U100" s="7" t="n">
        <v>-0.066</v>
      </c>
      <c r="V100" s="7" t="n">
        <v>-0.824</v>
      </c>
      <c r="W100" s="7" t="n">
        <v>0.037</v>
      </c>
      <c r="X100" s="7" t="n">
        <v>0.037</v>
      </c>
      <c r="Y100" s="7" t="n">
        <v>-0.469</v>
      </c>
      <c r="Z100" s="7" t="n">
        <v>0.037</v>
      </c>
      <c r="AA100" s="7" t="n">
        <v>-0.93</v>
      </c>
      <c r="AB100" s="7" t="n">
        <v>-0.475</v>
      </c>
      <c r="AC100" s="7" t="n">
        <v>0.037</v>
      </c>
      <c r="AD100" s="7" t="n">
        <v>-0.392</v>
      </c>
      <c r="AE100" s="7" t="n">
        <v>-0.177</v>
      </c>
      <c r="AF100" s="7" t="n">
        <v>0.037</v>
      </c>
      <c r="AG100" s="7" t="n">
        <v>-0.688</v>
      </c>
      <c r="AH100" s="7" t="n">
        <v>0.444</v>
      </c>
      <c r="AI100" s="7" t="n">
        <v>0</v>
      </c>
      <c r="AJ100" s="7" t="n">
        <v>-0.773</v>
      </c>
      <c r="AK100" s="7" t="n">
        <v>-0.748</v>
      </c>
      <c r="AL100" s="7" t="n">
        <v>-0.103</v>
      </c>
      <c r="AM100" s="7" t="n">
        <v>0</v>
      </c>
      <c r="AN100" s="7" t="n">
        <v>-0.707</v>
      </c>
      <c r="AO100" s="7" t="n">
        <v>-0.304</v>
      </c>
      <c r="AP100" s="7" t="n">
        <v>0</v>
      </c>
      <c r="AQ100" s="7" t="n">
        <v>0</v>
      </c>
    </row>
    <row r="101" customFormat="false" ht="15" hidden="false" customHeight="false" outlineLevel="0" collapsed="false">
      <c r="A101" s="23" t="n">
        <v>46418</v>
      </c>
      <c r="B101" s="7" t="n">
        <v>-0.574</v>
      </c>
      <c r="C101" s="7" t="n">
        <v>-0.866</v>
      </c>
      <c r="D101" s="7" t="n">
        <v>0.037</v>
      </c>
      <c r="E101" s="7" t="n">
        <v>-0.392</v>
      </c>
      <c r="F101" s="7" t="n">
        <v>-0.177</v>
      </c>
      <c r="G101" s="7" t="n">
        <v>0.037</v>
      </c>
      <c r="H101" s="7" t="n">
        <v>-0.92</v>
      </c>
      <c r="I101" s="7" t="n">
        <v>-0.846</v>
      </c>
      <c r="J101" s="7" t="n">
        <v>-0.536</v>
      </c>
      <c r="K101" s="7" t="n">
        <v>0.037</v>
      </c>
      <c r="L101" s="7" t="n">
        <v>0.037</v>
      </c>
      <c r="M101" s="7" t="n">
        <v>-0.177</v>
      </c>
      <c r="N101" s="7" t="n">
        <v>-0.558</v>
      </c>
      <c r="O101" s="7" t="n">
        <v>-0.177</v>
      </c>
      <c r="P101" s="7" t="n">
        <v>0.037</v>
      </c>
      <c r="Q101" s="7" t="n">
        <v>0.037</v>
      </c>
      <c r="R101" s="7" t="n">
        <v>-0.93</v>
      </c>
      <c r="S101" s="7" t="n">
        <v>-0.392</v>
      </c>
      <c r="T101" s="7" t="n">
        <v>-0.923</v>
      </c>
      <c r="U101" s="7" t="n">
        <v>-0.066</v>
      </c>
      <c r="V101" s="7" t="n">
        <v>-0.824</v>
      </c>
      <c r="W101" s="7" t="n">
        <v>0.037</v>
      </c>
      <c r="X101" s="7" t="n">
        <v>0.037</v>
      </c>
      <c r="Y101" s="7" t="n">
        <v>-0.469</v>
      </c>
      <c r="Z101" s="7" t="n">
        <v>0.037</v>
      </c>
      <c r="AA101" s="7" t="n">
        <v>-0.93</v>
      </c>
      <c r="AB101" s="7" t="n">
        <v>-0.475</v>
      </c>
      <c r="AC101" s="7" t="n">
        <v>0.037</v>
      </c>
      <c r="AD101" s="7" t="n">
        <v>-0.392</v>
      </c>
      <c r="AE101" s="7" t="n">
        <v>-0.177</v>
      </c>
      <c r="AF101" s="7" t="n">
        <v>0.037</v>
      </c>
      <c r="AG101" s="7" t="n">
        <v>-0.688</v>
      </c>
      <c r="AH101" s="7" t="n">
        <v>0.444</v>
      </c>
      <c r="AI101" s="7" t="n">
        <v>0</v>
      </c>
      <c r="AJ101" s="7" t="n">
        <v>-0.773</v>
      </c>
      <c r="AK101" s="7" t="n">
        <v>-0.748</v>
      </c>
      <c r="AL101" s="7" t="n">
        <v>-0.103</v>
      </c>
      <c r="AM101" s="7" t="n">
        <v>0</v>
      </c>
      <c r="AN101" s="7" t="n">
        <v>-0.707</v>
      </c>
      <c r="AO101" s="7" t="n">
        <v>-0.304</v>
      </c>
      <c r="AP101" s="7" t="n">
        <v>0</v>
      </c>
      <c r="AQ101" s="7" t="n">
        <v>0</v>
      </c>
    </row>
    <row r="102" customFormat="false" ht="15" hidden="false" customHeight="false" outlineLevel="0" collapsed="false">
      <c r="A102" s="23" t="n">
        <v>46419</v>
      </c>
      <c r="B102" s="7" t="n">
        <v>-0.574</v>
      </c>
      <c r="C102" s="7" t="n">
        <v>-0.866</v>
      </c>
      <c r="D102" s="7" t="n">
        <v>0.037</v>
      </c>
      <c r="E102" s="7" t="n">
        <v>-0.392</v>
      </c>
      <c r="F102" s="7" t="n">
        <v>-0.177</v>
      </c>
      <c r="G102" s="7" t="n">
        <v>0.037</v>
      </c>
      <c r="H102" s="7" t="n">
        <v>-0.92</v>
      </c>
      <c r="I102" s="7" t="n">
        <v>-0.846</v>
      </c>
      <c r="J102" s="7" t="n">
        <v>-0.536</v>
      </c>
      <c r="K102" s="7" t="n">
        <v>0.037</v>
      </c>
      <c r="L102" s="7" t="n">
        <v>0.037</v>
      </c>
      <c r="M102" s="7" t="n">
        <v>-0.177</v>
      </c>
      <c r="N102" s="7" t="n">
        <v>-0.558</v>
      </c>
      <c r="O102" s="7" t="n">
        <v>-0.177</v>
      </c>
      <c r="P102" s="7" t="n">
        <v>0.037</v>
      </c>
      <c r="Q102" s="7" t="n">
        <v>0.037</v>
      </c>
      <c r="R102" s="7" t="n">
        <v>-0.93</v>
      </c>
      <c r="S102" s="7" t="n">
        <v>-0.392</v>
      </c>
      <c r="T102" s="7" t="n">
        <v>-0.923</v>
      </c>
      <c r="U102" s="7" t="n">
        <v>-0.066</v>
      </c>
      <c r="V102" s="7" t="n">
        <v>-0.824</v>
      </c>
      <c r="W102" s="7" t="n">
        <v>0.037</v>
      </c>
      <c r="X102" s="7" t="n">
        <v>0.037</v>
      </c>
      <c r="Y102" s="7" t="n">
        <v>-0.469</v>
      </c>
      <c r="Z102" s="7" t="n">
        <v>0.037</v>
      </c>
      <c r="AA102" s="7" t="n">
        <v>-0.93</v>
      </c>
      <c r="AB102" s="7" t="n">
        <v>-0.475</v>
      </c>
      <c r="AC102" s="7" t="n">
        <v>0.037</v>
      </c>
      <c r="AD102" s="7" t="n">
        <v>-0.392</v>
      </c>
      <c r="AE102" s="7" t="n">
        <v>-0.177</v>
      </c>
      <c r="AF102" s="7" t="n">
        <v>0.037</v>
      </c>
      <c r="AG102" s="7" t="n">
        <v>-0.688</v>
      </c>
      <c r="AH102" s="7" t="n">
        <v>0.444</v>
      </c>
      <c r="AI102" s="7" t="n">
        <v>0</v>
      </c>
      <c r="AJ102" s="7" t="n">
        <v>-0.773</v>
      </c>
      <c r="AK102" s="7" t="n">
        <v>-0.748</v>
      </c>
      <c r="AL102" s="7" t="n">
        <v>-0.103</v>
      </c>
      <c r="AM102" s="7" t="n">
        <v>0</v>
      </c>
      <c r="AN102" s="7" t="n">
        <v>-0.707</v>
      </c>
      <c r="AO102" s="7" t="n">
        <v>-0.304</v>
      </c>
      <c r="AP102" s="7" t="n">
        <v>0</v>
      </c>
      <c r="AQ102" s="7" t="n">
        <v>0</v>
      </c>
    </row>
    <row r="103" customFormat="false" ht="15" hidden="false" customHeight="false" outlineLevel="0" collapsed="false">
      <c r="A103" s="23" t="n">
        <v>46420</v>
      </c>
      <c r="B103" s="7" t="n">
        <v>-0.626</v>
      </c>
      <c r="C103" s="7" t="n">
        <v>-0.887</v>
      </c>
      <c r="D103" s="7" t="n">
        <v>-0.111</v>
      </c>
      <c r="E103" s="7" t="n">
        <v>-0.401</v>
      </c>
      <c r="F103" s="7" t="n">
        <v>-0.193</v>
      </c>
      <c r="G103" s="7" t="n">
        <v>-0.075</v>
      </c>
      <c r="H103" s="7" t="n">
        <v>-0.928</v>
      </c>
      <c r="I103" s="7" t="n">
        <v>-0.862</v>
      </c>
      <c r="J103" s="7" t="n">
        <v>-0.469</v>
      </c>
      <c r="K103" s="7" t="n">
        <v>0.037</v>
      </c>
      <c r="L103" s="7" t="n">
        <v>0.037</v>
      </c>
      <c r="M103" s="7" t="n">
        <v>-0.193</v>
      </c>
      <c r="N103" s="7" t="n">
        <v>-0.577</v>
      </c>
      <c r="O103" s="7" t="n">
        <v>-0.193</v>
      </c>
      <c r="P103" s="7" t="n">
        <v>-0.071</v>
      </c>
      <c r="Q103" s="7" t="n">
        <v>0.037</v>
      </c>
      <c r="R103" s="7" t="n">
        <v>-0.939</v>
      </c>
      <c r="S103" s="7" t="n">
        <v>-0.401</v>
      </c>
      <c r="T103" s="7" t="n">
        <v>-0.934</v>
      </c>
      <c r="U103" s="7" t="n">
        <v>-0.145</v>
      </c>
      <c r="V103" s="7" t="n">
        <v>-0.842</v>
      </c>
      <c r="W103" s="7" t="n">
        <v>0.037</v>
      </c>
      <c r="X103" s="7" t="n">
        <v>-0.071</v>
      </c>
      <c r="Y103" s="7" t="n">
        <v>-0.536</v>
      </c>
      <c r="Z103" s="7" t="n">
        <v>0.037</v>
      </c>
      <c r="AA103" s="7" t="n">
        <v>-0.939</v>
      </c>
      <c r="AB103" s="7" t="n">
        <v>-0.459</v>
      </c>
      <c r="AC103" s="7" t="n">
        <v>0.037</v>
      </c>
      <c r="AD103" s="7" t="n">
        <v>-0.401</v>
      </c>
      <c r="AE103" s="7" t="n">
        <v>-0.193</v>
      </c>
      <c r="AF103" s="7" t="n">
        <v>0.037</v>
      </c>
      <c r="AG103" s="7" t="n">
        <v>-0.712</v>
      </c>
      <c r="AH103" s="7" t="n">
        <v>0.364</v>
      </c>
      <c r="AI103" s="7" t="n">
        <v>0</v>
      </c>
      <c r="AJ103" s="7" t="n">
        <v>-0.791</v>
      </c>
      <c r="AK103" s="7" t="n">
        <v>-0.768</v>
      </c>
      <c r="AL103" s="7" t="n">
        <v>-0.181</v>
      </c>
      <c r="AM103" s="7" t="n">
        <v>0</v>
      </c>
      <c r="AN103" s="7" t="n">
        <v>-0.73</v>
      </c>
      <c r="AO103" s="7" t="n">
        <v>-0.388</v>
      </c>
      <c r="AP103" s="7" t="n">
        <v>0</v>
      </c>
      <c r="AQ103" s="7" t="n">
        <v>0</v>
      </c>
    </row>
    <row r="104" customFormat="false" ht="15" hidden="false" customHeight="false" outlineLevel="0" collapsed="false">
      <c r="A104" s="23" t="n">
        <v>46421</v>
      </c>
      <c r="B104" s="7" t="n">
        <v>-0.674</v>
      </c>
      <c r="C104" s="7" t="n">
        <v>-0.906</v>
      </c>
      <c r="D104" s="7" t="n">
        <v>-0.26</v>
      </c>
      <c r="E104" s="7" t="n">
        <v>-0.407</v>
      </c>
      <c r="F104" s="7" t="n">
        <v>-0.209</v>
      </c>
      <c r="G104" s="7" t="n">
        <v>-0.186</v>
      </c>
      <c r="H104" s="7" t="n">
        <v>-0.935</v>
      </c>
      <c r="I104" s="7" t="n">
        <v>-0.865</v>
      </c>
      <c r="J104" s="7" t="n">
        <v>-0.405</v>
      </c>
      <c r="K104" s="7" t="n">
        <v>0.037</v>
      </c>
      <c r="L104" s="7" t="n">
        <v>0.037</v>
      </c>
      <c r="M104" s="7" t="n">
        <v>-0.209</v>
      </c>
      <c r="N104" s="7" t="n">
        <v>-0.592</v>
      </c>
      <c r="O104" s="7" t="n">
        <v>-0.209</v>
      </c>
      <c r="P104" s="7" t="n">
        <v>-0.18</v>
      </c>
      <c r="Q104" s="7" t="n">
        <v>0.037</v>
      </c>
      <c r="R104" s="7" t="n">
        <v>-0.947</v>
      </c>
      <c r="S104" s="7" t="n">
        <v>-0.407</v>
      </c>
      <c r="T104" s="7" t="n">
        <v>-0.944</v>
      </c>
      <c r="U104" s="7" t="n">
        <v>-0.217</v>
      </c>
      <c r="V104" s="7" t="n">
        <v>-0.846</v>
      </c>
      <c r="W104" s="7" t="n">
        <v>0.037</v>
      </c>
      <c r="X104" s="7" t="n">
        <v>-0.18</v>
      </c>
      <c r="Y104" s="7" t="n">
        <v>-0.597</v>
      </c>
      <c r="Z104" s="7" t="n">
        <v>0.037</v>
      </c>
      <c r="AA104" s="7" t="n">
        <v>-0.947</v>
      </c>
      <c r="AB104" s="7" t="n">
        <v>-0.389</v>
      </c>
      <c r="AC104" s="7" t="n">
        <v>0.037</v>
      </c>
      <c r="AD104" s="7" t="n">
        <v>-0.407</v>
      </c>
      <c r="AE104" s="7" t="n">
        <v>-0.209</v>
      </c>
      <c r="AF104" s="7" t="n">
        <v>0.037</v>
      </c>
      <c r="AG104" s="7" t="n">
        <v>-0.734</v>
      </c>
      <c r="AH104" s="7" t="n">
        <v>0.291</v>
      </c>
      <c r="AI104" s="7" t="n">
        <v>0</v>
      </c>
      <c r="AJ104" s="7" t="n">
        <v>-0.808</v>
      </c>
      <c r="AK104" s="7" t="n">
        <v>-0.786</v>
      </c>
      <c r="AL104" s="7" t="n">
        <v>-0.253</v>
      </c>
      <c r="AM104" s="7" t="n">
        <v>0</v>
      </c>
      <c r="AN104" s="7" t="n">
        <v>-0.751</v>
      </c>
      <c r="AO104" s="7" t="n">
        <v>-0.467</v>
      </c>
      <c r="AP104" s="7" t="n">
        <v>0</v>
      </c>
      <c r="AQ104" s="7" t="n">
        <v>0</v>
      </c>
    </row>
    <row r="105" customFormat="false" ht="15" hidden="false" customHeight="false" outlineLevel="0" collapsed="false">
      <c r="A105" s="23" t="n">
        <v>46422</v>
      </c>
      <c r="B105" s="7" t="n">
        <v>-0.712</v>
      </c>
      <c r="C105" s="7" t="n">
        <v>-0.912</v>
      </c>
      <c r="D105" s="7" t="n">
        <v>-0.409</v>
      </c>
      <c r="E105" s="7" t="n">
        <v>-0.411</v>
      </c>
      <c r="F105" s="7" t="n">
        <v>-0.217</v>
      </c>
      <c r="G105" s="7" t="n">
        <v>-0.297</v>
      </c>
      <c r="H105" s="7" t="n">
        <v>-0.938</v>
      </c>
      <c r="I105" s="7" t="n">
        <v>-0.862</v>
      </c>
      <c r="J105" s="7" t="n">
        <v>-0.339</v>
      </c>
      <c r="K105" s="7" t="n">
        <v>0.037</v>
      </c>
      <c r="L105" s="7" t="n">
        <v>0.037</v>
      </c>
      <c r="M105" s="7" t="n">
        <v>-0.217</v>
      </c>
      <c r="N105" s="7" t="n">
        <v>-0.601</v>
      </c>
      <c r="O105" s="7" t="n">
        <v>-0.217</v>
      </c>
      <c r="P105" s="7" t="n">
        <v>-0.288</v>
      </c>
      <c r="Q105" s="7" t="n">
        <v>0.037</v>
      </c>
      <c r="R105" s="7" t="n">
        <v>-0.95</v>
      </c>
      <c r="S105" s="7" t="n">
        <v>-0.411</v>
      </c>
      <c r="T105" s="7" t="n">
        <v>-0.947</v>
      </c>
      <c r="U105" s="7" t="n">
        <v>-0.235</v>
      </c>
      <c r="V105" s="7" t="n">
        <v>-0.842</v>
      </c>
      <c r="W105" s="7" t="n">
        <v>0.037</v>
      </c>
      <c r="X105" s="7" t="n">
        <v>-0.288</v>
      </c>
      <c r="Y105" s="7" t="n">
        <v>-0.612</v>
      </c>
      <c r="Z105" s="7" t="n">
        <v>0.037</v>
      </c>
      <c r="AA105" s="7" t="n">
        <v>-0.95</v>
      </c>
      <c r="AB105" s="7" t="n">
        <v>-0.316</v>
      </c>
      <c r="AC105" s="7" t="n">
        <v>0.037</v>
      </c>
      <c r="AD105" s="7" t="n">
        <v>-0.411</v>
      </c>
      <c r="AE105" s="7" t="n">
        <v>-0.217</v>
      </c>
      <c r="AF105" s="7" t="n">
        <v>0.037</v>
      </c>
      <c r="AG105" s="7" t="n">
        <v>-0.742</v>
      </c>
      <c r="AH105" s="7" t="n">
        <v>0.266</v>
      </c>
      <c r="AI105" s="7" t="n">
        <v>0</v>
      </c>
      <c r="AJ105" s="7" t="n">
        <v>-0.814</v>
      </c>
      <c r="AK105" s="7" t="n">
        <v>-0.793</v>
      </c>
      <c r="AL105" s="7" t="n">
        <v>-0.27</v>
      </c>
      <c r="AM105" s="7" t="n">
        <v>0</v>
      </c>
      <c r="AN105" s="7" t="n">
        <v>-0.759</v>
      </c>
      <c r="AO105" s="7" t="n">
        <v>-0.489</v>
      </c>
      <c r="AP105" s="7" t="n">
        <v>0</v>
      </c>
      <c r="AQ105" s="7" t="n">
        <v>0</v>
      </c>
    </row>
    <row r="106" customFormat="false" ht="15" hidden="false" customHeight="false" outlineLevel="0" collapsed="false">
      <c r="A106" s="23" t="n">
        <v>46423</v>
      </c>
      <c r="B106" s="7" t="n">
        <v>-0.744</v>
      </c>
      <c r="C106" s="7" t="n">
        <v>-0.91</v>
      </c>
      <c r="D106" s="7" t="n">
        <v>-0.557</v>
      </c>
      <c r="E106" s="7" t="n">
        <v>-0.412</v>
      </c>
      <c r="F106" s="7" t="n">
        <v>-0.223</v>
      </c>
      <c r="G106" s="7" t="n">
        <v>-0.407</v>
      </c>
      <c r="H106" s="7" t="n">
        <v>-0.937</v>
      </c>
      <c r="I106" s="7" t="n">
        <v>-0.85</v>
      </c>
      <c r="J106" s="7" t="n">
        <v>-0.275</v>
      </c>
      <c r="K106" s="7" t="n">
        <v>0.037</v>
      </c>
      <c r="L106" s="7" t="n">
        <v>0.037</v>
      </c>
      <c r="M106" s="7" t="n">
        <v>-0.223</v>
      </c>
      <c r="N106" s="7" t="n">
        <v>-0.606</v>
      </c>
      <c r="O106" s="7" t="n">
        <v>-0.223</v>
      </c>
      <c r="P106" s="7" t="n">
        <v>-0.396</v>
      </c>
      <c r="Q106" s="7" t="n">
        <v>0.037</v>
      </c>
      <c r="R106" s="7" t="n">
        <v>-0.949</v>
      </c>
      <c r="S106" s="7" t="n">
        <v>-0.412</v>
      </c>
      <c r="T106" s="7" t="n">
        <v>-0.946</v>
      </c>
      <c r="U106" s="7" t="n">
        <v>-0.239</v>
      </c>
      <c r="V106" s="7" t="n">
        <v>-0.829</v>
      </c>
      <c r="W106" s="7" t="n">
        <v>0.037</v>
      </c>
      <c r="X106" s="7" t="n">
        <v>-0.396</v>
      </c>
      <c r="Y106" s="7" t="n">
        <v>-0.616</v>
      </c>
      <c r="Z106" s="7" t="n">
        <v>0.037</v>
      </c>
      <c r="AA106" s="7" t="n">
        <v>-0.949</v>
      </c>
      <c r="AB106" s="7" t="n">
        <v>-0.232</v>
      </c>
      <c r="AC106" s="7" t="n">
        <v>0.037</v>
      </c>
      <c r="AD106" s="7" t="n">
        <v>-0.412</v>
      </c>
      <c r="AE106" s="7" t="n">
        <v>-0.223</v>
      </c>
      <c r="AF106" s="7" t="n">
        <v>0.037</v>
      </c>
      <c r="AG106" s="7" t="n">
        <v>-0.737</v>
      </c>
      <c r="AH106" s="7" t="n">
        <v>0.257</v>
      </c>
      <c r="AI106" s="7" t="n">
        <v>0</v>
      </c>
      <c r="AJ106" s="7" t="n">
        <v>-0.809</v>
      </c>
      <c r="AK106" s="7" t="n">
        <v>-0.788</v>
      </c>
      <c r="AL106" s="7" t="n">
        <v>-0.274</v>
      </c>
      <c r="AM106" s="7" t="n">
        <v>0</v>
      </c>
      <c r="AN106" s="7" t="n">
        <v>-0.753</v>
      </c>
      <c r="AO106" s="7" t="n">
        <v>-0.497</v>
      </c>
      <c r="AP106" s="7" t="n">
        <v>0</v>
      </c>
      <c r="AQ106" s="7" t="n">
        <v>0</v>
      </c>
    </row>
    <row r="107" customFormat="false" ht="15" hidden="false" customHeight="false" outlineLevel="0" collapsed="false">
      <c r="A107" s="23" t="n">
        <v>46424</v>
      </c>
      <c r="B107" s="7" t="n">
        <v>-0.774</v>
      </c>
      <c r="C107" s="7" t="n">
        <v>-0.906</v>
      </c>
      <c r="D107" s="7" t="n">
        <v>-0.705</v>
      </c>
      <c r="E107" s="7" t="n">
        <v>-0.413</v>
      </c>
      <c r="F107" s="7" t="n">
        <v>-0.227</v>
      </c>
      <c r="G107" s="7" t="n">
        <v>-0.518</v>
      </c>
      <c r="H107" s="7" t="n">
        <v>-0.934</v>
      </c>
      <c r="I107" s="7" t="n">
        <v>-0.842</v>
      </c>
      <c r="J107" s="7" t="n">
        <v>-0.227</v>
      </c>
      <c r="K107" s="7" t="n">
        <v>0.037</v>
      </c>
      <c r="L107" s="7" t="n">
        <v>0.037</v>
      </c>
      <c r="M107" s="7" t="n">
        <v>-0.227</v>
      </c>
      <c r="N107" s="7" t="n">
        <v>-0.609</v>
      </c>
      <c r="O107" s="7" t="n">
        <v>-0.227</v>
      </c>
      <c r="P107" s="7" t="n">
        <v>-0.503</v>
      </c>
      <c r="Q107" s="7" t="n">
        <v>0.037</v>
      </c>
      <c r="R107" s="7" t="n">
        <v>-0.947</v>
      </c>
      <c r="S107" s="7" t="n">
        <v>-0.413</v>
      </c>
      <c r="T107" s="7" t="n">
        <v>-0.944</v>
      </c>
      <c r="U107" s="7" t="n">
        <v>-0.229</v>
      </c>
      <c r="V107" s="7" t="n">
        <v>-0.82</v>
      </c>
      <c r="W107" s="7" t="n">
        <v>0.037</v>
      </c>
      <c r="X107" s="7" t="n">
        <v>-0.503</v>
      </c>
      <c r="Y107" s="7" t="n">
        <v>-0.61</v>
      </c>
      <c r="Z107" s="7" t="n">
        <v>0.037</v>
      </c>
      <c r="AA107" s="7" t="n">
        <v>-0.947</v>
      </c>
      <c r="AB107" s="7" t="n">
        <v>-0.227</v>
      </c>
      <c r="AC107" s="7" t="n">
        <v>0.037</v>
      </c>
      <c r="AD107" s="7" t="n">
        <v>-0.413</v>
      </c>
      <c r="AE107" s="7" t="n">
        <v>-0.227</v>
      </c>
      <c r="AF107" s="7" t="n">
        <v>0.037</v>
      </c>
      <c r="AG107" s="7" t="n">
        <v>-0.728</v>
      </c>
      <c r="AH107" s="7" t="n">
        <v>0.263</v>
      </c>
      <c r="AI107" s="7" t="n">
        <v>0</v>
      </c>
      <c r="AJ107" s="7" t="n">
        <v>-0.803</v>
      </c>
      <c r="AK107" s="7" t="n">
        <v>-0.781</v>
      </c>
      <c r="AL107" s="7" t="n">
        <v>-0.264</v>
      </c>
      <c r="AM107" s="7" t="n">
        <v>0</v>
      </c>
      <c r="AN107" s="7" t="n">
        <v>-0.746</v>
      </c>
      <c r="AO107" s="7" t="n">
        <v>-0.492</v>
      </c>
      <c r="AP107" s="7" t="n">
        <v>0</v>
      </c>
      <c r="AQ107" s="7" t="n">
        <v>0</v>
      </c>
    </row>
    <row r="108" customFormat="false" ht="15" hidden="false" customHeight="false" outlineLevel="0" collapsed="false">
      <c r="A108" s="23" t="n">
        <v>46425</v>
      </c>
      <c r="B108" s="7" t="n">
        <v>-0.774</v>
      </c>
      <c r="C108" s="7" t="n">
        <v>-0.906</v>
      </c>
      <c r="D108" s="7" t="n">
        <v>-0.705</v>
      </c>
      <c r="E108" s="7" t="n">
        <v>-0.413</v>
      </c>
      <c r="F108" s="7" t="n">
        <v>-0.227</v>
      </c>
      <c r="G108" s="7" t="n">
        <v>-0.518</v>
      </c>
      <c r="H108" s="7" t="n">
        <v>-0.934</v>
      </c>
      <c r="I108" s="7" t="n">
        <v>-0.842</v>
      </c>
      <c r="J108" s="7" t="n">
        <v>-0.227</v>
      </c>
      <c r="K108" s="7" t="n">
        <v>0.037</v>
      </c>
      <c r="L108" s="7" t="n">
        <v>0.037</v>
      </c>
      <c r="M108" s="7" t="n">
        <v>-0.227</v>
      </c>
      <c r="N108" s="7" t="n">
        <v>-0.609</v>
      </c>
      <c r="O108" s="7" t="n">
        <v>-0.227</v>
      </c>
      <c r="P108" s="7" t="n">
        <v>-0.503</v>
      </c>
      <c r="Q108" s="7" t="n">
        <v>0.037</v>
      </c>
      <c r="R108" s="7" t="n">
        <v>-0.947</v>
      </c>
      <c r="S108" s="7" t="n">
        <v>-0.413</v>
      </c>
      <c r="T108" s="7" t="n">
        <v>-0.944</v>
      </c>
      <c r="U108" s="7" t="n">
        <v>-0.229</v>
      </c>
      <c r="V108" s="7" t="n">
        <v>-0.82</v>
      </c>
      <c r="W108" s="7" t="n">
        <v>0.037</v>
      </c>
      <c r="X108" s="7" t="n">
        <v>-0.503</v>
      </c>
      <c r="Y108" s="7" t="n">
        <v>-0.61</v>
      </c>
      <c r="Z108" s="7" t="n">
        <v>0.037</v>
      </c>
      <c r="AA108" s="7" t="n">
        <v>-0.947</v>
      </c>
      <c r="AB108" s="7" t="n">
        <v>-0.227</v>
      </c>
      <c r="AC108" s="7" t="n">
        <v>0.037</v>
      </c>
      <c r="AD108" s="7" t="n">
        <v>-0.413</v>
      </c>
      <c r="AE108" s="7" t="n">
        <v>-0.227</v>
      </c>
      <c r="AF108" s="7" t="n">
        <v>0.037</v>
      </c>
      <c r="AG108" s="7" t="n">
        <v>-0.728</v>
      </c>
      <c r="AH108" s="7" t="n">
        <v>0.263</v>
      </c>
      <c r="AI108" s="7" t="n">
        <v>0</v>
      </c>
      <c r="AJ108" s="7" t="n">
        <v>-0.803</v>
      </c>
      <c r="AK108" s="7" t="n">
        <v>-0.781</v>
      </c>
      <c r="AL108" s="7" t="n">
        <v>-0.264</v>
      </c>
      <c r="AM108" s="7" t="n">
        <v>0</v>
      </c>
      <c r="AN108" s="7" t="n">
        <v>-0.746</v>
      </c>
      <c r="AO108" s="7" t="n">
        <v>-0.492</v>
      </c>
      <c r="AP108" s="7" t="n">
        <v>0</v>
      </c>
      <c r="AQ108" s="7" t="n">
        <v>0</v>
      </c>
    </row>
    <row r="109" customFormat="false" ht="15" hidden="false" customHeight="false" outlineLevel="0" collapsed="false">
      <c r="A109" s="23" t="n">
        <v>46426</v>
      </c>
      <c r="B109" s="7" t="n">
        <v>-0.774</v>
      </c>
      <c r="C109" s="7" t="n">
        <v>-0.906</v>
      </c>
      <c r="D109" s="7" t="n">
        <v>-0.705</v>
      </c>
      <c r="E109" s="7" t="n">
        <v>-0.413</v>
      </c>
      <c r="F109" s="7" t="n">
        <v>-0.227</v>
      </c>
      <c r="G109" s="7" t="n">
        <v>-0.518</v>
      </c>
      <c r="H109" s="7" t="n">
        <v>-0.934</v>
      </c>
      <c r="I109" s="7" t="n">
        <v>-0.842</v>
      </c>
      <c r="J109" s="7" t="n">
        <v>-0.227</v>
      </c>
      <c r="K109" s="7" t="n">
        <v>0.037</v>
      </c>
      <c r="L109" s="7" t="n">
        <v>0.037</v>
      </c>
      <c r="M109" s="7" t="n">
        <v>-0.227</v>
      </c>
      <c r="N109" s="7" t="n">
        <v>-0.609</v>
      </c>
      <c r="O109" s="7" t="n">
        <v>-0.227</v>
      </c>
      <c r="P109" s="7" t="n">
        <v>-0.503</v>
      </c>
      <c r="Q109" s="7" t="n">
        <v>0.037</v>
      </c>
      <c r="R109" s="7" t="n">
        <v>-0.947</v>
      </c>
      <c r="S109" s="7" t="n">
        <v>-0.413</v>
      </c>
      <c r="T109" s="7" t="n">
        <v>-0.944</v>
      </c>
      <c r="U109" s="7" t="n">
        <v>-0.229</v>
      </c>
      <c r="V109" s="7" t="n">
        <v>-0.82</v>
      </c>
      <c r="W109" s="7" t="n">
        <v>0.037</v>
      </c>
      <c r="X109" s="7" t="n">
        <v>-0.503</v>
      </c>
      <c r="Y109" s="7" t="n">
        <v>-0.61</v>
      </c>
      <c r="Z109" s="7" t="n">
        <v>0.037</v>
      </c>
      <c r="AA109" s="7" t="n">
        <v>-0.947</v>
      </c>
      <c r="AB109" s="7" t="n">
        <v>-0.227</v>
      </c>
      <c r="AC109" s="7" t="n">
        <v>0.037</v>
      </c>
      <c r="AD109" s="7" t="n">
        <v>-0.413</v>
      </c>
      <c r="AE109" s="7" t="n">
        <v>-0.227</v>
      </c>
      <c r="AF109" s="7" t="n">
        <v>0.037</v>
      </c>
      <c r="AG109" s="7" t="n">
        <v>-0.728</v>
      </c>
      <c r="AH109" s="7" t="n">
        <v>0.263</v>
      </c>
      <c r="AI109" s="7" t="n">
        <v>0</v>
      </c>
      <c r="AJ109" s="7" t="n">
        <v>-0.803</v>
      </c>
      <c r="AK109" s="7" t="n">
        <v>-0.781</v>
      </c>
      <c r="AL109" s="7" t="n">
        <v>-0.264</v>
      </c>
      <c r="AM109" s="7" t="n">
        <v>0</v>
      </c>
      <c r="AN109" s="7" t="n">
        <v>-0.746</v>
      </c>
      <c r="AO109" s="7" t="n">
        <v>-0.492</v>
      </c>
      <c r="AP109" s="7" t="n">
        <v>0</v>
      </c>
      <c r="AQ109" s="7" t="n">
        <v>0</v>
      </c>
    </row>
    <row r="110" customFormat="false" ht="15" hidden="false" customHeight="false" outlineLevel="0" collapsed="false">
      <c r="A110" s="23" t="n">
        <v>46427</v>
      </c>
      <c r="B110" s="7" t="n">
        <v>-0.776</v>
      </c>
      <c r="C110" s="7" t="n">
        <v>-0.898</v>
      </c>
      <c r="D110" s="7" t="n">
        <v>-0.599</v>
      </c>
      <c r="E110" s="7" t="n">
        <v>-0.481</v>
      </c>
      <c r="F110" s="7" t="n">
        <v>-0.22</v>
      </c>
      <c r="G110" s="7" t="n">
        <v>-0.417</v>
      </c>
      <c r="H110" s="7" t="n">
        <v>-0.928</v>
      </c>
      <c r="I110" s="7" t="n">
        <v>-0.852</v>
      </c>
      <c r="J110" s="7" t="n">
        <v>-0.22</v>
      </c>
      <c r="K110" s="7" t="n">
        <v>0.037</v>
      </c>
      <c r="L110" s="7" t="n">
        <v>0.037</v>
      </c>
      <c r="M110" s="7" t="n">
        <v>-0.22</v>
      </c>
      <c r="N110" s="7" t="n">
        <v>-0.664</v>
      </c>
      <c r="O110" s="7" t="n">
        <v>-0.22</v>
      </c>
      <c r="P110" s="7" t="n">
        <v>-0.443</v>
      </c>
      <c r="Q110" s="7" t="n">
        <v>0.037</v>
      </c>
      <c r="R110" s="7" t="n">
        <v>-0.939</v>
      </c>
      <c r="S110" s="7" t="n">
        <v>-0.495</v>
      </c>
      <c r="T110" s="7" t="n">
        <v>-0.937</v>
      </c>
      <c r="U110" s="7" t="n">
        <v>-0.094</v>
      </c>
      <c r="V110" s="7" t="n">
        <v>-0.832</v>
      </c>
      <c r="W110" s="7" t="n">
        <v>0.037</v>
      </c>
      <c r="X110" s="7" t="n">
        <v>-0.443</v>
      </c>
      <c r="Y110" s="7" t="n">
        <v>-0.613</v>
      </c>
      <c r="Z110" s="7" t="n">
        <v>0.037</v>
      </c>
      <c r="AA110" s="7" t="n">
        <v>-0.939</v>
      </c>
      <c r="AB110" s="7" t="n">
        <v>-0.22</v>
      </c>
      <c r="AC110" s="7" t="n">
        <v>0.037</v>
      </c>
      <c r="AD110" s="7" t="n">
        <v>-0.499</v>
      </c>
      <c r="AE110" s="7" t="n">
        <v>-0.22</v>
      </c>
      <c r="AF110" s="7" t="n">
        <v>0.037</v>
      </c>
      <c r="AG110" s="7" t="n">
        <v>-0.742</v>
      </c>
      <c r="AH110" s="7" t="n">
        <v>0.371</v>
      </c>
      <c r="AI110" s="7" t="n">
        <v>0</v>
      </c>
      <c r="AJ110" s="7" t="n">
        <v>-0.812</v>
      </c>
      <c r="AK110" s="7" t="n">
        <v>-0.792</v>
      </c>
      <c r="AL110" s="7" t="n">
        <v>-0.129</v>
      </c>
      <c r="AM110" s="7" t="n">
        <v>0</v>
      </c>
      <c r="AN110" s="7" t="n">
        <v>-0.758</v>
      </c>
      <c r="AO110" s="7" t="n">
        <v>-0.357</v>
      </c>
      <c r="AP110" s="7" t="n">
        <v>0</v>
      </c>
      <c r="AQ110" s="7" t="n">
        <v>0</v>
      </c>
    </row>
    <row r="111" customFormat="false" ht="15" hidden="false" customHeight="false" outlineLevel="0" collapsed="false">
      <c r="A111" s="23" t="n">
        <v>46428</v>
      </c>
      <c r="B111" s="7" t="n">
        <v>-0.778</v>
      </c>
      <c r="C111" s="7" t="n">
        <v>-0.891</v>
      </c>
      <c r="D111" s="7" t="n">
        <v>-0.492</v>
      </c>
      <c r="E111" s="7" t="n">
        <v>-0.549</v>
      </c>
      <c r="F111" s="7" t="n">
        <v>-0.211</v>
      </c>
      <c r="G111" s="7" t="n">
        <v>-0.314</v>
      </c>
      <c r="H111" s="7" t="n">
        <v>-0.922</v>
      </c>
      <c r="I111" s="7" t="n">
        <v>-0.858</v>
      </c>
      <c r="J111" s="7" t="n">
        <v>-0.211</v>
      </c>
      <c r="K111" s="7" t="n">
        <v>0.037</v>
      </c>
      <c r="L111" s="7" t="n">
        <v>0.037</v>
      </c>
      <c r="M111" s="7" t="n">
        <v>-0.211</v>
      </c>
      <c r="N111" s="7" t="n">
        <v>-0.719</v>
      </c>
      <c r="O111" s="7" t="n">
        <v>-0.211</v>
      </c>
      <c r="P111" s="7" t="n">
        <v>-0.381</v>
      </c>
      <c r="Q111" s="7" t="n">
        <v>0.037</v>
      </c>
      <c r="R111" s="7" t="n">
        <v>-0.931</v>
      </c>
      <c r="S111" s="7" t="n">
        <v>-0.578</v>
      </c>
      <c r="T111" s="7" t="n">
        <v>-0.931</v>
      </c>
      <c r="U111" s="7" t="n">
        <v>0.036</v>
      </c>
      <c r="V111" s="7" t="n">
        <v>-0.838</v>
      </c>
      <c r="W111" s="7" t="n">
        <v>0.037</v>
      </c>
      <c r="X111" s="7" t="n">
        <v>-0.381</v>
      </c>
      <c r="Y111" s="7" t="n">
        <v>-0.62</v>
      </c>
      <c r="Z111" s="7" t="n">
        <v>0.037</v>
      </c>
      <c r="AA111" s="7" t="n">
        <v>-0.931</v>
      </c>
      <c r="AB111" s="7" t="n">
        <v>-0.211</v>
      </c>
      <c r="AC111" s="7" t="n">
        <v>0.037</v>
      </c>
      <c r="AD111" s="7" t="n">
        <v>-0.587</v>
      </c>
      <c r="AE111" s="7" t="n">
        <v>-0.211</v>
      </c>
      <c r="AF111" s="7" t="n">
        <v>0.037</v>
      </c>
      <c r="AG111" s="7" t="n">
        <v>-0.754</v>
      </c>
      <c r="AH111" s="7" t="n">
        <v>0.474</v>
      </c>
      <c r="AI111" s="7" t="n">
        <v>0</v>
      </c>
      <c r="AJ111" s="7" t="n">
        <v>-0.822</v>
      </c>
      <c r="AK111" s="7" t="n">
        <v>-0.802</v>
      </c>
      <c r="AL111" s="7" t="n">
        <v>0.002</v>
      </c>
      <c r="AM111" s="7" t="n">
        <v>0</v>
      </c>
      <c r="AN111" s="7" t="n">
        <v>-0.77</v>
      </c>
      <c r="AO111" s="7" t="n">
        <v>-0.224</v>
      </c>
      <c r="AP111" s="7" t="n">
        <v>0</v>
      </c>
      <c r="AQ111" s="7" t="n">
        <v>0</v>
      </c>
    </row>
    <row r="112" customFormat="false" ht="15" hidden="false" customHeight="false" outlineLevel="0" collapsed="false">
      <c r="A112" s="23" t="n">
        <v>46429</v>
      </c>
      <c r="B112" s="7" t="n">
        <v>-0.781</v>
      </c>
      <c r="C112" s="7" t="n">
        <v>-0.888</v>
      </c>
      <c r="D112" s="7" t="n">
        <v>-0.384</v>
      </c>
      <c r="E112" s="7" t="n">
        <v>-0.617</v>
      </c>
      <c r="F112" s="7" t="n">
        <v>-0.202</v>
      </c>
      <c r="G112" s="7" t="n">
        <v>-0.21</v>
      </c>
      <c r="H112" s="7" t="n">
        <v>-0.919</v>
      </c>
      <c r="I112" s="7" t="n">
        <v>-0.868</v>
      </c>
      <c r="J112" s="7" t="n">
        <v>-0.202</v>
      </c>
      <c r="K112" s="7" t="n">
        <v>0.037</v>
      </c>
      <c r="L112" s="7" t="n">
        <v>0.037</v>
      </c>
      <c r="M112" s="7" t="n">
        <v>-0.202</v>
      </c>
      <c r="N112" s="7" t="n">
        <v>-0.775</v>
      </c>
      <c r="O112" s="7" t="n">
        <v>-0.202</v>
      </c>
      <c r="P112" s="7" t="n">
        <v>-0.319</v>
      </c>
      <c r="Q112" s="7" t="n">
        <v>0.037</v>
      </c>
      <c r="R112" s="7" t="n">
        <v>-0.925</v>
      </c>
      <c r="S112" s="7" t="n">
        <v>-0.661</v>
      </c>
      <c r="T112" s="7" t="n">
        <v>-0.927</v>
      </c>
      <c r="U112" s="7" t="n">
        <v>0.16</v>
      </c>
      <c r="V112" s="7" t="n">
        <v>-0.849</v>
      </c>
      <c r="W112" s="7" t="n">
        <v>0.037</v>
      </c>
      <c r="X112" s="7" t="n">
        <v>-0.319</v>
      </c>
      <c r="Y112" s="7" t="n">
        <v>-0.63</v>
      </c>
      <c r="Z112" s="7" t="n">
        <v>0.037</v>
      </c>
      <c r="AA112" s="7" t="n">
        <v>-0.925</v>
      </c>
      <c r="AB112" s="7" t="n">
        <v>-0.202</v>
      </c>
      <c r="AC112" s="7" t="n">
        <v>0.037</v>
      </c>
      <c r="AD112" s="7" t="n">
        <v>-0.674</v>
      </c>
      <c r="AE112" s="7" t="n">
        <v>-0.202</v>
      </c>
      <c r="AF112" s="7" t="n">
        <v>0.037</v>
      </c>
      <c r="AG112" s="7" t="n">
        <v>-0.778</v>
      </c>
      <c r="AH112" s="7" t="n">
        <v>0.571</v>
      </c>
      <c r="AI112" s="7" t="n">
        <v>0</v>
      </c>
      <c r="AJ112" s="7" t="n">
        <v>-0.84</v>
      </c>
      <c r="AK112" s="7" t="n">
        <v>-0.822</v>
      </c>
      <c r="AL112" s="7" t="n">
        <v>0.127</v>
      </c>
      <c r="AM112" s="7" t="n">
        <v>0</v>
      </c>
      <c r="AN112" s="7" t="n">
        <v>-0.793</v>
      </c>
      <c r="AO112" s="7" t="n">
        <v>-0.095</v>
      </c>
      <c r="AP112" s="7" t="n">
        <v>0</v>
      </c>
      <c r="AQ112" s="7" t="n">
        <v>0</v>
      </c>
    </row>
    <row r="113" customFormat="false" ht="15" hidden="false" customHeight="false" outlineLevel="0" collapsed="false">
      <c r="A113" s="23" t="n">
        <v>46430</v>
      </c>
      <c r="B113" s="7" t="n">
        <v>-0.784</v>
      </c>
      <c r="C113" s="7" t="n">
        <v>-0.886</v>
      </c>
      <c r="D113" s="7" t="n">
        <v>-0.274</v>
      </c>
      <c r="E113" s="7" t="n">
        <v>-0.684</v>
      </c>
      <c r="F113" s="7" t="n">
        <v>-0.193</v>
      </c>
      <c r="G113" s="7" t="n">
        <v>-0.101</v>
      </c>
      <c r="H113" s="7" t="n">
        <v>-0.916</v>
      </c>
      <c r="I113" s="7" t="n">
        <v>-0.879</v>
      </c>
      <c r="J113" s="7" t="n">
        <v>-0.193</v>
      </c>
      <c r="K113" s="7" t="n">
        <v>0.037</v>
      </c>
      <c r="L113" s="7" t="n">
        <v>0.037</v>
      </c>
      <c r="M113" s="7" t="n">
        <v>-0.193</v>
      </c>
      <c r="N113" s="7" t="n">
        <v>-0.83</v>
      </c>
      <c r="O113" s="7" t="n">
        <v>-0.193</v>
      </c>
      <c r="P113" s="7" t="n">
        <v>-0.257</v>
      </c>
      <c r="Q113" s="7" t="n">
        <v>0.037</v>
      </c>
      <c r="R113" s="7" t="n">
        <v>-0.919</v>
      </c>
      <c r="S113" s="7" t="n">
        <v>-0.744</v>
      </c>
      <c r="T113" s="7" t="n">
        <v>-0.924</v>
      </c>
      <c r="U113" s="7" t="n">
        <v>0.28</v>
      </c>
      <c r="V113" s="7" t="n">
        <v>-0.862</v>
      </c>
      <c r="W113" s="7" t="n">
        <v>0.037</v>
      </c>
      <c r="X113" s="7" t="n">
        <v>-0.257</v>
      </c>
      <c r="Y113" s="7" t="n">
        <v>-0.644</v>
      </c>
      <c r="Z113" s="7" t="n">
        <v>0.037</v>
      </c>
      <c r="AA113" s="7" t="n">
        <v>-0.919</v>
      </c>
      <c r="AB113" s="7" t="n">
        <v>-0.193</v>
      </c>
      <c r="AC113" s="7" t="n">
        <v>0.037</v>
      </c>
      <c r="AD113" s="7" t="n">
        <v>-0.761</v>
      </c>
      <c r="AE113" s="7" t="n">
        <v>-0.193</v>
      </c>
      <c r="AF113" s="7" t="n">
        <v>0.037</v>
      </c>
      <c r="AG113" s="7" t="n">
        <v>-0.803</v>
      </c>
      <c r="AH113" s="7" t="n">
        <v>0.662</v>
      </c>
      <c r="AI113" s="7" t="n">
        <v>0</v>
      </c>
      <c r="AJ113" s="7" t="n">
        <v>-0.858</v>
      </c>
      <c r="AK113" s="7" t="n">
        <v>-0.842</v>
      </c>
      <c r="AL113" s="7" t="n">
        <v>0.246</v>
      </c>
      <c r="AM113" s="7" t="n">
        <v>0</v>
      </c>
      <c r="AN113" s="7" t="n">
        <v>-0.816</v>
      </c>
      <c r="AO113" s="7" t="n">
        <v>0.031</v>
      </c>
      <c r="AP113" s="7" t="n">
        <v>0</v>
      </c>
      <c r="AQ113" s="7" t="n">
        <v>0</v>
      </c>
    </row>
    <row r="114" customFormat="false" ht="15" hidden="false" customHeight="false" outlineLevel="0" collapsed="false">
      <c r="A114" s="23" t="n">
        <v>46431</v>
      </c>
      <c r="B114" s="7" t="n">
        <v>-0.787</v>
      </c>
      <c r="C114" s="7" t="n">
        <v>-0.884</v>
      </c>
      <c r="D114" s="7" t="n">
        <v>-0.162</v>
      </c>
      <c r="E114" s="7" t="n">
        <v>-0.75</v>
      </c>
      <c r="F114" s="7" t="n">
        <v>-0.183</v>
      </c>
      <c r="G114" s="7" t="n">
        <v>0.012</v>
      </c>
      <c r="H114" s="7" t="n">
        <v>-0.913</v>
      </c>
      <c r="I114" s="7" t="n">
        <v>-0.894</v>
      </c>
      <c r="J114" s="7" t="n">
        <v>-0.183</v>
      </c>
      <c r="K114" s="7" t="n">
        <v>0.037</v>
      </c>
      <c r="L114" s="7" t="n">
        <v>0.037</v>
      </c>
      <c r="M114" s="7" t="n">
        <v>-0.183</v>
      </c>
      <c r="N114" s="7" t="n">
        <v>-0.886</v>
      </c>
      <c r="O114" s="7" t="n">
        <v>-0.183</v>
      </c>
      <c r="P114" s="7" t="n">
        <v>-0.193</v>
      </c>
      <c r="Q114" s="7" t="n">
        <v>0.037</v>
      </c>
      <c r="R114" s="7" t="n">
        <v>-0.913</v>
      </c>
      <c r="S114" s="7" t="n">
        <v>-0.828</v>
      </c>
      <c r="T114" s="7" t="n">
        <v>-0.92</v>
      </c>
      <c r="U114" s="7" t="n">
        <v>0.393</v>
      </c>
      <c r="V114" s="7" t="n">
        <v>-0.879</v>
      </c>
      <c r="W114" s="7" t="n">
        <v>0.037</v>
      </c>
      <c r="X114" s="7" t="n">
        <v>-0.193</v>
      </c>
      <c r="Y114" s="7" t="n">
        <v>-0.662</v>
      </c>
      <c r="Z114" s="7" t="n">
        <v>0.037</v>
      </c>
      <c r="AA114" s="7" t="n">
        <v>-0.913</v>
      </c>
      <c r="AB114" s="7" t="n">
        <v>-0.183</v>
      </c>
      <c r="AC114" s="7" t="n">
        <v>0.037</v>
      </c>
      <c r="AD114" s="7" t="n">
        <v>-0.848</v>
      </c>
      <c r="AE114" s="7" t="n">
        <v>-0.183</v>
      </c>
      <c r="AF114" s="7" t="n">
        <v>0.037</v>
      </c>
      <c r="AG114" s="7" t="n">
        <v>-0.828</v>
      </c>
      <c r="AH114" s="7" t="n">
        <v>0.746</v>
      </c>
      <c r="AI114" s="7" t="n">
        <v>0</v>
      </c>
      <c r="AJ114" s="7" t="n">
        <v>-0.876</v>
      </c>
      <c r="AK114" s="7" t="n">
        <v>-0.863</v>
      </c>
      <c r="AL114" s="7" t="n">
        <v>0.361</v>
      </c>
      <c r="AM114" s="7" t="n">
        <v>0</v>
      </c>
      <c r="AN114" s="7" t="n">
        <v>-0.839</v>
      </c>
      <c r="AO114" s="7" t="n">
        <v>0.154</v>
      </c>
      <c r="AP114" s="7" t="n">
        <v>0</v>
      </c>
      <c r="AQ114" s="7" t="n">
        <v>0</v>
      </c>
    </row>
    <row r="115" customFormat="false" ht="15" hidden="false" customHeight="false" outlineLevel="0" collapsed="false">
      <c r="A115" s="23" t="n">
        <v>46432</v>
      </c>
      <c r="B115" s="7" t="n">
        <v>-0.787</v>
      </c>
      <c r="C115" s="7" t="n">
        <v>-0.884</v>
      </c>
      <c r="D115" s="7" t="n">
        <v>-0.162</v>
      </c>
      <c r="E115" s="7" t="n">
        <v>-0.75</v>
      </c>
      <c r="F115" s="7" t="n">
        <v>-0.183</v>
      </c>
      <c r="G115" s="7" t="n">
        <v>0.012</v>
      </c>
      <c r="H115" s="7" t="n">
        <v>-0.913</v>
      </c>
      <c r="I115" s="7" t="n">
        <v>-0.894</v>
      </c>
      <c r="J115" s="7" t="n">
        <v>-0.183</v>
      </c>
      <c r="K115" s="7" t="n">
        <v>0.037</v>
      </c>
      <c r="L115" s="7" t="n">
        <v>0.037</v>
      </c>
      <c r="M115" s="7" t="n">
        <v>-0.183</v>
      </c>
      <c r="N115" s="7" t="n">
        <v>-0.886</v>
      </c>
      <c r="O115" s="7" t="n">
        <v>-0.183</v>
      </c>
      <c r="P115" s="7" t="n">
        <v>-0.193</v>
      </c>
      <c r="Q115" s="7" t="n">
        <v>0.037</v>
      </c>
      <c r="R115" s="7" t="n">
        <v>-0.913</v>
      </c>
      <c r="S115" s="7" t="n">
        <v>-0.828</v>
      </c>
      <c r="T115" s="7" t="n">
        <v>-0.92</v>
      </c>
      <c r="U115" s="7" t="n">
        <v>0.393</v>
      </c>
      <c r="V115" s="7" t="n">
        <v>-0.879</v>
      </c>
      <c r="W115" s="7" t="n">
        <v>0.037</v>
      </c>
      <c r="X115" s="7" t="n">
        <v>-0.193</v>
      </c>
      <c r="Y115" s="7" t="n">
        <v>-0.662</v>
      </c>
      <c r="Z115" s="7" t="n">
        <v>0.037</v>
      </c>
      <c r="AA115" s="7" t="n">
        <v>-0.913</v>
      </c>
      <c r="AB115" s="7" t="n">
        <v>-0.183</v>
      </c>
      <c r="AC115" s="7" t="n">
        <v>0.037</v>
      </c>
      <c r="AD115" s="7" t="n">
        <v>-0.848</v>
      </c>
      <c r="AE115" s="7" t="n">
        <v>-0.183</v>
      </c>
      <c r="AF115" s="7" t="n">
        <v>0.037</v>
      </c>
      <c r="AG115" s="7" t="n">
        <v>-0.828</v>
      </c>
      <c r="AH115" s="7" t="n">
        <v>0.746</v>
      </c>
      <c r="AI115" s="7" t="n">
        <v>0</v>
      </c>
      <c r="AJ115" s="7" t="n">
        <v>-0.876</v>
      </c>
      <c r="AK115" s="7" t="n">
        <v>-0.863</v>
      </c>
      <c r="AL115" s="7" t="n">
        <v>0.361</v>
      </c>
      <c r="AM115" s="7" t="n">
        <v>0</v>
      </c>
      <c r="AN115" s="7" t="n">
        <v>-0.839</v>
      </c>
      <c r="AO115" s="7" t="n">
        <v>0.154</v>
      </c>
      <c r="AP115" s="7" t="n">
        <v>0</v>
      </c>
      <c r="AQ115" s="7" t="n">
        <v>0</v>
      </c>
    </row>
    <row r="116" customFormat="false" ht="15" hidden="false" customHeight="false" outlineLevel="0" collapsed="false">
      <c r="A116" s="23" t="n">
        <v>46433</v>
      </c>
      <c r="B116" s="7" t="n">
        <v>-0.787</v>
      </c>
      <c r="C116" s="7" t="n">
        <v>-0.884</v>
      </c>
      <c r="D116" s="7" t="n">
        <v>-0.162</v>
      </c>
      <c r="E116" s="7" t="n">
        <v>-0.75</v>
      </c>
      <c r="F116" s="7" t="n">
        <v>-0.183</v>
      </c>
      <c r="G116" s="7" t="n">
        <v>0.012</v>
      </c>
      <c r="H116" s="7" t="n">
        <v>-0.913</v>
      </c>
      <c r="I116" s="7" t="n">
        <v>-0.894</v>
      </c>
      <c r="J116" s="7" t="n">
        <v>-0.183</v>
      </c>
      <c r="K116" s="7" t="n">
        <v>0.037</v>
      </c>
      <c r="L116" s="7" t="n">
        <v>0.037</v>
      </c>
      <c r="M116" s="7" t="n">
        <v>-0.183</v>
      </c>
      <c r="N116" s="7" t="n">
        <v>-0.886</v>
      </c>
      <c r="O116" s="7" t="n">
        <v>-0.183</v>
      </c>
      <c r="P116" s="7" t="n">
        <v>-0.193</v>
      </c>
      <c r="Q116" s="7" t="n">
        <v>0.037</v>
      </c>
      <c r="R116" s="7" t="n">
        <v>-0.913</v>
      </c>
      <c r="S116" s="7" t="n">
        <v>-0.828</v>
      </c>
      <c r="T116" s="7" t="n">
        <v>-0.92</v>
      </c>
      <c r="U116" s="7" t="n">
        <v>0.393</v>
      </c>
      <c r="V116" s="7" t="n">
        <v>-0.879</v>
      </c>
      <c r="W116" s="7" t="n">
        <v>0.037</v>
      </c>
      <c r="X116" s="7" t="n">
        <v>-0.193</v>
      </c>
      <c r="Y116" s="7" t="n">
        <v>-0.662</v>
      </c>
      <c r="Z116" s="7" t="n">
        <v>0.037</v>
      </c>
      <c r="AA116" s="7" t="n">
        <v>-0.913</v>
      </c>
      <c r="AB116" s="7" t="n">
        <v>-0.183</v>
      </c>
      <c r="AC116" s="7" t="n">
        <v>0.037</v>
      </c>
      <c r="AD116" s="7" t="n">
        <v>-0.848</v>
      </c>
      <c r="AE116" s="7" t="n">
        <v>-0.183</v>
      </c>
      <c r="AF116" s="7" t="n">
        <v>0.037</v>
      </c>
      <c r="AG116" s="7" t="n">
        <v>-0.828</v>
      </c>
      <c r="AH116" s="7" t="n">
        <v>0.746</v>
      </c>
      <c r="AI116" s="7" t="n">
        <v>0</v>
      </c>
      <c r="AJ116" s="7" t="n">
        <v>-0.876</v>
      </c>
      <c r="AK116" s="7" t="n">
        <v>-0.863</v>
      </c>
      <c r="AL116" s="7" t="n">
        <v>0.361</v>
      </c>
      <c r="AM116" s="7" t="n">
        <v>0</v>
      </c>
      <c r="AN116" s="7" t="n">
        <v>-0.839</v>
      </c>
      <c r="AO116" s="7" t="n">
        <v>0.154</v>
      </c>
      <c r="AP116" s="7" t="n">
        <v>0</v>
      </c>
      <c r="AQ116" s="7" t="n">
        <v>0</v>
      </c>
    </row>
    <row r="117" customFormat="false" ht="15" hidden="false" customHeight="false" outlineLevel="0" collapsed="false">
      <c r="A117" s="23" t="n">
        <v>46434</v>
      </c>
      <c r="B117" s="7" t="n">
        <v>-0.772</v>
      </c>
      <c r="C117" s="7" t="n">
        <v>-0.883</v>
      </c>
      <c r="D117" s="7" t="n">
        <v>-0.119</v>
      </c>
      <c r="E117" s="7" t="n">
        <v>-0.749</v>
      </c>
      <c r="F117" s="7" t="n">
        <v>-0.178</v>
      </c>
      <c r="G117" s="7" t="n">
        <v>0.023</v>
      </c>
      <c r="H117" s="7" t="n">
        <v>-0.912</v>
      </c>
      <c r="I117" s="7" t="n">
        <v>-0.884</v>
      </c>
      <c r="J117" s="7" t="n">
        <v>-0.178</v>
      </c>
      <c r="K117" s="7" t="n">
        <v>0.037</v>
      </c>
      <c r="L117" s="7" t="n">
        <v>0.037</v>
      </c>
      <c r="M117" s="7" t="n">
        <v>-0.178</v>
      </c>
      <c r="N117" s="7" t="n">
        <v>-0.885</v>
      </c>
      <c r="O117" s="7" t="n">
        <v>-0.178</v>
      </c>
      <c r="P117" s="7" t="n">
        <v>-0.146</v>
      </c>
      <c r="Q117" s="7" t="n">
        <v>0.037</v>
      </c>
      <c r="R117" s="7" t="n">
        <v>-0.912</v>
      </c>
      <c r="S117" s="7" t="n">
        <v>-0.828</v>
      </c>
      <c r="T117" s="7" t="n">
        <v>-0.92</v>
      </c>
      <c r="U117" s="7" t="n">
        <v>0.411</v>
      </c>
      <c r="V117" s="7" t="n">
        <v>-0.868</v>
      </c>
      <c r="W117" s="7" t="n">
        <v>0.037</v>
      </c>
      <c r="X117" s="7" t="n">
        <v>-0.146</v>
      </c>
      <c r="Y117" s="7" t="n">
        <v>-0.659</v>
      </c>
      <c r="Z117" s="7" t="n">
        <v>0.037</v>
      </c>
      <c r="AA117" s="7" t="n">
        <v>-0.912</v>
      </c>
      <c r="AB117" s="7" t="n">
        <v>-0.178</v>
      </c>
      <c r="AC117" s="7" t="n">
        <v>0.037</v>
      </c>
      <c r="AD117" s="7" t="n">
        <v>-0.848</v>
      </c>
      <c r="AE117" s="7" t="n">
        <v>-0.178</v>
      </c>
      <c r="AF117" s="7" t="n">
        <v>0.037</v>
      </c>
      <c r="AG117" s="7" t="n">
        <v>-0.828</v>
      </c>
      <c r="AH117" s="7" t="n">
        <v>0.725</v>
      </c>
      <c r="AI117" s="7" t="n">
        <v>0</v>
      </c>
      <c r="AJ117" s="7" t="n">
        <v>-0.876</v>
      </c>
      <c r="AK117" s="7" t="n">
        <v>-0.862</v>
      </c>
      <c r="AL117" s="7" t="n">
        <v>0.364</v>
      </c>
      <c r="AM117" s="7" t="n">
        <v>0</v>
      </c>
      <c r="AN117" s="7" t="n">
        <v>-0.839</v>
      </c>
      <c r="AO117" s="7" t="n">
        <v>0.163</v>
      </c>
      <c r="AP117" s="7" t="n">
        <v>0</v>
      </c>
      <c r="AQ117" s="7" t="n">
        <v>0</v>
      </c>
    </row>
    <row r="118" customFormat="false" ht="15" hidden="false" customHeight="false" outlineLevel="0" collapsed="false">
      <c r="A118" s="23" t="n">
        <v>46435</v>
      </c>
      <c r="B118" s="7" t="n">
        <v>-0.76</v>
      </c>
      <c r="C118" s="7" t="n">
        <v>-0.882</v>
      </c>
      <c r="D118" s="7" t="n">
        <v>-0.077</v>
      </c>
      <c r="E118" s="7" t="n">
        <v>-0.75</v>
      </c>
      <c r="F118" s="7" t="n">
        <v>-0.172</v>
      </c>
      <c r="G118" s="7" t="n">
        <v>0.032</v>
      </c>
      <c r="H118" s="7" t="n">
        <v>-0.911</v>
      </c>
      <c r="I118" s="7" t="n">
        <v>-0.886</v>
      </c>
      <c r="J118" s="7" t="n">
        <v>-0.172</v>
      </c>
      <c r="K118" s="7" t="n">
        <v>0.037</v>
      </c>
      <c r="L118" s="7" t="n">
        <v>0.037</v>
      </c>
      <c r="M118" s="7" t="n">
        <v>-0.172</v>
      </c>
      <c r="N118" s="7" t="n">
        <v>-0.884</v>
      </c>
      <c r="O118" s="7" t="n">
        <v>-0.172</v>
      </c>
      <c r="P118" s="7" t="n">
        <v>-0.098</v>
      </c>
      <c r="Q118" s="7" t="n">
        <v>0.037</v>
      </c>
      <c r="R118" s="7" t="n">
        <v>-0.912</v>
      </c>
      <c r="S118" s="7" t="n">
        <v>-0.828</v>
      </c>
      <c r="T118" s="7" t="n">
        <v>-0.919</v>
      </c>
      <c r="U118" s="7" t="n">
        <v>0.441</v>
      </c>
      <c r="V118" s="7" t="n">
        <v>-0.871</v>
      </c>
      <c r="W118" s="7" t="n">
        <v>0.037</v>
      </c>
      <c r="X118" s="7" t="n">
        <v>-0.098</v>
      </c>
      <c r="Y118" s="7" t="n">
        <v>-0.647</v>
      </c>
      <c r="Z118" s="7" t="n">
        <v>0.037</v>
      </c>
      <c r="AA118" s="7" t="n">
        <v>-0.912</v>
      </c>
      <c r="AB118" s="7" t="n">
        <v>-0.172</v>
      </c>
      <c r="AC118" s="7" t="n">
        <v>0.037</v>
      </c>
      <c r="AD118" s="7" t="n">
        <v>-0.848</v>
      </c>
      <c r="AE118" s="7" t="n">
        <v>-0.172</v>
      </c>
      <c r="AF118" s="7" t="n">
        <v>0.037</v>
      </c>
      <c r="AG118" s="7" t="n">
        <v>-0.828</v>
      </c>
      <c r="AH118" s="7" t="n">
        <v>0.714</v>
      </c>
      <c r="AI118" s="7" t="n">
        <v>0</v>
      </c>
      <c r="AJ118" s="7" t="n">
        <v>-0.876</v>
      </c>
      <c r="AK118" s="7" t="n">
        <v>-0.862</v>
      </c>
      <c r="AL118" s="7" t="n">
        <v>0.382</v>
      </c>
      <c r="AM118" s="7" t="n">
        <v>0</v>
      </c>
      <c r="AN118" s="7" t="n">
        <v>-0.839</v>
      </c>
      <c r="AO118" s="7" t="n">
        <v>0.189</v>
      </c>
      <c r="AP118" s="7" t="n">
        <v>0</v>
      </c>
      <c r="AQ118" s="7" t="n">
        <v>0</v>
      </c>
    </row>
    <row r="119" customFormat="false" ht="15" hidden="false" customHeight="false" outlineLevel="0" collapsed="false">
      <c r="A119" s="23" t="n">
        <v>46436</v>
      </c>
      <c r="B119" s="7" t="n">
        <v>-0.676</v>
      </c>
      <c r="C119" s="7" t="n">
        <v>-0.755</v>
      </c>
      <c r="D119" s="7" t="n">
        <v>-0.037</v>
      </c>
      <c r="E119" s="7" t="n">
        <v>-0.62</v>
      </c>
      <c r="F119" s="7" t="n">
        <v>-0.166</v>
      </c>
      <c r="G119" s="7" t="n">
        <v>0.038</v>
      </c>
      <c r="H119" s="7" t="n">
        <v>-0.773</v>
      </c>
      <c r="I119" s="7" t="n">
        <v>-0.787</v>
      </c>
      <c r="J119" s="7" t="n">
        <v>-0.166</v>
      </c>
      <c r="K119" s="7" t="n">
        <v>0.037</v>
      </c>
      <c r="L119" s="7" t="n">
        <v>0.037</v>
      </c>
      <c r="M119" s="7" t="n">
        <v>-0.166</v>
      </c>
      <c r="N119" s="7" t="n">
        <v>-0.84</v>
      </c>
      <c r="O119" s="7" t="n">
        <v>-0.166</v>
      </c>
      <c r="P119" s="7" t="n">
        <v>-0.052</v>
      </c>
      <c r="Q119" s="7" t="n">
        <v>0.037</v>
      </c>
      <c r="R119" s="7" t="n">
        <v>-0.764</v>
      </c>
      <c r="S119" s="7" t="n">
        <v>-0.772</v>
      </c>
      <c r="T119" s="7" t="n">
        <v>-0.803</v>
      </c>
      <c r="U119" s="7" t="n">
        <v>0.504</v>
      </c>
      <c r="V119" s="7" t="n">
        <v>-0.762</v>
      </c>
      <c r="W119" s="7" t="n">
        <v>0.037</v>
      </c>
      <c r="X119" s="7" t="n">
        <v>-0.052</v>
      </c>
      <c r="Y119" s="7" t="n">
        <v>-0.497</v>
      </c>
      <c r="Z119" s="7" t="n">
        <v>0.037</v>
      </c>
      <c r="AA119" s="7" t="n">
        <v>-0.764</v>
      </c>
      <c r="AB119" s="7" t="n">
        <v>-0.166</v>
      </c>
      <c r="AC119" s="7" t="n">
        <v>0.037</v>
      </c>
      <c r="AD119" s="7" t="n">
        <v>-0.734</v>
      </c>
      <c r="AE119" s="7" t="n">
        <v>-0.166</v>
      </c>
      <c r="AF119" s="7" t="n">
        <v>0.037</v>
      </c>
      <c r="AG119" s="7" t="n">
        <v>-0.713</v>
      </c>
      <c r="AH119" s="7" t="n">
        <v>0.701</v>
      </c>
      <c r="AI119" s="7" t="n">
        <v>0</v>
      </c>
      <c r="AJ119" s="7" t="n">
        <v>-0.783</v>
      </c>
      <c r="AK119" s="7" t="n">
        <v>-0.763</v>
      </c>
      <c r="AL119" s="7" t="n">
        <v>0.396</v>
      </c>
      <c r="AM119" s="7" t="n">
        <v>0</v>
      </c>
      <c r="AN119" s="7" t="n">
        <v>-0.73</v>
      </c>
      <c r="AO119" s="7" t="n">
        <v>0.211</v>
      </c>
      <c r="AP119" s="7" t="n">
        <v>0</v>
      </c>
      <c r="AQ119" s="7" t="n">
        <v>0</v>
      </c>
    </row>
    <row r="120" customFormat="false" ht="15" hidden="false" customHeight="false" outlineLevel="0" collapsed="false">
      <c r="A120" s="23" t="n">
        <v>46437</v>
      </c>
      <c r="B120" s="7" t="n">
        <v>-0.517</v>
      </c>
      <c r="C120" s="7" t="n">
        <v>-0.468</v>
      </c>
      <c r="D120" s="7" t="n">
        <v>0.002</v>
      </c>
      <c r="E120" s="7" t="n">
        <v>-0.454</v>
      </c>
      <c r="F120" s="7" t="n">
        <v>-0.123</v>
      </c>
      <c r="G120" s="7" t="n">
        <v>0.04</v>
      </c>
      <c r="H120" s="7" t="n">
        <v>-0.519</v>
      </c>
      <c r="I120" s="7" t="n">
        <v>-0.538</v>
      </c>
      <c r="J120" s="7" t="n">
        <v>-0.123</v>
      </c>
      <c r="K120" s="7" t="n">
        <v>0.037</v>
      </c>
      <c r="L120" s="7" t="n">
        <v>0.037</v>
      </c>
      <c r="M120" s="7" t="n">
        <v>-0.123</v>
      </c>
      <c r="N120" s="7" t="n">
        <v>-0.77</v>
      </c>
      <c r="O120" s="7" t="n">
        <v>-0.123</v>
      </c>
      <c r="P120" s="7" t="n">
        <v>-0.007</v>
      </c>
      <c r="Q120" s="7" t="n">
        <v>0.037</v>
      </c>
      <c r="R120" s="7" t="n">
        <v>-0.492</v>
      </c>
      <c r="S120" s="7" t="n">
        <v>-0.713</v>
      </c>
      <c r="T120" s="7" t="n">
        <v>-0.559</v>
      </c>
      <c r="U120" s="7" t="n">
        <v>0.577</v>
      </c>
      <c r="V120" s="7" t="n">
        <v>-0.505</v>
      </c>
      <c r="W120" s="7" t="n">
        <v>0.037</v>
      </c>
      <c r="X120" s="7" t="n">
        <v>-0.007</v>
      </c>
      <c r="Y120" s="7" t="n">
        <v>-0.34</v>
      </c>
      <c r="Z120" s="7" t="n">
        <v>0.037</v>
      </c>
      <c r="AA120" s="7" t="n">
        <v>-0.492</v>
      </c>
      <c r="AB120" s="7" t="n">
        <v>-0.123</v>
      </c>
      <c r="AC120" s="7" t="n">
        <v>0.037</v>
      </c>
      <c r="AD120" s="7" t="n">
        <v>-0.571</v>
      </c>
      <c r="AE120" s="7" t="n">
        <v>-0.123</v>
      </c>
      <c r="AF120" s="7" t="n">
        <v>0.037</v>
      </c>
      <c r="AG120" s="7" t="n">
        <v>-0.506</v>
      </c>
      <c r="AH120" s="7" t="n">
        <v>0.694</v>
      </c>
      <c r="AI120" s="7" t="n">
        <v>0</v>
      </c>
      <c r="AJ120" s="7" t="n">
        <v>-0.6</v>
      </c>
      <c r="AK120" s="7" t="n">
        <v>-0.572</v>
      </c>
      <c r="AL120" s="7" t="n">
        <v>0.389</v>
      </c>
      <c r="AM120" s="7" t="n">
        <v>0</v>
      </c>
      <c r="AN120" s="7" t="n">
        <v>-0.527</v>
      </c>
      <c r="AO120" s="7" t="n">
        <v>0.244</v>
      </c>
      <c r="AP120" s="7" t="n">
        <v>0</v>
      </c>
      <c r="AQ120" s="7" t="n">
        <v>0</v>
      </c>
    </row>
    <row r="121" customFormat="false" ht="15" hidden="false" customHeight="false" outlineLevel="0" collapsed="false">
      <c r="A121" s="23" t="n">
        <v>46438</v>
      </c>
      <c r="B121" s="7" t="n">
        <v>-0.353</v>
      </c>
      <c r="C121" s="7" t="n">
        <v>-0.177</v>
      </c>
      <c r="D121" s="7" t="n">
        <v>0.037</v>
      </c>
      <c r="E121" s="7" t="n">
        <v>-0.258</v>
      </c>
      <c r="F121" s="7" t="n">
        <v>-0.08</v>
      </c>
      <c r="G121" s="7" t="n">
        <v>0.037</v>
      </c>
      <c r="H121" s="7" t="n">
        <v>-0.263</v>
      </c>
      <c r="I121" s="7" t="n">
        <v>-0.281</v>
      </c>
      <c r="J121" s="7" t="n">
        <v>-0.08</v>
      </c>
      <c r="K121" s="7" t="n">
        <v>0.037</v>
      </c>
      <c r="L121" s="7" t="n">
        <v>0.037</v>
      </c>
      <c r="M121" s="7" t="n">
        <v>-0.08</v>
      </c>
      <c r="N121" s="7" t="n">
        <v>-0.698</v>
      </c>
      <c r="O121" s="7" t="n">
        <v>-0.08</v>
      </c>
      <c r="P121" s="7" t="n">
        <v>0.037</v>
      </c>
      <c r="Q121" s="7" t="n">
        <v>0.037</v>
      </c>
      <c r="R121" s="7" t="n">
        <v>-0.216</v>
      </c>
      <c r="S121" s="7" t="n">
        <v>-0.652</v>
      </c>
      <c r="T121" s="7" t="n">
        <v>-0.309</v>
      </c>
      <c r="U121" s="7" t="n">
        <v>0.649</v>
      </c>
      <c r="V121" s="7" t="n">
        <v>-0.241</v>
      </c>
      <c r="W121" s="7" t="n">
        <v>0.037</v>
      </c>
      <c r="X121" s="7" t="n">
        <v>0.037</v>
      </c>
      <c r="Y121" s="7" t="n">
        <v>-0.171</v>
      </c>
      <c r="Z121" s="7" t="n">
        <v>0.037</v>
      </c>
      <c r="AA121" s="7" t="n">
        <v>-0.216</v>
      </c>
      <c r="AB121" s="7" t="n">
        <v>-0.08</v>
      </c>
      <c r="AC121" s="7" t="n">
        <v>0.037</v>
      </c>
      <c r="AD121" s="7" t="n">
        <v>-0.384</v>
      </c>
      <c r="AE121" s="7" t="n">
        <v>-0.08</v>
      </c>
      <c r="AF121" s="7" t="n">
        <v>0.037</v>
      </c>
      <c r="AG121" s="7" t="n">
        <v>-0.295</v>
      </c>
      <c r="AH121" s="7" t="n">
        <v>0.686</v>
      </c>
      <c r="AI121" s="7" t="n">
        <v>0</v>
      </c>
      <c r="AJ121" s="7" t="n">
        <v>-0.409</v>
      </c>
      <c r="AK121" s="7" t="n">
        <v>-0.375</v>
      </c>
      <c r="AL121" s="7" t="n">
        <v>0.379</v>
      </c>
      <c r="AM121" s="7" t="n">
        <v>0</v>
      </c>
      <c r="AN121" s="7" t="n">
        <v>-0.321</v>
      </c>
      <c r="AO121" s="7" t="n">
        <v>0.274</v>
      </c>
      <c r="AP121" s="7" t="n">
        <v>0</v>
      </c>
      <c r="AQ121" s="7" t="n">
        <v>0</v>
      </c>
    </row>
    <row r="122" customFormat="false" ht="15" hidden="false" customHeight="false" outlineLevel="0" collapsed="false">
      <c r="A122" s="23" t="n">
        <v>46439</v>
      </c>
      <c r="B122" s="7" t="n">
        <v>-0.353</v>
      </c>
      <c r="C122" s="7" t="n">
        <v>-0.177</v>
      </c>
      <c r="D122" s="7" t="n">
        <v>0.037</v>
      </c>
      <c r="E122" s="7" t="n">
        <v>-0.258</v>
      </c>
      <c r="F122" s="7" t="n">
        <v>-0.08</v>
      </c>
      <c r="G122" s="7" t="n">
        <v>0.037</v>
      </c>
      <c r="H122" s="7" t="n">
        <v>-0.263</v>
      </c>
      <c r="I122" s="7" t="n">
        <v>-0.281</v>
      </c>
      <c r="J122" s="7" t="n">
        <v>-0.08</v>
      </c>
      <c r="K122" s="7" t="n">
        <v>0.037</v>
      </c>
      <c r="L122" s="7" t="n">
        <v>0.037</v>
      </c>
      <c r="M122" s="7" t="n">
        <v>-0.08</v>
      </c>
      <c r="N122" s="7" t="n">
        <v>-0.698</v>
      </c>
      <c r="O122" s="7" t="n">
        <v>-0.08</v>
      </c>
      <c r="P122" s="7" t="n">
        <v>0.037</v>
      </c>
      <c r="Q122" s="7" t="n">
        <v>0.037</v>
      </c>
      <c r="R122" s="7" t="n">
        <v>-0.216</v>
      </c>
      <c r="S122" s="7" t="n">
        <v>-0.652</v>
      </c>
      <c r="T122" s="7" t="n">
        <v>-0.309</v>
      </c>
      <c r="U122" s="7" t="n">
        <v>0.649</v>
      </c>
      <c r="V122" s="7" t="n">
        <v>-0.241</v>
      </c>
      <c r="W122" s="7" t="n">
        <v>0.037</v>
      </c>
      <c r="X122" s="7" t="n">
        <v>0.037</v>
      </c>
      <c r="Y122" s="7" t="n">
        <v>-0.171</v>
      </c>
      <c r="Z122" s="7" t="n">
        <v>0.037</v>
      </c>
      <c r="AA122" s="7" t="n">
        <v>-0.216</v>
      </c>
      <c r="AB122" s="7" t="n">
        <v>-0.08</v>
      </c>
      <c r="AC122" s="7" t="n">
        <v>0.037</v>
      </c>
      <c r="AD122" s="7" t="n">
        <v>-0.384</v>
      </c>
      <c r="AE122" s="7" t="n">
        <v>-0.08</v>
      </c>
      <c r="AF122" s="7" t="n">
        <v>0.037</v>
      </c>
      <c r="AG122" s="7" t="n">
        <v>-0.295</v>
      </c>
      <c r="AH122" s="7" t="n">
        <v>0.686</v>
      </c>
      <c r="AI122" s="7" t="n">
        <v>0</v>
      </c>
      <c r="AJ122" s="7" t="n">
        <v>-0.409</v>
      </c>
      <c r="AK122" s="7" t="n">
        <v>-0.375</v>
      </c>
      <c r="AL122" s="7" t="n">
        <v>0.379</v>
      </c>
      <c r="AM122" s="7" t="n">
        <v>0</v>
      </c>
      <c r="AN122" s="7" t="n">
        <v>-0.321</v>
      </c>
      <c r="AO122" s="7" t="n">
        <v>0.274</v>
      </c>
      <c r="AP122" s="7" t="n">
        <v>0</v>
      </c>
      <c r="AQ122" s="7" t="n">
        <v>0</v>
      </c>
    </row>
    <row r="123" customFormat="false" ht="15" hidden="false" customHeight="false" outlineLevel="0" collapsed="false">
      <c r="A123" s="23" t="n">
        <v>46440</v>
      </c>
      <c r="B123" s="7" t="n">
        <v>-0.353</v>
      </c>
      <c r="C123" s="7" t="n">
        <v>-0.177</v>
      </c>
      <c r="D123" s="7" t="n">
        <v>0.037</v>
      </c>
      <c r="E123" s="7" t="n">
        <v>-0.258</v>
      </c>
      <c r="F123" s="7" t="n">
        <v>-0.08</v>
      </c>
      <c r="G123" s="7" t="n">
        <v>0.037</v>
      </c>
      <c r="H123" s="7" t="n">
        <v>-0.263</v>
      </c>
      <c r="I123" s="7" t="n">
        <v>-0.281</v>
      </c>
      <c r="J123" s="7" t="n">
        <v>-0.08</v>
      </c>
      <c r="K123" s="7" t="n">
        <v>0.037</v>
      </c>
      <c r="L123" s="7" t="n">
        <v>0.037</v>
      </c>
      <c r="M123" s="7" t="n">
        <v>-0.08</v>
      </c>
      <c r="N123" s="7" t="n">
        <v>-0.698</v>
      </c>
      <c r="O123" s="7" t="n">
        <v>-0.08</v>
      </c>
      <c r="P123" s="7" t="n">
        <v>0.037</v>
      </c>
      <c r="Q123" s="7" t="n">
        <v>0.037</v>
      </c>
      <c r="R123" s="7" t="n">
        <v>-0.216</v>
      </c>
      <c r="S123" s="7" t="n">
        <v>-0.652</v>
      </c>
      <c r="T123" s="7" t="n">
        <v>-0.309</v>
      </c>
      <c r="U123" s="7" t="n">
        <v>0.649</v>
      </c>
      <c r="V123" s="7" t="n">
        <v>-0.241</v>
      </c>
      <c r="W123" s="7" t="n">
        <v>0.037</v>
      </c>
      <c r="X123" s="7" t="n">
        <v>0.037</v>
      </c>
      <c r="Y123" s="7" t="n">
        <v>-0.171</v>
      </c>
      <c r="Z123" s="7" t="n">
        <v>0.037</v>
      </c>
      <c r="AA123" s="7" t="n">
        <v>-0.216</v>
      </c>
      <c r="AB123" s="7" t="n">
        <v>-0.08</v>
      </c>
      <c r="AC123" s="7" t="n">
        <v>0.037</v>
      </c>
      <c r="AD123" s="7" t="n">
        <v>-0.384</v>
      </c>
      <c r="AE123" s="7" t="n">
        <v>-0.08</v>
      </c>
      <c r="AF123" s="7" t="n">
        <v>0.037</v>
      </c>
      <c r="AG123" s="7" t="n">
        <v>-0.295</v>
      </c>
      <c r="AH123" s="7" t="n">
        <v>0.686</v>
      </c>
      <c r="AI123" s="7" t="n">
        <v>0</v>
      </c>
      <c r="AJ123" s="7" t="n">
        <v>-0.409</v>
      </c>
      <c r="AK123" s="7" t="n">
        <v>-0.375</v>
      </c>
      <c r="AL123" s="7" t="n">
        <v>0.379</v>
      </c>
      <c r="AM123" s="7" t="n">
        <v>0</v>
      </c>
      <c r="AN123" s="7" t="n">
        <v>-0.321</v>
      </c>
      <c r="AO123" s="7" t="n">
        <v>0.274</v>
      </c>
      <c r="AP123" s="7" t="n">
        <v>0</v>
      </c>
      <c r="AQ123" s="7" t="n">
        <v>0</v>
      </c>
    </row>
    <row r="124" customFormat="false" ht="15" hidden="false" customHeight="false" outlineLevel="0" collapsed="false">
      <c r="A124" s="23" t="n">
        <v>46441</v>
      </c>
      <c r="B124" s="7" t="n">
        <v>-0.189</v>
      </c>
      <c r="C124" s="7" t="n">
        <v>0.128</v>
      </c>
      <c r="D124" s="7" t="n">
        <v>0.037</v>
      </c>
      <c r="E124" s="7" t="n">
        <v>-0.032</v>
      </c>
      <c r="F124" s="7" t="n">
        <v>-0.04</v>
      </c>
      <c r="G124" s="7" t="n">
        <v>0.037</v>
      </c>
      <c r="H124" s="7" t="n">
        <v>0.003</v>
      </c>
      <c r="I124" s="7" t="n">
        <v>-0.011</v>
      </c>
      <c r="J124" s="7" t="n">
        <v>-0.04</v>
      </c>
      <c r="K124" s="7" t="n">
        <v>0.037</v>
      </c>
      <c r="L124" s="7" t="n">
        <v>0.037</v>
      </c>
      <c r="M124" s="7" t="n">
        <v>-0.04</v>
      </c>
      <c r="N124" s="7" t="n">
        <v>-0.619</v>
      </c>
      <c r="O124" s="7" t="n">
        <v>-0.04</v>
      </c>
      <c r="P124" s="7" t="n">
        <v>0.037</v>
      </c>
      <c r="Q124" s="7" t="n">
        <v>0.037</v>
      </c>
      <c r="R124" s="7" t="n">
        <v>0.07</v>
      </c>
      <c r="S124" s="7" t="n">
        <v>-0.584</v>
      </c>
      <c r="T124" s="7" t="n">
        <v>-0.044</v>
      </c>
      <c r="U124" s="7" t="n">
        <v>0.711</v>
      </c>
      <c r="V124" s="7" t="n">
        <v>0.032</v>
      </c>
      <c r="W124" s="7" t="n">
        <v>0.037</v>
      </c>
      <c r="X124" s="7" t="n">
        <v>0.037</v>
      </c>
      <c r="Y124" s="7" t="n">
        <v>0.013</v>
      </c>
      <c r="Z124" s="7" t="n">
        <v>0.037</v>
      </c>
      <c r="AA124" s="7" t="n">
        <v>0.07</v>
      </c>
      <c r="AB124" s="7" t="n">
        <v>-0.04</v>
      </c>
      <c r="AC124" s="7" t="n">
        <v>0.037</v>
      </c>
      <c r="AD124" s="7" t="n">
        <v>-0.17</v>
      </c>
      <c r="AE124" s="7" t="n">
        <v>-0.04</v>
      </c>
      <c r="AF124" s="7" t="n">
        <v>0.037</v>
      </c>
      <c r="AG124" s="7" t="n">
        <v>-0.075</v>
      </c>
      <c r="AH124" s="7" t="n">
        <v>0.7</v>
      </c>
      <c r="AI124" s="7" t="n">
        <v>0</v>
      </c>
      <c r="AJ124" s="7" t="n">
        <v>-0.205</v>
      </c>
      <c r="AK124" s="7" t="n">
        <v>-0.166</v>
      </c>
      <c r="AL124" s="7" t="n">
        <v>0.367</v>
      </c>
      <c r="AM124" s="7" t="n">
        <v>0</v>
      </c>
      <c r="AN124" s="7" t="n">
        <v>-0.106</v>
      </c>
      <c r="AO124" s="7" t="n">
        <v>0.299</v>
      </c>
      <c r="AP124" s="7" t="n">
        <v>0</v>
      </c>
      <c r="AQ124" s="7" t="n">
        <v>0</v>
      </c>
    </row>
    <row r="125" customFormat="false" ht="15" hidden="false" customHeight="false" outlineLevel="0" collapsed="false">
      <c r="A125" s="23" t="n">
        <v>46442</v>
      </c>
      <c r="B125" s="7" t="n">
        <v>-0.025</v>
      </c>
      <c r="C125" s="7" t="n">
        <v>0.437</v>
      </c>
      <c r="D125" s="7" t="n">
        <v>0.037</v>
      </c>
      <c r="E125" s="7" t="n">
        <v>0.2</v>
      </c>
      <c r="F125" s="7" t="n">
        <v>-0.001</v>
      </c>
      <c r="G125" s="7" t="n">
        <v>0.037</v>
      </c>
      <c r="H125" s="7" t="n">
        <v>0.273</v>
      </c>
      <c r="I125" s="7" t="n">
        <v>0.255</v>
      </c>
      <c r="J125" s="7" t="n">
        <v>-0.001</v>
      </c>
      <c r="K125" s="7" t="n">
        <v>0.037</v>
      </c>
      <c r="L125" s="7" t="n">
        <v>0.037</v>
      </c>
      <c r="M125" s="7" t="n">
        <v>-0.001</v>
      </c>
      <c r="N125" s="7" t="n">
        <v>-0.537</v>
      </c>
      <c r="O125" s="7" t="n">
        <v>-0.001</v>
      </c>
      <c r="P125" s="7" t="n">
        <v>0.037</v>
      </c>
      <c r="Q125" s="7" t="n">
        <v>0.037</v>
      </c>
      <c r="R125" s="7" t="n">
        <v>0.36</v>
      </c>
      <c r="S125" s="7" t="n">
        <v>-0.513</v>
      </c>
      <c r="T125" s="7" t="n">
        <v>0.225</v>
      </c>
      <c r="U125" s="7" t="n">
        <v>0.759</v>
      </c>
      <c r="V125" s="7" t="n">
        <v>0.303</v>
      </c>
      <c r="W125" s="7" t="n">
        <v>0.037</v>
      </c>
      <c r="X125" s="7" t="n">
        <v>0.037</v>
      </c>
      <c r="Y125" s="7" t="n">
        <v>0.19</v>
      </c>
      <c r="Z125" s="7" t="n">
        <v>0.037</v>
      </c>
      <c r="AA125" s="7" t="n">
        <v>0.36</v>
      </c>
      <c r="AB125" s="7" t="n">
        <v>-0.001</v>
      </c>
      <c r="AC125" s="7" t="n">
        <v>0.037</v>
      </c>
      <c r="AD125" s="7" t="n">
        <v>0.052</v>
      </c>
      <c r="AE125" s="7" t="n">
        <v>-0.001</v>
      </c>
      <c r="AF125" s="7" t="n">
        <v>0.037</v>
      </c>
      <c r="AG125" s="7" t="n">
        <v>0.148</v>
      </c>
      <c r="AH125" s="7" t="n">
        <v>0.701</v>
      </c>
      <c r="AI125" s="7" t="n">
        <v>0</v>
      </c>
      <c r="AJ125" s="7" t="n">
        <v>0.003</v>
      </c>
      <c r="AK125" s="7" t="n">
        <v>0.047</v>
      </c>
      <c r="AL125" s="7" t="n">
        <v>0.337</v>
      </c>
      <c r="AM125" s="7" t="n">
        <v>0</v>
      </c>
      <c r="AN125" s="7" t="n">
        <v>0.113</v>
      </c>
      <c r="AO125" s="7" t="n">
        <v>0.304</v>
      </c>
      <c r="AP125" s="7" t="n">
        <v>0</v>
      </c>
      <c r="AQ125" s="7" t="n">
        <v>0</v>
      </c>
    </row>
    <row r="126" customFormat="false" ht="15" hidden="false" customHeight="false" outlineLevel="0" collapsed="false">
      <c r="A126" s="23" t="n">
        <v>46443</v>
      </c>
      <c r="B126" s="7" t="n">
        <v>0.067</v>
      </c>
      <c r="C126" s="7" t="n">
        <v>0.622</v>
      </c>
      <c r="D126" s="7" t="n">
        <v>0.037</v>
      </c>
      <c r="E126" s="7" t="n">
        <v>0.303</v>
      </c>
      <c r="F126" s="7" t="n">
        <v>0.037</v>
      </c>
      <c r="G126" s="7" t="n">
        <v>0.037</v>
      </c>
      <c r="H126" s="7" t="n">
        <v>0.407</v>
      </c>
      <c r="I126" s="7" t="n">
        <v>0.411</v>
      </c>
      <c r="J126" s="7" t="n">
        <v>0.037</v>
      </c>
      <c r="K126" s="7" t="n">
        <v>0.037</v>
      </c>
      <c r="L126" s="7" t="n">
        <v>0.037</v>
      </c>
      <c r="M126" s="7" t="n">
        <v>0.037</v>
      </c>
      <c r="N126" s="7" t="n">
        <v>-0.495</v>
      </c>
      <c r="O126" s="7" t="n">
        <v>0.037</v>
      </c>
      <c r="P126" s="7" t="n">
        <v>0.037</v>
      </c>
      <c r="Q126" s="7" t="n">
        <v>0.037</v>
      </c>
      <c r="R126" s="7" t="n">
        <v>0.506</v>
      </c>
      <c r="S126" s="7" t="n">
        <v>-0.495</v>
      </c>
      <c r="T126" s="7" t="n">
        <v>0.383</v>
      </c>
      <c r="U126" s="7" t="n">
        <v>0.772</v>
      </c>
      <c r="V126" s="7" t="n">
        <v>0.454</v>
      </c>
      <c r="W126" s="7" t="n">
        <v>0.037</v>
      </c>
      <c r="X126" s="7" t="n">
        <v>0.037</v>
      </c>
      <c r="Y126" s="7" t="n">
        <v>0.23</v>
      </c>
      <c r="Z126" s="7" t="n">
        <v>0.037</v>
      </c>
      <c r="AA126" s="7" t="n">
        <v>0.506</v>
      </c>
      <c r="AB126" s="7" t="n">
        <v>0.037</v>
      </c>
      <c r="AC126" s="7" t="n">
        <v>0.037</v>
      </c>
      <c r="AD126" s="7" t="n">
        <v>0.165</v>
      </c>
      <c r="AE126" s="7" t="n">
        <v>0.037</v>
      </c>
      <c r="AF126" s="7" t="n">
        <v>0.037</v>
      </c>
      <c r="AG126" s="7" t="n">
        <v>0.26</v>
      </c>
      <c r="AH126" s="7" t="n">
        <v>0.702</v>
      </c>
      <c r="AI126" s="7" t="n">
        <v>0</v>
      </c>
      <c r="AJ126" s="7" t="n">
        <v>0.121</v>
      </c>
      <c r="AK126" s="7" t="n">
        <v>0.163</v>
      </c>
      <c r="AL126" s="7" t="n">
        <v>0.308</v>
      </c>
      <c r="AM126" s="7" t="n">
        <v>0</v>
      </c>
      <c r="AN126" s="7" t="n">
        <v>0.224</v>
      </c>
      <c r="AO126" s="7" t="n">
        <v>0.308</v>
      </c>
      <c r="AP126" s="7" t="n">
        <v>0</v>
      </c>
      <c r="AQ126" s="7" t="n">
        <v>0</v>
      </c>
    </row>
    <row r="127" customFormat="false" ht="15" hidden="false" customHeight="false" outlineLevel="0" collapsed="false">
      <c r="A127" s="23" t="n">
        <v>46444</v>
      </c>
      <c r="B127" s="7" t="n">
        <v>0.043</v>
      </c>
      <c r="C127" s="7" t="n">
        <v>0.556</v>
      </c>
      <c r="D127" s="7" t="n">
        <v>0.037</v>
      </c>
      <c r="E127" s="7" t="n">
        <v>0.371</v>
      </c>
      <c r="F127" s="7" t="n">
        <v>0.037</v>
      </c>
      <c r="G127" s="7" t="n">
        <v>0.037</v>
      </c>
      <c r="H127" s="7" t="n">
        <v>0.311</v>
      </c>
      <c r="I127" s="7" t="n">
        <v>0.299</v>
      </c>
      <c r="J127" s="7" t="n">
        <v>0.037</v>
      </c>
      <c r="K127" s="7" t="n">
        <v>0.037</v>
      </c>
      <c r="L127" s="7" t="n">
        <v>0.037</v>
      </c>
      <c r="M127" s="7" t="n">
        <v>0.037</v>
      </c>
      <c r="N127" s="7" t="n">
        <v>-0.478</v>
      </c>
      <c r="O127" s="7" t="n">
        <v>0.037</v>
      </c>
      <c r="P127" s="7" t="n">
        <v>0.037</v>
      </c>
      <c r="Q127" s="7" t="n">
        <v>0.037</v>
      </c>
      <c r="R127" s="7" t="n">
        <v>0.419</v>
      </c>
      <c r="S127" s="7" t="n">
        <v>-0.478</v>
      </c>
      <c r="T127" s="7" t="n">
        <v>0.299</v>
      </c>
      <c r="U127" s="7" t="n">
        <v>0.774</v>
      </c>
      <c r="V127" s="7" t="n">
        <v>0.34</v>
      </c>
      <c r="W127" s="7" t="n">
        <v>0.037</v>
      </c>
      <c r="X127" s="7" t="n">
        <v>0.037</v>
      </c>
      <c r="Y127" s="7" t="n">
        <v>0.261</v>
      </c>
      <c r="Z127" s="7" t="n">
        <v>0.037</v>
      </c>
      <c r="AA127" s="7" t="n">
        <v>0.419</v>
      </c>
      <c r="AB127" s="7" t="n">
        <v>0.037</v>
      </c>
      <c r="AC127" s="7" t="n">
        <v>0.037</v>
      </c>
      <c r="AD127" s="7" t="n">
        <v>0.23</v>
      </c>
      <c r="AE127" s="7" t="n">
        <v>0.037</v>
      </c>
      <c r="AF127" s="7" t="n">
        <v>0.037</v>
      </c>
      <c r="AG127" s="7" t="n">
        <v>0.159</v>
      </c>
      <c r="AH127" s="7" t="n">
        <v>0.695</v>
      </c>
      <c r="AI127" s="7" t="n">
        <v>0</v>
      </c>
      <c r="AJ127" s="7" t="n">
        <v>0.032</v>
      </c>
      <c r="AK127" s="7" t="n">
        <v>0.069</v>
      </c>
      <c r="AL127" s="7" t="n">
        <v>0.296</v>
      </c>
      <c r="AM127" s="7" t="n">
        <v>0</v>
      </c>
      <c r="AN127" s="7" t="n">
        <v>0.125</v>
      </c>
      <c r="AO127" s="7" t="n">
        <v>0.296</v>
      </c>
      <c r="AP127" s="7" t="n">
        <v>0</v>
      </c>
      <c r="AQ127" s="7" t="n">
        <v>0</v>
      </c>
    </row>
    <row r="128" customFormat="false" ht="15" hidden="false" customHeight="false" outlineLevel="0" collapsed="false">
      <c r="A128" s="23" t="n">
        <v>46445</v>
      </c>
      <c r="B128" s="7" t="n">
        <v>0.025</v>
      </c>
      <c r="C128" s="7" t="n">
        <v>0.491</v>
      </c>
      <c r="D128" s="7" t="n">
        <v>0.037</v>
      </c>
      <c r="E128" s="7" t="n">
        <v>0.41</v>
      </c>
      <c r="F128" s="7" t="n">
        <v>0.057</v>
      </c>
      <c r="G128" s="7" t="n">
        <v>0.037</v>
      </c>
      <c r="H128" s="7" t="n">
        <v>0.215</v>
      </c>
      <c r="I128" s="7" t="n">
        <v>0.178</v>
      </c>
      <c r="J128" s="7" t="n">
        <v>-0.113</v>
      </c>
      <c r="K128" s="7" t="n">
        <v>0.037</v>
      </c>
      <c r="L128" s="7" t="n">
        <v>0.037</v>
      </c>
      <c r="M128" s="7" t="n">
        <v>-0.113</v>
      </c>
      <c r="N128" s="7" t="n">
        <v>-0.443</v>
      </c>
      <c r="O128" s="7" t="n">
        <v>-0.037</v>
      </c>
      <c r="P128" s="7" t="n">
        <v>0.037</v>
      </c>
      <c r="Q128" s="7" t="n">
        <v>0.037</v>
      </c>
      <c r="R128" s="7" t="n">
        <v>0.333</v>
      </c>
      <c r="S128" s="7" t="n">
        <v>-0.46</v>
      </c>
      <c r="T128" s="7" t="n">
        <v>0.215</v>
      </c>
      <c r="U128" s="7" t="n">
        <v>0.681</v>
      </c>
      <c r="V128" s="7" t="n">
        <v>0.219</v>
      </c>
      <c r="W128" s="7" t="n">
        <v>0.037</v>
      </c>
      <c r="X128" s="7" t="n">
        <v>0.037</v>
      </c>
      <c r="Y128" s="7" t="n">
        <v>0.28</v>
      </c>
      <c r="Z128" s="7" t="n">
        <v>0.037</v>
      </c>
      <c r="AA128" s="7" t="n">
        <v>0.333</v>
      </c>
      <c r="AB128" s="7" t="n">
        <v>-0.112</v>
      </c>
      <c r="AC128" s="7" t="n">
        <v>0.037</v>
      </c>
      <c r="AD128" s="7" t="n">
        <v>0.272</v>
      </c>
      <c r="AE128" s="7" t="n">
        <v>0.057</v>
      </c>
      <c r="AF128" s="7" t="n">
        <v>0.037</v>
      </c>
      <c r="AG128" s="7" t="n">
        <v>0.059</v>
      </c>
      <c r="AH128" s="7" t="n">
        <v>0.687</v>
      </c>
      <c r="AI128" s="7" t="n">
        <v>0</v>
      </c>
      <c r="AJ128" s="7" t="n">
        <v>-0.064</v>
      </c>
      <c r="AK128" s="7" t="n">
        <v>-0.028</v>
      </c>
      <c r="AL128" s="7" t="n">
        <v>0.284</v>
      </c>
      <c r="AM128" s="7" t="n">
        <v>0</v>
      </c>
      <c r="AN128" s="7" t="n">
        <v>0.025</v>
      </c>
      <c r="AO128" s="7" t="n">
        <v>0.284</v>
      </c>
      <c r="AP128" s="7" t="n">
        <v>0</v>
      </c>
      <c r="AQ128" s="7" t="n">
        <v>0</v>
      </c>
    </row>
    <row r="129" customFormat="false" ht="15" hidden="false" customHeight="false" outlineLevel="0" collapsed="false">
      <c r="A129" s="23" t="n">
        <v>46446</v>
      </c>
      <c r="B129" s="7" t="n">
        <v>0.025</v>
      </c>
      <c r="C129" s="7" t="n">
        <v>0.491</v>
      </c>
      <c r="D129" s="7" t="n">
        <v>0.037</v>
      </c>
      <c r="E129" s="7" t="n">
        <v>0.41</v>
      </c>
      <c r="F129" s="7" t="n">
        <v>0.057</v>
      </c>
      <c r="G129" s="7" t="n">
        <v>0.037</v>
      </c>
      <c r="H129" s="7" t="n">
        <v>0.215</v>
      </c>
      <c r="I129" s="7" t="n">
        <v>0.178</v>
      </c>
      <c r="J129" s="7" t="n">
        <v>-0.113</v>
      </c>
      <c r="K129" s="7" t="n">
        <v>0.037</v>
      </c>
      <c r="L129" s="7" t="n">
        <v>0.037</v>
      </c>
      <c r="M129" s="7" t="n">
        <v>-0.113</v>
      </c>
      <c r="N129" s="7" t="n">
        <v>-0.443</v>
      </c>
      <c r="O129" s="7" t="n">
        <v>-0.037</v>
      </c>
      <c r="P129" s="7" t="n">
        <v>0.037</v>
      </c>
      <c r="Q129" s="7" t="n">
        <v>0.037</v>
      </c>
      <c r="R129" s="7" t="n">
        <v>0.333</v>
      </c>
      <c r="S129" s="7" t="n">
        <v>-0.46</v>
      </c>
      <c r="T129" s="7" t="n">
        <v>0.215</v>
      </c>
      <c r="U129" s="7" t="n">
        <v>0.681</v>
      </c>
      <c r="V129" s="7" t="n">
        <v>0.219</v>
      </c>
      <c r="W129" s="7" t="n">
        <v>0.037</v>
      </c>
      <c r="X129" s="7" t="n">
        <v>0.037</v>
      </c>
      <c r="Y129" s="7" t="n">
        <v>0.28</v>
      </c>
      <c r="Z129" s="7" t="n">
        <v>0.037</v>
      </c>
      <c r="AA129" s="7" t="n">
        <v>0.333</v>
      </c>
      <c r="AB129" s="7" t="n">
        <v>-0.112</v>
      </c>
      <c r="AC129" s="7" t="n">
        <v>0.037</v>
      </c>
      <c r="AD129" s="7" t="n">
        <v>0.272</v>
      </c>
      <c r="AE129" s="7" t="n">
        <v>0.057</v>
      </c>
      <c r="AF129" s="7" t="n">
        <v>0.037</v>
      </c>
      <c r="AG129" s="7" t="n">
        <v>0.059</v>
      </c>
      <c r="AH129" s="7" t="n">
        <v>0.687</v>
      </c>
      <c r="AI129" s="7" t="n">
        <v>0</v>
      </c>
      <c r="AJ129" s="7" t="n">
        <v>-0.064</v>
      </c>
      <c r="AK129" s="7" t="n">
        <v>-0.028</v>
      </c>
      <c r="AL129" s="7" t="n">
        <v>0.284</v>
      </c>
      <c r="AM129" s="7" t="n">
        <v>0</v>
      </c>
      <c r="AN129" s="7" t="n">
        <v>0.025</v>
      </c>
      <c r="AO129" s="7" t="n">
        <v>0.284</v>
      </c>
      <c r="AP129" s="7" t="n">
        <v>0</v>
      </c>
      <c r="AQ129" s="7" t="n">
        <v>0</v>
      </c>
    </row>
    <row r="130" customFormat="false" ht="15" hidden="false" customHeight="false" outlineLevel="0" collapsed="false">
      <c r="A130" s="23" t="n">
        <v>46447</v>
      </c>
      <c r="B130" s="7" t="n">
        <v>0.025</v>
      </c>
      <c r="C130" s="7" t="n">
        <v>0.491</v>
      </c>
      <c r="D130" s="7" t="n">
        <v>0.037</v>
      </c>
      <c r="E130" s="7" t="n">
        <v>0.41</v>
      </c>
      <c r="F130" s="7" t="n">
        <v>0.057</v>
      </c>
      <c r="G130" s="7" t="n">
        <v>0.037</v>
      </c>
      <c r="H130" s="7" t="n">
        <v>0.215</v>
      </c>
      <c r="I130" s="7" t="n">
        <v>0.178</v>
      </c>
      <c r="J130" s="7" t="n">
        <v>-0.113</v>
      </c>
      <c r="K130" s="7" t="n">
        <v>0.037</v>
      </c>
      <c r="L130" s="7" t="n">
        <v>0.037</v>
      </c>
      <c r="M130" s="7" t="n">
        <v>-0.113</v>
      </c>
      <c r="N130" s="7" t="n">
        <v>-0.443</v>
      </c>
      <c r="O130" s="7" t="n">
        <v>-0.037</v>
      </c>
      <c r="P130" s="7" t="n">
        <v>0.037</v>
      </c>
      <c r="Q130" s="7" t="n">
        <v>0.037</v>
      </c>
      <c r="R130" s="7" t="n">
        <v>0.333</v>
      </c>
      <c r="S130" s="7" t="n">
        <v>-0.46</v>
      </c>
      <c r="T130" s="7" t="n">
        <v>0.215</v>
      </c>
      <c r="U130" s="7" t="n">
        <v>0.681</v>
      </c>
      <c r="V130" s="7" t="n">
        <v>0.219</v>
      </c>
      <c r="W130" s="7" t="n">
        <v>0.037</v>
      </c>
      <c r="X130" s="7" t="n">
        <v>0.037</v>
      </c>
      <c r="Y130" s="7" t="n">
        <v>0.28</v>
      </c>
      <c r="Z130" s="7" t="n">
        <v>0.037</v>
      </c>
      <c r="AA130" s="7" t="n">
        <v>0.333</v>
      </c>
      <c r="AB130" s="7" t="n">
        <v>-0.112</v>
      </c>
      <c r="AC130" s="7" t="n">
        <v>0.037</v>
      </c>
      <c r="AD130" s="7" t="n">
        <v>0.272</v>
      </c>
      <c r="AE130" s="7" t="n">
        <v>0.057</v>
      </c>
      <c r="AF130" s="7" t="n">
        <v>0.037</v>
      </c>
      <c r="AG130" s="7" t="n">
        <v>0.059</v>
      </c>
      <c r="AH130" s="7" t="n">
        <v>0.687</v>
      </c>
      <c r="AI130" s="7" t="n">
        <v>0</v>
      </c>
      <c r="AJ130" s="7" t="n">
        <v>-0.064</v>
      </c>
      <c r="AK130" s="7" t="n">
        <v>-0.028</v>
      </c>
      <c r="AL130" s="7" t="n">
        <v>0.284</v>
      </c>
      <c r="AM130" s="7" t="n">
        <v>0</v>
      </c>
      <c r="AN130" s="7" t="n">
        <v>0.025</v>
      </c>
      <c r="AO130" s="7" t="n">
        <v>0.284</v>
      </c>
      <c r="AP130" s="7" t="n">
        <v>0</v>
      </c>
      <c r="AQ130" s="7" t="n">
        <v>0</v>
      </c>
    </row>
    <row r="131" customFormat="false" ht="15" hidden="false" customHeight="false" outlineLevel="0" collapsed="false">
      <c r="A131" s="23" t="n">
        <v>46448</v>
      </c>
      <c r="B131" s="7" t="n">
        <v>0.046</v>
      </c>
      <c r="C131" s="7" t="n">
        <v>0.503</v>
      </c>
      <c r="D131" s="7" t="n">
        <v>0.037</v>
      </c>
      <c r="E131" s="7" t="n">
        <v>0.401</v>
      </c>
      <c r="F131" s="7" t="n">
        <v>0.081</v>
      </c>
      <c r="G131" s="7" t="n">
        <v>0.037</v>
      </c>
      <c r="H131" s="7" t="n">
        <v>0.219</v>
      </c>
      <c r="I131" s="7" t="n">
        <v>0.182</v>
      </c>
      <c r="J131" s="7" t="n">
        <v>-0.264</v>
      </c>
      <c r="K131" s="7" t="n">
        <v>0.037</v>
      </c>
      <c r="L131" s="7" t="n">
        <v>0.037</v>
      </c>
      <c r="M131" s="7" t="n">
        <v>-0.264</v>
      </c>
      <c r="N131" s="7" t="n">
        <v>-0.404</v>
      </c>
      <c r="O131" s="7" t="n">
        <v>-0.109</v>
      </c>
      <c r="P131" s="7" t="n">
        <v>0.037</v>
      </c>
      <c r="Q131" s="7" t="n">
        <v>0.037</v>
      </c>
      <c r="R131" s="7" t="n">
        <v>0.341</v>
      </c>
      <c r="S131" s="7" t="n">
        <v>-0.441</v>
      </c>
      <c r="T131" s="7" t="n">
        <v>0.23</v>
      </c>
      <c r="U131" s="7" t="n">
        <v>0.581</v>
      </c>
      <c r="V131" s="7" t="n">
        <v>0.226</v>
      </c>
      <c r="W131" s="7" t="n">
        <v>0.037</v>
      </c>
      <c r="X131" s="7" t="n">
        <v>0.037</v>
      </c>
      <c r="Y131" s="7" t="n">
        <v>0.278</v>
      </c>
      <c r="Z131" s="7" t="n">
        <v>0.037</v>
      </c>
      <c r="AA131" s="7" t="n">
        <v>0.341</v>
      </c>
      <c r="AB131" s="7" t="n">
        <v>-0.19</v>
      </c>
      <c r="AC131" s="7" t="n">
        <v>0.037</v>
      </c>
      <c r="AD131" s="7" t="n">
        <v>0.278</v>
      </c>
      <c r="AE131" s="7" t="n">
        <v>0.081</v>
      </c>
      <c r="AF131" s="7" t="n">
        <v>0.037</v>
      </c>
      <c r="AG131" s="7" t="n">
        <v>0.063</v>
      </c>
      <c r="AH131" s="7" t="n">
        <v>0.679</v>
      </c>
      <c r="AI131" s="7" t="n">
        <v>0</v>
      </c>
      <c r="AJ131" s="7" t="n">
        <v>-0.066</v>
      </c>
      <c r="AK131" s="7" t="n">
        <v>-0.028</v>
      </c>
      <c r="AL131" s="7" t="n">
        <v>0.273</v>
      </c>
      <c r="AM131" s="7" t="n">
        <v>0</v>
      </c>
      <c r="AN131" s="7" t="n">
        <v>0.029</v>
      </c>
      <c r="AO131" s="7" t="n">
        <v>0.273</v>
      </c>
      <c r="AP131" s="7" t="n">
        <v>0</v>
      </c>
      <c r="AQ131" s="7" t="n">
        <v>0</v>
      </c>
    </row>
    <row r="132" customFormat="false" ht="15" hidden="false" customHeight="false" outlineLevel="0" collapsed="false">
      <c r="A132" s="23" t="n">
        <v>46449</v>
      </c>
      <c r="B132" s="7" t="n">
        <v>0.067</v>
      </c>
      <c r="C132" s="7" t="n">
        <v>0.514</v>
      </c>
      <c r="D132" s="7" t="n">
        <v>0.037</v>
      </c>
      <c r="E132" s="7" t="n">
        <v>0.39</v>
      </c>
      <c r="F132" s="7" t="n">
        <v>0.105</v>
      </c>
      <c r="G132" s="7" t="n">
        <v>0.037</v>
      </c>
      <c r="H132" s="7" t="n">
        <v>0.224</v>
      </c>
      <c r="I132" s="7" t="n">
        <v>0.184</v>
      </c>
      <c r="J132" s="7" t="n">
        <v>-0.415</v>
      </c>
      <c r="K132" s="7" t="n">
        <v>0.037</v>
      </c>
      <c r="L132" s="7" t="n">
        <v>0.037</v>
      </c>
      <c r="M132" s="7" t="n">
        <v>-0.415</v>
      </c>
      <c r="N132" s="7" t="n">
        <v>-0.363</v>
      </c>
      <c r="O132" s="7" t="n">
        <v>-0.179</v>
      </c>
      <c r="P132" s="7" t="n">
        <v>0.037</v>
      </c>
      <c r="Q132" s="7" t="n">
        <v>0.037</v>
      </c>
      <c r="R132" s="7" t="n">
        <v>0.348</v>
      </c>
      <c r="S132" s="7" t="n">
        <v>-0.423</v>
      </c>
      <c r="T132" s="7" t="n">
        <v>0.243</v>
      </c>
      <c r="U132" s="7" t="n">
        <v>0.48</v>
      </c>
      <c r="V132" s="7" t="n">
        <v>0.231</v>
      </c>
      <c r="W132" s="7" t="n">
        <v>0.037</v>
      </c>
      <c r="X132" s="7" t="n">
        <v>0.037</v>
      </c>
      <c r="Y132" s="7" t="n">
        <v>0.274</v>
      </c>
      <c r="Z132" s="7" t="n">
        <v>0.037</v>
      </c>
      <c r="AA132" s="7" t="n">
        <v>0.348</v>
      </c>
      <c r="AB132" s="7" t="n">
        <v>-0.304</v>
      </c>
      <c r="AC132" s="7" t="n">
        <v>0.037</v>
      </c>
      <c r="AD132" s="7" t="n">
        <v>0.28</v>
      </c>
      <c r="AE132" s="7" t="n">
        <v>0.105</v>
      </c>
      <c r="AF132" s="7" t="n">
        <v>0.037</v>
      </c>
      <c r="AG132" s="7" t="n">
        <v>0.068</v>
      </c>
      <c r="AH132" s="7" t="n">
        <v>0.671</v>
      </c>
      <c r="AI132" s="7" t="n">
        <v>0</v>
      </c>
      <c r="AJ132" s="7" t="n">
        <v>-0.069</v>
      </c>
      <c r="AK132" s="7" t="n">
        <v>-0.028</v>
      </c>
      <c r="AL132" s="7" t="n">
        <v>0.261</v>
      </c>
      <c r="AM132" s="7" t="n">
        <v>0</v>
      </c>
      <c r="AN132" s="7" t="n">
        <v>0.033</v>
      </c>
      <c r="AO132" s="7" t="n">
        <v>0.261</v>
      </c>
      <c r="AP132" s="7" t="n">
        <v>0</v>
      </c>
      <c r="AQ132" s="7" t="n">
        <v>0</v>
      </c>
    </row>
    <row r="133" customFormat="false" ht="15" hidden="false" customHeight="false" outlineLevel="0" collapsed="false">
      <c r="A133" s="23" t="n">
        <v>46450</v>
      </c>
      <c r="B133" s="7" t="n">
        <v>-0.014</v>
      </c>
      <c r="C133" s="7" t="n">
        <v>0.341</v>
      </c>
      <c r="D133" s="7" t="n">
        <v>0.037</v>
      </c>
      <c r="E133" s="7" t="n">
        <v>0.29</v>
      </c>
      <c r="F133" s="7" t="n">
        <v>0.095</v>
      </c>
      <c r="G133" s="7" t="n">
        <v>0.037</v>
      </c>
      <c r="H133" s="7" t="n">
        <v>0.034</v>
      </c>
      <c r="I133" s="7" t="n">
        <v>0.005</v>
      </c>
      <c r="J133" s="7" t="n">
        <v>-0.555</v>
      </c>
      <c r="K133" s="7" t="n">
        <v>0.037</v>
      </c>
      <c r="L133" s="7" t="n">
        <v>0.034</v>
      </c>
      <c r="M133" s="7" t="n">
        <v>-0.555</v>
      </c>
      <c r="N133" s="7" t="n">
        <v>-0.379</v>
      </c>
      <c r="O133" s="7" t="n">
        <v>-0.243</v>
      </c>
      <c r="P133" s="7" t="n">
        <v>0.037</v>
      </c>
      <c r="Q133" s="7" t="n">
        <v>0.037</v>
      </c>
      <c r="R133" s="7" t="n">
        <v>0.173</v>
      </c>
      <c r="S133" s="7" t="n">
        <v>-0.429</v>
      </c>
      <c r="T133" s="7" t="n">
        <v>0.134</v>
      </c>
      <c r="U133" s="7" t="n">
        <v>0.333</v>
      </c>
      <c r="V133" s="7" t="n">
        <v>0.054</v>
      </c>
      <c r="W133" s="7" t="n">
        <v>0.037</v>
      </c>
      <c r="X133" s="7" t="n">
        <v>0.037</v>
      </c>
      <c r="Y133" s="7" t="n">
        <v>0.199</v>
      </c>
      <c r="Z133" s="7" t="n">
        <v>0.037</v>
      </c>
      <c r="AA133" s="7" t="n">
        <v>0.173</v>
      </c>
      <c r="AB133" s="7" t="n">
        <v>-0.419</v>
      </c>
      <c r="AC133" s="7" t="n">
        <v>0.037</v>
      </c>
      <c r="AD133" s="7" t="n">
        <v>0.21</v>
      </c>
      <c r="AE133" s="7" t="n">
        <v>0.095</v>
      </c>
      <c r="AF133" s="7" t="n">
        <v>0.037</v>
      </c>
      <c r="AG133" s="7" t="n">
        <v>-0.086</v>
      </c>
      <c r="AH133" s="7" t="n">
        <v>0.632</v>
      </c>
      <c r="AI133" s="7" t="n">
        <v>-0.003</v>
      </c>
      <c r="AJ133" s="7" t="n">
        <v>-0.221</v>
      </c>
      <c r="AK133" s="7" t="n">
        <v>-0.182</v>
      </c>
      <c r="AL133" s="7" t="n">
        <v>0.204</v>
      </c>
      <c r="AM133" s="7" t="n">
        <v>-0.003</v>
      </c>
      <c r="AN133" s="7" t="n">
        <v>-0.12</v>
      </c>
      <c r="AO133" s="7" t="n">
        <v>0.204</v>
      </c>
      <c r="AP133" s="7" t="n">
        <v>0</v>
      </c>
      <c r="AQ133" s="7" t="n">
        <v>0</v>
      </c>
    </row>
    <row r="134" customFormat="false" ht="15" hidden="false" customHeight="false" outlineLevel="0" collapsed="false">
      <c r="A134" s="23" t="n">
        <v>46451</v>
      </c>
      <c r="B134" s="7" t="n">
        <v>-0.053</v>
      </c>
      <c r="C134" s="7" t="n">
        <v>0.255</v>
      </c>
      <c r="D134" s="7" t="n">
        <v>0.037</v>
      </c>
      <c r="E134" s="7" t="n">
        <v>0.184</v>
      </c>
      <c r="F134" s="7" t="n">
        <v>0.085</v>
      </c>
      <c r="G134" s="7" t="n">
        <v>0.037</v>
      </c>
      <c r="H134" s="7" t="n">
        <v>-0.045</v>
      </c>
      <c r="I134" s="7" t="n">
        <v>-0.031</v>
      </c>
      <c r="J134" s="7" t="n">
        <v>-0.696</v>
      </c>
      <c r="K134" s="7" t="n">
        <v>0.037</v>
      </c>
      <c r="L134" s="7" t="n">
        <v>0.031</v>
      </c>
      <c r="M134" s="7" t="n">
        <v>-0.696</v>
      </c>
      <c r="N134" s="7" t="n">
        <v>-0.399</v>
      </c>
      <c r="O134" s="7" t="n">
        <v>-0.306</v>
      </c>
      <c r="P134" s="7" t="n">
        <v>0.037</v>
      </c>
      <c r="Q134" s="7" t="n">
        <v>0.037</v>
      </c>
      <c r="R134" s="7" t="n">
        <v>0.101</v>
      </c>
      <c r="S134" s="7" t="n">
        <v>-0.439</v>
      </c>
      <c r="T134" s="7" t="n">
        <v>0.134</v>
      </c>
      <c r="U134" s="7" t="n">
        <v>0.185</v>
      </c>
      <c r="V134" s="7" t="n">
        <v>0.019</v>
      </c>
      <c r="W134" s="7" t="n">
        <v>0.037</v>
      </c>
      <c r="X134" s="7" t="n">
        <v>0.037</v>
      </c>
      <c r="Y134" s="7" t="n">
        <v>0.123</v>
      </c>
      <c r="Z134" s="7" t="n">
        <v>0.037</v>
      </c>
      <c r="AA134" s="7" t="n">
        <v>0.101</v>
      </c>
      <c r="AB134" s="7" t="n">
        <v>-0.481</v>
      </c>
      <c r="AC134" s="7" t="n">
        <v>0.037</v>
      </c>
      <c r="AD134" s="7" t="n">
        <v>0.135</v>
      </c>
      <c r="AE134" s="7" t="n">
        <v>0.085</v>
      </c>
      <c r="AF134" s="7" t="n">
        <v>0.037</v>
      </c>
      <c r="AG134" s="7" t="n">
        <v>-0.126</v>
      </c>
      <c r="AH134" s="7" t="n">
        <v>0.595</v>
      </c>
      <c r="AI134" s="7" t="n">
        <v>-0.006</v>
      </c>
      <c r="AJ134" s="7" t="n">
        <v>-0.258</v>
      </c>
      <c r="AK134" s="7" t="n">
        <v>-0.22</v>
      </c>
      <c r="AL134" s="7" t="n">
        <v>0.149</v>
      </c>
      <c r="AM134" s="7" t="n">
        <v>-0.006</v>
      </c>
      <c r="AN134" s="7" t="n">
        <v>-0.158</v>
      </c>
      <c r="AO134" s="7" t="n">
        <v>0.149</v>
      </c>
      <c r="AP134" s="7" t="n">
        <v>0</v>
      </c>
      <c r="AQ134" s="7" t="n">
        <v>0</v>
      </c>
    </row>
    <row r="135" customFormat="false" ht="15" hidden="false" customHeight="false" outlineLevel="0" collapsed="false">
      <c r="A135" s="23" t="n">
        <v>46452</v>
      </c>
      <c r="B135" s="7" t="n">
        <v>-0.179</v>
      </c>
      <c r="C135" s="7" t="n">
        <v>0.047</v>
      </c>
      <c r="D135" s="7" t="n">
        <v>0.037</v>
      </c>
      <c r="E135" s="7" t="n">
        <v>-0.044</v>
      </c>
      <c r="F135" s="7" t="n">
        <v>0.032</v>
      </c>
      <c r="G135" s="7" t="n">
        <v>0.037</v>
      </c>
      <c r="H135" s="7" t="n">
        <v>-0.184</v>
      </c>
      <c r="I135" s="7" t="n">
        <v>-0.15</v>
      </c>
      <c r="J135" s="7" t="n">
        <v>-0.648</v>
      </c>
      <c r="K135" s="7" t="n">
        <v>0.037</v>
      </c>
      <c r="L135" s="7" t="n">
        <v>0.029</v>
      </c>
      <c r="M135" s="7" t="n">
        <v>-0.648</v>
      </c>
      <c r="N135" s="7" t="n">
        <v>-0.502</v>
      </c>
      <c r="O135" s="7" t="n">
        <v>-0.29</v>
      </c>
      <c r="P135" s="7" t="n">
        <v>0.037</v>
      </c>
      <c r="Q135" s="7" t="n">
        <v>0.037</v>
      </c>
      <c r="R135" s="7" t="n">
        <v>-0.062</v>
      </c>
      <c r="S135" s="7" t="n">
        <v>-0.515</v>
      </c>
      <c r="T135" s="7" t="n">
        <v>0.003</v>
      </c>
      <c r="U135" s="7" t="n">
        <v>0.132</v>
      </c>
      <c r="V135" s="7" t="n">
        <v>-0.104</v>
      </c>
      <c r="W135" s="7" t="n">
        <v>0.037</v>
      </c>
      <c r="X135" s="7" t="n">
        <v>0.037</v>
      </c>
      <c r="Y135" s="7" t="n">
        <v>-0.078</v>
      </c>
      <c r="Z135" s="7" t="n">
        <v>0.037</v>
      </c>
      <c r="AA135" s="7" t="n">
        <v>-0.062</v>
      </c>
      <c r="AB135" s="7" t="n">
        <v>-0.405</v>
      </c>
      <c r="AC135" s="7" t="n">
        <v>0.037</v>
      </c>
      <c r="AD135" s="7" t="n">
        <v>-0.076</v>
      </c>
      <c r="AE135" s="7" t="n">
        <v>0.032</v>
      </c>
      <c r="AF135" s="7" t="n">
        <v>0.037</v>
      </c>
      <c r="AG135" s="7" t="n">
        <v>-0.23</v>
      </c>
      <c r="AH135" s="7" t="n">
        <v>0.559</v>
      </c>
      <c r="AI135" s="7" t="n">
        <v>-0.008</v>
      </c>
      <c r="AJ135" s="7" t="n">
        <v>-0.348</v>
      </c>
      <c r="AK135" s="7" t="n">
        <v>-0.314</v>
      </c>
      <c r="AL135" s="7" t="n">
        <v>0.096</v>
      </c>
      <c r="AM135" s="7" t="n">
        <v>-0.008</v>
      </c>
      <c r="AN135" s="7" t="n">
        <v>-0.258</v>
      </c>
      <c r="AO135" s="7" t="n">
        <v>0.096</v>
      </c>
      <c r="AP135" s="7" t="n">
        <v>0</v>
      </c>
      <c r="AQ135" s="7" t="n">
        <v>0</v>
      </c>
    </row>
    <row r="136" customFormat="false" ht="15" hidden="false" customHeight="false" outlineLevel="0" collapsed="false">
      <c r="A136" s="23" t="n">
        <v>46453</v>
      </c>
      <c r="B136" s="7" t="n">
        <v>-0.179</v>
      </c>
      <c r="C136" s="7" t="n">
        <v>0.047</v>
      </c>
      <c r="D136" s="7" t="n">
        <v>0.037</v>
      </c>
      <c r="E136" s="7" t="n">
        <v>-0.044</v>
      </c>
      <c r="F136" s="7" t="n">
        <v>0.032</v>
      </c>
      <c r="G136" s="7" t="n">
        <v>0.037</v>
      </c>
      <c r="H136" s="7" t="n">
        <v>-0.184</v>
      </c>
      <c r="I136" s="7" t="n">
        <v>-0.15</v>
      </c>
      <c r="J136" s="7" t="n">
        <v>-0.648</v>
      </c>
      <c r="K136" s="7" t="n">
        <v>0.037</v>
      </c>
      <c r="L136" s="7" t="n">
        <v>0.029</v>
      </c>
      <c r="M136" s="7" t="n">
        <v>-0.648</v>
      </c>
      <c r="N136" s="7" t="n">
        <v>-0.502</v>
      </c>
      <c r="O136" s="7" t="n">
        <v>-0.29</v>
      </c>
      <c r="P136" s="7" t="n">
        <v>0.037</v>
      </c>
      <c r="Q136" s="7" t="n">
        <v>0.037</v>
      </c>
      <c r="R136" s="7" t="n">
        <v>-0.062</v>
      </c>
      <c r="S136" s="7" t="n">
        <v>-0.515</v>
      </c>
      <c r="T136" s="7" t="n">
        <v>0.003</v>
      </c>
      <c r="U136" s="7" t="n">
        <v>0.132</v>
      </c>
      <c r="V136" s="7" t="n">
        <v>-0.104</v>
      </c>
      <c r="W136" s="7" t="n">
        <v>0.037</v>
      </c>
      <c r="X136" s="7" t="n">
        <v>0.037</v>
      </c>
      <c r="Y136" s="7" t="n">
        <v>-0.078</v>
      </c>
      <c r="Z136" s="7" t="n">
        <v>0.037</v>
      </c>
      <c r="AA136" s="7" t="n">
        <v>-0.062</v>
      </c>
      <c r="AB136" s="7" t="n">
        <v>-0.405</v>
      </c>
      <c r="AC136" s="7" t="n">
        <v>0.037</v>
      </c>
      <c r="AD136" s="7" t="n">
        <v>-0.076</v>
      </c>
      <c r="AE136" s="7" t="n">
        <v>0.032</v>
      </c>
      <c r="AF136" s="7" t="n">
        <v>0.037</v>
      </c>
      <c r="AG136" s="7" t="n">
        <v>-0.23</v>
      </c>
      <c r="AH136" s="7" t="n">
        <v>0.559</v>
      </c>
      <c r="AI136" s="7" t="n">
        <v>-0.008</v>
      </c>
      <c r="AJ136" s="7" t="n">
        <v>-0.348</v>
      </c>
      <c r="AK136" s="7" t="n">
        <v>-0.314</v>
      </c>
      <c r="AL136" s="7" t="n">
        <v>0.096</v>
      </c>
      <c r="AM136" s="7" t="n">
        <v>-0.008</v>
      </c>
      <c r="AN136" s="7" t="n">
        <v>-0.258</v>
      </c>
      <c r="AO136" s="7" t="n">
        <v>0.096</v>
      </c>
      <c r="AP136" s="7" t="n">
        <v>0</v>
      </c>
      <c r="AQ136" s="7" t="n">
        <v>0</v>
      </c>
    </row>
    <row r="137" customFormat="false" ht="15" hidden="false" customHeight="false" outlineLevel="0" collapsed="false">
      <c r="A137" s="23" t="n">
        <v>46454</v>
      </c>
      <c r="B137" s="7" t="n">
        <v>-0.179</v>
      </c>
      <c r="C137" s="7" t="n">
        <v>0.047</v>
      </c>
      <c r="D137" s="7" t="n">
        <v>0.037</v>
      </c>
      <c r="E137" s="7" t="n">
        <v>-0.044</v>
      </c>
      <c r="F137" s="7" t="n">
        <v>0.032</v>
      </c>
      <c r="G137" s="7" t="n">
        <v>0.037</v>
      </c>
      <c r="H137" s="7" t="n">
        <v>-0.184</v>
      </c>
      <c r="I137" s="7" t="n">
        <v>-0.15</v>
      </c>
      <c r="J137" s="7" t="n">
        <v>-0.648</v>
      </c>
      <c r="K137" s="7" t="n">
        <v>0.037</v>
      </c>
      <c r="L137" s="7" t="n">
        <v>0.029</v>
      </c>
      <c r="M137" s="7" t="n">
        <v>-0.648</v>
      </c>
      <c r="N137" s="7" t="n">
        <v>-0.502</v>
      </c>
      <c r="O137" s="7" t="n">
        <v>-0.29</v>
      </c>
      <c r="P137" s="7" t="n">
        <v>0.037</v>
      </c>
      <c r="Q137" s="7" t="n">
        <v>0.037</v>
      </c>
      <c r="R137" s="7" t="n">
        <v>-0.062</v>
      </c>
      <c r="S137" s="7" t="n">
        <v>-0.515</v>
      </c>
      <c r="T137" s="7" t="n">
        <v>0.003</v>
      </c>
      <c r="U137" s="7" t="n">
        <v>0.132</v>
      </c>
      <c r="V137" s="7" t="n">
        <v>-0.104</v>
      </c>
      <c r="W137" s="7" t="n">
        <v>0.037</v>
      </c>
      <c r="X137" s="7" t="n">
        <v>0.037</v>
      </c>
      <c r="Y137" s="7" t="n">
        <v>-0.078</v>
      </c>
      <c r="Z137" s="7" t="n">
        <v>0.037</v>
      </c>
      <c r="AA137" s="7" t="n">
        <v>-0.062</v>
      </c>
      <c r="AB137" s="7" t="n">
        <v>-0.405</v>
      </c>
      <c r="AC137" s="7" t="n">
        <v>0.037</v>
      </c>
      <c r="AD137" s="7" t="n">
        <v>-0.076</v>
      </c>
      <c r="AE137" s="7" t="n">
        <v>0.032</v>
      </c>
      <c r="AF137" s="7" t="n">
        <v>0.037</v>
      </c>
      <c r="AG137" s="7" t="n">
        <v>-0.23</v>
      </c>
      <c r="AH137" s="7" t="n">
        <v>0.559</v>
      </c>
      <c r="AI137" s="7" t="n">
        <v>-0.008</v>
      </c>
      <c r="AJ137" s="7" t="n">
        <v>-0.348</v>
      </c>
      <c r="AK137" s="7" t="n">
        <v>-0.314</v>
      </c>
      <c r="AL137" s="7" t="n">
        <v>0.096</v>
      </c>
      <c r="AM137" s="7" t="n">
        <v>-0.008</v>
      </c>
      <c r="AN137" s="7" t="n">
        <v>-0.258</v>
      </c>
      <c r="AO137" s="7" t="n">
        <v>0.096</v>
      </c>
      <c r="AP137" s="7" t="n">
        <v>0</v>
      </c>
      <c r="AQ137" s="7" t="n">
        <v>0</v>
      </c>
    </row>
    <row r="138" customFormat="false" ht="15" hidden="false" customHeight="false" outlineLevel="0" collapsed="false">
      <c r="A138" s="23" t="n">
        <v>46455</v>
      </c>
      <c r="B138" s="7" t="n">
        <v>-0.298</v>
      </c>
      <c r="C138" s="7" t="n">
        <v>-0.146</v>
      </c>
      <c r="D138" s="7" t="n">
        <v>0.037</v>
      </c>
      <c r="E138" s="7" t="n">
        <v>-0.149</v>
      </c>
      <c r="F138" s="7" t="n">
        <v>-0.068</v>
      </c>
      <c r="G138" s="7" t="n">
        <v>0.037</v>
      </c>
      <c r="H138" s="7" t="n">
        <v>-0.306</v>
      </c>
      <c r="I138" s="7" t="n">
        <v>-0.314</v>
      </c>
      <c r="J138" s="7" t="n">
        <v>-0.574</v>
      </c>
      <c r="K138" s="7" t="n">
        <v>0.037</v>
      </c>
      <c r="L138" s="7" t="n">
        <v>0.027</v>
      </c>
      <c r="M138" s="7" t="n">
        <v>-0.574</v>
      </c>
      <c r="N138" s="7" t="n">
        <v>-0.551</v>
      </c>
      <c r="O138" s="7" t="n">
        <v>-0.296</v>
      </c>
      <c r="P138" s="7" t="n">
        <v>0.041</v>
      </c>
      <c r="Q138" s="7" t="n">
        <v>0.037</v>
      </c>
      <c r="R138" s="7" t="n">
        <v>-0.207</v>
      </c>
      <c r="S138" s="7" t="n">
        <v>-0.475</v>
      </c>
      <c r="T138" s="7" t="n">
        <v>-0.126</v>
      </c>
      <c r="U138" s="7" t="n">
        <v>0.084</v>
      </c>
      <c r="V138" s="7" t="n">
        <v>-0.249</v>
      </c>
      <c r="W138" s="7" t="n">
        <v>0.037</v>
      </c>
      <c r="X138" s="7" t="n">
        <v>0.023</v>
      </c>
      <c r="Y138" s="7" t="n">
        <v>-0.167</v>
      </c>
      <c r="Z138" s="7" t="n">
        <v>0.037</v>
      </c>
      <c r="AA138" s="7" t="n">
        <v>-0.207</v>
      </c>
      <c r="AB138" s="7" t="n">
        <v>-0.458</v>
      </c>
      <c r="AC138" s="7" t="n">
        <v>0.019</v>
      </c>
      <c r="AD138" s="7" t="n">
        <v>-0.165</v>
      </c>
      <c r="AE138" s="7" t="n">
        <v>-0.068</v>
      </c>
      <c r="AF138" s="7" t="n">
        <v>0.037</v>
      </c>
      <c r="AG138" s="7" t="n">
        <v>-0.322</v>
      </c>
      <c r="AH138" s="7" t="n">
        <v>0.511</v>
      </c>
      <c r="AI138" s="7" t="n">
        <v>-0.01</v>
      </c>
      <c r="AJ138" s="7" t="n">
        <v>-0.452</v>
      </c>
      <c r="AK138" s="7" t="n">
        <v>-0.422</v>
      </c>
      <c r="AL138" s="7" t="n">
        <v>0.047</v>
      </c>
      <c r="AM138" s="7" t="n">
        <v>-0.01</v>
      </c>
      <c r="AN138" s="7" t="n">
        <v>-0.35</v>
      </c>
      <c r="AO138" s="7" t="n">
        <v>0.029</v>
      </c>
      <c r="AP138" s="7" t="n">
        <v>0</v>
      </c>
      <c r="AQ138" s="7" t="n">
        <v>0</v>
      </c>
    </row>
    <row r="139" customFormat="false" ht="15" hidden="false" customHeight="false" outlineLevel="0" collapsed="false">
      <c r="A139" s="23" t="n">
        <v>46456</v>
      </c>
      <c r="B139" s="7" t="n">
        <v>-0.417</v>
      </c>
      <c r="C139" s="7" t="n">
        <v>-0.342</v>
      </c>
      <c r="D139" s="7" t="n">
        <v>0.037</v>
      </c>
      <c r="E139" s="7" t="n">
        <v>-0.259</v>
      </c>
      <c r="F139" s="7" t="n">
        <v>-0.169</v>
      </c>
      <c r="G139" s="7" t="n">
        <v>0.037</v>
      </c>
      <c r="H139" s="7" t="n">
        <v>-0.433</v>
      </c>
      <c r="I139" s="7" t="n">
        <v>-0.465</v>
      </c>
      <c r="J139" s="7" t="n">
        <v>-0.501</v>
      </c>
      <c r="K139" s="7" t="n">
        <v>0.037</v>
      </c>
      <c r="L139" s="7" t="n">
        <v>0.026</v>
      </c>
      <c r="M139" s="7" t="n">
        <v>-0.501</v>
      </c>
      <c r="N139" s="7" t="n">
        <v>-0.607</v>
      </c>
      <c r="O139" s="7" t="n">
        <v>-0.305</v>
      </c>
      <c r="P139" s="7" t="n">
        <v>0.046</v>
      </c>
      <c r="Q139" s="7" t="n">
        <v>0.037</v>
      </c>
      <c r="R139" s="7" t="n">
        <v>-0.356</v>
      </c>
      <c r="S139" s="7" t="n">
        <v>-0.439</v>
      </c>
      <c r="T139" s="7" t="n">
        <v>-0.26</v>
      </c>
      <c r="U139" s="7" t="n">
        <v>0.037</v>
      </c>
      <c r="V139" s="7" t="n">
        <v>-0.382</v>
      </c>
      <c r="W139" s="7" t="n">
        <v>0.037</v>
      </c>
      <c r="X139" s="7" t="n">
        <v>0.01</v>
      </c>
      <c r="Y139" s="7" t="n">
        <v>-0.259</v>
      </c>
      <c r="Z139" s="7" t="n">
        <v>0.037</v>
      </c>
      <c r="AA139" s="7" t="n">
        <v>-0.356</v>
      </c>
      <c r="AB139" s="7" t="n">
        <v>-0.404</v>
      </c>
      <c r="AC139" s="7" t="n">
        <v>0.001</v>
      </c>
      <c r="AD139" s="7" t="n">
        <v>-0.259</v>
      </c>
      <c r="AE139" s="7" t="n">
        <v>-0.169</v>
      </c>
      <c r="AF139" s="7" t="n">
        <v>0.037</v>
      </c>
      <c r="AG139" s="7" t="n">
        <v>-0.419</v>
      </c>
      <c r="AH139" s="7" t="n">
        <v>0.464</v>
      </c>
      <c r="AI139" s="7" t="n">
        <v>-0.011</v>
      </c>
      <c r="AJ139" s="7" t="n">
        <v>-0.562</v>
      </c>
      <c r="AK139" s="7" t="n">
        <v>-0.534</v>
      </c>
      <c r="AL139" s="7" t="n">
        <v>0</v>
      </c>
      <c r="AM139" s="7" t="n">
        <v>-0.011</v>
      </c>
      <c r="AN139" s="7" t="n">
        <v>-0.447</v>
      </c>
      <c r="AO139" s="7" t="n">
        <v>-0.036</v>
      </c>
      <c r="AP139" s="7" t="n">
        <v>0</v>
      </c>
      <c r="AQ139" s="7" t="n">
        <v>0</v>
      </c>
    </row>
    <row r="140" customFormat="false" ht="15" hidden="false" customHeight="false" outlineLevel="0" collapsed="false">
      <c r="A140" s="23" t="n">
        <v>46457</v>
      </c>
      <c r="B140" s="7" t="n">
        <v>-0.436</v>
      </c>
      <c r="C140" s="7" t="n">
        <v>-0.36</v>
      </c>
      <c r="D140" s="7" t="n">
        <v>0.037</v>
      </c>
      <c r="E140" s="7" t="n">
        <v>-0.284</v>
      </c>
      <c r="F140" s="7" t="n">
        <v>-0.237</v>
      </c>
      <c r="G140" s="7" t="n">
        <v>0.037</v>
      </c>
      <c r="H140" s="7" t="n">
        <v>-0.369</v>
      </c>
      <c r="I140" s="7" t="n">
        <v>-0.43</v>
      </c>
      <c r="J140" s="7" t="n">
        <v>-0.436</v>
      </c>
      <c r="K140" s="7" t="n">
        <v>0.037</v>
      </c>
      <c r="L140" s="7" t="n">
        <v>0.028</v>
      </c>
      <c r="M140" s="7" t="n">
        <v>-0.436</v>
      </c>
      <c r="N140" s="7" t="n">
        <v>-0.61</v>
      </c>
      <c r="O140" s="7" t="n">
        <v>-0.318</v>
      </c>
      <c r="P140" s="7" t="n">
        <v>0.051</v>
      </c>
      <c r="Q140" s="7" t="n">
        <v>0.037</v>
      </c>
      <c r="R140" s="7" t="n">
        <v>-0.329</v>
      </c>
      <c r="S140" s="7" t="n">
        <v>-0.384</v>
      </c>
      <c r="T140" s="7" t="n">
        <v>-0.277</v>
      </c>
      <c r="U140" s="7" t="n">
        <v>0.037</v>
      </c>
      <c r="V140" s="7" t="n">
        <v>-0.328</v>
      </c>
      <c r="W140" s="7" t="n">
        <v>0.037</v>
      </c>
      <c r="X140" s="7" t="n">
        <v>-0.003</v>
      </c>
      <c r="Y140" s="7" t="n">
        <v>-0.284</v>
      </c>
      <c r="Z140" s="7" t="n">
        <v>0.037</v>
      </c>
      <c r="AA140" s="7" t="n">
        <v>-0.329</v>
      </c>
      <c r="AB140" s="7" t="n">
        <v>-0.327</v>
      </c>
      <c r="AC140" s="7" t="n">
        <v>-0.017</v>
      </c>
      <c r="AD140" s="7" t="n">
        <v>-0.288</v>
      </c>
      <c r="AE140" s="7" t="n">
        <v>-0.237</v>
      </c>
      <c r="AF140" s="7" t="n">
        <v>0.037</v>
      </c>
      <c r="AG140" s="7" t="n">
        <v>-0.362</v>
      </c>
      <c r="AH140" s="7" t="n">
        <v>0.449</v>
      </c>
      <c r="AI140" s="7" t="n">
        <v>-0.009</v>
      </c>
      <c r="AJ140" s="7" t="n">
        <v>-0.527</v>
      </c>
      <c r="AK140" s="7" t="n">
        <v>-0.497</v>
      </c>
      <c r="AL140" s="7" t="n">
        <v>0</v>
      </c>
      <c r="AM140" s="7" t="n">
        <v>-0.009</v>
      </c>
      <c r="AN140" s="7" t="n">
        <v>-0.392</v>
      </c>
      <c r="AO140" s="7" t="n">
        <v>-0.054</v>
      </c>
      <c r="AP140" s="7" t="n">
        <v>0</v>
      </c>
      <c r="AQ140" s="7" t="n">
        <v>0</v>
      </c>
    </row>
    <row r="141" customFormat="false" ht="15" hidden="false" customHeight="false" outlineLevel="0" collapsed="false">
      <c r="A141" s="23" t="n">
        <v>46458</v>
      </c>
      <c r="B141" s="7" t="n">
        <v>-0.461</v>
      </c>
      <c r="C141" s="7" t="n">
        <v>-0.375</v>
      </c>
      <c r="D141" s="7" t="n">
        <v>0.036</v>
      </c>
      <c r="E141" s="7" t="n">
        <v>-0.308</v>
      </c>
      <c r="F141" s="7" t="n">
        <v>-0.305</v>
      </c>
      <c r="G141" s="7" t="n">
        <v>0.036</v>
      </c>
      <c r="H141" s="7" t="n">
        <v>-0.305</v>
      </c>
      <c r="I141" s="7" t="n">
        <v>-0.418</v>
      </c>
      <c r="J141" s="7" t="n">
        <v>-0.369</v>
      </c>
      <c r="K141" s="7" t="n">
        <v>0.036</v>
      </c>
      <c r="L141" s="7" t="n">
        <v>0.029</v>
      </c>
      <c r="M141" s="7" t="n">
        <v>-0.369</v>
      </c>
      <c r="N141" s="7" t="n">
        <v>-0.612</v>
      </c>
      <c r="O141" s="7" t="n">
        <v>-0.332</v>
      </c>
      <c r="P141" s="7" t="n">
        <v>0.056</v>
      </c>
      <c r="Q141" s="7" t="n">
        <v>0.036</v>
      </c>
      <c r="R141" s="7" t="n">
        <v>-0.3</v>
      </c>
      <c r="S141" s="7" t="n">
        <v>-0.329</v>
      </c>
      <c r="T141" s="7" t="n">
        <v>-0.293</v>
      </c>
      <c r="U141" s="7" t="n">
        <v>0.036</v>
      </c>
      <c r="V141" s="7" t="n">
        <v>-0.299</v>
      </c>
      <c r="W141" s="7" t="n">
        <v>0.036</v>
      </c>
      <c r="X141" s="7" t="n">
        <v>-0.016</v>
      </c>
      <c r="Y141" s="7" t="n">
        <v>-0.31</v>
      </c>
      <c r="Z141" s="7" t="n">
        <v>0.036</v>
      </c>
      <c r="AA141" s="7" t="n">
        <v>-0.3</v>
      </c>
      <c r="AB141" s="7" t="n">
        <v>-0.297</v>
      </c>
      <c r="AC141" s="7" t="n">
        <v>-0.037</v>
      </c>
      <c r="AD141" s="7" t="n">
        <v>-0.317</v>
      </c>
      <c r="AE141" s="7" t="n">
        <v>-0.305</v>
      </c>
      <c r="AF141" s="7" t="n">
        <v>0.036</v>
      </c>
      <c r="AG141" s="7" t="n">
        <v>-0.304</v>
      </c>
      <c r="AH141" s="7" t="n">
        <v>0.434</v>
      </c>
      <c r="AI141" s="7" t="n">
        <v>-0.007</v>
      </c>
      <c r="AJ141" s="7" t="n">
        <v>-0.491</v>
      </c>
      <c r="AK141" s="7" t="n">
        <v>-0.458</v>
      </c>
      <c r="AL141" s="7" t="n">
        <v>0</v>
      </c>
      <c r="AM141" s="7" t="n">
        <v>-0.007</v>
      </c>
      <c r="AN141" s="7" t="n">
        <v>-0.334</v>
      </c>
      <c r="AO141" s="7" t="n">
        <v>-0.073</v>
      </c>
      <c r="AP141" s="7" t="n">
        <v>0</v>
      </c>
      <c r="AQ141" s="7" t="n">
        <v>0</v>
      </c>
    </row>
    <row r="142" customFormat="false" ht="15" hidden="false" customHeight="false" outlineLevel="0" collapsed="false">
      <c r="A142" s="23" t="n">
        <v>46459</v>
      </c>
      <c r="B142" s="7" t="n">
        <v>-0.424</v>
      </c>
      <c r="C142" s="7" t="n">
        <v>-0.335</v>
      </c>
      <c r="D142" s="7" t="n">
        <v>0.035</v>
      </c>
      <c r="E142" s="7" t="n">
        <v>-0.213</v>
      </c>
      <c r="F142" s="7" t="n">
        <v>-0.352</v>
      </c>
      <c r="G142" s="7" t="n">
        <v>0.035</v>
      </c>
      <c r="H142" s="7" t="n">
        <v>-0.246</v>
      </c>
      <c r="I142" s="7" t="n">
        <v>-0.357</v>
      </c>
      <c r="J142" s="7" t="n">
        <v>-0.338</v>
      </c>
      <c r="K142" s="7" t="n">
        <v>0.035</v>
      </c>
      <c r="L142" s="7" t="n">
        <v>0.03</v>
      </c>
      <c r="M142" s="7" t="n">
        <v>-0.338</v>
      </c>
      <c r="N142" s="7" t="n">
        <v>-0.554</v>
      </c>
      <c r="O142" s="7" t="n">
        <v>-0.352</v>
      </c>
      <c r="P142" s="7" t="n">
        <v>0.061</v>
      </c>
      <c r="Q142" s="7" t="n">
        <v>0.035</v>
      </c>
      <c r="R142" s="7" t="n">
        <v>-0.218</v>
      </c>
      <c r="S142" s="7" t="n">
        <v>-0.213</v>
      </c>
      <c r="T142" s="7" t="n">
        <v>-0.222</v>
      </c>
      <c r="U142" s="7" t="n">
        <v>0.035</v>
      </c>
      <c r="V142" s="7" t="n">
        <v>-0.219</v>
      </c>
      <c r="W142" s="7" t="n">
        <v>0.035</v>
      </c>
      <c r="X142" s="7" t="n">
        <v>-0.03</v>
      </c>
      <c r="Y142" s="7" t="n">
        <v>-0.213</v>
      </c>
      <c r="Z142" s="7" t="n">
        <v>0.035</v>
      </c>
      <c r="AA142" s="7" t="n">
        <v>-0.218</v>
      </c>
      <c r="AB142" s="7" t="n">
        <v>-0.304</v>
      </c>
      <c r="AC142" s="7" t="n">
        <v>-0.056</v>
      </c>
      <c r="AD142" s="7" t="n">
        <v>-0.213</v>
      </c>
      <c r="AE142" s="7" t="n">
        <v>-0.352</v>
      </c>
      <c r="AF142" s="7" t="n">
        <v>0.035</v>
      </c>
      <c r="AG142" s="7" t="n">
        <v>-0.188</v>
      </c>
      <c r="AH142" s="7" t="n">
        <v>0.418</v>
      </c>
      <c r="AI142" s="7" t="n">
        <v>-0.005</v>
      </c>
      <c r="AJ142" s="7" t="n">
        <v>-0.408</v>
      </c>
      <c r="AK142" s="7" t="n">
        <v>-0.37</v>
      </c>
      <c r="AL142" s="7" t="n">
        <v>0</v>
      </c>
      <c r="AM142" s="7" t="n">
        <v>-0.005</v>
      </c>
      <c r="AN142" s="7" t="n">
        <v>-0.222</v>
      </c>
      <c r="AO142" s="7" t="n">
        <v>-0.091</v>
      </c>
      <c r="AP142" s="7" t="n">
        <v>0</v>
      </c>
      <c r="AQ142" s="7" t="n">
        <v>0</v>
      </c>
    </row>
    <row r="143" customFormat="false" ht="15" hidden="false" customHeight="false" outlineLevel="0" collapsed="false">
      <c r="A143" s="23" t="n">
        <v>46460</v>
      </c>
      <c r="B143" s="7" t="n">
        <v>-0.424</v>
      </c>
      <c r="C143" s="7" t="n">
        <v>-0.335</v>
      </c>
      <c r="D143" s="7" t="n">
        <v>0.035</v>
      </c>
      <c r="E143" s="7" t="n">
        <v>-0.213</v>
      </c>
      <c r="F143" s="7" t="n">
        <v>-0.352</v>
      </c>
      <c r="G143" s="7" t="n">
        <v>0.035</v>
      </c>
      <c r="H143" s="7" t="n">
        <v>-0.246</v>
      </c>
      <c r="I143" s="7" t="n">
        <v>-0.357</v>
      </c>
      <c r="J143" s="7" t="n">
        <v>-0.338</v>
      </c>
      <c r="K143" s="7" t="n">
        <v>0.035</v>
      </c>
      <c r="L143" s="7" t="n">
        <v>0.03</v>
      </c>
      <c r="M143" s="7" t="n">
        <v>-0.338</v>
      </c>
      <c r="N143" s="7" t="n">
        <v>-0.554</v>
      </c>
      <c r="O143" s="7" t="n">
        <v>-0.352</v>
      </c>
      <c r="P143" s="7" t="n">
        <v>0.061</v>
      </c>
      <c r="Q143" s="7" t="n">
        <v>0.035</v>
      </c>
      <c r="R143" s="7" t="n">
        <v>-0.218</v>
      </c>
      <c r="S143" s="7" t="n">
        <v>-0.213</v>
      </c>
      <c r="T143" s="7" t="n">
        <v>-0.222</v>
      </c>
      <c r="U143" s="7" t="n">
        <v>0.035</v>
      </c>
      <c r="V143" s="7" t="n">
        <v>-0.219</v>
      </c>
      <c r="W143" s="7" t="n">
        <v>0.035</v>
      </c>
      <c r="X143" s="7" t="n">
        <v>-0.03</v>
      </c>
      <c r="Y143" s="7" t="n">
        <v>-0.213</v>
      </c>
      <c r="Z143" s="7" t="n">
        <v>0.035</v>
      </c>
      <c r="AA143" s="7" t="n">
        <v>-0.218</v>
      </c>
      <c r="AB143" s="7" t="n">
        <v>-0.304</v>
      </c>
      <c r="AC143" s="7" t="n">
        <v>-0.056</v>
      </c>
      <c r="AD143" s="7" t="n">
        <v>-0.213</v>
      </c>
      <c r="AE143" s="7" t="n">
        <v>-0.352</v>
      </c>
      <c r="AF143" s="7" t="n">
        <v>0.035</v>
      </c>
      <c r="AG143" s="7" t="n">
        <v>-0.188</v>
      </c>
      <c r="AH143" s="7" t="n">
        <v>0.418</v>
      </c>
      <c r="AI143" s="7" t="n">
        <v>-0.005</v>
      </c>
      <c r="AJ143" s="7" t="n">
        <v>-0.408</v>
      </c>
      <c r="AK143" s="7" t="n">
        <v>-0.37</v>
      </c>
      <c r="AL143" s="7" t="n">
        <v>0</v>
      </c>
      <c r="AM143" s="7" t="n">
        <v>-0.005</v>
      </c>
      <c r="AN143" s="7" t="n">
        <v>-0.222</v>
      </c>
      <c r="AO143" s="7" t="n">
        <v>-0.091</v>
      </c>
      <c r="AP143" s="7" t="n">
        <v>0</v>
      </c>
      <c r="AQ143" s="7" t="n">
        <v>0</v>
      </c>
    </row>
    <row r="144" customFormat="false" ht="15" hidden="false" customHeight="false" outlineLevel="0" collapsed="false">
      <c r="A144" s="23" t="n">
        <v>46461</v>
      </c>
      <c r="B144" s="7" t="n">
        <v>-0.424</v>
      </c>
      <c r="C144" s="7" t="n">
        <v>-0.335</v>
      </c>
      <c r="D144" s="7" t="n">
        <v>0.035</v>
      </c>
      <c r="E144" s="7" t="n">
        <v>-0.213</v>
      </c>
      <c r="F144" s="7" t="n">
        <v>-0.352</v>
      </c>
      <c r="G144" s="7" t="n">
        <v>0.035</v>
      </c>
      <c r="H144" s="7" t="n">
        <v>-0.246</v>
      </c>
      <c r="I144" s="7" t="n">
        <v>-0.357</v>
      </c>
      <c r="J144" s="7" t="n">
        <v>-0.338</v>
      </c>
      <c r="K144" s="7" t="n">
        <v>0.035</v>
      </c>
      <c r="L144" s="7" t="n">
        <v>0.03</v>
      </c>
      <c r="M144" s="7" t="n">
        <v>-0.338</v>
      </c>
      <c r="N144" s="7" t="n">
        <v>-0.554</v>
      </c>
      <c r="O144" s="7" t="n">
        <v>-0.352</v>
      </c>
      <c r="P144" s="7" t="n">
        <v>0.061</v>
      </c>
      <c r="Q144" s="7" t="n">
        <v>0.035</v>
      </c>
      <c r="R144" s="7" t="n">
        <v>-0.218</v>
      </c>
      <c r="S144" s="7" t="n">
        <v>-0.213</v>
      </c>
      <c r="T144" s="7" t="n">
        <v>-0.222</v>
      </c>
      <c r="U144" s="7" t="n">
        <v>0.035</v>
      </c>
      <c r="V144" s="7" t="n">
        <v>-0.219</v>
      </c>
      <c r="W144" s="7" t="n">
        <v>0.035</v>
      </c>
      <c r="X144" s="7" t="n">
        <v>-0.03</v>
      </c>
      <c r="Y144" s="7" t="n">
        <v>-0.213</v>
      </c>
      <c r="Z144" s="7" t="n">
        <v>0.035</v>
      </c>
      <c r="AA144" s="7" t="n">
        <v>-0.218</v>
      </c>
      <c r="AB144" s="7" t="n">
        <v>-0.304</v>
      </c>
      <c r="AC144" s="7" t="n">
        <v>-0.056</v>
      </c>
      <c r="AD144" s="7" t="n">
        <v>-0.213</v>
      </c>
      <c r="AE144" s="7" t="n">
        <v>-0.352</v>
      </c>
      <c r="AF144" s="7" t="n">
        <v>0.035</v>
      </c>
      <c r="AG144" s="7" t="n">
        <v>-0.188</v>
      </c>
      <c r="AH144" s="7" t="n">
        <v>0.418</v>
      </c>
      <c r="AI144" s="7" t="n">
        <v>-0.005</v>
      </c>
      <c r="AJ144" s="7" t="n">
        <v>-0.408</v>
      </c>
      <c r="AK144" s="7" t="n">
        <v>-0.37</v>
      </c>
      <c r="AL144" s="7" t="n">
        <v>0</v>
      </c>
      <c r="AM144" s="7" t="n">
        <v>-0.005</v>
      </c>
      <c r="AN144" s="7" t="n">
        <v>-0.222</v>
      </c>
      <c r="AO144" s="7" t="n">
        <v>-0.091</v>
      </c>
      <c r="AP144" s="7" t="n">
        <v>0</v>
      </c>
      <c r="AQ144" s="7" t="n">
        <v>0</v>
      </c>
    </row>
    <row r="145" customFormat="false" ht="15" hidden="false" customHeight="false" outlineLevel="0" collapsed="false">
      <c r="A145" s="23" t="n">
        <v>46462</v>
      </c>
      <c r="B145" s="7" t="n">
        <v>-0.344</v>
      </c>
      <c r="C145" s="7" t="n">
        <v>-0.301</v>
      </c>
      <c r="D145" s="7" t="n">
        <v>0.034</v>
      </c>
      <c r="E145" s="7" t="n">
        <v>-0.147</v>
      </c>
      <c r="F145" s="7" t="n">
        <v>-0.272</v>
      </c>
      <c r="G145" s="7" t="n">
        <v>0.034</v>
      </c>
      <c r="H145" s="7" t="n">
        <v>-0.294</v>
      </c>
      <c r="I145" s="7" t="n">
        <v>-0.345</v>
      </c>
      <c r="J145" s="7" t="n">
        <v>-0.273</v>
      </c>
      <c r="K145" s="7" t="n">
        <v>0.034</v>
      </c>
      <c r="L145" s="7" t="n">
        <v>0.031</v>
      </c>
      <c r="M145" s="7" t="n">
        <v>-0.273</v>
      </c>
      <c r="N145" s="7" t="n">
        <v>-0.414</v>
      </c>
      <c r="O145" s="7" t="n">
        <v>-0.273</v>
      </c>
      <c r="P145" s="7" t="n">
        <v>0.032</v>
      </c>
      <c r="Q145" s="7" t="n">
        <v>0.034</v>
      </c>
      <c r="R145" s="7" t="n">
        <v>-0.253</v>
      </c>
      <c r="S145" s="7" t="n">
        <v>-0.147</v>
      </c>
      <c r="T145" s="7" t="n">
        <v>-0.261</v>
      </c>
      <c r="U145" s="7" t="n">
        <v>0.034</v>
      </c>
      <c r="V145" s="7" t="n">
        <v>-0.207</v>
      </c>
      <c r="W145" s="7" t="n">
        <v>0.034</v>
      </c>
      <c r="X145" s="7" t="n">
        <v>-0.059</v>
      </c>
      <c r="Y145" s="7" t="n">
        <v>-0.147</v>
      </c>
      <c r="Z145" s="7" t="n">
        <v>0.034</v>
      </c>
      <c r="AA145" s="7" t="n">
        <v>-0.253</v>
      </c>
      <c r="AB145" s="7" t="n">
        <v>-0.198</v>
      </c>
      <c r="AC145" s="7" t="n">
        <v>-0.057</v>
      </c>
      <c r="AD145" s="7" t="n">
        <v>-0.147</v>
      </c>
      <c r="AE145" s="7" t="n">
        <v>-0.272</v>
      </c>
      <c r="AF145" s="7" t="n">
        <v>0.034</v>
      </c>
      <c r="AG145" s="7" t="n">
        <v>-0.128</v>
      </c>
      <c r="AH145" s="7" t="n">
        <v>0.456</v>
      </c>
      <c r="AI145" s="7" t="n">
        <v>-0.003</v>
      </c>
      <c r="AJ145" s="7" t="n">
        <v>-0.35</v>
      </c>
      <c r="AK145" s="7" t="n">
        <v>-0.311</v>
      </c>
      <c r="AL145" s="7" t="n">
        <v>0</v>
      </c>
      <c r="AM145" s="7" t="n">
        <v>-0.003</v>
      </c>
      <c r="AN145" s="7" t="n">
        <v>-0.161</v>
      </c>
      <c r="AO145" s="7" t="n">
        <v>-0.091</v>
      </c>
      <c r="AP145" s="7" t="n">
        <v>0</v>
      </c>
      <c r="AQ145" s="7" t="n">
        <v>0</v>
      </c>
    </row>
    <row r="146" customFormat="false" ht="15" hidden="false" customHeight="false" outlineLevel="0" collapsed="false">
      <c r="A146" s="23" t="n">
        <v>46463</v>
      </c>
      <c r="B146" s="7" t="n">
        <v>-0.266</v>
      </c>
      <c r="C146" s="7" t="n">
        <v>-0.27</v>
      </c>
      <c r="D146" s="7" t="n">
        <v>0.032</v>
      </c>
      <c r="E146" s="7" t="n">
        <v>-0.082</v>
      </c>
      <c r="F146" s="7" t="n">
        <v>-0.191</v>
      </c>
      <c r="G146" s="7" t="n">
        <v>0.032</v>
      </c>
      <c r="H146" s="7" t="n">
        <v>-0.344</v>
      </c>
      <c r="I146" s="7" t="n">
        <v>-0.345</v>
      </c>
      <c r="J146" s="7" t="n">
        <v>-0.206</v>
      </c>
      <c r="K146" s="7" t="n">
        <v>0.032</v>
      </c>
      <c r="L146" s="7" t="n">
        <v>0.031</v>
      </c>
      <c r="M146" s="7" t="n">
        <v>-0.206</v>
      </c>
      <c r="N146" s="7" t="n">
        <v>-0.276</v>
      </c>
      <c r="O146" s="7" t="n">
        <v>-0.193</v>
      </c>
      <c r="P146" s="7" t="n">
        <v>0.003</v>
      </c>
      <c r="Q146" s="7" t="n">
        <v>0.032</v>
      </c>
      <c r="R146" s="7" t="n">
        <v>-0.288</v>
      </c>
      <c r="S146" s="7" t="n">
        <v>-0.082</v>
      </c>
      <c r="T146" s="7" t="n">
        <v>-0.301</v>
      </c>
      <c r="U146" s="7" t="n">
        <v>0.032</v>
      </c>
      <c r="V146" s="7" t="n">
        <v>-0.208</v>
      </c>
      <c r="W146" s="7" t="n">
        <v>0.032</v>
      </c>
      <c r="X146" s="7" t="n">
        <v>-0.088</v>
      </c>
      <c r="Y146" s="7" t="n">
        <v>-0.082</v>
      </c>
      <c r="Z146" s="7" t="n">
        <v>0.032</v>
      </c>
      <c r="AA146" s="7" t="n">
        <v>-0.288</v>
      </c>
      <c r="AB146" s="7" t="n">
        <v>-0.185</v>
      </c>
      <c r="AC146" s="7" t="n">
        <v>-0.059</v>
      </c>
      <c r="AD146" s="7" t="n">
        <v>-0.082</v>
      </c>
      <c r="AE146" s="7" t="n">
        <v>-0.191</v>
      </c>
      <c r="AF146" s="7" t="n">
        <v>0.032</v>
      </c>
      <c r="AG146" s="7" t="n">
        <v>-0.069</v>
      </c>
      <c r="AH146" s="7" t="n">
        <v>0.495</v>
      </c>
      <c r="AI146" s="7" t="n">
        <v>-0.002</v>
      </c>
      <c r="AJ146" s="7" t="n">
        <v>-0.294</v>
      </c>
      <c r="AK146" s="7" t="n">
        <v>-0.253</v>
      </c>
      <c r="AL146" s="7" t="n">
        <v>0</v>
      </c>
      <c r="AM146" s="7" t="n">
        <v>-0.002</v>
      </c>
      <c r="AN146" s="7" t="n">
        <v>-0.1</v>
      </c>
      <c r="AO146" s="7" t="n">
        <v>-0.091</v>
      </c>
      <c r="AP146" s="7" t="n">
        <v>0</v>
      </c>
      <c r="AQ146" s="7" t="n">
        <v>0</v>
      </c>
    </row>
    <row r="147" customFormat="false" ht="15" hidden="false" customHeight="false" outlineLevel="0" collapsed="false">
      <c r="A147" s="23" t="n">
        <v>46464</v>
      </c>
      <c r="B147" s="7" t="n">
        <v>-0.19</v>
      </c>
      <c r="C147" s="7" t="n">
        <v>-0.243</v>
      </c>
      <c r="D147" s="7" t="n">
        <v>0.031</v>
      </c>
      <c r="E147" s="7" t="n">
        <v>-0.018</v>
      </c>
      <c r="F147" s="7" t="n">
        <v>-0.112</v>
      </c>
      <c r="G147" s="7" t="n">
        <v>0.031</v>
      </c>
      <c r="H147" s="7" t="n">
        <v>-0.395</v>
      </c>
      <c r="I147" s="7" t="n">
        <v>-0.345</v>
      </c>
      <c r="J147" s="7" t="n">
        <v>-0.141</v>
      </c>
      <c r="K147" s="7" t="n">
        <v>0.031</v>
      </c>
      <c r="L147" s="7" t="n">
        <v>0.031</v>
      </c>
      <c r="M147" s="7" t="n">
        <v>-0.141</v>
      </c>
      <c r="N147" s="7" t="n">
        <v>-0.14</v>
      </c>
      <c r="O147" s="7" t="n">
        <v>-0.116</v>
      </c>
      <c r="P147" s="7" t="n">
        <v>-0.026</v>
      </c>
      <c r="Q147" s="7" t="n">
        <v>0.031</v>
      </c>
      <c r="R147" s="7" t="n">
        <v>-0.325</v>
      </c>
      <c r="S147" s="7" t="n">
        <v>-0.018</v>
      </c>
      <c r="T147" s="7" t="n">
        <v>-0.342</v>
      </c>
      <c r="U147" s="7" t="n">
        <v>0.031</v>
      </c>
      <c r="V147" s="7" t="n">
        <v>-0.208</v>
      </c>
      <c r="W147" s="7" t="n">
        <v>0.031</v>
      </c>
      <c r="X147" s="7" t="n">
        <v>-0.117</v>
      </c>
      <c r="Y147" s="7" t="n">
        <v>-0.018</v>
      </c>
      <c r="Z147" s="7" t="n">
        <v>0.031</v>
      </c>
      <c r="AA147" s="7" t="n">
        <v>-0.325</v>
      </c>
      <c r="AB147" s="7" t="n">
        <v>-0.19</v>
      </c>
      <c r="AC147" s="7" t="n">
        <v>-0.06</v>
      </c>
      <c r="AD147" s="7" t="n">
        <v>-0.018</v>
      </c>
      <c r="AE147" s="7" t="n">
        <v>-0.112</v>
      </c>
      <c r="AF147" s="7" t="n">
        <v>0.031</v>
      </c>
      <c r="AG147" s="7" t="n">
        <v>-0.01</v>
      </c>
      <c r="AH147" s="7" t="n">
        <v>0.533</v>
      </c>
      <c r="AI147" s="7" t="n">
        <v>-0.001</v>
      </c>
      <c r="AJ147" s="7" t="n">
        <v>-0.238</v>
      </c>
      <c r="AK147" s="7" t="n">
        <v>-0.195</v>
      </c>
      <c r="AL147" s="7" t="n">
        <v>0</v>
      </c>
      <c r="AM147" s="7" t="n">
        <v>-0.001</v>
      </c>
      <c r="AN147" s="7" t="n">
        <v>-0.041</v>
      </c>
      <c r="AO147" s="7" t="n">
        <v>-0.092</v>
      </c>
      <c r="AP147" s="7" t="n">
        <v>0</v>
      </c>
      <c r="AQ147" s="7" t="n">
        <v>0</v>
      </c>
    </row>
    <row r="148" customFormat="false" ht="15" hidden="false" customHeight="false" outlineLevel="0" collapsed="false">
      <c r="A148" s="23" t="n">
        <v>46465</v>
      </c>
      <c r="B148" s="7" t="n">
        <v>-0.108</v>
      </c>
      <c r="C148" s="7" t="n">
        <v>-0.218</v>
      </c>
      <c r="D148" s="7" t="n">
        <v>0.031</v>
      </c>
      <c r="E148" s="7" t="n">
        <v>0.047</v>
      </c>
      <c r="F148" s="7" t="n">
        <v>-0.034</v>
      </c>
      <c r="G148" s="7" t="n">
        <v>0.031</v>
      </c>
      <c r="H148" s="7" t="n">
        <v>-0.446</v>
      </c>
      <c r="I148" s="7" t="n">
        <v>-0.318</v>
      </c>
      <c r="J148" s="7" t="n">
        <v>-0.076</v>
      </c>
      <c r="K148" s="7" t="n">
        <v>0.031</v>
      </c>
      <c r="L148" s="7" t="n">
        <v>0.031</v>
      </c>
      <c r="M148" s="7" t="n">
        <v>-0.076</v>
      </c>
      <c r="N148" s="7" t="n">
        <v>-0.008</v>
      </c>
      <c r="O148" s="7" t="n">
        <v>-0.041</v>
      </c>
      <c r="P148" s="7" t="n">
        <v>-0.055</v>
      </c>
      <c r="Q148" s="7" t="n">
        <v>0.031</v>
      </c>
      <c r="R148" s="7" t="n">
        <v>-0.361</v>
      </c>
      <c r="S148" s="7" t="n">
        <v>0.047</v>
      </c>
      <c r="T148" s="7" t="n">
        <v>-0.383</v>
      </c>
      <c r="U148" s="7" t="n">
        <v>0.031</v>
      </c>
      <c r="V148" s="7" t="n">
        <v>-0.179</v>
      </c>
      <c r="W148" s="7" t="n">
        <v>0.031</v>
      </c>
      <c r="X148" s="7" t="n">
        <v>-0.146</v>
      </c>
      <c r="Y148" s="7" t="n">
        <v>0.047</v>
      </c>
      <c r="Z148" s="7" t="n">
        <v>0.031</v>
      </c>
      <c r="AA148" s="7" t="n">
        <v>-0.361</v>
      </c>
      <c r="AB148" s="7" t="n">
        <v>-0.142</v>
      </c>
      <c r="AC148" s="7" t="n">
        <v>-0.061</v>
      </c>
      <c r="AD148" s="7" t="n">
        <v>0.047</v>
      </c>
      <c r="AE148" s="7" t="n">
        <v>-0.034</v>
      </c>
      <c r="AF148" s="7" t="n">
        <v>0.031</v>
      </c>
      <c r="AG148" s="7" t="n">
        <v>0.049</v>
      </c>
      <c r="AH148" s="7" t="n">
        <v>0.572</v>
      </c>
      <c r="AI148" s="7" t="n">
        <v>0</v>
      </c>
      <c r="AJ148" s="7" t="n">
        <v>-0.184</v>
      </c>
      <c r="AK148" s="7" t="n">
        <v>-0.139</v>
      </c>
      <c r="AL148" s="7" t="n">
        <v>0</v>
      </c>
      <c r="AM148" s="7" t="n">
        <v>0</v>
      </c>
      <c r="AN148" s="7" t="n">
        <v>0.019</v>
      </c>
      <c r="AO148" s="7" t="n">
        <v>-0.092</v>
      </c>
      <c r="AP148" s="7" t="n">
        <v>0</v>
      </c>
      <c r="AQ148" s="7" t="n">
        <v>0</v>
      </c>
    </row>
    <row r="149" customFormat="false" ht="15" hidden="false" customHeight="false" outlineLevel="0" collapsed="false">
      <c r="A149" s="23" t="n">
        <v>46466</v>
      </c>
      <c r="B149" s="7" t="n">
        <v>-0.015</v>
      </c>
      <c r="C149" s="7" t="n">
        <v>-0.138</v>
      </c>
      <c r="D149" s="7" t="n">
        <v>0.031</v>
      </c>
      <c r="E149" s="7" t="n">
        <v>0.11</v>
      </c>
      <c r="F149" s="7" t="n">
        <v>0.044</v>
      </c>
      <c r="G149" s="7" t="n">
        <v>0.031</v>
      </c>
      <c r="H149" s="7" t="n">
        <v>-0.438</v>
      </c>
      <c r="I149" s="7" t="n">
        <v>-0.252</v>
      </c>
      <c r="J149" s="7" t="n">
        <v>-0.015</v>
      </c>
      <c r="K149" s="7" t="n">
        <v>0.031</v>
      </c>
      <c r="L149" s="7" t="n">
        <v>0.031</v>
      </c>
      <c r="M149" s="7" t="n">
        <v>-0.015</v>
      </c>
      <c r="N149" s="7" t="n">
        <v>0.123</v>
      </c>
      <c r="O149" s="7" t="n">
        <v>0.034</v>
      </c>
      <c r="P149" s="7" t="n">
        <v>-0.083</v>
      </c>
      <c r="Q149" s="7" t="n">
        <v>0.031</v>
      </c>
      <c r="R149" s="7" t="n">
        <v>-0.366</v>
      </c>
      <c r="S149" s="7" t="n">
        <v>0.11</v>
      </c>
      <c r="T149" s="7" t="n">
        <v>-0.389</v>
      </c>
      <c r="U149" s="7" t="n">
        <v>0.031</v>
      </c>
      <c r="V149" s="7" t="n">
        <v>-0.107</v>
      </c>
      <c r="W149" s="7" t="n">
        <v>0.031</v>
      </c>
      <c r="X149" s="7" t="n">
        <v>-0.174</v>
      </c>
      <c r="Y149" s="7" t="n">
        <v>0.11</v>
      </c>
      <c r="Z149" s="7" t="n">
        <v>0.031</v>
      </c>
      <c r="AA149" s="7" t="n">
        <v>-0.366</v>
      </c>
      <c r="AB149" s="7" t="n">
        <v>-0.024</v>
      </c>
      <c r="AC149" s="7" t="n">
        <v>-0.061</v>
      </c>
      <c r="AD149" s="7" t="n">
        <v>0.11</v>
      </c>
      <c r="AE149" s="7" t="n">
        <v>0.044</v>
      </c>
      <c r="AF149" s="7" t="n">
        <v>0.031</v>
      </c>
      <c r="AG149" s="7" t="n">
        <v>0.11</v>
      </c>
      <c r="AH149" s="7" t="n">
        <v>0.573</v>
      </c>
      <c r="AI149" s="7" t="n">
        <v>0</v>
      </c>
      <c r="AJ149" s="7" t="n">
        <v>-0.129</v>
      </c>
      <c r="AK149" s="7" t="n">
        <v>-0.083</v>
      </c>
      <c r="AL149" s="7" t="n">
        <v>0</v>
      </c>
      <c r="AM149" s="7" t="n">
        <v>0</v>
      </c>
      <c r="AN149" s="7" t="n">
        <v>0.079</v>
      </c>
      <c r="AO149" s="7" t="n">
        <v>-0.092</v>
      </c>
      <c r="AP149" s="7" t="n">
        <v>0</v>
      </c>
      <c r="AQ149" s="7" t="n">
        <v>0</v>
      </c>
    </row>
    <row r="150" customFormat="false" ht="15" hidden="false" customHeight="false" outlineLevel="0" collapsed="false">
      <c r="A150" s="23" t="n">
        <v>46467</v>
      </c>
      <c r="B150" s="7" t="n">
        <v>-0.015</v>
      </c>
      <c r="C150" s="7" t="n">
        <v>-0.138</v>
      </c>
      <c r="D150" s="7" t="n">
        <v>0.031</v>
      </c>
      <c r="E150" s="7" t="n">
        <v>0.11</v>
      </c>
      <c r="F150" s="7" t="n">
        <v>0.044</v>
      </c>
      <c r="G150" s="7" t="n">
        <v>0.031</v>
      </c>
      <c r="H150" s="7" t="n">
        <v>-0.438</v>
      </c>
      <c r="I150" s="7" t="n">
        <v>-0.252</v>
      </c>
      <c r="J150" s="7" t="n">
        <v>-0.015</v>
      </c>
      <c r="K150" s="7" t="n">
        <v>0.031</v>
      </c>
      <c r="L150" s="7" t="n">
        <v>0.031</v>
      </c>
      <c r="M150" s="7" t="n">
        <v>-0.015</v>
      </c>
      <c r="N150" s="7" t="n">
        <v>0.123</v>
      </c>
      <c r="O150" s="7" t="n">
        <v>0.034</v>
      </c>
      <c r="P150" s="7" t="n">
        <v>-0.083</v>
      </c>
      <c r="Q150" s="7" t="n">
        <v>0.031</v>
      </c>
      <c r="R150" s="7" t="n">
        <v>-0.366</v>
      </c>
      <c r="S150" s="7" t="n">
        <v>0.11</v>
      </c>
      <c r="T150" s="7" t="n">
        <v>-0.389</v>
      </c>
      <c r="U150" s="7" t="n">
        <v>0.031</v>
      </c>
      <c r="V150" s="7" t="n">
        <v>-0.107</v>
      </c>
      <c r="W150" s="7" t="n">
        <v>0.031</v>
      </c>
      <c r="X150" s="7" t="n">
        <v>-0.174</v>
      </c>
      <c r="Y150" s="7" t="n">
        <v>0.11</v>
      </c>
      <c r="Z150" s="7" t="n">
        <v>0.031</v>
      </c>
      <c r="AA150" s="7" t="n">
        <v>-0.366</v>
      </c>
      <c r="AB150" s="7" t="n">
        <v>-0.024</v>
      </c>
      <c r="AC150" s="7" t="n">
        <v>-0.061</v>
      </c>
      <c r="AD150" s="7" t="n">
        <v>0.11</v>
      </c>
      <c r="AE150" s="7" t="n">
        <v>0.044</v>
      </c>
      <c r="AF150" s="7" t="n">
        <v>0.031</v>
      </c>
      <c r="AG150" s="7" t="n">
        <v>0.11</v>
      </c>
      <c r="AH150" s="7" t="n">
        <v>0.573</v>
      </c>
      <c r="AI150" s="7" t="n">
        <v>0</v>
      </c>
      <c r="AJ150" s="7" t="n">
        <v>-0.129</v>
      </c>
      <c r="AK150" s="7" t="n">
        <v>-0.083</v>
      </c>
      <c r="AL150" s="7" t="n">
        <v>0</v>
      </c>
      <c r="AM150" s="7" t="n">
        <v>0</v>
      </c>
      <c r="AN150" s="7" t="n">
        <v>0.079</v>
      </c>
      <c r="AO150" s="7" t="n">
        <v>-0.092</v>
      </c>
      <c r="AP150" s="7" t="n">
        <v>0</v>
      </c>
      <c r="AQ150" s="7" t="n">
        <v>0</v>
      </c>
    </row>
    <row r="151" customFormat="false" ht="15" hidden="false" customHeight="false" outlineLevel="0" collapsed="false">
      <c r="A151" s="23" t="n">
        <v>46468</v>
      </c>
      <c r="B151" s="7" t="n">
        <v>-0.015</v>
      </c>
      <c r="C151" s="7" t="n">
        <v>-0.138</v>
      </c>
      <c r="D151" s="7" t="n">
        <v>0.031</v>
      </c>
      <c r="E151" s="7" t="n">
        <v>0.11</v>
      </c>
      <c r="F151" s="7" t="n">
        <v>0.044</v>
      </c>
      <c r="G151" s="7" t="n">
        <v>0.031</v>
      </c>
      <c r="H151" s="7" t="n">
        <v>-0.438</v>
      </c>
      <c r="I151" s="7" t="n">
        <v>-0.252</v>
      </c>
      <c r="J151" s="7" t="n">
        <v>-0.015</v>
      </c>
      <c r="K151" s="7" t="n">
        <v>0.031</v>
      </c>
      <c r="L151" s="7" t="n">
        <v>0.031</v>
      </c>
      <c r="M151" s="7" t="n">
        <v>-0.015</v>
      </c>
      <c r="N151" s="7" t="n">
        <v>0.123</v>
      </c>
      <c r="O151" s="7" t="n">
        <v>0.034</v>
      </c>
      <c r="P151" s="7" t="n">
        <v>-0.083</v>
      </c>
      <c r="Q151" s="7" t="n">
        <v>0.031</v>
      </c>
      <c r="R151" s="7" t="n">
        <v>-0.366</v>
      </c>
      <c r="S151" s="7" t="n">
        <v>0.11</v>
      </c>
      <c r="T151" s="7" t="n">
        <v>-0.389</v>
      </c>
      <c r="U151" s="7" t="n">
        <v>0.031</v>
      </c>
      <c r="V151" s="7" t="n">
        <v>-0.107</v>
      </c>
      <c r="W151" s="7" t="n">
        <v>0.031</v>
      </c>
      <c r="X151" s="7" t="n">
        <v>-0.174</v>
      </c>
      <c r="Y151" s="7" t="n">
        <v>0.11</v>
      </c>
      <c r="Z151" s="7" t="n">
        <v>0.031</v>
      </c>
      <c r="AA151" s="7" t="n">
        <v>-0.366</v>
      </c>
      <c r="AB151" s="7" t="n">
        <v>-0.024</v>
      </c>
      <c r="AC151" s="7" t="n">
        <v>-0.061</v>
      </c>
      <c r="AD151" s="7" t="n">
        <v>0.11</v>
      </c>
      <c r="AE151" s="7" t="n">
        <v>0.044</v>
      </c>
      <c r="AF151" s="7" t="n">
        <v>0.031</v>
      </c>
      <c r="AG151" s="7" t="n">
        <v>0.11</v>
      </c>
      <c r="AH151" s="7" t="n">
        <v>0.573</v>
      </c>
      <c r="AI151" s="7" t="n">
        <v>0</v>
      </c>
      <c r="AJ151" s="7" t="n">
        <v>-0.129</v>
      </c>
      <c r="AK151" s="7" t="n">
        <v>-0.083</v>
      </c>
      <c r="AL151" s="7" t="n">
        <v>0</v>
      </c>
      <c r="AM151" s="7" t="n">
        <v>0</v>
      </c>
      <c r="AN151" s="7" t="n">
        <v>0.079</v>
      </c>
      <c r="AO151" s="7" t="n">
        <v>-0.092</v>
      </c>
      <c r="AP151" s="7" t="n">
        <v>0</v>
      </c>
      <c r="AQ151" s="7" t="n">
        <v>0</v>
      </c>
    </row>
    <row r="152" customFormat="false" ht="15" hidden="false" customHeight="false" outlineLevel="0" collapsed="false">
      <c r="A152" s="23" t="n">
        <v>46469</v>
      </c>
      <c r="B152" s="7" t="n">
        <v>-0.026</v>
      </c>
      <c r="C152" s="7" t="n">
        <v>-0.175</v>
      </c>
      <c r="D152" s="7" t="n">
        <v>0.031</v>
      </c>
      <c r="E152" s="7" t="n">
        <v>0.092</v>
      </c>
      <c r="F152" s="7" t="n">
        <v>0.051</v>
      </c>
      <c r="G152" s="7" t="n">
        <v>0.031</v>
      </c>
      <c r="H152" s="7" t="n">
        <v>-0.461</v>
      </c>
      <c r="I152" s="7" t="n">
        <v>-0.274</v>
      </c>
      <c r="J152" s="7" t="n">
        <v>0.013</v>
      </c>
      <c r="K152" s="7" t="n">
        <v>0.031</v>
      </c>
      <c r="L152" s="7" t="n">
        <v>0.031</v>
      </c>
      <c r="M152" s="7" t="n">
        <v>0.013</v>
      </c>
      <c r="N152" s="7" t="n">
        <v>0.112</v>
      </c>
      <c r="O152" s="7" t="n">
        <v>0.055</v>
      </c>
      <c r="P152" s="7" t="n">
        <v>-0.097</v>
      </c>
      <c r="Q152" s="7" t="n">
        <v>0.031</v>
      </c>
      <c r="R152" s="7" t="n">
        <v>-0.397</v>
      </c>
      <c r="S152" s="7" t="n">
        <v>0.092</v>
      </c>
      <c r="T152" s="7" t="n">
        <v>-0.429</v>
      </c>
      <c r="U152" s="7" t="n">
        <v>0.031</v>
      </c>
      <c r="V152" s="7" t="n">
        <v>-0.129</v>
      </c>
      <c r="W152" s="7" t="n">
        <v>0.031</v>
      </c>
      <c r="X152" s="7" t="n">
        <v>-0.187</v>
      </c>
      <c r="Y152" s="7" t="n">
        <v>0.092</v>
      </c>
      <c r="Z152" s="7" t="n">
        <v>0.031</v>
      </c>
      <c r="AA152" s="7" t="n">
        <v>-0.397</v>
      </c>
      <c r="AB152" s="7" t="n">
        <v>-0.004</v>
      </c>
      <c r="AC152" s="7" t="n">
        <v>-0.061</v>
      </c>
      <c r="AD152" s="7" t="n">
        <v>0.092</v>
      </c>
      <c r="AE152" s="7" t="n">
        <v>0.051</v>
      </c>
      <c r="AF152" s="7" t="n">
        <v>0.031</v>
      </c>
      <c r="AG152" s="7" t="n">
        <v>0.092</v>
      </c>
      <c r="AH152" s="7" t="n">
        <v>0.547</v>
      </c>
      <c r="AI152" s="7" t="n">
        <v>0</v>
      </c>
      <c r="AJ152" s="7" t="n">
        <v>-0.149</v>
      </c>
      <c r="AK152" s="7" t="n">
        <v>-0.102</v>
      </c>
      <c r="AL152" s="7" t="n">
        <v>0</v>
      </c>
      <c r="AM152" s="7" t="n">
        <v>0</v>
      </c>
      <c r="AN152" s="7" t="n">
        <v>0.061</v>
      </c>
      <c r="AO152" s="7" t="n">
        <v>-0.092</v>
      </c>
      <c r="AP152" s="7" t="n">
        <v>0</v>
      </c>
      <c r="AQ152" s="7" t="n">
        <v>0</v>
      </c>
    </row>
    <row r="153" customFormat="false" ht="15" hidden="false" customHeight="false" outlineLevel="0" collapsed="false">
      <c r="A153" s="23" t="n">
        <v>46470</v>
      </c>
      <c r="B153" s="7" t="n">
        <v>-0.037</v>
      </c>
      <c r="C153" s="7" t="n">
        <v>-0.211</v>
      </c>
      <c r="D153" s="7" t="n">
        <v>0.031</v>
      </c>
      <c r="E153" s="7" t="n">
        <v>0.073</v>
      </c>
      <c r="F153" s="7" t="n">
        <v>0.06</v>
      </c>
      <c r="G153" s="7" t="n">
        <v>0.031</v>
      </c>
      <c r="H153" s="7" t="n">
        <v>-0.483</v>
      </c>
      <c r="I153" s="7" t="n">
        <v>-0.296</v>
      </c>
      <c r="J153" s="7" t="n">
        <v>0.041</v>
      </c>
      <c r="K153" s="7" t="n">
        <v>0.031</v>
      </c>
      <c r="L153" s="7" t="n">
        <v>0.032</v>
      </c>
      <c r="M153" s="7" t="n">
        <v>0.041</v>
      </c>
      <c r="N153" s="7" t="n">
        <v>0.102</v>
      </c>
      <c r="O153" s="7" t="n">
        <v>0.077</v>
      </c>
      <c r="P153" s="7" t="n">
        <v>-0.112</v>
      </c>
      <c r="Q153" s="7" t="n">
        <v>0.031</v>
      </c>
      <c r="R153" s="7" t="n">
        <v>-0.428</v>
      </c>
      <c r="S153" s="7" t="n">
        <v>0.073</v>
      </c>
      <c r="T153" s="7" t="n">
        <v>-0.469</v>
      </c>
      <c r="U153" s="7" t="n">
        <v>0.031</v>
      </c>
      <c r="V153" s="7" t="n">
        <v>-0.152</v>
      </c>
      <c r="W153" s="7" t="n">
        <v>0.031</v>
      </c>
      <c r="X153" s="7" t="n">
        <v>-0.202</v>
      </c>
      <c r="Y153" s="7" t="n">
        <v>0.073</v>
      </c>
      <c r="Z153" s="7" t="n">
        <v>0.031</v>
      </c>
      <c r="AA153" s="7" t="n">
        <v>-0.428</v>
      </c>
      <c r="AB153" s="7" t="n">
        <v>0.015</v>
      </c>
      <c r="AC153" s="7" t="n">
        <v>-0.061</v>
      </c>
      <c r="AD153" s="7" t="n">
        <v>0.073</v>
      </c>
      <c r="AE153" s="7" t="n">
        <v>0.06</v>
      </c>
      <c r="AF153" s="7" t="n">
        <v>0.031</v>
      </c>
      <c r="AG153" s="7" t="n">
        <v>0.073</v>
      </c>
      <c r="AH153" s="7" t="n">
        <v>0.522</v>
      </c>
      <c r="AI153" s="7" t="n">
        <v>0</v>
      </c>
      <c r="AJ153" s="7" t="n">
        <v>-0.171</v>
      </c>
      <c r="AK153" s="7" t="n">
        <v>-0.123</v>
      </c>
      <c r="AL153" s="7" t="n">
        <v>0</v>
      </c>
      <c r="AM153" s="7" t="n">
        <v>0</v>
      </c>
      <c r="AN153" s="7" t="n">
        <v>0.042</v>
      </c>
      <c r="AO153" s="7" t="n">
        <v>-0.092</v>
      </c>
      <c r="AP153" s="7" t="n">
        <v>0</v>
      </c>
      <c r="AQ153" s="7" t="n">
        <v>0</v>
      </c>
    </row>
    <row r="154" customFormat="false" ht="15" hidden="false" customHeight="false" outlineLevel="0" collapsed="false">
      <c r="A154" s="23" t="n">
        <v>46471</v>
      </c>
      <c r="B154" s="7" t="n">
        <v>-0.015</v>
      </c>
      <c r="C154" s="7" t="n">
        <v>-0.212</v>
      </c>
      <c r="D154" s="7" t="n">
        <v>0.031</v>
      </c>
      <c r="E154" s="7" t="n">
        <v>0.053</v>
      </c>
      <c r="F154" s="7" t="n">
        <v>0.101</v>
      </c>
      <c r="G154" s="7" t="n">
        <v>0.031</v>
      </c>
      <c r="H154" s="7" t="n">
        <v>-0.492</v>
      </c>
      <c r="I154" s="7" t="n">
        <v>-0.277</v>
      </c>
      <c r="J154" s="7" t="n">
        <v>0.101</v>
      </c>
      <c r="K154" s="7" t="n">
        <v>0.031</v>
      </c>
      <c r="L154" s="7" t="n">
        <v>0.037</v>
      </c>
      <c r="M154" s="7" t="n">
        <v>0.101</v>
      </c>
      <c r="N154" s="7" t="n">
        <v>0.129</v>
      </c>
      <c r="O154" s="7" t="n">
        <v>0.137</v>
      </c>
      <c r="P154" s="7" t="n">
        <v>-0.117</v>
      </c>
      <c r="Q154" s="7" t="n">
        <v>0.031</v>
      </c>
      <c r="R154" s="7" t="n">
        <v>-0.45</v>
      </c>
      <c r="S154" s="7" t="n">
        <v>0.053</v>
      </c>
      <c r="T154" s="7" t="n">
        <v>-0.511</v>
      </c>
      <c r="U154" s="7" t="n">
        <v>0.031</v>
      </c>
      <c r="V154" s="7" t="n">
        <v>-0.168</v>
      </c>
      <c r="W154" s="7" t="n">
        <v>0.031</v>
      </c>
      <c r="X154" s="7" t="n">
        <v>-0.174</v>
      </c>
      <c r="Y154" s="7" t="n">
        <v>0.053</v>
      </c>
      <c r="Z154" s="7" t="n">
        <v>0.031</v>
      </c>
      <c r="AA154" s="7" t="n">
        <v>-0.45</v>
      </c>
      <c r="AB154" s="7" t="n">
        <v>0.071</v>
      </c>
      <c r="AC154" s="7" t="n">
        <v>-0.028</v>
      </c>
      <c r="AD154" s="7" t="n">
        <v>0.053</v>
      </c>
      <c r="AE154" s="7" t="n">
        <v>0.101</v>
      </c>
      <c r="AF154" s="7" t="n">
        <v>0.031</v>
      </c>
      <c r="AG154" s="7" t="n">
        <v>0.053</v>
      </c>
      <c r="AH154" s="7" t="n">
        <v>0.521</v>
      </c>
      <c r="AI154" s="7" t="n">
        <v>0.005</v>
      </c>
      <c r="AJ154" s="7" t="n">
        <v>-0.155</v>
      </c>
      <c r="AK154" s="7" t="n">
        <v>-0.106</v>
      </c>
      <c r="AL154" s="7" t="n">
        <v>0</v>
      </c>
      <c r="AM154" s="7" t="n">
        <v>0.005</v>
      </c>
      <c r="AN154" s="7" t="n">
        <v>0.022</v>
      </c>
      <c r="AO154" s="7" t="n">
        <v>-0.059</v>
      </c>
      <c r="AP154" s="7" t="n">
        <v>0</v>
      </c>
      <c r="AQ154" s="7" t="n">
        <v>0</v>
      </c>
    </row>
    <row r="155" customFormat="false" ht="15" hidden="false" customHeight="false" outlineLevel="0" collapsed="false">
      <c r="A155" s="23" t="n">
        <v>46472</v>
      </c>
      <c r="B155" s="7" t="n">
        <v>0.014</v>
      </c>
      <c r="C155" s="7" t="n">
        <v>-0.215</v>
      </c>
      <c r="D155" s="7" t="n">
        <v>0.031</v>
      </c>
      <c r="E155" s="7" t="n">
        <v>0.074</v>
      </c>
      <c r="F155" s="7" t="n">
        <v>0.143</v>
      </c>
      <c r="G155" s="7" t="n">
        <v>0.031</v>
      </c>
      <c r="H155" s="7" t="n">
        <v>-0.402</v>
      </c>
      <c r="I155" s="7" t="n">
        <v>-0.233</v>
      </c>
      <c r="J155" s="7" t="n">
        <v>0.16</v>
      </c>
      <c r="K155" s="7" t="n">
        <v>0.033</v>
      </c>
      <c r="L155" s="7" t="n">
        <v>0.042</v>
      </c>
      <c r="M155" s="7" t="n">
        <v>0.16</v>
      </c>
      <c r="N155" s="7" t="n">
        <v>0.155</v>
      </c>
      <c r="O155" s="7" t="n">
        <v>0.197</v>
      </c>
      <c r="P155" s="7" t="n">
        <v>-0.122</v>
      </c>
      <c r="Q155" s="7" t="n">
        <v>0.031</v>
      </c>
      <c r="R155" s="7" t="n">
        <v>-0.375</v>
      </c>
      <c r="S155" s="7" t="n">
        <v>-0.016</v>
      </c>
      <c r="T155" s="7" t="n">
        <v>-0.431</v>
      </c>
      <c r="U155" s="7" t="n">
        <v>-0.007</v>
      </c>
      <c r="V155" s="7" t="n">
        <v>-0.158</v>
      </c>
      <c r="W155" s="7" t="n">
        <v>0.031</v>
      </c>
      <c r="X155" s="7" t="n">
        <v>-0.148</v>
      </c>
      <c r="Y155" s="7" t="n">
        <v>0.033</v>
      </c>
      <c r="Z155" s="7" t="n">
        <v>0.033</v>
      </c>
      <c r="AA155" s="7" t="n">
        <v>-0.375</v>
      </c>
      <c r="AB155" s="7" t="n">
        <v>0.126</v>
      </c>
      <c r="AC155" s="7" t="n">
        <v>0.003</v>
      </c>
      <c r="AD155" s="7" t="n">
        <v>0.02</v>
      </c>
      <c r="AE155" s="7" t="n">
        <v>0.143</v>
      </c>
      <c r="AF155" s="7" t="n">
        <v>0.043</v>
      </c>
      <c r="AG155" s="7" t="n">
        <v>0.033</v>
      </c>
      <c r="AH155" s="7" t="n">
        <v>0.54</v>
      </c>
      <c r="AI155" s="7" t="n">
        <v>0.01</v>
      </c>
      <c r="AJ155" s="7" t="n">
        <v>-0.143</v>
      </c>
      <c r="AK155" s="7" t="n">
        <v>-0.092</v>
      </c>
      <c r="AL155" s="7" t="n">
        <v>0</v>
      </c>
      <c r="AM155" s="7" t="n">
        <v>0.01</v>
      </c>
      <c r="AN155" s="7" t="n">
        <v>0.002</v>
      </c>
      <c r="AO155" s="7" t="n">
        <v>-0.028</v>
      </c>
      <c r="AP155" s="7" t="n">
        <v>0</v>
      </c>
      <c r="AQ155" s="7" t="n">
        <v>0</v>
      </c>
    </row>
    <row r="156" customFormat="false" ht="15" hidden="false" customHeight="false" outlineLevel="0" collapsed="false">
      <c r="A156" s="23" t="n">
        <v>46473</v>
      </c>
      <c r="B156" s="7" t="n">
        <v>0.04</v>
      </c>
      <c r="C156" s="7" t="n">
        <v>-0.22</v>
      </c>
      <c r="D156" s="7" t="n">
        <v>0.031</v>
      </c>
      <c r="E156" s="7" t="n">
        <v>0.093</v>
      </c>
      <c r="F156" s="7" t="n">
        <v>0.184</v>
      </c>
      <c r="G156" s="7" t="n">
        <v>0.031</v>
      </c>
      <c r="H156" s="7" t="n">
        <v>-0.312</v>
      </c>
      <c r="I156" s="7" t="n">
        <v>-0.2</v>
      </c>
      <c r="J156" s="7" t="n">
        <v>0.22</v>
      </c>
      <c r="K156" s="7" t="n">
        <v>0.032</v>
      </c>
      <c r="L156" s="7" t="n">
        <v>0.046</v>
      </c>
      <c r="M156" s="7" t="n">
        <v>0.22</v>
      </c>
      <c r="N156" s="7" t="n">
        <v>0.18</v>
      </c>
      <c r="O156" s="7" t="n">
        <v>0.258</v>
      </c>
      <c r="P156" s="7" t="n">
        <v>-0.128</v>
      </c>
      <c r="Q156" s="7" t="n">
        <v>0.031</v>
      </c>
      <c r="R156" s="7" t="n">
        <v>-0.3</v>
      </c>
      <c r="S156" s="7" t="n">
        <v>-0.089</v>
      </c>
      <c r="T156" s="7" t="n">
        <v>-0.352</v>
      </c>
      <c r="U156" s="7" t="n">
        <v>-0.046</v>
      </c>
      <c r="V156" s="7" t="n">
        <v>-0.158</v>
      </c>
      <c r="W156" s="7" t="n">
        <v>0.031</v>
      </c>
      <c r="X156" s="7" t="n">
        <v>-0.123</v>
      </c>
      <c r="Y156" s="7" t="n">
        <v>0.012</v>
      </c>
      <c r="Z156" s="7" t="n">
        <v>0.032</v>
      </c>
      <c r="AA156" s="7" t="n">
        <v>-0.3</v>
      </c>
      <c r="AB156" s="7" t="n">
        <v>0.166</v>
      </c>
      <c r="AC156" s="7" t="n">
        <v>0.034</v>
      </c>
      <c r="AD156" s="7" t="n">
        <v>-0.014</v>
      </c>
      <c r="AE156" s="7" t="n">
        <v>0.184</v>
      </c>
      <c r="AF156" s="7" t="n">
        <v>0.051</v>
      </c>
      <c r="AG156" s="7" t="n">
        <v>0.012</v>
      </c>
      <c r="AH156" s="7" t="n">
        <v>0.597</v>
      </c>
      <c r="AI156" s="7" t="n">
        <v>0.015</v>
      </c>
      <c r="AJ156" s="7" t="n">
        <v>-0.131</v>
      </c>
      <c r="AK156" s="7" t="n">
        <v>-0.08</v>
      </c>
      <c r="AL156" s="7" t="n">
        <v>0</v>
      </c>
      <c r="AM156" s="7" t="n">
        <v>0.015</v>
      </c>
      <c r="AN156" s="7" t="n">
        <v>-0.019</v>
      </c>
      <c r="AO156" s="7" t="n">
        <v>0.003</v>
      </c>
      <c r="AP156" s="7" t="n">
        <v>0</v>
      </c>
      <c r="AQ156" s="7" t="n">
        <v>0</v>
      </c>
    </row>
    <row r="157" customFormat="false" ht="15" hidden="false" customHeight="false" outlineLevel="0" collapsed="false">
      <c r="A157" s="23" t="n">
        <v>46474</v>
      </c>
      <c r="B157" s="7" t="n">
        <v>0.04</v>
      </c>
      <c r="C157" s="7" t="n">
        <v>-0.22</v>
      </c>
      <c r="D157" s="7" t="n">
        <v>0.031</v>
      </c>
      <c r="E157" s="7" t="n">
        <v>0.093</v>
      </c>
      <c r="F157" s="7" t="n">
        <v>0.184</v>
      </c>
      <c r="G157" s="7" t="n">
        <v>0.031</v>
      </c>
      <c r="H157" s="7" t="n">
        <v>-0.312</v>
      </c>
      <c r="I157" s="7" t="n">
        <v>-0.2</v>
      </c>
      <c r="J157" s="7" t="n">
        <v>0.22</v>
      </c>
      <c r="K157" s="7" t="n">
        <v>0.032</v>
      </c>
      <c r="L157" s="7" t="n">
        <v>0.046</v>
      </c>
      <c r="M157" s="7" t="n">
        <v>0.22</v>
      </c>
      <c r="N157" s="7" t="n">
        <v>0.18</v>
      </c>
      <c r="O157" s="7" t="n">
        <v>0.258</v>
      </c>
      <c r="P157" s="7" t="n">
        <v>-0.128</v>
      </c>
      <c r="Q157" s="7" t="n">
        <v>0.031</v>
      </c>
      <c r="R157" s="7" t="n">
        <v>-0.3</v>
      </c>
      <c r="S157" s="7" t="n">
        <v>-0.089</v>
      </c>
      <c r="T157" s="7" t="n">
        <v>-0.352</v>
      </c>
      <c r="U157" s="7" t="n">
        <v>-0.046</v>
      </c>
      <c r="V157" s="7" t="n">
        <v>-0.158</v>
      </c>
      <c r="W157" s="7" t="n">
        <v>0.031</v>
      </c>
      <c r="X157" s="7" t="n">
        <v>-0.123</v>
      </c>
      <c r="Y157" s="7" t="n">
        <v>0.012</v>
      </c>
      <c r="Z157" s="7" t="n">
        <v>0.032</v>
      </c>
      <c r="AA157" s="7" t="n">
        <v>-0.3</v>
      </c>
      <c r="AB157" s="7" t="n">
        <v>0.166</v>
      </c>
      <c r="AC157" s="7" t="n">
        <v>0.034</v>
      </c>
      <c r="AD157" s="7" t="n">
        <v>-0.014</v>
      </c>
      <c r="AE157" s="7" t="n">
        <v>0.184</v>
      </c>
      <c r="AF157" s="7" t="n">
        <v>0.051</v>
      </c>
      <c r="AG157" s="7" t="n">
        <v>0.012</v>
      </c>
      <c r="AH157" s="7" t="n">
        <v>0.597</v>
      </c>
      <c r="AI157" s="7" t="n">
        <v>0.015</v>
      </c>
      <c r="AJ157" s="7" t="n">
        <v>-0.131</v>
      </c>
      <c r="AK157" s="7" t="n">
        <v>-0.08</v>
      </c>
      <c r="AL157" s="7" t="n">
        <v>0</v>
      </c>
      <c r="AM157" s="7" t="n">
        <v>0.015</v>
      </c>
      <c r="AN157" s="7" t="n">
        <v>-0.019</v>
      </c>
      <c r="AO157" s="7" t="n">
        <v>0.003</v>
      </c>
      <c r="AP157" s="7" t="n">
        <v>0</v>
      </c>
      <c r="AQ157" s="7" t="n">
        <v>0</v>
      </c>
    </row>
    <row r="158" customFormat="false" ht="15" hidden="false" customHeight="false" outlineLevel="0" collapsed="false">
      <c r="A158" s="23" t="n">
        <v>46475</v>
      </c>
      <c r="B158" s="7" t="n">
        <v>0.04</v>
      </c>
      <c r="C158" s="7" t="n">
        <v>-0.22</v>
      </c>
      <c r="D158" s="7" t="n">
        <v>0.031</v>
      </c>
      <c r="E158" s="7" t="n">
        <v>0.093</v>
      </c>
      <c r="F158" s="7" t="n">
        <v>0.184</v>
      </c>
      <c r="G158" s="7" t="n">
        <v>0.031</v>
      </c>
      <c r="H158" s="7" t="n">
        <v>-0.312</v>
      </c>
      <c r="I158" s="7" t="n">
        <v>-0.2</v>
      </c>
      <c r="J158" s="7" t="n">
        <v>0.22</v>
      </c>
      <c r="K158" s="7" t="n">
        <v>0.032</v>
      </c>
      <c r="L158" s="7" t="n">
        <v>0.046</v>
      </c>
      <c r="M158" s="7" t="n">
        <v>0.22</v>
      </c>
      <c r="N158" s="7" t="n">
        <v>0.18</v>
      </c>
      <c r="O158" s="7" t="n">
        <v>0.258</v>
      </c>
      <c r="P158" s="7" t="n">
        <v>-0.128</v>
      </c>
      <c r="Q158" s="7" t="n">
        <v>0.031</v>
      </c>
      <c r="R158" s="7" t="n">
        <v>-0.3</v>
      </c>
      <c r="S158" s="7" t="n">
        <v>-0.089</v>
      </c>
      <c r="T158" s="7" t="n">
        <v>-0.352</v>
      </c>
      <c r="U158" s="7" t="n">
        <v>-0.046</v>
      </c>
      <c r="V158" s="7" t="n">
        <v>-0.158</v>
      </c>
      <c r="W158" s="7" t="n">
        <v>0.031</v>
      </c>
      <c r="X158" s="7" t="n">
        <v>-0.123</v>
      </c>
      <c r="Y158" s="7" t="n">
        <v>0.012</v>
      </c>
      <c r="Z158" s="7" t="n">
        <v>0.032</v>
      </c>
      <c r="AA158" s="7" t="n">
        <v>-0.3</v>
      </c>
      <c r="AB158" s="7" t="n">
        <v>0.166</v>
      </c>
      <c r="AC158" s="7" t="n">
        <v>0.034</v>
      </c>
      <c r="AD158" s="7" t="n">
        <v>-0.014</v>
      </c>
      <c r="AE158" s="7" t="n">
        <v>0.184</v>
      </c>
      <c r="AF158" s="7" t="n">
        <v>0.051</v>
      </c>
      <c r="AG158" s="7" t="n">
        <v>0.012</v>
      </c>
      <c r="AH158" s="7" t="n">
        <v>0.597</v>
      </c>
      <c r="AI158" s="7" t="n">
        <v>0.015</v>
      </c>
      <c r="AJ158" s="7" t="n">
        <v>-0.131</v>
      </c>
      <c r="AK158" s="7" t="n">
        <v>-0.08</v>
      </c>
      <c r="AL158" s="7" t="n">
        <v>0</v>
      </c>
      <c r="AM158" s="7" t="n">
        <v>0.015</v>
      </c>
      <c r="AN158" s="7" t="n">
        <v>-0.019</v>
      </c>
      <c r="AO158" s="7" t="n">
        <v>0.003</v>
      </c>
      <c r="AP158" s="7" t="n">
        <v>0</v>
      </c>
      <c r="AQ158" s="7" t="n">
        <v>0</v>
      </c>
    </row>
    <row r="159" customFormat="false" ht="15" hidden="false" customHeight="false" outlineLevel="0" collapsed="false">
      <c r="A159" s="23" t="n">
        <v>46476</v>
      </c>
      <c r="B159" s="7" t="n">
        <v>0.066</v>
      </c>
      <c r="C159" s="7" t="n">
        <v>-0.219</v>
      </c>
      <c r="D159" s="7" t="n">
        <v>0.031</v>
      </c>
      <c r="E159" s="7" t="n">
        <v>0.118</v>
      </c>
      <c r="F159" s="7" t="n">
        <v>0.21</v>
      </c>
      <c r="G159" s="7" t="n">
        <v>0.031</v>
      </c>
      <c r="H159" s="7" t="n">
        <v>-0.214</v>
      </c>
      <c r="I159" s="7" t="n">
        <v>-0.134</v>
      </c>
      <c r="J159" s="7" t="n">
        <v>0.254</v>
      </c>
      <c r="K159" s="7" t="n">
        <v>0.031</v>
      </c>
      <c r="L159" s="7" t="n">
        <v>0.051</v>
      </c>
      <c r="M159" s="7" t="n">
        <v>0.254</v>
      </c>
      <c r="N159" s="7" t="n">
        <v>0.197</v>
      </c>
      <c r="O159" s="7" t="n">
        <v>0.293</v>
      </c>
      <c r="P159" s="7" t="n">
        <v>-0.12</v>
      </c>
      <c r="Q159" s="7" t="n">
        <v>0.031</v>
      </c>
      <c r="R159" s="7" t="n">
        <v>-0.207</v>
      </c>
      <c r="S159" s="7" t="n">
        <v>-0.159</v>
      </c>
      <c r="T159" s="7" t="n">
        <v>-0.245</v>
      </c>
      <c r="U159" s="7" t="n">
        <v>-0.086</v>
      </c>
      <c r="V159" s="7" t="n">
        <v>-0.121</v>
      </c>
      <c r="W159" s="7" t="n">
        <v>0.031</v>
      </c>
      <c r="X159" s="7" t="n">
        <v>-0.089</v>
      </c>
      <c r="Y159" s="7" t="n">
        <v>-0.002</v>
      </c>
      <c r="Z159" s="7" t="n">
        <v>0.031</v>
      </c>
      <c r="AA159" s="7" t="n">
        <v>-0.207</v>
      </c>
      <c r="AB159" s="7" t="n">
        <v>0.231</v>
      </c>
      <c r="AC159" s="7" t="n">
        <v>0.061</v>
      </c>
      <c r="AD159" s="7" t="n">
        <v>-0.042</v>
      </c>
      <c r="AE159" s="7" t="n">
        <v>0.21</v>
      </c>
      <c r="AF159" s="7" t="n">
        <v>0.055</v>
      </c>
      <c r="AG159" s="7" t="n">
        <v>-0.002</v>
      </c>
      <c r="AH159" s="7" t="n">
        <v>0.639</v>
      </c>
      <c r="AI159" s="7" t="n">
        <v>0.02</v>
      </c>
      <c r="AJ159" s="7" t="n">
        <v>-0.117</v>
      </c>
      <c r="AK159" s="7" t="n">
        <v>-0.064</v>
      </c>
      <c r="AL159" s="7" t="n">
        <v>0</v>
      </c>
      <c r="AM159" s="7" t="n">
        <v>0.02</v>
      </c>
      <c r="AN159" s="7" t="n">
        <v>-0.034</v>
      </c>
      <c r="AO159" s="7" t="n">
        <v>0.03</v>
      </c>
      <c r="AP159" s="7" t="n">
        <v>0</v>
      </c>
      <c r="AQ159" s="7" t="n">
        <v>0</v>
      </c>
    </row>
    <row r="160" customFormat="false" ht="15" hidden="false" customHeight="false" outlineLevel="0" collapsed="false">
      <c r="A160" s="23" t="n">
        <v>46477</v>
      </c>
      <c r="B160" s="7" t="n">
        <v>0.089</v>
      </c>
      <c r="C160" s="7" t="n">
        <v>-0.217</v>
      </c>
      <c r="D160" s="7" t="n">
        <v>0.031</v>
      </c>
      <c r="E160" s="7" t="n">
        <v>0.193</v>
      </c>
      <c r="F160" s="7" t="n">
        <v>0.235</v>
      </c>
      <c r="G160" s="7" t="n">
        <v>0.031</v>
      </c>
      <c r="H160" s="7" t="n">
        <v>-0.143</v>
      </c>
      <c r="I160" s="7" t="n">
        <v>-0.097</v>
      </c>
      <c r="J160" s="7" t="n">
        <v>0.314</v>
      </c>
      <c r="K160" s="7" t="n">
        <v>0.162</v>
      </c>
      <c r="L160" s="7" t="n">
        <v>0.056</v>
      </c>
      <c r="M160" s="7" t="n">
        <v>0.314</v>
      </c>
      <c r="N160" s="7" t="n">
        <v>0.187</v>
      </c>
      <c r="O160" s="7" t="n">
        <v>0.258</v>
      </c>
      <c r="P160" s="7" t="n">
        <v>-0.085</v>
      </c>
      <c r="Q160" s="7" t="n">
        <v>0.031</v>
      </c>
      <c r="R160" s="7" t="n">
        <v>-0.141</v>
      </c>
      <c r="S160" s="7" t="n">
        <v>-0.178</v>
      </c>
      <c r="T160" s="7" t="n">
        <v>-0.165</v>
      </c>
      <c r="U160" s="7" t="n">
        <v>-0.11</v>
      </c>
      <c r="V160" s="7" t="n">
        <v>-0.098</v>
      </c>
      <c r="W160" s="7" t="n">
        <v>0.031</v>
      </c>
      <c r="X160" s="7" t="n">
        <v>-0.049</v>
      </c>
      <c r="Y160" s="7" t="n">
        <v>-0.043</v>
      </c>
      <c r="Z160" s="7" t="n">
        <v>0.162</v>
      </c>
      <c r="AA160" s="7" t="n">
        <v>-0.141</v>
      </c>
      <c r="AB160" s="7" t="n">
        <v>0.336</v>
      </c>
      <c r="AC160" s="7" t="n">
        <v>0.067</v>
      </c>
      <c r="AD160" s="7" t="n">
        <v>-0.042</v>
      </c>
      <c r="AE160" s="7" t="n">
        <v>0.235</v>
      </c>
      <c r="AF160" s="7" t="n">
        <v>0.089</v>
      </c>
      <c r="AG160" s="7" t="n">
        <v>-0.043</v>
      </c>
      <c r="AH160" s="7" t="n">
        <v>0.668</v>
      </c>
      <c r="AI160" s="7" t="n">
        <v>0.025</v>
      </c>
      <c r="AJ160" s="7" t="n">
        <v>-0.131</v>
      </c>
      <c r="AK160" s="7" t="n">
        <v>-0.084</v>
      </c>
      <c r="AL160" s="7" t="n">
        <v>0</v>
      </c>
      <c r="AM160" s="7" t="n">
        <v>0.025</v>
      </c>
      <c r="AN160" s="7" t="n">
        <v>-0.074</v>
      </c>
      <c r="AO160" s="7" t="n">
        <v>0.036</v>
      </c>
      <c r="AP160" s="7" t="n">
        <v>0</v>
      </c>
      <c r="AQ160" s="7" t="n">
        <v>0</v>
      </c>
    </row>
    <row r="161" customFormat="false" ht="15" hidden="false" customHeight="false" outlineLevel="0" collapsed="false">
      <c r="A161" s="23" t="n">
        <v>46478</v>
      </c>
      <c r="B161" s="7" t="n">
        <v>0.081</v>
      </c>
      <c r="C161" s="7" t="n">
        <v>-0.246</v>
      </c>
      <c r="D161" s="7" t="n">
        <v>0.031</v>
      </c>
      <c r="E161" s="7" t="n">
        <v>0.272</v>
      </c>
      <c r="F161" s="7" t="n">
        <v>0.23</v>
      </c>
      <c r="G161" s="7" t="n">
        <v>0.031</v>
      </c>
      <c r="H161" s="7" t="n">
        <v>-0.081</v>
      </c>
      <c r="I161" s="7" t="n">
        <v>-0.1</v>
      </c>
      <c r="J161" s="7" t="n">
        <v>0.343</v>
      </c>
      <c r="K161" s="7" t="n">
        <v>0.295</v>
      </c>
      <c r="L161" s="7" t="n">
        <v>0.056</v>
      </c>
      <c r="M161" s="7" t="n">
        <v>0.343</v>
      </c>
      <c r="N161" s="7" t="n">
        <v>0.144</v>
      </c>
      <c r="O161" s="7" t="n">
        <v>0.186</v>
      </c>
      <c r="P161" s="7" t="n">
        <v>-0.06</v>
      </c>
      <c r="Q161" s="7" t="n">
        <v>0.031</v>
      </c>
      <c r="R161" s="7" t="n">
        <v>-0.081</v>
      </c>
      <c r="S161" s="7" t="n">
        <v>-0.195</v>
      </c>
      <c r="T161" s="7" t="n">
        <v>-0.081</v>
      </c>
      <c r="U161" s="7" t="n">
        <v>-0.133</v>
      </c>
      <c r="V161" s="7" t="n">
        <v>-0.081</v>
      </c>
      <c r="W161" s="7" t="n">
        <v>0.031</v>
      </c>
      <c r="X161" s="7" t="n">
        <v>-0.053</v>
      </c>
      <c r="Y161" s="7" t="n">
        <v>-0.081</v>
      </c>
      <c r="Z161" s="7" t="n">
        <v>0.295</v>
      </c>
      <c r="AA161" s="7" t="n">
        <v>-0.081</v>
      </c>
      <c r="AB161" s="7" t="n">
        <v>0.426</v>
      </c>
      <c r="AC161" s="7" t="n">
        <v>0.039</v>
      </c>
      <c r="AD161" s="7" t="n">
        <v>-0.039</v>
      </c>
      <c r="AE161" s="7" t="n">
        <v>0.23</v>
      </c>
      <c r="AF161" s="7" t="n">
        <v>0.124</v>
      </c>
      <c r="AG161" s="7" t="n">
        <v>-0.081</v>
      </c>
      <c r="AH161" s="7" t="n">
        <v>0.672</v>
      </c>
      <c r="AI161" s="7" t="n">
        <v>0.025</v>
      </c>
      <c r="AJ161" s="7" t="n">
        <v>-0.181</v>
      </c>
      <c r="AK161" s="7" t="n">
        <v>-0.14</v>
      </c>
      <c r="AL161" s="7" t="n">
        <v>0</v>
      </c>
      <c r="AM161" s="7" t="n">
        <v>0.025</v>
      </c>
      <c r="AN161" s="7" t="n">
        <v>-0.112</v>
      </c>
      <c r="AO161" s="7" t="n">
        <v>0.007</v>
      </c>
      <c r="AP161" s="7" t="n">
        <v>0</v>
      </c>
      <c r="AQ161" s="7" t="n">
        <v>0</v>
      </c>
    </row>
    <row r="162" customFormat="false" ht="15" hidden="false" customHeight="false" outlineLevel="0" collapsed="false">
      <c r="A162" s="23" t="n">
        <v>46479</v>
      </c>
      <c r="B162" s="7" t="n">
        <v>0.043</v>
      </c>
      <c r="C162" s="7" t="n">
        <v>-0.288</v>
      </c>
      <c r="D162" s="7" t="n">
        <v>0.031</v>
      </c>
      <c r="E162" s="7" t="n">
        <v>0.315</v>
      </c>
      <c r="F162" s="7" t="n">
        <v>0.203</v>
      </c>
      <c r="G162" s="7" t="n">
        <v>0.031</v>
      </c>
      <c r="H162" s="7" t="n">
        <v>-0.117</v>
      </c>
      <c r="I162" s="7" t="n">
        <v>-0.175</v>
      </c>
      <c r="J162" s="7" t="n">
        <v>0.35</v>
      </c>
      <c r="K162" s="7" t="n">
        <v>0.428</v>
      </c>
      <c r="L162" s="7" t="n">
        <v>0.056</v>
      </c>
      <c r="M162" s="7" t="n">
        <v>0.35</v>
      </c>
      <c r="N162" s="7" t="n">
        <v>0.08</v>
      </c>
      <c r="O162" s="7" t="n">
        <v>0.088</v>
      </c>
      <c r="P162" s="7" t="n">
        <v>-0.035</v>
      </c>
      <c r="Q162" s="7" t="n">
        <v>0.031</v>
      </c>
      <c r="R162" s="7" t="n">
        <v>-0.117</v>
      </c>
      <c r="S162" s="7" t="n">
        <v>-0.159</v>
      </c>
      <c r="T162" s="7" t="n">
        <v>-0.117</v>
      </c>
      <c r="U162" s="7" t="n">
        <v>-0.118</v>
      </c>
      <c r="V162" s="7" t="n">
        <v>-0.117</v>
      </c>
      <c r="W162" s="7" t="n">
        <v>0.031</v>
      </c>
      <c r="X162" s="7" t="n">
        <v>-0.077</v>
      </c>
      <c r="Y162" s="7" t="n">
        <v>-0.117</v>
      </c>
      <c r="Z162" s="7" t="n">
        <v>0.428</v>
      </c>
      <c r="AA162" s="7" t="n">
        <v>-0.117</v>
      </c>
      <c r="AB162" s="7" t="n">
        <v>0.386</v>
      </c>
      <c r="AC162" s="7" t="n">
        <v>-0.011</v>
      </c>
      <c r="AD162" s="7" t="n">
        <v>-0.02</v>
      </c>
      <c r="AE162" s="7" t="n">
        <v>0.203</v>
      </c>
      <c r="AF162" s="7" t="n">
        <v>0.149</v>
      </c>
      <c r="AG162" s="7" t="n">
        <v>-0.117</v>
      </c>
      <c r="AH162" s="7" t="n">
        <v>0.642</v>
      </c>
      <c r="AI162" s="7" t="n">
        <v>0.025</v>
      </c>
      <c r="AJ162" s="7" t="n">
        <v>-0.246</v>
      </c>
      <c r="AK162" s="7" t="n">
        <v>-0.213</v>
      </c>
      <c r="AL162" s="7" t="n">
        <v>0</v>
      </c>
      <c r="AM162" s="7" t="n">
        <v>0.025</v>
      </c>
      <c r="AN162" s="7" t="n">
        <v>-0.148</v>
      </c>
      <c r="AO162" s="7" t="n">
        <v>-0.042</v>
      </c>
      <c r="AP162" s="7" t="n">
        <v>0</v>
      </c>
      <c r="AQ162" s="7" t="n">
        <v>0</v>
      </c>
    </row>
    <row r="163" customFormat="false" ht="15" hidden="false" customHeight="false" outlineLevel="0" collapsed="false">
      <c r="A163" s="23" t="n">
        <v>46480</v>
      </c>
      <c r="B163" s="7" t="n">
        <v>0.009</v>
      </c>
      <c r="C163" s="7" t="n">
        <v>-0.322</v>
      </c>
      <c r="D163" s="7" t="n">
        <v>0.031</v>
      </c>
      <c r="E163" s="7" t="n">
        <v>0.363</v>
      </c>
      <c r="F163" s="7" t="n">
        <v>0.177</v>
      </c>
      <c r="G163" s="7" t="n">
        <v>0.031</v>
      </c>
      <c r="H163" s="7" t="n">
        <v>-0.151</v>
      </c>
      <c r="I163" s="7" t="n">
        <v>-0.246</v>
      </c>
      <c r="J163" s="7" t="n">
        <v>0.357</v>
      </c>
      <c r="K163" s="7" t="n">
        <v>0.567</v>
      </c>
      <c r="L163" s="7" t="n">
        <v>0.056</v>
      </c>
      <c r="M163" s="7" t="n">
        <v>0.357</v>
      </c>
      <c r="N163" s="7" t="n">
        <v>0.021</v>
      </c>
      <c r="O163" s="7" t="n">
        <v>-0.013</v>
      </c>
      <c r="P163" s="7" t="n">
        <v>-0.007</v>
      </c>
      <c r="Q163" s="7" t="n">
        <v>0.031</v>
      </c>
      <c r="R163" s="7" t="n">
        <v>-0.151</v>
      </c>
      <c r="S163" s="7" t="n">
        <v>-0.116</v>
      </c>
      <c r="T163" s="7" t="n">
        <v>-0.151</v>
      </c>
      <c r="U163" s="7" t="n">
        <v>-0.1</v>
      </c>
      <c r="V163" s="7" t="n">
        <v>-0.151</v>
      </c>
      <c r="W163" s="7" t="n">
        <v>0.031</v>
      </c>
      <c r="X163" s="7" t="n">
        <v>-0.098</v>
      </c>
      <c r="Y163" s="7" t="n">
        <v>-0.151</v>
      </c>
      <c r="Z163" s="7" t="n">
        <v>0.567</v>
      </c>
      <c r="AA163" s="7" t="n">
        <v>-0.151</v>
      </c>
      <c r="AB163" s="7" t="n">
        <v>0.339</v>
      </c>
      <c r="AC163" s="7" t="n">
        <v>-0.06</v>
      </c>
      <c r="AD163" s="7" t="n">
        <v>0.004</v>
      </c>
      <c r="AE163" s="7" t="n">
        <v>0.177</v>
      </c>
      <c r="AF163" s="7" t="n">
        <v>0.178</v>
      </c>
      <c r="AG163" s="7" t="n">
        <v>-0.151</v>
      </c>
      <c r="AH163" s="7" t="n">
        <v>0.613</v>
      </c>
      <c r="AI163" s="7" t="n">
        <v>0.025</v>
      </c>
      <c r="AJ163" s="7" t="n">
        <v>-0.307</v>
      </c>
      <c r="AK163" s="7" t="n">
        <v>-0.281</v>
      </c>
      <c r="AL163" s="7" t="n">
        <v>0</v>
      </c>
      <c r="AM163" s="7" t="n">
        <v>0.025</v>
      </c>
      <c r="AN163" s="7" t="n">
        <v>-0.181</v>
      </c>
      <c r="AO163" s="7" t="n">
        <v>-0.091</v>
      </c>
      <c r="AP163" s="7" t="n">
        <v>0</v>
      </c>
      <c r="AQ163" s="7" t="n">
        <v>0</v>
      </c>
    </row>
    <row r="164" customFormat="false" ht="15" hidden="false" customHeight="false" outlineLevel="0" collapsed="false">
      <c r="A164" s="23" t="n">
        <v>46481</v>
      </c>
      <c r="B164" s="7" t="n">
        <v>0.009</v>
      </c>
      <c r="C164" s="7" t="n">
        <v>-0.322</v>
      </c>
      <c r="D164" s="7" t="n">
        <v>0.031</v>
      </c>
      <c r="E164" s="7" t="n">
        <v>0.363</v>
      </c>
      <c r="F164" s="7" t="n">
        <v>0.177</v>
      </c>
      <c r="G164" s="7" t="n">
        <v>0.031</v>
      </c>
      <c r="H164" s="7" t="n">
        <v>-0.151</v>
      </c>
      <c r="I164" s="7" t="n">
        <v>-0.246</v>
      </c>
      <c r="J164" s="7" t="n">
        <v>0.357</v>
      </c>
      <c r="K164" s="7" t="n">
        <v>0.567</v>
      </c>
      <c r="L164" s="7" t="n">
        <v>0.056</v>
      </c>
      <c r="M164" s="7" t="n">
        <v>0.357</v>
      </c>
      <c r="N164" s="7" t="n">
        <v>0.021</v>
      </c>
      <c r="O164" s="7" t="n">
        <v>-0.013</v>
      </c>
      <c r="P164" s="7" t="n">
        <v>-0.007</v>
      </c>
      <c r="Q164" s="7" t="n">
        <v>0.031</v>
      </c>
      <c r="R164" s="7" t="n">
        <v>-0.151</v>
      </c>
      <c r="S164" s="7" t="n">
        <v>-0.116</v>
      </c>
      <c r="T164" s="7" t="n">
        <v>-0.151</v>
      </c>
      <c r="U164" s="7" t="n">
        <v>-0.1</v>
      </c>
      <c r="V164" s="7" t="n">
        <v>-0.151</v>
      </c>
      <c r="W164" s="7" t="n">
        <v>0.031</v>
      </c>
      <c r="X164" s="7" t="n">
        <v>-0.098</v>
      </c>
      <c r="Y164" s="7" t="n">
        <v>-0.151</v>
      </c>
      <c r="Z164" s="7" t="n">
        <v>0.567</v>
      </c>
      <c r="AA164" s="7" t="n">
        <v>-0.151</v>
      </c>
      <c r="AB164" s="7" t="n">
        <v>0.339</v>
      </c>
      <c r="AC164" s="7" t="n">
        <v>-0.06</v>
      </c>
      <c r="AD164" s="7" t="n">
        <v>0.004</v>
      </c>
      <c r="AE164" s="7" t="n">
        <v>0.177</v>
      </c>
      <c r="AF164" s="7" t="n">
        <v>0.178</v>
      </c>
      <c r="AG164" s="7" t="n">
        <v>-0.151</v>
      </c>
      <c r="AH164" s="7" t="n">
        <v>0.613</v>
      </c>
      <c r="AI164" s="7" t="n">
        <v>0.025</v>
      </c>
      <c r="AJ164" s="7" t="n">
        <v>-0.307</v>
      </c>
      <c r="AK164" s="7" t="n">
        <v>-0.281</v>
      </c>
      <c r="AL164" s="7" t="n">
        <v>0</v>
      </c>
      <c r="AM164" s="7" t="n">
        <v>0.025</v>
      </c>
      <c r="AN164" s="7" t="n">
        <v>-0.181</v>
      </c>
      <c r="AO164" s="7" t="n">
        <v>-0.091</v>
      </c>
      <c r="AP164" s="7" t="n">
        <v>0</v>
      </c>
      <c r="AQ164" s="7" t="n">
        <v>0</v>
      </c>
    </row>
    <row r="165" customFormat="false" ht="15" hidden="false" customHeight="false" outlineLevel="0" collapsed="false">
      <c r="A165" s="23" t="n">
        <v>46482</v>
      </c>
      <c r="B165" s="7" t="n">
        <v>0.009</v>
      </c>
      <c r="C165" s="7" t="n">
        <v>-0.322</v>
      </c>
      <c r="D165" s="7" t="n">
        <v>0.031</v>
      </c>
      <c r="E165" s="7" t="n">
        <v>0.363</v>
      </c>
      <c r="F165" s="7" t="n">
        <v>0.177</v>
      </c>
      <c r="G165" s="7" t="n">
        <v>0.031</v>
      </c>
      <c r="H165" s="7" t="n">
        <v>-0.151</v>
      </c>
      <c r="I165" s="7" t="n">
        <v>-0.246</v>
      </c>
      <c r="J165" s="7" t="n">
        <v>0.357</v>
      </c>
      <c r="K165" s="7" t="n">
        <v>0.567</v>
      </c>
      <c r="L165" s="7" t="n">
        <v>0.056</v>
      </c>
      <c r="M165" s="7" t="n">
        <v>0.357</v>
      </c>
      <c r="N165" s="7" t="n">
        <v>0.021</v>
      </c>
      <c r="O165" s="7" t="n">
        <v>-0.013</v>
      </c>
      <c r="P165" s="7" t="n">
        <v>-0.007</v>
      </c>
      <c r="Q165" s="7" t="n">
        <v>0.031</v>
      </c>
      <c r="R165" s="7" t="n">
        <v>-0.151</v>
      </c>
      <c r="S165" s="7" t="n">
        <v>-0.116</v>
      </c>
      <c r="T165" s="7" t="n">
        <v>-0.151</v>
      </c>
      <c r="U165" s="7" t="n">
        <v>-0.1</v>
      </c>
      <c r="V165" s="7" t="n">
        <v>-0.151</v>
      </c>
      <c r="W165" s="7" t="n">
        <v>0.031</v>
      </c>
      <c r="X165" s="7" t="n">
        <v>-0.098</v>
      </c>
      <c r="Y165" s="7" t="n">
        <v>-0.151</v>
      </c>
      <c r="Z165" s="7" t="n">
        <v>0.567</v>
      </c>
      <c r="AA165" s="7" t="n">
        <v>-0.151</v>
      </c>
      <c r="AB165" s="7" t="n">
        <v>0.339</v>
      </c>
      <c r="AC165" s="7" t="n">
        <v>-0.06</v>
      </c>
      <c r="AD165" s="7" t="n">
        <v>0.004</v>
      </c>
      <c r="AE165" s="7" t="n">
        <v>0.177</v>
      </c>
      <c r="AF165" s="7" t="n">
        <v>0.178</v>
      </c>
      <c r="AG165" s="7" t="n">
        <v>-0.151</v>
      </c>
      <c r="AH165" s="7" t="n">
        <v>0.613</v>
      </c>
      <c r="AI165" s="7" t="n">
        <v>0.025</v>
      </c>
      <c r="AJ165" s="7" t="n">
        <v>-0.307</v>
      </c>
      <c r="AK165" s="7" t="n">
        <v>-0.281</v>
      </c>
      <c r="AL165" s="7" t="n">
        <v>0</v>
      </c>
      <c r="AM165" s="7" t="n">
        <v>0.025</v>
      </c>
      <c r="AN165" s="7" t="n">
        <v>-0.181</v>
      </c>
      <c r="AO165" s="7" t="n">
        <v>-0.091</v>
      </c>
      <c r="AP165" s="7" t="n">
        <v>0</v>
      </c>
      <c r="AQ165" s="7" t="n">
        <v>0</v>
      </c>
    </row>
    <row r="166" customFormat="false" ht="15" hidden="false" customHeight="false" outlineLevel="0" collapsed="false">
      <c r="A166" s="23" t="n">
        <v>46483</v>
      </c>
      <c r="B166" s="7" t="n">
        <v>-0.041</v>
      </c>
      <c r="C166" s="7" t="n">
        <v>-0.362</v>
      </c>
      <c r="D166" s="7" t="n">
        <v>0.031</v>
      </c>
      <c r="E166" s="7" t="n">
        <v>0.417</v>
      </c>
      <c r="F166" s="7" t="n">
        <v>0.128</v>
      </c>
      <c r="G166" s="7" t="n">
        <v>0.031</v>
      </c>
      <c r="H166" s="7" t="n">
        <v>-0.185</v>
      </c>
      <c r="I166" s="7" t="n">
        <v>-0.333</v>
      </c>
      <c r="J166" s="7" t="n">
        <v>0.335</v>
      </c>
      <c r="K166" s="7" t="n">
        <v>0.711</v>
      </c>
      <c r="L166" s="7" t="n">
        <v>0.056</v>
      </c>
      <c r="M166" s="7" t="n">
        <v>0.335</v>
      </c>
      <c r="N166" s="7" t="n">
        <v>-0.063</v>
      </c>
      <c r="O166" s="7" t="n">
        <v>-0.143</v>
      </c>
      <c r="P166" s="7" t="n">
        <v>0.028</v>
      </c>
      <c r="Q166" s="7" t="n">
        <v>0.031</v>
      </c>
      <c r="R166" s="7" t="n">
        <v>-0.185</v>
      </c>
      <c r="S166" s="7" t="n">
        <v>-0.053</v>
      </c>
      <c r="T166" s="7" t="n">
        <v>-0.185</v>
      </c>
      <c r="U166" s="7" t="n">
        <v>-0.076</v>
      </c>
      <c r="V166" s="7" t="n">
        <v>-0.185</v>
      </c>
      <c r="W166" s="7" t="n">
        <v>0.031</v>
      </c>
      <c r="X166" s="7" t="n">
        <v>-0.133</v>
      </c>
      <c r="Y166" s="7" t="n">
        <v>-0.185</v>
      </c>
      <c r="Z166" s="7" t="n">
        <v>0.711</v>
      </c>
      <c r="AA166" s="7" t="n">
        <v>-0.185</v>
      </c>
      <c r="AB166" s="7" t="n">
        <v>0.282</v>
      </c>
      <c r="AC166" s="7" t="n">
        <v>-0.129</v>
      </c>
      <c r="AD166" s="7" t="n">
        <v>0.031</v>
      </c>
      <c r="AE166" s="7" t="n">
        <v>0.128</v>
      </c>
      <c r="AF166" s="7" t="n">
        <v>0.216</v>
      </c>
      <c r="AG166" s="7" t="n">
        <v>-0.185</v>
      </c>
      <c r="AH166" s="7" t="n">
        <v>0.567</v>
      </c>
      <c r="AI166" s="7" t="n">
        <v>0.025</v>
      </c>
      <c r="AJ166" s="7" t="n">
        <v>-0.382</v>
      </c>
      <c r="AK166" s="7" t="n">
        <v>-0.365</v>
      </c>
      <c r="AL166" s="7" t="n">
        <v>0</v>
      </c>
      <c r="AM166" s="7" t="n">
        <v>0.025</v>
      </c>
      <c r="AN166" s="7" t="n">
        <v>-0.215</v>
      </c>
      <c r="AO166" s="7" t="n">
        <v>-0.16</v>
      </c>
      <c r="AP166" s="7" t="n">
        <v>0</v>
      </c>
      <c r="AQ166" s="7" t="n">
        <v>0</v>
      </c>
    </row>
    <row r="167" customFormat="false" ht="15" hidden="false" customHeight="false" outlineLevel="0" collapsed="false">
      <c r="A167" s="23" t="n">
        <v>46484</v>
      </c>
      <c r="B167" s="7" t="n">
        <v>-0.086</v>
      </c>
      <c r="C167" s="7" t="n">
        <v>-0.396</v>
      </c>
      <c r="D167" s="7" t="n">
        <v>0.031</v>
      </c>
      <c r="E167" s="7" t="n">
        <v>0.425</v>
      </c>
      <c r="F167" s="7" t="n">
        <v>0.077</v>
      </c>
      <c r="G167" s="7" t="n">
        <v>0.031</v>
      </c>
      <c r="H167" s="7" t="n">
        <v>-0.191</v>
      </c>
      <c r="I167" s="7" t="n">
        <v>-0.381</v>
      </c>
      <c r="J167" s="7" t="n">
        <v>0.278</v>
      </c>
      <c r="K167" s="7" t="n">
        <v>0.724</v>
      </c>
      <c r="L167" s="7" t="n">
        <v>0.056</v>
      </c>
      <c r="M167" s="7" t="n">
        <v>0.278</v>
      </c>
      <c r="N167" s="7" t="n">
        <v>-0.12</v>
      </c>
      <c r="O167" s="7" t="n">
        <v>-0.209</v>
      </c>
      <c r="P167" s="7" t="n">
        <v>0.035</v>
      </c>
      <c r="Q167" s="7" t="n">
        <v>0.031</v>
      </c>
      <c r="R167" s="7" t="n">
        <v>-0.191</v>
      </c>
      <c r="S167" s="7" t="n">
        <v>-0.036</v>
      </c>
      <c r="T167" s="7" t="n">
        <v>-0.191</v>
      </c>
      <c r="U167" s="7" t="n">
        <v>-0.068</v>
      </c>
      <c r="V167" s="7" t="n">
        <v>-0.191</v>
      </c>
      <c r="W167" s="7" t="n">
        <v>0.031</v>
      </c>
      <c r="X167" s="7" t="n">
        <v>-0.174</v>
      </c>
      <c r="Y167" s="7" t="n">
        <v>-0.191</v>
      </c>
      <c r="Z167" s="7" t="n">
        <v>0.724</v>
      </c>
      <c r="AA167" s="7" t="n">
        <v>-0.191</v>
      </c>
      <c r="AB167" s="7" t="n">
        <v>0.184</v>
      </c>
      <c r="AC167" s="7" t="n">
        <v>-0.178</v>
      </c>
      <c r="AD167" s="7" t="n">
        <v>0.035</v>
      </c>
      <c r="AE167" s="7" t="n">
        <v>0.077</v>
      </c>
      <c r="AF167" s="7" t="n">
        <v>0.225</v>
      </c>
      <c r="AG167" s="7" t="n">
        <v>-0.191</v>
      </c>
      <c r="AH167" s="7" t="n">
        <v>0.532</v>
      </c>
      <c r="AI167" s="7" t="n">
        <v>0.025</v>
      </c>
      <c r="AJ167" s="7" t="n">
        <v>-0.426</v>
      </c>
      <c r="AK167" s="7" t="n">
        <v>-0.411</v>
      </c>
      <c r="AL167" s="7" t="n">
        <v>0</v>
      </c>
      <c r="AM167" s="7" t="n">
        <v>0.025</v>
      </c>
      <c r="AN167" s="7" t="n">
        <v>-0.221</v>
      </c>
      <c r="AO167" s="7" t="n">
        <v>-0.208</v>
      </c>
      <c r="AP167" s="7" t="n">
        <v>0</v>
      </c>
      <c r="AQ167" s="7" t="n">
        <v>0</v>
      </c>
    </row>
    <row r="168" customFormat="false" ht="15" hidden="false" customHeight="false" outlineLevel="0" collapsed="false">
      <c r="A168" s="23" t="n">
        <v>46485</v>
      </c>
      <c r="B168" s="7" t="n">
        <v>-0.141</v>
      </c>
      <c r="C168" s="7" t="n">
        <v>-0.429</v>
      </c>
      <c r="D168" s="7" t="n">
        <v>0.031</v>
      </c>
      <c r="E168" s="7" t="n">
        <v>0.435</v>
      </c>
      <c r="F168" s="7" t="n">
        <v>0.009</v>
      </c>
      <c r="G168" s="7" t="n">
        <v>0.031</v>
      </c>
      <c r="H168" s="7" t="n">
        <v>-0.196</v>
      </c>
      <c r="I168" s="7" t="n">
        <v>-0.429</v>
      </c>
      <c r="J168" s="7" t="n">
        <v>0.192</v>
      </c>
      <c r="K168" s="7" t="n">
        <v>0.734</v>
      </c>
      <c r="L168" s="7" t="n">
        <v>0.053</v>
      </c>
      <c r="M168" s="7" t="n">
        <v>0.192</v>
      </c>
      <c r="N168" s="7" t="n">
        <v>-0.194</v>
      </c>
      <c r="O168" s="7" t="n">
        <v>-0.298</v>
      </c>
      <c r="P168" s="7" t="n">
        <v>0.041</v>
      </c>
      <c r="Q168" s="7" t="n">
        <v>0.031</v>
      </c>
      <c r="R168" s="7" t="n">
        <v>-0.196</v>
      </c>
      <c r="S168" s="7" t="n">
        <v>-0.013</v>
      </c>
      <c r="T168" s="7" t="n">
        <v>-0.196</v>
      </c>
      <c r="U168" s="7" t="n">
        <v>-0.059</v>
      </c>
      <c r="V168" s="7" t="n">
        <v>-0.196</v>
      </c>
      <c r="W168" s="7" t="n">
        <v>0.031</v>
      </c>
      <c r="X168" s="7" t="n">
        <v>-0.218</v>
      </c>
      <c r="Y168" s="7" t="n">
        <v>-0.196</v>
      </c>
      <c r="Z168" s="7" t="n">
        <v>0.734</v>
      </c>
      <c r="AA168" s="7" t="n">
        <v>-0.196</v>
      </c>
      <c r="AB168" s="7" t="n">
        <v>0.06</v>
      </c>
      <c r="AC168" s="7" t="n">
        <v>-0.226</v>
      </c>
      <c r="AD168" s="7" t="n">
        <v>0.041</v>
      </c>
      <c r="AE168" s="7" t="n">
        <v>0.009</v>
      </c>
      <c r="AF168" s="7" t="n">
        <v>0.236</v>
      </c>
      <c r="AG168" s="7" t="n">
        <v>-0.196</v>
      </c>
      <c r="AH168" s="7" t="n">
        <v>0.497</v>
      </c>
      <c r="AI168" s="7" t="n">
        <v>0.021</v>
      </c>
      <c r="AJ168" s="7" t="n">
        <v>-0.472</v>
      </c>
      <c r="AK168" s="7" t="n">
        <v>-0.458</v>
      </c>
      <c r="AL168" s="7" t="n">
        <v>0</v>
      </c>
      <c r="AM168" s="7" t="n">
        <v>0.021</v>
      </c>
      <c r="AN168" s="7" t="n">
        <v>-0.225</v>
      </c>
      <c r="AO168" s="7" t="n">
        <v>-0.256</v>
      </c>
      <c r="AP168" s="7" t="n">
        <v>0</v>
      </c>
      <c r="AQ168" s="7" t="n">
        <v>0</v>
      </c>
    </row>
    <row r="169" customFormat="false" ht="15" hidden="false" customHeight="false" outlineLevel="0" collapsed="false">
      <c r="A169" s="23" t="n">
        <v>46486</v>
      </c>
      <c r="B169" s="7" t="n">
        <v>-0.138</v>
      </c>
      <c r="C169" s="7" t="n">
        <v>-0.434</v>
      </c>
      <c r="D169" s="7" t="n">
        <v>0.097</v>
      </c>
      <c r="E169" s="7" t="n">
        <v>0.313</v>
      </c>
      <c r="F169" s="7" t="n">
        <v>-0.055</v>
      </c>
      <c r="G169" s="7" t="n">
        <v>0.118</v>
      </c>
      <c r="H169" s="7" t="n">
        <v>-0.137</v>
      </c>
      <c r="I169" s="7" t="n">
        <v>-0.344</v>
      </c>
      <c r="J169" s="7" t="n">
        <v>0.085</v>
      </c>
      <c r="K169" s="7" t="n">
        <v>0.599</v>
      </c>
      <c r="L169" s="7" t="n">
        <v>0.049</v>
      </c>
      <c r="M169" s="7" t="n">
        <v>0.085</v>
      </c>
      <c r="N169" s="7" t="n">
        <v>-0.26</v>
      </c>
      <c r="O169" s="7" t="n">
        <v>-0.308</v>
      </c>
      <c r="P169" s="7" t="n">
        <v>0.121</v>
      </c>
      <c r="Q169" s="7" t="n">
        <v>0.031</v>
      </c>
      <c r="R169" s="7" t="n">
        <v>-0.141</v>
      </c>
      <c r="S169" s="7" t="n">
        <v>-0.007</v>
      </c>
      <c r="T169" s="7" t="n">
        <v>-0.203</v>
      </c>
      <c r="U169" s="7" t="n">
        <v>-0.036</v>
      </c>
      <c r="V169" s="7" t="n">
        <v>-0.096</v>
      </c>
      <c r="W169" s="7" t="n">
        <v>0.031</v>
      </c>
      <c r="X169" s="7" t="n">
        <v>-0.145</v>
      </c>
      <c r="Y169" s="7" t="n">
        <v>-0.198</v>
      </c>
      <c r="Z169" s="7" t="n">
        <v>0.599</v>
      </c>
      <c r="AA169" s="7" t="n">
        <v>-0.228</v>
      </c>
      <c r="AB169" s="7" t="n">
        <v>-0.02</v>
      </c>
      <c r="AC169" s="7" t="n">
        <v>-0.238</v>
      </c>
      <c r="AD169" s="7" t="n">
        <v>0.084</v>
      </c>
      <c r="AE169" s="7" t="n">
        <v>-0.055</v>
      </c>
      <c r="AF169" s="7" t="n">
        <v>0.2</v>
      </c>
      <c r="AG169" s="7" t="n">
        <v>-0.11</v>
      </c>
      <c r="AH169" s="7" t="n">
        <v>0.488</v>
      </c>
      <c r="AI169" s="7" t="n">
        <v>0.018</v>
      </c>
      <c r="AJ169" s="7" t="n">
        <v>-0.401</v>
      </c>
      <c r="AK169" s="7" t="n">
        <v>-0.471</v>
      </c>
      <c r="AL169" s="7" t="n">
        <v>0.084</v>
      </c>
      <c r="AM169" s="7" t="n">
        <v>0.018</v>
      </c>
      <c r="AN169" s="7" t="n">
        <v>-0.14</v>
      </c>
      <c r="AO169" s="7" t="n">
        <v>-0.267</v>
      </c>
      <c r="AP169" s="7" t="n">
        <v>0</v>
      </c>
      <c r="AQ169" s="7" t="n">
        <v>0</v>
      </c>
    </row>
    <row r="170" customFormat="false" ht="15" hidden="false" customHeight="false" outlineLevel="0" collapsed="false">
      <c r="A170" s="23" t="n">
        <v>46487</v>
      </c>
      <c r="B170" s="7" t="n">
        <v>-0.144</v>
      </c>
      <c r="C170" s="7" t="n">
        <v>-0.451</v>
      </c>
      <c r="D170" s="7" t="n">
        <v>0.167</v>
      </c>
      <c r="E170" s="7" t="n">
        <v>0.235</v>
      </c>
      <c r="F170" s="7" t="n">
        <v>-0.173</v>
      </c>
      <c r="G170" s="7" t="n">
        <v>0.201</v>
      </c>
      <c r="H170" s="7" t="n">
        <v>-0.012</v>
      </c>
      <c r="I170" s="7" t="n">
        <v>-0.271</v>
      </c>
      <c r="J170" s="7" t="n">
        <v>-0.076</v>
      </c>
      <c r="K170" s="7" t="n">
        <v>0.461</v>
      </c>
      <c r="L170" s="7" t="n">
        <v>0.049</v>
      </c>
      <c r="M170" s="7" t="n">
        <v>-0.076</v>
      </c>
      <c r="N170" s="7" t="n">
        <v>-0.336</v>
      </c>
      <c r="O170" s="7" t="n">
        <v>-0.367</v>
      </c>
      <c r="P170" s="7" t="n">
        <v>0.178</v>
      </c>
      <c r="Q170" s="7" t="n">
        <v>0.031</v>
      </c>
      <c r="R170" s="7" t="n">
        <v>-0.022</v>
      </c>
      <c r="S170" s="7" t="n">
        <v>0.09</v>
      </c>
      <c r="T170" s="7" t="n">
        <v>-0.119</v>
      </c>
      <c r="U170" s="7" t="n">
        <v>-0.015</v>
      </c>
      <c r="V170" s="7" t="n">
        <v>0.044</v>
      </c>
      <c r="W170" s="7" t="n">
        <v>0.031</v>
      </c>
      <c r="X170" s="7" t="n">
        <v>-0.161</v>
      </c>
      <c r="Y170" s="7" t="n">
        <v>-0.154</v>
      </c>
      <c r="Z170" s="7" t="n">
        <v>0.461</v>
      </c>
      <c r="AA170" s="7" t="n">
        <v>-0.194</v>
      </c>
      <c r="AB170" s="7" t="n">
        <v>-0.152</v>
      </c>
      <c r="AC170" s="7" t="n">
        <v>-0.305</v>
      </c>
      <c r="AD170" s="7" t="n">
        <v>0.167</v>
      </c>
      <c r="AE170" s="7" t="n">
        <v>-0.173</v>
      </c>
      <c r="AF170" s="7" t="n">
        <v>0.163</v>
      </c>
      <c r="AG170" s="7" t="n">
        <v>0.017</v>
      </c>
      <c r="AH170" s="7" t="n">
        <v>0.426</v>
      </c>
      <c r="AI170" s="7" t="n">
        <v>0.018</v>
      </c>
      <c r="AJ170" s="7" t="n">
        <v>-0.345</v>
      </c>
      <c r="AK170" s="7" t="n">
        <v>-0.495</v>
      </c>
      <c r="AL170" s="7" t="n">
        <v>0.169</v>
      </c>
      <c r="AM170" s="7" t="n">
        <v>0.018</v>
      </c>
      <c r="AN170" s="7" t="n">
        <v>-0.012</v>
      </c>
      <c r="AO170" s="7" t="n">
        <v>-0.333</v>
      </c>
      <c r="AP170" s="7" t="n">
        <v>0</v>
      </c>
      <c r="AQ170" s="7" t="n">
        <v>0</v>
      </c>
    </row>
    <row r="171" customFormat="false" ht="15" hidden="false" customHeight="false" outlineLevel="0" collapsed="false">
      <c r="A171" s="23" t="n">
        <v>46488</v>
      </c>
      <c r="B171" s="7" t="n">
        <v>-0.144</v>
      </c>
      <c r="C171" s="7" t="n">
        <v>-0.451</v>
      </c>
      <c r="D171" s="7" t="n">
        <v>0.167</v>
      </c>
      <c r="E171" s="7" t="n">
        <v>0.235</v>
      </c>
      <c r="F171" s="7" t="n">
        <v>-0.173</v>
      </c>
      <c r="G171" s="7" t="n">
        <v>0.201</v>
      </c>
      <c r="H171" s="7" t="n">
        <v>-0.012</v>
      </c>
      <c r="I171" s="7" t="n">
        <v>-0.271</v>
      </c>
      <c r="J171" s="7" t="n">
        <v>-0.076</v>
      </c>
      <c r="K171" s="7" t="n">
        <v>0.461</v>
      </c>
      <c r="L171" s="7" t="n">
        <v>0.049</v>
      </c>
      <c r="M171" s="7" t="n">
        <v>-0.076</v>
      </c>
      <c r="N171" s="7" t="n">
        <v>-0.336</v>
      </c>
      <c r="O171" s="7" t="n">
        <v>-0.367</v>
      </c>
      <c r="P171" s="7" t="n">
        <v>0.178</v>
      </c>
      <c r="Q171" s="7" t="n">
        <v>0.031</v>
      </c>
      <c r="R171" s="7" t="n">
        <v>-0.022</v>
      </c>
      <c r="S171" s="7" t="n">
        <v>0.09</v>
      </c>
      <c r="T171" s="7" t="n">
        <v>-0.119</v>
      </c>
      <c r="U171" s="7" t="n">
        <v>-0.015</v>
      </c>
      <c r="V171" s="7" t="n">
        <v>0.044</v>
      </c>
      <c r="W171" s="7" t="n">
        <v>0.031</v>
      </c>
      <c r="X171" s="7" t="n">
        <v>-0.161</v>
      </c>
      <c r="Y171" s="7" t="n">
        <v>-0.154</v>
      </c>
      <c r="Z171" s="7" t="n">
        <v>0.461</v>
      </c>
      <c r="AA171" s="7" t="n">
        <v>-0.194</v>
      </c>
      <c r="AB171" s="7" t="n">
        <v>-0.152</v>
      </c>
      <c r="AC171" s="7" t="n">
        <v>-0.305</v>
      </c>
      <c r="AD171" s="7" t="n">
        <v>0.167</v>
      </c>
      <c r="AE171" s="7" t="n">
        <v>-0.173</v>
      </c>
      <c r="AF171" s="7" t="n">
        <v>0.163</v>
      </c>
      <c r="AG171" s="7" t="n">
        <v>0.017</v>
      </c>
      <c r="AH171" s="7" t="n">
        <v>0.426</v>
      </c>
      <c r="AI171" s="7" t="n">
        <v>0.018</v>
      </c>
      <c r="AJ171" s="7" t="n">
        <v>-0.345</v>
      </c>
      <c r="AK171" s="7" t="n">
        <v>-0.495</v>
      </c>
      <c r="AL171" s="7" t="n">
        <v>0.169</v>
      </c>
      <c r="AM171" s="7" t="n">
        <v>0.018</v>
      </c>
      <c r="AN171" s="7" t="n">
        <v>-0.012</v>
      </c>
      <c r="AO171" s="7" t="n">
        <v>-0.333</v>
      </c>
      <c r="AP171" s="7" t="n">
        <v>0</v>
      </c>
      <c r="AQ171" s="7" t="n">
        <v>0</v>
      </c>
    </row>
    <row r="172" customFormat="false" ht="15" hidden="false" customHeight="false" outlineLevel="0" collapsed="false">
      <c r="A172" s="23" t="n">
        <v>46489</v>
      </c>
      <c r="B172" s="7" t="n">
        <v>-0.144</v>
      </c>
      <c r="C172" s="7" t="n">
        <v>-0.451</v>
      </c>
      <c r="D172" s="7" t="n">
        <v>0.167</v>
      </c>
      <c r="E172" s="7" t="n">
        <v>0.235</v>
      </c>
      <c r="F172" s="7" t="n">
        <v>-0.173</v>
      </c>
      <c r="G172" s="7" t="n">
        <v>0.201</v>
      </c>
      <c r="H172" s="7" t="n">
        <v>-0.012</v>
      </c>
      <c r="I172" s="7" t="n">
        <v>-0.271</v>
      </c>
      <c r="J172" s="7" t="n">
        <v>-0.076</v>
      </c>
      <c r="K172" s="7" t="n">
        <v>0.461</v>
      </c>
      <c r="L172" s="7" t="n">
        <v>0.049</v>
      </c>
      <c r="M172" s="7" t="n">
        <v>-0.076</v>
      </c>
      <c r="N172" s="7" t="n">
        <v>-0.336</v>
      </c>
      <c r="O172" s="7" t="n">
        <v>-0.367</v>
      </c>
      <c r="P172" s="7" t="n">
        <v>0.178</v>
      </c>
      <c r="Q172" s="7" t="n">
        <v>0.031</v>
      </c>
      <c r="R172" s="7" t="n">
        <v>-0.022</v>
      </c>
      <c r="S172" s="7" t="n">
        <v>0.09</v>
      </c>
      <c r="T172" s="7" t="n">
        <v>-0.119</v>
      </c>
      <c r="U172" s="7" t="n">
        <v>-0.015</v>
      </c>
      <c r="V172" s="7" t="n">
        <v>0.044</v>
      </c>
      <c r="W172" s="7" t="n">
        <v>0.031</v>
      </c>
      <c r="X172" s="7" t="n">
        <v>-0.161</v>
      </c>
      <c r="Y172" s="7" t="n">
        <v>-0.154</v>
      </c>
      <c r="Z172" s="7" t="n">
        <v>0.461</v>
      </c>
      <c r="AA172" s="7" t="n">
        <v>-0.194</v>
      </c>
      <c r="AB172" s="7" t="n">
        <v>-0.152</v>
      </c>
      <c r="AC172" s="7" t="n">
        <v>-0.305</v>
      </c>
      <c r="AD172" s="7" t="n">
        <v>0.167</v>
      </c>
      <c r="AE172" s="7" t="n">
        <v>-0.173</v>
      </c>
      <c r="AF172" s="7" t="n">
        <v>0.163</v>
      </c>
      <c r="AG172" s="7" t="n">
        <v>0.017</v>
      </c>
      <c r="AH172" s="7" t="n">
        <v>0.426</v>
      </c>
      <c r="AI172" s="7" t="n">
        <v>0.018</v>
      </c>
      <c r="AJ172" s="7" t="n">
        <v>-0.345</v>
      </c>
      <c r="AK172" s="7" t="n">
        <v>-0.495</v>
      </c>
      <c r="AL172" s="7" t="n">
        <v>0.169</v>
      </c>
      <c r="AM172" s="7" t="n">
        <v>0.018</v>
      </c>
      <c r="AN172" s="7" t="n">
        <v>-0.012</v>
      </c>
      <c r="AO172" s="7" t="n">
        <v>-0.333</v>
      </c>
      <c r="AP172" s="7" t="n">
        <v>0</v>
      </c>
      <c r="AQ172" s="7" t="n">
        <v>0</v>
      </c>
    </row>
    <row r="173" customFormat="false" ht="15" hidden="false" customHeight="false" outlineLevel="0" collapsed="false">
      <c r="A173" s="23" t="n">
        <v>46490</v>
      </c>
      <c r="B173" s="7" t="n">
        <v>-0.162</v>
      </c>
      <c r="C173" s="7" t="n">
        <v>-0.462</v>
      </c>
      <c r="D173" s="7" t="n">
        <v>0.213</v>
      </c>
      <c r="E173" s="7" t="n">
        <v>0.154</v>
      </c>
      <c r="F173" s="7" t="n">
        <v>-0.275</v>
      </c>
      <c r="G173" s="7" t="n">
        <v>0.208</v>
      </c>
      <c r="H173" s="7" t="n">
        <v>0.093</v>
      </c>
      <c r="I173" s="7" t="n">
        <v>-0.253</v>
      </c>
      <c r="J173" s="7" t="n">
        <v>-0.217</v>
      </c>
      <c r="K173" s="7" t="n">
        <v>0.318</v>
      </c>
      <c r="L173" s="7" t="n">
        <v>0.049</v>
      </c>
      <c r="M173" s="7" t="n">
        <v>-0.217</v>
      </c>
      <c r="N173" s="7" t="n">
        <v>-0.392</v>
      </c>
      <c r="O173" s="7" t="n">
        <v>-0.402</v>
      </c>
      <c r="P173" s="7" t="n">
        <v>0.209</v>
      </c>
      <c r="Q173" s="7" t="n">
        <v>0.031</v>
      </c>
      <c r="R173" s="7" t="n">
        <v>0.088</v>
      </c>
      <c r="S173" s="7" t="n">
        <v>0.164</v>
      </c>
      <c r="T173" s="7" t="n">
        <v>-0.007</v>
      </c>
      <c r="U173" s="7" t="n">
        <v>0.001</v>
      </c>
      <c r="V173" s="7" t="n">
        <v>0.127</v>
      </c>
      <c r="W173" s="7" t="n">
        <v>0.031</v>
      </c>
      <c r="X173" s="7" t="n">
        <v>-0.189</v>
      </c>
      <c r="Y173" s="7" t="n">
        <v>-0.108</v>
      </c>
      <c r="Z173" s="7" t="n">
        <v>0.318</v>
      </c>
      <c r="AA173" s="7" t="n">
        <v>-0.163</v>
      </c>
      <c r="AB173" s="7" t="n">
        <v>-0.264</v>
      </c>
      <c r="AC173" s="7" t="n">
        <v>-0.357</v>
      </c>
      <c r="AD173" s="7" t="n">
        <v>0.242</v>
      </c>
      <c r="AE173" s="7" t="n">
        <v>-0.275</v>
      </c>
      <c r="AF173" s="7" t="n">
        <v>0.121</v>
      </c>
      <c r="AG173" s="7" t="n">
        <v>0.141</v>
      </c>
      <c r="AH173" s="7" t="n">
        <v>0.37</v>
      </c>
      <c r="AI173" s="7" t="n">
        <v>0.018</v>
      </c>
      <c r="AJ173" s="7" t="n">
        <v>-0.288</v>
      </c>
      <c r="AK173" s="7" t="n">
        <v>-0.507</v>
      </c>
      <c r="AL173" s="7" t="n">
        <v>0.247</v>
      </c>
      <c r="AM173" s="7" t="n">
        <v>0.018</v>
      </c>
      <c r="AN173" s="7" t="n">
        <v>0.113</v>
      </c>
      <c r="AO173" s="7" t="n">
        <v>-0.384</v>
      </c>
      <c r="AP173" s="7" t="n">
        <v>0</v>
      </c>
      <c r="AQ173" s="7" t="n">
        <v>0</v>
      </c>
    </row>
    <row r="174" customFormat="false" ht="15" hidden="false" customHeight="false" outlineLevel="0" collapsed="false">
      <c r="A174" s="23" t="n">
        <v>46491</v>
      </c>
      <c r="B174" s="7" t="n">
        <v>-0.2</v>
      </c>
      <c r="C174" s="7" t="n">
        <v>-0.474</v>
      </c>
      <c r="D174" s="7" t="n">
        <v>0.235</v>
      </c>
      <c r="E174" s="7" t="n">
        <v>0.071</v>
      </c>
      <c r="F174" s="7" t="n">
        <v>-0.376</v>
      </c>
      <c r="G174" s="7" t="n">
        <v>0.166</v>
      </c>
      <c r="H174" s="7" t="n">
        <v>0.16</v>
      </c>
      <c r="I174" s="7" t="n">
        <v>-0.267</v>
      </c>
      <c r="J174" s="7" t="n">
        <v>-0.354</v>
      </c>
      <c r="K174" s="7" t="n">
        <v>0.175</v>
      </c>
      <c r="L174" s="7" t="n">
        <v>0.049</v>
      </c>
      <c r="M174" s="7" t="n">
        <v>-0.354</v>
      </c>
      <c r="N174" s="7" t="n">
        <v>-0.448</v>
      </c>
      <c r="O174" s="7" t="n">
        <v>-0.436</v>
      </c>
      <c r="P174" s="7" t="n">
        <v>0.209</v>
      </c>
      <c r="Q174" s="7" t="n">
        <v>0.031</v>
      </c>
      <c r="R174" s="7" t="n">
        <v>0.172</v>
      </c>
      <c r="S174" s="7" t="n">
        <v>0.244</v>
      </c>
      <c r="T174" s="7" t="n">
        <v>0.121</v>
      </c>
      <c r="U174" s="7" t="n">
        <v>0.017</v>
      </c>
      <c r="V174" s="7" t="n">
        <v>0.173</v>
      </c>
      <c r="W174" s="7" t="n">
        <v>0.031</v>
      </c>
      <c r="X174" s="7" t="n">
        <v>-0.242</v>
      </c>
      <c r="Y174" s="7" t="n">
        <v>-0.061</v>
      </c>
      <c r="Z174" s="7" t="n">
        <v>0.175</v>
      </c>
      <c r="AA174" s="7" t="n">
        <v>-0.125</v>
      </c>
      <c r="AB174" s="7" t="n">
        <v>-0.355</v>
      </c>
      <c r="AC174" s="7" t="n">
        <v>-0.41</v>
      </c>
      <c r="AD174" s="7" t="n">
        <v>0.285</v>
      </c>
      <c r="AE174" s="7" t="n">
        <v>-0.376</v>
      </c>
      <c r="AF174" s="7" t="n">
        <v>0.078</v>
      </c>
      <c r="AG174" s="7" t="n">
        <v>0.233</v>
      </c>
      <c r="AH174" s="7" t="n">
        <v>0.313</v>
      </c>
      <c r="AI174" s="7" t="n">
        <v>0.018</v>
      </c>
      <c r="AJ174" s="7" t="n">
        <v>-0.265</v>
      </c>
      <c r="AK174" s="7" t="n">
        <v>-0.518</v>
      </c>
      <c r="AL174" s="7" t="n">
        <v>0.292</v>
      </c>
      <c r="AM174" s="7" t="n">
        <v>0.018</v>
      </c>
      <c r="AN174" s="7" t="n">
        <v>0.205</v>
      </c>
      <c r="AO174" s="7" t="n">
        <v>-0.435</v>
      </c>
      <c r="AP174" s="7" t="n">
        <v>0</v>
      </c>
      <c r="AQ174" s="7" t="n">
        <v>0</v>
      </c>
    </row>
    <row r="175" customFormat="false" ht="15" hidden="false" customHeight="false" outlineLevel="0" collapsed="false">
      <c r="A175" s="23" t="n">
        <v>46492</v>
      </c>
      <c r="B175" s="7" t="n">
        <v>-0.221</v>
      </c>
      <c r="C175" s="7" t="n">
        <v>-0.488</v>
      </c>
      <c r="D175" s="7" t="n">
        <v>0.24</v>
      </c>
      <c r="E175" s="7" t="n">
        <v>-0.014</v>
      </c>
      <c r="F175" s="7" t="n">
        <v>-0.463</v>
      </c>
      <c r="G175" s="7" t="n">
        <v>0.108</v>
      </c>
      <c r="H175" s="7" t="n">
        <v>0.219</v>
      </c>
      <c r="I175" s="7" t="n">
        <v>-0.217</v>
      </c>
      <c r="J175" s="7" t="n">
        <v>-0.463</v>
      </c>
      <c r="K175" s="7" t="n">
        <v>0.031</v>
      </c>
      <c r="L175" s="7" t="n">
        <v>0.053</v>
      </c>
      <c r="M175" s="7" t="n">
        <v>-0.463</v>
      </c>
      <c r="N175" s="7" t="n">
        <v>-0.488</v>
      </c>
      <c r="O175" s="7" t="n">
        <v>-0.447</v>
      </c>
      <c r="P175" s="7" t="n">
        <v>0.2</v>
      </c>
      <c r="Q175" s="7" t="n">
        <v>0.031</v>
      </c>
      <c r="R175" s="7" t="n">
        <v>0.245</v>
      </c>
      <c r="S175" s="7" t="n">
        <v>0.306</v>
      </c>
      <c r="T175" s="7" t="n">
        <v>0.242</v>
      </c>
      <c r="U175" s="7" t="n">
        <v>0.031</v>
      </c>
      <c r="V175" s="7" t="n">
        <v>0.288</v>
      </c>
      <c r="W175" s="7" t="n">
        <v>0.031</v>
      </c>
      <c r="X175" s="7" t="n">
        <v>-0.302</v>
      </c>
      <c r="Y175" s="7" t="n">
        <v>-0.014</v>
      </c>
      <c r="Z175" s="7" t="n">
        <v>0.031</v>
      </c>
      <c r="AA175" s="7" t="n">
        <v>-0.096</v>
      </c>
      <c r="AB175" s="7" t="n">
        <v>-0.447</v>
      </c>
      <c r="AC175" s="7" t="n">
        <v>-0.463</v>
      </c>
      <c r="AD175" s="7" t="n">
        <v>0.322</v>
      </c>
      <c r="AE175" s="7" t="n">
        <v>-0.463</v>
      </c>
      <c r="AF175" s="7" t="n">
        <v>0.031</v>
      </c>
      <c r="AG175" s="7" t="n">
        <v>0.322</v>
      </c>
      <c r="AH175" s="7" t="n">
        <v>0.255</v>
      </c>
      <c r="AI175" s="7" t="n">
        <v>0.021</v>
      </c>
      <c r="AJ175" s="7" t="n">
        <v>-0.243</v>
      </c>
      <c r="AK175" s="7" t="n">
        <v>-0.529</v>
      </c>
      <c r="AL175" s="7" t="n">
        <v>0.336</v>
      </c>
      <c r="AM175" s="7" t="n">
        <v>0.021</v>
      </c>
      <c r="AN175" s="7" t="n">
        <v>0.294</v>
      </c>
      <c r="AO175" s="7" t="n">
        <v>-0.487</v>
      </c>
      <c r="AP175" s="7" t="n">
        <v>0</v>
      </c>
      <c r="AQ175" s="7" t="n">
        <v>0</v>
      </c>
    </row>
    <row r="176" customFormat="false" ht="15" hidden="false" customHeight="false" outlineLevel="0" collapsed="false">
      <c r="A176" s="23" t="n">
        <v>46493</v>
      </c>
      <c r="B176" s="7" t="n">
        <v>-0.278</v>
      </c>
      <c r="C176" s="7" t="n">
        <v>-0.435</v>
      </c>
      <c r="D176" s="7" t="n">
        <v>0.09</v>
      </c>
      <c r="E176" s="7" t="n">
        <v>0.031</v>
      </c>
      <c r="F176" s="7" t="n">
        <v>-0.454</v>
      </c>
      <c r="G176" s="7" t="n">
        <v>-0.104</v>
      </c>
      <c r="H176" s="7" t="n">
        <v>0.1</v>
      </c>
      <c r="I176" s="7" t="n">
        <v>-0.305</v>
      </c>
      <c r="J176" s="7" t="n">
        <v>-0.454</v>
      </c>
      <c r="K176" s="7" t="n">
        <v>0.031</v>
      </c>
      <c r="L176" s="7" t="n">
        <v>0.056</v>
      </c>
      <c r="M176" s="7" t="n">
        <v>-0.454</v>
      </c>
      <c r="N176" s="7" t="n">
        <v>-0.435</v>
      </c>
      <c r="O176" s="7" t="n">
        <v>-0.435</v>
      </c>
      <c r="P176" s="7" t="n">
        <v>0.013</v>
      </c>
      <c r="Q176" s="7" t="n">
        <v>0.031</v>
      </c>
      <c r="R176" s="7" t="n">
        <v>0.146</v>
      </c>
      <c r="S176" s="7" t="n">
        <v>0.337</v>
      </c>
      <c r="T176" s="7" t="n">
        <v>0.307</v>
      </c>
      <c r="U176" s="7" t="n">
        <v>0.031</v>
      </c>
      <c r="V176" s="7" t="n">
        <v>0.199</v>
      </c>
      <c r="W176" s="7" t="n">
        <v>0.031</v>
      </c>
      <c r="X176" s="7" t="n">
        <v>-0.471</v>
      </c>
      <c r="Y176" s="7" t="n">
        <v>0.031</v>
      </c>
      <c r="Z176" s="7" t="n">
        <v>0.031</v>
      </c>
      <c r="AA176" s="7" t="n">
        <v>-0.069</v>
      </c>
      <c r="AB176" s="7" t="n">
        <v>-0.435</v>
      </c>
      <c r="AC176" s="7" t="n">
        <v>-0.454</v>
      </c>
      <c r="AD176" s="7" t="n">
        <v>0.236</v>
      </c>
      <c r="AE176" s="7" t="n">
        <v>-0.454</v>
      </c>
      <c r="AF176" s="7" t="n">
        <v>0.031</v>
      </c>
      <c r="AG176" s="7" t="n">
        <v>0.236</v>
      </c>
      <c r="AH176" s="7" t="n">
        <v>0.262</v>
      </c>
      <c r="AI176" s="7" t="n">
        <v>0.025</v>
      </c>
      <c r="AJ176" s="7" t="n">
        <v>-0.333</v>
      </c>
      <c r="AK176" s="7" t="n">
        <v>-0.491</v>
      </c>
      <c r="AL176" s="7" t="n">
        <v>0.208</v>
      </c>
      <c r="AM176" s="7" t="n">
        <v>0.025</v>
      </c>
      <c r="AN176" s="7" t="n">
        <v>0.208</v>
      </c>
      <c r="AO176" s="7" t="n">
        <v>-0.478</v>
      </c>
      <c r="AP176" s="7" t="n">
        <v>0</v>
      </c>
      <c r="AQ176" s="7" t="n">
        <v>0</v>
      </c>
    </row>
    <row r="177" customFormat="false" ht="15" hidden="false" customHeight="false" outlineLevel="0" collapsed="false">
      <c r="A177" s="23" t="n">
        <v>46494</v>
      </c>
      <c r="B177" s="7" t="n">
        <v>-0.34</v>
      </c>
      <c r="C177" s="7" t="n">
        <v>-0.371</v>
      </c>
      <c r="D177" s="7" t="n">
        <v>-0.082</v>
      </c>
      <c r="E177" s="7" t="n">
        <v>0.031</v>
      </c>
      <c r="F177" s="7" t="n">
        <v>-0.392</v>
      </c>
      <c r="G177" s="7" t="n">
        <v>-0.307</v>
      </c>
      <c r="H177" s="7" t="n">
        <v>-0.081</v>
      </c>
      <c r="I177" s="7" t="n">
        <v>-0.406</v>
      </c>
      <c r="J177" s="7" t="n">
        <v>-0.392</v>
      </c>
      <c r="K177" s="7" t="n">
        <v>0.031</v>
      </c>
      <c r="L177" s="7" t="n">
        <v>0.056</v>
      </c>
      <c r="M177" s="7" t="n">
        <v>-0.392</v>
      </c>
      <c r="N177" s="7" t="n">
        <v>-0.371</v>
      </c>
      <c r="O177" s="7" t="n">
        <v>-0.371</v>
      </c>
      <c r="P177" s="7" t="n">
        <v>-0.16</v>
      </c>
      <c r="Q177" s="7" t="n">
        <v>0.031</v>
      </c>
      <c r="R177" s="7" t="n">
        <v>-0.025</v>
      </c>
      <c r="S177" s="7" t="n">
        <v>0.256</v>
      </c>
      <c r="T177" s="7" t="n">
        <v>0.255</v>
      </c>
      <c r="U177" s="7" t="n">
        <v>0.031</v>
      </c>
      <c r="V177" s="7" t="n">
        <v>0.039</v>
      </c>
      <c r="W177" s="7" t="n">
        <v>0.031</v>
      </c>
      <c r="X177" s="7" t="n">
        <v>-0.561</v>
      </c>
      <c r="Y177" s="7" t="n">
        <v>0.031</v>
      </c>
      <c r="Z177" s="7" t="n">
        <v>0.031</v>
      </c>
      <c r="AA177" s="7" t="n">
        <v>-0.117</v>
      </c>
      <c r="AB177" s="7" t="n">
        <v>-0.371</v>
      </c>
      <c r="AC177" s="7" t="n">
        <v>-0.392</v>
      </c>
      <c r="AD177" s="7" t="n">
        <v>0.111</v>
      </c>
      <c r="AE177" s="7" t="n">
        <v>-0.392</v>
      </c>
      <c r="AF177" s="7" t="n">
        <v>0.031</v>
      </c>
      <c r="AG177" s="7" t="n">
        <v>0.111</v>
      </c>
      <c r="AH177" s="7" t="n">
        <v>0.321</v>
      </c>
      <c r="AI177" s="7" t="n">
        <v>0.025</v>
      </c>
      <c r="AJ177" s="7" t="n">
        <v>-0.406</v>
      </c>
      <c r="AK177" s="7" t="n">
        <v>-0.442</v>
      </c>
      <c r="AL177" s="7" t="n">
        <v>0.082</v>
      </c>
      <c r="AM177" s="7" t="n">
        <v>0.025</v>
      </c>
      <c r="AN177" s="7" t="n">
        <v>0.082</v>
      </c>
      <c r="AO177" s="7" t="n">
        <v>-0.417</v>
      </c>
      <c r="AP177" s="7" t="n">
        <v>0</v>
      </c>
      <c r="AQ177" s="7" t="n">
        <v>0</v>
      </c>
    </row>
    <row r="178" customFormat="false" ht="15" hidden="false" customHeight="false" outlineLevel="0" collapsed="false">
      <c r="A178" s="23" t="n">
        <v>46495</v>
      </c>
      <c r="B178" s="7" t="n">
        <v>-0.34</v>
      </c>
      <c r="C178" s="7" t="n">
        <v>-0.371</v>
      </c>
      <c r="D178" s="7" t="n">
        <v>-0.082</v>
      </c>
      <c r="E178" s="7" t="n">
        <v>0.031</v>
      </c>
      <c r="F178" s="7" t="n">
        <v>-0.392</v>
      </c>
      <c r="G178" s="7" t="n">
        <v>-0.307</v>
      </c>
      <c r="H178" s="7" t="n">
        <v>-0.081</v>
      </c>
      <c r="I178" s="7" t="n">
        <v>-0.406</v>
      </c>
      <c r="J178" s="7" t="n">
        <v>-0.392</v>
      </c>
      <c r="K178" s="7" t="n">
        <v>0.031</v>
      </c>
      <c r="L178" s="7" t="n">
        <v>0.056</v>
      </c>
      <c r="M178" s="7" t="n">
        <v>-0.392</v>
      </c>
      <c r="N178" s="7" t="n">
        <v>-0.371</v>
      </c>
      <c r="O178" s="7" t="n">
        <v>-0.371</v>
      </c>
      <c r="P178" s="7" t="n">
        <v>-0.16</v>
      </c>
      <c r="Q178" s="7" t="n">
        <v>0.031</v>
      </c>
      <c r="R178" s="7" t="n">
        <v>-0.025</v>
      </c>
      <c r="S178" s="7" t="n">
        <v>0.256</v>
      </c>
      <c r="T178" s="7" t="n">
        <v>0.255</v>
      </c>
      <c r="U178" s="7" t="n">
        <v>0.031</v>
      </c>
      <c r="V178" s="7" t="n">
        <v>0.039</v>
      </c>
      <c r="W178" s="7" t="n">
        <v>0.031</v>
      </c>
      <c r="X178" s="7" t="n">
        <v>-0.561</v>
      </c>
      <c r="Y178" s="7" t="n">
        <v>0.031</v>
      </c>
      <c r="Z178" s="7" t="n">
        <v>0.031</v>
      </c>
      <c r="AA178" s="7" t="n">
        <v>-0.117</v>
      </c>
      <c r="AB178" s="7" t="n">
        <v>-0.371</v>
      </c>
      <c r="AC178" s="7" t="n">
        <v>-0.392</v>
      </c>
      <c r="AD178" s="7" t="n">
        <v>0.111</v>
      </c>
      <c r="AE178" s="7" t="n">
        <v>-0.392</v>
      </c>
      <c r="AF178" s="7" t="n">
        <v>0.031</v>
      </c>
      <c r="AG178" s="7" t="n">
        <v>0.111</v>
      </c>
      <c r="AH178" s="7" t="n">
        <v>0.321</v>
      </c>
      <c r="AI178" s="7" t="n">
        <v>0.025</v>
      </c>
      <c r="AJ178" s="7" t="n">
        <v>-0.406</v>
      </c>
      <c r="AK178" s="7" t="n">
        <v>-0.442</v>
      </c>
      <c r="AL178" s="7" t="n">
        <v>0.082</v>
      </c>
      <c r="AM178" s="7" t="n">
        <v>0.025</v>
      </c>
      <c r="AN178" s="7" t="n">
        <v>0.082</v>
      </c>
      <c r="AO178" s="7" t="n">
        <v>-0.417</v>
      </c>
      <c r="AP178" s="7" t="n">
        <v>0</v>
      </c>
      <c r="AQ178" s="7" t="n">
        <v>0</v>
      </c>
    </row>
    <row r="179" customFormat="false" ht="15" hidden="false" customHeight="false" outlineLevel="0" collapsed="false">
      <c r="A179" s="23" t="n">
        <v>46496</v>
      </c>
      <c r="B179" s="7" t="n">
        <v>-0.34</v>
      </c>
      <c r="C179" s="7" t="n">
        <v>-0.371</v>
      </c>
      <c r="D179" s="7" t="n">
        <v>-0.082</v>
      </c>
      <c r="E179" s="7" t="n">
        <v>0.031</v>
      </c>
      <c r="F179" s="7" t="n">
        <v>-0.392</v>
      </c>
      <c r="G179" s="7" t="n">
        <v>-0.307</v>
      </c>
      <c r="H179" s="7" t="n">
        <v>-0.081</v>
      </c>
      <c r="I179" s="7" t="n">
        <v>-0.406</v>
      </c>
      <c r="J179" s="7" t="n">
        <v>-0.392</v>
      </c>
      <c r="K179" s="7" t="n">
        <v>0.031</v>
      </c>
      <c r="L179" s="7" t="n">
        <v>0.056</v>
      </c>
      <c r="M179" s="7" t="n">
        <v>-0.392</v>
      </c>
      <c r="N179" s="7" t="n">
        <v>-0.371</v>
      </c>
      <c r="O179" s="7" t="n">
        <v>-0.371</v>
      </c>
      <c r="P179" s="7" t="n">
        <v>-0.16</v>
      </c>
      <c r="Q179" s="7" t="n">
        <v>0.031</v>
      </c>
      <c r="R179" s="7" t="n">
        <v>-0.025</v>
      </c>
      <c r="S179" s="7" t="n">
        <v>0.256</v>
      </c>
      <c r="T179" s="7" t="n">
        <v>0.255</v>
      </c>
      <c r="U179" s="7" t="n">
        <v>0.031</v>
      </c>
      <c r="V179" s="7" t="n">
        <v>0.039</v>
      </c>
      <c r="W179" s="7" t="n">
        <v>0.031</v>
      </c>
      <c r="X179" s="7" t="n">
        <v>-0.561</v>
      </c>
      <c r="Y179" s="7" t="n">
        <v>0.031</v>
      </c>
      <c r="Z179" s="7" t="n">
        <v>0.031</v>
      </c>
      <c r="AA179" s="7" t="n">
        <v>-0.117</v>
      </c>
      <c r="AB179" s="7" t="n">
        <v>-0.371</v>
      </c>
      <c r="AC179" s="7" t="n">
        <v>-0.392</v>
      </c>
      <c r="AD179" s="7" t="n">
        <v>0.111</v>
      </c>
      <c r="AE179" s="7" t="n">
        <v>-0.392</v>
      </c>
      <c r="AF179" s="7" t="n">
        <v>0.031</v>
      </c>
      <c r="AG179" s="7" t="n">
        <v>0.111</v>
      </c>
      <c r="AH179" s="7" t="n">
        <v>0.321</v>
      </c>
      <c r="AI179" s="7" t="n">
        <v>0.025</v>
      </c>
      <c r="AJ179" s="7" t="n">
        <v>-0.406</v>
      </c>
      <c r="AK179" s="7" t="n">
        <v>-0.442</v>
      </c>
      <c r="AL179" s="7" t="n">
        <v>0.082</v>
      </c>
      <c r="AM179" s="7" t="n">
        <v>0.025</v>
      </c>
      <c r="AN179" s="7" t="n">
        <v>0.082</v>
      </c>
      <c r="AO179" s="7" t="n">
        <v>-0.417</v>
      </c>
      <c r="AP179" s="7" t="n">
        <v>0</v>
      </c>
      <c r="AQ179" s="7" t="n">
        <v>0</v>
      </c>
    </row>
    <row r="180" customFormat="false" ht="15" hidden="false" customHeight="false" outlineLevel="0" collapsed="false">
      <c r="A180" s="23" t="n">
        <v>46497</v>
      </c>
      <c r="B180" s="7" t="n">
        <v>-0.387</v>
      </c>
      <c r="C180" s="7" t="n">
        <v>-0.316</v>
      </c>
      <c r="D180" s="7" t="n">
        <v>-0.25</v>
      </c>
      <c r="E180" s="7" t="n">
        <v>0.031</v>
      </c>
      <c r="F180" s="7" t="n">
        <v>-0.333</v>
      </c>
      <c r="G180" s="7" t="n">
        <v>-0.443</v>
      </c>
      <c r="H180" s="7" t="n">
        <v>-0.257</v>
      </c>
      <c r="I180" s="7" t="n">
        <v>-0.46</v>
      </c>
      <c r="J180" s="7" t="n">
        <v>-0.333</v>
      </c>
      <c r="K180" s="7" t="n">
        <v>0.031</v>
      </c>
      <c r="L180" s="7" t="n">
        <v>0.051</v>
      </c>
      <c r="M180" s="7" t="n">
        <v>-0.333</v>
      </c>
      <c r="N180" s="7" t="n">
        <v>-0.316</v>
      </c>
      <c r="O180" s="7" t="n">
        <v>-0.316</v>
      </c>
      <c r="P180" s="7" t="n">
        <v>-0.333</v>
      </c>
      <c r="Q180" s="7" t="n">
        <v>0.031</v>
      </c>
      <c r="R180" s="7" t="n">
        <v>-0.206</v>
      </c>
      <c r="S180" s="7" t="n">
        <v>0.223</v>
      </c>
      <c r="T180" s="7" t="n">
        <v>0.185</v>
      </c>
      <c r="U180" s="7" t="n">
        <v>-0.01</v>
      </c>
      <c r="V180" s="7" t="n">
        <v>-0.085</v>
      </c>
      <c r="W180" s="7" t="n">
        <v>0.031</v>
      </c>
      <c r="X180" s="7" t="n">
        <v>-0.64</v>
      </c>
      <c r="Y180" s="7" t="n">
        <v>-0.01</v>
      </c>
      <c r="Z180" s="7" t="n">
        <v>0.031</v>
      </c>
      <c r="AA180" s="7" t="n">
        <v>-0.152</v>
      </c>
      <c r="AB180" s="7" t="n">
        <v>-0.316</v>
      </c>
      <c r="AC180" s="7" t="n">
        <v>-0.333</v>
      </c>
      <c r="AD180" s="7" t="n">
        <v>-0.043</v>
      </c>
      <c r="AE180" s="7" t="n">
        <v>-0.333</v>
      </c>
      <c r="AF180" s="7" t="n">
        <v>0.031</v>
      </c>
      <c r="AG180" s="7" t="n">
        <v>-0.043</v>
      </c>
      <c r="AH180" s="7" t="n">
        <v>0.348</v>
      </c>
      <c r="AI180" s="7" t="n">
        <v>0.02</v>
      </c>
      <c r="AJ180" s="7" t="n">
        <v>-0.495</v>
      </c>
      <c r="AK180" s="7" t="n">
        <v>-0.399</v>
      </c>
      <c r="AL180" s="7" t="n">
        <v>-0.105</v>
      </c>
      <c r="AM180" s="7" t="n">
        <v>0.02</v>
      </c>
      <c r="AN180" s="7" t="n">
        <v>-0.073</v>
      </c>
      <c r="AO180" s="7" t="n">
        <v>-0.396</v>
      </c>
      <c r="AP180" s="7" t="n">
        <v>0</v>
      </c>
      <c r="AQ180" s="7" t="n">
        <v>0</v>
      </c>
    </row>
    <row r="181" customFormat="false" ht="15" hidden="false" customHeight="false" outlineLevel="0" collapsed="false">
      <c r="A181" s="23" t="n">
        <v>46498</v>
      </c>
      <c r="B181" s="7" t="n">
        <v>-0.418</v>
      </c>
      <c r="C181" s="7" t="n">
        <v>-0.26</v>
      </c>
      <c r="D181" s="7" t="n">
        <v>-0.394</v>
      </c>
      <c r="E181" s="7" t="n">
        <v>0.031</v>
      </c>
      <c r="F181" s="7" t="n">
        <v>-0.273</v>
      </c>
      <c r="G181" s="7" t="n">
        <v>-0.53</v>
      </c>
      <c r="H181" s="7" t="n">
        <v>-0.395</v>
      </c>
      <c r="I181" s="7" t="n">
        <v>-0.488</v>
      </c>
      <c r="J181" s="7" t="n">
        <v>-0.273</v>
      </c>
      <c r="K181" s="7" t="n">
        <v>0.031</v>
      </c>
      <c r="L181" s="7" t="n">
        <v>0.046</v>
      </c>
      <c r="M181" s="7" t="n">
        <v>-0.273</v>
      </c>
      <c r="N181" s="7" t="n">
        <v>-0.26</v>
      </c>
      <c r="O181" s="7" t="n">
        <v>-0.26</v>
      </c>
      <c r="P181" s="7" t="n">
        <v>-0.476</v>
      </c>
      <c r="Q181" s="7" t="n">
        <v>0.031</v>
      </c>
      <c r="R181" s="7" t="n">
        <v>-0.36</v>
      </c>
      <c r="S181" s="7" t="n">
        <v>0.181</v>
      </c>
      <c r="T181" s="7" t="n">
        <v>0.1</v>
      </c>
      <c r="U181" s="7" t="n">
        <v>-0.051</v>
      </c>
      <c r="V181" s="7" t="n">
        <v>-0.18</v>
      </c>
      <c r="W181" s="7" t="n">
        <v>0.031</v>
      </c>
      <c r="X181" s="7" t="n">
        <v>-0.693</v>
      </c>
      <c r="Y181" s="7" t="n">
        <v>-0.051</v>
      </c>
      <c r="Z181" s="7" t="n">
        <v>0.031</v>
      </c>
      <c r="AA181" s="7" t="n">
        <v>-0.192</v>
      </c>
      <c r="AB181" s="7" t="n">
        <v>-0.26</v>
      </c>
      <c r="AC181" s="7" t="n">
        <v>-0.273</v>
      </c>
      <c r="AD181" s="7" t="n">
        <v>-0.167</v>
      </c>
      <c r="AE181" s="7" t="n">
        <v>-0.273</v>
      </c>
      <c r="AF181" s="7" t="n">
        <v>0.031</v>
      </c>
      <c r="AG181" s="7" t="n">
        <v>-0.167</v>
      </c>
      <c r="AH181" s="7" t="n">
        <v>0.376</v>
      </c>
      <c r="AI181" s="7" t="n">
        <v>0.015</v>
      </c>
      <c r="AJ181" s="7" t="n">
        <v>-0.551</v>
      </c>
      <c r="AK181" s="7" t="n">
        <v>-0.355</v>
      </c>
      <c r="AL181" s="7" t="n">
        <v>-0.26</v>
      </c>
      <c r="AM181" s="7" t="n">
        <v>0.015</v>
      </c>
      <c r="AN181" s="7" t="n">
        <v>-0.195</v>
      </c>
      <c r="AO181" s="7" t="n">
        <v>-0.373</v>
      </c>
      <c r="AP181" s="7" t="n">
        <v>0</v>
      </c>
      <c r="AQ181" s="7" t="n">
        <v>0</v>
      </c>
    </row>
    <row r="182" customFormat="false" ht="15" hidden="false" customHeight="false" outlineLevel="0" collapsed="false">
      <c r="A182" s="23" t="n">
        <v>46499</v>
      </c>
      <c r="B182" s="7" t="n">
        <v>-0.463</v>
      </c>
      <c r="C182" s="7" t="n">
        <v>-0.141</v>
      </c>
      <c r="D182" s="7" t="n">
        <v>-0.505</v>
      </c>
      <c r="E182" s="7" t="n">
        <v>0.031</v>
      </c>
      <c r="F182" s="7" t="n">
        <v>-0.221</v>
      </c>
      <c r="G182" s="7" t="n">
        <v>-0.603</v>
      </c>
      <c r="H182" s="7" t="n">
        <v>-0.527</v>
      </c>
      <c r="I182" s="7" t="n">
        <v>-0.571</v>
      </c>
      <c r="J182" s="7" t="n">
        <v>-0.213</v>
      </c>
      <c r="K182" s="7" t="n">
        <v>0.031</v>
      </c>
      <c r="L182" s="7" t="n">
        <v>0.065</v>
      </c>
      <c r="M182" s="7" t="n">
        <v>-0.213</v>
      </c>
      <c r="N182" s="7" t="n">
        <v>-0.211</v>
      </c>
      <c r="O182" s="7" t="n">
        <v>-0.265</v>
      </c>
      <c r="P182" s="7" t="n">
        <v>-0.6</v>
      </c>
      <c r="Q182" s="7" t="n">
        <v>0.055</v>
      </c>
      <c r="R182" s="7" t="n">
        <v>-0.495</v>
      </c>
      <c r="S182" s="7" t="n">
        <v>0.117</v>
      </c>
      <c r="T182" s="7" t="n">
        <v>0.026</v>
      </c>
      <c r="U182" s="7" t="n">
        <v>-0.086</v>
      </c>
      <c r="V182" s="7" t="n">
        <v>-0.34</v>
      </c>
      <c r="W182" s="7" t="n">
        <v>0.055</v>
      </c>
      <c r="X182" s="7" t="n">
        <v>-0.732</v>
      </c>
      <c r="Y182" s="7" t="n">
        <v>-0.092</v>
      </c>
      <c r="Z182" s="7" t="n">
        <v>0.031</v>
      </c>
      <c r="AA182" s="7" t="n">
        <v>-0.211</v>
      </c>
      <c r="AB182" s="7" t="n">
        <v>-0.203</v>
      </c>
      <c r="AC182" s="7" t="n">
        <v>-0.19</v>
      </c>
      <c r="AD182" s="7" t="n">
        <v>-0.289</v>
      </c>
      <c r="AE182" s="7" t="n">
        <v>-0.221</v>
      </c>
      <c r="AF182" s="7" t="n">
        <v>0.101</v>
      </c>
      <c r="AG182" s="7" t="n">
        <v>-0.289</v>
      </c>
      <c r="AH182" s="7" t="n">
        <v>0.406</v>
      </c>
      <c r="AI182" s="7" t="n">
        <v>0.01</v>
      </c>
      <c r="AJ182" s="7" t="n">
        <v>-0.603</v>
      </c>
      <c r="AK182" s="7" t="n">
        <v>-0.31</v>
      </c>
      <c r="AL182" s="7" t="n">
        <v>-0.414</v>
      </c>
      <c r="AM182" s="7" t="n">
        <v>0.01</v>
      </c>
      <c r="AN182" s="7" t="n">
        <v>-0.318</v>
      </c>
      <c r="AO182" s="7" t="n">
        <v>-0.35</v>
      </c>
      <c r="AP182" s="7" t="n">
        <v>0</v>
      </c>
      <c r="AQ182" s="7" t="n">
        <v>0</v>
      </c>
    </row>
    <row r="183" customFormat="false" ht="15" hidden="false" customHeight="false" outlineLevel="0" collapsed="false">
      <c r="A183" s="23" t="n">
        <v>46500</v>
      </c>
      <c r="B183" s="7" t="n">
        <v>-0.508</v>
      </c>
      <c r="C183" s="7" t="n">
        <v>-0.097</v>
      </c>
      <c r="D183" s="7" t="n">
        <v>-0.523</v>
      </c>
      <c r="E183" s="7" t="n">
        <v>0.031</v>
      </c>
      <c r="F183" s="7" t="n">
        <v>-0.245</v>
      </c>
      <c r="G183" s="7" t="n">
        <v>-0.607</v>
      </c>
      <c r="H183" s="7" t="n">
        <v>-0.541</v>
      </c>
      <c r="I183" s="7" t="n">
        <v>-0.63</v>
      </c>
      <c r="J183" s="7" t="n">
        <v>-0.228</v>
      </c>
      <c r="K183" s="7" t="n">
        <v>0.031</v>
      </c>
      <c r="L183" s="7" t="n">
        <v>0.087</v>
      </c>
      <c r="M183" s="7" t="n">
        <v>-0.228</v>
      </c>
      <c r="N183" s="7" t="n">
        <v>-0.241</v>
      </c>
      <c r="O183" s="7" t="n">
        <v>-0.348</v>
      </c>
      <c r="P183" s="7" t="n">
        <v>-0.62</v>
      </c>
      <c r="Q183" s="7" t="n">
        <v>0.082</v>
      </c>
      <c r="R183" s="7" t="n">
        <v>-0.515</v>
      </c>
      <c r="S183" s="7" t="n">
        <v>0.1</v>
      </c>
      <c r="T183" s="7" t="n">
        <v>0.012</v>
      </c>
      <c r="U183" s="7" t="n">
        <v>-0.119</v>
      </c>
      <c r="V183" s="7" t="n">
        <v>-0.396</v>
      </c>
      <c r="W183" s="7" t="n">
        <v>0.082</v>
      </c>
      <c r="X183" s="7" t="n">
        <v>-0.755</v>
      </c>
      <c r="Y183" s="7" t="n">
        <v>-0.132</v>
      </c>
      <c r="Z183" s="7" t="n">
        <v>0.031</v>
      </c>
      <c r="AA183" s="7" t="n">
        <v>-0.196</v>
      </c>
      <c r="AB183" s="7" t="n">
        <v>-0.224</v>
      </c>
      <c r="AC183" s="7" t="n">
        <v>-0.179</v>
      </c>
      <c r="AD183" s="7" t="n">
        <v>-0.326</v>
      </c>
      <c r="AE183" s="7" t="n">
        <v>-0.245</v>
      </c>
      <c r="AF183" s="7" t="n">
        <v>0.172</v>
      </c>
      <c r="AG183" s="7" t="n">
        <v>-0.326</v>
      </c>
      <c r="AH183" s="7" t="n">
        <v>0.36</v>
      </c>
      <c r="AI183" s="7" t="n">
        <v>0.005</v>
      </c>
      <c r="AJ183" s="7" t="n">
        <v>-0.641</v>
      </c>
      <c r="AK183" s="7" t="n">
        <v>-0.328</v>
      </c>
      <c r="AL183" s="7" t="n">
        <v>-0.481</v>
      </c>
      <c r="AM183" s="7" t="n">
        <v>0.005</v>
      </c>
      <c r="AN183" s="7" t="n">
        <v>-0.354</v>
      </c>
      <c r="AO183" s="7" t="n">
        <v>-0.4</v>
      </c>
      <c r="AP183" s="7" t="n">
        <v>0</v>
      </c>
      <c r="AQ183" s="7" t="n">
        <v>0</v>
      </c>
    </row>
    <row r="184" customFormat="false" ht="15" hidden="false" customHeight="false" outlineLevel="0" collapsed="false">
      <c r="A184" s="23" t="n">
        <v>46501</v>
      </c>
      <c r="B184" s="7" t="n">
        <v>-0.537</v>
      </c>
      <c r="C184" s="7" t="n">
        <v>-0.051</v>
      </c>
      <c r="D184" s="7" t="n">
        <v>-0.519</v>
      </c>
      <c r="E184" s="7" t="n">
        <v>0.032</v>
      </c>
      <c r="F184" s="7" t="n">
        <v>-0.27</v>
      </c>
      <c r="G184" s="7" t="n">
        <v>-0.616</v>
      </c>
      <c r="H184" s="7" t="n">
        <v>-0.557</v>
      </c>
      <c r="I184" s="7" t="n">
        <v>-0.648</v>
      </c>
      <c r="J184" s="7" t="n">
        <v>-0.243</v>
      </c>
      <c r="K184" s="7" t="n">
        <v>0.032</v>
      </c>
      <c r="L184" s="7" t="n">
        <v>0.115</v>
      </c>
      <c r="M184" s="7" t="n">
        <v>-0.243</v>
      </c>
      <c r="N184" s="7" t="n">
        <v>-0.27</v>
      </c>
      <c r="O184" s="7" t="n">
        <v>-0.431</v>
      </c>
      <c r="P184" s="7" t="n">
        <v>-0.629</v>
      </c>
      <c r="Q184" s="7" t="n">
        <v>0.115</v>
      </c>
      <c r="R184" s="7" t="n">
        <v>-0.522</v>
      </c>
      <c r="S184" s="7" t="n">
        <v>0.104</v>
      </c>
      <c r="T184" s="7" t="n">
        <v>0.025</v>
      </c>
      <c r="U184" s="7" t="n">
        <v>-0.15</v>
      </c>
      <c r="V184" s="7" t="n">
        <v>-0.402</v>
      </c>
      <c r="W184" s="7" t="n">
        <v>0.115</v>
      </c>
      <c r="X184" s="7" t="n">
        <v>-0.77</v>
      </c>
      <c r="Y184" s="7" t="n">
        <v>-0.17</v>
      </c>
      <c r="Z184" s="7" t="n">
        <v>0.032</v>
      </c>
      <c r="AA184" s="7" t="n">
        <v>-0.167</v>
      </c>
      <c r="AB184" s="7" t="n">
        <v>-0.243</v>
      </c>
      <c r="AC184" s="7" t="n">
        <v>-0.162</v>
      </c>
      <c r="AD184" s="7" t="n">
        <v>-0.361</v>
      </c>
      <c r="AE184" s="7" t="n">
        <v>-0.27</v>
      </c>
      <c r="AF184" s="7" t="n">
        <v>0.246</v>
      </c>
      <c r="AG184" s="7" t="n">
        <v>-0.361</v>
      </c>
      <c r="AH184" s="7" t="n">
        <v>0.315</v>
      </c>
      <c r="AI184" s="7" t="n">
        <v>0</v>
      </c>
      <c r="AJ184" s="7" t="n">
        <v>-0.677</v>
      </c>
      <c r="AK184" s="7" t="n">
        <v>-0.345</v>
      </c>
      <c r="AL184" s="7" t="n">
        <v>-0.548</v>
      </c>
      <c r="AM184" s="7" t="n">
        <v>0</v>
      </c>
      <c r="AN184" s="7" t="n">
        <v>-0.389</v>
      </c>
      <c r="AO184" s="7" t="n">
        <v>-0.45</v>
      </c>
      <c r="AP184" s="7" t="n">
        <v>0</v>
      </c>
      <c r="AQ184" s="7" t="n">
        <v>0</v>
      </c>
    </row>
    <row r="185" customFormat="false" ht="15" hidden="false" customHeight="false" outlineLevel="0" collapsed="false">
      <c r="A185" s="23" t="n">
        <v>46502</v>
      </c>
      <c r="B185" s="7" t="n">
        <v>-0.537</v>
      </c>
      <c r="C185" s="7" t="n">
        <v>-0.051</v>
      </c>
      <c r="D185" s="7" t="n">
        <v>-0.519</v>
      </c>
      <c r="E185" s="7" t="n">
        <v>0.032</v>
      </c>
      <c r="F185" s="7" t="n">
        <v>-0.27</v>
      </c>
      <c r="G185" s="7" t="n">
        <v>-0.616</v>
      </c>
      <c r="H185" s="7" t="n">
        <v>-0.557</v>
      </c>
      <c r="I185" s="7" t="n">
        <v>-0.648</v>
      </c>
      <c r="J185" s="7" t="n">
        <v>-0.243</v>
      </c>
      <c r="K185" s="7" t="n">
        <v>0.032</v>
      </c>
      <c r="L185" s="7" t="n">
        <v>0.115</v>
      </c>
      <c r="M185" s="7" t="n">
        <v>-0.243</v>
      </c>
      <c r="N185" s="7" t="n">
        <v>-0.27</v>
      </c>
      <c r="O185" s="7" t="n">
        <v>-0.431</v>
      </c>
      <c r="P185" s="7" t="n">
        <v>-0.629</v>
      </c>
      <c r="Q185" s="7" t="n">
        <v>0.115</v>
      </c>
      <c r="R185" s="7" t="n">
        <v>-0.522</v>
      </c>
      <c r="S185" s="7" t="n">
        <v>0.104</v>
      </c>
      <c r="T185" s="7" t="n">
        <v>0.025</v>
      </c>
      <c r="U185" s="7" t="n">
        <v>-0.15</v>
      </c>
      <c r="V185" s="7" t="n">
        <v>-0.402</v>
      </c>
      <c r="W185" s="7" t="n">
        <v>0.115</v>
      </c>
      <c r="X185" s="7" t="n">
        <v>-0.77</v>
      </c>
      <c r="Y185" s="7" t="n">
        <v>-0.17</v>
      </c>
      <c r="Z185" s="7" t="n">
        <v>0.032</v>
      </c>
      <c r="AA185" s="7" t="n">
        <v>-0.167</v>
      </c>
      <c r="AB185" s="7" t="n">
        <v>-0.243</v>
      </c>
      <c r="AC185" s="7" t="n">
        <v>-0.162</v>
      </c>
      <c r="AD185" s="7" t="n">
        <v>-0.361</v>
      </c>
      <c r="AE185" s="7" t="n">
        <v>-0.27</v>
      </c>
      <c r="AF185" s="7" t="n">
        <v>0.246</v>
      </c>
      <c r="AG185" s="7" t="n">
        <v>-0.361</v>
      </c>
      <c r="AH185" s="7" t="n">
        <v>0.315</v>
      </c>
      <c r="AI185" s="7" t="n">
        <v>0</v>
      </c>
      <c r="AJ185" s="7" t="n">
        <v>-0.677</v>
      </c>
      <c r="AK185" s="7" t="n">
        <v>-0.345</v>
      </c>
      <c r="AL185" s="7" t="n">
        <v>-0.548</v>
      </c>
      <c r="AM185" s="7" t="n">
        <v>0</v>
      </c>
      <c r="AN185" s="7" t="n">
        <v>-0.389</v>
      </c>
      <c r="AO185" s="7" t="n">
        <v>-0.45</v>
      </c>
      <c r="AP185" s="7" t="n">
        <v>0</v>
      </c>
      <c r="AQ185" s="7" t="n">
        <v>0</v>
      </c>
    </row>
    <row r="186" customFormat="false" ht="15" hidden="false" customHeight="false" outlineLevel="0" collapsed="false">
      <c r="A186" s="23" t="n">
        <v>46503</v>
      </c>
      <c r="B186" s="7" t="n">
        <v>-0.537</v>
      </c>
      <c r="C186" s="7" t="n">
        <v>-0.051</v>
      </c>
      <c r="D186" s="7" t="n">
        <v>-0.519</v>
      </c>
      <c r="E186" s="7" t="n">
        <v>0.032</v>
      </c>
      <c r="F186" s="7" t="n">
        <v>-0.27</v>
      </c>
      <c r="G186" s="7" t="n">
        <v>-0.616</v>
      </c>
      <c r="H186" s="7" t="n">
        <v>-0.557</v>
      </c>
      <c r="I186" s="7" t="n">
        <v>-0.648</v>
      </c>
      <c r="J186" s="7" t="n">
        <v>-0.243</v>
      </c>
      <c r="K186" s="7" t="n">
        <v>0.032</v>
      </c>
      <c r="L186" s="7" t="n">
        <v>0.115</v>
      </c>
      <c r="M186" s="7" t="n">
        <v>-0.243</v>
      </c>
      <c r="N186" s="7" t="n">
        <v>-0.27</v>
      </c>
      <c r="O186" s="7" t="n">
        <v>-0.431</v>
      </c>
      <c r="P186" s="7" t="n">
        <v>-0.629</v>
      </c>
      <c r="Q186" s="7" t="n">
        <v>0.115</v>
      </c>
      <c r="R186" s="7" t="n">
        <v>-0.522</v>
      </c>
      <c r="S186" s="7" t="n">
        <v>0.104</v>
      </c>
      <c r="T186" s="7" t="n">
        <v>0.025</v>
      </c>
      <c r="U186" s="7" t="n">
        <v>-0.15</v>
      </c>
      <c r="V186" s="7" t="n">
        <v>-0.402</v>
      </c>
      <c r="W186" s="7" t="n">
        <v>0.115</v>
      </c>
      <c r="X186" s="7" t="n">
        <v>-0.77</v>
      </c>
      <c r="Y186" s="7" t="n">
        <v>-0.17</v>
      </c>
      <c r="Z186" s="7" t="n">
        <v>0.032</v>
      </c>
      <c r="AA186" s="7" t="n">
        <v>-0.167</v>
      </c>
      <c r="AB186" s="7" t="n">
        <v>-0.243</v>
      </c>
      <c r="AC186" s="7" t="n">
        <v>-0.162</v>
      </c>
      <c r="AD186" s="7" t="n">
        <v>-0.361</v>
      </c>
      <c r="AE186" s="7" t="n">
        <v>-0.27</v>
      </c>
      <c r="AF186" s="7" t="n">
        <v>0.246</v>
      </c>
      <c r="AG186" s="7" t="n">
        <v>-0.361</v>
      </c>
      <c r="AH186" s="7" t="n">
        <v>0.315</v>
      </c>
      <c r="AI186" s="7" t="n">
        <v>0</v>
      </c>
      <c r="AJ186" s="7" t="n">
        <v>-0.677</v>
      </c>
      <c r="AK186" s="7" t="n">
        <v>-0.345</v>
      </c>
      <c r="AL186" s="7" t="n">
        <v>-0.548</v>
      </c>
      <c r="AM186" s="7" t="n">
        <v>0</v>
      </c>
      <c r="AN186" s="7" t="n">
        <v>-0.389</v>
      </c>
      <c r="AO186" s="7" t="n">
        <v>-0.45</v>
      </c>
      <c r="AP186" s="7" t="n">
        <v>0</v>
      </c>
      <c r="AQ186" s="7" t="n">
        <v>0</v>
      </c>
    </row>
    <row r="187" customFormat="false" ht="15" hidden="false" customHeight="false" outlineLevel="0" collapsed="false">
      <c r="A187" s="23" t="n">
        <v>46504</v>
      </c>
      <c r="B187" s="7" t="n">
        <v>-0.548</v>
      </c>
      <c r="C187" s="7" t="n">
        <v>0.013</v>
      </c>
      <c r="D187" s="7" t="n">
        <v>-0.481</v>
      </c>
      <c r="E187" s="7" t="n">
        <v>0.034</v>
      </c>
      <c r="F187" s="7" t="n">
        <v>-0.289</v>
      </c>
      <c r="G187" s="7" t="n">
        <v>-0.609</v>
      </c>
      <c r="H187" s="7" t="n">
        <v>-0.548</v>
      </c>
      <c r="I187" s="7" t="n">
        <v>-0.648</v>
      </c>
      <c r="J187" s="7" t="n">
        <v>-0.247</v>
      </c>
      <c r="K187" s="7" t="n">
        <v>0.034</v>
      </c>
      <c r="L187" s="7" t="n">
        <v>0.158</v>
      </c>
      <c r="M187" s="7" t="n">
        <v>-0.247</v>
      </c>
      <c r="N187" s="7" t="n">
        <v>-0.289</v>
      </c>
      <c r="O187" s="7" t="n">
        <v>-0.501</v>
      </c>
      <c r="P187" s="7" t="n">
        <v>-0.609</v>
      </c>
      <c r="Q187" s="7" t="n">
        <v>0.158</v>
      </c>
      <c r="R187" s="7" t="n">
        <v>-0.499</v>
      </c>
      <c r="S187" s="7" t="n">
        <v>0.07</v>
      </c>
      <c r="T187" s="7" t="n">
        <v>0.03</v>
      </c>
      <c r="U187" s="7" t="n">
        <v>-0.137</v>
      </c>
      <c r="V187" s="7" t="n">
        <v>-0.399</v>
      </c>
      <c r="W187" s="7" t="n">
        <v>0.158</v>
      </c>
      <c r="X187" s="7" t="n">
        <v>-0.759</v>
      </c>
      <c r="Y187" s="7" t="n">
        <v>-0.165</v>
      </c>
      <c r="Z187" s="7" t="n">
        <v>0.034</v>
      </c>
      <c r="AA187" s="7" t="n">
        <v>-0.14</v>
      </c>
      <c r="AB187" s="7" t="n">
        <v>-0.247</v>
      </c>
      <c r="AC187" s="7" t="n">
        <v>-0.124</v>
      </c>
      <c r="AD187" s="7" t="n">
        <v>-0.358</v>
      </c>
      <c r="AE187" s="7" t="n">
        <v>-0.289</v>
      </c>
      <c r="AF187" s="7" t="n">
        <v>0.321</v>
      </c>
      <c r="AG187" s="7" t="n">
        <v>-0.358</v>
      </c>
      <c r="AH187" s="7" t="n">
        <v>0.313</v>
      </c>
      <c r="AI187" s="7" t="n">
        <v>0</v>
      </c>
      <c r="AJ187" s="7" t="n">
        <v>-0.677</v>
      </c>
      <c r="AK187" s="7" t="n">
        <v>-0.349</v>
      </c>
      <c r="AL187" s="7" t="n">
        <v>-0.543</v>
      </c>
      <c r="AM187" s="7" t="n">
        <v>0</v>
      </c>
      <c r="AN187" s="7" t="n">
        <v>-0.387</v>
      </c>
      <c r="AO187" s="7" t="n">
        <v>-0.451</v>
      </c>
      <c r="AP187" s="7" t="n">
        <v>0</v>
      </c>
      <c r="AQ187" s="7" t="n">
        <v>0</v>
      </c>
    </row>
    <row r="188" customFormat="false" ht="15" hidden="false" customHeight="false" outlineLevel="0" collapsed="false">
      <c r="A188" s="23" t="n">
        <v>46505</v>
      </c>
      <c r="B188" s="7" t="n">
        <v>-0.559</v>
      </c>
      <c r="C188" s="7" t="n">
        <v>0.079</v>
      </c>
      <c r="D188" s="7" t="n">
        <v>-0.441</v>
      </c>
      <c r="E188" s="7" t="n">
        <v>0.035</v>
      </c>
      <c r="F188" s="7" t="n">
        <v>-0.31</v>
      </c>
      <c r="G188" s="7" t="n">
        <v>-0.6</v>
      </c>
      <c r="H188" s="7" t="n">
        <v>-0.538</v>
      </c>
      <c r="I188" s="7" t="n">
        <v>-0.646</v>
      </c>
      <c r="J188" s="7" t="n">
        <v>-0.251</v>
      </c>
      <c r="K188" s="7" t="n">
        <v>0.035</v>
      </c>
      <c r="L188" s="7" t="n">
        <v>0.206</v>
      </c>
      <c r="M188" s="7" t="n">
        <v>-0.251</v>
      </c>
      <c r="N188" s="7" t="n">
        <v>-0.31</v>
      </c>
      <c r="O188" s="7" t="n">
        <v>-0.571</v>
      </c>
      <c r="P188" s="7" t="n">
        <v>-0.586</v>
      </c>
      <c r="Q188" s="7" t="n">
        <v>0.206</v>
      </c>
      <c r="R188" s="7" t="n">
        <v>-0.473</v>
      </c>
      <c r="S188" s="7" t="n">
        <v>0.035</v>
      </c>
      <c r="T188" s="7" t="n">
        <v>0.035</v>
      </c>
      <c r="U188" s="7" t="n">
        <v>-0.123</v>
      </c>
      <c r="V188" s="7" t="n">
        <v>-0.392</v>
      </c>
      <c r="W188" s="7" t="n">
        <v>0.206</v>
      </c>
      <c r="X188" s="7" t="n">
        <v>-0.746</v>
      </c>
      <c r="Y188" s="7" t="n">
        <v>-0.16</v>
      </c>
      <c r="Z188" s="7" t="n">
        <v>0.035</v>
      </c>
      <c r="AA188" s="7" t="n">
        <v>-0.113</v>
      </c>
      <c r="AB188" s="7" t="n">
        <v>-0.251</v>
      </c>
      <c r="AC188" s="7" t="n">
        <v>-0.082</v>
      </c>
      <c r="AD188" s="7" t="n">
        <v>-0.351</v>
      </c>
      <c r="AE188" s="7" t="n">
        <v>-0.31</v>
      </c>
      <c r="AF188" s="7" t="n">
        <v>0.397</v>
      </c>
      <c r="AG188" s="7" t="n">
        <v>-0.351</v>
      </c>
      <c r="AH188" s="7" t="n">
        <v>0.311</v>
      </c>
      <c r="AI188" s="7" t="n">
        <v>0</v>
      </c>
      <c r="AJ188" s="7" t="n">
        <v>-0.675</v>
      </c>
      <c r="AK188" s="7" t="n">
        <v>-0.352</v>
      </c>
      <c r="AL188" s="7" t="n">
        <v>-0.535</v>
      </c>
      <c r="AM188" s="7" t="n">
        <v>0</v>
      </c>
      <c r="AN188" s="7" t="n">
        <v>-0.381</v>
      </c>
      <c r="AO188" s="7" t="n">
        <v>-0.453</v>
      </c>
      <c r="AP188" s="7" t="n">
        <v>0</v>
      </c>
      <c r="AQ188" s="7" t="n">
        <v>0</v>
      </c>
    </row>
    <row r="189" customFormat="false" ht="15" hidden="false" customHeight="false" outlineLevel="0" collapsed="false">
      <c r="A189" s="23" t="n">
        <v>46506</v>
      </c>
      <c r="B189" s="7" t="n">
        <v>-0.554</v>
      </c>
      <c r="C189" s="7" t="n">
        <v>0.083</v>
      </c>
      <c r="D189" s="7" t="n">
        <v>-0.42</v>
      </c>
      <c r="E189" s="7" t="n">
        <v>0.036</v>
      </c>
      <c r="F189" s="7" t="n">
        <v>-0.322</v>
      </c>
      <c r="G189" s="7" t="n">
        <v>-0.589</v>
      </c>
      <c r="H189" s="7" t="n">
        <v>-0.525</v>
      </c>
      <c r="I189" s="7" t="n">
        <v>-0.621</v>
      </c>
      <c r="J189" s="7" t="n">
        <v>-0.256</v>
      </c>
      <c r="K189" s="7" t="n">
        <v>0.036</v>
      </c>
      <c r="L189" s="7" t="n">
        <v>0.233</v>
      </c>
      <c r="M189" s="7" t="n">
        <v>-0.256</v>
      </c>
      <c r="N189" s="7" t="n">
        <v>-0.322</v>
      </c>
      <c r="O189" s="7" t="n">
        <v>-0.578</v>
      </c>
      <c r="P189" s="7" t="n">
        <v>-0.571</v>
      </c>
      <c r="Q189" s="7" t="n">
        <v>0.233</v>
      </c>
      <c r="R189" s="7" t="n">
        <v>-0.456</v>
      </c>
      <c r="S189" s="7" t="n">
        <v>0.036</v>
      </c>
      <c r="T189" s="7" t="n">
        <v>0.036</v>
      </c>
      <c r="U189" s="7" t="n">
        <v>-0.114</v>
      </c>
      <c r="V189" s="7" t="n">
        <v>-0.353</v>
      </c>
      <c r="W189" s="7" t="n">
        <v>0.233</v>
      </c>
      <c r="X189" s="7" t="n">
        <v>-0.738</v>
      </c>
      <c r="Y189" s="7" t="n">
        <v>-0.155</v>
      </c>
      <c r="Z189" s="7" t="n">
        <v>0.036</v>
      </c>
      <c r="AA189" s="7" t="n">
        <v>-0.1</v>
      </c>
      <c r="AB189" s="7" t="n">
        <v>-0.256</v>
      </c>
      <c r="AC189" s="7" t="n">
        <v>-0.06</v>
      </c>
      <c r="AD189" s="7" t="n">
        <v>-0.341</v>
      </c>
      <c r="AE189" s="7" t="n">
        <v>-0.322</v>
      </c>
      <c r="AF189" s="7" t="n">
        <v>0.403</v>
      </c>
      <c r="AG189" s="7" t="n">
        <v>-0.341</v>
      </c>
      <c r="AH189" s="7" t="n">
        <v>0.31</v>
      </c>
      <c r="AI189" s="7" t="n">
        <v>0</v>
      </c>
      <c r="AJ189" s="7" t="n">
        <v>-0.671</v>
      </c>
      <c r="AK189" s="7" t="n">
        <v>-0.356</v>
      </c>
      <c r="AL189" s="7" t="n">
        <v>-0.526</v>
      </c>
      <c r="AM189" s="7" t="n">
        <v>0</v>
      </c>
      <c r="AN189" s="7" t="n">
        <v>-0.373</v>
      </c>
      <c r="AO189" s="7" t="n">
        <v>-0.454</v>
      </c>
      <c r="AP189" s="7" t="n">
        <v>0</v>
      </c>
      <c r="AQ189" s="7" t="n">
        <v>0</v>
      </c>
    </row>
    <row r="190" customFormat="false" ht="15" hidden="false" customHeight="false" outlineLevel="0" collapsed="false">
      <c r="A190" s="23" t="n">
        <v>46507</v>
      </c>
      <c r="B190" s="7" t="n">
        <v>-0.548</v>
      </c>
      <c r="C190" s="7" t="n">
        <v>0.087</v>
      </c>
      <c r="D190" s="7" t="n">
        <v>-0.404</v>
      </c>
      <c r="E190" s="7" t="n">
        <v>0.037</v>
      </c>
      <c r="F190" s="7" t="n">
        <v>-0.33</v>
      </c>
      <c r="G190" s="7" t="n">
        <v>-0.576</v>
      </c>
      <c r="H190" s="7" t="n">
        <v>-0.51</v>
      </c>
      <c r="I190" s="7" t="n">
        <v>-0.601</v>
      </c>
      <c r="J190" s="7" t="n">
        <v>-0.26</v>
      </c>
      <c r="K190" s="7" t="n">
        <v>0.037</v>
      </c>
      <c r="L190" s="7" t="n">
        <v>0.26</v>
      </c>
      <c r="M190" s="7" t="n">
        <v>-0.26</v>
      </c>
      <c r="N190" s="7" t="n">
        <v>-0.33</v>
      </c>
      <c r="O190" s="7" t="n">
        <v>-0.581</v>
      </c>
      <c r="P190" s="7" t="n">
        <v>-0.557</v>
      </c>
      <c r="Q190" s="7" t="n">
        <v>0.26</v>
      </c>
      <c r="R190" s="7" t="n">
        <v>-0.44</v>
      </c>
      <c r="S190" s="7" t="n">
        <v>0.037</v>
      </c>
      <c r="T190" s="7" t="n">
        <v>0.037</v>
      </c>
      <c r="U190" s="7" t="n">
        <v>-0.105</v>
      </c>
      <c r="V190" s="7" t="n">
        <v>-0.32</v>
      </c>
      <c r="W190" s="7" t="n">
        <v>0.26</v>
      </c>
      <c r="X190" s="7" t="n">
        <v>-0.732</v>
      </c>
      <c r="Y190" s="7" t="n">
        <v>-0.149</v>
      </c>
      <c r="Z190" s="7" t="n">
        <v>0.037</v>
      </c>
      <c r="AA190" s="7" t="n">
        <v>-0.092</v>
      </c>
      <c r="AB190" s="7" t="n">
        <v>-0.26</v>
      </c>
      <c r="AC190" s="7" t="n">
        <v>-0.037</v>
      </c>
      <c r="AD190" s="7" t="n">
        <v>-0.33</v>
      </c>
      <c r="AE190" s="7" t="n">
        <v>-0.33</v>
      </c>
      <c r="AF190" s="7" t="n">
        <v>0.408</v>
      </c>
      <c r="AG190" s="7" t="n">
        <v>-0.33</v>
      </c>
      <c r="AH190" s="7" t="n">
        <v>0.308</v>
      </c>
      <c r="AI190" s="7" t="n">
        <v>0</v>
      </c>
      <c r="AJ190" s="7" t="n">
        <v>-0.667</v>
      </c>
      <c r="AK190" s="7" t="n">
        <v>-0.359</v>
      </c>
      <c r="AL190" s="7" t="n">
        <v>-0.514</v>
      </c>
      <c r="AM190" s="7" t="n">
        <v>0</v>
      </c>
      <c r="AN190" s="7" t="n">
        <v>-0.363</v>
      </c>
      <c r="AO190" s="7" t="n">
        <v>-0.455</v>
      </c>
      <c r="AP190" s="7" t="n">
        <v>0</v>
      </c>
      <c r="AQ190" s="7" t="n">
        <v>0</v>
      </c>
    </row>
    <row r="191" customFormat="false" ht="15" hidden="false" customHeight="false" outlineLevel="0" collapsed="false">
      <c r="A191" s="23" t="n">
        <v>46508</v>
      </c>
      <c r="B191" s="7" t="n">
        <v>-0.449</v>
      </c>
      <c r="C191" s="7" t="n">
        <v>0.138</v>
      </c>
      <c r="D191" s="7" t="n">
        <v>-0.286</v>
      </c>
      <c r="E191" s="7" t="n">
        <v>0.037</v>
      </c>
      <c r="F191" s="7" t="n">
        <v>-0.286</v>
      </c>
      <c r="G191" s="7" t="n">
        <v>-0.462</v>
      </c>
      <c r="H191" s="7" t="n">
        <v>-0.389</v>
      </c>
      <c r="I191" s="7" t="n">
        <v>-0.512</v>
      </c>
      <c r="J191" s="7" t="n">
        <v>-0.265</v>
      </c>
      <c r="K191" s="7" t="n">
        <v>0.037</v>
      </c>
      <c r="L191" s="7" t="n">
        <v>0.322</v>
      </c>
      <c r="M191" s="7" t="n">
        <v>-0.265</v>
      </c>
      <c r="N191" s="7" t="n">
        <v>-0.286</v>
      </c>
      <c r="O191" s="7" t="n">
        <v>-0.544</v>
      </c>
      <c r="P191" s="7" t="n">
        <v>-0.401</v>
      </c>
      <c r="Q191" s="7" t="n">
        <v>0.322</v>
      </c>
      <c r="R191" s="7" t="n">
        <v>-0.319</v>
      </c>
      <c r="S191" s="7" t="n">
        <v>0.037</v>
      </c>
      <c r="T191" s="7" t="n">
        <v>0.037</v>
      </c>
      <c r="U191" s="7" t="n">
        <v>-0.078</v>
      </c>
      <c r="V191" s="7" t="n">
        <v>-0.218</v>
      </c>
      <c r="W191" s="7" t="n">
        <v>0.322</v>
      </c>
      <c r="X191" s="7" t="n">
        <v>-0.649</v>
      </c>
      <c r="Y191" s="7" t="n">
        <v>-0.174</v>
      </c>
      <c r="Z191" s="7" t="n">
        <v>0.037</v>
      </c>
      <c r="AA191" s="7" t="n">
        <v>-0.088</v>
      </c>
      <c r="AB191" s="7" t="n">
        <v>-0.265</v>
      </c>
      <c r="AC191" s="7" t="n">
        <v>0.028</v>
      </c>
      <c r="AD191" s="7" t="n">
        <v>-0.208</v>
      </c>
      <c r="AE191" s="7" t="n">
        <v>-0.286</v>
      </c>
      <c r="AF191" s="7" t="n">
        <v>0.452</v>
      </c>
      <c r="AG191" s="7" t="n">
        <v>-0.208</v>
      </c>
      <c r="AH191" s="7" t="n">
        <v>0.277</v>
      </c>
      <c r="AI191" s="7" t="n">
        <v>0.044</v>
      </c>
      <c r="AJ191" s="7" t="n">
        <v>-0.563</v>
      </c>
      <c r="AK191" s="7" t="n">
        <v>-0.357</v>
      </c>
      <c r="AL191" s="7" t="n">
        <v>-0.383</v>
      </c>
      <c r="AM191" s="7" t="n">
        <v>0</v>
      </c>
      <c r="AN191" s="7" t="n">
        <v>-0.242</v>
      </c>
      <c r="AO191" s="7" t="n">
        <v>-0.479</v>
      </c>
      <c r="AP191" s="7" t="n">
        <v>0</v>
      </c>
      <c r="AQ191" s="7" t="n">
        <v>0.044</v>
      </c>
    </row>
    <row r="192" customFormat="false" ht="15" hidden="false" customHeight="false" outlineLevel="0" collapsed="false">
      <c r="A192" s="23" t="n">
        <v>46509</v>
      </c>
      <c r="B192" s="7" t="n">
        <v>-0.449</v>
      </c>
      <c r="C192" s="7" t="n">
        <v>0.138</v>
      </c>
      <c r="D192" s="7" t="n">
        <v>-0.286</v>
      </c>
      <c r="E192" s="7" t="n">
        <v>0.037</v>
      </c>
      <c r="F192" s="7" t="n">
        <v>-0.286</v>
      </c>
      <c r="G192" s="7" t="n">
        <v>-0.462</v>
      </c>
      <c r="H192" s="7" t="n">
        <v>-0.389</v>
      </c>
      <c r="I192" s="7" t="n">
        <v>-0.512</v>
      </c>
      <c r="J192" s="7" t="n">
        <v>-0.265</v>
      </c>
      <c r="K192" s="7" t="n">
        <v>0.037</v>
      </c>
      <c r="L192" s="7" t="n">
        <v>0.322</v>
      </c>
      <c r="M192" s="7" t="n">
        <v>-0.265</v>
      </c>
      <c r="N192" s="7" t="n">
        <v>-0.286</v>
      </c>
      <c r="O192" s="7" t="n">
        <v>-0.544</v>
      </c>
      <c r="P192" s="7" t="n">
        <v>-0.401</v>
      </c>
      <c r="Q192" s="7" t="n">
        <v>0.322</v>
      </c>
      <c r="R192" s="7" t="n">
        <v>-0.319</v>
      </c>
      <c r="S192" s="7" t="n">
        <v>0.037</v>
      </c>
      <c r="T192" s="7" t="n">
        <v>0.037</v>
      </c>
      <c r="U192" s="7" t="n">
        <v>-0.078</v>
      </c>
      <c r="V192" s="7" t="n">
        <v>-0.218</v>
      </c>
      <c r="W192" s="7" t="n">
        <v>0.322</v>
      </c>
      <c r="X192" s="7" t="n">
        <v>-0.649</v>
      </c>
      <c r="Y192" s="7" t="n">
        <v>-0.174</v>
      </c>
      <c r="Z192" s="7" t="n">
        <v>0.037</v>
      </c>
      <c r="AA192" s="7" t="n">
        <v>-0.088</v>
      </c>
      <c r="AB192" s="7" t="n">
        <v>-0.265</v>
      </c>
      <c r="AC192" s="7" t="n">
        <v>0.028</v>
      </c>
      <c r="AD192" s="7" t="n">
        <v>-0.208</v>
      </c>
      <c r="AE192" s="7" t="n">
        <v>-0.286</v>
      </c>
      <c r="AF192" s="7" t="n">
        <v>0.452</v>
      </c>
      <c r="AG192" s="7" t="n">
        <v>-0.208</v>
      </c>
      <c r="AH192" s="7" t="n">
        <v>0.277</v>
      </c>
      <c r="AI192" s="7" t="n">
        <v>0.044</v>
      </c>
      <c r="AJ192" s="7" t="n">
        <v>-0.563</v>
      </c>
      <c r="AK192" s="7" t="n">
        <v>-0.357</v>
      </c>
      <c r="AL192" s="7" t="n">
        <v>-0.383</v>
      </c>
      <c r="AM192" s="7" t="n">
        <v>0</v>
      </c>
      <c r="AN192" s="7" t="n">
        <v>-0.242</v>
      </c>
      <c r="AO192" s="7" t="n">
        <v>-0.479</v>
      </c>
      <c r="AP192" s="7" t="n">
        <v>0</v>
      </c>
      <c r="AQ192" s="7" t="n">
        <v>0.044</v>
      </c>
    </row>
    <row r="193" customFormat="false" ht="15" hidden="false" customHeight="false" outlineLevel="0" collapsed="false">
      <c r="A193" s="23" t="n">
        <v>46510</v>
      </c>
      <c r="B193" s="7" t="n">
        <v>-0.449</v>
      </c>
      <c r="C193" s="7" t="n">
        <v>0.138</v>
      </c>
      <c r="D193" s="7" t="n">
        <v>-0.286</v>
      </c>
      <c r="E193" s="7" t="n">
        <v>0.037</v>
      </c>
      <c r="F193" s="7" t="n">
        <v>-0.286</v>
      </c>
      <c r="G193" s="7" t="n">
        <v>-0.462</v>
      </c>
      <c r="H193" s="7" t="n">
        <v>-0.389</v>
      </c>
      <c r="I193" s="7" t="n">
        <v>-0.512</v>
      </c>
      <c r="J193" s="7" t="n">
        <v>-0.265</v>
      </c>
      <c r="K193" s="7" t="n">
        <v>0.037</v>
      </c>
      <c r="L193" s="7" t="n">
        <v>0.322</v>
      </c>
      <c r="M193" s="7" t="n">
        <v>-0.265</v>
      </c>
      <c r="N193" s="7" t="n">
        <v>-0.286</v>
      </c>
      <c r="O193" s="7" t="n">
        <v>-0.544</v>
      </c>
      <c r="P193" s="7" t="n">
        <v>-0.401</v>
      </c>
      <c r="Q193" s="7" t="n">
        <v>0.322</v>
      </c>
      <c r="R193" s="7" t="n">
        <v>-0.319</v>
      </c>
      <c r="S193" s="7" t="n">
        <v>0.037</v>
      </c>
      <c r="T193" s="7" t="n">
        <v>0.037</v>
      </c>
      <c r="U193" s="7" t="n">
        <v>-0.078</v>
      </c>
      <c r="V193" s="7" t="n">
        <v>-0.218</v>
      </c>
      <c r="W193" s="7" t="n">
        <v>0.322</v>
      </c>
      <c r="X193" s="7" t="n">
        <v>-0.649</v>
      </c>
      <c r="Y193" s="7" t="n">
        <v>-0.174</v>
      </c>
      <c r="Z193" s="7" t="n">
        <v>0.037</v>
      </c>
      <c r="AA193" s="7" t="n">
        <v>-0.088</v>
      </c>
      <c r="AB193" s="7" t="n">
        <v>-0.265</v>
      </c>
      <c r="AC193" s="7" t="n">
        <v>0.028</v>
      </c>
      <c r="AD193" s="7" t="n">
        <v>-0.208</v>
      </c>
      <c r="AE193" s="7" t="n">
        <v>-0.286</v>
      </c>
      <c r="AF193" s="7" t="n">
        <v>0.452</v>
      </c>
      <c r="AG193" s="7" t="n">
        <v>-0.208</v>
      </c>
      <c r="AH193" s="7" t="n">
        <v>0.277</v>
      </c>
      <c r="AI193" s="7" t="n">
        <v>0.044</v>
      </c>
      <c r="AJ193" s="7" t="n">
        <v>-0.563</v>
      </c>
      <c r="AK193" s="7" t="n">
        <v>-0.357</v>
      </c>
      <c r="AL193" s="7" t="n">
        <v>-0.383</v>
      </c>
      <c r="AM193" s="7" t="n">
        <v>0</v>
      </c>
      <c r="AN193" s="7" t="n">
        <v>-0.242</v>
      </c>
      <c r="AO193" s="7" t="n">
        <v>-0.479</v>
      </c>
      <c r="AP193" s="7" t="n">
        <v>0</v>
      </c>
      <c r="AQ193" s="7" t="n">
        <v>0.044</v>
      </c>
    </row>
    <row r="194" customFormat="false" ht="15" hidden="false" customHeight="false" outlineLevel="0" collapsed="false">
      <c r="A194" s="23" t="n">
        <v>46511</v>
      </c>
      <c r="B194" s="7" t="n">
        <v>-0.392</v>
      </c>
      <c r="C194" s="7" t="n">
        <v>0.164</v>
      </c>
      <c r="D194" s="7" t="n">
        <v>-0.311</v>
      </c>
      <c r="E194" s="7" t="n">
        <v>0.037</v>
      </c>
      <c r="F194" s="7" t="n">
        <v>-0.213</v>
      </c>
      <c r="G194" s="7" t="n">
        <v>-0.447</v>
      </c>
      <c r="H194" s="7" t="n">
        <v>-0.404</v>
      </c>
      <c r="I194" s="7" t="n">
        <v>-0.45</v>
      </c>
      <c r="J194" s="7" t="n">
        <v>-0.206</v>
      </c>
      <c r="K194" s="7" t="n">
        <v>0.037</v>
      </c>
      <c r="L194" s="7" t="n">
        <v>0.199</v>
      </c>
      <c r="M194" s="7" t="n">
        <v>-0.206</v>
      </c>
      <c r="N194" s="7" t="n">
        <v>-0.213</v>
      </c>
      <c r="O194" s="7" t="n">
        <v>-0.515</v>
      </c>
      <c r="P194" s="7" t="n">
        <v>-0.341</v>
      </c>
      <c r="Q194" s="7" t="n">
        <v>0.199</v>
      </c>
      <c r="R194" s="7" t="n">
        <v>-0.347</v>
      </c>
      <c r="S194" s="7" t="n">
        <v>0.037</v>
      </c>
      <c r="T194" s="7" t="n">
        <v>0.037</v>
      </c>
      <c r="U194" s="7" t="n">
        <v>-0.112</v>
      </c>
      <c r="V194" s="7" t="n">
        <v>-0.201</v>
      </c>
      <c r="W194" s="7" t="n">
        <v>0.199</v>
      </c>
      <c r="X194" s="7" t="n">
        <v>-0.602</v>
      </c>
      <c r="Y194" s="7" t="n">
        <v>-0.208</v>
      </c>
      <c r="Z194" s="7" t="n">
        <v>0.037</v>
      </c>
      <c r="AA194" s="7" t="n">
        <v>-0.136</v>
      </c>
      <c r="AB194" s="7" t="n">
        <v>-0.206</v>
      </c>
      <c r="AC194" s="7" t="n">
        <v>-0.036</v>
      </c>
      <c r="AD194" s="7" t="n">
        <v>-0.197</v>
      </c>
      <c r="AE194" s="7" t="n">
        <v>-0.213</v>
      </c>
      <c r="AF194" s="7" t="n">
        <v>0.435</v>
      </c>
      <c r="AG194" s="7" t="n">
        <v>-0.197</v>
      </c>
      <c r="AH194" s="7" t="n">
        <v>0.296</v>
      </c>
      <c r="AI194" s="7" t="n">
        <v>0.099</v>
      </c>
      <c r="AJ194" s="7" t="n">
        <v>-0.503</v>
      </c>
      <c r="AK194" s="7" t="n">
        <v>-0.294</v>
      </c>
      <c r="AL194" s="7" t="n">
        <v>-0.356</v>
      </c>
      <c r="AM194" s="7" t="n">
        <v>0</v>
      </c>
      <c r="AN194" s="7" t="n">
        <v>-0.231</v>
      </c>
      <c r="AO194" s="7" t="n">
        <v>-0.458</v>
      </c>
      <c r="AP194" s="7" t="n">
        <v>0</v>
      </c>
      <c r="AQ194" s="7" t="n">
        <v>0.099</v>
      </c>
    </row>
    <row r="195" customFormat="false" ht="15" hidden="false" customHeight="false" outlineLevel="0" collapsed="false">
      <c r="A195" s="23" t="n">
        <v>46512</v>
      </c>
      <c r="B195" s="7" t="n">
        <v>-0.34</v>
      </c>
      <c r="C195" s="7" t="n">
        <v>0.178</v>
      </c>
      <c r="D195" s="7" t="n">
        <v>-0.337</v>
      </c>
      <c r="E195" s="7" t="n">
        <v>0.037</v>
      </c>
      <c r="F195" s="7" t="n">
        <v>-0.147</v>
      </c>
      <c r="G195" s="7" t="n">
        <v>-0.433</v>
      </c>
      <c r="H195" s="7" t="n">
        <v>-0.422</v>
      </c>
      <c r="I195" s="7" t="n">
        <v>-0.384</v>
      </c>
      <c r="J195" s="7" t="n">
        <v>-0.147</v>
      </c>
      <c r="K195" s="7" t="n">
        <v>0.037</v>
      </c>
      <c r="L195" s="7" t="n">
        <v>0.058</v>
      </c>
      <c r="M195" s="7" t="n">
        <v>-0.147</v>
      </c>
      <c r="N195" s="7" t="n">
        <v>-0.147</v>
      </c>
      <c r="O195" s="7" t="n">
        <v>-0.493</v>
      </c>
      <c r="P195" s="7" t="n">
        <v>-0.292</v>
      </c>
      <c r="Q195" s="7" t="n">
        <v>0.058</v>
      </c>
      <c r="R195" s="7" t="n">
        <v>-0.377</v>
      </c>
      <c r="S195" s="7" t="n">
        <v>0.037</v>
      </c>
      <c r="T195" s="7" t="n">
        <v>0.037</v>
      </c>
      <c r="U195" s="7" t="n">
        <v>-0.158</v>
      </c>
      <c r="V195" s="7" t="n">
        <v>-0.18</v>
      </c>
      <c r="W195" s="7" t="n">
        <v>0.058</v>
      </c>
      <c r="X195" s="7" t="n">
        <v>-0.556</v>
      </c>
      <c r="Y195" s="7" t="n">
        <v>-0.243</v>
      </c>
      <c r="Z195" s="7" t="n">
        <v>0.037</v>
      </c>
      <c r="AA195" s="7" t="n">
        <v>-0.185</v>
      </c>
      <c r="AB195" s="7" t="n">
        <v>-0.147</v>
      </c>
      <c r="AC195" s="7" t="n">
        <v>-0.118</v>
      </c>
      <c r="AD195" s="7" t="n">
        <v>-0.187</v>
      </c>
      <c r="AE195" s="7" t="n">
        <v>-0.147</v>
      </c>
      <c r="AF195" s="7" t="n">
        <v>0.407</v>
      </c>
      <c r="AG195" s="7" t="n">
        <v>-0.187</v>
      </c>
      <c r="AH195" s="7" t="n">
        <v>0.314</v>
      </c>
      <c r="AI195" s="7" t="n">
        <v>0.143</v>
      </c>
      <c r="AJ195" s="7" t="n">
        <v>-0.445</v>
      </c>
      <c r="AK195" s="7" t="n">
        <v>-0.231</v>
      </c>
      <c r="AL195" s="7" t="n">
        <v>-0.342</v>
      </c>
      <c r="AM195" s="7" t="n">
        <v>0</v>
      </c>
      <c r="AN195" s="7" t="n">
        <v>-0.221</v>
      </c>
      <c r="AO195" s="7" t="n">
        <v>-0.439</v>
      </c>
      <c r="AP195" s="7" t="n">
        <v>0</v>
      </c>
      <c r="AQ195" s="7" t="n">
        <v>0.143</v>
      </c>
    </row>
    <row r="196" customFormat="false" ht="15" hidden="false" customHeight="false" outlineLevel="0" collapsed="false">
      <c r="A196" s="23" t="n">
        <v>46513</v>
      </c>
      <c r="B196" s="7" t="n">
        <v>-0.249</v>
      </c>
      <c r="C196" s="7" t="n">
        <v>0.214</v>
      </c>
      <c r="D196" s="7" t="n">
        <v>-0.357</v>
      </c>
      <c r="E196" s="7" t="n">
        <v>0.037</v>
      </c>
      <c r="F196" s="7" t="n">
        <v>-0.025</v>
      </c>
      <c r="G196" s="7" t="n">
        <v>-0.417</v>
      </c>
      <c r="H196" s="7" t="n">
        <v>-0.438</v>
      </c>
      <c r="I196" s="7" t="n">
        <v>-0.342</v>
      </c>
      <c r="J196" s="7" t="n">
        <v>-0.086</v>
      </c>
      <c r="K196" s="7" t="n">
        <v>0.037</v>
      </c>
      <c r="L196" s="7" t="n">
        <v>0.054</v>
      </c>
      <c r="M196" s="7" t="n">
        <v>-0.086</v>
      </c>
      <c r="N196" s="7" t="n">
        <v>-0.025</v>
      </c>
      <c r="O196" s="7" t="n">
        <v>-0.322</v>
      </c>
      <c r="P196" s="7" t="n">
        <v>-0.237</v>
      </c>
      <c r="Q196" s="7" t="n">
        <v>0.054</v>
      </c>
      <c r="R196" s="7" t="n">
        <v>-0.403</v>
      </c>
      <c r="S196" s="7" t="n">
        <v>0.037</v>
      </c>
      <c r="T196" s="7" t="n">
        <v>0.037</v>
      </c>
      <c r="U196" s="7" t="n">
        <v>-0.203</v>
      </c>
      <c r="V196" s="7" t="n">
        <v>-0.193</v>
      </c>
      <c r="W196" s="7" t="n">
        <v>0.054</v>
      </c>
      <c r="X196" s="7" t="n">
        <v>-0.505</v>
      </c>
      <c r="Y196" s="7" t="n">
        <v>-0.289</v>
      </c>
      <c r="Z196" s="7" t="n">
        <v>0.037</v>
      </c>
      <c r="AA196" s="7" t="n">
        <v>-0.232</v>
      </c>
      <c r="AB196" s="7" t="n">
        <v>-0.086</v>
      </c>
      <c r="AC196" s="7" t="n">
        <v>-0.061</v>
      </c>
      <c r="AD196" s="7" t="n">
        <v>-0.174</v>
      </c>
      <c r="AE196" s="7" t="n">
        <v>-0.025</v>
      </c>
      <c r="AF196" s="7" t="n">
        <v>0.378</v>
      </c>
      <c r="AG196" s="7" t="n">
        <v>-0.174</v>
      </c>
      <c r="AH196" s="7" t="n">
        <v>0.332</v>
      </c>
      <c r="AI196" s="7" t="n">
        <v>0.19</v>
      </c>
      <c r="AJ196" s="7" t="n">
        <v>-0.383</v>
      </c>
      <c r="AK196" s="7" t="n">
        <v>-0.166</v>
      </c>
      <c r="AL196" s="7" t="n">
        <v>-0.324</v>
      </c>
      <c r="AM196" s="7" t="n">
        <v>0</v>
      </c>
      <c r="AN196" s="7" t="n">
        <v>-0.208</v>
      </c>
      <c r="AO196" s="7" t="n">
        <v>-0.419</v>
      </c>
      <c r="AP196" s="7" t="n">
        <v>0</v>
      </c>
      <c r="AQ196" s="7" t="n">
        <v>0.19</v>
      </c>
    </row>
    <row r="197" customFormat="false" ht="15" hidden="false" customHeight="false" outlineLevel="0" collapsed="false">
      <c r="A197" s="23" t="n">
        <v>46514</v>
      </c>
      <c r="B197" s="7" t="n">
        <v>-0.16</v>
      </c>
      <c r="C197" s="7" t="n">
        <v>0.251</v>
      </c>
      <c r="D197" s="7" t="n">
        <v>-0.376</v>
      </c>
      <c r="E197" s="7" t="n">
        <v>0.037</v>
      </c>
      <c r="F197" s="7" t="n">
        <v>0.097</v>
      </c>
      <c r="G197" s="7" t="n">
        <v>-0.402</v>
      </c>
      <c r="H197" s="7" t="n">
        <v>-0.445</v>
      </c>
      <c r="I197" s="7" t="n">
        <v>-0.309</v>
      </c>
      <c r="J197" s="7" t="n">
        <v>-0.025</v>
      </c>
      <c r="K197" s="7" t="n">
        <v>0.037</v>
      </c>
      <c r="L197" s="7" t="n">
        <v>0.048</v>
      </c>
      <c r="M197" s="7" t="n">
        <v>-0.025</v>
      </c>
      <c r="N197" s="7" t="n">
        <v>0.097</v>
      </c>
      <c r="O197" s="7" t="n">
        <v>-0.153</v>
      </c>
      <c r="P197" s="7" t="n">
        <v>-0.182</v>
      </c>
      <c r="Q197" s="7" t="n">
        <v>0.048</v>
      </c>
      <c r="R197" s="7" t="n">
        <v>-0.421</v>
      </c>
      <c r="S197" s="7" t="n">
        <v>0.037</v>
      </c>
      <c r="T197" s="7" t="n">
        <v>0.037</v>
      </c>
      <c r="U197" s="7" t="n">
        <v>-0.236</v>
      </c>
      <c r="V197" s="7" t="n">
        <v>-0.215</v>
      </c>
      <c r="W197" s="7" t="n">
        <v>0.048</v>
      </c>
      <c r="X197" s="7" t="n">
        <v>-0.455</v>
      </c>
      <c r="Y197" s="7" t="n">
        <v>-0.327</v>
      </c>
      <c r="Z197" s="7" t="n">
        <v>0.037</v>
      </c>
      <c r="AA197" s="7" t="n">
        <v>-0.266</v>
      </c>
      <c r="AB197" s="7" t="n">
        <v>-0.025</v>
      </c>
      <c r="AC197" s="7" t="n">
        <v>-0.006</v>
      </c>
      <c r="AD197" s="7" t="n">
        <v>-0.163</v>
      </c>
      <c r="AE197" s="7" t="n">
        <v>0.097</v>
      </c>
      <c r="AF197" s="7" t="n">
        <v>0.35</v>
      </c>
      <c r="AG197" s="7" t="n">
        <v>-0.163</v>
      </c>
      <c r="AH197" s="7" t="n">
        <v>0.35</v>
      </c>
      <c r="AI197" s="7" t="n">
        <v>0.238</v>
      </c>
      <c r="AJ197" s="7" t="n">
        <v>-0.323</v>
      </c>
      <c r="AK197" s="7" t="n">
        <v>-0.102</v>
      </c>
      <c r="AL197" s="7" t="n">
        <v>-0.306</v>
      </c>
      <c r="AM197" s="7" t="n">
        <v>0</v>
      </c>
      <c r="AN197" s="7" t="n">
        <v>-0.197</v>
      </c>
      <c r="AO197" s="7" t="n">
        <v>-0.4</v>
      </c>
      <c r="AP197" s="7" t="n">
        <v>0</v>
      </c>
      <c r="AQ197" s="7" t="n">
        <v>0.238</v>
      </c>
    </row>
    <row r="198" customFormat="false" ht="15" hidden="false" customHeight="false" outlineLevel="0" collapsed="false">
      <c r="A198" s="23" t="n">
        <v>46515</v>
      </c>
      <c r="B198" s="7" t="n">
        <v>-0.159</v>
      </c>
      <c r="C198" s="7" t="n">
        <v>0.24</v>
      </c>
      <c r="D198" s="7" t="n">
        <v>-0.502</v>
      </c>
      <c r="E198" s="7" t="n">
        <v>0.037</v>
      </c>
      <c r="F198" s="7" t="n">
        <v>0.17</v>
      </c>
      <c r="G198" s="7" t="n">
        <v>-0.489</v>
      </c>
      <c r="H198" s="7" t="n">
        <v>-0.557</v>
      </c>
      <c r="I198" s="7" t="n">
        <v>-0.328</v>
      </c>
      <c r="J198" s="7" t="n">
        <v>0.037</v>
      </c>
      <c r="K198" s="7" t="n">
        <v>0.037</v>
      </c>
      <c r="L198" s="7" t="n">
        <v>0.004</v>
      </c>
      <c r="M198" s="7" t="n">
        <v>0.037</v>
      </c>
      <c r="N198" s="7" t="n">
        <v>0.17</v>
      </c>
      <c r="O198" s="7" t="n">
        <v>-0.02</v>
      </c>
      <c r="P198" s="7" t="n">
        <v>-0.271</v>
      </c>
      <c r="Q198" s="7" t="n">
        <v>0.004</v>
      </c>
      <c r="R198" s="7" t="n">
        <v>-0.547</v>
      </c>
      <c r="S198" s="7" t="n">
        <v>0.037</v>
      </c>
      <c r="T198" s="7" t="n">
        <v>0.037</v>
      </c>
      <c r="U198" s="7" t="n">
        <v>-0.286</v>
      </c>
      <c r="V198" s="7" t="n">
        <v>-0.296</v>
      </c>
      <c r="W198" s="7" t="n">
        <v>0.004</v>
      </c>
      <c r="X198" s="7" t="n">
        <v>-0.482</v>
      </c>
      <c r="Y198" s="7" t="n">
        <v>-0.335</v>
      </c>
      <c r="Z198" s="7" t="n">
        <v>0.037</v>
      </c>
      <c r="AA198" s="7" t="n">
        <v>-0.296</v>
      </c>
      <c r="AB198" s="7" t="n">
        <v>0.037</v>
      </c>
      <c r="AC198" s="7" t="n">
        <v>0.004</v>
      </c>
      <c r="AD198" s="7" t="n">
        <v>-0.266</v>
      </c>
      <c r="AE198" s="7" t="n">
        <v>0.17</v>
      </c>
      <c r="AF198" s="7" t="n">
        <v>0.283</v>
      </c>
      <c r="AG198" s="7" t="n">
        <v>-0.266</v>
      </c>
      <c r="AH198" s="7" t="n">
        <v>0.397</v>
      </c>
      <c r="AI198" s="7" t="n">
        <v>0.243</v>
      </c>
      <c r="AJ198" s="7" t="n">
        <v>-0.364</v>
      </c>
      <c r="AK198" s="7" t="n">
        <v>-0.043</v>
      </c>
      <c r="AL198" s="7" t="n">
        <v>-0.409</v>
      </c>
      <c r="AM198" s="7" t="n">
        <v>0</v>
      </c>
      <c r="AN198" s="7" t="n">
        <v>-0.3</v>
      </c>
      <c r="AO198" s="7" t="n">
        <v>-0.357</v>
      </c>
      <c r="AP198" s="7" t="n">
        <v>0</v>
      </c>
      <c r="AQ198" s="7" t="n">
        <v>0.243</v>
      </c>
    </row>
    <row r="199" customFormat="false" ht="15" hidden="false" customHeight="false" outlineLevel="0" collapsed="false">
      <c r="A199" s="23" t="n">
        <v>46516</v>
      </c>
      <c r="B199" s="7" t="n">
        <v>-0.159</v>
      </c>
      <c r="C199" s="7" t="n">
        <v>0.24</v>
      </c>
      <c r="D199" s="7" t="n">
        <v>-0.502</v>
      </c>
      <c r="E199" s="7" t="n">
        <v>0.037</v>
      </c>
      <c r="F199" s="7" t="n">
        <v>0.17</v>
      </c>
      <c r="G199" s="7" t="n">
        <v>-0.489</v>
      </c>
      <c r="H199" s="7" t="n">
        <v>-0.557</v>
      </c>
      <c r="I199" s="7" t="n">
        <v>-0.328</v>
      </c>
      <c r="J199" s="7" t="n">
        <v>0.037</v>
      </c>
      <c r="K199" s="7" t="n">
        <v>0.037</v>
      </c>
      <c r="L199" s="7" t="n">
        <v>0.004</v>
      </c>
      <c r="M199" s="7" t="n">
        <v>0.037</v>
      </c>
      <c r="N199" s="7" t="n">
        <v>0.17</v>
      </c>
      <c r="O199" s="7" t="n">
        <v>-0.02</v>
      </c>
      <c r="P199" s="7" t="n">
        <v>-0.271</v>
      </c>
      <c r="Q199" s="7" t="n">
        <v>0.004</v>
      </c>
      <c r="R199" s="7" t="n">
        <v>-0.547</v>
      </c>
      <c r="S199" s="7" t="n">
        <v>0.037</v>
      </c>
      <c r="T199" s="7" t="n">
        <v>0.037</v>
      </c>
      <c r="U199" s="7" t="n">
        <v>-0.286</v>
      </c>
      <c r="V199" s="7" t="n">
        <v>-0.296</v>
      </c>
      <c r="W199" s="7" t="n">
        <v>0.004</v>
      </c>
      <c r="X199" s="7" t="n">
        <v>-0.482</v>
      </c>
      <c r="Y199" s="7" t="n">
        <v>-0.335</v>
      </c>
      <c r="Z199" s="7" t="n">
        <v>0.037</v>
      </c>
      <c r="AA199" s="7" t="n">
        <v>-0.296</v>
      </c>
      <c r="AB199" s="7" t="n">
        <v>0.037</v>
      </c>
      <c r="AC199" s="7" t="n">
        <v>0.004</v>
      </c>
      <c r="AD199" s="7" t="n">
        <v>-0.266</v>
      </c>
      <c r="AE199" s="7" t="n">
        <v>0.17</v>
      </c>
      <c r="AF199" s="7" t="n">
        <v>0.283</v>
      </c>
      <c r="AG199" s="7" t="n">
        <v>-0.266</v>
      </c>
      <c r="AH199" s="7" t="n">
        <v>0.397</v>
      </c>
      <c r="AI199" s="7" t="n">
        <v>0.243</v>
      </c>
      <c r="AJ199" s="7" t="n">
        <v>-0.364</v>
      </c>
      <c r="AK199" s="7" t="n">
        <v>-0.043</v>
      </c>
      <c r="AL199" s="7" t="n">
        <v>-0.409</v>
      </c>
      <c r="AM199" s="7" t="n">
        <v>0</v>
      </c>
      <c r="AN199" s="7" t="n">
        <v>-0.3</v>
      </c>
      <c r="AO199" s="7" t="n">
        <v>-0.357</v>
      </c>
      <c r="AP199" s="7" t="n">
        <v>0</v>
      </c>
      <c r="AQ199" s="7" t="n">
        <v>0.243</v>
      </c>
    </row>
    <row r="200" customFormat="false" ht="15" hidden="false" customHeight="false" outlineLevel="0" collapsed="false">
      <c r="A200" s="23" t="n">
        <v>46517</v>
      </c>
      <c r="B200" s="7" t="n">
        <v>-0.159</v>
      </c>
      <c r="C200" s="7" t="n">
        <v>0.24</v>
      </c>
      <c r="D200" s="7" t="n">
        <v>-0.502</v>
      </c>
      <c r="E200" s="7" t="n">
        <v>0.037</v>
      </c>
      <c r="F200" s="7" t="n">
        <v>0.17</v>
      </c>
      <c r="G200" s="7" t="n">
        <v>-0.489</v>
      </c>
      <c r="H200" s="7" t="n">
        <v>-0.557</v>
      </c>
      <c r="I200" s="7" t="n">
        <v>-0.328</v>
      </c>
      <c r="J200" s="7" t="n">
        <v>0.037</v>
      </c>
      <c r="K200" s="7" t="n">
        <v>0.037</v>
      </c>
      <c r="L200" s="7" t="n">
        <v>0.004</v>
      </c>
      <c r="M200" s="7" t="n">
        <v>0.037</v>
      </c>
      <c r="N200" s="7" t="n">
        <v>0.17</v>
      </c>
      <c r="O200" s="7" t="n">
        <v>-0.02</v>
      </c>
      <c r="P200" s="7" t="n">
        <v>-0.271</v>
      </c>
      <c r="Q200" s="7" t="n">
        <v>0.004</v>
      </c>
      <c r="R200" s="7" t="n">
        <v>-0.547</v>
      </c>
      <c r="S200" s="7" t="n">
        <v>0.037</v>
      </c>
      <c r="T200" s="7" t="n">
        <v>0.037</v>
      </c>
      <c r="U200" s="7" t="n">
        <v>-0.286</v>
      </c>
      <c r="V200" s="7" t="n">
        <v>-0.296</v>
      </c>
      <c r="W200" s="7" t="n">
        <v>0.004</v>
      </c>
      <c r="X200" s="7" t="n">
        <v>-0.482</v>
      </c>
      <c r="Y200" s="7" t="n">
        <v>-0.335</v>
      </c>
      <c r="Z200" s="7" t="n">
        <v>0.037</v>
      </c>
      <c r="AA200" s="7" t="n">
        <v>-0.296</v>
      </c>
      <c r="AB200" s="7" t="n">
        <v>0.037</v>
      </c>
      <c r="AC200" s="7" t="n">
        <v>0.004</v>
      </c>
      <c r="AD200" s="7" t="n">
        <v>-0.266</v>
      </c>
      <c r="AE200" s="7" t="n">
        <v>0.17</v>
      </c>
      <c r="AF200" s="7" t="n">
        <v>0.283</v>
      </c>
      <c r="AG200" s="7" t="n">
        <v>-0.266</v>
      </c>
      <c r="AH200" s="7" t="n">
        <v>0.397</v>
      </c>
      <c r="AI200" s="7" t="n">
        <v>0.243</v>
      </c>
      <c r="AJ200" s="7" t="n">
        <v>-0.364</v>
      </c>
      <c r="AK200" s="7" t="n">
        <v>-0.043</v>
      </c>
      <c r="AL200" s="7" t="n">
        <v>-0.409</v>
      </c>
      <c r="AM200" s="7" t="n">
        <v>0</v>
      </c>
      <c r="AN200" s="7" t="n">
        <v>-0.3</v>
      </c>
      <c r="AO200" s="7" t="n">
        <v>-0.357</v>
      </c>
      <c r="AP200" s="7" t="n">
        <v>0</v>
      </c>
      <c r="AQ200" s="7" t="n">
        <v>0.243</v>
      </c>
    </row>
    <row r="201" customFormat="false" ht="15" hidden="false" customHeight="false" outlineLevel="0" collapsed="false">
      <c r="A201" s="23" t="n">
        <v>46518</v>
      </c>
      <c r="B201" s="7" t="n">
        <v>-0.105</v>
      </c>
      <c r="C201" s="7" t="n">
        <v>0.236</v>
      </c>
      <c r="D201" s="7" t="n">
        <v>-0.404</v>
      </c>
      <c r="E201" s="7" t="n">
        <v>0.037</v>
      </c>
      <c r="F201" s="7" t="n">
        <v>0.186</v>
      </c>
      <c r="G201" s="7" t="n">
        <v>-0.393</v>
      </c>
      <c r="H201" s="7" t="n">
        <v>-0.474</v>
      </c>
      <c r="I201" s="7" t="n">
        <v>-0.314</v>
      </c>
      <c r="J201" s="7" t="n">
        <v>0.037</v>
      </c>
      <c r="K201" s="7" t="n">
        <v>0.037</v>
      </c>
      <c r="L201" s="7" t="n">
        <v>-0.001</v>
      </c>
      <c r="M201" s="7" t="n">
        <v>0.037</v>
      </c>
      <c r="N201" s="7" t="n">
        <v>0.186</v>
      </c>
      <c r="O201" s="7" t="n">
        <v>-0.025</v>
      </c>
      <c r="P201" s="7" t="n">
        <v>-0.235</v>
      </c>
      <c r="Q201" s="7" t="n">
        <v>-0.001</v>
      </c>
      <c r="R201" s="7" t="n">
        <v>-0.475</v>
      </c>
      <c r="S201" s="7" t="n">
        <v>0.037</v>
      </c>
      <c r="T201" s="7" t="n">
        <v>0.037</v>
      </c>
      <c r="U201" s="7" t="n">
        <v>-0.27</v>
      </c>
      <c r="V201" s="7" t="n">
        <v>-0.276</v>
      </c>
      <c r="W201" s="7" t="n">
        <v>-0.001</v>
      </c>
      <c r="X201" s="7" t="n">
        <v>-0.389</v>
      </c>
      <c r="Y201" s="7" t="n">
        <v>-0.337</v>
      </c>
      <c r="Z201" s="7" t="n">
        <v>0.037</v>
      </c>
      <c r="AA201" s="7" t="n">
        <v>-0.262</v>
      </c>
      <c r="AB201" s="7" t="n">
        <v>0.037</v>
      </c>
      <c r="AC201" s="7" t="n">
        <v>-0.001</v>
      </c>
      <c r="AD201" s="7" t="n">
        <v>-0.116</v>
      </c>
      <c r="AE201" s="7" t="n">
        <v>0.186</v>
      </c>
      <c r="AF201" s="7" t="n">
        <v>0.306</v>
      </c>
      <c r="AG201" s="7" t="n">
        <v>-0.216</v>
      </c>
      <c r="AH201" s="7" t="n">
        <v>0.415</v>
      </c>
      <c r="AI201" s="7" t="n">
        <v>0.179</v>
      </c>
      <c r="AJ201" s="7" t="n">
        <v>-0.328</v>
      </c>
      <c r="AK201" s="7" t="n">
        <v>-0.05</v>
      </c>
      <c r="AL201" s="7" t="n">
        <v>-0.4</v>
      </c>
      <c r="AM201" s="7" t="n">
        <v>0</v>
      </c>
      <c r="AN201" s="7" t="n">
        <v>-0.251</v>
      </c>
      <c r="AO201" s="7" t="n">
        <v>-0.335</v>
      </c>
      <c r="AP201" s="7" t="n">
        <v>0</v>
      </c>
      <c r="AQ201" s="7" t="n">
        <v>0.179</v>
      </c>
    </row>
    <row r="202" customFormat="false" ht="15" hidden="false" customHeight="false" outlineLevel="0" collapsed="false">
      <c r="A202" s="23" t="n">
        <v>46519</v>
      </c>
      <c r="B202" s="7" t="n">
        <v>-0.04</v>
      </c>
      <c r="C202" s="7" t="n">
        <v>0.243</v>
      </c>
      <c r="D202" s="7" t="n">
        <v>-0.306</v>
      </c>
      <c r="E202" s="7" t="n">
        <v>0.037</v>
      </c>
      <c r="F202" s="7" t="n">
        <v>0.212</v>
      </c>
      <c r="G202" s="7" t="n">
        <v>-0.296</v>
      </c>
      <c r="H202" s="7" t="n">
        <v>-0.393</v>
      </c>
      <c r="I202" s="7" t="n">
        <v>-0.288</v>
      </c>
      <c r="J202" s="7" t="n">
        <v>0.037</v>
      </c>
      <c r="K202" s="7" t="n">
        <v>0.037</v>
      </c>
      <c r="L202" s="7" t="n">
        <v>0.012</v>
      </c>
      <c r="M202" s="7" t="n">
        <v>0.037</v>
      </c>
      <c r="N202" s="7" t="n">
        <v>0.212</v>
      </c>
      <c r="O202" s="7" t="n">
        <v>-0.019</v>
      </c>
      <c r="P202" s="7" t="n">
        <v>-0.188</v>
      </c>
      <c r="Q202" s="7" t="n">
        <v>0.012</v>
      </c>
      <c r="R202" s="7" t="n">
        <v>-0.404</v>
      </c>
      <c r="S202" s="7" t="n">
        <v>0.037</v>
      </c>
      <c r="T202" s="7" t="n">
        <v>0.037</v>
      </c>
      <c r="U202" s="7" t="n">
        <v>-0.241</v>
      </c>
      <c r="V202" s="7" t="n">
        <v>-0.244</v>
      </c>
      <c r="W202" s="7" t="n">
        <v>0.012</v>
      </c>
      <c r="X202" s="7" t="n">
        <v>-0.295</v>
      </c>
      <c r="Y202" s="7" t="n">
        <v>-0.339</v>
      </c>
      <c r="Z202" s="7" t="n">
        <v>0.037</v>
      </c>
      <c r="AA202" s="7" t="n">
        <v>-0.231</v>
      </c>
      <c r="AB202" s="7" t="n">
        <v>0.037</v>
      </c>
      <c r="AC202" s="7" t="n">
        <v>0.012</v>
      </c>
      <c r="AD202" s="7" t="n">
        <v>0.03</v>
      </c>
      <c r="AE202" s="7" t="n">
        <v>0.212</v>
      </c>
      <c r="AF202" s="7" t="n">
        <v>0.342</v>
      </c>
      <c r="AG202" s="7" t="n">
        <v>-0.165</v>
      </c>
      <c r="AH202" s="7" t="n">
        <v>0.436</v>
      </c>
      <c r="AI202" s="7" t="n">
        <v>0.125</v>
      </c>
      <c r="AJ202" s="7" t="n">
        <v>-0.291</v>
      </c>
      <c r="AK202" s="7" t="n">
        <v>-0.058</v>
      </c>
      <c r="AL202" s="7" t="n">
        <v>-0.377</v>
      </c>
      <c r="AM202" s="7" t="n">
        <v>0</v>
      </c>
      <c r="AN202" s="7" t="n">
        <v>-0.2</v>
      </c>
      <c r="AO202" s="7" t="n">
        <v>-0.308</v>
      </c>
      <c r="AP202" s="7" t="n">
        <v>0</v>
      </c>
      <c r="AQ202" s="7" t="n">
        <v>0.125</v>
      </c>
    </row>
    <row r="203" customFormat="false" ht="15" hidden="false" customHeight="false" outlineLevel="0" collapsed="false">
      <c r="A203" s="23" t="n">
        <v>46520</v>
      </c>
      <c r="B203" s="7" t="n">
        <v>-0.02</v>
      </c>
      <c r="C203" s="7" t="n">
        <v>0.231</v>
      </c>
      <c r="D203" s="7" t="n">
        <v>-0.211</v>
      </c>
      <c r="E203" s="7" t="n">
        <v>0.037</v>
      </c>
      <c r="F203" s="7" t="n">
        <v>0.184</v>
      </c>
      <c r="G203" s="7" t="n">
        <v>-0.204</v>
      </c>
      <c r="H203" s="7" t="n">
        <v>-0.319</v>
      </c>
      <c r="I203" s="7" t="n">
        <v>-0.267</v>
      </c>
      <c r="J203" s="7" t="n">
        <v>0.037</v>
      </c>
      <c r="K203" s="7" t="n">
        <v>0.037</v>
      </c>
      <c r="L203" s="7" t="n">
        <v>-0.111</v>
      </c>
      <c r="M203" s="7" t="n">
        <v>0.037</v>
      </c>
      <c r="N203" s="7" t="n">
        <v>0.184</v>
      </c>
      <c r="O203" s="7" t="n">
        <v>-0.162</v>
      </c>
      <c r="P203" s="7" t="n">
        <v>-0.146</v>
      </c>
      <c r="Q203" s="7" t="n">
        <v>-0.111</v>
      </c>
      <c r="R203" s="7" t="n">
        <v>-0.34</v>
      </c>
      <c r="S203" s="7" t="n">
        <v>0.037</v>
      </c>
      <c r="T203" s="7" t="n">
        <v>0.037</v>
      </c>
      <c r="U203" s="7" t="n">
        <v>-0.214</v>
      </c>
      <c r="V203" s="7" t="n">
        <v>-0.215</v>
      </c>
      <c r="W203" s="7" t="n">
        <v>-0.111</v>
      </c>
      <c r="X203" s="7" t="n">
        <v>-0.204</v>
      </c>
      <c r="Y203" s="7" t="n">
        <v>-0.331</v>
      </c>
      <c r="Z203" s="7" t="n">
        <v>0.037</v>
      </c>
      <c r="AA203" s="7" t="n">
        <v>-0.203</v>
      </c>
      <c r="AB203" s="7" t="n">
        <v>0.037</v>
      </c>
      <c r="AC203" s="7" t="n">
        <v>-0.111</v>
      </c>
      <c r="AD203" s="7" t="n">
        <v>0.167</v>
      </c>
      <c r="AE203" s="7" t="n">
        <v>0.184</v>
      </c>
      <c r="AF203" s="7" t="n">
        <v>0.379</v>
      </c>
      <c r="AG203" s="7" t="n">
        <v>-0.117</v>
      </c>
      <c r="AH203" s="7" t="n">
        <v>0.459</v>
      </c>
      <c r="AI203" s="7" t="n">
        <v>0.07</v>
      </c>
      <c r="AJ203" s="7" t="n">
        <v>-0.259</v>
      </c>
      <c r="AK203" s="7" t="n">
        <v>-0.066</v>
      </c>
      <c r="AL203" s="7" t="n">
        <v>-0.355</v>
      </c>
      <c r="AM203" s="7" t="n">
        <v>0</v>
      </c>
      <c r="AN203" s="7" t="n">
        <v>-0.154</v>
      </c>
      <c r="AO203" s="7" t="n">
        <v>-0.278</v>
      </c>
      <c r="AP203" s="7" t="n">
        <v>0</v>
      </c>
      <c r="AQ203" s="7" t="n">
        <v>0.07</v>
      </c>
    </row>
    <row r="204" customFormat="false" ht="15" hidden="false" customHeight="false" outlineLevel="0" collapsed="false">
      <c r="A204" s="23" t="n">
        <v>46521</v>
      </c>
      <c r="B204" s="7" t="n">
        <v>0.015</v>
      </c>
      <c r="C204" s="7" t="n">
        <v>0.218</v>
      </c>
      <c r="D204" s="7" t="n">
        <v>-0.115</v>
      </c>
      <c r="E204" s="7" t="n">
        <v>0.037</v>
      </c>
      <c r="F204" s="7" t="n">
        <v>0.156</v>
      </c>
      <c r="G204" s="7" t="n">
        <v>-0.111</v>
      </c>
      <c r="H204" s="7" t="n">
        <v>-0.258</v>
      </c>
      <c r="I204" s="7" t="n">
        <v>-0.168</v>
      </c>
      <c r="J204" s="7" t="n">
        <v>0.037</v>
      </c>
      <c r="K204" s="7" t="n">
        <v>0.037</v>
      </c>
      <c r="L204" s="7" t="n">
        <v>-0.23</v>
      </c>
      <c r="M204" s="7" t="n">
        <v>0.037</v>
      </c>
      <c r="N204" s="7" t="n">
        <v>0.156</v>
      </c>
      <c r="O204" s="7" t="n">
        <v>-0.303</v>
      </c>
      <c r="P204" s="7" t="n">
        <v>-0.105</v>
      </c>
      <c r="Q204" s="7" t="n">
        <v>-0.23</v>
      </c>
      <c r="R204" s="7" t="n">
        <v>-0.285</v>
      </c>
      <c r="S204" s="7" t="n">
        <v>0.037</v>
      </c>
      <c r="T204" s="7" t="n">
        <v>0.037</v>
      </c>
      <c r="U204" s="7" t="n">
        <v>-0.199</v>
      </c>
      <c r="V204" s="7" t="n">
        <v>-0.109</v>
      </c>
      <c r="W204" s="7" t="n">
        <v>-0.23</v>
      </c>
      <c r="X204" s="7" t="n">
        <v>-0.111</v>
      </c>
      <c r="Y204" s="7" t="n">
        <v>-0.332</v>
      </c>
      <c r="Z204" s="7" t="n">
        <v>0.037</v>
      </c>
      <c r="AA204" s="7" t="n">
        <v>-0.189</v>
      </c>
      <c r="AB204" s="7" t="n">
        <v>0.037</v>
      </c>
      <c r="AC204" s="7" t="n">
        <v>-0.23</v>
      </c>
      <c r="AD204" s="7" t="n">
        <v>0.302</v>
      </c>
      <c r="AE204" s="7" t="n">
        <v>0.156</v>
      </c>
      <c r="AF204" s="7" t="n">
        <v>0.416</v>
      </c>
      <c r="AG204" s="7" t="n">
        <v>-0.068</v>
      </c>
      <c r="AH204" s="7" t="n">
        <v>0.484</v>
      </c>
      <c r="AI204" s="7" t="n">
        <v>0.012</v>
      </c>
      <c r="AJ204" s="7" t="n">
        <v>-0.224</v>
      </c>
      <c r="AK204" s="7" t="n">
        <v>-0.073</v>
      </c>
      <c r="AL204" s="7" t="n">
        <v>-0.331</v>
      </c>
      <c r="AM204" s="7" t="n">
        <v>0</v>
      </c>
      <c r="AN204" s="7" t="n">
        <v>-0.105</v>
      </c>
      <c r="AO204" s="7" t="n">
        <v>-0.245</v>
      </c>
      <c r="AP204" s="7" t="n">
        <v>0</v>
      </c>
      <c r="AQ204" s="7" t="n">
        <v>0.012</v>
      </c>
    </row>
    <row r="205" customFormat="false" ht="15" hidden="false" customHeight="false" outlineLevel="0" collapsed="false">
      <c r="A205" s="23" t="n">
        <v>46522</v>
      </c>
      <c r="B205" s="7" t="n">
        <v>0.043</v>
      </c>
      <c r="C205" s="7" t="n">
        <v>0.204</v>
      </c>
      <c r="D205" s="7" t="n">
        <v>-0.018</v>
      </c>
      <c r="E205" s="7" t="n">
        <v>0.037</v>
      </c>
      <c r="F205" s="7" t="n">
        <v>0.128</v>
      </c>
      <c r="G205" s="7" t="n">
        <v>-0.018</v>
      </c>
      <c r="H205" s="7" t="n">
        <v>-0.202</v>
      </c>
      <c r="I205" s="7" t="n">
        <v>-0.103</v>
      </c>
      <c r="J205" s="7" t="n">
        <v>0.037</v>
      </c>
      <c r="K205" s="7" t="n">
        <v>0.037</v>
      </c>
      <c r="L205" s="7" t="n">
        <v>-0.347</v>
      </c>
      <c r="M205" s="7" t="n">
        <v>0.037</v>
      </c>
      <c r="N205" s="7" t="n">
        <v>0.128</v>
      </c>
      <c r="O205" s="7" t="n">
        <v>-0.444</v>
      </c>
      <c r="P205" s="7" t="n">
        <v>-0.064</v>
      </c>
      <c r="Q205" s="7" t="n">
        <v>-0.347</v>
      </c>
      <c r="R205" s="7" t="n">
        <v>-0.233</v>
      </c>
      <c r="S205" s="7" t="n">
        <v>0.037</v>
      </c>
      <c r="T205" s="7" t="n">
        <v>0.037</v>
      </c>
      <c r="U205" s="7" t="n">
        <v>-0.187</v>
      </c>
      <c r="V205" s="7" t="n">
        <v>-0.037</v>
      </c>
      <c r="W205" s="7" t="n">
        <v>-0.347</v>
      </c>
      <c r="X205" s="7" t="n">
        <v>-0.018</v>
      </c>
      <c r="Y205" s="7" t="n">
        <v>-0.335</v>
      </c>
      <c r="Z205" s="7" t="n">
        <v>0.037</v>
      </c>
      <c r="AA205" s="7" t="n">
        <v>-0.18</v>
      </c>
      <c r="AB205" s="7" t="n">
        <v>0.037</v>
      </c>
      <c r="AC205" s="7" t="n">
        <v>-0.347</v>
      </c>
      <c r="AD205" s="7" t="n">
        <v>0.435</v>
      </c>
      <c r="AE205" s="7" t="n">
        <v>0.128</v>
      </c>
      <c r="AF205" s="7" t="n">
        <v>0.453</v>
      </c>
      <c r="AG205" s="7" t="n">
        <v>-0.018</v>
      </c>
      <c r="AH205" s="7" t="n">
        <v>0.511</v>
      </c>
      <c r="AI205" s="7" t="n">
        <v>-0.047</v>
      </c>
      <c r="AJ205" s="7" t="n">
        <v>-0.189</v>
      </c>
      <c r="AK205" s="7" t="n">
        <v>-0.081</v>
      </c>
      <c r="AL205" s="7" t="n">
        <v>-0.304</v>
      </c>
      <c r="AM205" s="7" t="n">
        <v>0</v>
      </c>
      <c r="AN205" s="7" t="n">
        <v>-0.055</v>
      </c>
      <c r="AO205" s="7" t="n">
        <v>-0.209</v>
      </c>
      <c r="AP205" s="7" t="n">
        <v>0</v>
      </c>
      <c r="AQ205" s="7" t="n">
        <v>-0.047</v>
      </c>
    </row>
    <row r="206" customFormat="false" ht="15" hidden="false" customHeight="false" outlineLevel="0" collapsed="false">
      <c r="A206" s="23" t="n">
        <v>46523</v>
      </c>
      <c r="B206" s="7" t="n">
        <v>0.043</v>
      </c>
      <c r="C206" s="7" t="n">
        <v>0.204</v>
      </c>
      <c r="D206" s="7" t="n">
        <v>-0.018</v>
      </c>
      <c r="E206" s="7" t="n">
        <v>0.037</v>
      </c>
      <c r="F206" s="7" t="n">
        <v>0.128</v>
      </c>
      <c r="G206" s="7" t="n">
        <v>-0.018</v>
      </c>
      <c r="H206" s="7" t="n">
        <v>-0.202</v>
      </c>
      <c r="I206" s="7" t="n">
        <v>-0.103</v>
      </c>
      <c r="J206" s="7" t="n">
        <v>0.037</v>
      </c>
      <c r="K206" s="7" t="n">
        <v>0.037</v>
      </c>
      <c r="L206" s="7" t="n">
        <v>-0.347</v>
      </c>
      <c r="M206" s="7" t="n">
        <v>0.037</v>
      </c>
      <c r="N206" s="7" t="n">
        <v>0.128</v>
      </c>
      <c r="O206" s="7" t="n">
        <v>-0.444</v>
      </c>
      <c r="P206" s="7" t="n">
        <v>-0.064</v>
      </c>
      <c r="Q206" s="7" t="n">
        <v>-0.347</v>
      </c>
      <c r="R206" s="7" t="n">
        <v>-0.233</v>
      </c>
      <c r="S206" s="7" t="n">
        <v>0.037</v>
      </c>
      <c r="T206" s="7" t="n">
        <v>0.037</v>
      </c>
      <c r="U206" s="7" t="n">
        <v>-0.187</v>
      </c>
      <c r="V206" s="7" t="n">
        <v>-0.037</v>
      </c>
      <c r="W206" s="7" t="n">
        <v>-0.347</v>
      </c>
      <c r="X206" s="7" t="n">
        <v>-0.018</v>
      </c>
      <c r="Y206" s="7" t="n">
        <v>-0.335</v>
      </c>
      <c r="Z206" s="7" t="n">
        <v>0.037</v>
      </c>
      <c r="AA206" s="7" t="n">
        <v>-0.18</v>
      </c>
      <c r="AB206" s="7" t="n">
        <v>0.037</v>
      </c>
      <c r="AC206" s="7" t="n">
        <v>-0.347</v>
      </c>
      <c r="AD206" s="7" t="n">
        <v>0.435</v>
      </c>
      <c r="AE206" s="7" t="n">
        <v>0.128</v>
      </c>
      <c r="AF206" s="7" t="n">
        <v>0.453</v>
      </c>
      <c r="AG206" s="7" t="n">
        <v>-0.018</v>
      </c>
      <c r="AH206" s="7" t="n">
        <v>0.511</v>
      </c>
      <c r="AI206" s="7" t="n">
        <v>-0.047</v>
      </c>
      <c r="AJ206" s="7" t="n">
        <v>-0.189</v>
      </c>
      <c r="AK206" s="7" t="n">
        <v>-0.081</v>
      </c>
      <c r="AL206" s="7" t="n">
        <v>-0.304</v>
      </c>
      <c r="AM206" s="7" t="n">
        <v>0</v>
      </c>
      <c r="AN206" s="7" t="n">
        <v>-0.055</v>
      </c>
      <c r="AO206" s="7" t="n">
        <v>-0.209</v>
      </c>
      <c r="AP206" s="7" t="n">
        <v>0</v>
      </c>
      <c r="AQ206" s="7" t="n">
        <v>-0.047</v>
      </c>
    </row>
    <row r="207" customFormat="false" ht="15" hidden="false" customHeight="false" outlineLevel="0" collapsed="false">
      <c r="A207" s="23" t="n">
        <v>46524</v>
      </c>
      <c r="B207" s="7" t="n">
        <v>0.043</v>
      </c>
      <c r="C207" s="7" t="n">
        <v>0.204</v>
      </c>
      <c r="D207" s="7" t="n">
        <v>-0.018</v>
      </c>
      <c r="E207" s="7" t="n">
        <v>0.037</v>
      </c>
      <c r="F207" s="7" t="n">
        <v>0.128</v>
      </c>
      <c r="G207" s="7" t="n">
        <v>-0.018</v>
      </c>
      <c r="H207" s="7" t="n">
        <v>-0.202</v>
      </c>
      <c r="I207" s="7" t="n">
        <v>-0.103</v>
      </c>
      <c r="J207" s="7" t="n">
        <v>0.037</v>
      </c>
      <c r="K207" s="7" t="n">
        <v>0.037</v>
      </c>
      <c r="L207" s="7" t="n">
        <v>-0.347</v>
      </c>
      <c r="M207" s="7" t="n">
        <v>0.037</v>
      </c>
      <c r="N207" s="7" t="n">
        <v>0.128</v>
      </c>
      <c r="O207" s="7" t="n">
        <v>-0.444</v>
      </c>
      <c r="P207" s="7" t="n">
        <v>-0.064</v>
      </c>
      <c r="Q207" s="7" t="n">
        <v>-0.347</v>
      </c>
      <c r="R207" s="7" t="n">
        <v>-0.233</v>
      </c>
      <c r="S207" s="7" t="n">
        <v>0.037</v>
      </c>
      <c r="T207" s="7" t="n">
        <v>0.037</v>
      </c>
      <c r="U207" s="7" t="n">
        <v>-0.187</v>
      </c>
      <c r="V207" s="7" t="n">
        <v>-0.037</v>
      </c>
      <c r="W207" s="7" t="n">
        <v>-0.347</v>
      </c>
      <c r="X207" s="7" t="n">
        <v>-0.018</v>
      </c>
      <c r="Y207" s="7" t="n">
        <v>-0.335</v>
      </c>
      <c r="Z207" s="7" t="n">
        <v>0.037</v>
      </c>
      <c r="AA207" s="7" t="n">
        <v>-0.18</v>
      </c>
      <c r="AB207" s="7" t="n">
        <v>0.037</v>
      </c>
      <c r="AC207" s="7" t="n">
        <v>-0.347</v>
      </c>
      <c r="AD207" s="7" t="n">
        <v>0.435</v>
      </c>
      <c r="AE207" s="7" t="n">
        <v>0.128</v>
      </c>
      <c r="AF207" s="7" t="n">
        <v>0.453</v>
      </c>
      <c r="AG207" s="7" t="n">
        <v>-0.018</v>
      </c>
      <c r="AH207" s="7" t="n">
        <v>0.511</v>
      </c>
      <c r="AI207" s="7" t="n">
        <v>-0.047</v>
      </c>
      <c r="AJ207" s="7" t="n">
        <v>-0.189</v>
      </c>
      <c r="AK207" s="7" t="n">
        <v>-0.081</v>
      </c>
      <c r="AL207" s="7" t="n">
        <v>-0.304</v>
      </c>
      <c r="AM207" s="7" t="n">
        <v>0</v>
      </c>
      <c r="AN207" s="7" t="n">
        <v>-0.055</v>
      </c>
      <c r="AO207" s="7" t="n">
        <v>-0.209</v>
      </c>
      <c r="AP207" s="7" t="n">
        <v>0</v>
      </c>
      <c r="AQ207" s="7" t="n">
        <v>-0.047</v>
      </c>
    </row>
    <row r="208" customFormat="false" ht="15" hidden="false" customHeight="false" outlineLevel="0" collapsed="false">
      <c r="A208" s="23" t="n">
        <v>46525</v>
      </c>
      <c r="B208" s="7" t="n">
        <v>-0.039</v>
      </c>
      <c r="C208" s="7" t="n">
        <v>0.101</v>
      </c>
      <c r="D208" s="7" t="n">
        <v>-0.005</v>
      </c>
      <c r="E208" s="7" t="n">
        <v>0.046</v>
      </c>
      <c r="F208" s="7" t="n">
        <v>0.028</v>
      </c>
      <c r="G208" s="7" t="n">
        <v>-0.005</v>
      </c>
      <c r="H208" s="7" t="n">
        <v>-0.234</v>
      </c>
      <c r="I208" s="7" t="n">
        <v>-0.129</v>
      </c>
      <c r="J208" s="7" t="n">
        <v>0.037</v>
      </c>
      <c r="K208" s="7" t="n">
        <v>0.037</v>
      </c>
      <c r="L208" s="7" t="n">
        <v>-0.311</v>
      </c>
      <c r="M208" s="7" t="n">
        <v>0.046</v>
      </c>
      <c r="N208" s="7" t="n">
        <v>0.028</v>
      </c>
      <c r="O208" s="7" t="n">
        <v>-0.449</v>
      </c>
      <c r="P208" s="7" t="n">
        <v>-0.1</v>
      </c>
      <c r="Q208" s="7" t="n">
        <v>-0.319</v>
      </c>
      <c r="R208" s="7" t="n">
        <v>-0.266</v>
      </c>
      <c r="S208" s="7" t="n">
        <v>0.046</v>
      </c>
      <c r="T208" s="7" t="n">
        <v>0.037</v>
      </c>
      <c r="U208" s="7" t="n">
        <v>-0.247</v>
      </c>
      <c r="V208" s="7" t="n">
        <v>-0.059</v>
      </c>
      <c r="W208" s="7" t="n">
        <v>-0.319</v>
      </c>
      <c r="X208" s="7" t="n">
        <v>-0.005</v>
      </c>
      <c r="Y208" s="7" t="n">
        <v>-0.34</v>
      </c>
      <c r="Z208" s="7" t="n">
        <v>0.046</v>
      </c>
      <c r="AA208" s="7" t="n">
        <v>-0.226</v>
      </c>
      <c r="AB208" s="7" t="n">
        <v>0.037</v>
      </c>
      <c r="AC208" s="7" t="n">
        <v>-0.319</v>
      </c>
      <c r="AD208" s="7" t="n">
        <v>0.288</v>
      </c>
      <c r="AE208" s="7" t="n">
        <v>0.028</v>
      </c>
      <c r="AF208" s="7" t="n">
        <v>0.315</v>
      </c>
      <c r="AG208" s="7" t="n">
        <v>-0.005</v>
      </c>
      <c r="AH208" s="7" t="n">
        <v>0.547</v>
      </c>
      <c r="AI208" s="7" t="n">
        <v>-0.095</v>
      </c>
      <c r="AJ208" s="7" t="n">
        <v>-0.188</v>
      </c>
      <c r="AK208" s="7" t="n">
        <v>-0.088</v>
      </c>
      <c r="AL208" s="7" t="n">
        <v>-0.282</v>
      </c>
      <c r="AM208" s="7" t="n">
        <v>0</v>
      </c>
      <c r="AN208" s="7" t="n">
        <v>-0.042</v>
      </c>
      <c r="AO208" s="7" t="n">
        <v>-0.141</v>
      </c>
      <c r="AP208" s="7" t="n">
        <v>0.008</v>
      </c>
      <c r="AQ208" s="7" t="n">
        <v>-0.095</v>
      </c>
    </row>
    <row r="209" customFormat="false" ht="15" hidden="false" customHeight="false" outlineLevel="0" collapsed="false">
      <c r="A209" s="23" t="n">
        <v>46526</v>
      </c>
      <c r="B209" s="7" t="n">
        <v>-0.118</v>
      </c>
      <c r="C209" s="7" t="n">
        <v>-0.004</v>
      </c>
      <c r="D209" s="7" t="n">
        <v>0.007</v>
      </c>
      <c r="E209" s="7" t="n">
        <v>0.054</v>
      </c>
      <c r="F209" s="7" t="n">
        <v>-0.072</v>
      </c>
      <c r="G209" s="7" t="n">
        <v>0.007</v>
      </c>
      <c r="H209" s="7" t="n">
        <v>-0.266</v>
      </c>
      <c r="I209" s="7" t="n">
        <v>-0.135</v>
      </c>
      <c r="J209" s="7" t="n">
        <v>0.037</v>
      </c>
      <c r="K209" s="7" t="n">
        <v>0.037</v>
      </c>
      <c r="L209" s="7" t="n">
        <v>-0.279</v>
      </c>
      <c r="M209" s="7" t="n">
        <v>0.054</v>
      </c>
      <c r="N209" s="7" t="n">
        <v>-0.072</v>
      </c>
      <c r="O209" s="7" t="n">
        <v>-0.457</v>
      </c>
      <c r="P209" s="7" t="n">
        <v>-0.137</v>
      </c>
      <c r="Q209" s="7" t="n">
        <v>-0.295</v>
      </c>
      <c r="R209" s="7" t="n">
        <v>-0.298</v>
      </c>
      <c r="S209" s="7" t="n">
        <v>0.054</v>
      </c>
      <c r="T209" s="7" t="n">
        <v>0.037</v>
      </c>
      <c r="U209" s="7" t="n">
        <v>-0.309</v>
      </c>
      <c r="V209" s="7" t="n">
        <v>-0.06</v>
      </c>
      <c r="W209" s="7" t="n">
        <v>-0.295</v>
      </c>
      <c r="X209" s="7" t="n">
        <v>0.007</v>
      </c>
      <c r="Y209" s="7" t="n">
        <v>-0.346</v>
      </c>
      <c r="Z209" s="7" t="n">
        <v>0.054</v>
      </c>
      <c r="AA209" s="7" t="n">
        <v>-0.269</v>
      </c>
      <c r="AB209" s="7" t="n">
        <v>0.037</v>
      </c>
      <c r="AC209" s="7" t="n">
        <v>-0.295</v>
      </c>
      <c r="AD209" s="7" t="n">
        <v>0.144</v>
      </c>
      <c r="AE209" s="7" t="n">
        <v>-0.072</v>
      </c>
      <c r="AF209" s="7" t="n">
        <v>0.176</v>
      </c>
      <c r="AG209" s="7" t="n">
        <v>0.007</v>
      </c>
      <c r="AH209" s="7" t="n">
        <v>0.581</v>
      </c>
      <c r="AI209" s="7" t="n">
        <v>-0.143</v>
      </c>
      <c r="AJ209" s="7" t="n">
        <v>-0.187</v>
      </c>
      <c r="AK209" s="7" t="n">
        <v>-0.095</v>
      </c>
      <c r="AL209" s="7" t="n">
        <v>-0.264</v>
      </c>
      <c r="AM209" s="7" t="n">
        <v>0</v>
      </c>
      <c r="AN209" s="7" t="n">
        <v>-0.031</v>
      </c>
      <c r="AO209" s="7" t="n">
        <v>-0.075</v>
      </c>
      <c r="AP209" s="7" t="n">
        <v>0.017</v>
      </c>
      <c r="AQ209" s="7" t="n">
        <v>-0.143</v>
      </c>
    </row>
    <row r="210" customFormat="false" ht="15" hidden="false" customHeight="false" outlineLevel="0" collapsed="false">
      <c r="A210" s="23" t="n">
        <v>46527</v>
      </c>
      <c r="B210" s="7" t="n">
        <v>-0.198</v>
      </c>
      <c r="C210" s="7" t="n">
        <v>-0.11</v>
      </c>
      <c r="D210" s="7" t="n">
        <v>0.018</v>
      </c>
      <c r="E210" s="7" t="n">
        <v>0.063</v>
      </c>
      <c r="F210" s="7" t="n">
        <v>-0.175</v>
      </c>
      <c r="G210" s="7" t="n">
        <v>0.018</v>
      </c>
      <c r="H210" s="7" t="n">
        <v>-0.296</v>
      </c>
      <c r="I210" s="7" t="n">
        <v>-0.141</v>
      </c>
      <c r="J210" s="7" t="n">
        <v>-0.057</v>
      </c>
      <c r="K210" s="7" t="n">
        <v>0.037</v>
      </c>
      <c r="L210" s="7" t="n">
        <v>-0.252</v>
      </c>
      <c r="M210" s="7" t="n">
        <v>0.063</v>
      </c>
      <c r="N210" s="7" t="n">
        <v>-0.175</v>
      </c>
      <c r="O210" s="7" t="n">
        <v>-0.466</v>
      </c>
      <c r="P210" s="7" t="n">
        <v>-0.175</v>
      </c>
      <c r="Q210" s="7" t="n">
        <v>-0.276</v>
      </c>
      <c r="R210" s="7" t="n">
        <v>-0.329</v>
      </c>
      <c r="S210" s="7" t="n">
        <v>0.063</v>
      </c>
      <c r="T210" s="7" t="n">
        <v>0.037</v>
      </c>
      <c r="U210" s="7" t="n">
        <v>-0.373</v>
      </c>
      <c r="V210" s="7" t="n">
        <v>-0.061</v>
      </c>
      <c r="W210" s="7" t="n">
        <v>-0.276</v>
      </c>
      <c r="X210" s="7" t="n">
        <v>0.018</v>
      </c>
      <c r="Y210" s="7" t="n">
        <v>-0.353</v>
      </c>
      <c r="Z210" s="7" t="n">
        <v>0.063</v>
      </c>
      <c r="AA210" s="7" t="n">
        <v>-0.31</v>
      </c>
      <c r="AB210" s="7" t="n">
        <v>-0.008</v>
      </c>
      <c r="AC210" s="7" t="n">
        <v>-0.276</v>
      </c>
      <c r="AD210" s="7" t="n">
        <v>0.001</v>
      </c>
      <c r="AE210" s="7" t="n">
        <v>-0.175</v>
      </c>
      <c r="AF210" s="7" t="n">
        <v>0.035</v>
      </c>
      <c r="AG210" s="7" t="n">
        <v>0.018</v>
      </c>
      <c r="AH210" s="7" t="n">
        <v>0.613</v>
      </c>
      <c r="AI210" s="7" t="n">
        <v>-0.191</v>
      </c>
      <c r="AJ210" s="7" t="n">
        <v>-0.187</v>
      </c>
      <c r="AK210" s="7" t="n">
        <v>-0.102</v>
      </c>
      <c r="AL210" s="7" t="n">
        <v>-0.249</v>
      </c>
      <c r="AM210" s="7" t="n">
        <v>0</v>
      </c>
      <c r="AN210" s="7" t="n">
        <v>-0.02</v>
      </c>
      <c r="AO210" s="7" t="n">
        <v>-0.013</v>
      </c>
      <c r="AP210" s="7" t="n">
        <v>0.025</v>
      </c>
      <c r="AQ210" s="7" t="n">
        <v>-0.191</v>
      </c>
    </row>
    <row r="211" customFormat="false" ht="15" hidden="false" customHeight="false" outlineLevel="0" collapsed="false">
      <c r="A211" s="23" t="n">
        <v>46528</v>
      </c>
      <c r="B211" s="7" t="n">
        <v>-0.293</v>
      </c>
      <c r="C211" s="7" t="n">
        <v>-0.217</v>
      </c>
      <c r="D211" s="7" t="n">
        <v>0.028</v>
      </c>
      <c r="E211" s="7" t="n">
        <v>0.071</v>
      </c>
      <c r="F211" s="7" t="n">
        <v>-0.278</v>
      </c>
      <c r="G211" s="7" t="n">
        <v>0.028</v>
      </c>
      <c r="H211" s="7" t="n">
        <v>-0.325</v>
      </c>
      <c r="I211" s="7" t="n">
        <v>-0.218</v>
      </c>
      <c r="J211" s="7" t="n">
        <v>-0.152</v>
      </c>
      <c r="K211" s="7" t="n">
        <v>0.037</v>
      </c>
      <c r="L211" s="7" t="n">
        <v>-0.23</v>
      </c>
      <c r="M211" s="7" t="n">
        <v>0.071</v>
      </c>
      <c r="N211" s="7" t="n">
        <v>-0.278</v>
      </c>
      <c r="O211" s="7" t="n">
        <v>-0.479</v>
      </c>
      <c r="P211" s="7" t="n">
        <v>-0.213</v>
      </c>
      <c r="Q211" s="7" t="n">
        <v>-0.262</v>
      </c>
      <c r="R211" s="7" t="n">
        <v>-0.359</v>
      </c>
      <c r="S211" s="7" t="n">
        <v>0.071</v>
      </c>
      <c r="T211" s="7" t="n">
        <v>0.037</v>
      </c>
      <c r="U211" s="7" t="n">
        <v>-0.44</v>
      </c>
      <c r="V211" s="7" t="n">
        <v>-0.133</v>
      </c>
      <c r="W211" s="7" t="n">
        <v>-0.262</v>
      </c>
      <c r="X211" s="7" t="n">
        <v>0.028</v>
      </c>
      <c r="Y211" s="7" t="n">
        <v>-0.361</v>
      </c>
      <c r="Z211" s="7" t="n">
        <v>0.071</v>
      </c>
      <c r="AA211" s="7" t="n">
        <v>-0.35</v>
      </c>
      <c r="AB211" s="7" t="n">
        <v>-0.069</v>
      </c>
      <c r="AC211" s="7" t="n">
        <v>-0.262</v>
      </c>
      <c r="AD211" s="7" t="n">
        <v>-0.14</v>
      </c>
      <c r="AE211" s="7" t="n">
        <v>-0.278</v>
      </c>
      <c r="AF211" s="7" t="n">
        <v>-0.108</v>
      </c>
      <c r="AG211" s="7" t="n">
        <v>0.028</v>
      </c>
      <c r="AH211" s="7" t="n">
        <v>0.644</v>
      </c>
      <c r="AI211" s="7" t="n">
        <v>-0.239</v>
      </c>
      <c r="AJ211" s="7" t="n">
        <v>-0.188</v>
      </c>
      <c r="AK211" s="7" t="n">
        <v>-0.108</v>
      </c>
      <c r="AL211" s="7" t="n">
        <v>-0.238</v>
      </c>
      <c r="AM211" s="7" t="n">
        <v>0</v>
      </c>
      <c r="AN211" s="7" t="n">
        <v>-0.009</v>
      </c>
      <c r="AO211" s="7" t="n">
        <v>0.046</v>
      </c>
      <c r="AP211" s="7" t="n">
        <v>0.034</v>
      </c>
      <c r="AQ211" s="7" t="n">
        <v>-0.239</v>
      </c>
    </row>
    <row r="212" customFormat="false" ht="15" hidden="false" customHeight="false" outlineLevel="0" collapsed="false">
      <c r="A212" s="23" t="n">
        <v>46529</v>
      </c>
      <c r="B212" s="7" t="n">
        <v>-0.386</v>
      </c>
      <c r="C212" s="7" t="n">
        <v>-0.325</v>
      </c>
      <c r="D212" s="7" t="n">
        <v>0.037</v>
      </c>
      <c r="E212" s="7" t="n">
        <v>0.08</v>
      </c>
      <c r="F212" s="7" t="n">
        <v>-0.383</v>
      </c>
      <c r="G212" s="7" t="n">
        <v>0.037</v>
      </c>
      <c r="H212" s="7" t="n">
        <v>-0.353</v>
      </c>
      <c r="I212" s="7" t="n">
        <v>-0.276</v>
      </c>
      <c r="J212" s="7" t="n">
        <v>-0.246</v>
      </c>
      <c r="K212" s="7" t="n">
        <v>0.037</v>
      </c>
      <c r="L212" s="7" t="n">
        <v>-0.212</v>
      </c>
      <c r="M212" s="7" t="n">
        <v>0.08</v>
      </c>
      <c r="N212" s="7" t="n">
        <v>-0.383</v>
      </c>
      <c r="O212" s="7" t="n">
        <v>-0.493</v>
      </c>
      <c r="P212" s="7" t="n">
        <v>-0.252</v>
      </c>
      <c r="Q212" s="7" t="n">
        <v>-0.252</v>
      </c>
      <c r="R212" s="7" t="n">
        <v>-0.387</v>
      </c>
      <c r="S212" s="7" t="n">
        <v>0.08</v>
      </c>
      <c r="T212" s="7" t="n">
        <v>0.037</v>
      </c>
      <c r="U212" s="7" t="n">
        <v>-0.508</v>
      </c>
      <c r="V212" s="7" t="n">
        <v>-0.186</v>
      </c>
      <c r="W212" s="7" t="n">
        <v>-0.252</v>
      </c>
      <c r="X212" s="7" t="n">
        <v>0.037</v>
      </c>
      <c r="Y212" s="7" t="n">
        <v>-0.369</v>
      </c>
      <c r="Z212" s="7" t="n">
        <v>0.08</v>
      </c>
      <c r="AA212" s="7" t="n">
        <v>-0.387</v>
      </c>
      <c r="AB212" s="7" t="n">
        <v>-0.096</v>
      </c>
      <c r="AC212" s="7" t="n">
        <v>-0.252</v>
      </c>
      <c r="AD212" s="7" t="n">
        <v>-0.277</v>
      </c>
      <c r="AE212" s="7" t="n">
        <v>-0.383</v>
      </c>
      <c r="AF212" s="7" t="n">
        <v>-0.252</v>
      </c>
      <c r="AG212" s="7" t="n">
        <v>0.037</v>
      </c>
      <c r="AH212" s="7" t="n">
        <v>0.672</v>
      </c>
      <c r="AI212" s="7" t="n">
        <v>-0.287</v>
      </c>
      <c r="AJ212" s="7" t="n">
        <v>-0.188</v>
      </c>
      <c r="AK212" s="7" t="n">
        <v>-0.114</v>
      </c>
      <c r="AL212" s="7" t="n">
        <v>-0.231</v>
      </c>
      <c r="AM212" s="7" t="n">
        <v>0</v>
      </c>
      <c r="AN212" s="7" t="n">
        <v>0</v>
      </c>
      <c r="AO212" s="7" t="n">
        <v>0.102</v>
      </c>
      <c r="AP212" s="7" t="n">
        <v>0.042</v>
      </c>
      <c r="AQ212" s="7" t="n">
        <v>-0.287</v>
      </c>
    </row>
    <row r="213" customFormat="false" ht="15" hidden="false" customHeight="false" outlineLevel="0" collapsed="false">
      <c r="A213" s="23" t="n">
        <v>46530</v>
      </c>
      <c r="B213" s="7" t="n">
        <v>-0.386</v>
      </c>
      <c r="C213" s="7" t="n">
        <v>-0.325</v>
      </c>
      <c r="D213" s="7" t="n">
        <v>0.037</v>
      </c>
      <c r="E213" s="7" t="n">
        <v>0.08</v>
      </c>
      <c r="F213" s="7" t="n">
        <v>-0.383</v>
      </c>
      <c r="G213" s="7" t="n">
        <v>0.037</v>
      </c>
      <c r="H213" s="7" t="n">
        <v>-0.353</v>
      </c>
      <c r="I213" s="7" t="n">
        <v>-0.276</v>
      </c>
      <c r="J213" s="7" t="n">
        <v>-0.246</v>
      </c>
      <c r="K213" s="7" t="n">
        <v>0.037</v>
      </c>
      <c r="L213" s="7" t="n">
        <v>-0.212</v>
      </c>
      <c r="M213" s="7" t="n">
        <v>0.08</v>
      </c>
      <c r="N213" s="7" t="n">
        <v>-0.383</v>
      </c>
      <c r="O213" s="7" t="n">
        <v>-0.493</v>
      </c>
      <c r="P213" s="7" t="n">
        <v>-0.252</v>
      </c>
      <c r="Q213" s="7" t="n">
        <v>-0.252</v>
      </c>
      <c r="R213" s="7" t="n">
        <v>-0.387</v>
      </c>
      <c r="S213" s="7" t="n">
        <v>0.08</v>
      </c>
      <c r="T213" s="7" t="n">
        <v>0.037</v>
      </c>
      <c r="U213" s="7" t="n">
        <v>-0.508</v>
      </c>
      <c r="V213" s="7" t="n">
        <v>-0.186</v>
      </c>
      <c r="W213" s="7" t="n">
        <v>-0.252</v>
      </c>
      <c r="X213" s="7" t="n">
        <v>0.037</v>
      </c>
      <c r="Y213" s="7" t="n">
        <v>-0.369</v>
      </c>
      <c r="Z213" s="7" t="n">
        <v>0.08</v>
      </c>
      <c r="AA213" s="7" t="n">
        <v>-0.387</v>
      </c>
      <c r="AB213" s="7" t="n">
        <v>-0.096</v>
      </c>
      <c r="AC213" s="7" t="n">
        <v>-0.252</v>
      </c>
      <c r="AD213" s="7" t="n">
        <v>-0.277</v>
      </c>
      <c r="AE213" s="7" t="n">
        <v>-0.383</v>
      </c>
      <c r="AF213" s="7" t="n">
        <v>-0.252</v>
      </c>
      <c r="AG213" s="7" t="n">
        <v>0.037</v>
      </c>
      <c r="AH213" s="7" t="n">
        <v>0.672</v>
      </c>
      <c r="AI213" s="7" t="n">
        <v>-0.287</v>
      </c>
      <c r="AJ213" s="7" t="n">
        <v>-0.188</v>
      </c>
      <c r="AK213" s="7" t="n">
        <v>-0.114</v>
      </c>
      <c r="AL213" s="7" t="n">
        <v>-0.231</v>
      </c>
      <c r="AM213" s="7" t="n">
        <v>0</v>
      </c>
      <c r="AN213" s="7" t="n">
        <v>0</v>
      </c>
      <c r="AO213" s="7" t="n">
        <v>0.102</v>
      </c>
      <c r="AP213" s="7" t="n">
        <v>0.042</v>
      </c>
      <c r="AQ213" s="7" t="n">
        <v>-0.287</v>
      </c>
    </row>
    <row r="214" customFormat="false" ht="15" hidden="false" customHeight="false" outlineLevel="0" collapsed="false">
      <c r="A214" s="23" t="n">
        <v>46531</v>
      </c>
      <c r="B214" s="7" t="n">
        <v>-0.386</v>
      </c>
      <c r="C214" s="7" t="n">
        <v>-0.325</v>
      </c>
      <c r="D214" s="7" t="n">
        <v>0.037</v>
      </c>
      <c r="E214" s="7" t="n">
        <v>0.08</v>
      </c>
      <c r="F214" s="7" t="n">
        <v>-0.383</v>
      </c>
      <c r="G214" s="7" t="n">
        <v>0.037</v>
      </c>
      <c r="H214" s="7" t="n">
        <v>-0.353</v>
      </c>
      <c r="I214" s="7" t="n">
        <v>-0.276</v>
      </c>
      <c r="J214" s="7" t="n">
        <v>-0.246</v>
      </c>
      <c r="K214" s="7" t="n">
        <v>0.037</v>
      </c>
      <c r="L214" s="7" t="n">
        <v>-0.212</v>
      </c>
      <c r="M214" s="7" t="n">
        <v>0.08</v>
      </c>
      <c r="N214" s="7" t="n">
        <v>-0.383</v>
      </c>
      <c r="O214" s="7" t="n">
        <v>-0.493</v>
      </c>
      <c r="P214" s="7" t="n">
        <v>-0.252</v>
      </c>
      <c r="Q214" s="7" t="n">
        <v>-0.252</v>
      </c>
      <c r="R214" s="7" t="n">
        <v>-0.387</v>
      </c>
      <c r="S214" s="7" t="n">
        <v>0.08</v>
      </c>
      <c r="T214" s="7" t="n">
        <v>0.037</v>
      </c>
      <c r="U214" s="7" t="n">
        <v>-0.508</v>
      </c>
      <c r="V214" s="7" t="n">
        <v>-0.186</v>
      </c>
      <c r="W214" s="7" t="n">
        <v>-0.252</v>
      </c>
      <c r="X214" s="7" t="n">
        <v>0.037</v>
      </c>
      <c r="Y214" s="7" t="n">
        <v>-0.369</v>
      </c>
      <c r="Z214" s="7" t="n">
        <v>0.08</v>
      </c>
      <c r="AA214" s="7" t="n">
        <v>-0.387</v>
      </c>
      <c r="AB214" s="7" t="n">
        <v>-0.096</v>
      </c>
      <c r="AC214" s="7" t="n">
        <v>-0.252</v>
      </c>
      <c r="AD214" s="7" t="n">
        <v>-0.277</v>
      </c>
      <c r="AE214" s="7" t="n">
        <v>-0.383</v>
      </c>
      <c r="AF214" s="7" t="n">
        <v>-0.252</v>
      </c>
      <c r="AG214" s="7" t="n">
        <v>0.037</v>
      </c>
      <c r="AH214" s="7" t="n">
        <v>0.672</v>
      </c>
      <c r="AI214" s="7" t="n">
        <v>-0.287</v>
      </c>
      <c r="AJ214" s="7" t="n">
        <v>-0.188</v>
      </c>
      <c r="AK214" s="7" t="n">
        <v>-0.114</v>
      </c>
      <c r="AL214" s="7" t="n">
        <v>-0.231</v>
      </c>
      <c r="AM214" s="7" t="n">
        <v>0</v>
      </c>
      <c r="AN214" s="7" t="n">
        <v>0</v>
      </c>
      <c r="AO214" s="7" t="n">
        <v>0.102</v>
      </c>
      <c r="AP214" s="7" t="n">
        <v>0.042</v>
      </c>
      <c r="AQ214" s="7" t="n">
        <v>-0.287</v>
      </c>
    </row>
    <row r="215" customFormat="false" ht="15" hidden="false" customHeight="false" outlineLevel="0" collapsed="false">
      <c r="A215" s="23" t="n">
        <v>46532</v>
      </c>
      <c r="B215" s="7" t="n">
        <v>-0.381</v>
      </c>
      <c r="C215" s="7" t="n">
        <v>-0.326</v>
      </c>
      <c r="D215" s="7" t="n">
        <v>0.037</v>
      </c>
      <c r="E215" s="7" t="n">
        <v>0.08</v>
      </c>
      <c r="F215" s="7" t="n">
        <v>-0.383</v>
      </c>
      <c r="G215" s="7" t="n">
        <v>0.037</v>
      </c>
      <c r="H215" s="7" t="n">
        <v>-0.362</v>
      </c>
      <c r="I215" s="7" t="n">
        <v>-0.244</v>
      </c>
      <c r="J215" s="7" t="n">
        <v>-0.34</v>
      </c>
      <c r="K215" s="7" t="n">
        <v>0.037</v>
      </c>
      <c r="L215" s="7" t="n">
        <v>-0.212</v>
      </c>
      <c r="M215" s="7" t="n">
        <v>0.08</v>
      </c>
      <c r="N215" s="7" t="n">
        <v>-0.383</v>
      </c>
      <c r="O215" s="7" t="n">
        <v>-0.492</v>
      </c>
      <c r="P215" s="7" t="n">
        <v>-0.252</v>
      </c>
      <c r="Q215" s="7" t="n">
        <v>-0.252</v>
      </c>
      <c r="R215" s="7" t="n">
        <v>-0.393</v>
      </c>
      <c r="S215" s="7" t="n">
        <v>0.08</v>
      </c>
      <c r="T215" s="7" t="n">
        <v>0.037</v>
      </c>
      <c r="U215" s="7" t="n">
        <v>-0.517</v>
      </c>
      <c r="V215" s="7" t="n">
        <v>-0.152</v>
      </c>
      <c r="W215" s="7" t="n">
        <v>-0.252</v>
      </c>
      <c r="X215" s="7" t="n">
        <v>0.037</v>
      </c>
      <c r="Y215" s="7" t="n">
        <v>-0.376</v>
      </c>
      <c r="Z215" s="7" t="n">
        <v>0.08</v>
      </c>
      <c r="AA215" s="7" t="n">
        <v>-0.393</v>
      </c>
      <c r="AB215" s="7" t="n">
        <v>-0.135</v>
      </c>
      <c r="AC215" s="7" t="n">
        <v>-0.252</v>
      </c>
      <c r="AD215" s="7" t="n">
        <v>-0.285</v>
      </c>
      <c r="AE215" s="7" t="n">
        <v>-0.383</v>
      </c>
      <c r="AF215" s="7" t="n">
        <v>-0.252</v>
      </c>
      <c r="AG215" s="7" t="n">
        <v>0.037</v>
      </c>
      <c r="AH215" s="7" t="n">
        <v>0.67</v>
      </c>
      <c r="AI215" s="7" t="n">
        <v>-0.287</v>
      </c>
      <c r="AJ215" s="7" t="n">
        <v>-0.188</v>
      </c>
      <c r="AK215" s="7" t="n">
        <v>-0.114</v>
      </c>
      <c r="AL215" s="7" t="n">
        <v>-0.231</v>
      </c>
      <c r="AM215" s="7" t="n">
        <v>0</v>
      </c>
      <c r="AN215" s="7" t="n">
        <v>0</v>
      </c>
      <c r="AO215" s="7" t="n">
        <v>0.102</v>
      </c>
      <c r="AP215" s="7" t="n">
        <v>0.042</v>
      </c>
      <c r="AQ215" s="7" t="n">
        <v>-0.287</v>
      </c>
    </row>
    <row r="216" customFormat="false" ht="15" hidden="false" customHeight="false" outlineLevel="0" collapsed="false">
      <c r="A216" s="23" t="n">
        <v>46533</v>
      </c>
      <c r="B216" s="7" t="n">
        <v>-0.383</v>
      </c>
      <c r="C216" s="7" t="n">
        <v>-0.327</v>
      </c>
      <c r="D216" s="7" t="n">
        <v>0.037</v>
      </c>
      <c r="E216" s="7" t="n">
        <v>0.08</v>
      </c>
      <c r="F216" s="7" t="n">
        <v>-0.382</v>
      </c>
      <c r="G216" s="7" t="n">
        <v>0.037</v>
      </c>
      <c r="H216" s="7" t="n">
        <v>-0.37</v>
      </c>
      <c r="I216" s="7" t="n">
        <v>-0.251</v>
      </c>
      <c r="J216" s="7" t="n">
        <v>-0.433</v>
      </c>
      <c r="K216" s="7" t="n">
        <v>0.037</v>
      </c>
      <c r="L216" s="7" t="n">
        <v>-0.212</v>
      </c>
      <c r="M216" s="7" t="n">
        <v>0.08</v>
      </c>
      <c r="N216" s="7" t="n">
        <v>-0.382</v>
      </c>
      <c r="O216" s="7" t="n">
        <v>-0.491</v>
      </c>
      <c r="P216" s="7" t="n">
        <v>-0.252</v>
      </c>
      <c r="Q216" s="7" t="n">
        <v>-0.252</v>
      </c>
      <c r="R216" s="7" t="n">
        <v>-0.399</v>
      </c>
      <c r="S216" s="7" t="n">
        <v>0.08</v>
      </c>
      <c r="T216" s="7" t="n">
        <v>0.037</v>
      </c>
      <c r="U216" s="7" t="n">
        <v>-0.525</v>
      </c>
      <c r="V216" s="7" t="n">
        <v>-0.16</v>
      </c>
      <c r="W216" s="7" t="n">
        <v>-0.252</v>
      </c>
      <c r="X216" s="7" t="n">
        <v>0.037</v>
      </c>
      <c r="Y216" s="7" t="n">
        <v>-0.383</v>
      </c>
      <c r="Z216" s="7" t="n">
        <v>0.08</v>
      </c>
      <c r="AA216" s="7" t="n">
        <v>-0.399</v>
      </c>
      <c r="AB216" s="7" t="n">
        <v>-0.187</v>
      </c>
      <c r="AC216" s="7" t="n">
        <v>-0.252</v>
      </c>
      <c r="AD216" s="7" t="n">
        <v>-0.291</v>
      </c>
      <c r="AE216" s="7" t="n">
        <v>-0.382</v>
      </c>
      <c r="AF216" s="7" t="n">
        <v>-0.252</v>
      </c>
      <c r="AG216" s="7" t="n">
        <v>0.037</v>
      </c>
      <c r="AH216" s="7" t="n">
        <v>0.669</v>
      </c>
      <c r="AI216" s="7" t="n">
        <v>-0.287</v>
      </c>
      <c r="AJ216" s="7" t="n">
        <v>-0.188</v>
      </c>
      <c r="AK216" s="7" t="n">
        <v>-0.114</v>
      </c>
      <c r="AL216" s="7" t="n">
        <v>-0.231</v>
      </c>
      <c r="AM216" s="7" t="n">
        <v>0</v>
      </c>
      <c r="AN216" s="7" t="n">
        <v>0</v>
      </c>
      <c r="AO216" s="7" t="n">
        <v>0.102</v>
      </c>
      <c r="AP216" s="7" t="n">
        <v>0.042</v>
      </c>
      <c r="AQ216" s="7" t="n">
        <v>-0.287</v>
      </c>
    </row>
    <row r="217" customFormat="false" ht="15" hidden="false" customHeight="false" outlineLevel="0" collapsed="false">
      <c r="A217" s="23" t="n">
        <v>46534</v>
      </c>
      <c r="B217" s="7" t="n">
        <v>-0.387</v>
      </c>
      <c r="C217" s="7" t="n">
        <v>-0.329</v>
      </c>
      <c r="D217" s="7" t="n">
        <v>0.037</v>
      </c>
      <c r="E217" s="7" t="n">
        <v>0.08</v>
      </c>
      <c r="F217" s="7" t="n">
        <v>-0.381</v>
      </c>
      <c r="G217" s="7" t="n">
        <v>0.037</v>
      </c>
      <c r="H217" s="7" t="n">
        <v>-0.379</v>
      </c>
      <c r="I217" s="7" t="n">
        <v>-0.264</v>
      </c>
      <c r="J217" s="7" t="n">
        <v>-0.432</v>
      </c>
      <c r="K217" s="7" t="n">
        <v>0.037</v>
      </c>
      <c r="L217" s="7" t="n">
        <v>-0.212</v>
      </c>
      <c r="M217" s="7" t="n">
        <v>0.08</v>
      </c>
      <c r="N217" s="7" t="n">
        <v>-0.381</v>
      </c>
      <c r="O217" s="7" t="n">
        <v>-0.49</v>
      </c>
      <c r="P217" s="7" t="n">
        <v>-0.252</v>
      </c>
      <c r="Q217" s="7" t="n">
        <v>-0.252</v>
      </c>
      <c r="R217" s="7" t="n">
        <v>-0.404</v>
      </c>
      <c r="S217" s="7" t="n">
        <v>0.08</v>
      </c>
      <c r="T217" s="7" t="n">
        <v>0.037</v>
      </c>
      <c r="U217" s="7" t="n">
        <v>-0.534</v>
      </c>
      <c r="V217" s="7" t="n">
        <v>-0.173</v>
      </c>
      <c r="W217" s="7" t="n">
        <v>-0.252</v>
      </c>
      <c r="X217" s="7" t="n">
        <v>0.037</v>
      </c>
      <c r="Y217" s="7" t="n">
        <v>-0.389</v>
      </c>
      <c r="Z217" s="7" t="n">
        <v>0.08</v>
      </c>
      <c r="AA217" s="7" t="n">
        <v>-0.404</v>
      </c>
      <c r="AB217" s="7" t="n">
        <v>-0.207</v>
      </c>
      <c r="AC217" s="7" t="n">
        <v>-0.252</v>
      </c>
      <c r="AD217" s="7" t="n">
        <v>-0.296</v>
      </c>
      <c r="AE217" s="7" t="n">
        <v>-0.381</v>
      </c>
      <c r="AF217" s="7" t="n">
        <v>-0.252</v>
      </c>
      <c r="AG217" s="7" t="n">
        <v>0.037</v>
      </c>
      <c r="AH217" s="7" t="n">
        <v>0.667</v>
      </c>
      <c r="AI217" s="7" t="n">
        <v>-0.287</v>
      </c>
      <c r="AJ217" s="7" t="n">
        <v>-0.188</v>
      </c>
      <c r="AK217" s="7" t="n">
        <v>-0.113</v>
      </c>
      <c r="AL217" s="7" t="n">
        <v>-0.231</v>
      </c>
      <c r="AM217" s="7" t="n">
        <v>0</v>
      </c>
      <c r="AN217" s="7" t="n">
        <v>0</v>
      </c>
      <c r="AO217" s="7" t="n">
        <v>0.102</v>
      </c>
      <c r="AP217" s="7" t="n">
        <v>0.042</v>
      </c>
      <c r="AQ217" s="7" t="n">
        <v>-0.287</v>
      </c>
    </row>
    <row r="218" customFormat="false" ht="15" hidden="false" customHeight="false" outlineLevel="0" collapsed="false">
      <c r="A218" s="23" t="n">
        <v>46535</v>
      </c>
      <c r="B218" s="7" t="n">
        <v>-0.365</v>
      </c>
      <c r="C218" s="7" t="n">
        <v>-0.219</v>
      </c>
      <c r="D218" s="7" t="n">
        <v>-0.012</v>
      </c>
      <c r="E218" s="7" t="n">
        <v>0.08</v>
      </c>
      <c r="F218" s="7" t="n">
        <v>-0.317</v>
      </c>
      <c r="G218" s="7" t="n">
        <v>-0.012</v>
      </c>
      <c r="H218" s="7" t="n">
        <v>-0.369</v>
      </c>
      <c r="I218" s="7" t="n">
        <v>-0.303</v>
      </c>
      <c r="J218" s="7" t="n">
        <v>-0.402</v>
      </c>
      <c r="K218" s="7" t="n">
        <v>0.025</v>
      </c>
      <c r="L218" s="7" t="n">
        <v>-0.133</v>
      </c>
      <c r="M218" s="7" t="n">
        <v>0.08</v>
      </c>
      <c r="N218" s="7" t="n">
        <v>-0.317</v>
      </c>
      <c r="O218" s="7" t="n">
        <v>-0.46</v>
      </c>
      <c r="P218" s="7" t="n">
        <v>-0.283</v>
      </c>
      <c r="Q218" s="7" t="n">
        <v>-0.186</v>
      </c>
      <c r="R218" s="7" t="n">
        <v>-0.407</v>
      </c>
      <c r="S218" s="7" t="n">
        <v>0.08</v>
      </c>
      <c r="T218" s="7" t="n">
        <v>0.025</v>
      </c>
      <c r="U218" s="7" t="n">
        <v>-0.462</v>
      </c>
      <c r="V218" s="7" t="n">
        <v>-0.229</v>
      </c>
      <c r="W218" s="7" t="n">
        <v>-0.186</v>
      </c>
      <c r="X218" s="7" t="n">
        <v>-0.012</v>
      </c>
      <c r="Y218" s="7" t="n">
        <v>-0.39</v>
      </c>
      <c r="Z218" s="7" t="n">
        <v>0.08</v>
      </c>
      <c r="AA218" s="7" t="n">
        <v>-0.373</v>
      </c>
      <c r="AB218" s="7" t="n">
        <v>-0.249</v>
      </c>
      <c r="AC218" s="7" t="n">
        <v>-0.186</v>
      </c>
      <c r="AD218" s="7" t="n">
        <v>-0.307</v>
      </c>
      <c r="AE218" s="7" t="n">
        <v>-0.317</v>
      </c>
      <c r="AF218" s="7" t="n">
        <v>-0.174</v>
      </c>
      <c r="AG218" s="7" t="n">
        <v>-0.012</v>
      </c>
      <c r="AH218" s="7" t="n">
        <v>0.665</v>
      </c>
      <c r="AI218" s="7" t="n">
        <v>-0.273</v>
      </c>
      <c r="AJ218" s="7" t="n">
        <v>-0.192</v>
      </c>
      <c r="AK218" s="7" t="n">
        <v>-0.093</v>
      </c>
      <c r="AL218" s="7" t="n">
        <v>-0.252</v>
      </c>
      <c r="AM218" s="7" t="n">
        <v>0</v>
      </c>
      <c r="AN218" s="7" t="n">
        <v>-0.038</v>
      </c>
      <c r="AO218" s="7" t="n">
        <v>0.114</v>
      </c>
      <c r="AP218" s="7" t="n">
        <v>0.055</v>
      </c>
      <c r="AQ218" s="7" t="n">
        <v>-0.273</v>
      </c>
    </row>
    <row r="219" customFormat="false" ht="15" hidden="false" customHeight="false" outlineLevel="0" collapsed="false">
      <c r="A219" s="23" t="n">
        <v>46536</v>
      </c>
      <c r="B219" s="7" t="n">
        <v>-0.375</v>
      </c>
      <c r="C219" s="7" t="n">
        <v>-0.215</v>
      </c>
      <c r="D219" s="7" t="n">
        <v>-0.025</v>
      </c>
      <c r="E219" s="7" t="n">
        <v>0.081</v>
      </c>
      <c r="F219" s="7" t="n">
        <v>-0.333</v>
      </c>
      <c r="G219" s="7" t="n">
        <v>-0.025</v>
      </c>
      <c r="H219" s="7" t="n">
        <v>-0.343</v>
      </c>
      <c r="I219" s="7" t="n">
        <v>-0.302</v>
      </c>
      <c r="J219" s="7" t="n">
        <v>-0.373</v>
      </c>
      <c r="K219" s="7" t="n">
        <v>0.013</v>
      </c>
      <c r="L219" s="7" t="n">
        <v>-0.189</v>
      </c>
      <c r="M219" s="7" t="n">
        <v>0.081</v>
      </c>
      <c r="N219" s="7" t="n">
        <v>-0.333</v>
      </c>
      <c r="O219" s="7" t="n">
        <v>-0.501</v>
      </c>
      <c r="P219" s="7" t="n">
        <v>-0.33</v>
      </c>
      <c r="Q219" s="7" t="n">
        <v>-0.249</v>
      </c>
      <c r="R219" s="7" t="n">
        <v>-0.39</v>
      </c>
      <c r="S219" s="7" t="n">
        <v>0.081</v>
      </c>
      <c r="T219" s="7" t="n">
        <v>0.013</v>
      </c>
      <c r="U219" s="7" t="n">
        <v>-0.475</v>
      </c>
      <c r="V219" s="7" t="n">
        <v>-0.246</v>
      </c>
      <c r="W219" s="7" t="n">
        <v>-0.249</v>
      </c>
      <c r="X219" s="7" t="n">
        <v>-0.025</v>
      </c>
      <c r="Y219" s="7" t="n">
        <v>-0.388</v>
      </c>
      <c r="Z219" s="7" t="n">
        <v>0.081</v>
      </c>
      <c r="AA219" s="7" t="n">
        <v>-0.356</v>
      </c>
      <c r="AB219" s="7" t="n">
        <v>-0.293</v>
      </c>
      <c r="AC219" s="7" t="n">
        <v>-0.249</v>
      </c>
      <c r="AD219" s="7" t="n">
        <v>-0.25</v>
      </c>
      <c r="AE219" s="7" t="n">
        <v>-0.333</v>
      </c>
      <c r="AF219" s="7" t="n">
        <v>-0.194</v>
      </c>
      <c r="AG219" s="7" t="n">
        <v>-0.025</v>
      </c>
      <c r="AH219" s="7" t="n">
        <v>0.663</v>
      </c>
      <c r="AI219" s="7" t="n">
        <v>-0.309</v>
      </c>
      <c r="AJ219" s="7" t="n">
        <v>-0.155</v>
      </c>
      <c r="AK219" s="7" t="n">
        <v>-0.071</v>
      </c>
      <c r="AL219" s="7" t="n">
        <v>-0.29</v>
      </c>
      <c r="AM219" s="7" t="n">
        <v>0</v>
      </c>
      <c r="AN219" s="7" t="n">
        <v>-0.038</v>
      </c>
      <c r="AO219" s="7" t="n">
        <v>0.127</v>
      </c>
      <c r="AP219" s="7" t="n">
        <v>0.067</v>
      </c>
      <c r="AQ219" s="7" t="n">
        <v>-0.309</v>
      </c>
    </row>
    <row r="220" customFormat="false" ht="15" hidden="false" customHeight="false" outlineLevel="0" collapsed="false">
      <c r="A220" s="23" t="n">
        <v>46537</v>
      </c>
      <c r="B220" s="7" t="n">
        <v>-0.375</v>
      </c>
      <c r="C220" s="7" t="n">
        <v>-0.215</v>
      </c>
      <c r="D220" s="7" t="n">
        <v>-0.025</v>
      </c>
      <c r="E220" s="7" t="n">
        <v>0.081</v>
      </c>
      <c r="F220" s="7" t="n">
        <v>-0.333</v>
      </c>
      <c r="G220" s="7" t="n">
        <v>-0.025</v>
      </c>
      <c r="H220" s="7" t="n">
        <v>-0.343</v>
      </c>
      <c r="I220" s="7" t="n">
        <v>-0.302</v>
      </c>
      <c r="J220" s="7" t="n">
        <v>-0.373</v>
      </c>
      <c r="K220" s="7" t="n">
        <v>0.013</v>
      </c>
      <c r="L220" s="7" t="n">
        <v>-0.189</v>
      </c>
      <c r="M220" s="7" t="n">
        <v>0.081</v>
      </c>
      <c r="N220" s="7" t="n">
        <v>-0.333</v>
      </c>
      <c r="O220" s="7" t="n">
        <v>-0.501</v>
      </c>
      <c r="P220" s="7" t="n">
        <v>-0.33</v>
      </c>
      <c r="Q220" s="7" t="n">
        <v>-0.249</v>
      </c>
      <c r="R220" s="7" t="n">
        <v>-0.39</v>
      </c>
      <c r="S220" s="7" t="n">
        <v>0.081</v>
      </c>
      <c r="T220" s="7" t="n">
        <v>0.013</v>
      </c>
      <c r="U220" s="7" t="n">
        <v>-0.475</v>
      </c>
      <c r="V220" s="7" t="n">
        <v>-0.246</v>
      </c>
      <c r="W220" s="7" t="n">
        <v>-0.249</v>
      </c>
      <c r="X220" s="7" t="n">
        <v>-0.025</v>
      </c>
      <c r="Y220" s="7" t="n">
        <v>-0.388</v>
      </c>
      <c r="Z220" s="7" t="n">
        <v>0.081</v>
      </c>
      <c r="AA220" s="7" t="n">
        <v>-0.356</v>
      </c>
      <c r="AB220" s="7" t="n">
        <v>-0.293</v>
      </c>
      <c r="AC220" s="7" t="n">
        <v>-0.249</v>
      </c>
      <c r="AD220" s="7" t="n">
        <v>-0.25</v>
      </c>
      <c r="AE220" s="7" t="n">
        <v>-0.333</v>
      </c>
      <c r="AF220" s="7" t="n">
        <v>-0.194</v>
      </c>
      <c r="AG220" s="7" t="n">
        <v>-0.025</v>
      </c>
      <c r="AH220" s="7" t="n">
        <v>0.663</v>
      </c>
      <c r="AI220" s="7" t="n">
        <v>-0.309</v>
      </c>
      <c r="AJ220" s="7" t="n">
        <v>-0.155</v>
      </c>
      <c r="AK220" s="7" t="n">
        <v>-0.071</v>
      </c>
      <c r="AL220" s="7" t="n">
        <v>-0.29</v>
      </c>
      <c r="AM220" s="7" t="n">
        <v>0</v>
      </c>
      <c r="AN220" s="7" t="n">
        <v>-0.038</v>
      </c>
      <c r="AO220" s="7" t="n">
        <v>0.127</v>
      </c>
      <c r="AP220" s="7" t="n">
        <v>0.067</v>
      </c>
      <c r="AQ220" s="7" t="n">
        <v>-0.309</v>
      </c>
    </row>
    <row r="221" customFormat="false" ht="15" hidden="false" customHeight="false" outlineLevel="0" collapsed="false">
      <c r="A221" s="23" t="n">
        <v>46538</v>
      </c>
      <c r="B221" s="7" t="n">
        <v>-0.375</v>
      </c>
      <c r="C221" s="7" t="n">
        <v>-0.215</v>
      </c>
      <c r="D221" s="7" t="n">
        <v>-0.025</v>
      </c>
      <c r="E221" s="7" t="n">
        <v>0.081</v>
      </c>
      <c r="F221" s="7" t="n">
        <v>-0.333</v>
      </c>
      <c r="G221" s="7" t="n">
        <v>-0.025</v>
      </c>
      <c r="H221" s="7" t="n">
        <v>-0.343</v>
      </c>
      <c r="I221" s="7" t="n">
        <v>-0.302</v>
      </c>
      <c r="J221" s="7" t="n">
        <v>-0.373</v>
      </c>
      <c r="K221" s="7" t="n">
        <v>0.013</v>
      </c>
      <c r="L221" s="7" t="n">
        <v>-0.189</v>
      </c>
      <c r="M221" s="7" t="n">
        <v>0.081</v>
      </c>
      <c r="N221" s="7" t="n">
        <v>-0.333</v>
      </c>
      <c r="O221" s="7" t="n">
        <v>-0.501</v>
      </c>
      <c r="P221" s="7" t="n">
        <v>-0.33</v>
      </c>
      <c r="Q221" s="7" t="n">
        <v>-0.249</v>
      </c>
      <c r="R221" s="7" t="n">
        <v>-0.39</v>
      </c>
      <c r="S221" s="7" t="n">
        <v>0.081</v>
      </c>
      <c r="T221" s="7" t="n">
        <v>0.013</v>
      </c>
      <c r="U221" s="7" t="n">
        <v>-0.475</v>
      </c>
      <c r="V221" s="7" t="n">
        <v>-0.246</v>
      </c>
      <c r="W221" s="7" t="n">
        <v>-0.249</v>
      </c>
      <c r="X221" s="7" t="n">
        <v>-0.025</v>
      </c>
      <c r="Y221" s="7" t="n">
        <v>-0.388</v>
      </c>
      <c r="Z221" s="7" t="n">
        <v>0.081</v>
      </c>
      <c r="AA221" s="7" t="n">
        <v>-0.356</v>
      </c>
      <c r="AB221" s="7" t="n">
        <v>-0.293</v>
      </c>
      <c r="AC221" s="7" t="n">
        <v>-0.249</v>
      </c>
      <c r="AD221" s="7" t="n">
        <v>-0.25</v>
      </c>
      <c r="AE221" s="7" t="n">
        <v>-0.333</v>
      </c>
      <c r="AF221" s="7" t="n">
        <v>-0.194</v>
      </c>
      <c r="AG221" s="7" t="n">
        <v>-0.025</v>
      </c>
      <c r="AH221" s="7" t="n">
        <v>0.663</v>
      </c>
      <c r="AI221" s="7" t="n">
        <v>-0.309</v>
      </c>
      <c r="AJ221" s="7" t="n">
        <v>-0.155</v>
      </c>
      <c r="AK221" s="7" t="n">
        <v>-0.071</v>
      </c>
      <c r="AL221" s="7" t="n">
        <v>-0.29</v>
      </c>
      <c r="AM221" s="7" t="n">
        <v>0</v>
      </c>
      <c r="AN221" s="7" t="n">
        <v>-0.038</v>
      </c>
      <c r="AO221" s="7" t="n">
        <v>0.127</v>
      </c>
      <c r="AP221" s="7" t="n">
        <v>0.067</v>
      </c>
      <c r="AQ221" s="7" t="n">
        <v>-0.309</v>
      </c>
    </row>
    <row r="222" customFormat="false" ht="15" hidden="false" customHeight="false" outlineLevel="0" collapsed="false">
      <c r="A222" s="23" t="n">
        <v>46539</v>
      </c>
      <c r="B222" s="7" t="n">
        <v>-0.376</v>
      </c>
      <c r="C222" s="7" t="n">
        <v>-0.204</v>
      </c>
      <c r="D222" s="7" t="n">
        <v>-0.037</v>
      </c>
      <c r="E222" s="7" t="n">
        <v>0.085</v>
      </c>
      <c r="F222" s="7" t="n">
        <v>-0.343</v>
      </c>
      <c r="G222" s="7" t="n">
        <v>-0.037</v>
      </c>
      <c r="H222" s="7" t="n">
        <v>-0.308</v>
      </c>
      <c r="I222" s="7" t="n">
        <v>-0.286</v>
      </c>
      <c r="J222" s="7" t="n">
        <v>-0.344</v>
      </c>
      <c r="K222" s="7" t="n">
        <v>0.001</v>
      </c>
      <c r="L222" s="7" t="n">
        <v>-0.235</v>
      </c>
      <c r="M222" s="7" t="n">
        <v>0.085</v>
      </c>
      <c r="N222" s="7" t="n">
        <v>-0.343</v>
      </c>
      <c r="O222" s="7" t="n">
        <v>-0.539</v>
      </c>
      <c r="P222" s="7" t="n">
        <v>-0.375</v>
      </c>
      <c r="Q222" s="7" t="n">
        <v>-0.306</v>
      </c>
      <c r="R222" s="7" t="n">
        <v>-0.367</v>
      </c>
      <c r="S222" s="7" t="n">
        <v>0.085</v>
      </c>
      <c r="T222" s="7" t="n">
        <v>0.001</v>
      </c>
      <c r="U222" s="7" t="n">
        <v>-0.477</v>
      </c>
      <c r="V222" s="7" t="n">
        <v>-0.249</v>
      </c>
      <c r="W222" s="7" t="n">
        <v>-0.306</v>
      </c>
      <c r="X222" s="7" t="n">
        <v>-0.037</v>
      </c>
      <c r="Y222" s="7" t="n">
        <v>-0.379</v>
      </c>
      <c r="Z222" s="7" t="n">
        <v>0.085</v>
      </c>
      <c r="AA222" s="7" t="n">
        <v>-0.333</v>
      </c>
      <c r="AB222" s="7" t="n">
        <v>-0.32</v>
      </c>
      <c r="AC222" s="7" t="n">
        <v>-0.306</v>
      </c>
      <c r="AD222" s="7" t="n">
        <v>-0.178</v>
      </c>
      <c r="AE222" s="7" t="n">
        <v>-0.343</v>
      </c>
      <c r="AF222" s="7" t="n">
        <v>-0.21</v>
      </c>
      <c r="AG222" s="7" t="n">
        <v>-0.037</v>
      </c>
      <c r="AH222" s="7" t="n">
        <v>0.66</v>
      </c>
      <c r="AI222" s="7" t="n">
        <v>-0.343</v>
      </c>
      <c r="AJ222" s="7" t="n">
        <v>-0.117</v>
      </c>
      <c r="AK222" s="7" t="n">
        <v>-0.048</v>
      </c>
      <c r="AL222" s="7" t="n">
        <v>-0.326</v>
      </c>
      <c r="AM222" s="7" t="n">
        <v>0</v>
      </c>
      <c r="AN222" s="7" t="n">
        <v>-0.038</v>
      </c>
      <c r="AO222" s="7" t="n">
        <v>0.143</v>
      </c>
      <c r="AP222" s="7" t="n">
        <v>0.084</v>
      </c>
      <c r="AQ222" s="7" t="n">
        <v>-0.343</v>
      </c>
    </row>
    <row r="223" customFormat="false" ht="15" hidden="false" customHeight="false" outlineLevel="0" collapsed="false">
      <c r="A223" s="23" t="n">
        <v>46540</v>
      </c>
      <c r="B223" s="7" t="n">
        <v>-0.375</v>
      </c>
      <c r="C223" s="7" t="n">
        <v>-0.195</v>
      </c>
      <c r="D223" s="7" t="n">
        <v>-0.049</v>
      </c>
      <c r="E223" s="7" t="n">
        <v>0.085</v>
      </c>
      <c r="F223" s="7" t="n">
        <v>-0.355</v>
      </c>
      <c r="G223" s="7" t="n">
        <v>-0.049</v>
      </c>
      <c r="H223" s="7" t="n">
        <v>-0.271</v>
      </c>
      <c r="I223" s="7" t="n">
        <v>-0.255</v>
      </c>
      <c r="J223" s="7" t="n">
        <v>-0.315</v>
      </c>
      <c r="K223" s="7" t="n">
        <v>-0.011</v>
      </c>
      <c r="L223" s="7" t="n">
        <v>-0.283</v>
      </c>
      <c r="M223" s="7" t="n">
        <v>0.085</v>
      </c>
      <c r="N223" s="7" t="n">
        <v>-0.355</v>
      </c>
      <c r="O223" s="7" t="n">
        <v>-0.576</v>
      </c>
      <c r="P223" s="7" t="n">
        <v>-0.42</v>
      </c>
      <c r="Q223" s="7" t="n">
        <v>-0.362</v>
      </c>
      <c r="R223" s="7" t="n">
        <v>-0.342</v>
      </c>
      <c r="S223" s="7" t="n">
        <v>0.085</v>
      </c>
      <c r="T223" s="7" t="n">
        <v>-0.011</v>
      </c>
      <c r="U223" s="7" t="n">
        <v>-0.478</v>
      </c>
      <c r="V223" s="7" t="n">
        <v>-0.236</v>
      </c>
      <c r="W223" s="7" t="n">
        <v>-0.362</v>
      </c>
      <c r="X223" s="7" t="n">
        <v>-0.049</v>
      </c>
      <c r="Y223" s="7" t="n">
        <v>-0.366</v>
      </c>
      <c r="Z223" s="7" t="n">
        <v>0.085</v>
      </c>
      <c r="AA223" s="7" t="n">
        <v>-0.308</v>
      </c>
      <c r="AB223" s="7" t="n">
        <v>-0.321</v>
      </c>
      <c r="AC223" s="7" t="n">
        <v>-0.362</v>
      </c>
      <c r="AD223" s="7" t="n">
        <v>-0.107</v>
      </c>
      <c r="AE223" s="7" t="n">
        <v>-0.355</v>
      </c>
      <c r="AF223" s="7" t="n">
        <v>-0.224</v>
      </c>
      <c r="AG223" s="7" t="n">
        <v>-0.049</v>
      </c>
      <c r="AH223" s="7" t="n">
        <v>0.657</v>
      </c>
      <c r="AI223" s="7" t="n">
        <v>-0.377</v>
      </c>
      <c r="AJ223" s="7" t="n">
        <v>-0.079</v>
      </c>
      <c r="AK223" s="7" t="n">
        <v>-0.025</v>
      </c>
      <c r="AL223" s="7" t="n">
        <v>-0.361</v>
      </c>
      <c r="AM223" s="7" t="n">
        <v>0</v>
      </c>
      <c r="AN223" s="7" t="n">
        <v>-0.038</v>
      </c>
      <c r="AO223" s="7" t="n">
        <v>0.155</v>
      </c>
      <c r="AP223" s="7" t="n">
        <v>0.096</v>
      </c>
      <c r="AQ223" s="7" t="n">
        <v>-0.377</v>
      </c>
    </row>
    <row r="224" customFormat="false" ht="15" hidden="false" customHeight="false" outlineLevel="0" collapsed="false">
      <c r="A224" s="23" t="n">
        <v>46541</v>
      </c>
      <c r="B224" s="7" t="n">
        <v>-0.381</v>
      </c>
      <c r="C224" s="7" t="n">
        <v>-0.184</v>
      </c>
      <c r="D224" s="7" t="n">
        <v>-0.113</v>
      </c>
      <c r="E224" s="7" t="n">
        <v>0.085</v>
      </c>
      <c r="F224" s="7" t="n">
        <v>-0.366</v>
      </c>
      <c r="G224" s="7" t="n">
        <v>-0.061</v>
      </c>
      <c r="H224" s="7" t="n">
        <v>-0.231</v>
      </c>
      <c r="I224" s="7" t="n">
        <v>-0.223</v>
      </c>
      <c r="J224" s="7" t="n">
        <v>-0.234</v>
      </c>
      <c r="K224" s="7" t="n">
        <v>-0.023</v>
      </c>
      <c r="L224" s="7" t="n">
        <v>-0.33</v>
      </c>
      <c r="M224" s="7" t="n">
        <v>0.085</v>
      </c>
      <c r="N224" s="7" t="n">
        <v>-0.366</v>
      </c>
      <c r="O224" s="7" t="n">
        <v>-0.613</v>
      </c>
      <c r="P224" s="7" t="n">
        <v>-0.483</v>
      </c>
      <c r="Q224" s="7" t="n">
        <v>-0.416</v>
      </c>
      <c r="R224" s="7" t="n">
        <v>-0.315</v>
      </c>
      <c r="S224" s="7" t="n">
        <v>0.085</v>
      </c>
      <c r="T224" s="7" t="n">
        <v>-0.023</v>
      </c>
      <c r="U224" s="7" t="n">
        <v>-0.476</v>
      </c>
      <c r="V224" s="7" t="n">
        <v>-0.222</v>
      </c>
      <c r="W224" s="7" t="n">
        <v>-0.416</v>
      </c>
      <c r="X224" s="7" t="n">
        <v>-0.088</v>
      </c>
      <c r="Y224" s="7" t="n">
        <v>-0.352</v>
      </c>
      <c r="Z224" s="7" t="n">
        <v>0.085</v>
      </c>
      <c r="AA224" s="7" t="n">
        <v>-0.281</v>
      </c>
      <c r="AB224" s="7" t="n">
        <v>-0.268</v>
      </c>
      <c r="AC224" s="7" t="n">
        <v>-0.416</v>
      </c>
      <c r="AD224" s="7" t="n">
        <v>-0.032</v>
      </c>
      <c r="AE224" s="7" t="n">
        <v>-0.366</v>
      </c>
      <c r="AF224" s="7" t="n">
        <v>-0.238</v>
      </c>
      <c r="AG224" s="7" t="n">
        <v>-0.061</v>
      </c>
      <c r="AH224" s="7" t="n">
        <v>0.655</v>
      </c>
      <c r="AI224" s="7" t="n">
        <v>-0.41</v>
      </c>
      <c r="AJ224" s="7" t="n">
        <v>-0.041</v>
      </c>
      <c r="AK224" s="7" t="n">
        <v>-0.002</v>
      </c>
      <c r="AL224" s="7" t="n">
        <v>-0.396</v>
      </c>
      <c r="AM224" s="7" t="n">
        <v>0</v>
      </c>
      <c r="AN224" s="7" t="n">
        <v>-0.038</v>
      </c>
      <c r="AO224" s="7" t="n">
        <v>0.167</v>
      </c>
      <c r="AP224" s="7" t="n">
        <v>0.108</v>
      </c>
      <c r="AQ224" s="7" t="n">
        <v>-0.41</v>
      </c>
    </row>
    <row r="225" customFormat="false" ht="15" hidden="false" customHeight="false" outlineLevel="0" collapsed="false">
      <c r="A225" s="23" t="n">
        <v>46542</v>
      </c>
      <c r="B225" s="7" t="n">
        <v>-0.405</v>
      </c>
      <c r="C225" s="7" t="n">
        <v>-0.284</v>
      </c>
      <c r="D225" s="7" t="n">
        <v>-0.127</v>
      </c>
      <c r="E225" s="7" t="n">
        <v>0.084</v>
      </c>
      <c r="F225" s="7" t="n">
        <v>-0.439</v>
      </c>
      <c r="G225" s="7" t="n">
        <v>-0.023</v>
      </c>
      <c r="H225" s="7" t="n">
        <v>-0.207</v>
      </c>
      <c r="I225" s="7" t="n">
        <v>-0.134</v>
      </c>
      <c r="J225" s="7" t="n">
        <v>-0.181</v>
      </c>
      <c r="K225" s="7" t="n">
        <v>-0.023</v>
      </c>
      <c r="L225" s="7" t="n">
        <v>-0.453</v>
      </c>
      <c r="M225" s="7" t="n">
        <v>0.084</v>
      </c>
      <c r="N225" s="7" t="n">
        <v>-0.439</v>
      </c>
      <c r="O225" s="7" t="n">
        <v>-0.678</v>
      </c>
      <c r="P225" s="7" t="n">
        <v>-0.515</v>
      </c>
      <c r="Q225" s="7" t="n">
        <v>-0.535</v>
      </c>
      <c r="R225" s="7" t="n">
        <v>-0.289</v>
      </c>
      <c r="S225" s="7" t="n">
        <v>0.084</v>
      </c>
      <c r="T225" s="7" t="n">
        <v>-0.023</v>
      </c>
      <c r="U225" s="7" t="n">
        <v>-0.552</v>
      </c>
      <c r="V225" s="7" t="n">
        <v>-0.136</v>
      </c>
      <c r="W225" s="7" t="n">
        <v>-0.535</v>
      </c>
      <c r="X225" s="7" t="n">
        <v>-0.076</v>
      </c>
      <c r="Y225" s="7" t="n">
        <v>-0.338</v>
      </c>
      <c r="Z225" s="7" t="n">
        <v>0.084</v>
      </c>
      <c r="AA225" s="7" t="n">
        <v>-0.289</v>
      </c>
      <c r="AB225" s="7" t="n">
        <v>-0.177</v>
      </c>
      <c r="AC225" s="7" t="n">
        <v>-0.535</v>
      </c>
      <c r="AD225" s="7" t="n">
        <v>0.053</v>
      </c>
      <c r="AE225" s="7" t="n">
        <v>-0.439</v>
      </c>
      <c r="AF225" s="7" t="n">
        <v>-0.328</v>
      </c>
      <c r="AG225" s="7" t="n">
        <v>-0.023</v>
      </c>
      <c r="AH225" s="7" t="n">
        <v>0.652</v>
      </c>
      <c r="AI225" s="7" t="n">
        <v>-0.457</v>
      </c>
      <c r="AJ225" s="7" t="n">
        <v>0.003</v>
      </c>
      <c r="AK225" s="7" t="n">
        <v>0.002</v>
      </c>
      <c r="AL225" s="7" t="n">
        <v>-0.409</v>
      </c>
      <c r="AM225" s="7" t="n">
        <v>0</v>
      </c>
      <c r="AN225" s="7" t="n">
        <v>0</v>
      </c>
      <c r="AO225" s="7" t="n">
        <v>0.166</v>
      </c>
      <c r="AP225" s="7" t="n">
        <v>0.107</v>
      </c>
      <c r="AQ225" s="7" t="n">
        <v>-0.457</v>
      </c>
    </row>
    <row r="226" customFormat="false" ht="15" hidden="false" customHeight="false" outlineLevel="0" collapsed="false">
      <c r="A226" s="23" t="n">
        <v>46543</v>
      </c>
      <c r="B226" s="7" t="n">
        <v>-0.391</v>
      </c>
      <c r="C226" s="7" t="n">
        <v>-0.271</v>
      </c>
      <c r="D226" s="7" t="n">
        <v>-0.179</v>
      </c>
      <c r="E226" s="7" t="n">
        <v>0.089</v>
      </c>
      <c r="F226" s="7" t="n">
        <v>-0.427</v>
      </c>
      <c r="G226" s="7" t="n">
        <v>-0.023</v>
      </c>
      <c r="H226" s="7" t="n">
        <v>-0.197</v>
      </c>
      <c r="I226" s="7" t="n">
        <v>-0.092</v>
      </c>
      <c r="J226" s="7" t="n">
        <v>-0.128</v>
      </c>
      <c r="K226" s="7" t="n">
        <v>-0.023</v>
      </c>
      <c r="L226" s="7" t="n">
        <v>-0.437</v>
      </c>
      <c r="M226" s="7" t="n">
        <v>0.089</v>
      </c>
      <c r="N226" s="7" t="n">
        <v>-0.427</v>
      </c>
      <c r="O226" s="7" t="n">
        <v>-0.672</v>
      </c>
      <c r="P226" s="7" t="n">
        <v>-0.53</v>
      </c>
      <c r="Q226" s="7" t="n">
        <v>-0.523</v>
      </c>
      <c r="R226" s="7" t="n">
        <v>-0.281</v>
      </c>
      <c r="S226" s="7" t="n">
        <v>0.089</v>
      </c>
      <c r="T226" s="7" t="n">
        <v>-0.023</v>
      </c>
      <c r="U226" s="7" t="n">
        <v>-0.536</v>
      </c>
      <c r="V226" s="7" t="n">
        <v>-0.095</v>
      </c>
      <c r="W226" s="7" t="n">
        <v>-0.523</v>
      </c>
      <c r="X226" s="7" t="n">
        <v>-0.103</v>
      </c>
      <c r="Y226" s="7" t="n">
        <v>-0.325</v>
      </c>
      <c r="Z226" s="7" t="n">
        <v>0.089</v>
      </c>
      <c r="AA226" s="7" t="n">
        <v>-0.281</v>
      </c>
      <c r="AB226" s="7" t="n">
        <v>-0.118</v>
      </c>
      <c r="AC226" s="7" t="n">
        <v>-0.523</v>
      </c>
      <c r="AD226" s="7" t="n">
        <v>0.078</v>
      </c>
      <c r="AE226" s="7" t="n">
        <v>-0.427</v>
      </c>
      <c r="AF226" s="7" t="n">
        <v>-0.319</v>
      </c>
      <c r="AG226" s="7" t="n">
        <v>-0.023</v>
      </c>
      <c r="AH226" s="7" t="n">
        <v>0.65</v>
      </c>
      <c r="AI226" s="7" t="n">
        <v>-0.453</v>
      </c>
      <c r="AJ226" s="7" t="n">
        <v>0.006</v>
      </c>
      <c r="AK226" s="7" t="n">
        <v>0.004</v>
      </c>
      <c r="AL226" s="7" t="n">
        <v>-0.404</v>
      </c>
      <c r="AM226" s="7" t="n">
        <v>0</v>
      </c>
      <c r="AN226" s="7" t="n">
        <v>0</v>
      </c>
      <c r="AO226" s="7" t="n">
        <v>0.171</v>
      </c>
      <c r="AP226" s="7" t="n">
        <v>0.112</v>
      </c>
      <c r="AQ226" s="7" t="n">
        <v>-0.453</v>
      </c>
    </row>
    <row r="227" customFormat="false" ht="15" hidden="false" customHeight="false" outlineLevel="0" collapsed="false">
      <c r="A227" s="23" t="n">
        <v>46544</v>
      </c>
      <c r="B227" s="7" t="n">
        <v>-0.391</v>
      </c>
      <c r="C227" s="7" t="n">
        <v>-0.271</v>
      </c>
      <c r="D227" s="7" t="n">
        <v>-0.179</v>
      </c>
      <c r="E227" s="7" t="n">
        <v>0.089</v>
      </c>
      <c r="F227" s="7" t="n">
        <v>-0.427</v>
      </c>
      <c r="G227" s="7" t="n">
        <v>-0.023</v>
      </c>
      <c r="H227" s="7" t="n">
        <v>-0.197</v>
      </c>
      <c r="I227" s="7" t="n">
        <v>-0.092</v>
      </c>
      <c r="J227" s="7" t="n">
        <v>-0.128</v>
      </c>
      <c r="K227" s="7" t="n">
        <v>-0.023</v>
      </c>
      <c r="L227" s="7" t="n">
        <v>-0.437</v>
      </c>
      <c r="M227" s="7" t="n">
        <v>0.089</v>
      </c>
      <c r="N227" s="7" t="n">
        <v>-0.427</v>
      </c>
      <c r="O227" s="7" t="n">
        <v>-0.672</v>
      </c>
      <c r="P227" s="7" t="n">
        <v>-0.53</v>
      </c>
      <c r="Q227" s="7" t="n">
        <v>-0.523</v>
      </c>
      <c r="R227" s="7" t="n">
        <v>-0.281</v>
      </c>
      <c r="S227" s="7" t="n">
        <v>0.089</v>
      </c>
      <c r="T227" s="7" t="n">
        <v>-0.023</v>
      </c>
      <c r="U227" s="7" t="n">
        <v>-0.536</v>
      </c>
      <c r="V227" s="7" t="n">
        <v>-0.095</v>
      </c>
      <c r="W227" s="7" t="n">
        <v>-0.523</v>
      </c>
      <c r="X227" s="7" t="n">
        <v>-0.103</v>
      </c>
      <c r="Y227" s="7" t="n">
        <v>-0.325</v>
      </c>
      <c r="Z227" s="7" t="n">
        <v>0.089</v>
      </c>
      <c r="AA227" s="7" t="n">
        <v>-0.281</v>
      </c>
      <c r="AB227" s="7" t="n">
        <v>-0.118</v>
      </c>
      <c r="AC227" s="7" t="n">
        <v>-0.523</v>
      </c>
      <c r="AD227" s="7" t="n">
        <v>0.078</v>
      </c>
      <c r="AE227" s="7" t="n">
        <v>-0.427</v>
      </c>
      <c r="AF227" s="7" t="n">
        <v>-0.319</v>
      </c>
      <c r="AG227" s="7" t="n">
        <v>-0.023</v>
      </c>
      <c r="AH227" s="7" t="n">
        <v>0.65</v>
      </c>
      <c r="AI227" s="7" t="n">
        <v>-0.453</v>
      </c>
      <c r="AJ227" s="7" t="n">
        <v>0.006</v>
      </c>
      <c r="AK227" s="7" t="n">
        <v>0.004</v>
      </c>
      <c r="AL227" s="7" t="n">
        <v>-0.404</v>
      </c>
      <c r="AM227" s="7" t="n">
        <v>0</v>
      </c>
      <c r="AN227" s="7" t="n">
        <v>0</v>
      </c>
      <c r="AO227" s="7" t="n">
        <v>0.171</v>
      </c>
      <c r="AP227" s="7" t="n">
        <v>0.112</v>
      </c>
      <c r="AQ227" s="7" t="n">
        <v>-0.453</v>
      </c>
    </row>
    <row r="228" customFormat="false" ht="15" hidden="false" customHeight="false" outlineLevel="0" collapsed="false">
      <c r="A228" s="23" t="n">
        <v>46545</v>
      </c>
      <c r="B228" s="7" t="n">
        <v>-0.391</v>
      </c>
      <c r="C228" s="7" t="n">
        <v>-0.271</v>
      </c>
      <c r="D228" s="7" t="n">
        <v>-0.179</v>
      </c>
      <c r="E228" s="7" t="n">
        <v>0.089</v>
      </c>
      <c r="F228" s="7" t="n">
        <v>-0.427</v>
      </c>
      <c r="G228" s="7" t="n">
        <v>-0.023</v>
      </c>
      <c r="H228" s="7" t="n">
        <v>-0.197</v>
      </c>
      <c r="I228" s="7" t="n">
        <v>-0.092</v>
      </c>
      <c r="J228" s="7" t="n">
        <v>-0.128</v>
      </c>
      <c r="K228" s="7" t="n">
        <v>-0.023</v>
      </c>
      <c r="L228" s="7" t="n">
        <v>-0.437</v>
      </c>
      <c r="M228" s="7" t="n">
        <v>0.089</v>
      </c>
      <c r="N228" s="7" t="n">
        <v>-0.427</v>
      </c>
      <c r="O228" s="7" t="n">
        <v>-0.672</v>
      </c>
      <c r="P228" s="7" t="n">
        <v>-0.53</v>
      </c>
      <c r="Q228" s="7" t="n">
        <v>-0.523</v>
      </c>
      <c r="R228" s="7" t="n">
        <v>-0.281</v>
      </c>
      <c r="S228" s="7" t="n">
        <v>0.089</v>
      </c>
      <c r="T228" s="7" t="n">
        <v>-0.023</v>
      </c>
      <c r="U228" s="7" t="n">
        <v>-0.536</v>
      </c>
      <c r="V228" s="7" t="n">
        <v>-0.095</v>
      </c>
      <c r="W228" s="7" t="n">
        <v>-0.523</v>
      </c>
      <c r="X228" s="7" t="n">
        <v>-0.103</v>
      </c>
      <c r="Y228" s="7" t="n">
        <v>-0.325</v>
      </c>
      <c r="Z228" s="7" t="n">
        <v>0.089</v>
      </c>
      <c r="AA228" s="7" t="n">
        <v>-0.281</v>
      </c>
      <c r="AB228" s="7" t="n">
        <v>-0.118</v>
      </c>
      <c r="AC228" s="7" t="n">
        <v>-0.523</v>
      </c>
      <c r="AD228" s="7" t="n">
        <v>0.078</v>
      </c>
      <c r="AE228" s="7" t="n">
        <v>-0.427</v>
      </c>
      <c r="AF228" s="7" t="n">
        <v>-0.319</v>
      </c>
      <c r="AG228" s="7" t="n">
        <v>-0.023</v>
      </c>
      <c r="AH228" s="7" t="n">
        <v>0.65</v>
      </c>
      <c r="AI228" s="7" t="n">
        <v>-0.453</v>
      </c>
      <c r="AJ228" s="7" t="n">
        <v>0.006</v>
      </c>
      <c r="AK228" s="7" t="n">
        <v>0.004</v>
      </c>
      <c r="AL228" s="7" t="n">
        <v>-0.404</v>
      </c>
      <c r="AM228" s="7" t="n">
        <v>0</v>
      </c>
      <c r="AN228" s="7" t="n">
        <v>0</v>
      </c>
      <c r="AO228" s="7" t="n">
        <v>0.171</v>
      </c>
      <c r="AP228" s="7" t="n">
        <v>0.112</v>
      </c>
      <c r="AQ228" s="7" t="n">
        <v>-0.453</v>
      </c>
    </row>
    <row r="229" customFormat="false" ht="15" hidden="false" customHeight="false" outlineLevel="0" collapsed="false">
      <c r="A229" s="23" t="n">
        <v>46546</v>
      </c>
      <c r="B229" s="7" t="n">
        <v>-0.417</v>
      </c>
      <c r="C229" s="7" t="n">
        <v>-0.286</v>
      </c>
      <c r="D229" s="7" t="n">
        <v>-0.253</v>
      </c>
      <c r="E229" s="7" t="n">
        <v>0.064</v>
      </c>
      <c r="F229" s="7" t="n">
        <v>-0.439</v>
      </c>
      <c r="G229" s="7" t="n">
        <v>-0.05</v>
      </c>
      <c r="H229" s="7" t="n">
        <v>-0.193</v>
      </c>
      <c r="I229" s="7" t="n">
        <v>-0.094</v>
      </c>
      <c r="J229" s="7" t="n">
        <v>-0.102</v>
      </c>
      <c r="K229" s="7" t="n">
        <v>-0.05</v>
      </c>
      <c r="L229" s="7" t="n">
        <v>-0.445</v>
      </c>
      <c r="M229" s="7" t="n">
        <v>0.064</v>
      </c>
      <c r="N229" s="7" t="n">
        <v>-0.439</v>
      </c>
      <c r="O229" s="7" t="n">
        <v>-0.679</v>
      </c>
      <c r="P229" s="7" t="n">
        <v>-0.562</v>
      </c>
      <c r="Q229" s="7" t="n">
        <v>-0.531</v>
      </c>
      <c r="R229" s="7" t="n">
        <v>-0.284</v>
      </c>
      <c r="S229" s="7" t="n">
        <v>0.064</v>
      </c>
      <c r="T229" s="7" t="n">
        <v>-0.05</v>
      </c>
      <c r="U229" s="7" t="n">
        <v>-0.531</v>
      </c>
      <c r="V229" s="7" t="n">
        <v>-0.099</v>
      </c>
      <c r="W229" s="7" t="n">
        <v>-0.531</v>
      </c>
      <c r="X229" s="7" t="n">
        <v>-0.154</v>
      </c>
      <c r="Y229" s="7" t="n">
        <v>-0.326</v>
      </c>
      <c r="Z229" s="7" t="n">
        <v>0.064</v>
      </c>
      <c r="AA229" s="7" t="n">
        <v>-0.284</v>
      </c>
      <c r="AB229" s="7" t="n">
        <v>-0.091</v>
      </c>
      <c r="AC229" s="7" t="n">
        <v>-0.531</v>
      </c>
      <c r="AD229" s="7" t="n">
        <v>0.093</v>
      </c>
      <c r="AE229" s="7" t="n">
        <v>-0.439</v>
      </c>
      <c r="AF229" s="7" t="n">
        <v>-0.333</v>
      </c>
      <c r="AG229" s="7" t="n">
        <v>-0.05</v>
      </c>
      <c r="AH229" s="7" t="n">
        <v>0.648</v>
      </c>
      <c r="AI229" s="7" t="n">
        <v>-0.448</v>
      </c>
      <c r="AJ229" s="7" t="n">
        <v>0.009</v>
      </c>
      <c r="AK229" s="7" t="n">
        <v>0.005</v>
      </c>
      <c r="AL229" s="7" t="n">
        <v>-0.399</v>
      </c>
      <c r="AM229" s="7" t="n">
        <v>0</v>
      </c>
      <c r="AN229" s="7" t="n">
        <v>0</v>
      </c>
      <c r="AO229" s="7" t="n">
        <v>0.172</v>
      </c>
      <c r="AP229" s="7" t="n">
        <v>0.114</v>
      </c>
      <c r="AQ229" s="7" t="n">
        <v>-0.448</v>
      </c>
    </row>
    <row r="230" customFormat="false" ht="15" hidden="false" customHeight="false" outlineLevel="0" collapsed="false">
      <c r="A230" s="23" t="n">
        <v>46547</v>
      </c>
      <c r="B230" s="7" t="n">
        <v>-0.443</v>
      </c>
      <c r="C230" s="7" t="n">
        <v>-0.296</v>
      </c>
      <c r="D230" s="7" t="n">
        <v>-0.328</v>
      </c>
      <c r="E230" s="7" t="n">
        <v>0.043</v>
      </c>
      <c r="F230" s="7" t="n">
        <v>-0.448</v>
      </c>
      <c r="G230" s="7" t="n">
        <v>-0.076</v>
      </c>
      <c r="H230" s="7" t="n">
        <v>-0.187</v>
      </c>
      <c r="I230" s="7" t="n">
        <v>-0.111</v>
      </c>
      <c r="J230" s="7" t="n">
        <v>-0.076</v>
      </c>
      <c r="K230" s="7" t="n">
        <v>-0.076</v>
      </c>
      <c r="L230" s="7" t="n">
        <v>-0.449</v>
      </c>
      <c r="M230" s="7" t="n">
        <v>0.043</v>
      </c>
      <c r="N230" s="7" t="n">
        <v>-0.448</v>
      </c>
      <c r="O230" s="7" t="n">
        <v>-0.687</v>
      </c>
      <c r="P230" s="7" t="n">
        <v>-0.594</v>
      </c>
      <c r="Q230" s="7" t="n">
        <v>-0.539</v>
      </c>
      <c r="R230" s="7" t="n">
        <v>-0.286</v>
      </c>
      <c r="S230" s="7" t="n">
        <v>0.043</v>
      </c>
      <c r="T230" s="7" t="n">
        <v>-0.076</v>
      </c>
      <c r="U230" s="7" t="n">
        <v>-0.52</v>
      </c>
      <c r="V230" s="7" t="n">
        <v>-0.117</v>
      </c>
      <c r="W230" s="7" t="n">
        <v>-0.539</v>
      </c>
      <c r="X230" s="7" t="n">
        <v>-0.205</v>
      </c>
      <c r="Y230" s="7" t="n">
        <v>-0.326</v>
      </c>
      <c r="Z230" s="7" t="n">
        <v>0.043</v>
      </c>
      <c r="AA230" s="7" t="n">
        <v>-0.286</v>
      </c>
      <c r="AB230" s="7" t="n">
        <v>-0.076</v>
      </c>
      <c r="AC230" s="7" t="n">
        <v>-0.539</v>
      </c>
      <c r="AD230" s="7" t="n">
        <v>0.113</v>
      </c>
      <c r="AE230" s="7" t="n">
        <v>-0.448</v>
      </c>
      <c r="AF230" s="7" t="n">
        <v>-0.346</v>
      </c>
      <c r="AG230" s="7" t="n">
        <v>-0.076</v>
      </c>
      <c r="AH230" s="7" t="n">
        <v>0.646</v>
      </c>
      <c r="AI230" s="7" t="n">
        <v>-0.444</v>
      </c>
      <c r="AJ230" s="7" t="n">
        <v>0.011</v>
      </c>
      <c r="AK230" s="7" t="n">
        <v>0.007</v>
      </c>
      <c r="AL230" s="7" t="n">
        <v>-0.395</v>
      </c>
      <c r="AM230" s="7" t="n">
        <v>0</v>
      </c>
      <c r="AN230" s="7" t="n">
        <v>0</v>
      </c>
      <c r="AO230" s="7" t="n">
        <v>0.178</v>
      </c>
      <c r="AP230" s="7" t="n">
        <v>0.119</v>
      </c>
      <c r="AQ230" s="7" t="n">
        <v>-0.444</v>
      </c>
    </row>
    <row r="231" customFormat="false" ht="15" hidden="false" customHeight="false" outlineLevel="0" collapsed="false">
      <c r="A231" s="23" t="n">
        <v>46548</v>
      </c>
      <c r="B231" s="7" t="n">
        <v>-0.301</v>
      </c>
      <c r="C231" s="7" t="n">
        <v>-0.128</v>
      </c>
      <c r="D231" s="7" t="n">
        <v>-0.35</v>
      </c>
      <c r="E231" s="7" t="n">
        <v>0.171</v>
      </c>
      <c r="F231" s="7" t="n">
        <v>-0.274</v>
      </c>
      <c r="G231" s="7" t="n">
        <v>-0.102</v>
      </c>
      <c r="H231" s="7" t="n">
        <v>-0.163</v>
      </c>
      <c r="I231" s="7" t="n">
        <v>-0.09</v>
      </c>
      <c r="J231" s="7" t="n">
        <v>-0.102</v>
      </c>
      <c r="K231" s="7" t="n">
        <v>0.059</v>
      </c>
      <c r="L231" s="7" t="n">
        <v>-0.327</v>
      </c>
      <c r="M231" s="7" t="n">
        <v>0.052</v>
      </c>
      <c r="N231" s="7" t="n">
        <v>-0.274</v>
      </c>
      <c r="O231" s="7" t="n">
        <v>-0.575</v>
      </c>
      <c r="P231" s="7" t="n">
        <v>-0.529</v>
      </c>
      <c r="Q231" s="7" t="n">
        <v>-0.457</v>
      </c>
      <c r="R231" s="7" t="n">
        <v>-0.274</v>
      </c>
      <c r="S231" s="7" t="n">
        <v>0.094</v>
      </c>
      <c r="T231" s="7" t="n">
        <v>-0.102</v>
      </c>
      <c r="U231" s="7" t="n">
        <v>-0.318</v>
      </c>
      <c r="V231" s="7" t="n">
        <v>-0.101</v>
      </c>
      <c r="W231" s="7" t="n">
        <v>-0.457</v>
      </c>
      <c r="X231" s="7" t="n">
        <v>-0.23</v>
      </c>
      <c r="Y231" s="7" t="n">
        <v>-0.288</v>
      </c>
      <c r="Z231" s="7" t="n">
        <v>0.185</v>
      </c>
      <c r="AA231" s="7" t="n">
        <v>-0.274</v>
      </c>
      <c r="AB231" s="7" t="n">
        <v>-0.102</v>
      </c>
      <c r="AC231" s="7" t="n">
        <v>-0.457</v>
      </c>
      <c r="AD231" s="7" t="n">
        <v>0.224</v>
      </c>
      <c r="AE231" s="7" t="n">
        <v>-0.274</v>
      </c>
      <c r="AF231" s="7" t="n">
        <v>-0.176</v>
      </c>
      <c r="AG231" s="7" t="n">
        <v>-0.102</v>
      </c>
      <c r="AH231" s="7" t="n">
        <v>0.644</v>
      </c>
      <c r="AI231" s="7" t="n">
        <v>-0.345</v>
      </c>
      <c r="AJ231" s="7" t="n">
        <v>0.022</v>
      </c>
      <c r="AK231" s="7" t="n">
        <v>0.013</v>
      </c>
      <c r="AL231" s="7" t="n">
        <v>-0.293</v>
      </c>
      <c r="AM231" s="7" t="n">
        <v>0</v>
      </c>
      <c r="AN231" s="7" t="n">
        <v>0</v>
      </c>
      <c r="AO231" s="7" t="n">
        <v>0.211</v>
      </c>
      <c r="AP231" s="7" t="n">
        <v>0.154</v>
      </c>
      <c r="AQ231" s="7" t="n">
        <v>-0.345</v>
      </c>
    </row>
    <row r="232" customFormat="false" ht="15" hidden="false" customHeight="false" outlineLevel="0" collapsed="false">
      <c r="A232" s="23" t="n">
        <v>46549</v>
      </c>
      <c r="B232" s="7" t="n">
        <v>-0.159</v>
      </c>
      <c r="C232" s="7" t="n">
        <v>0.041</v>
      </c>
      <c r="D232" s="7" t="n">
        <v>-0.372</v>
      </c>
      <c r="E232" s="7" t="n">
        <v>0.299</v>
      </c>
      <c r="F232" s="7" t="n">
        <v>-0.1</v>
      </c>
      <c r="G232" s="7" t="n">
        <v>-0.129</v>
      </c>
      <c r="H232" s="7" t="n">
        <v>-0.138</v>
      </c>
      <c r="I232" s="7" t="n">
        <v>-0.071</v>
      </c>
      <c r="J232" s="7" t="n">
        <v>-0.129</v>
      </c>
      <c r="K232" s="7" t="n">
        <v>0.195</v>
      </c>
      <c r="L232" s="7" t="n">
        <v>-0.206</v>
      </c>
      <c r="M232" s="7" t="n">
        <v>0.061</v>
      </c>
      <c r="N232" s="7" t="n">
        <v>-0.1</v>
      </c>
      <c r="O232" s="7" t="n">
        <v>-0.465</v>
      </c>
      <c r="P232" s="7" t="n">
        <v>-0.463</v>
      </c>
      <c r="Q232" s="7" t="n">
        <v>-0.377</v>
      </c>
      <c r="R232" s="7" t="n">
        <v>-0.261</v>
      </c>
      <c r="S232" s="7" t="n">
        <v>0.147</v>
      </c>
      <c r="T232" s="7" t="n">
        <v>-0.129</v>
      </c>
      <c r="U232" s="7" t="n">
        <v>-0.115</v>
      </c>
      <c r="V232" s="7" t="n">
        <v>-0.087</v>
      </c>
      <c r="W232" s="7" t="n">
        <v>-0.377</v>
      </c>
      <c r="X232" s="7" t="n">
        <v>-0.254</v>
      </c>
      <c r="Y232" s="7" t="n">
        <v>-0.251</v>
      </c>
      <c r="Z232" s="7" t="n">
        <v>0.326</v>
      </c>
      <c r="AA232" s="7" t="n">
        <v>-0.261</v>
      </c>
      <c r="AB232" s="7" t="n">
        <v>-0.129</v>
      </c>
      <c r="AC232" s="7" t="n">
        <v>-0.377</v>
      </c>
      <c r="AD232" s="7" t="n">
        <v>0.333</v>
      </c>
      <c r="AE232" s="7" t="n">
        <v>-0.1</v>
      </c>
      <c r="AF232" s="7" t="n">
        <v>-0.006</v>
      </c>
      <c r="AG232" s="7" t="n">
        <v>-0.129</v>
      </c>
      <c r="AH232" s="7" t="n">
        <v>0.642</v>
      </c>
      <c r="AI232" s="7" t="n">
        <v>-0.247</v>
      </c>
      <c r="AJ232" s="7" t="n">
        <v>0.031</v>
      </c>
      <c r="AK232" s="7" t="n">
        <v>0.019</v>
      </c>
      <c r="AL232" s="7" t="n">
        <v>-0.193</v>
      </c>
      <c r="AM232" s="7" t="n">
        <v>0</v>
      </c>
      <c r="AN232" s="7" t="n">
        <v>0</v>
      </c>
      <c r="AO232" s="7" t="n">
        <v>0.245</v>
      </c>
      <c r="AP232" s="7" t="n">
        <v>0.188</v>
      </c>
      <c r="AQ232" s="7" t="n">
        <v>-0.247</v>
      </c>
    </row>
    <row r="233" customFormat="false" ht="15" hidden="false" customHeight="false" outlineLevel="0" collapsed="false">
      <c r="A233" s="23" t="n">
        <v>46550</v>
      </c>
      <c r="B233" s="7" t="n">
        <v>-0.023</v>
      </c>
      <c r="C233" s="7" t="n">
        <v>0.206</v>
      </c>
      <c r="D233" s="7" t="n">
        <v>-0.394</v>
      </c>
      <c r="E233" s="7" t="n">
        <v>0.423</v>
      </c>
      <c r="F233" s="7" t="n">
        <v>0.071</v>
      </c>
      <c r="G233" s="7" t="n">
        <v>-0.155</v>
      </c>
      <c r="H233" s="7" t="n">
        <v>-0.11</v>
      </c>
      <c r="I233" s="7" t="n">
        <v>-0.067</v>
      </c>
      <c r="J233" s="7" t="n">
        <v>-0.155</v>
      </c>
      <c r="K233" s="7" t="n">
        <v>0.33</v>
      </c>
      <c r="L233" s="7" t="n">
        <v>-0.091</v>
      </c>
      <c r="M233" s="7" t="n">
        <v>0.066</v>
      </c>
      <c r="N233" s="7" t="n">
        <v>0.071</v>
      </c>
      <c r="O233" s="7" t="n">
        <v>-0.355</v>
      </c>
      <c r="P233" s="7" t="n">
        <v>-0.398</v>
      </c>
      <c r="Q233" s="7" t="n">
        <v>-0.298</v>
      </c>
      <c r="R233" s="7" t="n">
        <v>-0.247</v>
      </c>
      <c r="S233" s="7" t="n">
        <v>0.197</v>
      </c>
      <c r="T233" s="7" t="n">
        <v>-0.155</v>
      </c>
      <c r="U233" s="7" t="n">
        <v>0.086</v>
      </c>
      <c r="V233" s="7" t="n">
        <v>-0.087</v>
      </c>
      <c r="W233" s="7" t="n">
        <v>-0.298</v>
      </c>
      <c r="X233" s="7" t="n">
        <v>-0.279</v>
      </c>
      <c r="Y233" s="7" t="n">
        <v>-0.214</v>
      </c>
      <c r="Z233" s="7" t="n">
        <v>0.463</v>
      </c>
      <c r="AA233" s="7" t="n">
        <v>-0.247</v>
      </c>
      <c r="AB233" s="7" t="n">
        <v>-0.155</v>
      </c>
      <c r="AC233" s="7" t="n">
        <v>-0.298</v>
      </c>
      <c r="AD233" s="7" t="n">
        <v>0.437</v>
      </c>
      <c r="AE233" s="7" t="n">
        <v>0.071</v>
      </c>
      <c r="AF233" s="7" t="n">
        <v>0.165</v>
      </c>
      <c r="AG233" s="7" t="n">
        <v>-0.155</v>
      </c>
      <c r="AH233" s="7" t="n">
        <v>0.639</v>
      </c>
      <c r="AI233" s="7" t="n">
        <v>-0.149</v>
      </c>
      <c r="AJ233" s="7" t="n">
        <v>0.04</v>
      </c>
      <c r="AK233" s="7" t="n">
        <v>0.024</v>
      </c>
      <c r="AL233" s="7" t="n">
        <v>-0.093</v>
      </c>
      <c r="AM233" s="7" t="n">
        <v>0</v>
      </c>
      <c r="AN233" s="7" t="n">
        <v>0</v>
      </c>
      <c r="AO233" s="7" t="n">
        <v>0.274</v>
      </c>
      <c r="AP233" s="7" t="n">
        <v>0.218</v>
      </c>
      <c r="AQ233" s="7" t="n">
        <v>-0.149</v>
      </c>
    </row>
    <row r="234" customFormat="false" ht="15" hidden="false" customHeight="false" outlineLevel="0" collapsed="false">
      <c r="A234" s="23" t="n">
        <v>46551</v>
      </c>
      <c r="B234" s="7" t="n">
        <v>-0.023</v>
      </c>
      <c r="C234" s="7" t="n">
        <v>0.206</v>
      </c>
      <c r="D234" s="7" t="n">
        <v>-0.394</v>
      </c>
      <c r="E234" s="7" t="n">
        <v>0.423</v>
      </c>
      <c r="F234" s="7" t="n">
        <v>0.071</v>
      </c>
      <c r="G234" s="7" t="n">
        <v>-0.155</v>
      </c>
      <c r="H234" s="7" t="n">
        <v>-0.11</v>
      </c>
      <c r="I234" s="7" t="n">
        <v>-0.067</v>
      </c>
      <c r="J234" s="7" t="n">
        <v>-0.155</v>
      </c>
      <c r="K234" s="7" t="n">
        <v>0.33</v>
      </c>
      <c r="L234" s="7" t="n">
        <v>-0.091</v>
      </c>
      <c r="M234" s="7" t="n">
        <v>0.066</v>
      </c>
      <c r="N234" s="7" t="n">
        <v>0.071</v>
      </c>
      <c r="O234" s="7" t="n">
        <v>-0.355</v>
      </c>
      <c r="P234" s="7" t="n">
        <v>-0.398</v>
      </c>
      <c r="Q234" s="7" t="n">
        <v>-0.298</v>
      </c>
      <c r="R234" s="7" t="n">
        <v>-0.247</v>
      </c>
      <c r="S234" s="7" t="n">
        <v>0.197</v>
      </c>
      <c r="T234" s="7" t="n">
        <v>-0.155</v>
      </c>
      <c r="U234" s="7" t="n">
        <v>0.086</v>
      </c>
      <c r="V234" s="7" t="n">
        <v>-0.087</v>
      </c>
      <c r="W234" s="7" t="n">
        <v>-0.298</v>
      </c>
      <c r="X234" s="7" t="n">
        <v>-0.279</v>
      </c>
      <c r="Y234" s="7" t="n">
        <v>-0.214</v>
      </c>
      <c r="Z234" s="7" t="n">
        <v>0.463</v>
      </c>
      <c r="AA234" s="7" t="n">
        <v>-0.247</v>
      </c>
      <c r="AB234" s="7" t="n">
        <v>-0.155</v>
      </c>
      <c r="AC234" s="7" t="n">
        <v>-0.298</v>
      </c>
      <c r="AD234" s="7" t="n">
        <v>0.437</v>
      </c>
      <c r="AE234" s="7" t="n">
        <v>0.071</v>
      </c>
      <c r="AF234" s="7" t="n">
        <v>0.165</v>
      </c>
      <c r="AG234" s="7" t="n">
        <v>-0.155</v>
      </c>
      <c r="AH234" s="7" t="n">
        <v>0.639</v>
      </c>
      <c r="AI234" s="7" t="n">
        <v>-0.149</v>
      </c>
      <c r="AJ234" s="7" t="n">
        <v>0.04</v>
      </c>
      <c r="AK234" s="7" t="n">
        <v>0.024</v>
      </c>
      <c r="AL234" s="7" t="n">
        <v>-0.093</v>
      </c>
      <c r="AM234" s="7" t="n">
        <v>0</v>
      </c>
      <c r="AN234" s="7" t="n">
        <v>0</v>
      </c>
      <c r="AO234" s="7" t="n">
        <v>0.274</v>
      </c>
      <c r="AP234" s="7" t="n">
        <v>0.218</v>
      </c>
      <c r="AQ234" s="7" t="n">
        <v>-0.149</v>
      </c>
    </row>
    <row r="235" customFormat="false" ht="15" hidden="false" customHeight="false" outlineLevel="0" collapsed="false">
      <c r="A235" s="23" t="n">
        <v>46552</v>
      </c>
      <c r="B235" s="7" t="n">
        <v>-0.023</v>
      </c>
      <c r="C235" s="7" t="n">
        <v>0.206</v>
      </c>
      <c r="D235" s="7" t="n">
        <v>-0.394</v>
      </c>
      <c r="E235" s="7" t="n">
        <v>0.423</v>
      </c>
      <c r="F235" s="7" t="n">
        <v>0.071</v>
      </c>
      <c r="G235" s="7" t="n">
        <v>-0.155</v>
      </c>
      <c r="H235" s="7" t="n">
        <v>-0.11</v>
      </c>
      <c r="I235" s="7" t="n">
        <v>-0.067</v>
      </c>
      <c r="J235" s="7" t="n">
        <v>-0.155</v>
      </c>
      <c r="K235" s="7" t="n">
        <v>0.33</v>
      </c>
      <c r="L235" s="7" t="n">
        <v>-0.091</v>
      </c>
      <c r="M235" s="7" t="n">
        <v>0.066</v>
      </c>
      <c r="N235" s="7" t="n">
        <v>0.071</v>
      </c>
      <c r="O235" s="7" t="n">
        <v>-0.355</v>
      </c>
      <c r="P235" s="7" t="n">
        <v>-0.398</v>
      </c>
      <c r="Q235" s="7" t="n">
        <v>-0.298</v>
      </c>
      <c r="R235" s="7" t="n">
        <v>-0.247</v>
      </c>
      <c r="S235" s="7" t="n">
        <v>0.197</v>
      </c>
      <c r="T235" s="7" t="n">
        <v>-0.155</v>
      </c>
      <c r="U235" s="7" t="n">
        <v>0.086</v>
      </c>
      <c r="V235" s="7" t="n">
        <v>-0.087</v>
      </c>
      <c r="W235" s="7" t="n">
        <v>-0.298</v>
      </c>
      <c r="X235" s="7" t="n">
        <v>-0.279</v>
      </c>
      <c r="Y235" s="7" t="n">
        <v>-0.214</v>
      </c>
      <c r="Z235" s="7" t="n">
        <v>0.463</v>
      </c>
      <c r="AA235" s="7" t="n">
        <v>-0.247</v>
      </c>
      <c r="AB235" s="7" t="n">
        <v>-0.155</v>
      </c>
      <c r="AC235" s="7" t="n">
        <v>-0.298</v>
      </c>
      <c r="AD235" s="7" t="n">
        <v>0.437</v>
      </c>
      <c r="AE235" s="7" t="n">
        <v>0.071</v>
      </c>
      <c r="AF235" s="7" t="n">
        <v>0.165</v>
      </c>
      <c r="AG235" s="7" t="n">
        <v>-0.155</v>
      </c>
      <c r="AH235" s="7" t="n">
        <v>0.639</v>
      </c>
      <c r="AI235" s="7" t="n">
        <v>-0.149</v>
      </c>
      <c r="AJ235" s="7" t="n">
        <v>0.04</v>
      </c>
      <c r="AK235" s="7" t="n">
        <v>0.024</v>
      </c>
      <c r="AL235" s="7" t="n">
        <v>-0.093</v>
      </c>
      <c r="AM235" s="7" t="n">
        <v>0</v>
      </c>
      <c r="AN235" s="7" t="n">
        <v>0</v>
      </c>
      <c r="AO235" s="7" t="n">
        <v>0.274</v>
      </c>
      <c r="AP235" s="7" t="n">
        <v>0.218</v>
      </c>
      <c r="AQ235" s="7" t="n">
        <v>-0.149</v>
      </c>
    </row>
    <row r="236" customFormat="false" ht="15" hidden="false" customHeight="false" outlineLevel="0" collapsed="false">
      <c r="A236" s="23" t="n">
        <v>46553</v>
      </c>
      <c r="B236" s="7" t="n">
        <v>0.144</v>
      </c>
      <c r="C236" s="7" t="n">
        <v>0.393</v>
      </c>
      <c r="D236" s="7" t="n">
        <v>-0.392</v>
      </c>
      <c r="E236" s="7" t="n">
        <v>0.575</v>
      </c>
      <c r="F236" s="7" t="n">
        <v>0.263</v>
      </c>
      <c r="G236" s="7" t="n">
        <v>-0.155</v>
      </c>
      <c r="H236" s="7" t="n">
        <v>-0.086</v>
      </c>
      <c r="I236" s="7" t="n">
        <v>-0.044</v>
      </c>
      <c r="J236" s="7" t="n">
        <v>-0.155</v>
      </c>
      <c r="K236" s="7" t="n">
        <v>0.492</v>
      </c>
      <c r="L236" s="7" t="n">
        <v>0.041</v>
      </c>
      <c r="M236" s="7" t="n">
        <v>0.098</v>
      </c>
      <c r="N236" s="7" t="n">
        <v>0.263</v>
      </c>
      <c r="O236" s="7" t="n">
        <v>-0.234</v>
      </c>
      <c r="P236" s="7" t="n">
        <v>-0.318</v>
      </c>
      <c r="Q236" s="7" t="n">
        <v>-0.205</v>
      </c>
      <c r="R236" s="7" t="n">
        <v>-0.229</v>
      </c>
      <c r="S236" s="7" t="n">
        <v>0.28</v>
      </c>
      <c r="T236" s="7" t="n">
        <v>-0.155</v>
      </c>
      <c r="U236" s="7" t="n">
        <v>0.29</v>
      </c>
      <c r="V236" s="7" t="n">
        <v>-0.067</v>
      </c>
      <c r="W236" s="7" t="n">
        <v>-0.205</v>
      </c>
      <c r="X236" s="7" t="n">
        <v>-0.278</v>
      </c>
      <c r="Y236" s="7" t="n">
        <v>-0.173</v>
      </c>
      <c r="Z236" s="7" t="n">
        <v>0.626</v>
      </c>
      <c r="AA236" s="7" t="n">
        <v>-0.229</v>
      </c>
      <c r="AB236" s="7" t="n">
        <v>-0.155</v>
      </c>
      <c r="AC236" s="7" t="n">
        <v>-0.205</v>
      </c>
      <c r="AD236" s="7" t="n">
        <v>0.537</v>
      </c>
      <c r="AE236" s="7" t="n">
        <v>0.263</v>
      </c>
      <c r="AF236" s="7" t="n">
        <v>0.358</v>
      </c>
      <c r="AG236" s="7" t="n">
        <v>-0.155</v>
      </c>
      <c r="AH236" s="7" t="n">
        <v>0.636</v>
      </c>
      <c r="AI236" s="7" t="n">
        <v>-0.053</v>
      </c>
      <c r="AJ236" s="7" t="n">
        <v>0.047</v>
      </c>
      <c r="AK236" s="7" t="n">
        <v>0.028</v>
      </c>
      <c r="AL236" s="7" t="n">
        <v>0.005</v>
      </c>
      <c r="AM236" s="7" t="n">
        <v>0</v>
      </c>
      <c r="AN236" s="7" t="n">
        <v>0</v>
      </c>
      <c r="AO236" s="7" t="n">
        <v>0.304</v>
      </c>
      <c r="AP236" s="7" t="n">
        <v>0.248</v>
      </c>
      <c r="AQ236" s="7" t="n">
        <v>-0.053</v>
      </c>
    </row>
    <row r="237" customFormat="false" ht="15" hidden="false" customHeight="false" outlineLevel="0" collapsed="false">
      <c r="A237" s="23" t="n">
        <v>46554</v>
      </c>
      <c r="B237" s="7" t="n">
        <v>0.31</v>
      </c>
      <c r="C237" s="7" t="n">
        <v>0.579</v>
      </c>
      <c r="D237" s="7" t="n">
        <v>-0.39</v>
      </c>
      <c r="E237" s="7" t="n">
        <v>0.727</v>
      </c>
      <c r="F237" s="7" t="n">
        <v>0.454</v>
      </c>
      <c r="G237" s="7" t="n">
        <v>-0.155</v>
      </c>
      <c r="H237" s="7" t="n">
        <v>-0.069</v>
      </c>
      <c r="I237" s="7" t="n">
        <v>-0.023</v>
      </c>
      <c r="J237" s="7" t="n">
        <v>-0.155</v>
      </c>
      <c r="K237" s="7" t="n">
        <v>0.653</v>
      </c>
      <c r="L237" s="7" t="n">
        <v>0.171</v>
      </c>
      <c r="M237" s="7" t="n">
        <v>0.13</v>
      </c>
      <c r="N237" s="7" t="n">
        <v>0.454</v>
      </c>
      <c r="O237" s="7" t="n">
        <v>-0.114</v>
      </c>
      <c r="P237" s="7" t="n">
        <v>-0.237</v>
      </c>
      <c r="Q237" s="7" t="n">
        <v>-0.114</v>
      </c>
      <c r="R237" s="7" t="n">
        <v>-0.215</v>
      </c>
      <c r="S237" s="7" t="n">
        <v>0.365</v>
      </c>
      <c r="T237" s="7" t="n">
        <v>-0.155</v>
      </c>
      <c r="U237" s="7" t="n">
        <v>0.49</v>
      </c>
      <c r="V237" s="7" t="n">
        <v>-0.05</v>
      </c>
      <c r="W237" s="7" t="n">
        <v>-0.114</v>
      </c>
      <c r="X237" s="7" t="n">
        <v>-0.277</v>
      </c>
      <c r="Y237" s="7" t="n">
        <v>-0.135</v>
      </c>
      <c r="Z237" s="7" t="n">
        <v>0.789</v>
      </c>
      <c r="AA237" s="7" t="n">
        <v>-0.215</v>
      </c>
      <c r="AB237" s="7" t="n">
        <v>-0.155</v>
      </c>
      <c r="AC237" s="7" t="n">
        <v>-0.114</v>
      </c>
      <c r="AD237" s="7" t="n">
        <v>0.632</v>
      </c>
      <c r="AE237" s="7" t="n">
        <v>0.454</v>
      </c>
      <c r="AF237" s="7" t="n">
        <v>0.55</v>
      </c>
      <c r="AG237" s="7" t="n">
        <v>-0.155</v>
      </c>
      <c r="AH237" s="7" t="n">
        <v>0.633</v>
      </c>
      <c r="AI237" s="7" t="n">
        <v>0.042</v>
      </c>
      <c r="AJ237" s="7" t="n">
        <v>0.054</v>
      </c>
      <c r="AK237" s="7" t="n">
        <v>0.033</v>
      </c>
      <c r="AL237" s="7" t="n">
        <v>0.102</v>
      </c>
      <c r="AM237" s="7" t="n">
        <v>0</v>
      </c>
      <c r="AN237" s="7" t="n">
        <v>0</v>
      </c>
      <c r="AO237" s="7" t="n">
        <v>0.334</v>
      </c>
      <c r="AP237" s="7" t="n">
        <v>0.279</v>
      </c>
      <c r="AQ237" s="7" t="n">
        <v>0.042</v>
      </c>
    </row>
    <row r="238" customFormat="false" ht="15" hidden="false" customHeight="false" outlineLevel="0" collapsed="false">
      <c r="A238" s="23" t="n">
        <v>46555</v>
      </c>
      <c r="B238" s="7" t="n">
        <v>0.322</v>
      </c>
      <c r="C238" s="7" t="n">
        <v>0.586</v>
      </c>
      <c r="D238" s="7" t="n">
        <v>-0.343</v>
      </c>
      <c r="E238" s="7" t="n">
        <v>0.731</v>
      </c>
      <c r="F238" s="7" t="n">
        <v>0.464</v>
      </c>
      <c r="G238" s="7" t="n">
        <v>-0.155</v>
      </c>
      <c r="H238" s="7" t="n">
        <v>-0.073</v>
      </c>
      <c r="I238" s="7" t="n">
        <v>-0.044</v>
      </c>
      <c r="J238" s="7" t="n">
        <v>-0.155</v>
      </c>
      <c r="K238" s="7" t="n">
        <v>0.653</v>
      </c>
      <c r="L238" s="7" t="n">
        <v>0.174</v>
      </c>
      <c r="M238" s="7" t="n">
        <v>0.133</v>
      </c>
      <c r="N238" s="7" t="n">
        <v>0.464</v>
      </c>
      <c r="O238" s="7" t="n">
        <v>-0.114</v>
      </c>
      <c r="P238" s="7" t="n">
        <v>-0.212</v>
      </c>
      <c r="Q238" s="7" t="n">
        <v>-0.114</v>
      </c>
      <c r="R238" s="7" t="n">
        <v>-0.217</v>
      </c>
      <c r="S238" s="7" t="n">
        <v>0.382</v>
      </c>
      <c r="T238" s="7" t="n">
        <v>-0.155</v>
      </c>
      <c r="U238" s="7" t="n">
        <v>0.497</v>
      </c>
      <c r="V238" s="7" t="n">
        <v>-0.07</v>
      </c>
      <c r="W238" s="7" t="n">
        <v>-0.114</v>
      </c>
      <c r="X238" s="7" t="n">
        <v>-0.252</v>
      </c>
      <c r="Y238" s="7" t="n">
        <v>-0.138</v>
      </c>
      <c r="Z238" s="7" t="n">
        <v>0.79</v>
      </c>
      <c r="AA238" s="7" t="n">
        <v>-0.217</v>
      </c>
      <c r="AB238" s="7" t="n">
        <v>-0.155</v>
      </c>
      <c r="AC238" s="7" t="n">
        <v>-0.114</v>
      </c>
      <c r="AD238" s="7" t="n">
        <v>0.634</v>
      </c>
      <c r="AE238" s="7" t="n">
        <v>0.464</v>
      </c>
      <c r="AF238" s="7" t="n">
        <v>0.558</v>
      </c>
      <c r="AG238" s="7" t="n">
        <v>-0.155</v>
      </c>
      <c r="AH238" s="7" t="n">
        <v>0.63</v>
      </c>
      <c r="AI238" s="7" t="n">
        <v>0.042</v>
      </c>
      <c r="AJ238" s="7" t="n">
        <v>0.053</v>
      </c>
      <c r="AK238" s="7" t="n">
        <v>0.032</v>
      </c>
      <c r="AL238" s="7" t="n">
        <v>0.102</v>
      </c>
      <c r="AM238" s="7" t="n">
        <v>0</v>
      </c>
      <c r="AN238" s="7" t="n">
        <v>0</v>
      </c>
      <c r="AO238" s="7" t="n">
        <v>0.336</v>
      </c>
      <c r="AP238" s="7" t="n">
        <v>0.282</v>
      </c>
      <c r="AQ238" s="7" t="n">
        <v>0.042</v>
      </c>
    </row>
    <row r="239" customFormat="false" ht="15" hidden="false" customHeight="false" outlineLevel="0" collapsed="false">
      <c r="A239" s="23" t="n">
        <v>46556</v>
      </c>
      <c r="B239" s="7" t="n">
        <v>0.338</v>
      </c>
      <c r="C239" s="7" t="n">
        <v>0.592</v>
      </c>
      <c r="D239" s="7" t="n">
        <v>-0.295</v>
      </c>
      <c r="E239" s="7" t="n">
        <v>0.734</v>
      </c>
      <c r="F239" s="7" t="n">
        <v>0.472</v>
      </c>
      <c r="G239" s="7" t="n">
        <v>-0.155</v>
      </c>
      <c r="H239" s="7" t="n">
        <v>-0.082</v>
      </c>
      <c r="I239" s="7" t="n">
        <v>-0.031</v>
      </c>
      <c r="J239" s="7" t="n">
        <v>-0.155</v>
      </c>
      <c r="K239" s="7" t="n">
        <v>0.653</v>
      </c>
      <c r="L239" s="7" t="n">
        <v>0.178</v>
      </c>
      <c r="M239" s="7" t="n">
        <v>0.137</v>
      </c>
      <c r="N239" s="7" t="n">
        <v>0.472</v>
      </c>
      <c r="O239" s="7" t="n">
        <v>-0.114</v>
      </c>
      <c r="P239" s="7" t="n">
        <v>-0.187</v>
      </c>
      <c r="Q239" s="7" t="n">
        <v>-0.114</v>
      </c>
      <c r="R239" s="7" t="n">
        <v>-0.223</v>
      </c>
      <c r="S239" s="7" t="n">
        <v>0.396</v>
      </c>
      <c r="T239" s="7" t="n">
        <v>-0.155</v>
      </c>
      <c r="U239" s="7" t="n">
        <v>0.499</v>
      </c>
      <c r="V239" s="7" t="n">
        <v>-0.056</v>
      </c>
      <c r="W239" s="7" t="n">
        <v>-0.114</v>
      </c>
      <c r="X239" s="7" t="n">
        <v>-0.228</v>
      </c>
      <c r="Y239" s="7" t="n">
        <v>-0.144</v>
      </c>
      <c r="Z239" s="7" t="n">
        <v>0.791</v>
      </c>
      <c r="AA239" s="7" t="n">
        <v>-0.223</v>
      </c>
      <c r="AB239" s="7" t="n">
        <v>-0.155</v>
      </c>
      <c r="AC239" s="7" t="n">
        <v>-0.114</v>
      </c>
      <c r="AD239" s="7" t="n">
        <v>0.632</v>
      </c>
      <c r="AE239" s="7" t="n">
        <v>0.472</v>
      </c>
      <c r="AF239" s="7" t="n">
        <v>0.563</v>
      </c>
      <c r="AG239" s="7" t="n">
        <v>-0.155</v>
      </c>
      <c r="AH239" s="7" t="n">
        <v>0.628</v>
      </c>
      <c r="AI239" s="7" t="n">
        <v>0.042</v>
      </c>
      <c r="AJ239" s="7" t="n">
        <v>0.051</v>
      </c>
      <c r="AK239" s="7" t="n">
        <v>0.031</v>
      </c>
      <c r="AL239" s="7" t="n">
        <v>0.102</v>
      </c>
      <c r="AM239" s="7" t="n">
        <v>0</v>
      </c>
      <c r="AN239" s="7" t="n">
        <v>0</v>
      </c>
      <c r="AO239" s="7" t="n">
        <v>0.34</v>
      </c>
      <c r="AP239" s="7" t="n">
        <v>0.286</v>
      </c>
      <c r="AQ239" s="7" t="n">
        <v>0.042</v>
      </c>
    </row>
    <row r="240" customFormat="false" ht="15" hidden="false" customHeight="false" outlineLevel="0" collapsed="false">
      <c r="A240" s="23" t="n">
        <v>46557</v>
      </c>
      <c r="B240" s="7" t="n">
        <v>0.349</v>
      </c>
      <c r="C240" s="7" t="n">
        <v>0.596</v>
      </c>
      <c r="D240" s="7" t="n">
        <v>-0.248</v>
      </c>
      <c r="E240" s="7" t="n">
        <v>0.736</v>
      </c>
      <c r="F240" s="7" t="n">
        <v>0.478</v>
      </c>
      <c r="G240" s="7" t="n">
        <v>-0.155</v>
      </c>
      <c r="H240" s="7" t="n">
        <v>-0.11</v>
      </c>
      <c r="I240" s="7" t="n">
        <v>-0.023</v>
      </c>
      <c r="J240" s="7" t="n">
        <v>-0.155</v>
      </c>
      <c r="K240" s="7" t="n">
        <v>0.653</v>
      </c>
      <c r="L240" s="7" t="n">
        <v>0.183</v>
      </c>
      <c r="M240" s="7" t="n">
        <v>0.142</v>
      </c>
      <c r="N240" s="7" t="n">
        <v>0.478</v>
      </c>
      <c r="O240" s="7" t="n">
        <v>-0.114</v>
      </c>
      <c r="P240" s="7" t="n">
        <v>-0.162</v>
      </c>
      <c r="Q240" s="7" t="n">
        <v>-0.114</v>
      </c>
      <c r="R240" s="7" t="n">
        <v>-0.243</v>
      </c>
      <c r="S240" s="7" t="n">
        <v>0.409</v>
      </c>
      <c r="T240" s="7" t="n">
        <v>-0.155</v>
      </c>
      <c r="U240" s="7" t="n">
        <v>0.489</v>
      </c>
      <c r="V240" s="7" t="n">
        <v>-0.047</v>
      </c>
      <c r="W240" s="7" t="n">
        <v>-0.114</v>
      </c>
      <c r="X240" s="7" t="n">
        <v>-0.203</v>
      </c>
      <c r="Y240" s="7" t="n">
        <v>-0.162</v>
      </c>
      <c r="Z240" s="7" t="n">
        <v>0.793</v>
      </c>
      <c r="AA240" s="7" t="n">
        <v>-0.243</v>
      </c>
      <c r="AB240" s="7" t="n">
        <v>-0.155</v>
      </c>
      <c r="AC240" s="7" t="n">
        <v>-0.114</v>
      </c>
      <c r="AD240" s="7" t="n">
        <v>0.617</v>
      </c>
      <c r="AE240" s="7" t="n">
        <v>0.478</v>
      </c>
      <c r="AF240" s="7" t="n">
        <v>0.565</v>
      </c>
      <c r="AG240" s="7" t="n">
        <v>-0.155</v>
      </c>
      <c r="AH240" s="7" t="n">
        <v>0.625</v>
      </c>
      <c r="AI240" s="7" t="n">
        <v>0.042</v>
      </c>
      <c r="AJ240" s="7" t="n">
        <v>0.049</v>
      </c>
      <c r="AK240" s="7" t="n">
        <v>0.03</v>
      </c>
      <c r="AL240" s="7" t="n">
        <v>0.102</v>
      </c>
      <c r="AM240" s="7" t="n">
        <v>0</v>
      </c>
      <c r="AN240" s="7" t="n">
        <v>0</v>
      </c>
      <c r="AO240" s="7" t="n">
        <v>0.344</v>
      </c>
      <c r="AP240" s="7" t="n">
        <v>0.29</v>
      </c>
      <c r="AQ240" s="7" t="n">
        <v>0.042</v>
      </c>
    </row>
    <row r="241" customFormat="false" ht="15" hidden="false" customHeight="false" outlineLevel="0" collapsed="false">
      <c r="A241" s="23" t="n">
        <v>46558</v>
      </c>
      <c r="B241" s="7" t="n">
        <v>0.349</v>
      </c>
      <c r="C241" s="7" t="n">
        <v>0.596</v>
      </c>
      <c r="D241" s="7" t="n">
        <v>-0.248</v>
      </c>
      <c r="E241" s="7" t="n">
        <v>0.736</v>
      </c>
      <c r="F241" s="7" t="n">
        <v>0.478</v>
      </c>
      <c r="G241" s="7" t="n">
        <v>-0.155</v>
      </c>
      <c r="H241" s="7" t="n">
        <v>-0.11</v>
      </c>
      <c r="I241" s="7" t="n">
        <v>-0.023</v>
      </c>
      <c r="J241" s="7" t="n">
        <v>-0.155</v>
      </c>
      <c r="K241" s="7" t="n">
        <v>0.653</v>
      </c>
      <c r="L241" s="7" t="n">
        <v>0.183</v>
      </c>
      <c r="M241" s="7" t="n">
        <v>0.142</v>
      </c>
      <c r="N241" s="7" t="n">
        <v>0.478</v>
      </c>
      <c r="O241" s="7" t="n">
        <v>-0.114</v>
      </c>
      <c r="P241" s="7" t="n">
        <v>-0.162</v>
      </c>
      <c r="Q241" s="7" t="n">
        <v>-0.114</v>
      </c>
      <c r="R241" s="7" t="n">
        <v>-0.243</v>
      </c>
      <c r="S241" s="7" t="n">
        <v>0.409</v>
      </c>
      <c r="T241" s="7" t="n">
        <v>-0.155</v>
      </c>
      <c r="U241" s="7" t="n">
        <v>0.489</v>
      </c>
      <c r="V241" s="7" t="n">
        <v>-0.047</v>
      </c>
      <c r="W241" s="7" t="n">
        <v>-0.114</v>
      </c>
      <c r="X241" s="7" t="n">
        <v>-0.203</v>
      </c>
      <c r="Y241" s="7" t="n">
        <v>-0.162</v>
      </c>
      <c r="Z241" s="7" t="n">
        <v>0.793</v>
      </c>
      <c r="AA241" s="7" t="n">
        <v>-0.243</v>
      </c>
      <c r="AB241" s="7" t="n">
        <v>-0.155</v>
      </c>
      <c r="AC241" s="7" t="n">
        <v>-0.114</v>
      </c>
      <c r="AD241" s="7" t="n">
        <v>0.617</v>
      </c>
      <c r="AE241" s="7" t="n">
        <v>0.478</v>
      </c>
      <c r="AF241" s="7" t="n">
        <v>0.565</v>
      </c>
      <c r="AG241" s="7" t="n">
        <v>-0.155</v>
      </c>
      <c r="AH241" s="7" t="n">
        <v>0.625</v>
      </c>
      <c r="AI241" s="7" t="n">
        <v>0.042</v>
      </c>
      <c r="AJ241" s="7" t="n">
        <v>0.049</v>
      </c>
      <c r="AK241" s="7" t="n">
        <v>0.03</v>
      </c>
      <c r="AL241" s="7" t="n">
        <v>0.102</v>
      </c>
      <c r="AM241" s="7" t="n">
        <v>0</v>
      </c>
      <c r="AN241" s="7" t="n">
        <v>0</v>
      </c>
      <c r="AO241" s="7" t="n">
        <v>0.344</v>
      </c>
      <c r="AP241" s="7" t="n">
        <v>0.29</v>
      </c>
      <c r="AQ241" s="7" t="n">
        <v>0.042</v>
      </c>
    </row>
    <row r="242" customFormat="false" ht="15" hidden="false" customHeight="false" outlineLevel="0" collapsed="false">
      <c r="A242" s="23" t="n">
        <v>46559</v>
      </c>
      <c r="B242" s="7" t="n">
        <v>0.349</v>
      </c>
      <c r="C242" s="7" t="n">
        <v>0.596</v>
      </c>
      <c r="D242" s="7" t="n">
        <v>-0.248</v>
      </c>
      <c r="E242" s="7" t="n">
        <v>0.736</v>
      </c>
      <c r="F242" s="7" t="n">
        <v>0.478</v>
      </c>
      <c r="G242" s="7" t="n">
        <v>-0.155</v>
      </c>
      <c r="H242" s="7" t="n">
        <v>-0.11</v>
      </c>
      <c r="I242" s="7" t="n">
        <v>-0.023</v>
      </c>
      <c r="J242" s="7" t="n">
        <v>-0.155</v>
      </c>
      <c r="K242" s="7" t="n">
        <v>0.653</v>
      </c>
      <c r="L242" s="7" t="n">
        <v>0.183</v>
      </c>
      <c r="M242" s="7" t="n">
        <v>0.142</v>
      </c>
      <c r="N242" s="7" t="n">
        <v>0.478</v>
      </c>
      <c r="O242" s="7" t="n">
        <v>-0.114</v>
      </c>
      <c r="P242" s="7" t="n">
        <v>-0.162</v>
      </c>
      <c r="Q242" s="7" t="n">
        <v>-0.114</v>
      </c>
      <c r="R242" s="7" t="n">
        <v>-0.243</v>
      </c>
      <c r="S242" s="7" t="n">
        <v>0.409</v>
      </c>
      <c r="T242" s="7" t="n">
        <v>-0.155</v>
      </c>
      <c r="U242" s="7" t="n">
        <v>0.489</v>
      </c>
      <c r="V242" s="7" t="n">
        <v>-0.047</v>
      </c>
      <c r="W242" s="7" t="n">
        <v>-0.114</v>
      </c>
      <c r="X242" s="7" t="n">
        <v>-0.203</v>
      </c>
      <c r="Y242" s="7" t="n">
        <v>-0.162</v>
      </c>
      <c r="Z242" s="7" t="n">
        <v>0.793</v>
      </c>
      <c r="AA242" s="7" t="n">
        <v>-0.243</v>
      </c>
      <c r="AB242" s="7" t="n">
        <v>-0.155</v>
      </c>
      <c r="AC242" s="7" t="n">
        <v>-0.114</v>
      </c>
      <c r="AD242" s="7" t="n">
        <v>0.617</v>
      </c>
      <c r="AE242" s="7" t="n">
        <v>0.478</v>
      </c>
      <c r="AF242" s="7" t="n">
        <v>0.565</v>
      </c>
      <c r="AG242" s="7" t="n">
        <v>-0.155</v>
      </c>
      <c r="AH242" s="7" t="n">
        <v>0.625</v>
      </c>
      <c r="AI242" s="7" t="n">
        <v>0.042</v>
      </c>
      <c r="AJ242" s="7" t="n">
        <v>0.049</v>
      </c>
      <c r="AK242" s="7" t="n">
        <v>0.03</v>
      </c>
      <c r="AL242" s="7" t="n">
        <v>0.102</v>
      </c>
      <c r="AM242" s="7" t="n">
        <v>0</v>
      </c>
      <c r="AN242" s="7" t="n">
        <v>0</v>
      </c>
      <c r="AO242" s="7" t="n">
        <v>0.344</v>
      </c>
      <c r="AP242" s="7" t="n">
        <v>0.29</v>
      </c>
      <c r="AQ242" s="7" t="n">
        <v>0.042</v>
      </c>
    </row>
    <row r="243" customFormat="false" ht="15" hidden="false" customHeight="false" outlineLevel="0" collapsed="false">
      <c r="A243" s="23" t="n">
        <v>46560</v>
      </c>
      <c r="B243" s="7" t="n">
        <v>0.396</v>
      </c>
      <c r="C243" s="7" t="n">
        <v>0.581</v>
      </c>
      <c r="D243" s="7" t="n">
        <v>-0.201</v>
      </c>
      <c r="E243" s="7" t="n">
        <v>0.723</v>
      </c>
      <c r="F243" s="7" t="n">
        <v>0.503</v>
      </c>
      <c r="G243" s="7" t="n">
        <v>-0.155</v>
      </c>
      <c r="H243" s="7" t="n">
        <v>-0.077</v>
      </c>
      <c r="I243" s="7" t="n">
        <v>0.03</v>
      </c>
      <c r="J243" s="7" t="n">
        <v>-0.155</v>
      </c>
      <c r="K243" s="7" t="n">
        <v>0.653</v>
      </c>
      <c r="L243" s="7" t="n">
        <v>0.166</v>
      </c>
      <c r="M243" s="7" t="n">
        <v>0.125</v>
      </c>
      <c r="N243" s="7" t="n">
        <v>0.503</v>
      </c>
      <c r="O243" s="7" t="n">
        <v>-0.114</v>
      </c>
      <c r="P243" s="7" t="n">
        <v>-0.138</v>
      </c>
      <c r="Q243" s="7" t="n">
        <v>-0.114</v>
      </c>
      <c r="R243" s="7" t="n">
        <v>-0.193</v>
      </c>
      <c r="S243" s="7" t="n">
        <v>0.435</v>
      </c>
      <c r="T243" s="7" t="n">
        <v>-0.155</v>
      </c>
      <c r="U243" s="7" t="n">
        <v>0.505</v>
      </c>
      <c r="V243" s="7" t="n">
        <v>0.007</v>
      </c>
      <c r="W243" s="7" t="n">
        <v>-0.114</v>
      </c>
      <c r="X243" s="7" t="n">
        <v>-0.179</v>
      </c>
      <c r="Y243" s="7" t="n">
        <v>-0.104</v>
      </c>
      <c r="Z243" s="7" t="n">
        <v>0.786</v>
      </c>
      <c r="AA243" s="7" t="n">
        <v>-0.193</v>
      </c>
      <c r="AB243" s="7" t="n">
        <v>-0.155</v>
      </c>
      <c r="AC243" s="7" t="n">
        <v>-0.114</v>
      </c>
      <c r="AD243" s="7" t="n">
        <v>0.609</v>
      </c>
      <c r="AE243" s="7" t="n">
        <v>0.503</v>
      </c>
      <c r="AF243" s="7" t="n">
        <v>0.56</v>
      </c>
      <c r="AG243" s="7" t="n">
        <v>-0.155</v>
      </c>
      <c r="AH243" s="7" t="n">
        <v>0.627</v>
      </c>
      <c r="AI243" s="7" t="n">
        <v>0.042</v>
      </c>
      <c r="AJ243" s="7" t="n">
        <v>0.048</v>
      </c>
      <c r="AK243" s="7" t="n">
        <v>0.029</v>
      </c>
      <c r="AL243" s="7" t="n">
        <v>0.134</v>
      </c>
      <c r="AM243" s="7" t="n">
        <v>0</v>
      </c>
      <c r="AN243" s="7" t="n">
        <v>0</v>
      </c>
      <c r="AO243" s="7" t="n">
        <v>0.358</v>
      </c>
      <c r="AP243" s="7" t="n">
        <v>0.274</v>
      </c>
      <c r="AQ243" s="7" t="n">
        <v>0.042</v>
      </c>
    </row>
    <row r="244" customFormat="false" ht="15" hidden="false" customHeight="false" outlineLevel="0" collapsed="false">
      <c r="A244" s="23" t="n">
        <v>46561</v>
      </c>
      <c r="B244" s="7" t="n">
        <v>0.471</v>
      </c>
      <c r="C244" s="7" t="n">
        <v>0.616</v>
      </c>
      <c r="D244" s="7" t="n">
        <v>-0.155</v>
      </c>
      <c r="E244" s="7" t="n">
        <v>0.735</v>
      </c>
      <c r="F244" s="7" t="n">
        <v>0.571</v>
      </c>
      <c r="G244" s="7" t="n">
        <v>-0.155</v>
      </c>
      <c r="H244" s="7" t="n">
        <v>-0.042</v>
      </c>
      <c r="I244" s="7" t="n">
        <v>0.039</v>
      </c>
      <c r="J244" s="7" t="n">
        <v>-0.155</v>
      </c>
      <c r="K244" s="7" t="n">
        <v>0.653</v>
      </c>
      <c r="L244" s="7" t="n">
        <v>0.183</v>
      </c>
      <c r="M244" s="7" t="n">
        <v>0.15</v>
      </c>
      <c r="N244" s="7" t="n">
        <v>0.571</v>
      </c>
      <c r="O244" s="7" t="n">
        <v>-0.122</v>
      </c>
      <c r="P244" s="7" t="n">
        <v>-0.122</v>
      </c>
      <c r="Q244" s="7" t="n">
        <v>-0.122</v>
      </c>
      <c r="R244" s="7" t="n">
        <v>-0.142</v>
      </c>
      <c r="S244" s="7" t="n">
        <v>0.514</v>
      </c>
      <c r="T244" s="7" t="n">
        <v>-0.155</v>
      </c>
      <c r="U244" s="7" t="n">
        <v>0.551</v>
      </c>
      <c r="V244" s="7" t="n">
        <v>0.02</v>
      </c>
      <c r="W244" s="7" t="n">
        <v>-0.122</v>
      </c>
      <c r="X244" s="7" t="n">
        <v>-0.155</v>
      </c>
      <c r="Y244" s="7" t="n">
        <v>-0.083</v>
      </c>
      <c r="Z244" s="7" t="n">
        <v>0.795</v>
      </c>
      <c r="AA244" s="7" t="n">
        <v>-0.142</v>
      </c>
      <c r="AB244" s="7" t="n">
        <v>-0.155</v>
      </c>
      <c r="AC244" s="7" t="n">
        <v>-0.122</v>
      </c>
      <c r="AD244" s="7" t="n">
        <v>0.63</v>
      </c>
      <c r="AE244" s="7" t="n">
        <v>0.571</v>
      </c>
      <c r="AF244" s="7" t="n">
        <v>0.577</v>
      </c>
      <c r="AG244" s="7" t="n">
        <v>-0.155</v>
      </c>
      <c r="AH244" s="7" t="n">
        <v>0.629</v>
      </c>
      <c r="AI244" s="7" t="n">
        <v>0.034</v>
      </c>
      <c r="AJ244" s="7" t="n">
        <v>0.038</v>
      </c>
      <c r="AK244" s="7" t="n">
        <v>0.023</v>
      </c>
      <c r="AL244" s="7" t="n">
        <v>0.158</v>
      </c>
      <c r="AM244" s="7" t="n">
        <v>0</v>
      </c>
      <c r="AN244" s="7" t="n">
        <v>0</v>
      </c>
      <c r="AO244" s="7" t="n">
        <v>0.405</v>
      </c>
      <c r="AP244" s="7" t="n">
        <v>0.298</v>
      </c>
      <c r="AQ244" s="7" t="n">
        <v>0.034</v>
      </c>
    </row>
    <row r="245" customFormat="false" ht="15" hidden="false" customHeight="false" outlineLevel="0" collapsed="false">
      <c r="A245" s="23" t="n">
        <v>46562</v>
      </c>
      <c r="B245" s="7" t="n">
        <v>0.543</v>
      </c>
      <c r="C245" s="7" t="n">
        <v>0.651</v>
      </c>
      <c r="D245" s="7" t="n">
        <v>-0.155</v>
      </c>
      <c r="E245" s="7" t="n">
        <v>0.747</v>
      </c>
      <c r="F245" s="7" t="n">
        <v>0.638</v>
      </c>
      <c r="G245" s="7" t="n">
        <v>-0.155</v>
      </c>
      <c r="H245" s="7" t="n">
        <v>-0.005</v>
      </c>
      <c r="I245" s="7" t="n">
        <v>0.069</v>
      </c>
      <c r="J245" s="7" t="n">
        <v>-0.155</v>
      </c>
      <c r="K245" s="7" t="n">
        <v>0.653</v>
      </c>
      <c r="L245" s="7" t="n">
        <v>0.2</v>
      </c>
      <c r="M245" s="7" t="n">
        <v>0.175</v>
      </c>
      <c r="N245" s="7" t="n">
        <v>0.638</v>
      </c>
      <c r="O245" s="7" t="n">
        <v>-0.13</v>
      </c>
      <c r="P245" s="7" t="n">
        <v>-0.13</v>
      </c>
      <c r="Q245" s="7" t="n">
        <v>-0.13</v>
      </c>
      <c r="R245" s="7" t="n">
        <v>-0.09</v>
      </c>
      <c r="S245" s="7" t="n">
        <v>0.59</v>
      </c>
      <c r="T245" s="7" t="n">
        <v>-0.155</v>
      </c>
      <c r="U245" s="7" t="n">
        <v>0.597</v>
      </c>
      <c r="V245" s="7" t="n">
        <v>0.055</v>
      </c>
      <c r="W245" s="7" t="n">
        <v>-0.13</v>
      </c>
      <c r="X245" s="7" t="n">
        <v>-0.155</v>
      </c>
      <c r="Y245" s="7" t="n">
        <v>-0.06</v>
      </c>
      <c r="Z245" s="7" t="n">
        <v>0.804</v>
      </c>
      <c r="AA245" s="7" t="n">
        <v>-0.09</v>
      </c>
      <c r="AB245" s="7" t="n">
        <v>-0.155</v>
      </c>
      <c r="AC245" s="7" t="n">
        <v>-0.13</v>
      </c>
      <c r="AD245" s="7" t="n">
        <v>0.652</v>
      </c>
      <c r="AE245" s="7" t="n">
        <v>0.638</v>
      </c>
      <c r="AF245" s="7" t="n">
        <v>0.594</v>
      </c>
      <c r="AG245" s="7" t="n">
        <v>-0.155</v>
      </c>
      <c r="AH245" s="7" t="n">
        <v>0.63</v>
      </c>
      <c r="AI245" s="7" t="n">
        <v>0.025</v>
      </c>
      <c r="AJ245" s="7" t="n">
        <v>0.028</v>
      </c>
      <c r="AK245" s="7" t="n">
        <v>0.017</v>
      </c>
      <c r="AL245" s="7" t="n">
        <v>0.181</v>
      </c>
      <c r="AM245" s="7" t="n">
        <v>0</v>
      </c>
      <c r="AN245" s="7" t="n">
        <v>0</v>
      </c>
      <c r="AO245" s="7" t="n">
        <v>0.45</v>
      </c>
      <c r="AP245" s="7" t="n">
        <v>0.32</v>
      </c>
      <c r="AQ245" s="7" t="n">
        <v>0.025</v>
      </c>
    </row>
    <row r="246" customFormat="false" ht="15" hidden="false" customHeight="false" outlineLevel="0" collapsed="false">
      <c r="A246" s="23" t="n">
        <v>46563</v>
      </c>
      <c r="B246" s="7" t="n">
        <v>0.602</v>
      </c>
      <c r="C246" s="7" t="n">
        <v>0.686</v>
      </c>
      <c r="D246" s="7" t="n">
        <v>-0.155</v>
      </c>
      <c r="E246" s="7" t="n">
        <v>0.759</v>
      </c>
      <c r="F246" s="7" t="n">
        <v>0.705</v>
      </c>
      <c r="G246" s="7" t="n">
        <v>-0.155</v>
      </c>
      <c r="H246" s="7" t="n">
        <v>0.035</v>
      </c>
      <c r="I246" s="7" t="n">
        <v>0.036</v>
      </c>
      <c r="J246" s="7" t="n">
        <v>-0.155</v>
      </c>
      <c r="K246" s="7" t="n">
        <v>0.653</v>
      </c>
      <c r="L246" s="7" t="n">
        <v>0.215</v>
      </c>
      <c r="M246" s="7" t="n">
        <v>0.198</v>
      </c>
      <c r="N246" s="7" t="n">
        <v>0.705</v>
      </c>
      <c r="O246" s="7" t="n">
        <v>-0.138</v>
      </c>
      <c r="P246" s="7" t="n">
        <v>-0.138</v>
      </c>
      <c r="Q246" s="7" t="n">
        <v>-0.138</v>
      </c>
      <c r="R246" s="7" t="n">
        <v>-0.036</v>
      </c>
      <c r="S246" s="7" t="n">
        <v>0.666</v>
      </c>
      <c r="T246" s="7" t="n">
        <v>-0.155</v>
      </c>
      <c r="U246" s="7" t="n">
        <v>0.643</v>
      </c>
      <c r="V246" s="7" t="n">
        <v>0.027</v>
      </c>
      <c r="W246" s="7" t="n">
        <v>-0.138</v>
      </c>
      <c r="X246" s="7" t="n">
        <v>-0.155</v>
      </c>
      <c r="Y246" s="7" t="n">
        <v>-0.037</v>
      </c>
      <c r="Z246" s="7" t="n">
        <v>0.812</v>
      </c>
      <c r="AA246" s="7" t="n">
        <v>-0.036</v>
      </c>
      <c r="AB246" s="7" t="n">
        <v>-0.155</v>
      </c>
      <c r="AC246" s="7" t="n">
        <v>-0.138</v>
      </c>
      <c r="AD246" s="7" t="n">
        <v>0.676</v>
      </c>
      <c r="AE246" s="7" t="n">
        <v>0.705</v>
      </c>
      <c r="AF246" s="7" t="n">
        <v>0.611</v>
      </c>
      <c r="AG246" s="7" t="n">
        <v>-0.155</v>
      </c>
      <c r="AH246" s="7" t="n">
        <v>0.631</v>
      </c>
      <c r="AI246" s="7" t="n">
        <v>0.017</v>
      </c>
      <c r="AJ246" s="7" t="n">
        <v>0.018</v>
      </c>
      <c r="AK246" s="7" t="n">
        <v>0.011</v>
      </c>
      <c r="AL246" s="7" t="n">
        <v>0.204</v>
      </c>
      <c r="AM246" s="7" t="n">
        <v>0</v>
      </c>
      <c r="AN246" s="7" t="n">
        <v>0</v>
      </c>
      <c r="AO246" s="7" t="n">
        <v>0.494</v>
      </c>
      <c r="AP246" s="7" t="n">
        <v>0.342</v>
      </c>
      <c r="AQ246" s="7" t="n">
        <v>0.017</v>
      </c>
    </row>
    <row r="247" customFormat="false" ht="15" hidden="false" customHeight="false" outlineLevel="0" collapsed="false">
      <c r="A247" s="23" t="n">
        <v>46564</v>
      </c>
      <c r="B247" s="7" t="n">
        <v>0.662</v>
      </c>
      <c r="C247" s="7" t="n">
        <v>0.72</v>
      </c>
      <c r="D247" s="7" t="n">
        <v>-0.155</v>
      </c>
      <c r="E247" s="7" t="n">
        <v>0.77</v>
      </c>
      <c r="F247" s="7" t="n">
        <v>0.77</v>
      </c>
      <c r="G247" s="7" t="n">
        <v>-0.155</v>
      </c>
      <c r="H247" s="7" t="n">
        <v>0.091</v>
      </c>
      <c r="I247" s="7" t="n">
        <v>-0.001</v>
      </c>
      <c r="J247" s="7" t="n">
        <v>-0.155</v>
      </c>
      <c r="K247" s="7" t="n">
        <v>0.653</v>
      </c>
      <c r="L247" s="7" t="n">
        <v>0.228</v>
      </c>
      <c r="M247" s="7" t="n">
        <v>0.22</v>
      </c>
      <c r="N247" s="7" t="n">
        <v>0.77</v>
      </c>
      <c r="O247" s="7" t="n">
        <v>-0.147</v>
      </c>
      <c r="P247" s="7" t="n">
        <v>-0.147</v>
      </c>
      <c r="Q247" s="7" t="n">
        <v>-0.147</v>
      </c>
      <c r="R247" s="7" t="n">
        <v>0.029</v>
      </c>
      <c r="S247" s="7" t="n">
        <v>0.741</v>
      </c>
      <c r="T247" s="7" t="n">
        <v>-0.155</v>
      </c>
      <c r="U247" s="7" t="n">
        <v>0.698</v>
      </c>
      <c r="V247" s="7" t="n">
        <v>-0.005</v>
      </c>
      <c r="W247" s="7" t="n">
        <v>-0.147</v>
      </c>
      <c r="X247" s="7" t="n">
        <v>-0.155</v>
      </c>
      <c r="Y247" s="7" t="n">
        <v>-0.004</v>
      </c>
      <c r="Z247" s="7" t="n">
        <v>0.82</v>
      </c>
      <c r="AA247" s="7" t="n">
        <v>0.029</v>
      </c>
      <c r="AB247" s="7" t="n">
        <v>-0.155</v>
      </c>
      <c r="AC247" s="7" t="n">
        <v>-0.147</v>
      </c>
      <c r="AD247" s="7" t="n">
        <v>0.709</v>
      </c>
      <c r="AE247" s="7" t="n">
        <v>0.77</v>
      </c>
      <c r="AF247" s="7" t="n">
        <v>0.63</v>
      </c>
      <c r="AG247" s="7" t="n">
        <v>-0.155</v>
      </c>
      <c r="AH247" s="7" t="n">
        <v>0.631</v>
      </c>
      <c r="AI247" s="7" t="n">
        <v>0.008</v>
      </c>
      <c r="AJ247" s="7" t="n">
        <v>0.009</v>
      </c>
      <c r="AK247" s="7" t="n">
        <v>0.005</v>
      </c>
      <c r="AL247" s="7" t="n">
        <v>0.226</v>
      </c>
      <c r="AM247" s="7" t="n">
        <v>0</v>
      </c>
      <c r="AN247" s="7" t="n">
        <v>0</v>
      </c>
      <c r="AO247" s="7" t="n">
        <v>0.537</v>
      </c>
      <c r="AP247" s="7" t="n">
        <v>0.362</v>
      </c>
      <c r="AQ247" s="7" t="n">
        <v>0.008</v>
      </c>
    </row>
    <row r="248" customFormat="false" ht="15" hidden="false" customHeight="false" outlineLevel="0" collapsed="false">
      <c r="A248" s="23" t="n">
        <v>46565</v>
      </c>
      <c r="B248" s="7" t="n">
        <v>0.662</v>
      </c>
      <c r="C248" s="7" t="n">
        <v>0.72</v>
      </c>
      <c r="D248" s="7" t="n">
        <v>-0.155</v>
      </c>
      <c r="E248" s="7" t="n">
        <v>0.77</v>
      </c>
      <c r="F248" s="7" t="n">
        <v>0.77</v>
      </c>
      <c r="G248" s="7" t="n">
        <v>-0.155</v>
      </c>
      <c r="H248" s="7" t="n">
        <v>0.091</v>
      </c>
      <c r="I248" s="7" t="n">
        <v>-0.001</v>
      </c>
      <c r="J248" s="7" t="n">
        <v>-0.155</v>
      </c>
      <c r="K248" s="7" t="n">
        <v>0.653</v>
      </c>
      <c r="L248" s="7" t="n">
        <v>0.228</v>
      </c>
      <c r="M248" s="7" t="n">
        <v>0.22</v>
      </c>
      <c r="N248" s="7" t="n">
        <v>0.77</v>
      </c>
      <c r="O248" s="7" t="n">
        <v>-0.147</v>
      </c>
      <c r="P248" s="7" t="n">
        <v>-0.147</v>
      </c>
      <c r="Q248" s="7" t="n">
        <v>-0.147</v>
      </c>
      <c r="R248" s="7" t="n">
        <v>0.029</v>
      </c>
      <c r="S248" s="7" t="n">
        <v>0.741</v>
      </c>
      <c r="T248" s="7" t="n">
        <v>-0.155</v>
      </c>
      <c r="U248" s="7" t="n">
        <v>0.698</v>
      </c>
      <c r="V248" s="7" t="n">
        <v>-0.005</v>
      </c>
      <c r="W248" s="7" t="n">
        <v>-0.147</v>
      </c>
      <c r="X248" s="7" t="n">
        <v>-0.155</v>
      </c>
      <c r="Y248" s="7" t="n">
        <v>-0.004</v>
      </c>
      <c r="Z248" s="7" t="n">
        <v>0.82</v>
      </c>
      <c r="AA248" s="7" t="n">
        <v>0.029</v>
      </c>
      <c r="AB248" s="7" t="n">
        <v>-0.155</v>
      </c>
      <c r="AC248" s="7" t="n">
        <v>-0.147</v>
      </c>
      <c r="AD248" s="7" t="n">
        <v>0.709</v>
      </c>
      <c r="AE248" s="7" t="n">
        <v>0.77</v>
      </c>
      <c r="AF248" s="7" t="n">
        <v>0.63</v>
      </c>
      <c r="AG248" s="7" t="n">
        <v>-0.155</v>
      </c>
      <c r="AH248" s="7" t="n">
        <v>0.631</v>
      </c>
      <c r="AI248" s="7" t="n">
        <v>0.008</v>
      </c>
      <c r="AJ248" s="7" t="n">
        <v>0.009</v>
      </c>
      <c r="AK248" s="7" t="n">
        <v>0.005</v>
      </c>
      <c r="AL248" s="7" t="n">
        <v>0.226</v>
      </c>
      <c r="AM248" s="7" t="n">
        <v>0</v>
      </c>
      <c r="AN248" s="7" t="n">
        <v>0</v>
      </c>
      <c r="AO248" s="7" t="n">
        <v>0.537</v>
      </c>
      <c r="AP248" s="7" t="n">
        <v>0.362</v>
      </c>
      <c r="AQ248" s="7" t="n">
        <v>0.008</v>
      </c>
    </row>
    <row r="249" customFormat="false" ht="15" hidden="false" customHeight="false" outlineLevel="0" collapsed="false">
      <c r="A249" s="23" t="n">
        <v>46566</v>
      </c>
      <c r="B249" s="7" t="n">
        <v>0.662</v>
      </c>
      <c r="C249" s="7" t="n">
        <v>0.72</v>
      </c>
      <c r="D249" s="7" t="n">
        <v>-0.155</v>
      </c>
      <c r="E249" s="7" t="n">
        <v>0.77</v>
      </c>
      <c r="F249" s="7" t="n">
        <v>0.77</v>
      </c>
      <c r="G249" s="7" t="n">
        <v>-0.155</v>
      </c>
      <c r="H249" s="7" t="n">
        <v>0.091</v>
      </c>
      <c r="I249" s="7" t="n">
        <v>-0.001</v>
      </c>
      <c r="J249" s="7" t="n">
        <v>-0.155</v>
      </c>
      <c r="K249" s="7" t="n">
        <v>0.653</v>
      </c>
      <c r="L249" s="7" t="n">
        <v>0.228</v>
      </c>
      <c r="M249" s="7" t="n">
        <v>0.22</v>
      </c>
      <c r="N249" s="7" t="n">
        <v>0.77</v>
      </c>
      <c r="O249" s="7" t="n">
        <v>-0.147</v>
      </c>
      <c r="P249" s="7" t="n">
        <v>-0.147</v>
      </c>
      <c r="Q249" s="7" t="n">
        <v>-0.147</v>
      </c>
      <c r="R249" s="7" t="n">
        <v>0.029</v>
      </c>
      <c r="S249" s="7" t="n">
        <v>0.741</v>
      </c>
      <c r="T249" s="7" t="n">
        <v>-0.155</v>
      </c>
      <c r="U249" s="7" t="n">
        <v>0.698</v>
      </c>
      <c r="V249" s="7" t="n">
        <v>-0.005</v>
      </c>
      <c r="W249" s="7" t="n">
        <v>-0.147</v>
      </c>
      <c r="X249" s="7" t="n">
        <v>-0.155</v>
      </c>
      <c r="Y249" s="7" t="n">
        <v>-0.004</v>
      </c>
      <c r="Z249" s="7" t="n">
        <v>0.82</v>
      </c>
      <c r="AA249" s="7" t="n">
        <v>0.029</v>
      </c>
      <c r="AB249" s="7" t="n">
        <v>-0.155</v>
      </c>
      <c r="AC249" s="7" t="n">
        <v>-0.147</v>
      </c>
      <c r="AD249" s="7" t="n">
        <v>0.709</v>
      </c>
      <c r="AE249" s="7" t="n">
        <v>0.77</v>
      </c>
      <c r="AF249" s="7" t="n">
        <v>0.63</v>
      </c>
      <c r="AG249" s="7" t="n">
        <v>-0.155</v>
      </c>
      <c r="AH249" s="7" t="n">
        <v>0.631</v>
      </c>
      <c r="AI249" s="7" t="n">
        <v>0.008</v>
      </c>
      <c r="AJ249" s="7" t="n">
        <v>0.009</v>
      </c>
      <c r="AK249" s="7" t="n">
        <v>0.005</v>
      </c>
      <c r="AL249" s="7" t="n">
        <v>0.226</v>
      </c>
      <c r="AM249" s="7" t="n">
        <v>0</v>
      </c>
      <c r="AN249" s="7" t="n">
        <v>0</v>
      </c>
      <c r="AO249" s="7" t="n">
        <v>0.537</v>
      </c>
      <c r="AP249" s="7" t="n">
        <v>0.362</v>
      </c>
      <c r="AQ249" s="7" t="n">
        <v>0.008</v>
      </c>
    </row>
    <row r="250" customFormat="false" ht="15" hidden="false" customHeight="false" outlineLevel="0" collapsed="false">
      <c r="A250" s="23" t="n">
        <v>46567</v>
      </c>
      <c r="B250" s="7" t="n">
        <v>0.647</v>
      </c>
      <c r="C250" s="7" t="n">
        <v>0.731</v>
      </c>
      <c r="D250" s="7" t="n">
        <v>-0.155</v>
      </c>
      <c r="E250" s="7" t="n">
        <v>0.78</v>
      </c>
      <c r="F250" s="7" t="n">
        <v>0.786</v>
      </c>
      <c r="G250" s="7" t="n">
        <v>-0.155</v>
      </c>
      <c r="H250" s="7" t="n">
        <v>0.013</v>
      </c>
      <c r="I250" s="7" t="n">
        <v>-0.107</v>
      </c>
      <c r="J250" s="7" t="n">
        <v>-0.155</v>
      </c>
      <c r="K250" s="7" t="n">
        <v>0.653</v>
      </c>
      <c r="L250" s="7" t="n">
        <v>0.234</v>
      </c>
      <c r="M250" s="7" t="n">
        <v>0.234</v>
      </c>
      <c r="N250" s="7" t="n">
        <v>0.786</v>
      </c>
      <c r="O250" s="7" t="n">
        <v>-0.155</v>
      </c>
      <c r="P250" s="7" t="n">
        <v>-0.155</v>
      </c>
      <c r="Q250" s="7" t="n">
        <v>-0.155</v>
      </c>
      <c r="R250" s="7" t="n">
        <v>-0.029</v>
      </c>
      <c r="S250" s="7" t="n">
        <v>0.78</v>
      </c>
      <c r="T250" s="7" t="n">
        <v>-0.155</v>
      </c>
      <c r="U250" s="7" t="n">
        <v>0.677</v>
      </c>
      <c r="V250" s="7" t="n">
        <v>-0.103</v>
      </c>
      <c r="W250" s="7" t="n">
        <v>-0.155</v>
      </c>
      <c r="X250" s="7" t="n">
        <v>-0.155</v>
      </c>
      <c r="Y250" s="7" t="n">
        <v>-0.084</v>
      </c>
      <c r="Z250" s="7" t="n">
        <v>0.825</v>
      </c>
      <c r="AA250" s="7" t="n">
        <v>-0.029</v>
      </c>
      <c r="AB250" s="7" t="n">
        <v>-0.155</v>
      </c>
      <c r="AC250" s="7" t="n">
        <v>-0.155</v>
      </c>
      <c r="AD250" s="7" t="n">
        <v>0.72</v>
      </c>
      <c r="AE250" s="7" t="n">
        <v>0.786</v>
      </c>
      <c r="AF250" s="7" t="n">
        <v>0.653</v>
      </c>
      <c r="AG250" s="7" t="n">
        <v>-0.155</v>
      </c>
      <c r="AH250" s="7" t="n">
        <v>0.597</v>
      </c>
      <c r="AI250" s="7" t="n">
        <v>0</v>
      </c>
      <c r="AJ250" s="7" t="n">
        <v>-0.01</v>
      </c>
      <c r="AK250" s="7" t="n">
        <v>-0.006</v>
      </c>
      <c r="AL250" s="7" t="n">
        <v>0.174</v>
      </c>
      <c r="AM250" s="7" t="n">
        <v>0</v>
      </c>
      <c r="AN250" s="7" t="n">
        <v>0</v>
      </c>
      <c r="AO250" s="7" t="n">
        <v>0.509</v>
      </c>
      <c r="AP250" s="7" t="n">
        <v>0.375</v>
      </c>
      <c r="AQ250" s="7" t="n">
        <v>0</v>
      </c>
    </row>
    <row r="251" customFormat="false" ht="15" hidden="false" customHeight="false" outlineLevel="0" collapsed="false">
      <c r="A251" s="23" t="n">
        <v>46568</v>
      </c>
      <c r="B251" s="7" t="n">
        <v>0.601</v>
      </c>
      <c r="C251" s="7" t="n">
        <v>0.688</v>
      </c>
      <c r="D251" s="7" t="n">
        <v>-0.155</v>
      </c>
      <c r="E251" s="7" t="n">
        <v>0.763</v>
      </c>
      <c r="F251" s="7" t="n">
        <v>0.756</v>
      </c>
      <c r="G251" s="7" t="n">
        <v>-0.155</v>
      </c>
      <c r="H251" s="7" t="n">
        <v>-0.065</v>
      </c>
      <c r="I251" s="7" t="n">
        <v>-0.164</v>
      </c>
      <c r="J251" s="7" t="n">
        <v>-0.155</v>
      </c>
      <c r="K251" s="7" t="n">
        <v>0.653</v>
      </c>
      <c r="L251" s="7" t="n">
        <v>0.204</v>
      </c>
      <c r="M251" s="7" t="n">
        <v>0.204</v>
      </c>
      <c r="N251" s="7" t="n">
        <v>0.756</v>
      </c>
      <c r="O251" s="7" t="n">
        <v>-0.155</v>
      </c>
      <c r="P251" s="7" t="n">
        <v>-0.155</v>
      </c>
      <c r="Q251" s="7" t="n">
        <v>-0.155</v>
      </c>
      <c r="R251" s="7" t="n">
        <v>-0.088</v>
      </c>
      <c r="S251" s="7" t="n">
        <v>0.763</v>
      </c>
      <c r="T251" s="7" t="n">
        <v>-0.155</v>
      </c>
      <c r="U251" s="7" t="n">
        <v>0.624</v>
      </c>
      <c r="V251" s="7" t="n">
        <v>-0.155</v>
      </c>
      <c r="W251" s="7" t="n">
        <v>-0.155</v>
      </c>
      <c r="X251" s="7" t="n">
        <v>-0.155</v>
      </c>
      <c r="Y251" s="7" t="n">
        <v>-0.126</v>
      </c>
      <c r="Z251" s="7" t="n">
        <v>0.815</v>
      </c>
      <c r="AA251" s="7" t="n">
        <v>-0.088</v>
      </c>
      <c r="AB251" s="7" t="n">
        <v>-0.155</v>
      </c>
      <c r="AC251" s="7" t="n">
        <v>-0.155</v>
      </c>
      <c r="AD251" s="7" t="n">
        <v>0.701</v>
      </c>
      <c r="AE251" s="7" t="n">
        <v>0.756</v>
      </c>
      <c r="AF251" s="7" t="n">
        <v>0.653</v>
      </c>
      <c r="AG251" s="7" t="n">
        <v>-0.155</v>
      </c>
      <c r="AH251" s="7" t="n">
        <v>0.563</v>
      </c>
      <c r="AI251" s="7" t="n">
        <v>0</v>
      </c>
      <c r="AJ251" s="7" t="n">
        <v>-0.02</v>
      </c>
      <c r="AK251" s="7" t="n">
        <v>-0.012</v>
      </c>
      <c r="AL251" s="7" t="n">
        <v>0.13</v>
      </c>
      <c r="AM251" s="7" t="n">
        <v>0</v>
      </c>
      <c r="AN251" s="7" t="n">
        <v>0</v>
      </c>
      <c r="AO251" s="7" t="n">
        <v>0.447</v>
      </c>
      <c r="AP251" s="7" t="n">
        <v>0.347</v>
      </c>
      <c r="AQ251" s="7" t="n">
        <v>0</v>
      </c>
    </row>
    <row r="252" customFormat="false" ht="15" hidden="false" customHeight="false" outlineLevel="0" collapsed="false">
      <c r="A252" s="23" t="n">
        <v>46569</v>
      </c>
      <c r="B252" s="7" t="n">
        <v>0.563</v>
      </c>
      <c r="C252" s="7" t="n">
        <v>0.642</v>
      </c>
      <c r="D252" s="7" t="n">
        <v>-0.155</v>
      </c>
      <c r="E252" s="7" t="n">
        <v>0.744</v>
      </c>
      <c r="F252" s="7" t="n">
        <v>0.723</v>
      </c>
      <c r="G252" s="7" t="n">
        <v>-0.155</v>
      </c>
      <c r="H252" s="7" t="n">
        <v>-0.114</v>
      </c>
      <c r="I252" s="7" t="n">
        <v>-0.2</v>
      </c>
      <c r="J252" s="7" t="n">
        <v>-0.155</v>
      </c>
      <c r="K252" s="7" t="n">
        <v>0.653</v>
      </c>
      <c r="L252" s="7" t="n">
        <v>0.174</v>
      </c>
      <c r="M252" s="7" t="n">
        <v>0.174</v>
      </c>
      <c r="N252" s="7" t="n">
        <v>0.723</v>
      </c>
      <c r="O252" s="7" t="n">
        <v>-0.107</v>
      </c>
      <c r="P252" s="7" t="n">
        <v>-0.155</v>
      </c>
      <c r="Q252" s="7" t="n">
        <v>-0.155</v>
      </c>
      <c r="R252" s="7" t="n">
        <v>-0.125</v>
      </c>
      <c r="S252" s="7" t="n">
        <v>0.744</v>
      </c>
      <c r="T252" s="7" t="n">
        <v>-0.155</v>
      </c>
      <c r="U252" s="7" t="n">
        <v>0.569</v>
      </c>
      <c r="V252" s="7" t="n">
        <v>-0.187</v>
      </c>
      <c r="W252" s="7" t="n">
        <v>-0.155</v>
      </c>
      <c r="X252" s="7" t="n">
        <v>-0.155</v>
      </c>
      <c r="Y252" s="7" t="n">
        <v>-0.149</v>
      </c>
      <c r="Z252" s="7" t="n">
        <v>0.804</v>
      </c>
      <c r="AA252" s="7" t="n">
        <v>-0.125</v>
      </c>
      <c r="AB252" s="7" t="n">
        <v>-0.143</v>
      </c>
      <c r="AC252" s="7" t="n">
        <v>-0.155</v>
      </c>
      <c r="AD252" s="7" t="n">
        <v>0.681</v>
      </c>
      <c r="AE252" s="7" t="n">
        <v>0.723</v>
      </c>
      <c r="AF252" s="7" t="n">
        <v>0.653</v>
      </c>
      <c r="AG252" s="7" t="n">
        <v>-0.155</v>
      </c>
      <c r="AH252" s="7" t="n">
        <v>0.529</v>
      </c>
      <c r="AI252" s="7" t="n">
        <v>0</v>
      </c>
      <c r="AJ252" s="7" t="n">
        <v>-0.03</v>
      </c>
      <c r="AK252" s="7" t="n">
        <v>-0.018</v>
      </c>
      <c r="AL252" s="7" t="n">
        <v>0.086</v>
      </c>
      <c r="AM252" s="7" t="n">
        <v>0</v>
      </c>
      <c r="AN252" s="7" t="n">
        <v>0</v>
      </c>
      <c r="AO252" s="7" t="n">
        <v>0.386</v>
      </c>
      <c r="AP252" s="7" t="n">
        <v>0.32</v>
      </c>
      <c r="AQ252" s="7" t="n">
        <v>0</v>
      </c>
    </row>
    <row r="253" customFormat="false" ht="15" hidden="false" customHeight="false" outlineLevel="0" collapsed="false">
      <c r="A253" s="23" t="n">
        <v>46570</v>
      </c>
      <c r="B253" s="7" t="n">
        <v>0.525</v>
      </c>
      <c r="C253" s="7" t="n">
        <v>0.593</v>
      </c>
      <c r="D253" s="7" t="n">
        <v>-0.155</v>
      </c>
      <c r="E253" s="7" t="n">
        <v>0.723</v>
      </c>
      <c r="F253" s="7" t="n">
        <v>0.689</v>
      </c>
      <c r="G253" s="7" t="n">
        <v>-0.155</v>
      </c>
      <c r="H253" s="7" t="n">
        <v>-0.163</v>
      </c>
      <c r="I253" s="7" t="n">
        <v>-0.227</v>
      </c>
      <c r="J253" s="7" t="n">
        <v>-0.155</v>
      </c>
      <c r="K253" s="7" t="n">
        <v>0.653</v>
      </c>
      <c r="L253" s="7" t="n">
        <v>0.144</v>
      </c>
      <c r="M253" s="7" t="n">
        <v>0.144</v>
      </c>
      <c r="N253" s="7" t="n">
        <v>0.689</v>
      </c>
      <c r="O253" s="7" t="n">
        <v>-0.061</v>
      </c>
      <c r="P253" s="7" t="n">
        <v>-0.155</v>
      </c>
      <c r="Q253" s="7" t="n">
        <v>-0.155</v>
      </c>
      <c r="R253" s="7" t="n">
        <v>-0.161</v>
      </c>
      <c r="S253" s="7" t="n">
        <v>0.723</v>
      </c>
      <c r="T253" s="7" t="n">
        <v>-0.155</v>
      </c>
      <c r="U253" s="7" t="n">
        <v>0.512</v>
      </c>
      <c r="V253" s="7" t="n">
        <v>-0.208</v>
      </c>
      <c r="W253" s="7" t="n">
        <v>-0.155</v>
      </c>
      <c r="X253" s="7" t="n">
        <v>-0.155</v>
      </c>
      <c r="Y253" s="7" t="n">
        <v>-0.171</v>
      </c>
      <c r="Z253" s="7" t="n">
        <v>0.793</v>
      </c>
      <c r="AA253" s="7" t="n">
        <v>-0.161</v>
      </c>
      <c r="AB253" s="7" t="n">
        <v>-0.114</v>
      </c>
      <c r="AC253" s="7" t="n">
        <v>-0.155</v>
      </c>
      <c r="AD253" s="7" t="n">
        <v>0.659</v>
      </c>
      <c r="AE253" s="7" t="n">
        <v>0.689</v>
      </c>
      <c r="AF253" s="7" t="n">
        <v>0.653</v>
      </c>
      <c r="AG253" s="7" t="n">
        <v>-0.155</v>
      </c>
      <c r="AH253" s="7" t="n">
        <v>0.495</v>
      </c>
      <c r="AI253" s="7" t="n">
        <v>0</v>
      </c>
      <c r="AJ253" s="7" t="n">
        <v>-0.04</v>
      </c>
      <c r="AK253" s="7" t="n">
        <v>-0.024</v>
      </c>
      <c r="AL253" s="7" t="n">
        <v>0.043</v>
      </c>
      <c r="AM253" s="7" t="n">
        <v>0</v>
      </c>
      <c r="AN253" s="7" t="n">
        <v>0</v>
      </c>
      <c r="AO253" s="7" t="n">
        <v>0.325</v>
      </c>
      <c r="AP253" s="7" t="n">
        <v>0.292</v>
      </c>
      <c r="AQ253" s="7" t="n">
        <v>0</v>
      </c>
    </row>
    <row r="254" customFormat="false" ht="15" hidden="false" customHeight="false" outlineLevel="0" collapsed="false">
      <c r="A254" s="23" t="n">
        <v>46571</v>
      </c>
      <c r="B254" s="7" t="n">
        <v>0.489</v>
      </c>
      <c r="C254" s="7" t="n">
        <v>0.543</v>
      </c>
      <c r="D254" s="7" t="n">
        <v>-0.155</v>
      </c>
      <c r="E254" s="7" t="n">
        <v>0.703</v>
      </c>
      <c r="F254" s="7" t="n">
        <v>0.653</v>
      </c>
      <c r="G254" s="7" t="n">
        <v>-0.155</v>
      </c>
      <c r="H254" s="7" t="n">
        <v>-0.212</v>
      </c>
      <c r="I254" s="7" t="n">
        <v>-0.241</v>
      </c>
      <c r="J254" s="7" t="n">
        <v>-0.155</v>
      </c>
      <c r="K254" s="7" t="n">
        <v>0.653</v>
      </c>
      <c r="L254" s="7" t="n">
        <v>0.114</v>
      </c>
      <c r="M254" s="7" t="n">
        <v>0.114</v>
      </c>
      <c r="N254" s="7" t="n">
        <v>0.653</v>
      </c>
      <c r="O254" s="7" t="n">
        <v>-0.018</v>
      </c>
      <c r="P254" s="7" t="n">
        <v>-0.155</v>
      </c>
      <c r="Q254" s="7" t="n">
        <v>-0.155</v>
      </c>
      <c r="R254" s="7" t="n">
        <v>-0.198</v>
      </c>
      <c r="S254" s="7" t="n">
        <v>0.703</v>
      </c>
      <c r="T254" s="7" t="n">
        <v>-0.155</v>
      </c>
      <c r="U254" s="7" t="n">
        <v>0.455</v>
      </c>
      <c r="V254" s="7" t="n">
        <v>-0.218</v>
      </c>
      <c r="W254" s="7" t="n">
        <v>-0.155</v>
      </c>
      <c r="X254" s="7" t="n">
        <v>-0.155</v>
      </c>
      <c r="Y254" s="7" t="n">
        <v>-0.193</v>
      </c>
      <c r="Z254" s="7" t="n">
        <v>0.782</v>
      </c>
      <c r="AA254" s="7" t="n">
        <v>-0.198</v>
      </c>
      <c r="AB254" s="7" t="n">
        <v>-0.097</v>
      </c>
      <c r="AC254" s="7" t="n">
        <v>-0.155</v>
      </c>
      <c r="AD254" s="7" t="n">
        <v>0.637</v>
      </c>
      <c r="AE254" s="7" t="n">
        <v>0.653</v>
      </c>
      <c r="AF254" s="7" t="n">
        <v>0.653</v>
      </c>
      <c r="AG254" s="7" t="n">
        <v>-0.155</v>
      </c>
      <c r="AH254" s="7" t="n">
        <v>0.462</v>
      </c>
      <c r="AI254" s="7" t="n">
        <v>0</v>
      </c>
      <c r="AJ254" s="7" t="n">
        <v>-0.05</v>
      </c>
      <c r="AK254" s="7" t="n">
        <v>-0.03</v>
      </c>
      <c r="AL254" s="7" t="n">
        <v>0</v>
      </c>
      <c r="AM254" s="7" t="n">
        <v>0</v>
      </c>
      <c r="AN254" s="7" t="n">
        <v>0</v>
      </c>
      <c r="AO254" s="7" t="n">
        <v>0.264</v>
      </c>
      <c r="AP254" s="7" t="n">
        <v>0.264</v>
      </c>
      <c r="AQ254" s="7" t="n">
        <v>0</v>
      </c>
    </row>
    <row r="255" customFormat="false" ht="15" hidden="false" customHeight="false" outlineLevel="0" collapsed="false">
      <c r="A255" s="23" t="n">
        <v>46572</v>
      </c>
      <c r="B255" s="7" t="n">
        <v>0.489</v>
      </c>
      <c r="C255" s="7" t="n">
        <v>0.543</v>
      </c>
      <c r="D255" s="7" t="n">
        <v>-0.155</v>
      </c>
      <c r="E255" s="7" t="n">
        <v>0.703</v>
      </c>
      <c r="F255" s="7" t="n">
        <v>0.653</v>
      </c>
      <c r="G255" s="7" t="n">
        <v>-0.155</v>
      </c>
      <c r="H255" s="7" t="n">
        <v>-0.212</v>
      </c>
      <c r="I255" s="7" t="n">
        <v>-0.241</v>
      </c>
      <c r="J255" s="7" t="n">
        <v>-0.155</v>
      </c>
      <c r="K255" s="7" t="n">
        <v>0.653</v>
      </c>
      <c r="L255" s="7" t="n">
        <v>0.114</v>
      </c>
      <c r="M255" s="7" t="n">
        <v>0.114</v>
      </c>
      <c r="N255" s="7" t="n">
        <v>0.653</v>
      </c>
      <c r="O255" s="7" t="n">
        <v>-0.018</v>
      </c>
      <c r="P255" s="7" t="n">
        <v>-0.155</v>
      </c>
      <c r="Q255" s="7" t="n">
        <v>-0.155</v>
      </c>
      <c r="R255" s="7" t="n">
        <v>-0.198</v>
      </c>
      <c r="S255" s="7" t="n">
        <v>0.703</v>
      </c>
      <c r="T255" s="7" t="n">
        <v>-0.155</v>
      </c>
      <c r="U255" s="7" t="n">
        <v>0.455</v>
      </c>
      <c r="V255" s="7" t="n">
        <v>-0.218</v>
      </c>
      <c r="W255" s="7" t="n">
        <v>-0.155</v>
      </c>
      <c r="X255" s="7" t="n">
        <v>-0.155</v>
      </c>
      <c r="Y255" s="7" t="n">
        <v>-0.193</v>
      </c>
      <c r="Z255" s="7" t="n">
        <v>0.782</v>
      </c>
      <c r="AA255" s="7" t="n">
        <v>-0.198</v>
      </c>
      <c r="AB255" s="7" t="n">
        <v>-0.097</v>
      </c>
      <c r="AC255" s="7" t="n">
        <v>-0.155</v>
      </c>
      <c r="AD255" s="7" t="n">
        <v>0.637</v>
      </c>
      <c r="AE255" s="7" t="n">
        <v>0.653</v>
      </c>
      <c r="AF255" s="7" t="n">
        <v>0.653</v>
      </c>
      <c r="AG255" s="7" t="n">
        <v>-0.155</v>
      </c>
      <c r="AH255" s="7" t="n">
        <v>0.462</v>
      </c>
      <c r="AI255" s="7" t="n">
        <v>0</v>
      </c>
      <c r="AJ255" s="7" t="n">
        <v>-0.05</v>
      </c>
      <c r="AK255" s="7" t="n">
        <v>-0.03</v>
      </c>
      <c r="AL255" s="7" t="n">
        <v>0</v>
      </c>
      <c r="AM255" s="7" t="n">
        <v>0</v>
      </c>
      <c r="AN255" s="7" t="n">
        <v>0</v>
      </c>
      <c r="AO255" s="7" t="n">
        <v>0.264</v>
      </c>
      <c r="AP255" s="7" t="n">
        <v>0.264</v>
      </c>
      <c r="AQ255" s="7" t="n">
        <v>0</v>
      </c>
    </row>
    <row r="256" customFormat="false" ht="15" hidden="false" customHeight="false" outlineLevel="0" collapsed="false">
      <c r="A256" s="23" t="n">
        <v>46573</v>
      </c>
      <c r="B256" s="7" t="n">
        <v>0.489</v>
      </c>
      <c r="C256" s="7" t="n">
        <v>0.543</v>
      </c>
      <c r="D256" s="7" t="n">
        <v>-0.155</v>
      </c>
      <c r="E256" s="7" t="n">
        <v>0.703</v>
      </c>
      <c r="F256" s="7" t="n">
        <v>0.653</v>
      </c>
      <c r="G256" s="7" t="n">
        <v>-0.155</v>
      </c>
      <c r="H256" s="7" t="n">
        <v>-0.212</v>
      </c>
      <c r="I256" s="7" t="n">
        <v>-0.241</v>
      </c>
      <c r="J256" s="7" t="n">
        <v>-0.155</v>
      </c>
      <c r="K256" s="7" t="n">
        <v>0.653</v>
      </c>
      <c r="L256" s="7" t="n">
        <v>0.114</v>
      </c>
      <c r="M256" s="7" t="n">
        <v>0.114</v>
      </c>
      <c r="N256" s="7" t="n">
        <v>0.653</v>
      </c>
      <c r="O256" s="7" t="n">
        <v>-0.018</v>
      </c>
      <c r="P256" s="7" t="n">
        <v>-0.155</v>
      </c>
      <c r="Q256" s="7" t="n">
        <v>-0.155</v>
      </c>
      <c r="R256" s="7" t="n">
        <v>-0.198</v>
      </c>
      <c r="S256" s="7" t="n">
        <v>0.703</v>
      </c>
      <c r="T256" s="7" t="n">
        <v>-0.155</v>
      </c>
      <c r="U256" s="7" t="n">
        <v>0.455</v>
      </c>
      <c r="V256" s="7" t="n">
        <v>-0.218</v>
      </c>
      <c r="W256" s="7" t="n">
        <v>-0.155</v>
      </c>
      <c r="X256" s="7" t="n">
        <v>-0.155</v>
      </c>
      <c r="Y256" s="7" t="n">
        <v>-0.193</v>
      </c>
      <c r="Z256" s="7" t="n">
        <v>0.782</v>
      </c>
      <c r="AA256" s="7" t="n">
        <v>-0.198</v>
      </c>
      <c r="AB256" s="7" t="n">
        <v>-0.097</v>
      </c>
      <c r="AC256" s="7" t="n">
        <v>-0.155</v>
      </c>
      <c r="AD256" s="7" t="n">
        <v>0.637</v>
      </c>
      <c r="AE256" s="7" t="n">
        <v>0.653</v>
      </c>
      <c r="AF256" s="7" t="n">
        <v>0.653</v>
      </c>
      <c r="AG256" s="7" t="n">
        <v>-0.155</v>
      </c>
      <c r="AH256" s="7" t="n">
        <v>0.462</v>
      </c>
      <c r="AI256" s="7" t="n">
        <v>0</v>
      </c>
      <c r="AJ256" s="7" t="n">
        <v>-0.05</v>
      </c>
      <c r="AK256" s="7" t="n">
        <v>-0.03</v>
      </c>
      <c r="AL256" s="7" t="n">
        <v>0</v>
      </c>
      <c r="AM256" s="7" t="n">
        <v>0</v>
      </c>
      <c r="AN256" s="7" t="n">
        <v>0</v>
      </c>
      <c r="AO256" s="7" t="n">
        <v>0.264</v>
      </c>
      <c r="AP256" s="7" t="n">
        <v>0.264</v>
      </c>
      <c r="AQ256" s="7" t="n">
        <v>0</v>
      </c>
    </row>
    <row r="257" customFormat="false" ht="15" hidden="false" customHeight="false" outlineLevel="0" collapsed="false">
      <c r="A257" s="23" t="n">
        <v>46574</v>
      </c>
      <c r="B257" s="7" t="n">
        <v>0.49</v>
      </c>
      <c r="C257" s="7" t="n">
        <v>0.529</v>
      </c>
      <c r="D257" s="7" t="n">
        <v>-0.155</v>
      </c>
      <c r="E257" s="7" t="n">
        <v>0.697</v>
      </c>
      <c r="F257" s="7" t="n">
        <v>0.643</v>
      </c>
      <c r="G257" s="7" t="n">
        <v>-0.155</v>
      </c>
      <c r="H257" s="7" t="n">
        <v>-0.184</v>
      </c>
      <c r="I257" s="7" t="n">
        <v>-0.212</v>
      </c>
      <c r="J257" s="7" t="n">
        <v>-0.155</v>
      </c>
      <c r="K257" s="7" t="n">
        <v>0.653</v>
      </c>
      <c r="L257" s="7" t="n">
        <v>0.114</v>
      </c>
      <c r="M257" s="7" t="n">
        <v>0.114</v>
      </c>
      <c r="N257" s="7" t="n">
        <v>0.643</v>
      </c>
      <c r="O257" s="7" t="n">
        <v>0.02</v>
      </c>
      <c r="P257" s="7" t="n">
        <v>-0.155</v>
      </c>
      <c r="Q257" s="7" t="n">
        <v>-0.155</v>
      </c>
      <c r="R257" s="7" t="n">
        <v>-0.177</v>
      </c>
      <c r="S257" s="7" t="n">
        <v>0.697</v>
      </c>
      <c r="T257" s="7" t="n">
        <v>-0.155</v>
      </c>
      <c r="U257" s="7" t="n">
        <v>0.446</v>
      </c>
      <c r="V257" s="7" t="n">
        <v>-0.188</v>
      </c>
      <c r="W257" s="7" t="n">
        <v>-0.155</v>
      </c>
      <c r="X257" s="7" t="n">
        <v>-0.155</v>
      </c>
      <c r="Y257" s="7" t="n">
        <v>-0.174</v>
      </c>
      <c r="Z257" s="7" t="n">
        <v>0.783</v>
      </c>
      <c r="AA257" s="7" t="n">
        <v>-0.177</v>
      </c>
      <c r="AB257" s="7" t="n">
        <v>-0.137</v>
      </c>
      <c r="AC257" s="7" t="n">
        <v>-0.155</v>
      </c>
      <c r="AD257" s="7" t="n">
        <v>0.633</v>
      </c>
      <c r="AE257" s="7" t="n">
        <v>0.643</v>
      </c>
      <c r="AF257" s="7" t="n">
        <v>0.649</v>
      </c>
      <c r="AG257" s="7" t="n">
        <v>-0.155</v>
      </c>
      <c r="AH257" s="7" t="n">
        <v>0.46</v>
      </c>
      <c r="AI257" s="7" t="n">
        <v>0</v>
      </c>
      <c r="AJ257" s="7" t="n">
        <v>-0.05</v>
      </c>
      <c r="AK257" s="7" t="n">
        <v>-0.03</v>
      </c>
      <c r="AL257" s="7" t="n">
        <v>0</v>
      </c>
      <c r="AM257" s="7" t="n">
        <v>0</v>
      </c>
      <c r="AN257" s="7" t="n">
        <v>0</v>
      </c>
      <c r="AO257" s="7" t="n">
        <v>0.264</v>
      </c>
      <c r="AP257" s="7" t="n">
        <v>0.264</v>
      </c>
      <c r="AQ257" s="7" t="n">
        <v>0</v>
      </c>
    </row>
    <row r="258" customFormat="false" ht="15" hidden="false" customHeight="false" outlineLevel="0" collapsed="false">
      <c r="A258" s="23" t="n">
        <v>46575</v>
      </c>
      <c r="B258" s="7" t="n">
        <v>0.493</v>
      </c>
      <c r="C258" s="7" t="n">
        <v>0.516</v>
      </c>
      <c r="D258" s="7" t="n">
        <v>-0.155</v>
      </c>
      <c r="E258" s="7" t="n">
        <v>0.691</v>
      </c>
      <c r="F258" s="7" t="n">
        <v>0.632</v>
      </c>
      <c r="G258" s="7" t="n">
        <v>-0.155</v>
      </c>
      <c r="H258" s="7" t="n">
        <v>-0.155</v>
      </c>
      <c r="I258" s="7" t="n">
        <v>-0.179</v>
      </c>
      <c r="J258" s="7" t="n">
        <v>-0.155</v>
      </c>
      <c r="K258" s="7" t="n">
        <v>0.653</v>
      </c>
      <c r="L258" s="7" t="n">
        <v>0.114</v>
      </c>
      <c r="M258" s="7" t="n">
        <v>0.114</v>
      </c>
      <c r="N258" s="7" t="n">
        <v>0.632</v>
      </c>
      <c r="O258" s="7" t="n">
        <v>0.055</v>
      </c>
      <c r="P258" s="7" t="n">
        <v>-0.155</v>
      </c>
      <c r="Q258" s="7" t="n">
        <v>-0.155</v>
      </c>
      <c r="R258" s="7" t="n">
        <v>-0.155</v>
      </c>
      <c r="S258" s="7" t="n">
        <v>0.691</v>
      </c>
      <c r="T258" s="7" t="n">
        <v>-0.155</v>
      </c>
      <c r="U258" s="7" t="n">
        <v>0.437</v>
      </c>
      <c r="V258" s="7" t="n">
        <v>-0.155</v>
      </c>
      <c r="W258" s="7" t="n">
        <v>-0.155</v>
      </c>
      <c r="X258" s="7" t="n">
        <v>-0.155</v>
      </c>
      <c r="Y258" s="7" t="n">
        <v>-0.155</v>
      </c>
      <c r="Z258" s="7" t="n">
        <v>0.783</v>
      </c>
      <c r="AA258" s="7" t="n">
        <v>-0.155</v>
      </c>
      <c r="AB258" s="7" t="n">
        <v>-0.148</v>
      </c>
      <c r="AC258" s="7" t="n">
        <v>-0.155</v>
      </c>
      <c r="AD258" s="7" t="n">
        <v>0.628</v>
      </c>
      <c r="AE258" s="7" t="n">
        <v>0.632</v>
      </c>
      <c r="AF258" s="7" t="n">
        <v>0.643</v>
      </c>
      <c r="AG258" s="7" t="n">
        <v>-0.155</v>
      </c>
      <c r="AH258" s="7" t="n">
        <v>0.457</v>
      </c>
      <c r="AI258" s="7" t="n">
        <v>0</v>
      </c>
      <c r="AJ258" s="7" t="n">
        <v>-0.05</v>
      </c>
      <c r="AK258" s="7" t="n">
        <v>-0.03</v>
      </c>
      <c r="AL258" s="7" t="n">
        <v>0</v>
      </c>
      <c r="AM258" s="7" t="n">
        <v>0</v>
      </c>
      <c r="AN258" s="7" t="n">
        <v>0</v>
      </c>
      <c r="AO258" s="7" t="n">
        <v>0.265</v>
      </c>
      <c r="AP258" s="7" t="n">
        <v>0.265</v>
      </c>
      <c r="AQ258" s="7" t="n">
        <v>0</v>
      </c>
    </row>
    <row r="259" customFormat="false" ht="15" hidden="false" customHeight="false" outlineLevel="0" collapsed="false">
      <c r="A259" s="23" t="n">
        <v>46576</v>
      </c>
      <c r="B259" s="7" t="n">
        <v>0.482</v>
      </c>
      <c r="C259" s="7" t="n">
        <v>0.501</v>
      </c>
      <c r="D259" s="7" t="n">
        <v>-0.155</v>
      </c>
      <c r="E259" s="7" t="n">
        <v>0.683</v>
      </c>
      <c r="F259" s="7" t="n">
        <v>0.62</v>
      </c>
      <c r="G259" s="7" t="n">
        <v>-0.155</v>
      </c>
      <c r="H259" s="7" t="n">
        <v>-0.155</v>
      </c>
      <c r="I259" s="7" t="n">
        <v>-0.179</v>
      </c>
      <c r="J259" s="7" t="n">
        <v>-0.155</v>
      </c>
      <c r="K259" s="7" t="n">
        <v>0.653</v>
      </c>
      <c r="L259" s="7" t="n">
        <v>0.111</v>
      </c>
      <c r="M259" s="7" t="n">
        <v>0.111</v>
      </c>
      <c r="N259" s="7" t="n">
        <v>0.62</v>
      </c>
      <c r="O259" s="7" t="n">
        <v>0.04</v>
      </c>
      <c r="P259" s="7" t="n">
        <v>-0.155</v>
      </c>
      <c r="Q259" s="7" t="n">
        <v>-0.155</v>
      </c>
      <c r="R259" s="7" t="n">
        <v>-0.155</v>
      </c>
      <c r="S259" s="7" t="n">
        <v>0.683</v>
      </c>
      <c r="T259" s="7" t="n">
        <v>-0.155</v>
      </c>
      <c r="U259" s="7" t="n">
        <v>0.425</v>
      </c>
      <c r="V259" s="7" t="n">
        <v>-0.155</v>
      </c>
      <c r="W259" s="7" t="n">
        <v>-0.155</v>
      </c>
      <c r="X259" s="7" t="n">
        <v>-0.155</v>
      </c>
      <c r="Y259" s="7" t="n">
        <v>-0.155</v>
      </c>
      <c r="Z259" s="7" t="n">
        <v>0.782</v>
      </c>
      <c r="AA259" s="7" t="n">
        <v>-0.155</v>
      </c>
      <c r="AB259" s="7" t="n">
        <v>-0.142</v>
      </c>
      <c r="AC259" s="7" t="n">
        <v>-0.155</v>
      </c>
      <c r="AD259" s="7" t="n">
        <v>0.622</v>
      </c>
      <c r="AE259" s="7" t="n">
        <v>0.62</v>
      </c>
      <c r="AF259" s="7" t="n">
        <v>0.635</v>
      </c>
      <c r="AG259" s="7" t="n">
        <v>-0.155</v>
      </c>
      <c r="AH259" s="7" t="n">
        <v>0.454</v>
      </c>
      <c r="AI259" s="7" t="n">
        <v>0</v>
      </c>
      <c r="AJ259" s="7" t="n">
        <v>-0.05</v>
      </c>
      <c r="AK259" s="7" t="n">
        <v>-0.03</v>
      </c>
      <c r="AL259" s="7" t="n">
        <v>0</v>
      </c>
      <c r="AM259" s="7" t="n">
        <v>0</v>
      </c>
      <c r="AN259" s="7" t="n">
        <v>0</v>
      </c>
      <c r="AO259" s="7" t="n">
        <v>0.262</v>
      </c>
      <c r="AP259" s="7" t="n">
        <v>0.262</v>
      </c>
      <c r="AQ259" s="7" t="n">
        <v>0</v>
      </c>
    </row>
    <row r="260" customFormat="false" ht="15" hidden="false" customHeight="false" outlineLevel="0" collapsed="false">
      <c r="A260" s="23" t="n">
        <v>46577</v>
      </c>
      <c r="B260" s="7" t="n">
        <v>0.472</v>
      </c>
      <c r="C260" s="7" t="n">
        <v>0.487</v>
      </c>
      <c r="D260" s="7" t="n">
        <v>-0.155</v>
      </c>
      <c r="E260" s="7" t="n">
        <v>0.675</v>
      </c>
      <c r="F260" s="7" t="n">
        <v>0.607</v>
      </c>
      <c r="G260" s="7" t="n">
        <v>-0.155</v>
      </c>
      <c r="H260" s="7" t="n">
        <v>-0.155</v>
      </c>
      <c r="I260" s="7" t="n">
        <v>-0.179</v>
      </c>
      <c r="J260" s="7" t="n">
        <v>-0.155</v>
      </c>
      <c r="K260" s="7" t="n">
        <v>0.653</v>
      </c>
      <c r="L260" s="7" t="n">
        <v>0.108</v>
      </c>
      <c r="M260" s="7" t="n">
        <v>0.108</v>
      </c>
      <c r="N260" s="7" t="n">
        <v>0.607</v>
      </c>
      <c r="O260" s="7" t="n">
        <v>0.026</v>
      </c>
      <c r="P260" s="7" t="n">
        <v>-0.155</v>
      </c>
      <c r="Q260" s="7" t="n">
        <v>-0.155</v>
      </c>
      <c r="R260" s="7" t="n">
        <v>-0.155</v>
      </c>
      <c r="S260" s="7" t="n">
        <v>0.675</v>
      </c>
      <c r="T260" s="7" t="n">
        <v>-0.155</v>
      </c>
      <c r="U260" s="7" t="n">
        <v>0.414</v>
      </c>
      <c r="V260" s="7" t="n">
        <v>-0.155</v>
      </c>
      <c r="W260" s="7" t="n">
        <v>-0.155</v>
      </c>
      <c r="X260" s="7" t="n">
        <v>-0.155</v>
      </c>
      <c r="Y260" s="7" t="n">
        <v>-0.155</v>
      </c>
      <c r="Z260" s="7" t="n">
        <v>0.78</v>
      </c>
      <c r="AA260" s="7" t="n">
        <v>-0.155</v>
      </c>
      <c r="AB260" s="7" t="n">
        <v>-0.172</v>
      </c>
      <c r="AC260" s="7" t="n">
        <v>-0.155</v>
      </c>
      <c r="AD260" s="7" t="n">
        <v>0.615</v>
      </c>
      <c r="AE260" s="7" t="n">
        <v>0.607</v>
      </c>
      <c r="AF260" s="7" t="n">
        <v>0.625</v>
      </c>
      <c r="AG260" s="7" t="n">
        <v>-0.155</v>
      </c>
      <c r="AH260" s="7" t="n">
        <v>0.451</v>
      </c>
      <c r="AI260" s="7" t="n">
        <v>0</v>
      </c>
      <c r="AJ260" s="7" t="n">
        <v>-0.05</v>
      </c>
      <c r="AK260" s="7" t="n">
        <v>-0.03</v>
      </c>
      <c r="AL260" s="7" t="n">
        <v>0</v>
      </c>
      <c r="AM260" s="7" t="n">
        <v>0</v>
      </c>
      <c r="AN260" s="7" t="n">
        <v>0</v>
      </c>
      <c r="AO260" s="7" t="n">
        <v>0.259</v>
      </c>
      <c r="AP260" s="7" t="n">
        <v>0.259</v>
      </c>
      <c r="AQ260" s="7" t="n">
        <v>0</v>
      </c>
    </row>
    <row r="261" customFormat="false" ht="15" hidden="false" customHeight="false" outlineLevel="0" collapsed="false">
      <c r="A261" s="23" t="n">
        <v>46578</v>
      </c>
      <c r="B261" s="7" t="n">
        <v>0.458</v>
      </c>
      <c r="C261" s="7" t="n">
        <v>0.469</v>
      </c>
      <c r="D261" s="7" t="n">
        <v>-0.155</v>
      </c>
      <c r="E261" s="7" t="n">
        <v>0.664</v>
      </c>
      <c r="F261" s="7" t="n">
        <v>0.591</v>
      </c>
      <c r="G261" s="7" t="n">
        <v>-0.155</v>
      </c>
      <c r="H261" s="7" t="n">
        <v>-0.155</v>
      </c>
      <c r="I261" s="7" t="n">
        <v>-0.179</v>
      </c>
      <c r="J261" s="7" t="n">
        <v>-0.155</v>
      </c>
      <c r="K261" s="7" t="n">
        <v>0.653</v>
      </c>
      <c r="L261" s="7" t="n">
        <v>0.098</v>
      </c>
      <c r="M261" s="7" t="n">
        <v>0.098</v>
      </c>
      <c r="N261" s="7" t="n">
        <v>0.591</v>
      </c>
      <c r="O261" s="7" t="n">
        <v>0.013</v>
      </c>
      <c r="P261" s="7" t="n">
        <v>-0.155</v>
      </c>
      <c r="Q261" s="7" t="n">
        <v>-0.155</v>
      </c>
      <c r="R261" s="7" t="n">
        <v>-0.155</v>
      </c>
      <c r="S261" s="7" t="n">
        <v>0.664</v>
      </c>
      <c r="T261" s="7" t="n">
        <v>-0.155</v>
      </c>
      <c r="U261" s="7" t="n">
        <v>0.397</v>
      </c>
      <c r="V261" s="7" t="n">
        <v>-0.155</v>
      </c>
      <c r="W261" s="7" t="n">
        <v>-0.155</v>
      </c>
      <c r="X261" s="7" t="n">
        <v>-0.155</v>
      </c>
      <c r="Y261" s="7" t="n">
        <v>-0.155</v>
      </c>
      <c r="Z261" s="7" t="n">
        <v>0.776</v>
      </c>
      <c r="AA261" s="7" t="n">
        <v>-0.155</v>
      </c>
      <c r="AB261" s="7" t="n">
        <v>-0.16</v>
      </c>
      <c r="AC261" s="7" t="n">
        <v>-0.155</v>
      </c>
      <c r="AD261" s="7" t="n">
        <v>0.605</v>
      </c>
      <c r="AE261" s="7" t="n">
        <v>0.591</v>
      </c>
      <c r="AF261" s="7" t="n">
        <v>0.614</v>
      </c>
      <c r="AG261" s="7" t="n">
        <v>-0.155</v>
      </c>
      <c r="AH261" s="7" t="n">
        <v>0.447</v>
      </c>
      <c r="AI261" s="7" t="n">
        <v>0</v>
      </c>
      <c r="AJ261" s="7" t="n">
        <v>-0.049</v>
      </c>
      <c r="AK261" s="7" t="n">
        <v>-0.029</v>
      </c>
      <c r="AL261" s="7" t="n">
        <v>0</v>
      </c>
      <c r="AM261" s="7" t="n">
        <v>0</v>
      </c>
      <c r="AN261" s="7" t="n">
        <v>0</v>
      </c>
      <c r="AO261" s="7" t="n">
        <v>0.249</v>
      </c>
      <c r="AP261" s="7" t="n">
        <v>0.249</v>
      </c>
      <c r="AQ261" s="7" t="n">
        <v>0</v>
      </c>
    </row>
    <row r="262" customFormat="false" ht="15" hidden="false" customHeight="false" outlineLevel="0" collapsed="false">
      <c r="A262" s="23" t="n">
        <v>46579</v>
      </c>
      <c r="B262" s="7" t="n">
        <v>0.458</v>
      </c>
      <c r="C262" s="7" t="n">
        <v>0.469</v>
      </c>
      <c r="D262" s="7" t="n">
        <v>-0.155</v>
      </c>
      <c r="E262" s="7" t="n">
        <v>0.664</v>
      </c>
      <c r="F262" s="7" t="n">
        <v>0.591</v>
      </c>
      <c r="G262" s="7" t="n">
        <v>-0.155</v>
      </c>
      <c r="H262" s="7" t="n">
        <v>-0.155</v>
      </c>
      <c r="I262" s="7" t="n">
        <v>-0.179</v>
      </c>
      <c r="J262" s="7" t="n">
        <v>-0.155</v>
      </c>
      <c r="K262" s="7" t="n">
        <v>0.653</v>
      </c>
      <c r="L262" s="7" t="n">
        <v>0.098</v>
      </c>
      <c r="M262" s="7" t="n">
        <v>0.098</v>
      </c>
      <c r="N262" s="7" t="n">
        <v>0.591</v>
      </c>
      <c r="O262" s="7" t="n">
        <v>0.013</v>
      </c>
      <c r="P262" s="7" t="n">
        <v>-0.155</v>
      </c>
      <c r="Q262" s="7" t="n">
        <v>-0.155</v>
      </c>
      <c r="R262" s="7" t="n">
        <v>-0.155</v>
      </c>
      <c r="S262" s="7" t="n">
        <v>0.664</v>
      </c>
      <c r="T262" s="7" t="n">
        <v>-0.155</v>
      </c>
      <c r="U262" s="7" t="n">
        <v>0.397</v>
      </c>
      <c r="V262" s="7" t="n">
        <v>-0.155</v>
      </c>
      <c r="W262" s="7" t="n">
        <v>-0.155</v>
      </c>
      <c r="X262" s="7" t="n">
        <v>-0.155</v>
      </c>
      <c r="Y262" s="7" t="n">
        <v>-0.155</v>
      </c>
      <c r="Z262" s="7" t="n">
        <v>0.776</v>
      </c>
      <c r="AA262" s="7" t="n">
        <v>-0.155</v>
      </c>
      <c r="AB262" s="7" t="n">
        <v>-0.16</v>
      </c>
      <c r="AC262" s="7" t="n">
        <v>-0.155</v>
      </c>
      <c r="AD262" s="7" t="n">
        <v>0.605</v>
      </c>
      <c r="AE262" s="7" t="n">
        <v>0.591</v>
      </c>
      <c r="AF262" s="7" t="n">
        <v>0.614</v>
      </c>
      <c r="AG262" s="7" t="n">
        <v>-0.155</v>
      </c>
      <c r="AH262" s="7" t="n">
        <v>0.447</v>
      </c>
      <c r="AI262" s="7" t="n">
        <v>0</v>
      </c>
      <c r="AJ262" s="7" t="n">
        <v>-0.049</v>
      </c>
      <c r="AK262" s="7" t="n">
        <v>-0.029</v>
      </c>
      <c r="AL262" s="7" t="n">
        <v>0</v>
      </c>
      <c r="AM262" s="7" t="n">
        <v>0</v>
      </c>
      <c r="AN262" s="7" t="n">
        <v>0</v>
      </c>
      <c r="AO262" s="7" t="n">
        <v>0.249</v>
      </c>
      <c r="AP262" s="7" t="n">
        <v>0.249</v>
      </c>
      <c r="AQ262" s="7" t="n">
        <v>0</v>
      </c>
    </row>
    <row r="263" customFormat="false" ht="15" hidden="false" customHeight="false" outlineLevel="0" collapsed="false">
      <c r="A263" s="23" t="n">
        <v>46580</v>
      </c>
      <c r="B263" s="7" t="n">
        <v>0.458</v>
      </c>
      <c r="C263" s="7" t="n">
        <v>0.469</v>
      </c>
      <c r="D263" s="7" t="n">
        <v>-0.155</v>
      </c>
      <c r="E263" s="7" t="n">
        <v>0.664</v>
      </c>
      <c r="F263" s="7" t="n">
        <v>0.591</v>
      </c>
      <c r="G263" s="7" t="n">
        <v>-0.155</v>
      </c>
      <c r="H263" s="7" t="n">
        <v>-0.155</v>
      </c>
      <c r="I263" s="7" t="n">
        <v>-0.179</v>
      </c>
      <c r="J263" s="7" t="n">
        <v>-0.155</v>
      </c>
      <c r="K263" s="7" t="n">
        <v>0.653</v>
      </c>
      <c r="L263" s="7" t="n">
        <v>0.098</v>
      </c>
      <c r="M263" s="7" t="n">
        <v>0.098</v>
      </c>
      <c r="N263" s="7" t="n">
        <v>0.591</v>
      </c>
      <c r="O263" s="7" t="n">
        <v>0.013</v>
      </c>
      <c r="P263" s="7" t="n">
        <v>-0.155</v>
      </c>
      <c r="Q263" s="7" t="n">
        <v>-0.155</v>
      </c>
      <c r="R263" s="7" t="n">
        <v>-0.155</v>
      </c>
      <c r="S263" s="7" t="n">
        <v>0.664</v>
      </c>
      <c r="T263" s="7" t="n">
        <v>-0.155</v>
      </c>
      <c r="U263" s="7" t="n">
        <v>0.397</v>
      </c>
      <c r="V263" s="7" t="n">
        <v>-0.155</v>
      </c>
      <c r="W263" s="7" t="n">
        <v>-0.155</v>
      </c>
      <c r="X263" s="7" t="n">
        <v>-0.155</v>
      </c>
      <c r="Y263" s="7" t="n">
        <v>-0.155</v>
      </c>
      <c r="Z263" s="7" t="n">
        <v>0.776</v>
      </c>
      <c r="AA263" s="7" t="n">
        <v>-0.155</v>
      </c>
      <c r="AB263" s="7" t="n">
        <v>-0.16</v>
      </c>
      <c r="AC263" s="7" t="n">
        <v>-0.155</v>
      </c>
      <c r="AD263" s="7" t="n">
        <v>0.605</v>
      </c>
      <c r="AE263" s="7" t="n">
        <v>0.591</v>
      </c>
      <c r="AF263" s="7" t="n">
        <v>0.614</v>
      </c>
      <c r="AG263" s="7" t="n">
        <v>-0.155</v>
      </c>
      <c r="AH263" s="7" t="n">
        <v>0.447</v>
      </c>
      <c r="AI263" s="7" t="n">
        <v>0</v>
      </c>
      <c r="AJ263" s="7" t="n">
        <v>-0.049</v>
      </c>
      <c r="AK263" s="7" t="n">
        <v>-0.029</v>
      </c>
      <c r="AL263" s="7" t="n">
        <v>0</v>
      </c>
      <c r="AM263" s="7" t="n">
        <v>0</v>
      </c>
      <c r="AN263" s="7" t="n">
        <v>0</v>
      </c>
      <c r="AO263" s="7" t="n">
        <v>0.249</v>
      </c>
      <c r="AP263" s="7" t="n">
        <v>0.249</v>
      </c>
      <c r="AQ263" s="7" t="n">
        <v>0</v>
      </c>
    </row>
    <row r="264" customFormat="false" ht="15" hidden="false" customHeight="false" outlineLevel="0" collapsed="false">
      <c r="A264" s="23" t="n">
        <v>46581</v>
      </c>
      <c r="B264" s="7" t="n">
        <v>0.447</v>
      </c>
      <c r="C264" s="7" t="n">
        <v>0.37</v>
      </c>
      <c r="D264" s="7" t="n">
        <v>-0.155</v>
      </c>
      <c r="E264" s="7" t="n">
        <v>0.62</v>
      </c>
      <c r="F264" s="7" t="n">
        <v>0.626</v>
      </c>
      <c r="G264" s="7" t="n">
        <v>-0.155</v>
      </c>
      <c r="H264" s="7" t="n">
        <v>-0.155</v>
      </c>
      <c r="I264" s="7" t="n">
        <v>-0.279</v>
      </c>
      <c r="J264" s="7" t="n">
        <v>-0.155</v>
      </c>
      <c r="K264" s="7" t="n">
        <v>0.492</v>
      </c>
      <c r="L264" s="7" t="n">
        <v>0.076</v>
      </c>
      <c r="M264" s="7" t="n">
        <v>0.167</v>
      </c>
      <c r="N264" s="7" t="n">
        <v>0.573</v>
      </c>
      <c r="O264" s="7" t="n">
        <v>-0.04</v>
      </c>
      <c r="P264" s="7" t="n">
        <v>-0.155</v>
      </c>
      <c r="Q264" s="7" t="n">
        <v>-0.155</v>
      </c>
      <c r="R264" s="7" t="n">
        <v>-0.155</v>
      </c>
      <c r="S264" s="7" t="n">
        <v>0.62</v>
      </c>
      <c r="T264" s="7" t="n">
        <v>-0.155</v>
      </c>
      <c r="U264" s="7" t="n">
        <v>0.405</v>
      </c>
      <c r="V264" s="7" t="n">
        <v>-0.185</v>
      </c>
      <c r="W264" s="7" t="n">
        <v>-0.155</v>
      </c>
      <c r="X264" s="7" t="n">
        <v>-0.155</v>
      </c>
      <c r="Y264" s="7" t="n">
        <v>-0.155</v>
      </c>
      <c r="Z264" s="7" t="n">
        <v>0.712</v>
      </c>
      <c r="AA264" s="7" t="n">
        <v>-0.155</v>
      </c>
      <c r="AB264" s="7" t="n">
        <v>-0.204</v>
      </c>
      <c r="AC264" s="7" t="n">
        <v>-0.155</v>
      </c>
      <c r="AD264" s="7" t="n">
        <v>0.573</v>
      </c>
      <c r="AE264" s="7" t="n">
        <v>0.626</v>
      </c>
      <c r="AF264" s="7" t="n">
        <v>0.456</v>
      </c>
      <c r="AG264" s="7" t="n">
        <v>-0.155</v>
      </c>
      <c r="AH264" s="7" t="n">
        <v>0.444</v>
      </c>
      <c r="AI264" s="7" t="n">
        <v>-0.091</v>
      </c>
      <c r="AJ264" s="7" t="n">
        <v>-0.138</v>
      </c>
      <c r="AK264" s="7" t="n">
        <v>-0.119</v>
      </c>
      <c r="AL264" s="7" t="n">
        <v>0</v>
      </c>
      <c r="AM264" s="7" t="n">
        <v>-0.091</v>
      </c>
      <c r="AN264" s="7" t="n">
        <v>0</v>
      </c>
      <c r="AO264" s="7" t="n">
        <v>0.311</v>
      </c>
      <c r="AP264" s="7" t="n">
        <v>0.311</v>
      </c>
      <c r="AQ264" s="7" t="n">
        <v>0</v>
      </c>
    </row>
    <row r="265" customFormat="false" ht="15" hidden="false" customHeight="false" outlineLevel="0" collapsed="false">
      <c r="A265" s="23" t="n">
        <v>46582</v>
      </c>
      <c r="B265" s="7" t="n">
        <v>0.433</v>
      </c>
      <c r="C265" s="7" t="n">
        <v>0.271</v>
      </c>
      <c r="D265" s="7" t="n">
        <v>-0.155</v>
      </c>
      <c r="E265" s="7" t="n">
        <v>0.577</v>
      </c>
      <c r="F265" s="7" t="n">
        <v>0.663</v>
      </c>
      <c r="G265" s="7" t="n">
        <v>-0.155</v>
      </c>
      <c r="H265" s="7" t="n">
        <v>-0.155</v>
      </c>
      <c r="I265" s="7" t="n">
        <v>-0.394</v>
      </c>
      <c r="J265" s="7" t="n">
        <v>-0.13</v>
      </c>
      <c r="K265" s="7" t="n">
        <v>0.33</v>
      </c>
      <c r="L265" s="7" t="n">
        <v>0.051</v>
      </c>
      <c r="M265" s="7" t="n">
        <v>0.254</v>
      </c>
      <c r="N265" s="7" t="n">
        <v>0.555</v>
      </c>
      <c r="O265" s="7" t="n">
        <v>-0.095</v>
      </c>
      <c r="P265" s="7" t="n">
        <v>-0.155</v>
      </c>
      <c r="Q265" s="7" t="n">
        <v>-0.155</v>
      </c>
      <c r="R265" s="7" t="n">
        <v>-0.155</v>
      </c>
      <c r="S265" s="7" t="n">
        <v>0.577</v>
      </c>
      <c r="T265" s="7" t="n">
        <v>-0.155</v>
      </c>
      <c r="U265" s="7" t="n">
        <v>0.413</v>
      </c>
      <c r="V265" s="7" t="n">
        <v>-0.238</v>
      </c>
      <c r="W265" s="7" t="n">
        <v>-0.155</v>
      </c>
      <c r="X265" s="7" t="n">
        <v>-0.155</v>
      </c>
      <c r="Y265" s="7" t="n">
        <v>-0.155</v>
      </c>
      <c r="Z265" s="7" t="n">
        <v>0.647</v>
      </c>
      <c r="AA265" s="7" t="n">
        <v>-0.155</v>
      </c>
      <c r="AB265" s="7" t="n">
        <v>-0.289</v>
      </c>
      <c r="AC265" s="7" t="n">
        <v>-0.155</v>
      </c>
      <c r="AD265" s="7" t="n">
        <v>0.541</v>
      </c>
      <c r="AE265" s="7" t="n">
        <v>0.663</v>
      </c>
      <c r="AF265" s="7" t="n">
        <v>0.301</v>
      </c>
      <c r="AG265" s="7" t="n">
        <v>-0.155</v>
      </c>
      <c r="AH265" s="7" t="n">
        <v>0.44</v>
      </c>
      <c r="AI265" s="7" t="n">
        <v>-0.184</v>
      </c>
      <c r="AJ265" s="7" t="n">
        <v>-0.228</v>
      </c>
      <c r="AK265" s="7" t="n">
        <v>-0.211</v>
      </c>
      <c r="AL265" s="7" t="n">
        <v>0</v>
      </c>
      <c r="AM265" s="7" t="n">
        <v>-0.184</v>
      </c>
      <c r="AN265" s="7" t="n">
        <v>0</v>
      </c>
      <c r="AO265" s="7" t="n">
        <v>0.372</v>
      </c>
      <c r="AP265" s="7" t="n">
        <v>0.372</v>
      </c>
      <c r="AQ265" s="7" t="n">
        <v>0</v>
      </c>
    </row>
    <row r="266" customFormat="false" ht="15" hidden="false" customHeight="false" outlineLevel="0" collapsed="false">
      <c r="A266" s="23" t="n">
        <v>46583</v>
      </c>
      <c r="B266" s="7" t="n">
        <v>0.37</v>
      </c>
      <c r="C266" s="7" t="n">
        <v>0.253</v>
      </c>
      <c r="D266" s="7" t="n">
        <v>-0.155</v>
      </c>
      <c r="E266" s="7" t="n">
        <v>0.536</v>
      </c>
      <c r="F266" s="7" t="n">
        <v>0.637</v>
      </c>
      <c r="G266" s="7" t="n">
        <v>-0.155</v>
      </c>
      <c r="H266" s="7" t="n">
        <v>-0.213</v>
      </c>
      <c r="I266" s="7" t="n">
        <v>-0.491</v>
      </c>
      <c r="J266" s="7" t="n">
        <v>-0.103</v>
      </c>
      <c r="K266" s="7" t="n">
        <v>0.168</v>
      </c>
      <c r="L266" s="7" t="n">
        <v>0.029</v>
      </c>
      <c r="M266" s="7" t="n">
        <v>0.327</v>
      </c>
      <c r="N266" s="7" t="n">
        <v>0.434</v>
      </c>
      <c r="O266" s="7" t="n">
        <v>-0.215</v>
      </c>
      <c r="P266" s="7" t="n">
        <v>-0.155</v>
      </c>
      <c r="Q266" s="7" t="n">
        <v>-0.155</v>
      </c>
      <c r="R266" s="7" t="n">
        <v>-0.219</v>
      </c>
      <c r="S266" s="7" t="n">
        <v>0.536</v>
      </c>
      <c r="T266" s="7" t="n">
        <v>-0.237</v>
      </c>
      <c r="U266" s="7" t="n">
        <v>0.426</v>
      </c>
      <c r="V266" s="7" t="n">
        <v>-0.258</v>
      </c>
      <c r="W266" s="7" t="n">
        <v>-0.155</v>
      </c>
      <c r="X266" s="7" t="n">
        <v>-0.155</v>
      </c>
      <c r="Y266" s="7" t="n">
        <v>-0.155</v>
      </c>
      <c r="Z266" s="7" t="n">
        <v>0.584</v>
      </c>
      <c r="AA266" s="7" t="n">
        <v>-0.219</v>
      </c>
      <c r="AB266" s="7" t="n">
        <v>-0.348</v>
      </c>
      <c r="AC266" s="7" t="n">
        <v>-0.155</v>
      </c>
      <c r="AD266" s="7" t="n">
        <v>0.512</v>
      </c>
      <c r="AE266" s="7" t="n">
        <v>0.637</v>
      </c>
      <c r="AF266" s="7" t="n">
        <v>0.147</v>
      </c>
      <c r="AG266" s="7" t="n">
        <v>-0.155</v>
      </c>
      <c r="AH266" s="7" t="n">
        <v>0.437</v>
      </c>
      <c r="AI266" s="7" t="n">
        <v>-0.279</v>
      </c>
      <c r="AJ266" s="7" t="n">
        <v>-0.32</v>
      </c>
      <c r="AK266" s="7" t="n">
        <v>-0.303</v>
      </c>
      <c r="AL266" s="7" t="n">
        <v>0</v>
      </c>
      <c r="AM266" s="7" t="n">
        <v>-0.279</v>
      </c>
      <c r="AN266" s="7" t="n">
        <v>0</v>
      </c>
      <c r="AO266" s="7" t="n">
        <v>0.437</v>
      </c>
      <c r="AP266" s="7" t="n">
        <v>0.437</v>
      </c>
      <c r="AQ266" s="7" t="n">
        <v>0</v>
      </c>
    </row>
    <row r="267" customFormat="false" ht="15" hidden="false" customHeight="false" outlineLevel="0" collapsed="false">
      <c r="A267" s="23" t="n">
        <v>46584</v>
      </c>
      <c r="B267" s="7" t="n">
        <v>0.313</v>
      </c>
      <c r="C267" s="7" t="n">
        <v>0.254</v>
      </c>
      <c r="D267" s="7" t="n">
        <v>-0.155</v>
      </c>
      <c r="E267" s="7" t="n">
        <v>0.496</v>
      </c>
      <c r="F267" s="7" t="n">
        <v>0.612</v>
      </c>
      <c r="G267" s="7" t="n">
        <v>-0.155</v>
      </c>
      <c r="H267" s="7" t="n">
        <v>-0.271</v>
      </c>
      <c r="I267" s="7" t="n">
        <v>-0.576</v>
      </c>
      <c r="J267" s="7" t="n">
        <v>-0.073</v>
      </c>
      <c r="K267" s="7" t="n">
        <v>0.007</v>
      </c>
      <c r="L267" s="7" t="n">
        <v>0.028</v>
      </c>
      <c r="M267" s="7" t="n">
        <v>0.4</v>
      </c>
      <c r="N267" s="7" t="n">
        <v>0.336</v>
      </c>
      <c r="O267" s="7" t="n">
        <v>-0.317</v>
      </c>
      <c r="P267" s="7" t="n">
        <v>-0.155</v>
      </c>
      <c r="Q267" s="7" t="n">
        <v>-0.155</v>
      </c>
      <c r="R267" s="7" t="n">
        <v>-0.285</v>
      </c>
      <c r="S267" s="7" t="n">
        <v>0.496</v>
      </c>
      <c r="T267" s="7" t="n">
        <v>-0.319</v>
      </c>
      <c r="U267" s="7" t="n">
        <v>0.44</v>
      </c>
      <c r="V267" s="7" t="n">
        <v>-0.282</v>
      </c>
      <c r="W267" s="7" t="n">
        <v>-0.155</v>
      </c>
      <c r="X267" s="7" t="n">
        <v>-0.155</v>
      </c>
      <c r="Y267" s="7" t="n">
        <v>-0.155</v>
      </c>
      <c r="Z267" s="7" t="n">
        <v>0.521</v>
      </c>
      <c r="AA267" s="7" t="n">
        <v>-0.285</v>
      </c>
      <c r="AB267" s="7" t="n">
        <v>-0.372</v>
      </c>
      <c r="AC267" s="7" t="n">
        <v>-0.155</v>
      </c>
      <c r="AD267" s="7" t="n">
        <v>0.484</v>
      </c>
      <c r="AE267" s="7" t="n">
        <v>0.612</v>
      </c>
      <c r="AF267" s="7" t="n">
        <v>-0.005</v>
      </c>
      <c r="AG267" s="7" t="n">
        <v>-0.155</v>
      </c>
      <c r="AH267" s="7" t="n">
        <v>0.434</v>
      </c>
      <c r="AI267" s="7" t="n">
        <v>-0.355</v>
      </c>
      <c r="AJ267" s="7" t="n">
        <v>-0.394</v>
      </c>
      <c r="AK267" s="7" t="n">
        <v>-0.379</v>
      </c>
      <c r="AL267" s="7" t="n">
        <v>0</v>
      </c>
      <c r="AM267" s="7" t="n">
        <v>-0.355</v>
      </c>
      <c r="AN267" s="7" t="n">
        <v>0</v>
      </c>
      <c r="AO267" s="7" t="n">
        <v>0.503</v>
      </c>
      <c r="AP267" s="7" t="n">
        <v>0.503</v>
      </c>
      <c r="AQ267" s="7" t="n">
        <v>0</v>
      </c>
    </row>
    <row r="268" customFormat="false" ht="15" hidden="false" customHeight="false" outlineLevel="0" collapsed="false">
      <c r="A268" s="23" t="n">
        <v>46585</v>
      </c>
      <c r="B268" s="7" t="n">
        <v>0.163</v>
      </c>
      <c r="C268" s="7" t="n">
        <v>0.03</v>
      </c>
      <c r="D268" s="7" t="n">
        <v>-0.155</v>
      </c>
      <c r="E268" s="7" t="n">
        <v>0.364</v>
      </c>
      <c r="F268" s="7" t="n">
        <v>0.496</v>
      </c>
      <c r="G268" s="7" t="n">
        <v>-0.155</v>
      </c>
      <c r="H268" s="7" t="n">
        <v>-0.305</v>
      </c>
      <c r="I268" s="7" t="n">
        <v>-0.695</v>
      </c>
      <c r="J268" s="7" t="n">
        <v>-0.042</v>
      </c>
      <c r="K268" s="7" t="n">
        <v>-0.155</v>
      </c>
      <c r="L268" s="7" t="n">
        <v>-0.115</v>
      </c>
      <c r="M268" s="7" t="n">
        <v>0.382</v>
      </c>
      <c r="N268" s="7" t="n">
        <v>0.094</v>
      </c>
      <c r="O268" s="7" t="n">
        <v>-0.461</v>
      </c>
      <c r="P268" s="7" t="n">
        <v>-0.155</v>
      </c>
      <c r="Q268" s="7" t="n">
        <v>-0.155</v>
      </c>
      <c r="R268" s="7" t="n">
        <v>-0.313</v>
      </c>
      <c r="S268" s="7" t="n">
        <v>0.364</v>
      </c>
      <c r="T268" s="7" t="n">
        <v>-0.367</v>
      </c>
      <c r="U268" s="7" t="n">
        <v>0.364</v>
      </c>
      <c r="V268" s="7" t="n">
        <v>-0.298</v>
      </c>
      <c r="W268" s="7" t="n">
        <v>-0.155</v>
      </c>
      <c r="X268" s="7" t="n">
        <v>-0.155</v>
      </c>
      <c r="Y268" s="7" t="n">
        <v>-0.155</v>
      </c>
      <c r="Z268" s="7" t="n">
        <v>0.364</v>
      </c>
      <c r="AA268" s="7" t="n">
        <v>-0.313</v>
      </c>
      <c r="AB268" s="7" t="n">
        <v>-0.491</v>
      </c>
      <c r="AC268" s="7" t="n">
        <v>-0.155</v>
      </c>
      <c r="AD268" s="7" t="n">
        <v>0.364</v>
      </c>
      <c r="AE268" s="7" t="n">
        <v>0.496</v>
      </c>
      <c r="AF268" s="7" t="n">
        <v>-0.155</v>
      </c>
      <c r="AG268" s="7" t="n">
        <v>-0.155</v>
      </c>
      <c r="AH268" s="7" t="n">
        <v>0.431</v>
      </c>
      <c r="AI268" s="7" t="n">
        <v>-0.484</v>
      </c>
      <c r="AJ268" s="7" t="n">
        <v>-0.518</v>
      </c>
      <c r="AK268" s="7" t="n">
        <v>-0.505</v>
      </c>
      <c r="AL268" s="7" t="n">
        <v>0</v>
      </c>
      <c r="AM268" s="7" t="n">
        <v>-0.484</v>
      </c>
      <c r="AN268" s="7" t="n">
        <v>0</v>
      </c>
      <c r="AO268" s="7" t="n">
        <v>0.486</v>
      </c>
      <c r="AP268" s="7" t="n">
        <v>0.486</v>
      </c>
      <c r="AQ268" s="7" t="n">
        <v>0</v>
      </c>
    </row>
    <row r="269" customFormat="false" ht="15" hidden="false" customHeight="false" outlineLevel="0" collapsed="false">
      <c r="A269" s="23" t="n">
        <v>46586</v>
      </c>
      <c r="B269" s="7" t="n">
        <v>0.163</v>
      </c>
      <c r="C269" s="7" t="n">
        <v>0.03</v>
      </c>
      <c r="D269" s="7" t="n">
        <v>-0.155</v>
      </c>
      <c r="E269" s="7" t="n">
        <v>0.364</v>
      </c>
      <c r="F269" s="7" t="n">
        <v>0.496</v>
      </c>
      <c r="G269" s="7" t="n">
        <v>-0.155</v>
      </c>
      <c r="H269" s="7" t="n">
        <v>-0.305</v>
      </c>
      <c r="I269" s="7" t="n">
        <v>-0.695</v>
      </c>
      <c r="J269" s="7" t="n">
        <v>-0.042</v>
      </c>
      <c r="K269" s="7" t="n">
        <v>-0.155</v>
      </c>
      <c r="L269" s="7" t="n">
        <v>-0.115</v>
      </c>
      <c r="M269" s="7" t="n">
        <v>0.382</v>
      </c>
      <c r="N269" s="7" t="n">
        <v>0.094</v>
      </c>
      <c r="O269" s="7" t="n">
        <v>-0.461</v>
      </c>
      <c r="P269" s="7" t="n">
        <v>-0.155</v>
      </c>
      <c r="Q269" s="7" t="n">
        <v>-0.155</v>
      </c>
      <c r="R269" s="7" t="n">
        <v>-0.313</v>
      </c>
      <c r="S269" s="7" t="n">
        <v>0.364</v>
      </c>
      <c r="T269" s="7" t="n">
        <v>-0.367</v>
      </c>
      <c r="U269" s="7" t="n">
        <v>0.364</v>
      </c>
      <c r="V269" s="7" t="n">
        <v>-0.298</v>
      </c>
      <c r="W269" s="7" t="n">
        <v>-0.155</v>
      </c>
      <c r="X269" s="7" t="n">
        <v>-0.155</v>
      </c>
      <c r="Y269" s="7" t="n">
        <v>-0.155</v>
      </c>
      <c r="Z269" s="7" t="n">
        <v>0.364</v>
      </c>
      <c r="AA269" s="7" t="n">
        <v>-0.313</v>
      </c>
      <c r="AB269" s="7" t="n">
        <v>-0.491</v>
      </c>
      <c r="AC269" s="7" t="n">
        <v>-0.155</v>
      </c>
      <c r="AD269" s="7" t="n">
        <v>0.364</v>
      </c>
      <c r="AE269" s="7" t="n">
        <v>0.496</v>
      </c>
      <c r="AF269" s="7" t="n">
        <v>-0.155</v>
      </c>
      <c r="AG269" s="7" t="n">
        <v>-0.155</v>
      </c>
      <c r="AH269" s="7" t="n">
        <v>0.431</v>
      </c>
      <c r="AI269" s="7" t="n">
        <v>-0.484</v>
      </c>
      <c r="AJ269" s="7" t="n">
        <v>-0.518</v>
      </c>
      <c r="AK269" s="7" t="n">
        <v>-0.505</v>
      </c>
      <c r="AL269" s="7" t="n">
        <v>0</v>
      </c>
      <c r="AM269" s="7" t="n">
        <v>-0.484</v>
      </c>
      <c r="AN269" s="7" t="n">
        <v>0</v>
      </c>
      <c r="AO269" s="7" t="n">
        <v>0.486</v>
      </c>
      <c r="AP269" s="7" t="n">
        <v>0.486</v>
      </c>
      <c r="AQ269" s="7" t="n">
        <v>0</v>
      </c>
    </row>
    <row r="270" customFormat="false" ht="15" hidden="false" customHeight="false" outlineLevel="0" collapsed="false">
      <c r="A270" s="23" t="n">
        <v>46587</v>
      </c>
      <c r="B270" s="7" t="n">
        <v>0.163</v>
      </c>
      <c r="C270" s="7" t="n">
        <v>0.03</v>
      </c>
      <c r="D270" s="7" t="n">
        <v>-0.155</v>
      </c>
      <c r="E270" s="7" t="n">
        <v>0.364</v>
      </c>
      <c r="F270" s="7" t="n">
        <v>0.496</v>
      </c>
      <c r="G270" s="7" t="n">
        <v>-0.155</v>
      </c>
      <c r="H270" s="7" t="n">
        <v>-0.305</v>
      </c>
      <c r="I270" s="7" t="n">
        <v>-0.695</v>
      </c>
      <c r="J270" s="7" t="n">
        <v>-0.042</v>
      </c>
      <c r="K270" s="7" t="n">
        <v>-0.155</v>
      </c>
      <c r="L270" s="7" t="n">
        <v>-0.115</v>
      </c>
      <c r="M270" s="7" t="n">
        <v>0.382</v>
      </c>
      <c r="N270" s="7" t="n">
        <v>0.094</v>
      </c>
      <c r="O270" s="7" t="n">
        <v>-0.461</v>
      </c>
      <c r="P270" s="7" t="n">
        <v>-0.155</v>
      </c>
      <c r="Q270" s="7" t="n">
        <v>-0.155</v>
      </c>
      <c r="R270" s="7" t="n">
        <v>-0.313</v>
      </c>
      <c r="S270" s="7" t="n">
        <v>0.364</v>
      </c>
      <c r="T270" s="7" t="n">
        <v>-0.367</v>
      </c>
      <c r="U270" s="7" t="n">
        <v>0.364</v>
      </c>
      <c r="V270" s="7" t="n">
        <v>-0.298</v>
      </c>
      <c r="W270" s="7" t="n">
        <v>-0.155</v>
      </c>
      <c r="X270" s="7" t="n">
        <v>-0.155</v>
      </c>
      <c r="Y270" s="7" t="n">
        <v>-0.155</v>
      </c>
      <c r="Z270" s="7" t="n">
        <v>0.364</v>
      </c>
      <c r="AA270" s="7" t="n">
        <v>-0.313</v>
      </c>
      <c r="AB270" s="7" t="n">
        <v>-0.491</v>
      </c>
      <c r="AC270" s="7" t="n">
        <v>-0.155</v>
      </c>
      <c r="AD270" s="7" t="n">
        <v>0.364</v>
      </c>
      <c r="AE270" s="7" t="n">
        <v>0.496</v>
      </c>
      <c r="AF270" s="7" t="n">
        <v>-0.155</v>
      </c>
      <c r="AG270" s="7" t="n">
        <v>-0.155</v>
      </c>
      <c r="AH270" s="7" t="n">
        <v>0.431</v>
      </c>
      <c r="AI270" s="7" t="n">
        <v>-0.484</v>
      </c>
      <c r="AJ270" s="7" t="n">
        <v>-0.518</v>
      </c>
      <c r="AK270" s="7" t="n">
        <v>-0.505</v>
      </c>
      <c r="AL270" s="7" t="n">
        <v>0</v>
      </c>
      <c r="AM270" s="7" t="n">
        <v>-0.484</v>
      </c>
      <c r="AN270" s="7" t="n">
        <v>0</v>
      </c>
      <c r="AO270" s="7" t="n">
        <v>0.486</v>
      </c>
      <c r="AP270" s="7" t="n">
        <v>0.486</v>
      </c>
      <c r="AQ270" s="7" t="n">
        <v>0</v>
      </c>
    </row>
    <row r="271" customFormat="false" ht="15" hidden="false" customHeight="false" outlineLevel="0" collapsed="false">
      <c r="A271" s="23" t="n">
        <v>46588</v>
      </c>
      <c r="B271" s="7" t="n">
        <v>0.007</v>
      </c>
      <c r="C271" s="7" t="n">
        <v>-0.113</v>
      </c>
      <c r="D271" s="7" t="n">
        <v>-0.155</v>
      </c>
      <c r="E271" s="7" t="n">
        <v>0.261</v>
      </c>
      <c r="F271" s="7" t="n">
        <v>0.327</v>
      </c>
      <c r="G271" s="7" t="n">
        <v>-0.155</v>
      </c>
      <c r="H271" s="7" t="n">
        <v>-0.337</v>
      </c>
      <c r="I271" s="7" t="n">
        <v>-0.716</v>
      </c>
      <c r="J271" s="7" t="n">
        <v>-0.003</v>
      </c>
      <c r="K271" s="7" t="n">
        <v>-0.155</v>
      </c>
      <c r="L271" s="7" t="n">
        <v>-0.253</v>
      </c>
      <c r="M271" s="7" t="n">
        <v>0.28</v>
      </c>
      <c r="N271" s="7" t="n">
        <v>-0.148</v>
      </c>
      <c r="O271" s="7" t="n">
        <v>-0.56</v>
      </c>
      <c r="P271" s="7" t="n">
        <v>-0.155</v>
      </c>
      <c r="Q271" s="7" t="n">
        <v>-0.155</v>
      </c>
      <c r="R271" s="7" t="n">
        <v>-0.34</v>
      </c>
      <c r="S271" s="7" t="n">
        <v>0.261</v>
      </c>
      <c r="T271" s="7" t="n">
        <v>-0.414</v>
      </c>
      <c r="U271" s="7" t="n">
        <v>0.261</v>
      </c>
      <c r="V271" s="7" t="n">
        <v>-0.287</v>
      </c>
      <c r="W271" s="7" t="n">
        <v>-0.155</v>
      </c>
      <c r="X271" s="7" t="n">
        <v>-0.155</v>
      </c>
      <c r="Y271" s="7" t="n">
        <v>-0.155</v>
      </c>
      <c r="Z271" s="7" t="n">
        <v>0.261</v>
      </c>
      <c r="AA271" s="7" t="n">
        <v>-0.34</v>
      </c>
      <c r="AB271" s="7" t="n">
        <v>-0.498</v>
      </c>
      <c r="AC271" s="7" t="n">
        <v>-0.155</v>
      </c>
      <c r="AD271" s="7" t="n">
        <v>0.261</v>
      </c>
      <c r="AE271" s="7" t="n">
        <v>0.327</v>
      </c>
      <c r="AF271" s="7" t="n">
        <v>-0.155</v>
      </c>
      <c r="AG271" s="7" t="n">
        <v>-0.155</v>
      </c>
      <c r="AH271" s="7" t="n">
        <v>0.428</v>
      </c>
      <c r="AI271" s="7" t="n">
        <v>-0.523</v>
      </c>
      <c r="AJ271" s="7" t="n">
        <v>-0.555</v>
      </c>
      <c r="AK271" s="7" t="n">
        <v>-0.542</v>
      </c>
      <c r="AL271" s="7" t="n">
        <v>0</v>
      </c>
      <c r="AM271" s="7" t="n">
        <v>-0.523</v>
      </c>
      <c r="AN271" s="7" t="n">
        <v>0</v>
      </c>
      <c r="AO271" s="7" t="n">
        <v>0.392</v>
      </c>
      <c r="AP271" s="7" t="n">
        <v>0.392</v>
      </c>
      <c r="AQ271" s="7" t="n">
        <v>0</v>
      </c>
    </row>
    <row r="272" customFormat="false" ht="15" hidden="false" customHeight="false" outlineLevel="0" collapsed="false">
      <c r="A272" s="23" t="n">
        <v>46589</v>
      </c>
      <c r="B272" s="7" t="n">
        <v>-0.145</v>
      </c>
      <c r="C272" s="7" t="n">
        <v>-0.256</v>
      </c>
      <c r="D272" s="7" t="n">
        <v>-0.155</v>
      </c>
      <c r="E272" s="7" t="n">
        <v>0.157</v>
      </c>
      <c r="F272" s="7" t="n">
        <v>0.157</v>
      </c>
      <c r="G272" s="7" t="n">
        <v>-0.155</v>
      </c>
      <c r="H272" s="7" t="n">
        <v>-0.37</v>
      </c>
      <c r="I272" s="7" t="n">
        <v>-0.722</v>
      </c>
      <c r="J272" s="7" t="n">
        <v>0.012</v>
      </c>
      <c r="K272" s="7" t="n">
        <v>-0.155</v>
      </c>
      <c r="L272" s="7" t="n">
        <v>-0.389</v>
      </c>
      <c r="M272" s="7" t="n">
        <v>0.157</v>
      </c>
      <c r="N272" s="7" t="n">
        <v>-0.389</v>
      </c>
      <c r="O272" s="7" t="n">
        <v>-0.657</v>
      </c>
      <c r="P272" s="7" t="n">
        <v>-0.155</v>
      </c>
      <c r="Q272" s="7" t="n">
        <v>-0.155</v>
      </c>
      <c r="R272" s="7" t="n">
        <v>-0.366</v>
      </c>
      <c r="S272" s="7" t="n">
        <v>0.157</v>
      </c>
      <c r="T272" s="7" t="n">
        <v>-0.459</v>
      </c>
      <c r="U272" s="7" t="n">
        <v>0.157</v>
      </c>
      <c r="V272" s="7" t="n">
        <v>-0.251</v>
      </c>
      <c r="W272" s="7" t="n">
        <v>-0.155</v>
      </c>
      <c r="X272" s="7" t="n">
        <v>-0.155</v>
      </c>
      <c r="Y272" s="7" t="n">
        <v>-0.155</v>
      </c>
      <c r="Z272" s="7" t="n">
        <v>0.157</v>
      </c>
      <c r="AA272" s="7" t="n">
        <v>-0.366</v>
      </c>
      <c r="AB272" s="7" t="n">
        <v>-0.488</v>
      </c>
      <c r="AC272" s="7" t="n">
        <v>-0.155</v>
      </c>
      <c r="AD272" s="7" t="n">
        <v>0.157</v>
      </c>
      <c r="AE272" s="7" t="n">
        <v>0.157</v>
      </c>
      <c r="AF272" s="7" t="n">
        <v>-0.155</v>
      </c>
      <c r="AG272" s="7" t="n">
        <v>-0.155</v>
      </c>
      <c r="AH272" s="7" t="n">
        <v>0.425</v>
      </c>
      <c r="AI272" s="7" t="n">
        <v>-0.561</v>
      </c>
      <c r="AJ272" s="7" t="n">
        <v>-0.59</v>
      </c>
      <c r="AK272" s="7" t="n">
        <v>-0.579</v>
      </c>
      <c r="AL272" s="7" t="n">
        <v>0</v>
      </c>
      <c r="AM272" s="7" t="n">
        <v>-0.561</v>
      </c>
      <c r="AN272" s="7" t="n">
        <v>0</v>
      </c>
      <c r="AO272" s="7" t="n">
        <v>0.296</v>
      </c>
      <c r="AP272" s="7" t="n">
        <v>0.296</v>
      </c>
      <c r="AQ272" s="7" t="n">
        <v>0</v>
      </c>
    </row>
    <row r="273" customFormat="false" ht="15" hidden="false" customHeight="false" outlineLevel="0" collapsed="false">
      <c r="A273" s="23" t="n">
        <v>46590</v>
      </c>
      <c r="B273" s="7" t="n">
        <v>-0.242</v>
      </c>
      <c r="C273" s="7" t="n">
        <v>-0.471</v>
      </c>
      <c r="D273" s="7" t="n">
        <v>-0.155</v>
      </c>
      <c r="E273" s="7" t="n">
        <v>0.061</v>
      </c>
      <c r="F273" s="7" t="n">
        <v>0.061</v>
      </c>
      <c r="G273" s="7" t="n">
        <v>-0.155</v>
      </c>
      <c r="H273" s="7" t="n">
        <v>-0.344</v>
      </c>
      <c r="I273" s="7" t="n">
        <v>-0.755</v>
      </c>
      <c r="J273" s="7" t="n">
        <v>0.003</v>
      </c>
      <c r="K273" s="7" t="n">
        <v>-0.155</v>
      </c>
      <c r="L273" s="7" t="n">
        <v>-0.52</v>
      </c>
      <c r="M273" s="7" t="n">
        <v>0.061</v>
      </c>
      <c r="N273" s="7" t="n">
        <v>-0.52</v>
      </c>
      <c r="O273" s="7" t="n">
        <v>-0.688</v>
      </c>
      <c r="P273" s="7" t="n">
        <v>-0.155</v>
      </c>
      <c r="Q273" s="7" t="n">
        <v>-0.155</v>
      </c>
      <c r="R273" s="7" t="n">
        <v>-0.328</v>
      </c>
      <c r="S273" s="7" t="n">
        <v>0.061</v>
      </c>
      <c r="T273" s="7" t="n">
        <v>-0.422</v>
      </c>
      <c r="U273" s="7" t="n">
        <v>0.061</v>
      </c>
      <c r="V273" s="7" t="n">
        <v>-0.271</v>
      </c>
      <c r="W273" s="7" t="n">
        <v>-0.155</v>
      </c>
      <c r="X273" s="7" t="n">
        <v>-0.155</v>
      </c>
      <c r="Y273" s="7" t="n">
        <v>-0.155</v>
      </c>
      <c r="Z273" s="7" t="n">
        <v>0.061</v>
      </c>
      <c r="AA273" s="7" t="n">
        <v>-0.328</v>
      </c>
      <c r="AB273" s="7" t="n">
        <v>-0.568</v>
      </c>
      <c r="AC273" s="7" t="n">
        <v>-0.155</v>
      </c>
      <c r="AD273" s="7" t="n">
        <v>0.061</v>
      </c>
      <c r="AE273" s="7" t="n">
        <v>0.061</v>
      </c>
      <c r="AF273" s="7" t="n">
        <v>-0.155</v>
      </c>
      <c r="AG273" s="7" t="n">
        <v>-0.155</v>
      </c>
      <c r="AH273" s="7" t="n">
        <v>0.422</v>
      </c>
      <c r="AI273" s="7" t="n">
        <v>-0.598</v>
      </c>
      <c r="AJ273" s="7" t="n">
        <v>-0.627</v>
      </c>
      <c r="AK273" s="7" t="n">
        <v>-0.616</v>
      </c>
      <c r="AL273" s="7" t="n">
        <v>0</v>
      </c>
      <c r="AM273" s="7" t="n">
        <v>-0.598</v>
      </c>
      <c r="AN273" s="7" t="n">
        <v>0</v>
      </c>
      <c r="AO273" s="7" t="n">
        <v>0.209</v>
      </c>
      <c r="AP273" s="7" t="n">
        <v>0.209</v>
      </c>
      <c r="AQ273" s="7" t="n">
        <v>0</v>
      </c>
    </row>
    <row r="274" customFormat="false" ht="15" hidden="false" customHeight="false" outlineLevel="0" collapsed="false">
      <c r="A274" s="23" t="n">
        <v>46591</v>
      </c>
      <c r="B274" s="7" t="n">
        <v>-0.343</v>
      </c>
      <c r="C274" s="7" t="n">
        <v>-0.705</v>
      </c>
      <c r="D274" s="7" t="n">
        <v>-0.155</v>
      </c>
      <c r="E274" s="7" t="n">
        <v>-0.036</v>
      </c>
      <c r="F274" s="7" t="n">
        <v>-0.036</v>
      </c>
      <c r="G274" s="7" t="n">
        <v>-0.155</v>
      </c>
      <c r="H274" s="7" t="n">
        <v>-0.318</v>
      </c>
      <c r="I274" s="7" t="n">
        <v>-0.797</v>
      </c>
      <c r="J274" s="7" t="n">
        <v>-0.011</v>
      </c>
      <c r="K274" s="7" t="n">
        <v>-0.155</v>
      </c>
      <c r="L274" s="7" t="n">
        <v>-0.674</v>
      </c>
      <c r="M274" s="7" t="n">
        <v>-0.036</v>
      </c>
      <c r="N274" s="7" t="n">
        <v>-0.674</v>
      </c>
      <c r="O274" s="7" t="n">
        <v>-0.734</v>
      </c>
      <c r="P274" s="7" t="n">
        <v>-0.155</v>
      </c>
      <c r="Q274" s="7" t="n">
        <v>-0.155</v>
      </c>
      <c r="R274" s="7" t="n">
        <v>-0.289</v>
      </c>
      <c r="S274" s="7" t="n">
        <v>-0.036</v>
      </c>
      <c r="T274" s="7" t="n">
        <v>-0.384</v>
      </c>
      <c r="U274" s="7" t="n">
        <v>-0.036</v>
      </c>
      <c r="V274" s="7" t="n">
        <v>-0.276</v>
      </c>
      <c r="W274" s="7" t="n">
        <v>-0.155</v>
      </c>
      <c r="X274" s="7" t="n">
        <v>-0.155</v>
      </c>
      <c r="Y274" s="7" t="n">
        <v>-0.155</v>
      </c>
      <c r="Z274" s="7" t="n">
        <v>-0.036</v>
      </c>
      <c r="AA274" s="7" t="n">
        <v>-0.289</v>
      </c>
      <c r="AB274" s="7" t="n">
        <v>-0.655</v>
      </c>
      <c r="AC274" s="7" t="n">
        <v>-0.155</v>
      </c>
      <c r="AD274" s="7" t="n">
        <v>-0.036</v>
      </c>
      <c r="AE274" s="7" t="n">
        <v>-0.036</v>
      </c>
      <c r="AF274" s="7" t="n">
        <v>-0.155</v>
      </c>
      <c r="AG274" s="7" t="n">
        <v>-0.155</v>
      </c>
      <c r="AH274" s="7" t="n">
        <v>0.419</v>
      </c>
      <c r="AI274" s="7" t="n">
        <v>-0.654</v>
      </c>
      <c r="AJ274" s="7" t="n">
        <v>-0.683</v>
      </c>
      <c r="AK274" s="7" t="n">
        <v>-0.671</v>
      </c>
      <c r="AL274" s="7" t="n">
        <v>0</v>
      </c>
      <c r="AM274" s="7" t="n">
        <v>-0.654</v>
      </c>
      <c r="AN274" s="7" t="n">
        <v>0</v>
      </c>
      <c r="AO274" s="7" t="n">
        <v>0.119</v>
      </c>
      <c r="AP274" s="7" t="n">
        <v>0.119</v>
      </c>
      <c r="AQ274" s="7" t="n">
        <v>0</v>
      </c>
    </row>
    <row r="275" customFormat="false" ht="15" hidden="false" customHeight="false" outlineLevel="0" collapsed="false">
      <c r="A275" s="23" t="n">
        <v>46592</v>
      </c>
      <c r="B275" s="7" t="n">
        <v>-0.331</v>
      </c>
      <c r="C275" s="7" t="n">
        <v>-0.704</v>
      </c>
      <c r="D275" s="7" t="n">
        <v>-0.143</v>
      </c>
      <c r="E275" s="7" t="n">
        <v>-0.026</v>
      </c>
      <c r="F275" s="7" t="n">
        <v>-0.026</v>
      </c>
      <c r="G275" s="7" t="n">
        <v>-0.143</v>
      </c>
      <c r="H275" s="7" t="n">
        <v>-0.305</v>
      </c>
      <c r="I275" s="7" t="n">
        <v>-0.806</v>
      </c>
      <c r="J275" s="7" t="n">
        <v>-0.019</v>
      </c>
      <c r="K275" s="7" t="n">
        <v>-0.143</v>
      </c>
      <c r="L275" s="7" t="n">
        <v>-0.672</v>
      </c>
      <c r="M275" s="7" t="n">
        <v>-0.026</v>
      </c>
      <c r="N275" s="7" t="n">
        <v>-0.672</v>
      </c>
      <c r="O275" s="7" t="n">
        <v>-0.732</v>
      </c>
      <c r="P275" s="7" t="n">
        <v>-0.143</v>
      </c>
      <c r="Q275" s="7" t="n">
        <v>-0.143</v>
      </c>
      <c r="R275" s="7" t="n">
        <v>-0.276</v>
      </c>
      <c r="S275" s="7" t="n">
        <v>-0.026</v>
      </c>
      <c r="T275" s="7" t="n">
        <v>-0.368</v>
      </c>
      <c r="U275" s="7" t="n">
        <v>-0.026</v>
      </c>
      <c r="V275" s="7" t="n">
        <v>-0.291</v>
      </c>
      <c r="W275" s="7" t="n">
        <v>-0.143</v>
      </c>
      <c r="X275" s="7" t="n">
        <v>-0.143</v>
      </c>
      <c r="Y275" s="7" t="n">
        <v>-0.143</v>
      </c>
      <c r="Z275" s="7" t="n">
        <v>-0.026</v>
      </c>
      <c r="AA275" s="7" t="n">
        <v>-0.276</v>
      </c>
      <c r="AB275" s="7" t="n">
        <v>-0.685</v>
      </c>
      <c r="AC275" s="7" t="n">
        <v>-0.143</v>
      </c>
      <c r="AD275" s="7" t="n">
        <v>-0.026</v>
      </c>
      <c r="AE275" s="7" t="n">
        <v>-0.026</v>
      </c>
      <c r="AF275" s="7" t="n">
        <v>-0.143</v>
      </c>
      <c r="AG275" s="7" t="n">
        <v>-0.143</v>
      </c>
      <c r="AH275" s="7" t="n">
        <v>0.415</v>
      </c>
      <c r="AI275" s="7" t="n">
        <v>-0.658</v>
      </c>
      <c r="AJ275" s="7" t="n">
        <v>-0.69</v>
      </c>
      <c r="AK275" s="7" t="n">
        <v>-0.677</v>
      </c>
      <c r="AL275" s="7" t="n">
        <v>0</v>
      </c>
      <c r="AM275" s="7" t="n">
        <v>-0.658</v>
      </c>
      <c r="AN275" s="7" t="n">
        <v>0</v>
      </c>
      <c r="AO275" s="7" t="n">
        <v>0.117</v>
      </c>
      <c r="AP275" s="7" t="n">
        <v>0.117</v>
      </c>
      <c r="AQ275" s="7" t="n">
        <v>0</v>
      </c>
    </row>
    <row r="276" customFormat="false" ht="15" hidden="false" customHeight="false" outlineLevel="0" collapsed="false">
      <c r="A276" s="23" t="n">
        <v>46593</v>
      </c>
      <c r="B276" s="7" t="n">
        <v>-0.331</v>
      </c>
      <c r="C276" s="7" t="n">
        <v>-0.704</v>
      </c>
      <c r="D276" s="7" t="n">
        <v>-0.143</v>
      </c>
      <c r="E276" s="7" t="n">
        <v>-0.026</v>
      </c>
      <c r="F276" s="7" t="n">
        <v>-0.026</v>
      </c>
      <c r="G276" s="7" t="n">
        <v>-0.143</v>
      </c>
      <c r="H276" s="7" t="n">
        <v>-0.305</v>
      </c>
      <c r="I276" s="7" t="n">
        <v>-0.806</v>
      </c>
      <c r="J276" s="7" t="n">
        <v>-0.019</v>
      </c>
      <c r="K276" s="7" t="n">
        <v>-0.143</v>
      </c>
      <c r="L276" s="7" t="n">
        <v>-0.672</v>
      </c>
      <c r="M276" s="7" t="n">
        <v>-0.026</v>
      </c>
      <c r="N276" s="7" t="n">
        <v>-0.672</v>
      </c>
      <c r="O276" s="7" t="n">
        <v>-0.732</v>
      </c>
      <c r="P276" s="7" t="n">
        <v>-0.143</v>
      </c>
      <c r="Q276" s="7" t="n">
        <v>-0.143</v>
      </c>
      <c r="R276" s="7" t="n">
        <v>-0.276</v>
      </c>
      <c r="S276" s="7" t="n">
        <v>-0.026</v>
      </c>
      <c r="T276" s="7" t="n">
        <v>-0.368</v>
      </c>
      <c r="U276" s="7" t="n">
        <v>-0.026</v>
      </c>
      <c r="V276" s="7" t="n">
        <v>-0.291</v>
      </c>
      <c r="W276" s="7" t="n">
        <v>-0.143</v>
      </c>
      <c r="X276" s="7" t="n">
        <v>-0.143</v>
      </c>
      <c r="Y276" s="7" t="n">
        <v>-0.143</v>
      </c>
      <c r="Z276" s="7" t="n">
        <v>-0.026</v>
      </c>
      <c r="AA276" s="7" t="n">
        <v>-0.276</v>
      </c>
      <c r="AB276" s="7" t="n">
        <v>-0.685</v>
      </c>
      <c r="AC276" s="7" t="n">
        <v>-0.143</v>
      </c>
      <c r="AD276" s="7" t="n">
        <v>-0.026</v>
      </c>
      <c r="AE276" s="7" t="n">
        <v>-0.026</v>
      </c>
      <c r="AF276" s="7" t="n">
        <v>-0.143</v>
      </c>
      <c r="AG276" s="7" t="n">
        <v>-0.143</v>
      </c>
      <c r="AH276" s="7" t="n">
        <v>0.415</v>
      </c>
      <c r="AI276" s="7" t="n">
        <v>-0.658</v>
      </c>
      <c r="AJ276" s="7" t="n">
        <v>-0.69</v>
      </c>
      <c r="AK276" s="7" t="n">
        <v>-0.677</v>
      </c>
      <c r="AL276" s="7" t="n">
        <v>0</v>
      </c>
      <c r="AM276" s="7" t="n">
        <v>-0.658</v>
      </c>
      <c r="AN276" s="7" t="n">
        <v>0</v>
      </c>
      <c r="AO276" s="7" t="n">
        <v>0.117</v>
      </c>
      <c r="AP276" s="7" t="n">
        <v>0.117</v>
      </c>
      <c r="AQ276" s="7" t="n">
        <v>0</v>
      </c>
    </row>
    <row r="277" customFormat="false" ht="15" hidden="false" customHeight="false" outlineLevel="0" collapsed="false">
      <c r="A277" s="23" t="n">
        <v>46594</v>
      </c>
      <c r="B277" s="7" t="n">
        <v>-0.331</v>
      </c>
      <c r="C277" s="7" t="n">
        <v>-0.704</v>
      </c>
      <c r="D277" s="7" t="n">
        <v>-0.143</v>
      </c>
      <c r="E277" s="7" t="n">
        <v>-0.026</v>
      </c>
      <c r="F277" s="7" t="n">
        <v>-0.026</v>
      </c>
      <c r="G277" s="7" t="n">
        <v>-0.143</v>
      </c>
      <c r="H277" s="7" t="n">
        <v>-0.305</v>
      </c>
      <c r="I277" s="7" t="n">
        <v>-0.806</v>
      </c>
      <c r="J277" s="7" t="n">
        <v>-0.019</v>
      </c>
      <c r="K277" s="7" t="n">
        <v>-0.143</v>
      </c>
      <c r="L277" s="7" t="n">
        <v>-0.672</v>
      </c>
      <c r="M277" s="7" t="n">
        <v>-0.026</v>
      </c>
      <c r="N277" s="7" t="n">
        <v>-0.672</v>
      </c>
      <c r="O277" s="7" t="n">
        <v>-0.732</v>
      </c>
      <c r="P277" s="7" t="n">
        <v>-0.143</v>
      </c>
      <c r="Q277" s="7" t="n">
        <v>-0.143</v>
      </c>
      <c r="R277" s="7" t="n">
        <v>-0.276</v>
      </c>
      <c r="S277" s="7" t="n">
        <v>-0.026</v>
      </c>
      <c r="T277" s="7" t="n">
        <v>-0.368</v>
      </c>
      <c r="U277" s="7" t="n">
        <v>-0.026</v>
      </c>
      <c r="V277" s="7" t="n">
        <v>-0.291</v>
      </c>
      <c r="W277" s="7" t="n">
        <v>-0.143</v>
      </c>
      <c r="X277" s="7" t="n">
        <v>-0.143</v>
      </c>
      <c r="Y277" s="7" t="n">
        <v>-0.143</v>
      </c>
      <c r="Z277" s="7" t="n">
        <v>-0.026</v>
      </c>
      <c r="AA277" s="7" t="n">
        <v>-0.276</v>
      </c>
      <c r="AB277" s="7" t="n">
        <v>-0.685</v>
      </c>
      <c r="AC277" s="7" t="n">
        <v>-0.143</v>
      </c>
      <c r="AD277" s="7" t="n">
        <v>-0.026</v>
      </c>
      <c r="AE277" s="7" t="n">
        <v>-0.026</v>
      </c>
      <c r="AF277" s="7" t="n">
        <v>-0.143</v>
      </c>
      <c r="AG277" s="7" t="n">
        <v>-0.143</v>
      </c>
      <c r="AH277" s="7" t="n">
        <v>0.415</v>
      </c>
      <c r="AI277" s="7" t="n">
        <v>-0.658</v>
      </c>
      <c r="AJ277" s="7" t="n">
        <v>-0.69</v>
      </c>
      <c r="AK277" s="7" t="n">
        <v>-0.677</v>
      </c>
      <c r="AL277" s="7" t="n">
        <v>0</v>
      </c>
      <c r="AM277" s="7" t="n">
        <v>-0.658</v>
      </c>
      <c r="AN277" s="7" t="n">
        <v>0</v>
      </c>
      <c r="AO277" s="7" t="n">
        <v>0.117</v>
      </c>
      <c r="AP277" s="7" t="n">
        <v>0.117</v>
      </c>
      <c r="AQ277" s="7" t="n">
        <v>0</v>
      </c>
    </row>
    <row r="278" customFormat="false" ht="15" hidden="false" customHeight="false" outlineLevel="0" collapsed="false">
      <c r="A278" s="23" t="n">
        <v>46595</v>
      </c>
      <c r="B278" s="7" t="n">
        <v>-0.33</v>
      </c>
      <c r="C278" s="7" t="n">
        <v>-0.562</v>
      </c>
      <c r="D278" s="7" t="n">
        <v>-0.13</v>
      </c>
      <c r="E278" s="7" t="n">
        <v>-0.05</v>
      </c>
      <c r="F278" s="7" t="n">
        <v>-0.05</v>
      </c>
      <c r="G278" s="7" t="n">
        <v>-0.13</v>
      </c>
      <c r="H278" s="7" t="n">
        <v>-0.26</v>
      </c>
      <c r="I278" s="7" t="n">
        <v>-0.77</v>
      </c>
      <c r="J278" s="7" t="n">
        <v>-0.05</v>
      </c>
      <c r="K278" s="7" t="n">
        <v>-0.13</v>
      </c>
      <c r="L278" s="7" t="n">
        <v>-0.638</v>
      </c>
      <c r="M278" s="7" t="n">
        <v>-0.05</v>
      </c>
      <c r="N278" s="7" t="n">
        <v>-0.638</v>
      </c>
      <c r="O278" s="7" t="n">
        <v>-0.676</v>
      </c>
      <c r="P278" s="7" t="n">
        <v>-0.13</v>
      </c>
      <c r="Q278" s="7" t="n">
        <v>-0.13</v>
      </c>
      <c r="R278" s="7" t="n">
        <v>-0.213</v>
      </c>
      <c r="S278" s="7" t="n">
        <v>-0.05</v>
      </c>
      <c r="T278" s="7" t="n">
        <v>-0.304</v>
      </c>
      <c r="U278" s="7" t="n">
        <v>-0.05</v>
      </c>
      <c r="V278" s="7" t="n">
        <v>-0.292</v>
      </c>
      <c r="W278" s="7" t="n">
        <v>-0.13</v>
      </c>
      <c r="X278" s="7" t="n">
        <v>-0.13</v>
      </c>
      <c r="Y278" s="7" t="n">
        <v>-0.13</v>
      </c>
      <c r="Z278" s="7" t="n">
        <v>-0.05</v>
      </c>
      <c r="AA278" s="7" t="n">
        <v>-0.213</v>
      </c>
      <c r="AB278" s="7" t="n">
        <v>-0.684</v>
      </c>
      <c r="AC278" s="7" t="n">
        <v>-0.13</v>
      </c>
      <c r="AD278" s="7" t="n">
        <v>-0.05</v>
      </c>
      <c r="AE278" s="7" t="n">
        <v>-0.05</v>
      </c>
      <c r="AF278" s="7" t="n">
        <v>-0.13</v>
      </c>
      <c r="AG278" s="7" t="n">
        <v>-0.13</v>
      </c>
      <c r="AH278" s="7" t="n">
        <v>0.412</v>
      </c>
      <c r="AI278" s="7" t="n">
        <v>-0.602</v>
      </c>
      <c r="AJ278" s="7" t="n">
        <v>-0.644</v>
      </c>
      <c r="AK278" s="7" t="n">
        <v>-0.627</v>
      </c>
      <c r="AL278" s="7" t="n">
        <v>0</v>
      </c>
      <c r="AM278" s="7" t="n">
        <v>-0.602</v>
      </c>
      <c r="AN278" s="7" t="n">
        <v>0</v>
      </c>
      <c r="AO278" s="7" t="n">
        <v>0.081</v>
      </c>
      <c r="AP278" s="7" t="n">
        <v>0.081</v>
      </c>
      <c r="AQ278" s="7" t="n">
        <v>0</v>
      </c>
    </row>
    <row r="279" customFormat="false" ht="15" hidden="false" customHeight="false" outlineLevel="0" collapsed="false">
      <c r="A279" s="23" t="n">
        <v>46596</v>
      </c>
      <c r="B279" s="7" t="n">
        <v>-0.327</v>
      </c>
      <c r="C279" s="7" t="n">
        <v>-0.415</v>
      </c>
      <c r="D279" s="7" t="n">
        <v>-0.118</v>
      </c>
      <c r="E279" s="7" t="n">
        <v>-0.071</v>
      </c>
      <c r="F279" s="7" t="n">
        <v>-0.071</v>
      </c>
      <c r="G279" s="7" t="n">
        <v>-0.118</v>
      </c>
      <c r="H279" s="7" t="n">
        <v>-0.213</v>
      </c>
      <c r="I279" s="7" t="n">
        <v>-0.736</v>
      </c>
      <c r="J279" s="7" t="n">
        <v>-0.053</v>
      </c>
      <c r="K279" s="7" t="n">
        <v>-0.118</v>
      </c>
      <c r="L279" s="7" t="n">
        <v>-0.603</v>
      </c>
      <c r="M279" s="7" t="n">
        <v>-0.071</v>
      </c>
      <c r="N279" s="7" t="n">
        <v>-0.603</v>
      </c>
      <c r="O279" s="7" t="n">
        <v>-0.619</v>
      </c>
      <c r="P279" s="7" t="n">
        <v>-0.118</v>
      </c>
      <c r="Q279" s="7" t="n">
        <v>-0.118</v>
      </c>
      <c r="R279" s="7" t="n">
        <v>-0.147</v>
      </c>
      <c r="S279" s="7" t="n">
        <v>-0.071</v>
      </c>
      <c r="T279" s="7" t="n">
        <v>-0.238</v>
      </c>
      <c r="U279" s="7" t="n">
        <v>-0.071</v>
      </c>
      <c r="V279" s="7" t="n">
        <v>-0.301</v>
      </c>
      <c r="W279" s="7" t="n">
        <v>-0.118</v>
      </c>
      <c r="X279" s="7" t="n">
        <v>-0.118</v>
      </c>
      <c r="Y279" s="7" t="n">
        <v>-0.118</v>
      </c>
      <c r="Z279" s="7" t="n">
        <v>-0.071</v>
      </c>
      <c r="AA279" s="7" t="n">
        <v>-0.147</v>
      </c>
      <c r="AB279" s="7" t="n">
        <v>-0.686</v>
      </c>
      <c r="AC279" s="7" t="n">
        <v>-0.118</v>
      </c>
      <c r="AD279" s="7" t="n">
        <v>-0.071</v>
      </c>
      <c r="AE279" s="7" t="n">
        <v>-0.071</v>
      </c>
      <c r="AF279" s="7" t="n">
        <v>-0.118</v>
      </c>
      <c r="AG279" s="7" t="n">
        <v>-0.118</v>
      </c>
      <c r="AH279" s="7" t="n">
        <v>0.409</v>
      </c>
      <c r="AI279" s="7" t="n">
        <v>-0.546</v>
      </c>
      <c r="AJ279" s="7" t="n">
        <v>-0.592</v>
      </c>
      <c r="AK279" s="7" t="n">
        <v>-0.574</v>
      </c>
      <c r="AL279" s="7" t="n">
        <v>0</v>
      </c>
      <c r="AM279" s="7" t="n">
        <v>-0.546</v>
      </c>
      <c r="AN279" s="7" t="n">
        <v>0</v>
      </c>
      <c r="AO279" s="7" t="n">
        <v>0.046</v>
      </c>
      <c r="AP279" s="7" t="n">
        <v>0.046</v>
      </c>
      <c r="AQ279" s="7" t="n">
        <v>0</v>
      </c>
    </row>
    <row r="280" customFormat="false" ht="15" hidden="false" customHeight="false" outlineLevel="0" collapsed="false">
      <c r="A280" s="23" t="n">
        <v>46597</v>
      </c>
      <c r="B280" s="7" t="n">
        <v>-0.194</v>
      </c>
      <c r="C280" s="7" t="n">
        <v>-0.267</v>
      </c>
      <c r="D280" s="7" t="n">
        <v>-0.106</v>
      </c>
      <c r="E280" s="7" t="n">
        <v>0.02</v>
      </c>
      <c r="F280" s="7" t="n">
        <v>0.035</v>
      </c>
      <c r="G280" s="7" t="n">
        <v>-0.106</v>
      </c>
      <c r="H280" s="7" t="n">
        <v>-0.169</v>
      </c>
      <c r="I280" s="7" t="n">
        <v>-0.664</v>
      </c>
      <c r="J280" s="7" t="n">
        <v>-0.023</v>
      </c>
      <c r="K280" s="7" t="n">
        <v>0.05</v>
      </c>
      <c r="L280" s="7" t="n">
        <v>-0.571</v>
      </c>
      <c r="M280" s="7" t="n">
        <v>-0.101</v>
      </c>
      <c r="N280" s="7" t="n">
        <v>-0.434</v>
      </c>
      <c r="O280" s="7" t="n">
        <v>-0.562</v>
      </c>
      <c r="P280" s="7" t="n">
        <v>-0.106</v>
      </c>
      <c r="Q280" s="7" t="n">
        <v>-0.106</v>
      </c>
      <c r="R280" s="7" t="n">
        <v>-0.108</v>
      </c>
      <c r="S280" s="7" t="n">
        <v>0.061</v>
      </c>
      <c r="T280" s="7" t="n">
        <v>-0.181</v>
      </c>
      <c r="U280" s="7" t="n">
        <v>-0.036</v>
      </c>
      <c r="V280" s="7" t="n">
        <v>-0.249</v>
      </c>
      <c r="W280" s="7" t="n">
        <v>-0.106</v>
      </c>
      <c r="X280" s="7" t="n">
        <v>-0.106</v>
      </c>
      <c r="Y280" s="7" t="n">
        <v>-0.106</v>
      </c>
      <c r="Z280" s="7" t="n">
        <v>0.061</v>
      </c>
      <c r="AA280" s="7" t="n">
        <v>-0.108</v>
      </c>
      <c r="AB280" s="7" t="n">
        <v>-0.585</v>
      </c>
      <c r="AC280" s="7" t="n">
        <v>-0.106</v>
      </c>
      <c r="AD280" s="7" t="n">
        <v>0.035</v>
      </c>
      <c r="AE280" s="7" t="n">
        <v>0.035</v>
      </c>
      <c r="AF280" s="7" t="n">
        <v>0.05</v>
      </c>
      <c r="AG280" s="7" t="n">
        <v>-0.106</v>
      </c>
      <c r="AH280" s="7" t="n">
        <v>0.405</v>
      </c>
      <c r="AI280" s="7" t="n">
        <v>-0.49</v>
      </c>
      <c r="AJ280" s="7" t="n">
        <v>-0.535</v>
      </c>
      <c r="AK280" s="7" t="n">
        <v>-0.517</v>
      </c>
      <c r="AL280" s="7" t="n">
        <v>0</v>
      </c>
      <c r="AM280" s="7" t="n">
        <v>-0.49</v>
      </c>
      <c r="AN280" s="7" t="n">
        <v>0</v>
      </c>
      <c r="AO280" s="7" t="n">
        <v>0.004</v>
      </c>
      <c r="AP280" s="7" t="n">
        <v>0.004</v>
      </c>
      <c r="AQ280" s="7" t="n">
        <v>0</v>
      </c>
    </row>
    <row r="281" customFormat="false" ht="15" hidden="false" customHeight="false" outlineLevel="0" collapsed="false">
      <c r="A281" s="23" t="n">
        <v>46598</v>
      </c>
      <c r="B281" s="7" t="n">
        <v>-0.055</v>
      </c>
      <c r="C281" s="7" t="n">
        <v>-0.113</v>
      </c>
      <c r="D281" s="7" t="n">
        <v>-0.093</v>
      </c>
      <c r="E281" s="7" t="n">
        <v>0.119</v>
      </c>
      <c r="F281" s="7" t="n">
        <v>0.147</v>
      </c>
      <c r="G281" s="7" t="n">
        <v>-0.093</v>
      </c>
      <c r="H281" s="7" t="n">
        <v>-0.124</v>
      </c>
      <c r="I281" s="7" t="n">
        <v>-0.589</v>
      </c>
      <c r="J281" s="7" t="n">
        <v>0.02</v>
      </c>
      <c r="K281" s="7" t="n">
        <v>0.219</v>
      </c>
      <c r="L281" s="7" t="n">
        <v>-0.538</v>
      </c>
      <c r="M281" s="7" t="n">
        <v>-0.129</v>
      </c>
      <c r="N281" s="7" t="n">
        <v>-0.26</v>
      </c>
      <c r="O281" s="7" t="n">
        <v>-0.505</v>
      </c>
      <c r="P281" s="7" t="n">
        <v>-0.093</v>
      </c>
      <c r="Q281" s="7" t="n">
        <v>-0.093</v>
      </c>
      <c r="R281" s="7" t="n">
        <v>-0.07</v>
      </c>
      <c r="S281" s="7" t="n">
        <v>0.197</v>
      </c>
      <c r="T281" s="7" t="n">
        <v>-0.124</v>
      </c>
      <c r="U281" s="7" t="n">
        <v>0.007</v>
      </c>
      <c r="V281" s="7" t="n">
        <v>-0.201</v>
      </c>
      <c r="W281" s="7" t="n">
        <v>-0.093</v>
      </c>
      <c r="X281" s="7" t="n">
        <v>-0.093</v>
      </c>
      <c r="Y281" s="7" t="n">
        <v>-0.093</v>
      </c>
      <c r="Z281" s="7" t="n">
        <v>0.197</v>
      </c>
      <c r="AA281" s="7" t="n">
        <v>-0.07</v>
      </c>
      <c r="AB281" s="7" t="n">
        <v>-0.481</v>
      </c>
      <c r="AC281" s="7" t="n">
        <v>-0.093</v>
      </c>
      <c r="AD281" s="7" t="n">
        <v>0.15</v>
      </c>
      <c r="AE281" s="7" t="n">
        <v>0.147</v>
      </c>
      <c r="AF281" s="7" t="n">
        <v>0.219</v>
      </c>
      <c r="AG281" s="7" t="n">
        <v>-0.093</v>
      </c>
      <c r="AH281" s="7" t="n">
        <v>0.402</v>
      </c>
      <c r="AI281" s="7" t="n">
        <v>-0.433</v>
      </c>
      <c r="AJ281" s="7" t="n">
        <v>-0.476</v>
      </c>
      <c r="AK281" s="7" t="n">
        <v>-0.459</v>
      </c>
      <c r="AL281" s="7" t="n">
        <v>0</v>
      </c>
      <c r="AM281" s="7" t="n">
        <v>-0.433</v>
      </c>
      <c r="AN281" s="7" t="n">
        <v>0</v>
      </c>
      <c r="AO281" s="7" t="n">
        <v>-0.036</v>
      </c>
      <c r="AP281" s="7" t="n">
        <v>-0.036</v>
      </c>
      <c r="AQ281" s="7" t="n">
        <v>0</v>
      </c>
    </row>
    <row r="282" customFormat="false" ht="15" hidden="false" customHeight="false" outlineLevel="0" collapsed="false">
      <c r="A282" s="23" t="n">
        <v>46599</v>
      </c>
      <c r="B282" s="7" t="n">
        <v>0.072</v>
      </c>
      <c r="C282" s="7" t="n">
        <v>0.047</v>
      </c>
      <c r="D282" s="7" t="n">
        <v>-0.093</v>
      </c>
      <c r="E282" s="7" t="n">
        <v>0.212</v>
      </c>
      <c r="F282" s="7" t="n">
        <v>0.252</v>
      </c>
      <c r="G282" s="7" t="n">
        <v>-0.093</v>
      </c>
      <c r="H282" s="7" t="n">
        <v>-0.091</v>
      </c>
      <c r="I282" s="7" t="n">
        <v>-0.513</v>
      </c>
      <c r="J282" s="7" t="n">
        <v>0.055</v>
      </c>
      <c r="K282" s="7" t="n">
        <v>0.375</v>
      </c>
      <c r="L282" s="7" t="n">
        <v>-0.504</v>
      </c>
      <c r="M282" s="7" t="n">
        <v>-0.166</v>
      </c>
      <c r="N282" s="7" t="n">
        <v>-0.081</v>
      </c>
      <c r="O282" s="7" t="n">
        <v>-0.447</v>
      </c>
      <c r="P282" s="7" t="n">
        <v>-0.093</v>
      </c>
      <c r="Q282" s="7" t="n">
        <v>-0.093</v>
      </c>
      <c r="R282" s="7" t="n">
        <v>-0.043</v>
      </c>
      <c r="S282" s="7" t="n">
        <v>0.322</v>
      </c>
      <c r="T282" s="7" t="n">
        <v>-0.08</v>
      </c>
      <c r="U282" s="7" t="n">
        <v>0.045</v>
      </c>
      <c r="V282" s="7" t="n">
        <v>-0.159</v>
      </c>
      <c r="W282" s="7" t="n">
        <v>-0.093</v>
      </c>
      <c r="X282" s="7" t="n">
        <v>-0.093</v>
      </c>
      <c r="Y282" s="7" t="n">
        <v>-0.093</v>
      </c>
      <c r="Z282" s="7" t="n">
        <v>0.322</v>
      </c>
      <c r="AA282" s="7" t="n">
        <v>-0.043</v>
      </c>
      <c r="AB282" s="7" t="n">
        <v>-0.381</v>
      </c>
      <c r="AC282" s="7" t="n">
        <v>-0.093</v>
      </c>
      <c r="AD282" s="7" t="n">
        <v>0.258</v>
      </c>
      <c r="AE282" s="7" t="n">
        <v>0.252</v>
      </c>
      <c r="AF282" s="7" t="n">
        <v>0.375</v>
      </c>
      <c r="AG282" s="7" t="n">
        <v>-0.093</v>
      </c>
      <c r="AH282" s="7" t="n">
        <v>0.399</v>
      </c>
      <c r="AI282" s="7" t="n">
        <v>-0.369</v>
      </c>
      <c r="AJ282" s="7" t="n">
        <v>-0.408</v>
      </c>
      <c r="AK282" s="7" t="n">
        <v>-0.393</v>
      </c>
      <c r="AL282" s="7" t="n">
        <v>0</v>
      </c>
      <c r="AM282" s="7" t="n">
        <v>-0.369</v>
      </c>
      <c r="AN282" s="7" t="n">
        <v>0</v>
      </c>
      <c r="AO282" s="7" t="n">
        <v>-0.074</v>
      </c>
      <c r="AP282" s="7" t="n">
        <v>-0.074</v>
      </c>
      <c r="AQ282" s="7" t="n">
        <v>0</v>
      </c>
    </row>
    <row r="283" customFormat="false" ht="15" hidden="false" customHeight="false" outlineLevel="0" collapsed="false">
      <c r="A283" s="23" t="n">
        <v>46600</v>
      </c>
      <c r="B283" s="7" t="n">
        <v>0.072</v>
      </c>
      <c r="C283" s="7" t="n">
        <v>0.047</v>
      </c>
      <c r="D283" s="7" t="n">
        <v>-0.093</v>
      </c>
      <c r="E283" s="7" t="n">
        <v>0.212</v>
      </c>
      <c r="F283" s="7" t="n">
        <v>0.252</v>
      </c>
      <c r="G283" s="7" t="n">
        <v>-0.093</v>
      </c>
      <c r="H283" s="7" t="n">
        <v>-0.091</v>
      </c>
      <c r="I283" s="7" t="n">
        <v>-0.513</v>
      </c>
      <c r="J283" s="7" t="n">
        <v>0.055</v>
      </c>
      <c r="K283" s="7" t="n">
        <v>0.375</v>
      </c>
      <c r="L283" s="7" t="n">
        <v>-0.504</v>
      </c>
      <c r="M283" s="7" t="n">
        <v>-0.166</v>
      </c>
      <c r="N283" s="7" t="n">
        <v>-0.081</v>
      </c>
      <c r="O283" s="7" t="n">
        <v>-0.447</v>
      </c>
      <c r="P283" s="7" t="n">
        <v>-0.093</v>
      </c>
      <c r="Q283" s="7" t="n">
        <v>-0.093</v>
      </c>
      <c r="R283" s="7" t="n">
        <v>-0.043</v>
      </c>
      <c r="S283" s="7" t="n">
        <v>0.322</v>
      </c>
      <c r="T283" s="7" t="n">
        <v>-0.08</v>
      </c>
      <c r="U283" s="7" t="n">
        <v>0.045</v>
      </c>
      <c r="V283" s="7" t="n">
        <v>-0.159</v>
      </c>
      <c r="W283" s="7" t="n">
        <v>-0.093</v>
      </c>
      <c r="X283" s="7" t="n">
        <v>-0.093</v>
      </c>
      <c r="Y283" s="7" t="n">
        <v>-0.093</v>
      </c>
      <c r="Z283" s="7" t="n">
        <v>0.322</v>
      </c>
      <c r="AA283" s="7" t="n">
        <v>-0.043</v>
      </c>
      <c r="AB283" s="7" t="n">
        <v>-0.381</v>
      </c>
      <c r="AC283" s="7" t="n">
        <v>-0.093</v>
      </c>
      <c r="AD283" s="7" t="n">
        <v>0.258</v>
      </c>
      <c r="AE283" s="7" t="n">
        <v>0.252</v>
      </c>
      <c r="AF283" s="7" t="n">
        <v>0.375</v>
      </c>
      <c r="AG283" s="7" t="n">
        <v>-0.093</v>
      </c>
      <c r="AH283" s="7" t="n">
        <v>0.399</v>
      </c>
      <c r="AI283" s="7" t="n">
        <v>-0.369</v>
      </c>
      <c r="AJ283" s="7" t="n">
        <v>-0.408</v>
      </c>
      <c r="AK283" s="7" t="n">
        <v>-0.393</v>
      </c>
      <c r="AL283" s="7" t="n">
        <v>0</v>
      </c>
      <c r="AM283" s="7" t="n">
        <v>-0.369</v>
      </c>
      <c r="AN283" s="7" t="n">
        <v>0</v>
      </c>
      <c r="AO283" s="7" t="n">
        <v>-0.074</v>
      </c>
      <c r="AP283" s="7" t="n">
        <v>-0.074</v>
      </c>
      <c r="AQ283" s="7" t="n">
        <v>0</v>
      </c>
    </row>
    <row r="284" customFormat="false" ht="15" hidden="false" customHeight="false" outlineLevel="0" collapsed="false">
      <c r="A284" s="23" t="n">
        <v>46601</v>
      </c>
      <c r="B284" s="7" t="n">
        <v>0.072</v>
      </c>
      <c r="C284" s="7" t="n">
        <v>0.047</v>
      </c>
      <c r="D284" s="7" t="n">
        <v>-0.093</v>
      </c>
      <c r="E284" s="7" t="n">
        <v>0.212</v>
      </c>
      <c r="F284" s="7" t="n">
        <v>0.252</v>
      </c>
      <c r="G284" s="7" t="n">
        <v>-0.093</v>
      </c>
      <c r="H284" s="7" t="n">
        <v>-0.091</v>
      </c>
      <c r="I284" s="7" t="n">
        <v>-0.513</v>
      </c>
      <c r="J284" s="7" t="n">
        <v>0.055</v>
      </c>
      <c r="K284" s="7" t="n">
        <v>0.375</v>
      </c>
      <c r="L284" s="7" t="n">
        <v>-0.504</v>
      </c>
      <c r="M284" s="7" t="n">
        <v>-0.166</v>
      </c>
      <c r="N284" s="7" t="n">
        <v>-0.081</v>
      </c>
      <c r="O284" s="7" t="n">
        <v>-0.447</v>
      </c>
      <c r="P284" s="7" t="n">
        <v>-0.093</v>
      </c>
      <c r="Q284" s="7" t="n">
        <v>-0.093</v>
      </c>
      <c r="R284" s="7" t="n">
        <v>-0.043</v>
      </c>
      <c r="S284" s="7" t="n">
        <v>0.322</v>
      </c>
      <c r="T284" s="7" t="n">
        <v>-0.08</v>
      </c>
      <c r="U284" s="7" t="n">
        <v>0.045</v>
      </c>
      <c r="V284" s="7" t="n">
        <v>-0.159</v>
      </c>
      <c r="W284" s="7" t="n">
        <v>-0.093</v>
      </c>
      <c r="X284" s="7" t="n">
        <v>-0.093</v>
      </c>
      <c r="Y284" s="7" t="n">
        <v>-0.093</v>
      </c>
      <c r="Z284" s="7" t="n">
        <v>0.322</v>
      </c>
      <c r="AA284" s="7" t="n">
        <v>-0.043</v>
      </c>
      <c r="AB284" s="7" t="n">
        <v>-0.381</v>
      </c>
      <c r="AC284" s="7" t="n">
        <v>-0.093</v>
      </c>
      <c r="AD284" s="7" t="n">
        <v>0.258</v>
      </c>
      <c r="AE284" s="7" t="n">
        <v>0.252</v>
      </c>
      <c r="AF284" s="7" t="n">
        <v>0.375</v>
      </c>
      <c r="AG284" s="7" t="n">
        <v>-0.093</v>
      </c>
      <c r="AH284" s="7" t="n">
        <v>0.399</v>
      </c>
      <c r="AI284" s="7" t="n">
        <v>-0.369</v>
      </c>
      <c r="AJ284" s="7" t="n">
        <v>-0.408</v>
      </c>
      <c r="AK284" s="7" t="n">
        <v>-0.393</v>
      </c>
      <c r="AL284" s="7" t="n">
        <v>0</v>
      </c>
      <c r="AM284" s="7" t="n">
        <v>-0.369</v>
      </c>
      <c r="AN284" s="7" t="n">
        <v>0</v>
      </c>
      <c r="AO284" s="7" t="n">
        <v>-0.074</v>
      </c>
      <c r="AP284" s="7" t="n">
        <v>-0.074</v>
      </c>
      <c r="AQ284" s="7" t="n">
        <v>0</v>
      </c>
    </row>
    <row r="285" customFormat="false" ht="15" hidden="false" customHeight="false" outlineLevel="0" collapsed="false">
      <c r="A285" s="23" t="n">
        <v>46602</v>
      </c>
      <c r="B285" s="7" t="n">
        <v>0.213</v>
      </c>
      <c r="C285" s="7" t="n">
        <v>0.063</v>
      </c>
      <c r="D285" s="7" t="n">
        <v>-0.093</v>
      </c>
      <c r="E285" s="7" t="n">
        <v>0.357</v>
      </c>
      <c r="F285" s="7" t="n">
        <v>0.399</v>
      </c>
      <c r="G285" s="7" t="n">
        <v>-0.093</v>
      </c>
      <c r="H285" s="7" t="n">
        <v>-0.092</v>
      </c>
      <c r="I285" s="7" t="n">
        <v>-0.503</v>
      </c>
      <c r="J285" s="7" t="n">
        <v>0.06</v>
      </c>
      <c r="K285" s="7" t="n">
        <v>0.532</v>
      </c>
      <c r="L285" s="7" t="n">
        <v>-0.496</v>
      </c>
      <c r="M285" s="7" t="n">
        <v>-0.161</v>
      </c>
      <c r="N285" s="7" t="n">
        <v>0.077</v>
      </c>
      <c r="O285" s="7" t="n">
        <v>-0.442</v>
      </c>
      <c r="P285" s="7" t="n">
        <v>-0.093</v>
      </c>
      <c r="Q285" s="7" t="n">
        <v>-0.093</v>
      </c>
      <c r="R285" s="7" t="n">
        <v>-0.067</v>
      </c>
      <c r="S285" s="7" t="n">
        <v>0.487</v>
      </c>
      <c r="T285" s="7" t="n">
        <v>-0.085</v>
      </c>
      <c r="U285" s="7" t="n">
        <v>0.118</v>
      </c>
      <c r="V285" s="7" t="n">
        <v>-0.151</v>
      </c>
      <c r="W285" s="7" t="n">
        <v>-0.093</v>
      </c>
      <c r="X285" s="7" t="n">
        <v>-0.093</v>
      </c>
      <c r="Y285" s="7" t="n">
        <v>-0.093</v>
      </c>
      <c r="Z285" s="7" t="n">
        <v>0.487</v>
      </c>
      <c r="AA285" s="7" t="n">
        <v>-0.067</v>
      </c>
      <c r="AB285" s="7" t="n">
        <v>-0.366</v>
      </c>
      <c r="AC285" s="7" t="n">
        <v>-0.093</v>
      </c>
      <c r="AD285" s="7" t="n">
        <v>0.413</v>
      </c>
      <c r="AE285" s="7" t="n">
        <v>0.399</v>
      </c>
      <c r="AF285" s="7" t="n">
        <v>0.532</v>
      </c>
      <c r="AG285" s="7" t="n">
        <v>-0.093</v>
      </c>
      <c r="AH285" s="7" t="n">
        <v>0.395</v>
      </c>
      <c r="AI285" s="7" t="n">
        <v>-0.363</v>
      </c>
      <c r="AJ285" s="7" t="n">
        <v>-0.403</v>
      </c>
      <c r="AK285" s="7" t="n">
        <v>-0.387</v>
      </c>
      <c r="AL285" s="7" t="n">
        <v>0</v>
      </c>
      <c r="AM285" s="7" t="n">
        <v>-0.363</v>
      </c>
      <c r="AN285" s="7" t="n">
        <v>0</v>
      </c>
      <c r="AO285" s="7" t="n">
        <v>-0.069</v>
      </c>
      <c r="AP285" s="7" t="n">
        <v>-0.069</v>
      </c>
      <c r="AQ285" s="7" t="n">
        <v>0</v>
      </c>
    </row>
    <row r="286" customFormat="false" ht="15" hidden="false" customHeight="false" outlineLevel="0" collapsed="false">
      <c r="A286" s="23" t="n">
        <v>46603</v>
      </c>
      <c r="B286" s="7" t="n">
        <v>0.355</v>
      </c>
      <c r="C286" s="7" t="n">
        <v>0.07</v>
      </c>
      <c r="D286" s="7" t="n">
        <v>-0.093</v>
      </c>
      <c r="E286" s="7" t="n">
        <v>0.5</v>
      </c>
      <c r="F286" s="7" t="n">
        <v>0.543</v>
      </c>
      <c r="G286" s="7" t="n">
        <v>-0.093</v>
      </c>
      <c r="H286" s="7" t="n">
        <v>-0.093</v>
      </c>
      <c r="I286" s="7" t="n">
        <v>-0.48</v>
      </c>
      <c r="J286" s="7" t="n">
        <v>0.035</v>
      </c>
      <c r="K286" s="7" t="n">
        <v>0.688</v>
      </c>
      <c r="L286" s="7" t="n">
        <v>-0.49</v>
      </c>
      <c r="M286" s="7" t="n">
        <v>-0.161</v>
      </c>
      <c r="N286" s="7" t="n">
        <v>0.23</v>
      </c>
      <c r="O286" s="7" t="n">
        <v>-0.437</v>
      </c>
      <c r="P286" s="7" t="n">
        <v>-0.093</v>
      </c>
      <c r="Q286" s="7" t="n">
        <v>-0.093</v>
      </c>
      <c r="R286" s="7" t="n">
        <v>-0.093</v>
      </c>
      <c r="S286" s="7" t="n">
        <v>0.65</v>
      </c>
      <c r="T286" s="7" t="n">
        <v>-0.093</v>
      </c>
      <c r="U286" s="7" t="n">
        <v>0.186</v>
      </c>
      <c r="V286" s="7" t="n">
        <v>-0.123</v>
      </c>
      <c r="W286" s="7" t="n">
        <v>-0.093</v>
      </c>
      <c r="X286" s="7" t="n">
        <v>-0.093</v>
      </c>
      <c r="Y286" s="7" t="n">
        <v>-0.093</v>
      </c>
      <c r="Z286" s="7" t="n">
        <v>0.65</v>
      </c>
      <c r="AA286" s="7" t="n">
        <v>-0.093</v>
      </c>
      <c r="AB286" s="7" t="n">
        <v>-0.332</v>
      </c>
      <c r="AC286" s="7" t="n">
        <v>-0.093</v>
      </c>
      <c r="AD286" s="7" t="n">
        <v>0.566</v>
      </c>
      <c r="AE286" s="7" t="n">
        <v>0.543</v>
      </c>
      <c r="AF286" s="7" t="n">
        <v>0.688</v>
      </c>
      <c r="AG286" s="7" t="n">
        <v>-0.093</v>
      </c>
      <c r="AH286" s="7" t="n">
        <v>0.392</v>
      </c>
      <c r="AI286" s="7" t="n">
        <v>-0.358</v>
      </c>
      <c r="AJ286" s="7" t="n">
        <v>-0.403</v>
      </c>
      <c r="AK286" s="7" t="n">
        <v>-0.385</v>
      </c>
      <c r="AL286" s="7" t="n">
        <v>0</v>
      </c>
      <c r="AM286" s="7" t="n">
        <v>-0.358</v>
      </c>
      <c r="AN286" s="7" t="n">
        <v>0</v>
      </c>
      <c r="AO286" s="7" t="n">
        <v>-0.068</v>
      </c>
      <c r="AP286" s="7" t="n">
        <v>-0.068</v>
      </c>
      <c r="AQ286" s="7" t="n">
        <v>0</v>
      </c>
    </row>
    <row r="287" customFormat="false" ht="15" hidden="false" customHeight="false" outlineLevel="0" collapsed="false">
      <c r="A287" s="23" t="n">
        <v>46604</v>
      </c>
      <c r="B287" s="7" t="n">
        <v>0.363</v>
      </c>
      <c r="C287" s="7" t="n">
        <v>0.07</v>
      </c>
      <c r="D287" s="7" t="n">
        <v>-0.093</v>
      </c>
      <c r="E287" s="7" t="n">
        <v>0.538</v>
      </c>
      <c r="F287" s="7" t="n">
        <v>0.551</v>
      </c>
      <c r="G287" s="7" t="n">
        <v>-0.093</v>
      </c>
      <c r="H287" s="7" t="n">
        <v>-0.093</v>
      </c>
      <c r="I287" s="7" t="n">
        <v>-0.479</v>
      </c>
      <c r="J287" s="7" t="n">
        <v>-0.001</v>
      </c>
      <c r="K287" s="7" t="n">
        <v>0.688</v>
      </c>
      <c r="L287" s="7" t="n">
        <v>-0.484</v>
      </c>
      <c r="M287" s="7" t="n">
        <v>-0.159</v>
      </c>
      <c r="N287" s="7" t="n">
        <v>0.247</v>
      </c>
      <c r="O287" s="7" t="n">
        <v>-0.431</v>
      </c>
      <c r="P287" s="7" t="n">
        <v>-0.093</v>
      </c>
      <c r="Q287" s="7" t="n">
        <v>-0.093</v>
      </c>
      <c r="R287" s="7" t="n">
        <v>-0.093</v>
      </c>
      <c r="S287" s="7" t="n">
        <v>0.651</v>
      </c>
      <c r="T287" s="7" t="n">
        <v>-0.093</v>
      </c>
      <c r="U287" s="7" t="n">
        <v>0.187</v>
      </c>
      <c r="V287" s="7" t="n">
        <v>-0.126</v>
      </c>
      <c r="W287" s="7" t="n">
        <v>-0.093</v>
      </c>
      <c r="X287" s="7" t="n">
        <v>-0.093</v>
      </c>
      <c r="Y287" s="7" t="n">
        <v>-0.093</v>
      </c>
      <c r="Z287" s="7" t="n">
        <v>0.651</v>
      </c>
      <c r="AA287" s="7" t="n">
        <v>-0.093</v>
      </c>
      <c r="AB287" s="7" t="n">
        <v>-0.364</v>
      </c>
      <c r="AC287" s="7" t="n">
        <v>-0.093</v>
      </c>
      <c r="AD287" s="7" t="n">
        <v>0.591</v>
      </c>
      <c r="AE287" s="7" t="n">
        <v>0.551</v>
      </c>
      <c r="AF287" s="7" t="n">
        <v>0.688</v>
      </c>
      <c r="AG287" s="7" t="n">
        <v>-0.093</v>
      </c>
      <c r="AH287" s="7" t="n">
        <v>0.388</v>
      </c>
      <c r="AI287" s="7" t="n">
        <v>-0.352</v>
      </c>
      <c r="AJ287" s="7" t="n">
        <v>-0.401</v>
      </c>
      <c r="AK287" s="7" t="n">
        <v>-0.382</v>
      </c>
      <c r="AL287" s="7" t="n">
        <v>0</v>
      </c>
      <c r="AM287" s="7" t="n">
        <v>-0.352</v>
      </c>
      <c r="AN287" s="7" t="n">
        <v>0</v>
      </c>
      <c r="AO287" s="7" t="n">
        <v>-0.067</v>
      </c>
      <c r="AP287" s="7" t="n">
        <v>-0.067</v>
      </c>
      <c r="AQ287" s="7" t="n">
        <v>0</v>
      </c>
    </row>
    <row r="288" customFormat="false" ht="15" hidden="false" customHeight="false" outlineLevel="0" collapsed="false">
      <c r="A288" s="23" t="n">
        <v>46605</v>
      </c>
      <c r="B288" s="7" t="n">
        <v>0.378</v>
      </c>
      <c r="C288" s="7" t="n">
        <v>0.094</v>
      </c>
      <c r="D288" s="7" t="n">
        <v>-0.093</v>
      </c>
      <c r="E288" s="7" t="n">
        <v>0.575</v>
      </c>
      <c r="F288" s="7" t="n">
        <v>0.564</v>
      </c>
      <c r="G288" s="7" t="n">
        <v>-0.093</v>
      </c>
      <c r="H288" s="7" t="n">
        <v>-0.093</v>
      </c>
      <c r="I288" s="7" t="n">
        <v>-0.467</v>
      </c>
      <c r="J288" s="7" t="n">
        <v>-0.047</v>
      </c>
      <c r="K288" s="7" t="n">
        <v>0.688</v>
      </c>
      <c r="L288" s="7" t="n">
        <v>-0.478</v>
      </c>
      <c r="M288" s="7" t="n">
        <v>-0.158</v>
      </c>
      <c r="N288" s="7" t="n">
        <v>0.27</v>
      </c>
      <c r="O288" s="7" t="n">
        <v>-0.426</v>
      </c>
      <c r="P288" s="7" t="n">
        <v>-0.093</v>
      </c>
      <c r="Q288" s="7" t="n">
        <v>-0.093</v>
      </c>
      <c r="R288" s="7" t="n">
        <v>-0.093</v>
      </c>
      <c r="S288" s="7" t="n">
        <v>0.651</v>
      </c>
      <c r="T288" s="7" t="n">
        <v>-0.093</v>
      </c>
      <c r="U288" s="7" t="n">
        <v>0.191</v>
      </c>
      <c r="V288" s="7" t="n">
        <v>-0.116</v>
      </c>
      <c r="W288" s="7" t="n">
        <v>-0.093</v>
      </c>
      <c r="X288" s="7" t="n">
        <v>-0.093</v>
      </c>
      <c r="Y288" s="7" t="n">
        <v>-0.093</v>
      </c>
      <c r="Z288" s="7" t="n">
        <v>0.651</v>
      </c>
      <c r="AA288" s="7" t="n">
        <v>-0.093</v>
      </c>
      <c r="AB288" s="7" t="n">
        <v>-0.389</v>
      </c>
      <c r="AC288" s="7" t="n">
        <v>-0.093</v>
      </c>
      <c r="AD288" s="7" t="n">
        <v>0.613</v>
      </c>
      <c r="AE288" s="7" t="n">
        <v>0.564</v>
      </c>
      <c r="AF288" s="7" t="n">
        <v>0.688</v>
      </c>
      <c r="AG288" s="7" t="n">
        <v>-0.093</v>
      </c>
      <c r="AH288" s="7" t="n">
        <v>0.385</v>
      </c>
      <c r="AI288" s="7" t="n">
        <v>-0.346</v>
      </c>
      <c r="AJ288" s="7" t="n">
        <v>-0.397</v>
      </c>
      <c r="AK288" s="7" t="n">
        <v>-0.377</v>
      </c>
      <c r="AL288" s="7" t="n">
        <v>0</v>
      </c>
      <c r="AM288" s="7" t="n">
        <v>-0.346</v>
      </c>
      <c r="AN288" s="7" t="n">
        <v>0</v>
      </c>
      <c r="AO288" s="7" t="n">
        <v>-0.066</v>
      </c>
      <c r="AP288" s="7" t="n">
        <v>-0.066</v>
      </c>
      <c r="AQ288" s="7" t="n">
        <v>0</v>
      </c>
    </row>
    <row r="289" customFormat="false" ht="15" hidden="false" customHeight="false" outlineLevel="0" collapsed="false">
      <c r="A289" s="23" t="n">
        <v>46606</v>
      </c>
      <c r="B289" s="7" t="n">
        <v>0.401</v>
      </c>
      <c r="C289" s="7" t="n">
        <v>0.142</v>
      </c>
      <c r="D289" s="7" t="n">
        <v>-0.093</v>
      </c>
      <c r="E289" s="7" t="n">
        <v>0.607</v>
      </c>
      <c r="F289" s="7" t="n">
        <v>0.585</v>
      </c>
      <c r="G289" s="7" t="n">
        <v>-0.093</v>
      </c>
      <c r="H289" s="7" t="n">
        <v>-0.093</v>
      </c>
      <c r="I289" s="7" t="n">
        <v>-0.436</v>
      </c>
      <c r="J289" s="7" t="n">
        <v>-0.093</v>
      </c>
      <c r="K289" s="7" t="n">
        <v>0.688</v>
      </c>
      <c r="L289" s="7" t="n">
        <v>-0.478</v>
      </c>
      <c r="M289" s="7" t="n">
        <v>-0.157</v>
      </c>
      <c r="N289" s="7" t="n">
        <v>0.299</v>
      </c>
      <c r="O289" s="7" t="n">
        <v>-0.426</v>
      </c>
      <c r="P289" s="7" t="n">
        <v>-0.093</v>
      </c>
      <c r="Q289" s="7" t="n">
        <v>-0.093</v>
      </c>
      <c r="R289" s="7" t="n">
        <v>-0.093</v>
      </c>
      <c r="S289" s="7" t="n">
        <v>0.652</v>
      </c>
      <c r="T289" s="7" t="n">
        <v>-0.093</v>
      </c>
      <c r="U289" s="7" t="n">
        <v>0.2</v>
      </c>
      <c r="V289" s="7" t="n">
        <v>-0.082</v>
      </c>
      <c r="W289" s="7" t="n">
        <v>-0.093</v>
      </c>
      <c r="X289" s="7" t="n">
        <v>-0.093</v>
      </c>
      <c r="Y289" s="7" t="n">
        <v>-0.093</v>
      </c>
      <c r="Z289" s="7" t="n">
        <v>0.652</v>
      </c>
      <c r="AA289" s="7" t="n">
        <v>-0.093</v>
      </c>
      <c r="AB289" s="7" t="n">
        <v>-0.389</v>
      </c>
      <c r="AC289" s="7" t="n">
        <v>-0.093</v>
      </c>
      <c r="AD289" s="7" t="n">
        <v>0.63</v>
      </c>
      <c r="AE289" s="7" t="n">
        <v>0.585</v>
      </c>
      <c r="AF289" s="7" t="n">
        <v>0.688</v>
      </c>
      <c r="AG289" s="7" t="n">
        <v>-0.093</v>
      </c>
      <c r="AH289" s="7" t="n">
        <v>0.382</v>
      </c>
      <c r="AI289" s="7" t="n">
        <v>-0.347</v>
      </c>
      <c r="AJ289" s="7" t="n">
        <v>-0.396</v>
      </c>
      <c r="AK289" s="7" t="n">
        <v>-0.376</v>
      </c>
      <c r="AL289" s="7" t="n">
        <v>0</v>
      </c>
      <c r="AM289" s="7" t="n">
        <v>-0.347</v>
      </c>
      <c r="AN289" s="7" t="n">
        <v>0</v>
      </c>
      <c r="AO289" s="7" t="n">
        <v>-0.065</v>
      </c>
      <c r="AP289" s="7" t="n">
        <v>-0.065</v>
      </c>
      <c r="AQ289" s="7" t="n">
        <v>0</v>
      </c>
    </row>
    <row r="290" customFormat="false" ht="15" hidden="false" customHeight="false" outlineLevel="0" collapsed="false">
      <c r="A290" s="23" t="n">
        <v>46607</v>
      </c>
      <c r="B290" s="7" t="n">
        <v>0.401</v>
      </c>
      <c r="C290" s="7" t="n">
        <v>0.142</v>
      </c>
      <c r="D290" s="7" t="n">
        <v>-0.093</v>
      </c>
      <c r="E290" s="7" t="n">
        <v>0.607</v>
      </c>
      <c r="F290" s="7" t="n">
        <v>0.585</v>
      </c>
      <c r="G290" s="7" t="n">
        <v>-0.093</v>
      </c>
      <c r="H290" s="7" t="n">
        <v>-0.093</v>
      </c>
      <c r="I290" s="7" t="n">
        <v>-0.436</v>
      </c>
      <c r="J290" s="7" t="n">
        <v>-0.093</v>
      </c>
      <c r="K290" s="7" t="n">
        <v>0.688</v>
      </c>
      <c r="L290" s="7" t="n">
        <v>-0.478</v>
      </c>
      <c r="M290" s="7" t="n">
        <v>-0.157</v>
      </c>
      <c r="N290" s="7" t="n">
        <v>0.299</v>
      </c>
      <c r="O290" s="7" t="n">
        <v>-0.426</v>
      </c>
      <c r="P290" s="7" t="n">
        <v>-0.093</v>
      </c>
      <c r="Q290" s="7" t="n">
        <v>-0.093</v>
      </c>
      <c r="R290" s="7" t="n">
        <v>-0.093</v>
      </c>
      <c r="S290" s="7" t="n">
        <v>0.652</v>
      </c>
      <c r="T290" s="7" t="n">
        <v>-0.093</v>
      </c>
      <c r="U290" s="7" t="n">
        <v>0.2</v>
      </c>
      <c r="V290" s="7" t="n">
        <v>-0.082</v>
      </c>
      <c r="W290" s="7" t="n">
        <v>-0.093</v>
      </c>
      <c r="X290" s="7" t="n">
        <v>-0.093</v>
      </c>
      <c r="Y290" s="7" t="n">
        <v>-0.093</v>
      </c>
      <c r="Z290" s="7" t="n">
        <v>0.652</v>
      </c>
      <c r="AA290" s="7" t="n">
        <v>-0.093</v>
      </c>
      <c r="AB290" s="7" t="n">
        <v>-0.389</v>
      </c>
      <c r="AC290" s="7" t="n">
        <v>-0.093</v>
      </c>
      <c r="AD290" s="7" t="n">
        <v>0.63</v>
      </c>
      <c r="AE290" s="7" t="n">
        <v>0.585</v>
      </c>
      <c r="AF290" s="7" t="n">
        <v>0.688</v>
      </c>
      <c r="AG290" s="7" t="n">
        <v>-0.093</v>
      </c>
      <c r="AH290" s="7" t="n">
        <v>0.382</v>
      </c>
      <c r="AI290" s="7" t="n">
        <v>-0.347</v>
      </c>
      <c r="AJ290" s="7" t="n">
        <v>-0.396</v>
      </c>
      <c r="AK290" s="7" t="n">
        <v>-0.376</v>
      </c>
      <c r="AL290" s="7" t="n">
        <v>0</v>
      </c>
      <c r="AM290" s="7" t="n">
        <v>-0.347</v>
      </c>
      <c r="AN290" s="7" t="n">
        <v>0</v>
      </c>
      <c r="AO290" s="7" t="n">
        <v>-0.065</v>
      </c>
      <c r="AP290" s="7" t="n">
        <v>-0.065</v>
      </c>
      <c r="AQ290" s="7" t="n">
        <v>0</v>
      </c>
    </row>
    <row r="291" customFormat="false" ht="15" hidden="false" customHeight="false" outlineLevel="0" collapsed="false">
      <c r="A291" s="23" t="n">
        <v>46608</v>
      </c>
      <c r="B291" s="7" t="n">
        <v>0.401</v>
      </c>
      <c r="C291" s="7" t="n">
        <v>0.142</v>
      </c>
      <c r="D291" s="7" t="n">
        <v>-0.093</v>
      </c>
      <c r="E291" s="7" t="n">
        <v>0.607</v>
      </c>
      <c r="F291" s="7" t="n">
        <v>0.585</v>
      </c>
      <c r="G291" s="7" t="n">
        <v>-0.093</v>
      </c>
      <c r="H291" s="7" t="n">
        <v>-0.093</v>
      </c>
      <c r="I291" s="7" t="n">
        <v>-0.436</v>
      </c>
      <c r="J291" s="7" t="n">
        <v>-0.093</v>
      </c>
      <c r="K291" s="7" t="n">
        <v>0.688</v>
      </c>
      <c r="L291" s="7" t="n">
        <v>-0.478</v>
      </c>
      <c r="M291" s="7" t="n">
        <v>-0.157</v>
      </c>
      <c r="N291" s="7" t="n">
        <v>0.299</v>
      </c>
      <c r="O291" s="7" t="n">
        <v>-0.426</v>
      </c>
      <c r="P291" s="7" t="n">
        <v>-0.093</v>
      </c>
      <c r="Q291" s="7" t="n">
        <v>-0.093</v>
      </c>
      <c r="R291" s="7" t="n">
        <v>-0.093</v>
      </c>
      <c r="S291" s="7" t="n">
        <v>0.652</v>
      </c>
      <c r="T291" s="7" t="n">
        <v>-0.093</v>
      </c>
      <c r="U291" s="7" t="n">
        <v>0.2</v>
      </c>
      <c r="V291" s="7" t="n">
        <v>-0.082</v>
      </c>
      <c r="W291" s="7" t="n">
        <v>-0.093</v>
      </c>
      <c r="X291" s="7" t="n">
        <v>-0.093</v>
      </c>
      <c r="Y291" s="7" t="n">
        <v>-0.093</v>
      </c>
      <c r="Z291" s="7" t="n">
        <v>0.652</v>
      </c>
      <c r="AA291" s="7" t="n">
        <v>-0.093</v>
      </c>
      <c r="AB291" s="7" t="n">
        <v>-0.389</v>
      </c>
      <c r="AC291" s="7" t="n">
        <v>-0.093</v>
      </c>
      <c r="AD291" s="7" t="n">
        <v>0.63</v>
      </c>
      <c r="AE291" s="7" t="n">
        <v>0.585</v>
      </c>
      <c r="AF291" s="7" t="n">
        <v>0.688</v>
      </c>
      <c r="AG291" s="7" t="n">
        <v>-0.093</v>
      </c>
      <c r="AH291" s="7" t="n">
        <v>0.382</v>
      </c>
      <c r="AI291" s="7" t="n">
        <v>-0.347</v>
      </c>
      <c r="AJ291" s="7" t="n">
        <v>-0.396</v>
      </c>
      <c r="AK291" s="7" t="n">
        <v>-0.376</v>
      </c>
      <c r="AL291" s="7" t="n">
        <v>0</v>
      </c>
      <c r="AM291" s="7" t="n">
        <v>-0.347</v>
      </c>
      <c r="AN291" s="7" t="n">
        <v>0</v>
      </c>
      <c r="AO291" s="7" t="n">
        <v>-0.065</v>
      </c>
      <c r="AP291" s="7" t="n">
        <v>-0.065</v>
      </c>
      <c r="AQ291" s="7" t="n">
        <v>0</v>
      </c>
    </row>
    <row r="292" customFormat="false" ht="15" hidden="false" customHeight="false" outlineLevel="0" collapsed="false">
      <c r="A292" s="23" t="n">
        <v>46609</v>
      </c>
      <c r="B292" s="7" t="n">
        <v>0.299</v>
      </c>
      <c r="C292" s="7" t="n">
        <v>0.103</v>
      </c>
      <c r="D292" s="7" t="n">
        <v>-0.093</v>
      </c>
      <c r="E292" s="7" t="n">
        <v>0.565</v>
      </c>
      <c r="F292" s="7" t="n">
        <v>0.5</v>
      </c>
      <c r="G292" s="7" t="n">
        <v>-0.093</v>
      </c>
      <c r="H292" s="7" t="n">
        <v>-0.093</v>
      </c>
      <c r="I292" s="7" t="n">
        <v>-0.464</v>
      </c>
      <c r="J292" s="7" t="n">
        <v>-0.187</v>
      </c>
      <c r="K292" s="7" t="n">
        <v>0.688</v>
      </c>
      <c r="L292" s="7" t="n">
        <v>-0.52</v>
      </c>
      <c r="M292" s="7" t="n">
        <v>-0.16</v>
      </c>
      <c r="N292" s="7" t="n">
        <v>0.149</v>
      </c>
      <c r="O292" s="7" t="n">
        <v>-0.469</v>
      </c>
      <c r="P292" s="7" t="n">
        <v>-0.093</v>
      </c>
      <c r="Q292" s="7" t="n">
        <v>-0.093</v>
      </c>
      <c r="R292" s="7" t="n">
        <v>-0.093</v>
      </c>
      <c r="S292" s="7" t="n">
        <v>0.542</v>
      </c>
      <c r="T292" s="7" t="n">
        <v>-0.093</v>
      </c>
      <c r="U292" s="7" t="n">
        <v>0.043</v>
      </c>
      <c r="V292" s="7" t="n">
        <v>-0.078</v>
      </c>
      <c r="W292" s="7" t="n">
        <v>-0.093</v>
      </c>
      <c r="X292" s="7" t="n">
        <v>-0.093</v>
      </c>
      <c r="Y292" s="7" t="n">
        <v>-0.201</v>
      </c>
      <c r="Z292" s="7" t="n">
        <v>0.65</v>
      </c>
      <c r="AA292" s="7" t="n">
        <v>-0.093</v>
      </c>
      <c r="AB292" s="7" t="n">
        <v>-0.448</v>
      </c>
      <c r="AC292" s="7" t="n">
        <v>-0.093</v>
      </c>
      <c r="AD292" s="7" t="n">
        <v>0.539</v>
      </c>
      <c r="AE292" s="7" t="n">
        <v>0.5</v>
      </c>
      <c r="AF292" s="7" t="n">
        <v>0.688</v>
      </c>
      <c r="AG292" s="7" t="n">
        <v>-0.093</v>
      </c>
      <c r="AH292" s="7" t="n">
        <v>0.254</v>
      </c>
      <c r="AI292" s="7" t="n">
        <v>-0.393</v>
      </c>
      <c r="AJ292" s="7" t="n">
        <v>-0.426</v>
      </c>
      <c r="AK292" s="7" t="n">
        <v>-0.413</v>
      </c>
      <c r="AL292" s="7" t="n">
        <v>-0.114</v>
      </c>
      <c r="AM292" s="7" t="n">
        <v>-0.393</v>
      </c>
      <c r="AN292" s="7" t="n">
        <v>0</v>
      </c>
      <c r="AO292" s="7" t="n">
        <v>-0.177</v>
      </c>
      <c r="AP292" s="7" t="n">
        <v>-0.068</v>
      </c>
      <c r="AQ292" s="7" t="n">
        <v>0</v>
      </c>
    </row>
    <row r="293" customFormat="false" ht="15" hidden="false" customHeight="false" outlineLevel="0" collapsed="false">
      <c r="A293" s="23" t="n">
        <v>46610</v>
      </c>
      <c r="B293" s="7" t="n">
        <v>0.196</v>
      </c>
      <c r="C293" s="7" t="n">
        <v>0.065</v>
      </c>
      <c r="D293" s="7" t="n">
        <v>-0.093</v>
      </c>
      <c r="E293" s="7" t="n">
        <v>0.519</v>
      </c>
      <c r="F293" s="7" t="n">
        <v>0.413</v>
      </c>
      <c r="G293" s="7" t="n">
        <v>-0.093</v>
      </c>
      <c r="H293" s="7" t="n">
        <v>-0.093</v>
      </c>
      <c r="I293" s="7" t="n">
        <v>-0.495</v>
      </c>
      <c r="J293" s="7" t="n">
        <v>-0.282</v>
      </c>
      <c r="K293" s="7" t="n">
        <v>0.688</v>
      </c>
      <c r="L293" s="7" t="n">
        <v>-0.558</v>
      </c>
      <c r="M293" s="7" t="n">
        <v>-0.159</v>
      </c>
      <c r="N293" s="7" t="n">
        <v>0</v>
      </c>
      <c r="O293" s="7" t="n">
        <v>-0.511</v>
      </c>
      <c r="P293" s="7" t="n">
        <v>-0.093</v>
      </c>
      <c r="Q293" s="7" t="n">
        <v>-0.093</v>
      </c>
      <c r="R293" s="7" t="n">
        <v>-0.093</v>
      </c>
      <c r="S293" s="7" t="n">
        <v>0.429</v>
      </c>
      <c r="T293" s="7" t="n">
        <v>-0.093</v>
      </c>
      <c r="U293" s="7" t="n">
        <v>-0.111</v>
      </c>
      <c r="V293" s="7" t="n">
        <v>-0.075</v>
      </c>
      <c r="W293" s="7" t="n">
        <v>-0.093</v>
      </c>
      <c r="X293" s="7" t="n">
        <v>-0.093</v>
      </c>
      <c r="Y293" s="7" t="n">
        <v>-0.308</v>
      </c>
      <c r="Z293" s="7" t="n">
        <v>0.651</v>
      </c>
      <c r="AA293" s="7" t="n">
        <v>-0.093</v>
      </c>
      <c r="AB293" s="7" t="n">
        <v>-0.519</v>
      </c>
      <c r="AC293" s="7" t="n">
        <v>-0.093</v>
      </c>
      <c r="AD293" s="7" t="n">
        <v>0.447</v>
      </c>
      <c r="AE293" s="7" t="n">
        <v>0.413</v>
      </c>
      <c r="AF293" s="7" t="n">
        <v>0.688</v>
      </c>
      <c r="AG293" s="7" t="n">
        <v>-0.093</v>
      </c>
      <c r="AH293" s="7" t="n">
        <v>0.076</v>
      </c>
      <c r="AI293" s="7" t="n">
        <v>-0.439</v>
      </c>
      <c r="AJ293" s="7" t="n">
        <v>-0.457</v>
      </c>
      <c r="AK293" s="7" t="n">
        <v>-0.45</v>
      </c>
      <c r="AL293" s="7" t="n">
        <v>-0.228</v>
      </c>
      <c r="AM293" s="7" t="n">
        <v>-0.439</v>
      </c>
      <c r="AN293" s="7" t="n">
        <v>0</v>
      </c>
      <c r="AO293" s="7" t="n">
        <v>-0.286</v>
      </c>
      <c r="AP293" s="7" t="n">
        <v>-0.067</v>
      </c>
      <c r="AQ293" s="7" t="n">
        <v>0</v>
      </c>
    </row>
    <row r="294" customFormat="false" ht="15" hidden="false" customHeight="false" outlineLevel="0" collapsed="false">
      <c r="A294" s="23" t="n">
        <v>46611</v>
      </c>
      <c r="B294" s="7" t="n">
        <v>0.095</v>
      </c>
      <c r="C294" s="7" t="n">
        <v>0.025</v>
      </c>
      <c r="D294" s="7" t="n">
        <v>-0.132</v>
      </c>
      <c r="E294" s="7" t="n">
        <v>0.362</v>
      </c>
      <c r="F294" s="7" t="n">
        <v>0.271</v>
      </c>
      <c r="G294" s="7" t="n">
        <v>-0.093</v>
      </c>
      <c r="H294" s="7" t="n">
        <v>-0.093</v>
      </c>
      <c r="I294" s="7" t="n">
        <v>-0.421</v>
      </c>
      <c r="J294" s="7" t="n">
        <v>-0.282</v>
      </c>
      <c r="K294" s="7" t="n">
        <v>0.532</v>
      </c>
      <c r="L294" s="7" t="n">
        <v>-0.493</v>
      </c>
      <c r="M294" s="7" t="n">
        <v>-0.158</v>
      </c>
      <c r="N294" s="7" t="n">
        <v>-0.083</v>
      </c>
      <c r="O294" s="7" t="n">
        <v>-0.444</v>
      </c>
      <c r="P294" s="7" t="n">
        <v>-0.113</v>
      </c>
      <c r="Q294" s="7" t="n">
        <v>-0.093</v>
      </c>
      <c r="R294" s="7" t="n">
        <v>-0.091</v>
      </c>
      <c r="S294" s="7" t="n">
        <v>0.403</v>
      </c>
      <c r="T294" s="7" t="n">
        <v>-0.09</v>
      </c>
      <c r="U294" s="7" t="n">
        <v>-0.14</v>
      </c>
      <c r="V294" s="7" t="n">
        <v>-0.072</v>
      </c>
      <c r="W294" s="7" t="n">
        <v>-0.093</v>
      </c>
      <c r="X294" s="7" t="n">
        <v>-0.113</v>
      </c>
      <c r="Y294" s="7" t="n">
        <v>-0.362</v>
      </c>
      <c r="Z294" s="7" t="n">
        <v>0.49</v>
      </c>
      <c r="AA294" s="7" t="n">
        <v>-0.091</v>
      </c>
      <c r="AB294" s="7" t="n">
        <v>-0.455</v>
      </c>
      <c r="AC294" s="7" t="n">
        <v>-0.093</v>
      </c>
      <c r="AD294" s="7" t="n">
        <v>0.288</v>
      </c>
      <c r="AE294" s="7" t="n">
        <v>0.271</v>
      </c>
      <c r="AF294" s="7" t="n">
        <v>0.532</v>
      </c>
      <c r="AG294" s="7" t="n">
        <v>-0.093</v>
      </c>
      <c r="AH294" s="7" t="n">
        <v>-0.006</v>
      </c>
      <c r="AI294" s="7" t="n">
        <v>-0.37</v>
      </c>
      <c r="AJ294" s="7" t="n">
        <v>-0.376</v>
      </c>
      <c r="AK294" s="7" t="n">
        <v>-0.373</v>
      </c>
      <c r="AL294" s="7" t="n">
        <v>-0.281</v>
      </c>
      <c r="AM294" s="7" t="n">
        <v>-0.37</v>
      </c>
      <c r="AN294" s="7" t="n">
        <v>0</v>
      </c>
      <c r="AO294" s="7" t="n">
        <v>-0.336</v>
      </c>
      <c r="AP294" s="7" t="n">
        <v>-0.066</v>
      </c>
      <c r="AQ294" s="7" t="n">
        <v>0</v>
      </c>
    </row>
    <row r="295" customFormat="false" ht="15" hidden="false" customHeight="false" outlineLevel="0" collapsed="false">
      <c r="A295" s="23" t="n">
        <v>46612</v>
      </c>
      <c r="B295" s="7" t="n">
        <v>-0.017</v>
      </c>
      <c r="C295" s="7" t="n">
        <v>-0.042</v>
      </c>
      <c r="D295" s="7" t="n">
        <v>-0.17</v>
      </c>
      <c r="E295" s="7" t="n">
        <v>0.201</v>
      </c>
      <c r="F295" s="7" t="n">
        <v>0.121</v>
      </c>
      <c r="G295" s="7" t="n">
        <v>-0.093</v>
      </c>
      <c r="H295" s="7" t="n">
        <v>-0.093</v>
      </c>
      <c r="I295" s="7" t="n">
        <v>-0.364</v>
      </c>
      <c r="J295" s="7" t="n">
        <v>-0.282</v>
      </c>
      <c r="K295" s="7" t="n">
        <v>0.375</v>
      </c>
      <c r="L295" s="7" t="n">
        <v>-0.428</v>
      </c>
      <c r="M295" s="7" t="n">
        <v>-0.157</v>
      </c>
      <c r="N295" s="7" t="n">
        <v>-0.176</v>
      </c>
      <c r="O295" s="7" t="n">
        <v>-0.377</v>
      </c>
      <c r="P295" s="7" t="n">
        <v>-0.132</v>
      </c>
      <c r="Q295" s="7" t="n">
        <v>-0.093</v>
      </c>
      <c r="R295" s="7" t="n">
        <v>-0.091</v>
      </c>
      <c r="S295" s="7" t="n">
        <v>0.371</v>
      </c>
      <c r="T295" s="7" t="n">
        <v>-0.091</v>
      </c>
      <c r="U295" s="7" t="n">
        <v>-0.18</v>
      </c>
      <c r="V295" s="7" t="n">
        <v>-0.088</v>
      </c>
      <c r="W295" s="7" t="n">
        <v>-0.093</v>
      </c>
      <c r="X295" s="7" t="n">
        <v>-0.132</v>
      </c>
      <c r="Y295" s="7" t="n">
        <v>-0.416</v>
      </c>
      <c r="Z295" s="7" t="n">
        <v>0.329</v>
      </c>
      <c r="AA295" s="7" t="n">
        <v>-0.091</v>
      </c>
      <c r="AB295" s="7" t="n">
        <v>-0.409</v>
      </c>
      <c r="AC295" s="7" t="n">
        <v>-0.093</v>
      </c>
      <c r="AD295" s="7" t="n">
        <v>0.127</v>
      </c>
      <c r="AE295" s="7" t="n">
        <v>0.121</v>
      </c>
      <c r="AF295" s="7" t="n">
        <v>0.375</v>
      </c>
      <c r="AG295" s="7" t="n">
        <v>-0.093</v>
      </c>
      <c r="AH295" s="7" t="n">
        <v>-0.087</v>
      </c>
      <c r="AI295" s="7" t="n">
        <v>-0.3</v>
      </c>
      <c r="AJ295" s="7" t="n">
        <v>-0.299</v>
      </c>
      <c r="AK295" s="7" t="n">
        <v>-0.3</v>
      </c>
      <c r="AL295" s="7" t="n">
        <v>-0.333</v>
      </c>
      <c r="AM295" s="7" t="n">
        <v>-0.3</v>
      </c>
      <c r="AN295" s="7" t="n">
        <v>0</v>
      </c>
      <c r="AO295" s="7" t="n">
        <v>-0.386</v>
      </c>
      <c r="AP295" s="7" t="n">
        <v>-0.065</v>
      </c>
      <c r="AQ295" s="7" t="n">
        <v>0</v>
      </c>
    </row>
    <row r="296" customFormat="false" ht="15" hidden="false" customHeight="false" outlineLevel="0" collapsed="false">
      <c r="A296" s="23" t="n">
        <v>46613</v>
      </c>
      <c r="B296" s="7" t="n">
        <v>-0.147</v>
      </c>
      <c r="C296" s="7" t="n">
        <v>-0.144</v>
      </c>
      <c r="D296" s="7" t="n">
        <v>-0.207</v>
      </c>
      <c r="E296" s="7" t="n">
        <v>0.04</v>
      </c>
      <c r="F296" s="7" t="n">
        <v>-0.039</v>
      </c>
      <c r="G296" s="7" t="n">
        <v>-0.093</v>
      </c>
      <c r="H296" s="7" t="n">
        <v>-0.093</v>
      </c>
      <c r="I296" s="7" t="n">
        <v>-0.328</v>
      </c>
      <c r="J296" s="7" t="n">
        <v>-0.282</v>
      </c>
      <c r="K296" s="7" t="n">
        <v>0.219</v>
      </c>
      <c r="L296" s="7" t="n">
        <v>-0.363</v>
      </c>
      <c r="M296" s="7" t="n">
        <v>-0.156</v>
      </c>
      <c r="N296" s="7" t="n">
        <v>-0.285</v>
      </c>
      <c r="O296" s="7" t="n">
        <v>-0.311</v>
      </c>
      <c r="P296" s="7" t="n">
        <v>-0.151</v>
      </c>
      <c r="Q296" s="7" t="n">
        <v>-0.093</v>
      </c>
      <c r="R296" s="7" t="n">
        <v>-0.107</v>
      </c>
      <c r="S296" s="7" t="n">
        <v>0.315</v>
      </c>
      <c r="T296" s="7" t="n">
        <v>-0.125</v>
      </c>
      <c r="U296" s="7" t="n">
        <v>-0.246</v>
      </c>
      <c r="V296" s="7" t="n">
        <v>-0.121</v>
      </c>
      <c r="W296" s="7" t="n">
        <v>-0.093</v>
      </c>
      <c r="X296" s="7" t="n">
        <v>-0.151</v>
      </c>
      <c r="Y296" s="7" t="n">
        <v>-0.468</v>
      </c>
      <c r="Z296" s="7" t="n">
        <v>0.168</v>
      </c>
      <c r="AA296" s="7" t="n">
        <v>-0.107</v>
      </c>
      <c r="AB296" s="7" t="n">
        <v>-0.379</v>
      </c>
      <c r="AC296" s="7" t="n">
        <v>-0.093</v>
      </c>
      <c r="AD296" s="7" t="n">
        <v>-0.034</v>
      </c>
      <c r="AE296" s="7" t="n">
        <v>-0.039</v>
      </c>
      <c r="AF296" s="7" t="n">
        <v>0.219</v>
      </c>
      <c r="AG296" s="7" t="n">
        <v>-0.093</v>
      </c>
      <c r="AH296" s="7" t="n">
        <v>-0.166</v>
      </c>
      <c r="AI296" s="7" t="n">
        <v>-0.231</v>
      </c>
      <c r="AJ296" s="7" t="n">
        <v>-0.235</v>
      </c>
      <c r="AK296" s="7" t="n">
        <v>-0.233</v>
      </c>
      <c r="AL296" s="7" t="n">
        <v>-0.383</v>
      </c>
      <c r="AM296" s="7" t="n">
        <v>-0.231</v>
      </c>
      <c r="AN296" s="7" t="n">
        <v>0</v>
      </c>
      <c r="AO296" s="7" t="n">
        <v>-0.434</v>
      </c>
      <c r="AP296" s="7" t="n">
        <v>-0.064</v>
      </c>
      <c r="AQ296" s="7" t="n">
        <v>0</v>
      </c>
    </row>
    <row r="297" customFormat="false" ht="15" hidden="false" customHeight="false" outlineLevel="0" collapsed="false">
      <c r="A297" s="23" t="n">
        <v>46614</v>
      </c>
      <c r="B297" s="7" t="n">
        <v>-0.147</v>
      </c>
      <c r="C297" s="7" t="n">
        <v>-0.144</v>
      </c>
      <c r="D297" s="7" t="n">
        <v>-0.207</v>
      </c>
      <c r="E297" s="7" t="n">
        <v>0.04</v>
      </c>
      <c r="F297" s="7" t="n">
        <v>-0.039</v>
      </c>
      <c r="G297" s="7" t="n">
        <v>-0.093</v>
      </c>
      <c r="H297" s="7" t="n">
        <v>-0.093</v>
      </c>
      <c r="I297" s="7" t="n">
        <v>-0.328</v>
      </c>
      <c r="J297" s="7" t="n">
        <v>-0.282</v>
      </c>
      <c r="K297" s="7" t="n">
        <v>0.219</v>
      </c>
      <c r="L297" s="7" t="n">
        <v>-0.363</v>
      </c>
      <c r="M297" s="7" t="n">
        <v>-0.156</v>
      </c>
      <c r="N297" s="7" t="n">
        <v>-0.285</v>
      </c>
      <c r="O297" s="7" t="n">
        <v>-0.311</v>
      </c>
      <c r="P297" s="7" t="n">
        <v>-0.151</v>
      </c>
      <c r="Q297" s="7" t="n">
        <v>-0.093</v>
      </c>
      <c r="R297" s="7" t="n">
        <v>-0.107</v>
      </c>
      <c r="S297" s="7" t="n">
        <v>0.315</v>
      </c>
      <c r="T297" s="7" t="n">
        <v>-0.125</v>
      </c>
      <c r="U297" s="7" t="n">
        <v>-0.246</v>
      </c>
      <c r="V297" s="7" t="n">
        <v>-0.121</v>
      </c>
      <c r="W297" s="7" t="n">
        <v>-0.093</v>
      </c>
      <c r="X297" s="7" t="n">
        <v>-0.151</v>
      </c>
      <c r="Y297" s="7" t="n">
        <v>-0.468</v>
      </c>
      <c r="Z297" s="7" t="n">
        <v>0.168</v>
      </c>
      <c r="AA297" s="7" t="n">
        <v>-0.107</v>
      </c>
      <c r="AB297" s="7" t="n">
        <v>-0.379</v>
      </c>
      <c r="AC297" s="7" t="n">
        <v>-0.093</v>
      </c>
      <c r="AD297" s="7" t="n">
        <v>-0.034</v>
      </c>
      <c r="AE297" s="7" t="n">
        <v>-0.039</v>
      </c>
      <c r="AF297" s="7" t="n">
        <v>0.219</v>
      </c>
      <c r="AG297" s="7" t="n">
        <v>-0.093</v>
      </c>
      <c r="AH297" s="7" t="n">
        <v>-0.166</v>
      </c>
      <c r="AI297" s="7" t="n">
        <v>-0.231</v>
      </c>
      <c r="AJ297" s="7" t="n">
        <v>-0.235</v>
      </c>
      <c r="AK297" s="7" t="n">
        <v>-0.233</v>
      </c>
      <c r="AL297" s="7" t="n">
        <v>-0.383</v>
      </c>
      <c r="AM297" s="7" t="n">
        <v>-0.231</v>
      </c>
      <c r="AN297" s="7" t="n">
        <v>0</v>
      </c>
      <c r="AO297" s="7" t="n">
        <v>-0.434</v>
      </c>
      <c r="AP297" s="7" t="n">
        <v>-0.064</v>
      </c>
      <c r="AQ297" s="7" t="n">
        <v>0</v>
      </c>
    </row>
    <row r="298" customFormat="false" ht="15" hidden="false" customHeight="false" outlineLevel="0" collapsed="false">
      <c r="A298" s="23" t="n">
        <v>46615</v>
      </c>
      <c r="B298" s="7" t="n">
        <v>-0.147</v>
      </c>
      <c r="C298" s="7" t="n">
        <v>-0.144</v>
      </c>
      <c r="D298" s="7" t="n">
        <v>-0.207</v>
      </c>
      <c r="E298" s="7" t="n">
        <v>0.04</v>
      </c>
      <c r="F298" s="7" t="n">
        <v>-0.039</v>
      </c>
      <c r="G298" s="7" t="n">
        <v>-0.093</v>
      </c>
      <c r="H298" s="7" t="n">
        <v>-0.093</v>
      </c>
      <c r="I298" s="7" t="n">
        <v>-0.328</v>
      </c>
      <c r="J298" s="7" t="n">
        <v>-0.282</v>
      </c>
      <c r="K298" s="7" t="n">
        <v>0.219</v>
      </c>
      <c r="L298" s="7" t="n">
        <v>-0.363</v>
      </c>
      <c r="M298" s="7" t="n">
        <v>-0.156</v>
      </c>
      <c r="N298" s="7" t="n">
        <v>-0.285</v>
      </c>
      <c r="O298" s="7" t="n">
        <v>-0.311</v>
      </c>
      <c r="P298" s="7" t="n">
        <v>-0.151</v>
      </c>
      <c r="Q298" s="7" t="n">
        <v>-0.093</v>
      </c>
      <c r="R298" s="7" t="n">
        <v>-0.107</v>
      </c>
      <c r="S298" s="7" t="n">
        <v>0.315</v>
      </c>
      <c r="T298" s="7" t="n">
        <v>-0.125</v>
      </c>
      <c r="U298" s="7" t="n">
        <v>-0.246</v>
      </c>
      <c r="V298" s="7" t="n">
        <v>-0.121</v>
      </c>
      <c r="W298" s="7" t="n">
        <v>-0.093</v>
      </c>
      <c r="X298" s="7" t="n">
        <v>-0.151</v>
      </c>
      <c r="Y298" s="7" t="n">
        <v>-0.468</v>
      </c>
      <c r="Z298" s="7" t="n">
        <v>0.168</v>
      </c>
      <c r="AA298" s="7" t="n">
        <v>-0.107</v>
      </c>
      <c r="AB298" s="7" t="n">
        <v>-0.379</v>
      </c>
      <c r="AC298" s="7" t="n">
        <v>-0.093</v>
      </c>
      <c r="AD298" s="7" t="n">
        <v>-0.034</v>
      </c>
      <c r="AE298" s="7" t="n">
        <v>-0.039</v>
      </c>
      <c r="AF298" s="7" t="n">
        <v>0.219</v>
      </c>
      <c r="AG298" s="7" t="n">
        <v>-0.093</v>
      </c>
      <c r="AH298" s="7" t="n">
        <v>-0.166</v>
      </c>
      <c r="AI298" s="7" t="n">
        <v>-0.231</v>
      </c>
      <c r="AJ298" s="7" t="n">
        <v>-0.235</v>
      </c>
      <c r="AK298" s="7" t="n">
        <v>-0.233</v>
      </c>
      <c r="AL298" s="7" t="n">
        <v>-0.383</v>
      </c>
      <c r="AM298" s="7" t="n">
        <v>-0.231</v>
      </c>
      <c r="AN298" s="7" t="n">
        <v>0</v>
      </c>
      <c r="AO298" s="7" t="n">
        <v>-0.434</v>
      </c>
      <c r="AP298" s="7" t="n">
        <v>-0.064</v>
      </c>
      <c r="AQ298" s="7" t="n">
        <v>0</v>
      </c>
    </row>
    <row r="299" customFormat="false" ht="15" hidden="false" customHeight="false" outlineLevel="0" collapsed="false">
      <c r="A299" s="23" t="n">
        <v>46616</v>
      </c>
      <c r="B299" s="7" t="n">
        <v>-0.151</v>
      </c>
      <c r="C299" s="7" t="n">
        <v>-0.151</v>
      </c>
      <c r="D299" s="7" t="n">
        <v>-0.243</v>
      </c>
      <c r="E299" s="7" t="n">
        <v>-0.06</v>
      </c>
      <c r="F299" s="7" t="n">
        <v>-0.099</v>
      </c>
      <c r="G299" s="7" t="n">
        <v>-0.093</v>
      </c>
      <c r="H299" s="7" t="n">
        <v>-0.093</v>
      </c>
      <c r="I299" s="7" t="n">
        <v>-0.213</v>
      </c>
      <c r="J299" s="7" t="n">
        <v>-0.189</v>
      </c>
      <c r="K299" s="7" t="n">
        <v>0.063</v>
      </c>
      <c r="L299" s="7" t="n">
        <v>-0.258</v>
      </c>
      <c r="M299" s="7" t="n">
        <v>-0.155</v>
      </c>
      <c r="N299" s="7" t="n">
        <v>-0.221</v>
      </c>
      <c r="O299" s="7" t="n">
        <v>-0.202</v>
      </c>
      <c r="P299" s="7" t="n">
        <v>-0.169</v>
      </c>
      <c r="Q299" s="7" t="n">
        <v>-0.093</v>
      </c>
      <c r="R299" s="7" t="n">
        <v>-0.125</v>
      </c>
      <c r="S299" s="7" t="n">
        <v>0.364</v>
      </c>
      <c r="T299" s="7" t="n">
        <v>-0.165</v>
      </c>
      <c r="U299" s="7" t="n">
        <v>-0.144</v>
      </c>
      <c r="V299" s="7" t="n">
        <v>-0.101</v>
      </c>
      <c r="W299" s="7" t="n">
        <v>-0.093</v>
      </c>
      <c r="X299" s="7" t="n">
        <v>-0.169</v>
      </c>
      <c r="Y299" s="7" t="n">
        <v>-0.409</v>
      </c>
      <c r="Z299" s="7" t="n">
        <v>0.007</v>
      </c>
      <c r="AA299" s="7" t="n">
        <v>-0.125</v>
      </c>
      <c r="AB299" s="7" t="n">
        <v>-0.232</v>
      </c>
      <c r="AC299" s="7" t="n">
        <v>-0.093</v>
      </c>
      <c r="AD299" s="7" t="n">
        <v>-0.096</v>
      </c>
      <c r="AE299" s="7" t="n">
        <v>-0.099</v>
      </c>
      <c r="AF299" s="7" t="n">
        <v>0.063</v>
      </c>
      <c r="AG299" s="7" t="n">
        <v>-0.093</v>
      </c>
      <c r="AH299" s="7" t="n">
        <v>-0.117</v>
      </c>
      <c r="AI299" s="7" t="n">
        <v>-0.115</v>
      </c>
      <c r="AJ299" s="7" t="n">
        <v>-0.129</v>
      </c>
      <c r="AK299" s="7" t="n">
        <v>-0.123</v>
      </c>
      <c r="AL299" s="7" t="n">
        <v>-0.316</v>
      </c>
      <c r="AM299" s="7" t="n">
        <v>-0.115</v>
      </c>
      <c r="AN299" s="7" t="n">
        <v>0</v>
      </c>
      <c r="AO299" s="7" t="n">
        <v>-0.37</v>
      </c>
      <c r="AP299" s="7" t="n">
        <v>-0.063</v>
      </c>
      <c r="AQ299" s="7" t="n">
        <v>0</v>
      </c>
    </row>
    <row r="300" customFormat="false" ht="15" hidden="false" customHeight="false" outlineLevel="0" collapsed="false">
      <c r="A300" s="23" t="n">
        <v>46617</v>
      </c>
      <c r="B300" s="7" t="n">
        <v>-0.15</v>
      </c>
      <c r="C300" s="7" t="n">
        <v>-0.142</v>
      </c>
      <c r="D300" s="7" t="n">
        <v>-0.298</v>
      </c>
      <c r="E300" s="7" t="n">
        <v>-0.142</v>
      </c>
      <c r="F300" s="7" t="n">
        <v>-0.142</v>
      </c>
      <c r="G300" s="7" t="n">
        <v>-0.093</v>
      </c>
      <c r="H300" s="7" t="n">
        <v>-0.093</v>
      </c>
      <c r="I300" s="7" t="n">
        <v>-0.111</v>
      </c>
      <c r="J300" s="7" t="n">
        <v>-0.093</v>
      </c>
      <c r="K300" s="7" t="n">
        <v>-0.093</v>
      </c>
      <c r="L300" s="7" t="n">
        <v>-0.142</v>
      </c>
      <c r="M300" s="7" t="n">
        <v>-0.142</v>
      </c>
      <c r="N300" s="7" t="n">
        <v>-0.142</v>
      </c>
      <c r="O300" s="7" t="n">
        <v>-0.093</v>
      </c>
      <c r="P300" s="7" t="n">
        <v>-0.198</v>
      </c>
      <c r="Q300" s="7" t="n">
        <v>-0.093</v>
      </c>
      <c r="R300" s="7" t="n">
        <v>-0.168</v>
      </c>
      <c r="S300" s="7" t="n">
        <v>0.427</v>
      </c>
      <c r="T300" s="7" t="n">
        <v>-0.231</v>
      </c>
      <c r="U300" s="7" t="n">
        <v>-0.024</v>
      </c>
      <c r="V300" s="7" t="n">
        <v>-0.093</v>
      </c>
      <c r="W300" s="7" t="n">
        <v>-0.093</v>
      </c>
      <c r="X300" s="7" t="n">
        <v>-0.198</v>
      </c>
      <c r="Y300" s="7" t="n">
        <v>-0.356</v>
      </c>
      <c r="Z300" s="7" t="n">
        <v>-0.142</v>
      </c>
      <c r="AA300" s="7" t="n">
        <v>-0.168</v>
      </c>
      <c r="AB300" s="7" t="n">
        <v>-0.093</v>
      </c>
      <c r="AC300" s="7" t="n">
        <v>-0.093</v>
      </c>
      <c r="AD300" s="7" t="n">
        <v>-0.142</v>
      </c>
      <c r="AE300" s="7" t="n">
        <v>-0.142</v>
      </c>
      <c r="AF300" s="7" t="n">
        <v>-0.093</v>
      </c>
      <c r="AG300" s="7" t="n">
        <v>-0.093</v>
      </c>
      <c r="AH300" s="7" t="n">
        <v>-0.011</v>
      </c>
      <c r="AI300" s="7" t="n">
        <v>0</v>
      </c>
      <c r="AJ300" s="7" t="n">
        <v>-0.036</v>
      </c>
      <c r="AK300" s="7" t="n">
        <v>-0.021</v>
      </c>
      <c r="AL300" s="7" t="n">
        <v>-0.243</v>
      </c>
      <c r="AM300" s="7" t="n">
        <v>0</v>
      </c>
      <c r="AN300" s="7" t="n">
        <v>0</v>
      </c>
      <c r="AO300" s="7" t="n">
        <v>-0.289</v>
      </c>
      <c r="AP300" s="7" t="n">
        <v>-0.05</v>
      </c>
      <c r="AQ300" s="7" t="n">
        <v>0</v>
      </c>
    </row>
    <row r="301" customFormat="false" ht="15" hidden="false" customHeight="false" outlineLevel="0" collapsed="false">
      <c r="A301" s="23" t="n">
        <v>46618</v>
      </c>
      <c r="B301" s="7" t="n">
        <v>-0.152</v>
      </c>
      <c r="C301" s="7" t="n">
        <v>-0.13</v>
      </c>
      <c r="D301" s="7" t="n">
        <v>-0.316</v>
      </c>
      <c r="E301" s="7" t="n">
        <v>-0.13</v>
      </c>
      <c r="F301" s="7" t="n">
        <v>-0.13</v>
      </c>
      <c r="G301" s="7" t="n">
        <v>-0.093</v>
      </c>
      <c r="H301" s="7" t="n">
        <v>-0.093</v>
      </c>
      <c r="I301" s="7" t="n">
        <v>-0.122</v>
      </c>
      <c r="J301" s="7" t="n">
        <v>-0.093</v>
      </c>
      <c r="K301" s="7" t="n">
        <v>-0.093</v>
      </c>
      <c r="L301" s="7" t="n">
        <v>-0.13</v>
      </c>
      <c r="M301" s="7" t="n">
        <v>-0.13</v>
      </c>
      <c r="N301" s="7" t="n">
        <v>-0.13</v>
      </c>
      <c r="O301" s="7" t="n">
        <v>-0.093</v>
      </c>
      <c r="P301" s="7" t="n">
        <v>-0.208</v>
      </c>
      <c r="Q301" s="7" t="n">
        <v>-0.093</v>
      </c>
      <c r="R301" s="7" t="n">
        <v>-0.215</v>
      </c>
      <c r="S301" s="7" t="n">
        <v>0.402</v>
      </c>
      <c r="T301" s="7" t="n">
        <v>-0.303</v>
      </c>
      <c r="U301" s="7" t="n">
        <v>-0.027</v>
      </c>
      <c r="V301" s="7" t="n">
        <v>-0.093</v>
      </c>
      <c r="W301" s="7" t="n">
        <v>-0.093</v>
      </c>
      <c r="X301" s="7" t="n">
        <v>-0.208</v>
      </c>
      <c r="Y301" s="7" t="n">
        <v>-0.355</v>
      </c>
      <c r="Z301" s="7" t="n">
        <v>-0.13</v>
      </c>
      <c r="AA301" s="7" t="n">
        <v>-0.215</v>
      </c>
      <c r="AB301" s="7" t="n">
        <v>-0.093</v>
      </c>
      <c r="AC301" s="7" t="n">
        <v>-0.093</v>
      </c>
      <c r="AD301" s="7" t="n">
        <v>-0.13</v>
      </c>
      <c r="AE301" s="7" t="n">
        <v>-0.13</v>
      </c>
      <c r="AF301" s="7" t="n">
        <v>-0.093</v>
      </c>
      <c r="AG301" s="7" t="n">
        <v>-0.093</v>
      </c>
      <c r="AH301" s="7" t="n">
        <v>0</v>
      </c>
      <c r="AI301" s="7" t="n">
        <v>0</v>
      </c>
      <c r="AJ301" s="7" t="n">
        <v>-0.058</v>
      </c>
      <c r="AK301" s="7" t="n">
        <v>-0.035</v>
      </c>
      <c r="AL301" s="7" t="n">
        <v>-0.231</v>
      </c>
      <c r="AM301" s="7" t="n">
        <v>0</v>
      </c>
      <c r="AN301" s="7" t="n">
        <v>0</v>
      </c>
      <c r="AO301" s="7" t="n">
        <v>-0.265</v>
      </c>
      <c r="AP301" s="7" t="n">
        <v>-0.037</v>
      </c>
      <c r="AQ301" s="7" t="n">
        <v>0</v>
      </c>
    </row>
    <row r="302" customFormat="false" ht="15" hidden="false" customHeight="false" outlineLevel="0" collapsed="false">
      <c r="A302" s="23" t="n">
        <v>46619</v>
      </c>
      <c r="B302" s="7" t="n">
        <v>-0.155</v>
      </c>
      <c r="C302" s="7" t="n">
        <v>-0.117</v>
      </c>
      <c r="D302" s="7" t="n">
        <v>-0.335</v>
      </c>
      <c r="E302" s="7" t="n">
        <v>-0.117</v>
      </c>
      <c r="F302" s="7" t="n">
        <v>-0.117</v>
      </c>
      <c r="G302" s="7" t="n">
        <v>-0.093</v>
      </c>
      <c r="H302" s="7" t="n">
        <v>-0.093</v>
      </c>
      <c r="I302" s="7" t="n">
        <v>-0.135</v>
      </c>
      <c r="J302" s="7" t="n">
        <v>-0.093</v>
      </c>
      <c r="K302" s="7" t="n">
        <v>-0.093</v>
      </c>
      <c r="L302" s="7" t="n">
        <v>-0.117</v>
      </c>
      <c r="M302" s="7" t="n">
        <v>-0.117</v>
      </c>
      <c r="N302" s="7" t="n">
        <v>-0.117</v>
      </c>
      <c r="O302" s="7" t="n">
        <v>-0.093</v>
      </c>
      <c r="P302" s="7" t="n">
        <v>-0.218</v>
      </c>
      <c r="Q302" s="7" t="n">
        <v>-0.093</v>
      </c>
      <c r="R302" s="7" t="n">
        <v>-0.27</v>
      </c>
      <c r="S302" s="7" t="n">
        <v>0.38</v>
      </c>
      <c r="T302" s="7" t="n">
        <v>-0.387</v>
      </c>
      <c r="U302" s="7" t="n">
        <v>-0.035</v>
      </c>
      <c r="V302" s="7" t="n">
        <v>-0.093</v>
      </c>
      <c r="W302" s="7" t="n">
        <v>-0.093</v>
      </c>
      <c r="X302" s="7" t="n">
        <v>-0.218</v>
      </c>
      <c r="Y302" s="7" t="n">
        <v>-0.35</v>
      </c>
      <c r="Z302" s="7" t="n">
        <v>-0.117</v>
      </c>
      <c r="AA302" s="7" t="n">
        <v>-0.27</v>
      </c>
      <c r="AB302" s="7" t="n">
        <v>-0.093</v>
      </c>
      <c r="AC302" s="7" t="n">
        <v>-0.093</v>
      </c>
      <c r="AD302" s="7" t="n">
        <v>-0.117</v>
      </c>
      <c r="AE302" s="7" t="n">
        <v>-0.117</v>
      </c>
      <c r="AF302" s="7" t="n">
        <v>-0.093</v>
      </c>
      <c r="AG302" s="7" t="n">
        <v>-0.093</v>
      </c>
      <c r="AH302" s="7" t="n">
        <v>0.015</v>
      </c>
      <c r="AI302" s="7" t="n">
        <v>0</v>
      </c>
      <c r="AJ302" s="7" t="n">
        <v>-0.084</v>
      </c>
      <c r="AK302" s="7" t="n">
        <v>-0.051</v>
      </c>
      <c r="AL302" s="7" t="n">
        <v>-0.216</v>
      </c>
      <c r="AM302" s="7" t="n">
        <v>0</v>
      </c>
      <c r="AN302" s="7" t="n">
        <v>0</v>
      </c>
      <c r="AO302" s="7" t="n">
        <v>-0.239</v>
      </c>
      <c r="AP302" s="7" t="n">
        <v>-0.024</v>
      </c>
      <c r="AQ302" s="7" t="n">
        <v>0</v>
      </c>
    </row>
    <row r="303" customFormat="false" ht="15" hidden="false" customHeight="false" outlineLevel="0" collapsed="false">
      <c r="A303" s="23" t="n">
        <v>46620</v>
      </c>
      <c r="B303" s="7" t="n">
        <v>-0.152</v>
      </c>
      <c r="C303" s="7" t="n">
        <v>-0.105</v>
      </c>
      <c r="D303" s="7" t="n">
        <v>-0.354</v>
      </c>
      <c r="E303" s="7" t="n">
        <v>-0.105</v>
      </c>
      <c r="F303" s="7" t="n">
        <v>-0.105</v>
      </c>
      <c r="G303" s="7" t="n">
        <v>-0.093</v>
      </c>
      <c r="H303" s="7" t="n">
        <v>-0.093</v>
      </c>
      <c r="I303" s="7" t="n">
        <v>-0.145</v>
      </c>
      <c r="J303" s="7" t="n">
        <v>-0.093</v>
      </c>
      <c r="K303" s="7" t="n">
        <v>-0.093</v>
      </c>
      <c r="L303" s="7" t="n">
        <v>-0.105</v>
      </c>
      <c r="M303" s="7" t="n">
        <v>-0.105</v>
      </c>
      <c r="N303" s="7" t="n">
        <v>-0.105</v>
      </c>
      <c r="O303" s="7" t="n">
        <v>-0.093</v>
      </c>
      <c r="P303" s="7" t="n">
        <v>-0.228</v>
      </c>
      <c r="Q303" s="7" t="n">
        <v>-0.093</v>
      </c>
      <c r="R303" s="7" t="n">
        <v>-0.308</v>
      </c>
      <c r="S303" s="7" t="n">
        <v>0.383</v>
      </c>
      <c r="T303" s="7" t="n">
        <v>-0.438</v>
      </c>
      <c r="U303" s="7" t="n">
        <v>-0.027</v>
      </c>
      <c r="V303" s="7" t="n">
        <v>-0.093</v>
      </c>
      <c r="W303" s="7" t="n">
        <v>-0.093</v>
      </c>
      <c r="X303" s="7" t="n">
        <v>-0.228</v>
      </c>
      <c r="Y303" s="7" t="n">
        <v>-0.346</v>
      </c>
      <c r="Z303" s="7" t="n">
        <v>-0.105</v>
      </c>
      <c r="AA303" s="7" t="n">
        <v>-0.308</v>
      </c>
      <c r="AB303" s="7" t="n">
        <v>-0.093</v>
      </c>
      <c r="AC303" s="7" t="n">
        <v>-0.093</v>
      </c>
      <c r="AD303" s="7" t="n">
        <v>-0.105</v>
      </c>
      <c r="AE303" s="7" t="n">
        <v>-0.105</v>
      </c>
      <c r="AF303" s="7" t="n">
        <v>-0.093</v>
      </c>
      <c r="AG303" s="7" t="n">
        <v>-0.093</v>
      </c>
      <c r="AH303" s="7" t="n">
        <v>0.028</v>
      </c>
      <c r="AI303" s="7" t="n">
        <v>0</v>
      </c>
      <c r="AJ303" s="7" t="n">
        <v>-0.104</v>
      </c>
      <c r="AK303" s="7" t="n">
        <v>-0.062</v>
      </c>
      <c r="AL303" s="7" t="n">
        <v>-0.203</v>
      </c>
      <c r="AM303" s="7" t="n">
        <v>0</v>
      </c>
      <c r="AN303" s="7" t="n">
        <v>0</v>
      </c>
      <c r="AO303" s="7" t="n">
        <v>-0.214</v>
      </c>
      <c r="AP303" s="7" t="n">
        <v>-0.012</v>
      </c>
      <c r="AQ303" s="7" t="n">
        <v>0</v>
      </c>
    </row>
    <row r="304" customFormat="false" ht="15" hidden="false" customHeight="false" outlineLevel="0" collapsed="false">
      <c r="A304" s="23" t="n">
        <v>46621</v>
      </c>
      <c r="B304" s="7" t="n">
        <v>-0.152</v>
      </c>
      <c r="C304" s="7" t="n">
        <v>-0.105</v>
      </c>
      <c r="D304" s="7" t="n">
        <v>-0.354</v>
      </c>
      <c r="E304" s="7" t="n">
        <v>-0.105</v>
      </c>
      <c r="F304" s="7" t="n">
        <v>-0.105</v>
      </c>
      <c r="G304" s="7" t="n">
        <v>-0.093</v>
      </c>
      <c r="H304" s="7" t="n">
        <v>-0.093</v>
      </c>
      <c r="I304" s="7" t="n">
        <v>-0.145</v>
      </c>
      <c r="J304" s="7" t="n">
        <v>-0.093</v>
      </c>
      <c r="K304" s="7" t="n">
        <v>-0.093</v>
      </c>
      <c r="L304" s="7" t="n">
        <v>-0.105</v>
      </c>
      <c r="M304" s="7" t="n">
        <v>-0.105</v>
      </c>
      <c r="N304" s="7" t="n">
        <v>-0.105</v>
      </c>
      <c r="O304" s="7" t="n">
        <v>-0.093</v>
      </c>
      <c r="P304" s="7" t="n">
        <v>-0.228</v>
      </c>
      <c r="Q304" s="7" t="n">
        <v>-0.093</v>
      </c>
      <c r="R304" s="7" t="n">
        <v>-0.308</v>
      </c>
      <c r="S304" s="7" t="n">
        <v>0.383</v>
      </c>
      <c r="T304" s="7" t="n">
        <v>-0.438</v>
      </c>
      <c r="U304" s="7" t="n">
        <v>-0.027</v>
      </c>
      <c r="V304" s="7" t="n">
        <v>-0.093</v>
      </c>
      <c r="W304" s="7" t="n">
        <v>-0.093</v>
      </c>
      <c r="X304" s="7" t="n">
        <v>-0.228</v>
      </c>
      <c r="Y304" s="7" t="n">
        <v>-0.346</v>
      </c>
      <c r="Z304" s="7" t="n">
        <v>-0.105</v>
      </c>
      <c r="AA304" s="7" t="n">
        <v>-0.308</v>
      </c>
      <c r="AB304" s="7" t="n">
        <v>-0.093</v>
      </c>
      <c r="AC304" s="7" t="n">
        <v>-0.093</v>
      </c>
      <c r="AD304" s="7" t="n">
        <v>-0.105</v>
      </c>
      <c r="AE304" s="7" t="n">
        <v>-0.105</v>
      </c>
      <c r="AF304" s="7" t="n">
        <v>-0.093</v>
      </c>
      <c r="AG304" s="7" t="n">
        <v>-0.093</v>
      </c>
      <c r="AH304" s="7" t="n">
        <v>0.028</v>
      </c>
      <c r="AI304" s="7" t="n">
        <v>0</v>
      </c>
      <c r="AJ304" s="7" t="n">
        <v>-0.104</v>
      </c>
      <c r="AK304" s="7" t="n">
        <v>-0.062</v>
      </c>
      <c r="AL304" s="7" t="n">
        <v>-0.203</v>
      </c>
      <c r="AM304" s="7" t="n">
        <v>0</v>
      </c>
      <c r="AN304" s="7" t="n">
        <v>0</v>
      </c>
      <c r="AO304" s="7" t="n">
        <v>-0.214</v>
      </c>
      <c r="AP304" s="7" t="n">
        <v>-0.012</v>
      </c>
      <c r="AQ304" s="7" t="n">
        <v>0</v>
      </c>
    </row>
    <row r="305" customFormat="false" ht="15" hidden="false" customHeight="false" outlineLevel="0" collapsed="false">
      <c r="A305" s="23" t="n">
        <v>46622</v>
      </c>
      <c r="B305" s="7" t="n">
        <v>-0.152</v>
      </c>
      <c r="C305" s="7" t="n">
        <v>-0.105</v>
      </c>
      <c r="D305" s="7" t="n">
        <v>-0.354</v>
      </c>
      <c r="E305" s="7" t="n">
        <v>-0.105</v>
      </c>
      <c r="F305" s="7" t="n">
        <v>-0.105</v>
      </c>
      <c r="G305" s="7" t="n">
        <v>-0.093</v>
      </c>
      <c r="H305" s="7" t="n">
        <v>-0.093</v>
      </c>
      <c r="I305" s="7" t="n">
        <v>-0.145</v>
      </c>
      <c r="J305" s="7" t="n">
        <v>-0.093</v>
      </c>
      <c r="K305" s="7" t="n">
        <v>-0.093</v>
      </c>
      <c r="L305" s="7" t="n">
        <v>-0.105</v>
      </c>
      <c r="M305" s="7" t="n">
        <v>-0.105</v>
      </c>
      <c r="N305" s="7" t="n">
        <v>-0.105</v>
      </c>
      <c r="O305" s="7" t="n">
        <v>-0.093</v>
      </c>
      <c r="P305" s="7" t="n">
        <v>-0.228</v>
      </c>
      <c r="Q305" s="7" t="n">
        <v>-0.093</v>
      </c>
      <c r="R305" s="7" t="n">
        <v>-0.308</v>
      </c>
      <c r="S305" s="7" t="n">
        <v>0.383</v>
      </c>
      <c r="T305" s="7" t="n">
        <v>-0.438</v>
      </c>
      <c r="U305" s="7" t="n">
        <v>-0.027</v>
      </c>
      <c r="V305" s="7" t="n">
        <v>-0.093</v>
      </c>
      <c r="W305" s="7" t="n">
        <v>-0.093</v>
      </c>
      <c r="X305" s="7" t="n">
        <v>-0.228</v>
      </c>
      <c r="Y305" s="7" t="n">
        <v>-0.346</v>
      </c>
      <c r="Z305" s="7" t="n">
        <v>-0.105</v>
      </c>
      <c r="AA305" s="7" t="n">
        <v>-0.308</v>
      </c>
      <c r="AB305" s="7" t="n">
        <v>-0.093</v>
      </c>
      <c r="AC305" s="7" t="n">
        <v>-0.093</v>
      </c>
      <c r="AD305" s="7" t="n">
        <v>-0.105</v>
      </c>
      <c r="AE305" s="7" t="n">
        <v>-0.105</v>
      </c>
      <c r="AF305" s="7" t="n">
        <v>-0.093</v>
      </c>
      <c r="AG305" s="7" t="n">
        <v>-0.093</v>
      </c>
      <c r="AH305" s="7" t="n">
        <v>0.028</v>
      </c>
      <c r="AI305" s="7" t="n">
        <v>0</v>
      </c>
      <c r="AJ305" s="7" t="n">
        <v>-0.104</v>
      </c>
      <c r="AK305" s="7" t="n">
        <v>-0.062</v>
      </c>
      <c r="AL305" s="7" t="n">
        <v>-0.203</v>
      </c>
      <c r="AM305" s="7" t="n">
        <v>0</v>
      </c>
      <c r="AN305" s="7" t="n">
        <v>0</v>
      </c>
      <c r="AO305" s="7" t="n">
        <v>-0.214</v>
      </c>
      <c r="AP305" s="7" t="n">
        <v>-0.012</v>
      </c>
      <c r="AQ305" s="7" t="n">
        <v>0</v>
      </c>
    </row>
    <row r="306" customFormat="false" ht="15" hidden="false" customHeight="false" outlineLevel="0" collapsed="false">
      <c r="A306" s="23" t="n">
        <v>46623</v>
      </c>
      <c r="B306" s="7" t="n">
        <v>-0.15</v>
      </c>
      <c r="C306" s="7" t="n">
        <v>-0.093</v>
      </c>
      <c r="D306" s="7" t="n">
        <v>-0.376</v>
      </c>
      <c r="E306" s="7" t="n">
        <v>-0.093</v>
      </c>
      <c r="F306" s="7" t="n">
        <v>-0.093</v>
      </c>
      <c r="G306" s="7" t="n">
        <v>-0.093</v>
      </c>
      <c r="H306" s="7" t="n">
        <v>-0.093</v>
      </c>
      <c r="I306" s="7" t="n">
        <v>-0.153</v>
      </c>
      <c r="J306" s="7" t="n">
        <v>-0.093</v>
      </c>
      <c r="K306" s="7" t="n">
        <v>-0.093</v>
      </c>
      <c r="L306" s="7" t="n">
        <v>-0.093</v>
      </c>
      <c r="M306" s="7" t="n">
        <v>-0.093</v>
      </c>
      <c r="N306" s="7" t="n">
        <v>-0.093</v>
      </c>
      <c r="O306" s="7" t="n">
        <v>-0.093</v>
      </c>
      <c r="P306" s="7" t="n">
        <v>-0.24</v>
      </c>
      <c r="Q306" s="7" t="n">
        <v>-0.093</v>
      </c>
      <c r="R306" s="7" t="n">
        <v>-0.343</v>
      </c>
      <c r="S306" s="7" t="n">
        <v>0.385</v>
      </c>
      <c r="T306" s="7" t="n">
        <v>-0.48</v>
      </c>
      <c r="U306" s="7" t="n">
        <v>-0.012</v>
      </c>
      <c r="V306" s="7" t="n">
        <v>-0.093</v>
      </c>
      <c r="W306" s="7" t="n">
        <v>-0.093</v>
      </c>
      <c r="X306" s="7" t="n">
        <v>-0.24</v>
      </c>
      <c r="Y306" s="7" t="n">
        <v>-0.342</v>
      </c>
      <c r="Z306" s="7" t="n">
        <v>-0.093</v>
      </c>
      <c r="AA306" s="7" t="n">
        <v>-0.343</v>
      </c>
      <c r="AB306" s="7" t="n">
        <v>-0.093</v>
      </c>
      <c r="AC306" s="7" t="n">
        <v>-0.093</v>
      </c>
      <c r="AD306" s="7" t="n">
        <v>-0.093</v>
      </c>
      <c r="AE306" s="7" t="n">
        <v>-0.093</v>
      </c>
      <c r="AF306" s="7" t="n">
        <v>-0.093</v>
      </c>
      <c r="AG306" s="7" t="n">
        <v>-0.093</v>
      </c>
      <c r="AH306" s="7" t="n">
        <v>0.04</v>
      </c>
      <c r="AI306" s="7" t="n">
        <v>0</v>
      </c>
      <c r="AJ306" s="7" t="n">
        <v>-0.121</v>
      </c>
      <c r="AK306" s="7" t="n">
        <v>-0.073</v>
      </c>
      <c r="AL306" s="7" t="n">
        <v>-0.19</v>
      </c>
      <c r="AM306" s="7" t="n">
        <v>0</v>
      </c>
      <c r="AN306" s="7" t="n">
        <v>0</v>
      </c>
      <c r="AO306" s="7" t="n">
        <v>-0.19</v>
      </c>
      <c r="AP306" s="7" t="n">
        <v>0</v>
      </c>
      <c r="AQ306" s="7" t="n">
        <v>0</v>
      </c>
    </row>
    <row r="307" customFormat="false" ht="15" hidden="false" customHeight="false" outlineLevel="0" collapsed="false">
      <c r="A307" s="23" t="n">
        <v>46624</v>
      </c>
      <c r="B307" s="7" t="n">
        <v>-0.153</v>
      </c>
      <c r="C307" s="7" t="n">
        <v>-0.152</v>
      </c>
      <c r="D307" s="7" t="n">
        <v>-0.321</v>
      </c>
      <c r="E307" s="7" t="n">
        <v>-0.082</v>
      </c>
      <c r="F307" s="7" t="n">
        <v>-0.094</v>
      </c>
      <c r="G307" s="7" t="n">
        <v>-0.093</v>
      </c>
      <c r="H307" s="7" t="n">
        <v>-0.093</v>
      </c>
      <c r="I307" s="7" t="n">
        <v>-0.15</v>
      </c>
      <c r="J307" s="7" t="n">
        <v>-0.093</v>
      </c>
      <c r="K307" s="7" t="n">
        <v>-0.093</v>
      </c>
      <c r="L307" s="7" t="n">
        <v>-0.183</v>
      </c>
      <c r="M307" s="7" t="n">
        <v>-0.082</v>
      </c>
      <c r="N307" s="7" t="n">
        <v>-0.094</v>
      </c>
      <c r="O307" s="7" t="n">
        <v>-0.142</v>
      </c>
      <c r="P307" s="7" t="n">
        <v>-0.211</v>
      </c>
      <c r="Q307" s="7" t="n">
        <v>-0.191</v>
      </c>
      <c r="R307" s="7" t="n">
        <v>-0.3</v>
      </c>
      <c r="S307" s="7" t="n">
        <v>0.298</v>
      </c>
      <c r="T307" s="7" t="n">
        <v>-0.413</v>
      </c>
      <c r="U307" s="7" t="n">
        <v>-0.025</v>
      </c>
      <c r="V307" s="7" t="n">
        <v>-0.093</v>
      </c>
      <c r="W307" s="7" t="n">
        <v>-0.191</v>
      </c>
      <c r="X307" s="7" t="n">
        <v>-0.211</v>
      </c>
      <c r="Y307" s="7" t="n">
        <v>-0.299</v>
      </c>
      <c r="Z307" s="7" t="n">
        <v>-0.082</v>
      </c>
      <c r="AA307" s="7" t="n">
        <v>-0.3</v>
      </c>
      <c r="AB307" s="7" t="n">
        <v>-0.093</v>
      </c>
      <c r="AC307" s="7" t="n">
        <v>-0.191</v>
      </c>
      <c r="AD307" s="7" t="n">
        <v>-0.082</v>
      </c>
      <c r="AE307" s="7" t="n">
        <v>-0.094</v>
      </c>
      <c r="AF307" s="7" t="n">
        <v>-0.116</v>
      </c>
      <c r="AG307" s="7" t="n">
        <v>-0.093</v>
      </c>
      <c r="AH307" s="7" t="n">
        <v>0.078</v>
      </c>
      <c r="AI307" s="7" t="n">
        <v>0</v>
      </c>
      <c r="AJ307" s="7" t="n">
        <v>-0.115</v>
      </c>
      <c r="AK307" s="7" t="n">
        <v>-0.069</v>
      </c>
      <c r="AL307" s="7" t="n">
        <v>-0.151</v>
      </c>
      <c r="AM307" s="7" t="n">
        <v>0</v>
      </c>
      <c r="AN307" s="7" t="n">
        <v>0</v>
      </c>
      <c r="AO307" s="7" t="n">
        <v>-0.14</v>
      </c>
      <c r="AP307" s="7" t="n">
        <v>0.011</v>
      </c>
      <c r="AQ307" s="7" t="n">
        <v>0</v>
      </c>
    </row>
    <row r="308" customFormat="false" ht="15" hidden="false" customHeight="false" outlineLevel="0" collapsed="false">
      <c r="A308" s="23" t="n">
        <v>46625</v>
      </c>
      <c r="B308" s="7" t="n">
        <v>-0.154</v>
      </c>
      <c r="C308" s="7" t="n">
        <v>-0.208</v>
      </c>
      <c r="D308" s="7" t="n">
        <v>-0.265</v>
      </c>
      <c r="E308" s="7" t="n">
        <v>-0.071</v>
      </c>
      <c r="F308" s="7" t="n">
        <v>-0.093</v>
      </c>
      <c r="G308" s="7" t="n">
        <v>-0.093</v>
      </c>
      <c r="H308" s="7" t="n">
        <v>-0.093</v>
      </c>
      <c r="I308" s="7" t="n">
        <v>-0.147</v>
      </c>
      <c r="J308" s="7" t="n">
        <v>-0.093</v>
      </c>
      <c r="K308" s="7" t="n">
        <v>-0.093</v>
      </c>
      <c r="L308" s="7" t="n">
        <v>-0.273</v>
      </c>
      <c r="M308" s="7" t="n">
        <v>-0.071</v>
      </c>
      <c r="N308" s="7" t="n">
        <v>-0.093</v>
      </c>
      <c r="O308" s="7" t="n">
        <v>-0.191</v>
      </c>
      <c r="P308" s="7" t="n">
        <v>-0.182</v>
      </c>
      <c r="Q308" s="7" t="n">
        <v>-0.288</v>
      </c>
      <c r="R308" s="7" t="n">
        <v>-0.255</v>
      </c>
      <c r="S308" s="7" t="n">
        <v>0.212</v>
      </c>
      <c r="T308" s="7" t="n">
        <v>-0.345</v>
      </c>
      <c r="U308" s="7" t="n">
        <v>-0.036</v>
      </c>
      <c r="V308" s="7" t="n">
        <v>-0.093</v>
      </c>
      <c r="W308" s="7" t="n">
        <v>-0.288</v>
      </c>
      <c r="X308" s="7" t="n">
        <v>-0.182</v>
      </c>
      <c r="Y308" s="7" t="n">
        <v>-0.258</v>
      </c>
      <c r="Z308" s="7" t="n">
        <v>-0.071</v>
      </c>
      <c r="AA308" s="7" t="n">
        <v>-0.255</v>
      </c>
      <c r="AB308" s="7" t="n">
        <v>-0.093</v>
      </c>
      <c r="AC308" s="7" t="n">
        <v>-0.288</v>
      </c>
      <c r="AD308" s="7" t="n">
        <v>-0.071</v>
      </c>
      <c r="AE308" s="7" t="n">
        <v>-0.093</v>
      </c>
      <c r="AF308" s="7" t="n">
        <v>-0.137</v>
      </c>
      <c r="AG308" s="7" t="n">
        <v>-0.093</v>
      </c>
      <c r="AH308" s="7" t="n">
        <v>0.114</v>
      </c>
      <c r="AI308" s="7" t="n">
        <v>0</v>
      </c>
      <c r="AJ308" s="7" t="n">
        <v>-0.108</v>
      </c>
      <c r="AK308" s="7" t="n">
        <v>-0.065</v>
      </c>
      <c r="AL308" s="7" t="n">
        <v>-0.113</v>
      </c>
      <c r="AM308" s="7" t="n">
        <v>0</v>
      </c>
      <c r="AN308" s="7" t="n">
        <v>0</v>
      </c>
      <c r="AO308" s="7" t="n">
        <v>-0.091</v>
      </c>
      <c r="AP308" s="7" t="n">
        <v>0.022</v>
      </c>
      <c r="AQ308" s="7" t="n">
        <v>0</v>
      </c>
    </row>
    <row r="309" customFormat="false" ht="15" hidden="false" customHeight="false" outlineLevel="0" collapsed="false">
      <c r="A309" s="23" t="n">
        <v>46626</v>
      </c>
      <c r="B309" s="7" t="n">
        <v>-0.151</v>
      </c>
      <c r="C309" s="7" t="n">
        <v>-0.246</v>
      </c>
      <c r="D309" s="7" t="n">
        <v>-0.208</v>
      </c>
      <c r="E309" s="7" t="n">
        <v>-0.058</v>
      </c>
      <c r="F309" s="7" t="n">
        <v>-0.089</v>
      </c>
      <c r="G309" s="7" t="n">
        <v>-0.093</v>
      </c>
      <c r="H309" s="7" t="n">
        <v>-0.093</v>
      </c>
      <c r="I309" s="7" t="n">
        <v>-0.139</v>
      </c>
      <c r="J309" s="7" t="n">
        <v>-0.093</v>
      </c>
      <c r="K309" s="7" t="n">
        <v>-0.093</v>
      </c>
      <c r="L309" s="7" t="n">
        <v>-0.36</v>
      </c>
      <c r="M309" s="7" t="n">
        <v>-0.058</v>
      </c>
      <c r="N309" s="7" t="n">
        <v>-0.089</v>
      </c>
      <c r="O309" s="7" t="n">
        <v>-0.238</v>
      </c>
      <c r="P309" s="7" t="n">
        <v>-0.153</v>
      </c>
      <c r="Q309" s="7" t="n">
        <v>-0.385</v>
      </c>
      <c r="R309" s="7" t="n">
        <v>-0.201</v>
      </c>
      <c r="S309" s="7" t="n">
        <v>0.129</v>
      </c>
      <c r="T309" s="7" t="n">
        <v>-0.259</v>
      </c>
      <c r="U309" s="7" t="n">
        <v>-0.021</v>
      </c>
      <c r="V309" s="7" t="n">
        <v>-0.093</v>
      </c>
      <c r="W309" s="7" t="n">
        <v>-0.385</v>
      </c>
      <c r="X309" s="7" t="n">
        <v>-0.153</v>
      </c>
      <c r="Y309" s="7" t="n">
        <v>-0.208</v>
      </c>
      <c r="Z309" s="7" t="n">
        <v>-0.058</v>
      </c>
      <c r="AA309" s="7" t="n">
        <v>-0.201</v>
      </c>
      <c r="AB309" s="7" t="n">
        <v>-0.093</v>
      </c>
      <c r="AC309" s="7" t="n">
        <v>-0.385</v>
      </c>
      <c r="AD309" s="7" t="n">
        <v>-0.058</v>
      </c>
      <c r="AE309" s="7" t="n">
        <v>-0.089</v>
      </c>
      <c r="AF309" s="7" t="n">
        <v>-0.156</v>
      </c>
      <c r="AG309" s="7" t="n">
        <v>-0.093</v>
      </c>
      <c r="AH309" s="7" t="n">
        <v>0.148</v>
      </c>
      <c r="AI309" s="7" t="n">
        <v>0</v>
      </c>
      <c r="AJ309" s="7" t="n">
        <v>-0.091</v>
      </c>
      <c r="AK309" s="7" t="n">
        <v>-0.055</v>
      </c>
      <c r="AL309" s="7" t="n">
        <v>-0.076</v>
      </c>
      <c r="AM309" s="7" t="n">
        <v>0</v>
      </c>
      <c r="AN309" s="7" t="n">
        <v>0</v>
      </c>
      <c r="AO309" s="7" t="n">
        <v>-0.04</v>
      </c>
      <c r="AP309" s="7" t="n">
        <v>0.036</v>
      </c>
      <c r="AQ309" s="7" t="n">
        <v>0</v>
      </c>
    </row>
    <row r="310" customFormat="false" ht="15" hidden="false" customHeight="false" outlineLevel="0" collapsed="false">
      <c r="A310" s="23" t="n">
        <v>46627</v>
      </c>
      <c r="B310" s="7" t="n">
        <v>-0.146</v>
      </c>
      <c r="C310" s="7" t="n">
        <v>-0.283</v>
      </c>
      <c r="D310" s="7" t="n">
        <v>-0.151</v>
      </c>
      <c r="E310" s="7" t="n">
        <v>-0.044</v>
      </c>
      <c r="F310" s="7" t="n">
        <v>-0.083</v>
      </c>
      <c r="G310" s="7" t="n">
        <v>-0.093</v>
      </c>
      <c r="H310" s="7" t="n">
        <v>-0.093</v>
      </c>
      <c r="I310" s="7" t="n">
        <v>-0.13</v>
      </c>
      <c r="J310" s="7" t="n">
        <v>-0.093</v>
      </c>
      <c r="K310" s="7" t="n">
        <v>-0.093</v>
      </c>
      <c r="L310" s="7" t="n">
        <v>-0.447</v>
      </c>
      <c r="M310" s="7" t="n">
        <v>-0.044</v>
      </c>
      <c r="N310" s="7" t="n">
        <v>-0.083</v>
      </c>
      <c r="O310" s="7" t="n">
        <v>-0.286</v>
      </c>
      <c r="P310" s="7" t="n">
        <v>-0.123</v>
      </c>
      <c r="Q310" s="7" t="n">
        <v>-0.481</v>
      </c>
      <c r="R310" s="7" t="n">
        <v>-0.146</v>
      </c>
      <c r="S310" s="7" t="n">
        <v>0.048</v>
      </c>
      <c r="T310" s="7" t="n">
        <v>-0.175</v>
      </c>
      <c r="U310" s="7" t="n">
        <v>-0.008</v>
      </c>
      <c r="V310" s="7" t="n">
        <v>-0.093</v>
      </c>
      <c r="W310" s="7" t="n">
        <v>-0.481</v>
      </c>
      <c r="X310" s="7" t="n">
        <v>-0.123</v>
      </c>
      <c r="Y310" s="7" t="n">
        <v>-0.16</v>
      </c>
      <c r="Z310" s="7" t="n">
        <v>-0.044</v>
      </c>
      <c r="AA310" s="7" t="n">
        <v>-0.146</v>
      </c>
      <c r="AB310" s="7" t="n">
        <v>-0.093</v>
      </c>
      <c r="AC310" s="7" t="n">
        <v>-0.481</v>
      </c>
      <c r="AD310" s="7" t="n">
        <v>-0.044</v>
      </c>
      <c r="AE310" s="7" t="n">
        <v>-0.083</v>
      </c>
      <c r="AF310" s="7" t="n">
        <v>-0.174</v>
      </c>
      <c r="AG310" s="7" t="n">
        <v>-0.093</v>
      </c>
      <c r="AH310" s="7" t="n">
        <v>0.18</v>
      </c>
      <c r="AI310" s="7" t="n">
        <v>0</v>
      </c>
      <c r="AJ310" s="7" t="n">
        <v>-0.074</v>
      </c>
      <c r="AK310" s="7" t="n">
        <v>-0.045</v>
      </c>
      <c r="AL310" s="7" t="n">
        <v>-0.04</v>
      </c>
      <c r="AM310" s="7" t="n">
        <v>0</v>
      </c>
      <c r="AN310" s="7" t="n">
        <v>0</v>
      </c>
      <c r="AO310" s="7" t="n">
        <v>0.01</v>
      </c>
      <c r="AP310" s="7" t="n">
        <v>0.049</v>
      </c>
      <c r="AQ310" s="7" t="n">
        <v>0</v>
      </c>
    </row>
    <row r="311" customFormat="false" ht="15" hidden="false" customHeight="false" outlineLevel="0" collapsed="false">
      <c r="A311" s="23" t="n">
        <v>46628</v>
      </c>
      <c r="B311" s="7" t="n">
        <v>-0.146</v>
      </c>
      <c r="C311" s="7" t="n">
        <v>-0.283</v>
      </c>
      <c r="D311" s="7" t="n">
        <v>-0.151</v>
      </c>
      <c r="E311" s="7" t="n">
        <v>-0.044</v>
      </c>
      <c r="F311" s="7" t="n">
        <v>-0.083</v>
      </c>
      <c r="G311" s="7" t="n">
        <v>-0.093</v>
      </c>
      <c r="H311" s="7" t="n">
        <v>-0.093</v>
      </c>
      <c r="I311" s="7" t="n">
        <v>-0.13</v>
      </c>
      <c r="J311" s="7" t="n">
        <v>-0.093</v>
      </c>
      <c r="K311" s="7" t="n">
        <v>-0.093</v>
      </c>
      <c r="L311" s="7" t="n">
        <v>-0.447</v>
      </c>
      <c r="M311" s="7" t="n">
        <v>-0.044</v>
      </c>
      <c r="N311" s="7" t="n">
        <v>-0.083</v>
      </c>
      <c r="O311" s="7" t="n">
        <v>-0.286</v>
      </c>
      <c r="P311" s="7" t="n">
        <v>-0.123</v>
      </c>
      <c r="Q311" s="7" t="n">
        <v>-0.481</v>
      </c>
      <c r="R311" s="7" t="n">
        <v>-0.146</v>
      </c>
      <c r="S311" s="7" t="n">
        <v>0.048</v>
      </c>
      <c r="T311" s="7" t="n">
        <v>-0.175</v>
      </c>
      <c r="U311" s="7" t="n">
        <v>-0.008</v>
      </c>
      <c r="V311" s="7" t="n">
        <v>-0.093</v>
      </c>
      <c r="W311" s="7" t="n">
        <v>-0.481</v>
      </c>
      <c r="X311" s="7" t="n">
        <v>-0.123</v>
      </c>
      <c r="Y311" s="7" t="n">
        <v>-0.16</v>
      </c>
      <c r="Z311" s="7" t="n">
        <v>-0.044</v>
      </c>
      <c r="AA311" s="7" t="n">
        <v>-0.146</v>
      </c>
      <c r="AB311" s="7" t="n">
        <v>-0.093</v>
      </c>
      <c r="AC311" s="7" t="n">
        <v>-0.481</v>
      </c>
      <c r="AD311" s="7" t="n">
        <v>-0.044</v>
      </c>
      <c r="AE311" s="7" t="n">
        <v>-0.083</v>
      </c>
      <c r="AF311" s="7" t="n">
        <v>-0.174</v>
      </c>
      <c r="AG311" s="7" t="n">
        <v>-0.093</v>
      </c>
      <c r="AH311" s="7" t="n">
        <v>0.18</v>
      </c>
      <c r="AI311" s="7" t="n">
        <v>0</v>
      </c>
      <c r="AJ311" s="7" t="n">
        <v>-0.074</v>
      </c>
      <c r="AK311" s="7" t="n">
        <v>-0.045</v>
      </c>
      <c r="AL311" s="7" t="n">
        <v>-0.04</v>
      </c>
      <c r="AM311" s="7" t="n">
        <v>0</v>
      </c>
      <c r="AN311" s="7" t="n">
        <v>0</v>
      </c>
      <c r="AO311" s="7" t="n">
        <v>0.01</v>
      </c>
      <c r="AP311" s="7" t="n">
        <v>0.049</v>
      </c>
      <c r="AQ311" s="7" t="n">
        <v>0</v>
      </c>
    </row>
    <row r="312" customFormat="false" ht="15" hidden="false" customHeight="false" outlineLevel="0" collapsed="false">
      <c r="A312" s="23" t="n">
        <v>46629</v>
      </c>
      <c r="B312" s="7" t="n">
        <v>-0.146</v>
      </c>
      <c r="C312" s="7" t="n">
        <v>-0.283</v>
      </c>
      <c r="D312" s="7" t="n">
        <v>-0.151</v>
      </c>
      <c r="E312" s="7" t="n">
        <v>-0.044</v>
      </c>
      <c r="F312" s="7" t="n">
        <v>-0.083</v>
      </c>
      <c r="G312" s="7" t="n">
        <v>-0.093</v>
      </c>
      <c r="H312" s="7" t="n">
        <v>-0.093</v>
      </c>
      <c r="I312" s="7" t="n">
        <v>-0.13</v>
      </c>
      <c r="J312" s="7" t="n">
        <v>-0.093</v>
      </c>
      <c r="K312" s="7" t="n">
        <v>-0.093</v>
      </c>
      <c r="L312" s="7" t="n">
        <v>-0.447</v>
      </c>
      <c r="M312" s="7" t="n">
        <v>-0.044</v>
      </c>
      <c r="N312" s="7" t="n">
        <v>-0.083</v>
      </c>
      <c r="O312" s="7" t="n">
        <v>-0.286</v>
      </c>
      <c r="P312" s="7" t="n">
        <v>-0.123</v>
      </c>
      <c r="Q312" s="7" t="n">
        <v>-0.481</v>
      </c>
      <c r="R312" s="7" t="n">
        <v>-0.146</v>
      </c>
      <c r="S312" s="7" t="n">
        <v>0.048</v>
      </c>
      <c r="T312" s="7" t="n">
        <v>-0.175</v>
      </c>
      <c r="U312" s="7" t="n">
        <v>-0.008</v>
      </c>
      <c r="V312" s="7" t="n">
        <v>-0.093</v>
      </c>
      <c r="W312" s="7" t="n">
        <v>-0.481</v>
      </c>
      <c r="X312" s="7" t="n">
        <v>-0.123</v>
      </c>
      <c r="Y312" s="7" t="n">
        <v>-0.16</v>
      </c>
      <c r="Z312" s="7" t="n">
        <v>-0.044</v>
      </c>
      <c r="AA312" s="7" t="n">
        <v>-0.146</v>
      </c>
      <c r="AB312" s="7" t="n">
        <v>-0.093</v>
      </c>
      <c r="AC312" s="7" t="n">
        <v>-0.481</v>
      </c>
      <c r="AD312" s="7" t="n">
        <v>-0.044</v>
      </c>
      <c r="AE312" s="7" t="n">
        <v>-0.083</v>
      </c>
      <c r="AF312" s="7" t="n">
        <v>-0.174</v>
      </c>
      <c r="AG312" s="7" t="n">
        <v>-0.093</v>
      </c>
      <c r="AH312" s="7" t="n">
        <v>0.18</v>
      </c>
      <c r="AI312" s="7" t="n">
        <v>0</v>
      </c>
      <c r="AJ312" s="7" t="n">
        <v>-0.074</v>
      </c>
      <c r="AK312" s="7" t="n">
        <v>-0.045</v>
      </c>
      <c r="AL312" s="7" t="n">
        <v>-0.04</v>
      </c>
      <c r="AM312" s="7" t="n">
        <v>0</v>
      </c>
      <c r="AN312" s="7" t="n">
        <v>0</v>
      </c>
      <c r="AO312" s="7" t="n">
        <v>0.01</v>
      </c>
      <c r="AP312" s="7" t="n">
        <v>0.049</v>
      </c>
      <c r="AQ312" s="7" t="n">
        <v>0</v>
      </c>
    </row>
    <row r="313" customFormat="false" ht="15" hidden="false" customHeight="false" outlineLevel="0" collapsed="false">
      <c r="A313" s="23" t="n">
        <v>46630</v>
      </c>
      <c r="B313" s="7" t="n">
        <v>-0.14</v>
      </c>
      <c r="C313" s="7" t="n">
        <v>-0.317</v>
      </c>
      <c r="D313" s="7" t="n">
        <v>-0.093</v>
      </c>
      <c r="E313" s="7" t="n">
        <v>-0.033</v>
      </c>
      <c r="F313" s="7" t="n">
        <v>-0.076</v>
      </c>
      <c r="G313" s="7" t="n">
        <v>-0.093</v>
      </c>
      <c r="H313" s="7" t="n">
        <v>-0.093</v>
      </c>
      <c r="I313" s="7" t="n">
        <v>-0.119</v>
      </c>
      <c r="J313" s="7" t="n">
        <v>-0.093</v>
      </c>
      <c r="K313" s="7" t="n">
        <v>-0.093</v>
      </c>
      <c r="L313" s="7" t="n">
        <v>-0.534</v>
      </c>
      <c r="M313" s="7" t="n">
        <v>-0.033</v>
      </c>
      <c r="N313" s="7" t="n">
        <v>-0.076</v>
      </c>
      <c r="O313" s="7" t="n">
        <v>-0.331</v>
      </c>
      <c r="P313" s="7" t="n">
        <v>-0.093</v>
      </c>
      <c r="Q313" s="7" t="n">
        <v>-0.576</v>
      </c>
      <c r="R313" s="7" t="n">
        <v>-0.093</v>
      </c>
      <c r="S313" s="7" t="n">
        <v>-0.033</v>
      </c>
      <c r="T313" s="7" t="n">
        <v>-0.093</v>
      </c>
      <c r="U313" s="7" t="n">
        <v>0.011</v>
      </c>
      <c r="V313" s="7" t="n">
        <v>-0.093</v>
      </c>
      <c r="W313" s="7" t="n">
        <v>-0.576</v>
      </c>
      <c r="X313" s="7" t="n">
        <v>-0.093</v>
      </c>
      <c r="Y313" s="7" t="n">
        <v>-0.101</v>
      </c>
      <c r="Z313" s="7" t="n">
        <v>-0.033</v>
      </c>
      <c r="AA313" s="7" t="n">
        <v>-0.093</v>
      </c>
      <c r="AB313" s="7" t="n">
        <v>-0.093</v>
      </c>
      <c r="AC313" s="7" t="n">
        <v>-0.576</v>
      </c>
      <c r="AD313" s="7" t="n">
        <v>-0.033</v>
      </c>
      <c r="AE313" s="7" t="n">
        <v>-0.076</v>
      </c>
      <c r="AF313" s="7" t="n">
        <v>-0.188</v>
      </c>
      <c r="AG313" s="7" t="n">
        <v>-0.093</v>
      </c>
      <c r="AH313" s="7" t="n">
        <v>0.204</v>
      </c>
      <c r="AI313" s="7" t="n">
        <v>0</v>
      </c>
      <c r="AJ313" s="7" t="n">
        <v>-0.052</v>
      </c>
      <c r="AK313" s="7" t="n">
        <v>-0.031</v>
      </c>
      <c r="AL313" s="7" t="n">
        <v>-0.008</v>
      </c>
      <c r="AM313" s="7" t="n">
        <v>0</v>
      </c>
      <c r="AN313" s="7" t="n">
        <v>0</v>
      </c>
      <c r="AO313" s="7" t="n">
        <v>0.053</v>
      </c>
      <c r="AP313" s="7" t="n">
        <v>0.061</v>
      </c>
      <c r="AQ313" s="7" t="n">
        <v>0</v>
      </c>
    </row>
    <row r="314" customFormat="false" ht="15" hidden="false" customHeight="false" outlineLevel="0" collapsed="false">
      <c r="A314" s="23" t="n">
        <v>46631</v>
      </c>
      <c r="B314" s="7" t="n">
        <v>-0.131</v>
      </c>
      <c r="C314" s="7" t="n">
        <v>-0.292</v>
      </c>
      <c r="D314" s="7" t="n">
        <v>-0.093</v>
      </c>
      <c r="E314" s="7" t="n">
        <v>-0.033</v>
      </c>
      <c r="F314" s="7" t="n">
        <v>-0.068</v>
      </c>
      <c r="G314" s="7" t="n">
        <v>-0.093</v>
      </c>
      <c r="H314" s="7" t="n">
        <v>-0.093</v>
      </c>
      <c r="I314" s="7" t="n">
        <v>-0.113</v>
      </c>
      <c r="J314" s="7" t="n">
        <v>-0.093</v>
      </c>
      <c r="K314" s="7" t="n">
        <v>-0.093</v>
      </c>
      <c r="L314" s="7" t="n">
        <v>-0.531</v>
      </c>
      <c r="M314" s="7" t="n">
        <v>-0.033</v>
      </c>
      <c r="N314" s="7" t="n">
        <v>-0.068</v>
      </c>
      <c r="O314" s="7" t="n">
        <v>-0.328</v>
      </c>
      <c r="P314" s="7" t="n">
        <v>-0.093</v>
      </c>
      <c r="Q314" s="7" t="n">
        <v>-0.574</v>
      </c>
      <c r="R314" s="7" t="n">
        <v>-0.093</v>
      </c>
      <c r="S314" s="7" t="n">
        <v>-0.033</v>
      </c>
      <c r="T314" s="7" t="n">
        <v>-0.093</v>
      </c>
      <c r="U314" s="7" t="n">
        <v>0.043</v>
      </c>
      <c r="V314" s="7" t="n">
        <v>-0.093</v>
      </c>
      <c r="W314" s="7" t="n">
        <v>-0.574</v>
      </c>
      <c r="X314" s="7" t="n">
        <v>-0.093</v>
      </c>
      <c r="Y314" s="7" t="n">
        <v>-0.069</v>
      </c>
      <c r="Z314" s="7" t="n">
        <v>-0.033</v>
      </c>
      <c r="AA314" s="7" t="n">
        <v>-0.093</v>
      </c>
      <c r="AB314" s="7" t="n">
        <v>-0.093</v>
      </c>
      <c r="AC314" s="7" t="n">
        <v>-0.574</v>
      </c>
      <c r="AD314" s="7" t="n">
        <v>-0.033</v>
      </c>
      <c r="AE314" s="7" t="n">
        <v>-0.068</v>
      </c>
      <c r="AF314" s="7" t="n">
        <v>-0.177</v>
      </c>
      <c r="AG314" s="7" t="n">
        <v>-0.093</v>
      </c>
      <c r="AH314" s="7" t="n">
        <v>0.195</v>
      </c>
      <c r="AI314" s="7" t="n">
        <v>0</v>
      </c>
      <c r="AJ314" s="7" t="n">
        <v>-0.039</v>
      </c>
      <c r="AK314" s="7" t="n">
        <v>-0.023</v>
      </c>
      <c r="AL314" s="7" t="n">
        <v>-0.009</v>
      </c>
      <c r="AM314" s="7" t="n">
        <v>0</v>
      </c>
      <c r="AN314" s="7" t="n">
        <v>0</v>
      </c>
      <c r="AO314" s="7" t="n">
        <v>0.051</v>
      </c>
      <c r="AP314" s="7" t="n">
        <v>0.061</v>
      </c>
      <c r="AQ314" s="7" t="n">
        <v>0</v>
      </c>
    </row>
    <row r="315" customFormat="false" ht="15" hidden="false" customHeight="false" outlineLevel="0" collapsed="false">
      <c r="A315" s="23" t="n">
        <v>46632</v>
      </c>
      <c r="B315" s="7" t="n">
        <v>-0.123</v>
      </c>
      <c r="C315" s="7" t="n">
        <v>-0.267</v>
      </c>
      <c r="D315" s="7" t="n">
        <v>-0.093</v>
      </c>
      <c r="E315" s="7" t="n">
        <v>-0.033</v>
      </c>
      <c r="F315" s="7" t="n">
        <v>-0.06</v>
      </c>
      <c r="G315" s="7" t="n">
        <v>-0.093</v>
      </c>
      <c r="H315" s="7" t="n">
        <v>-0.093</v>
      </c>
      <c r="I315" s="7" t="n">
        <v>-0.106</v>
      </c>
      <c r="J315" s="7" t="n">
        <v>-0.093</v>
      </c>
      <c r="K315" s="7" t="n">
        <v>-0.093</v>
      </c>
      <c r="L315" s="7" t="n">
        <v>-0.529</v>
      </c>
      <c r="M315" s="7" t="n">
        <v>-0.033</v>
      </c>
      <c r="N315" s="7" t="n">
        <v>-0.06</v>
      </c>
      <c r="O315" s="7" t="n">
        <v>-0.324</v>
      </c>
      <c r="P315" s="7" t="n">
        <v>-0.093</v>
      </c>
      <c r="Q315" s="7" t="n">
        <v>-0.571</v>
      </c>
      <c r="R315" s="7" t="n">
        <v>-0.093</v>
      </c>
      <c r="S315" s="7" t="n">
        <v>-0.033</v>
      </c>
      <c r="T315" s="7" t="n">
        <v>-0.093</v>
      </c>
      <c r="U315" s="7" t="n">
        <v>0.075</v>
      </c>
      <c r="V315" s="7" t="n">
        <v>-0.093</v>
      </c>
      <c r="W315" s="7" t="n">
        <v>-0.571</v>
      </c>
      <c r="X315" s="7" t="n">
        <v>-0.093</v>
      </c>
      <c r="Y315" s="7" t="n">
        <v>-0.036</v>
      </c>
      <c r="Z315" s="7" t="n">
        <v>-0.033</v>
      </c>
      <c r="AA315" s="7" t="n">
        <v>-0.093</v>
      </c>
      <c r="AB315" s="7" t="n">
        <v>-0.093</v>
      </c>
      <c r="AC315" s="7" t="n">
        <v>-0.571</v>
      </c>
      <c r="AD315" s="7" t="n">
        <v>-0.033</v>
      </c>
      <c r="AE315" s="7" t="n">
        <v>-0.06</v>
      </c>
      <c r="AF315" s="7" t="n">
        <v>-0.167</v>
      </c>
      <c r="AG315" s="7" t="n">
        <v>-0.093</v>
      </c>
      <c r="AH315" s="7" t="n">
        <v>0.186</v>
      </c>
      <c r="AI315" s="7" t="n">
        <v>0</v>
      </c>
      <c r="AJ315" s="7" t="n">
        <v>-0.025</v>
      </c>
      <c r="AK315" s="7" t="n">
        <v>-0.015</v>
      </c>
      <c r="AL315" s="7" t="n">
        <v>-0.011</v>
      </c>
      <c r="AM315" s="7" t="n">
        <v>0</v>
      </c>
      <c r="AN315" s="7" t="n">
        <v>0</v>
      </c>
      <c r="AO315" s="7" t="n">
        <v>0.049</v>
      </c>
      <c r="AP315" s="7" t="n">
        <v>0.061</v>
      </c>
      <c r="AQ315" s="7" t="n">
        <v>0</v>
      </c>
    </row>
    <row r="316" customFormat="false" ht="15" hidden="false" customHeight="false" outlineLevel="0" collapsed="false">
      <c r="A316" s="23" t="n">
        <v>46633</v>
      </c>
      <c r="B316" s="7" t="n">
        <v>-0.117</v>
      </c>
      <c r="C316" s="7" t="n">
        <v>-0.26</v>
      </c>
      <c r="D316" s="7" t="n">
        <v>-0.093</v>
      </c>
      <c r="E316" s="7" t="n">
        <v>-0.035</v>
      </c>
      <c r="F316" s="7" t="n">
        <v>-0.054</v>
      </c>
      <c r="G316" s="7" t="n">
        <v>-0.093</v>
      </c>
      <c r="H316" s="7" t="n">
        <v>-0.093</v>
      </c>
      <c r="I316" s="7" t="n">
        <v>-0.101</v>
      </c>
      <c r="J316" s="7" t="n">
        <v>-0.093</v>
      </c>
      <c r="K316" s="7" t="n">
        <v>-0.093</v>
      </c>
      <c r="L316" s="7" t="n">
        <v>-0.527</v>
      </c>
      <c r="M316" s="7" t="n">
        <v>-0.035</v>
      </c>
      <c r="N316" s="7" t="n">
        <v>-0.054</v>
      </c>
      <c r="O316" s="7" t="n">
        <v>-0.321</v>
      </c>
      <c r="P316" s="7" t="n">
        <v>-0.093</v>
      </c>
      <c r="Q316" s="7" t="n">
        <v>-0.568</v>
      </c>
      <c r="R316" s="7" t="n">
        <v>-0.093</v>
      </c>
      <c r="S316" s="7" t="n">
        <v>-0.035</v>
      </c>
      <c r="T316" s="7" t="n">
        <v>-0.093</v>
      </c>
      <c r="U316" s="7" t="n">
        <v>0.09</v>
      </c>
      <c r="V316" s="7" t="n">
        <v>-0.093</v>
      </c>
      <c r="W316" s="7" t="n">
        <v>-0.568</v>
      </c>
      <c r="X316" s="7" t="n">
        <v>-0.093</v>
      </c>
      <c r="Y316" s="7" t="n">
        <v>-0.012</v>
      </c>
      <c r="Z316" s="7" t="n">
        <v>-0.035</v>
      </c>
      <c r="AA316" s="7" t="n">
        <v>-0.093</v>
      </c>
      <c r="AB316" s="7" t="n">
        <v>-0.093</v>
      </c>
      <c r="AC316" s="7" t="n">
        <v>-0.568</v>
      </c>
      <c r="AD316" s="7" t="n">
        <v>-0.035</v>
      </c>
      <c r="AE316" s="7" t="n">
        <v>-0.054</v>
      </c>
      <c r="AF316" s="7" t="n">
        <v>-0.157</v>
      </c>
      <c r="AG316" s="7" t="n">
        <v>-0.093</v>
      </c>
      <c r="AH316" s="7" t="n">
        <v>0.172</v>
      </c>
      <c r="AI316" s="7" t="n">
        <v>0</v>
      </c>
      <c r="AJ316" s="7" t="n">
        <v>-0.016</v>
      </c>
      <c r="AK316" s="7" t="n">
        <v>-0.01</v>
      </c>
      <c r="AL316" s="7" t="n">
        <v>-0.017</v>
      </c>
      <c r="AM316" s="7" t="n">
        <v>0</v>
      </c>
      <c r="AN316" s="7" t="n">
        <v>0</v>
      </c>
      <c r="AO316" s="7" t="n">
        <v>0.041</v>
      </c>
      <c r="AP316" s="7" t="n">
        <v>0.058</v>
      </c>
      <c r="AQ316" s="7" t="n">
        <v>0</v>
      </c>
    </row>
    <row r="317" customFormat="false" ht="15" hidden="false" customHeight="false" outlineLevel="0" collapsed="false">
      <c r="A317" s="23" t="n">
        <v>46634</v>
      </c>
      <c r="B317" s="7" t="n">
        <v>0.03</v>
      </c>
      <c r="C317" s="7" t="n">
        <v>-0.081</v>
      </c>
      <c r="D317" s="7" t="n">
        <v>-0.093</v>
      </c>
      <c r="E317" s="7" t="n">
        <v>0.031</v>
      </c>
      <c r="F317" s="7" t="n">
        <v>0.118</v>
      </c>
      <c r="G317" s="7" t="n">
        <v>-0.093</v>
      </c>
      <c r="H317" s="7" t="n">
        <v>-0.093</v>
      </c>
      <c r="I317" s="7" t="n">
        <v>-0.102</v>
      </c>
      <c r="J317" s="7" t="n">
        <v>-0.093</v>
      </c>
      <c r="K317" s="7" t="n">
        <v>-0.093</v>
      </c>
      <c r="L317" s="7" t="n">
        <v>-0.259</v>
      </c>
      <c r="M317" s="7" t="n">
        <v>0.031</v>
      </c>
      <c r="N317" s="7" t="n">
        <v>0.118</v>
      </c>
      <c r="O317" s="7" t="n">
        <v>-0.149</v>
      </c>
      <c r="P317" s="7" t="n">
        <v>-0.093</v>
      </c>
      <c r="Q317" s="7" t="n">
        <v>-0.329</v>
      </c>
      <c r="R317" s="7" t="n">
        <v>-0.093</v>
      </c>
      <c r="S317" s="7" t="n">
        <v>0.031</v>
      </c>
      <c r="T317" s="7" t="n">
        <v>-0.093</v>
      </c>
      <c r="U317" s="7" t="n">
        <v>0.263</v>
      </c>
      <c r="V317" s="7" t="n">
        <v>-0.093</v>
      </c>
      <c r="W317" s="7" t="n">
        <v>-0.329</v>
      </c>
      <c r="X317" s="7" t="n">
        <v>-0.093</v>
      </c>
      <c r="Y317" s="7" t="n">
        <v>0.111</v>
      </c>
      <c r="Z317" s="7" t="n">
        <v>0.031</v>
      </c>
      <c r="AA317" s="7" t="n">
        <v>-0.093</v>
      </c>
      <c r="AB317" s="7" t="n">
        <v>-0.093</v>
      </c>
      <c r="AC317" s="7" t="n">
        <v>-0.329</v>
      </c>
      <c r="AD317" s="7" t="n">
        <v>0.031</v>
      </c>
      <c r="AE317" s="7" t="n">
        <v>0.118</v>
      </c>
      <c r="AF317" s="7" t="n">
        <v>0.01</v>
      </c>
      <c r="AG317" s="7" t="n">
        <v>-0.093</v>
      </c>
      <c r="AH317" s="7" t="n">
        <v>0.234</v>
      </c>
      <c r="AI317" s="7" t="n">
        <v>0</v>
      </c>
      <c r="AJ317" s="7" t="n">
        <v>-0.017</v>
      </c>
      <c r="AK317" s="7" t="n">
        <v>-0.01</v>
      </c>
      <c r="AL317" s="7" t="n">
        <v>0.058</v>
      </c>
      <c r="AM317" s="7" t="n">
        <v>0</v>
      </c>
      <c r="AN317" s="7" t="n">
        <v>0</v>
      </c>
      <c r="AO317" s="7" t="n">
        <v>0.161</v>
      </c>
      <c r="AP317" s="7" t="n">
        <v>0.122</v>
      </c>
      <c r="AQ317" s="7" t="n">
        <v>0</v>
      </c>
    </row>
    <row r="318" customFormat="false" ht="15" hidden="false" customHeight="false" outlineLevel="0" collapsed="false">
      <c r="A318" s="23" t="n">
        <v>46635</v>
      </c>
      <c r="B318" s="7" t="n">
        <v>0.03</v>
      </c>
      <c r="C318" s="7" t="n">
        <v>-0.081</v>
      </c>
      <c r="D318" s="7" t="n">
        <v>-0.093</v>
      </c>
      <c r="E318" s="7" t="n">
        <v>0.031</v>
      </c>
      <c r="F318" s="7" t="n">
        <v>0.118</v>
      </c>
      <c r="G318" s="7" t="n">
        <v>-0.093</v>
      </c>
      <c r="H318" s="7" t="n">
        <v>-0.093</v>
      </c>
      <c r="I318" s="7" t="n">
        <v>-0.102</v>
      </c>
      <c r="J318" s="7" t="n">
        <v>-0.093</v>
      </c>
      <c r="K318" s="7" t="n">
        <v>-0.093</v>
      </c>
      <c r="L318" s="7" t="n">
        <v>-0.259</v>
      </c>
      <c r="M318" s="7" t="n">
        <v>0.031</v>
      </c>
      <c r="N318" s="7" t="n">
        <v>0.118</v>
      </c>
      <c r="O318" s="7" t="n">
        <v>-0.149</v>
      </c>
      <c r="P318" s="7" t="n">
        <v>-0.093</v>
      </c>
      <c r="Q318" s="7" t="n">
        <v>-0.329</v>
      </c>
      <c r="R318" s="7" t="n">
        <v>-0.093</v>
      </c>
      <c r="S318" s="7" t="n">
        <v>0.031</v>
      </c>
      <c r="T318" s="7" t="n">
        <v>-0.093</v>
      </c>
      <c r="U318" s="7" t="n">
        <v>0.263</v>
      </c>
      <c r="V318" s="7" t="n">
        <v>-0.093</v>
      </c>
      <c r="W318" s="7" t="n">
        <v>-0.329</v>
      </c>
      <c r="X318" s="7" t="n">
        <v>-0.093</v>
      </c>
      <c r="Y318" s="7" t="n">
        <v>0.111</v>
      </c>
      <c r="Z318" s="7" t="n">
        <v>0.031</v>
      </c>
      <c r="AA318" s="7" t="n">
        <v>-0.093</v>
      </c>
      <c r="AB318" s="7" t="n">
        <v>-0.093</v>
      </c>
      <c r="AC318" s="7" t="n">
        <v>-0.329</v>
      </c>
      <c r="AD318" s="7" t="n">
        <v>0.031</v>
      </c>
      <c r="AE318" s="7" t="n">
        <v>0.118</v>
      </c>
      <c r="AF318" s="7" t="n">
        <v>0.01</v>
      </c>
      <c r="AG318" s="7" t="n">
        <v>-0.093</v>
      </c>
      <c r="AH318" s="7" t="n">
        <v>0.234</v>
      </c>
      <c r="AI318" s="7" t="n">
        <v>0</v>
      </c>
      <c r="AJ318" s="7" t="n">
        <v>-0.017</v>
      </c>
      <c r="AK318" s="7" t="n">
        <v>-0.01</v>
      </c>
      <c r="AL318" s="7" t="n">
        <v>0.058</v>
      </c>
      <c r="AM318" s="7" t="n">
        <v>0</v>
      </c>
      <c r="AN318" s="7" t="n">
        <v>0</v>
      </c>
      <c r="AO318" s="7" t="n">
        <v>0.161</v>
      </c>
      <c r="AP318" s="7" t="n">
        <v>0.122</v>
      </c>
      <c r="AQ318" s="7" t="n">
        <v>0</v>
      </c>
    </row>
    <row r="319" customFormat="false" ht="15" hidden="false" customHeight="false" outlineLevel="0" collapsed="false">
      <c r="A319" s="23" t="n">
        <v>46636</v>
      </c>
      <c r="B319" s="7" t="n">
        <v>0.03</v>
      </c>
      <c r="C319" s="7" t="n">
        <v>-0.081</v>
      </c>
      <c r="D319" s="7" t="n">
        <v>-0.093</v>
      </c>
      <c r="E319" s="7" t="n">
        <v>0.031</v>
      </c>
      <c r="F319" s="7" t="n">
        <v>0.118</v>
      </c>
      <c r="G319" s="7" t="n">
        <v>-0.093</v>
      </c>
      <c r="H319" s="7" t="n">
        <v>-0.093</v>
      </c>
      <c r="I319" s="7" t="n">
        <v>-0.102</v>
      </c>
      <c r="J319" s="7" t="n">
        <v>-0.093</v>
      </c>
      <c r="K319" s="7" t="n">
        <v>-0.093</v>
      </c>
      <c r="L319" s="7" t="n">
        <v>-0.259</v>
      </c>
      <c r="M319" s="7" t="n">
        <v>0.031</v>
      </c>
      <c r="N319" s="7" t="n">
        <v>0.118</v>
      </c>
      <c r="O319" s="7" t="n">
        <v>-0.149</v>
      </c>
      <c r="P319" s="7" t="n">
        <v>-0.093</v>
      </c>
      <c r="Q319" s="7" t="n">
        <v>-0.329</v>
      </c>
      <c r="R319" s="7" t="n">
        <v>-0.093</v>
      </c>
      <c r="S319" s="7" t="n">
        <v>0.031</v>
      </c>
      <c r="T319" s="7" t="n">
        <v>-0.093</v>
      </c>
      <c r="U319" s="7" t="n">
        <v>0.263</v>
      </c>
      <c r="V319" s="7" t="n">
        <v>-0.093</v>
      </c>
      <c r="W319" s="7" t="n">
        <v>-0.329</v>
      </c>
      <c r="X319" s="7" t="n">
        <v>-0.093</v>
      </c>
      <c r="Y319" s="7" t="n">
        <v>0.111</v>
      </c>
      <c r="Z319" s="7" t="n">
        <v>0.031</v>
      </c>
      <c r="AA319" s="7" t="n">
        <v>-0.093</v>
      </c>
      <c r="AB319" s="7" t="n">
        <v>-0.093</v>
      </c>
      <c r="AC319" s="7" t="n">
        <v>-0.329</v>
      </c>
      <c r="AD319" s="7" t="n">
        <v>0.031</v>
      </c>
      <c r="AE319" s="7" t="n">
        <v>0.118</v>
      </c>
      <c r="AF319" s="7" t="n">
        <v>0.01</v>
      </c>
      <c r="AG319" s="7" t="n">
        <v>-0.093</v>
      </c>
      <c r="AH319" s="7" t="n">
        <v>0.234</v>
      </c>
      <c r="AI319" s="7" t="n">
        <v>0</v>
      </c>
      <c r="AJ319" s="7" t="n">
        <v>-0.017</v>
      </c>
      <c r="AK319" s="7" t="n">
        <v>-0.01</v>
      </c>
      <c r="AL319" s="7" t="n">
        <v>0.058</v>
      </c>
      <c r="AM319" s="7" t="n">
        <v>0</v>
      </c>
      <c r="AN319" s="7" t="n">
        <v>0</v>
      </c>
      <c r="AO319" s="7" t="n">
        <v>0.161</v>
      </c>
      <c r="AP319" s="7" t="n">
        <v>0.122</v>
      </c>
      <c r="AQ319" s="7" t="n">
        <v>0</v>
      </c>
    </row>
    <row r="320" customFormat="false" ht="15" hidden="false" customHeight="false" outlineLevel="0" collapsed="false">
      <c r="A320" s="23" t="n">
        <v>46637</v>
      </c>
      <c r="B320" s="7" t="n">
        <v>0.174</v>
      </c>
      <c r="C320" s="7" t="n">
        <v>0.096</v>
      </c>
      <c r="D320" s="7" t="n">
        <v>-0.093</v>
      </c>
      <c r="E320" s="7" t="n">
        <v>0.099</v>
      </c>
      <c r="F320" s="7" t="n">
        <v>0.288</v>
      </c>
      <c r="G320" s="7" t="n">
        <v>-0.093</v>
      </c>
      <c r="H320" s="7" t="n">
        <v>-0.093</v>
      </c>
      <c r="I320" s="7" t="n">
        <v>-0.107</v>
      </c>
      <c r="J320" s="7" t="n">
        <v>-0.093</v>
      </c>
      <c r="K320" s="7" t="n">
        <v>-0.093</v>
      </c>
      <c r="L320" s="7" t="n">
        <v>0.011</v>
      </c>
      <c r="M320" s="7" t="n">
        <v>0.099</v>
      </c>
      <c r="N320" s="7" t="n">
        <v>0.288</v>
      </c>
      <c r="O320" s="7" t="n">
        <v>0.021</v>
      </c>
      <c r="P320" s="7" t="n">
        <v>-0.093</v>
      </c>
      <c r="Q320" s="7" t="n">
        <v>-0.088</v>
      </c>
      <c r="R320" s="7" t="n">
        <v>-0.093</v>
      </c>
      <c r="S320" s="7" t="n">
        <v>0.099</v>
      </c>
      <c r="T320" s="7" t="n">
        <v>-0.093</v>
      </c>
      <c r="U320" s="7" t="n">
        <v>0.424</v>
      </c>
      <c r="V320" s="7" t="n">
        <v>-0.093</v>
      </c>
      <c r="W320" s="7" t="n">
        <v>-0.088</v>
      </c>
      <c r="X320" s="7" t="n">
        <v>-0.093</v>
      </c>
      <c r="Y320" s="7" t="n">
        <v>0.206</v>
      </c>
      <c r="Z320" s="7" t="n">
        <v>0.099</v>
      </c>
      <c r="AA320" s="7" t="n">
        <v>-0.093</v>
      </c>
      <c r="AB320" s="7" t="n">
        <v>-0.093</v>
      </c>
      <c r="AC320" s="7" t="n">
        <v>-0.088</v>
      </c>
      <c r="AD320" s="7" t="n">
        <v>0.099</v>
      </c>
      <c r="AE320" s="7" t="n">
        <v>0.288</v>
      </c>
      <c r="AF320" s="7" t="n">
        <v>0.174</v>
      </c>
      <c r="AG320" s="7" t="n">
        <v>-0.093</v>
      </c>
      <c r="AH320" s="7" t="n">
        <v>0.296</v>
      </c>
      <c r="AI320" s="7" t="n">
        <v>0</v>
      </c>
      <c r="AJ320" s="7" t="n">
        <v>-0.027</v>
      </c>
      <c r="AK320" s="7" t="n">
        <v>-0.016</v>
      </c>
      <c r="AL320" s="7" t="n">
        <v>0.133</v>
      </c>
      <c r="AM320" s="7" t="n">
        <v>0</v>
      </c>
      <c r="AN320" s="7" t="n">
        <v>0</v>
      </c>
      <c r="AO320" s="7" t="n">
        <v>0.284</v>
      </c>
      <c r="AP320" s="7" t="n">
        <v>0.188</v>
      </c>
      <c r="AQ320" s="7" t="n">
        <v>0</v>
      </c>
    </row>
    <row r="321" customFormat="false" ht="15" hidden="false" customHeight="false" outlineLevel="0" collapsed="false">
      <c r="A321" s="23" t="n">
        <v>46638</v>
      </c>
      <c r="B321" s="7" t="n">
        <v>0.245</v>
      </c>
      <c r="C321" s="7" t="n">
        <v>0.208</v>
      </c>
      <c r="D321" s="7" t="n">
        <v>-0.093</v>
      </c>
      <c r="E321" s="7" t="n">
        <v>0.166</v>
      </c>
      <c r="F321" s="7" t="n">
        <v>0.359</v>
      </c>
      <c r="G321" s="7" t="n">
        <v>-0.093</v>
      </c>
      <c r="H321" s="7" t="n">
        <v>-0.093</v>
      </c>
      <c r="I321" s="7" t="n">
        <v>-0.114</v>
      </c>
      <c r="J321" s="7" t="n">
        <v>-0.093</v>
      </c>
      <c r="K321" s="7" t="n">
        <v>-0.093</v>
      </c>
      <c r="L321" s="7" t="n">
        <v>0.176</v>
      </c>
      <c r="M321" s="7" t="n">
        <v>0.166</v>
      </c>
      <c r="N321" s="7" t="n">
        <v>0.359</v>
      </c>
      <c r="O321" s="7" t="n">
        <v>0.067</v>
      </c>
      <c r="P321" s="7" t="n">
        <v>-0.093</v>
      </c>
      <c r="Q321" s="7" t="n">
        <v>0.006</v>
      </c>
      <c r="R321" s="7" t="n">
        <v>-0.093</v>
      </c>
      <c r="S321" s="7" t="n">
        <v>0.166</v>
      </c>
      <c r="T321" s="7" t="n">
        <v>-0.093</v>
      </c>
      <c r="U321" s="7" t="n">
        <v>0.583</v>
      </c>
      <c r="V321" s="7" t="n">
        <v>-0.093</v>
      </c>
      <c r="W321" s="7" t="n">
        <v>0.006</v>
      </c>
      <c r="X321" s="7" t="n">
        <v>-0.093</v>
      </c>
      <c r="Y321" s="7" t="n">
        <v>0.294</v>
      </c>
      <c r="Z321" s="7" t="n">
        <v>0.166</v>
      </c>
      <c r="AA321" s="7" t="n">
        <v>-0.093</v>
      </c>
      <c r="AB321" s="7" t="n">
        <v>-0.093</v>
      </c>
      <c r="AC321" s="7" t="n">
        <v>0.006</v>
      </c>
      <c r="AD321" s="7" t="n">
        <v>0.166</v>
      </c>
      <c r="AE321" s="7" t="n">
        <v>0.359</v>
      </c>
      <c r="AF321" s="7" t="n">
        <v>0.186</v>
      </c>
      <c r="AG321" s="7" t="n">
        <v>-0.093</v>
      </c>
      <c r="AH321" s="7" t="n">
        <v>0.358</v>
      </c>
      <c r="AI321" s="7" t="n">
        <v>0</v>
      </c>
      <c r="AJ321" s="7" t="n">
        <v>-0.041</v>
      </c>
      <c r="AK321" s="7" t="n">
        <v>-0.025</v>
      </c>
      <c r="AL321" s="7" t="n">
        <v>0.208</v>
      </c>
      <c r="AM321" s="7" t="n">
        <v>0</v>
      </c>
      <c r="AN321" s="7" t="n">
        <v>0</v>
      </c>
      <c r="AO321" s="7" t="n">
        <v>0.406</v>
      </c>
      <c r="AP321" s="7" t="n">
        <v>0.253</v>
      </c>
      <c r="AQ321" s="7" t="n">
        <v>0</v>
      </c>
    </row>
    <row r="322" customFormat="false" ht="15" hidden="false" customHeight="false" outlineLevel="0" collapsed="false">
      <c r="A322" s="23" t="n">
        <v>46639</v>
      </c>
      <c r="B322" s="7" t="n">
        <v>0.315</v>
      </c>
      <c r="C322" s="7" t="n">
        <v>0.318</v>
      </c>
      <c r="D322" s="7" t="n">
        <v>-0.093</v>
      </c>
      <c r="E322" s="7" t="n">
        <v>0.234</v>
      </c>
      <c r="F322" s="7" t="n">
        <v>0.428</v>
      </c>
      <c r="G322" s="7" t="n">
        <v>-0.093</v>
      </c>
      <c r="H322" s="7" t="n">
        <v>-0.093</v>
      </c>
      <c r="I322" s="7" t="n">
        <v>-0.123</v>
      </c>
      <c r="J322" s="7" t="n">
        <v>-0.093</v>
      </c>
      <c r="K322" s="7" t="n">
        <v>-0.093</v>
      </c>
      <c r="L322" s="7" t="n">
        <v>0.342</v>
      </c>
      <c r="M322" s="7" t="n">
        <v>0.234</v>
      </c>
      <c r="N322" s="7" t="n">
        <v>0.428</v>
      </c>
      <c r="O322" s="7" t="n">
        <v>0.111</v>
      </c>
      <c r="P322" s="7" t="n">
        <v>-0.093</v>
      </c>
      <c r="Q322" s="7" t="n">
        <v>0.101</v>
      </c>
      <c r="R322" s="7" t="n">
        <v>-0.093</v>
      </c>
      <c r="S322" s="7" t="n">
        <v>0.234</v>
      </c>
      <c r="T322" s="7" t="n">
        <v>-0.093</v>
      </c>
      <c r="U322" s="7" t="n">
        <v>0.739</v>
      </c>
      <c r="V322" s="7" t="n">
        <v>-0.093</v>
      </c>
      <c r="W322" s="7" t="n">
        <v>0.101</v>
      </c>
      <c r="X322" s="7" t="n">
        <v>-0.093</v>
      </c>
      <c r="Y322" s="7" t="n">
        <v>0.369</v>
      </c>
      <c r="Z322" s="7" t="n">
        <v>0.234</v>
      </c>
      <c r="AA322" s="7" t="n">
        <v>-0.093</v>
      </c>
      <c r="AB322" s="7" t="n">
        <v>-0.093</v>
      </c>
      <c r="AC322" s="7" t="n">
        <v>0.101</v>
      </c>
      <c r="AD322" s="7" t="n">
        <v>0.234</v>
      </c>
      <c r="AE322" s="7" t="n">
        <v>0.428</v>
      </c>
      <c r="AF322" s="7" t="n">
        <v>0.196</v>
      </c>
      <c r="AG322" s="7" t="n">
        <v>-0.093</v>
      </c>
      <c r="AH322" s="7" t="n">
        <v>0.46</v>
      </c>
      <c r="AI322" s="7" t="n">
        <v>0</v>
      </c>
      <c r="AJ322" s="7" t="n">
        <v>-0.061</v>
      </c>
      <c r="AK322" s="7" t="n">
        <v>-0.036</v>
      </c>
      <c r="AL322" s="7" t="n">
        <v>0.282</v>
      </c>
      <c r="AM322" s="7" t="n">
        <v>0</v>
      </c>
      <c r="AN322" s="7" t="n">
        <v>0</v>
      </c>
      <c r="AO322" s="7" t="n">
        <v>0.529</v>
      </c>
      <c r="AP322" s="7" t="n">
        <v>0.319</v>
      </c>
      <c r="AQ322" s="7" t="n">
        <v>0</v>
      </c>
    </row>
    <row r="323" customFormat="false" ht="15" hidden="false" customHeight="false" outlineLevel="0" collapsed="false">
      <c r="A323" s="23" t="n">
        <v>46640</v>
      </c>
      <c r="B323" s="7" t="n">
        <v>0.383</v>
      </c>
      <c r="C323" s="7" t="n">
        <v>0.427</v>
      </c>
      <c r="D323" s="7" t="n">
        <v>-0.093</v>
      </c>
      <c r="E323" s="7" t="n">
        <v>0.301</v>
      </c>
      <c r="F323" s="7" t="n">
        <v>0.497</v>
      </c>
      <c r="G323" s="7" t="n">
        <v>-0.093</v>
      </c>
      <c r="H323" s="7" t="n">
        <v>-0.093</v>
      </c>
      <c r="I323" s="7" t="n">
        <v>-0.134</v>
      </c>
      <c r="J323" s="7" t="n">
        <v>-0.093</v>
      </c>
      <c r="K323" s="7" t="n">
        <v>-0.093</v>
      </c>
      <c r="L323" s="7" t="n">
        <v>0.506</v>
      </c>
      <c r="M323" s="7" t="n">
        <v>0.301</v>
      </c>
      <c r="N323" s="7" t="n">
        <v>0.497</v>
      </c>
      <c r="O323" s="7" t="n">
        <v>0.156</v>
      </c>
      <c r="P323" s="7" t="n">
        <v>-0.093</v>
      </c>
      <c r="Q323" s="7" t="n">
        <v>0.195</v>
      </c>
      <c r="R323" s="7" t="n">
        <v>-0.093</v>
      </c>
      <c r="S323" s="7" t="n">
        <v>0.301</v>
      </c>
      <c r="T323" s="7" t="n">
        <v>-0.093</v>
      </c>
      <c r="U323" s="7" t="n">
        <v>0.893</v>
      </c>
      <c r="V323" s="7" t="n">
        <v>-0.093</v>
      </c>
      <c r="W323" s="7" t="n">
        <v>0.195</v>
      </c>
      <c r="X323" s="7" t="n">
        <v>-0.093</v>
      </c>
      <c r="Y323" s="7" t="n">
        <v>0.438</v>
      </c>
      <c r="Z323" s="7" t="n">
        <v>0.301</v>
      </c>
      <c r="AA323" s="7" t="n">
        <v>-0.093</v>
      </c>
      <c r="AB323" s="7" t="n">
        <v>-0.093</v>
      </c>
      <c r="AC323" s="7" t="n">
        <v>0.195</v>
      </c>
      <c r="AD323" s="7" t="n">
        <v>0.301</v>
      </c>
      <c r="AE323" s="7" t="n">
        <v>0.497</v>
      </c>
      <c r="AF323" s="7" t="n">
        <v>0.206</v>
      </c>
      <c r="AG323" s="7" t="n">
        <v>-0.093</v>
      </c>
      <c r="AH323" s="7" t="n">
        <v>0.546</v>
      </c>
      <c r="AI323" s="7" t="n">
        <v>0</v>
      </c>
      <c r="AJ323" s="7" t="n">
        <v>-0.082</v>
      </c>
      <c r="AK323" s="7" t="n">
        <v>-0.049</v>
      </c>
      <c r="AL323" s="7" t="n">
        <v>0.357</v>
      </c>
      <c r="AM323" s="7" t="n">
        <v>0</v>
      </c>
      <c r="AN323" s="7" t="n">
        <v>0</v>
      </c>
      <c r="AO323" s="7" t="n">
        <v>0.651</v>
      </c>
      <c r="AP323" s="7" t="n">
        <v>0.384</v>
      </c>
      <c r="AQ323" s="7" t="n">
        <v>0</v>
      </c>
    </row>
    <row r="324" customFormat="false" ht="15" hidden="false" customHeight="false" outlineLevel="0" collapsed="false">
      <c r="A324" s="23" t="n">
        <v>46641</v>
      </c>
      <c r="B324" s="7" t="n">
        <v>0.309</v>
      </c>
      <c r="C324" s="7" t="n">
        <v>0.364</v>
      </c>
      <c r="D324" s="7" t="n">
        <v>-0.093</v>
      </c>
      <c r="E324" s="7" t="n">
        <v>0.3</v>
      </c>
      <c r="F324" s="7" t="n">
        <v>0.398</v>
      </c>
      <c r="G324" s="7" t="n">
        <v>-0.093</v>
      </c>
      <c r="H324" s="7" t="n">
        <v>-0.093</v>
      </c>
      <c r="I324" s="7" t="n">
        <v>-0.138</v>
      </c>
      <c r="J324" s="7" t="n">
        <v>-0.093</v>
      </c>
      <c r="K324" s="7" t="n">
        <v>-0.093</v>
      </c>
      <c r="L324" s="7" t="n">
        <v>0.404</v>
      </c>
      <c r="M324" s="7" t="n">
        <v>0.3</v>
      </c>
      <c r="N324" s="7" t="n">
        <v>0.398</v>
      </c>
      <c r="O324" s="7" t="n">
        <v>0.031</v>
      </c>
      <c r="P324" s="7" t="n">
        <v>-0.093</v>
      </c>
      <c r="Q324" s="7" t="n">
        <v>0.052</v>
      </c>
      <c r="R324" s="7" t="n">
        <v>-0.093</v>
      </c>
      <c r="S324" s="7" t="n">
        <v>0.3</v>
      </c>
      <c r="T324" s="7" t="n">
        <v>-0.093</v>
      </c>
      <c r="U324" s="7" t="n">
        <v>0.889</v>
      </c>
      <c r="V324" s="7" t="n">
        <v>-0.093</v>
      </c>
      <c r="W324" s="7" t="n">
        <v>0.052</v>
      </c>
      <c r="X324" s="7" t="n">
        <v>-0.093</v>
      </c>
      <c r="Y324" s="7" t="n">
        <v>0.416</v>
      </c>
      <c r="Z324" s="7" t="n">
        <v>0.3</v>
      </c>
      <c r="AA324" s="7" t="n">
        <v>-0.093</v>
      </c>
      <c r="AB324" s="7" t="n">
        <v>-0.093</v>
      </c>
      <c r="AC324" s="7" t="n">
        <v>0.052</v>
      </c>
      <c r="AD324" s="7" t="n">
        <v>0.3</v>
      </c>
      <c r="AE324" s="7" t="n">
        <v>0.398</v>
      </c>
      <c r="AF324" s="7" t="n">
        <v>0.056</v>
      </c>
      <c r="AG324" s="7" t="n">
        <v>-0.093</v>
      </c>
      <c r="AH324" s="7" t="n">
        <v>0.558</v>
      </c>
      <c r="AI324" s="7" t="n">
        <v>0</v>
      </c>
      <c r="AJ324" s="7" t="n">
        <v>-0.089</v>
      </c>
      <c r="AK324" s="7" t="n">
        <v>-0.054</v>
      </c>
      <c r="AL324" s="7" t="n">
        <v>0.35</v>
      </c>
      <c r="AM324" s="7" t="n">
        <v>0</v>
      </c>
      <c r="AN324" s="7" t="n">
        <v>0</v>
      </c>
      <c r="AO324" s="7" t="n">
        <v>0.646</v>
      </c>
      <c r="AP324" s="7" t="n">
        <v>0.383</v>
      </c>
      <c r="AQ324" s="7" t="n">
        <v>0</v>
      </c>
    </row>
    <row r="325" customFormat="false" ht="15" hidden="false" customHeight="false" outlineLevel="0" collapsed="false">
      <c r="A325" s="23" t="n">
        <v>46642</v>
      </c>
      <c r="B325" s="7" t="n">
        <v>0.309</v>
      </c>
      <c r="C325" s="7" t="n">
        <v>0.364</v>
      </c>
      <c r="D325" s="7" t="n">
        <v>-0.093</v>
      </c>
      <c r="E325" s="7" t="n">
        <v>0.3</v>
      </c>
      <c r="F325" s="7" t="n">
        <v>0.398</v>
      </c>
      <c r="G325" s="7" t="n">
        <v>-0.093</v>
      </c>
      <c r="H325" s="7" t="n">
        <v>-0.093</v>
      </c>
      <c r="I325" s="7" t="n">
        <v>-0.138</v>
      </c>
      <c r="J325" s="7" t="n">
        <v>-0.093</v>
      </c>
      <c r="K325" s="7" t="n">
        <v>-0.093</v>
      </c>
      <c r="L325" s="7" t="n">
        <v>0.404</v>
      </c>
      <c r="M325" s="7" t="n">
        <v>0.3</v>
      </c>
      <c r="N325" s="7" t="n">
        <v>0.398</v>
      </c>
      <c r="O325" s="7" t="n">
        <v>0.031</v>
      </c>
      <c r="P325" s="7" t="n">
        <v>-0.093</v>
      </c>
      <c r="Q325" s="7" t="n">
        <v>0.052</v>
      </c>
      <c r="R325" s="7" t="n">
        <v>-0.093</v>
      </c>
      <c r="S325" s="7" t="n">
        <v>0.3</v>
      </c>
      <c r="T325" s="7" t="n">
        <v>-0.093</v>
      </c>
      <c r="U325" s="7" t="n">
        <v>0.889</v>
      </c>
      <c r="V325" s="7" t="n">
        <v>-0.093</v>
      </c>
      <c r="W325" s="7" t="n">
        <v>0.052</v>
      </c>
      <c r="X325" s="7" t="n">
        <v>-0.093</v>
      </c>
      <c r="Y325" s="7" t="n">
        <v>0.416</v>
      </c>
      <c r="Z325" s="7" t="n">
        <v>0.3</v>
      </c>
      <c r="AA325" s="7" t="n">
        <v>-0.093</v>
      </c>
      <c r="AB325" s="7" t="n">
        <v>-0.093</v>
      </c>
      <c r="AC325" s="7" t="n">
        <v>0.052</v>
      </c>
      <c r="AD325" s="7" t="n">
        <v>0.3</v>
      </c>
      <c r="AE325" s="7" t="n">
        <v>0.398</v>
      </c>
      <c r="AF325" s="7" t="n">
        <v>0.056</v>
      </c>
      <c r="AG325" s="7" t="n">
        <v>-0.093</v>
      </c>
      <c r="AH325" s="7" t="n">
        <v>0.558</v>
      </c>
      <c r="AI325" s="7" t="n">
        <v>0</v>
      </c>
      <c r="AJ325" s="7" t="n">
        <v>-0.089</v>
      </c>
      <c r="AK325" s="7" t="n">
        <v>-0.054</v>
      </c>
      <c r="AL325" s="7" t="n">
        <v>0.35</v>
      </c>
      <c r="AM325" s="7" t="n">
        <v>0</v>
      </c>
      <c r="AN325" s="7" t="n">
        <v>0</v>
      </c>
      <c r="AO325" s="7" t="n">
        <v>0.646</v>
      </c>
      <c r="AP325" s="7" t="n">
        <v>0.383</v>
      </c>
      <c r="AQ325" s="7" t="n">
        <v>0</v>
      </c>
    </row>
    <row r="326" customFormat="false" ht="15" hidden="false" customHeight="false" outlineLevel="0" collapsed="false">
      <c r="A326" s="23" t="n">
        <v>46643</v>
      </c>
      <c r="B326" s="7" t="n">
        <v>0.309</v>
      </c>
      <c r="C326" s="7" t="n">
        <v>0.364</v>
      </c>
      <c r="D326" s="7" t="n">
        <v>-0.093</v>
      </c>
      <c r="E326" s="7" t="n">
        <v>0.3</v>
      </c>
      <c r="F326" s="7" t="n">
        <v>0.398</v>
      </c>
      <c r="G326" s="7" t="n">
        <v>-0.093</v>
      </c>
      <c r="H326" s="7" t="n">
        <v>-0.093</v>
      </c>
      <c r="I326" s="7" t="n">
        <v>-0.138</v>
      </c>
      <c r="J326" s="7" t="n">
        <v>-0.093</v>
      </c>
      <c r="K326" s="7" t="n">
        <v>-0.093</v>
      </c>
      <c r="L326" s="7" t="n">
        <v>0.404</v>
      </c>
      <c r="M326" s="7" t="n">
        <v>0.3</v>
      </c>
      <c r="N326" s="7" t="n">
        <v>0.398</v>
      </c>
      <c r="O326" s="7" t="n">
        <v>0.031</v>
      </c>
      <c r="P326" s="7" t="n">
        <v>-0.093</v>
      </c>
      <c r="Q326" s="7" t="n">
        <v>0.052</v>
      </c>
      <c r="R326" s="7" t="n">
        <v>-0.093</v>
      </c>
      <c r="S326" s="7" t="n">
        <v>0.3</v>
      </c>
      <c r="T326" s="7" t="n">
        <v>-0.093</v>
      </c>
      <c r="U326" s="7" t="n">
        <v>0.889</v>
      </c>
      <c r="V326" s="7" t="n">
        <v>-0.093</v>
      </c>
      <c r="W326" s="7" t="n">
        <v>0.052</v>
      </c>
      <c r="X326" s="7" t="n">
        <v>-0.093</v>
      </c>
      <c r="Y326" s="7" t="n">
        <v>0.416</v>
      </c>
      <c r="Z326" s="7" t="n">
        <v>0.3</v>
      </c>
      <c r="AA326" s="7" t="n">
        <v>-0.093</v>
      </c>
      <c r="AB326" s="7" t="n">
        <v>-0.093</v>
      </c>
      <c r="AC326" s="7" t="n">
        <v>0.052</v>
      </c>
      <c r="AD326" s="7" t="n">
        <v>0.3</v>
      </c>
      <c r="AE326" s="7" t="n">
        <v>0.398</v>
      </c>
      <c r="AF326" s="7" t="n">
        <v>0.056</v>
      </c>
      <c r="AG326" s="7" t="n">
        <v>-0.093</v>
      </c>
      <c r="AH326" s="7" t="n">
        <v>0.558</v>
      </c>
      <c r="AI326" s="7" t="n">
        <v>0</v>
      </c>
      <c r="AJ326" s="7" t="n">
        <v>-0.089</v>
      </c>
      <c r="AK326" s="7" t="n">
        <v>-0.054</v>
      </c>
      <c r="AL326" s="7" t="n">
        <v>0.35</v>
      </c>
      <c r="AM326" s="7" t="n">
        <v>0</v>
      </c>
      <c r="AN326" s="7" t="n">
        <v>0</v>
      </c>
      <c r="AO326" s="7" t="n">
        <v>0.646</v>
      </c>
      <c r="AP326" s="7" t="n">
        <v>0.383</v>
      </c>
      <c r="AQ326" s="7" t="n">
        <v>0</v>
      </c>
    </row>
    <row r="327" customFormat="false" ht="15" hidden="false" customHeight="false" outlineLevel="0" collapsed="false">
      <c r="A327" s="23" t="n">
        <v>46644</v>
      </c>
      <c r="B327" s="7" t="n">
        <v>0.277</v>
      </c>
      <c r="C327" s="7" t="n">
        <v>0.322</v>
      </c>
      <c r="D327" s="7" t="n">
        <v>-0.093</v>
      </c>
      <c r="E327" s="7" t="n">
        <v>0.346</v>
      </c>
      <c r="F327" s="7" t="n">
        <v>0.346</v>
      </c>
      <c r="G327" s="7" t="n">
        <v>-0.093</v>
      </c>
      <c r="H327" s="7" t="n">
        <v>-0.093</v>
      </c>
      <c r="I327" s="7" t="n">
        <v>-0.133</v>
      </c>
      <c r="J327" s="7" t="n">
        <v>-0.093</v>
      </c>
      <c r="K327" s="7" t="n">
        <v>0.063</v>
      </c>
      <c r="L327" s="7" t="n">
        <v>0.251</v>
      </c>
      <c r="M327" s="7" t="n">
        <v>0.251</v>
      </c>
      <c r="N327" s="7" t="n">
        <v>0.346</v>
      </c>
      <c r="O327" s="7" t="n">
        <v>-0.093</v>
      </c>
      <c r="P327" s="7" t="n">
        <v>-0.093</v>
      </c>
      <c r="Q327" s="7" t="n">
        <v>-0.093</v>
      </c>
      <c r="R327" s="7" t="n">
        <v>-0.093</v>
      </c>
      <c r="S327" s="7" t="n">
        <v>0.355</v>
      </c>
      <c r="T327" s="7" t="n">
        <v>-0.093</v>
      </c>
      <c r="U327" s="7" t="n">
        <v>0.792</v>
      </c>
      <c r="V327" s="7" t="n">
        <v>-0.093</v>
      </c>
      <c r="W327" s="7" t="n">
        <v>-0.093</v>
      </c>
      <c r="X327" s="7" t="n">
        <v>-0.093</v>
      </c>
      <c r="Y327" s="7" t="n">
        <v>0.297</v>
      </c>
      <c r="Z327" s="7" t="n">
        <v>0.392</v>
      </c>
      <c r="AA327" s="7" t="n">
        <v>-0.093</v>
      </c>
      <c r="AB327" s="7" t="n">
        <v>-0.093</v>
      </c>
      <c r="AC327" s="7" t="n">
        <v>-0.093</v>
      </c>
      <c r="AD327" s="7" t="n">
        <v>0.358</v>
      </c>
      <c r="AE327" s="7" t="n">
        <v>0.346</v>
      </c>
      <c r="AF327" s="7" t="n">
        <v>0.047</v>
      </c>
      <c r="AG327" s="7" t="n">
        <v>-0.093</v>
      </c>
      <c r="AH327" s="7" t="n">
        <v>0.491</v>
      </c>
      <c r="AI327" s="7" t="n">
        <v>0</v>
      </c>
      <c r="AJ327" s="7" t="n">
        <v>-0.079</v>
      </c>
      <c r="AK327" s="7" t="n">
        <v>-0.048</v>
      </c>
      <c r="AL327" s="7" t="n">
        <v>0.278</v>
      </c>
      <c r="AM327" s="7" t="n">
        <v>0</v>
      </c>
      <c r="AN327" s="7" t="n">
        <v>0</v>
      </c>
      <c r="AO327" s="7" t="n">
        <v>0.545</v>
      </c>
      <c r="AP327" s="7" t="n">
        <v>0.336</v>
      </c>
      <c r="AQ327" s="7" t="n">
        <v>0</v>
      </c>
    </row>
    <row r="328" customFormat="false" ht="15" hidden="false" customHeight="false" outlineLevel="0" collapsed="false">
      <c r="A328" s="23" t="n">
        <v>46645</v>
      </c>
      <c r="B328" s="7" t="n">
        <v>0.317</v>
      </c>
      <c r="C328" s="7" t="n">
        <v>0.345</v>
      </c>
      <c r="D328" s="7" t="n">
        <v>-0.093</v>
      </c>
      <c r="E328" s="7" t="n">
        <v>0.396</v>
      </c>
      <c r="F328" s="7" t="n">
        <v>0.392</v>
      </c>
      <c r="G328" s="7" t="n">
        <v>-0.093</v>
      </c>
      <c r="H328" s="7" t="n">
        <v>-0.093</v>
      </c>
      <c r="I328" s="7" t="n">
        <v>-0.126</v>
      </c>
      <c r="J328" s="7" t="n">
        <v>-0.093</v>
      </c>
      <c r="K328" s="7" t="n">
        <v>0.219</v>
      </c>
      <c r="L328" s="7" t="n">
        <v>0.203</v>
      </c>
      <c r="M328" s="7" t="n">
        <v>0.203</v>
      </c>
      <c r="N328" s="7" t="n">
        <v>0.392</v>
      </c>
      <c r="O328" s="7" t="n">
        <v>-0.093</v>
      </c>
      <c r="P328" s="7" t="n">
        <v>-0.093</v>
      </c>
      <c r="Q328" s="7" t="n">
        <v>-0.093</v>
      </c>
      <c r="R328" s="7" t="n">
        <v>-0.093</v>
      </c>
      <c r="S328" s="7" t="n">
        <v>0.41</v>
      </c>
      <c r="T328" s="7" t="n">
        <v>-0.093</v>
      </c>
      <c r="U328" s="7" t="n">
        <v>0.698</v>
      </c>
      <c r="V328" s="7" t="n">
        <v>-0.093</v>
      </c>
      <c r="W328" s="7" t="n">
        <v>-0.093</v>
      </c>
      <c r="X328" s="7" t="n">
        <v>-0.093</v>
      </c>
      <c r="Y328" s="7" t="n">
        <v>0.184</v>
      </c>
      <c r="Z328" s="7" t="n">
        <v>0.484</v>
      </c>
      <c r="AA328" s="7" t="n">
        <v>-0.093</v>
      </c>
      <c r="AB328" s="7" t="n">
        <v>-0.093</v>
      </c>
      <c r="AC328" s="7" t="n">
        <v>-0.093</v>
      </c>
      <c r="AD328" s="7" t="n">
        <v>0.42</v>
      </c>
      <c r="AE328" s="7" t="n">
        <v>0.392</v>
      </c>
      <c r="AF328" s="7" t="n">
        <v>0.187</v>
      </c>
      <c r="AG328" s="7" t="n">
        <v>-0.093</v>
      </c>
      <c r="AH328" s="7" t="n">
        <v>0.426</v>
      </c>
      <c r="AI328" s="7" t="n">
        <v>0</v>
      </c>
      <c r="AJ328" s="7" t="n">
        <v>-0.066</v>
      </c>
      <c r="AK328" s="7" t="n">
        <v>-0.04</v>
      </c>
      <c r="AL328" s="7" t="n">
        <v>0.207</v>
      </c>
      <c r="AM328" s="7" t="n">
        <v>0</v>
      </c>
      <c r="AN328" s="7" t="n">
        <v>0</v>
      </c>
      <c r="AO328" s="7" t="n">
        <v>0.446</v>
      </c>
      <c r="AP328" s="7" t="n">
        <v>0.29</v>
      </c>
      <c r="AQ328" s="7" t="n">
        <v>0</v>
      </c>
    </row>
    <row r="329" customFormat="false" ht="15" hidden="false" customHeight="false" outlineLevel="0" collapsed="false">
      <c r="A329" s="23" t="n">
        <v>46646</v>
      </c>
      <c r="B329" s="7" t="n">
        <v>0.181</v>
      </c>
      <c r="C329" s="7" t="n">
        <v>0.2</v>
      </c>
      <c r="D329" s="7" t="n">
        <v>-0.093</v>
      </c>
      <c r="E329" s="7" t="n">
        <v>0.284</v>
      </c>
      <c r="F329" s="7" t="n">
        <v>0.238</v>
      </c>
      <c r="G329" s="7" t="n">
        <v>-0.093</v>
      </c>
      <c r="H329" s="7" t="n">
        <v>-0.093</v>
      </c>
      <c r="I329" s="7" t="n">
        <v>-0.115</v>
      </c>
      <c r="J329" s="7" t="n">
        <v>-0.093</v>
      </c>
      <c r="K329" s="7" t="n">
        <v>0.255</v>
      </c>
      <c r="L329" s="7" t="n">
        <v>0.042</v>
      </c>
      <c r="M329" s="7" t="n">
        <v>0.079</v>
      </c>
      <c r="N329" s="7" t="n">
        <v>0.238</v>
      </c>
      <c r="O329" s="7" t="n">
        <v>-0.137</v>
      </c>
      <c r="P329" s="7" t="n">
        <v>-0.137</v>
      </c>
      <c r="Q329" s="7" t="n">
        <v>-0.137</v>
      </c>
      <c r="R329" s="7" t="n">
        <v>-0.093</v>
      </c>
      <c r="S329" s="7" t="n">
        <v>0.302</v>
      </c>
      <c r="T329" s="7" t="n">
        <v>-0.093</v>
      </c>
      <c r="U329" s="7" t="n">
        <v>0.414</v>
      </c>
      <c r="V329" s="7" t="n">
        <v>-0.093</v>
      </c>
      <c r="W329" s="7" t="n">
        <v>-0.137</v>
      </c>
      <c r="X329" s="7" t="n">
        <v>-0.093</v>
      </c>
      <c r="Y329" s="7" t="n">
        <v>0.076</v>
      </c>
      <c r="Z329" s="7" t="n">
        <v>0.393</v>
      </c>
      <c r="AA329" s="7" t="n">
        <v>-0.093</v>
      </c>
      <c r="AB329" s="7" t="n">
        <v>-0.093</v>
      </c>
      <c r="AC329" s="7" t="n">
        <v>-0.137</v>
      </c>
      <c r="AD329" s="7" t="n">
        <v>0.345</v>
      </c>
      <c r="AE329" s="7" t="n">
        <v>0.238</v>
      </c>
      <c r="AF329" s="7" t="n">
        <v>0.157</v>
      </c>
      <c r="AG329" s="7" t="n">
        <v>-0.093</v>
      </c>
      <c r="AH329" s="7" t="n">
        <v>0.324</v>
      </c>
      <c r="AI329" s="7" t="n">
        <v>-0.044</v>
      </c>
      <c r="AJ329" s="7" t="n">
        <v>-0.043</v>
      </c>
      <c r="AK329" s="7" t="n">
        <v>-0.026</v>
      </c>
      <c r="AL329" s="7" t="n">
        <v>0.093</v>
      </c>
      <c r="AM329" s="7" t="n">
        <v>0</v>
      </c>
      <c r="AN329" s="7" t="n">
        <v>0</v>
      </c>
      <c r="AO329" s="7" t="n">
        <v>0.27</v>
      </c>
      <c r="AP329" s="7" t="n">
        <v>0.166</v>
      </c>
      <c r="AQ329" s="7" t="n">
        <v>-0.044</v>
      </c>
    </row>
    <row r="330" customFormat="false" ht="15" hidden="false" customHeight="false" outlineLevel="0" collapsed="false">
      <c r="A330" s="23" t="n">
        <v>46647</v>
      </c>
      <c r="B330" s="7" t="n">
        <v>0.043</v>
      </c>
      <c r="C330" s="7" t="n">
        <v>0.055</v>
      </c>
      <c r="D330" s="7" t="n">
        <v>-0.093</v>
      </c>
      <c r="E330" s="7" t="n">
        <v>0.148</v>
      </c>
      <c r="F330" s="7" t="n">
        <v>0.084</v>
      </c>
      <c r="G330" s="7" t="n">
        <v>-0.093</v>
      </c>
      <c r="H330" s="7" t="n">
        <v>-0.093</v>
      </c>
      <c r="I330" s="7" t="n">
        <v>-0.106</v>
      </c>
      <c r="J330" s="7" t="n">
        <v>-0.093</v>
      </c>
      <c r="K330" s="7" t="n">
        <v>0.292</v>
      </c>
      <c r="L330" s="7" t="n">
        <v>-0.119</v>
      </c>
      <c r="M330" s="7" t="n">
        <v>-0.045</v>
      </c>
      <c r="N330" s="7" t="n">
        <v>0.084</v>
      </c>
      <c r="O330" s="7" t="n">
        <v>-0.18</v>
      </c>
      <c r="P330" s="7" t="n">
        <v>-0.18</v>
      </c>
      <c r="Q330" s="7" t="n">
        <v>-0.18</v>
      </c>
      <c r="R330" s="7" t="n">
        <v>-0.093</v>
      </c>
      <c r="S330" s="7" t="n">
        <v>0.195</v>
      </c>
      <c r="T330" s="7" t="n">
        <v>-0.093</v>
      </c>
      <c r="U330" s="7" t="n">
        <v>0.129</v>
      </c>
      <c r="V330" s="7" t="n">
        <v>-0.093</v>
      </c>
      <c r="W330" s="7" t="n">
        <v>-0.18</v>
      </c>
      <c r="X330" s="7" t="n">
        <v>-0.093</v>
      </c>
      <c r="Y330" s="7" t="n">
        <v>-0.043</v>
      </c>
      <c r="Z330" s="7" t="n">
        <v>0.304</v>
      </c>
      <c r="AA330" s="7" t="n">
        <v>-0.093</v>
      </c>
      <c r="AB330" s="7" t="n">
        <v>-0.093</v>
      </c>
      <c r="AC330" s="7" t="n">
        <v>-0.18</v>
      </c>
      <c r="AD330" s="7" t="n">
        <v>0.248</v>
      </c>
      <c r="AE330" s="7" t="n">
        <v>0.084</v>
      </c>
      <c r="AF330" s="7" t="n">
        <v>0.127</v>
      </c>
      <c r="AG330" s="7" t="n">
        <v>-0.093</v>
      </c>
      <c r="AH330" s="7" t="n">
        <v>0.24</v>
      </c>
      <c r="AI330" s="7" t="n">
        <v>-0.089</v>
      </c>
      <c r="AJ330" s="7" t="n">
        <v>-0.024</v>
      </c>
      <c r="AK330" s="7" t="n">
        <v>-0.015</v>
      </c>
      <c r="AL330" s="7" t="n">
        <v>-0.021</v>
      </c>
      <c r="AM330" s="7" t="n">
        <v>0</v>
      </c>
      <c r="AN330" s="7" t="n">
        <v>0</v>
      </c>
      <c r="AO330" s="7" t="n">
        <v>0.095</v>
      </c>
      <c r="AP330" s="7" t="n">
        <v>0.043</v>
      </c>
      <c r="AQ330" s="7" t="n">
        <v>-0.089</v>
      </c>
    </row>
    <row r="331" customFormat="false" ht="15" hidden="false" customHeight="false" outlineLevel="0" collapsed="false">
      <c r="A331" s="23" t="n">
        <v>46648</v>
      </c>
      <c r="B331" s="7" t="n">
        <v>-0.099</v>
      </c>
      <c r="C331" s="7" t="n">
        <v>-0.091</v>
      </c>
      <c r="D331" s="7" t="n">
        <v>-0.093</v>
      </c>
      <c r="E331" s="7" t="n">
        <v>0.006</v>
      </c>
      <c r="F331" s="7" t="n">
        <v>-0.072</v>
      </c>
      <c r="G331" s="7" t="n">
        <v>-0.093</v>
      </c>
      <c r="H331" s="7" t="n">
        <v>-0.093</v>
      </c>
      <c r="I331" s="7" t="n">
        <v>-0.099</v>
      </c>
      <c r="J331" s="7" t="n">
        <v>-0.093</v>
      </c>
      <c r="K331" s="7" t="n">
        <v>0.327</v>
      </c>
      <c r="L331" s="7" t="n">
        <v>-0.281</v>
      </c>
      <c r="M331" s="7" t="n">
        <v>-0.169</v>
      </c>
      <c r="N331" s="7" t="n">
        <v>-0.072</v>
      </c>
      <c r="O331" s="7" t="n">
        <v>-0.224</v>
      </c>
      <c r="P331" s="7" t="n">
        <v>-0.224</v>
      </c>
      <c r="Q331" s="7" t="n">
        <v>-0.224</v>
      </c>
      <c r="R331" s="7" t="n">
        <v>-0.093</v>
      </c>
      <c r="S331" s="7" t="n">
        <v>0.087</v>
      </c>
      <c r="T331" s="7" t="n">
        <v>-0.093</v>
      </c>
      <c r="U331" s="7" t="n">
        <v>-0.159</v>
      </c>
      <c r="V331" s="7" t="n">
        <v>-0.093</v>
      </c>
      <c r="W331" s="7" t="n">
        <v>-0.224</v>
      </c>
      <c r="X331" s="7" t="n">
        <v>-0.093</v>
      </c>
      <c r="Y331" s="7" t="n">
        <v>-0.174</v>
      </c>
      <c r="Z331" s="7" t="n">
        <v>0.214</v>
      </c>
      <c r="AA331" s="7" t="n">
        <v>-0.093</v>
      </c>
      <c r="AB331" s="7" t="n">
        <v>-0.093</v>
      </c>
      <c r="AC331" s="7" t="n">
        <v>-0.224</v>
      </c>
      <c r="AD331" s="7" t="n">
        <v>0.142</v>
      </c>
      <c r="AE331" s="7" t="n">
        <v>-0.072</v>
      </c>
      <c r="AF331" s="7" t="n">
        <v>0.094</v>
      </c>
      <c r="AG331" s="7" t="n">
        <v>-0.093</v>
      </c>
      <c r="AH331" s="7" t="n">
        <v>0.156</v>
      </c>
      <c r="AI331" s="7" t="n">
        <v>-0.135</v>
      </c>
      <c r="AJ331" s="7" t="n">
        <v>-0.01</v>
      </c>
      <c r="AK331" s="7" t="n">
        <v>-0.006</v>
      </c>
      <c r="AL331" s="7" t="n">
        <v>-0.135</v>
      </c>
      <c r="AM331" s="7" t="n">
        <v>0</v>
      </c>
      <c r="AN331" s="7" t="n">
        <v>0</v>
      </c>
      <c r="AO331" s="7" t="n">
        <v>-0.08</v>
      </c>
      <c r="AP331" s="7" t="n">
        <v>-0.08</v>
      </c>
      <c r="AQ331" s="7" t="n">
        <v>-0.135</v>
      </c>
    </row>
    <row r="332" customFormat="false" ht="15" hidden="false" customHeight="false" outlineLevel="0" collapsed="false">
      <c r="A332" s="23" t="n">
        <v>46649</v>
      </c>
      <c r="B332" s="7" t="n">
        <v>-0.099</v>
      </c>
      <c r="C332" s="7" t="n">
        <v>-0.091</v>
      </c>
      <c r="D332" s="7" t="n">
        <v>-0.093</v>
      </c>
      <c r="E332" s="7" t="n">
        <v>0.006</v>
      </c>
      <c r="F332" s="7" t="n">
        <v>-0.072</v>
      </c>
      <c r="G332" s="7" t="n">
        <v>-0.093</v>
      </c>
      <c r="H332" s="7" t="n">
        <v>-0.093</v>
      </c>
      <c r="I332" s="7" t="n">
        <v>-0.099</v>
      </c>
      <c r="J332" s="7" t="n">
        <v>-0.093</v>
      </c>
      <c r="K332" s="7" t="n">
        <v>0.327</v>
      </c>
      <c r="L332" s="7" t="n">
        <v>-0.281</v>
      </c>
      <c r="M332" s="7" t="n">
        <v>-0.169</v>
      </c>
      <c r="N332" s="7" t="n">
        <v>-0.072</v>
      </c>
      <c r="O332" s="7" t="n">
        <v>-0.224</v>
      </c>
      <c r="P332" s="7" t="n">
        <v>-0.224</v>
      </c>
      <c r="Q332" s="7" t="n">
        <v>-0.224</v>
      </c>
      <c r="R332" s="7" t="n">
        <v>-0.093</v>
      </c>
      <c r="S332" s="7" t="n">
        <v>0.087</v>
      </c>
      <c r="T332" s="7" t="n">
        <v>-0.093</v>
      </c>
      <c r="U332" s="7" t="n">
        <v>-0.159</v>
      </c>
      <c r="V332" s="7" t="n">
        <v>-0.093</v>
      </c>
      <c r="W332" s="7" t="n">
        <v>-0.224</v>
      </c>
      <c r="X332" s="7" t="n">
        <v>-0.093</v>
      </c>
      <c r="Y332" s="7" t="n">
        <v>-0.174</v>
      </c>
      <c r="Z332" s="7" t="n">
        <v>0.214</v>
      </c>
      <c r="AA332" s="7" t="n">
        <v>-0.093</v>
      </c>
      <c r="AB332" s="7" t="n">
        <v>-0.093</v>
      </c>
      <c r="AC332" s="7" t="n">
        <v>-0.224</v>
      </c>
      <c r="AD332" s="7" t="n">
        <v>0.142</v>
      </c>
      <c r="AE332" s="7" t="n">
        <v>-0.072</v>
      </c>
      <c r="AF332" s="7" t="n">
        <v>0.094</v>
      </c>
      <c r="AG332" s="7" t="n">
        <v>-0.093</v>
      </c>
      <c r="AH332" s="7" t="n">
        <v>0.156</v>
      </c>
      <c r="AI332" s="7" t="n">
        <v>-0.135</v>
      </c>
      <c r="AJ332" s="7" t="n">
        <v>-0.01</v>
      </c>
      <c r="AK332" s="7" t="n">
        <v>-0.006</v>
      </c>
      <c r="AL332" s="7" t="n">
        <v>-0.135</v>
      </c>
      <c r="AM332" s="7" t="n">
        <v>0</v>
      </c>
      <c r="AN332" s="7" t="n">
        <v>0</v>
      </c>
      <c r="AO332" s="7" t="n">
        <v>-0.08</v>
      </c>
      <c r="AP332" s="7" t="n">
        <v>-0.08</v>
      </c>
      <c r="AQ332" s="7" t="n">
        <v>-0.135</v>
      </c>
    </row>
    <row r="333" customFormat="false" ht="15" hidden="false" customHeight="false" outlineLevel="0" collapsed="false">
      <c r="A333" s="23" t="n">
        <v>46650</v>
      </c>
      <c r="B333" s="7" t="n">
        <v>-0.099</v>
      </c>
      <c r="C333" s="7" t="n">
        <v>-0.091</v>
      </c>
      <c r="D333" s="7" t="n">
        <v>-0.093</v>
      </c>
      <c r="E333" s="7" t="n">
        <v>0.006</v>
      </c>
      <c r="F333" s="7" t="n">
        <v>-0.072</v>
      </c>
      <c r="G333" s="7" t="n">
        <v>-0.093</v>
      </c>
      <c r="H333" s="7" t="n">
        <v>-0.093</v>
      </c>
      <c r="I333" s="7" t="n">
        <v>-0.099</v>
      </c>
      <c r="J333" s="7" t="n">
        <v>-0.093</v>
      </c>
      <c r="K333" s="7" t="n">
        <v>0.327</v>
      </c>
      <c r="L333" s="7" t="n">
        <v>-0.281</v>
      </c>
      <c r="M333" s="7" t="n">
        <v>-0.169</v>
      </c>
      <c r="N333" s="7" t="n">
        <v>-0.072</v>
      </c>
      <c r="O333" s="7" t="n">
        <v>-0.224</v>
      </c>
      <c r="P333" s="7" t="n">
        <v>-0.224</v>
      </c>
      <c r="Q333" s="7" t="n">
        <v>-0.224</v>
      </c>
      <c r="R333" s="7" t="n">
        <v>-0.093</v>
      </c>
      <c r="S333" s="7" t="n">
        <v>0.087</v>
      </c>
      <c r="T333" s="7" t="n">
        <v>-0.093</v>
      </c>
      <c r="U333" s="7" t="n">
        <v>-0.159</v>
      </c>
      <c r="V333" s="7" t="n">
        <v>-0.093</v>
      </c>
      <c r="W333" s="7" t="n">
        <v>-0.224</v>
      </c>
      <c r="X333" s="7" t="n">
        <v>-0.093</v>
      </c>
      <c r="Y333" s="7" t="n">
        <v>-0.174</v>
      </c>
      <c r="Z333" s="7" t="n">
        <v>0.214</v>
      </c>
      <c r="AA333" s="7" t="n">
        <v>-0.093</v>
      </c>
      <c r="AB333" s="7" t="n">
        <v>-0.093</v>
      </c>
      <c r="AC333" s="7" t="n">
        <v>-0.224</v>
      </c>
      <c r="AD333" s="7" t="n">
        <v>0.142</v>
      </c>
      <c r="AE333" s="7" t="n">
        <v>-0.072</v>
      </c>
      <c r="AF333" s="7" t="n">
        <v>0.094</v>
      </c>
      <c r="AG333" s="7" t="n">
        <v>-0.093</v>
      </c>
      <c r="AH333" s="7" t="n">
        <v>0.156</v>
      </c>
      <c r="AI333" s="7" t="n">
        <v>-0.135</v>
      </c>
      <c r="AJ333" s="7" t="n">
        <v>-0.01</v>
      </c>
      <c r="AK333" s="7" t="n">
        <v>-0.006</v>
      </c>
      <c r="AL333" s="7" t="n">
        <v>-0.135</v>
      </c>
      <c r="AM333" s="7" t="n">
        <v>0</v>
      </c>
      <c r="AN333" s="7" t="n">
        <v>0</v>
      </c>
      <c r="AO333" s="7" t="n">
        <v>-0.08</v>
      </c>
      <c r="AP333" s="7" t="n">
        <v>-0.08</v>
      </c>
      <c r="AQ333" s="7" t="n">
        <v>-0.135</v>
      </c>
    </row>
    <row r="334" customFormat="false" ht="15" hidden="false" customHeight="false" outlineLevel="0" collapsed="false">
      <c r="A334" s="23" t="n">
        <v>46651</v>
      </c>
      <c r="B334" s="7" t="n">
        <v>-0.29</v>
      </c>
      <c r="C334" s="7" t="n">
        <v>-0.266</v>
      </c>
      <c r="D334" s="7" t="n">
        <v>-0.093</v>
      </c>
      <c r="E334" s="7" t="n">
        <v>-0.216</v>
      </c>
      <c r="F334" s="7" t="n">
        <v>-0.28</v>
      </c>
      <c r="G334" s="7" t="n">
        <v>-0.093</v>
      </c>
      <c r="H334" s="7" t="n">
        <v>-0.093</v>
      </c>
      <c r="I334" s="7" t="n">
        <v>-0.102</v>
      </c>
      <c r="J334" s="7" t="n">
        <v>-0.093</v>
      </c>
      <c r="K334" s="7" t="n">
        <v>0.198</v>
      </c>
      <c r="L334" s="7" t="n">
        <v>-0.398</v>
      </c>
      <c r="M334" s="7" t="n">
        <v>-0.244</v>
      </c>
      <c r="N334" s="7" t="n">
        <v>-0.28</v>
      </c>
      <c r="O334" s="7" t="n">
        <v>-0.273</v>
      </c>
      <c r="P334" s="7" t="n">
        <v>-0.273</v>
      </c>
      <c r="Q334" s="7" t="n">
        <v>-0.273</v>
      </c>
      <c r="R334" s="7" t="n">
        <v>-0.093</v>
      </c>
      <c r="S334" s="7" t="n">
        <v>-0.078</v>
      </c>
      <c r="T334" s="7" t="n">
        <v>-0.093</v>
      </c>
      <c r="U334" s="7" t="n">
        <v>-0.364</v>
      </c>
      <c r="V334" s="7" t="n">
        <v>-0.093</v>
      </c>
      <c r="W334" s="7" t="n">
        <v>-0.273</v>
      </c>
      <c r="X334" s="7" t="n">
        <v>-0.093</v>
      </c>
      <c r="Y334" s="7" t="n">
        <v>-0.217</v>
      </c>
      <c r="Z334" s="7" t="n">
        <v>0.024</v>
      </c>
      <c r="AA334" s="7" t="n">
        <v>-0.093</v>
      </c>
      <c r="AB334" s="7" t="n">
        <v>-0.093</v>
      </c>
      <c r="AC334" s="7" t="n">
        <v>-0.273</v>
      </c>
      <c r="AD334" s="7" t="n">
        <v>-0.058</v>
      </c>
      <c r="AE334" s="7" t="n">
        <v>-0.28</v>
      </c>
      <c r="AF334" s="7" t="n">
        <v>-0.09</v>
      </c>
      <c r="AG334" s="7" t="n">
        <v>-0.093</v>
      </c>
      <c r="AH334" s="7" t="n">
        <v>0.156</v>
      </c>
      <c r="AI334" s="7" t="n">
        <v>-0.185</v>
      </c>
      <c r="AJ334" s="7" t="n">
        <v>-0.016</v>
      </c>
      <c r="AK334" s="7" t="n">
        <v>-0.01</v>
      </c>
      <c r="AL334" s="7" t="n">
        <v>-0.185</v>
      </c>
      <c r="AM334" s="7" t="n">
        <v>0</v>
      </c>
      <c r="AN334" s="7" t="n">
        <v>0</v>
      </c>
      <c r="AO334" s="7" t="n">
        <v>-0.156</v>
      </c>
      <c r="AP334" s="7" t="n">
        <v>-0.156</v>
      </c>
      <c r="AQ334" s="7" t="n">
        <v>-0.185</v>
      </c>
    </row>
    <row r="335" customFormat="false" ht="15" hidden="false" customHeight="false" outlineLevel="0" collapsed="false">
      <c r="A335" s="23" t="n">
        <v>46652</v>
      </c>
      <c r="B335" s="7" t="n">
        <v>-0.485</v>
      </c>
      <c r="C335" s="7" t="n">
        <v>-0.445</v>
      </c>
      <c r="D335" s="7" t="n">
        <v>-0.093</v>
      </c>
      <c r="E335" s="7" t="n">
        <v>-0.443</v>
      </c>
      <c r="F335" s="7" t="n">
        <v>-0.491</v>
      </c>
      <c r="G335" s="7" t="n">
        <v>-0.093</v>
      </c>
      <c r="H335" s="7" t="n">
        <v>-0.093</v>
      </c>
      <c r="I335" s="7" t="n">
        <v>-0.125</v>
      </c>
      <c r="J335" s="7" t="n">
        <v>-0.081</v>
      </c>
      <c r="K335" s="7" t="n">
        <v>0.066</v>
      </c>
      <c r="L335" s="7" t="n">
        <v>-0.516</v>
      </c>
      <c r="M335" s="7" t="n">
        <v>-0.319</v>
      </c>
      <c r="N335" s="7" t="n">
        <v>-0.491</v>
      </c>
      <c r="O335" s="7" t="n">
        <v>-0.323</v>
      </c>
      <c r="P335" s="7" t="n">
        <v>-0.323</v>
      </c>
      <c r="Q335" s="7" t="n">
        <v>-0.323</v>
      </c>
      <c r="R335" s="7" t="n">
        <v>-0.093</v>
      </c>
      <c r="S335" s="7" t="n">
        <v>-0.245</v>
      </c>
      <c r="T335" s="7" t="n">
        <v>-0.093</v>
      </c>
      <c r="U335" s="7" t="n">
        <v>-0.573</v>
      </c>
      <c r="V335" s="7" t="n">
        <v>-0.114</v>
      </c>
      <c r="W335" s="7" t="n">
        <v>-0.323</v>
      </c>
      <c r="X335" s="7" t="n">
        <v>-0.093</v>
      </c>
      <c r="Y335" s="7" t="n">
        <v>-0.213</v>
      </c>
      <c r="Z335" s="7" t="n">
        <v>-0.168</v>
      </c>
      <c r="AA335" s="7" t="n">
        <v>-0.093</v>
      </c>
      <c r="AB335" s="7" t="n">
        <v>-0.046</v>
      </c>
      <c r="AC335" s="7" t="n">
        <v>-0.323</v>
      </c>
      <c r="AD335" s="7" t="n">
        <v>-0.266</v>
      </c>
      <c r="AE335" s="7" t="n">
        <v>-0.491</v>
      </c>
      <c r="AF335" s="7" t="n">
        <v>-0.276</v>
      </c>
      <c r="AG335" s="7" t="n">
        <v>-0.093</v>
      </c>
      <c r="AH335" s="7" t="n">
        <v>0.156</v>
      </c>
      <c r="AI335" s="7" t="n">
        <v>-0.236</v>
      </c>
      <c r="AJ335" s="7" t="n">
        <v>-0.024</v>
      </c>
      <c r="AK335" s="7" t="n">
        <v>-0.014</v>
      </c>
      <c r="AL335" s="7" t="n">
        <v>-0.236</v>
      </c>
      <c r="AM335" s="7" t="n">
        <v>0</v>
      </c>
      <c r="AN335" s="7" t="n">
        <v>0</v>
      </c>
      <c r="AO335" s="7" t="n">
        <v>-0.232</v>
      </c>
      <c r="AP335" s="7" t="n">
        <v>-0.232</v>
      </c>
      <c r="AQ335" s="7" t="n">
        <v>-0.236</v>
      </c>
    </row>
    <row r="336" customFormat="false" ht="15" hidden="false" customHeight="false" outlineLevel="0" collapsed="false">
      <c r="A336" s="23" t="n">
        <v>46653</v>
      </c>
      <c r="B336" s="7" t="n">
        <v>-0.512</v>
      </c>
      <c r="C336" s="7" t="n">
        <v>-0.456</v>
      </c>
      <c r="D336" s="7" t="n">
        <v>-0.093</v>
      </c>
      <c r="E336" s="7" t="n">
        <v>-0.51</v>
      </c>
      <c r="F336" s="7" t="n">
        <v>-0.502</v>
      </c>
      <c r="G336" s="7" t="n">
        <v>-0.093</v>
      </c>
      <c r="H336" s="7" t="n">
        <v>-0.093</v>
      </c>
      <c r="I336" s="7" t="n">
        <v>-0.184</v>
      </c>
      <c r="J336" s="7" t="n">
        <v>-0.067</v>
      </c>
      <c r="K336" s="7" t="n">
        <v>0.054</v>
      </c>
      <c r="L336" s="7" t="n">
        <v>-0.521</v>
      </c>
      <c r="M336" s="7" t="n">
        <v>-0.318</v>
      </c>
      <c r="N336" s="7" t="n">
        <v>-0.502</v>
      </c>
      <c r="O336" s="7" t="n">
        <v>-0.33</v>
      </c>
      <c r="P336" s="7" t="n">
        <v>-0.33</v>
      </c>
      <c r="Q336" s="7" t="n">
        <v>-0.33</v>
      </c>
      <c r="R336" s="7" t="n">
        <v>-0.093</v>
      </c>
      <c r="S336" s="7" t="n">
        <v>-0.25</v>
      </c>
      <c r="T336" s="7" t="n">
        <v>-0.093</v>
      </c>
      <c r="U336" s="7" t="n">
        <v>-0.602</v>
      </c>
      <c r="V336" s="7" t="n">
        <v>-0.167</v>
      </c>
      <c r="W336" s="7" t="n">
        <v>-0.33</v>
      </c>
      <c r="X336" s="7" t="n">
        <v>-0.093</v>
      </c>
      <c r="Y336" s="7" t="n">
        <v>-0.2</v>
      </c>
      <c r="Z336" s="7" t="n">
        <v>-0.179</v>
      </c>
      <c r="AA336" s="7" t="n">
        <v>-0.093</v>
      </c>
      <c r="AB336" s="7" t="n">
        <v>-0.051</v>
      </c>
      <c r="AC336" s="7" t="n">
        <v>-0.33</v>
      </c>
      <c r="AD336" s="7" t="n">
        <v>-0.352</v>
      </c>
      <c r="AE336" s="7" t="n">
        <v>-0.502</v>
      </c>
      <c r="AF336" s="7" t="n">
        <v>-0.294</v>
      </c>
      <c r="AG336" s="7" t="n">
        <v>-0.093</v>
      </c>
      <c r="AH336" s="7" t="n">
        <v>0.156</v>
      </c>
      <c r="AI336" s="7" t="n">
        <v>-0.244</v>
      </c>
      <c r="AJ336" s="7" t="n">
        <v>-0.036</v>
      </c>
      <c r="AK336" s="7" t="n">
        <v>-0.021</v>
      </c>
      <c r="AL336" s="7" t="n">
        <v>-0.244</v>
      </c>
      <c r="AM336" s="7" t="n">
        <v>0</v>
      </c>
      <c r="AN336" s="7" t="n">
        <v>0</v>
      </c>
      <c r="AO336" s="7" t="n">
        <v>-0.231</v>
      </c>
      <c r="AP336" s="7" t="n">
        <v>-0.231</v>
      </c>
      <c r="AQ336" s="7" t="n">
        <v>-0.244</v>
      </c>
    </row>
    <row r="337" customFormat="false" ht="15" hidden="false" customHeight="false" outlineLevel="0" collapsed="false">
      <c r="A337" s="23" t="n">
        <v>46654</v>
      </c>
      <c r="B337" s="7" t="n">
        <v>-0.538</v>
      </c>
      <c r="C337" s="7" t="n">
        <v>-0.47</v>
      </c>
      <c r="D337" s="7" t="n">
        <v>-0.093</v>
      </c>
      <c r="E337" s="7" t="n">
        <v>-0.555</v>
      </c>
      <c r="F337" s="7" t="n">
        <v>-0.514</v>
      </c>
      <c r="G337" s="7" t="n">
        <v>-0.093</v>
      </c>
      <c r="H337" s="7" t="n">
        <v>-0.093</v>
      </c>
      <c r="I337" s="7" t="n">
        <v>-0.245</v>
      </c>
      <c r="J337" s="7" t="n">
        <v>-0.054</v>
      </c>
      <c r="K337" s="7" t="n">
        <v>0.038</v>
      </c>
      <c r="L337" s="7" t="n">
        <v>-0.527</v>
      </c>
      <c r="M337" s="7" t="n">
        <v>-0.317</v>
      </c>
      <c r="N337" s="7" t="n">
        <v>-0.514</v>
      </c>
      <c r="O337" s="7" t="n">
        <v>-0.339</v>
      </c>
      <c r="P337" s="7" t="n">
        <v>-0.339</v>
      </c>
      <c r="Q337" s="7" t="n">
        <v>-0.339</v>
      </c>
      <c r="R337" s="7" t="n">
        <v>-0.093</v>
      </c>
      <c r="S337" s="7" t="n">
        <v>-0.256</v>
      </c>
      <c r="T337" s="7" t="n">
        <v>-0.093</v>
      </c>
      <c r="U337" s="7" t="n">
        <v>-0.63</v>
      </c>
      <c r="V337" s="7" t="n">
        <v>-0.225</v>
      </c>
      <c r="W337" s="7" t="n">
        <v>-0.339</v>
      </c>
      <c r="X337" s="7" t="n">
        <v>-0.093</v>
      </c>
      <c r="Y337" s="7" t="n">
        <v>-0.175</v>
      </c>
      <c r="Z337" s="7" t="n">
        <v>-0.193</v>
      </c>
      <c r="AA337" s="7" t="n">
        <v>-0.093</v>
      </c>
      <c r="AB337" s="7" t="n">
        <v>-0.067</v>
      </c>
      <c r="AC337" s="7" t="n">
        <v>-0.339</v>
      </c>
      <c r="AD337" s="7" t="n">
        <v>-0.419</v>
      </c>
      <c r="AE337" s="7" t="n">
        <v>-0.514</v>
      </c>
      <c r="AF337" s="7" t="n">
        <v>-0.315</v>
      </c>
      <c r="AG337" s="7" t="n">
        <v>-0.093</v>
      </c>
      <c r="AH337" s="7" t="n">
        <v>0.156</v>
      </c>
      <c r="AI337" s="7" t="n">
        <v>-0.253</v>
      </c>
      <c r="AJ337" s="7" t="n">
        <v>-0.043</v>
      </c>
      <c r="AK337" s="7" t="n">
        <v>-0.026</v>
      </c>
      <c r="AL337" s="7" t="n">
        <v>-0.253</v>
      </c>
      <c r="AM337" s="7" t="n">
        <v>0</v>
      </c>
      <c r="AN337" s="7" t="n">
        <v>0</v>
      </c>
      <c r="AO337" s="7" t="n">
        <v>-0.23</v>
      </c>
      <c r="AP337" s="7" t="n">
        <v>-0.23</v>
      </c>
      <c r="AQ337" s="7" t="n">
        <v>-0.253</v>
      </c>
    </row>
    <row r="338" customFormat="false" ht="15" hidden="false" customHeight="false" outlineLevel="0" collapsed="false">
      <c r="A338" s="23" t="n">
        <v>46655</v>
      </c>
      <c r="B338" s="7" t="n">
        <v>-0.564</v>
      </c>
      <c r="C338" s="7" t="n">
        <v>-0.483</v>
      </c>
      <c r="D338" s="7" t="n">
        <v>-0.093</v>
      </c>
      <c r="E338" s="7" t="n">
        <v>-0.594</v>
      </c>
      <c r="F338" s="7" t="n">
        <v>-0.526</v>
      </c>
      <c r="G338" s="7" t="n">
        <v>-0.093</v>
      </c>
      <c r="H338" s="7" t="n">
        <v>-0.093</v>
      </c>
      <c r="I338" s="7" t="n">
        <v>-0.311</v>
      </c>
      <c r="J338" s="7" t="n">
        <v>-0.039</v>
      </c>
      <c r="K338" s="7" t="n">
        <v>0.023</v>
      </c>
      <c r="L338" s="7" t="n">
        <v>-0.533</v>
      </c>
      <c r="M338" s="7" t="n">
        <v>-0.315</v>
      </c>
      <c r="N338" s="7" t="n">
        <v>-0.526</v>
      </c>
      <c r="O338" s="7" t="n">
        <v>-0.346</v>
      </c>
      <c r="P338" s="7" t="n">
        <v>-0.346</v>
      </c>
      <c r="Q338" s="7" t="n">
        <v>-0.346</v>
      </c>
      <c r="R338" s="7" t="n">
        <v>-0.093</v>
      </c>
      <c r="S338" s="7" t="n">
        <v>-0.262</v>
      </c>
      <c r="T338" s="7" t="n">
        <v>-0.093</v>
      </c>
      <c r="U338" s="7" t="n">
        <v>-0.656</v>
      </c>
      <c r="V338" s="7" t="n">
        <v>-0.289</v>
      </c>
      <c r="W338" s="7" t="n">
        <v>-0.346</v>
      </c>
      <c r="X338" s="7" t="n">
        <v>-0.093</v>
      </c>
      <c r="Y338" s="7" t="n">
        <v>-0.145</v>
      </c>
      <c r="Z338" s="7" t="n">
        <v>-0.206</v>
      </c>
      <c r="AA338" s="7" t="n">
        <v>-0.093</v>
      </c>
      <c r="AB338" s="7" t="n">
        <v>-0.09</v>
      </c>
      <c r="AC338" s="7" t="n">
        <v>-0.346</v>
      </c>
      <c r="AD338" s="7" t="n">
        <v>-0.479</v>
      </c>
      <c r="AE338" s="7" t="n">
        <v>-0.526</v>
      </c>
      <c r="AF338" s="7" t="n">
        <v>-0.334</v>
      </c>
      <c r="AG338" s="7" t="n">
        <v>-0.093</v>
      </c>
      <c r="AH338" s="7" t="n">
        <v>0.156</v>
      </c>
      <c r="AI338" s="7" t="n">
        <v>-0.261</v>
      </c>
      <c r="AJ338" s="7" t="n">
        <v>-0.051</v>
      </c>
      <c r="AK338" s="7" t="n">
        <v>-0.03</v>
      </c>
      <c r="AL338" s="7" t="n">
        <v>-0.261</v>
      </c>
      <c r="AM338" s="7" t="n">
        <v>0</v>
      </c>
      <c r="AN338" s="7" t="n">
        <v>0</v>
      </c>
      <c r="AO338" s="7" t="n">
        <v>-0.229</v>
      </c>
      <c r="AP338" s="7" t="n">
        <v>-0.229</v>
      </c>
      <c r="AQ338" s="7" t="n">
        <v>-0.261</v>
      </c>
    </row>
    <row r="339" customFormat="false" ht="15" hidden="false" customHeight="false" outlineLevel="0" collapsed="false">
      <c r="A339" s="23" t="n">
        <v>46656</v>
      </c>
      <c r="B339" s="7" t="n">
        <v>-0.564</v>
      </c>
      <c r="C339" s="7" t="n">
        <v>-0.483</v>
      </c>
      <c r="D339" s="7" t="n">
        <v>-0.093</v>
      </c>
      <c r="E339" s="7" t="n">
        <v>-0.594</v>
      </c>
      <c r="F339" s="7" t="n">
        <v>-0.526</v>
      </c>
      <c r="G339" s="7" t="n">
        <v>-0.093</v>
      </c>
      <c r="H339" s="7" t="n">
        <v>-0.093</v>
      </c>
      <c r="I339" s="7" t="n">
        <v>-0.311</v>
      </c>
      <c r="J339" s="7" t="n">
        <v>-0.039</v>
      </c>
      <c r="K339" s="7" t="n">
        <v>0.023</v>
      </c>
      <c r="L339" s="7" t="n">
        <v>-0.533</v>
      </c>
      <c r="M339" s="7" t="n">
        <v>-0.315</v>
      </c>
      <c r="N339" s="7" t="n">
        <v>-0.526</v>
      </c>
      <c r="O339" s="7" t="n">
        <v>-0.346</v>
      </c>
      <c r="P339" s="7" t="n">
        <v>-0.346</v>
      </c>
      <c r="Q339" s="7" t="n">
        <v>-0.346</v>
      </c>
      <c r="R339" s="7" t="n">
        <v>-0.093</v>
      </c>
      <c r="S339" s="7" t="n">
        <v>-0.262</v>
      </c>
      <c r="T339" s="7" t="n">
        <v>-0.093</v>
      </c>
      <c r="U339" s="7" t="n">
        <v>-0.656</v>
      </c>
      <c r="V339" s="7" t="n">
        <v>-0.289</v>
      </c>
      <c r="W339" s="7" t="n">
        <v>-0.346</v>
      </c>
      <c r="X339" s="7" t="n">
        <v>-0.093</v>
      </c>
      <c r="Y339" s="7" t="n">
        <v>-0.145</v>
      </c>
      <c r="Z339" s="7" t="n">
        <v>-0.206</v>
      </c>
      <c r="AA339" s="7" t="n">
        <v>-0.093</v>
      </c>
      <c r="AB339" s="7" t="n">
        <v>-0.09</v>
      </c>
      <c r="AC339" s="7" t="n">
        <v>-0.346</v>
      </c>
      <c r="AD339" s="7" t="n">
        <v>-0.479</v>
      </c>
      <c r="AE339" s="7" t="n">
        <v>-0.526</v>
      </c>
      <c r="AF339" s="7" t="n">
        <v>-0.334</v>
      </c>
      <c r="AG339" s="7" t="n">
        <v>-0.093</v>
      </c>
      <c r="AH339" s="7" t="n">
        <v>0.156</v>
      </c>
      <c r="AI339" s="7" t="n">
        <v>-0.261</v>
      </c>
      <c r="AJ339" s="7" t="n">
        <v>-0.051</v>
      </c>
      <c r="AK339" s="7" t="n">
        <v>-0.03</v>
      </c>
      <c r="AL339" s="7" t="n">
        <v>-0.261</v>
      </c>
      <c r="AM339" s="7" t="n">
        <v>0</v>
      </c>
      <c r="AN339" s="7" t="n">
        <v>0</v>
      </c>
      <c r="AO339" s="7" t="n">
        <v>-0.229</v>
      </c>
      <c r="AP339" s="7" t="n">
        <v>-0.229</v>
      </c>
      <c r="AQ339" s="7" t="n">
        <v>-0.261</v>
      </c>
    </row>
    <row r="340" customFormat="false" ht="15" hidden="false" customHeight="false" outlineLevel="0" collapsed="false">
      <c r="A340" s="23" t="n">
        <v>46657</v>
      </c>
      <c r="B340" s="7" t="n">
        <v>-0.564</v>
      </c>
      <c r="C340" s="7" t="n">
        <v>-0.483</v>
      </c>
      <c r="D340" s="7" t="n">
        <v>-0.093</v>
      </c>
      <c r="E340" s="7" t="n">
        <v>-0.594</v>
      </c>
      <c r="F340" s="7" t="n">
        <v>-0.526</v>
      </c>
      <c r="G340" s="7" t="n">
        <v>-0.093</v>
      </c>
      <c r="H340" s="7" t="n">
        <v>-0.093</v>
      </c>
      <c r="I340" s="7" t="n">
        <v>-0.311</v>
      </c>
      <c r="J340" s="7" t="n">
        <v>-0.039</v>
      </c>
      <c r="K340" s="7" t="n">
        <v>0.023</v>
      </c>
      <c r="L340" s="7" t="n">
        <v>-0.533</v>
      </c>
      <c r="M340" s="7" t="n">
        <v>-0.315</v>
      </c>
      <c r="N340" s="7" t="n">
        <v>-0.526</v>
      </c>
      <c r="O340" s="7" t="n">
        <v>-0.346</v>
      </c>
      <c r="P340" s="7" t="n">
        <v>-0.346</v>
      </c>
      <c r="Q340" s="7" t="n">
        <v>-0.346</v>
      </c>
      <c r="R340" s="7" t="n">
        <v>-0.093</v>
      </c>
      <c r="S340" s="7" t="n">
        <v>-0.262</v>
      </c>
      <c r="T340" s="7" t="n">
        <v>-0.093</v>
      </c>
      <c r="U340" s="7" t="n">
        <v>-0.656</v>
      </c>
      <c r="V340" s="7" t="n">
        <v>-0.289</v>
      </c>
      <c r="W340" s="7" t="n">
        <v>-0.346</v>
      </c>
      <c r="X340" s="7" t="n">
        <v>-0.093</v>
      </c>
      <c r="Y340" s="7" t="n">
        <v>-0.145</v>
      </c>
      <c r="Z340" s="7" t="n">
        <v>-0.206</v>
      </c>
      <c r="AA340" s="7" t="n">
        <v>-0.093</v>
      </c>
      <c r="AB340" s="7" t="n">
        <v>-0.09</v>
      </c>
      <c r="AC340" s="7" t="n">
        <v>-0.346</v>
      </c>
      <c r="AD340" s="7" t="n">
        <v>-0.479</v>
      </c>
      <c r="AE340" s="7" t="n">
        <v>-0.526</v>
      </c>
      <c r="AF340" s="7" t="n">
        <v>-0.334</v>
      </c>
      <c r="AG340" s="7" t="n">
        <v>-0.093</v>
      </c>
      <c r="AH340" s="7" t="n">
        <v>0.156</v>
      </c>
      <c r="AI340" s="7" t="n">
        <v>-0.261</v>
      </c>
      <c r="AJ340" s="7" t="n">
        <v>-0.051</v>
      </c>
      <c r="AK340" s="7" t="n">
        <v>-0.03</v>
      </c>
      <c r="AL340" s="7" t="n">
        <v>-0.261</v>
      </c>
      <c r="AM340" s="7" t="n">
        <v>0</v>
      </c>
      <c r="AN340" s="7" t="n">
        <v>0</v>
      </c>
      <c r="AO340" s="7" t="n">
        <v>-0.229</v>
      </c>
      <c r="AP340" s="7" t="n">
        <v>-0.229</v>
      </c>
      <c r="AQ340" s="7" t="n">
        <v>-0.261</v>
      </c>
    </row>
    <row r="341" customFormat="false" ht="15" hidden="false" customHeight="false" outlineLevel="0" collapsed="false">
      <c r="A341" s="23" t="n">
        <v>46658</v>
      </c>
      <c r="B341" s="7" t="n">
        <v>-0.451</v>
      </c>
      <c r="C341" s="7" t="n">
        <v>-0.301</v>
      </c>
      <c r="D341" s="7" t="n">
        <v>-0.093</v>
      </c>
      <c r="E341" s="7" t="n">
        <v>-0.533</v>
      </c>
      <c r="F341" s="7" t="n">
        <v>-0.383</v>
      </c>
      <c r="G341" s="7" t="n">
        <v>-0.093</v>
      </c>
      <c r="H341" s="7" t="n">
        <v>-0.093</v>
      </c>
      <c r="I341" s="7" t="n">
        <v>-0.331</v>
      </c>
      <c r="J341" s="7" t="n">
        <v>0.017</v>
      </c>
      <c r="K341" s="7" t="n">
        <v>0.111</v>
      </c>
      <c r="L341" s="7" t="n">
        <v>-0.48</v>
      </c>
      <c r="M341" s="7" t="n">
        <v>-0.282</v>
      </c>
      <c r="N341" s="7" t="n">
        <v>-0.383</v>
      </c>
      <c r="O341" s="7" t="n">
        <v>-0.32</v>
      </c>
      <c r="P341" s="7" t="n">
        <v>-0.32</v>
      </c>
      <c r="Q341" s="7" t="n">
        <v>-0.32</v>
      </c>
      <c r="R341" s="7" t="n">
        <v>-0.093</v>
      </c>
      <c r="S341" s="7" t="n">
        <v>-0.179</v>
      </c>
      <c r="T341" s="7" t="n">
        <v>-0.093</v>
      </c>
      <c r="U341" s="7" t="n">
        <v>-0.54</v>
      </c>
      <c r="V341" s="7" t="n">
        <v>-0.317</v>
      </c>
      <c r="W341" s="7" t="n">
        <v>-0.32</v>
      </c>
      <c r="X341" s="7" t="n">
        <v>-0.093</v>
      </c>
      <c r="Y341" s="7" t="n">
        <v>-0.093</v>
      </c>
      <c r="Z341" s="7" t="n">
        <v>-0.081</v>
      </c>
      <c r="AA341" s="7" t="n">
        <v>-0.093</v>
      </c>
      <c r="AB341" s="7" t="n">
        <v>-0.053</v>
      </c>
      <c r="AC341" s="7" t="n">
        <v>-0.32</v>
      </c>
      <c r="AD341" s="7" t="n">
        <v>-0.445</v>
      </c>
      <c r="AE341" s="7" t="n">
        <v>-0.383</v>
      </c>
      <c r="AF341" s="7" t="n">
        <v>-0.179</v>
      </c>
      <c r="AG341" s="7" t="n">
        <v>-0.093</v>
      </c>
      <c r="AH341" s="7" t="n">
        <v>0.156</v>
      </c>
      <c r="AI341" s="7" t="n">
        <v>-0.234</v>
      </c>
      <c r="AJ341" s="7" t="n">
        <v>-0.031</v>
      </c>
      <c r="AK341" s="7" t="n">
        <v>-0.019</v>
      </c>
      <c r="AL341" s="7" t="n">
        <v>-0.234</v>
      </c>
      <c r="AM341" s="7" t="n">
        <v>0</v>
      </c>
      <c r="AN341" s="7" t="n">
        <v>0</v>
      </c>
      <c r="AO341" s="7" t="n">
        <v>-0.194</v>
      </c>
      <c r="AP341" s="7" t="n">
        <v>-0.194</v>
      </c>
      <c r="AQ341" s="7" t="n">
        <v>-0.234</v>
      </c>
    </row>
    <row r="342" customFormat="false" ht="15" hidden="false" customHeight="false" outlineLevel="0" collapsed="false">
      <c r="A342" s="23" t="n">
        <v>46659</v>
      </c>
      <c r="B342" s="7" t="n">
        <v>-0.335</v>
      </c>
      <c r="C342" s="7" t="n">
        <v>-0.117</v>
      </c>
      <c r="D342" s="7" t="n">
        <v>-0.093</v>
      </c>
      <c r="E342" s="7" t="n">
        <v>-0.465</v>
      </c>
      <c r="F342" s="7" t="n">
        <v>-0.237</v>
      </c>
      <c r="G342" s="7" t="n">
        <v>-0.093</v>
      </c>
      <c r="H342" s="7" t="n">
        <v>-0.093</v>
      </c>
      <c r="I342" s="7" t="n">
        <v>-0.337</v>
      </c>
      <c r="J342" s="7" t="n">
        <v>0.059</v>
      </c>
      <c r="K342" s="7" t="n">
        <v>0.203</v>
      </c>
      <c r="L342" s="7" t="n">
        <v>-0.425</v>
      </c>
      <c r="M342" s="7" t="n">
        <v>-0.249</v>
      </c>
      <c r="N342" s="7" t="n">
        <v>-0.237</v>
      </c>
      <c r="O342" s="7" t="n">
        <v>-0.293</v>
      </c>
      <c r="P342" s="7" t="n">
        <v>-0.293</v>
      </c>
      <c r="Q342" s="7" t="n">
        <v>-0.293</v>
      </c>
      <c r="R342" s="7" t="n">
        <v>-0.093</v>
      </c>
      <c r="S342" s="7" t="n">
        <v>-0.095</v>
      </c>
      <c r="T342" s="7" t="n">
        <v>-0.093</v>
      </c>
      <c r="U342" s="7" t="n">
        <v>-0.419</v>
      </c>
      <c r="V342" s="7" t="n">
        <v>-0.333</v>
      </c>
      <c r="W342" s="7" t="n">
        <v>-0.293</v>
      </c>
      <c r="X342" s="7" t="n">
        <v>-0.093</v>
      </c>
      <c r="Y342" s="7" t="n">
        <v>-0.093</v>
      </c>
      <c r="Z342" s="7" t="n">
        <v>0.048</v>
      </c>
      <c r="AA342" s="7" t="n">
        <v>-0.093</v>
      </c>
      <c r="AB342" s="7" t="n">
        <v>-0.082</v>
      </c>
      <c r="AC342" s="7" t="n">
        <v>-0.293</v>
      </c>
      <c r="AD342" s="7" t="n">
        <v>-0.403</v>
      </c>
      <c r="AE342" s="7" t="n">
        <v>-0.237</v>
      </c>
      <c r="AF342" s="7" t="n">
        <v>-0.021</v>
      </c>
      <c r="AG342" s="7" t="n">
        <v>-0.093</v>
      </c>
      <c r="AH342" s="7" t="n">
        <v>0.156</v>
      </c>
      <c r="AI342" s="7" t="n">
        <v>-0.205</v>
      </c>
      <c r="AJ342" s="7" t="n">
        <v>-0.011</v>
      </c>
      <c r="AK342" s="7" t="n">
        <v>-0.007</v>
      </c>
      <c r="AL342" s="7" t="n">
        <v>-0.205</v>
      </c>
      <c r="AM342" s="7" t="n">
        <v>0</v>
      </c>
      <c r="AN342" s="7" t="n">
        <v>0</v>
      </c>
      <c r="AO342" s="7" t="n">
        <v>-0.16</v>
      </c>
      <c r="AP342" s="7" t="n">
        <v>-0.16</v>
      </c>
      <c r="AQ342" s="7" t="n">
        <v>-0.205</v>
      </c>
    </row>
    <row r="343" customFormat="false" ht="15" hidden="false" customHeight="false" outlineLevel="0" collapsed="false">
      <c r="A343" s="23" t="n">
        <v>46660</v>
      </c>
      <c r="B343" s="7" t="n">
        <v>-0.206</v>
      </c>
      <c r="C343" s="7" t="n">
        <v>0.07</v>
      </c>
      <c r="D343" s="7" t="n">
        <v>-0.093</v>
      </c>
      <c r="E343" s="7" t="n">
        <v>-0.392</v>
      </c>
      <c r="F343" s="7" t="n">
        <v>-0.089</v>
      </c>
      <c r="G343" s="7" t="n">
        <v>-0.093</v>
      </c>
      <c r="H343" s="7" t="n">
        <v>-0.093</v>
      </c>
      <c r="I343" s="7" t="n">
        <v>-0.301</v>
      </c>
      <c r="J343" s="7" t="n">
        <v>0.099</v>
      </c>
      <c r="K343" s="7" t="n">
        <v>0.298</v>
      </c>
      <c r="L343" s="7" t="n">
        <v>-0.37</v>
      </c>
      <c r="M343" s="7" t="n">
        <v>-0.215</v>
      </c>
      <c r="N343" s="7" t="n">
        <v>-0.089</v>
      </c>
      <c r="O343" s="7" t="n">
        <v>-0.264</v>
      </c>
      <c r="P343" s="7" t="n">
        <v>-0.264</v>
      </c>
      <c r="Q343" s="7" t="n">
        <v>-0.264</v>
      </c>
      <c r="R343" s="7" t="n">
        <v>-0.093</v>
      </c>
      <c r="S343" s="7" t="n">
        <v>-0.009</v>
      </c>
      <c r="T343" s="7" t="n">
        <v>-0.093</v>
      </c>
      <c r="U343" s="7" t="n">
        <v>-0.287</v>
      </c>
      <c r="V343" s="7" t="n">
        <v>-0.306</v>
      </c>
      <c r="W343" s="7" t="n">
        <v>-0.264</v>
      </c>
      <c r="X343" s="7" t="n">
        <v>-0.093</v>
      </c>
      <c r="Y343" s="7" t="n">
        <v>-0.093</v>
      </c>
      <c r="Z343" s="7" t="n">
        <v>0.181</v>
      </c>
      <c r="AA343" s="7" t="n">
        <v>-0.093</v>
      </c>
      <c r="AB343" s="7" t="n">
        <v>-0.043</v>
      </c>
      <c r="AC343" s="7" t="n">
        <v>-0.264</v>
      </c>
      <c r="AD343" s="7" t="n">
        <v>-0.342</v>
      </c>
      <c r="AE343" s="7" t="n">
        <v>-0.089</v>
      </c>
      <c r="AF343" s="7" t="n">
        <v>0.14</v>
      </c>
      <c r="AG343" s="7" t="n">
        <v>-0.093</v>
      </c>
      <c r="AH343" s="7" t="n">
        <v>0.156</v>
      </c>
      <c r="AI343" s="7" t="n">
        <v>-0.175</v>
      </c>
      <c r="AJ343" s="7" t="n">
        <v>0.009</v>
      </c>
      <c r="AK343" s="7" t="n">
        <v>0.005</v>
      </c>
      <c r="AL343" s="7" t="n">
        <v>-0.175</v>
      </c>
      <c r="AM343" s="7" t="n">
        <v>0</v>
      </c>
      <c r="AN343" s="7" t="n">
        <v>0</v>
      </c>
      <c r="AO343" s="7" t="n">
        <v>-0.125</v>
      </c>
      <c r="AP343" s="7" t="n">
        <v>-0.125</v>
      </c>
      <c r="AQ343" s="7" t="n">
        <v>-0.175</v>
      </c>
    </row>
    <row r="344" customFormat="false" ht="15" hidden="false" customHeight="false" outlineLevel="0" collapsed="false">
      <c r="A344" s="23" t="n">
        <v>46661</v>
      </c>
      <c r="B344" s="7" t="n">
        <v>-0.07</v>
      </c>
      <c r="C344" s="7" t="n">
        <v>0.258</v>
      </c>
      <c r="D344" s="7" t="n">
        <v>-0.093</v>
      </c>
      <c r="E344" s="7" t="n">
        <v>-0.313</v>
      </c>
      <c r="F344" s="7" t="n">
        <v>0.062</v>
      </c>
      <c r="G344" s="7" t="n">
        <v>-0.093</v>
      </c>
      <c r="H344" s="7" t="n">
        <v>-0.093</v>
      </c>
      <c r="I344" s="7" t="n">
        <v>-0.242</v>
      </c>
      <c r="J344" s="7" t="n">
        <v>0.138</v>
      </c>
      <c r="K344" s="7" t="n">
        <v>0.398</v>
      </c>
      <c r="L344" s="7" t="n">
        <v>-0.312</v>
      </c>
      <c r="M344" s="7" t="n">
        <v>-0.182</v>
      </c>
      <c r="N344" s="7" t="n">
        <v>0.062</v>
      </c>
      <c r="O344" s="7" t="n">
        <v>-0.233</v>
      </c>
      <c r="P344" s="7" t="n">
        <v>-0.233</v>
      </c>
      <c r="Q344" s="7" t="n">
        <v>-0.233</v>
      </c>
      <c r="R344" s="7" t="n">
        <v>-0.093</v>
      </c>
      <c r="S344" s="7" t="n">
        <v>0.08</v>
      </c>
      <c r="T344" s="7" t="n">
        <v>-0.093</v>
      </c>
      <c r="U344" s="7" t="n">
        <v>-0.15</v>
      </c>
      <c r="V344" s="7" t="n">
        <v>-0.257</v>
      </c>
      <c r="W344" s="7" t="n">
        <v>-0.233</v>
      </c>
      <c r="X344" s="7" t="n">
        <v>-0.093</v>
      </c>
      <c r="Y344" s="7" t="n">
        <v>-0.093</v>
      </c>
      <c r="Z344" s="7" t="n">
        <v>0.318</v>
      </c>
      <c r="AA344" s="7" t="n">
        <v>-0.093</v>
      </c>
      <c r="AB344" s="7" t="n">
        <v>0.037</v>
      </c>
      <c r="AC344" s="7" t="n">
        <v>-0.233</v>
      </c>
      <c r="AD344" s="7" t="n">
        <v>-0.273</v>
      </c>
      <c r="AE344" s="7" t="n">
        <v>0.062</v>
      </c>
      <c r="AF344" s="7" t="n">
        <v>0.305</v>
      </c>
      <c r="AG344" s="7" t="n">
        <v>-0.093</v>
      </c>
      <c r="AH344" s="7" t="n">
        <v>0.156</v>
      </c>
      <c r="AI344" s="7" t="n">
        <v>-0.143</v>
      </c>
      <c r="AJ344" s="7" t="n">
        <v>0.029</v>
      </c>
      <c r="AK344" s="7" t="n">
        <v>0.018</v>
      </c>
      <c r="AL344" s="7" t="n">
        <v>-0.143</v>
      </c>
      <c r="AM344" s="7" t="n">
        <v>0</v>
      </c>
      <c r="AN344" s="7" t="n">
        <v>0</v>
      </c>
      <c r="AO344" s="7" t="n">
        <v>-0.09</v>
      </c>
      <c r="AP344" s="7" t="n">
        <v>-0.09</v>
      </c>
      <c r="AQ344" s="7" t="n">
        <v>-0.143</v>
      </c>
    </row>
    <row r="345" customFormat="false" ht="15" hidden="false" customHeight="false" outlineLevel="0" collapsed="false">
      <c r="A345" s="23" t="n">
        <v>46662</v>
      </c>
      <c r="B345" s="7" t="n">
        <v>0.184</v>
      </c>
      <c r="C345" s="7" t="n">
        <v>0.524</v>
      </c>
      <c r="D345" s="7" t="n">
        <v>-0.064</v>
      </c>
      <c r="E345" s="7" t="n">
        <v>-0.192</v>
      </c>
      <c r="F345" s="7" t="n">
        <v>0.323</v>
      </c>
      <c r="G345" s="7" t="n">
        <v>-0.064</v>
      </c>
      <c r="H345" s="7" t="n">
        <v>-0.064</v>
      </c>
      <c r="I345" s="7" t="n">
        <v>-0.114</v>
      </c>
      <c r="J345" s="7" t="n">
        <v>0.176</v>
      </c>
      <c r="K345" s="7" t="n">
        <v>0.534</v>
      </c>
      <c r="L345" s="7" t="n">
        <v>-0.155</v>
      </c>
      <c r="M345" s="7" t="n">
        <v>-0.148</v>
      </c>
      <c r="N345" s="7" t="n">
        <v>0.323</v>
      </c>
      <c r="O345" s="7" t="n">
        <v>-0.102</v>
      </c>
      <c r="P345" s="7" t="n">
        <v>-0.077</v>
      </c>
      <c r="Q345" s="7" t="n">
        <v>-0.102</v>
      </c>
      <c r="R345" s="7" t="n">
        <v>-0.064</v>
      </c>
      <c r="S345" s="7" t="n">
        <v>0.21</v>
      </c>
      <c r="T345" s="7" t="n">
        <v>-0.093</v>
      </c>
      <c r="U345" s="7" t="n">
        <v>0.112</v>
      </c>
      <c r="V345" s="7" t="n">
        <v>-0.141</v>
      </c>
      <c r="W345" s="7" t="n">
        <v>-0.102</v>
      </c>
      <c r="X345" s="7" t="n">
        <v>-0.064</v>
      </c>
      <c r="Y345" s="7" t="n">
        <v>-0.064</v>
      </c>
      <c r="Z345" s="7" t="n">
        <v>0.494</v>
      </c>
      <c r="AA345" s="7" t="n">
        <v>-0.093</v>
      </c>
      <c r="AB345" s="7" t="n">
        <v>0.121</v>
      </c>
      <c r="AC345" s="7" t="n">
        <v>-0.102</v>
      </c>
      <c r="AD345" s="7" t="n">
        <v>-0.146</v>
      </c>
      <c r="AE345" s="7" t="n">
        <v>0.323</v>
      </c>
      <c r="AF345" s="7" t="n">
        <v>0.546</v>
      </c>
      <c r="AG345" s="7" t="n">
        <v>-0.064</v>
      </c>
      <c r="AH345" s="7" t="n">
        <v>0.156</v>
      </c>
      <c r="AI345" s="7" t="n">
        <v>-0.013</v>
      </c>
      <c r="AJ345" s="7" t="n">
        <v>0.084</v>
      </c>
      <c r="AK345" s="7" t="n">
        <v>0.033</v>
      </c>
      <c r="AL345" s="7" t="n">
        <v>0.011</v>
      </c>
      <c r="AM345" s="7" t="n">
        <v>0</v>
      </c>
      <c r="AN345" s="7" t="n">
        <v>0.029</v>
      </c>
      <c r="AO345" s="7" t="n">
        <v>-0.056</v>
      </c>
      <c r="AP345" s="7" t="n">
        <v>-0.056</v>
      </c>
      <c r="AQ345" s="7" t="n">
        <v>-0.013</v>
      </c>
    </row>
    <row r="346" customFormat="false" ht="15" hidden="false" customHeight="false" outlineLevel="0" collapsed="false">
      <c r="A346" s="23" t="n">
        <v>46663</v>
      </c>
      <c r="B346" s="7" t="n">
        <v>0.184</v>
      </c>
      <c r="C346" s="7" t="n">
        <v>0.524</v>
      </c>
      <c r="D346" s="7" t="n">
        <v>-0.064</v>
      </c>
      <c r="E346" s="7" t="n">
        <v>-0.192</v>
      </c>
      <c r="F346" s="7" t="n">
        <v>0.323</v>
      </c>
      <c r="G346" s="7" t="n">
        <v>-0.064</v>
      </c>
      <c r="H346" s="7" t="n">
        <v>-0.064</v>
      </c>
      <c r="I346" s="7" t="n">
        <v>-0.114</v>
      </c>
      <c r="J346" s="7" t="n">
        <v>0.176</v>
      </c>
      <c r="K346" s="7" t="n">
        <v>0.534</v>
      </c>
      <c r="L346" s="7" t="n">
        <v>-0.155</v>
      </c>
      <c r="M346" s="7" t="n">
        <v>-0.148</v>
      </c>
      <c r="N346" s="7" t="n">
        <v>0.323</v>
      </c>
      <c r="O346" s="7" t="n">
        <v>-0.102</v>
      </c>
      <c r="P346" s="7" t="n">
        <v>-0.077</v>
      </c>
      <c r="Q346" s="7" t="n">
        <v>-0.102</v>
      </c>
      <c r="R346" s="7" t="n">
        <v>-0.064</v>
      </c>
      <c r="S346" s="7" t="n">
        <v>0.21</v>
      </c>
      <c r="T346" s="7" t="n">
        <v>-0.093</v>
      </c>
      <c r="U346" s="7" t="n">
        <v>0.112</v>
      </c>
      <c r="V346" s="7" t="n">
        <v>-0.141</v>
      </c>
      <c r="W346" s="7" t="n">
        <v>-0.102</v>
      </c>
      <c r="X346" s="7" t="n">
        <v>-0.064</v>
      </c>
      <c r="Y346" s="7" t="n">
        <v>-0.064</v>
      </c>
      <c r="Z346" s="7" t="n">
        <v>0.494</v>
      </c>
      <c r="AA346" s="7" t="n">
        <v>-0.093</v>
      </c>
      <c r="AB346" s="7" t="n">
        <v>0.121</v>
      </c>
      <c r="AC346" s="7" t="n">
        <v>-0.102</v>
      </c>
      <c r="AD346" s="7" t="n">
        <v>-0.146</v>
      </c>
      <c r="AE346" s="7" t="n">
        <v>0.323</v>
      </c>
      <c r="AF346" s="7" t="n">
        <v>0.546</v>
      </c>
      <c r="AG346" s="7" t="n">
        <v>-0.064</v>
      </c>
      <c r="AH346" s="7" t="n">
        <v>0.156</v>
      </c>
      <c r="AI346" s="7" t="n">
        <v>-0.013</v>
      </c>
      <c r="AJ346" s="7" t="n">
        <v>0.084</v>
      </c>
      <c r="AK346" s="7" t="n">
        <v>0.033</v>
      </c>
      <c r="AL346" s="7" t="n">
        <v>0.011</v>
      </c>
      <c r="AM346" s="7" t="n">
        <v>0</v>
      </c>
      <c r="AN346" s="7" t="n">
        <v>0.029</v>
      </c>
      <c r="AO346" s="7" t="n">
        <v>-0.056</v>
      </c>
      <c r="AP346" s="7" t="n">
        <v>-0.056</v>
      </c>
      <c r="AQ346" s="7" t="n">
        <v>-0.013</v>
      </c>
    </row>
    <row r="347" customFormat="false" ht="15" hidden="false" customHeight="false" outlineLevel="0" collapsed="false">
      <c r="A347" s="23" t="n">
        <v>46664</v>
      </c>
      <c r="B347" s="7" t="n">
        <v>0.184</v>
      </c>
      <c r="C347" s="7" t="n">
        <v>0.524</v>
      </c>
      <c r="D347" s="7" t="n">
        <v>-0.064</v>
      </c>
      <c r="E347" s="7" t="n">
        <v>-0.192</v>
      </c>
      <c r="F347" s="7" t="n">
        <v>0.323</v>
      </c>
      <c r="G347" s="7" t="n">
        <v>-0.064</v>
      </c>
      <c r="H347" s="7" t="n">
        <v>-0.064</v>
      </c>
      <c r="I347" s="7" t="n">
        <v>-0.114</v>
      </c>
      <c r="J347" s="7" t="n">
        <v>0.176</v>
      </c>
      <c r="K347" s="7" t="n">
        <v>0.534</v>
      </c>
      <c r="L347" s="7" t="n">
        <v>-0.155</v>
      </c>
      <c r="M347" s="7" t="n">
        <v>-0.148</v>
      </c>
      <c r="N347" s="7" t="n">
        <v>0.323</v>
      </c>
      <c r="O347" s="7" t="n">
        <v>-0.102</v>
      </c>
      <c r="P347" s="7" t="n">
        <v>-0.077</v>
      </c>
      <c r="Q347" s="7" t="n">
        <v>-0.102</v>
      </c>
      <c r="R347" s="7" t="n">
        <v>-0.064</v>
      </c>
      <c r="S347" s="7" t="n">
        <v>0.21</v>
      </c>
      <c r="T347" s="7" t="n">
        <v>-0.093</v>
      </c>
      <c r="U347" s="7" t="n">
        <v>0.112</v>
      </c>
      <c r="V347" s="7" t="n">
        <v>-0.141</v>
      </c>
      <c r="W347" s="7" t="n">
        <v>-0.102</v>
      </c>
      <c r="X347" s="7" t="n">
        <v>-0.064</v>
      </c>
      <c r="Y347" s="7" t="n">
        <v>-0.064</v>
      </c>
      <c r="Z347" s="7" t="n">
        <v>0.494</v>
      </c>
      <c r="AA347" s="7" t="n">
        <v>-0.093</v>
      </c>
      <c r="AB347" s="7" t="n">
        <v>0.121</v>
      </c>
      <c r="AC347" s="7" t="n">
        <v>-0.102</v>
      </c>
      <c r="AD347" s="7" t="n">
        <v>-0.146</v>
      </c>
      <c r="AE347" s="7" t="n">
        <v>0.323</v>
      </c>
      <c r="AF347" s="7" t="n">
        <v>0.546</v>
      </c>
      <c r="AG347" s="7" t="n">
        <v>-0.064</v>
      </c>
      <c r="AH347" s="7" t="n">
        <v>0.156</v>
      </c>
      <c r="AI347" s="7" t="n">
        <v>-0.013</v>
      </c>
      <c r="AJ347" s="7" t="n">
        <v>0.084</v>
      </c>
      <c r="AK347" s="7" t="n">
        <v>0.033</v>
      </c>
      <c r="AL347" s="7" t="n">
        <v>0.011</v>
      </c>
      <c r="AM347" s="7" t="n">
        <v>0</v>
      </c>
      <c r="AN347" s="7" t="n">
        <v>0.029</v>
      </c>
      <c r="AO347" s="7" t="n">
        <v>-0.056</v>
      </c>
      <c r="AP347" s="7" t="n">
        <v>-0.056</v>
      </c>
      <c r="AQ347" s="7" t="n">
        <v>-0.013</v>
      </c>
    </row>
    <row r="348" customFormat="false" ht="15" hidden="false" customHeight="false" outlineLevel="0" collapsed="false">
      <c r="A348" s="23" t="n">
        <v>46665</v>
      </c>
      <c r="B348" s="7" t="n">
        <v>0.319</v>
      </c>
      <c r="C348" s="7" t="n">
        <v>0.602</v>
      </c>
      <c r="D348" s="7" t="n">
        <v>-0.042</v>
      </c>
      <c r="E348" s="7" t="n">
        <v>-0.129</v>
      </c>
      <c r="F348" s="7" t="n">
        <v>0.437</v>
      </c>
      <c r="G348" s="7" t="n">
        <v>-0.042</v>
      </c>
      <c r="H348" s="7" t="n">
        <v>0.032</v>
      </c>
      <c r="I348" s="7" t="n">
        <v>-0.018</v>
      </c>
      <c r="J348" s="7" t="n">
        <v>0.12</v>
      </c>
      <c r="K348" s="7" t="n">
        <v>0.575</v>
      </c>
      <c r="L348" s="7" t="n">
        <v>-0.051</v>
      </c>
      <c r="M348" s="7" t="n">
        <v>-0.147</v>
      </c>
      <c r="N348" s="7" t="n">
        <v>0.437</v>
      </c>
      <c r="O348" s="7" t="n">
        <v>-0.001</v>
      </c>
      <c r="P348" s="7" t="n">
        <v>0.064</v>
      </c>
      <c r="Q348" s="7" t="n">
        <v>-0.001</v>
      </c>
      <c r="R348" s="7" t="n">
        <v>0.014</v>
      </c>
      <c r="S348" s="7" t="n">
        <v>0.26</v>
      </c>
      <c r="T348" s="7" t="n">
        <v>-0.093</v>
      </c>
      <c r="U348" s="7" t="n">
        <v>0.247</v>
      </c>
      <c r="V348" s="7" t="n">
        <v>-0.047</v>
      </c>
      <c r="W348" s="7" t="n">
        <v>-0.001</v>
      </c>
      <c r="X348" s="7" t="n">
        <v>-0.017</v>
      </c>
      <c r="Y348" s="7" t="n">
        <v>-0.042</v>
      </c>
      <c r="Z348" s="7" t="n">
        <v>0.538</v>
      </c>
      <c r="AA348" s="7" t="n">
        <v>-0.036</v>
      </c>
      <c r="AB348" s="7" t="n">
        <v>0.084</v>
      </c>
      <c r="AC348" s="7" t="n">
        <v>-0.001</v>
      </c>
      <c r="AD348" s="7" t="n">
        <v>-0.072</v>
      </c>
      <c r="AE348" s="7" t="n">
        <v>0.437</v>
      </c>
      <c r="AF348" s="7" t="n">
        <v>0.623</v>
      </c>
      <c r="AG348" s="7" t="n">
        <v>-0.042</v>
      </c>
      <c r="AH348" s="7" t="n">
        <v>0.156</v>
      </c>
      <c r="AI348" s="7" t="n">
        <v>0.087</v>
      </c>
      <c r="AJ348" s="7" t="n">
        <v>0.111</v>
      </c>
      <c r="AK348" s="7" t="n">
        <v>0.036</v>
      </c>
      <c r="AL348" s="7" t="n">
        <v>0.129</v>
      </c>
      <c r="AM348" s="7" t="n">
        <v>0</v>
      </c>
      <c r="AN348" s="7" t="n">
        <v>0.051</v>
      </c>
      <c r="AO348" s="7" t="n">
        <v>-0.054</v>
      </c>
      <c r="AP348" s="7" t="n">
        <v>-0.054</v>
      </c>
      <c r="AQ348" s="7" t="n">
        <v>0.087</v>
      </c>
    </row>
    <row r="349" customFormat="false" ht="15" hidden="false" customHeight="false" outlineLevel="0" collapsed="false">
      <c r="A349" s="23" t="n">
        <v>46666</v>
      </c>
      <c r="B349" s="7" t="n">
        <v>0.452</v>
      </c>
      <c r="C349" s="7" t="n">
        <v>0.68</v>
      </c>
      <c r="D349" s="7" t="n">
        <v>-0.019</v>
      </c>
      <c r="E349" s="7" t="n">
        <v>-0.068</v>
      </c>
      <c r="F349" s="7" t="n">
        <v>0.549</v>
      </c>
      <c r="G349" s="7" t="n">
        <v>-0.019</v>
      </c>
      <c r="H349" s="7" t="n">
        <v>0.128</v>
      </c>
      <c r="I349" s="7" t="n">
        <v>0.078</v>
      </c>
      <c r="J349" s="7" t="n">
        <v>0.065</v>
      </c>
      <c r="K349" s="7" t="n">
        <v>0.615</v>
      </c>
      <c r="L349" s="7" t="n">
        <v>0.052</v>
      </c>
      <c r="M349" s="7" t="n">
        <v>-0.146</v>
      </c>
      <c r="N349" s="7" t="n">
        <v>0.549</v>
      </c>
      <c r="O349" s="7" t="n">
        <v>0.101</v>
      </c>
      <c r="P349" s="7" t="n">
        <v>0.204</v>
      </c>
      <c r="Q349" s="7" t="n">
        <v>0.101</v>
      </c>
      <c r="R349" s="7" t="n">
        <v>0.094</v>
      </c>
      <c r="S349" s="7" t="n">
        <v>0.309</v>
      </c>
      <c r="T349" s="7" t="n">
        <v>-0.093</v>
      </c>
      <c r="U349" s="7" t="n">
        <v>0.38</v>
      </c>
      <c r="V349" s="7" t="n">
        <v>0.046</v>
      </c>
      <c r="W349" s="7" t="n">
        <v>0.101</v>
      </c>
      <c r="X349" s="7" t="n">
        <v>0.029</v>
      </c>
      <c r="Y349" s="7" t="n">
        <v>-0.019</v>
      </c>
      <c r="Z349" s="7" t="n">
        <v>0.581</v>
      </c>
      <c r="AA349" s="7" t="n">
        <v>0.022</v>
      </c>
      <c r="AB349" s="7" t="n">
        <v>0.066</v>
      </c>
      <c r="AC349" s="7" t="n">
        <v>0.101</v>
      </c>
      <c r="AD349" s="7" t="n">
        <v>0</v>
      </c>
      <c r="AE349" s="7" t="n">
        <v>0.549</v>
      </c>
      <c r="AF349" s="7" t="n">
        <v>0.699</v>
      </c>
      <c r="AG349" s="7" t="n">
        <v>-0.019</v>
      </c>
      <c r="AH349" s="7" t="n">
        <v>0.156</v>
      </c>
      <c r="AI349" s="7" t="n">
        <v>0.187</v>
      </c>
      <c r="AJ349" s="7" t="n">
        <v>0.138</v>
      </c>
      <c r="AK349" s="7" t="n">
        <v>0.039</v>
      </c>
      <c r="AL349" s="7" t="n">
        <v>0.247</v>
      </c>
      <c r="AM349" s="7" t="n">
        <v>0</v>
      </c>
      <c r="AN349" s="7" t="n">
        <v>0.074</v>
      </c>
      <c r="AO349" s="7" t="n">
        <v>-0.053</v>
      </c>
      <c r="AP349" s="7" t="n">
        <v>-0.053</v>
      </c>
      <c r="AQ349" s="7" t="n">
        <v>0.187</v>
      </c>
    </row>
    <row r="350" customFormat="false" ht="15" hidden="false" customHeight="false" outlineLevel="0" collapsed="false">
      <c r="A350" s="23" t="n">
        <v>46667</v>
      </c>
      <c r="B350" s="7" t="n">
        <v>0.585</v>
      </c>
      <c r="C350" s="7" t="n">
        <v>0.757</v>
      </c>
      <c r="D350" s="7" t="n">
        <v>0.003</v>
      </c>
      <c r="E350" s="7" t="n">
        <v>0.011</v>
      </c>
      <c r="F350" s="7" t="n">
        <v>0.659</v>
      </c>
      <c r="G350" s="7" t="n">
        <v>0.003</v>
      </c>
      <c r="H350" s="7" t="n">
        <v>0.226</v>
      </c>
      <c r="I350" s="7" t="n">
        <v>0.181</v>
      </c>
      <c r="J350" s="7" t="n">
        <v>0.011</v>
      </c>
      <c r="K350" s="7" t="n">
        <v>0.653</v>
      </c>
      <c r="L350" s="7" t="n">
        <v>0.154</v>
      </c>
      <c r="M350" s="7" t="n">
        <v>-0.144</v>
      </c>
      <c r="N350" s="7" t="n">
        <v>0.659</v>
      </c>
      <c r="O350" s="7" t="n">
        <v>0.202</v>
      </c>
      <c r="P350" s="7" t="n">
        <v>0.344</v>
      </c>
      <c r="Q350" s="7" t="n">
        <v>0.202</v>
      </c>
      <c r="R350" s="7" t="n">
        <v>0.174</v>
      </c>
      <c r="S350" s="7" t="n">
        <v>0.354</v>
      </c>
      <c r="T350" s="7" t="n">
        <v>-0.093</v>
      </c>
      <c r="U350" s="7" t="n">
        <v>0.51</v>
      </c>
      <c r="V350" s="7" t="n">
        <v>0.145</v>
      </c>
      <c r="W350" s="7" t="n">
        <v>0.202</v>
      </c>
      <c r="X350" s="7" t="n">
        <v>0.075</v>
      </c>
      <c r="Y350" s="7" t="n">
        <v>0.003</v>
      </c>
      <c r="Z350" s="7" t="n">
        <v>0.622</v>
      </c>
      <c r="AA350" s="7" t="n">
        <v>0.081</v>
      </c>
      <c r="AB350" s="7" t="n">
        <v>0.032</v>
      </c>
      <c r="AC350" s="7" t="n">
        <v>0.202</v>
      </c>
      <c r="AD350" s="7" t="n">
        <v>0.085</v>
      </c>
      <c r="AE350" s="7" t="n">
        <v>0.659</v>
      </c>
      <c r="AF350" s="7" t="n">
        <v>0.774</v>
      </c>
      <c r="AG350" s="7" t="n">
        <v>0.003</v>
      </c>
      <c r="AH350" s="7" t="n">
        <v>0.156</v>
      </c>
      <c r="AI350" s="7" t="n">
        <v>0.286</v>
      </c>
      <c r="AJ350" s="7" t="n">
        <v>0.17</v>
      </c>
      <c r="AK350" s="7" t="n">
        <v>0.045</v>
      </c>
      <c r="AL350" s="7" t="n">
        <v>0.364</v>
      </c>
      <c r="AM350" s="7" t="n">
        <v>0</v>
      </c>
      <c r="AN350" s="7" t="n">
        <v>0.096</v>
      </c>
      <c r="AO350" s="7" t="n">
        <v>-0.051</v>
      </c>
      <c r="AP350" s="7" t="n">
        <v>-0.051</v>
      </c>
      <c r="AQ350" s="7" t="n">
        <v>0.286</v>
      </c>
    </row>
    <row r="351" customFormat="false" ht="15" hidden="false" customHeight="false" outlineLevel="0" collapsed="false">
      <c r="A351" s="23" t="n">
        <v>46668</v>
      </c>
      <c r="B351" s="7" t="n">
        <v>0.711</v>
      </c>
      <c r="C351" s="7" t="n">
        <v>0.833</v>
      </c>
      <c r="D351" s="7" t="n">
        <v>0.025</v>
      </c>
      <c r="E351" s="7" t="n">
        <v>0.084</v>
      </c>
      <c r="F351" s="7" t="n">
        <v>0.765</v>
      </c>
      <c r="G351" s="7" t="n">
        <v>0.025</v>
      </c>
      <c r="H351" s="7" t="n">
        <v>0.324</v>
      </c>
      <c r="I351" s="7" t="n">
        <v>0.264</v>
      </c>
      <c r="J351" s="7" t="n">
        <v>-0.042</v>
      </c>
      <c r="K351" s="7" t="n">
        <v>0.688</v>
      </c>
      <c r="L351" s="7" t="n">
        <v>0.256</v>
      </c>
      <c r="M351" s="7" t="n">
        <v>-0.143</v>
      </c>
      <c r="N351" s="7" t="n">
        <v>0.765</v>
      </c>
      <c r="O351" s="7" t="n">
        <v>0.302</v>
      </c>
      <c r="P351" s="7" t="n">
        <v>0.482</v>
      </c>
      <c r="Q351" s="7" t="n">
        <v>0.302</v>
      </c>
      <c r="R351" s="7" t="n">
        <v>0.255</v>
      </c>
      <c r="S351" s="7" t="n">
        <v>0.397</v>
      </c>
      <c r="T351" s="7" t="n">
        <v>-0.093</v>
      </c>
      <c r="U351" s="7" t="n">
        <v>0.637</v>
      </c>
      <c r="V351" s="7" t="n">
        <v>0.225</v>
      </c>
      <c r="W351" s="7" t="n">
        <v>0.302</v>
      </c>
      <c r="X351" s="7" t="n">
        <v>0.12</v>
      </c>
      <c r="Y351" s="7" t="n">
        <v>0.025</v>
      </c>
      <c r="Z351" s="7" t="n">
        <v>0.661</v>
      </c>
      <c r="AA351" s="7" t="n">
        <v>0.141</v>
      </c>
      <c r="AB351" s="7" t="n">
        <v>-0.032</v>
      </c>
      <c r="AC351" s="7" t="n">
        <v>0.302</v>
      </c>
      <c r="AD351" s="7" t="n">
        <v>0.165</v>
      </c>
      <c r="AE351" s="7" t="n">
        <v>0.765</v>
      </c>
      <c r="AF351" s="7" t="n">
        <v>0.848</v>
      </c>
      <c r="AG351" s="7" t="n">
        <v>0.025</v>
      </c>
      <c r="AH351" s="7" t="n">
        <v>0.156</v>
      </c>
      <c r="AI351" s="7" t="n">
        <v>0.384</v>
      </c>
      <c r="AJ351" s="7" t="n">
        <v>0.2</v>
      </c>
      <c r="AK351" s="7" t="n">
        <v>0.05</v>
      </c>
      <c r="AL351" s="7" t="n">
        <v>0.481</v>
      </c>
      <c r="AM351" s="7" t="n">
        <v>0</v>
      </c>
      <c r="AN351" s="7" t="n">
        <v>0.119</v>
      </c>
      <c r="AO351" s="7" t="n">
        <v>-0.05</v>
      </c>
      <c r="AP351" s="7" t="n">
        <v>-0.05</v>
      </c>
      <c r="AQ351" s="7" t="n">
        <v>0.384</v>
      </c>
    </row>
    <row r="352" customFormat="false" ht="15" hidden="false" customHeight="false" outlineLevel="0" collapsed="false">
      <c r="A352" s="23" t="n">
        <v>46669</v>
      </c>
      <c r="B352" s="7" t="n">
        <v>0.723</v>
      </c>
      <c r="C352" s="7" t="n">
        <v>0.834</v>
      </c>
      <c r="D352" s="7" t="n">
        <v>0.019</v>
      </c>
      <c r="E352" s="7" t="n">
        <v>0.115</v>
      </c>
      <c r="F352" s="7" t="n">
        <v>0.763</v>
      </c>
      <c r="G352" s="7" t="n">
        <v>0.019</v>
      </c>
      <c r="H352" s="7" t="n">
        <v>0.406</v>
      </c>
      <c r="I352" s="7" t="n">
        <v>0.283</v>
      </c>
      <c r="J352" s="7" t="n">
        <v>-0.093</v>
      </c>
      <c r="K352" s="7" t="n">
        <v>0.688</v>
      </c>
      <c r="L352" s="7" t="n">
        <v>0.257</v>
      </c>
      <c r="M352" s="7" t="n">
        <v>-0.141</v>
      </c>
      <c r="N352" s="7" t="n">
        <v>0.763</v>
      </c>
      <c r="O352" s="7" t="n">
        <v>0.302</v>
      </c>
      <c r="P352" s="7" t="n">
        <v>0.494</v>
      </c>
      <c r="Q352" s="7" t="n">
        <v>0.302</v>
      </c>
      <c r="R352" s="7" t="n">
        <v>0.316</v>
      </c>
      <c r="S352" s="7" t="n">
        <v>0.399</v>
      </c>
      <c r="T352" s="7" t="n">
        <v>-0.093</v>
      </c>
      <c r="U352" s="7" t="n">
        <v>0.646</v>
      </c>
      <c r="V352" s="7" t="n">
        <v>0.243</v>
      </c>
      <c r="W352" s="7" t="n">
        <v>0.302</v>
      </c>
      <c r="X352" s="7" t="n">
        <v>0.135</v>
      </c>
      <c r="Y352" s="7" t="n">
        <v>0.019</v>
      </c>
      <c r="Z352" s="7" t="n">
        <v>0.661</v>
      </c>
      <c r="AA352" s="7" t="n">
        <v>0.212</v>
      </c>
      <c r="AB352" s="7" t="n">
        <v>-0.093</v>
      </c>
      <c r="AC352" s="7" t="n">
        <v>0.302</v>
      </c>
      <c r="AD352" s="7" t="n">
        <v>0.202</v>
      </c>
      <c r="AE352" s="7" t="n">
        <v>0.763</v>
      </c>
      <c r="AF352" s="7" t="n">
        <v>0.848</v>
      </c>
      <c r="AG352" s="7" t="n">
        <v>0.019</v>
      </c>
      <c r="AH352" s="7" t="n">
        <v>0.156</v>
      </c>
      <c r="AI352" s="7" t="n">
        <v>0.384</v>
      </c>
      <c r="AJ352" s="7" t="n">
        <v>0.197</v>
      </c>
      <c r="AK352" s="7" t="n">
        <v>0.052</v>
      </c>
      <c r="AL352" s="7" t="n">
        <v>0.476</v>
      </c>
      <c r="AM352" s="7" t="n">
        <v>0</v>
      </c>
      <c r="AN352" s="7" t="n">
        <v>0.112</v>
      </c>
      <c r="AO352" s="7" t="n">
        <v>-0.048</v>
      </c>
      <c r="AP352" s="7" t="n">
        <v>-0.048</v>
      </c>
      <c r="AQ352" s="7" t="n">
        <v>0.384</v>
      </c>
    </row>
    <row r="353" customFormat="false" ht="15" hidden="false" customHeight="false" outlineLevel="0" collapsed="false">
      <c r="A353" s="23" t="n">
        <v>46670</v>
      </c>
      <c r="B353" s="7" t="n">
        <v>0.723</v>
      </c>
      <c r="C353" s="7" t="n">
        <v>0.834</v>
      </c>
      <c r="D353" s="7" t="n">
        <v>0.019</v>
      </c>
      <c r="E353" s="7" t="n">
        <v>0.115</v>
      </c>
      <c r="F353" s="7" t="n">
        <v>0.763</v>
      </c>
      <c r="G353" s="7" t="n">
        <v>0.019</v>
      </c>
      <c r="H353" s="7" t="n">
        <v>0.406</v>
      </c>
      <c r="I353" s="7" t="n">
        <v>0.283</v>
      </c>
      <c r="J353" s="7" t="n">
        <v>-0.093</v>
      </c>
      <c r="K353" s="7" t="n">
        <v>0.688</v>
      </c>
      <c r="L353" s="7" t="n">
        <v>0.257</v>
      </c>
      <c r="M353" s="7" t="n">
        <v>-0.141</v>
      </c>
      <c r="N353" s="7" t="n">
        <v>0.763</v>
      </c>
      <c r="O353" s="7" t="n">
        <v>0.302</v>
      </c>
      <c r="P353" s="7" t="n">
        <v>0.494</v>
      </c>
      <c r="Q353" s="7" t="n">
        <v>0.302</v>
      </c>
      <c r="R353" s="7" t="n">
        <v>0.316</v>
      </c>
      <c r="S353" s="7" t="n">
        <v>0.399</v>
      </c>
      <c r="T353" s="7" t="n">
        <v>-0.093</v>
      </c>
      <c r="U353" s="7" t="n">
        <v>0.646</v>
      </c>
      <c r="V353" s="7" t="n">
        <v>0.243</v>
      </c>
      <c r="W353" s="7" t="n">
        <v>0.302</v>
      </c>
      <c r="X353" s="7" t="n">
        <v>0.135</v>
      </c>
      <c r="Y353" s="7" t="n">
        <v>0.019</v>
      </c>
      <c r="Z353" s="7" t="n">
        <v>0.661</v>
      </c>
      <c r="AA353" s="7" t="n">
        <v>0.212</v>
      </c>
      <c r="AB353" s="7" t="n">
        <v>-0.093</v>
      </c>
      <c r="AC353" s="7" t="n">
        <v>0.302</v>
      </c>
      <c r="AD353" s="7" t="n">
        <v>0.202</v>
      </c>
      <c r="AE353" s="7" t="n">
        <v>0.763</v>
      </c>
      <c r="AF353" s="7" t="n">
        <v>0.848</v>
      </c>
      <c r="AG353" s="7" t="n">
        <v>0.019</v>
      </c>
      <c r="AH353" s="7" t="n">
        <v>0.156</v>
      </c>
      <c r="AI353" s="7" t="n">
        <v>0.384</v>
      </c>
      <c r="AJ353" s="7" t="n">
        <v>0.197</v>
      </c>
      <c r="AK353" s="7" t="n">
        <v>0.052</v>
      </c>
      <c r="AL353" s="7" t="n">
        <v>0.476</v>
      </c>
      <c r="AM353" s="7" t="n">
        <v>0</v>
      </c>
      <c r="AN353" s="7" t="n">
        <v>0.112</v>
      </c>
      <c r="AO353" s="7" t="n">
        <v>-0.048</v>
      </c>
      <c r="AP353" s="7" t="n">
        <v>-0.048</v>
      </c>
      <c r="AQ353" s="7" t="n">
        <v>0.384</v>
      </c>
    </row>
    <row r="354" customFormat="false" ht="15" hidden="false" customHeight="false" outlineLevel="0" collapsed="false">
      <c r="A354" s="23" t="n">
        <v>46671</v>
      </c>
      <c r="B354" s="7" t="n">
        <v>0.723</v>
      </c>
      <c r="C354" s="7" t="n">
        <v>0.834</v>
      </c>
      <c r="D354" s="7" t="n">
        <v>0.019</v>
      </c>
      <c r="E354" s="7" t="n">
        <v>0.115</v>
      </c>
      <c r="F354" s="7" t="n">
        <v>0.763</v>
      </c>
      <c r="G354" s="7" t="n">
        <v>0.019</v>
      </c>
      <c r="H354" s="7" t="n">
        <v>0.406</v>
      </c>
      <c r="I354" s="7" t="n">
        <v>0.283</v>
      </c>
      <c r="J354" s="7" t="n">
        <v>-0.093</v>
      </c>
      <c r="K354" s="7" t="n">
        <v>0.688</v>
      </c>
      <c r="L354" s="7" t="n">
        <v>0.257</v>
      </c>
      <c r="M354" s="7" t="n">
        <v>-0.141</v>
      </c>
      <c r="N354" s="7" t="n">
        <v>0.763</v>
      </c>
      <c r="O354" s="7" t="n">
        <v>0.302</v>
      </c>
      <c r="P354" s="7" t="n">
        <v>0.494</v>
      </c>
      <c r="Q354" s="7" t="n">
        <v>0.302</v>
      </c>
      <c r="R354" s="7" t="n">
        <v>0.316</v>
      </c>
      <c r="S354" s="7" t="n">
        <v>0.399</v>
      </c>
      <c r="T354" s="7" t="n">
        <v>-0.093</v>
      </c>
      <c r="U354" s="7" t="n">
        <v>0.646</v>
      </c>
      <c r="V354" s="7" t="n">
        <v>0.243</v>
      </c>
      <c r="W354" s="7" t="n">
        <v>0.302</v>
      </c>
      <c r="X354" s="7" t="n">
        <v>0.135</v>
      </c>
      <c r="Y354" s="7" t="n">
        <v>0.019</v>
      </c>
      <c r="Z354" s="7" t="n">
        <v>0.661</v>
      </c>
      <c r="AA354" s="7" t="n">
        <v>0.212</v>
      </c>
      <c r="AB354" s="7" t="n">
        <v>-0.093</v>
      </c>
      <c r="AC354" s="7" t="n">
        <v>0.302</v>
      </c>
      <c r="AD354" s="7" t="n">
        <v>0.202</v>
      </c>
      <c r="AE354" s="7" t="n">
        <v>0.763</v>
      </c>
      <c r="AF354" s="7" t="n">
        <v>0.848</v>
      </c>
      <c r="AG354" s="7" t="n">
        <v>0.019</v>
      </c>
      <c r="AH354" s="7" t="n">
        <v>0.156</v>
      </c>
      <c r="AI354" s="7" t="n">
        <v>0.384</v>
      </c>
      <c r="AJ354" s="7" t="n">
        <v>0.197</v>
      </c>
      <c r="AK354" s="7" t="n">
        <v>0.052</v>
      </c>
      <c r="AL354" s="7" t="n">
        <v>0.476</v>
      </c>
      <c r="AM354" s="7" t="n">
        <v>0</v>
      </c>
      <c r="AN354" s="7" t="n">
        <v>0.112</v>
      </c>
      <c r="AO354" s="7" t="n">
        <v>-0.048</v>
      </c>
      <c r="AP354" s="7" t="n">
        <v>-0.048</v>
      </c>
      <c r="AQ354" s="7" t="n">
        <v>0.384</v>
      </c>
    </row>
    <row r="355" customFormat="false" ht="15" hidden="false" customHeight="false" outlineLevel="0" collapsed="false">
      <c r="A355" s="23" t="n">
        <v>46672</v>
      </c>
      <c r="B355" s="7" t="n">
        <v>0.67</v>
      </c>
      <c r="C355" s="7" t="n">
        <v>0.802</v>
      </c>
      <c r="D355" s="7" t="n">
        <v>0.019</v>
      </c>
      <c r="E355" s="7" t="n">
        <v>0.087</v>
      </c>
      <c r="F355" s="7" t="n">
        <v>0.727</v>
      </c>
      <c r="G355" s="7" t="n">
        <v>0.019</v>
      </c>
      <c r="H355" s="7" t="n">
        <v>0.385</v>
      </c>
      <c r="I355" s="7" t="n">
        <v>0.257</v>
      </c>
      <c r="J355" s="7" t="n">
        <v>-0.093</v>
      </c>
      <c r="K355" s="7" t="n">
        <v>0.532</v>
      </c>
      <c r="L355" s="7" t="n">
        <v>0.29</v>
      </c>
      <c r="M355" s="7" t="n">
        <v>-0.131</v>
      </c>
      <c r="N355" s="7" t="n">
        <v>0.727</v>
      </c>
      <c r="O355" s="7" t="n">
        <v>0.283</v>
      </c>
      <c r="P355" s="7" t="n">
        <v>0.412</v>
      </c>
      <c r="Q355" s="7" t="n">
        <v>0.325</v>
      </c>
      <c r="R355" s="7" t="n">
        <v>0.3</v>
      </c>
      <c r="S355" s="7" t="n">
        <v>0.299</v>
      </c>
      <c r="T355" s="7" t="n">
        <v>-0.093</v>
      </c>
      <c r="U355" s="7" t="n">
        <v>0.584</v>
      </c>
      <c r="V355" s="7" t="n">
        <v>0.225</v>
      </c>
      <c r="W355" s="7" t="n">
        <v>0.325</v>
      </c>
      <c r="X355" s="7" t="n">
        <v>0.111</v>
      </c>
      <c r="Y355" s="7" t="n">
        <v>0.019</v>
      </c>
      <c r="Z355" s="7" t="n">
        <v>0.511</v>
      </c>
      <c r="AA355" s="7" t="n">
        <v>0.195</v>
      </c>
      <c r="AB355" s="7" t="n">
        <v>-0.093</v>
      </c>
      <c r="AC355" s="7" t="n">
        <v>0.325</v>
      </c>
      <c r="AD355" s="7" t="n">
        <v>0.18</v>
      </c>
      <c r="AE355" s="7" t="n">
        <v>0.727</v>
      </c>
      <c r="AF355" s="7" t="n">
        <v>0.823</v>
      </c>
      <c r="AG355" s="7" t="n">
        <v>0.019</v>
      </c>
      <c r="AH355" s="7" t="n">
        <v>0.156</v>
      </c>
      <c r="AI355" s="7" t="n">
        <v>0.322</v>
      </c>
      <c r="AJ355" s="7" t="n">
        <v>0.179</v>
      </c>
      <c r="AK355" s="7" t="n">
        <v>0.041</v>
      </c>
      <c r="AL355" s="7" t="n">
        <v>0.417</v>
      </c>
      <c r="AM355" s="7" t="n">
        <v>0</v>
      </c>
      <c r="AN355" s="7" t="n">
        <v>0.112</v>
      </c>
      <c r="AO355" s="7" t="n">
        <v>-0.038</v>
      </c>
      <c r="AP355" s="7" t="n">
        <v>-0.038</v>
      </c>
      <c r="AQ355" s="7" t="n">
        <v>0.322</v>
      </c>
    </row>
    <row r="356" customFormat="false" ht="15" hidden="false" customHeight="false" outlineLevel="0" collapsed="false">
      <c r="A356" s="23" t="n">
        <v>46673</v>
      </c>
      <c r="B356" s="7" t="n">
        <v>0.616</v>
      </c>
      <c r="C356" s="7" t="n">
        <v>0.77</v>
      </c>
      <c r="D356" s="7" t="n">
        <v>0.019</v>
      </c>
      <c r="E356" s="7" t="n">
        <v>0.058</v>
      </c>
      <c r="F356" s="7" t="n">
        <v>0.691</v>
      </c>
      <c r="G356" s="7" t="n">
        <v>0.019</v>
      </c>
      <c r="H356" s="7" t="n">
        <v>0.364</v>
      </c>
      <c r="I356" s="7" t="n">
        <v>0.225</v>
      </c>
      <c r="J356" s="7" t="n">
        <v>-0.093</v>
      </c>
      <c r="K356" s="7" t="n">
        <v>0.375</v>
      </c>
      <c r="L356" s="7" t="n">
        <v>0.316</v>
      </c>
      <c r="M356" s="7" t="n">
        <v>-0.122</v>
      </c>
      <c r="N356" s="7" t="n">
        <v>0.691</v>
      </c>
      <c r="O356" s="7" t="n">
        <v>0.261</v>
      </c>
      <c r="P356" s="7" t="n">
        <v>0.332</v>
      </c>
      <c r="Q356" s="7" t="n">
        <v>0.342</v>
      </c>
      <c r="R356" s="7" t="n">
        <v>0.284</v>
      </c>
      <c r="S356" s="7" t="n">
        <v>0.199</v>
      </c>
      <c r="T356" s="7" t="n">
        <v>-0.093</v>
      </c>
      <c r="U356" s="7" t="n">
        <v>0.522</v>
      </c>
      <c r="V356" s="7" t="n">
        <v>0.202</v>
      </c>
      <c r="W356" s="7" t="n">
        <v>0.342</v>
      </c>
      <c r="X356" s="7" t="n">
        <v>0.087</v>
      </c>
      <c r="Y356" s="7" t="n">
        <v>0.019</v>
      </c>
      <c r="Z356" s="7" t="n">
        <v>0.36</v>
      </c>
      <c r="AA356" s="7" t="n">
        <v>0.178</v>
      </c>
      <c r="AB356" s="7" t="n">
        <v>-0.093</v>
      </c>
      <c r="AC356" s="7" t="n">
        <v>0.342</v>
      </c>
      <c r="AD356" s="7" t="n">
        <v>0.156</v>
      </c>
      <c r="AE356" s="7" t="n">
        <v>0.691</v>
      </c>
      <c r="AF356" s="7" t="n">
        <v>0.799</v>
      </c>
      <c r="AG356" s="7" t="n">
        <v>0.019</v>
      </c>
      <c r="AH356" s="7" t="n">
        <v>0.156</v>
      </c>
      <c r="AI356" s="7" t="n">
        <v>0.26</v>
      </c>
      <c r="AJ356" s="7" t="n">
        <v>0.162</v>
      </c>
      <c r="AK356" s="7" t="n">
        <v>0.031</v>
      </c>
      <c r="AL356" s="7" t="n">
        <v>0.359</v>
      </c>
      <c r="AM356" s="7" t="n">
        <v>0</v>
      </c>
      <c r="AN356" s="7" t="n">
        <v>0.112</v>
      </c>
      <c r="AO356" s="7" t="n">
        <v>-0.028</v>
      </c>
      <c r="AP356" s="7" t="n">
        <v>-0.028</v>
      </c>
      <c r="AQ356" s="7" t="n">
        <v>0.26</v>
      </c>
    </row>
    <row r="357" customFormat="false" ht="15" hidden="false" customHeight="false" outlineLevel="0" collapsed="false">
      <c r="A357" s="23" t="n">
        <v>46674</v>
      </c>
      <c r="B357" s="7" t="n">
        <v>0.53</v>
      </c>
      <c r="C357" s="7" t="n">
        <v>0.667</v>
      </c>
      <c r="D357" s="7" t="n">
        <v>0.039</v>
      </c>
      <c r="E357" s="7" t="n">
        <v>0.026</v>
      </c>
      <c r="F357" s="7" t="n">
        <v>0.602</v>
      </c>
      <c r="G357" s="7" t="n">
        <v>0.039</v>
      </c>
      <c r="H357" s="7" t="n">
        <v>0.31</v>
      </c>
      <c r="I357" s="7" t="n">
        <v>0.196</v>
      </c>
      <c r="J357" s="7" t="n">
        <v>-0.073</v>
      </c>
      <c r="K357" s="7" t="n">
        <v>0.24</v>
      </c>
      <c r="L357" s="7" t="n">
        <v>0.26</v>
      </c>
      <c r="M357" s="7" t="n">
        <v>-0.091</v>
      </c>
      <c r="N357" s="7" t="n">
        <v>0.602</v>
      </c>
      <c r="O357" s="7" t="n">
        <v>0.197</v>
      </c>
      <c r="P357" s="7" t="n">
        <v>0.232</v>
      </c>
      <c r="Q357" s="7" t="n">
        <v>0.277</v>
      </c>
      <c r="R357" s="7" t="n">
        <v>0.247</v>
      </c>
      <c r="S357" s="7" t="n">
        <v>0.121</v>
      </c>
      <c r="T357" s="7" t="n">
        <v>-0.073</v>
      </c>
      <c r="U357" s="7" t="n">
        <v>0.421</v>
      </c>
      <c r="V357" s="7" t="n">
        <v>0.196</v>
      </c>
      <c r="W357" s="7" t="n">
        <v>0.277</v>
      </c>
      <c r="X357" s="7" t="n">
        <v>0.063</v>
      </c>
      <c r="Y357" s="7" t="n">
        <v>0.039</v>
      </c>
      <c r="Z357" s="7" t="n">
        <v>0.229</v>
      </c>
      <c r="AA357" s="7" t="n">
        <v>0.139</v>
      </c>
      <c r="AB357" s="7" t="n">
        <v>-0.073</v>
      </c>
      <c r="AC357" s="7" t="n">
        <v>0.277</v>
      </c>
      <c r="AD357" s="7" t="n">
        <v>0.135</v>
      </c>
      <c r="AE357" s="7" t="n">
        <v>0.602</v>
      </c>
      <c r="AF357" s="7" t="n">
        <v>0.721</v>
      </c>
      <c r="AG357" s="7" t="n">
        <v>0.039</v>
      </c>
      <c r="AH357" s="7" t="n">
        <v>0.156</v>
      </c>
      <c r="AI357" s="7" t="n">
        <v>0.179</v>
      </c>
      <c r="AJ357" s="7" t="n">
        <v>0.114</v>
      </c>
      <c r="AK357" s="7" t="n">
        <v>0.002</v>
      </c>
      <c r="AL357" s="7" t="n">
        <v>0.282</v>
      </c>
      <c r="AM357" s="7" t="n">
        <v>0</v>
      </c>
      <c r="AN357" s="7" t="n">
        <v>0.112</v>
      </c>
      <c r="AO357" s="7" t="n">
        <v>-0.019</v>
      </c>
      <c r="AP357" s="7" t="n">
        <v>-0.019</v>
      </c>
      <c r="AQ357" s="7" t="n">
        <v>0.179</v>
      </c>
    </row>
    <row r="358" customFormat="false" ht="15" hidden="false" customHeight="false" outlineLevel="0" collapsed="false">
      <c r="A358" s="23" t="n">
        <v>46675</v>
      </c>
      <c r="B358" s="7" t="n">
        <v>0.461</v>
      </c>
      <c r="C358" s="7" t="n">
        <v>0.585</v>
      </c>
      <c r="D358" s="7" t="n">
        <v>0.06</v>
      </c>
      <c r="E358" s="7" t="n">
        <v>0.086</v>
      </c>
      <c r="F358" s="7" t="n">
        <v>0.499</v>
      </c>
      <c r="G358" s="7" t="n">
        <v>0.06</v>
      </c>
      <c r="H358" s="7" t="n">
        <v>0.294</v>
      </c>
      <c r="I358" s="7" t="n">
        <v>0.186</v>
      </c>
      <c r="J358" s="7" t="n">
        <v>-0.052</v>
      </c>
      <c r="K358" s="7" t="n">
        <v>0.104</v>
      </c>
      <c r="L358" s="7" t="n">
        <v>0.139</v>
      </c>
      <c r="M358" s="7" t="n">
        <v>0.028</v>
      </c>
      <c r="N358" s="7" t="n">
        <v>0.499</v>
      </c>
      <c r="O358" s="7" t="n">
        <v>0.025</v>
      </c>
      <c r="P358" s="7" t="n">
        <v>0.075</v>
      </c>
      <c r="Q358" s="7" t="n">
        <v>0.079</v>
      </c>
      <c r="R358" s="7" t="n">
        <v>0.239</v>
      </c>
      <c r="S358" s="7" t="n">
        <v>0.134</v>
      </c>
      <c r="T358" s="7" t="n">
        <v>-0.052</v>
      </c>
      <c r="U358" s="7" t="n">
        <v>0.312</v>
      </c>
      <c r="V358" s="7" t="n">
        <v>0.198</v>
      </c>
      <c r="W358" s="7" t="n">
        <v>0.079</v>
      </c>
      <c r="X358" s="7" t="n">
        <v>0.061</v>
      </c>
      <c r="Y358" s="7" t="n">
        <v>0.06</v>
      </c>
      <c r="Z358" s="7" t="n">
        <v>0.189</v>
      </c>
      <c r="AA358" s="7" t="n">
        <v>0.131</v>
      </c>
      <c r="AB358" s="7" t="n">
        <v>-0.052</v>
      </c>
      <c r="AC358" s="7" t="n">
        <v>0.079</v>
      </c>
      <c r="AD358" s="7" t="n">
        <v>0.199</v>
      </c>
      <c r="AE358" s="7" t="n">
        <v>0.499</v>
      </c>
      <c r="AF358" s="7" t="n">
        <v>0.521</v>
      </c>
      <c r="AG358" s="7" t="n">
        <v>0.06</v>
      </c>
      <c r="AH358" s="7" t="n">
        <v>0.156</v>
      </c>
      <c r="AI358" s="7" t="n">
        <v>0.021</v>
      </c>
      <c r="AJ358" s="7" t="n">
        <v>0.087</v>
      </c>
      <c r="AK358" s="7" t="n">
        <v>-0.015</v>
      </c>
      <c r="AL358" s="7" t="n">
        <v>0.126</v>
      </c>
      <c r="AM358" s="7" t="n">
        <v>0</v>
      </c>
      <c r="AN358" s="7" t="n">
        <v>0.112</v>
      </c>
      <c r="AO358" s="7" t="n">
        <v>0.081</v>
      </c>
      <c r="AP358" s="7" t="n">
        <v>0.081</v>
      </c>
      <c r="AQ358" s="7" t="n">
        <v>0.021</v>
      </c>
    </row>
    <row r="359" customFormat="false" ht="15" hidden="false" customHeight="false" outlineLevel="0" collapsed="false">
      <c r="A359" s="23" t="n">
        <v>46676</v>
      </c>
      <c r="B359" s="7" t="n">
        <v>0.386</v>
      </c>
      <c r="C359" s="7" t="n">
        <v>0.502</v>
      </c>
      <c r="D359" s="7" t="n">
        <v>0.08</v>
      </c>
      <c r="E359" s="7" t="n">
        <v>0.147</v>
      </c>
      <c r="F359" s="7" t="n">
        <v>0.396</v>
      </c>
      <c r="G359" s="7" t="n">
        <v>0.08</v>
      </c>
      <c r="H359" s="7" t="n">
        <v>0.264</v>
      </c>
      <c r="I359" s="7" t="n">
        <v>0.16</v>
      </c>
      <c r="J359" s="7" t="n">
        <v>-0.032</v>
      </c>
      <c r="K359" s="7" t="n">
        <v>-0.032</v>
      </c>
      <c r="L359" s="7" t="n">
        <v>0.017</v>
      </c>
      <c r="M359" s="7" t="n">
        <v>0.147</v>
      </c>
      <c r="N359" s="7" t="n">
        <v>0.396</v>
      </c>
      <c r="O359" s="7" t="n">
        <v>-0.147</v>
      </c>
      <c r="P359" s="7" t="n">
        <v>-0.082</v>
      </c>
      <c r="Q359" s="7" t="n">
        <v>-0.119</v>
      </c>
      <c r="R359" s="7" t="n">
        <v>0.22</v>
      </c>
      <c r="S359" s="7" t="n">
        <v>0.147</v>
      </c>
      <c r="T359" s="7" t="n">
        <v>-0.032</v>
      </c>
      <c r="U359" s="7" t="n">
        <v>0.196</v>
      </c>
      <c r="V359" s="7" t="n">
        <v>0.185</v>
      </c>
      <c r="W359" s="7" t="n">
        <v>-0.119</v>
      </c>
      <c r="X359" s="7" t="n">
        <v>0.06</v>
      </c>
      <c r="Y359" s="7" t="n">
        <v>0.08</v>
      </c>
      <c r="Z359" s="7" t="n">
        <v>0.147</v>
      </c>
      <c r="AA359" s="7" t="n">
        <v>0.111</v>
      </c>
      <c r="AB359" s="7" t="n">
        <v>-0.032</v>
      </c>
      <c r="AC359" s="7" t="n">
        <v>-0.119</v>
      </c>
      <c r="AD359" s="7" t="n">
        <v>0.248</v>
      </c>
      <c r="AE359" s="7" t="n">
        <v>0.396</v>
      </c>
      <c r="AF359" s="7" t="n">
        <v>0.322</v>
      </c>
      <c r="AG359" s="7" t="n">
        <v>0.08</v>
      </c>
      <c r="AH359" s="7" t="n">
        <v>0.156</v>
      </c>
      <c r="AI359" s="7" t="n">
        <v>-0.136</v>
      </c>
      <c r="AJ359" s="7" t="n">
        <v>0.059</v>
      </c>
      <c r="AK359" s="7" t="n">
        <v>-0.032</v>
      </c>
      <c r="AL359" s="7" t="n">
        <v>-0.03</v>
      </c>
      <c r="AM359" s="7" t="n">
        <v>0</v>
      </c>
      <c r="AN359" s="7" t="n">
        <v>0.112</v>
      </c>
      <c r="AO359" s="7" t="n">
        <v>0.179</v>
      </c>
      <c r="AP359" s="7" t="n">
        <v>0.179</v>
      </c>
      <c r="AQ359" s="7" t="n">
        <v>-0.136</v>
      </c>
    </row>
    <row r="360" customFormat="false" ht="15" hidden="false" customHeight="false" outlineLevel="0" collapsed="false">
      <c r="A360" s="23" t="n">
        <v>46677</v>
      </c>
      <c r="B360" s="7" t="n">
        <v>0.386</v>
      </c>
      <c r="C360" s="7" t="n">
        <v>0.502</v>
      </c>
      <c r="D360" s="7" t="n">
        <v>0.08</v>
      </c>
      <c r="E360" s="7" t="n">
        <v>0.147</v>
      </c>
      <c r="F360" s="7" t="n">
        <v>0.396</v>
      </c>
      <c r="G360" s="7" t="n">
        <v>0.08</v>
      </c>
      <c r="H360" s="7" t="n">
        <v>0.264</v>
      </c>
      <c r="I360" s="7" t="n">
        <v>0.16</v>
      </c>
      <c r="J360" s="7" t="n">
        <v>-0.032</v>
      </c>
      <c r="K360" s="7" t="n">
        <v>-0.032</v>
      </c>
      <c r="L360" s="7" t="n">
        <v>0.017</v>
      </c>
      <c r="M360" s="7" t="n">
        <v>0.147</v>
      </c>
      <c r="N360" s="7" t="n">
        <v>0.396</v>
      </c>
      <c r="O360" s="7" t="n">
        <v>-0.147</v>
      </c>
      <c r="P360" s="7" t="n">
        <v>-0.082</v>
      </c>
      <c r="Q360" s="7" t="n">
        <v>-0.119</v>
      </c>
      <c r="R360" s="7" t="n">
        <v>0.22</v>
      </c>
      <c r="S360" s="7" t="n">
        <v>0.147</v>
      </c>
      <c r="T360" s="7" t="n">
        <v>-0.032</v>
      </c>
      <c r="U360" s="7" t="n">
        <v>0.196</v>
      </c>
      <c r="V360" s="7" t="n">
        <v>0.185</v>
      </c>
      <c r="W360" s="7" t="n">
        <v>-0.119</v>
      </c>
      <c r="X360" s="7" t="n">
        <v>0.06</v>
      </c>
      <c r="Y360" s="7" t="n">
        <v>0.08</v>
      </c>
      <c r="Z360" s="7" t="n">
        <v>0.147</v>
      </c>
      <c r="AA360" s="7" t="n">
        <v>0.111</v>
      </c>
      <c r="AB360" s="7" t="n">
        <v>-0.032</v>
      </c>
      <c r="AC360" s="7" t="n">
        <v>-0.119</v>
      </c>
      <c r="AD360" s="7" t="n">
        <v>0.248</v>
      </c>
      <c r="AE360" s="7" t="n">
        <v>0.396</v>
      </c>
      <c r="AF360" s="7" t="n">
        <v>0.322</v>
      </c>
      <c r="AG360" s="7" t="n">
        <v>0.08</v>
      </c>
      <c r="AH360" s="7" t="n">
        <v>0.156</v>
      </c>
      <c r="AI360" s="7" t="n">
        <v>-0.136</v>
      </c>
      <c r="AJ360" s="7" t="n">
        <v>0.059</v>
      </c>
      <c r="AK360" s="7" t="n">
        <v>-0.032</v>
      </c>
      <c r="AL360" s="7" t="n">
        <v>-0.03</v>
      </c>
      <c r="AM360" s="7" t="n">
        <v>0</v>
      </c>
      <c r="AN360" s="7" t="n">
        <v>0.112</v>
      </c>
      <c r="AO360" s="7" t="n">
        <v>0.179</v>
      </c>
      <c r="AP360" s="7" t="n">
        <v>0.179</v>
      </c>
      <c r="AQ360" s="7" t="n">
        <v>-0.136</v>
      </c>
    </row>
    <row r="361" customFormat="false" ht="15" hidden="false" customHeight="false" outlineLevel="0" collapsed="false">
      <c r="A361" s="23" t="n">
        <v>46678</v>
      </c>
      <c r="B361" s="7" t="n">
        <v>0.386</v>
      </c>
      <c r="C361" s="7" t="n">
        <v>0.502</v>
      </c>
      <c r="D361" s="7" t="n">
        <v>0.08</v>
      </c>
      <c r="E361" s="7" t="n">
        <v>0.147</v>
      </c>
      <c r="F361" s="7" t="n">
        <v>0.396</v>
      </c>
      <c r="G361" s="7" t="n">
        <v>0.08</v>
      </c>
      <c r="H361" s="7" t="n">
        <v>0.264</v>
      </c>
      <c r="I361" s="7" t="n">
        <v>0.16</v>
      </c>
      <c r="J361" s="7" t="n">
        <v>-0.032</v>
      </c>
      <c r="K361" s="7" t="n">
        <v>-0.032</v>
      </c>
      <c r="L361" s="7" t="n">
        <v>0.017</v>
      </c>
      <c r="M361" s="7" t="n">
        <v>0.147</v>
      </c>
      <c r="N361" s="7" t="n">
        <v>0.396</v>
      </c>
      <c r="O361" s="7" t="n">
        <v>-0.147</v>
      </c>
      <c r="P361" s="7" t="n">
        <v>-0.082</v>
      </c>
      <c r="Q361" s="7" t="n">
        <v>-0.119</v>
      </c>
      <c r="R361" s="7" t="n">
        <v>0.22</v>
      </c>
      <c r="S361" s="7" t="n">
        <v>0.147</v>
      </c>
      <c r="T361" s="7" t="n">
        <v>-0.032</v>
      </c>
      <c r="U361" s="7" t="n">
        <v>0.196</v>
      </c>
      <c r="V361" s="7" t="n">
        <v>0.185</v>
      </c>
      <c r="W361" s="7" t="n">
        <v>-0.119</v>
      </c>
      <c r="X361" s="7" t="n">
        <v>0.06</v>
      </c>
      <c r="Y361" s="7" t="n">
        <v>0.08</v>
      </c>
      <c r="Z361" s="7" t="n">
        <v>0.147</v>
      </c>
      <c r="AA361" s="7" t="n">
        <v>0.111</v>
      </c>
      <c r="AB361" s="7" t="n">
        <v>-0.032</v>
      </c>
      <c r="AC361" s="7" t="n">
        <v>-0.119</v>
      </c>
      <c r="AD361" s="7" t="n">
        <v>0.248</v>
      </c>
      <c r="AE361" s="7" t="n">
        <v>0.396</v>
      </c>
      <c r="AF361" s="7" t="n">
        <v>0.322</v>
      </c>
      <c r="AG361" s="7" t="n">
        <v>0.08</v>
      </c>
      <c r="AH361" s="7" t="n">
        <v>0.156</v>
      </c>
      <c r="AI361" s="7" t="n">
        <v>-0.136</v>
      </c>
      <c r="AJ361" s="7" t="n">
        <v>0.059</v>
      </c>
      <c r="AK361" s="7" t="n">
        <v>-0.032</v>
      </c>
      <c r="AL361" s="7" t="n">
        <v>-0.03</v>
      </c>
      <c r="AM361" s="7" t="n">
        <v>0</v>
      </c>
      <c r="AN361" s="7" t="n">
        <v>0.112</v>
      </c>
      <c r="AO361" s="7" t="n">
        <v>0.179</v>
      </c>
      <c r="AP361" s="7" t="n">
        <v>0.179</v>
      </c>
      <c r="AQ361" s="7" t="n">
        <v>-0.136</v>
      </c>
    </row>
    <row r="362" customFormat="false" ht="15" hidden="false" customHeight="false" outlineLevel="0" collapsed="false">
      <c r="A362" s="23" t="n">
        <v>46679</v>
      </c>
      <c r="B362" s="7" t="n">
        <v>0.366</v>
      </c>
      <c r="C362" s="7" t="n">
        <v>0.446</v>
      </c>
      <c r="D362" s="7" t="n">
        <v>0.101</v>
      </c>
      <c r="E362" s="7" t="n">
        <v>0.253</v>
      </c>
      <c r="F362" s="7" t="n">
        <v>0.322</v>
      </c>
      <c r="G362" s="7" t="n">
        <v>0.101</v>
      </c>
      <c r="H362" s="7" t="n">
        <v>0.27</v>
      </c>
      <c r="I362" s="7" t="n">
        <v>0.181</v>
      </c>
      <c r="J362" s="7" t="n">
        <v>-0.011</v>
      </c>
      <c r="K362" s="7" t="n">
        <v>-0.011</v>
      </c>
      <c r="L362" s="7" t="n">
        <v>-0.138</v>
      </c>
      <c r="M362" s="7" t="n">
        <v>0.253</v>
      </c>
      <c r="N362" s="7" t="n">
        <v>0.322</v>
      </c>
      <c r="O362" s="7" t="n">
        <v>-0.299</v>
      </c>
      <c r="P362" s="7" t="n">
        <v>-0.158</v>
      </c>
      <c r="Q362" s="7" t="n">
        <v>-0.339</v>
      </c>
      <c r="R362" s="7" t="n">
        <v>0.229</v>
      </c>
      <c r="S362" s="7" t="n">
        <v>0.253</v>
      </c>
      <c r="T362" s="7" t="n">
        <v>-0.011</v>
      </c>
      <c r="U362" s="7" t="n">
        <v>0.145</v>
      </c>
      <c r="V362" s="7" t="n">
        <v>0.21</v>
      </c>
      <c r="W362" s="7" t="n">
        <v>-0.339</v>
      </c>
      <c r="X362" s="7" t="n">
        <v>0.08</v>
      </c>
      <c r="Y362" s="7" t="n">
        <v>0.076</v>
      </c>
      <c r="Z362" s="7" t="n">
        <v>0.253</v>
      </c>
      <c r="AA362" s="7" t="n">
        <v>0.12</v>
      </c>
      <c r="AB362" s="7" t="n">
        <v>-0.011</v>
      </c>
      <c r="AC362" s="7" t="n">
        <v>-0.339</v>
      </c>
      <c r="AD362" s="7" t="n">
        <v>0.381</v>
      </c>
      <c r="AE362" s="7" t="n">
        <v>0.322</v>
      </c>
      <c r="AF362" s="7" t="n">
        <v>0.149</v>
      </c>
      <c r="AG362" s="7" t="n">
        <v>0.101</v>
      </c>
      <c r="AH362" s="7" t="n">
        <v>0.156</v>
      </c>
      <c r="AI362" s="7" t="n">
        <v>-0.23</v>
      </c>
      <c r="AJ362" s="7" t="n">
        <v>0.052</v>
      </c>
      <c r="AK362" s="7" t="n">
        <v>-0.036</v>
      </c>
      <c r="AL362" s="7" t="n">
        <v>-0.126</v>
      </c>
      <c r="AM362" s="7" t="n">
        <v>0</v>
      </c>
      <c r="AN362" s="7" t="n">
        <v>0.112</v>
      </c>
      <c r="AO362" s="7" t="n">
        <v>0.265</v>
      </c>
      <c r="AP362" s="7" t="n">
        <v>0.265</v>
      </c>
      <c r="AQ362" s="7" t="n">
        <v>-0.23</v>
      </c>
    </row>
    <row r="363" customFormat="false" ht="15" hidden="false" customHeight="false" outlineLevel="0" collapsed="false">
      <c r="A363" s="23" t="n">
        <v>46680</v>
      </c>
      <c r="B363" s="7" t="n">
        <v>0.35</v>
      </c>
      <c r="C363" s="7" t="n">
        <v>0.391</v>
      </c>
      <c r="D363" s="7" t="n">
        <v>0.121</v>
      </c>
      <c r="E363" s="7" t="n">
        <v>0.358</v>
      </c>
      <c r="F363" s="7" t="n">
        <v>0.248</v>
      </c>
      <c r="G363" s="7" t="n">
        <v>0.121</v>
      </c>
      <c r="H363" s="7" t="n">
        <v>0.274</v>
      </c>
      <c r="I363" s="7" t="n">
        <v>0.218</v>
      </c>
      <c r="J363" s="7" t="n">
        <v>0.009</v>
      </c>
      <c r="K363" s="7" t="n">
        <v>0.009</v>
      </c>
      <c r="L363" s="7" t="n">
        <v>-0.287</v>
      </c>
      <c r="M363" s="7" t="n">
        <v>0.358</v>
      </c>
      <c r="N363" s="7" t="n">
        <v>0.248</v>
      </c>
      <c r="O363" s="7" t="n">
        <v>-0.448</v>
      </c>
      <c r="P363" s="7" t="n">
        <v>-0.234</v>
      </c>
      <c r="Q363" s="7" t="n">
        <v>-0.553</v>
      </c>
      <c r="R363" s="7" t="n">
        <v>0.237</v>
      </c>
      <c r="S363" s="7" t="n">
        <v>0.358</v>
      </c>
      <c r="T363" s="7" t="n">
        <v>0.009</v>
      </c>
      <c r="U363" s="7" t="n">
        <v>0.094</v>
      </c>
      <c r="V363" s="7" t="n">
        <v>0.25</v>
      </c>
      <c r="W363" s="7" t="n">
        <v>-0.553</v>
      </c>
      <c r="X363" s="7" t="n">
        <v>0.101</v>
      </c>
      <c r="Y363" s="7" t="n">
        <v>0.072</v>
      </c>
      <c r="Z363" s="7" t="n">
        <v>0.358</v>
      </c>
      <c r="AA363" s="7" t="n">
        <v>0.129</v>
      </c>
      <c r="AB363" s="7" t="n">
        <v>0.009</v>
      </c>
      <c r="AC363" s="7" t="n">
        <v>-0.553</v>
      </c>
      <c r="AD363" s="7" t="n">
        <v>0.513</v>
      </c>
      <c r="AE363" s="7" t="n">
        <v>0.248</v>
      </c>
      <c r="AF363" s="7" t="n">
        <v>-0.024</v>
      </c>
      <c r="AG363" s="7" t="n">
        <v>0.121</v>
      </c>
      <c r="AH363" s="7" t="n">
        <v>0.156</v>
      </c>
      <c r="AI363" s="7" t="n">
        <v>-0.324</v>
      </c>
      <c r="AJ363" s="7" t="n">
        <v>0.045</v>
      </c>
      <c r="AK363" s="7" t="n">
        <v>-0.04</v>
      </c>
      <c r="AL363" s="7" t="n">
        <v>-0.223</v>
      </c>
      <c r="AM363" s="7" t="n">
        <v>0</v>
      </c>
      <c r="AN363" s="7" t="n">
        <v>0.112</v>
      </c>
      <c r="AO363" s="7" t="n">
        <v>0.35</v>
      </c>
      <c r="AP363" s="7" t="n">
        <v>0.35</v>
      </c>
      <c r="AQ363" s="7" t="n">
        <v>-0.324</v>
      </c>
    </row>
    <row r="364" customFormat="false" ht="15" hidden="false" customHeight="false" outlineLevel="0" collapsed="false">
      <c r="A364" s="23" t="n">
        <v>46681</v>
      </c>
      <c r="B364" s="7" t="n">
        <v>0.357</v>
      </c>
      <c r="C364" s="7" t="n">
        <v>0.413</v>
      </c>
      <c r="D364" s="7" t="n">
        <v>0.121</v>
      </c>
      <c r="E364" s="7" t="n">
        <v>0.448</v>
      </c>
      <c r="F364" s="7" t="n">
        <v>0.235</v>
      </c>
      <c r="G364" s="7" t="n">
        <v>0.121</v>
      </c>
      <c r="H364" s="7" t="n">
        <v>0.311</v>
      </c>
      <c r="I364" s="7" t="n">
        <v>0.187</v>
      </c>
      <c r="J364" s="7" t="n">
        <v>0.009</v>
      </c>
      <c r="K364" s="7" t="n">
        <v>0.009</v>
      </c>
      <c r="L364" s="7" t="n">
        <v>-0.347</v>
      </c>
      <c r="M364" s="7" t="n">
        <v>0.448</v>
      </c>
      <c r="N364" s="7" t="n">
        <v>0.235</v>
      </c>
      <c r="O364" s="7" t="n">
        <v>-0.554</v>
      </c>
      <c r="P364" s="7" t="n">
        <v>-0.291</v>
      </c>
      <c r="Q364" s="7" t="n">
        <v>-0.683</v>
      </c>
      <c r="R364" s="7" t="n">
        <v>0.265</v>
      </c>
      <c r="S364" s="7" t="n">
        <v>0.448</v>
      </c>
      <c r="T364" s="7" t="n">
        <v>0.009</v>
      </c>
      <c r="U364" s="7" t="n">
        <v>0.089</v>
      </c>
      <c r="V364" s="7" t="n">
        <v>0.21</v>
      </c>
      <c r="W364" s="7" t="n">
        <v>-0.683</v>
      </c>
      <c r="X364" s="7" t="n">
        <v>0.122</v>
      </c>
      <c r="Y364" s="7" t="n">
        <v>0.047</v>
      </c>
      <c r="Z364" s="7" t="n">
        <v>0.448</v>
      </c>
      <c r="AA364" s="7" t="n">
        <v>0.158</v>
      </c>
      <c r="AB364" s="7" t="n">
        <v>0.009</v>
      </c>
      <c r="AC364" s="7" t="n">
        <v>-0.683</v>
      </c>
      <c r="AD364" s="7" t="n">
        <v>0.628</v>
      </c>
      <c r="AE364" s="7" t="n">
        <v>0.235</v>
      </c>
      <c r="AF364" s="7" t="n">
        <v>-0.143</v>
      </c>
      <c r="AG364" s="7" t="n">
        <v>0.121</v>
      </c>
      <c r="AH364" s="7" t="n">
        <v>0.156</v>
      </c>
      <c r="AI364" s="7" t="n">
        <v>-0.399</v>
      </c>
      <c r="AJ364" s="7" t="n">
        <v>0.064</v>
      </c>
      <c r="AK364" s="7" t="n">
        <v>-0.029</v>
      </c>
      <c r="AL364" s="7" t="n">
        <v>-0.3</v>
      </c>
      <c r="AM364" s="7" t="n">
        <v>0</v>
      </c>
      <c r="AN364" s="7" t="n">
        <v>0.112</v>
      </c>
      <c r="AO364" s="7" t="n">
        <v>0.441</v>
      </c>
      <c r="AP364" s="7" t="n">
        <v>0.441</v>
      </c>
      <c r="AQ364" s="7" t="n">
        <v>-0.399</v>
      </c>
    </row>
    <row r="365" customFormat="false" ht="15" hidden="false" customHeight="false" outlineLevel="0" collapsed="false">
      <c r="A365" s="23" t="n">
        <v>46682</v>
      </c>
      <c r="B365" s="7" t="n">
        <v>0.321</v>
      </c>
      <c r="C365" s="7" t="n">
        <v>0.443</v>
      </c>
      <c r="D365" s="7" t="n">
        <v>0.032</v>
      </c>
      <c r="E365" s="7" t="n">
        <v>0.437</v>
      </c>
      <c r="F365" s="7" t="n">
        <v>0.274</v>
      </c>
      <c r="G365" s="7" t="n">
        <v>0.032</v>
      </c>
      <c r="H365" s="7" t="n">
        <v>0.219</v>
      </c>
      <c r="I365" s="7" t="n">
        <v>0.069</v>
      </c>
      <c r="J365" s="7" t="n">
        <v>0.009</v>
      </c>
      <c r="K365" s="7" t="n">
        <v>0.009</v>
      </c>
      <c r="L365" s="7" t="n">
        <v>-0.312</v>
      </c>
      <c r="M365" s="7" t="n">
        <v>0.437</v>
      </c>
      <c r="N365" s="7" t="n">
        <v>0.274</v>
      </c>
      <c r="O365" s="7" t="n">
        <v>-0.509</v>
      </c>
      <c r="P365" s="7" t="n">
        <v>-0.317</v>
      </c>
      <c r="Q365" s="7" t="n">
        <v>-0.651</v>
      </c>
      <c r="R365" s="7" t="n">
        <v>0.173</v>
      </c>
      <c r="S365" s="7" t="n">
        <v>0.437</v>
      </c>
      <c r="T365" s="7" t="n">
        <v>0.009</v>
      </c>
      <c r="U365" s="7" t="n">
        <v>0.151</v>
      </c>
      <c r="V365" s="7" t="n">
        <v>0.088</v>
      </c>
      <c r="W365" s="7" t="n">
        <v>-0.651</v>
      </c>
      <c r="X365" s="7" t="n">
        <v>0.033</v>
      </c>
      <c r="Y365" s="7" t="n">
        <v>-0.033</v>
      </c>
      <c r="Z365" s="7" t="n">
        <v>0.437</v>
      </c>
      <c r="AA365" s="7" t="n">
        <v>0.155</v>
      </c>
      <c r="AB365" s="7" t="n">
        <v>0.009</v>
      </c>
      <c r="AC365" s="7" t="n">
        <v>-0.651</v>
      </c>
      <c r="AD365" s="7" t="n">
        <v>0.609</v>
      </c>
      <c r="AE365" s="7" t="n">
        <v>0.274</v>
      </c>
      <c r="AF365" s="7" t="n">
        <v>-0.088</v>
      </c>
      <c r="AG365" s="7" t="n">
        <v>0.032</v>
      </c>
      <c r="AH365" s="7" t="n">
        <v>0.156</v>
      </c>
      <c r="AI365" s="7" t="n">
        <v>-0.342</v>
      </c>
      <c r="AJ365" s="7" t="n">
        <v>-0.017</v>
      </c>
      <c r="AK365" s="7" t="n">
        <v>-0.024</v>
      </c>
      <c r="AL365" s="7" t="n">
        <v>-0.326</v>
      </c>
      <c r="AM365" s="7" t="n">
        <v>0</v>
      </c>
      <c r="AN365" s="7" t="n">
        <v>0.023</v>
      </c>
      <c r="AO365" s="7" t="n">
        <v>0.43</v>
      </c>
      <c r="AP365" s="7" t="n">
        <v>0.43</v>
      </c>
      <c r="AQ365" s="7" t="n">
        <v>-0.342</v>
      </c>
    </row>
    <row r="366" customFormat="false" ht="15" hidden="false" customHeight="false" outlineLevel="0" collapsed="false">
      <c r="A366" s="23" t="n">
        <v>46683</v>
      </c>
      <c r="B366" s="7" t="n">
        <v>0.29</v>
      </c>
      <c r="C366" s="7" t="n">
        <v>0.468</v>
      </c>
      <c r="D366" s="7" t="n">
        <v>-0.058</v>
      </c>
      <c r="E366" s="7" t="n">
        <v>0.418</v>
      </c>
      <c r="F366" s="7" t="n">
        <v>0.305</v>
      </c>
      <c r="G366" s="7" t="n">
        <v>-0.058</v>
      </c>
      <c r="H366" s="7" t="n">
        <v>0.126</v>
      </c>
      <c r="I366" s="7" t="n">
        <v>0.014</v>
      </c>
      <c r="J366" s="7" t="n">
        <v>0.009</v>
      </c>
      <c r="K366" s="7" t="n">
        <v>0.009</v>
      </c>
      <c r="L366" s="7" t="n">
        <v>-0.287</v>
      </c>
      <c r="M366" s="7" t="n">
        <v>0.418</v>
      </c>
      <c r="N366" s="7" t="n">
        <v>0.305</v>
      </c>
      <c r="O366" s="7" t="n">
        <v>-0.465</v>
      </c>
      <c r="P366" s="7" t="n">
        <v>-0.344</v>
      </c>
      <c r="Q366" s="7" t="n">
        <v>-0.62</v>
      </c>
      <c r="R366" s="7" t="n">
        <v>0.081</v>
      </c>
      <c r="S366" s="7" t="n">
        <v>0.418</v>
      </c>
      <c r="T366" s="7" t="n">
        <v>0.009</v>
      </c>
      <c r="U366" s="7" t="n">
        <v>0.204</v>
      </c>
      <c r="V366" s="7" t="n">
        <v>0.029</v>
      </c>
      <c r="W366" s="7" t="n">
        <v>-0.62</v>
      </c>
      <c r="X366" s="7" t="n">
        <v>-0.058</v>
      </c>
      <c r="Y366" s="7" t="n">
        <v>-0.112</v>
      </c>
      <c r="Z366" s="7" t="n">
        <v>0.418</v>
      </c>
      <c r="AA366" s="7" t="n">
        <v>0.154</v>
      </c>
      <c r="AB366" s="7" t="n">
        <v>0.009</v>
      </c>
      <c r="AC366" s="7" t="n">
        <v>-0.62</v>
      </c>
      <c r="AD366" s="7" t="n">
        <v>0.583</v>
      </c>
      <c r="AE366" s="7" t="n">
        <v>0.305</v>
      </c>
      <c r="AF366" s="7" t="n">
        <v>-0.033</v>
      </c>
      <c r="AG366" s="7" t="n">
        <v>-0.058</v>
      </c>
      <c r="AH366" s="7" t="n">
        <v>0.156</v>
      </c>
      <c r="AI366" s="7" t="n">
        <v>-0.285</v>
      </c>
      <c r="AJ366" s="7" t="n">
        <v>-0.098</v>
      </c>
      <c r="AK366" s="7" t="n">
        <v>-0.019</v>
      </c>
      <c r="AL366" s="7" t="n">
        <v>-0.353</v>
      </c>
      <c r="AM366" s="7" t="n">
        <v>0</v>
      </c>
      <c r="AN366" s="7" t="n">
        <v>-0.067</v>
      </c>
      <c r="AO366" s="7" t="n">
        <v>0.41</v>
      </c>
      <c r="AP366" s="7" t="n">
        <v>0.41</v>
      </c>
      <c r="AQ366" s="7" t="n">
        <v>-0.285</v>
      </c>
    </row>
    <row r="367" customFormat="false" ht="15" hidden="false" customHeight="false" outlineLevel="0" collapsed="false">
      <c r="A367" s="23" t="n">
        <v>46684</v>
      </c>
      <c r="B367" s="7" t="n">
        <v>0.29</v>
      </c>
      <c r="C367" s="7" t="n">
        <v>0.468</v>
      </c>
      <c r="D367" s="7" t="n">
        <v>-0.058</v>
      </c>
      <c r="E367" s="7" t="n">
        <v>0.418</v>
      </c>
      <c r="F367" s="7" t="n">
        <v>0.305</v>
      </c>
      <c r="G367" s="7" t="n">
        <v>-0.058</v>
      </c>
      <c r="H367" s="7" t="n">
        <v>0.126</v>
      </c>
      <c r="I367" s="7" t="n">
        <v>0.014</v>
      </c>
      <c r="J367" s="7" t="n">
        <v>0.009</v>
      </c>
      <c r="K367" s="7" t="n">
        <v>0.009</v>
      </c>
      <c r="L367" s="7" t="n">
        <v>-0.287</v>
      </c>
      <c r="M367" s="7" t="n">
        <v>0.418</v>
      </c>
      <c r="N367" s="7" t="n">
        <v>0.305</v>
      </c>
      <c r="O367" s="7" t="n">
        <v>-0.465</v>
      </c>
      <c r="P367" s="7" t="n">
        <v>-0.344</v>
      </c>
      <c r="Q367" s="7" t="n">
        <v>-0.62</v>
      </c>
      <c r="R367" s="7" t="n">
        <v>0.081</v>
      </c>
      <c r="S367" s="7" t="n">
        <v>0.418</v>
      </c>
      <c r="T367" s="7" t="n">
        <v>0.009</v>
      </c>
      <c r="U367" s="7" t="n">
        <v>0.204</v>
      </c>
      <c r="V367" s="7" t="n">
        <v>0.029</v>
      </c>
      <c r="W367" s="7" t="n">
        <v>-0.62</v>
      </c>
      <c r="X367" s="7" t="n">
        <v>-0.058</v>
      </c>
      <c r="Y367" s="7" t="n">
        <v>-0.112</v>
      </c>
      <c r="Z367" s="7" t="n">
        <v>0.418</v>
      </c>
      <c r="AA367" s="7" t="n">
        <v>0.154</v>
      </c>
      <c r="AB367" s="7" t="n">
        <v>0.009</v>
      </c>
      <c r="AC367" s="7" t="n">
        <v>-0.62</v>
      </c>
      <c r="AD367" s="7" t="n">
        <v>0.583</v>
      </c>
      <c r="AE367" s="7" t="n">
        <v>0.305</v>
      </c>
      <c r="AF367" s="7" t="n">
        <v>-0.033</v>
      </c>
      <c r="AG367" s="7" t="n">
        <v>-0.058</v>
      </c>
      <c r="AH367" s="7" t="n">
        <v>0.156</v>
      </c>
      <c r="AI367" s="7" t="n">
        <v>-0.285</v>
      </c>
      <c r="AJ367" s="7" t="n">
        <v>-0.098</v>
      </c>
      <c r="AK367" s="7" t="n">
        <v>-0.019</v>
      </c>
      <c r="AL367" s="7" t="n">
        <v>-0.353</v>
      </c>
      <c r="AM367" s="7" t="n">
        <v>0</v>
      </c>
      <c r="AN367" s="7" t="n">
        <v>-0.067</v>
      </c>
      <c r="AO367" s="7" t="n">
        <v>0.41</v>
      </c>
      <c r="AP367" s="7" t="n">
        <v>0.41</v>
      </c>
      <c r="AQ367" s="7" t="n">
        <v>-0.285</v>
      </c>
    </row>
    <row r="368" customFormat="false" ht="15" hidden="false" customHeight="false" outlineLevel="0" collapsed="false">
      <c r="A368" s="23" t="n">
        <v>46685</v>
      </c>
      <c r="B368" s="7" t="n">
        <v>0.29</v>
      </c>
      <c r="C368" s="7" t="n">
        <v>0.468</v>
      </c>
      <c r="D368" s="7" t="n">
        <v>-0.058</v>
      </c>
      <c r="E368" s="7" t="n">
        <v>0.418</v>
      </c>
      <c r="F368" s="7" t="n">
        <v>0.305</v>
      </c>
      <c r="G368" s="7" t="n">
        <v>-0.058</v>
      </c>
      <c r="H368" s="7" t="n">
        <v>0.126</v>
      </c>
      <c r="I368" s="7" t="n">
        <v>0.014</v>
      </c>
      <c r="J368" s="7" t="n">
        <v>0.009</v>
      </c>
      <c r="K368" s="7" t="n">
        <v>0.009</v>
      </c>
      <c r="L368" s="7" t="n">
        <v>-0.287</v>
      </c>
      <c r="M368" s="7" t="n">
        <v>0.418</v>
      </c>
      <c r="N368" s="7" t="n">
        <v>0.305</v>
      </c>
      <c r="O368" s="7" t="n">
        <v>-0.465</v>
      </c>
      <c r="P368" s="7" t="n">
        <v>-0.344</v>
      </c>
      <c r="Q368" s="7" t="n">
        <v>-0.62</v>
      </c>
      <c r="R368" s="7" t="n">
        <v>0.081</v>
      </c>
      <c r="S368" s="7" t="n">
        <v>0.418</v>
      </c>
      <c r="T368" s="7" t="n">
        <v>0.009</v>
      </c>
      <c r="U368" s="7" t="n">
        <v>0.204</v>
      </c>
      <c r="V368" s="7" t="n">
        <v>0.029</v>
      </c>
      <c r="W368" s="7" t="n">
        <v>-0.62</v>
      </c>
      <c r="X368" s="7" t="n">
        <v>-0.058</v>
      </c>
      <c r="Y368" s="7" t="n">
        <v>-0.112</v>
      </c>
      <c r="Z368" s="7" t="n">
        <v>0.418</v>
      </c>
      <c r="AA368" s="7" t="n">
        <v>0.154</v>
      </c>
      <c r="AB368" s="7" t="n">
        <v>0.009</v>
      </c>
      <c r="AC368" s="7" t="n">
        <v>-0.62</v>
      </c>
      <c r="AD368" s="7" t="n">
        <v>0.583</v>
      </c>
      <c r="AE368" s="7" t="n">
        <v>0.305</v>
      </c>
      <c r="AF368" s="7" t="n">
        <v>-0.033</v>
      </c>
      <c r="AG368" s="7" t="n">
        <v>-0.058</v>
      </c>
      <c r="AH368" s="7" t="n">
        <v>0.156</v>
      </c>
      <c r="AI368" s="7" t="n">
        <v>-0.285</v>
      </c>
      <c r="AJ368" s="7" t="n">
        <v>-0.098</v>
      </c>
      <c r="AK368" s="7" t="n">
        <v>-0.019</v>
      </c>
      <c r="AL368" s="7" t="n">
        <v>-0.353</v>
      </c>
      <c r="AM368" s="7" t="n">
        <v>0</v>
      </c>
      <c r="AN368" s="7" t="n">
        <v>-0.067</v>
      </c>
      <c r="AO368" s="7" t="n">
        <v>0.41</v>
      </c>
      <c r="AP368" s="7" t="n">
        <v>0.41</v>
      </c>
      <c r="AQ368" s="7" t="n">
        <v>-0.285</v>
      </c>
    </row>
    <row r="369" customFormat="false" ht="15" hidden="false" customHeight="false" outlineLevel="0" collapsed="false">
      <c r="A369" s="23" t="n">
        <v>46686</v>
      </c>
      <c r="B369" s="7" t="n">
        <v>0.242</v>
      </c>
      <c r="C369" s="7" t="n">
        <v>0.485</v>
      </c>
      <c r="D369" s="7" t="n">
        <v>-0.15</v>
      </c>
      <c r="E369" s="7" t="n">
        <v>0.388</v>
      </c>
      <c r="F369" s="7" t="n">
        <v>0.323</v>
      </c>
      <c r="G369" s="7" t="n">
        <v>-0.15</v>
      </c>
      <c r="H369" s="7" t="n">
        <v>0.034</v>
      </c>
      <c r="I369" s="7" t="n">
        <v>-0.071</v>
      </c>
      <c r="J369" s="7" t="n">
        <v>0.009</v>
      </c>
      <c r="K369" s="7" t="n">
        <v>0.009</v>
      </c>
      <c r="L369" s="7" t="n">
        <v>-0.278</v>
      </c>
      <c r="M369" s="7" t="n">
        <v>0.388</v>
      </c>
      <c r="N369" s="7" t="n">
        <v>0.323</v>
      </c>
      <c r="O369" s="7" t="n">
        <v>-0.424</v>
      </c>
      <c r="P369" s="7" t="n">
        <v>-0.374</v>
      </c>
      <c r="Q369" s="7" t="n">
        <v>-0.593</v>
      </c>
      <c r="R369" s="7" t="n">
        <v>0.002</v>
      </c>
      <c r="S369" s="7" t="n">
        <v>0.388</v>
      </c>
      <c r="T369" s="7" t="n">
        <v>0.009</v>
      </c>
      <c r="U369" s="7" t="n">
        <v>0.245</v>
      </c>
      <c r="V369" s="7" t="n">
        <v>-0.059</v>
      </c>
      <c r="W369" s="7" t="n">
        <v>-0.593</v>
      </c>
      <c r="X369" s="7" t="n">
        <v>-0.15</v>
      </c>
      <c r="Y369" s="7" t="n">
        <v>-0.157</v>
      </c>
      <c r="Z369" s="7" t="n">
        <v>0.388</v>
      </c>
      <c r="AA369" s="7" t="n">
        <v>0.168</v>
      </c>
      <c r="AB369" s="7" t="n">
        <v>0.009</v>
      </c>
      <c r="AC369" s="7" t="n">
        <v>-0.593</v>
      </c>
      <c r="AD369" s="7" t="n">
        <v>0.517</v>
      </c>
      <c r="AE369" s="7" t="n">
        <v>0.323</v>
      </c>
      <c r="AF369" s="7" t="n">
        <v>0.019</v>
      </c>
      <c r="AG369" s="7" t="n">
        <v>-0.15</v>
      </c>
      <c r="AH369" s="7" t="n">
        <v>0.156</v>
      </c>
      <c r="AI369" s="7" t="n">
        <v>-0.229</v>
      </c>
      <c r="AJ369" s="7" t="n">
        <v>-0.184</v>
      </c>
      <c r="AK369" s="7" t="n">
        <v>-0.016</v>
      </c>
      <c r="AL369" s="7" t="n">
        <v>-0.382</v>
      </c>
      <c r="AM369" s="7" t="n">
        <v>0</v>
      </c>
      <c r="AN369" s="7" t="n">
        <v>-0.158</v>
      </c>
      <c r="AO369" s="7" t="n">
        <v>0.38</v>
      </c>
      <c r="AP369" s="7" t="n">
        <v>0.38</v>
      </c>
      <c r="AQ369" s="7" t="n">
        <v>-0.229</v>
      </c>
    </row>
  </sheetData>
  <conditionalFormatting sqref="B5:AQ369">
    <cfRule type="expression" priority="2" aboveAverage="0" equalAverage="0" bottom="0" percent="0" rank="0" text="" dxfId="0">
      <formula>AND(ISNUMBER(B5),B5&gt;Settings!$C$4)</formula>
    </cfRule>
    <cfRule type="expression" priority="3" aboveAverage="0" equalAverage="0" bottom="0" percent="0" rank="0" text="" dxfId="1">
      <formula>AND(ISNUMBER(B5),B5&lt;-Settings!$C$4)</formula>
    </cfRule>
    <cfRule type="expression" priority="4" aboveAverage="0" equalAverage="0" bottom="0" percent="0" rank="0" text="" dxfId="2">
      <formula>AND(ISNUMBER(B5),ABS(B5)&lt;=Settings!$C$4)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3" min="2" style="0" width="9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215</v>
      </c>
    </row>
    <row r="4" customFormat="false" ht="64.9" hidden="false" customHeight="false" outlineLevel="0" collapsed="false">
      <c r="A4" s="5" t="s">
        <v>139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34</v>
      </c>
      <c r="S4" s="5" t="s">
        <v>35</v>
      </c>
      <c r="T4" s="5" t="s">
        <v>36</v>
      </c>
      <c r="U4" s="5" t="s">
        <v>37</v>
      </c>
      <c r="V4" s="5" t="s">
        <v>38</v>
      </c>
      <c r="W4" s="5" t="s">
        <v>39</v>
      </c>
      <c r="X4" s="5" t="s">
        <v>40</v>
      </c>
      <c r="Y4" s="5" t="s">
        <v>41</v>
      </c>
      <c r="Z4" s="5" t="s">
        <v>42</v>
      </c>
      <c r="AA4" s="5" t="s">
        <v>43</v>
      </c>
      <c r="AB4" s="5" t="s">
        <v>44</v>
      </c>
      <c r="AC4" s="5" t="s">
        <v>45</v>
      </c>
      <c r="AD4" s="5" t="s">
        <v>46</v>
      </c>
      <c r="AE4" s="5" t="s">
        <v>47</v>
      </c>
      <c r="AF4" s="5" t="s">
        <v>48</v>
      </c>
      <c r="AG4" s="5" t="s">
        <v>49</v>
      </c>
      <c r="AH4" s="5" t="s">
        <v>50</v>
      </c>
      <c r="AI4" s="5" t="s">
        <v>51</v>
      </c>
      <c r="AJ4" s="5" t="s">
        <v>52</v>
      </c>
      <c r="AK4" s="5" t="s">
        <v>53</v>
      </c>
      <c r="AL4" s="5" t="s">
        <v>54</v>
      </c>
      <c r="AM4" s="5" t="s">
        <v>55</v>
      </c>
      <c r="AN4" s="5" t="s">
        <v>56</v>
      </c>
      <c r="AO4" s="5" t="s">
        <v>57</v>
      </c>
      <c r="AP4" s="5" t="s">
        <v>58</v>
      </c>
      <c r="AQ4" s="5" t="s">
        <v>59</v>
      </c>
    </row>
    <row r="5" customFormat="false" ht="15" hidden="false" customHeight="false" outlineLevel="0" collapsed="false">
      <c r="A5" s="23" t="n">
        <v>46322</v>
      </c>
      <c r="B5" s="7" t="n">
        <v>0.065</v>
      </c>
      <c r="C5" s="7" t="n">
        <v>-0.008</v>
      </c>
      <c r="D5" s="7" t="n">
        <v>0.002</v>
      </c>
      <c r="E5" s="7" t="n">
        <v>0.088</v>
      </c>
      <c r="F5" s="7" t="n">
        <v>0.112</v>
      </c>
      <c r="G5" s="7" t="n">
        <v>0.049</v>
      </c>
      <c r="H5" s="7" t="n">
        <v>-0.054</v>
      </c>
      <c r="I5" s="7" t="n">
        <v>-0.159</v>
      </c>
      <c r="J5" s="7" t="n">
        <v>-0.005</v>
      </c>
      <c r="K5" s="7" t="n">
        <v>0.101</v>
      </c>
      <c r="L5" s="7" t="n">
        <v>0.128</v>
      </c>
      <c r="M5" s="7" t="n">
        <v>-0.005</v>
      </c>
      <c r="N5" s="7" t="n">
        <v>0.092</v>
      </c>
      <c r="O5" s="7" t="n">
        <v>0.468</v>
      </c>
      <c r="P5" s="7" t="n">
        <v>0.002</v>
      </c>
      <c r="Q5" s="7" t="n">
        <v>0.132</v>
      </c>
      <c r="R5" s="7" t="n">
        <v>-0.145</v>
      </c>
      <c r="S5" s="7" t="n">
        <v>0.073</v>
      </c>
      <c r="T5" s="7" t="n">
        <v>-0.339</v>
      </c>
      <c r="U5" s="7" t="n">
        <v>0.363</v>
      </c>
      <c r="V5" s="7" t="n">
        <v>-0.048</v>
      </c>
      <c r="W5" s="7" t="n">
        <v>0.132</v>
      </c>
      <c r="X5" s="7" t="n">
        <v>-0.126</v>
      </c>
      <c r="Y5" s="7" t="n">
        <v>0.094</v>
      </c>
      <c r="Z5" s="7" t="n">
        <v>0.101</v>
      </c>
      <c r="AA5" s="7" t="n">
        <v>-0.145</v>
      </c>
      <c r="AB5" s="7" t="n">
        <v>-0.015</v>
      </c>
      <c r="AC5" s="7" t="n">
        <v>0.08</v>
      </c>
      <c r="AD5" s="7" t="n">
        <v>0.077</v>
      </c>
      <c r="AE5" s="7" t="n">
        <v>0.112</v>
      </c>
      <c r="AF5" s="7" t="n">
        <v>0.157</v>
      </c>
      <c r="AG5" s="7" t="n">
        <v>-0.054</v>
      </c>
      <c r="AH5" s="7" t="n">
        <v>0.752</v>
      </c>
      <c r="AI5" s="7" t="n">
        <v>0.085</v>
      </c>
      <c r="AJ5" s="7" t="n">
        <v>-0.272</v>
      </c>
      <c r="AK5" s="7" t="n">
        <v>-0.223</v>
      </c>
      <c r="AL5" s="7" t="n">
        <v>0.155</v>
      </c>
      <c r="AM5" s="7" t="n">
        <v>0.003</v>
      </c>
      <c r="AN5" s="7" t="n">
        <v>-0.102</v>
      </c>
      <c r="AO5" s="7" t="n">
        <v>0.048</v>
      </c>
      <c r="AP5" s="7" t="n">
        <v>0</v>
      </c>
      <c r="AQ5" s="7" t="n">
        <v>0.085</v>
      </c>
    </row>
    <row r="6" customFormat="false" ht="15" hidden="false" customHeight="false" outlineLevel="0" collapsed="false">
      <c r="A6" s="23" t="n">
        <v>46323</v>
      </c>
      <c r="B6" s="7" t="n">
        <v>0.056</v>
      </c>
      <c r="C6" s="7" t="n">
        <v>-0.024</v>
      </c>
      <c r="D6" s="7" t="n">
        <v>0.01</v>
      </c>
      <c r="E6" s="7" t="n">
        <v>0.075</v>
      </c>
      <c r="F6" s="7" t="n">
        <v>0.103</v>
      </c>
      <c r="G6" s="7" t="n">
        <v>0.046</v>
      </c>
      <c r="H6" s="7" t="n">
        <v>-0.053</v>
      </c>
      <c r="I6" s="7" t="n">
        <v>-0.178</v>
      </c>
      <c r="J6" s="7" t="n">
        <v>-0.006</v>
      </c>
      <c r="K6" s="7" t="n">
        <v>0.085</v>
      </c>
      <c r="L6" s="7" t="n">
        <v>0.111</v>
      </c>
      <c r="M6" s="7" t="n">
        <v>-0.006</v>
      </c>
      <c r="N6" s="7" t="n">
        <v>0.072</v>
      </c>
      <c r="O6" s="7" t="n">
        <v>0.453</v>
      </c>
      <c r="P6" s="7" t="n">
        <v>0.001</v>
      </c>
      <c r="Q6" s="7" t="n">
        <v>0.13</v>
      </c>
      <c r="R6" s="7" t="n">
        <v>-0.142</v>
      </c>
      <c r="S6" s="7" t="n">
        <v>0.077</v>
      </c>
      <c r="T6" s="7" t="n">
        <v>-0.343</v>
      </c>
      <c r="U6" s="7" t="n">
        <v>0.377</v>
      </c>
      <c r="V6" s="7" t="n">
        <v>-0.05</v>
      </c>
      <c r="W6" s="7" t="n">
        <v>0.13</v>
      </c>
      <c r="X6" s="7" t="n">
        <v>-0.125</v>
      </c>
      <c r="Y6" s="7" t="n">
        <v>0.11</v>
      </c>
      <c r="Z6" s="7" t="n">
        <v>0.085</v>
      </c>
      <c r="AA6" s="7" t="n">
        <v>-0.142</v>
      </c>
      <c r="AB6" s="7" t="n">
        <v>-0.032</v>
      </c>
      <c r="AC6" s="7" t="n">
        <v>0.078</v>
      </c>
      <c r="AD6" s="7" t="n">
        <v>0.067</v>
      </c>
      <c r="AE6" s="7" t="n">
        <v>0.103</v>
      </c>
      <c r="AF6" s="7" t="n">
        <v>0.149</v>
      </c>
      <c r="AG6" s="7" t="n">
        <v>-0.053</v>
      </c>
      <c r="AH6" s="7" t="n">
        <v>0.754</v>
      </c>
      <c r="AI6" s="7" t="n">
        <v>0.069</v>
      </c>
      <c r="AJ6" s="7" t="n">
        <v>-0.286</v>
      </c>
      <c r="AK6" s="7" t="n">
        <v>-0.237</v>
      </c>
      <c r="AL6" s="7" t="n">
        <v>0.169</v>
      </c>
      <c r="AM6" s="7" t="n">
        <v>-0.013</v>
      </c>
      <c r="AN6" s="7" t="n">
        <v>-0.098</v>
      </c>
      <c r="AO6" s="7" t="n">
        <v>0.066</v>
      </c>
      <c r="AP6" s="7" t="n">
        <v>0</v>
      </c>
      <c r="AQ6" s="7" t="n">
        <v>0.085</v>
      </c>
    </row>
    <row r="7" customFormat="false" ht="15" hidden="false" customHeight="false" outlineLevel="0" collapsed="false">
      <c r="A7" s="23" t="n">
        <v>46324</v>
      </c>
      <c r="B7" s="7" t="n">
        <v>0.048</v>
      </c>
      <c r="C7" s="7" t="n">
        <v>-0.039</v>
      </c>
      <c r="D7" s="7" t="n">
        <v>0.017</v>
      </c>
      <c r="E7" s="7" t="n">
        <v>0.061</v>
      </c>
      <c r="F7" s="7" t="n">
        <v>0.094</v>
      </c>
      <c r="G7" s="7" t="n">
        <v>0.043</v>
      </c>
      <c r="H7" s="7" t="n">
        <v>-0.052</v>
      </c>
      <c r="I7" s="7" t="n">
        <v>-0.194</v>
      </c>
      <c r="J7" s="7" t="n">
        <v>-0.007</v>
      </c>
      <c r="K7" s="7" t="n">
        <v>0.07</v>
      </c>
      <c r="L7" s="7" t="n">
        <v>0.095</v>
      </c>
      <c r="M7" s="7" t="n">
        <v>-0.007</v>
      </c>
      <c r="N7" s="7" t="n">
        <v>0.052</v>
      </c>
      <c r="O7" s="7" t="n">
        <v>0.439</v>
      </c>
      <c r="P7" s="7" t="n">
        <v>0.001</v>
      </c>
      <c r="Q7" s="7" t="n">
        <v>0.127</v>
      </c>
      <c r="R7" s="7" t="n">
        <v>-0.139</v>
      </c>
      <c r="S7" s="7" t="n">
        <v>0.08</v>
      </c>
      <c r="T7" s="7" t="n">
        <v>-0.349</v>
      </c>
      <c r="U7" s="7" t="n">
        <v>0.389</v>
      </c>
      <c r="V7" s="7" t="n">
        <v>-0.05</v>
      </c>
      <c r="W7" s="7" t="n">
        <v>0.127</v>
      </c>
      <c r="X7" s="7" t="n">
        <v>-0.124</v>
      </c>
      <c r="Y7" s="7" t="n">
        <v>0.126</v>
      </c>
      <c r="Z7" s="7" t="n">
        <v>0.07</v>
      </c>
      <c r="AA7" s="7" t="n">
        <v>-0.139</v>
      </c>
      <c r="AB7" s="7" t="n">
        <v>-0.045</v>
      </c>
      <c r="AC7" s="7" t="n">
        <v>0.077</v>
      </c>
      <c r="AD7" s="7" t="n">
        <v>0.057</v>
      </c>
      <c r="AE7" s="7" t="n">
        <v>0.094</v>
      </c>
      <c r="AF7" s="7" t="n">
        <v>0.14</v>
      </c>
      <c r="AG7" s="7" t="n">
        <v>-0.052</v>
      </c>
      <c r="AH7" s="7" t="n">
        <v>0.755</v>
      </c>
      <c r="AI7" s="7" t="n">
        <v>0.055</v>
      </c>
      <c r="AJ7" s="7" t="n">
        <v>-0.301</v>
      </c>
      <c r="AK7" s="7" t="n">
        <v>-0.25</v>
      </c>
      <c r="AL7" s="7" t="n">
        <v>0.183</v>
      </c>
      <c r="AM7" s="7" t="n">
        <v>-0.028</v>
      </c>
      <c r="AN7" s="7" t="n">
        <v>-0.095</v>
      </c>
      <c r="AO7" s="7" t="n">
        <v>0.083</v>
      </c>
      <c r="AP7" s="7" t="n">
        <v>0</v>
      </c>
      <c r="AQ7" s="7" t="n">
        <v>0.085</v>
      </c>
    </row>
    <row r="8" customFormat="false" ht="15" hidden="false" customHeight="false" outlineLevel="0" collapsed="false">
      <c r="A8" s="23" t="n">
        <v>46325</v>
      </c>
      <c r="B8" s="7" t="n">
        <v>0.04</v>
      </c>
      <c r="C8" s="7" t="n">
        <v>-0.054</v>
      </c>
      <c r="D8" s="7" t="n">
        <v>0.025</v>
      </c>
      <c r="E8" s="7" t="n">
        <v>0.048</v>
      </c>
      <c r="F8" s="7" t="n">
        <v>0.085</v>
      </c>
      <c r="G8" s="7" t="n">
        <v>0.04</v>
      </c>
      <c r="H8" s="7" t="n">
        <v>-0.052</v>
      </c>
      <c r="I8" s="7" t="n">
        <v>-0.207</v>
      </c>
      <c r="J8" s="7" t="n">
        <v>-0.008</v>
      </c>
      <c r="K8" s="7" t="n">
        <v>0.054</v>
      </c>
      <c r="L8" s="7" t="n">
        <v>0.081</v>
      </c>
      <c r="M8" s="7" t="n">
        <v>-0.008</v>
      </c>
      <c r="N8" s="7" t="n">
        <v>0.035</v>
      </c>
      <c r="O8" s="7" t="n">
        <v>0.431</v>
      </c>
      <c r="P8" s="7" t="n">
        <v>0</v>
      </c>
      <c r="Q8" s="7" t="n">
        <v>0.124</v>
      </c>
      <c r="R8" s="7" t="n">
        <v>-0.137</v>
      </c>
      <c r="S8" s="7" t="n">
        <v>0.083</v>
      </c>
      <c r="T8" s="7" t="n">
        <v>-0.354</v>
      </c>
      <c r="U8" s="7" t="n">
        <v>0.402</v>
      </c>
      <c r="V8" s="7" t="n">
        <v>-0.048</v>
      </c>
      <c r="W8" s="7" t="n">
        <v>0.124</v>
      </c>
      <c r="X8" s="7" t="n">
        <v>-0.123</v>
      </c>
      <c r="Y8" s="7" t="n">
        <v>0.142</v>
      </c>
      <c r="Z8" s="7" t="n">
        <v>0.054</v>
      </c>
      <c r="AA8" s="7" t="n">
        <v>-0.137</v>
      </c>
      <c r="AB8" s="7" t="n">
        <v>-0.053</v>
      </c>
      <c r="AC8" s="7" t="n">
        <v>0.076</v>
      </c>
      <c r="AD8" s="7" t="n">
        <v>0.046</v>
      </c>
      <c r="AE8" s="7" t="n">
        <v>0.085</v>
      </c>
      <c r="AF8" s="7" t="n">
        <v>0.131</v>
      </c>
      <c r="AG8" s="7" t="n">
        <v>-0.052</v>
      </c>
      <c r="AH8" s="7" t="n">
        <v>0.759</v>
      </c>
      <c r="AI8" s="7" t="n">
        <v>0.042</v>
      </c>
      <c r="AJ8" s="7" t="n">
        <v>-0.315</v>
      </c>
      <c r="AK8" s="7" t="n">
        <v>-0.262</v>
      </c>
      <c r="AL8" s="7" t="n">
        <v>0.197</v>
      </c>
      <c r="AM8" s="7" t="n">
        <v>-0.042</v>
      </c>
      <c r="AN8" s="7" t="n">
        <v>-0.092</v>
      </c>
      <c r="AO8" s="7" t="n">
        <v>0.1</v>
      </c>
      <c r="AP8" s="7" t="n">
        <v>0</v>
      </c>
      <c r="AQ8" s="7" t="n">
        <v>0.085</v>
      </c>
    </row>
    <row r="9" customFormat="false" ht="15" hidden="false" customHeight="false" outlineLevel="0" collapsed="false">
      <c r="A9" s="23" t="n">
        <v>46326</v>
      </c>
      <c r="B9" s="7" t="n">
        <v>0.03</v>
      </c>
      <c r="C9" s="7" t="n">
        <v>-0.069</v>
      </c>
      <c r="D9" s="7" t="n">
        <v>0.032</v>
      </c>
      <c r="E9" s="7" t="n">
        <v>0.034</v>
      </c>
      <c r="F9" s="7" t="n">
        <v>0.075</v>
      </c>
      <c r="G9" s="7" t="n">
        <v>0.037</v>
      </c>
      <c r="H9" s="7" t="n">
        <v>-0.052</v>
      </c>
      <c r="I9" s="7" t="n">
        <v>-0.225</v>
      </c>
      <c r="J9" s="7" t="n">
        <v>-0.009</v>
      </c>
      <c r="K9" s="7" t="n">
        <v>0.037</v>
      </c>
      <c r="L9" s="7" t="n">
        <v>0.067</v>
      </c>
      <c r="M9" s="7" t="n">
        <v>-0.009</v>
      </c>
      <c r="N9" s="7" t="n">
        <v>0.017</v>
      </c>
      <c r="O9" s="7" t="n">
        <v>0.423</v>
      </c>
      <c r="P9" s="7" t="n">
        <v>-0.001</v>
      </c>
      <c r="Q9" s="7" t="n">
        <v>0.121</v>
      </c>
      <c r="R9" s="7" t="n">
        <v>-0.134</v>
      </c>
      <c r="S9" s="7" t="n">
        <v>0.086</v>
      </c>
      <c r="T9" s="7" t="n">
        <v>-0.36</v>
      </c>
      <c r="U9" s="7" t="n">
        <v>0.413</v>
      </c>
      <c r="V9" s="7" t="n">
        <v>-0.052</v>
      </c>
      <c r="W9" s="7" t="n">
        <v>0.121</v>
      </c>
      <c r="X9" s="7" t="n">
        <v>-0.122</v>
      </c>
      <c r="Y9" s="7" t="n">
        <v>0.158</v>
      </c>
      <c r="Z9" s="7" t="n">
        <v>0.037</v>
      </c>
      <c r="AA9" s="7" t="n">
        <v>-0.134</v>
      </c>
      <c r="AB9" s="7" t="n">
        <v>-0.064</v>
      </c>
      <c r="AC9" s="7" t="n">
        <v>0.075</v>
      </c>
      <c r="AD9" s="7" t="n">
        <v>0.034</v>
      </c>
      <c r="AE9" s="7" t="n">
        <v>0.075</v>
      </c>
      <c r="AF9" s="7" t="n">
        <v>0.121</v>
      </c>
      <c r="AG9" s="7" t="n">
        <v>-0.052</v>
      </c>
      <c r="AH9" s="7" t="n">
        <v>0.762</v>
      </c>
      <c r="AI9" s="7" t="n">
        <v>0.03</v>
      </c>
      <c r="AJ9" s="7" t="n">
        <v>-0.329</v>
      </c>
      <c r="AK9" s="7" t="n">
        <v>-0.274</v>
      </c>
      <c r="AL9" s="7" t="n">
        <v>0.211</v>
      </c>
      <c r="AM9" s="7" t="n">
        <v>-0.055</v>
      </c>
      <c r="AN9" s="7" t="n">
        <v>-0.089</v>
      </c>
      <c r="AO9" s="7" t="n">
        <v>0.118</v>
      </c>
      <c r="AP9" s="7" t="n">
        <v>0</v>
      </c>
      <c r="AQ9" s="7" t="n">
        <v>0.085</v>
      </c>
    </row>
    <row r="10" customFormat="false" ht="15" hidden="false" customHeight="false" outlineLevel="0" collapsed="false">
      <c r="A10" s="23" t="n">
        <v>46327</v>
      </c>
      <c r="B10" s="7" t="n">
        <v>0.03</v>
      </c>
      <c r="C10" s="7" t="n">
        <v>-0.069</v>
      </c>
      <c r="D10" s="7" t="n">
        <v>0.032</v>
      </c>
      <c r="E10" s="7" t="n">
        <v>0.034</v>
      </c>
      <c r="F10" s="7" t="n">
        <v>0.075</v>
      </c>
      <c r="G10" s="7" t="n">
        <v>0.037</v>
      </c>
      <c r="H10" s="7" t="n">
        <v>-0.052</v>
      </c>
      <c r="I10" s="7" t="n">
        <v>-0.225</v>
      </c>
      <c r="J10" s="7" t="n">
        <v>-0.009</v>
      </c>
      <c r="K10" s="7" t="n">
        <v>0.037</v>
      </c>
      <c r="L10" s="7" t="n">
        <v>0.067</v>
      </c>
      <c r="M10" s="7" t="n">
        <v>-0.009</v>
      </c>
      <c r="N10" s="7" t="n">
        <v>0.017</v>
      </c>
      <c r="O10" s="7" t="n">
        <v>0.423</v>
      </c>
      <c r="P10" s="7" t="n">
        <v>-0.001</v>
      </c>
      <c r="Q10" s="7" t="n">
        <v>0.121</v>
      </c>
      <c r="R10" s="7" t="n">
        <v>-0.134</v>
      </c>
      <c r="S10" s="7" t="n">
        <v>0.086</v>
      </c>
      <c r="T10" s="7" t="n">
        <v>-0.36</v>
      </c>
      <c r="U10" s="7" t="n">
        <v>0.413</v>
      </c>
      <c r="V10" s="7" t="n">
        <v>-0.052</v>
      </c>
      <c r="W10" s="7" t="n">
        <v>0.121</v>
      </c>
      <c r="X10" s="7" t="n">
        <v>-0.122</v>
      </c>
      <c r="Y10" s="7" t="n">
        <v>0.158</v>
      </c>
      <c r="Z10" s="7" t="n">
        <v>0.037</v>
      </c>
      <c r="AA10" s="7" t="n">
        <v>-0.134</v>
      </c>
      <c r="AB10" s="7" t="n">
        <v>-0.064</v>
      </c>
      <c r="AC10" s="7" t="n">
        <v>0.075</v>
      </c>
      <c r="AD10" s="7" t="n">
        <v>0.034</v>
      </c>
      <c r="AE10" s="7" t="n">
        <v>0.075</v>
      </c>
      <c r="AF10" s="7" t="n">
        <v>0.121</v>
      </c>
      <c r="AG10" s="7" t="n">
        <v>-0.052</v>
      </c>
      <c r="AH10" s="7" t="n">
        <v>0.762</v>
      </c>
      <c r="AI10" s="7" t="n">
        <v>0.03</v>
      </c>
      <c r="AJ10" s="7" t="n">
        <v>-0.329</v>
      </c>
      <c r="AK10" s="7" t="n">
        <v>-0.274</v>
      </c>
      <c r="AL10" s="7" t="n">
        <v>0.211</v>
      </c>
      <c r="AM10" s="7" t="n">
        <v>-0.055</v>
      </c>
      <c r="AN10" s="7" t="n">
        <v>-0.089</v>
      </c>
      <c r="AO10" s="7" t="n">
        <v>0.118</v>
      </c>
      <c r="AP10" s="7" t="n">
        <v>0</v>
      </c>
      <c r="AQ10" s="7" t="n">
        <v>0.085</v>
      </c>
    </row>
    <row r="11" customFormat="false" ht="15" hidden="false" customHeight="false" outlineLevel="0" collapsed="false">
      <c r="A11" s="23" t="n">
        <v>46328</v>
      </c>
      <c r="B11" s="7" t="n">
        <v>0.03</v>
      </c>
      <c r="C11" s="7" t="n">
        <v>-0.069</v>
      </c>
      <c r="D11" s="7" t="n">
        <v>0.032</v>
      </c>
      <c r="E11" s="7" t="n">
        <v>0.034</v>
      </c>
      <c r="F11" s="7" t="n">
        <v>0.075</v>
      </c>
      <c r="G11" s="7" t="n">
        <v>0.037</v>
      </c>
      <c r="H11" s="7" t="n">
        <v>-0.052</v>
      </c>
      <c r="I11" s="7" t="n">
        <v>-0.225</v>
      </c>
      <c r="J11" s="7" t="n">
        <v>-0.009</v>
      </c>
      <c r="K11" s="7" t="n">
        <v>0.037</v>
      </c>
      <c r="L11" s="7" t="n">
        <v>0.067</v>
      </c>
      <c r="M11" s="7" t="n">
        <v>-0.009</v>
      </c>
      <c r="N11" s="7" t="n">
        <v>0.017</v>
      </c>
      <c r="O11" s="7" t="n">
        <v>0.423</v>
      </c>
      <c r="P11" s="7" t="n">
        <v>-0.001</v>
      </c>
      <c r="Q11" s="7" t="n">
        <v>0.121</v>
      </c>
      <c r="R11" s="7" t="n">
        <v>-0.134</v>
      </c>
      <c r="S11" s="7" t="n">
        <v>0.086</v>
      </c>
      <c r="T11" s="7" t="n">
        <v>-0.36</v>
      </c>
      <c r="U11" s="7" t="n">
        <v>0.413</v>
      </c>
      <c r="V11" s="7" t="n">
        <v>-0.052</v>
      </c>
      <c r="W11" s="7" t="n">
        <v>0.121</v>
      </c>
      <c r="X11" s="7" t="n">
        <v>-0.122</v>
      </c>
      <c r="Y11" s="7" t="n">
        <v>0.158</v>
      </c>
      <c r="Z11" s="7" t="n">
        <v>0.037</v>
      </c>
      <c r="AA11" s="7" t="n">
        <v>-0.134</v>
      </c>
      <c r="AB11" s="7" t="n">
        <v>-0.064</v>
      </c>
      <c r="AC11" s="7" t="n">
        <v>0.075</v>
      </c>
      <c r="AD11" s="7" t="n">
        <v>0.034</v>
      </c>
      <c r="AE11" s="7" t="n">
        <v>0.075</v>
      </c>
      <c r="AF11" s="7" t="n">
        <v>0.121</v>
      </c>
      <c r="AG11" s="7" t="n">
        <v>-0.052</v>
      </c>
      <c r="AH11" s="7" t="n">
        <v>0.762</v>
      </c>
      <c r="AI11" s="7" t="n">
        <v>0.03</v>
      </c>
      <c r="AJ11" s="7" t="n">
        <v>-0.329</v>
      </c>
      <c r="AK11" s="7" t="n">
        <v>-0.274</v>
      </c>
      <c r="AL11" s="7" t="n">
        <v>0.211</v>
      </c>
      <c r="AM11" s="7" t="n">
        <v>-0.055</v>
      </c>
      <c r="AN11" s="7" t="n">
        <v>-0.089</v>
      </c>
      <c r="AO11" s="7" t="n">
        <v>0.118</v>
      </c>
      <c r="AP11" s="7" t="n">
        <v>0</v>
      </c>
      <c r="AQ11" s="7" t="n">
        <v>0.085</v>
      </c>
    </row>
    <row r="12" customFormat="false" ht="15" hidden="false" customHeight="false" outlineLevel="0" collapsed="false">
      <c r="A12" s="23" t="n">
        <v>46329</v>
      </c>
      <c r="B12" s="7" t="n">
        <v>0.038</v>
      </c>
      <c r="C12" s="7" t="n">
        <v>-0.066</v>
      </c>
      <c r="D12" s="7" t="n">
        <v>0.046</v>
      </c>
      <c r="E12" s="7" t="n">
        <v>0.033</v>
      </c>
      <c r="F12" s="7" t="n">
        <v>0.08</v>
      </c>
      <c r="G12" s="7" t="n">
        <v>0.037</v>
      </c>
      <c r="H12" s="7" t="n">
        <v>-0.052</v>
      </c>
      <c r="I12" s="7" t="n">
        <v>-0.225</v>
      </c>
      <c r="J12" s="7" t="n">
        <v>-0.004</v>
      </c>
      <c r="K12" s="7" t="n">
        <v>0.037</v>
      </c>
      <c r="L12" s="7" t="n">
        <v>0.065</v>
      </c>
      <c r="M12" s="7" t="n">
        <v>-0.004</v>
      </c>
      <c r="N12" s="7" t="n">
        <v>0.019</v>
      </c>
      <c r="O12" s="7" t="n">
        <v>0.425</v>
      </c>
      <c r="P12" s="7" t="n">
        <v>0.006</v>
      </c>
      <c r="Q12" s="7" t="n">
        <v>0.121</v>
      </c>
      <c r="R12" s="7" t="n">
        <v>-0.129</v>
      </c>
      <c r="S12" s="7" t="n">
        <v>0.091</v>
      </c>
      <c r="T12" s="7" t="n">
        <v>-0.36</v>
      </c>
      <c r="U12" s="7" t="n">
        <v>0.441</v>
      </c>
      <c r="V12" s="7" t="n">
        <v>-0.052</v>
      </c>
      <c r="W12" s="7" t="n">
        <v>0.121</v>
      </c>
      <c r="X12" s="7" t="n">
        <v>-0.111</v>
      </c>
      <c r="Y12" s="7" t="n">
        <v>0.189</v>
      </c>
      <c r="Z12" s="7" t="n">
        <v>0.037</v>
      </c>
      <c r="AA12" s="7" t="n">
        <v>-0.129</v>
      </c>
      <c r="AB12" s="7" t="n">
        <v>-0.061</v>
      </c>
      <c r="AC12" s="7" t="n">
        <v>0.08</v>
      </c>
      <c r="AD12" s="7" t="n">
        <v>0.033</v>
      </c>
      <c r="AE12" s="7" t="n">
        <v>0.08</v>
      </c>
      <c r="AF12" s="7" t="n">
        <v>0.121</v>
      </c>
      <c r="AG12" s="7" t="n">
        <v>-0.052</v>
      </c>
      <c r="AH12" s="7" t="n">
        <v>0.777</v>
      </c>
      <c r="AI12" s="7" t="n">
        <v>0.028</v>
      </c>
      <c r="AJ12" s="7" t="n">
        <v>-0.332</v>
      </c>
      <c r="AK12" s="7" t="n">
        <v>-0.275</v>
      </c>
      <c r="AL12" s="7" t="n">
        <v>0.238</v>
      </c>
      <c r="AM12" s="7" t="n">
        <v>-0.057</v>
      </c>
      <c r="AN12" s="7" t="n">
        <v>-0.089</v>
      </c>
      <c r="AO12" s="7" t="n">
        <v>0.149</v>
      </c>
      <c r="AP12" s="7" t="n">
        <v>0</v>
      </c>
      <c r="AQ12" s="7" t="n">
        <v>0.085</v>
      </c>
    </row>
    <row r="13" customFormat="false" ht="15" hidden="false" customHeight="false" outlineLevel="0" collapsed="false">
      <c r="A13" s="23" t="n">
        <v>46330</v>
      </c>
      <c r="B13" s="7" t="n">
        <v>0.046</v>
      </c>
      <c r="C13" s="7" t="n">
        <v>-0.064</v>
      </c>
      <c r="D13" s="7" t="n">
        <v>0.061</v>
      </c>
      <c r="E13" s="7" t="n">
        <v>0.031</v>
      </c>
      <c r="F13" s="7" t="n">
        <v>0.084</v>
      </c>
      <c r="G13" s="7" t="n">
        <v>0.037</v>
      </c>
      <c r="H13" s="7" t="n">
        <v>-0.052</v>
      </c>
      <c r="I13" s="7" t="n">
        <v>-0.225</v>
      </c>
      <c r="J13" s="7" t="n">
        <v>0</v>
      </c>
      <c r="K13" s="7" t="n">
        <v>0.037</v>
      </c>
      <c r="L13" s="7" t="n">
        <v>0.063</v>
      </c>
      <c r="M13" s="7" t="n">
        <v>0</v>
      </c>
      <c r="N13" s="7" t="n">
        <v>0.02</v>
      </c>
      <c r="O13" s="7" t="n">
        <v>0.428</v>
      </c>
      <c r="P13" s="7" t="n">
        <v>0.013</v>
      </c>
      <c r="Q13" s="7" t="n">
        <v>0.121</v>
      </c>
      <c r="R13" s="7" t="n">
        <v>-0.124</v>
      </c>
      <c r="S13" s="7" t="n">
        <v>0.095</v>
      </c>
      <c r="T13" s="7" t="n">
        <v>-0.359</v>
      </c>
      <c r="U13" s="7" t="n">
        <v>0.467</v>
      </c>
      <c r="V13" s="7" t="n">
        <v>-0.052</v>
      </c>
      <c r="W13" s="7" t="n">
        <v>0.121</v>
      </c>
      <c r="X13" s="7" t="n">
        <v>-0.099</v>
      </c>
      <c r="Y13" s="7" t="n">
        <v>0.22</v>
      </c>
      <c r="Z13" s="7" t="n">
        <v>0.037</v>
      </c>
      <c r="AA13" s="7" t="n">
        <v>-0.124</v>
      </c>
      <c r="AB13" s="7" t="n">
        <v>-0.058</v>
      </c>
      <c r="AC13" s="7" t="n">
        <v>0.084</v>
      </c>
      <c r="AD13" s="7" t="n">
        <v>0.031</v>
      </c>
      <c r="AE13" s="7" t="n">
        <v>0.084</v>
      </c>
      <c r="AF13" s="7" t="n">
        <v>0.121</v>
      </c>
      <c r="AG13" s="7" t="n">
        <v>-0.052</v>
      </c>
      <c r="AH13" s="7" t="n">
        <v>0.792</v>
      </c>
      <c r="AI13" s="7" t="n">
        <v>0.026</v>
      </c>
      <c r="AJ13" s="7" t="n">
        <v>-0.334</v>
      </c>
      <c r="AK13" s="7" t="n">
        <v>-0.275</v>
      </c>
      <c r="AL13" s="7" t="n">
        <v>0.265</v>
      </c>
      <c r="AM13" s="7" t="n">
        <v>-0.058</v>
      </c>
      <c r="AN13" s="7" t="n">
        <v>-0.089</v>
      </c>
      <c r="AO13" s="7" t="n">
        <v>0.18</v>
      </c>
      <c r="AP13" s="7" t="n">
        <v>0</v>
      </c>
      <c r="AQ13" s="7" t="n">
        <v>0.084</v>
      </c>
    </row>
    <row r="14" customFormat="false" ht="15" hidden="false" customHeight="false" outlineLevel="0" collapsed="false">
      <c r="A14" s="23" t="n">
        <v>46331</v>
      </c>
      <c r="B14" s="7" t="n">
        <v>0.054</v>
      </c>
      <c r="C14" s="7" t="n">
        <v>-0.061</v>
      </c>
      <c r="D14" s="7" t="n">
        <v>0.075</v>
      </c>
      <c r="E14" s="7" t="n">
        <v>0.03</v>
      </c>
      <c r="F14" s="7" t="n">
        <v>0.089</v>
      </c>
      <c r="G14" s="7" t="n">
        <v>0.037</v>
      </c>
      <c r="H14" s="7" t="n">
        <v>-0.052</v>
      </c>
      <c r="I14" s="7" t="n">
        <v>-0.225</v>
      </c>
      <c r="J14" s="7" t="n">
        <v>0.005</v>
      </c>
      <c r="K14" s="7" t="n">
        <v>0.037</v>
      </c>
      <c r="L14" s="7" t="n">
        <v>0.062</v>
      </c>
      <c r="M14" s="7" t="n">
        <v>0.005</v>
      </c>
      <c r="N14" s="7" t="n">
        <v>0.021</v>
      </c>
      <c r="O14" s="7" t="n">
        <v>0.43</v>
      </c>
      <c r="P14" s="7" t="n">
        <v>0.02</v>
      </c>
      <c r="Q14" s="7" t="n">
        <v>0.121</v>
      </c>
      <c r="R14" s="7" t="n">
        <v>-0.119</v>
      </c>
      <c r="S14" s="7" t="n">
        <v>0.098</v>
      </c>
      <c r="T14" s="7" t="n">
        <v>-0.358</v>
      </c>
      <c r="U14" s="7" t="n">
        <v>0.49</v>
      </c>
      <c r="V14" s="7" t="n">
        <v>-0.052</v>
      </c>
      <c r="W14" s="7" t="n">
        <v>0.121</v>
      </c>
      <c r="X14" s="7" t="n">
        <v>-0.088</v>
      </c>
      <c r="Y14" s="7" t="n">
        <v>0.248</v>
      </c>
      <c r="Z14" s="7" t="n">
        <v>0.037</v>
      </c>
      <c r="AA14" s="7" t="n">
        <v>-0.119</v>
      </c>
      <c r="AB14" s="7" t="n">
        <v>-0.055</v>
      </c>
      <c r="AC14" s="7" t="n">
        <v>0.089</v>
      </c>
      <c r="AD14" s="7" t="n">
        <v>0.03</v>
      </c>
      <c r="AE14" s="7" t="n">
        <v>0.089</v>
      </c>
      <c r="AF14" s="7" t="n">
        <v>0.121</v>
      </c>
      <c r="AG14" s="7" t="n">
        <v>-0.052</v>
      </c>
      <c r="AH14" s="7" t="n">
        <v>0.806</v>
      </c>
      <c r="AI14" s="7" t="n">
        <v>0.024</v>
      </c>
      <c r="AJ14" s="7" t="n">
        <v>-0.337</v>
      </c>
      <c r="AK14" s="7" t="n">
        <v>-0.276</v>
      </c>
      <c r="AL14" s="7" t="n">
        <v>0.288</v>
      </c>
      <c r="AM14" s="7" t="n">
        <v>-0.06</v>
      </c>
      <c r="AN14" s="7" t="n">
        <v>-0.09</v>
      </c>
      <c r="AO14" s="7" t="n">
        <v>0.207</v>
      </c>
      <c r="AP14" s="7" t="n">
        <v>0</v>
      </c>
      <c r="AQ14" s="7" t="n">
        <v>0.084</v>
      </c>
    </row>
    <row r="15" customFormat="false" ht="15" hidden="false" customHeight="false" outlineLevel="0" collapsed="false">
      <c r="A15" s="23" t="n">
        <v>46332</v>
      </c>
      <c r="B15" s="7" t="n">
        <v>0.061</v>
      </c>
      <c r="C15" s="7" t="n">
        <v>-0.058</v>
      </c>
      <c r="D15" s="7" t="n">
        <v>0.088</v>
      </c>
      <c r="E15" s="7" t="n">
        <v>0.028</v>
      </c>
      <c r="F15" s="7" t="n">
        <v>0.093</v>
      </c>
      <c r="G15" s="7" t="n">
        <v>0.037</v>
      </c>
      <c r="H15" s="7" t="n">
        <v>-0.053</v>
      </c>
      <c r="I15" s="7" t="n">
        <v>-0.225</v>
      </c>
      <c r="J15" s="7" t="n">
        <v>0.009</v>
      </c>
      <c r="K15" s="7" t="n">
        <v>0.037</v>
      </c>
      <c r="L15" s="7" t="n">
        <v>0.06</v>
      </c>
      <c r="M15" s="7" t="n">
        <v>0.009</v>
      </c>
      <c r="N15" s="7" t="n">
        <v>0.023</v>
      </c>
      <c r="O15" s="7" t="n">
        <v>0.428</v>
      </c>
      <c r="P15" s="7" t="n">
        <v>0.027</v>
      </c>
      <c r="Q15" s="7" t="n">
        <v>0.121</v>
      </c>
      <c r="R15" s="7" t="n">
        <v>-0.115</v>
      </c>
      <c r="S15" s="7" t="n">
        <v>0.101</v>
      </c>
      <c r="T15" s="7" t="n">
        <v>-0.357</v>
      </c>
      <c r="U15" s="7" t="n">
        <v>0.513</v>
      </c>
      <c r="V15" s="7" t="n">
        <v>-0.053</v>
      </c>
      <c r="W15" s="7" t="n">
        <v>0.121</v>
      </c>
      <c r="X15" s="7" t="n">
        <v>-0.077</v>
      </c>
      <c r="Y15" s="7" t="n">
        <v>0.276</v>
      </c>
      <c r="Z15" s="7" t="n">
        <v>0.037</v>
      </c>
      <c r="AA15" s="7" t="n">
        <v>-0.115</v>
      </c>
      <c r="AB15" s="7" t="n">
        <v>-0.052</v>
      </c>
      <c r="AC15" s="7" t="n">
        <v>0.093</v>
      </c>
      <c r="AD15" s="7" t="n">
        <v>0.028</v>
      </c>
      <c r="AE15" s="7" t="n">
        <v>0.093</v>
      </c>
      <c r="AF15" s="7" t="n">
        <v>0.121</v>
      </c>
      <c r="AG15" s="7" t="n">
        <v>-0.053</v>
      </c>
      <c r="AH15" s="7" t="n">
        <v>0.817</v>
      </c>
      <c r="AI15" s="7" t="n">
        <v>0.023</v>
      </c>
      <c r="AJ15" s="7" t="n">
        <v>-0.34</v>
      </c>
      <c r="AK15" s="7" t="n">
        <v>-0.276</v>
      </c>
      <c r="AL15" s="7" t="n">
        <v>0.311</v>
      </c>
      <c r="AM15" s="7" t="n">
        <v>-0.061</v>
      </c>
      <c r="AN15" s="7" t="n">
        <v>-0.09</v>
      </c>
      <c r="AO15" s="7" t="n">
        <v>0.234</v>
      </c>
      <c r="AP15" s="7" t="n">
        <v>0</v>
      </c>
      <c r="AQ15" s="7" t="n">
        <v>0.084</v>
      </c>
    </row>
    <row r="16" customFormat="false" ht="15" hidden="false" customHeight="false" outlineLevel="0" collapsed="false">
      <c r="A16" s="23" t="n">
        <v>46333</v>
      </c>
      <c r="B16" s="7" t="n">
        <v>0.069</v>
      </c>
      <c r="C16" s="7" t="n">
        <v>-0.054</v>
      </c>
      <c r="D16" s="7" t="n">
        <v>0.102</v>
      </c>
      <c r="E16" s="7" t="n">
        <v>0.027</v>
      </c>
      <c r="F16" s="7" t="n">
        <v>0.099</v>
      </c>
      <c r="G16" s="7" t="n">
        <v>0.037</v>
      </c>
      <c r="H16" s="7" t="n">
        <v>-0.053</v>
      </c>
      <c r="I16" s="7" t="n">
        <v>-0.225</v>
      </c>
      <c r="J16" s="7" t="n">
        <v>0.015</v>
      </c>
      <c r="K16" s="7" t="n">
        <v>0.037</v>
      </c>
      <c r="L16" s="7" t="n">
        <v>0.058</v>
      </c>
      <c r="M16" s="7" t="n">
        <v>0.015</v>
      </c>
      <c r="N16" s="7" t="n">
        <v>0.025</v>
      </c>
      <c r="O16" s="7" t="n">
        <v>0.427</v>
      </c>
      <c r="P16" s="7" t="n">
        <v>0.036</v>
      </c>
      <c r="Q16" s="7" t="n">
        <v>0.121</v>
      </c>
      <c r="R16" s="7" t="n">
        <v>-0.113</v>
      </c>
      <c r="S16" s="7" t="n">
        <v>0.109</v>
      </c>
      <c r="T16" s="7" t="n">
        <v>-0.362</v>
      </c>
      <c r="U16" s="7" t="n">
        <v>0.532</v>
      </c>
      <c r="V16" s="7" t="n">
        <v>-0.053</v>
      </c>
      <c r="W16" s="7" t="n">
        <v>0.121</v>
      </c>
      <c r="X16" s="7" t="n">
        <v>-0.064</v>
      </c>
      <c r="Y16" s="7" t="n">
        <v>0.302</v>
      </c>
      <c r="Z16" s="7" t="n">
        <v>0.037</v>
      </c>
      <c r="AA16" s="7" t="n">
        <v>-0.113</v>
      </c>
      <c r="AB16" s="7" t="n">
        <v>-0.048</v>
      </c>
      <c r="AC16" s="7" t="n">
        <v>0.099</v>
      </c>
      <c r="AD16" s="7" t="n">
        <v>0.027</v>
      </c>
      <c r="AE16" s="7" t="n">
        <v>0.099</v>
      </c>
      <c r="AF16" s="7" t="n">
        <v>0.121</v>
      </c>
      <c r="AG16" s="7" t="n">
        <v>-0.053</v>
      </c>
      <c r="AH16" s="7" t="n">
        <v>0.828</v>
      </c>
      <c r="AI16" s="7" t="n">
        <v>0.021</v>
      </c>
      <c r="AJ16" s="7" t="n">
        <v>-0.342</v>
      </c>
      <c r="AK16" s="7" t="n">
        <v>-0.277</v>
      </c>
      <c r="AL16" s="7" t="n">
        <v>0.334</v>
      </c>
      <c r="AM16" s="7" t="n">
        <v>-0.063</v>
      </c>
      <c r="AN16" s="7" t="n">
        <v>-0.09</v>
      </c>
      <c r="AO16" s="7" t="n">
        <v>0.261</v>
      </c>
      <c r="AP16" s="7" t="n">
        <v>0</v>
      </c>
      <c r="AQ16" s="7" t="n">
        <v>0.084</v>
      </c>
    </row>
    <row r="17" customFormat="false" ht="15" hidden="false" customHeight="false" outlineLevel="0" collapsed="false">
      <c r="A17" s="23" t="n">
        <v>46334</v>
      </c>
      <c r="B17" s="7" t="n">
        <v>0.069</v>
      </c>
      <c r="C17" s="7" t="n">
        <v>-0.054</v>
      </c>
      <c r="D17" s="7" t="n">
        <v>0.102</v>
      </c>
      <c r="E17" s="7" t="n">
        <v>0.027</v>
      </c>
      <c r="F17" s="7" t="n">
        <v>0.099</v>
      </c>
      <c r="G17" s="7" t="n">
        <v>0.037</v>
      </c>
      <c r="H17" s="7" t="n">
        <v>-0.053</v>
      </c>
      <c r="I17" s="7" t="n">
        <v>-0.225</v>
      </c>
      <c r="J17" s="7" t="n">
        <v>0.015</v>
      </c>
      <c r="K17" s="7" t="n">
        <v>0.037</v>
      </c>
      <c r="L17" s="7" t="n">
        <v>0.058</v>
      </c>
      <c r="M17" s="7" t="n">
        <v>0.015</v>
      </c>
      <c r="N17" s="7" t="n">
        <v>0.025</v>
      </c>
      <c r="O17" s="7" t="n">
        <v>0.427</v>
      </c>
      <c r="P17" s="7" t="n">
        <v>0.036</v>
      </c>
      <c r="Q17" s="7" t="n">
        <v>0.121</v>
      </c>
      <c r="R17" s="7" t="n">
        <v>-0.113</v>
      </c>
      <c r="S17" s="7" t="n">
        <v>0.109</v>
      </c>
      <c r="T17" s="7" t="n">
        <v>-0.362</v>
      </c>
      <c r="U17" s="7" t="n">
        <v>0.532</v>
      </c>
      <c r="V17" s="7" t="n">
        <v>-0.053</v>
      </c>
      <c r="W17" s="7" t="n">
        <v>0.121</v>
      </c>
      <c r="X17" s="7" t="n">
        <v>-0.064</v>
      </c>
      <c r="Y17" s="7" t="n">
        <v>0.302</v>
      </c>
      <c r="Z17" s="7" t="n">
        <v>0.037</v>
      </c>
      <c r="AA17" s="7" t="n">
        <v>-0.113</v>
      </c>
      <c r="AB17" s="7" t="n">
        <v>-0.048</v>
      </c>
      <c r="AC17" s="7" t="n">
        <v>0.099</v>
      </c>
      <c r="AD17" s="7" t="n">
        <v>0.027</v>
      </c>
      <c r="AE17" s="7" t="n">
        <v>0.099</v>
      </c>
      <c r="AF17" s="7" t="n">
        <v>0.121</v>
      </c>
      <c r="AG17" s="7" t="n">
        <v>-0.053</v>
      </c>
      <c r="AH17" s="7" t="n">
        <v>0.828</v>
      </c>
      <c r="AI17" s="7" t="n">
        <v>0.021</v>
      </c>
      <c r="AJ17" s="7" t="n">
        <v>-0.342</v>
      </c>
      <c r="AK17" s="7" t="n">
        <v>-0.277</v>
      </c>
      <c r="AL17" s="7" t="n">
        <v>0.334</v>
      </c>
      <c r="AM17" s="7" t="n">
        <v>-0.063</v>
      </c>
      <c r="AN17" s="7" t="n">
        <v>-0.09</v>
      </c>
      <c r="AO17" s="7" t="n">
        <v>0.261</v>
      </c>
      <c r="AP17" s="7" t="n">
        <v>0</v>
      </c>
      <c r="AQ17" s="7" t="n">
        <v>0.084</v>
      </c>
    </row>
    <row r="18" customFormat="false" ht="15" hidden="false" customHeight="false" outlineLevel="0" collapsed="false">
      <c r="A18" s="23" t="n">
        <v>46335</v>
      </c>
      <c r="B18" s="7" t="n">
        <v>0.069</v>
      </c>
      <c r="C18" s="7" t="n">
        <v>-0.054</v>
      </c>
      <c r="D18" s="7" t="n">
        <v>0.102</v>
      </c>
      <c r="E18" s="7" t="n">
        <v>0.027</v>
      </c>
      <c r="F18" s="7" t="n">
        <v>0.099</v>
      </c>
      <c r="G18" s="7" t="n">
        <v>0.037</v>
      </c>
      <c r="H18" s="7" t="n">
        <v>-0.053</v>
      </c>
      <c r="I18" s="7" t="n">
        <v>-0.225</v>
      </c>
      <c r="J18" s="7" t="n">
        <v>0.015</v>
      </c>
      <c r="K18" s="7" t="n">
        <v>0.037</v>
      </c>
      <c r="L18" s="7" t="n">
        <v>0.058</v>
      </c>
      <c r="M18" s="7" t="n">
        <v>0.015</v>
      </c>
      <c r="N18" s="7" t="n">
        <v>0.025</v>
      </c>
      <c r="O18" s="7" t="n">
        <v>0.427</v>
      </c>
      <c r="P18" s="7" t="n">
        <v>0.036</v>
      </c>
      <c r="Q18" s="7" t="n">
        <v>0.121</v>
      </c>
      <c r="R18" s="7" t="n">
        <v>-0.113</v>
      </c>
      <c r="S18" s="7" t="n">
        <v>0.109</v>
      </c>
      <c r="T18" s="7" t="n">
        <v>-0.362</v>
      </c>
      <c r="U18" s="7" t="n">
        <v>0.532</v>
      </c>
      <c r="V18" s="7" t="n">
        <v>-0.053</v>
      </c>
      <c r="W18" s="7" t="n">
        <v>0.121</v>
      </c>
      <c r="X18" s="7" t="n">
        <v>-0.064</v>
      </c>
      <c r="Y18" s="7" t="n">
        <v>0.302</v>
      </c>
      <c r="Z18" s="7" t="n">
        <v>0.037</v>
      </c>
      <c r="AA18" s="7" t="n">
        <v>-0.113</v>
      </c>
      <c r="AB18" s="7" t="n">
        <v>-0.048</v>
      </c>
      <c r="AC18" s="7" t="n">
        <v>0.099</v>
      </c>
      <c r="AD18" s="7" t="n">
        <v>0.027</v>
      </c>
      <c r="AE18" s="7" t="n">
        <v>0.099</v>
      </c>
      <c r="AF18" s="7" t="n">
        <v>0.121</v>
      </c>
      <c r="AG18" s="7" t="n">
        <v>-0.053</v>
      </c>
      <c r="AH18" s="7" t="n">
        <v>0.828</v>
      </c>
      <c r="AI18" s="7" t="n">
        <v>0.021</v>
      </c>
      <c r="AJ18" s="7" t="n">
        <v>-0.342</v>
      </c>
      <c r="AK18" s="7" t="n">
        <v>-0.277</v>
      </c>
      <c r="AL18" s="7" t="n">
        <v>0.334</v>
      </c>
      <c r="AM18" s="7" t="n">
        <v>-0.063</v>
      </c>
      <c r="AN18" s="7" t="n">
        <v>-0.09</v>
      </c>
      <c r="AO18" s="7" t="n">
        <v>0.261</v>
      </c>
      <c r="AP18" s="7" t="n">
        <v>0</v>
      </c>
      <c r="AQ18" s="7" t="n">
        <v>0.084</v>
      </c>
    </row>
    <row r="19" customFormat="false" ht="15" hidden="false" customHeight="false" outlineLevel="0" collapsed="false">
      <c r="A19" s="23" t="n">
        <v>46336</v>
      </c>
      <c r="B19" s="7" t="n">
        <v>0.079</v>
      </c>
      <c r="C19" s="7" t="n">
        <v>-0.05</v>
      </c>
      <c r="D19" s="7" t="n">
        <v>0.116</v>
      </c>
      <c r="E19" s="7" t="n">
        <v>0.026</v>
      </c>
      <c r="F19" s="7" t="n">
        <v>0.104</v>
      </c>
      <c r="G19" s="7" t="n">
        <v>0.037</v>
      </c>
      <c r="H19" s="7" t="n">
        <v>-0.053</v>
      </c>
      <c r="I19" s="7" t="n">
        <v>-0.224</v>
      </c>
      <c r="J19" s="7" t="n">
        <v>0.02</v>
      </c>
      <c r="K19" s="7" t="n">
        <v>0.037</v>
      </c>
      <c r="L19" s="7" t="n">
        <v>0.058</v>
      </c>
      <c r="M19" s="7" t="n">
        <v>0.02</v>
      </c>
      <c r="N19" s="7" t="n">
        <v>0.028</v>
      </c>
      <c r="O19" s="7" t="n">
        <v>0.426</v>
      </c>
      <c r="P19" s="7" t="n">
        <v>0.045</v>
      </c>
      <c r="Q19" s="7" t="n">
        <v>0.122</v>
      </c>
      <c r="R19" s="7" t="n">
        <v>-0.11</v>
      </c>
      <c r="S19" s="7" t="n">
        <v>0.117</v>
      </c>
      <c r="T19" s="7" t="n">
        <v>-0.366</v>
      </c>
      <c r="U19" s="7" t="n">
        <v>0.55</v>
      </c>
      <c r="V19" s="7" t="n">
        <v>-0.053</v>
      </c>
      <c r="W19" s="7" t="n">
        <v>0.122</v>
      </c>
      <c r="X19" s="7" t="n">
        <v>-0.053</v>
      </c>
      <c r="Y19" s="7" t="n">
        <v>0.33</v>
      </c>
      <c r="Z19" s="7" t="n">
        <v>0.037</v>
      </c>
      <c r="AA19" s="7" t="n">
        <v>-0.11</v>
      </c>
      <c r="AB19" s="7" t="n">
        <v>-0.045</v>
      </c>
      <c r="AC19" s="7" t="n">
        <v>0.104</v>
      </c>
      <c r="AD19" s="7" t="n">
        <v>0.026</v>
      </c>
      <c r="AE19" s="7" t="n">
        <v>0.104</v>
      </c>
      <c r="AF19" s="7" t="n">
        <v>0.122</v>
      </c>
      <c r="AG19" s="7" t="n">
        <v>-0.053</v>
      </c>
      <c r="AH19" s="7" t="n">
        <v>0.839</v>
      </c>
      <c r="AI19" s="7" t="n">
        <v>0.02</v>
      </c>
      <c r="AJ19" s="7" t="n">
        <v>-0.343</v>
      </c>
      <c r="AK19" s="7" t="n">
        <v>-0.276</v>
      </c>
      <c r="AL19" s="7" t="n">
        <v>0.358</v>
      </c>
      <c r="AM19" s="7" t="n">
        <v>-0.065</v>
      </c>
      <c r="AN19" s="7" t="n">
        <v>-0.09</v>
      </c>
      <c r="AO19" s="7" t="n">
        <v>0.288</v>
      </c>
      <c r="AP19" s="7" t="n">
        <v>0</v>
      </c>
      <c r="AQ19" s="7" t="n">
        <v>0.085</v>
      </c>
    </row>
    <row r="20" customFormat="false" ht="15" hidden="false" customHeight="false" outlineLevel="0" collapsed="false">
      <c r="A20" s="23" t="n">
        <v>46337</v>
      </c>
      <c r="B20" s="7" t="n">
        <v>0.088</v>
      </c>
      <c r="C20" s="7" t="n">
        <v>-0.046</v>
      </c>
      <c r="D20" s="7" t="n">
        <v>0.131</v>
      </c>
      <c r="E20" s="7" t="n">
        <v>0.024</v>
      </c>
      <c r="F20" s="7" t="n">
        <v>0.11</v>
      </c>
      <c r="G20" s="7" t="n">
        <v>0.037</v>
      </c>
      <c r="H20" s="7" t="n">
        <v>-0.053</v>
      </c>
      <c r="I20" s="7" t="n">
        <v>-0.224</v>
      </c>
      <c r="J20" s="7" t="n">
        <v>0.024</v>
      </c>
      <c r="K20" s="7" t="n">
        <v>0.037</v>
      </c>
      <c r="L20" s="7" t="n">
        <v>0.057</v>
      </c>
      <c r="M20" s="7" t="n">
        <v>0.024</v>
      </c>
      <c r="N20" s="7" t="n">
        <v>0.031</v>
      </c>
      <c r="O20" s="7" t="n">
        <v>0.428</v>
      </c>
      <c r="P20" s="7" t="n">
        <v>0.054</v>
      </c>
      <c r="Q20" s="7" t="n">
        <v>0.123</v>
      </c>
      <c r="R20" s="7" t="n">
        <v>-0.108</v>
      </c>
      <c r="S20" s="7" t="n">
        <v>0.127</v>
      </c>
      <c r="T20" s="7" t="n">
        <v>-0.371</v>
      </c>
      <c r="U20" s="7" t="n">
        <v>0.568</v>
      </c>
      <c r="V20" s="7" t="n">
        <v>-0.053</v>
      </c>
      <c r="W20" s="7" t="n">
        <v>0.123</v>
      </c>
      <c r="X20" s="7" t="n">
        <v>-0.041</v>
      </c>
      <c r="Y20" s="7" t="n">
        <v>0.357</v>
      </c>
      <c r="Z20" s="7" t="n">
        <v>0.037</v>
      </c>
      <c r="AA20" s="7" t="n">
        <v>-0.108</v>
      </c>
      <c r="AB20" s="7" t="n">
        <v>-0.042</v>
      </c>
      <c r="AC20" s="7" t="n">
        <v>0.11</v>
      </c>
      <c r="AD20" s="7" t="n">
        <v>0.024</v>
      </c>
      <c r="AE20" s="7" t="n">
        <v>0.11</v>
      </c>
      <c r="AF20" s="7" t="n">
        <v>0.123</v>
      </c>
      <c r="AG20" s="7" t="n">
        <v>-0.053</v>
      </c>
      <c r="AH20" s="7" t="n">
        <v>0.853</v>
      </c>
      <c r="AI20" s="7" t="n">
        <v>0.02</v>
      </c>
      <c r="AJ20" s="7" t="n">
        <v>-0.345</v>
      </c>
      <c r="AK20" s="7" t="n">
        <v>-0.277</v>
      </c>
      <c r="AL20" s="7" t="n">
        <v>0.382</v>
      </c>
      <c r="AM20" s="7" t="n">
        <v>-0.066</v>
      </c>
      <c r="AN20" s="7" t="n">
        <v>-0.09</v>
      </c>
      <c r="AO20" s="7" t="n">
        <v>0.314</v>
      </c>
      <c r="AP20" s="7" t="n">
        <v>0</v>
      </c>
      <c r="AQ20" s="7" t="n">
        <v>0.086</v>
      </c>
    </row>
    <row r="21" customFormat="false" ht="15" hidden="false" customHeight="false" outlineLevel="0" collapsed="false">
      <c r="A21" s="23" t="n">
        <v>46338</v>
      </c>
      <c r="B21" s="7" t="n">
        <v>0.098</v>
      </c>
      <c r="C21" s="7" t="n">
        <v>-0.042</v>
      </c>
      <c r="D21" s="7" t="n">
        <v>0.148</v>
      </c>
      <c r="E21" s="7" t="n">
        <v>0.022</v>
      </c>
      <c r="F21" s="7" t="n">
        <v>0.116</v>
      </c>
      <c r="G21" s="7" t="n">
        <v>0.037</v>
      </c>
      <c r="H21" s="7" t="n">
        <v>-0.053</v>
      </c>
      <c r="I21" s="7" t="n">
        <v>-0.224</v>
      </c>
      <c r="J21" s="7" t="n">
        <v>0.029</v>
      </c>
      <c r="K21" s="7" t="n">
        <v>0.037</v>
      </c>
      <c r="L21" s="7" t="n">
        <v>0.057</v>
      </c>
      <c r="M21" s="7" t="n">
        <v>0.029</v>
      </c>
      <c r="N21" s="7" t="n">
        <v>0.033</v>
      </c>
      <c r="O21" s="7" t="n">
        <v>0.431</v>
      </c>
      <c r="P21" s="7" t="n">
        <v>0.065</v>
      </c>
      <c r="Q21" s="7" t="n">
        <v>0.124</v>
      </c>
      <c r="R21" s="7" t="n">
        <v>-0.104</v>
      </c>
      <c r="S21" s="7" t="n">
        <v>0.138</v>
      </c>
      <c r="T21" s="7" t="n">
        <v>-0.376</v>
      </c>
      <c r="U21" s="7" t="n">
        <v>0.587</v>
      </c>
      <c r="V21" s="7" t="n">
        <v>-0.053</v>
      </c>
      <c r="W21" s="7" t="n">
        <v>0.124</v>
      </c>
      <c r="X21" s="7" t="n">
        <v>-0.028</v>
      </c>
      <c r="Y21" s="7" t="n">
        <v>0.384</v>
      </c>
      <c r="Z21" s="7" t="n">
        <v>0.037</v>
      </c>
      <c r="AA21" s="7" t="n">
        <v>-0.104</v>
      </c>
      <c r="AB21" s="7" t="n">
        <v>-0.039</v>
      </c>
      <c r="AC21" s="7" t="n">
        <v>0.116</v>
      </c>
      <c r="AD21" s="7" t="n">
        <v>0.022</v>
      </c>
      <c r="AE21" s="7" t="n">
        <v>0.116</v>
      </c>
      <c r="AF21" s="7" t="n">
        <v>0.124</v>
      </c>
      <c r="AG21" s="7" t="n">
        <v>-0.053</v>
      </c>
      <c r="AH21" s="7" t="n">
        <v>0.866</v>
      </c>
      <c r="AI21" s="7" t="n">
        <v>0.019</v>
      </c>
      <c r="AJ21" s="7" t="n">
        <v>-0.348</v>
      </c>
      <c r="AK21" s="7" t="n">
        <v>-0.277</v>
      </c>
      <c r="AL21" s="7" t="n">
        <v>0.407</v>
      </c>
      <c r="AM21" s="7" t="n">
        <v>-0.068</v>
      </c>
      <c r="AN21" s="7" t="n">
        <v>-0.09</v>
      </c>
      <c r="AO21" s="7" t="n">
        <v>0.341</v>
      </c>
      <c r="AP21" s="7" t="n">
        <v>0</v>
      </c>
      <c r="AQ21" s="7" t="n">
        <v>0.087</v>
      </c>
    </row>
    <row r="22" customFormat="false" ht="15" hidden="false" customHeight="false" outlineLevel="0" collapsed="false">
      <c r="A22" s="23" t="n">
        <v>46339</v>
      </c>
      <c r="B22" s="7" t="n">
        <v>0.108</v>
      </c>
      <c r="C22" s="7" t="n">
        <v>-0.039</v>
      </c>
      <c r="D22" s="7" t="n">
        <v>0.165</v>
      </c>
      <c r="E22" s="7" t="n">
        <v>0.02</v>
      </c>
      <c r="F22" s="7" t="n">
        <v>0.122</v>
      </c>
      <c r="G22" s="7" t="n">
        <v>0.037</v>
      </c>
      <c r="H22" s="7" t="n">
        <v>-0.054</v>
      </c>
      <c r="I22" s="7" t="n">
        <v>-0.224</v>
      </c>
      <c r="J22" s="7" t="n">
        <v>0.034</v>
      </c>
      <c r="K22" s="7" t="n">
        <v>0.037</v>
      </c>
      <c r="L22" s="7" t="n">
        <v>0.056</v>
      </c>
      <c r="M22" s="7" t="n">
        <v>0.034</v>
      </c>
      <c r="N22" s="7" t="n">
        <v>0.036</v>
      </c>
      <c r="O22" s="7" t="n">
        <v>0.433</v>
      </c>
      <c r="P22" s="7" t="n">
        <v>0.075</v>
      </c>
      <c r="Q22" s="7" t="n">
        <v>0.125</v>
      </c>
      <c r="R22" s="7" t="n">
        <v>-0.1</v>
      </c>
      <c r="S22" s="7" t="n">
        <v>0.149</v>
      </c>
      <c r="T22" s="7" t="n">
        <v>-0.381</v>
      </c>
      <c r="U22" s="7" t="n">
        <v>0.606</v>
      </c>
      <c r="V22" s="7" t="n">
        <v>-0.054</v>
      </c>
      <c r="W22" s="7" t="n">
        <v>0.125</v>
      </c>
      <c r="X22" s="7" t="n">
        <v>-0.016</v>
      </c>
      <c r="Y22" s="7" t="n">
        <v>0.411</v>
      </c>
      <c r="Z22" s="7" t="n">
        <v>0.037</v>
      </c>
      <c r="AA22" s="7" t="n">
        <v>-0.1</v>
      </c>
      <c r="AB22" s="7" t="n">
        <v>-0.036</v>
      </c>
      <c r="AC22" s="7" t="n">
        <v>0.122</v>
      </c>
      <c r="AD22" s="7" t="n">
        <v>0.02</v>
      </c>
      <c r="AE22" s="7" t="n">
        <v>0.122</v>
      </c>
      <c r="AF22" s="7" t="n">
        <v>0.125</v>
      </c>
      <c r="AG22" s="7" t="n">
        <v>-0.054</v>
      </c>
      <c r="AH22" s="7" t="n">
        <v>0.88</v>
      </c>
      <c r="AI22" s="7" t="n">
        <v>0.019</v>
      </c>
      <c r="AJ22" s="7" t="n">
        <v>-0.35</v>
      </c>
      <c r="AK22" s="7" t="n">
        <v>-0.277</v>
      </c>
      <c r="AL22" s="7" t="n">
        <v>0.431</v>
      </c>
      <c r="AM22" s="7" t="n">
        <v>-0.07</v>
      </c>
      <c r="AN22" s="7" t="n">
        <v>-0.091</v>
      </c>
      <c r="AO22" s="7" t="n">
        <v>0.368</v>
      </c>
      <c r="AP22" s="7" t="n">
        <v>0</v>
      </c>
      <c r="AQ22" s="7" t="n">
        <v>0.088</v>
      </c>
    </row>
    <row r="23" customFormat="false" ht="15" hidden="false" customHeight="false" outlineLevel="0" collapsed="false">
      <c r="A23" s="23" t="n">
        <v>46340</v>
      </c>
      <c r="B23" s="7" t="n">
        <v>0.116</v>
      </c>
      <c r="C23" s="7" t="n">
        <v>-0.035</v>
      </c>
      <c r="D23" s="7" t="n">
        <v>0.182</v>
      </c>
      <c r="E23" s="7" t="n">
        <v>0.023</v>
      </c>
      <c r="F23" s="7" t="n">
        <v>0.123</v>
      </c>
      <c r="G23" s="7" t="n">
        <v>0.037</v>
      </c>
      <c r="H23" s="7" t="n">
        <v>-0.05</v>
      </c>
      <c r="I23" s="7" t="n">
        <v>-0.223</v>
      </c>
      <c r="J23" s="7" t="n">
        <v>0.034</v>
      </c>
      <c r="K23" s="7" t="n">
        <v>0.037</v>
      </c>
      <c r="L23" s="7" t="n">
        <v>0.055</v>
      </c>
      <c r="M23" s="7" t="n">
        <v>0.034</v>
      </c>
      <c r="N23" s="7" t="n">
        <v>0.038</v>
      </c>
      <c r="O23" s="7" t="n">
        <v>0.432</v>
      </c>
      <c r="P23" s="7" t="n">
        <v>0.084</v>
      </c>
      <c r="Q23" s="7" t="n">
        <v>0.126</v>
      </c>
      <c r="R23" s="7" t="n">
        <v>-0.089</v>
      </c>
      <c r="S23" s="7" t="n">
        <v>0.16</v>
      </c>
      <c r="T23" s="7" t="n">
        <v>-0.374</v>
      </c>
      <c r="U23" s="7" t="n">
        <v>0.614</v>
      </c>
      <c r="V23" s="7" t="n">
        <v>-0.05</v>
      </c>
      <c r="W23" s="7" t="n">
        <v>0.126</v>
      </c>
      <c r="X23" s="7" t="n">
        <v>-0.008</v>
      </c>
      <c r="Y23" s="7" t="n">
        <v>0.434</v>
      </c>
      <c r="Z23" s="7" t="n">
        <v>0.037</v>
      </c>
      <c r="AA23" s="7" t="n">
        <v>-0.089</v>
      </c>
      <c r="AB23" s="7" t="n">
        <v>-0.037</v>
      </c>
      <c r="AC23" s="7" t="n">
        <v>0.123</v>
      </c>
      <c r="AD23" s="7" t="n">
        <v>0.023</v>
      </c>
      <c r="AE23" s="7" t="n">
        <v>0.123</v>
      </c>
      <c r="AF23" s="7" t="n">
        <v>0.126</v>
      </c>
      <c r="AG23" s="7" t="n">
        <v>-0.05</v>
      </c>
      <c r="AH23" s="7" t="n">
        <v>0.883</v>
      </c>
      <c r="AI23" s="7" t="n">
        <v>0.018</v>
      </c>
      <c r="AJ23" s="7" t="n">
        <v>-0.35</v>
      </c>
      <c r="AK23" s="7" t="n">
        <v>-0.277</v>
      </c>
      <c r="AL23" s="7" t="n">
        <v>0.444</v>
      </c>
      <c r="AM23" s="7" t="n">
        <v>-0.071</v>
      </c>
      <c r="AN23" s="7" t="n">
        <v>-0.087</v>
      </c>
      <c r="AO23" s="7" t="n">
        <v>0.381</v>
      </c>
      <c r="AP23" s="7" t="n">
        <v>0</v>
      </c>
      <c r="AQ23" s="7" t="n">
        <v>0.089</v>
      </c>
    </row>
    <row r="24" customFormat="false" ht="15" hidden="false" customHeight="false" outlineLevel="0" collapsed="false">
      <c r="A24" s="23" t="n">
        <v>46341</v>
      </c>
      <c r="B24" s="7" t="n">
        <v>0.116</v>
      </c>
      <c r="C24" s="7" t="n">
        <v>-0.035</v>
      </c>
      <c r="D24" s="7" t="n">
        <v>0.182</v>
      </c>
      <c r="E24" s="7" t="n">
        <v>0.023</v>
      </c>
      <c r="F24" s="7" t="n">
        <v>0.123</v>
      </c>
      <c r="G24" s="7" t="n">
        <v>0.037</v>
      </c>
      <c r="H24" s="7" t="n">
        <v>-0.05</v>
      </c>
      <c r="I24" s="7" t="n">
        <v>-0.223</v>
      </c>
      <c r="J24" s="7" t="n">
        <v>0.034</v>
      </c>
      <c r="K24" s="7" t="n">
        <v>0.037</v>
      </c>
      <c r="L24" s="7" t="n">
        <v>0.055</v>
      </c>
      <c r="M24" s="7" t="n">
        <v>0.034</v>
      </c>
      <c r="N24" s="7" t="n">
        <v>0.038</v>
      </c>
      <c r="O24" s="7" t="n">
        <v>0.432</v>
      </c>
      <c r="P24" s="7" t="n">
        <v>0.084</v>
      </c>
      <c r="Q24" s="7" t="n">
        <v>0.126</v>
      </c>
      <c r="R24" s="7" t="n">
        <v>-0.089</v>
      </c>
      <c r="S24" s="7" t="n">
        <v>0.16</v>
      </c>
      <c r="T24" s="7" t="n">
        <v>-0.374</v>
      </c>
      <c r="U24" s="7" t="n">
        <v>0.614</v>
      </c>
      <c r="V24" s="7" t="n">
        <v>-0.05</v>
      </c>
      <c r="W24" s="7" t="n">
        <v>0.126</v>
      </c>
      <c r="X24" s="7" t="n">
        <v>-0.008</v>
      </c>
      <c r="Y24" s="7" t="n">
        <v>0.434</v>
      </c>
      <c r="Z24" s="7" t="n">
        <v>0.037</v>
      </c>
      <c r="AA24" s="7" t="n">
        <v>-0.089</v>
      </c>
      <c r="AB24" s="7" t="n">
        <v>-0.037</v>
      </c>
      <c r="AC24" s="7" t="n">
        <v>0.123</v>
      </c>
      <c r="AD24" s="7" t="n">
        <v>0.023</v>
      </c>
      <c r="AE24" s="7" t="n">
        <v>0.123</v>
      </c>
      <c r="AF24" s="7" t="n">
        <v>0.126</v>
      </c>
      <c r="AG24" s="7" t="n">
        <v>-0.05</v>
      </c>
      <c r="AH24" s="7" t="n">
        <v>0.883</v>
      </c>
      <c r="AI24" s="7" t="n">
        <v>0.018</v>
      </c>
      <c r="AJ24" s="7" t="n">
        <v>-0.35</v>
      </c>
      <c r="AK24" s="7" t="n">
        <v>-0.277</v>
      </c>
      <c r="AL24" s="7" t="n">
        <v>0.444</v>
      </c>
      <c r="AM24" s="7" t="n">
        <v>-0.071</v>
      </c>
      <c r="AN24" s="7" t="n">
        <v>-0.087</v>
      </c>
      <c r="AO24" s="7" t="n">
        <v>0.381</v>
      </c>
      <c r="AP24" s="7" t="n">
        <v>0</v>
      </c>
      <c r="AQ24" s="7" t="n">
        <v>0.089</v>
      </c>
    </row>
    <row r="25" customFormat="false" ht="15" hidden="false" customHeight="false" outlineLevel="0" collapsed="false">
      <c r="A25" s="23" t="n">
        <v>46342</v>
      </c>
      <c r="B25" s="7" t="n">
        <v>0.116</v>
      </c>
      <c r="C25" s="7" t="n">
        <v>-0.035</v>
      </c>
      <c r="D25" s="7" t="n">
        <v>0.182</v>
      </c>
      <c r="E25" s="7" t="n">
        <v>0.023</v>
      </c>
      <c r="F25" s="7" t="n">
        <v>0.123</v>
      </c>
      <c r="G25" s="7" t="n">
        <v>0.037</v>
      </c>
      <c r="H25" s="7" t="n">
        <v>-0.05</v>
      </c>
      <c r="I25" s="7" t="n">
        <v>-0.223</v>
      </c>
      <c r="J25" s="7" t="n">
        <v>0.034</v>
      </c>
      <c r="K25" s="7" t="n">
        <v>0.037</v>
      </c>
      <c r="L25" s="7" t="n">
        <v>0.055</v>
      </c>
      <c r="M25" s="7" t="n">
        <v>0.034</v>
      </c>
      <c r="N25" s="7" t="n">
        <v>0.038</v>
      </c>
      <c r="O25" s="7" t="n">
        <v>0.432</v>
      </c>
      <c r="P25" s="7" t="n">
        <v>0.084</v>
      </c>
      <c r="Q25" s="7" t="n">
        <v>0.126</v>
      </c>
      <c r="R25" s="7" t="n">
        <v>-0.089</v>
      </c>
      <c r="S25" s="7" t="n">
        <v>0.16</v>
      </c>
      <c r="T25" s="7" t="n">
        <v>-0.374</v>
      </c>
      <c r="U25" s="7" t="n">
        <v>0.614</v>
      </c>
      <c r="V25" s="7" t="n">
        <v>-0.05</v>
      </c>
      <c r="W25" s="7" t="n">
        <v>0.126</v>
      </c>
      <c r="X25" s="7" t="n">
        <v>-0.008</v>
      </c>
      <c r="Y25" s="7" t="n">
        <v>0.434</v>
      </c>
      <c r="Z25" s="7" t="n">
        <v>0.037</v>
      </c>
      <c r="AA25" s="7" t="n">
        <v>-0.089</v>
      </c>
      <c r="AB25" s="7" t="n">
        <v>-0.037</v>
      </c>
      <c r="AC25" s="7" t="n">
        <v>0.123</v>
      </c>
      <c r="AD25" s="7" t="n">
        <v>0.023</v>
      </c>
      <c r="AE25" s="7" t="n">
        <v>0.123</v>
      </c>
      <c r="AF25" s="7" t="n">
        <v>0.126</v>
      </c>
      <c r="AG25" s="7" t="n">
        <v>-0.05</v>
      </c>
      <c r="AH25" s="7" t="n">
        <v>0.883</v>
      </c>
      <c r="AI25" s="7" t="n">
        <v>0.018</v>
      </c>
      <c r="AJ25" s="7" t="n">
        <v>-0.35</v>
      </c>
      <c r="AK25" s="7" t="n">
        <v>-0.277</v>
      </c>
      <c r="AL25" s="7" t="n">
        <v>0.444</v>
      </c>
      <c r="AM25" s="7" t="n">
        <v>-0.071</v>
      </c>
      <c r="AN25" s="7" t="n">
        <v>-0.087</v>
      </c>
      <c r="AO25" s="7" t="n">
        <v>0.381</v>
      </c>
      <c r="AP25" s="7" t="n">
        <v>0</v>
      </c>
      <c r="AQ25" s="7" t="n">
        <v>0.089</v>
      </c>
    </row>
    <row r="26" customFormat="false" ht="15" hidden="false" customHeight="false" outlineLevel="0" collapsed="false">
      <c r="A26" s="23" t="n">
        <v>46343</v>
      </c>
      <c r="B26" s="7" t="n">
        <v>0.124</v>
      </c>
      <c r="C26" s="7" t="n">
        <v>-0.033</v>
      </c>
      <c r="D26" s="7" t="n">
        <v>0.202</v>
      </c>
      <c r="E26" s="7" t="n">
        <v>0.025</v>
      </c>
      <c r="F26" s="7" t="n">
        <v>0.123</v>
      </c>
      <c r="G26" s="7" t="n">
        <v>0.037</v>
      </c>
      <c r="H26" s="7" t="n">
        <v>-0.043</v>
      </c>
      <c r="I26" s="7" t="n">
        <v>-0.223</v>
      </c>
      <c r="J26" s="7" t="n">
        <v>0.033</v>
      </c>
      <c r="K26" s="7" t="n">
        <v>0.037</v>
      </c>
      <c r="L26" s="7" t="n">
        <v>0.052</v>
      </c>
      <c r="M26" s="7" t="n">
        <v>0.033</v>
      </c>
      <c r="N26" s="7" t="n">
        <v>0.035</v>
      </c>
      <c r="O26" s="7" t="n">
        <v>0.428</v>
      </c>
      <c r="P26" s="7" t="n">
        <v>0.094</v>
      </c>
      <c r="Q26" s="7" t="n">
        <v>0.127</v>
      </c>
      <c r="R26" s="7" t="n">
        <v>-0.069</v>
      </c>
      <c r="S26" s="7" t="n">
        <v>0.169</v>
      </c>
      <c r="T26" s="7" t="n">
        <v>-0.358</v>
      </c>
      <c r="U26" s="7" t="n">
        <v>0.622</v>
      </c>
      <c r="V26" s="7" t="n">
        <v>-0.043</v>
      </c>
      <c r="W26" s="7" t="n">
        <v>0.127</v>
      </c>
      <c r="X26" s="7" t="n">
        <v>0</v>
      </c>
      <c r="Y26" s="7" t="n">
        <v>0.458</v>
      </c>
      <c r="Z26" s="7" t="n">
        <v>0.037</v>
      </c>
      <c r="AA26" s="7" t="n">
        <v>-0.069</v>
      </c>
      <c r="AB26" s="7" t="n">
        <v>-0.044</v>
      </c>
      <c r="AC26" s="7" t="n">
        <v>0.123</v>
      </c>
      <c r="AD26" s="7" t="n">
        <v>0.025</v>
      </c>
      <c r="AE26" s="7" t="n">
        <v>0.123</v>
      </c>
      <c r="AF26" s="7" t="n">
        <v>0.127</v>
      </c>
      <c r="AG26" s="7" t="n">
        <v>-0.043</v>
      </c>
      <c r="AH26" s="7" t="n">
        <v>0.886</v>
      </c>
      <c r="AI26" s="7" t="n">
        <v>0.014</v>
      </c>
      <c r="AJ26" s="7" t="n">
        <v>-0.351</v>
      </c>
      <c r="AK26" s="7" t="n">
        <v>-0.277</v>
      </c>
      <c r="AL26" s="7" t="n">
        <v>0.456</v>
      </c>
      <c r="AM26" s="7" t="n">
        <v>-0.076</v>
      </c>
      <c r="AN26" s="7" t="n">
        <v>-0.08</v>
      </c>
      <c r="AO26" s="7" t="n">
        <v>0.392</v>
      </c>
      <c r="AP26" s="7" t="n">
        <v>0</v>
      </c>
      <c r="AQ26" s="7" t="n">
        <v>0.09</v>
      </c>
    </row>
    <row r="27" customFormat="false" ht="15" hidden="false" customHeight="false" outlineLevel="0" collapsed="false">
      <c r="A27" s="23" t="n">
        <v>46344</v>
      </c>
      <c r="B27" s="7" t="n">
        <v>0.135</v>
      </c>
      <c r="C27" s="7" t="n">
        <v>-0.027</v>
      </c>
      <c r="D27" s="7" t="n">
        <v>0.219</v>
      </c>
      <c r="E27" s="7" t="n">
        <v>0.028</v>
      </c>
      <c r="F27" s="7" t="n">
        <v>0.126</v>
      </c>
      <c r="G27" s="7" t="n">
        <v>0.037</v>
      </c>
      <c r="H27" s="7" t="n">
        <v>-0.035</v>
      </c>
      <c r="I27" s="7" t="n">
        <v>-0.221</v>
      </c>
      <c r="J27" s="7" t="n">
        <v>0.031</v>
      </c>
      <c r="K27" s="7" t="n">
        <v>0.037</v>
      </c>
      <c r="L27" s="7" t="n">
        <v>0.052</v>
      </c>
      <c r="M27" s="7" t="n">
        <v>0.031</v>
      </c>
      <c r="N27" s="7" t="n">
        <v>0.036</v>
      </c>
      <c r="O27" s="7" t="n">
        <v>0.426</v>
      </c>
      <c r="P27" s="7" t="n">
        <v>0.107</v>
      </c>
      <c r="Q27" s="7" t="n">
        <v>0.132</v>
      </c>
      <c r="R27" s="7" t="n">
        <v>-0.051</v>
      </c>
      <c r="S27" s="7" t="n">
        <v>0.183</v>
      </c>
      <c r="T27" s="7" t="n">
        <v>-0.341</v>
      </c>
      <c r="U27" s="7" t="n">
        <v>0.63</v>
      </c>
      <c r="V27" s="7" t="n">
        <v>-0.035</v>
      </c>
      <c r="W27" s="7" t="n">
        <v>0.132</v>
      </c>
      <c r="X27" s="7" t="n">
        <v>0.006</v>
      </c>
      <c r="Y27" s="7" t="n">
        <v>0.481</v>
      </c>
      <c r="Z27" s="7" t="n">
        <v>0.037</v>
      </c>
      <c r="AA27" s="7" t="n">
        <v>-0.051</v>
      </c>
      <c r="AB27" s="7" t="n">
        <v>-0.05</v>
      </c>
      <c r="AC27" s="7" t="n">
        <v>0.126</v>
      </c>
      <c r="AD27" s="7" t="n">
        <v>0.028</v>
      </c>
      <c r="AE27" s="7" t="n">
        <v>0.126</v>
      </c>
      <c r="AF27" s="7" t="n">
        <v>0.132</v>
      </c>
      <c r="AG27" s="7" t="n">
        <v>-0.035</v>
      </c>
      <c r="AH27" s="7" t="n">
        <v>0.888</v>
      </c>
      <c r="AI27" s="7" t="n">
        <v>0.014</v>
      </c>
      <c r="AJ27" s="7" t="n">
        <v>-0.35</v>
      </c>
      <c r="AK27" s="7" t="n">
        <v>-0.276</v>
      </c>
      <c r="AL27" s="7" t="n">
        <v>0.472</v>
      </c>
      <c r="AM27" s="7" t="n">
        <v>-0.081</v>
      </c>
      <c r="AN27" s="7" t="n">
        <v>-0.072</v>
      </c>
      <c r="AO27" s="7" t="n">
        <v>0.404</v>
      </c>
      <c r="AP27" s="7" t="n">
        <v>0</v>
      </c>
      <c r="AQ27" s="7" t="n">
        <v>0.095</v>
      </c>
    </row>
    <row r="28" customFormat="false" ht="15" hidden="false" customHeight="false" outlineLevel="0" collapsed="false">
      <c r="A28" s="23" t="n">
        <v>46345</v>
      </c>
      <c r="B28" s="7" t="n">
        <v>0.144</v>
      </c>
      <c r="C28" s="7" t="n">
        <v>-0.022</v>
      </c>
      <c r="D28" s="7" t="n">
        <v>0.237</v>
      </c>
      <c r="E28" s="7" t="n">
        <v>0.03</v>
      </c>
      <c r="F28" s="7" t="n">
        <v>0.128</v>
      </c>
      <c r="G28" s="7" t="n">
        <v>0.037</v>
      </c>
      <c r="H28" s="7" t="n">
        <v>-0.027</v>
      </c>
      <c r="I28" s="7" t="n">
        <v>-0.22</v>
      </c>
      <c r="J28" s="7" t="n">
        <v>0.03</v>
      </c>
      <c r="K28" s="7" t="n">
        <v>0.037</v>
      </c>
      <c r="L28" s="7" t="n">
        <v>0.049</v>
      </c>
      <c r="M28" s="7" t="n">
        <v>0.03</v>
      </c>
      <c r="N28" s="7" t="n">
        <v>0.035</v>
      </c>
      <c r="O28" s="7" t="n">
        <v>0.422</v>
      </c>
      <c r="P28" s="7" t="n">
        <v>0.118</v>
      </c>
      <c r="Q28" s="7" t="n">
        <v>0.135</v>
      </c>
      <c r="R28" s="7" t="n">
        <v>-0.032</v>
      </c>
      <c r="S28" s="7" t="n">
        <v>0.198</v>
      </c>
      <c r="T28" s="7" t="n">
        <v>-0.323</v>
      </c>
      <c r="U28" s="7" t="n">
        <v>0.638</v>
      </c>
      <c r="V28" s="7" t="n">
        <v>-0.027</v>
      </c>
      <c r="W28" s="7" t="n">
        <v>0.135</v>
      </c>
      <c r="X28" s="7" t="n">
        <v>0.012</v>
      </c>
      <c r="Y28" s="7" t="n">
        <v>0.504</v>
      </c>
      <c r="Z28" s="7" t="n">
        <v>0.037</v>
      </c>
      <c r="AA28" s="7" t="n">
        <v>-0.032</v>
      </c>
      <c r="AB28" s="7" t="n">
        <v>-0.057</v>
      </c>
      <c r="AC28" s="7" t="n">
        <v>0.128</v>
      </c>
      <c r="AD28" s="7" t="n">
        <v>0.03</v>
      </c>
      <c r="AE28" s="7" t="n">
        <v>0.128</v>
      </c>
      <c r="AF28" s="7" t="n">
        <v>0.135</v>
      </c>
      <c r="AG28" s="7" t="n">
        <v>-0.027</v>
      </c>
      <c r="AH28" s="7" t="n">
        <v>0.891</v>
      </c>
      <c r="AI28" s="7" t="n">
        <v>0.012</v>
      </c>
      <c r="AJ28" s="7" t="n">
        <v>-0.349</v>
      </c>
      <c r="AK28" s="7" t="n">
        <v>-0.275</v>
      </c>
      <c r="AL28" s="7" t="n">
        <v>0.488</v>
      </c>
      <c r="AM28" s="7" t="n">
        <v>-0.087</v>
      </c>
      <c r="AN28" s="7" t="n">
        <v>-0.064</v>
      </c>
      <c r="AO28" s="7" t="n">
        <v>0.416</v>
      </c>
      <c r="AP28" s="7" t="n">
        <v>0</v>
      </c>
      <c r="AQ28" s="7" t="n">
        <v>0.099</v>
      </c>
    </row>
    <row r="29" customFormat="false" ht="15" hidden="false" customHeight="false" outlineLevel="0" collapsed="false">
      <c r="A29" s="23" t="n">
        <v>46346</v>
      </c>
      <c r="B29" s="7" t="n">
        <v>0.154</v>
      </c>
      <c r="C29" s="7" t="n">
        <v>-0.018</v>
      </c>
      <c r="D29" s="7" t="n">
        <v>0.255</v>
      </c>
      <c r="E29" s="7" t="n">
        <v>0.032</v>
      </c>
      <c r="F29" s="7" t="n">
        <v>0.13</v>
      </c>
      <c r="G29" s="7" t="n">
        <v>0.037</v>
      </c>
      <c r="H29" s="7" t="n">
        <v>-0.019</v>
      </c>
      <c r="I29" s="7" t="n">
        <v>-0.219</v>
      </c>
      <c r="J29" s="7" t="n">
        <v>0.029</v>
      </c>
      <c r="K29" s="7" t="n">
        <v>0.037</v>
      </c>
      <c r="L29" s="7" t="n">
        <v>0.047</v>
      </c>
      <c r="M29" s="7" t="n">
        <v>0.029</v>
      </c>
      <c r="N29" s="7" t="n">
        <v>0.033</v>
      </c>
      <c r="O29" s="7" t="n">
        <v>0.418</v>
      </c>
      <c r="P29" s="7" t="n">
        <v>0.129</v>
      </c>
      <c r="Q29" s="7" t="n">
        <v>0.138</v>
      </c>
      <c r="R29" s="7" t="n">
        <v>-0.011</v>
      </c>
      <c r="S29" s="7" t="n">
        <v>0.213</v>
      </c>
      <c r="T29" s="7" t="n">
        <v>-0.303</v>
      </c>
      <c r="U29" s="7" t="n">
        <v>0.647</v>
      </c>
      <c r="V29" s="7" t="n">
        <v>-0.019</v>
      </c>
      <c r="W29" s="7" t="n">
        <v>0.138</v>
      </c>
      <c r="X29" s="7" t="n">
        <v>0.019</v>
      </c>
      <c r="Y29" s="7" t="n">
        <v>0.527</v>
      </c>
      <c r="Z29" s="7" t="n">
        <v>0.037</v>
      </c>
      <c r="AA29" s="7" t="n">
        <v>-0.011</v>
      </c>
      <c r="AB29" s="7" t="n">
        <v>-0.064</v>
      </c>
      <c r="AC29" s="7" t="n">
        <v>0.13</v>
      </c>
      <c r="AD29" s="7" t="n">
        <v>0.032</v>
      </c>
      <c r="AE29" s="7" t="n">
        <v>0.13</v>
      </c>
      <c r="AF29" s="7" t="n">
        <v>0.138</v>
      </c>
      <c r="AG29" s="7" t="n">
        <v>-0.019</v>
      </c>
      <c r="AH29" s="7" t="n">
        <v>0.894</v>
      </c>
      <c r="AI29" s="7" t="n">
        <v>0.01</v>
      </c>
      <c r="AJ29" s="7" t="n">
        <v>-0.347</v>
      </c>
      <c r="AK29" s="7" t="n">
        <v>-0.273</v>
      </c>
      <c r="AL29" s="7" t="n">
        <v>0.503</v>
      </c>
      <c r="AM29" s="7" t="n">
        <v>-0.092</v>
      </c>
      <c r="AN29" s="7" t="n">
        <v>-0.056</v>
      </c>
      <c r="AO29" s="7" t="n">
        <v>0.427</v>
      </c>
      <c r="AP29" s="7" t="n">
        <v>0</v>
      </c>
      <c r="AQ29" s="7" t="n">
        <v>0.102</v>
      </c>
    </row>
    <row r="30" customFormat="false" ht="15" hidden="false" customHeight="false" outlineLevel="0" collapsed="false">
      <c r="A30" s="23" t="n">
        <v>46347</v>
      </c>
      <c r="B30" s="7" t="n">
        <v>0.162</v>
      </c>
      <c r="C30" s="7" t="n">
        <v>-0.02</v>
      </c>
      <c r="D30" s="7" t="n">
        <v>0.269</v>
      </c>
      <c r="E30" s="7" t="n">
        <v>0.034</v>
      </c>
      <c r="F30" s="7" t="n">
        <v>0.132</v>
      </c>
      <c r="G30" s="7" t="n">
        <v>0.037</v>
      </c>
      <c r="H30" s="7" t="n">
        <v>-0.016</v>
      </c>
      <c r="I30" s="7" t="n">
        <v>-0.222</v>
      </c>
      <c r="J30" s="7" t="n">
        <v>0.028</v>
      </c>
      <c r="K30" s="7" t="n">
        <v>0.037</v>
      </c>
      <c r="L30" s="7" t="n">
        <v>0.043</v>
      </c>
      <c r="M30" s="7" t="n">
        <v>0.028</v>
      </c>
      <c r="N30" s="7" t="n">
        <v>0.03</v>
      </c>
      <c r="O30" s="7" t="n">
        <v>0.414</v>
      </c>
      <c r="P30" s="7" t="n">
        <v>0.139</v>
      </c>
      <c r="Q30" s="7" t="n">
        <v>0.141</v>
      </c>
      <c r="R30" s="7" t="n">
        <v>0.001</v>
      </c>
      <c r="S30" s="7" t="n">
        <v>0.23</v>
      </c>
      <c r="T30" s="7" t="n">
        <v>-0.291</v>
      </c>
      <c r="U30" s="7" t="n">
        <v>0.655</v>
      </c>
      <c r="V30" s="7" t="n">
        <v>-0.016</v>
      </c>
      <c r="W30" s="7" t="n">
        <v>0.141</v>
      </c>
      <c r="X30" s="7" t="n">
        <v>0.025</v>
      </c>
      <c r="Y30" s="7" t="n">
        <v>0.547</v>
      </c>
      <c r="Z30" s="7" t="n">
        <v>0.037</v>
      </c>
      <c r="AA30" s="7" t="n">
        <v>0.001</v>
      </c>
      <c r="AB30" s="7" t="n">
        <v>-0.071</v>
      </c>
      <c r="AC30" s="7" t="n">
        <v>0.132</v>
      </c>
      <c r="AD30" s="7" t="n">
        <v>0.034</v>
      </c>
      <c r="AE30" s="7" t="n">
        <v>0.132</v>
      </c>
      <c r="AF30" s="7" t="n">
        <v>0.141</v>
      </c>
      <c r="AG30" s="7" t="n">
        <v>-0.016</v>
      </c>
      <c r="AH30" s="7" t="n">
        <v>0.897</v>
      </c>
      <c r="AI30" s="7" t="n">
        <v>0.006</v>
      </c>
      <c r="AJ30" s="7" t="n">
        <v>-0.35</v>
      </c>
      <c r="AK30" s="7" t="n">
        <v>-0.276</v>
      </c>
      <c r="AL30" s="7" t="n">
        <v>0.518</v>
      </c>
      <c r="AM30" s="7" t="n">
        <v>-0.099</v>
      </c>
      <c r="AN30" s="7" t="n">
        <v>-0.053</v>
      </c>
      <c r="AO30" s="7" t="n">
        <v>0.439</v>
      </c>
      <c r="AP30" s="7" t="n">
        <v>0</v>
      </c>
      <c r="AQ30" s="7" t="n">
        <v>0.105</v>
      </c>
    </row>
    <row r="31" customFormat="false" ht="15" hidden="false" customHeight="false" outlineLevel="0" collapsed="false">
      <c r="A31" s="23" t="n">
        <v>46348</v>
      </c>
      <c r="B31" s="7" t="n">
        <v>0.162</v>
      </c>
      <c r="C31" s="7" t="n">
        <v>-0.02</v>
      </c>
      <c r="D31" s="7" t="n">
        <v>0.269</v>
      </c>
      <c r="E31" s="7" t="n">
        <v>0.034</v>
      </c>
      <c r="F31" s="7" t="n">
        <v>0.132</v>
      </c>
      <c r="G31" s="7" t="n">
        <v>0.037</v>
      </c>
      <c r="H31" s="7" t="n">
        <v>-0.016</v>
      </c>
      <c r="I31" s="7" t="n">
        <v>-0.222</v>
      </c>
      <c r="J31" s="7" t="n">
        <v>0.028</v>
      </c>
      <c r="K31" s="7" t="n">
        <v>0.037</v>
      </c>
      <c r="L31" s="7" t="n">
        <v>0.043</v>
      </c>
      <c r="M31" s="7" t="n">
        <v>0.028</v>
      </c>
      <c r="N31" s="7" t="n">
        <v>0.03</v>
      </c>
      <c r="O31" s="7" t="n">
        <v>0.414</v>
      </c>
      <c r="P31" s="7" t="n">
        <v>0.139</v>
      </c>
      <c r="Q31" s="7" t="n">
        <v>0.141</v>
      </c>
      <c r="R31" s="7" t="n">
        <v>0.001</v>
      </c>
      <c r="S31" s="7" t="n">
        <v>0.23</v>
      </c>
      <c r="T31" s="7" t="n">
        <v>-0.291</v>
      </c>
      <c r="U31" s="7" t="n">
        <v>0.655</v>
      </c>
      <c r="V31" s="7" t="n">
        <v>-0.016</v>
      </c>
      <c r="W31" s="7" t="n">
        <v>0.141</v>
      </c>
      <c r="X31" s="7" t="n">
        <v>0.025</v>
      </c>
      <c r="Y31" s="7" t="n">
        <v>0.547</v>
      </c>
      <c r="Z31" s="7" t="n">
        <v>0.037</v>
      </c>
      <c r="AA31" s="7" t="n">
        <v>0.001</v>
      </c>
      <c r="AB31" s="7" t="n">
        <v>-0.071</v>
      </c>
      <c r="AC31" s="7" t="n">
        <v>0.132</v>
      </c>
      <c r="AD31" s="7" t="n">
        <v>0.034</v>
      </c>
      <c r="AE31" s="7" t="n">
        <v>0.132</v>
      </c>
      <c r="AF31" s="7" t="n">
        <v>0.141</v>
      </c>
      <c r="AG31" s="7" t="n">
        <v>-0.016</v>
      </c>
      <c r="AH31" s="7" t="n">
        <v>0.897</v>
      </c>
      <c r="AI31" s="7" t="n">
        <v>0.006</v>
      </c>
      <c r="AJ31" s="7" t="n">
        <v>-0.35</v>
      </c>
      <c r="AK31" s="7" t="n">
        <v>-0.276</v>
      </c>
      <c r="AL31" s="7" t="n">
        <v>0.518</v>
      </c>
      <c r="AM31" s="7" t="n">
        <v>-0.099</v>
      </c>
      <c r="AN31" s="7" t="n">
        <v>-0.053</v>
      </c>
      <c r="AO31" s="7" t="n">
        <v>0.439</v>
      </c>
      <c r="AP31" s="7" t="n">
        <v>0</v>
      </c>
      <c r="AQ31" s="7" t="n">
        <v>0.105</v>
      </c>
    </row>
    <row r="32" customFormat="false" ht="15" hidden="false" customHeight="false" outlineLevel="0" collapsed="false">
      <c r="A32" s="23" t="n">
        <v>46349</v>
      </c>
      <c r="B32" s="7" t="n">
        <v>0.162</v>
      </c>
      <c r="C32" s="7" t="n">
        <v>-0.02</v>
      </c>
      <c r="D32" s="7" t="n">
        <v>0.269</v>
      </c>
      <c r="E32" s="7" t="n">
        <v>0.034</v>
      </c>
      <c r="F32" s="7" t="n">
        <v>0.132</v>
      </c>
      <c r="G32" s="7" t="n">
        <v>0.037</v>
      </c>
      <c r="H32" s="7" t="n">
        <v>-0.016</v>
      </c>
      <c r="I32" s="7" t="n">
        <v>-0.222</v>
      </c>
      <c r="J32" s="7" t="n">
        <v>0.028</v>
      </c>
      <c r="K32" s="7" t="n">
        <v>0.037</v>
      </c>
      <c r="L32" s="7" t="n">
        <v>0.043</v>
      </c>
      <c r="M32" s="7" t="n">
        <v>0.028</v>
      </c>
      <c r="N32" s="7" t="n">
        <v>0.03</v>
      </c>
      <c r="O32" s="7" t="n">
        <v>0.414</v>
      </c>
      <c r="P32" s="7" t="n">
        <v>0.139</v>
      </c>
      <c r="Q32" s="7" t="n">
        <v>0.141</v>
      </c>
      <c r="R32" s="7" t="n">
        <v>0.001</v>
      </c>
      <c r="S32" s="7" t="n">
        <v>0.23</v>
      </c>
      <c r="T32" s="7" t="n">
        <v>-0.291</v>
      </c>
      <c r="U32" s="7" t="n">
        <v>0.655</v>
      </c>
      <c r="V32" s="7" t="n">
        <v>-0.016</v>
      </c>
      <c r="W32" s="7" t="n">
        <v>0.141</v>
      </c>
      <c r="X32" s="7" t="n">
        <v>0.025</v>
      </c>
      <c r="Y32" s="7" t="n">
        <v>0.547</v>
      </c>
      <c r="Z32" s="7" t="n">
        <v>0.037</v>
      </c>
      <c r="AA32" s="7" t="n">
        <v>0.001</v>
      </c>
      <c r="AB32" s="7" t="n">
        <v>-0.071</v>
      </c>
      <c r="AC32" s="7" t="n">
        <v>0.132</v>
      </c>
      <c r="AD32" s="7" t="n">
        <v>0.034</v>
      </c>
      <c r="AE32" s="7" t="n">
        <v>0.132</v>
      </c>
      <c r="AF32" s="7" t="n">
        <v>0.141</v>
      </c>
      <c r="AG32" s="7" t="n">
        <v>-0.016</v>
      </c>
      <c r="AH32" s="7" t="n">
        <v>0.897</v>
      </c>
      <c r="AI32" s="7" t="n">
        <v>0.006</v>
      </c>
      <c r="AJ32" s="7" t="n">
        <v>-0.35</v>
      </c>
      <c r="AK32" s="7" t="n">
        <v>-0.276</v>
      </c>
      <c r="AL32" s="7" t="n">
        <v>0.518</v>
      </c>
      <c r="AM32" s="7" t="n">
        <v>-0.099</v>
      </c>
      <c r="AN32" s="7" t="n">
        <v>-0.053</v>
      </c>
      <c r="AO32" s="7" t="n">
        <v>0.439</v>
      </c>
      <c r="AP32" s="7" t="n">
        <v>0</v>
      </c>
      <c r="AQ32" s="7" t="n">
        <v>0.105</v>
      </c>
    </row>
    <row r="33" customFormat="false" ht="15" hidden="false" customHeight="false" outlineLevel="0" collapsed="false">
      <c r="A33" s="23" t="n">
        <v>46350</v>
      </c>
      <c r="B33" s="7" t="n">
        <v>0.168</v>
      </c>
      <c r="C33" s="7" t="n">
        <v>-0.023</v>
      </c>
      <c r="D33" s="7" t="n">
        <v>0.283</v>
      </c>
      <c r="E33" s="7" t="n">
        <v>0.035</v>
      </c>
      <c r="F33" s="7" t="n">
        <v>0.134</v>
      </c>
      <c r="G33" s="7" t="n">
        <v>0.037</v>
      </c>
      <c r="H33" s="7" t="n">
        <v>-0.014</v>
      </c>
      <c r="I33" s="7" t="n">
        <v>-0.228</v>
      </c>
      <c r="J33" s="7" t="n">
        <v>0.027</v>
      </c>
      <c r="K33" s="7" t="n">
        <v>0.037</v>
      </c>
      <c r="L33" s="7" t="n">
        <v>0.039</v>
      </c>
      <c r="M33" s="7" t="n">
        <v>0.027</v>
      </c>
      <c r="N33" s="7" t="n">
        <v>0.025</v>
      </c>
      <c r="O33" s="7" t="n">
        <v>0.408</v>
      </c>
      <c r="P33" s="7" t="n">
        <v>0.146</v>
      </c>
      <c r="Q33" s="7" t="n">
        <v>0.144</v>
      </c>
      <c r="R33" s="7" t="n">
        <v>0.015</v>
      </c>
      <c r="S33" s="7" t="n">
        <v>0.241</v>
      </c>
      <c r="T33" s="7" t="n">
        <v>-0.275</v>
      </c>
      <c r="U33" s="7" t="n">
        <v>0.661</v>
      </c>
      <c r="V33" s="7" t="n">
        <v>-0.014</v>
      </c>
      <c r="W33" s="7" t="n">
        <v>0.144</v>
      </c>
      <c r="X33" s="7" t="n">
        <v>0.029</v>
      </c>
      <c r="Y33" s="7" t="n">
        <v>0.564</v>
      </c>
      <c r="Z33" s="7" t="n">
        <v>0.037</v>
      </c>
      <c r="AA33" s="7" t="n">
        <v>0.015</v>
      </c>
      <c r="AB33" s="7" t="n">
        <v>-0.08</v>
      </c>
      <c r="AC33" s="7" t="n">
        <v>0.134</v>
      </c>
      <c r="AD33" s="7" t="n">
        <v>0.035</v>
      </c>
      <c r="AE33" s="7" t="n">
        <v>0.134</v>
      </c>
      <c r="AF33" s="7" t="n">
        <v>0.144</v>
      </c>
      <c r="AG33" s="7" t="n">
        <v>-0.014</v>
      </c>
      <c r="AH33" s="7" t="n">
        <v>0.9</v>
      </c>
      <c r="AI33" s="7" t="n">
        <v>0.001</v>
      </c>
      <c r="AJ33" s="7" t="n">
        <v>-0.355</v>
      </c>
      <c r="AK33" s="7" t="n">
        <v>-0.282</v>
      </c>
      <c r="AL33" s="7" t="n">
        <v>0.534</v>
      </c>
      <c r="AM33" s="7" t="n">
        <v>-0.106</v>
      </c>
      <c r="AN33" s="7" t="n">
        <v>-0.051</v>
      </c>
      <c r="AO33" s="7" t="n">
        <v>0.451</v>
      </c>
      <c r="AP33" s="7" t="n">
        <v>0</v>
      </c>
      <c r="AQ33" s="7" t="n">
        <v>0.108</v>
      </c>
    </row>
    <row r="34" customFormat="false" ht="15" hidden="false" customHeight="false" outlineLevel="0" collapsed="false">
      <c r="A34" s="23" t="n">
        <v>46351</v>
      </c>
      <c r="B34" s="7" t="n">
        <v>0.174</v>
      </c>
      <c r="C34" s="7" t="n">
        <v>-0.028</v>
      </c>
      <c r="D34" s="7" t="n">
        <v>0.3</v>
      </c>
      <c r="E34" s="7" t="n">
        <v>0.036</v>
      </c>
      <c r="F34" s="7" t="n">
        <v>0.135</v>
      </c>
      <c r="G34" s="7" t="n">
        <v>0.037</v>
      </c>
      <c r="H34" s="7" t="n">
        <v>-0.012</v>
      </c>
      <c r="I34" s="7" t="n">
        <v>-0.235</v>
      </c>
      <c r="J34" s="7" t="n">
        <v>0.025</v>
      </c>
      <c r="K34" s="7" t="n">
        <v>0.037</v>
      </c>
      <c r="L34" s="7" t="n">
        <v>0.032</v>
      </c>
      <c r="M34" s="7" t="n">
        <v>0.025</v>
      </c>
      <c r="N34" s="7" t="n">
        <v>0.019</v>
      </c>
      <c r="O34" s="7" t="n">
        <v>0.4</v>
      </c>
      <c r="P34" s="7" t="n">
        <v>0.155</v>
      </c>
      <c r="Q34" s="7" t="n">
        <v>0.147</v>
      </c>
      <c r="R34" s="7" t="n">
        <v>0.031</v>
      </c>
      <c r="S34" s="7" t="n">
        <v>0.255</v>
      </c>
      <c r="T34" s="7" t="n">
        <v>-0.257</v>
      </c>
      <c r="U34" s="7" t="n">
        <v>0.666</v>
      </c>
      <c r="V34" s="7" t="n">
        <v>-0.012</v>
      </c>
      <c r="W34" s="7" t="n">
        <v>0.147</v>
      </c>
      <c r="X34" s="7" t="n">
        <v>0.033</v>
      </c>
      <c r="Y34" s="7" t="n">
        <v>0.583</v>
      </c>
      <c r="Z34" s="7" t="n">
        <v>0.037</v>
      </c>
      <c r="AA34" s="7" t="n">
        <v>0.031</v>
      </c>
      <c r="AB34" s="7" t="n">
        <v>-0.09</v>
      </c>
      <c r="AC34" s="7" t="n">
        <v>0.135</v>
      </c>
      <c r="AD34" s="7" t="n">
        <v>0.036</v>
      </c>
      <c r="AE34" s="7" t="n">
        <v>0.135</v>
      </c>
      <c r="AF34" s="7" t="n">
        <v>0.147</v>
      </c>
      <c r="AG34" s="7" t="n">
        <v>-0.012</v>
      </c>
      <c r="AH34" s="7" t="n">
        <v>0.903</v>
      </c>
      <c r="AI34" s="7" t="n">
        <v>-0.005</v>
      </c>
      <c r="AJ34" s="7" t="n">
        <v>-0.362</v>
      </c>
      <c r="AK34" s="7" t="n">
        <v>-0.289</v>
      </c>
      <c r="AL34" s="7" t="n">
        <v>0.549</v>
      </c>
      <c r="AM34" s="7" t="n">
        <v>-0.115</v>
      </c>
      <c r="AN34" s="7" t="n">
        <v>-0.049</v>
      </c>
      <c r="AO34" s="7" t="n">
        <v>0.463</v>
      </c>
      <c r="AP34" s="7" t="n">
        <v>0</v>
      </c>
      <c r="AQ34" s="7" t="n">
        <v>0.11</v>
      </c>
    </row>
    <row r="35" customFormat="false" ht="15" hidden="false" customHeight="false" outlineLevel="0" collapsed="false">
      <c r="A35" s="23" t="n">
        <v>46352</v>
      </c>
      <c r="B35" s="7" t="n">
        <v>0.181</v>
      </c>
      <c r="C35" s="7" t="n">
        <v>-0.03</v>
      </c>
      <c r="D35" s="7" t="n">
        <v>0.317</v>
      </c>
      <c r="E35" s="7" t="n">
        <v>0.037</v>
      </c>
      <c r="F35" s="7" t="n">
        <v>0.137</v>
      </c>
      <c r="G35" s="7" t="n">
        <v>0.037</v>
      </c>
      <c r="H35" s="7" t="n">
        <v>-0.009</v>
      </c>
      <c r="I35" s="7" t="n">
        <v>-0.24</v>
      </c>
      <c r="J35" s="7" t="n">
        <v>0.024</v>
      </c>
      <c r="K35" s="7" t="n">
        <v>0.037</v>
      </c>
      <c r="L35" s="7" t="n">
        <v>0.029</v>
      </c>
      <c r="M35" s="7" t="n">
        <v>0.024</v>
      </c>
      <c r="N35" s="7" t="n">
        <v>0.015</v>
      </c>
      <c r="O35" s="7" t="n">
        <v>0.396</v>
      </c>
      <c r="P35" s="7" t="n">
        <v>0.164</v>
      </c>
      <c r="Q35" s="7" t="n">
        <v>0.15</v>
      </c>
      <c r="R35" s="7" t="n">
        <v>0.047</v>
      </c>
      <c r="S35" s="7" t="n">
        <v>0.27</v>
      </c>
      <c r="T35" s="7" t="n">
        <v>-0.238</v>
      </c>
      <c r="U35" s="7" t="n">
        <v>0.673</v>
      </c>
      <c r="V35" s="7" t="n">
        <v>-0.009</v>
      </c>
      <c r="W35" s="7" t="n">
        <v>0.15</v>
      </c>
      <c r="X35" s="7" t="n">
        <v>0.038</v>
      </c>
      <c r="Y35" s="7" t="n">
        <v>0.601</v>
      </c>
      <c r="Z35" s="7" t="n">
        <v>0.037</v>
      </c>
      <c r="AA35" s="7" t="n">
        <v>0.047</v>
      </c>
      <c r="AB35" s="7" t="n">
        <v>-0.097</v>
      </c>
      <c r="AC35" s="7" t="n">
        <v>0.137</v>
      </c>
      <c r="AD35" s="7" t="n">
        <v>0.037</v>
      </c>
      <c r="AE35" s="7" t="n">
        <v>0.137</v>
      </c>
      <c r="AF35" s="7" t="n">
        <v>0.15</v>
      </c>
      <c r="AG35" s="7" t="n">
        <v>-0.009</v>
      </c>
      <c r="AH35" s="7" t="n">
        <v>0.906</v>
      </c>
      <c r="AI35" s="7" t="n">
        <v>-0.009</v>
      </c>
      <c r="AJ35" s="7" t="n">
        <v>-0.366</v>
      </c>
      <c r="AK35" s="7" t="n">
        <v>-0.293</v>
      </c>
      <c r="AL35" s="7" t="n">
        <v>0.564</v>
      </c>
      <c r="AM35" s="7" t="n">
        <v>-0.121</v>
      </c>
      <c r="AN35" s="7" t="n">
        <v>-0.046</v>
      </c>
      <c r="AO35" s="7" t="n">
        <v>0.475</v>
      </c>
      <c r="AP35" s="7" t="n">
        <v>0</v>
      </c>
      <c r="AQ35" s="7" t="n">
        <v>0.113</v>
      </c>
    </row>
    <row r="36" customFormat="false" ht="15" hidden="false" customHeight="false" outlineLevel="0" collapsed="false">
      <c r="A36" s="23" t="n">
        <v>46353</v>
      </c>
      <c r="B36" s="7" t="n">
        <v>0.181</v>
      </c>
      <c r="C36" s="7" t="n">
        <v>-0.039</v>
      </c>
      <c r="D36" s="7" t="n">
        <v>0.32</v>
      </c>
      <c r="E36" s="7" t="n">
        <v>0.037</v>
      </c>
      <c r="F36" s="7" t="n">
        <v>0.138</v>
      </c>
      <c r="G36" s="7" t="n">
        <v>0.037</v>
      </c>
      <c r="H36" s="7" t="n">
        <v>-0.013</v>
      </c>
      <c r="I36" s="7" t="n">
        <v>-0.249</v>
      </c>
      <c r="J36" s="7" t="n">
        <v>0.023</v>
      </c>
      <c r="K36" s="7" t="n">
        <v>0.037</v>
      </c>
      <c r="L36" s="7" t="n">
        <v>0.026</v>
      </c>
      <c r="M36" s="7" t="n">
        <v>0.023</v>
      </c>
      <c r="N36" s="7" t="n">
        <v>0.011</v>
      </c>
      <c r="O36" s="7" t="n">
        <v>0.392</v>
      </c>
      <c r="P36" s="7" t="n">
        <v>0.166</v>
      </c>
      <c r="Q36" s="7" t="n">
        <v>0.152</v>
      </c>
      <c r="R36" s="7" t="n">
        <v>0.047</v>
      </c>
      <c r="S36" s="7" t="n">
        <v>0.28</v>
      </c>
      <c r="T36" s="7" t="n">
        <v>-0.229</v>
      </c>
      <c r="U36" s="7" t="n">
        <v>0.669</v>
      </c>
      <c r="V36" s="7" t="n">
        <v>-0.013</v>
      </c>
      <c r="W36" s="7" t="n">
        <v>0.152</v>
      </c>
      <c r="X36" s="7" t="n">
        <v>0.037</v>
      </c>
      <c r="Y36" s="7" t="n">
        <v>0.602</v>
      </c>
      <c r="Z36" s="7" t="n">
        <v>0.037</v>
      </c>
      <c r="AA36" s="7" t="n">
        <v>0.047</v>
      </c>
      <c r="AB36" s="7" t="n">
        <v>-0.104</v>
      </c>
      <c r="AC36" s="7" t="n">
        <v>0.138</v>
      </c>
      <c r="AD36" s="7" t="n">
        <v>0.037</v>
      </c>
      <c r="AE36" s="7" t="n">
        <v>0.138</v>
      </c>
      <c r="AF36" s="7" t="n">
        <v>0.152</v>
      </c>
      <c r="AG36" s="7" t="n">
        <v>-0.013</v>
      </c>
      <c r="AH36" s="7" t="n">
        <v>0.905</v>
      </c>
      <c r="AI36" s="7" t="n">
        <v>-0.011</v>
      </c>
      <c r="AJ36" s="7" t="n">
        <v>-0.373</v>
      </c>
      <c r="AK36" s="7" t="n">
        <v>-0.302</v>
      </c>
      <c r="AL36" s="7" t="n">
        <v>0.566</v>
      </c>
      <c r="AM36" s="7" t="n">
        <v>-0.126</v>
      </c>
      <c r="AN36" s="7" t="n">
        <v>-0.051</v>
      </c>
      <c r="AO36" s="7" t="n">
        <v>0.474</v>
      </c>
      <c r="AP36" s="7" t="n">
        <v>0</v>
      </c>
      <c r="AQ36" s="7" t="n">
        <v>0.116</v>
      </c>
    </row>
    <row r="37" customFormat="false" ht="15" hidden="false" customHeight="false" outlineLevel="0" collapsed="false">
      <c r="A37" s="23" t="n">
        <v>46354</v>
      </c>
      <c r="B37" s="7" t="n">
        <v>0.181</v>
      </c>
      <c r="C37" s="7" t="n">
        <v>-0.049</v>
      </c>
      <c r="D37" s="7" t="n">
        <v>0.324</v>
      </c>
      <c r="E37" s="7" t="n">
        <v>0.037</v>
      </c>
      <c r="F37" s="7" t="n">
        <v>0.139</v>
      </c>
      <c r="G37" s="7" t="n">
        <v>0.037</v>
      </c>
      <c r="H37" s="7" t="n">
        <v>-0.017</v>
      </c>
      <c r="I37" s="7" t="n">
        <v>-0.26</v>
      </c>
      <c r="J37" s="7" t="n">
        <v>0.022</v>
      </c>
      <c r="K37" s="7" t="n">
        <v>0.037</v>
      </c>
      <c r="L37" s="7" t="n">
        <v>0.02</v>
      </c>
      <c r="M37" s="7" t="n">
        <v>0.022</v>
      </c>
      <c r="N37" s="7" t="n">
        <v>0.004</v>
      </c>
      <c r="O37" s="7" t="n">
        <v>0.385</v>
      </c>
      <c r="P37" s="7" t="n">
        <v>0.168</v>
      </c>
      <c r="Q37" s="7" t="n">
        <v>0.155</v>
      </c>
      <c r="R37" s="7" t="n">
        <v>0.047</v>
      </c>
      <c r="S37" s="7" t="n">
        <v>0.291</v>
      </c>
      <c r="T37" s="7" t="n">
        <v>-0.22</v>
      </c>
      <c r="U37" s="7" t="n">
        <v>0.666</v>
      </c>
      <c r="V37" s="7" t="n">
        <v>-0.017</v>
      </c>
      <c r="W37" s="7" t="n">
        <v>0.155</v>
      </c>
      <c r="X37" s="7" t="n">
        <v>0.035</v>
      </c>
      <c r="Y37" s="7" t="n">
        <v>0.602</v>
      </c>
      <c r="Z37" s="7" t="n">
        <v>0.037</v>
      </c>
      <c r="AA37" s="7" t="n">
        <v>0.047</v>
      </c>
      <c r="AB37" s="7" t="n">
        <v>-0.113</v>
      </c>
      <c r="AC37" s="7" t="n">
        <v>0.139</v>
      </c>
      <c r="AD37" s="7" t="n">
        <v>0.037</v>
      </c>
      <c r="AE37" s="7" t="n">
        <v>0.139</v>
      </c>
      <c r="AF37" s="7" t="n">
        <v>0.155</v>
      </c>
      <c r="AG37" s="7" t="n">
        <v>-0.017</v>
      </c>
      <c r="AH37" s="7" t="n">
        <v>0.905</v>
      </c>
      <c r="AI37" s="7" t="n">
        <v>-0.017</v>
      </c>
      <c r="AJ37" s="7" t="n">
        <v>-0.381</v>
      </c>
      <c r="AK37" s="7" t="n">
        <v>-0.312</v>
      </c>
      <c r="AL37" s="7" t="n">
        <v>0.568</v>
      </c>
      <c r="AM37" s="7" t="n">
        <v>-0.134</v>
      </c>
      <c r="AN37" s="7" t="n">
        <v>-0.055</v>
      </c>
      <c r="AO37" s="7" t="n">
        <v>0.473</v>
      </c>
      <c r="AP37" s="7" t="n">
        <v>0</v>
      </c>
      <c r="AQ37" s="7" t="n">
        <v>0.118</v>
      </c>
    </row>
    <row r="38" customFormat="false" ht="15" hidden="false" customHeight="false" outlineLevel="0" collapsed="false">
      <c r="A38" s="23" t="n">
        <v>46355</v>
      </c>
      <c r="B38" s="7" t="n">
        <v>0.181</v>
      </c>
      <c r="C38" s="7" t="n">
        <v>-0.049</v>
      </c>
      <c r="D38" s="7" t="n">
        <v>0.324</v>
      </c>
      <c r="E38" s="7" t="n">
        <v>0.037</v>
      </c>
      <c r="F38" s="7" t="n">
        <v>0.139</v>
      </c>
      <c r="G38" s="7" t="n">
        <v>0.037</v>
      </c>
      <c r="H38" s="7" t="n">
        <v>-0.017</v>
      </c>
      <c r="I38" s="7" t="n">
        <v>-0.26</v>
      </c>
      <c r="J38" s="7" t="n">
        <v>0.022</v>
      </c>
      <c r="K38" s="7" t="n">
        <v>0.037</v>
      </c>
      <c r="L38" s="7" t="n">
        <v>0.02</v>
      </c>
      <c r="M38" s="7" t="n">
        <v>0.022</v>
      </c>
      <c r="N38" s="7" t="n">
        <v>0.004</v>
      </c>
      <c r="O38" s="7" t="n">
        <v>0.385</v>
      </c>
      <c r="P38" s="7" t="n">
        <v>0.168</v>
      </c>
      <c r="Q38" s="7" t="n">
        <v>0.155</v>
      </c>
      <c r="R38" s="7" t="n">
        <v>0.047</v>
      </c>
      <c r="S38" s="7" t="n">
        <v>0.291</v>
      </c>
      <c r="T38" s="7" t="n">
        <v>-0.22</v>
      </c>
      <c r="U38" s="7" t="n">
        <v>0.666</v>
      </c>
      <c r="V38" s="7" t="n">
        <v>-0.017</v>
      </c>
      <c r="W38" s="7" t="n">
        <v>0.155</v>
      </c>
      <c r="X38" s="7" t="n">
        <v>0.035</v>
      </c>
      <c r="Y38" s="7" t="n">
        <v>0.602</v>
      </c>
      <c r="Z38" s="7" t="n">
        <v>0.037</v>
      </c>
      <c r="AA38" s="7" t="n">
        <v>0.047</v>
      </c>
      <c r="AB38" s="7" t="n">
        <v>-0.113</v>
      </c>
      <c r="AC38" s="7" t="n">
        <v>0.139</v>
      </c>
      <c r="AD38" s="7" t="n">
        <v>0.037</v>
      </c>
      <c r="AE38" s="7" t="n">
        <v>0.139</v>
      </c>
      <c r="AF38" s="7" t="n">
        <v>0.155</v>
      </c>
      <c r="AG38" s="7" t="n">
        <v>-0.017</v>
      </c>
      <c r="AH38" s="7" t="n">
        <v>0.905</v>
      </c>
      <c r="AI38" s="7" t="n">
        <v>-0.017</v>
      </c>
      <c r="AJ38" s="7" t="n">
        <v>-0.381</v>
      </c>
      <c r="AK38" s="7" t="n">
        <v>-0.312</v>
      </c>
      <c r="AL38" s="7" t="n">
        <v>0.568</v>
      </c>
      <c r="AM38" s="7" t="n">
        <v>-0.134</v>
      </c>
      <c r="AN38" s="7" t="n">
        <v>-0.055</v>
      </c>
      <c r="AO38" s="7" t="n">
        <v>0.473</v>
      </c>
      <c r="AP38" s="7" t="n">
        <v>0</v>
      </c>
      <c r="AQ38" s="7" t="n">
        <v>0.118</v>
      </c>
    </row>
    <row r="39" customFormat="false" ht="15" hidden="false" customHeight="false" outlineLevel="0" collapsed="false">
      <c r="A39" s="23" t="n">
        <v>46356</v>
      </c>
      <c r="B39" s="7" t="n">
        <v>0.181</v>
      </c>
      <c r="C39" s="7" t="n">
        <v>-0.049</v>
      </c>
      <c r="D39" s="7" t="n">
        <v>0.324</v>
      </c>
      <c r="E39" s="7" t="n">
        <v>0.037</v>
      </c>
      <c r="F39" s="7" t="n">
        <v>0.139</v>
      </c>
      <c r="G39" s="7" t="n">
        <v>0.037</v>
      </c>
      <c r="H39" s="7" t="n">
        <v>-0.017</v>
      </c>
      <c r="I39" s="7" t="n">
        <v>-0.26</v>
      </c>
      <c r="J39" s="7" t="n">
        <v>0.022</v>
      </c>
      <c r="K39" s="7" t="n">
        <v>0.037</v>
      </c>
      <c r="L39" s="7" t="n">
        <v>0.02</v>
      </c>
      <c r="M39" s="7" t="n">
        <v>0.022</v>
      </c>
      <c r="N39" s="7" t="n">
        <v>0.004</v>
      </c>
      <c r="O39" s="7" t="n">
        <v>0.385</v>
      </c>
      <c r="P39" s="7" t="n">
        <v>0.168</v>
      </c>
      <c r="Q39" s="7" t="n">
        <v>0.155</v>
      </c>
      <c r="R39" s="7" t="n">
        <v>0.047</v>
      </c>
      <c r="S39" s="7" t="n">
        <v>0.291</v>
      </c>
      <c r="T39" s="7" t="n">
        <v>-0.22</v>
      </c>
      <c r="U39" s="7" t="n">
        <v>0.666</v>
      </c>
      <c r="V39" s="7" t="n">
        <v>-0.017</v>
      </c>
      <c r="W39" s="7" t="n">
        <v>0.155</v>
      </c>
      <c r="X39" s="7" t="n">
        <v>0.035</v>
      </c>
      <c r="Y39" s="7" t="n">
        <v>0.602</v>
      </c>
      <c r="Z39" s="7" t="n">
        <v>0.037</v>
      </c>
      <c r="AA39" s="7" t="n">
        <v>0.047</v>
      </c>
      <c r="AB39" s="7" t="n">
        <v>-0.113</v>
      </c>
      <c r="AC39" s="7" t="n">
        <v>0.139</v>
      </c>
      <c r="AD39" s="7" t="n">
        <v>0.037</v>
      </c>
      <c r="AE39" s="7" t="n">
        <v>0.139</v>
      </c>
      <c r="AF39" s="7" t="n">
        <v>0.155</v>
      </c>
      <c r="AG39" s="7" t="n">
        <v>-0.017</v>
      </c>
      <c r="AH39" s="7" t="n">
        <v>0.905</v>
      </c>
      <c r="AI39" s="7" t="n">
        <v>-0.017</v>
      </c>
      <c r="AJ39" s="7" t="n">
        <v>-0.381</v>
      </c>
      <c r="AK39" s="7" t="n">
        <v>-0.312</v>
      </c>
      <c r="AL39" s="7" t="n">
        <v>0.568</v>
      </c>
      <c r="AM39" s="7" t="n">
        <v>-0.134</v>
      </c>
      <c r="AN39" s="7" t="n">
        <v>-0.055</v>
      </c>
      <c r="AO39" s="7" t="n">
        <v>0.473</v>
      </c>
      <c r="AP39" s="7" t="n">
        <v>0</v>
      </c>
      <c r="AQ39" s="7" t="n">
        <v>0.118</v>
      </c>
    </row>
    <row r="40" customFormat="false" ht="15" hidden="false" customHeight="false" outlineLevel="0" collapsed="false">
      <c r="A40" s="23" t="n">
        <v>46357</v>
      </c>
      <c r="B40" s="7" t="n">
        <v>0.182</v>
      </c>
      <c r="C40" s="7" t="n">
        <v>-0.057</v>
      </c>
      <c r="D40" s="7" t="n">
        <v>0.32</v>
      </c>
      <c r="E40" s="7" t="n">
        <v>0.055</v>
      </c>
      <c r="F40" s="7" t="n">
        <v>0.141</v>
      </c>
      <c r="G40" s="7" t="n">
        <v>0.04</v>
      </c>
      <c r="H40" s="7" t="n">
        <v>-0.018</v>
      </c>
      <c r="I40" s="7" t="n">
        <v>-0.268</v>
      </c>
      <c r="J40" s="7" t="n">
        <v>0.006</v>
      </c>
      <c r="K40" s="7" t="n">
        <v>0.056</v>
      </c>
      <c r="L40" s="7" t="n">
        <v>0.015</v>
      </c>
      <c r="M40" s="7" t="n">
        <v>0.024</v>
      </c>
      <c r="N40" s="7" t="n">
        <v>-0.004</v>
      </c>
      <c r="O40" s="7" t="n">
        <v>0.382</v>
      </c>
      <c r="P40" s="7" t="n">
        <v>0.171</v>
      </c>
      <c r="Q40" s="7" t="n">
        <v>0.16</v>
      </c>
      <c r="R40" s="7" t="n">
        <v>0.047</v>
      </c>
      <c r="S40" s="7" t="n">
        <v>0.3</v>
      </c>
      <c r="T40" s="7" t="n">
        <v>-0.209</v>
      </c>
      <c r="U40" s="7" t="n">
        <v>0.652</v>
      </c>
      <c r="V40" s="7" t="n">
        <v>-0.017</v>
      </c>
      <c r="W40" s="7" t="n">
        <v>0.16</v>
      </c>
      <c r="X40" s="7" t="n">
        <v>0.036</v>
      </c>
      <c r="Y40" s="7" t="n">
        <v>0.593</v>
      </c>
      <c r="Z40" s="7" t="n">
        <v>0.056</v>
      </c>
      <c r="AA40" s="7" t="n">
        <v>0.047</v>
      </c>
      <c r="AB40" s="7" t="n">
        <v>-0.128</v>
      </c>
      <c r="AC40" s="7" t="n">
        <v>0.145</v>
      </c>
      <c r="AD40" s="7" t="n">
        <v>0.049</v>
      </c>
      <c r="AE40" s="7" t="n">
        <v>0.141</v>
      </c>
      <c r="AF40" s="7" t="n">
        <v>0.167</v>
      </c>
      <c r="AG40" s="7" t="n">
        <v>-0.018</v>
      </c>
      <c r="AH40" s="7" t="n">
        <v>0.904</v>
      </c>
      <c r="AI40" s="7" t="n">
        <v>-0.025</v>
      </c>
      <c r="AJ40" s="7" t="n">
        <v>-0.389</v>
      </c>
      <c r="AK40" s="7" t="n">
        <v>-0.322</v>
      </c>
      <c r="AL40" s="7" t="n">
        <v>0.558</v>
      </c>
      <c r="AM40" s="7" t="n">
        <v>-0.144</v>
      </c>
      <c r="AN40" s="7" t="n">
        <v>-0.058</v>
      </c>
      <c r="AO40" s="7" t="n">
        <v>0.461</v>
      </c>
      <c r="AP40" s="7" t="n">
        <v>0</v>
      </c>
      <c r="AQ40" s="7" t="n">
        <v>0.12</v>
      </c>
    </row>
    <row r="41" customFormat="false" ht="15" hidden="false" customHeight="false" outlineLevel="0" collapsed="false">
      <c r="A41" s="23" t="n">
        <v>46358</v>
      </c>
      <c r="B41" s="7" t="n">
        <v>0.182</v>
      </c>
      <c r="C41" s="7" t="n">
        <v>-0.064</v>
      </c>
      <c r="D41" s="7" t="n">
        <v>0.316</v>
      </c>
      <c r="E41" s="7" t="n">
        <v>0.073</v>
      </c>
      <c r="F41" s="7" t="n">
        <v>0.143</v>
      </c>
      <c r="G41" s="7" t="n">
        <v>0.043</v>
      </c>
      <c r="H41" s="7" t="n">
        <v>-0.018</v>
      </c>
      <c r="I41" s="7" t="n">
        <v>-0.279</v>
      </c>
      <c r="J41" s="7" t="n">
        <v>-0.01</v>
      </c>
      <c r="K41" s="7" t="n">
        <v>0.075</v>
      </c>
      <c r="L41" s="7" t="n">
        <v>0.009</v>
      </c>
      <c r="M41" s="7" t="n">
        <v>0.027</v>
      </c>
      <c r="N41" s="7" t="n">
        <v>-0.013</v>
      </c>
      <c r="O41" s="7" t="n">
        <v>0.38</v>
      </c>
      <c r="P41" s="7" t="n">
        <v>0.175</v>
      </c>
      <c r="Q41" s="7" t="n">
        <v>0.165</v>
      </c>
      <c r="R41" s="7" t="n">
        <v>0.047</v>
      </c>
      <c r="S41" s="7" t="n">
        <v>0.31</v>
      </c>
      <c r="T41" s="7" t="n">
        <v>-0.198</v>
      </c>
      <c r="U41" s="7" t="n">
        <v>0.639</v>
      </c>
      <c r="V41" s="7" t="n">
        <v>-0.021</v>
      </c>
      <c r="W41" s="7" t="n">
        <v>0.165</v>
      </c>
      <c r="X41" s="7" t="n">
        <v>0.037</v>
      </c>
      <c r="Y41" s="7" t="n">
        <v>0.584</v>
      </c>
      <c r="Z41" s="7" t="n">
        <v>0.075</v>
      </c>
      <c r="AA41" s="7" t="n">
        <v>0.047</v>
      </c>
      <c r="AB41" s="7" t="n">
        <v>-0.147</v>
      </c>
      <c r="AC41" s="7" t="n">
        <v>0.15</v>
      </c>
      <c r="AD41" s="7" t="n">
        <v>0.06</v>
      </c>
      <c r="AE41" s="7" t="n">
        <v>0.143</v>
      </c>
      <c r="AF41" s="7" t="n">
        <v>0.179</v>
      </c>
      <c r="AG41" s="7" t="n">
        <v>-0.018</v>
      </c>
      <c r="AH41" s="7" t="n">
        <v>0.903</v>
      </c>
      <c r="AI41" s="7" t="n">
        <v>-0.032</v>
      </c>
      <c r="AJ41" s="7" t="n">
        <v>-0.397</v>
      </c>
      <c r="AK41" s="7" t="n">
        <v>-0.332</v>
      </c>
      <c r="AL41" s="7" t="n">
        <v>0.548</v>
      </c>
      <c r="AM41" s="7" t="n">
        <v>-0.154</v>
      </c>
      <c r="AN41" s="7" t="n">
        <v>-0.061</v>
      </c>
      <c r="AO41" s="7" t="n">
        <v>0.448</v>
      </c>
      <c r="AP41" s="7" t="n">
        <v>0</v>
      </c>
      <c r="AQ41" s="7" t="n">
        <v>0.123</v>
      </c>
    </row>
    <row r="42" customFormat="false" ht="15" hidden="false" customHeight="false" outlineLevel="0" collapsed="false">
      <c r="A42" s="23" t="n">
        <v>46359</v>
      </c>
      <c r="B42" s="7" t="n">
        <v>0.181</v>
      </c>
      <c r="C42" s="7" t="n">
        <v>-0.071</v>
      </c>
      <c r="D42" s="7" t="n">
        <v>0.312</v>
      </c>
      <c r="E42" s="7" t="n">
        <v>0.09</v>
      </c>
      <c r="F42" s="7" t="n">
        <v>0.144</v>
      </c>
      <c r="G42" s="7" t="n">
        <v>0.046</v>
      </c>
      <c r="H42" s="7" t="n">
        <v>-0.019</v>
      </c>
      <c r="I42" s="7" t="n">
        <v>-0.291</v>
      </c>
      <c r="J42" s="7" t="n">
        <v>-0.026</v>
      </c>
      <c r="K42" s="7" t="n">
        <v>0.094</v>
      </c>
      <c r="L42" s="7" t="n">
        <v>0.004</v>
      </c>
      <c r="M42" s="7" t="n">
        <v>0.03</v>
      </c>
      <c r="N42" s="7" t="n">
        <v>-0.022</v>
      </c>
      <c r="O42" s="7" t="n">
        <v>0.378</v>
      </c>
      <c r="P42" s="7" t="n">
        <v>0.178</v>
      </c>
      <c r="Q42" s="7" t="n">
        <v>0.171</v>
      </c>
      <c r="R42" s="7" t="n">
        <v>0.046</v>
      </c>
      <c r="S42" s="7" t="n">
        <v>0.319</v>
      </c>
      <c r="T42" s="7" t="n">
        <v>-0.187</v>
      </c>
      <c r="U42" s="7" t="n">
        <v>0.626</v>
      </c>
      <c r="V42" s="7" t="n">
        <v>-0.026</v>
      </c>
      <c r="W42" s="7" t="n">
        <v>0.171</v>
      </c>
      <c r="X42" s="7" t="n">
        <v>0.038</v>
      </c>
      <c r="Y42" s="7" t="n">
        <v>0.575</v>
      </c>
      <c r="Z42" s="7" t="n">
        <v>0.094</v>
      </c>
      <c r="AA42" s="7" t="n">
        <v>0.046</v>
      </c>
      <c r="AB42" s="7" t="n">
        <v>-0.167</v>
      </c>
      <c r="AC42" s="7" t="n">
        <v>0.155</v>
      </c>
      <c r="AD42" s="7" t="n">
        <v>0.071</v>
      </c>
      <c r="AE42" s="7" t="n">
        <v>0.144</v>
      </c>
      <c r="AF42" s="7" t="n">
        <v>0.191</v>
      </c>
      <c r="AG42" s="7" t="n">
        <v>-0.019</v>
      </c>
      <c r="AH42" s="7" t="n">
        <v>0.901</v>
      </c>
      <c r="AI42" s="7" t="n">
        <v>-0.04</v>
      </c>
      <c r="AJ42" s="7" t="n">
        <v>-0.405</v>
      </c>
      <c r="AK42" s="7" t="n">
        <v>-0.342</v>
      </c>
      <c r="AL42" s="7" t="n">
        <v>0.538</v>
      </c>
      <c r="AM42" s="7" t="n">
        <v>-0.164</v>
      </c>
      <c r="AN42" s="7" t="n">
        <v>-0.064</v>
      </c>
      <c r="AO42" s="7" t="n">
        <v>0.436</v>
      </c>
      <c r="AP42" s="7" t="n">
        <v>0</v>
      </c>
      <c r="AQ42" s="7" t="n">
        <v>0.126</v>
      </c>
    </row>
    <row r="43" customFormat="false" ht="15" hidden="false" customHeight="false" outlineLevel="0" collapsed="false">
      <c r="A43" s="23" t="n">
        <v>46360</v>
      </c>
      <c r="B43" s="7" t="n">
        <v>0.167</v>
      </c>
      <c r="C43" s="7" t="n">
        <v>-0.092</v>
      </c>
      <c r="D43" s="7" t="n">
        <v>0.308</v>
      </c>
      <c r="E43" s="7" t="n">
        <v>0.094</v>
      </c>
      <c r="F43" s="7" t="n">
        <v>0.137</v>
      </c>
      <c r="G43" s="7" t="n">
        <v>0.049</v>
      </c>
      <c r="H43" s="7" t="n">
        <v>-0.028</v>
      </c>
      <c r="I43" s="7" t="n">
        <v>-0.309</v>
      </c>
      <c r="J43" s="7" t="n">
        <v>-0.037</v>
      </c>
      <c r="K43" s="7" t="n">
        <v>0.085</v>
      </c>
      <c r="L43" s="7" t="n">
        <v>0.002</v>
      </c>
      <c r="M43" s="7" t="n">
        <v>0.033</v>
      </c>
      <c r="N43" s="7" t="n">
        <v>-0.035</v>
      </c>
      <c r="O43" s="7" t="n">
        <v>0.378</v>
      </c>
      <c r="P43" s="7" t="n">
        <v>0.181</v>
      </c>
      <c r="Q43" s="7" t="n">
        <v>0.175</v>
      </c>
      <c r="R43" s="7" t="n">
        <v>0.037</v>
      </c>
      <c r="S43" s="7" t="n">
        <v>0.308</v>
      </c>
      <c r="T43" s="7" t="n">
        <v>-0.186</v>
      </c>
      <c r="U43" s="7" t="n">
        <v>0.604</v>
      </c>
      <c r="V43" s="7" t="n">
        <v>-0.042</v>
      </c>
      <c r="W43" s="7" t="n">
        <v>0.175</v>
      </c>
      <c r="X43" s="7" t="n">
        <v>0.04</v>
      </c>
      <c r="Y43" s="7" t="n">
        <v>0.565</v>
      </c>
      <c r="Z43" s="7" t="n">
        <v>0.085</v>
      </c>
      <c r="AA43" s="7" t="n">
        <v>0.037</v>
      </c>
      <c r="AB43" s="7" t="n">
        <v>-0.182</v>
      </c>
      <c r="AC43" s="7" t="n">
        <v>0.16</v>
      </c>
      <c r="AD43" s="7" t="n">
        <v>0.065</v>
      </c>
      <c r="AE43" s="7" t="n">
        <v>0.137</v>
      </c>
      <c r="AF43" s="7" t="n">
        <v>0.185</v>
      </c>
      <c r="AG43" s="7" t="n">
        <v>-0.028</v>
      </c>
      <c r="AH43" s="7" t="n">
        <v>0.9</v>
      </c>
      <c r="AI43" s="7" t="n">
        <v>-0.045</v>
      </c>
      <c r="AJ43" s="7" t="n">
        <v>-0.418</v>
      </c>
      <c r="AK43" s="7" t="n">
        <v>-0.356</v>
      </c>
      <c r="AL43" s="7" t="n">
        <v>0.529</v>
      </c>
      <c r="AM43" s="7" t="n">
        <v>-0.171</v>
      </c>
      <c r="AN43" s="7" t="n">
        <v>-0.076</v>
      </c>
      <c r="AO43" s="7" t="n">
        <v>0.426</v>
      </c>
      <c r="AP43" s="7" t="n">
        <v>0</v>
      </c>
      <c r="AQ43" s="7" t="n">
        <v>0.127</v>
      </c>
    </row>
    <row r="44" customFormat="false" ht="15" hidden="false" customHeight="false" outlineLevel="0" collapsed="false">
      <c r="A44" s="23" t="n">
        <v>46361</v>
      </c>
      <c r="B44" s="7" t="n">
        <v>0.156</v>
      </c>
      <c r="C44" s="7" t="n">
        <v>-0.113</v>
      </c>
      <c r="D44" s="7" t="n">
        <v>0.306</v>
      </c>
      <c r="E44" s="7" t="n">
        <v>0.097</v>
      </c>
      <c r="F44" s="7" t="n">
        <v>0.13</v>
      </c>
      <c r="G44" s="7" t="n">
        <v>0.051</v>
      </c>
      <c r="H44" s="7" t="n">
        <v>-0.038</v>
      </c>
      <c r="I44" s="7" t="n">
        <v>-0.325</v>
      </c>
      <c r="J44" s="7" t="n">
        <v>-0.047</v>
      </c>
      <c r="K44" s="7" t="n">
        <v>0.076</v>
      </c>
      <c r="L44" s="7" t="n">
        <v>-0.002</v>
      </c>
      <c r="M44" s="7" t="n">
        <v>0.037</v>
      </c>
      <c r="N44" s="7" t="n">
        <v>-0.049</v>
      </c>
      <c r="O44" s="7" t="n">
        <v>0.378</v>
      </c>
      <c r="P44" s="7" t="n">
        <v>0.185</v>
      </c>
      <c r="Q44" s="7" t="n">
        <v>0.179</v>
      </c>
      <c r="R44" s="7" t="n">
        <v>0.029</v>
      </c>
      <c r="S44" s="7" t="n">
        <v>0.299</v>
      </c>
      <c r="T44" s="7" t="n">
        <v>-0.183</v>
      </c>
      <c r="U44" s="7" t="n">
        <v>0.582</v>
      </c>
      <c r="V44" s="7" t="n">
        <v>-0.057</v>
      </c>
      <c r="W44" s="7" t="n">
        <v>0.179</v>
      </c>
      <c r="X44" s="7" t="n">
        <v>0.043</v>
      </c>
      <c r="Y44" s="7" t="n">
        <v>0.557</v>
      </c>
      <c r="Z44" s="7" t="n">
        <v>0.076</v>
      </c>
      <c r="AA44" s="7" t="n">
        <v>0.029</v>
      </c>
      <c r="AB44" s="7" t="n">
        <v>-0.194</v>
      </c>
      <c r="AC44" s="7" t="n">
        <v>0.165</v>
      </c>
      <c r="AD44" s="7" t="n">
        <v>0.06</v>
      </c>
      <c r="AE44" s="7" t="n">
        <v>0.13</v>
      </c>
      <c r="AF44" s="7" t="n">
        <v>0.178</v>
      </c>
      <c r="AG44" s="7" t="n">
        <v>-0.038</v>
      </c>
      <c r="AH44" s="7" t="n">
        <v>0.9</v>
      </c>
      <c r="AI44" s="7" t="n">
        <v>-0.051</v>
      </c>
      <c r="AJ44" s="7" t="n">
        <v>-0.431</v>
      </c>
      <c r="AK44" s="7" t="n">
        <v>-0.37</v>
      </c>
      <c r="AL44" s="7" t="n">
        <v>0.521</v>
      </c>
      <c r="AM44" s="7" t="n">
        <v>-0.178</v>
      </c>
      <c r="AN44" s="7" t="n">
        <v>-0.088</v>
      </c>
      <c r="AO44" s="7" t="n">
        <v>0.417</v>
      </c>
      <c r="AP44" s="7" t="n">
        <v>0</v>
      </c>
      <c r="AQ44" s="7" t="n">
        <v>0.129</v>
      </c>
    </row>
    <row r="45" customFormat="false" ht="15" hidden="false" customHeight="false" outlineLevel="0" collapsed="false">
      <c r="A45" s="23" t="n">
        <v>46362</v>
      </c>
      <c r="B45" s="7" t="n">
        <v>0.156</v>
      </c>
      <c r="C45" s="7" t="n">
        <v>-0.113</v>
      </c>
      <c r="D45" s="7" t="n">
        <v>0.306</v>
      </c>
      <c r="E45" s="7" t="n">
        <v>0.097</v>
      </c>
      <c r="F45" s="7" t="n">
        <v>0.13</v>
      </c>
      <c r="G45" s="7" t="n">
        <v>0.051</v>
      </c>
      <c r="H45" s="7" t="n">
        <v>-0.038</v>
      </c>
      <c r="I45" s="7" t="n">
        <v>-0.325</v>
      </c>
      <c r="J45" s="7" t="n">
        <v>-0.047</v>
      </c>
      <c r="K45" s="7" t="n">
        <v>0.076</v>
      </c>
      <c r="L45" s="7" t="n">
        <v>-0.002</v>
      </c>
      <c r="M45" s="7" t="n">
        <v>0.037</v>
      </c>
      <c r="N45" s="7" t="n">
        <v>-0.049</v>
      </c>
      <c r="O45" s="7" t="n">
        <v>0.378</v>
      </c>
      <c r="P45" s="7" t="n">
        <v>0.185</v>
      </c>
      <c r="Q45" s="7" t="n">
        <v>0.179</v>
      </c>
      <c r="R45" s="7" t="n">
        <v>0.029</v>
      </c>
      <c r="S45" s="7" t="n">
        <v>0.299</v>
      </c>
      <c r="T45" s="7" t="n">
        <v>-0.183</v>
      </c>
      <c r="U45" s="7" t="n">
        <v>0.582</v>
      </c>
      <c r="V45" s="7" t="n">
        <v>-0.057</v>
      </c>
      <c r="W45" s="7" t="n">
        <v>0.179</v>
      </c>
      <c r="X45" s="7" t="n">
        <v>0.043</v>
      </c>
      <c r="Y45" s="7" t="n">
        <v>0.557</v>
      </c>
      <c r="Z45" s="7" t="n">
        <v>0.076</v>
      </c>
      <c r="AA45" s="7" t="n">
        <v>0.029</v>
      </c>
      <c r="AB45" s="7" t="n">
        <v>-0.194</v>
      </c>
      <c r="AC45" s="7" t="n">
        <v>0.165</v>
      </c>
      <c r="AD45" s="7" t="n">
        <v>0.06</v>
      </c>
      <c r="AE45" s="7" t="n">
        <v>0.13</v>
      </c>
      <c r="AF45" s="7" t="n">
        <v>0.178</v>
      </c>
      <c r="AG45" s="7" t="n">
        <v>-0.038</v>
      </c>
      <c r="AH45" s="7" t="n">
        <v>0.9</v>
      </c>
      <c r="AI45" s="7" t="n">
        <v>-0.051</v>
      </c>
      <c r="AJ45" s="7" t="n">
        <v>-0.431</v>
      </c>
      <c r="AK45" s="7" t="n">
        <v>-0.37</v>
      </c>
      <c r="AL45" s="7" t="n">
        <v>0.521</v>
      </c>
      <c r="AM45" s="7" t="n">
        <v>-0.178</v>
      </c>
      <c r="AN45" s="7" t="n">
        <v>-0.088</v>
      </c>
      <c r="AO45" s="7" t="n">
        <v>0.417</v>
      </c>
      <c r="AP45" s="7" t="n">
        <v>0</v>
      </c>
      <c r="AQ45" s="7" t="n">
        <v>0.129</v>
      </c>
    </row>
    <row r="46" customFormat="false" ht="15" hidden="false" customHeight="false" outlineLevel="0" collapsed="false">
      <c r="A46" s="23" t="n">
        <v>46363</v>
      </c>
      <c r="B46" s="7" t="n">
        <v>0.156</v>
      </c>
      <c r="C46" s="7" t="n">
        <v>-0.113</v>
      </c>
      <c r="D46" s="7" t="n">
        <v>0.306</v>
      </c>
      <c r="E46" s="7" t="n">
        <v>0.097</v>
      </c>
      <c r="F46" s="7" t="n">
        <v>0.13</v>
      </c>
      <c r="G46" s="7" t="n">
        <v>0.051</v>
      </c>
      <c r="H46" s="7" t="n">
        <v>-0.038</v>
      </c>
      <c r="I46" s="7" t="n">
        <v>-0.325</v>
      </c>
      <c r="J46" s="7" t="n">
        <v>-0.047</v>
      </c>
      <c r="K46" s="7" t="n">
        <v>0.076</v>
      </c>
      <c r="L46" s="7" t="n">
        <v>-0.002</v>
      </c>
      <c r="M46" s="7" t="n">
        <v>0.037</v>
      </c>
      <c r="N46" s="7" t="n">
        <v>-0.049</v>
      </c>
      <c r="O46" s="7" t="n">
        <v>0.378</v>
      </c>
      <c r="P46" s="7" t="n">
        <v>0.185</v>
      </c>
      <c r="Q46" s="7" t="n">
        <v>0.179</v>
      </c>
      <c r="R46" s="7" t="n">
        <v>0.029</v>
      </c>
      <c r="S46" s="7" t="n">
        <v>0.299</v>
      </c>
      <c r="T46" s="7" t="n">
        <v>-0.183</v>
      </c>
      <c r="U46" s="7" t="n">
        <v>0.582</v>
      </c>
      <c r="V46" s="7" t="n">
        <v>-0.057</v>
      </c>
      <c r="W46" s="7" t="n">
        <v>0.179</v>
      </c>
      <c r="X46" s="7" t="n">
        <v>0.043</v>
      </c>
      <c r="Y46" s="7" t="n">
        <v>0.557</v>
      </c>
      <c r="Z46" s="7" t="n">
        <v>0.076</v>
      </c>
      <c r="AA46" s="7" t="n">
        <v>0.029</v>
      </c>
      <c r="AB46" s="7" t="n">
        <v>-0.194</v>
      </c>
      <c r="AC46" s="7" t="n">
        <v>0.165</v>
      </c>
      <c r="AD46" s="7" t="n">
        <v>0.06</v>
      </c>
      <c r="AE46" s="7" t="n">
        <v>0.13</v>
      </c>
      <c r="AF46" s="7" t="n">
        <v>0.178</v>
      </c>
      <c r="AG46" s="7" t="n">
        <v>-0.038</v>
      </c>
      <c r="AH46" s="7" t="n">
        <v>0.9</v>
      </c>
      <c r="AI46" s="7" t="n">
        <v>-0.051</v>
      </c>
      <c r="AJ46" s="7" t="n">
        <v>-0.431</v>
      </c>
      <c r="AK46" s="7" t="n">
        <v>-0.37</v>
      </c>
      <c r="AL46" s="7" t="n">
        <v>0.521</v>
      </c>
      <c r="AM46" s="7" t="n">
        <v>-0.178</v>
      </c>
      <c r="AN46" s="7" t="n">
        <v>-0.088</v>
      </c>
      <c r="AO46" s="7" t="n">
        <v>0.417</v>
      </c>
      <c r="AP46" s="7" t="n">
        <v>0</v>
      </c>
      <c r="AQ46" s="7" t="n">
        <v>0.129</v>
      </c>
    </row>
    <row r="47" customFormat="false" ht="15" hidden="false" customHeight="false" outlineLevel="0" collapsed="false">
      <c r="A47" s="23" t="n">
        <v>46364</v>
      </c>
      <c r="B47" s="7" t="n">
        <v>0.15</v>
      </c>
      <c r="C47" s="7" t="n">
        <v>-0.125</v>
      </c>
      <c r="D47" s="7" t="n">
        <v>0.306</v>
      </c>
      <c r="E47" s="7" t="n">
        <v>0.099</v>
      </c>
      <c r="F47" s="7" t="n">
        <v>0.131</v>
      </c>
      <c r="G47" s="7" t="n">
        <v>0.054</v>
      </c>
      <c r="H47" s="7" t="n">
        <v>-0.044</v>
      </c>
      <c r="I47" s="7" t="n">
        <v>-0.339</v>
      </c>
      <c r="J47" s="7" t="n">
        <v>-0.055</v>
      </c>
      <c r="K47" s="7" t="n">
        <v>0.066</v>
      </c>
      <c r="L47" s="7" t="n">
        <v>-0.002</v>
      </c>
      <c r="M47" s="7" t="n">
        <v>0.041</v>
      </c>
      <c r="N47" s="7" t="n">
        <v>-0.053</v>
      </c>
      <c r="O47" s="7" t="n">
        <v>0.38</v>
      </c>
      <c r="P47" s="7" t="n">
        <v>0.189</v>
      </c>
      <c r="Q47" s="7" t="n">
        <v>0.184</v>
      </c>
      <c r="R47" s="7" t="n">
        <v>0.025</v>
      </c>
      <c r="S47" s="7" t="n">
        <v>0.286</v>
      </c>
      <c r="T47" s="7" t="n">
        <v>-0.179</v>
      </c>
      <c r="U47" s="7" t="n">
        <v>0.563</v>
      </c>
      <c r="V47" s="7" t="n">
        <v>-0.068</v>
      </c>
      <c r="W47" s="7" t="n">
        <v>0.184</v>
      </c>
      <c r="X47" s="7" t="n">
        <v>0.046</v>
      </c>
      <c r="Y47" s="7" t="n">
        <v>0.548</v>
      </c>
      <c r="Z47" s="7" t="n">
        <v>0.066</v>
      </c>
      <c r="AA47" s="7" t="n">
        <v>0.025</v>
      </c>
      <c r="AB47" s="7" t="n">
        <v>-0.2</v>
      </c>
      <c r="AC47" s="7" t="n">
        <v>0.171</v>
      </c>
      <c r="AD47" s="7" t="n">
        <v>0.052</v>
      </c>
      <c r="AE47" s="7" t="n">
        <v>0.131</v>
      </c>
      <c r="AF47" s="7" t="n">
        <v>0.182</v>
      </c>
      <c r="AG47" s="7" t="n">
        <v>-0.044</v>
      </c>
      <c r="AH47" s="7" t="n">
        <v>0.898</v>
      </c>
      <c r="AI47" s="7" t="n">
        <v>-0.055</v>
      </c>
      <c r="AJ47" s="7" t="n">
        <v>-0.442</v>
      </c>
      <c r="AK47" s="7" t="n">
        <v>-0.382</v>
      </c>
      <c r="AL47" s="7" t="n">
        <v>0.512</v>
      </c>
      <c r="AM47" s="7" t="n">
        <v>-0.184</v>
      </c>
      <c r="AN47" s="7" t="n">
        <v>-0.096</v>
      </c>
      <c r="AO47" s="7" t="n">
        <v>0.406</v>
      </c>
      <c r="AP47" s="7" t="n">
        <v>0</v>
      </c>
      <c r="AQ47" s="7" t="n">
        <v>0.132</v>
      </c>
    </row>
    <row r="48" customFormat="false" ht="15" hidden="false" customHeight="false" outlineLevel="0" collapsed="false">
      <c r="A48" s="23" t="n">
        <v>46365</v>
      </c>
      <c r="B48" s="7" t="n">
        <v>0.144</v>
      </c>
      <c r="C48" s="7" t="n">
        <v>-0.137</v>
      </c>
      <c r="D48" s="7" t="n">
        <v>0.306</v>
      </c>
      <c r="E48" s="7" t="n">
        <v>0.1</v>
      </c>
      <c r="F48" s="7" t="n">
        <v>0.133</v>
      </c>
      <c r="G48" s="7" t="n">
        <v>0.057</v>
      </c>
      <c r="H48" s="7" t="n">
        <v>-0.05</v>
      </c>
      <c r="I48" s="7" t="n">
        <v>-0.354</v>
      </c>
      <c r="J48" s="7" t="n">
        <v>-0.062</v>
      </c>
      <c r="K48" s="7" t="n">
        <v>0.055</v>
      </c>
      <c r="L48" s="7" t="n">
        <v>-0.002</v>
      </c>
      <c r="M48" s="7" t="n">
        <v>0.045</v>
      </c>
      <c r="N48" s="7" t="n">
        <v>-0.056</v>
      </c>
      <c r="O48" s="7" t="n">
        <v>0.382</v>
      </c>
      <c r="P48" s="7" t="n">
        <v>0.194</v>
      </c>
      <c r="Q48" s="7" t="n">
        <v>0.189</v>
      </c>
      <c r="R48" s="7" t="n">
        <v>0.02</v>
      </c>
      <c r="S48" s="7" t="n">
        <v>0.273</v>
      </c>
      <c r="T48" s="7" t="n">
        <v>-0.176</v>
      </c>
      <c r="U48" s="7" t="n">
        <v>0.545</v>
      </c>
      <c r="V48" s="7" t="n">
        <v>-0.082</v>
      </c>
      <c r="W48" s="7" t="n">
        <v>0.189</v>
      </c>
      <c r="X48" s="7" t="n">
        <v>0.05</v>
      </c>
      <c r="Y48" s="7" t="n">
        <v>0.538</v>
      </c>
      <c r="Z48" s="7" t="n">
        <v>0.055</v>
      </c>
      <c r="AA48" s="7" t="n">
        <v>0.02</v>
      </c>
      <c r="AB48" s="7" t="n">
        <v>-0.212</v>
      </c>
      <c r="AC48" s="7" t="n">
        <v>0.177</v>
      </c>
      <c r="AD48" s="7" t="n">
        <v>0.045</v>
      </c>
      <c r="AE48" s="7" t="n">
        <v>0.133</v>
      </c>
      <c r="AF48" s="7" t="n">
        <v>0.185</v>
      </c>
      <c r="AG48" s="7" t="n">
        <v>-0.05</v>
      </c>
      <c r="AH48" s="7" t="n">
        <v>0.897</v>
      </c>
      <c r="AI48" s="7" t="n">
        <v>-0.057</v>
      </c>
      <c r="AJ48" s="7" t="n">
        <v>-0.454</v>
      </c>
      <c r="AK48" s="7" t="n">
        <v>-0.393</v>
      </c>
      <c r="AL48" s="7" t="n">
        <v>0.503</v>
      </c>
      <c r="AM48" s="7" t="n">
        <v>-0.189</v>
      </c>
      <c r="AN48" s="7" t="n">
        <v>-0.105</v>
      </c>
      <c r="AO48" s="7" t="n">
        <v>0.396</v>
      </c>
      <c r="AP48" s="7" t="n">
        <v>0</v>
      </c>
      <c r="AQ48" s="7" t="n">
        <v>0.134</v>
      </c>
    </row>
    <row r="49" customFormat="false" ht="15" hidden="false" customHeight="false" outlineLevel="0" collapsed="false">
      <c r="A49" s="23" t="n">
        <v>46366</v>
      </c>
      <c r="B49" s="7" t="n">
        <v>0.137</v>
      </c>
      <c r="C49" s="7" t="n">
        <v>-0.149</v>
      </c>
      <c r="D49" s="7" t="n">
        <v>0.307</v>
      </c>
      <c r="E49" s="7" t="n">
        <v>0.101</v>
      </c>
      <c r="F49" s="7" t="n">
        <v>0.133</v>
      </c>
      <c r="G49" s="7" t="n">
        <v>0.06</v>
      </c>
      <c r="H49" s="7" t="n">
        <v>-0.057</v>
      </c>
      <c r="I49" s="7" t="n">
        <v>-0.367</v>
      </c>
      <c r="J49" s="7" t="n">
        <v>-0.069</v>
      </c>
      <c r="K49" s="7" t="n">
        <v>0.044</v>
      </c>
      <c r="L49" s="7" t="n">
        <v>0.001</v>
      </c>
      <c r="M49" s="7" t="n">
        <v>0.048</v>
      </c>
      <c r="N49" s="7" t="n">
        <v>-0.058</v>
      </c>
      <c r="O49" s="7" t="n">
        <v>0.386</v>
      </c>
      <c r="P49" s="7" t="n">
        <v>0.199</v>
      </c>
      <c r="Q49" s="7" t="n">
        <v>0.194</v>
      </c>
      <c r="R49" s="7" t="n">
        <v>0.015</v>
      </c>
      <c r="S49" s="7" t="n">
        <v>0.257</v>
      </c>
      <c r="T49" s="7" t="n">
        <v>-0.173</v>
      </c>
      <c r="U49" s="7" t="n">
        <v>0.524</v>
      </c>
      <c r="V49" s="7" t="n">
        <v>-0.096</v>
      </c>
      <c r="W49" s="7" t="n">
        <v>0.194</v>
      </c>
      <c r="X49" s="7" t="n">
        <v>0.054</v>
      </c>
      <c r="Y49" s="7" t="n">
        <v>0.529</v>
      </c>
      <c r="Z49" s="7" t="n">
        <v>0.044</v>
      </c>
      <c r="AA49" s="7" t="n">
        <v>0.015</v>
      </c>
      <c r="AB49" s="7" t="n">
        <v>-0.222</v>
      </c>
      <c r="AC49" s="7" t="n">
        <v>0.183</v>
      </c>
      <c r="AD49" s="7" t="n">
        <v>0.037</v>
      </c>
      <c r="AE49" s="7" t="n">
        <v>0.133</v>
      </c>
      <c r="AF49" s="7" t="n">
        <v>0.185</v>
      </c>
      <c r="AG49" s="7" t="n">
        <v>-0.057</v>
      </c>
      <c r="AH49" s="7" t="n">
        <v>0.896</v>
      </c>
      <c r="AI49" s="7" t="n">
        <v>-0.057</v>
      </c>
      <c r="AJ49" s="7" t="n">
        <v>-0.463</v>
      </c>
      <c r="AK49" s="7" t="n">
        <v>-0.402</v>
      </c>
      <c r="AL49" s="7" t="n">
        <v>0.494</v>
      </c>
      <c r="AM49" s="7" t="n">
        <v>-0.19</v>
      </c>
      <c r="AN49" s="7" t="n">
        <v>-0.114</v>
      </c>
      <c r="AO49" s="7" t="n">
        <v>0.385</v>
      </c>
      <c r="AP49" s="7" t="n">
        <v>0</v>
      </c>
      <c r="AQ49" s="7" t="n">
        <v>0.136</v>
      </c>
    </row>
    <row r="50" customFormat="false" ht="15" hidden="false" customHeight="false" outlineLevel="0" collapsed="false">
      <c r="A50" s="23" t="n">
        <v>46367</v>
      </c>
      <c r="B50" s="7" t="n">
        <v>0.129</v>
      </c>
      <c r="C50" s="7" t="n">
        <v>-0.162</v>
      </c>
      <c r="D50" s="7" t="n">
        <v>0.308</v>
      </c>
      <c r="E50" s="7" t="n">
        <v>0.102</v>
      </c>
      <c r="F50" s="7" t="n">
        <v>0.133</v>
      </c>
      <c r="G50" s="7" t="n">
        <v>0.063</v>
      </c>
      <c r="H50" s="7" t="n">
        <v>-0.066</v>
      </c>
      <c r="I50" s="7" t="n">
        <v>-0.383</v>
      </c>
      <c r="J50" s="7" t="n">
        <v>-0.076</v>
      </c>
      <c r="K50" s="7" t="n">
        <v>0.032</v>
      </c>
      <c r="L50" s="7" t="n">
        <v>0.004</v>
      </c>
      <c r="M50" s="7" t="n">
        <v>0.052</v>
      </c>
      <c r="N50" s="7" t="n">
        <v>-0.059</v>
      </c>
      <c r="O50" s="7" t="n">
        <v>0.39</v>
      </c>
      <c r="P50" s="7" t="n">
        <v>0.204</v>
      </c>
      <c r="Q50" s="7" t="n">
        <v>0.199</v>
      </c>
      <c r="R50" s="7" t="n">
        <v>0.008</v>
      </c>
      <c r="S50" s="7" t="n">
        <v>0.24</v>
      </c>
      <c r="T50" s="7" t="n">
        <v>-0.174</v>
      </c>
      <c r="U50" s="7" t="n">
        <v>0.503</v>
      </c>
      <c r="V50" s="7" t="n">
        <v>-0.112</v>
      </c>
      <c r="W50" s="7" t="n">
        <v>0.199</v>
      </c>
      <c r="X50" s="7" t="n">
        <v>0.058</v>
      </c>
      <c r="Y50" s="7" t="n">
        <v>0.519</v>
      </c>
      <c r="Z50" s="7" t="n">
        <v>0.032</v>
      </c>
      <c r="AA50" s="7" t="n">
        <v>0.008</v>
      </c>
      <c r="AB50" s="7" t="n">
        <v>-0.233</v>
      </c>
      <c r="AC50" s="7" t="n">
        <v>0.189</v>
      </c>
      <c r="AD50" s="7" t="n">
        <v>0.029</v>
      </c>
      <c r="AE50" s="7" t="n">
        <v>0.133</v>
      </c>
      <c r="AF50" s="7" t="n">
        <v>0.185</v>
      </c>
      <c r="AG50" s="7" t="n">
        <v>-0.066</v>
      </c>
      <c r="AH50" s="7" t="n">
        <v>0.895</v>
      </c>
      <c r="AI50" s="7" t="n">
        <v>-0.056</v>
      </c>
      <c r="AJ50" s="7" t="n">
        <v>-0.474</v>
      </c>
      <c r="AK50" s="7" t="n">
        <v>-0.413</v>
      </c>
      <c r="AL50" s="7" t="n">
        <v>0.485</v>
      </c>
      <c r="AM50" s="7" t="n">
        <v>-0.192</v>
      </c>
      <c r="AN50" s="7" t="n">
        <v>-0.125</v>
      </c>
      <c r="AO50" s="7" t="n">
        <v>0.375</v>
      </c>
      <c r="AP50" s="7" t="n">
        <v>0</v>
      </c>
      <c r="AQ50" s="7" t="n">
        <v>0.138</v>
      </c>
    </row>
    <row r="51" customFormat="false" ht="15" hidden="false" customHeight="false" outlineLevel="0" collapsed="false">
      <c r="A51" s="23" t="n">
        <v>46368</v>
      </c>
      <c r="B51" s="7" t="n">
        <v>0.123</v>
      </c>
      <c r="C51" s="7" t="n">
        <v>-0.176</v>
      </c>
      <c r="D51" s="7" t="n">
        <v>0.309</v>
      </c>
      <c r="E51" s="7" t="n">
        <v>0.103</v>
      </c>
      <c r="F51" s="7" t="n">
        <v>0.135</v>
      </c>
      <c r="G51" s="7" t="n">
        <v>0.065</v>
      </c>
      <c r="H51" s="7" t="n">
        <v>-0.075</v>
      </c>
      <c r="I51" s="7" t="n">
        <v>-0.395</v>
      </c>
      <c r="J51" s="7" t="n">
        <v>-0.079</v>
      </c>
      <c r="K51" s="7" t="n">
        <v>0.021</v>
      </c>
      <c r="L51" s="7" t="n">
        <v>0.008</v>
      </c>
      <c r="M51" s="7" t="n">
        <v>0.056</v>
      </c>
      <c r="N51" s="7" t="n">
        <v>-0.059</v>
      </c>
      <c r="O51" s="7" t="n">
        <v>0.394</v>
      </c>
      <c r="P51" s="7" t="n">
        <v>0.21</v>
      </c>
      <c r="Q51" s="7" t="n">
        <v>0.204</v>
      </c>
      <c r="R51" s="7" t="n">
        <v>-0.001</v>
      </c>
      <c r="S51" s="7" t="n">
        <v>0.223</v>
      </c>
      <c r="T51" s="7" t="n">
        <v>-0.174</v>
      </c>
      <c r="U51" s="7" t="n">
        <v>0.481</v>
      </c>
      <c r="V51" s="7" t="n">
        <v>-0.126</v>
      </c>
      <c r="W51" s="7" t="n">
        <v>0.204</v>
      </c>
      <c r="X51" s="7" t="n">
        <v>0.063</v>
      </c>
      <c r="Y51" s="7" t="n">
        <v>0.51</v>
      </c>
      <c r="Z51" s="7" t="n">
        <v>0.021</v>
      </c>
      <c r="AA51" s="7" t="n">
        <v>-0.001</v>
      </c>
      <c r="AB51" s="7" t="n">
        <v>-0.231</v>
      </c>
      <c r="AC51" s="7" t="n">
        <v>0.195</v>
      </c>
      <c r="AD51" s="7" t="n">
        <v>0.021</v>
      </c>
      <c r="AE51" s="7" t="n">
        <v>0.135</v>
      </c>
      <c r="AF51" s="7" t="n">
        <v>0.183</v>
      </c>
      <c r="AG51" s="7" t="n">
        <v>-0.075</v>
      </c>
      <c r="AH51" s="7" t="n">
        <v>0.893</v>
      </c>
      <c r="AI51" s="7" t="n">
        <v>-0.055</v>
      </c>
      <c r="AJ51" s="7" t="n">
        <v>-0.484</v>
      </c>
      <c r="AK51" s="7" t="n">
        <v>-0.424</v>
      </c>
      <c r="AL51" s="7" t="n">
        <v>0.476</v>
      </c>
      <c r="AM51" s="7" t="n">
        <v>-0.193</v>
      </c>
      <c r="AN51" s="7" t="n">
        <v>-0.136</v>
      </c>
      <c r="AO51" s="7" t="n">
        <v>0.364</v>
      </c>
      <c r="AP51" s="7" t="n">
        <v>0</v>
      </c>
      <c r="AQ51" s="7" t="n">
        <v>0.14</v>
      </c>
    </row>
    <row r="52" customFormat="false" ht="15" hidden="false" customHeight="false" outlineLevel="0" collapsed="false">
      <c r="A52" s="23" t="n">
        <v>46369</v>
      </c>
      <c r="B52" s="7" t="n">
        <v>0.123</v>
      </c>
      <c r="C52" s="7" t="n">
        <v>-0.176</v>
      </c>
      <c r="D52" s="7" t="n">
        <v>0.309</v>
      </c>
      <c r="E52" s="7" t="n">
        <v>0.103</v>
      </c>
      <c r="F52" s="7" t="n">
        <v>0.135</v>
      </c>
      <c r="G52" s="7" t="n">
        <v>0.065</v>
      </c>
      <c r="H52" s="7" t="n">
        <v>-0.075</v>
      </c>
      <c r="I52" s="7" t="n">
        <v>-0.395</v>
      </c>
      <c r="J52" s="7" t="n">
        <v>-0.079</v>
      </c>
      <c r="K52" s="7" t="n">
        <v>0.021</v>
      </c>
      <c r="L52" s="7" t="n">
        <v>0.008</v>
      </c>
      <c r="M52" s="7" t="n">
        <v>0.056</v>
      </c>
      <c r="N52" s="7" t="n">
        <v>-0.059</v>
      </c>
      <c r="O52" s="7" t="n">
        <v>0.394</v>
      </c>
      <c r="P52" s="7" t="n">
        <v>0.21</v>
      </c>
      <c r="Q52" s="7" t="n">
        <v>0.204</v>
      </c>
      <c r="R52" s="7" t="n">
        <v>-0.001</v>
      </c>
      <c r="S52" s="7" t="n">
        <v>0.223</v>
      </c>
      <c r="T52" s="7" t="n">
        <v>-0.174</v>
      </c>
      <c r="U52" s="7" t="n">
        <v>0.481</v>
      </c>
      <c r="V52" s="7" t="n">
        <v>-0.126</v>
      </c>
      <c r="W52" s="7" t="n">
        <v>0.204</v>
      </c>
      <c r="X52" s="7" t="n">
        <v>0.063</v>
      </c>
      <c r="Y52" s="7" t="n">
        <v>0.51</v>
      </c>
      <c r="Z52" s="7" t="n">
        <v>0.021</v>
      </c>
      <c r="AA52" s="7" t="n">
        <v>-0.001</v>
      </c>
      <c r="AB52" s="7" t="n">
        <v>-0.231</v>
      </c>
      <c r="AC52" s="7" t="n">
        <v>0.195</v>
      </c>
      <c r="AD52" s="7" t="n">
        <v>0.021</v>
      </c>
      <c r="AE52" s="7" t="n">
        <v>0.135</v>
      </c>
      <c r="AF52" s="7" t="n">
        <v>0.183</v>
      </c>
      <c r="AG52" s="7" t="n">
        <v>-0.075</v>
      </c>
      <c r="AH52" s="7" t="n">
        <v>0.893</v>
      </c>
      <c r="AI52" s="7" t="n">
        <v>-0.055</v>
      </c>
      <c r="AJ52" s="7" t="n">
        <v>-0.484</v>
      </c>
      <c r="AK52" s="7" t="n">
        <v>-0.424</v>
      </c>
      <c r="AL52" s="7" t="n">
        <v>0.476</v>
      </c>
      <c r="AM52" s="7" t="n">
        <v>-0.193</v>
      </c>
      <c r="AN52" s="7" t="n">
        <v>-0.136</v>
      </c>
      <c r="AO52" s="7" t="n">
        <v>0.364</v>
      </c>
      <c r="AP52" s="7" t="n">
        <v>0</v>
      </c>
      <c r="AQ52" s="7" t="n">
        <v>0.14</v>
      </c>
    </row>
    <row r="53" customFormat="false" ht="15" hidden="false" customHeight="false" outlineLevel="0" collapsed="false">
      <c r="A53" s="23" t="n">
        <v>46370</v>
      </c>
      <c r="B53" s="7" t="n">
        <v>0.123</v>
      </c>
      <c r="C53" s="7" t="n">
        <v>-0.176</v>
      </c>
      <c r="D53" s="7" t="n">
        <v>0.309</v>
      </c>
      <c r="E53" s="7" t="n">
        <v>0.103</v>
      </c>
      <c r="F53" s="7" t="n">
        <v>0.135</v>
      </c>
      <c r="G53" s="7" t="n">
        <v>0.065</v>
      </c>
      <c r="H53" s="7" t="n">
        <v>-0.075</v>
      </c>
      <c r="I53" s="7" t="n">
        <v>-0.395</v>
      </c>
      <c r="J53" s="7" t="n">
        <v>-0.079</v>
      </c>
      <c r="K53" s="7" t="n">
        <v>0.021</v>
      </c>
      <c r="L53" s="7" t="n">
        <v>0.008</v>
      </c>
      <c r="M53" s="7" t="n">
        <v>0.056</v>
      </c>
      <c r="N53" s="7" t="n">
        <v>-0.059</v>
      </c>
      <c r="O53" s="7" t="n">
        <v>0.394</v>
      </c>
      <c r="P53" s="7" t="n">
        <v>0.21</v>
      </c>
      <c r="Q53" s="7" t="n">
        <v>0.204</v>
      </c>
      <c r="R53" s="7" t="n">
        <v>-0.001</v>
      </c>
      <c r="S53" s="7" t="n">
        <v>0.223</v>
      </c>
      <c r="T53" s="7" t="n">
        <v>-0.174</v>
      </c>
      <c r="U53" s="7" t="n">
        <v>0.481</v>
      </c>
      <c r="V53" s="7" t="n">
        <v>-0.126</v>
      </c>
      <c r="W53" s="7" t="n">
        <v>0.204</v>
      </c>
      <c r="X53" s="7" t="n">
        <v>0.063</v>
      </c>
      <c r="Y53" s="7" t="n">
        <v>0.51</v>
      </c>
      <c r="Z53" s="7" t="n">
        <v>0.021</v>
      </c>
      <c r="AA53" s="7" t="n">
        <v>-0.001</v>
      </c>
      <c r="AB53" s="7" t="n">
        <v>-0.231</v>
      </c>
      <c r="AC53" s="7" t="n">
        <v>0.195</v>
      </c>
      <c r="AD53" s="7" t="n">
        <v>0.021</v>
      </c>
      <c r="AE53" s="7" t="n">
        <v>0.135</v>
      </c>
      <c r="AF53" s="7" t="n">
        <v>0.183</v>
      </c>
      <c r="AG53" s="7" t="n">
        <v>-0.075</v>
      </c>
      <c r="AH53" s="7" t="n">
        <v>0.893</v>
      </c>
      <c r="AI53" s="7" t="n">
        <v>-0.055</v>
      </c>
      <c r="AJ53" s="7" t="n">
        <v>-0.484</v>
      </c>
      <c r="AK53" s="7" t="n">
        <v>-0.424</v>
      </c>
      <c r="AL53" s="7" t="n">
        <v>0.476</v>
      </c>
      <c r="AM53" s="7" t="n">
        <v>-0.193</v>
      </c>
      <c r="AN53" s="7" t="n">
        <v>-0.136</v>
      </c>
      <c r="AO53" s="7" t="n">
        <v>0.364</v>
      </c>
      <c r="AP53" s="7" t="n">
        <v>0</v>
      </c>
      <c r="AQ53" s="7" t="n">
        <v>0.14</v>
      </c>
    </row>
    <row r="54" customFormat="false" ht="15" hidden="false" customHeight="false" outlineLevel="0" collapsed="false">
      <c r="A54" s="23" t="n">
        <v>46371</v>
      </c>
      <c r="B54" s="7" t="n">
        <v>0.117</v>
      </c>
      <c r="C54" s="7" t="n">
        <v>-0.19</v>
      </c>
      <c r="D54" s="7" t="n">
        <v>0.311</v>
      </c>
      <c r="E54" s="7" t="n">
        <v>0.104</v>
      </c>
      <c r="F54" s="7" t="n">
        <v>0.136</v>
      </c>
      <c r="G54" s="7" t="n">
        <v>0.068</v>
      </c>
      <c r="H54" s="7" t="n">
        <v>-0.084</v>
      </c>
      <c r="I54" s="7" t="n">
        <v>-0.407</v>
      </c>
      <c r="J54" s="7" t="n">
        <v>-0.082</v>
      </c>
      <c r="K54" s="7" t="n">
        <v>0.009</v>
      </c>
      <c r="L54" s="7" t="n">
        <v>0.012</v>
      </c>
      <c r="M54" s="7" t="n">
        <v>0.06</v>
      </c>
      <c r="N54" s="7" t="n">
        <v>-0.058</v>
      </c>
      <c r="O54" s="7" t="n">
        <v>0.398</v>
      </c>
      <c r="P54" s="7" t="n">
        <v>0.217</v>
      </c>
      <c r="Q54" s="7" t="n">
        <v>0.208</v>
      </c>
      <c r="R54" s="7" t="n">
        <v>-0.01</v>
      </c>
      <c r="S54" s="7" t="n">
        <v>0.207</v>
      </c>
      <c r="T54" s="7" t="n">
        <v>-0.177</v>
      </c>
      <c r="U54" s="7" t="n">
        <v>0.455</v>
      </c>
      <c r="V54" s="7" t="n">
        <v>-0.139</v>
      </c>
      <c r="W54" s="7" t="n">
        <v>0.208</v>
      </c>
      <c r="X54" s="7" t="n">
        <v>0.07</v>
      </c>
      <c r="Y54" s="7" t="n">
        <v>0.498</v>
      </c>
      <c r="Z54" s="7" t="n">
        <v>0.009</v>
      </c>
      <c r="AA54" s="7" t="n">
        <v>-0.01</v>
      </c>
      <c r="AB54" s="7" t="n">
        <v>-0.227</v>
      </c>
      <c r="AC54" s="7" t="n">
        <v>0.2</v>
      </c>
      <c r="AD54" s="7" t="n">
        <v>0.013</v>
      </c>
      <c r="AE54" s="7" t="n">
        <v>0.136</v>
      </c>
      <c r="AF54" s="7" t="n">
        <v>0.18</v>
      </c>
      <c r="AG54" s="7" t="n">
        <v>-0.084</v>
      </c>
      <c r="AH54" s="7" t="n">
        <v>0.892</v>
      </c>
      <c r="AI54" s="7" t="n">
        <v>-0.054</v>
      </c>
      <c r="AJ54" s="7" t="n">
        <v>-0.494</v>
      </c>
      <c r="AK54" s="7" t="n">
        <v>-0.434</v>
      </c>
      <c r="AL54" s="7" t="n">
        <v>0.464</v>
      </c>
      <c r="AM54" s="7" t="n">
        <v>-0.193</v>
      </c>
      <c r="AN54" s="7" t="n">
        <v>-0.147</v>
      </c>
      <c r="AO54" s="7" t="n">
        <v>0.352</v>
      </c>
      <c r="AP54" s="7" t="n">
        <v>0</v>
      </c>
      <c r="AQ54" s="7" t="n">
        <v>0.142</v>
      </c>
    </row>
    <row r="55" customFormat="false" ht="15" hidden="false" customHeight="false" outlineLevel="0" collapsed="false">
      <c r="A55" s="23" t="n">
        <v>46372</v>
      </c>
      <c r="B55" s="7" t="n">
        <v>0.111</v>
      </c>
      <c r="C55" s="7" t="n">
        <v>-0.204</v>
      </c>
      <c r="D55" s="7" t="n">
        <v>0.313</v>
      </c>
      <c r="E55" s="7" t="n">
        <v>0.105</v>
      </c>
      <c r="F55" s="7" t="n">
        <v>0.137</v>
      </c>
      <c r="G55" s="7" t="n">
        <v>0.071</v>
      </c>
      <c r="H55" s="7" t="n">
        <v>-0.094</v>
      </c>
      <c r="I55" s="7" t="n">
        <v>-0.42</v>
      </c>
      <c r="J55" s="7" t="n">
        <v>-0.084</v>
      </c>
      <c r="K55" s="7" t="n">
        <v>-0.003</v>
      </c>
      <c r="L55" s="7" t="n">
        <v>0.017</v>
      </c>
      <c r="M55" s="7" t="n">
        <v>0.064</v>
      </c>
      <c r="N55" s="7" t="n">
        <v>-0.057</v>
      </c>
      <c r="O55" s="7" t="n">
        <v>0.406</v>
      </c>
      <c r="P55" s="7" t="n">
        <v>0.225</v>
      </c>
      <c r="Q55" s="7" t="n">
        <v>0.212</v>
      </c>
      <c r="R55" s="7" t="n">
        <v>-0.019</v>
      </c>
      <c r="S55" s="7" t="n">
        <v>0.191</v>
      </c>
      <c r="T55" s="7" t="n">
        <v>-0.178</v>
      </c>
      <c r="U55" s="7" t="n">
        <v>0.43</v>
      </c>
      <c r="V55" s="7" t="n">
        <v>-0.153</v>
      </c>
      <c r="W55" s="7" t="n">
        <v>0.212</v>
      </c>
      <c r="X55" s="7" t="n">
        <v>0.077</v>
      </c>
      <c r="Y55" s="7" t="n">
        <v>0.485</v>
      </c>
      <c r="Z55" s="7" t="n">
        <v>-0.003</v>
      </c>
      <c r="AA55" s="7" t="n">
        <v>-0.019</v>
      </c>
      <c r="AB55" s="7" t="n">
        <v>-0.223</v>
      </c>
      <c r="AC55" s="7" t="n">
        <v>0.206</v>
      </c>
      <c r="AD55" s="7" t="n">
        <v>0.004</v>
      </c>
      <c r="AE55" s="7" t="n">
        <v>0.137</v>
      </c>
      <c r="AF55" s="7" t="n">
        <v>0.178</v>
      </c>
      <c r="AG55" s="7" t="n">
        <v>-0.094</v>
      </c>
      <c r="AH55" s="7" t="n">
        <v>0.891</v>
      </c>
      <c r="AI55" s="7" t="n">
        <v>-0.052</v>
      </c>
      <c r="AJ55" s="7" t="n">
        <v>-0.504</v>
      </c>
      <c r="AK55" s="7" t="n">
        <v>-0.444</v>
      </c>
      <c r="AL55" s="7" t="n">
        <v>0.453</v>
      </c>
      <c r="AM55" s="7" t="n">
        <v>-0.193</v>
      </c>
      <c r="AN55" s="7" t="n">
        <v>-0.159</v>
      </c>
      <c r="AO55" s="7" t="n">
        <v>0.339</v>
      </c>
      <c r="AP55" s="7" t="n">
        <v>0</v>
      </c>
      <c r="AQ55" s="7" t="n">
        <v>0.144</v>
      </c>
    </row>
    <row r="56" customFormat="false" ht="15" hidden="false" customHeight="false" outlineLevel="0" collapsed="false">
      <c r="A56" s="23" t="n">
        <v>46373</v>
      </c>
      <c r="B56" s="7" t="n">
        <v>0.104</v>
      </c>
      <c r="C56" s="7" t="n">
        <v>-0.215</v>
      </c>
      <c r="D56" s="7" t="n">
        <v>0.311</v>
      </c>
      <c r="E56" s="7" t="n">
        <v>0.105</v>
      </c>
      <c r="F56" s="7" t="n">
        <v>0.136</v>
      </c>
      <c r="G56" s="7" t="n">
        <v>0.074</v>
      </c>
      <c r="H56" s="7" t="n">
        <v>-0.102</v>
      </c>
      <c r="I56" s="7" t="n">
        <v>-0.428</v>
      </c>
      <c r="J56" s="7" t="n">
        <v>-0.087</v>
      </c>
      <c r="K56" s="7" t="n">
        <v>-0.015</v>
      </c>
      <c r="L56" s="7" t="n">
        <v>0.022</v>
      </c>
      <c r="M56" s="7" t="n">
        <v>0.068</v>
      </c>
      <c r="N56" s="7" t="n">
        <v>-0.054</v>
      </c>
      <c r="O56" s="7" t="n">
        <v>0.415</v>
      </c>
      <c r="P56" s="7" t="n">
        <v>0.227</v>
      </c>
      <c r="Q56" s="7" t="n">
        <v>0.214</v>
      </c>
      <c r="R56" s="7" t="n">
        <v>-0.026</v>
      </c>
      <c r="S56" s="7" t="n">
        <v>0.178</v>
      </c>
      <c r="T56" s="7" t="n">
        <v>-0.181</v>
      </c>
      <c r="U56" s="7" t="n">
        <v>0.408</v>
      </c>
      <c r="V56" s="7" t="n">
        <v>-0.166</v>
      </c>
      <c r="W56" s="7" t="n">
        <v>0.214</v>
      </c>
      <c r="X56" s="7" t="n">
        <v>0.083</v>
      </c>
      <c r="Y56" s="7" t="n">
        <v>0.473</v>
      </c>
      <c r="Z56" s="7" t="n">
        <v>-0.015</v>
      </c>
      <c r="AA56" s="7" t="n">
        <v>-0.026</v>
      </c>
      <c r="AB56" s="7" t="n">
        <v>-0.217</v>
      </c>
      <c r="AC56" s="7" t="n">
        <v>0.208</v>
      </c>
      <c r="AD56" s="7" t="n">
        <v>-0.004</v>
      </c>
      <c r="AE56" s="7" t="n">
        <v>0.136</v>
      </c>
      <c r="AF56" s="7" t="n">
        <v>0.174</v>
      </c>
      <c r="AG56" s="7" t="n">
        <v>-0.102</v>
      </c>
      <c r="AH56" s="7" t="n">
        <v>0.891</v>
      </c>
      <c r="AI56" s="7" t="n">
        <v>-0.05</v>
      </c>
      <c r="AJ56" s="7" t="n">
        <v>-0.51</v>
      </c>
      <c r="AK56" s="7" t="n">
        <v>-0.45</v>
      </c>
      <c r="AL56" s="7" t="n">
        <v>0.439</v>
      </c>
      <c r="AM56" s="7" t="n">
        <v>-0.189</v>
      </c>
      <c r="AN56" s="7" t="n">
        <v>-0.169</v>
      </c>
      <c r="AO56" s="7" t="n">
        <v>0.326</v>
      </c>
      <c r="AP56" s="7" t="n">
        <v>0</v>
      </c>
      <c r="AQ56" s="7" t="n">
        <v>0.142</v>
      </c>
    </row>
    <row r="57" customFormat="false" ht="15" hidden="false" customHeight="false" outlineLevel="0" collapsed="false">
      <c r="A57" s="23" t="n">
        <v>46374</v>
      </c>
      <c r="B57" s="7" t="n">
        <v>0.099</v>
      </c>
      <c r="C57" s="7" t="n">
        <v>-0.224</v>
      </c>
      <c r="D57" s="7" t="n">
        <v>0.309</v>
      </c>
      <c r="E57" s="7" t="n">
        <v>0.106</v>
      </c>
      <c r="F57" s="7" t="n">
        <v>0.135</v>
      </c>
      <c r="G57" s="7" t="n">
        <v>0.076</v>
      </c>
      <c r="H57" s="7" t="n">
        <v>-0.109</v>
      </c>
      <c r="I57" s="7" t="n">
        <v>-0.434</v>
      </c>
      <c r="J57" s="7" t="n">
        <v>-0.089</v>
      </c>
      <c r="K57" s="7" t="n">
        <v>-0.026</v>
      </c>
      <c r="L57" s="7" t="n">
        <v>0.028</v>
      </c>
      <c r="M57" s="7" t="n">
        <v>0.073</v>
      </c>
      <c r="N57" s="7" t="n">
        <v>-0.05</v>
      </c>
      <c r="O57" s="7" t="n">
        <v>0.424</v>
      </c>
      <c r="P57" s="7" t="n">
        <v>0.229</v>
      </c>
      <c r="Q57" s="7" t="n">
        <v>0.215</v>
      </c>
      <c r="R57" s="7" t="n">
        <v>-0.033</v>
      </c>
      <c r="S57" s="7" t="n">
        <v>0.168</v>
      </c>
      <c r="T57" s="7" t="n">
        <v>-0.18</v>
      </c>
      <c r="U57" s="7" t="n">
        <v>0.387</v>
      </c>
      <c r="V57" s="7" t="n">
        <v>-0.178</v>
      </c>
      <c r="W57" s="7" t="n">
        <v>0.215</v>
      </c>
      <c r="X57" s="7" t="n">
        <v>0.088</v>
      </c>
      <c r="Y57" s="7" t="n">
        <v>0.461</v>
      </c>
      <c r="Z57" s="7" t="n">
        <v>-0.026</v>
      </c>
      <c r="AA57" s="7" t="n">
        <v>-0.033</v>
      </c>
      <c r="AB57" s="7" t="n">
        <v>-0.211</v>
      </c>
      <c r="AC57" s="7" t="n">
        <v>0.211</v>
      </c>
      <c r="AD57" s="7" t="n">
        <v>-0.013</v>
      </c>
      <c r="AE57" s="7" t="n">
        <v>0.135</v>
      </c>
      <c r="AF57" s="7" t="n">
        <v>0.17</v>
      </c>
      <c r="AG57" s="7" t="n">
        <v>-0.109</v>
      </c>
      <c r="AH57" s="7" t="n">
        <v>0.891</v>
      </c>
      <c r="AI57" s="7" t="n">
        <v>-0.046</v>
      </c>
      <c r="AJ57" s="7" t="n">
        <v>-0.514</v>
      </c>
      <c r="AK57" s="7" t="n">
        <v>-0.454</v>
      </c>
      <c r="AL57" s="7" t="n">
        <v>0.426</v>
      </c>
      <c r="AM57" s="7" t="n">
        <v>-0.185</v>
      </c>
      <c r="AN57" s="7" t="n">
        <v>-0.178</v>
      </c>
      <c r="AO57" s="7" t="n">
        <v>0.314</v>
      </c>
      <c r="AP57" s="7" t="n">
        <v>0</v>
      </c>
      <c r="AQ57" s="7" t="n">
        <v>0.141</v>
      </c>
    </row>
    <row r="58" customFormat="false" ht="15" hidden="false" customHeight="false" outlineLevel="0" collapsed="false">
      <c r="A58" s="23" t="n">
        <v>46375</v>
      </c>
      <c r="B58" s="7" t="n">
        <v>0.094</v>
      </c>
      <c r="C58" s="7" t="n">
        <v>-0.232</v>
      </c>
      <c r="D58" s="7" t="n">
        <v>0.303</v>
      </c>
      <c r="E58" s="7" t="n">
        <v>0.107</v>
      </c>
      <c r="F58" s="7" t="n">
        <v>0.136</v>
      </c>
      <c r="G58" s="7" t="n">
        <v>0.079</v>
      </c>
      <c r="H58" s="7" t="n">
        <v>-0.116</v>
      </c>
      <c r="I58" s="7" t="n">
        <v>-0.439</v>
      </c>
      <c r="J58" s="7" t="n">
        <v>-0.092</v>
      </c>
      <c r="K58" s="7" t="n">
        <v>-0.038</v>
      </c>
      <c r="L58" s="7" t="n">
        <v>0.034</v>
      </c>
      <c r="M58" s="7" t="n">
        <v>0.077</v>
      </c>
      <c r="N58" s="7" t="n">
        <v>-0.045</v>
      </c>
      <c r="O58" s="7" t="n">
        <v>0.434</v>
      </c>
      <c r="P58" s="7" t="n">
        <v>0.23</v>
      </c>
      <c r="Q58" s="7" t="n">
        <v>0.216</v>
      </c>
      <c r="R58" s="7" t="n">
        <v>-0.041</v>
      </c>
      <c r="S58" s="7" t="n">
        <v>0.157</v>
      </c>
      <c r="T58" s="7" t="n">
        <v>-0.181</v>
      </c>
      <c r="U58" s="7" t="n">
        <v>0.365</v>
      </c>
      <c r="V58" s="7" t="n">
        <v>-0.189</v>
      </c>
      <c r="W58" s="7" t="n">
        <v>0.216</v>
      </c>
      <c r="X58" s="7" t="n">
        <v>0.091</v>
      </c>
      <c r="Y58" s="7" t="n">
        <v>0.448</v>
      </c>
      <c r="Z58" s="7" t="n">
        <v>-0.038</v>
      </c>
      <c r="AA58" s="7" t="n">
        <v>-0.041</v>
      </c>
      <c r="AB58" s="7" t="n">
        <v>-0.2</v>
      </c>
      <c r="AC58" s="7" t="n">
        <v>0.213</v>
      </c>
      <c r="AD58" s="7" t="n">
        <v>-0.021</v>
      </c>
      <c r="AE58" s="7" t="n">
        <v>0.136</v>
      </c>
      <c r="AF58" s="7" t="n">
        <v>0.167</v>
      </c>
      <c r="AG58" s="7" t="n">
        <v>-0.116</v>
      </c>
      <c r="AH58" s="7" t="n">
        <v>0.891</v>
      </c>
      <c r="AI58" s="7" t="n">
        <v>-0.043</v>
      </c>
      <c r="AJ58" s="7" t="n">
        <v>-0.518</v>
      </c>
      <c r="AK58" s="7" t="n">
        <v>-0.457</v>
      </c>
      <c r="AL58" s="7" t="n">
        <v>0.413</v>
      </c>
      <c r="AM58" s="7" t="n">
        <v>-0.18</v>
      </c>
      <c r="AN58" s="7" t="n">
        <v>-0.187</v>
      </c>
      <c r="AO58" s="7" t="n">
        <v>0.301</v>
      </c>
      <c r="AP58" s="7" t="n">
        <v>0</v>
      </c>
      <c r="AQ58" s="7" t="n">
        <v>0.139</v>
      </c>
    </row>
    <row r="59" customFormat="false" ht="15" hidden="false" customHeight="false" outlineLevel="0" collapsed="false">
      <c r="A59" s="23" t="n">
        <v>46376</v>
      </c>
      <c r="B59" s="7" t="n">
        <v>0.094</v>
      </c>
      <c r="C59" s="7" t="n">
        <v>-0.232</v>
      </c>
      <c r="D59" s="7" t="n">
        <v>0.303</v>
      </c>
      <c r="E59" s="7" t="n">
        <v>0.107</v>
      </c>
      <c r="F59" s="7" t="n">
        <v>0.136</v>
      </c>
      <c r="G59" s="7" t="n">
        <v>0.079</v>
      </c>
      <c r="H59" s="7" t="n">
        <v>-0.116</v>
      </c>
      <c r="I59" s="7" t="n">
        <v>-0.439</v>
      </c>
      <c r="J59" s="7" t="n">
        <v>-0.092</v>
      </c>
      <c r="K59" s="7" t="n">
        <v>-0.038</v>
      </c>
      <c r="L59" s="7" t="n">
        <v>0.034</v>
      </c>
      <c r="M59" s="7" t="n">
        <v>0.077</v>
      </c>
      <c r="N59" s="7" t="n">
        <v>-0.045</v>
      </c>
      <c r="O59" s="7" t="n">
        <v>0.434</v>
      </c>
      <c r="P59" s="7" t="n">
        <v>0.23</v>
      </c>
      <c r="Q59" s="7" t="n">
        <v>0.216</v>
      </c>
      <c r="R59" s="7" t="n">
        <v>-0.041</v>
      </c>
      <c r="S59" s="7" t="n">
        <v>0.157</v>
      </c>
      <c r="T59" s="7" t="n">
        <v>-0.181</v>
      </c>
      <c r="U59" s="7" t="n">
        <v>0.365</v>
      </c>
      <c r="V59" s="7" t="n">
        <v>-0.189</v>
      </c>
      <c r="W59" s="7" t="n">
        <v>0.216</v>
      </c>
      <c r="X59" s="7" t="n">
        <v>0.091</v>
      </c>
      <c r="Y59" s="7" t="n">
        <v>0.448</v>
      </c>
      <c r="Z59" s="7" t="n">
        <v>-0.038</v>
      </c>
      <c r="AA59" s="7" t="n">
        <v>-0.041</v>
      </c>
      <c r="AB59" s="7" t="n">
        <v>-0.2</v>
      </c>
      <c r="AC59" s="7" t="n">
        <v>0.213</v>
      </c>
      <c r="AD59" s="7" t="n">
        <v>-0.021</v>
      </c>
      <c r="AE59" s="7" t="n">
        <v>0.136</v>
      </c>
      <c r="AF59" s="7" t="n">
        <v>0.167</v>
      </c>
      <c r="AG59" s="7" t="n">
        <v>-0.116</v>
      </c>
      <c r="AH59" s="7" t="n">
        <v>0.891</v>
      </c>
      <c r="AI59" s="7" t="n">
        <v>-0.043</v>
      </c>
      <c r="AJ59" s="7" t="n">
        <v>-0.518</v>
      </c>
      <c r="AK59" s="7" t="n">
        <v>-0.457</v>
      </c>
      <c r="AL59" s="7" t="n">
        <v>0.413</v>
      </c>
      <c r="AM59" s="7" t="n">
        <v>-0.18</v>
      </c>
      <c r="AN59" s="7" t="n">
        <v>-0.187</v>
      </c>
      <c r="AO59" s="7" t="n">
        <v>0.301</v>
      </c>
      <c r="AP59" s="7" t="n">
        <v>0</v>
      </c>
      <c r="AQ59" s="7" t="n">
        <v>0.139</v>
      </c>
    </row>
    <row r="60" customFormat="false" ht="15" hidden="false" customHeight="false" outlineLevel="0" collapsed="false">
      <c r="A60" s="23" t="n">
        <v>46377</v>
      </c>
      <c r="B60" s="7" t="n">
        <v>0.094</v>
      </c>
      <c r="C60" s="7" t="n">
        <v>-0.232</v>
      </c>
      <c r="D60" s="7" t="n">
        <v>0.303</v>
      </c>
      <c r="E60" s="7" t="n">
        <v>0.107</v>
      </c>
      <c r="F60" s="7" t="n">
        <v>0.136</v>
      </c>
      <c r="G60" s="7" t="n">
        <v>0.079</v>
      </c>
      <c r="H60" s="7" t="n">
        <v>-0.116</v>
      </c>
      <c r="I60" s="7" t="n">
        <v>-0.439</v>
      </c>
      <c r="J60" s="7" t="n">
        <v>-0.092</v>
      </c>
      <c r="K60" s="7" t="n">
        <v>-0.038</v>
      </c>
      <c r="L60" s="7" t="n">
        <v>0.034</v>
      </c>
      <c r="M60" s="7" t="n">
        <v>0.077</v>
      </c>
      <c r="N60" s="7" t="n">
        <v>-0.045</v>
      </c>
      <c r="O60" s="7" t="n">
        <v>0.434</v>
      </c>
      <c r="P60" s="7" t="n">
        <v>0.23</v>
      </c>
      <c r="Q60" s="7" t="n">
        <v>0.216</v>
      </c>
      <c r="R60" s="7" t="n">
        <v>-0.041</v>
      </c>
      <c r="S60" s="7" t="n">
        <v>0.157</v>
      </c>
      <c r="T60" s="7" t="n">
        <v>-0.181</v>
      </c>
      <c r="U60" s="7" t="n">
        <v>0.365</v>
      </c>
      <c r="V60" s="7" t="n">
        <v>-0.189</v>
      </c>
      <c r="W60" s="7" t="n">
        <v>0.216</v>
      </c>
      <c r="X60" s="7" t="n">
        <v>0.091</v>
      </c>
      <c r="Y60" s="7" t="n">
        <v>0.448</v>
      </c>
      <c r="Z60" s="7" t="n">
        <v>-0.038</v>
      </c>
      <c r="AA60" s="7" t="n">
        <v>-0.041</v>
      </c>
      <c r="AB60" s="7" t="n">
        <v>-0.2</v>
      </c>
      <c r="AC60" s="7" t="n">
        <v>0.213</v>
      </c>
      <c r="AD60" s="7" t="n">
        <v>-0.021</v>
      </c>
      <c r="AE60" s="7" t="n">
        <v>0.136</v>
      </c>
      <c r="AF60" s="7" t="n">
        <v>0.167</v>
      </c>
      <c r="AG60" s="7" t="n">
        <v>-0.116</v>
      </c>
      <c r="AH60" s="7" t="n">
        <v>0.891</v>
      </c>
      <c r="AI60" s="7" t="n">
        <v>-0.043</v>
      </c>
      <c r="AJ60" s="7" t="n">
        <v>-0.518</v>
      </c>
      <c r="AK60" s="7" t="n">
        <v>-0.457</v>
      </c>
      <c r="AL60" s="7" t="n">
        <v>0.413</v>
      </c>
      <c r="AM60" s="7" t="n">
        <v>-0.18</v>
      </c>
      <c r="AN60" s="7" t="n">
        <v>-0.187</v>
      </c>
      <c r="AO60" s="7" t="n">
        <v>0.301</v>
      </c>
      <c r="AP60" s="7" t="n">
        <v>0</v>
      </c>
      <c r="AQ60" s="7" t="n">
        <v>0.139</v>
      </c>
    </row>
    <row r="61" customFormat="false" ht="15" hidden="false" customHeight="false" outlineLevel="0" collapsed="false">
      <c r="A61" s="23" t="n">
        <v>46378</v>
      </c>
      <c r="B61" s="7" t="n">
        <v>0.092</v>
      </c>
      <c r="C61" s="7" t="n">
        <v>-0.236</v>
      </c>
      <c r="D61" s="7" t="n">
        <v>0.295</v>
      </c>
      <c r="E61" s="7" t="n">
        <v>0.114</v>
      </c>
      <c r="F61" s="7" t="n">
        <v>0.137</v>
      </c>
      <c r="G61" s="7" t="n">
        <v>0.082</v>
      </c>
      <c r="H61" s="7" t="n">
        <v>-0.112</v>
      </c>
      <c r="I61" s="7" t="n">
        <v>-0.446</v>
      </c>
      <c r="J61" s="7" t="n">
        <v>-0.101</v>
      </c>
      <c r="K61" s="7" t="n">
        <v>-0.037</v>
      </c>
      <c r="L61" s="7" t="n">
        <v>0.028</v>
      </c>
      <c r="M61" s="7" t="n">
        <v>0.081</v>
      </c>
      <c r="N61" s="7" t="n">
        <v>-0.051</v>
      </c>
      <c r="O61" s="7" t="n">
        <v>0.434</v>
      </c>
      <c r="P61" s="7" t="n">
        <v>0.229</v>
      </c>
      <c r="Q61" s="7" t="n">
        <v>0.217</v>
      </c>
      <c r="R61" s="7" t="n">
        <v>-0.039</v>
      </c>
      <c r="S61" s="7" t="n">
        <v>0.158</v>
      </c>
      <c r="T61" s="7" t="n">
        <v>-0.171</v>
      </c>
      <c r="U61" s="7" t="n">
        <v>0.359</v>
      </c>
      <c r="V61" s="7" t="n">
        <v>-0.191</v>
      </c>
      <c r="W61" s="7" t="n">
        <v>0.217</v>
      </c>
      <c r="X61" s="7" t="n">
        <v>0.093</v>
      </c>
      <c r="Y61" s="7" t="n">
        <v>0.434</v>
      </c>
      <c r="Z61" s="7" t="n">
        <v>-0.037</v>
      </c>
      <c r="AA61" s="7" t="n">
        <v>-0.039</v>
      </c>
      <c r="AB61" s="7" t="n">
        <v>-0.214</v>
      </c>
      <c r="AC61" s="7" t="n">
        <v>0.216</v>
      </c>
      <c r="AD61" s="7" t="n">
        <v>-0.02</v>
      </c>
      <c r="AE61" s="7" t="n">
        <v>0.137</v>
      </c>
      <c r="AF61" s="7" t="n">
        <v>0.174</v>
      </c>
      <c r="AG61" s="7" t="n">
        <v>-0.112</v>
      </c>
      <c r="AH61" s="7" t="n">
        <v>0.891</v>
      </c>
      <c r="AI61" s="7" t="n">
        <v>-0.051</v>
      </c>
      <c r="AJ61" s="7" t="n">
        <v>-0.522</v>
      </c>
      <c r="AK61" s="7" t="n">
        <v>-0.462</v>
      </c>
      <c r="AL61" s="7" t="n">
        <v>0.399</v>
      </c>
      <c r="AM61" s="7" t="n">
        <v>-0.186</v>
      </c>
      <c r="AN61" s="7" t="n">
        <v>-0.186</v>
      </c>
      <c r="AO61" s="7" t="n">
        <v>0.289</v>
      </c>
      <c r="AP61" s="7" t="n">
        <v>0</v>
      </c>
      <c r="AQ61" s="7" t="n">
        <v>0.138</v>
      </c>
    </row>
    <row r="62" customFormat="false" ht="15" hidden="false" customHeight="false" outlineLevel="0" collapsed="false">
      <c r="A62" s="23" t="n">
        <v>46379</v>
      </c>
      <c r="B62" s="7" t="n">
        <v>0.089</v>
      </c>
      <c r="C62" s="7" t="n">
        <v>-0.239</v>
      </c>
      <c r="D62" s="7" t="n">
        <v>0.288</v>
      </c>
      <c r="E62" s="7" t="n">
        <v>0.122</v>
      </c>
      <c r="F62" s="7" t="n">
        <v>0.139</v>
      </c>
      <c r="G62" s="7" t="n">
        <v>0.085</v>
      </c>
      <c r="H62" s="7" t="n">
        <v>-0.107</v>
      </c>
      <c r="I62" s="7" t="n">
        <v>-0.452</v>
      </c>
      <c r="J62" s="7" t="n">
        <v>-0.111</v>
      </c>
      <c r="K62" s="7" t="n">
        <v>-0.035</v>
      </c>
      <c r="L62" s="7" t="n">
        <v>0.022</v>
      </c>
      <c r="M62" s="7" t="n">
        <v>0.085</v>
      </c>
      <c r="N62" s="7" t="n">
        <v>-0.057</v>
      </c>
      <c r="O62" s="7" t="n">
        <v>0.434</v>
      </c>
      <c r="P62" s="7" t="n">
        <v>0.229</v>
      </c>
      <c r="Q62" s="7" t="n">
        <v>0.22</v>
      </c>
      <c r="R62" s="7" t="n">
        <v>-0.037</v>
      </c>
      <c r="S62" s="7" t="n">
        <v>0.143</v>
      </c>
      <c r="T62" s="7" t="n">
        <v>-0.162</v>
      </c>
      <c r="U62" s="7" t="n">
        <v>0.349</v>
      </c>
      <c r="V62" s="7" t="n">
        <v>-0.192</v>
      </c>
      <c r="W62" s="7" t="n">
        <v>0.22</v>
      </c>
      <c r="X62" s="7" t="n">
        <v>0.095</v>
      </c>
      <c r="Y62" s="7" t="n">
        <v>0.422</v>
      </c>
      <c r="Z62" s="7" t="n">
        <v>-0.035</v>
      </c>
      <c r="AA62" s="7" t="n">
        <v>-0.037</v>
      </c>
      <c r="AB62" s="7" t="n">
        <v>-0.227</v>
      </c>
      <c r="AC62" s="7" t="n">
        <v>0.22</v>
      </c>
      <c r="AD62" s="7" t="n">
        <v>-0.019</v>
      </c>
      <c r="AE62" s="7" t="n">
        <v>0.139</v>
      </c>
      <c r="AF62" s="7" t="n">
        <v>0.181</v>
      </c>
      <c r="AG62" s="7" t="n">
        <v>-0.107</v>
      </c>
      <c r="AH62" s="7" t="n">
        <v>0.891</v>
      </c>
      <c r="AI62" s="7" t="n">
        <v>-0.06</v>
      </c>
      <c r="AJ62" s="7" t="n">
        <v>-0.526</v>
      </c>
      <c r="AK62" s="7" t="n">
        <v>-0.466</v>
      </c>
      <c r="AL62" s="7" t="n">
        <v>0.386</v>
      </c>
      <c r="AM62" s="7" t="n">
        <v>-0.194</v>
      </c>
      <c r="AN62" s="7" t="n">
        <v>-0.184</v>
      </c>
      <c r="AO62" s="7" t="n">
        <v>0.276</v>
      </c>
      <c r="AP62" s="7" t="n">
        <v>0</v>
      </c>
      <c r="AQ62" s="7" t="n">
        <v>0.138</v>
      </c>
    </row>
    <row r="63" customFormat="false" ht="15" hidden="false" customHeight="false" outlineLevel="0" collapsed="false">
      <c r="A63" s="23" t="n">
        <v>46380</v>
      </c>
      <c r="B63" s="7" t="n">
        <v>0.086</v>
      </c>
      <c r="C63" s="7" t="n">
        <v>-0.243</v>
      </c>
      <c r="D63" s="7" t="n">
        <v>0.28</v>
      </c>
      <c r="E63" s="7" t="n">
        <v>0.129</v>
      </c>
      <c r="F63" s="7" t="n">
        <v>0.142</v>
      </c>
      <c r="G63" s="7" t="n">
        <v>0.088</v>
      </c>
      <c r="H63" s="7" t="n">
        <v>-0.103</v>
      </c>
      <c r="I63" s="7" t="n">
        <v>-0.457</v>
      </c>
      <c r="J63" s="7" t="n">
        <v>-0.121</v>
      </c>
      <c r="K63" s="7" t="n">
        <v>-0.033</v>
      </c>
      <c r="L63" s="7" t="n">
        <v>0.015</v>
      </c>
      <c r="M63" s="7" t="n">
        <v>0.089</v>
      </c>
      <c r="N63" s="7" t="n">
        <v>-0.064</v>
      </c>
      <c r="O63" s="7" t="n">
        <v>0.434</v>
      </c>
      <c r="P63" s="7" t="n">
        <v>0.23</v>
      </c>
      <c r="Q63" s="7" t="n">
        <v>0.222</v>
      </c>
      <c r="R63" s="7" t="n">
        <v>-0.035</v>
      </c>
      <c r="S63" s="7" t="n">
        <v>0.129</v>
      </c>
      <c r="T63" s="7" t="n">
        <v>-0.152</v>
      </c>
      <c r="U63" s="7" t="n">
        <v>0.338</v>
      </c>
      <c r="V63" s="7" t="n">
        <v>-0.191</v>
      </c>
      <c r="W63" s="7" t="n">
        <v>0.222</v>
      </c>
      <c r="X63" s="7" t="n">
        <v>0.097</v>
      </c>
      <c r="Y63" s="7" t="n">
        <v>0.409</v>
      </c>
      <c r="Z63" s="7" t="n">
        <v>-0.033</v>
      </c>
      <c r="AA63" s="7" t="n">
        <v>-0.035</v>
      </c>
      <c r="AB63" s="7" t="n">
        <v>-0.24</v>
      </c>
      <c r="AC63" s="7" t="n">
        <v>0.223</v>
      </c>
      <c r="AD63" s="7" t="n">
        <v>-0.018</v>
      </c>
      <c r="AE63" s="7" t="n">
        <v>0.142</v>
      </c>
      <c r="AF63" s="7" t="n">
        <v>0.188</v>
      </c>
      <c r="AG63" s="7" t="n">
        <v>-0.103</v>
      </c>
      <c r="AH63" s="7" t="n">
        <v>0.891</v>
      </c>
      <c r="AI63" s="7" t="n">
        <v>-0.069</v>
      </c>
      <c r="AJ63" s="7" t="n">
        <v>-0.53</v>
      </c>
      <c r="AK63" s="7" t="n">
        <v>-0.47</v>
      </c>
      <c r="AL63" s="7" t="n">
        <v>0.373</v>
      </c>
      <c r="AM63" s="7" t="n">
        <v>-0.202</v>
      </c>
      <c r="AN63" s="7" t="n">
        <v>-0.183</v>
      </c>
      <c r="AO63" s="7" t="n">
        <v>0.264</v>
      </c>
      <c r="AP63" s="7" t="n">
        <v>0</v>
      </c>
      <c r="AQ63" s="7" t="n">
        <v>0.137</v>
      </c>
    </row>
    <row r="64" customFormat="false" ht="15" hidden="false" customHeight="false" outlineLevel="0" collapsed="false">
      <c r="A64" s="23" t="n">
        <v>46381</v>
      </c>
      <c r="B64" s="7" t="n">
        <v>0.081</v>
      </c>
      <c r="C64" s="7" t="n">
        <v>-0.251</v>
      </c>
      <c r="D64" s="7" t="n">
        <v>0.273</v>
      </c>
      <c r="E64" s="7" t="n">
        <v>0.137</v>
      </c>
      <c r="F64" s="7" t="n">
        <v>0.144</v>
      </c>
      <c r="G64" s="7" t="n">
        <v>0.09</v>
      </c>
      <c r="H64" s="7" t="n">
        <v>-0.1</v>
      </c>
      <c r="I64" s="7" t="n">
        <v>-0.467</v>
      </c>
      <c r="J64" s="7" t="n">
        <v>-0.13</v>
      </c>
      <c r="K64" s="7" t="n">
        <v>-0.03</v>
      </c>
      <c r="L64" s="7" t="n">
        <v>0.005</v>
      </c>
      <c r="M64" s="7" t="n">
        <v>0.094</v>
      </c>
      <c r="N64" s="7" t="n">
        <v>-0.073</v>
      </c>
      <c r="O64" s="7" t="n">
        <v>0.428</v>
      </c>
      <c r="P64" s="7" t="n">
        <v>0.23</v>
      </c>
      <c r="Q64" s="7" t="n">
        <v>0.224</v>
      </c>
      <c r="R64" s="7" t="n">
        <v>-0.035</v>
      </c>
      <c r="S64" s="7" t="n">
        <v>0.115</v>
      </c>
      <c r="T64" s="7" t="n">
        <v>-0.143</v>
      </c>
      <c r="U64" s="7" t="n">
        <v>0.328</v>
      </c>
      <c r="V64" s="7" t="n">
        <v>-0.194</v>
      </c>
      <c r="W64" s="7" t="n">
        <v>0.224</v>
      </c>
      <c r="X64" s="7" t="n">
        <v>0.099</v>
      </c>
      <c r="Y64" s="7" t="n">
        <v>0.397</v>
      </c>
      <c r="Z64" s="7" t="n">
        <v>-0.03</v>
      </c>
      <c r="AA64" s="7" t="n">
        <v>-0.035</v>
      </c>
      <c r="AB64" s="7" t="n">
        <v>-0.256</v>
      </c>
      <c r="AC64" s="7" t="n">
        <v>0.227</v>
      </c>
      <c r="AD64" s="7" t="n">
        <v>-0.017</v>
      </c>
      <c r="AE64" s="7" t="n">
        <v>0.144</v>
      </c>
      <c r="AF64" s="7" t="n">
        <v>0.196</v>
      </c>
      <c r="AG64" s="7" t="n">
        <v>-0.1</v>
      </c>
      <c r="AH64" s="7" t="n">
        <v>0.889</v>
      </c>
      <c r="AI64" s="7" t="n">
        <v>-0.081</v>
      </c>
      <c r="AJ64" s="7" t="n">
        <v>-0.537</v>
      </c>
      <c r="AK64" s="7" t="n">
        <v>-0.478</v>
      </c>
      <c r="AL64" s="7" t="n">
        <v>0.361</v>
      </c>
      <c r="AM64" s="7" t="n">
        <v>-0.213</v>
      </c>
      <c r="AN64" s="7" t="n">
        <v>-0.183</v>
      </c>
      <c r="AO64" s="7" t="n">
        <v>0.251</v>
      </c>
      <c r="AP64" s="7" t="n">
        <v>0</v>
      </c>
      <c r="AQ64" s="7" t="n">
        <v>0.137</v>
      </c>
    </row>
    <row r="65" customFormat="false" ht="15" hidden="false" customHeight="false" outlineLevel="0" collapsed="false">
      <c r="A65" s="23" t="n">
        <v>46382</v>
      </c>
      <c r="B65" s="7" t="n">
        <v>0.077</v>
      </c>
      <c r="C65" s="7" t="n">
        <v>-0.259</v>
      </c>
      <c r="D65" s="7" t="n">
        <v>0.266</v>
      </c>
      <c r="E65" s="7" t="n">
        <v>0.145</v>
      </c>
      <c r="F65" s="7" t="n">
        <v>0.147</v>
      </c>
      <c r="G65" s="7" t="n">
        <v>0.093</v>
      </c>
      <c r="H65" s="7" t="n">
        <v>-0.098</v>
      </c>
      <c r="I65" s="7" t="n">
        <v>-0.477</v>
      </c>
      <c r="J65" s="7" t="n">
        <v>-0.14</v>
      </c>
      <c r="K65" s="7" t="n">
        <v>-0.027</v>
      </c>
      <c r="L65" s="7" t="n">
        <v>-0.005</v>
      </c>
      <c r="M65" s="7" t="n">
        <v>0.098</v>
      </c>
      <c r="N65" s="7" t="n">
        <v>-0.083</v>
      </c>
      <c r="O65" s="7" t="n">
        <v>0.421</v>
      </c>
      <c r="P65" s="7" t="n">
        <v>0.231</v>
      </c>
      <c r="Q65" s="7" t="n">
        <v>0.227</v>
      </c>
      <c r="R65" s="7" t="n">
        <v>-0.035</v>
      </c>
      <c r="S65" s="7" t="n">
        <v>0.102</v>
      </c>
      <c r="T65" s="7" t="n">
        <v>-0.135</v>
      </c>
      <c r="U65" s="7" t="n">
        <v>0.318</v>
      </c>
      <c r="V65" s="7" t="n">
        <v>-0.195</v>
      </c>
      <c r="W65" s="7" t="n">
        <v>0.227</v>
      </c>
      <c r="X65" s="7" t="n">
        <v>0.102</v>
      </c>
      <c r="Y65" s="7" t="n">
        <v>0.384</v>
      </c>
      <c r="Z65" s="7" t="n">
        <v>-0.027</v>
      </c>
      <c r="AA65" s="7" t="n">
        <v>-0.035</v>
      </c>
      <c r="AB65" s="7" t="n">
        <v>-0.273</v>
      </c>
      <c r="AC65" s="7" t="n">
        <v>0.231</v>
      </c>
      <c r="AD65" s="7" t="n">
        <v>-0.016</v>
      </c>
      <c r="AE65" s="7" t="n">
        <v>0.147</v>
      </c>
      <c r="AF65" s="7" t="n">
        <v>0.203</v>
      </c>
      <c r="AG65" s="7" t="n">
        <v>-0.098</v>
      </c>
      <c r="AH65" s="7" t="n">
        <v>0.888</v>
      </c>
      <c r="AI65" s="7" t="n">
        <v>-0.094</v>
      </c>
      <c r="AJ65" s="7" t="n">
        <v>-0.544</v>
      </c>
      <c r="AK65" s="7" t="n">
        <v>-0.487</v>
      </c>
      <c r="AL65" s="7" t="n">
        <v>0.348</v>
      </c>
      <c r="AM65" s="7" t="n">
        <v>-0.224</v>
      </c>
      <c r="AN65" s="7" t="n">
        <v>-0.183</v>
      </c>
      <c r="AO65" s="7" t="n">
        <v>0.238</v>
      </c>
      <c r="AP65" s="7" t="n">
        <v>0</v>
      </c>
      <c r="AQ65" s="7" t="n">
        <v>0.137</v>
      </c>
    </row>
    <row r="66" customFormat="false" ht="15" hidden="false" customHeight="false" outlineLevel="0" collapsed="false">
      <c r="A66" s="23" t="n">
        <v>46383</v>
      </c>
      <c r="B66" s="7" t="n">
        <v>0.077</v>
      </c>
      <c r="C66" s="7" t="n">
        <v>-0.259</v>
      </c>
      <c r="D66" s="7" t="n">
        <v>0.266</v>
      </c>
      <c r="E66" s="7" t="n">
        <v>0.145</v>
      </c>
      <c r="F66" s="7" t="n">
        <v>0.147</v>
      </c>
      <c r="G66" s="7" t="n">
        <v>0.093</v>
      </c>
      <c r="H66" s="7" t="n">
        <v>-0.098</v>
      </c>
      <c r="I66" s="7" t="n">
        <v>-0.477</v>
      </c>
      <c r="J66" s="7" t="n">
        <v>-0.14</v>
      </c>
      <c r="K66" s="7" t="n">
        <v>-0.027</v>
      </c>
      <c r="L66" s="7" t="n">
        <v>-0.005</v>
      </c>
      <c r="M66" s="7" t="n">
        <v>0.098</v>
      </c>
      <c r="N66" s="7" t="n">
        <v>-0.083</v>
      </c>
      <c r="O66" s="7" t="n">
        <v>0.421</v>
      </c>
      <c r="P66" s="7" t="n">
        <v>0.231</v>
      </c>
      <c r="Q66" s="7" t="n">
        <v>0.227</v>
      </c>
      <c r="R66" s="7" t="n">
        <v>-0.035</v>
      </c>
      <c r="S66" s="7" t="n">
        <v>0.102</v>
      </c>
      <c r="T66" s="7" t="n">
        <v>-0.135</v>
      </c>
      <c r="U66" s="7" t="n">
        <v>0.318</v>
      </c>
      <c r="V66" s="7" t="n">
        <v>-0.195</v>
      </c>
      <c r="W66" s="7" t="n">
        <v>0.227</v>
      </c>
      <c r="X66" s="7" t="n">
        <v>0.102</v>
      </c>
      <c r="Y66" s="7" t="n">
        <v>0.384</v>
      </c>
      <c r="Z66" s="7" t="n">
        <v>-0.027</v>
      </c>
      <c r="AA66" s="7" t="n">
        <v>-0.035</v>
      </c>
      <c r="AB66" s="7" t="n">
        <v>-0.273</v>
      </c>
      <c r="AC66" s="7" t="n">
        <v>0.231</v>
      </c>
      <c r="AD66" s="7" t="n">
        <v>-0.016</v>
      </c>
      <c r="AE66" s="7" t="n">
        <v>0.147</v>
      </c>
      <c r="AF66" s="7" t="n">
        <v>0.203</v>
      </c>
      <c r="AG66" s="7" t="n">
        <v>-0.098</v>
      </c>
      <c r="AH66" s="7" t="n">
        <v>0.888</v>
      </c>
      <c r="AI66" s="7" t="n">
        <v>-0.094</v>
      </c>
      <c r="AJ66" s="7" t="n">
        <v>-0.544</v>
      </c>
      <c r="AK66" s="7" t="n">
        <v>-0.487</v>
      </c>
      <c r="AL66" s="7" t="n">
        <v>0.348</v>
      </c>
      <c r="AM66" s="7" t="n">
        <v>-0.224</v>
      </c>
      <c r="AN66" s="7" t="n">
        <v>-0.183</v>
      </c>
      <c r="AO66" s="7" t="n">
        <v>0.238</v>
      </c>
      <c r="AP66" s="7" t="n">
        <v>0</v>
      </c>
      <c r="AQ66" s="7" t="n">
        <v>0.137</v>
      </c>
    </row>
    <row r="67" customFormat="false" ht="15" hidden="false" customHeight="false" outlineLevel="0" collapsed="false">
      <c r="A67" s="23" t="n">
        <v>46384</v>
      </c>
      <c r="B67" s="7" t="n">
        <v>0.077</v>
      </c>
      <c r="C67" s="7" t="n">
        <v>-0.259</v>
      </c>
      <c r="D67" s="7" t="n">
        <v>0.266</v>
      </c>
      <c r="E67" s="7" t="n">
        <v>0.145</v>
      </c>
      <c r="F67" s="7" t="n">
        <v>0.147</v>
      </c>
      <c r="G67" s="7" t="n">
        <v>0.093</v>
      </c>
      <c r="H67" s="7" t="n">
        <v>-0.098</v>
      </c>
      <c r="I67" s="7" t="n">
        <v>-0.477</v>
      </c>
      <c r="J67" s="7" t="n">
        <v>-0.14</v>
      </c>
      <c r="K67" s="7" t="n">
        <v>-0.027</v>
      </c>
      <c r="L67" s="7" t="n">
        <v>-0.005</v>
      </c>
      <c r="M67" s="7" t="n">
        <v>0.098</v>
      </c>
      <c r="N67" s="7" t="n">
        <v>-0.083</v>
      </c>
      <c r="O67" s="7" t="n">
        <v>0.421</v>
      </c>
      <c r="P67" s="7" t="n">
        <v>0.231</v>
      </c>
      <c r="Q67" s="7" t="n">
        <v>0.227</v>
      </c>
      <c r="R67" s="7" t="n">
        <v>-0.035</v>
      </c>
      <c r="S67" s="7" t="n">
        <v>0.102</v>
      </c>
      <c r="T67" s="7" t="n">
        <v>-0.135</v>
      </c>
      <c r="U67" s="7" t="n">
        <v>0.318</v>
      </c>
      <c r="V67" s="7" t="n">
        <v>-0.195</v>
      </c>
      <c r="W67" s="7" t="n">
        <v>0.227</v>
      </c>
      <c r="X67" s="7" t="n">
        <v>0.102</v>
      </c>
      <c r="Y67" s="7" t="n">
        <v>0.384</v>
      </c>
      <c r="Z67" s="7" t="n">
        <v>-0.027</v>
      </c>
      <c r="AA67" s="7" t="n">
        <v>-0.035</v>
      </c>
      <c r="AB67" s="7" t="n">
        <v>-0.273</v>
      </c>
      <c r="AC67" s="7" t="n">
        <v>0.231</v>
      </c>
      <c r="AD67" s="7" t="n">
        <v>-0.016</v>
      </c>
      <c r="AE67" s="7" t="n">
        <v>0.147</v>
      </c>
      <c r="AF67" s="7" t="n">
        <v>0.203</v>
      </c>
      <c r="AG67" s="7" t="n">
        <v>-0.098</v>
      </c>
      <c r="AH67" s="7" t="n">
        <v>0.888</v>
      </c>
      <c r="AI67" s="7" t="n">
        <v>-0.094</v>
      </c>
      <c r="AJ67" s="7" t="n">
        <v>-0.544</v>
      </c>
      <c r="AK67" s="7" t="n">
        <v>-0.487</v>
      </c>
      <c r="AL67" s="7" t="n">
        <v>0.348</v>
      </c>
      <c r="AM67" s="7" t="n">
        <v>-0.224</v>
      </c>
      <c r="AN67" s="7" t="n">
        <v>-0.183</v>
      </c>
      <c r="AO67" s="7" t="n">
        <v>0.238</v>
      </c>
      <c r="AP67" s="7" t="n">
        <v>0</v>
      </c>
      <c r="AQ67" s="7" t="n">
        <v>0.137</v>
      </c>
    </row>
    <row r="68" customFormat="false" ht="15" hidden="false" customHeight="false" outlineLevel="0" collapsed="false">
      <c r="A68" s="23" t="n">
        <v>46385</v>
      </c>
      <c r="B68" s="7" t="n">
        <v>0.073</v>
      </c>
      <c r="C68" s="7" t="n">
        <v>-0.27</v>
      </c>
      <c r="D68" s="7" t="n">
        <v>0.261</v>
      </c>
      <c r="E68" s="7" t="n">
        <v>0.153</v>
      </c>
      <c r="F68" s="7" t="n">
        <v>0.149</v>
      </c>
      <c r="G68" s="7" t="n">
        <v>0.096</v>
      </c>
      <c r="H68" s="7" t="n">
        <v>-0.095</v>
      </c>
      <c r="I68" s="7" t="n">
        <v>-0.485</v>
      </c>
      <c r="J68" s="7" t="n">
        <v>-0.149</v>
      </c>
      <c r="K68" s="7" t="n">
        <v>-0.025</v>
      </c>
      <c r="L68" s="7" t="n">
        <v>-0.017</v>
      </c>
      <c r="M68" s="7" t="n">
        <v>0.102</v>
      </c>
      <c r="N68" s="7" t="n">
        <v>-0.095</v>
      </c>
      <c r="O68" s="7" t="n">
        <v>0.41</v>
      </c>
      <c r="P68" s="7" t="n">
        <v>0.233</v>
      </c>
      <c r="Q68" s="7" t="n">
        <v>0.229</v>
      </c>
      <c r="R68" s="7" t="n">
        <v>-0.033</v>
      </c>
      <c r="S68" s="7" t="n">
        <v>0.09</v>
      </c>
      <c r="T68" s="7" t="n">
        <v>-0.126</v>
      </c>
      <c r="U68" s="7" t="n">
        <v>0.306</v>
      </c>
      <c r="V68" s="7" t="n">
        <v>-0.193</v>
      </c>
      <c r="W68" s="7" t="n">
        <v>0.229</v>
      </c>
      <c r="X68" s="7" t="n">
        <v>0.106</v>
      </c>
      <c r="Y68" s="7" t="n">
        <v>0.37</v>
      </c>
      <c r="Z68" s="7" t="n">
        <v>-0.025</v>
      </c>
      <c r="AA68" s="7" t="n">
        <v>-0.033</v>
      </c>
      <c r="AB68" s="7" t="n">
        <v>-0.287</v>
      </c>
      <c r="AC68" s="7" t="n">
        <v>0.234</v>
      </c>
      <c r="AD68" s="7" t="n">
        <v>-0.015</v>
      </c>
      <c r="AE68" s="7" t="n">
        <v>0.149</v>
      </c>
      <c r="AF68" s="7" t="n">
        <v>0.21</v>
      </c>
      <c r="AG68" s="7" t="n">
        <v>-0.095</v>
      </c>
      <c r="AH68" s="7" t="n">
        <v>0.882</v>
      </c>
      <c r="AI68" s="7" t="n">
        <v>-0.108</v>
      </c>
      <c r="AJ68" s="7" t="n">
        <v>-0.553</v>
      </c>
      <c r="AK68" s="7" t="n">
        <v>-0.496</v>
      </c>
      <c r="AL68" s="7" t="n">
        <v>0.333</v>
      </c>
      <c r="AM68" s="7" t="n">
        <v>-0.237</v>
      </c>
      <c r="AN68" s="7" t="n">
        <v>-0.184</v>
      </c>
      <c r="AO68" s="7" t="n">
        <v>0.224</v>
      </c>
      <c r="AP68" s="7" t="n">
        <v>0</v>
      </c>
      <c r="AQ68" s="7" t="n">
        <v>0.136</v>
      </c>
    </row>
    <row r="69" customFormat="false" ht="15" hidden="false" customHeight="false" outlineLevel="0" collapsed="false">
      <c r="A69" s="23" t="n">
        <v>46386</v>
      </c>
      <c r="B69" s="7" t="n">
        <v>0.068</v>
      </c>
      <c r="C69" s="7" t="n">
        <v>-0.28</v>
      </c>
      <c r="D69" s="7" t="n">
        <v>0.257</v>
      </c>
      <c r="E69" s="7" t="n">
        <v>0.16</v>
      </c>
      <c r="F69" s="7" t="n">
        <v>0.151</v>
      </c>
      <c r="G69" s="7" t="n">
        <v>0.099</v>
      </c>
      <c r="H69" s="7" t="n">
        <v>-0.093</v>
      </c>
      <c r="I69" s="7" t="n">
        <v>-0.497</v>
      </c>
      <c r="J69" s="7" t="n">
        <v>-0.159</v>
      </c>
      <c r="K69" s="7" t="n">
        <v>-0.024</v>
      </c>
      <c r="L69" s="7" t="n">
        <v>-0.029</v>
      </c>
      <c r="M69" s="7" t="n">
        <v>0.106</v>
      </c>
      <c r="N69" s="7" t="n">
        <v>-0.107</v>
      </c>
      <c r="O69" s="7" t="n">
        <v>0.399</v>
      </c>
      <c r="P69" s="7" t="n">
        <v>0.235</v>
      </c>
      <c r="Q69" s="7" t="n">
        <v>0.231</v>
      </c>
      <c r="R69" s="7" t="n">
        <v>-0.03</v>
      </c>
      <c r="S69" s="7" t="n">
        <v>0.079</v>
      </c>
      <c r="T69" s="7" t="n">
        <v>-0.117</v>
      </c>
      <c r="U69" s="7" t="n">
        <v>0.294</v>
      </c>
      <c r="V69" s="7" t="n">
        <v>-0.197</v>
      </c>
      <c r="W69" s="7" t="n">
        <v>0.231</v>
      </c>
      <c r="X69" s="7" t="n">
        <v>0.11</v>
      </c>
      <c r="Y69" s="7" t="n">
        <v>0.355</v>
      </c>
      <c r="Z69" s="7" t="n">
        <v>-0.024</v>
      </c>
      <c r="AA69" s="7" t="n">
        <v>-0.03</v>
      </c>
      <c r="AB69" s="7" t="n">
        <v>-0.306</v>
      </c>
      <c r="AC69" s="7" t="n">
        <v>0.238</v>
      </c>
      <c r="AD69" s="7" t="n">
        <v>-0.014</v>
      </c>
      <c r="AE69" s="7" t="n">
        <v>0.151</v>
      </c>
      <c r="AF69" s="7" t="n">
        <v>0.216</v>
      </c>
      <c r="AG69" s="7" t="n">
        <v>-0.093</v>
      </c>
      <c r="AH69" s="7" t="n">
        <v>0.877</v>
      </c>
      <c r="AI69" s="7" t="n">
        <v>-0.121</v>
      </c>
      <c r="AJ69" s="7" t="n">
        <v>-0.561</v>
      </c>
      <c r="AK69" s="7" t="n">
        <v>-0.505</v>
      </c>
      <c r="AL69" s="7" t="n">
        <v>0.319</v>
      </c>
      <c r="AM69" s="7" t="n">
        <v>-0.249</v>
      </c>
      <c r="AN69" s="7" t="n">
        <v>-0.184</v>
      </c>
      <c r="AO69" s="7" t="n">
        <v>0.209</v>
      </c>
      <c r="AP69" s="7" t="n">
        <v>0</v>
      </c>
      <c r="AQ69" s="7" t="n">
        <v>0.136</v>
      </c>
    </row>
    <row r="70" customFormat="false" ht="15" hidden="false" customHeight="false" outlineLevel="0" collapsed="false">
      <c r="A70" s="23" t="n">
        <v>46387</v>
      </c>
      <c r="B70" s="7" t="n">
        <v>0.068</v>
      </c>
      <c r="C70" s="7" t="n">
        <v>-0.282</v>
      </c>
      <c r="D70" s="7" t="n">
        <v>0.253</v>
      </c>
      <c r="E70" s="7" t="n">
        <v>0.174</v>
      </c>
      <c r="F70" s="7" t="n">
        <v>0.153</v>
      </c>
      <c r="G70" s="7" t="n">
        <v>0.102</v>
      </c>
      <c r="H70" s="7" t="n">
        <v>-0.083</v>
      </c>
      <c r="I70" s="7" t="n">
        <v>-0.504</v>
      </c>
      <c r="J70" s="7" t="n">
        <v>-0.174</v>
      </c>
      <c r="K70" s="7" t="n">
        <v>-0.009</v>
      </c>
      <c r="L70" s="7" t="n">
        <v>-0.043</v>
      </c>
      <c r="M70" s="7" t="n">
        <v>0.111</v>
      </c>
      <c r="N70" s="7" t="n">
        <v>-0.122</v>
      </c>
      <c r="O70" s="7" t="n">
        <v>0.384</v>
      </c>
      <c r="P70" s="7" t="n">
        <v>0.237</v>
      </c>
      <c r="Q70" s="7" t="n">
        <v>0.234</v>
      </c>
      <c r="R70" s="7" t="n">
        <v>-0.021</v>
      </c>
      <c r="S70" s="7" t="n">
        <v>0.082</v>
      </c>
      <c r="T70" s="7" t="n">
        <v>-0.101</v>
      </c>
      <c r="U70" s="7" t="n">
        <v>0.291</v>
      </c>
      <c r="V70" s="7" t="n">
        <v>-0.189</v>
      </c>
      <c r="W70" s="7" t="n">
        <v>0.234</v>
      </c>
      <c r="X70" s="7" t="n">
        <v>0.114</v>
      </c>
      <c r="Y70" s="7" t="n">
        <v>0.344</v>
      </c>
      <c r="Z70" s="7" t="n">
        <v>-0.009</v>
      </c>
      <c r="AA70" s="7" t="n">
        <v>-0.021</v>
      </c>
      <c r="AB70" s="7" t="n">
        <v>-0.327</v>
      </c>
      <c r="AC70" s="7" t="n">
        <v>0.242</v>
      </c>
      <c r="AD70" s="7" t="n">
        <v>-0.004</v>
      </c>
      <c r="AE70" s="7" t="n">
        <v>0.153</v>
      </c>
      <c r="AF70" s="7" t="n">
        <v>0.228</v>
      </c>
      <c r="AG70" s="7" t="n">
        <v>-0.083</v>
      </c>
      <c r="AH70" s="7" t="n">
        <v>0.873</v>
      </c>
      <c r="AI70" s="7" t="n">
        <v>-0.138</v>
      </c>
      <c r="AJ70" s="7" t="n">
        <v>-0.568</v>
      </c>
      <c r="AK70" s="7" t="n">
        <v>-0.513</v>
      </c>
      <c r="AL70" s="7" t="n">
        <v>0.308</v>
      </c>
      <c r="AM70" s="7" t="n">
        <v>-0.264</v>
      </c>
      <c r="AN70" s="7" t="n">
        <v>-0.177</v>
      </c>
      <c r="AO70" s="7" t="n">
        <v>0.2</v>
      </c>
      <c r="AP70" s="7" t="n">
        <v>0</v>
      </c>
      <c r="AQ70" s="7" t="n">
        <v>0.136</v>
      </c>
    </row>
    <row r="71" customFormat="false" ht="15" hidden="false" customHeight="false" outlineLevel="0" collapsed="false">
      <c r="A71" s="23" t="n">
        <v>46388</v>
      </c>
      <c r="B71" s="7" t="n">
        <v>0.074</v>
      </c>
      <c r="C71" s="7" t="n">
        <v>-0.277</v>
      </c>
      <c r="D71" s="7" t="n">
        <v>0.25</v>
      </c>
      <c r="E71" s="7" t="n">
        <v>0.19</v>
      </c>
      <c r="F71" s="7" t="n">
        <v>0.158</v>
      </c>
      <c r="G71" s="7" t="n">
        <v>0.104</v>
      </c>
      <c r="H71" s="7" t="n">
        <v>-0.072</v>
      </c>
      <c r="I71" s="7" t="n">
        <v>-0.504</v>
      </c>
      <c r="J71" s="7" t="n">
        <v>-0.19</v>
      </c>
      <c r="K71" s="7" t="n">
        <v>0.01</v>
      </c>
      <c r="L71" s="7" t="n">
        <v>-0.058</v>
      </c>
      <c r="M71" s="7" t="n">
        <v>0.115</v>
      </c>
      <c r="N71" s="7" t="n">
        <v>-0.135</v>
      </c>
      <c r="O71" s="7" t="n">
        <v>0.374</v>
      </c>
      <c r="P71" s="7" t="n">
        <v>0.24</v>
      </c>
      <c r="Q71" s="7" t="n">
        <v>0.236</v>
      </c>
      <c r="R71" s="7" t="n">
        <v>-0.01</v>
      </c>
      <c r="S71" s="7" t="n">
        <v>0.091</v>
      </c>
      <c r="T71" s="7" t="n">
        <v>-0.084</v>
      </c>
      <c r="U71" s="7" t="n">
        <v>0.291</v>
      </c>
      <c r="V71" s="7" t="n">
        <v>-0.174</v>
      </c>
      <c r="W71" s="7" t="n">
        <v>0.236</v>
      </c>
      <c r="X71" s="7" t="n">
        <v>0.119</v>
      </c>
      <c r="Y71" s="7" t="n">
        <v>0.333</v>
      </c>
      <c r="Z71" s="7" t="n">
        <v>0.01</v>
      </c>
      <c r="AA71" s="7" t="n">
        <v>-0.01</v>
      </c>
      <c r="AB71" s="7" t="n">
        <v>-0.347</v>
      </c>
      <c r="AC71" s="7" t="n">
        <v>0.246</v>
      </c>
      <c r="AD71" s="7" t="n">
        <v>0.011</v>
      </c>
      <c r="AE71" s="7" t="n">
        <v>0.158</v>
      </c>
      <c r="AF71" s="7" t="n">
        <v>0.243</v>
      </c>
      <c r="AG71" s="7" t="n">
        <v>-0.072</v>
      </c>
      <c r="AH71" s="7" t="n">
        <v>0.872</v>
      </c>
      <c r="AI71" s="7" t="n">
        <v>-0.155</v>
      </c>
      <c r="AJ71" s="7" t="n">
        <v>-0.573</v>
      </c>
      <c r="AK71" s="7" t="n">
        <v>-0.519</v>
      </c>
      <c r="AL71" s="7" t="n">
        <v>0.298</v>
      </c>
      <c r="AM71" s="7" t="n">
        <v>-0.279</v>
      </c>
      <c r="AN71" s="7" t="n">
        <v>-0.168</v>
      </c>
      <c r="AO71" s="7" t="n">
        <v>0.19</v>
      </c>
      <c r="AP71" s="7" t="n">
        <v>0</v>
      </c>
      <c r="AQ71" s="7" t="n">
        <v>0.135</v>
      </c>
    </row>
    <row r="72" customFormat="false" ht="15" hidden="false" customHeight="false" outlineLevel="0" collapsed="false">
      <c r="A72" s="23" t="n">
        <v>46389</v>
      </c>
      <c r="B72" s="7" t="n">
        <v>0.081</v>
      </c>
      <c r="C72" s="7" t="n">
        <v>-0.27</v>
      </c>
      <c r="D72" s="7" t="n">
        <v>0.247</v>
      </c>
      <c r="E72" s="7" t="n">
        <v>0.208</v>
      </c>
      <c r="F72" s="7" t="n">
        <v>0.163</v>
      </c>
      <c r="G72" s="7" t="n">
        <v>0.107</v>
      </c>
      <c r="H72" s="7" t="n">
        <v>-0.061</v>
      </c>
      <c r="I72" s="7" t="n">
        <v>-0.501</v>
      </c>
      <c r="J72" s="7" t="n">
        <v>-0.207</v>
      </c>
      <c r="K72" s="7" t="n">
        <v>0.029</v>
      </c>
      <c r="L72" s="7" t="n">
        <v>-0.072</v>
      </c>
      <c r="M72" s="7" t="n">
        <v>0.119</v>
      </c>
      <c r="N72" s="7" t="n">
        <v>-0.147</v>
      </c>
      <c r="O72" s="7" t="n">
        <v>0.365</v>
      </c>
      <c r="P72" s="7" t="n">
        <v>0.244</v>
      </c>
      <c r="Q72" s="7" t="n">
        <v>0.24</v>
      </c>
      <c r="R72" s="7" t="n">
        <v>0.002</v>
      </c>
      <c r="S72" s="7" t="n">
        <v>0.1</v>
      </c>
      <c r="T72" s="7" t="n">
        <v>-0.066</v>
      </c>
      <c r="U72" s="7" t="n">
        <v>0.291</v>
      </c>
      <c r="V72" s="7" t="n">
        <v>-0.158</v>
      </c>
      <c r="W72" s="7" t="n">
        <v>0.24</v>
      </c>
      <c r="X72" s="7" t="n">
        <v>0.124</v>
      </c>
      <c r="Y72" s="7" t="n">
        <v>0.322</v>
      </c>
      <c r="Z72" s="7" t="n">
        <v>0.029</v>
      </c>
      <c r="AA72" s="7" t="n">
        <v>0.002</v>
      </c>
      <c r="AB72" s="7" t="n">
        <v>-0.366</v>
      </c>
      <c r="AC72" s="7" t="n">
        <v>0.251</v>
      </c>
      <c r="AD72" s="7" t="n">
        <v>0.027</v>
      </c>
      <c r="AE72" s="7" t="n">
        <v>0.163</v>
      </c>
      <c r="AF72" s="7" t="n">
        <v>0.259</v>
      </c>
      <c r="AG72" s="7" t="n">
        <v>-0.061</v>
      </c>
      <c r="AH72" s="7" t="n">
        <v>0.872</v>
      </c>
      <c r="AI72" s="7" t="n">
        <v>-0.17</v>
      </c>
      <c r="AJ72" s="7" t="n">
        <v>-0.578</v>
      </c>
      <c r="AK72" s="7" t="n">
        <v>-0.524</v>
      </c>
      <c r="AL72" s="7" t="n">
        <v>0.288</v>
      </c>
      <c r="AM72" s="7" t="n">
        <v>-0.294</v>
      </c>
      <c r="AN72" s="7" t="n">
        <v>-0.159</v>
      </c>
      <c r="AO72" s="7" t="n">
        <v>0.18</v>
      </c>
      <c r="AP72" s="7" t="n">
        <v>0</v>
      </c>
      <c r="AQ72" s="7" t="n">
        <v>0.137</v>
      </c>
    </row>
    <row r="73" customFormat="false" ht="15" hidden="false" customHeight="false" outlineLevel="0" collapsed="false">
      <c r="A73" s="23" t="n">
        <v>46390</v>
      </c>
      <c r="B73" s="7" t="n">
        <v>0.081</v>
      </c>
      <c r="C73" s="7" t="n">
        <v>-0.27</v>
      </c>
      <c r="D73" s="7" t="n">
        <v>0.247</v>
      </c>
      <c r="E73" s="7" t="n">
        <v>0.208</v>
      </c>
      <c r="F73" s="7" t="n">
        <v>0.163</v>
      </c>
      <c r="G73" s="7" t="n">
        <v>0.107</v>
      </c>
      <c r="H73" s="7" t="n">
        <v>-0.061</v>
      </c>
      <c r="I73" s="7" t="n">
        <v>-0.501</v>
      </c>
      <c r="J73" s="7" t="n">
        <v>-0.207</v>
      </c>
      <c r="K73" s="7" t="n">
        <v>0.029</v>
      </c>
      <c r="L73" s="7" t="n">
        <v>-0.072</v>
      </c>
      <c r="M73" s="7" t="n">
        <v>0.119</v>
      </c>
      <c r="N73" s="7" t="n">
        <v>-0.147</v>
      </c>
      <c r="O73" s="7" t="n">
        <v>0.365</v>
      </c>
      <c r="P73" s="7" t="n">
        <v>0.244</v>
      </c>
      <c r="Q73" s="7" t="n">
        <v>0.24</v>
      </c>
      <c r="R73" s="7" t="n">
        <v>0.002</v>
      </c>
      <c r="S73" s="7" t="n">
        <v>0.1</v>
      </c>
      <c r="T73" s="7" t="n">
        <v>-0.066</v>
      </c>
      <c r="U73" s="7" t="n">
        <v>0.291</v>
      </c>
      <c r="V73" s="7" t="n">
        <v>-0.158</v>
      </c>
      <c r="W73" s="7" t="n">
        <v>0.24</v>
      </c>
      <c r="X73" s="7" t="n">
        <v>0.124</v>
      </c>
      <c r="Y73" s="7" t="n">
        <v>0.322</v>
      </c>
      <c r="Z73" s="7" t="n">
        <v>0.029</v>
      </c>
      <c r="AA73" s="7" t="n">
        <v>0.002</v>
      </c>
      <c r="AB73" s="7" t="n">
        <v>-0.366</v>
      </c>
      <c r="AC73" s="7" t="n">
        <v>0.251</v>
      </c>
      <c r="AD73" s="7" t="n">
        <v>0.027</v>
      </c>
      <c r="AE73" s="7" t="n">
        <v>0.163</v>
      </c>
      <c r="AF73" s="7" t="n">
        <v>0.259</v>
      </c>
      <c r="AG73" s="7" t="n">
        <v>-0.061</v>
      </c>
      <c r="AH73" s="7" t="n">
        <v>0.872</v>
      </c>
      <c r="AI73" s="7" t="n">
        <v>-0.17</v>
      </c>
      <c r="AJ73" s="7" t="n">
        <v>-0.578</v>
      </c>
      <c r="AK73" s="7" t="n">
        <v>-0.524</v>
      </c>
      <c r="AL73" s="7" t="n">
        <v>0.288</v>
      </c>
      <c r="AM73" s="7" t="n">
        <v>-0.294</v>
      </c>
      <c r="AN73" s="7" t="n">
        <v>-0.159</v>
      </c>
      <c r="AO73" s="7" t="n">
        <v>0.18</v>
      </c>
      <c r="AP73" s="7" t="n">
        <v>0</v>
      </c>
      <c r="AQ73" s="7" t="n">
        <v>0.137</v>
      </c>
    </row>
    <row r="74" customFormat="false" ht="15" hidden="false" customHeight="false" outlineLevel="0" collapsed="false">
      <c r="A74" s="23" t="n">
        <v>46391</v>
      </c>
      <c r="B74" s="7" t="n">
        <v>0.081</v>
      </c>
      <c r="C74" s="7" t="n">
        <v>-0.27</v>
      </c>
      <c r="D74" s="7" t="n">
        <v>0.247</v>
      </c>
      <c r="E74" s="7" t="n">
        <v>0.208</v>
      </c>
      <c r="F74" s="7" t="n">
        <v>0.163</v>
      </c>
      <c r="G74" s="7" t="n">
        <v>0.107</v>
      </c>
      <c r="H74" s="7" t="n">
        <v>-0.061</v>
      </c>
      <c r="I74" s="7" t="n">
        <v>-0.501</v>
      </c>
      <c r="J74" s="7" t="n">
        <v>-0.207</v>
      </c>
      <c r="K74" s="7" t="n">
        <v>0.029</v>
      </c>
      <c r="L74" s="7" t="n">
        <v>-0.072</v>
      </c>
      <c r="M74" s="7" t="n">
        <v>0.119</v>
      </c>
      <c r="N74" s="7" t="n">
        <v>-0.147</v>
      </c>
      <c r="O74" s="7" t="n">
        <v>0.365</v>
      </c>
      <c r="P74" s="7" t="n">
        <v>0.244</v>
      </c>
      <c r="Q74" s="7" t="n">
        <v>0.24</v>
      </c>
      <c r="R74" s="7" t="n">
        <v>0.002</v>
      </c>
      <c r="S74" s="7" t="n">
        <v>0.1</v>
      </c>
      <c r="T74" s="7" t="n">
        <v>-0.066</v>
      </c>
      <c r="U74" s="7" t="n">
        <v>0.291</v>
      </c>
      <c r="V74" s="7" t="n">
        <v>-0.158</v>
      </c>
      <c r="W74" s="7" t="n">
        <v>0.24</v>
      </c>
      <c r="X74" s="7" t="n">
        <v>0.124</v>
      </c>
      <c r="Y74" s="7" t="n">
        <v>0.322</v>
      </c>
      <c r="Z74" s="7" t="n">
        <v>0.029</v>
      </c>
      <c r="AA74" s="7" t="n">
        <v>0.002</v>
      </c>
      <c r="AB74" s="7" t="n">
        <v>-0.366</v>
      </c>
      <c r="AC74" s="7" t="n">
        <v>0.251</v>
      </c>
      <c r="AD74" s="7" t="n">
        <v>0.027</v>
      </c>
      <c r="AE74" s="7" t="n">
        <v>0.163</v>
      </c>
      <c r="AF74" s="7" t="n">
        <v>0.259</v>
      </c>
      <c r="AG74" s="7" t="n">
        <v>-0.061</v>
      </c>
      <c r="AH74" s="7" t="n">
        <v>0.872</v>
      </c>
      <c r="AI74" s="7" t="n">
        <v>-0.17</v>
      </c>
      <c r="AJ74" s="7" t="n">
        <v>-0.578</v>
      </c>
      <c r="AK74" s="7" t="n">
        <v>-0.524</v>
      </c>
      <c r="AL74" s="7" t="n">
        <v>0.288</v>
      </c>
      <c r="AM74" s="7" t="n">
        <v>-0.294</v>
      </c>
      <c r="AN74" s="7" t="n">
        <v>-0.159</v>
      </c>
      <c r="AO74" s="7" t="n">
        <v>0.18</v>
      </c>
      <c r="AP74" s="7" t="n">
        <v>0</v>
      </c>
      <c r="AQ74" s="7" t="n">
        <v>0.137</v>
      </c>
    </row>
    <row r="75" customFormat="false" ht="15" hidden="false" customHeight="false" outlineLevel="0" collapsed="false">
      <c r="A75" s="23" t="n">
        <v>46392</v>
      </c>
      <c r="B75" s="7" t="n">
        <v>0.088</v>
      </c>
      <c r="C75" s="7" t="n">
        <v>-0.263</v>
      </c>
      <c r="D75" s="7" t="n">
        <v>0.243</v>
      </c>
      <c r="E75" s="7" t="n">
        <v>0.226</v>
      </c>
      <c r="F75" s="7" t="n">
        <v>0.169</v>
      </c>
      <c r="G75" s="7" t="n">
        <v>0.11</v>
      </c>
      <c r="H75" s="7" t="n">
        <v>-0.049</v>
      </c>
      <c r="I75" s="7" t="n">
        <v>-0.498</v>
      </c>
      <c r="J75" s="7" t="n">
        <v>-0.222</v>
      </c>
      <c r="K75" s="7" t="n">
        <v>0.048</v>
      </c>
      <c r="L75" s="7" t="n">
        <v>-0.086</v>
      </c>
      <c r="M75" s="7" t="n">
        <v>0.124</v>
      </c>
      <c r="N75" s="7" t="n">
        <v>-0.158</v>
      </c>
      <c r="O75" s="7" t="n">
        <v>0.355</v>
      </c>
      <c r="P75" s="7" t="n">
        <v>0.248</v>
      </c>
      <c r="Q75" s="7" t="n">
        <v>0.242</v>
      </c>
      <c r="R75" s="7" t="n">
        <v>0.013</v>
      </c>
      <c r="S75" s="7" t="n">
        <v>0.109</v>
      </c>
      <c r="T75" s="7" t="n">
        <v>-0.048</v>
      </c>
      <c r="U75" s="7" t="n">
        <v>0.293</v>
      </c>
      <c r="V75" s="7" t="n">
        <v>-0.141</v>
      </c>
      <c r="W75" s="7" t="n">
        <v>0.242</v>
      </c>
      <c r="X75" s="7" t="n">
        <v>0.13</v>
      </c>
      <c r="Y75" s="7" t="n">
        <v>0.309</v>
      </c>
      <c r="Z75" s="7" t="n">
        <v>0.048</v>
      </c>
      <c r="AA75" s="7" t="n">
        <v>0.013</v>
      </c>
      <c r="AB75" s="7" t="n">
        <v>-0.385</v>
      </c>
      <c r="AC75" s="7" t="n">
        <v>0.255</v>
      </c>
      <c r="AD75" s="7" t="n">
        <v>0.044</v>
      </c>
      <c r="AE75" s="7" t="n">
        <v>0.169</v>
      </c>
      <c r="AF75" s="7" t="n">
        <v>0.275</v>
      </c>
      <c r="AG75" s="7" t="n">
        <v>-0.049</v>
      </c>
      <c r="AH75" s="7" t="n">
        <v>0.871</v>
      </c>
      <c r="AI75" s="7" t="n">
        <v>-0.187</v>
      </c>
      <c r="AJ75" s="7" t="n">
        <v>-0.582</v>
      </c>
      <c r="AK75" s="7" t="n">
        <v>-0.53</v>
      </c>
      <c r="AL75" s="7" t="n">
        <v>0.279</v>
      </c>
      <c r="AM75" s="7" t="n">
        <v>-0.309</v>
      </c>
      <c r="AN75" s="7" t="n">
        <v>-0.15</v>
      </c>
      <c r="AO75" s="7" t="n">
        <v>0.171</v>
      </c>
      <c r="AP75" s="7" t="n">
        <v>0</v>
      </c>
      <c r="AQ75" s="7" t="n">
        <v>0.137</v>
      </c>
    </row>
    <row r="76" customFormat="false" ht="15" hidden="false" customHeight="false" outlineLevel="0" collapsed="false">
      <c r="A76" s="23" t="n">
        <v>46393</v>
      </c>
      <c r="B76" s="7" t="n">
        <v>0.095</v>
      </c>
      <c r="C76" s="7" t="n">
        <v>-0.255</v>
      </c>
      <c r="D76" s="7" t="n">
        <v>0.238</v>
      </c>
      <c r="E76" s="7" t="n">
        <v>0.245</v>
      </c>
      <c r="F76" s="7" t="n">
        <v>0.175</v>
      </c>
      <c r="G76" s="7" t="n">
        <v>0.113</v>
      </c>
      <c r="H76" s="7" t="n">
        <v>-0.038</v>
      </c>
      <c r="I76" s="7" t="n">
        <v>-0.496</v>
      </c>
      <c r="J76" s="7" t="n">
        <v>-0.238</v>
      </c>
      <c r="K76" s="7" t="n">
        <v>0.067</v>
      </c>
      <c r="L76" s="7" t="n">
        <v>-0.101</v>
      </c>
      <c r="M76" s="7" t="n">
        <v>0.129</v>
      </c>
      <c r="N76" s="7" t="n">
        <v>-0.169</v>
      </c>
      <c r="O76" s="7" t="n">
        <v>0.341</v>
      </c>
      <c r="P76" s="7" t="n">
        <v>0.252</v>
      </c>
      <c r="Q76" s="7" t="n">
        <v>0.245</v>
      </c>
      <c r="R76" s="7" t="n">
        <v>0.024</v>
      </c>
      <c r="S76" s="7" t="n">
        <v>0.118</v>
      </c>
      <c r="T76" s="7" t="n">
        <v>-0.031</v>
      </c>
      <c r="U76" s="7" t="n">
        <v>0.295</v>
      </c>
      <c r="V76" s="7" t="n">
        <v>-0.126</v>
      </c>
      <c r="W76" s="7" t="n">
        <v>0.245</v>
      </c>
      <c r="X76" s="7" t="n">
        <v>0.137</v>
      </c>
      <c r="Y76" s="7" t="n">
        <v>0.297</v>
      </c>
      <c r="Z76" s="7" t="n">
        <v>0.067</v>
      </c>
      <c r="AA76" s="7" t="n">
        <v>0.024</v>
      </c>
      <c r="AB76" s="7" t="n">
        <v>-0.406</v>
      </c>
      <c r="AC76" s="7" t="n">
        <v>0.26</v>
      </c>
      <c r="AD76" s="7" t="n">
        <v>0.061</v>
      </c>
      <c r="AE76" s="7" t="n">
        <v>0.175</v>
      </c>
      <c r="AF76" s="7" t="n">
        <v>0.291</v>
      </c>
      <c r="AG76" s="7" t="n">
        <v>-0.038</v>
      </c>
      <c r="AH76" s="7" t="n">
        <v>0.867</v>
      </c>
      <c r="AI76" s="7" t="n">
        <v>-0.204</v>
      </c>
      <c r="AJ76" s="7" t="n">
        <v>-0.587</v>
      </c>
      <c r="AK76" s="7" t="n">
        <v>-0.535</v>
      </c>
      <c r="AL76" s="7" t="n">
        <v>0.269</v>
      </c>
      <c r="AM76" s="7" t="n">
        <v>-0.324</v>
      </c>
      <c r="AN76" s="7" t="n">
        <v>-0.141</v>
      </c>
      <c r="AO76" s="7" t="n">
        <v>0.162</v>
      </c>
      <c r="AP76" s="7" t="n">
        <v>0</v>
      </c>
      <c r="AQ76" s="7" t="n">
        <v>0.137</v>
      </c>
    </row>
    <row r="77" customFormat="false" ht="15" hidden="false" customHeight="false" outlineLevel="0" collapsed="false">
      <c r="A77" s="23" t="n">
        <v>46394</v>
      </c>
      <c r="B77" s="7" t="n">
        <v>0.101</v>
      </c>
      <c r="C77" s="7" t="n">
        <v>-0.247</v>
      </c>
      <c r="D77" s="7" t="n">
        <v>0.231</v>
      </c>
      <c r="E77" s="7" t="n">
        <v>0.264</v>
      </c>
      <c r="F77" s="7" t="n">
        <v>0.182</v>
      </c>
      <c r="G77" s="7" t="n">
        <v>0.115</v>
      </c>
      <c r="H77" s="7" t="n">
        <v>-0.026</v>
      </c>
      <c r="I77" s="7" t="n">
        <v>-0.496</v>
      </c>
      <c r="J77" s="7" t="n">
        <v>-0.254</v>
      </c>
      <c r="K77" s="7" t="n">
        <v>0.086</v>
      </c>
      <c r="L77" s="7" t="n">
        <v>-0.116</v>
      </c>
      <c r="M77" s="7" t="n">
        <v>0.134</v>
      </c>
      <c r="N77" s="7" t="n">
        <v>-0.18</v>
      </c>
      <c r="O77" s="7" t="n">
        <v>0.328</v>
      </c>
      <c r="P77" s="7" t="n">
        <v>0.255</v>
      </c>
      <c r="Q77" s="7" t="n">
        <v>0.248</v>
      </c>
      <c r="R77" s="7" t="n">
        <v>0.033</v>
      </c>
      <c r="S77" s="7" t="n">
        <v>0.125</v>
      </c>
      <c r="T77" s="7" t="n">
        <v>-0.013</v>
      </c>
      <c r="U77" s="7" t="n">
        <v>0.297</v>
      </c>
      <c r="V77" s="7" t="n">
        <v>-0.111</v>
      </c>
      <c r="W77" s="7" t="n">
        <v>0.248</v>
      </c>
      <c r="X77" s="7" t="n">
        <v>0.142</v>
      </c>
      <c r="Y77" s="7" t="n">
        <v>0.284</v>
      </c>
      <c r="Z77" s="7" t="n">
        <v>0.086</v>
      </c>
      <c r="AA77" s="7" t="n">
        <v>0.033</v>
      </c>
      <c r="AB77" s="7" t="n">
        <v>-0.426</v>
      </c>
      <c r="AC77" s="7" t="n">
        <v>0.264</v>
      </c>
      <c r="AD77" s="7" t="n">
        <v>0.078</v>
      </c>
      <c r="AE77" s="7" t="n">
        <v>0.182</v>
      </c>
      <c r="AF77" s="7" t="n">
        <v>0.306</v>
      </c>
      <c r="AG77" s="7" t="n">
        <v>-0.026</v>
      </c>
      <c r="AH77" s="7" t="n">
        <v>0.863</v>
      </c>
      <c r="AI77" s="7" t="n">
        <v>-0.22</v>
      </c>
      <c r="AJ77" s="7" t="n">
        <v>-0.591</v>
      </c>
      <c r="AK77" s="7" t="n">
        <v>-0.54</v>
      </c>
      <c r="AL77" s="7" t="n">
        <v>0.259</v>
      </c>
      <c r="AM77" s="7" t="n">
        <v>-0.339</v>
      </c>
      <c r="AN77" s="7" t="n">
        <v>-0.132</v>
      </c>
      <c r="AO77" s="7" t="n">
        <v>0.152</v>
      </c>
      <c r="AP77" s="7" t="n">
        <v>0</v>
      </c>
      <c r="AQ77" s="7" t="n">
        <v>0.137</v>
      </c>
    </row>
    <row r="78" customFormat="false" ht="15" hidden="false" customHeight="false" outlineLevel="0" collapsed="false">
      <c r="A78" s="23" t="n">
        <v>46395</v>
      </c>
      <c r="B78" s="7" t="n">
        <v>0.105</v>
      </c>
      <c r="C78" s="7" t="n">
        <v>-0.243</v>
      </c>
      <c r="D78" s="7" t="n">
        <v>0.225</v>
      </c>
      <c r="E78" s="7" t="n">
        <v>0.283</v>
      </c>
      <c r="F78" s="7" t="n">
        <v>0.188</v>
      </c>
      <c r="G78" s="7" t="n">
        <v>0.118</v>
      </c>
      <c r="H78" s="7" t="n">
        <v>-0.02</v>
      </c>
      <c r="I78" s="7" t="n">
        <v>-0.501</v>
      </c>
      <c r="J78" s="7" t="n">
        <v>-0.269</v>
      </c>
      <c r="K78" s="7" t="n">
        <v>0.105</v>
      </c>
      <c r="L78" s="7" t="n">
        <v>-0.131</v>
      </c>
      <c r="M78" s="7" t="n">
        <v>0.139</v>
      </c>
      <c r="N78" s="7" t="n">
        <v>-0.191</v>
      </c>
      <c r="O78" s="7" t="n">
        <v>0.315</v>
      </c>
      <c r="P78" s="7" t="n">
        <v>0.259</v>
      </c>
      <c r="Q78" s="7" t="n">
        <v>0.25</v>
      </c>
      <c r="R78" s="7" t="n">
        <v>0.038</v>
      </c>
      <c r="S78" s="7" t="n">
        <v>0.132</v>
      </c>
      <c r="T78" s="7" t="n">
        <v>0</v>
      </c>
      <c r="U78" s="7" t="n">
        <v>0.298</v>
      </c>
      <c r="V78" s="7" t="n">
        <v>-0.102</v>
      </c>
      <c r="W78" s="7" t="n">
        <v>0.25</v>
      </c>
      <c r="X78" s="7" t="n">
        <v>0.148</v>
      </c>
      <c r="Y78" s="7" t="n">
        <v>0.272</v>
      </c>
      <c r="Z78" s="7" t="n">
        <v>0.105</v>
      </c>
      <c r="AA78" s="7" t="n">
        <v>0.038</v>
      </c>
      <c r="AB78" s="7" t="n">
        <v>-0.447</v>
      </c>
      <c r="AC78" s="7" t="n">
        <v>0.269</v>
      </c>
      <c r="AD78" s="7" t="n">
        <v>0.096</v>
      </c>
      <c r="AE78" s="7" t="n">
        <v>0.188</v>
      </c>
      <c r="AF78" s="7" t="n">
        <v>0.322</v>
      </c>
      <c r="AG78" s="7" t="n">
        <v>-0.02</v>
      </c>
      <c r="AH78" s="7" t="n">
        <v>0.859</v>
      </c>
      <c r="AI78" s="7" t="n">
        <v>-0.237</v>
      </c>
      <c r="AJ78" s="7" t="n">
        <v>-0.599</v>
      </c>
      <c r="AK78" s="7" t="n">
        <v>-0.548</v>
      </c>
      <c r="AL78" s="7" t="n">
        <v>0.249</v>
      </c>
      <c r="AM78" s="7" t="n">
        <v>-0.354</v>
      </c>
      <c r="AN78" s="7" t="n">
        <v>-0.128</v>
      </c>
      <c r="AO78" s="7" t="n">
        <v>0.143</v>
      </c>
      <c r="AP78" s="7" t="n">
        <v>0</v>
      </c>
      <c r="AQ78" s="7" t="n">
        <v>0.137</v>
      </c>
    </row>
    <row r="79" customFormat="false" ht="15" hidden="false" customHeight="false" outlineLevel="0" collapsed="false">
      <c r="A79" s="23" t="n">
        <v>46396</v>
      </c>
      <c r="B79" s="7" t="n">
        <v>0.11</v>
      </c>
      <c r="C79" s="7" t="n">
        <v>-0.239</v>
      </c>
      <c r="D79" s="7" t="n">
        <v>0.218</v>
      </c>
      <c r="E79" s="7" t="n">
        <v>0.302</v>
      </c>
      <c r="F79" s="7" t="n">
        <v>0.195</v>
      </c>
      <c r="G79" s="7" t="n">
        <v>0.121</v>
      </c>
      <c r="H79" s="7" t="n">
        <v>-0.013</v>
      </c>
      <c r="I79" s="7" t="n">
        <v>-0.506</v>
      </c>
      <c r="J79" s="7" t="n">
        <v>-0.285</v>
      </c>
      <c r="K79" s="7" t="n">
        <v>0.124</v>
      </c>
      <c r="L79" s="7" t="n">
        <v>-0.145</v>
      </c>
      <c r="M79" s="7" t="n">
        <v>0.144</v>
      </c>
      <c r="N79" s="7" t="n">
        <v>-0.202</v>
      </c>
      <c r="O79" s="7" t="n">
        <v>0.301</v>
      </c>
      <c r="P79" s="7" t="n">
        <v>0.263</v>
      </c>
      <c r="Q79" s="7" t="n">
        <v>0.253</v>
      </c>
      <c r="R79" s="7" t="n">
        <v>0.041</v>
      </c>
      <c r="S79" s="7" t="n">
        <v>0.139</v>
      </c>
      <c r="T79" s="7" t="n">
        <v>0.009</v>
      </c>
      <c r="U79" s="7" t="n">
        <v>0.3</v>
      </c>
      <c r="V79" s="7" t="n">
        <v>-0.092</v>
      </c>
      <c r="W79" s="7" t="n">
        <v>0.253</v>
      </c>
      <c r="X79" s="7" t="n">
        <v>0.154</v>
      </c>
      <c r="Y79" s="7" t="n">
        <v>0.26</v>
      </c>
      <c r="Z79" s="7" t="n">
        <v>0.124</v>
      </c>
      <c r="AA79" s="7" t="n">
        <v>0.041</v>
      </c>
      <c r="AB79" s="7" t="n">
        <v>-0.468</v>
      </c>
      <c r="AC79" s="7" t="n">
        <v>0.274</v>
      </c>
      <c r="AD79" s="7" t="n">
        <v>0.113</v>
      </c>
      <c r="AE79" s="7" t="n">
        <v>0.195</v>
      </c>
      <c r="AF79" s="7" t="n">
        <v>0.338</v>
      </c>
      <c r="AG79" s="7" t="n">
        <v>-0.013</v>
      </c>
      <c r="AH79" s="7" t="n">
        <v>0.855</v>
      </c>
      <c r="AI79" s="7" t="n">
        <v>-0.254</v>
      </c>
      <c r="AJ79" s="7" t="n">
        <v>-0.607</v>
      </c>
      <c r="AK79" s="7" t="n">
        <v>-0.557</v>
      </c>
      <c r="AL79" s="7" t="n">
        <v>0.239</v>
      </c>
      <c r="AM79" s="7" t="n">
        <v>-0.369</v>
      </c>
      <c r="AN79" s="7" t="n">
        <v>-0.125</v>
      </c>
      <c r="AO79" s="7" t="n">
        <v>0.134</v>
      </c>
      <c r="AP79" s="7" t="n">
        <v>0</v>
      </c>
      <c r="AQ79" s="7" t="n">
        <v>0.137</v>
      </c>
    </row>
    <row r="80" customFormat="false" ht="15" hidden="false" customHeight="false" outlineLevel="0" collapsed="false">
      <c r="A80" s="23" t="n">
        <v>46397</v>
      </c>
      <c r="B80" s="7" t="n">
        <v>0.11</v>
      </c>
      <c r="C80" s="7" t="n">
        <v>-0.239</v>
      </c>
      <c r="D80" s="7" t="n">
        <v>0.218</v>
      </c>
      <c r="E80" s="7" t="n">
        <v>0.302</v>
      </c>
      <c r="F80" s="7" t="n">
        <v>0.195</v>
      </c>
      <c r="G80" s="7" t="n">
        <v>0.121</v>
      </c>
      <c r="H80" s="7" t="n">
        <v>-0.013</v>
      </c>
      <c r="I80" s="7" t="n">
        <v>-0.506</v>
      </c>
      <c r="J80" s="7" t="n">
        <v>-0.285</v>
      </c>
      <c r="K80" s="7" t="n">
        <v>0.124</v>
      </c>
      <c r="L80" s="7" t="n">
        <v>-0.145</v>
      </c>
      <c r="M80" s="7" t="n">
        <v>0.144</v>
      </c>
      <c r="N80" s="7" t="n">
        <v>-0.202</v>
      </c>
      <c r="O80" s="7" t="n">
        <v>0.301</v>
      </c>
      <c r="P80" s="7" t="n">
        <v>0.263</v>
      </c>
      <c r="Q80" s="7" t="n">
        <v>0.253</v>
      </c>
      <c r="R80" s="7" t="n">
        <v>0.041</v>
      </c>
      <c r="S80" s="7" t="n">
        <v>0.139</v>
      </c>
      <c r="T80" s="7" t="n">
        <v>0.009</v>
      </c>
      <c r="U80" s="7" t="n">
        <v>0.3</v>
      </c>
      <c r="V80" s="7" t="n">
        <v>-0.092</v>
      </c>
      <c r="W80" s="7" t="n">
        <v>0.253</v>
      </c>
      <c r="X80" s="7" t="n">
        <v>0.154</v>
      </c>
      <c r="Y80" s="7" t="n">
        <v>0.26</v>
      </c>
      <c r="Z80" s="7" t="n">
        <v>0.124</v>
      </c>
      <c r="AA80" s="7" t="n">
        <v>0.041</v>
      </c>
      <c r="AB80" s="7" t="n">
        <v>-0.468</v>
      </c>
      <c r="AC80" s="7" t="n">
        <v>0.274</v>
      </c>
      <c r="AD80" s="7" t="n">
        <v>0.113</v>
      </c>
      <c r="AE80" s="7" t="n">
        <v>0.195</v>
      </c>
      <c r="AF80" s="7" t="n">
        <v>0.338</v>
      </c>
      <c r="AG80" s="7" t="n">
        <v>-0.013</v>
      </c>
      <c r="AH80" s="7" t="n">
        <v>0.855</v>
      </c>
      <c r="AI80" s="7" t="n">
        <v>-0.254</v>
      </c>
      <c r="AJ80" s="7" t="n">
        <v>-0.607</v>
      </c>
      <c r="AK80" s="7" t="n">
        <v>-0.557</v>
      </c>
      <c r="AL80" s="7" t="n">
        <v>0.239</v>
      </c>
      <c r="AM80" s="7" t="n">
        <v>-0.369</v>
      </c>
      <c r="AN80" s="7" t="n">
        <v>-0.125</v>
      </c>
      <c r="AO80" s="7" t="n">
        <v>0.134</v>
      </c>
      <c r="AP80" s="7" t="n">
        <v>0</v>
      </c>
      <c r="AQ80" s="7" t="n">
        <v>0.137</v>
      </c>
    </row>
    <row r="81" customFormat="false" ht="15" hidden="false" customHeight="false" outlineLevel="0" collapsed="false">
      <c r="A81" s="23" t="n">
        <v>46398</v>
      </c>
      <c r="B81" s="7" t="n">
        <v>0.11</v>
      </c>
      <c r="C81" s="7" t="n">
        <v>-0.239</v>
      </c>
      <c r="D81" s="7" t="n">
        <v>0.218</v>
      </c>
      <c r="E81" s="7" t="n">
        <v>0.302</v>
      </c>
      <c r="F81" s="7" t="n">
        <v>0.195</v>
      </c>
      <c r="G81" s="7" t="n">
        <v>0.121</v>
      </c>
      <c r="H81" s="7" t="n">
        <v>-0.013</v>
      </c>
      <c r="I81" s="7" t="n">
        <v>-0.506</v>
      </c>
      <c r="J81" s="7" t="n">
        <v>-0.285</v>
      </c>
      <c r="K81" s="7" t="n">
        <v>0.124</v>
      </c>
      <c r="L81" s="7" t="n">
        <v>-0.145</v>
      </c>
      <c r="M81" s="7" t="n">
        <v>0.144</v>
      </c>
      <c r="N81" s="7" t="n">
        <v>-0.202</v>
      </c>
      <c r="O81" s="7" t="n">
        <v>0.301</v>
      </c>
      <c r="P81" s="7" t="n">
        <v>0.263</v>
      </c>
      <c r="Q81" s="7" t="n">
        <v>0.253</v>
      </c>
      <c r="R81" s="7" t="n">
        <v>0.041</v>
      </c>
      <c r="S81" s="7" t="n">
        <v>0.139</v>
      </c>
      <c r="T81" s="7" t="n">
        <v>0.009</v>
      </c>
      <c r="U81" s="7" t="n">
        <v>0.3</v>
      </c>
      <c r="V81" s="7" t="n">
        <v>-0.092</v>
      </c>
      <c r="W81" s="7" t="n">
        <v>0.253</v>
      </c>
      <c r="X81" s="7" t="n">
        <v>0.154</v>
      </c>
      <c r="Y81" s="7" t="n">
        <v>0.26</v>
      </c>
      <c r="Z81" s="7" t="n">
        <v>0.124</v>
      </c>
      <c r="AA81" s="7" t="n">
        <v>0.041</v>
      </c>
      <c r="AB81" s="7" t="n">
        <v>-0.468</v>
      </c>
      <c r="AC81" s="7" t="n">
        <v>0.274</v>
      </c>
      <c r="AD81" s="7" t="n">
        <v>0.113</v>
      </c>
      <c r="AE81" s="7" t="n">
        <v>0.195</v>
      </c>
      <c r="AF81" s="7" t="n">
        <v>0.338</v>
      </c>
      <c r="AG81" s="7" t="n">
        <v>-0.013</v>
      </c>
      <c r="AH81" s="7" t="n">
        <v>0.855</v>
      </c>
      <c r="AI81" s="7" t="n">
        <v>-0.254</v>
      </c>
      <c r="AJ81" s="7" t="n">
        <v>-0.607</v>
      </c>
      <c r="AK81" s="7" t="n">
        <v>-0.557</v>
      </c>
      <c r="AL81" s="7" t="n">
        <v>0.239</v>
      </c>
      <c r="AM81" s="7" t="n">
        <v>-0.369</v>
      </c>
      <c r="AN81" s="7" t="n">
        <v>-0.125</v>
      </c>
      <c r="AO81" s="7" t="n">
        <v>0.134</v>
      </c>
      <c r="AP81" s="7" t="n">
        <v>0</v>
      </c>
      <c r="AQ81" s="7" t="n">
        <v>0.137</v>
      </c>
    </row>
    <row r="82" customFormat="false" ht="15" hidden="false" customHeight="false" outlineLevel="0" collapsed="false">
      <c r="A82" s="23" t="n">
        <v>46399</v>
      </c>
      <c r="B82" s="7" t="n">
        <v>0.115</v>
      </c>
      <c r="C82" s="7" t="n">
        <v>-0.232</v>
      </c>
      <c r="D82" s="7" t="n">
        <v>0.209</v>
      </c>
      <c r="E82" s="7" t="n">
        <v>0.319</v>
      </c>
      <c r="F82" s="7" t="n">
        <v>0.2</v>
      </c>
      <c r="G82" s="7" t="n">
        <v>0.124</v>
      </c>
      <c r="H82" s="7" t="n">
        <v>-0.006</v>
      </c>
      <c r="I82" s="7" t="n">
        <v>-0.504</v>
      </c>
      <c r="J82" s="7" t="n">
        <v>-0.301</v>
      </c>
      <c r="K82" s="7" t="n">
        <v>0.143</v>
      </c>
      <c r="L82" s="7" t="n">
        <v>-0.158</v>
      </c>
      <c r="M82" s="7" t="n">
        <v>0.149</v>
      </c>
      <c r="N82" s="7" t="n">
        <v>-0.21</v>
      </c>
      <c r="O82" s="7" t="n">
        <v>0.289</v>
      </c>
      <c r="P82" s="7" t="n">
        <v>0.263</v>
      </c>
      <c r="Q82" s="7" t="n">
        <v>0.254</v>
      </c>
      <c r="R82" s="7" t="n">
        <v>0.041</v>
      </c>
      <c r="S82" s="7" t="n">
        <v>0.149</v>
      </c>
      <c r="T82" s="7" t="n">
        <v>0.015</v>
      </c>
      <c r="U82" s="7" t="n">
        <v>0.301</v>
      </c>
      <c r="V82" s="7" t="n">
        <v>-0.079</v>
      </c>
      <c r="W82" s="7" t="n">
        <v>0.254</v>
      </c>
      <c r="X82" s="7" t="n">
        <v>0.158</v>
      </c>
      <c r="Y82" s="7" t="n">
        <v>0.245</v>
      </c>
      <c r="Z82" s="7" t="n">
        <v>0.143</v>
      </c>
      <c r="AA82" s="7" t="n">
        <v>0.041</v>
      </c>
      <c r="AB82" s="7" t="n">
        <v>-0.483</v>
      </c>
      <c r="AC82" s="7" t="n">
        <v>0.277</v>
      </c>
      <c r="AD82" s="7" t="n">
        <v>0.129</v>
      </c>
      <c r="AE82" s="7" t="n">
        <v>0.2</v>
      </c>
      <c r="AF82" s="7" t="n">
        <v>0.353</v>
      </c>
      <c r="AG82" s="7" t="n">
        <v>-0.006</v>
      </c>
      <c r="AH82" s="7" t="n">
        <v>0.851</v>
      </c>
      <c r="AI82" s="7" t="n">
        <v>-0.268</v>
      </c>
      <c r="AJ82" s="7" t="n">
        <v>-0.615</v>
      </c>
      <c r="AK82" s="7" t="n">
        <v>-0.565</v>
      </c>
      <c r="AL82" s="7" t="n">
        <v>0.228</v>
      </c>
      <c r="AM82" s="7" t="n">
        <v>-0.38</v>
      </c>
      <c r="AN82" s="7" t="n">
        <v>-0.119</v>
      </c>
      <c r="AO82" s="7" t="n">
        <v>0.125</v>
      </c>
      <c r="AP82" s="7" t="n">
        <v>0</v>
      </c>
      <c r="AQ82" s="7" t="n">
        <v>0.135</v>
      </c>
    </row>
    <row r="83" customFormat="false" ht="15" hidden="false" customHeight="false" outlineLevel="0" collapsed="false">
      <c r="A83" s="23" t="n">
        <v>46400</v>
      </c>
      <c r="B83" s="7" t="n">
        <v>0.12</v>
      </c>
      <c r="C83" s="7" t="n">
        <v>-0.224</v>
      </c>
      <c r="D83" s="7" t="n">
        <v>0.202</v>
      </c>
      <c r="E83" s="7" t="n">
        <v>0.336</v>
      </c>
      <c r="F83" s="7" t="n">
        <v>0.206</v>
      </c>
      <c r="G83" s="7" t="n">
        <v>0.127</v>
      </c>
      <c r="H83" s="7" t="n">
        <v>0.001</v>
      </c>
      <c r="I83" s="7" t="n">
        <v>-0.505</v>
      </c>
      <c r="J83" s="7" t="n">
        <v>-0.316</v>
      </c>
      <c r="K83" s="7" t="n">
        <v>0.162</v>
      </c>
      <c r="L83" s="7" t="n">
        <v>-0.171</v>
      </c>
      <c r="M83" s="7" t="n">
        <v>0.154</v>
      </c>
      <c r="N83" s="7" t="n">
        <v>-0.218</v>
      </c>
      <c r="O83" s="7" t="n">
        <v>0.276</v>
      </c>
      <c r="P83" s="7" t="n">
        <v>0.264</v>
      </c>
      <c r="Q83" s="7" t="n">
        <v>0.255</v>
      </c>
      <c r="R83" s="7" t="n">
        <v>0.042</v>
      </c>
      <c r="S83" s="7" t="n">
        <v>0.159</v>
      </c>
      <c r="T83" s="7" t="n">
        <v>0.019</v>
      </c>
      <c r="U83" s="7" t="n">
        <v>0.304</v>
      </c>
      <c r="V83" s="7" t="n">
        <v>-0.068</v>
      </c>
      <c r="W83" s="7" t="n">
        <v>0.255</v>
      </c>
      <c r="X83" s="7" t="n">
        <v>0.163</v>
      </c>
      <c r="Y83" s="7" t="n">
        <v>0.231</v>
      </c>
      <c r="Z83" s="7" t="n">
        <v>0.162</v>
      </c>
      <c r="AA83" s="7" t="n">
        <v>0.042</v>
      </c>
      <c r="AB83" s="7" t="n">
        <v>-0.499</v>
      </c>
      <c r="AC83" s="7" t="n">
        <v>0.28</v>
      </c>
      <c r="AD83" s="7" t="n">
        <v>0.145</v>
      </c>
      <c r="AE83" s="7" t="n">
        <v>0.206</v>
      </c>
      <c r="AF83" s="7" t="n">
        <v>0.368</v>
      </c>
      <c r="AG83" s="7" t="n">
        <v>0.001</v>
      </c>
      <c r="AH83" s="7" t="n">
        <v>0.847</v>
      </c>
      <c r="AI83" s="7" t="n">
        <v>-0.283</v>
      </c>
      <c r="AJ83" s="7" t="n">
        <v>-0.624</v>
      </c>
      <c r="AK83" s="7" t="n">
        <v>-0.573</v>
      </c>
      <c r="AL83" s="7" t="n">
        <v>0.217</v>
      </c>
      <c r="AM83" s="7" t="n">
        <v>-0.392</v>
      </c>
      <c r="AN83" s="7" t="n">
        <v>-0.115</v>
      </c>
      <c r="AO83" s="7" t="n">
        <v>0.116</v>
      </c>
      <c r="AP83" s="7" t="n">
        <v>0</v>
      </c>
      <c r="AQ83" s="7" t="n">
        <v>0.133</v>
      </c>
    </row>
    <row r="84" customFormat="false" ht="15" hidden="false" customHeight="false" outlineLevel="0" collapsed="false">
      <c r="A84" s="23" t="n">
        <v>46401</v>
      </c>
      <c r="B84" s="7" t="n">
        <v>0.119</v>
      </c>
      <c r="C84" s="7" t="n">
        <v>-0.224</v>
      </c>
      <c r="D84" s="7" t="n">
        <v>0.194</v>
      </c>
      <c r="E84" s="7" t="n">
        <v>0.349</v>
      </c>
      <c r="F84" s="7" t="n">
        <v>0.208</v>
      </c>
      <c r="G84" s="7" t="n">
        <v>0.129</v>
      </c>
      <c r="H84" s="7" t="n">
        <v>0</v>
      </c>
      <c r="I84" s="7" t="n">
        <v>-0.513</v>
      </c>
      <c r="J84" s="7" t="n">
        <v>-0.332</v>
      </c>
      <c r="K84" s="7" t="n">
        <v>0.175</v>
      </c>
      <c r="L84" s="7" t="n">
        <v>-0.174</v>
      </c>
      <c r="M84" s="7" t="n">
        <v>0.156</v>
      </c>
      <c r="N84" s="7" t="n">
        <v>-0.223</v>
      </c>
      <c r="O84" s="7" t="n">
        <v>0.271</v>
      </c>
      <c r="P84" s="7" t="n">
        <v>0.267</v>
      </c>
      <c r="Q84" s="7" t="n">
        <v>0.258</v>
      </c>
      <c r="R84" s="7" t="n">
        <v>0.034</v>
      </c>
      <c r="S84" s="7" t="n">
        <v>0.165</v>
      </c>
      <c r="T84" s="7" t="n">
        <v>0.014</v>
      </c>
      <c r="U84" s="7" t="n">
        <v>0.304</v>
      </c>
      <c r="V84" s="7" t="n">
        <v>-0.069</v>
      </c>
      <c r="W84" s="7" t="n">
        <v>0.258</v>
      </c>
      <c r="X84" s="7" t="n">
        <v>0.166</v>
      </c>
      <c r="Y84" s="7" t="n">
        <v>0.217</v>
      </c>
      <c r="Z84" s="7" t="n">
        <v>0.175</v>
      </c>
      <c r="AA84" s="7" t="n">
        <v>0.034</v>
      </c>
      <c r="AB84" s="7" t="n">
        <v>-0.512</v>
      </c>
      <c r="AC84" s="7" t="n">
        <v>0.283</v>
      </c>
      <c r="AD84" s="7" t="n">
        <v>0.158</v>
      </c>
      <c r="AE84" s="7" t="n">
        <v>0.208</v>
      </c>
      <c r="AF84" s="7" t="n">
        <v>0.38</v>
      </c>
      <c r="AG84" s="7" t="n">
        <v>0</v>
      </c>
      <c r="AH84" s="7" t="n">
        <v>0.842</v>
      </c>
      <c r="AI84" s="7" t="n">
        <v>-0.289</v>
      </c>
      <c r="AJ84" s="7" t="n">
        <v>-0.633</v>
      </c>
      <c r="AK84" s="7" t="n">
        <v>-0.583</v>
      </c>
      <c r="AL84" s="7" t="n">
        <v>0.207</v>
      </c>
      <c r="AM84" s="7" t="n">
        <v>-0.398</v>
      </c>
      <c r="AN84" s="7" t="n">
        <v>-0.119</v>
      </c>
      <c r="AO84" s="7" t="n">
        <v>0.105</v>
      </c>
      <c r="AP84" s="7" t="n">
        <v>0</v>
      </c>
      <c r="AQ84" s="7" t="n">
        <v>0.134</v>
      </c>
    </row>
    <row r="85" customFormat="false" ht="15" hidden="false" customHeight="false" outlineLevel="0" collapsed="false">
      <c r="A85" s="23" t="n">
        <v>46402</v>
      </c>
      <c r="B85" s="7" t="n">
        <v>0.119</v>
      </c>
      <c r="C85" s="7" t="n">
        <v>-0.223</v>
      </c>
      <c r="D85" s="7" t="n">
        <v>0.187</v>
      </c>
      <c r="E85" s="7" t="n">
        <v>0.361</v>
      </c>
      <c r="F85" s="7" t="n">
        <v>0.21</v>
      </c>
      <c r="G85" s="7" t="n">
        <v>0.132</v>
      </c>
      <c r="H85" s="7" t="n">
        <v>-0.002</v>
      </c>
      <c r="I85" s="7" t="n">
        <v>-0.517</v>
      </c>
      <c r="J85" s="7" t="n">
        <v>-0.347</v>
      </c>
      <c r="K85" s="7" t="n">
        <v>0.187</v>
      </c>
      <c r="L85" s="7" t="n">
        <v>-0.177</v>
      </c>
      <c r="M85" s="7" t="n">
        <v>0.159</v>
      </c>
      <c r="N85" s="7" t="n">
        <v>-0.227</v>
      </c>
      <c r="O85" s="7" t="n">
        <v>0.267</v>
      </c>
      <c r="P85" s="7" t="n">
        <v>0.269</v>
      </c>
      <c r="Q85" s="7" t="n">
        <v>0.261</v>
      </c>
      <c r="R85" s="7" t="n">
        <v>0.025</v>
      </c>
      <c r="S85" s="7" t="n">
        <v>0.171</v>
      </c>
      <c r="T85" s="7" t="n">
        <v>0.008</v>
      </c>
      <c r="U85" s="7" t="n">
        <v>0.304</v>
      </c>
      <c r="V85" s="7" t="n">
        <v>-0.066</v>
      </c>
      <c r="W85" s="7" t="n">
        <v>0.261</v>
      </c>
      <c r="X85" s="7" t="n">
        <v>0.168</v>
      </c>
      <c r="Y85" s="7" t="n">
        <v>0.203</v>
      </c>
      <c r="Z85" s="7" t="n">
        <v>0.187</v>
      </c>
      <c r="AA85" s="7" t="n">
        <v>0.025</v>
      </c>
      <c r="AB85" s="7" t="n">
        <v>-0.521</v>
      </c>
      <c r="AC85" s="7" t="n">
        <v>0.286</v>
      </c>
      <c r="AD85" s="7" t="n">
        <v>0.171</v>
      </c>
      <c r="AE85" s="7" t="n">
        <v>0.21</v>
      </c>
      <c r="AF85" s="7" t="n">
        <v>0.393</v>
      </c>
      <c r="AG85" s="7" t="n">
        <v>-0.002</v>
      </c>
      <c r="AH85" s="7" t="n">
        <v>0.836</v>
      </c>
      <c r="AI85" s="7" t="n">
        <v>-0.294</v>
      </c>
      <c r="AJ85" s="7" t="n">
        <v>-0.643</v>
      </c>
      <c r="AK85" s="7" t="n">
        <v>-0.592</v>
      </c>
      <c r="AL85" s="7" t="n">
        <v>0.197</v>
      </c>
      <c r="AM85" s="7" t="n">
        <v>-0.403</v>
      </c>
      <c r="AN85" s="7" t="n">
        <v>-0.124</v>
      </c>
      <c r="AO85" s="7" t="n">
        <v>0.094</v>
      </c>
      <c r="AP85" s="7" t="n">
        <v>0</v>
      </c>
      <c r="AQ85" s="7" t="n">
        <v>0.134</v>
      </c>
    </row>
    <row r="86" customFormat="false" ht="15" hidden="false" customHeight="false" outlineLevel="0" collapsed="false">
      <c r="A86" s="23" t="n">
        <v>46403</v>
      </c>
      <c r="B86" s="7" t="n">
        <v>0.116</v>
      </c>
      <c r="C86" s="7" t="n">
        <v>-0.225</v>
      </c>
      <c r="D86" s="7" t="n">
        <v>0.183</v>
      </c>
      <c r="E86" s="7" t="n">
        <v>0.37</v>
      </c>
      <c r="F86" s="7" t="n">
        <v>0.209</v>
      </c>
      <c r="G86" s="7" t="n">
        <v>0.135</v>
      </c>
      <c r="H86" s="7" t="n">
        <v>0</v>
      </c>
      <c r="I86" s="7" t="n">
        <v>-0.52</v>
      </c>
      <c r="J86" s="7" t="n">
        <v>-0.358</v>
      </c>
      <c r="K86" s="7" t="n">
        <v>0.192</v>
      </c>
      <c r="L86" s="7" t="n">
        <v>-0.179</v>
      </c>
      <c r="M86" s="7" t="n">
        <v>0.161</v>
      </c>
      <c r="N86" s="7" t="n">
        <v>-0.233</v>
      </c>
      <c r="O86" s="7" t="n">
        <v>0.263</v>
      </c>
      <c r="P86" s="7" t="n">
        <v>0.273</v>
      </c>
      <c r="Q86" s="7" t="n">
        <v>0.264</v>
      </c>
      <c r="R86" s="7" t="n">
        <v>0.023</v>
      </c>
      <c r="S86" s="7" t="n">
        <v>0.166</v>
      </c>
      <c r="T86" s="7" t="n">
        <v>0.01</v>
      </c>
      <c r="U86" s="7" t="n">
        <v>0.299</v>
      </c>
      <c r="V86" s="7" t="n">
        <v>-0.063</v>
      </c>
      <c r="W86" s="7" t="n">
        <v>0.264</v>
      </c>
      <c r="X86" s="7" t="n">
        <v>0.17</v>
      </c>
      <c r="Y86" s="7" t="n">
        <v>0.192</v>
      </c>
      <c r="Z86" s="7" t="n">
        <v>0.192</v>
      </c>
      <c r="AA86" s="7" t="n">
        <v>0.023</v>
      </c>
      <c r="AB86" s="7" t="n">
        <v>-0.531</v>
      </c>
      <c r="AC86" s="7" t="n">
        <v>0.289</v>
      </c>
      <c r="AD86" s="7" t="n">
        <v>0.177</v>
      </c>
      <c r="AE86" s="7" t="n">
        <v>0.209</v>
      </c>
      <c r="AF86" s="7" t="n">
        <v>0.398</v>
      </c>
      <c r="AG86" s="7" t="n">
        <v>0</v>
      </c>
      <c r="AH86" s="7" t="n">
        <v>0.831</v>
      </c>
      <c r="AI86" s="7" t="n">
        <v>-0.299</v>
      </c>
      <c r="AJ86" s="7" t="n">
        <v>-0.649</v>
      </c>
      <c r="AK86" s="7" t="n">
        <v>-0.598</v>
      </c>
      <c r="AL86" s="7" t="n">
        <v>0.188</v>
      </c>
      <c r="AM86" s="7" t="n">
        <v>-0.408</v>
      </c>
      <c r="AN86" s="7" t="n">
        <v>-0.125</v>
      </c>
      <c r="AO86" s="7" t="n">
        <v>0.082</v>
      </c>
      <c r="AP86" s="7" t="n">
        <v>0</v>
      </c>
      <c r="AQ86" s="7" t="n">
        <v>0.135</v>
      </c>
    </row>
    <row r="87" customFormat="false" ht="15" hidden="false" customHeight="false" outlineLevel="0" collapsed="false">
      <c r="A87" s="23" t="n">
        <v>46404</v>
      </c>
      <c r="B87" s="7" t="n">
        <v>0.116</v>
      </c>
      <c r="C87" s="7" t="n">
        <v>-0.225</v>
      </c>
      <c r="D87" s="7" t="n">
        <v>0.183</v>
      </c>
      <c r="E87" s="7" t="n">
        <v>0.37</v>
      </c>
      <c r="F87" s="7" t="n">
        <v>0.209</v>
      </c>
      <c r="G87" s="7" t="n">
        <v>0.135</v>
      </c>
      <c r="H87" s="7" t="n">
        <v>0</v>
      </c>
      <c r="I87" s="7" t="n">
        <v>-0.52</v>
      </c>
      <c r="J87" s="7" t="n">
        <v>-0.358</v>
      </c>
      <c r="K87" s="7" t="n">
        <v>0.192</v>
      </c>
      <c r="L87" s="7" t="n">
        <v>-0.179</v>
      </c>
      <c r="M87" s="7" t="n">
        <v>0.161</v>
      </c>
      <c r="N87" s="7" t="n">
        <v>-0.233</v>
      </c>
      <c r="O87" s="7" t="n">
        <v>0.263</v>
      </c>
      <c r="P87" s="7" t="n">
        <v>0.273</v>
      </c>
      <c r="Q87" s="7" t="n">
        <v>0.264</v>
      </c>
      <c r="R87" s="7" t="n">
        <v>0.023</v>
      </c>
      <c r="S87" s="7" t="n">
        <v>0.166</v>
      </c>
      <c r="T87" s="7" t="n">
        <v>0.01</v>
      </c>
      <c r="U87" s="7" t="n">
        <v>0.299</v>
      </c>
      <c r="V87" s="7" t="n">
        <v>-0.063</v>
      </c>
      <c r="W87" s="7" t="n">
        <v>0.264</v>
      </c>
      <c r="X87" s="7" t="n">
        <v>0.17</v>
      </c>
      <c r="Y87" s="7" t="n">
        <v>0.192</v>
      </c>
      <c r="Z87" s="7" t="n">
        <v>0.192</v>
      </c>
      <c r="AA87" s="7" t="n">
        <v>0.023</v>
      </c>
      <c r="AB87" s="7" t="n">
        <v>-0.531</v>
      </c>
      <c r="AC87" s="7" t="n">
        <v>0.289</v>
      </c>
      <c r="AD87" s="7" t="n">
        <v>0.177</v>
      </c>
      <c r="AE87" s="7" t="n">
        <v>0.209</v>
      </c>
      <c r="AF87" s="7" t="n">
        <v>0.398</v>
      </c>
      <c r="AG87" s="7" t="n">
        <v>0</v>
      </c>
      <c r="AH87" s="7" t="n">
        <v>0.831</v>
      </c>
      <c r="AI87" s="7" t="n">
        <v>-0.299</v>
      </c>
      <c r="AJ87" s="7" t="n">
        <v>-0.649</v>
      </c>
      <c r="AK87" s="7" t="n">
        <v>-0.598</v>
      </c>
      <c r="AL87" s="7" t="n">
        <v>0.188</v>
      </c>
      <c r="AM87" s="7" t="n">
        <v>-0.408</v>
      </c>
      <c r="AN87" s="7" t="n">
        <v>-0.125</v>
      </c>
      <c r="AO87" s="7" t="n">
        <v>0.082</v>
      </c>
      <c r="AP87" s="7" t="n">
        <v>0</v>
      </c>
      <c r="AQ87" s="7" t="n">
        <v>0.135</v>
      </c>
    </row>
    <row r="88" customFormat="false" ht="15" hidden="false" customHeight="false" outlineLevel="0" collapsed="false">
      <c r="A88" s="23" t="n">
        <v>46405</v>
      </c>
      <c r="B88" s="7" t="n">
        <v>0.116</v>
      </c>
      <c r="C88" s="7" t="n">
        <v>-0.225</v>
      </c>
      <c r="D88" s="7" t="n">
        <v>0.183</v>
      </c>
      <c r="E88" s="7" t="n">
        <v>0.37</v>
      </c>
      <c r="F88" s="7" t="n">
        <v>0.209</v>
      </c>
      <c r="G88" s="7" t="n">
        <v>0.135</v>
      </c>
      <c r="H88" s="7" t="n">
        <v>0</v>
      </c>
      <c r="I88" s="7" t="n">
        <v>-0.52</v>
      </c>
      <c r="J88" s="7" t="n">
        <v>-0.358</v>
      </c>
      <c r="K88" s="7" t="n">
        <v>0.192</v>
      </c>
      <c r="L88" s="7" t="n">
        <v>-0.179</v>
      </c>
      <c r="M88" s="7" t="n">
        <v>0.161</v>
      </c>
      <c r="N88" s="7" t="n">
        <v>-0.233</v>
      </c>
      <c r="O88" s="7" t="n">
        <v>0.263</v>
      </c>
      <c r="P88" s="7" t="n">
        <v>0.273</v>
      </c>
      <c r="Q88" s="7" t="n">
        <v>0.264</v>
      </c>
      <c r="R88" s="7" t="n">
        <v>0.023</v>
      </c>
      <c r="S88" s="7" t="n">
        <v>0.166</v>
      </c>
      <c r="T88" s="7" t="n">
        <v>0.01</v>
      </c>
      <c r="U88" s="7" t="n">
        <v>0.299</v>
      </c>
      <c r="V88" s="7" t="n">
        <v>-0.063</v>
      </c>
      <c r="W88" s="7" t="n">
        <v>0.264</v>
      </c>
      <c r="X88" s="7" t="n">
        <v>0.17</v>
      </c>
      <c r="Y88" s="7" t="n">
        <v>0.192</v>
      </c>
      <c r="Z88" s="7" t="n">
        <v>0.192</v>
      </c>
      <c r="AA88" s="7" t="n">
        <v>0.023</v>
      </c>
      <c r="AB88" s="7" t="n">
        <v>-0.531</v>
      </c>
      <c r="AC88" s="7" t="n">
        <v>0.289</v>
      </c>
      <c r="AD88" s="7" t="n">
        <v>0.177</v>
      </c>
      <c r="AE88" s="7" t="n">
        <v>0.209</v>
      </c>
      <c r="AF88" s="7" t="n">
        <v>0.398</v>
      </c>
      <c r="AG88" s="7" t="n">
        <v>0</v>
      </c>
      <c r="AH88" s="7" t="n">
        <v>0.831</v>
      </c>
      <c r="AI88" s="7" t="n">
        <v>-0.299</v>
      </c>
      <c r="AJ88" s="7" t="n">
        <v>-0.649</v>
      </c>
      <c r="AK88" s="7" t="n">
        <v>-0.598</v>
      </c>
      <c r="AL88" s="7" t="n">
        <v>0.188</v>
      </c>
      <c r="AM88" s="7" t="n">
        <v>-0.408</v>
      </c>
      <c r="AN88" s="7" t="n">
        <v>-0.125</v>
      </c>
      <c r="AO88" s="7" t="n">
        <v>0.082</v>
      </c>
      <c r="AP88" s="7" t="n">
        <v>0</v>
      </c>
      <c r="AQ88" s="7" t="n">
        <v>0.135</v>
      </c>
    </row>
    <row r="89" customFormat="false" ht="15" hidden="false" customHeight="false" outlineLevel="0" collapsed="false">
      <c r="A89" s="23" t="n">
        <v>46406</v>
      </c>
      <c r="B89" s="7" t="n">
        <v>0.112</v>
      </c>
      <c r="C89" s="7" t="n">
        <v>-0.231</v>
      </c>
      <c r="D89" s="7" t="n">
        <v>0.179</v>
      </c>
      <c r="E89" s="7" t="n">
        <v>0.374</v>
      </c>
      <c r="F89" s="7" t="n">
        <v>0.207</v>
      </c>
      <c r="G89" s="7" t="n">
        <v>0.138</v>
      </c>
      <c r="H89" s="7" t="n">
        <v>0.002</v>
      </c>
      <c r="I89" s="7" t="n">
        <v>-0.526</v>
      </c>
      <c r="J89" s="7" t="n">
        <v>-0.362</v>
      </c>
      <c r="K89" s="7" t="n">
        <v>0.187</v>
      </c>
      <c r="L89" s="7" t="n">
        <v>-0.179</v>
      </c>
      <c r="M89" s="7" t="n">
        <v>0.166</v>
      </c>
      <c r="N89" s="7" t="n">
        <v>-0.239</v>
      </c>
      <c r="O89" s="7" t="n">
        <v>0.263</v>
      </c>
      <c r="P89" s="7" t="n">
        <v>0.276</v>
      </c>
      <c r="Q89" s="7" t="n">
        <v>0.268</v>
      </c>
      <c r="R89" s="7" t="n">
        <v>0.022</v>
      </c>
      <c r="S89" s="7" t="n">
        <v>0.156</v>
      </c>
      <c r="T89" s="7" t="n">
        <v>0.012</v>
      </c>
      <c r="U89" s="7" t="n">
        <v>0.288</v>
      </c>
      <c r="V89" s="7" t="n">
        <v>-0.068</v>
      </c>
      <c r="W89" s="7" t="n">
        <v>0.268</v>
      </c>
      <c r="X89" s="7" t="n">
        <v>0.174</v>
      </c>
      <c r="Y89" s="7" t="n">
        <v>0.184</v>
      </c>
      <c r="Z89" s="7" t="n">
        <v>0.187</v>
      </c>
      <c r="AA89" s="7" t="n">
        <v>0.022</v>
      </c>
      <c r="AB89" s="7" t="n">
        <v>-0.542</v>
      </c>
      <c r="AC89" s="7" t="n">
        <v>0.294</v>
      </c>
      <c r="AD89" s="7" t="n">
        <v>0.181</v>
      </c>
      <c r="AE89" s="7" t="n">
        <v>0.207</v>
      </c>
      <c r="AF89" s="7" t="n">
        <v>0.398</v>
      </c>
      <c r="AG89" s="7" t="n">
        <v>0.002</v>
      </c>
      <c r="AH89" s="7" t="n">
        <v>0.827</v>
      </c>
      <c r="AI89" s="7" t="n">
        <v>-0.302</v>
      </c>
      <c r="AJ89" s="7" t="n">
        <v>-0.652</v>
      </c>
      <c r="AK89" s="7" t="n">
        <v>-0.601</v>
      </c>
      <c r="AL89" s="7" t="n">
        <v>0.178</v>
      </c>
      <c r="AM89" s="7" t="n">
        <v>-0.412</v>
      </c>
      <c r="AN89" s="7" t="n">
        <v>-0.125</v>
      </c>
      <c r="AO89" s="7" t="n">
        <v>0.073</v>
      </c>
      <c r="AP89" s="7" t="n">
        <v>0</v>
      </c>
      <c r="AQ89" s="7" t="n">
        <v>0.136</v>
      </c>
    </row>
    <row r="90" customFormat="false" ht="15" hidden="false" customHeight="false" outlineLevel="0" collapsed="false">
      <c r="A90" s="23" t="n">
        <v>46407</v>
      </c>
      <c r="B90" s="7" t="n">
        <v>0.107</v>
      </c>
      <c r="C90" s="7" t="n">
        <v>-0.236</v>
      </c>
      <c r="D90" s="7" t="n">
        <v>0.172</v>
      </c>
      <c r="E90" s="7" t="n">
        <v>0.378</v>
      </c>
      <c r="F90" s="7" t="n">
        <v>0.205</v>
      </c>
      <c r="G90" s="7" t="n">
        <v>0.141</v>
      </c>
      <c r="H90" s="7" t="n">
        <v>0.004</v>
      </c>
      <c r="I90" s="7" t="n">
        <v>-0.527</v>
      </c>
      <c r="J90" s="7" t="n">
        <v>-0.365</v>
      </c>
      <c r="K90" s="7" t="n">
        <v>0.182</v>
      </c>
      <c r="L90" s="7" t="n">
        <v>-0.178</v>
      </c>
      <c r="M90" s="7" t="n">
        <v>0.17</v>
      </c>
      <c r="N90" s="7" t="n">
        <v>-0.243</v>
      </c>
      <c r="O90" s="7" t="n">
        <v>0.264</v>
      </c>
      <c r="P90" s="7" t="n">
        <v>0.279</v>
      </c>
      <c r="Q90" s="7" t="n">
        <v>0.272</v>
      </c>
      <c r="R90" s="7" t="n">
        <v>0.019</v>
      </c>
      <c r="S90" s="7" t="n">
        <v>0.145</v>
      </c>
      <c r="T90" s="7" t="n">
        <v>0.012</v>
      </c>
      <c r="U90" s="7" t="n">
        <v>0.276</v>
      </c>
      <c r="V90" s="7" t="n">
        <v>-0.069</v>
      </c>
      <c r="W90" s="7" t="n">
        <v>0.272</v>
      </c>
      <c r="X90" s="7" t="n">
        <v>0.177</v>
      </c>
      <c r="Y90" s="7" t="n">
        <v>0.175</v>
      </c>
      <c r="Z90" s="7" t="n">
        <v>0.182</v>
      </c>
      <c r="AA90" s="7" t="n">
        <v>0.019</v>
      </c>
      <c r="AB90" s="7" t="n">
        <v>-0.545</v>
      </c>
      <c r="AC90" s="7" t="n">
        <v>0.3</v>
      </c>
      <c r="AD90" s="7" t="n">
        <v>0.184</v>
      </c>
      <c r="AE90" s="7" t="n">
        <v>0.205</v>
      </c>
      <c r="AF90" s="7" t="n">
        <v>0.399</v>
      </c>
      <c r="AG90" s="7" t="n">
        <v>0.004</v>
      </c>
      <c r="AH90" s="7" t="n">
        <v>0.823</v>
      </c>
      <c r="AI90" s="7" t="n">
        <v>-0.303</v>
      </c>
      <c r="AJ90" s="7" t="n">
        <v>-0.653</v>
      </c>
      <c r="AK90" s="7" t="n">
        <v>-0.602</v>
      </c>
      <c r="AL90" s="7" t="n">
        <v>0.169</v>
      </c>
      <c r="AM90" s="7" t="n">
        <v>-0.414</v>
      </c>
      <c r="AN90" s="7" t="n">
        <v>-0.126</v>
      </c>
      <c r="AO90" s="7" t="n">
        <v>0.064</v>
      </c>
      <c r="AP90" s="7" t="n">
        <v>0</v>
      </c>
      <c r="AQ90" s="7" t="n">
        <v>0.137</v>
      </c>
    </row>
    <row r="91" customFormat="false" ht="15" hidden="false" customHeight="false" outlineLevel="0" collapsed="false">
      <c r="A91" s="23" t="n">
        <v>46408</v>
      </c>
      <c r="B91" s="7" t="n">
        <v>0.102</v>
      </c>
      <c r="C91" s="7" t="n">
        <v>-0.243</v>
      </c>
      <c r="D91" s="7" t="n">
        <v>0.165</v>
      </c>
      <c r="E91" s="7" t="n">
        <v>0.382</v>
      </c>
      <c r="F91" s="7" t="n">
        <v>0.203</v>
      </c>
      <c r="G91" s="7" t="n">
        <v>0.143</v>
      </c>
      <c r="H91" s="7" t="n">
        <v>0.006</v>
      </c>
      <c r="I91" s="7" t="n">
        <v>-0.529</v>
      </c>
      <c r="J91" s="7" t="n">
        <v>-0.368</v>
      </c>
      <c r="K91" s="7" t="n">
        <v>0.177</v>
      </c>
      <c r="L91" s="7" t="n">
        <v>-0.179</v>
      </c>
      <c r="M91" s="7" t="n">
        <v>0.175</v>
      </c>
      <c r="N91" s="7" t="n">
        <v>-0.249</v>
      </c>
      <c r="O91" s="7" t="n">
        <v>0.263</v>
      </c>
      <c r="P91" s="7" t="n">
        <v>0.281</v>
      </c>
      <c r="Q91" s="7" t="n">
        <v>0.276</v>
      </c>
      <c r="R91" s="7" t="n">
        <v>0.016</v>
      </c>
      <c r="S91" s="7" t="n">
        <v>0.133</v>
      </c>
      <c r="T91" s="7" t="n">
        <v>0.011</v>
      </c>
      <c r="U91" s="7" t="n">
        <v>0.265</v>
      </c>
      <c r="V91" s="7" t="n">
        <v>-0.067</v>
      </c>
      <c r="W91" s="7" t="n">
        <v>0.276</v>
      </c>
      <c r="X91" s="7" t="n">
        <v>0.179</v>
      </c>
      <c r="Y91" s="7" t="n">
        <v>0.167</v>
      </c>
      <c r="Z91" s="7" t="n">
        <v>0.177</v>
      </c>
      <c r="AA91" s="7" t="n">
        <v>0.016</v>
      </c>
      <c r="AB91" s="7" t="n">
        <v>-0.548</v>
      </c>
      <c r="AC91" s="7" t="n">
        <v>0.305</v>
      </c>
      <c r="AD91" s="7" t="n">
        <v>0.188</v>
      </c>
      <c r="AE91" s="7" t="n">
        <v>0.203</v>
      </c>
      <c r="AF91" s="7" t="n">
        <v>0.399</v>
      </c>
      <c r="AG91" s="7" t="n">
        <v>0.006</v>
      </c>
      <c r="AH91" s="7" t="n">
        <v>0.818</v>
      </c>
      <c r="AI91" s="7" t="n">
        <v>-0.306</v>
      </c>
      <c r="AJ91" s="7" t="n">
        <v>-0.656</v>
      </c>
      <c r="AK91" s="7" t="n">
        <v>-0.606</v>
      </c>
      <c r="AL91" s="7" t="n">
        <v>0.16</v>
      </c>
      <c r="AM91" s="7" t="n">
        <v>-0.419</v>
      </c>
      <c r="AN91" s="7" t="n">
        <v>-0.127</v>
      </c>
      <c r="AO91" s="7" t="n">
        <v>0.054</v>
      </c>
      <c r="AP91" s="7" t="n">
        <v>0</v>
      </c>
      <c r="AQ91" s="7" t="n">
        <v>0.139</v>
      </c>
    </row>
    <row r="92" customFormat="false" ht="15" hidden="false" customHeight="false" outlineLevel="0" collapsed="false">
      <c r="A92" s="23" t="n">
        <v>46409</v>
      </c>
      <c r="B92" s="7" t="n">
        <v>0.099</v>
      </c>
      <c r="C92" s="7" t="n">
        <v>-0.243</v>
      </c>
      <c r="D92" s="7" t="n">
        <v>0.156</v>
      </c>
      <c r="E92" s="7" t="n">
        <v>0.385</v>
      </c>
      <c r="F92" s="7" t="n">
        <v>0.2</v>
      </c>
      <c r="G92" s="7" t="n">
        <v>0.145</v>
      </c>
      <c r="H92" s="7" t="n">
        <v>0.007</v>
      </c>
      <c r="I92" s="7" t="n">
        <v>-0.523</v>
      </c>
      <c r="J92" s="7" t="n">
        <v>-0.371</v>
      </c>
      <c r="K92" s="7" t="n">
        <v>0.171</v>
      </c>
      <c r="L92" s="7" t="n">
        <v>-0.172</v>
      </c>
      <c r="M92" s="7" t="n">
        <v>0.178</v>
      </c>
      <c r="N92" s="7" t="n">
        <v>-0.248</v>
      </c>
      <c r="O92" s="7" t="n">
        <v>0.269</v>
      </c>
      <c r="P92" s="7" t="n">
        <v>0.283</v>
      </c>
      <c r="Q92" s="7" t="n">
        <v>0.28</v>
      </c>
      <c r="R92" s="7" t="n">
        <v>0.013</v>
      </c>
      <c r="S92" s="7" t="n">
        <v>0.12</v>
      </c>
      <c r="T92" s="7" t="n">
        <v>0.01</v>
      </c>
      <c r="U92" s="7" t="n">
        <v>0.254</v>
      </c>
      <c r="V92" s="7" t="n">
        <v>-0.066</v>
      </c>
      <c r="W92" s="7" t="n">
        <v>0.28</v>
      </c>
      <c r="X92" s="7" t="n">
        <v>0.181</v>
      </c>
      <c r="Y92" s="7" t="n">
        <v>0.157</v>
      </c>
      <c r="Z92" s="7" t="n">
        <v>0.171</v>
      </c>
      <c r="AA92" s="7" t="n">
        <v>0.013</v>
      </c>
      <c r="AB92" s="7" t="n">
        <v>-0.543</v>
      </c>
      <c r="AC92" s="7" t="n">
        <v>0.311</v>
      </c>
      <c r="AD92" s="7" t="n">
        <v>0.191</v>
      </c>
      <c r="AE92" s="7" t="n">
        <v>0.2</v>
      </c>
      <c r="AF92" s="7" t="n">
        <v>0.399</v>
      </c>
      <c r="AG92" s="7" t="n">
        <v>0.007</v>
      </c>
      <c r="AH92" s="7" t="n">
        <v>0.814</v>
      </c>
      <c r="AI92" s="7" t="n">
        <v>-0.301</v>
      </c>
      <c r="AJ92" s="7" t="n">
        <v>-0.653</v>
      </c>
      <c r="AK92" s="7" t="n">
        <v>-0.602</v>
      </c>
      <c r="AL92" s="7" t="n">
        <v>0.151</v>
      </c>
      <c r="AM92" s="7" t="n">
        <v>-0.415</v>
      </c>
      <c r="AN92" s="7" t="n">
        <v>-0.127</v>
      </c>
      <c r="AO92" s="7" t="n">
        <v>0.045</v>
      </c>
      <c r="AP92" s="7" t="n">
        <v>0</v>
      </c>
      <c r="AQ92" s="7" t="n">
        <v>0.141</v>
      </c>
    </row>
    <row r="93" customFormat="false" ht="15" hidden="false" customHeight="false" outlineLevel="0" collapsed="false">
      <c r="A93" s="23" t="n">
        <v>46410</v>
      </c>
      <c r="B93" s="7" t="n">
        <v>0.095</v>
      </c>
      <c r="C93" s="7" t="n">
        <v>-0.241</v>
      </c>
      <c r="D93" s="7" t="n">
        <v>0.148</v>
      </c>
      <c r="E93" s="7" t="n">
        <v>0.388</v>
      </c>
      <c r="F93" s="7" t="n">
        <v>0.198</v>
      </c>
      <c r="G93" s="7" t="n">
        <v>0.148</v>
      </c>
      <c r="H93" s="7" t="n">
        <v>0.009</v>
      </c>
      <c r="I93" s="7" t="n">
        <v>-0.519</v>
      </c>
      <c r="J93" s="7" t="n">
        <v>-0.375</v>
      </c>
      <c r="K93" s="7" t="n">
        <v>0.165</v>
      </c>
      <c r="L93" s="7" t="n">
        <v>-0.161</v>
      </c>
      <c r="M93" s="7" t="n">
        <v>0.182</v>
      </c>
      <c r="N93" s="7" t="n">
        <v>-0.244</v>
      </c>
      <c r="O93" s="7" t="n">
        <v>0.278</v>
      </c>
      <c r="P93" s="7" t="n">
        <v>0.284</v>
      </c>
      <c r="Q93" s="7" t="n">
        <v>0.284</v>
      </c>
      <c r="R93" s="7" t="n">
        <v>0.009</v>
      </c>
      <c r="S93" s="7" t="n">
        <v>0.106</v>
      </c>
      <c r="T93" s="7" t="n">
        <v>0.009</v>
      </c>
      <c r="U93" s="7" t="n">
        <v>0.242</v>
      </c>
      <c r="V93" s="7" t="n">
        <v>-0.07</v>
      </c>
      <c r="W93" s="7" t="n">
        <v>0.284</v>
      </c>
      <c r="X93" s="7" t="n">
        <v>0.182</v>
      </c>
      <c r="Y93" s="7" t="n">
        <v>0.148</v>
      </c>
      <c r="Z93" s="7" t="n">
        <v>0.165</v>
      </c>
      <c r="AA93" s="7" t="n">
        <v>0.009</v>
      </c>
      <c r="AB93" s="7" t="n">
        <v>-0.541</v>
      </c>
      <c r="AC93" s="7" t="n">
        <v>0.316</v>
      </c>
      <c r="AD93" s="7" t="n">
        <v>0.194</v>
      </c>
      <c r="AE93" s="7" t="n">
        <v>0.198</v>
      </c>
      <c r="AF93" s="7" t="n">
        <v>0.399</v>
      </c>
      <c r="AG93" s="7" t="n">
        <v>0.009</v>
      </c>
      <c r="AH93" s="7" t="n">
        <v>0.81</v>
      </c>
      <c r="AI93" s="7" t="n">
        <v>-0.293</v>
      </c>
      <c r="AJ93" s="7" t="n">
        <v>-0.647</v>
      </c>
      <c r="AK93" s="7" t="n">
        <v>-0.596</v>
      </c>
      <c r="AL93" s="7" t="n">
        <v>0.142</v>
      </c>
      <c r="AM93" s="7" t="n">
        <v>-0.409</v>
      </c>
      <c r="AN93" s="7" t="n">
        <v>-0.128</v>
      </c>
      <c r="AO93" s="7" t="n">
        <v>0.035</v>
      </c>
      <c r="AP93" s="7" t="n">
        <v>0</v>
      </c>
      <c r="AQ93" s="7" t="n">
        <v>0.142</v>
      </c>
    </row>
    <row r="94" customFormat="false" ht="15" hidden="false" customHeight="false" outlineLevel="0" collapsed="false">
      <c r="A94" s="23" t="n">
        <v>46411</v>
      </c>
      <c r="B94" s="7" t="n">
        <v>0.095</v>
      </c>
      <c r="C94" s="7" t="n">
        <v>-0.241</v>
      </c>
      <c r="D94" s="7" t="n">
        <v>0.148</v>
      </c>
      <c r="E94" s="7" t="n">
        <v>0.388</v>
      </c>
      <c r="F94" s="7" t="n">
        <v>0.198</v>
      </c>
      <c r="G94" s="7" t="n">
        <v>0.148</v>
      </c>
      <c r="H94" s="7" t="n">
        <v>0.009</v>
      </c>
      <c r="I94" s="7" t="n">
        <v>-0.519</v>
      </c>
      <c r="J94" s="7" t="n">
        <v>-0.375</v>
      </c>
      <c r="K94" s="7" t="n">
        <v>0.165</v>
      </c>
      <c r="L94" s="7" t="n">
        <v>-0.161</v>
      </c>
      <c r="M94" s="7" t="n">
        <v>0.182</v>
      </c>
      <c r="N94" s="7" t="n">
        <v>-0.244</v>
      </c>
      <c r="O94" s="7" t="n">
        <v>0.278</v>
      </c>
      <c r="P94" s="7" t="n">
        <v>0.284</v>
      </c>
      <c r="Q94" s="7" t="n">
        <v>0.284</v>
      </c>
      <c r="R94" s="7" t="n">
        <v>0.009</v>
      </c>
      <c r="S94" s="7" t="n">
        <v>0.106</v>
      </c>
      <c r="T94" s="7" t="n">
        <v>0.009</v>
      </c>
      <c r="U94" s="7" t="n">
        <v>0.242</v>
      </c>
      <c r="V94" s="7" t="n">
        <v>-0.07</v>
      </c>
      <c r="W94" s="7" t="n">
        <v>0.284</v>
      </c>
      <c r="X94" s="7" t="n">
        <v>0.182</v>
      </c>
      <c r="Y94" s="7" t="n">
        <v>0.148</v>
      </c>
      <c r="Z94" s="7" t="n">
        <v>0.165</v>
      </c>
      <c r="AA94" s="7" t="n">
        <v>0.009</v>
      </c>
      <c r="AB94" s="7" t="n">
        <v>-0.541</v>
      </c>
      <c r="AC94" s="7" t="n">
        <v>0.316</v>
      </c>
      <c r="AD94" s="7" t="n">
        <v>0.194</v>
      </c>
      <c r="AE94" s="7" t="n">
        <v>0.198</v>
      </c>
      <c r="AF94" s="7" t="n">
        <v>0.399</v>
      </c>
      <c r="AG94" s="7" t="n">
        <v>0.009</v>
      </c>
      <c r="AH94" s="7" t="n">
        <v>0.81</v>
      </c>
      <c r="AI94" s="7" t="n">
        <v>-0.293</v>
      </c>
      <c r="AJ94" s="7" t="n">
        <v>-0.647</v>
      </c>
      <c r="AK94" s="7" t="n">
        <v>-0.596</v>
      </c>
      <c r="AL94" s="7" t="n">
        <v>0.142</v>
      </c>
      <c r="AM94" s="7" t="n">
        <v>-0.409</v>
      </c>
      <c r="AN94" s="7" t="n">
        <v>-0.128</v>
      </c>
      <c r="AO94" s="7" t="n">
        <v>0.035</v>
      </c>
      <c r="AP94" s="7" t="n">
        <v>0</v>
      </c>
      <c r="AQ94" s="7" t="n">
        <v>0.142</v>
      </c>
    </row>
    <row r="95" customFormat="false" ht="15" hidden="false" customHeight="false" outlineLevel="0" collapsed="false">
      <c r="A95" s="23" t="n">
        <v>46412</v>
      </c>
      <c r="B95" s="7" t="n">
        <v>0.095</v>
      </c>
      <c r="C95" s="7" t="n">
        <v>-0.241</v>
      </c>
      <c r="D95" s="7" t="n">
        <v>0.148</v>
      </c>
      <c r="E95" s="7" t="n">
        <v>0.388</v>
      </c>
      <c r="F95" s="7" t="n">
        <v>0.198</v>
      </c>
      <c r="G95" s="7" t="n">
        <v>0.148</v>
      </c>
      <c r="H95" s="7" t="n">
        <v>0.009</v>
      </c>
      <c r="I95" s="7" t="n">
        <v>-0.519</v>
      </c>
      <c r="J95" s="7" t="n">
        <v>-0.375</v>
      </c>
      <c r="K95" s="7" t="n">
        <v>0.165</v>
      </c>
      <c r="L95" s="7" t="n">
        <v>-0.161</v>
      </c>
      <c r="M95" s="7" t="n">
        <v>0.182</v>
      </c>
      <c r="N95" s="7" t="n">
        <v>-0.244</v>
      </c>
      <c r="O95" s="7" t="n">
        <v>0.278</v>
      </c>
      <c r="P95" s="7" t="n">
        <v>0.284</v>
      </c>
      <c r="Q95" s="7" t="n">
        <v>0.284</v>
      </c>
      <c r="R95" s="7" t="n">
        <v>0.009</v>
      </c>
      <c r="S95" s="7" t="n">
        <v>0.106</v>
      </c>
      <c r="T95" s="7" t="n">
        <v>0.009</v>
      </c>
      <c r="U95" s="7" t="n">
        <v>0.242</v>
      </c>
      <c r="V95" s="7" t="n">
        <v>-0.07</v>
      </c>
      <c r="W95" s="7" t="n">
        <v>0.284</v>
      </c>
      <c r="X95" s="7" t="n">
        <v>0.182</v>
      </c>
      <c r="Y95" s="7" t="n">
        <v>0.148</v>
      </c>
      <c r="Z95" s="7" t="n">
        <v>0.165</v>
      </c>
      <c r="AA95" s="7" t="n">
        <v>0.009</v>
      </c>
      <c r="AB95" s="7" t="n">
        <v>-0.541</v>
      </c>
      <c r="AC95" s="7" t="n">
        <v>0.316</v>
      </c>
      <c r="AD95" s="7" t="n">
        <v>0.194</v>
      </c>
      <c r="AE95" s="7" t="n">
        <v>0.198</v>
      </c>
      <c r="AF95" s="7" t="n">
        <v>0.399</v>
      </c>
      <c r="AG95" s="7" t="n">
        <v>0.009</v>
      </c>
      <c r="AH95" s="7" t="n">
        <v>0.81</v>
      </c>
      <c r="AI95" s="7" t="n">
        <v>-0.293</v>
      </c>
      <c r="AJ95" s="7" t="n">
        <v>-0.647</v>
      </c>
      <c r="AK95" s="7" t="n">
        <v>-0.596</v>
      </c>
      <c r="AL95" s="7" t="n">
        <v>0.142</v>
      </c>
      <c r="AM95" s="7" t="n">
        <v>-0.409</v>
      </c>
      <c r="AN95" s="7" t="n">
        <v>-0.128</v>
      </c>
      <c r="AO95" s="7" t="n">
        <v>0.035</v>
      </c>
      <c r="AP95" s="7" t="n">
        <v>0</v>
      </c>
      <c r="AQ95" s="7" t="n">
        <v>0.142</v>
      </c>
    </row>
    <row r="96" customFormat="false" ht="15" hidden="false" customHeight="false" outlineLevel="0" collapsed="false">
      <c r="A96" s="23" t="n">
        <v>46413</v>
      </c>
      <c r="B96" s="7" t="n">
        <v>0.094</v>
      </c>
      <c r="C96" s="7" t="n">
        <v>-0.248</v>
      </c>
      <c r="D96" s="7" t="n">
        <v>0.147</v>
      </c>
      <c r="E96" s="7" t="n">
        <v>0.379</v>
      </c>
      <c r="F96" s="7" t="n">
        <v>0.205</v>
      </c>
      <c r="G96" s="7" t="n">
        <v>0.147</v>
      </c>
      <c r="H96" s="7" t="n">
        <v>-0.002</v>
      </c>
      <c r="I96" s="7" t="n">
        <v>-0.526</v>
      </c>
      <c r="J96" s="7" t="n">
        <v>-0.355</v>
      </c>
      <c r="K96" s="7" t="n">
        <v>0.151</v>
      </c>
      <c r="L96" s="7" t="n">
        <v>-0.155</v>
      </c>
      <c r="M96" s="7" t="n">
        <v>0.182</v>
      </c>
      <c r="N96" s="7" t="n">
        <v>-0.232</v>
      </c>
      <c r="O96" s="7" t="n">
        <v>0.284</v>
      </c>
      <c r="P96" s="7" t="n">
        <v>0.285</v>
      </c>
      <c r="Q96" s="7" t="n">
        <v>0.285</v>
      </c>
      <c r="R96" s="7" t="n">
        <v>-0.002</v>
      </c>
      <c r="S96" s="7" t="n">
        <v>0.093</v>
      </c>
      <c r="T96" s="7" t="n">
        <v>-0.002</v>
      </c>
      <c r="U96" s="7" t="n">
        <v>0.24</v>
      </c>
      <c r="V96" s="7" t="n">
        <v>-0.085</v>
      </c>
      <c r="W96" s="7" t="n">
        <v>0.285</v>
      </c>
      <c r="X96" s="7" t="n">
        <v>0.182</v>
      </c>
      <c r="Y96" s="7" t="n">
        <v>0.147</v>
      </c>
      <c r="Z96" s="7" t="n">
        <v>0.151</v>
      </c>
      <c r="AA96" s="7" t="n">
        <v>-0.002</v>
      </c>
      <c r="AB96" s="7" t="n">
        <v>-0.529</v>
      </c>
      <c r="AC96" s="7" t="n">
        <v>0.317</v>
      </c>
      <c r="AD96" s="7" t="n">
        <v>0.184</v>
      </c>
      <c r="AE96" s="7" t="n">
        <v>0.205</v>
      </c>
      <c r="AF96" s="7" t="n">
        <v>0.397</v>
      </c>
      <c r="AG96" s="7" t="n">
        <v>-0.002</v>
      </c>
      <c r="AH96" s="7" t="n">
        <v>0.81</v>
      </c>
      <c r="AI96" s="7" t="n">
        <v>-0.287</v>
      </c>
      <c r="AJ96" s="7" t="n">
        <v>-0.648</v>
      </c>
      <c r="AK96" s="7" t="n">
        <v>-0.598</v>
      </c>
      <c r="AL96" s="7" t="n">
        <v>0.144</v>
      </c>
      <c r="AM96" s="7" t="n">
        <v>-0.404</v>
      </c>
      <c r="AN96" s="7" t="n">
        <v>-0.137</v>
      </c>
      <c r="AO96" s="7" t="n">
        <v>0.036</v>
      </c>
      <c r="AP96" s="7" t="n">
        <v>0</v>
      </c>
      <c r="AQ96" s="7" t="n">
        <v>0.144</v>
      </c>
    </row>
    <row r="97" customFormat="false" ht="15" hidden="false" customHeight="false" outlineLevel="0" collapsed="false">
      <c r="A97" s="23" t="n">
        <v>46414</v>
      </c>
      <c r="B97" s="7" t="n">
        <v>0.094</v>
      </c>
      <c r="C97" s="7" t="n">
        <v>-0.255</v>
      </c>
      <c r="D97" s="7" t="n">
        <v>0.146</v>
      </c>
      <c r="E97" s="7" t="n">
        <v>0.37</v>
      </c>
      <c r="F97" s="7" t="n">
        <v>0.212</v>
      </c>
      <c r="G97" s="7" t="n">
        <v>0.146</v>
      </c>
      <c r="H97" s="7" t="n">
        <v>-0.011</v>
      </c>
      <c r="I97" s="7" t="n">
        <v>-0.53</v>
      </c>
      <c r="J97" s="7" t="n">
        <v>-0.336</v>
      </c>
      <c r="K97" s="7" t="n">
        <v>0.138</v>
      </c>
      <c r="L97" s="7" t="n">
        <v>-0.15</v>
      </c>
      <c r="M97" s="7" t="n">
        <v>0.181</v>
      </c>
      <c r="N97" s="7" t="n">
        <v>-0.219</v>
      </c>
      <c r="O97" s="7" t="n">
        <v>0.288</v>
      </c>
      <c r="P97" s="7" t="n">
        <v>0.285</v>
      </c>
      <c r="Q97" s="7" t="n">
        <v>0.285</v>
      </c>
      <c r="R97" s="7" t="n">
        <v>-0.011</v>
      </c>
      <c r="S97" s="7" t="n">
        <v>0.08</v>
      </c>
      <c r="T97" s="7" t="n">
        <v>-0.011</v>
      </c>
      <c r="U97" s="7" t="n">
        <v>0.238</v>
      </c>
      <c r="V97" s="7" t="n">
        <v>-0.097</v>
      </c>
      <c r="W97" s="7" t="n">
        <v>0.285</v>
      </c>
      <c r="X97" s="7" t="n">
        <v>0.181</v>
      </c>
      <c r="Y97" s="7" t="n">
        <v>0.146</v>
      </c>
      <c r="Z97" s="7" t="n">
        <v>0.138</v>
      </c>
      <c r="AA97" s="7" t="n">
        <v>-0.011</v>
      </c>
      <c r="AB97" s="7" t="n">
        <v>-0.516</v>
      </c>
      <c r="AC97" s="7" t="n">
        <v>0.318</v>
      </c>
      <c r="AD97" s="7" t="n">
        <v>0.175</v>
      </c>
      <c r="AE97" s="7" t="n">
        <v>0.212</v>
      </c>
      <c r="AF97" s="7" t="n">
        <v>0.394</v>
      </c>
      <c r="AG97" s="7" t="n">
        <v>-0.011</v>
      </c>
      <c r="AH97" s="7" t="n">
        <v>0.81</v>
      </c>
      <c r="AI97" s="7" t="n">
        <v>-0.281</v>
      </c>
      <c r="AJ97" s="7" t="n">
        <v>-0.65</v>
      </c>
      <c r="AK97" s="7" t="n">
        <v>-0.6</v>
      </c>
      <c r="AL97" s="7" t="n">
        <v>0.145</v>
      </c>
      <c r="AM97" s="7" t="n">
        <v>-0.4</v>
      </c>
      <c r="AN97" s="7" t="n">
        <v>-0.146</v>
      </c>
      <c r="AO97" s="7" t="n">
        <v>0.036</v>
      </c>
      <c r="AP97" s="7" t="n">
        <v>0</v>
      </c>
      <c r="AQ97" s="7" t="n">
        <v>0.145</v>
      </c>
    </row>
    <row r="98" customFormat="false" ht="15" hidden="false" customHeight="false" outlineLevel="0" collapsed="false">
      <c r="A98" s="23" t="n">
        <v>46415</v>
      </c>
      <c r="B98" s="7" t="n">
        <v>0.094</v>
      </c>
      <c r="C98" s="7" t="n">
        <v>-0.262</v>
      </c>
      <c r="D98" s="7" t="n">
        <v>0.146</v>
      </c>
      <c r="E98" s="7" t="n">
        <v>0.361</v>
      </c>
      <c r="F98" s="7" t="n">
        <v>0.219</v>
      </c>
      <c r="G98" s="7" t="n">
        <v>0.146</v>
      </c>
      <c r="H98" s="7" t="n">
        <v>-0.021</v>
      </c>
      <c r="I98" s="7" t="n">
        <v>-0.534</v>
      </c>
      <c r="J98" s="7" t="n">
        <v>-0.316</v>
      </c>
      <c r="K98" s="7" t="n">
        <v>0.124</v>
      </c>
      <c r="L98" s="7" t="n">
        <v>-0.145</v>
      </c>
      <c r="M98" s="7" t="n">
        <v>0.181</v>
      </c>
      <c r="N98" s="7" t="n">
        <v>-0.207</v>
      </c>
      <c r="O98" s="7" t="n">
        <v>0.293</v>
      </c>
      <c r="P98" s="7" t="n">
        <v>0.285</v>
      </c>
      <c r="Q98" s="7" t="n">
        <v>0.285</v>
      </c>
      <c r="R98" s="7" t="n">
        <v>-0.021</v>
      </c>
      <c r="S98" s="7" t="n">
        <v>0.067</v>
      </c>
      <c r="T98" s="7" t="n">
        <v>-0.021</v>
      </c>
      <c r="U98" s="7" t="n">
        <v>0.236</v>
      </c>
      <c r="V98" s="7" t="n">
        <v>-0.108</v>
      </c>
      <c r="W98" s="7" t="n">
        <v>0.285</v>
      </c>
      <c r="X98" s="7" t="n">
        <v>0.181</v>
      </c>
      <c r="Y98" s="7" t="n">
        <v>0.146</v>
      </c>
      <c r="Z98" s="7" t="n">
        <v>0.124</v>
      </c>
      <c r="AA98" s="7" t="n">
        <v>-0.021</v>
      </c>
      <c r="AB98" s="7" t="n">
        <v>-0.502</v>
      </c>
      <c r="AC98" s="7" t="n">
        <v>0.318</v>
      </c>
      <c r="AD98" s="7" t="n">
        <v>0.165</v>
      </c>
      <c r="AE98" s="7" t="n">
        <v>0.219</v>
      </c>
      <c r="AF98" s="7" t="n">
        <v>0.391</v>
      </c>
      <c r="AG98" s="7" t="n">
        <v>-0.021</v>
      </c>
      <c r="AH98" s="7" t="n">
        <v>0.81</v>
      </c>
      <c r="AI98" s="7" t="n">
        <v>-0.275</v>
      </c>
      <c r="AJ98" s="7" t="n">
        <v>-0.652</v>
      </c>
      <c r="AK98" s="7" t="n">
        <v>-0.602</v>
      </c>
      <c r="AL98" s="7" t="n">
        <v>0.146</v>
      </c>
      <c r="AM98" s="7" t="n">
        <v>-0.395</v>
      </c>
      <c r="AN98" s="7" t="n">
        <v>-0.155</v>
      </c>
      <c r="AO98" s="7" t="n">
        <v>0.036</v>
      </c>
      <c r="AP98" s="7" t="n">
        <v>0</v>
      </c>
      <c r="AQ98" s="7" t="n">
        <v>0.146</v>
      </c>
    </row>
    <row r="99" customFormat="false" ht="15" hidden="false" customHeight="false" outlineLevel="0" collapsed="false">
      <c r="A99" s="23" t="n">
        <v>46416</v>
      </c>
      <c r="B99" s="7" t="n">
        <v>0.107</v>
      </c>
      <c r="C99" s="7" t="n">
        <v>-0.256</v>
      </c>
      <c r="D99" s="7" t="n">
        <v>0.145</v>
      </c>
      <c r="E99" s="7" t="n">
        <v>0.366</v>
      </c>
      <c r="F99" s="7" t="n">
        <v>0.233</v>
      </c>
      <c r="G99" s="7" t="n">
        <v>0.145</v>
      </c>
      <c r="H99" s="7" t="n">
        <v>-0.021</v>
      </c>
      <c r="I99" s="7" t="n">
        <v>-0.531</v>
      </c>
      <c r="J99" s="7" t="n">
        <v>-0.301</v>
      </c>
      <c r="K99" s="7" t="n">
        <v>0.138</v>
      </c>
      <c r="L99" s="7" t="n">
        <v>-0.143</v>
      </c>
      <c r="M99" s="7" t="n">
        <v>0.181</v>
      </c>
      <c r="N99" s="7" t="n">
        <v>-0.192</v>
      </c>
      <c r="O99" s="7" t="n">
        <v>0.295</v>
      </c>
      <c r="P99" s="7" t="n">
        <v>0.285</v>
      </c>
      <c r="Q99" s="7" t="n">
        <v>0.285</v>
      </c>
      <c r="R99" s="7" t="n">
        <v>-0.021</v>
      </c>
      <c r="S99" s="7" t="n">
        <v>0.079</v>
      </c>
      <c r="T99" s="7" t="n">
        <v>-0.021</v>
      </c>
      <c r="U99" s="7" t="n">
        <v>0.246</v>
      </c>
      <c r="V99" s="7" t="n">
        <v>-0.105</v>
      </c>
      <c r="W99" s="7" t="n">
        <v>0.285</v>
      </c>
      <c r="X99" s="7" t="n">
        <v>0.181</v>
      </c>
      <c r="Y99" s="7" t="n">
        <v>0.145</v>
      </c>
      <c r="Z99" s="7" t="n">
        <v>0.138</v>
      </c>
      <c r="AA99" s="7" t="n">
        <v>-0.021</v>
      </c>
      <c r="AB99" s="7" t="n">
        <v>-0.486</v>
      </c>
      <c r="AC99" s="7" t="n">
        <v>0.318</v>
      </c>
      <c r="AD99" s="7" t="n">
        <v>0.173</v>
      </c>
      <c r="AE99" s="7" t="n">
        <v>0.233</v>
      </c>
      <c r="AF99" s="7" t="n">
        <v>0.406</v>
      </c>
      <c r="AG99" s="7" t="n">
        <v>-0.021</v>
      </c>
      <c r="AH99" s="7" t="n">
        <v>0.81</v>
      </c>
      <c r="AI99" s="7" t="n">
        <v>-0.273</v>
      </c>
      <c r="AJ99" s="7" t="n">
        <v>-0.65</v>
      </c>
      <c r="AK99" s="7" t="n">
        <v>-0.6</v>
      </c>
      <c r="AL99" s="7" t="n">
        <v>0.146</v>
      </c>
      <c r="AM99" s="7" t="n">
        <v>-0.394</v>
      </c>
      <c r="AN99" s="7" t="n">
        <v>-0.154</v>
      </c>
      <c r="AO99" s="7" t="n">
        <v>0.037</v>
      </c>
      <c r="AP99" s="7" t="n">
        <v>0</v>
      </c>
      <c r="AQ99" s="7" t="n">
        <v>0.146</v>
      </c>
    </row>
    <row r="100" customFormat="false" ht="15" hidden="false" customHeight="false" outlineLevel="0" collapsed="false">
      <c r="A100" s="23" t="n">
        <v>46417</v>
      </c>
      <c r="B100" s="7" t="n">
        <v>0.119</v>
      </c>
      <c r="C100" s="7" t="n">
        <v>-0.251</v>
      </c>
      <c r="D100" s="7" t="n">
        <v>0.145</v>
      </c>
      <c r="E100" s="7" t="n">
        <v>0.371</v>
      </c>
      <c r="F100" s="7" t="n">
        <v>0.247</v>
      </c>
      <c r="G100" s="7" t="n">
        <v>0.145</v>
      </c>
      <c r="H100" s="7" t="n">
        <v>-0.021</v>
      </c>
      <c r="I100" s="7" t="n">
        <v>-0.528</v>
      </c>
      <c r="J100" s="7" t="n">
        <v>-0.287</v>
      </c>
      <c r="K100" s="7" t="n">
        <v>0.152</v>
      </c>
      <c r="L100" s="7" t="n">
        <v>-0.142</v>
      </c>
      <c r="M100" s="7" t="n">
        <v>0.181</v>
      </c>
      <c r="N100" s="7" t="n">
        <v>-0.177</v>
      </c>
      <c r="O100" s="7" t="n">
        <v>0.292</v>
      </c>
      <c r="P100" s="7" t="n">
        <v>0.285</v>
      </c>
      <c r="Q100" s="7" t="n">
        <v>0.285</v>
      </c>
      <c r="R100" s="7" t="n">
        <v>-0.021</v>
      </c>
      <c r="S100" s="7" t="n">
        <v>0.092</v>
      </c>
      <c r="T100" s="7" t="n">
        <v>-0.021</v>
      </c>
      <c r="U100" s="7" t="n">
        <v>0.256</v>
      </c>
      <c r="V100" s="7" t="n">
        <v>-0.102</v>
      </c>
      <c r="W100" s="7" t="n">
        <v>0.285</v>
      </c>
      <c r="X100" s="7" t="n">
        <v>0.181</v>
      </c>
      <c r="Y100" s="7" t="n">
        <v>0.145</v>
      </c>
      <c r="Z100" s="7" t="n">
        <v>0.152</v>
      </c>
      <c r="AA100" s="7" t="n">
        <v>-0.021</v>
      </c>
      <c r="AB100" s="7" t="n">
        <v>-0.47</v>
      </c>
      <c r="AC100" s="7" t="n">
        <v>0.319</v>
      </c>
      <c r="AD100" s="7" t="n">
        <v>0.18</v>
      </c>
      <c r="AE100" s="7" t="n">
        <v>0.247</v>
      </c>
      <c r="AF100" s="7" t="n">
        <v>0.42</v>
      </c>
      <c r="AG100" s="7" t="n">
        <v>-0.021</v>
      </c>
      <c r="AH100" s="7" t="n">
        <v>0.806</v>
      </c>
      <c r="AI100" s="7" t="n">
        <v>-0.272</v>
      </c>
      <c r="AJ100" s="7" t="n">
        <v>-0.649</v>
      </c>
      <c r="AK100" s="7" t="n">
        <v>-0.599</v>
      </c>
      <c r="AL100" s="7" t="n">
        <v>0.147</v>
      </c>
      <c r="AM100" s="7" t="n">
        <v>-0.393</v>
      </c>
      <c r="AN100" s="7" t="n">
        <v>-0.154</v>
      </c>
      <c r="AO100" s="7" t="n">
        <v>0.037</v>
      </c>
      <c r="AP100" s="7" t="n">
        <v>0</v>
      </c>
      <c r="AQ100" s="7" t="n">
        <v>0.147</v>
      </c>
    </row>
    <row r="101" customFormat="false" ht="15" hidden="false" customHeight="false" outlineLevel="0" collapsed="false">
      <c r="A101" s="23" t="n">
        <v>46418</v>
      </c>
      <c r="B101" s="7" t="n">
        <v>0.119</v>
      </c>
      <c r="C101" s="7" t="n">
        <v>-0.251</v>
      </c>
      <c r="D101" s="7" t="n">
        <v>0.145</v>
      </c>
      <c r="E101" s="7" t="n">
        <v>0.371</v>
      </c>
      <c r="F101" s="7" t="n">
        <v>0.247</v>
      </c>
      <c r="G101" s="7" t="n">
        <v>0.145</v>
      </c>
      <c r="H101" s="7" t="n">
        <v>-0.021</v>
      </c>
      <c r="I101" s="7" t="n">
        <v>-0.528</v>
      </c>
      <c r="J101" s="7" t="n">
        <v>-0.287</v>
      </c>
      <c r="K101" s="7" t="n">
        <v>0.152</v>
      </c>
      <c r="L101" s="7" t="n">
        <v>-0.142</v>
      </c>
      <c r="M101" s="7" t="n">
        <v>0.181</v>
      </c>
      <c r="N101" s="7" t="n">
        <v>-0.177</v>
      </c>
      <c r="O101" s="7" t="n">
        <v>0.292</v>
      </c>
      <c r="P101" s="7" t="n">
        <v>0.285</v>
      </c>
      <c r="Q101" s="7" t="n">
        <v>0.285</v>
      </c>
      <c r="R101" s="7" t="n">
        <v>-0.021</v>
      </c>
      <c r="S101" s="7" t="n">
        <v>0.092</v>
      </c>
      <c r="T101" s="7" t="n">
        <v>-0.021</v>
      </c>
      <c r="U101" s="7" t="n">
        <v>0.256</v>
      </c>
      <c r="V101" s="7" t="n">
        <v>-0.102</v>
      </c>
      <c r="W101" s="7" t="n">
        <v>0.285</v>
      </c>
      <c r="X101" s="7" t="n">
        <v>0.181</v>
      </c>
      <c r="Y101" s="7" t="n">
        <v>0.145</v>
      </c>
      <c r="Z101" s="7" t="n">
        <v>0.152</v>
      </c>
      <c r="AA101" s="7" t="n">
        <v>-0.021</v>
      </c>
      <c r="AB101" s="7" t="n">
        <v>-0.47</v>
      </c>
      <c r="AC101" s="7" t="n">
        <v>0.319</v>
      </c>
      <c r="AD101" s="7" t="n">
        <v>0.18</v>
      </c>
      <c r="AE101" s="7" t="n">
        <v>0.247</v>
      </c>
      <c r="AF101" s="7" t="n">
        <v>0.42</v>
      </c>
      <c r="AG101" s="7" t="n">
        <v>-0.021</v>
      </c>
      <c r="AH101" s="7" t="n">
        <v>0.806</v>
      </c>
      <c r="AI101" s="7" t="n">
        <v>-0.272</v>
      </c>
      <c r="AJ101" s="7" t="n">
        <v>-0.649</v>
      </c>
      <c r="AK101" s="7" t="n">
        <v>-0.599</v>
      </c>
      <c r="AL101" s="7" t="n">
        <v>0.147</v>
      </c>
      <c r="AM101" s="7" t="n">
        <v>-0.393</v>
      </c>
      <c r="AN101" s="7" t="n">
        <v>-0.154</v>
      </c>
      <c r="AO101" s="7" t="n">
        <v>0.037</v>
      </c>
      <c r="AP101" s="7" t="n">
        <v>0</v>
      </c>
      <c r="AQ101" s="7" t="n">
        <v>0.147</v>
      </c>
    </row>
    <row r="102" customFormat="false" ht="15" hidden="false" customHeight="false" outlineLevel="0" collapsed="false">
      <c r="A102" s="23" t="n">
        <v>46419</v>
      </c>
      <c r="B102" s="7" t="n">
        <v>0.119</v>
      </c>
      <c r="C102" s="7" t="n">
        <v>-0.251</v>
      </c>
      <c r="D102" s="7" t="n">
        <v>0.145</v>
      </c>
      <c r="E102" s="7" t="n">
        <v>0.371</v>
      </c>
      <c r="F102" s="7" t="n">
        <v>0.247</v>
      </c>
      <c r="G102" s="7" t="n">
        <v>0.145</v>
      </c>
      <c r="H102" s="7" t="n">
        <v>-0.021</v>
      </c>
      <c r="I102" s="7" t="n">
        <v>-0.528</v>
      </c>
      <c r="J102" s="7" t="n">
        <v>-0.287</v>
      </c>
      <c r="K102" s="7" t="n">
        <v>0.152</v>
      </c>
      <c r="L102" s="7" t="n">
        <v>-0.142</v>
      </c>
      <c r="M102" s="7" t="n">
        <v>0.181</v>
      </c>
      <c r="N102" s="7" t="n">
        <v>-0.177</v>
      </c>
      <c r="O102" s="7" t="n">
        <v>0.292</v>
      </c>
      <c r="P102" s="7" t="n">
        <v>0.285</v>
      </c>
      <c r="Q102" s="7" t="n">
        <v>0.285</v>
      </c>
      <c r="R102" s="7" t="n">
        <v>-0.021</v>
      </c>
      <c r="S102" s="7" t="n">
        <v>0.092</v>
      </c>
      <c r="T102" s="7" t="n">
        <v>-0.021</v>
      </c>
      <c r="U102" s="7" t="n">
        <v>0.256</v>
      </c>
      <c r="V102" s="7" t="n">
        <v>-0.102</v>
      </c>
      <c r="W102" s="7" t="n">
        <v>0.285</v>
      </c>
      <c r="X102" s="7" t="n">
        <v>0.181</v>
      </c>
      <c r="Y102" s="7" t="n">
        <v>0.145</v>
      </c>
      <c r="Z102" s="7" t="n">
        <v>0.152</v>
      </c>
      <c r="AA102" s="7" t="n">
        <v>-0.021</v>
      </c>
      <c r="AB102" s="7" t="n">
        <v>-0.47</v>
      </c>
      <c r="AC102" s="7" t="n">
        <v>0.319</v>
      </c>
      <c r="AD102" s="7" t="n">
        <v>0.18</v>
      </c>
      <c r="AE102" s="7" t="n">
        <v>0.247</v>
      </c>
      <c r="AF102" s="7" t="n">
        <v>0.42</v>
      </c>
      <c r="AG102" s="7" t="n">
        <v>-0.021</v>
      </c>
      <c r="AH102" s="7" t="n">
        <v>0.806</v>
      </c>
      <c r="AI102" s="7" t="n">
        <v>-0.272</v>
      </c>
      <c r="AJ102" s="7" t="n">
        <v>-0.649</v>
      </c>
      <c r="AK102" s="7" t="n">
        <v>-0.599</v>
      </c>
      <c r="AL102" s="7" t="n">
        <v>0.147</v>
      </c>
      <c r="AM102" s="7" t="n">
        <v>-0.393</v>
      </c>
      <c r="AN102" s="7" t="n">
        <v>-0.154</v>
      </c>
      <c r="AO102" s="7" t="n">
        <v>0.037</v>
      </c>
      <c r="AP102" s="7" t="n">
        <v>0</v>
      </c>
      <c r="AQ102" s="7" t="n">
        <v>0.147</v>
      </c>
    </row>
    <row r="103" customFormat="false" ht="15" hidden="false" customHeight="false" outlineLevel="0" collapsed="false">
      <c r="A103" s="23" t="n">
        <v>46420</v>
      </c>
      <c r="B103" s="7" t="n">
        <v>0.126</v>
      </c>
      <c r="C103" s="7" t="n">
        <v>-0.251</v>
      </c>
      <c r="D103" s="7" t="n">
        <v>0.144</v>
      </c>
      <c r="E103" s="7" t="n">
        <v>0.377</v>
      </c>
      <c r="F103" s="7" t="n">
        <v>0.255</v>
      </c>
      <c r="G103" s="7" t="n">
        <v>0.144</v>
      </c>
      <c r="H103" s="7" t="n">
        <v>-0.021</v>
      </c>
      <c r="I103" s="7" t="n">
        <v>-0.528</v>
      </c>
      <c r="J103" s="7" t="n">
        <v>-0.271</v>
      </c>
      <c r="K103" s="7" t="n">
        <v>0.166</v>
      </c>
      <c r="L103" s="7" t="n">
        <v>-0.143</v>
      </c>
      <c r="M103" s="7" t="n">
        <v>0.18</v>
      </c>
      <c r="N103" s="7" t="n">
        <v>-0.169</v>
      </c>
      <c r="O103" s="7" t="n">
        <v>0.289</v>
      </c>
      <c r="P103" s="7" t="n">
        <v>0.284</v>
      </c>
      <c r="Q103" s="7" t="n">
        <v>0.284</v>
      </c>
      <c r="R103" s="7" t="n">
        <v>-0.021</v>
      </c>
      <c r="S103" s="7" t="n">
        <v>0.102</v>
      </c>
      <c r="T103" s="7" t="n">
        <v>-0.021</v>
      </c>
      <c r="U103" s="7" t="n">
        <v>0.261</v>
      </c>
      <c r="V103" s="7" t="n">
        <v>-0.103</v>
      </c>
      <c r="W103" s="7" t="n">
        <v>0.284</v>
      </c>
      <c r="X103" s="7" t="n">
        <v>0.18</v>
      </c>
      <c r="Y103" s="7" t="n">
        <v>0.144</v>
      </c>
      <c r="Z103" s="7" t="n">
        <v>0.166</v>
      </c>
      <c r="AA103" s="7" t="n">
        <v>-0.021</v>
      </c>
      <c r="AB103" s="7" t="n">
        <v>-0.464</v>
      </c>
      <c r="AC103" s="7" t="n">
        <v>0.318</v>
      </c>
      <c r="AD103" s="7" t="n">
        <v>0.188</v>
      </c>
      <c r="AE103" s="7" t="n">
        <v>0.255</v>
      </c>
      <c r="AF103" s="7" t="n">
        <v>0.423</v>
      </c>
      <c r="AG103" s="7" t="n">
        <v>-0.021</v>
      </c>
      <c r="AH103" s="7" t="n">
        <v>0.804</v>
      </c>
      <c r="AI103" s="7" t="n">
        <v>-0.272</v>
      </c>
      <c r="AJ103" s="7" t="n">
        <v>-0.648</v>
      </c>
      <c r="AK103" s="7" t="n">
        <v>-0.598</v>
      </c>
      <c r="AL103" s="7" t="n">
        <v>0.146</v>
      </c>
      <c r="AM103" s="7" t="n">
        <v>-0.393</v>
      </c>
      <c r="AN103" s="7" t="n">
        <v>-0.153</v>
      </c>
      <c r="AO103" s="7" t="n">
        <v>0.037</v>
      </c>
      <c r="AP103" s="7" t="n">
        <v>0</v>
      </c>
      <c r="AQ103" s="7" t="n">
        <v>0.146</v>
      </c>
    </row>
    <row r="104" customFormat="false" ht="15" hidden="false" customHeight="false" outlineLevel="0" collapsed="false">
      <c r="A104" s="23" t="n">
        <v>46421</v>
      </c>
      <c r="B104" s="7" t="n">
        <v>0.134</v>
      </c>
      <c r="C104" s="7" t="n">
        <v>-0.252</v>
      </c>
      <c r="D104" s="7" t="n">
        <v>0.143</v>
      </c>
      <c r="E104" s="7" t="n">
        <v>0.383</v>
      </c>
      <c r="F104" s="7" t="n">
        <v>0.262</v>
      </c>
      <c r="G104" s="7" t="n">
        <v>0.143</v>
      </c>
      <c r="H104" s="7" t="n">
        <v>-0.02</v>
      </c>
      <c r="I104" s="7" t="n">
        <v>-0.528</v>
      </c>
      <c r="J104" s="7" t="n">
        <v>-0.256</v>
      </c>
      <c r="K104" s="7" t="n">
        <v>0.18</v>
      </c>
      <c r="L104" s="7" t="n">
        <v>-0.145</v>
      </c>
      <c r="M104" s="7" t="n">
        <v>0.18</v>
      </c>
      <c r="N104" s="7" t="n">
        <v>-0.162</v>
      </c>
      <c r="O104" s="7" t="n">
        <v>0.285</v>
      </c>
      <c r="P104" s="7" t="n">
        <v>0.283</v>
      </c>
      <c r="Q104" s="7" t="n">
        <v>0.283</v>
      </c>
      <c r="R104" s="7" t="n">
        <v>-0.02</v>
      </c>
      <c r="S104" s="7" t="n">
        <v>0.113</v>
      </c>
      <c r="T104" s="7" t="n">
        <v>-0.02</v>
      </c>
      <c r="U104" s="7" t="n">
        <v>0.265</v>
      </c>
      <c r="V104" s="7" t="n">
        <v>-0.102</v>
      </c>
      <c r="W104" s="7" t="n">
        <v>0.283</v>
      </c>
      <c r="X104" s="7" t="n">
        <v>0.18</v>
      </c>
      <c r="Y104" s="7" t="n">
        <v>0.143</v>
      </c>
      <c r="Z104" s="7" t="n">
        <v>0.18</v>
      </c>
      <c r="AA104" s="7" t="n">
        <v>-0.02</v>
      </c>
      <c r="AB104" s="7" t="n">
        <v>-0.455</v>
      </c>
      <c r="AC104" s="7" t="n">
        <v>0.317</v>
      </c>
      <c r="AD104" s="7" t="n">
        <v>0.197</v>
      </c>
      <c r="AE104" s="7" t="n">
        <v>0.262</v>
      </c>
      <c r="AF104" s="7" t="n">
        <v>0.426</v>
      </c>
      <c r="AG104" s="7" t="n">
        <v>-0.02</v>
      </c>
      <c r="AH104" s="7" t="n">
        <v>0.802</v>
      </c>
      <c r="AI104" s="7" t="n">
        <v>-0.273</v>
      </c>
      <c r="AJ104" s="7" t="n">
        <v>-0.647</v>
      </c>
      <c r="AK104" s="7" t="n">
        <v>-0.597</v>
      </c>
      <c r="AL104" s="7" t="n">
        <v>0.146</v>
      </c>
      <c r="AM104" s="7" t="n">
        <v>-0.394</v>
      </c>
      <c r="AN104" s="7" t="n">
        <v>-0.152</v>
      </c>
      <c r="AO104" s="7" t="n">
        <v>0.038</v>
      </c>
      <c r="AP104" s="7" t="n">
        <v>0</v>
      </c>
      <c r="AQ104" s="7" t="n">
        <v>0.146</v>
      </c>
    </row>
    <row r="105" customFormat="false" ht="15" hidden="false" customHeight="false" outlineLevel="0" collapsed="false">
      <c r="A105" s="23" t="n">
        <v>46422</v>
      </c>
      <c r="B105" s="7" t="n">
        <v>0.142</v>
      </c>
      <c r="C105" s="7" t="n">
        <v>-0.254</v>
      </c>
      <c r="D105" s="7" t="n">
        <v>0.143</v>
      </c>
      <c r="E105" s="7" t="n">
        <v>0.389</v>
      </c>
      <c r="F105" s="7" t="n">
        <v>0.27</v>
      </c>
      <c r="G105" s="7" t="n">
        <v>0.143</v>
      </c>
      <c r="H105" s="7" t="n">
        <v>-0.02</v>
      </c>
      <c r="I105" s="7" t="n">
        <v>-0.528</v>
      </c>
      <c r="J105" s="7" t="n">
        <v>-0.241</v>
      </c>
      <c r="K105" s="7" t="n">
        <v>0.194</v>
      </c>
      <c r="L105" s="7" t="n">
        <v>-0.15</v>
      </c>
      <c r="M105" s="7" t="n">
        <v>0.18</v>
      </c>
      <c r="N105" s="7" t="n">
        <v>-0.158</v>
      </c>
      <c r="O105" s="7" t="n">
        <v>0.28</v>
      </c>
      <c r="P105" s="7" t="n">
        <v>0.282</v>
      </c>
      <c r="Q105" s="7" t="n">
        <v>0.282</v>
      </c>
      <c r="R105" s="7" t="n">
        <v>-0.02</v>
      </c>
      <c r="S105" s="7" t="n">
        <v>0.126</v>
      </c>
      <c r="T105" s="7" t="n">
        <v>-0.02</v>
      </c>
      <c r="U105" s="7" t="n">
        <v>0.273</v>
      </c>
      <c r="V105" s="7" t="n">
        <v>-0.099</v>
      </c>
      <c r="W105" s="7" t="n">
        <v>0.282</v>
      </c>
      <c r="X105" s="7" t="n">
        <v>0.18</v>
      </c>
      <c r="Y105" s="7" t="n">
        <v>0.143</v>
      </c>
      <c r="Z105" s="7" t="n">
        <v>0.194</v>
      </c>
      <c r="AA105" s="7" t="n">
        <v>-0.02</v>
      </c>
      <c r="AB105" s="7" t="n">
        <v>-0.449</v>
      </c>
      <c r="AC105" s="7" t="n">
        <v>0.317</v>
      </c>
      <c r="AD105" s="7" t="n">
        <v>0.205</v>
      </c>
      <c r="AE105" s="7" t="n">
        <v>0.27</v>
      </c>
      <c r="AF105" s="7" t="n">
        <v>0.431</v>
      </c>
      <c r="AG105" s="7" t="n">
        <v>-0.02</v>
      </c>
      <c r="AH105" s="7" t="n">
        <v>0.8</v>
      </c>
      <c r="AI105" s="7" t="n">
        <v>-0.278</v>
      </c>
      <c r="AJ105" s="7" t="n">
        <v>-0.648</v>
      </c>
      <c r="AK105" s="7" t="n">
        <v>-0.599</v>
      </c>
      <c r="AL105" s="7" t="n">
        <v>0.146</v>
      </c>
      <c r="AM105" s="7" t="n">
        <v>-0.398</v>
      </c>
      <c r="AN105" s="7" t="n">
        <v>-0.151</v>
      </c>
      <c r="AO105" s="7" t="n">
        <v>0.038</v>
      </c>
      <c r="AP105" s="7" t="n">
        <v>0</v>
      </c>
      <c r="AQ105" s="7" t="n">
        <v>0.146</v>
      </c>
    </row>
    <row r="106" customFormat="false" ht="15" hidden="false" customHeight="false" outlineLevel="0" collapsed="false">
      <c r="A106" s="23" t="n">
        <v>46423</v>
      </c>
      <c r="B106" s="7" t="n">
        <v>0.151</v>
      </c>
      <c r="C106" s="7" t="n">
        <v>-0.254</v>
      </c>
      <c r="D106" s="7" t="n">
        <v>0.142</v>
      </c>
      <c r="E106" s="7" t="n">
        <v>0.395</v>
      </c>
      <c r="F106" s="7" t="n">
        <v>0.279</v>
      </c>
      <c r="G106" s="7" t="n">
        <v>0.142</v>
      </c>
      <c r="H106" s="7" t="n">
        <v>-0.018</v>
      </c>
      <c r="I106" s="7" t="n">
        <v>-0.524</v>
      </c>
      <c r="J106" s="7" t="n">
        <v>-0.226</v>
      </c>
      <c r="K106" s="7" t="n">
        <v>0.208</v>
      </c>
      <c r="L106" s="7" t="n">
        <v>-0.155</v>
      </c>
      <c r="M106" s="7" t="n">
        <v>0.179</v>
      </c>
      <c r="N106" s="7" t="n">
        <v>-0.153</v>
      </c>
      <c r="O106" s="7" t="n">
        <v>0.277</v>
      </c>
      <c r="P106" s="7" t="n">
        <v>0.282</v>
      </c>
      <c r="Q106" s="7" t="n">
        <v>0.282</v>
      </c>
      <c r="R106" s="7" t="n">
        <v>-0.018</v>
      </c>
      <c r="S106" s="7" t="n">
        <v>0.138</v>
      </c>
      <c r="T106" s="7" t="n">
        <v>-0.018</v>
      </c>
      <c r="U106" s="7" t="n">
        <v>0.281</v>
      </c>
      <c r="V106" s="7" t="n">
        <v>-0.092</v>
      </c>
      <c r="W106" s="7" t="n">
        <v>0.282</v>
      </c>
      <c r="X106" s="7" t="n">
        <v>0.179</v>
      </c>
      <c r="Y106" s="7" t="n">
        <v>0.142</v>
      </c>
      <c r="Z106" s="7" t="n">
        <v>0.208</v>
      </c>
      <c r="AA106" s="7" t="n">
        <v>-0.018</v>
      </c>
      <c r="AB106" s="7" t="n">
        <v>-0.432</v>
      </c>
      <c r="AC106" s="7" t="n">
        <v>0.316</v>
      </c>
      <c r="AD106" s="7" t="n">
        <v>0.214</v>
      </c>
      <c r="AE106" s="7" t="n">
        <v>0.279</v>
      </c>
      <c r="AF106" s="7" t="n">
        <v>0.437</v>
      </c>
      <c r="AG106" s="7" t="n">
        <v>-0.018</v>
      </c>
      <c r="AH106" s="7" t="n">
        <v>0.8</v>
      </c>
      <c r="AI106" s="7" t="n">
        <v>-0.282</v>
      </c>
      <c r="AJ106" s="7" t="n">
        <v>-0.648</v>
      </c>
      <c r="AK106" s="7" t="n">
        <v>-0.599</v>
      </c>
      <c r="AL106" s="7" t="n">
        <v>0.145</v>
      </c>
      <c r="AM106" s="7" t="n">
        <v>-0.402</v>
      </c>
      <c r="AN106" s="7" t="n">
        <v>-0.149</v>
      </c>
      <c r="AO106" s="7" t="n">
        <v>0.038</v>
      </c>
      <c r="AP106" s="7" t="n">
        <v>0</v>
      </c>
      <c r="AQ106" s="7" t="n">
        <v>0.145</v>
      </c>
    </row>
    <row r="107" customFormat="false" ht="15" hidden="false" customHeight="false" outlineLevel="0" collapsed="false">
      <c r="A107" s="23" t="n">
        <v>46424</v>
      </c>
      <c r="B107" s="7" t="n">
        <v>0.158</v>
      </c>
      <c r="C107" s="7" t="n">
        <v>-0.255</v>
      </c>
      <c r="D107" s="7" t="n">
        <v>0.142</v>
      </c>
      <c r="E107" s="7" t="n">
        <v>0.401</v>
      </c>
      <c r="F107" s="7" t="n">
        <v>0.285</v>
      </c>
      <c r="G107" s="7" t="n">
        <v>0.142</v>
      </c>
      <c r="H107" s="7" t="n">
        <v>-0.015</v>
      </c>
      <c r="I107" s="7" t="n">
        <v>-0.523</v>
      </c>
      <c r="J107" s="7" t="n">
        <v>-0.214</v>
      </c>
      <c r="K107" s="7" t="n">
        <v>0.221</v>
      </c>
      <c r="L107" s="7" t="n">
        <v>-0.161</v>
      </c>
      <c r="M107" s="7" t="n">
        <v>0.179</v>
      </c>
      <c r="N107" s="7" t="n">
        <v>-0.15</v>
      </c>
      <c r="O107" s="7" t="n">
        <v>0.273</v>
      </c>
      <c r="P107" s="7" t="n">
        <v>0.281</v>
      </c>
      <c r="Q107" s="7" t="n">
        <v>0.281</v>
      </c>
      <c r="R107" s="7" t="n">
        <v>-0.015</v>
      </c>
      <c r="S107" s="7" t="n">
        <v>0.151</v>
      </c>
      <c r="T107" s="7" t="n">
        <v>-0.015</v>
      </c>
      <c r="U107" s="7" t="n">
        <v>0.289</v>
      </c>
      <c r="V107" s="7" t="n">
        <v>-0.088</v>
      </c>
      <c r="W107" s="7" t="n">
        <v>0.281</v>
      </c>
      <c r="X107" s="7" t="n">
        <v>0.179</v>
      </c>
      <c r="Y107" s="7" t="n">
        <v>0.142</v>
      </c>
      <c r="Z107" s="7" t="n">
        <v>0.221</v>
      </c>
      <c r="AA107" s="7" t="n">
        <v>-0.015</v>
      </c>
      <c r="AB107" s="7" t="n">
        <v>-0.428</v>
      </c>
      <c r="AC107" s="7" t="n">
        <v>0.316</v>
      </c>
      <c r="AD107" s="7" t="n">
        <v>0.222</v>
      </c>
      <c r="AE107" s="7" t="n">
        <v>0.285</v>
      </c>
      <c r="AF107" s="7" t="n">
        <v>0.442</v>
      </c>
      <c r="AG107" s="7" t="n">
        <v>-0.015</v>
      </c>
      <c r="AH107" s="7" t="n">
        <v>0.8</v>
      </c>
      <c r="AI107" s="7" t="n">
        <v>-0.288</v>
      </c>
      <c r="AJ107" s="7" t="n">
        <v>-0.649</v>
      </c>
      <c r="AK107" s="7" t="n">
        <v>-0.599</v>
      </c>
      <c r="AL107" s="7" t="n">
        <v>0.145</v>
      </c>
      <c r="AM107" s="7" t="n">
        <v>-0.407</v>
      </c>
      <c r="AN107" s="7" t="n">
        <v>-0.146</v>
      </c>
      <c r="AO107" s="7" t="n">
        <v>0.039</v>
      </c>
      <c r="AP107" s="7" t="n">
        <v>0</v>
      </c>
      <c r="AQ107" s="7" t="n">
        <v>0.145</v>
      </c>
    </row>
    <row r="108" customFormat="false" ht="15" hidden="false" customHeight="false" outlineLevel="0" collapsed="false">
      <c r="A108" s="23" t="n">
        <v>46425</v>
      </c>
      <c r="B108" s="7" t="n">
        <v>0.158</v>
      </c>
      <c r="C108" s="7" t="n">
        <v>-0.255</v>
      </c>
      <c r="D108" s="7" t="n">
        <v>0.142</v>
      </c>
      <c r="E108" s="7" t="n">
        <v>0.401</v>
      </c>
      <c r="F108" s="7" t="n">
        <v>0.285</v>
      </c>
      <c r="G108" s="7" t="n">
        <v>0.142</v>
      </c>
      <c r="H108" s="7" t="n">
        <v>-0.015</v>
      </c>
      <c r="I108" s="7" t="n">
        <v>-0.523</v>
      </c>
      <c r="J108" s="7" t="n">
        <v>-0.214</v>
      </c>
      <c r="K108" s="7" t="n">
        <v>0.221</v>
      </c>
      <c r="L108" s="7" t="n">
        <v>-0.161</v>
      </c>
      <c r="M108" s="7" t="n">
        <v>0.179</v>
      </c>
      <c r="N108" s="7" t="n">
        <v>-0.15</v>
      </c>
      <c r="O108" s="7" t="n">
        <v>0.273</v>
      </c>
      <c r="P108" s="7" t="n">
        <v>0.281</v>
      </c>
      <c r="Q108" s="7" t="n">
        <v>0.281</v>
      </c>
      <c r="R108" s="7" t="n">
        <v>-0.015</v>
      </c>
      <c r="S108" s="7" t="n">
        <v>0.151</v>
      </c>
      <c r="T108" s="7" t="n">
        <v>-0.015</v>
      </c>
      <c r="U108" s="7" t="n">
        <v>0.289</v>
      </c>
      <c r="V108" s="7" t="n">
        <v>-0.088</v>
      </c>
      <c r="W108" s="7" t="n">
        <v>0.281</v>
      </c>
      <c r="X108" s="7" t="n">
        <v>0.179</v>
      </c>
      <c r="Y108" s="7" t="n">
        <v>0.142</v>
      </c>
      <c r="Z108" s="7" t="n">
        <v>0.221</v>
      </c>
      <c r="AA108" s="7" t="n">
        <v>-0.015</v>
      </c>
      <c r="AB108" s="7" t="n">
        <v>-0.428</v>
      </c>
      <c r="AC108" s="7" t="n">
        <v>0.316</v>
      </c>
      <c r="AD108" s="7" t="n">
        <v>0.222</v>
      </c>
      <c r="AE108" s="7" t="n">
        <v>0.285</v>
      </c>
      <c r="AF108" s="7" t="n">
        <v>0.442</v>
      </c>
      <c r="AG108" s="7" t="n">
        <v>-0.015</v>
      </c>
      <c r="AH108" s="7" t="n">
        <v>0.8</v>
      </c>
      <c r="AI108" s="7" t="n">
        <v>-0.288</v>
      </c>
      <c r="AJ108" s="7" t="n">
        <v>-0.649</v>
      </c>
      <c r="AK108" s="7" t="n">
        <v>-0.599</v>
      </c>
      <c r="AL108" s="7" t="n">
        <v>0.145</v>
      </c>
      <c r="AM108" s="7" t="n">
        <v>-0.407</v>
      </c>
      <c r="AN108" s="7" t="n">
        <v>-0.146</v>
      </c>
      <c r="AO108" s="7" t="n">
        <v>0.039</v>
      </c>
      <c r="AP108" s="7" t="n">
        <v>0</v>
      </c>
      <c r="AQ108" s="7" t="n">
        <v>0.145</v>
      </c>
    </row>
    <row r="109" customFormat="false" ht="15" hidden="false" customHeight="false" outlineLevel="0" collapsed="false">
      <c r="A109" s="23" t="n">
        <v>46426</v>
      </c>
      <c r="B109" s="7" t="n">
        <v>0.158</v>
      </c>
      <c r="C109" s="7" t="n">
        <v>-0.255</v>
      </c>
      <c r="D109" s="7" t="n">
        <v>0.142</v>
      </c>
      <c r="E109" s="7" t="n">
        <v>0.401</v>
      </c>
      <c r="F109" s="7" t="n">
        <v>0.285</v>
      </c>
      <c r="G109" s="7" t="n">
        <v>0.142</v>
      </c>
      <c r="H109" s="7" t="n">
        <v>-0.015</v>
      </c>
      <c r="I109" s="7" t="n">
        <v>-0.523</v>
      </c>
      <c r="J109" s="7" t="n">
        <v>-0.214</v>
      </c>
      <c r="K109" s="7" t="n">
        <v>0.221</v>
      </c>
      <c r="L109" s="7" t="n">
        <v>-0.161</v>
      </c>
      <c r="M109" s="7" t="n">
        <v>0.179</v>
      </c>
      <c r="N109" s="7" t="n">
        <v>-0.15</v>
      </c>
      <c r="O109" s="7" t="n">
        <v>0.273</v>
      </c>
      <c r="P109" s="7" t="n">
        <v>0.281</v>
      </c>
      <c r="Q109" s="7" t="n">
        <v>0.281</v>
      </c>
      <c r="R109" s="7" t="n">
        <v>-0.015</v>
      </c>
      <c r="S109" s="7" t="n">
        <v>0.151</v>
      </c>
      <c r="T109" s="7" t="n">
        <v>-0.015</v>
      </c>
      <c r="U109" s="7" t="n">
        <v>0.289</v>
      </c>
      <c r="V109" s="7" t="n">
        <v>-0.088</v>
      </c>
      <c r="W109" s="7" t="n">
        <v>0.281</v>
      </c>
      <c r="X109" s="7" t="n">
        <v>0.179</v>
      </c>
      <c r="Y109" s="7" t="n">
        <v>0.142</v>
      </c>
      <c r="Z109" s="7" t="n">
        <v>0.221</v>
      </c>
      <c r="AA109" s="7" t="n">
        <v>-0.015</v>
      </c>
      <c r="AB109" s="7" t="n">
        <v>-0.428</v>
      </c>
      <c r="AC109" s="7" t="n">
        <v>0.316</v>
      </c>
      <c r="AD109" s="7" t="n">
        <v>0.222</v>
      </c>
      <c r="AE109" s="7" t="n">
        <v>0.285</v>
      </c>
      <c r="AF109" s="7" t="n">
        <v>0.442</v>
      </c>
      <c r="AG109" s="7" t="n">
        <v>-0.015</v>
      </c>
      <c r="AH109" s="7" t="n">
        <v>0.8</v>
      </c>
      <c r="AI109" s="7" t="n">
        <v>-0.288</v>
      </c>
      <c r="AJ109" s="7" t="n">
        <v>-0.649</v>
      </c>
      <c r="AK109" s="7" t="n">
        <v>-0.599</v>
      </c>
      <c r="AL109" s="7" t="n">
        <v>0.145</v>
      </c>
      <c r="AM109" s="7" t="n">
        <v>-0.407</v>
      </c>
      <c r="AN109" s="7" t="n">
        <v>-0.146</v>
      </c>
      <c r="AO109" s="7" t="n">
        <v>0.039</v>
      </c>
      <c r="AP109" s="7" t="n">
        <v>0</v>
      </c>
      <c r="AQ109" s="7" t="n">
        <v>0.145</v>
      </c>
    </row>
    <row r="110" customFormat="false" ht="15" hidden="false" customHeight="false" outlineLevel="0" collapsed="false">
      <c r="A110" s="23" t="n">
        <v>46427</v>
      </c>
      <c r="B110" s="7" t="n">
        <v>0.166</v>
      </c>
      <c r="C110" s="7" t="n">
        <v>-0.256</v>
      </c>
      <c r="D110" s="7" t="n">
        <v>0.141</v>
      </c>
      <c r="E110" s="7" t="n">
        <v>0.407</v>
      </c>
      <c r="F110" s="7" t="n">
        <v>0.293</v>
      </c>
      <c r="G110" s="7" t="n">
        <v>0.141</v>
      </c>
      <c r="H110" s="7" t="n">
        <v>-0.012</v>
      </c>
      <c r="I110" s="7" t="n">
        <v>-0.524</v>
      </c>
      <c r="J110" s="7" t="n">
        <v>-0.203</v>
      </c>
      <c r="K110" s="7" t="n">
        <v>0.235</v>
      </c>
      <c r="L110" s="7" t="n">
        <v>-0.167</v>
      </c>
      <c r="M110" s="7" t="n">
        <v>0.179</v>
      </c>
      <c r="N110" s="7" t="n">
        <v>-0.147</v>
      </c>
      <c r="O110" s="7" t="n">
        <v>0.269</v>
      </c>
      <c r="P110" s="7" t="n">
        <v>0.28</v>
      </c>
      <c r="Q110" s="7" t="n">
        <v>0.28</v>
      </c>
      <c r="R110" s="7" t="n">
        <v>-0.012</v>
      </c>
      <c r="S110" s="7" t="n">
        <v>0.163</v>
      </c>
      <c r="T110" s="7" t="n">
        <v>-0.012</v>
      </c>
      <c r="U110" s="7" t="n">
        <v>0.298</v>
      </c>
      <c r="V110" s="7" t="n">
        <v>-0.084</v>
      </c>
      <c r="W110" s="7" t="n">
        <v>0.28</v>
      </c>
      <c r="X110" s="7" t="n">
        <v>0.179</v>
      </c>
      <c r="Y110" s="7" t="n">
        <v>0.141</v>
      </c>
      <c r="Z110" s="7" t="n">
        <v>0.235</v>
      </c>
      <c r="AA110" s="7" t="n">
        <v>-0.012</v>
      </c>
      <c r="AB110" s="7" t="n">
        <v>-0.428</v>
      </c>
      <c r="AC110" s="7" t="n">
        <v>0.315</v>
      </c>
      <c r="AD110" s="7" t="n">
        <v>0.231</v>
      </c>
      <c r="AE110" s="7" t="n">
        <v>0.293</v>
      </c>
      <c r="AF110" s="7" t="n">
        <v>0.449</v>
      </c>
      <c r="AG110" s="7" t="n">
        <v>-0.012</v>
      </c>
      <c r="AH110" s="7" t="n">
        <v>0.8</v>
      </c>
      <c r="AI110" s="7" t="n">
        <v>-0.294</v>
      </c>
      <c r="AJ110" s="7" t="n">
        <v>-0.649</v>
      </c>
      <c r="AK110" s="7" t="n">
        <v>-0.6</v>
      </c>
      <c r="AL110" s="7" t="n">
        <v>0.145</v>
      </c>
      <c r="AM110" s="7" t="n">
        <v>-0.412</v>
      </c>
      <c r="AN110" s="7" t="n">
        <v>-0.143</v>
      </c>
      <c r="AO110" s="7" t="n">
        <v>0.039</v>
      </c>
      <c r="AP110" s="7" t="n">
        <v>0</v>
      </c>
      <c r="AQ110" s="7" t="n">
        <v>0.145</v>
      </c>
    </row>
    <row r="111" customFormat="false" ht="15" hidden="false" customHeight="false" outlineLevel="0" collapsed="false">
      <c r="A111" s="23" t="n">
        <v>46428</v>
      </c>
      <c r="B111" s="7" t="n">
        <v>0.176</v>
      </c>
      <c r="C111" s="7" t="n">
        <v>-0.254</v>
      </c>
      <c r="D111" s="7" t="n">
        <v>0.14</v>
      </c>
      <c r="E111" s="7" t="n">
        <v>0.421</v>
      </c>
      <c r="F111" s="7" t="n">
        <v>0.301</v>
      </c>
      <c r="G111" s="7" t="n">
        <v>0.14</v>
      </c>
      <c r="H111" s="7" t="n">
        <v>-0.009</v>
      </c>
      <c r="I111" s="7" t="n">
        <v>-0.522</v>
      </c>
      <c r="J111" s="7" t="n">
        <v>-0.187</v>
      </c>
      <c r="K111" s="7" t="n">
        <v>0.264</v>
      </c>
      <c r="L111" s="7" t="n">
        <v>-0.174</v>
      </c>
      <c r="M111" s="7" t="n">
        <v>0.178</v>
      </c>
      <c r="N111" s="7" t="n">
        <v>-0.144</v>
      </c>
      <c r="O111" s="7" t="n">
        <v>0.264</v>
      </c>
      <c r="P111" s="7" t="n">
        <v>0.279</v>
      </c>
      <c r="Q111" s="7" t="n">
        <v>0.279</v>
      </c>
      <c r="R111" s="7" t="n">
        <v>-0.009</v>
      </c>
      <c r="S111" s="7" t="n">
        <v>0.185</v>
      </c>
      <c r="T111" s="7" t="n">
        <v>-0.009</v>
      </c>
      <c r="U111" s="7" t="n">
        <v>0.309</v>
      </c>
      <c r="V111" s="7" t="n">
        <v>-0.078</v>
      </c>
      <c r="W111" s="7" t="n">
        <v>0.279</v>
      </c>
      <c r="X111" s="7" t="n">
        <v>0.178</v>
      </c>
      <c r="Y111" s="7" t="n">
        <v>0.14</v>
      </c>
      <c r="Z111" s="7" t="n">
        <v>0.264</v>
      </c>
      <c r="AA111" s="7" t="n">
        <v>-0.009</v>
      </c>
      <c r="AB111" s="7" t="n">
        <v>-0.423</v>
      </c>
      <c r="AC111" s="7" t="n">
        <v>0.314</v>
      </c>
      <c r="AD111" s="7" t="n">
        <v>0.247</v>
      </c>
      <c r="AE111" s="7" t="n">
        <v>0.301</v>
      </c>
      <c r="AF111" s="7" t="n">
        <v>0.459</v>
      </c>
      <c r="AG111" s="7" t="n">
        <v>-0.009</v>
      </c>
      <c r="AH111" s="7" t="n">
        <v>0.8</v>
      </c>
      <c r="AI111" s="7" t="n">
        <v>-0.3</v>
      </c>
      <c r="AJ111" s="7" t="n">
        <v>-0.649</v>
      </c>
      <c r="AK111" s="7" t="n">
        <v>-0.6</v>
      </c>
      <c r="AL111" s="7" t="n">
        <v>0.144</v>
      </c>
      <c r="AM111" s="7" t="n">
        <v>-0.418</v>
      </c>
      <c r="AN111" s="7" t="n">
        <v>-0.14</v>
      </c>
      <c r="AO111" s="7" t="n">
        <v>0.038</v>
      </c>
      <c r="AP111" s="7" t="n">
        <v>0</v>
      </c>
      <c r="AQ111" s="7" t="n">
        <v>0.144</v>
      </c>
    </row>
    <row r="112" customFormat="false" ht="15" hidden="false" customHeight="false" outlineLevel="0" collapsed="false">
      <c r="A112" s="23" t="n">
        <v>46429</v>
      </c>
      <c r="B112" s="7" t="n">
        <v>0.186</v>
      </c>
      <c r="C112" s="7" t="n">
        <v>-0.255</v>
      </c>
      <c r="D112" s="7" t="n">
        <v>0.14</v>
      </c>
      <c r="E112" s="7" t="n">
        <v>0.435</v>
      </c>
      <c r="F112" s="7" t="n">
        <v>0.309</v>
      </c>
      <c r="G112" s="7" t="n">
        <v>0.14</v>
      </c>
      <c r="H112" s="7" t="n">
        <v>-0.009</v>
      </c>
      <c r="I112" s="7" t="n">
        <v>-0.521</v>
      </c>
      <c r="J112" s="7" t="n">
        <v>-0.171</v>
      </c>
      <c r="K112" s="7" t="n">
        <v>0.293</v>
      </c>
      <c r="L112" s="7" t="n">
        <v>-0.182</v>
      </c>
      <c r="M112" s="7" t="n">
        <v>0.177</v>
      </c>
      <c r="N112" s="7" t="n">
        <v>-0.142</v>
      </c>
      <c r="O112" s="7" t="n">
        <v>0.259</v>
      </c>
      <c r="P112" s="7" t="n">
        <v>0.278</v>
      </c>
      <c r="Q112" s="7" t="n">
        <v>0.278</v>
      </c>
      <c r="R112" s="7" t="n">
        <v>-0.009</v>
      </c>
      <c r="S112" s="7" t="n">
        <v>0.207</v>
      </c>
      <c r="T112" s="7" t="n">
        <v>-0.009</v>
      </c>
      <c r="U112" s="7" t="n">
        <v>0.319</v>
      </c>
      <c r="V112" s="7" t="n">
        <v>-0.072</v>
      </c>
      <c r="W112" s="7" t="n">
        <v>0.278</v>
      </c>
      <c r="X112" s="7" t="n">
        <v>0.177</v>
      </c>
      <c r="Y112" s="7" t="n">
        <v>0.14</v>
      </c>
      <c r="Z112" s="7" t="n">
        <v>0.293</v>
      </c>
      <c r="AA112" s="7" t="n">
        <v>-0.009</v>
      </c>
      <c r="AB112" s="7" t="n">
        <v>-0.414</v>
      </c>
      <c r="AC112" s="7" t="n">
        <v>0.312</v>
      </c>
      <c r="AD112" s="7" t="n">
        <v>0.262</v>
      </c>
      <c r="AE112" s="7" t="n">
        <v>0.309</v>
      </c>
      <c r="AF112" s="7" t="n">
        <v>0.467</v>
      </c>
      <c r="AG112" s="7" t="n">
        <v>-0.009</v>
      </c>
      <c r="AH112" s="7" t="n">
        <v>0.8</v>
      </c>
      <c r="AI112" s="7" t="n">
        <v>-0.307</v>
      </c>
      <c r="AJ112" s="7" t="n">
        <v>-0.65</v>
      </c>
      <c r="AK112" s="7" t="n">
        <v>-0.603</v>
      </c>
      <c r="AL112" s="7" t="n">
        <v>0.144</v>
      </c>
      <c r="AM112" s="7" t="n">
        <v>-0.425</v>
      </c>
      <c r="AN112" s="7" t="n">
        <v>-0.139</v>
      </c>
      <c r="AO112" s="7" t="n">
        <v>0.038</v>
      </c>
      <c r="AP112" s="7" t="n">
        <v>0</v>
      </c>
      <c r="AQ112" s="7" t="n">
        <v>0.144</v>
      </c>
    </row>
    <row r="113" customFormat="false" ht="15" hidden="false" customHeight="false" outlineLevel="0" collapsed="false">
      <c r="A113" s="23" t="n">
        <v>46430</v>
      </c>
      <c r="B113" s="7" t="n">
        <v>0.196</v>
      </c>
      <c r="C113" s="7" t="n">
        <v>-0.255</v>
      </c>
      <c r="D113" s="7" t="n">
        <v>0.139</v>
      </c>
      <c r="E113" s="7" t="n">
        <v>0.449</v>
      </c>
      <c r="F113" s="7" t="n">
        <v>0.317</v>
      </c>
      <c r="G113" s="7" t="n">
        <v>0.139</v>
      </c>
      <c r="H113" s="7" t="n">
        <v>-0.008</v>
      </c>
      <c r="I113" s="7" t="n">
        <v>-0.521</v>
      </c>
      <c r="J113" s="7" t="n">
        <v>-0.154</v>
      </c>
      <c r="K113" s="7" t="n">
        <v>0.323</v>
      </c>
      <c r="L113" s="7" t="n">
        <v>-0.19</v>
      </c>
      <c r="M113" s="7" t="n">
        <v>0.177</v>
      </c>
      <c r="N113" s="7" t="n">
        <v>-0.14</v>
      </c>
      <c r="O113" s="7" t="n">
        <v>0.254</v>
      </c>
      <c r="P113" s="7" t="n">
        <v>0.277</v>
      </c>
      <c r="Q113" s="7" t="n">
        <v>0.277</v>
      </c>
      <c r="R113" s="7" t="n">
        <v>-0.008</v>
      </c>
      <c r="S113" s="7" t="n">
        <v>0.228</v>
      </c>
      <c r="T113" s="7" t="n">
        <v>-0.008</v>
      </c>
      <c r="U113" s="7" t="n">
        <v>0.329</v>
      </c>
      <c r="V113" s="7" t="n">
        <v>-0.069</v>
      </c>
      <c r="W113" s="7" t="n">
        <v>0.277</v>
      </c>
      <c r="X113" s="7" t="n">
        <v>0.177</v>
      </c>
      <c r="Y113" s="7" t="n">
        <v>0.139</v>
      </c>
      <c r="Z113" s="7" t="n">
        <v>0.323</v>
      </c>
      <c r="AA113" s="7" t="n">
        <v>-0.008</v>
      </c>
      <c r="AB113" s="7" t="n">
        <v>-0.411</v>
      </c>
      <c r="AC113" s="7" t="n">
        <v>0.312</v>
      </c>
      <c r="AD113" s="7" t="n">
        <v>0.278</v>
      </c>
      <c r="AE113" s="7" t="n">
        <v>0.317</v>
      </c>
      <c r="AF113" s="7" t="n">
        <v>0.475</v>
      </c>
      <c r="AG113" s="7" t="n">
        <v>-0.008</v>
      </c>
      <c r="AH113" s="7" t="n">
        <v>0.8</v>
      </c>
      <c r="AI113" s="7" t="n">
        <v>-0.315</v>
      </c>
      <c r="AJ113" s="7" t="n">
        <v>-0.651</v>
      </c>
      <c r="AK113" s="7" t="n">
        <v>-0.605</v>
      </c>
      <c r="AL113" s="7" t="n">
        <v>0.144</v>
      </c>
      <c r="AM113" s="7" t="n">
        <v>-0.432</v>
      </c>
      <c r="AN113" s="7" t="n">
        <v>-0.138</v>
      </c>
      <c r="AO113" s="7" t="n">
        <v>0.039</v>
      </c>
      <c r="AP113" s="7" t="n">
        <v>0</v>
      </c>
      <c r="AQ113" s="7" t="n">
        <v>0.144</v>
      </c>
    </row>
    <row r="114" customFormat="false" ht="15" hidden="false" customHeight="false" outlineLevel="0" collapsed="false">
      <c r="A114" s="23" t="n">
        <v>46431</v>
      </c>
      <c r="B114" s="7" t="n">
        <v>0.205</v>
      </c>
      <c r="C114" s="7" t="n">
        <v>-0.256</v>
      </c>
      <c r="D114" s="7" t="n">
        <v>0.138</v>
      </c>
      <c r="E114" s="7" t="n">
        <v>0.464</v>
      </c>
      <c r="F114" s="7" t="n">
        <v>0.325</v>
      </c>
      <c r="G114" s="7" t="n">
        <v>0.138</v>
      </c>
      <c r="H114" s="7" t="n">
        <v>-0.008</v>
      </c>
      <c r="I114" s="7" t="n">
        <v>-0.522</v>
      </c>
      <c r="J114" s="7" t="n">
        <v>-0.138</v>
      </c>
      <c r="K114" s="7" t="n">
        <v>0.353</v>
      </c>
      <c r="L114" s="7" t="n">
        <v>-0.198</v>
      </c>
      <c r="M114" s="7" t="n">
        <v>0.177</v>
      </c>
      <c r="N114" s="7" t="n">
        <v>-0.138</v>
      </c>
      <c r="O114" s="7" t="n">
        <v>0.249</v>
      </c>
      <c r="P114" s="7" t="n">
        <v>0.276</v>
      </c>
      <c r="Q114" s="7" t="n">
        <v>0.276</v>
      </c>
      <c r="R114" s="7" t="n">
        <v>-0.008</v>
      </c>
      <c r="S114" s="7" t="n">
        <v>0.251</v>
      </c>
      <c r="T114" s="7" t="n">
        <v>-0.008</v>
      </c>
      <c r="U114" s="7" t="n">
        <v>0.338</v>
      </c>
      <c r="V114" s="7" t="n">
        <v>-0.067</v>
      </c>
      <c r="W114" s="7" t="n">
        <v>0.276</v>
      </c>
      <c r="X114" s="7" t="n">
        <v>0.177</v>
      </c>
      <c r="Y114" s="7" t="n">
        <v>0.138</v>
      </c>
      <c r="Z114" s="7" t="n">
        <v>0.353</v>
      </c>
      <c r="AA114" s="7" t="n">
        <v>-0.008</v>
      </c>
      <c r="AB114" s="7" t="n">
        <v>-0.412</v>
      </c>
      <c r="AC114" s="7" t="n">
        <v>0.312</v>
      </c>
      <c r="AD114" s="7" t="n">
        <v>0.294</v>
      </c>
      <c r="AE114" s="7" t="n">
        <v>0.325</v>
      </c>
      <c r="AF114" s="7" t="n">
        <v>0.483</v>
      </c>
      <c r="AG114" s="7" t="n">
        <v>-0.008</v>
      </c>
      <c r="AH114" s="7" t="n">
        <v>0.8</v>
      </c>
      <c r="AI114" s="7" t="n">
        <v>-0.322</v>
      </c>
      <c r="AJ114" s="7" t="n">
        <v>-0.652</v>
      </c>
      <c r="AK114" s="7" t="n">
        <v>-0.607</v>
      </c>
      <c r="AL114" s="7" t="n">
        <v>0.143</v>
      </c>
      <c r="AM114" s="7" t="n">
        <v>-0.438</v>
      </c>
      <c r="AN114" s="7" t="n">
        <v>-0.137</v>
      </c>
      <c r="AO114" s="7" t="n">
        <v>0.039</v>
      </c>
      <c r="AP114" s="7" t="n">
        <v>0</v>
      </c>
      <c r="AQ114" s="7" t="n">
        <v>0.143</v>
      </c>
    </row>
    <row r="115" customFormat="false" ht="15" hidden="false" customHeight="false" outlineLevel="0" collapsed="false">
      <c r="A115" s="23" t="n">
        <v>46432</v>
      </c>
      <c r="B115" s="7" t="n">
        <v>0.205</v>
      </c>
      <c r="C115" s="7" t="n">
        <v>-0.256</v>
      </c>
      <c r="D115" s="7" t="n">
        <v>0.138</v>
      </c>
      <c r="E115" s="7" t="n">
        <v>0.464</v>
      </c>
      <c r="F115" s="7" t="n">
        <v>0.325</v>
      </c>
      <c r="G115" s="7" t="n">
        <v>0.138</v>
      </c>
      <c r="H115" s="7" t="n">
        <v>-0.008</v>
      </c>
      <c r="I115" s="7" t="n">
        <v>-0.522</v>
      </c>
      <c r="J115" s="7" t="n">
        <v>-0.138</v>
      </c>
      <c r="K115" s="7" t="n">
        <v>0.353</v>
      </c>
      <c r="L115" s="7" t="n">
        <v>-0.198</v>
      </c>
      <c r="M115" s="7" t="n">
        <v>0.177</v>
      </c>
      <c r="N115" s="7" t="n">
        <v>-0.138</v>
      </c>
      <c r="O115" s="7" t="n">
        <v>0.249</v>
      </c>
      <c r="P115" s="7" t="n">
        <v>0.276</v>
      </c>
      <c r="Q115" s="7" t="n">
        <v>0.276</v>
      </c>
      <c r="R115" s="7" t="n">
        <v>-0.008</v>
      </c>
      <c r="S115" s="7" t="n">
        <v>0.251</v>
      </c>
      <c r="T115" s="7" t="n">
        <v>-0.008</v>
      </c>
      <c r="U115" s="7" t="n">
        <v>0.338</v>
      </c>
      <c r="V115" s="7" t="n">
        <v>-0.067</v>
      </c>
      <c r="W115" s="7" t="n">
        <v>0.276</v>
      </c>
      <c r="X115" s="7" t="n">
        <v>0.177</v>
      </c>
      <c r="Y115" s="7" t="n">
        <v>0.138</v>
      </c>
      <c r="Z115" s="7" t="n">
        <v>0.353</v>
      </c>
      <c r="AA115" s="7" t="n">
        <v>-0.008</v>
      </c>
      <c r="AB115" s="7" t="n">
        <v>-0.412</v>
      </c>
      <c r="AC115" s="7" t="n">
        <v>0.312</v>
      </c>
      <c r="AD115" s="7" t="n">
        <v>0.294</v>
      </c>
      <c r="AE115" s="7" t="n">
        <v>0.325</v>
      </c>
      <c r="AF115" s="7" t="n">
        <v>0.483</v>
      </c>
      <c r="AG115" s="7" t="n">
        <v>-0.008</v>
      </c>
      <c r="AH115" s="7" t="n">
        <v>0.8</v>
      </c>
      <c r="AI115" s="7" t="n">
        <v>-0.322</v>
      </c>
      <c r="AJ115" s="7" t="n">
        <v>-0.652</v>
      </c>
      <c r="AK115" s="7" t="n">
        <v>-0.607</v>
      </c>
      <c r="AL115" s="7" t="n">
        <v>0.143</v>
      </c>
      <c r="AM115" s="7" t="n">
        <v>-0.438</v>
      </c>
      <c r="AN115" s="7" t="n">
        <v>-0.137</v>
      </c>
      <c r="AO115" s="7" t="n">
        <v>0.039</v>
      </c>
      <c r="AP115" s="7" t="n">
        <v>0</v>
      </c>
      <c r="AQ115" s="7" t="n">
        <v>0.143</v>
      </c>
    </row>
    <row r="116" customFormat="false" ht="15" hidden="false" customHeight="false" outlineLevel="0" collapsed="false">
      <c r="A116" s="23" t="n">
        <v>46433</v>
      </c>
      <c r="B116" s="7" t="n">
        <v>0.205</v>
      </c>
      <c r="C116" s="7" t="n">
        <v>-0.256</v>
      </c>
      <c r="D116" s="7" t="n">
        <v>0.138</v>
      </c>
      <c r="E116" s="7" t="n">
        <v>0.464</v>
      </c>
      <c r="F116" s="7" t="n">
        <v>0.325</v>
      </c>
      <c r="G116" s="7" t="n">
        <v>0.138</v>
      </c>
      <c r="H116" s="7" t="n">
        <v>-0.008</v>
      </c>
      <c r="I116" s="7" t="n">
        <v>-0.522</v>
      </c>
      <c r="J116" s="7" t="n">
        <v>-0.138</v>
      </c>
      <c r="K116" s="7" t="n">
        <v>0.353</v>
      </c>
      <c r="L116" s="7" t="n">
        <v>-0.198</v>
      </c>
      <c r="M116" s="7" t="n">
        <v>0.177</v>
      </c>
      <c r="N116" s="7" t="n">
        <v>-0.138</v>
      </c>
      <c r="O116" s="7" t="n">
        <v>0.249</v>
      </c>
      <c r="P116" s="7" t="n">
        <v>0.276</v>
      </c>
      <c r="Q116" s="7" t="n">
        <v>0.276</v>
      </c>
      <c r="R116" s="7" t="n">
        <v>-0.008</v>
      </c>
      <c r="S116" s="7" t="n">
        <v>0.251</v>
      </c>
      <c r="T116" s="7" t="n">
        <v>-0.008</v>
      </c>
      <c r="U116" s="7" t="n">
        <v>0.338</v>
      </c>
      <c r="V116" s="7" t="n">
        <v>-0.067</v>
      </c>
      <c r="W116" s="7" t="n">
        <v>0.276</v>
      </c>
      <c r="X116" s="7" t="n">
        <v>0.177</v>
      </c>
      <c r="Y116" s="7" t="n">
        <v>0.138</v>
      </c>
      <c r="Z116" s="7" t="n">
        <v>0.353</v>
      </c>
      <c r="AA116" s="7" t="n">
        <v>-0.008</v>
      </c>
      <c r="AB116" s="7" t="n">
        <v>-0.412</v>
      </c>
      <c r="AC116" s="7" t="n">
        <v>0.312</v>
      </c>
      <c r="AD116" s="7" t="n">
        <v>0.294</v>
      </c>
      <c r="AE116" s="7" t="n">
        <v>0.325</v>
      </c>
      <c r="AF116" s="7" t="n">
        <v>0.483</v>
      </c>
      <c r="AG116" s="7" t="n">
        <v>-0.008</v>
      </c>
      <c r="AH116" s="7" t="n">
        <v>0.8</v>
      </c>
      <c r="AI116" s="7" t="n">
        <v>-0.322</v>
      </c>
      <c r="AJ116" s="7" t="n">
        <v>-0.652</v>
      </c>
      <c r="AK116" s="7" t="n">
        <v>-0.607</v>
      </c>
      <c r="AL116" s="7" t="n">
        <v>0.143</v>
      </c>
      <c r="AM116" s="7" t="n">
        <v>-0.438</v>
      </c>
      <c r="AN116" s="7" t="n">
        <v>-0.137</v>
      </c>
      <c r="AO116" s="7" t="n">
        <v>0.039</v>
      </c>
      <c r="AP116" s="7" t="n">
        <v>0</v>
      </c>
      <c r="AQ116" s="7" t="n">
        <v>0.143</v>
      </c>
    </row>
    <row r="117" customFormat="false" ht="15" hidden="false" customHeight="false" outlineLevel="0" collapsed="false">
      <c r="A117" s="23" t="n">
        <v>46434</v>
      </c>
      <c r="B117" s="7" t="n">
        <v>0.211</v>
      </c>
      <c r="C117" s="7" t="n">
        <v>-0.26</v>
      </c>
      <c r="D117" s="7" t="n">
        <v>0.138</v>
      </c>
      <c r="E117" s="7" t="n">
        <v>0.472</v>
      </c>
      <c r="F117" s="7" t="n">
        <v>0.331</v>
      </c>
      <c r="G117" s="7" t="n">
        <v>0.138</v>
      </c>
      <c r="H117" s="7" t="n">
        <v>-0.019</v>
      </c>
      <c r="I117" s="7" t="n">
        <v>-0.521</v>
      </c>
      <c r="J117" s="7" t="n">
        <v>-0.115</v>
      </c>
      <c r="K117" s="7" t="n">
        <v>0.37</v>
      </c>
      <c r="L117" s="7" t="n">
        <v>-0.192</v>
      </c>
      <c r="M117" s="7" t="n">
        <v>0.176</v>
      </c>
      <c r="N117" s="7" t="n">
        <v>-0.125</v>
      </c>
      <c r="O117" s="7" t="n">
        <v>0.254</v>
      </c>
      <c r="P117" s="7" t="n">
        <v>0.275</v>
      </c>
      <c r="Q117" s="7" t="n">
        <v>0.275</v>
      </c>
      <c r="R117" s="7" t="n">
        <v>-0.019</v>
      </c>
      <c r="S117" s="7" t="n">
        <v>0.26</v>
      </c>
      <c r="T117" s="7" t="n">
        <v>-0.019</v>
      </c>
      <c r="U117" s="7" t="n">
        <v>0.333</v>
      </c>
      <c r="V117" s="7" t="n">
        <v>-0.074</v>
      </c>
      <c r="W117" s="7" t="n">
        <v>0.275</v>
      </c>
      <c r="X117" s="7" t="n">
        <v>0.176</v>
      </c>
      <c r="Y117" s="7" t="n">
        <v>0.138</v>
      </c>
      <c r="Z117" s="7" t="n">
        <v>0.37</v>
      </c>
      <c r="AA117" s="7" t="n">
        <v>-0.019</v>
      </c>
      <c r="AB117" s="7" t="n">
        <v>-0.388</v>
      </c>
      <c r="AC117" s="7" t="n">
        <v>0.311</v>
      </c>
      <c r="AD117" s="7" t="n">
        <v>0.301</v>
      </c>
      <c r="AE117" s="7" t="n">
        <v>0.331</v>
      </c>
      <c r="AF117" s="7" t="n">
        <v>0.482</v>
      </c>
      <c r="AG117" s="7" t="n">
        <v>-0.019</v>
      </c>
      <c r="AH117" s="7" t="n">
        <v>0.8</v>
      </c>
      <c r="AI117" s="7" t="n">
        <v>-0.316</v>
      </c>
      <c r="AJ117" s="7" t="n">
        <v>-0.652</v>
      </c>
      <c r="AK117" s="7" t="n">
        <v>-0.607</v>
      </c>
      <c r="AL117" s="7" t="n">
        <v>0.143</v>
      </c>
      <c r="AM117" s="7" t="n">
        <v>-0.433</v>
      </c>
      <c r="AN117" s="7" t="n">
        <v>-0.147</v>
      </c>
      <c r="AO117" s="7" t="n">
        <v>0.039</v>
      </c>
      <c r="AP117" s="7" t="n">
        <v>0</v>
      </c>
      <c r="AQ117" s="7" t="n">
        <v>0.143</v>
      </c>
    </row>
    <row r="118" customFormat="false" ht="15" hidden="false" customHeight="false" outlineLevel="0" collapsed="false">
      <c r="A118" s="23" t="n">
        <v>46435</v>
      </c>
      <c r="B118" s="7" t="n">
        <v>0.216</v>
      </c>
      <c r="C118" s="7" t="n">
        <v>-0.264</v>
      </c>
      <c r="D118" s="7" t="n">
        <v>0.137</v>
      </c>
      <c r="E118" s="7" t="n">
        <v>0.48</v>
      </c>
      <c r="F118" s="7" t="n">
        <v>0.337</v>
      </c>
      <c r="G118" s="7" t="n">
        <v>0.137</v>
      </c>
      <c r="H118" s="7" t="n">
        <v>-0.03</v>
      </c>
      <c r="I118" s="7" t="n">
        <v>-0.522</v>
      </c>
      <c r="J118" s="7" t="n">
        <v>-0.092</v>
      </c>
      <c r="K118" s="7" t="n">
        <v>0.387</v>
      </c>
      <c r="L118" s="7" t="n">
        <v>-0.187</v>
      </c>
      <c r="M118" s="7" t="n">
        <v>0.176</v>
      </c>
      <c r="N118" s="7" t="n">
        <v>-0.112</v>
      </c>
      <c r="O118" s="7" t="n">
        <v>0.259</v>
      </c>
      <c r="P118" s="7" t="n">
        <v>0.274</v>
      </c>
      <c r="Q118" s="7" t="n">
        <v>0.274</v>
      </c>
      <c r="R118" s="7" t="n">
        <v>-0.03</v>
      </c>
      <c r="S118" s="7" t="n">
        <v>0.27</v>
      </c>
      <c r="T118" s="7" t="n">
        <v>-0.03</v>
      </c>
      <c r="U118" s="7" t="n">
        <v>0.328</v>
      </c>
      <c r="V118" s="7" t="n">
        <v>-0.083</v>
      </c>
      <c r="W118" s="7" t="n">
        <v>0.274</v>
      </c>
      <c r="X118" s="7" t="n">
        <v>0.176</v>
      </c>
      <c r="Y118" s="7" t="n">
        <v>0.137</v>
      </c>
      <c r="Z118" s="7" t="n">
        <v>0.387</v>
      </c>
      <c r="AA118" s="7" t="n">
        <v>-0.03</v>
      </c>
      <c r="AB118" s="7" t="n">
        <v>-0.368</v>
      </c>
      <c r="AC118" s="7" t="n">
        <v>0.31</v>
      </c>
      <c r="AD118" s="7" t="n">
        <v>0.308</v>
      </c>
      <c r="AE118" s="7" t="n">
        <v>0.337</v>
      </c>
      <c r="AF118" s="7" t="n">
        <v>0.481</v>
      </c>
      <c r="AG118" s="7" t="n">
        <v>-0.03</v>
      </c>
      <c r="AH118" s="7" t="n">
        <v>0.8</v>
      </c>
      <c r="AI118" s="7" t="n">
        <v>-0.311</v>
      </c>
      <c r="AJ118" s="7" t="n">
        <v>-0.651</v>
      </c>
      <c r="AK118" s="7" t="n">
        <v>-0.608</v>
      </c>
      <c r="AL118" s="7" t="n">
        <v>0.142</v>
      </c>
      <c r="AM118" s="7" t="n">
        <v>-0.428</v>
      </c>
      <c r="AN118" s="7" t="n">
        <v>-0.157</v>
      </c>
      <c r="AO118" s="7" t="n">
        <v>0.04</v>
      </c>
      <c r="AP118" s="7" t="n">
        <v>0</v>
      </c>
      <c r="AQ118" s="7" t="n">
        <v>0.142</v>
      </c>
    </row>
    <row r="119" customFormat="false" ht="15" hidden="false" customHeight="false" outlineLevel="0" collapsed="false">
      <c r="A119" s="23" t="n">
        <v>46436</v>
      </c>
      <c r="B119" s="7" t="n">
        <v>0.221</v>
      </c>
      <c r="C119" s="7" t="n">
        <v>-0.262</v>
      </c>
      <c r="D119" s="7" t="n">
        <v>0.137</v>
      </c>
      <c r="E119" s="7" t="n">
        <v>0.489</v>
      </c>
      <c r="F119" s="7" t="n">
        <v>0.341</v>
      </c>
      <c r="G119" s="7" t="n">
        <v>0.137</v>
      </c>
      <c r="H119" s="7" t="n">
        <v>-0.04</v>
      </c>
      <c r="I119" s="7" t="n">
        <v>-0.518</v>
      </c>
      <c r="J119" s="7" t="n">
        <v>-0.072</v>
      </c>
      <c r="K119" s="7" t="n">
        <v>0.404</v>
      </c>
      <c r="L119" s="7" t="n">
        <v>-0.176</v>
      </c>
      <c r="M119" s="7" t="n">
        <v>0.176</v>
      </c>
      <c r="N119" s="7" t="n">
        <v>-0.095</v>
      </c>
      <c r="O119" s="7" t="n">
        <v>0.268</v>
      </c>
      <c r="P119" s="7" t="n">
        <v>0.273</v>
      </c>
      <c r="Q119" s="7" t="n">
        <v>0.273</v>
      </c>
      <c r="R119" s="7" t="n">
        <v>-0.04</v>
      </c>
      <c r="S119" s="7" t="n">
        <v>0.281</v>
      </c>
      <c r="T119" s="7" t="n">
        <v>-0.04</v>
      </c>
      <c r="U119" s="7" t="n">
        <v>0.323</v>
      </c>
      <c r="V119" s="7" t="n">
        <v>-0.092</v>
      </c>
      <c r="W119" s="7" t="n">
        <v>0.273</v>
      </c>
      <c r="X119" s="7" t="n">
        <v>0.176</v>
      </c>
      <c r="Y119" s="7" t="n">
        <v>0.137</v>
      </c>
      <c r="Z119" s="7" t="n">
        <v>0.404</v>
      </c>
      <c r="AA119" s="7" t="n">
        <v>-0.04</v>
      </c>
      <c r="AB119" s="7" t="n">
        <v>-0.344</v>
      </c>
      <c r="AC119" s="7" t="n">
        <v>0.31</v>
      </c>
      <c r="AD119" s="7" t="n">
        <v>0.315</v>
      </c>
      <c r="AE119" s="7" t="n">
        <v>0.341</v>
      </c>
      <c r="AF119" s="7" t="n">
        <v>0.48</v>
      </c>
      <c r="AG119" s="7" t="n">
        <v>-0.04</v>
      </c>
      <c r="AH119" s="7" t="n">
        <v>0.8</v>
      </c>
      <c r="AI119" s="7" t="n">
        <v>-0.299</v>
      </c>
      <c r="AJ119" s="7" t="n">
        <v>-0.647</v>
      </c>
      <c r="AK119" s="7" t="n">
        <v>-0.605</v>
      </c>
      <c r="AL119" s="7" t="n">
        <v>0.142</v>
      </c>
      <c r="AM119" s="7" t="n">
        <v>-0.417</v>
      </c>
      <c r="AN119" s="7" t="n">
        <v>-0.167</v>
      </c>
      <c r="AO119" s="7" t="n">
        <v>0.04</v>
      </c>
      <c r="AP119" s="7" t="n">
        <v>0</v>
      </c>
      <c r="AQ119" s="7" t="n">
        <v>0.142</v>
      </c>
    </row>
    <row r="120" customFormat="false" ht="15" hidden="false" customHeight="false" outlineLevel="0" collapsed="false">
      <c r="A120" s="23" t="n">
        <v>46437</v>
      </c>
      <c r="B120" s="7" t="n">
        <v>0.223</v>
      </c>
      <c r="C120" s="7" t="n">
        <v>-0.26</v>
      </c>
      <c r="D120" s="7" t="n">
        <v>0.136</v>
      </c>
      <c r="E120" s="7" t="n">
        <v>0.493</v>
      </c>
      <c r="F120" s="7" t="n">
        <v>0.34</v>
      </c>
      <c r="G120" s="7" t="n">
        <v>0.136</v>
      </c>
      <c r="H120" s="7" t="n">
        <v>-0.049</v>
      </c>
      <c r="I120" s="7" t="n">
        <v>-0.51</v>
      </c>
      <c r="J120" s="7" t="n">
        <v>-0.06</v>
      </c>
      <c r="K120" s="7" t="n">
        <v>0.415</v>
      </c>
      <c r="L120" s="7" t="n">
        <v>-0.164</v>
      </c>
      <c r="M120" s="7" t="n">
        <v>0.174</v>
      </c>
      <c r="N120" s="7" t="n">
        <v>-0.083</v>
      </c>
      <c r="O120" s="7" t="n">
        <v>0.277</v>
      </c>
      <c r="P120" s="7" t="n">
        <v>0.272</v>
      </c>
      <c r="Q120" s="7" t="n">
        <v>0.272</v>
      </c>
      <c r="R120" s="7" t="n">
        <v>-0.049</v>
      </c>
      <c r="S120" s="7" t="n">
        <v>0.289</v>
      </c>
      <c r="T120" s="7" t="n">
        <v>-0.049</v>
      </c>
      <c r="U120" s="7" t="n">
        <v>0.318</v>
      </c>
      <c r="V120" s="7" t="n">
        <v>-0.095</v>
      </c>
      <c r="W120" s="7" t="n">
        <v>0.272</v>
      </c>
      <c r="X120" s="7" t="n">
        <v>0.174</v>
      </c>
      <c r="Y120" s="7" t="n">
        <v>0.136</v>
      </c>
      <c r="Z120" s="7" t="n">
        <v>0.415</v>
      </c>
      <c r="AA120" s="7" t="n">
        <v>-0.049</v>
      </c>
      <c r="AB120" s="7" t="n">
        <v>-0.32</v>
      </c>
      <c r="AC120" s="7" t="n">
        <v>0.307</v>
      </c>
      <c r="AD120" s="7" t="n">
        <v>0.319</v>
      </c>
      <c r="AE120" s="7" t="n">
        <v>0.34</v>
      </c>
      <c r="AF120" s="7" t="n">
        <v>0.475</v>
      </c>
      <c r="AG120" s="7" t="n">
        <v>-0.049</v>
      </c>
      <c r="AH120" s="7" t="n">
        <v>0.8</v>
      </c>
      <c r="AI120" s="7" t="n">
        <v>-0.288</v>
      </c>
      <c r="AJ120" s="7" t="n">
        <v>-0.643</v>
      </c>
      <c r="AK120" s="7" t="n">
        <v>-0.601</v>
      </c>
      <c r="AL120" s="7" t="n">
        <v>0.142</v>
      </c>
      <c r="AM120" s="7" t="n">
        <v>-0.405</v>
      </c>
      <c r="AN120" s="7" t="n">
        <v>-0.175</v>
      </c>
      <c r="AO120" s="7" t="n">
        <v>0.039</v>
      </c>
      <c r="AP120" s="7" t="n">
        <v>0</v>
      </c>
      <c r="AQ120" s="7" t="n">
        <v>0.142</v>
      </c>
    </row>
    <row r="121" customFormat="false" ht="15" hidden="false" customHeight="false" outlineLevel="0" collapsed="false">
      <c r="A121" s="23" t="n">
        <v>46438</v>
      </c>
      <c r="B121" s="7" t="n">
        <v>0.231</v>
      </c>
      <c r="C121" s="7" t="n">
        <v>-0.248</v>
      </c>
      <c r="D121" s="7" t="n">
        <v>0.135</v>
      </c>
      <c r="E121" s="7" t="n">
        <v>0.501</v>
      </c>
      <c r="F121" s="7" t="n">
        <v>0.349</v>
      </c>
      <c r="G121" s="7" t="n">
        <v>0.135</v>
      </c>
      <c r="H121" s="7" t="n">
        <v>-0.059</v>
      </c>
      <c r="I121" s="7" t="n">
        <v>-0.51</v>
      </c>
      <c r="J121" s="7" t="n">
        <v>-0.056</v>
      </c>
      <c r="K121" s="7" t="n">
        <v>0.431</v>
      </c>
      <c r="L121" s="7" t="n">
        <v>-0.16</v>
      </c>
      <c r="M121" s="7" t="n">
        <v>0.17</v>
      </c>
      <c r="N121" s="7" t="n">
        <v>-0.067</v>
      </c>
      <c r="O121" s="7" t="n">
        <v>0.278</v>
      </c>
      <c r="P121" s="7" t="n">
        <v>0.271</v>
      </c>
      <c r="Q121" s="7" t="n">
        <v>0.271</v>
      </c>
      <c r="R121" s="7" t="n">
        <v>-0.059</v>
      </c>
      <c r="S121" s="7" t="n">
        <v>0.302</v>
      </c>
      <c r="T121" s="7" t="n">
        <v>-0.059</v>
      </c>
      <c r="U121" s="7" t="n">
        <v>0.323</v>
      </c>
      <c r="V121" s="7" t="n">
        <v>-0.098</v>
      </c>
      <c r="W121" s="7" t="n">
        <v>0.271</v>
      </c>
      <c r="X121" s="7" t="n">
        <v>0.17</v>
      </c>
      <c r="Y121" s="7" t="n">
        <v>0.135</v>
      </c>
      <c r="Z121" s="7" t="n">
        <v>0.431</v>
      </c>
      <c r="AA121" s="7" t="n">
        <v>-0.059</v>
      </c>
      <c r="AB121" s="7" t="n">
        <v>-0.314</v>
      </c>
      <c r="AC121" s="7" t="n">
        <v>0.304</v>
      </c>
      <c r="AD121" s="7" t="n">
        <v>0.326</v>
      </c>
      <c r="AE121" s="7" t="n">
        <v>0.349</v>
      </c>
      <c r="AF121" s="7" t="n">
        <v>0.483</v>
      </c>
      <c r="AG121" s="7" t="n">
        <v>-0.059</v>
      </c>
      <c r="AH121" s="7" t="n">
        <v>0.799</v>
      </c>
      <c r="AI121" s="7" t="n">
        <v>-0.284</v>
      </c>
      <c r="AJ121" s="7" t="n">
        <v>-0.644</v>
      </c>
      <c r="AK121" s="7" t="n">
        <v>-0.603</v>
      </c>
      <c r="AL121" s="7" t="n">
        <v>0.141</v>
      </c>
      <c r="AM121" s="7" t="n">
        <v>-0.402</v>
      </c>
      <c r="AN121" s="7" t="n">
        <v>-0.183</v>
      </c>
      <c r="AO121" s="7" t="n">
        <v>0.036</v>
      </c>
      <c r="AP121" s="7" t="n">
        <v>0</v>
      </c>
      <c r="AQ121" s="7" t="n">
        <v>0.141</v>
      </c>
    </row>
    <row r="122" customFormat="false" ht="15" hidden="false" customHeight="false" outlineLevel="0" collapsed="false">
      <c r="A122" s="23" t="n">
        <v>46439</v>
      </c>
      <c r="B122" s="7" t="n">
        <v>0.231</v>
      </c>
      <c r="C122" s="7" t="n">
        <v>-0.248</v>
      </c>
      <c r="D122" s="7" t="n">
        <v>0.135</v>
      </c>
      <c r="E122" s="7" t="n">
        <v>0.501</v>
      </c>
      <c r="F122" s="7" t="n">
        <v>0.349</v>
      </c>
      <c r="G122" s="7" t="n">
        <v>0.135</v>
      </c>
      <c r="H122" s="7" t="n">
        <v>-0.059</v>
      </c>
      <c r="I122" s="7" t="n">
        <v>-0.51</v>
      </c>
      <c r="J122" s="7" t="n">
        <v>-0.056</v>
      </c>
      <c r="K122" s="7" t="n">
        <v>0.431</v>
      </c>
      <c r="L122" s="7" t="n">
        <v>-0.16</v>
      </c>
      <c r="M122" s="7" t="n">
        <v>0.17</v>
      </c>
      <c r="N122" s="7" t="n">
        <v>-0.067</v>
      </c>
      <c r="O122" s="7" t="n">
        <v>0.278</v>
      </c>
      <c r="P122" s="7" t="n">
        <v>0.271</v>
      </c>
      <c r="Q122" s="7" t="n">
        <v>0.271</v>
      </c>
      <c r="R122" s="7" t="n">
        <v>-0.059</v>
      </c>
      <c r="S122" s="7" t="n">
        <v>0.302</v>
      </c>
      <c r="T122" s="7" t="n">
        <v>-0.059</v>
      </c>
      <c r="U122" s="7" t="n">
        <v>0.323</v>
      </c>
      <c r="V122" s="7" t="n">
        <v>-0.098</v>
      </c>
      <c r="W122" s="7" t="n">
        <v>0.271</v>
      </c>
      <c r="X122" s="7" t="n">
        <v>0.17</v>
      </c>
      <c r="Y122" s="7" t="n">
        <v>0.135</v>
      </c>
      <c r="Z122" s="7" t="n">
        <v>0.431</v>
      </c>
      <c r="AA122" s="7" t="n">
        <v>-0.059</v>
      </c>
      <c r="AB122" s="7" t="n">
        <v>-0.314</v>
      </c>
      <c r="AC122" s="7" t="n">
        <v>0.304</v>
      </c>
      <c r="AD122" s="7" t="n">
        <v>0.326</v>
      </c>
      <c r="AE122" s="7" t="n">
        <v>0.349</v>
      </c>
      <c r="AF122" s="7" t="n">
        <v>0.483</v>
      </c>
      <c r="AG122" s="7" t="n">
        <v>-0.059</v>
      </c>
      <c r="AH122" s="7" t="n">
        <v>0.799</v>
      </c>
      <c r="AI122" s="7" t="n">
        <v>-0.284</v>
      </c>
      <c r="AJ122" s="7" t="n">
        <v>-0.644</v>
      </c>
      <c r="AK122" s="7" t="n">
        <v>-0.603</v>
      </c>
      <c r="AL122" s="7" t="n">
        <v>0.141</v>
      </c>
      <c r="AM122" s="7" t="n">
        <v>-0.402</v>
      </c>
      <c r="AN122" s="7" t="n">
        <v>-0.183</v>
      </c>
      <c r="AO122" s="7" t="n">
        <v>0.036</v>
      </c>
      <c r="AP122" s="7" t="n">
        <v>0</v>
      </c>
      <c r="AQ122" s="7" t="n">
        <v>0.141</v>
      </c>
    </row>
    <row r="123" customFormat="false" ht="15" hidden="false" customHeight="false" outlineLevel="0" collapsed="false">
      <c r="A123" s="23" t="n">
        <v>46440</v>
      </c>
      <c r="B123" s="7" t="n">
        <v>0.231</v>
      </c>
      <c r="C123" s="7" t="n">
        <v>-0.248</v>
      </c>
      <c r="D123" s="7" t="n">
        <v>0.135</v>
      </c>
      <c r="E123" s="7" t="n">
        <v>0.501</v>
      </c>
      <c r="F123" s="7" t="n">
        <v>0.349</v>
      </c>
      <c r="G123" s="7" t="n">
        <v>0.135</v>
      </c>
      <c r="H123" s="7" t="n">
        <v>-0.059</v>
      </c>
      <c r="I123" s="7" t="n">
        <v>-0.51</v>
      </c>
      <c r="J123" s="7" t="n">
        <v>-0.056</v>
      </c>
      <c r="K123" s="7" t="n">
        <v>0.431</v>
      </c>
      <c r="L123" s="7" t="n">
        <v>-0.16</v>
      </c>
      <c r="M123" s="7" t="n">
        <v>0.17</v>
      </c>
      <c r="N123" s="7" t="n">
        <v>-0.067</v>
      </c>
      <c r="O123" s="7" t="n">
        <v>0.278</v>
      </c>
      <c r="P123" s="7" t="n">
        <v>0.271</v>
      </c>
      <c r="Q123" s="7" t="n">
        <v>0.271</v>
      </c>
      <c r="R123" s="7" t="n">
        <v>-0.059</v>
      </c>
      <c r="S123" s="7" t="n">
        <v>0.302</v>
      </c>
      <c r="T123" s="7" t="n">
        <v>-0.059</v>
      </c>
      <c r="U123" s="7" t="n">
        <v>0.323</v>
      </c>
      <c r="V123" s="7" t="n">
        <v>-0.098</v>
      </c>
      <c r="W123" s="7" t="n">
        <v>0.271</v>
      </c>
      <c r="X123" s="7" t="n">
        <v>0.17</v>
      </c>
      <c r="Y123" s="7" t="n">
        <v>0.135</v>
      </c>
      <c r="Z123" s="7" t="n">
        <v>0.431</v>
      </c>
      <c r="AA123" s="7" t="n">
        <v>-0.059</v>
      </c>
      <c r="AB123" s="7" t="n">
        <v>-0.314</v>
      </c>
      <c r="AC123" s="7" t="n">
        <v>0.304</v>
      </c>
      <c r="AD123" s="7" t="n">
        <v>0.326</v>
      </c>
      <c r="AE123" s="7" t="n">
        <v>0.349</v>
      </c>
      <c r="AF123" s="7" t="n">
        <v>0.483</v>
      </c>
      <c r="AG123" s="7" t="n">
        <v>-0.059</v>
      </c>
      <c r="AH123" s="7" t="n">
        <v>0.799</v>
      </c>
      <c r="AI123" s="7" t="n">
        <v>-0.284</v>
      </c>
      <c r="AJ123" s="7" t="n">
        <v>-0.644</v>
      </c>
      <c r="AK123" s="7" t="n">
        <v>-0.603</v>
      </c>
      <c r="AL123" s="7" t="n">
        <v>0.141</v>
      </c>
      <c r="AM123" s="7" t="n">
        <v>-0.402</v>
      </c>
      <c r="AN123" s="7" t="n">
        <v>-0.183</v>
      </c>
      <c r="AO123" s="7" t="n">
        <v>0.036</v>
      </c>
      <c r="AP123" s="7" t="n">
        <v>0</v>
      </c>
      <c r="AQ123" s="7" t="n">
        <v>0.141</v>
      </c>
    </row>
    <row r="124" customFormat="false" ht="15" hidden="false" customHeight="false" outlineLevel="0" collapsed="false">
      <c r="A124" s="23" t="n">
        <v>46441</v>
      </c>
      <c r="B124" s="7" t="n">
        <v>0.236</v>
      </c>
      <c r="C124" s="7" t="n">
        <v>-0.238</v>
      </c>
      <c r="D124" s="7" t="n">
        <v>0.135</v>
      </c>
      <c r="E124" s="7" t="n">
        <v>0.508</v>
      </c>
      <c r="F124" s="7" t="n">
        <v>0.356</v>
      </c>
      <c r="G124" s="7" t="n">
        <v>0.135</v>
      </c>
      <c r="H124" s="7" t="n">
        <v>-0.068</v>
      </c>
      <c r="I124" s="7" t="n">
        <v>-0.515</v>
      </c>
      <c r="J124" s="7" t="n">
        <v>-0.055</v>
      </c>
      <c r="K124" s="7" t="n">
        <v>0.445</v>
      </c>
      <c r="L124" s="7" t="n">
        <v>-0.157</v>
      </c>
      <c r="M124" s="7" t="n">
        <v>0.167</v>
      </c>
      <c r="N124" s="7" t="n">
        <v>-0.054</v>
      </c>
      <c r="O124" s="7" t="n">
        <v>0.283</v>
      </c>
      <c r="P124" s="7" t="n">
        <v>0.271</v>
      </c>
      <c r="Q124" s="7" t="n">
        <v>0.271</v>
      </c>
      <c r="R124" s="7" t="n">
        <v>-0.068</v>
      </c>
      <c r="S124" s="7" t="n">
        <v>0.314</v>
      </c>
      <c r="T124" s="7" t="n">
        <v>-0.068</v>
      </c>
      <c r="U124" s="7" t="n">
        <v>0.326</v>
      </c>
      <c r="V124" s="7" t="n">
        <v>-0.111</v>
      </c>
      <c r="W124" s="7" t="n">
        <v>0.271</v>
      </c>
      <c r="X124" s="7" t="n">
        <v>0.167</v>
      </c>
      <c r="Y124" s="7" t="n">
        <v>0.135</v>
      </c>
      <c r="Z124" s="7" t="n">
        <v>0.445</v>
      </c>
      <c r="AA124" s="7" t="n">
        <v>-0.068</v>
      </c>
      <c r="AB124" s="7" t="n">
        <v>-0.319</v>
      </c>
      <c r="AC124" s="7" t="n">
        <v>0.301</v>
      </c>
      <c r="AD124" s="7" t="n">
        <v>0.331</v>
      </c>
      <c r="AE124" s="7" t="n">
        <v>0.356</v>
      </c>
      <c r="AF124" s="7" t="n">
        <v>0.491</v>
      </c>
      <c r="AG124" s="7" t="n">
        <v>-0.068</v>
      </c>
      <c r="AH124" s="7" t="n">
        <v>0.802</v>
      </c>
      <c r="AI124" s="7" t="n">
        <v>-0.28</v>
      </c>
      <c r="AJ124" s="7" t="n">
        <v>-0.645</v>
      </c>
      <c r="AK124" s="7" t="n">
        <v>-0.605</v>
      </c>
      <c r="AL124" s="7" t="n">
        <v>0.141</v>
      </c>
      <c r="AM124" s="7" t="n">
        <v>-0.398</v>
      </c>
      <c r="AN124" s="7" t="n">
        <v>-0.191</v>
      </c>
      <c r="AO124" s="7" t="n">
        <v>0.033</v>
      </c>
      <c r="AP124" s="7" t="n">
        <v>0</v>
      </c>
      <c r="AQ124" s="7" t="n">
        <v>0.141</v>
      </c>
    </row>
    <row r="125" customFormat="false" ht="15" hidden="false" customHeight="false" outlineLevel="0" collapsed="false">
      <c r="A125" s="23" t="n">
        <v>46442</v>
      </c>
      <c r="B125" s="7" t="n">
        <v>0.241</v>
      </c>
      <c r="C125" s="7" t="n">
        <v>-0.228</v>
      </c>
      <c r="D125" s="7" t="n">
        <v>0.134</v>
      </c>
      <c r="E125" s="7" t="n">
        <v>0.513</v>
      </c>
      <c r="F125" s="7" t="n">
        <v>0.362</v>
      </c>
      <c r="G125" s="7" t="n">
        <v>0.134</v>
      </c>
      <c r="H125" s="7" t="n">
        <v>-0.076</v>
      </c>
      <c r="I125" s="7" t="n">
        <v>-0.517</v>
      </c>
      <c r="J125" s="7" t="n">
        <v>-0.056</v>
      </c>
      <c r="K125" s="7" t="n">
        <v>0.458</v>
      </c>
      <c r="L125" s="7" t="n">
        <v>-0.154</v>
      </c>
      <c r="M125" s="7" t="n">
        <v>0.164</v>
      </c>
      <c r="N125" s="7" t="n">
        <v>-0.043</v>
      </c>
      <c r="O125" s="7" t="n">
        <v>0.287</v>
      </c>
      <c r="P125" s="7" t="n">
        <v>0.27</v>
      </c>
      <c r="Q125" s="7" t="n">
        <v>0.27</v>
      </c>
      <c r="R125" s="7" t="n">
        <v>-0.076</v>
      </c>
      <c r="S125" s="7" t="n">
        <v>0.328</v>
      </c>
      <c r="T125" s="7" t="n">
        <v>-0.076</v>
      </c>
      <c r="U125" s="7" t="n">
        <v>0.33</v>
      </c>
      <c r="V125" s="7" t="n">
        <v>-0.118</v>
      </c>
      <c r="W125" s="7" t="n">
        <v>0.27</v>
      </c>
      <c r="X125" s="7" t="n">
        <v>0.164</v>
      </c>
      <c r="Y125" s="7" t="n">
        <v>0.134</v>
      </c>
      <c r="Z125" s="7" t="n">
        <v>0.458</v>
      </c>
      <c r="AA125" s="7" t="n">
        <v>-0.076</v>
      </c>
      <c r="AB125" s="7" t="n">
        <v>-0.32</v>
      </c>
      <c r="AC125" s="7" t="n">
        <v>0.297</v>
      </c>
      <c r="AD125" s="7" t="n">
        <v>0.335</v>
      </c>
      <c r="AE125" s="7" t="n">
        <v>0.362</v>
      </c>
      <c r="AF125" s="7" t="n">
        <v>0.498</v>
      </c>
      <c r="AG125" s="7" t="n">
        <v>-0.076</v>
      </c>
      <c r="AH125" s="7" t="n">
        <v>0.804</v>
      </c>
      <c r="AI125" s="7" t="n">
        <v>-0.277</v>
      </c>
      <c r="AJ125" s="7" t="n">
        <v>-0.646</v>
      </c>
      <c r="AK125" s="7" t="n">
        <v>-0.607</v>
      </c>
      <c r="AL125" s="7" t="n">
        <v>0.141</v>
      </c>
      <c r="AM125" s="7" t="n">
        <v>-0.395</v>
      </c>
      <c r="AN125" s="7" t="n">
        <v>-0.198</v>
      </c>
      <c r="AO125" s="7" t="n">
        <v>0.03</v>
      </c>
      <c r="AP125" s="7" t="n">
        <v>0</v>
      </c>
      <c r="AQ125" s="7" t="n">
        <v>0.141</v>
      </c>
    </row>
    <row r="126" customFormat="false" ht="15" hidden="false" customHeight="false" outlineLevel="0" collapsed="false">
      <c r="A126" s="23" t="n">
        <v>46443</v>
      </c>
      <c r="B126" s="7" t="n">
        <v>0.242</v>
      </c>
      <c r="C126" s="7" t="n">
        <v>-0.228</v>
      </c>
      <c r="D126" s="7" t="n">
        <v>0.134</v>
      </c>
      <c r="E126" s="7" t="n">
        <v>0.512</v>
      </c>
      <c r="F126" s="7" t="n">
        <v>0.368</v>
      </c>
      <c r="G126" s="7" t="n">
        <v>0.134</v>
      </c>
      <c r="H126" s="7" t="n">
        <v>-0.092</v>
      </c>
      <c r="I126" s="7" t="n">
        <v>-0.519</v>
      </c>
      <c r="J126" s="7" t="n">
        <v>-0.052</v>
      </c>
      <c r="K126" s="7" t="n">
        <v>0.457</v>
      </c>
      <c r="L126" s="7" t="n">
        <v>-0.148</v>
      </c>
      <c r="M126" s="7" t="n">
        <v>0.16</v>
      </c>
      <c r="N126" s="7" t="n">
        <v>-0.03</v>
      </c>
      <c r="O126" s="7" t="n">
        <v>0.296</v>
      </c>
      <c r="P126" s="7" t="n">
        <v>0.269</v>
      </c>
      <c r="Q126" s="7" t="n">
        <v>0.269</v>
      </c>
      <c r="R126" s="7" t="n">
        <v>-0.092</v>
      </c>
      <c r="S126" s="7" t="n">
        <v>0.326</v>
      </c>
      <c r="T126" s="7" t="n">
        <v>-0.092</v>
      </c>
      <c r="U126" s="7" t="n">
        <v>0.327</v>
      </c>
      <c r="V126" s="7" t="n">
        <v>-0.129</v>
      </c>
      <c r="W126" s="7" t="n">
        <v>0.269</v>
      </c>
      <c r="X126" s="7" t="n">
        <v>0.16</v>
      </c>
      <c r="Y126" s="7" t="n">
        <v>0.134</v>
      </c>
      <c r="Z126" s="7" t="n">
        <v>0.457</v>
      </c>
      <c r="AA126" s="7" t="n">
        <v>-0.092</v>
      </c>
      <c r="AB126" s="7" t="n">
        <v>-0.307</v>
      </c>
      <c r="AC126" s="7" t="n">
        <v>0.294</v>
      </c>
      <c r="AD126" s="7" t="n">
        <v>0.33</v>
      </c>
      <c r="AE126" s="7" t="n">
        <v>0.368</v>
      </c>
      <c r="AF126" s="7" t="n">
        <v>0.5</v>
      </c>
      <c r="AG126" s="7" t="n">
        <v>-0.092</v>
      </c>
      <c r="AH126" s="7" t="n">
        <v>0.807</v>
      </c>
      <c r="AI126" s="7" t="n">
        <v>-0.271</v>
      </c>
      <c r="AJ126" s="7" t="n">
        <v>-0.649</v>
      </c>
      <c r="AK126" s="7" t="n">
        <v>-0.612</v>
      </c>
      <c r="AL126" s="7" t="n">
        <v>0.14</v>
      </c>
      <c r="AM126" s="7" t="n">
        <v>-0.39</v>
      </c>
      <c r="AN126" s="7" t="n">
        <v>-0.213</v>
      </c>
      <c r="AO126" s="7" t="n">
        <v>0.028</v>
      </c>
      <c r="AP126" s="7" t="n">
        <v>0</v>
      </c>
      <c r="AQ126" s="7" t="n">
        <v>0.14</v>
      </c>
    </row>
    <row r="127" customFormat="false" ht="15" hidden="false" customHeight="false" outlineLevel="0" collapsed="false">
      <c r="A127" s="23" t="n">
        <v>46444</v>
      </c>
      <c r="B127" s="7" t="n">
        <v>0.233</v>
      </c>
      <c r="C127" s="7" t="n">
        <v>-0.246</v>
      </c>
      <c r="D127" s="7" t="n">
        <v>0.133</v>
      </c>
      <c r="E127" s="7" t="n">
        <v>0.504</v>
      </c>
      <c r="F127" s="7" t="n">
        <v>0.366</v>
      </c>
      <c r="G127" s="7" t="n">
        <v>0.133</v>
      </c>
      <c r="H127" s="7" t="n">
        <v>-0.11</v>
      </c>
      <c r="I127" s="7" t="n">
        <v>-0.532</v>
      </c>
      <c r="J127" s="7" t="n">
        <v>-0.05</v>
      </c>
      <c r="K127" s="7" t="n">
        <v>0.443</v>
      </c>
      <c r="L127" s="7" t="n">
        <v>-0.142</v>
      </c>
      <c r="M127" s="7" t="n">
        <v>0.157</v>
      </c>
      <c r="N127" s="7" t="n">
        <v>-0.025</v>
      </c>
      <c r="O127" s="7" t="n">
        <v>0.304</v>
      </c>
      <c r="P127" s="7" t="n">
        <v>0.268</v>
      </c>
      <c r="Q127" s="7" t="n">
        <v>0.268</v>
      </c>
      <c r="R127" s="7" t="n">
        <v>-0.11</v>
      </c>
      <c r="S127" s="7" t="n">
        <v>0.313</v>
      </c>
      <c r="T127" s="7" t="n">
        <v>-0.11</v>
      </c>
      <c r="U127" s="7" t="n">
        <v>0.317</v>
      </c>
      <c r="V127" s="7" t="n">
        <v>-0.149</v>
      </c>
      <c r="W127" s="7" t="n">
        <v>0.268</v>
      </c>
      <c r="X127" s="7" t="n">
        <v>0.157</v>
      </c>
      <c r="Y127" s="7" t="n">
        <v>0.133</v>
      </c>
      <c r="Z127" s="7" t="n">
        <v>0.443</v>
      </c>
      <c r="AA127" s="7" t="n">
        <v>-0.11</v>
      </c>
      <c r="AB127" s="7" t="n">
        <v>-0.3</v>
      </c>
      <c r="AC127" s="7" t="n">
        <v>0.29</v>
      </c>
      <c r="AD127" s="7" t="n">
        <v>0.317</v>
      </c>
      <c r="AE127" s="7" t="n">
        <v>0.366</v>
      </c>
      <c r="AF127" s="7" t="n">
        <v>0.493</v>
      </c>
      <c r="AG127" s="7" t="n">
        <v>-0.11</v>
      </c>
      <c r="AH127" s="7" t="n">
        <v>0.81</v>
      </c>
      <c r="AI127" s="7" t="n">
        <v>-0.265</v>
      </c>
      <c r="AJ127" s="7" t="n">
        <v>-0.655</v>
      </c>
      <c r="AK127" s="7" t="n">
        <v>-0.618</v>
      </c>
      <c r="AL127" s="7" t="n">
        <v>0.14</v>
      </c>
      <c r="AM127" s="7" t="n">
        <v>-0.385</v>
      </c>
      <c r="AN127" s="7" t="n">
        <v>-0.231</v>
      </c>
      <c r="AO127" s="7" t="n">
        <v>0.025</v>
      </c>
      <c r="AP127" s="7" t="n">
        <v>0</v>
      </c>
      <c r="AQ127" s="7" t="n">
        <v>0.14</v>
      </c>
    </row>
    <row r="128" customFormat="false" ht="15" hidden="false" customHeight="false" outlineLevel="0" collapsed="false">
      <c r="A128" s="23" t="n">
        <v>46445</v>
      </c>
      <c r="B128" s="7" t="n">
        <v>0.223</v>
      </c>
      <c r="C128" s="7" t="n">
        <v>-0.261</v>
      </c>
      <c r="D128" s="7" t="n">
        <v>0.132</v>
      </c>
      <c r="E128" s="7" t="n">
        <v>0.495</v>
      </c>
      <c r="F128" s="7" t="n">
        <v>0.365</v>
      </c>
      <c r="G128" s="7" t="n">
        <v>0.132</v>
      </c>
      <c r="H128" s="7" t="n">
        <v>-0.127</v>
      </c>
      <c r="I128" s="7" t="n">
        <v>-0.547</v>
      </c>
      <c r="J128" s="7" t="n">
        <v>-0.046</v>
      </c>
      <c r="K128" s="7" t="n">
        <v>0.431</v>
      </c>
      <c r="L128" s="7" t="n">
        <v>-0.134</v>
      </c>
      <c r="M128" s="7" t="n">
        <v>0.154</v>
      </c>
      <c r="N128" s="7" t="n">
        <v>-0.016</v>
      </c>
      <c r="O128" s="7" t="n">
        <v>0.313</v>
      </c>
      <c r="P128" s="7" t="n">
        <v>0.266</v>
      </c>
      <c r="Q128" s="7" t="n">
        <v>0.266</v>
      </c>
      <c r="R128" s="7" t="n">
        <v>-0.127</v>
      </c>
      <c r="S128" s="7" t="n">
        <v>0.298</v>
      </c>
      <c r="T128" s="7" t="n">
        <v>-0.127</v>
      </c>
      <c r="U128" s="7" t="n">
        <v>0.305</v>
      </c>
      <c r="V128" s="7" t="n">
        <v>-0.174</v>
      </c>
      <c r="W128" s="7" t="n">
        <v>0.266</v>
      </c>
      <c r="X128" s="7" t="n">
        <v>0.154</v>
      </c>
      <c r="Y128" s="7" t="n">
        <v>0.132</v>
      </c>
      <c r="Z128" s="7" t="n">
        <v>0.431</v>
      </c>
      <c r="AA128" s="7" t="n">
        <v>-0.127</v>
      </c>
      <c r="AB128" s="7" t="n">
        <v>-0.294</v>
      </c>
      <c r="AC128" s="7" t="n">
        <v>0.285</v>
      </c>
      <c r="AD128" s="7" t="n">
        <v>0.302</v>
      </c>
      <c r="AE128" s="7" t="n">
        <v>0.365</v>
      </c>
      <c r="AF128" s="7" t="n">
        <v>0.485</v>
      </c>
      <c r="AG128" s="7" t="n">
        <v>-0.127</v>
      </c>
      <c r="AH128" s="7" t="n">
        <v>0.812</v>
      </c>
      <c r="AI128" s="7" t="n">
        <v>-0.257</v>
      </c>
      <c r="AJ128" s="7" t="n">
        <v>-0.661</v>
      </c>
      <c r="AK128" s="7" t="n">
        <v>-0.624</v>
      </c>
      <c r="AL128" s="7" t="n">
        <v>0.138</v>
      </c>
      <c r="AM128" s="7" t="n">
        <v>-0.377</v>
      </c>
      <c r="AN128" s="7" t="n">
        <v>-0.248</v>
      </c>
      <c r="AO128" s="7" t="n">
        <v>0.022</v>
      </c>
      <c r="AP128" s="7" t="n">
        <v>0</v>
      </c>
      <c r="AQ128" s="7" t="n">
        <v>0.138</v>
      </c>
    </row>
    <row r="129" customFormat="false" ht="15" hidden="false" customHeight="false" outlineLevel="0" collapsed="false">
      <c r="A129" s="23" t="n">
        <v>46446</v>
      </c>
      <c r="B129" s="7" t="n">
        <v>0.223</v>
      </c>
      <c r="C129" s="7" t="n">
        <v>-0.261</v>
      </c>
      <c r="D129" s="7" t="n">
        <v>0.132</v>
      </c>
      <c r="E129" s="7" t="n">
        <v>0.495</v>
      </c>
      <c r="F129" s="7" t="n">
        <v>0.365</v>
      </c>
      <c r="G129" s="7" t="n">
        <v>0.132</v>
      </c>
      <c r="H129" s="7" t="n">
        <v>-0.127</v>
      </c>
      <c r="I129" s="7" t="n">
        <v>-0.547</v>
      </c>
      <c r="J129" s="7" t="n">
        <v>-0.046</v>
      </c>
      <c r="K129" s="7" t="n">
        <v>0.431</v>
      </c>
      <c r="L129" s="7" t="n">
        <v>-0.134</v>
      </c>
      <c r="M129" s="7" t="n">
        <v>0.154</v>
      </c>
      <c r="N129" s="7" t="n">
        <v>-0.016</v>
      </c>
      <c r="O129" s="7" t="n">
        <v>0.313</v>
      </c>
      <c r="P129" s="7" t="n">
        <v>0.266</v>
      </c>
      <c r="Q129" s="7" t="n">
        <v>0.266</v>
      </c>
      <c r="R129" s="7" t="n">
        <v>-0.127</v>
      </c>
      <c r="S129" s="7" t="n">
        <v>0.298</v>
      </c>
      <c r="T129" s="7" t="n">
        <v>-0.127</v>
      </c>
      <c r="U129" s="7" t="n">
        <v>0.305</v>
      </c>
      <c r="V129" s="7" t="n">
        <v>-0.174</v>
      </c>
      <c r="W129" s="7" t="n">
        <v>0.266</v>
      </c>
      <c r="X129" s="7" t="n">
        <v>0.154</v>
      </c>
      <c r="Y129" s="7" t="n">
        <v>0.132</v>
      </c>
      <c r="Z129" s="7" t="n">
        <v>0.431</v>
      </c>
      <c r="AA129" s="7" t="n">
        <v>-0.127</v>
      </c>
      <c r="AB129" s="7" t="n">
        <v>-0.294</v>
      </c>
      <c r="AC129" s="7" t="n">
        <v>0.285</v>
      </c>
      <c r="AD129" s="7" t="n">
        <v>0.302</v>
      </c>
      <c r="AE129" s="7" t="n">
        <v>0.365</v>
      </c>
      <c r="AF129" s="7" t="n">
        <v>0.485</v>
      </c>
      <c r="AG129" s="7" t="n">
        <v>-0.127</v>
      </c>
      <c r="AH129" s="7" t="n">
        <v>0.812</v>
      </c>
      <c r="AI129" s="7" t="n">
        <v>-0.257</v>
      </c>
      <c r="AJ129" s="7" t="n">
        <v>-0.661</v>
      </c>
      <c r="AK129" s="7" t="n">
        <v>-0.624</v>
      </c>
      <c r="AL129" s="7" t="n">
        <v>0.138</v>
      </c>
      <c r="AM129" s="7" t="n">
        <v>-0.377</v>
      </c>
      <c r="AN129" s="7" t="n">
        <v>-0.248</v>
      </c>
      <c r="AO129" s="7" t="n">
        <v>0.022</v>
      </c>
      <c r="AP129" s="7" t="n">
        <v>0</v>
      </c>
      <c r="AQ129" s="7" t="n">
        <v>0.138</v>
      </c>
    </row>
    <row r="130" customFormat="false" ht="15" hidden="false" customHeight="false" outlineLevel="0" collapsed="false">
      <c r="A130" s="23" t="n">
        <v>46447</v>
      </c>
      <c r="B130" s="7" t="n">
        <v>0.223</v>
      </c>
      <c r="C130" s="7" t="n">
        <v>-0.261</v>
      </c>
      <c r="D130" s="7" t="n">
        <v>0.132</v>
      </c>
      <c r="E130" s="7" t="n">
        <v>0.495</v>
      </c>
      <c r="F130" s="7" t="n">
        <v>0.365</v>
      </c>
      <c r="G130" s="7" t="n">
        <v>0.132</v>
      </c>
      <c r="H130" s="7" t="n">
        <v>-0.127</v>
      </c>
      <c r="I130" s="7" t="n">
        <v>-0.547</v>
      </c>
      <c r="J130" s="7" t="n">
        <v>-0.046</v>
      </c>
      <c r="K130" s="7" t="n">
        <v>0.431</v>
      </c>
      <c r="L130" s="7" t="n">
        <v>-0.134</v>
      </c>
      <c r="M130" s="7" t="n">
        <v>0.154</v>
      </c>
      <c r="N130" s="7" t="n">
        <v>-0.016</v>
      </c>
      <c r="O130" s="7" t="n">
        <v>0.313</v>
      </c>
      <c r="P130" s="7" t="n">
        <v>0.266</v>
      </c>
      <c r="Q130" s="7" t="n">
        <v>0.266</v>
      </c>
      <c r="R130" s="7" t="n">
        <v>-0.127</v>
      </c>
      <c r="S130" s="7" t="n">
        <v>0.298</v>
      </c>
      <c r="T130" s="7" t="n">
        <v>-0.127</v>
      </c>
      <c r="U130" s="7" t="n">
        <v>0.305</v>
      </c>
      <c r="V130" s="7" t="n">
        <v>-0.174</v>
      </c>
      <c r="W130" s="7" t="n">
        <v>0.266</v>
      </c>
      <c r="X130" s="7" t="n">
        <v>0.154</v>
      </c>
      <c r="Y130" s="7" t="n">
        <v>0.132</v>
      </c>
      <c r="Z130" s="7" t="n">
        <v>0.431</v>
      </c>
      <c r="AA130" s="7" t="n">
        <v>-0.127</v>
      </c>
      <c r="AB130" s="7" t="n">
        <v>-0.294</v>
      </c>
      <c r="AC130" s="7" t="n">
        <v>0.285</v>
      </c>
      <c r="AD130" s="7" t="n">
        <v>0.302</v>
      </c>
      <c r="AE130" s="7" t="n">
        <v>0.365</v>
      </c>
      <c r="AF130" s="7" t="n">
        <v>0.485</v>
      </c>
      <c r="AG130" s="7" t="n">
        <v>-0.127</v>
      </c>
      <c r="AH130" s="7" t="n">
        <v>0.812</v>
      </c>
      <c r="AI130" s="7" t="n">
        <v>-0.257</v>
      </c>
      <c r="AJ130" s="7" t="n">
        <v>-0.661</v>
      </c>
      <c r="AK130" s="7" t="n">
        <v>-0.624</v>
      </c>
      <c r="AL130" s="7" t="n">
        <v>0.138</v>
      </c>
      <c r="AM130" s="7" t="n">
        <v>-0.377</v>
      </c>
      <c r="AN130" s="7" t="n">
        <v>-0.248</v>
      </c>
      <c r="AO130" s="7" t="n">
        <v>0.022</v>
      </c>
      <c r="AP130" s="7" t="n">
        <v>0</v>
      </c>
      <c r="AQ130" s="7" t="n">
        <v>0.138</v>
      </c>
    </row>
    <row r="131" customFormat="false" ht="15" hidden="false" customHeight="false" outlineLevel="0" collapsed="false">
      <c r="A131" s="23" t="n">
        <v>46448</v>
      </c>
      <c r="B131" s="7" t="n">
        <v>0.213</v>
      </c>
      <c r="C131" s="7" t="n">
        <v>-0.275</v>
      </c>
      <c r="D131" s="7" t="n">
        <v>0.132</v>
      </c>
      <c r="E131" s="7" t="n">
        <v>0.489</v>
      </c>
      <c r="F131" s="7" t="n">
        <v>0.361</v>
      </c>
      <c r="G131" s="7" t="n">
        <v>0.132</v>
      </c>
      <c r="H131" s="7" t="n">
        <v>-0.137</v>
      </c>
      <c r="I131" s="7" t="n">
        <v>-0.561</v>
      </c>
      <c r="J131" s="7" t="n">
        <v>-0.046</v>
      </c>
      <c r="K131" s="7" t="n">
        <v>0.427</v>
      </c>
      <c r="L131" s="7" t="n">
        <v>-0.134</v>
      </c>
      <c r="M131" s="7" t="n">
        <v>0.152</v>
      </c>
      <c r="N131" s="7" t="n">
        <v>-0.017</v>
      </c>
      <c r="O131" s="7" t="n">
        <v>0.317</v>
      </c>
      <c r="P131" s="7" t="n">
        <v>0.263</v>
      </c>
      <c r="Q131" s="7" t="n">
        <v>0.263</v>
      </c>
      <c r="R131" s="7" t="n">
        <v>-0.137</v>
      </c>
      <c r="S131" s="7" t="n">
        <v>0.286</v>
      </c>
      <c r="T131" s="7" t="n">
        <v>-0.137</v>
      </c>
      <c r="U131" s="7" t="n">
        <v>0.292</v>
      </c>
      <c r="V131" s="7" t="n">
        <v>-0.19</v>
      </c>
      <c r="W131" s="7" t="n">
        <v>0.263</v>
      </c>
      <c r="X131" s="7" t="n">
        <v>0.152</v>
      </c>
      <c r="Y131" s="7" t="n">
        <v>0.132</v>
      </c>
      <c r="Z131" s="7" t="n">
        <v>0.427</v>
      </c>
      <c r="AA131" s="7" t="n">
        <v>-0.137</v>
      </c>
      <c r="AB131" s="7" t="n">
        <v>-0.293</v>
      </c>
      <c r="AC131" s="7" t="n">
        <v>0.282</v>
      </c>
      <c r="AD131" s="7" t="n">
        <v>0.291</v>
      </c>
      <c r="AE131" s="7" t="n">
        <v>0.361</v>
      </c>
      <c r="AF131" s="7" t="n">
        <v>0.477</v>
      </c>
      <c r="AG131" s="7" t="n">
        <v>-0.137</v>
      </c>
      <c r="AH131" s="7" t="n">
        <v>0.816</v>
      </c>
      <c r="AI131" s="7" t="n">
        <v>-0.257</v>
      </c>
      <c r="AJ131" s="7" t="n">
        <v>-0.666</v>
      </c>
      <c r="AK131" s="7" t="n">
        <v>-0.629</v>
      </c>
      <c r="AL131" s="7" t="n">
        <v>0.136</v>
      </c>
      <c r="AM131" s="7" t="n">
        <v>-0.375</v>
      </c>
      <c r="AN131" s="7" t="n">
        <v>-0.257</v>
      </c>
      <c r="AO131" s="7" t="n">
        <v>0.021</v>
      </c>
      <c r="AP131" s="7" t="n">
        <v>0</v>
      </c>
      <c r="AQ131" s="7" t="n">
        <v>0.136</v>
      </c>
    </row>
    <row r="132" customFormat="false" ht="15" hidden="false" customHeight="false" outlineLevel="0" collapsed="false">
      <c r="A132" s="23" t="n">
        <v>46449</v>
      </c>
      <c r="B132" s="7" t="n">
        <v>0.204</v>
      </c>
      <c r="C132" s="7" t="n">
        <v>-0.289</v>
      </c>
      <c r="D132" s="7" t="n">
        <v>0.131</v>
      </c>
      <c r="E132" s="7" t="n">
        <v>0.483</v>
      </c>
      <c r="F132" s="7" t="n">
        <v>0.357</v>
      </c>
      <c r="G132" s="7" t="n">
        <v>0.131</v>
      </c>
      <c r="H132" s="7" t="n">
        <v>-0.146</v>
      </c>
      <c r="I132" s="7" t="n">
        <v>-0.573</v>
      </c>
      <c r="J132" s="7" t="n">
        <v>-0.045</v>
      </c>
      <c r="K132" s="7" t="n">
        <v>0.422</v>
      </c>
      <c r="L132" s="7" t="n">
        <v>-0.133</v>
      </c>
      <c r="M132" s="7" t="n">
        <v>0.151</v>
      </c>
      <c r="N132" s="7" t="n">
        <v>-0.018</v>
      </c>
      <c r="O132" s="7" t="n">
        <v>0.322</v>
      </c>
      <c r="P132" s="7" t="n">
        <v>0.261</v>
      </c>
      <c r="Q132" s="7" t="n">
        <v>0.261</v>
      </c>
      <c r="R132" s="7" t="n">
        <v>-0.146</v>
      </c>
      <c r="S132" s="7" t="n">
        <v>0.274</v>
      </c>
      <c r="T132" s="7" t="n">
        <v>-0.146</v>
      </c>
      <c r="U132" s="7" t="n">
        <v>0.28</v>
      </c>
      <c r="V132" s="7" t="n">
        <v>-0.206</v>
      </c>
      <c r="W132" s="7" t="n">
        <v>0.261</v>
      </c>
      <c r="X132" s="7" t="n">
        <v>0.151</v>
      </c>
      <c r="Y132" s="7" t="n">
        <v>0.131</v>
      </c>
      <c r="Z132" s="7" t="n">
        <v>0.422</v>
      </c>
      <c r="AA132" s="7" t="n">
        <v>-0.146</v>
      </c>
      <c r="AB132" s="7" t="n">
        <v>-0.292</v>
      </c>
      <c r="AC132" s="7" t="n">
        <v>0.279</v>
      </c>
      <c r="AD132" s="7" t="n">
        <v>0.278</v>
      </c>
      <c r="AE132" s="7" t="n">
        <v>0.357</v>
      </c>
      <c r="AF132" s="7" t="n">
        <v>0.469</v>
      </c>
      <c r="AG132" s="7" t="n">
        <v>-0.146</v>
      </c>
      <c r="AH132" s="7" t="n">
        <v>0.819</v>
      </c>
      <c r="AI132" s="7" t="n">
        <v>-0.255</v>
      </c>
      <c r="AJ132" s="7" t="n">
        <v>-0.67</v>
      </c>
      <c r="AK132" s="7" t="n">
        <v>-0.634</v>
      </c>
      <c r="AL132" s="7" t="n">
        <v>0.135</v>
      </c>
      <c r="AM132" s="7" t="n">
        <v>-0.373</v>
      </c>
      <c r="AN132" s="7" t="n">
        <v>-0.266</v>
      </c>
      <c r="AO132" s="7" t="n">
        <v>0.021</v>
      </c>
      <c r="AP132" s="7" t="n">
        <v>0</v>
      </c>
      <c r="AQ132" s="7" t="n">
        <v>0.135</v>
      </c>
    </row>
    <row r="133" customFormat="false" ht="15" hidden="false" customHeight="false" outlineLevel="0" collapsed="false">
      <c r="A133" s="23" t="n">
        <v>46450</v>
      </c>
      <c r="B133" s="7" t="n">
        <v>0.194</v>
      </c>
      <c r="C133" s="7" t="n">
        <v>-0.305</v>
      </c>
      <c r="D133" s="7" t="n">
        <v>0.13</v>
      </c>
      <c r="E133" s="7" t="n">
        <v>0.477</v>
      </c>
      <c r="F133" s="7" t="n">
        <v>0.351</v>
      </c>
      <c r="G133" s="7" t="n">
        <v>0.13</v>
      </c>
      <c r="H133" s="7" t="n">
        <v>-0.155</v>
      </c>
      <c r="I133" s="7" t="n">
        <v>-0.585</v>
      </c>
      <c r="J133" s="7" t="n">
        <v>-0.046</v>
      </c>
      <c r="K133" s="7" t="n">
        <v>0.418</v>
      </c>
      <c r="L133" s="7" t="n">
        <v>-0.135</v>
      </c>
      <c r="M133" s="7" t="n">
        <v>0.15</v>
      </c>
      <c r="N133" s="7" t="n">
        <v>-0.023</v>
      </c>
      <c r="O133" s="7" t="n">
        <v>0.323</v>
      </c>
      <c r="P133" s="7" t="n">
        <v>0.259</v>
      </c>
      <c r="Q133" s="7" t="n">
        <v>0.259</v>
      </c>
      <c r="R133" s="7" t="n">
        <v>-0.155</v>
      </c>
      <c r="S133" s="7" t="n">
        <v>0.265</v>
      </c>
      <c r="T133" s="7" t="n">
        <v>-0.155</v>
      </c>
      <c r="U133" s="7" t="n">
        <v>0.267</v>
      </c>
      <c r="V133" s="7" t="n">
        <v>-0.22</v>
      </c>
      <c r="W133" s="7" t="n">
        <v>0.259</v>
      </c>
      <c r="X133" s="7" t="n">
        <v>0.15</v>
      </c>
      <c r="Y133" s="7" t="n">
        <v>0.13</v>
      </c>
      <c r="Z133" s="7" t="n">
        <v>0.418</v>
      </c>
      <c r="AA133" s="7" t="n">
        <v>-0.155</v>
      </c>
      <c r="AB133" s="7" t="n">
        <v>-0.291</v>
      </c>
      <c r="AC133" s="7" t="n">
        <v>0.276</v>
      </c>
      <c r="AD133" s="7" t="n">
        <v>0.266</v>
      </c>
      <c r="AE133" s="7" t="n">
        <v>0.351</v>
      </c>
      <c r="AF133" s="7" t="n">
        <v>0.461</v>
      </c>
      <c r="AG133" s="7" t="n">
        <v>-0.155</v>
      </c>
      <c r="AH133" s="7" t="n">
        <v>0.822</v>
      </c>
      <c r="AI133" s="7" t="n">
        <v>-0.257</v>
      </c>
      <c r="AJ133" s="7" t="n">
        <v>-0.676</v>
      </c>
      <c r="AK133" s="7" t="n">
        <v>-0.64</v>
      </c>
      <c r="AL133" s="7" t="n">
        <v>0.133</v>
      </c>
      <c r="AM133" s="7" t="n">
        <v>-0.373</v>
      </c>
      <c r="AN133" s="7" t="n">
        <v>-0.275</v>
      </c>
      <c r="AO133" s="7" t="n">
        <v>0.02</v>
      </c>
      <c r="AP133" s="7" t="n">
        <v>0</v>
      </c>
      <c r="AQ133" s="7" t="n">
        <v>0.133</v>
      </c>
    </row>
    <row r="134" customFormat="false" ht="15" hidden="false" customHeight="false" outlineLevel="0" collapsed="false">
      <c r="A134" s="23" t="n">
        <v>46451</v>
      </c>
      <c r="B134" s="7" t="n">
        <v>0.185</v>
      </c>
      <c r="C134" s="7" t="n">
        <v>-0.317</v>
      </c>
      <c r="D134" s="7" t="n">
        <v>0.13</v>
      </c>
      <c r="E134" s="7" t="n">
        <v>0.471</v>
      </c>
      <c r="F134" s="7" t="n">
        <v>0.345</v>
      </c>
      <c r="G134" s="7" t="n">
        <v>0.13</v>
      </c>
      <c r="H134" s="7" t="n">
        <v>-0.159</v>
      </c>
      <c r="I134" s="7" t="n">
        <v>-0.592</v>
      </c>
      <c r="J134" s="7" t="n">
        <v>-0.047</v>
      </c>
      <c r="K134" s="7" t="n">
        <v>0.414</v>
      </c>
      <c r="L134" s="7" t="n">
        <v>-0.137</v>
      </c>
      <c r="M134" s="7" t="n">
        <v>0.148</v>
      </c>
      <c r="N134" s="7" t="n">
        <v>-0.029</v>
      </c>
      <c r="O134" s="7" t="n">
        <v>0.324</v>
      </c>
      <c r="P134" s="7" t="n">
        <v>0.256</v>
      </c>
      <c r="Q134" s="7" t="n">
        <v>0.256</v>
      </c>
      <c r="R134" s="7" t="n">
        <v>-0.159</v>
      </c>
      <c r="S134" s="7" t="n">
        <v>0.257</v>
      </c>
      <c r="T134" s="7" t="n">
        <v>-0.159</v>
      </c>
      <c r="U134" s="7" t="n">
        <v>0.254</v>
      </c>
      <c r="V134" s="7" t="n">
        <v>-0.229</v>
      </c>
      <c r="W134" s="7" t="n">
        <v>0.256</v>
      </c>
      <c r="X134" s="7" t="n">
        <v>0.148</v>
      </c>
      <c r="Y134" s="7" t="n">
        <v>0.13</v>
      </c>
      <c r="Z134" s="7" t="n">
        <v>0.414</v>
      </c>
      <c r="AA134" s="7" t="n">
        <v>-0.159</v>
      </c>
      <c r="AB134" s="7" t="n">
        <v>-0.29</v>
      </c>
      <c r="AC134" s="7" t="n">
        <v>0.273</v>
      </c>
      <c r="AD134" s="7" t="n">
        <v>0.254</v>
      </c>
      <c r="AE134" s="7" t="n">
        <v>0.345</v>
      </c>
      <c r="AF134" s="7" t="n">
        <v>0.453</v>
      </c>
      <c r="AG134" s="7" t="n">
        <v>-0.159</v>
      </c>
      <c r="AH134" s="7" t="n">
        <v>0.826</v>
      </c>
      <c r="AI134" s="7" t="n">
        <v>-0.258</v>
      </c>
      <c r="AJ134" s="7" t="n">
        <v>-0.679</v>
      </c>
      <c r="AK134" s="7" t="n">
        <v>-0.643</v>
      </c>
      <c r="AL134" s="7" t="n">
        <v>0.131</v>
      </c>
      <c r="AM134" s="7" t="n">
        <v>-0.373</v>
      </c>
      <c r="AN134" s="7" t="n">
        <v>-0.278</v>
      </c>
      <c r="AO134" s="7" t="n">
        <v>0.019</v>
      </c>
      <c r="AP134" s="7" t="n">
        <v>0</v>
      </c>
      <c r="AQ134" s="7" t="n">
        <v>0.131</v>
      </c>
    </row>
    <row r="135" customFormat="false" ht="15" hidden="false" customHeight="false" outlineLevel="0" collapsed="false">
      <c r="A135" s="23" t="n">
        <v>46452</v>
      </c>
      <c r="B135" s="7" t="n">
        <v>0.177</v>
      </c>
      <c r="C135" s="7" t="n">
        <v>-0.329</v>
      </c>
      <c r="D135" s="7" t="n">
        <v>0.13</v>
      </c>
      <c r="E135" s="7" t="n">
        <v>0.466</v>
      </c>
      <c r="F135" s="7" t="n">
        <v>0.34</v>
      </c>
      <c r="G135" s="7" t="n">
        <v>0.13</v>
      </c>
      <c r="H135" s="7" t="n">
        <v>-0.163</v>
      </c>
      <c r="I135" s="7" t="n">
        <v>-0.597</v>
      </c>
      <c r="J135" s="7" t="n">
        <v>-0.047</v>
      </c>
      <c r="K135" s="7" t="n">
        <v>0.41</v>
      </c>
      <c r="L135" s="7" t="n">
        <v>-0.139</v>
      </c>
      <c r="M135" s="7" t="n">
        <v>0.148</v>
      </c>
      <c r="N135" s="7" t="n">
        <v>-0.034</v>
      </c>
      <c r="O135" s="7" t="n">
        <v>0.326</v>
      </c>
      <c r="P135" s="7" t="n">
        <v>0.255</v>
      </c>
      <c r="Q135" s="7" t="n">
        <v>0.255</v>
      </c>
      <c r="R135" s="7" t="n">
        <v>-0.163</v>
      </c>
      <c r="S135" s="7" t="n">
        <v>0.249</v>
      </c>
      <c r="T135" s="7" t="n">
        <v>-0.163</v>
      </c>
      <c r="U135" s="7" t="n">
        <v>0.242</v>
      </c>
      <c r="V135" s="7" t="n">
        <v>-0.234</v>
      </c>
      <c r="W135" s="7" t="n">
        <v>0.255</v>
      </c>
      <c r="X135" s="7" t="n">
        <v>0.148</v>
      </c>
      <c r="Y135" s="7" t="n">
        <v>0.13</v>
      </c>
      <c r="Z135" s="7" t="n">
        <v>0.41</v>
      </c>
      <c r="AA135" s="7" t="n">
        <v>-0.163</v>
      </c>
      <c r="AB135" s="7" t="n">
        <v>-0.287</v>
      </c>
      <c r="AC135" s="7" t="n">
        <v>0.271</v>
      </c>
      <c r="AD135" s="7" t="n">
        <v>0.243</v>
      </c>
      <c r="AE135" s="7" t="n">
        <v>0.34</v>
      </c>
      <c r="AF135" s="7" t="n">
        <v>0.446</v>
      </c>
      <c r="AG135" s="7" t="n">
        <v>-0.163</v>
      </c>
      <c r="AH135" s="7" t="n">
        <v>0.829</v>
      </c>
      <c r="AI135" s="7" t="n">
        <v>-0.259</v>
      </c>
      <c r="AJ135" s="7" t="n">
        <v>-0.681</v>
      </c>
      <c r="AK135" s="7" t="n">
        <v>-0.645</v>
      </c>
      <c r="AL135" s="7" t="n">
        <v>0.129</v>
      </c>
      <c r="AM135" s="7" t="n">
        <v>-0.373</v>
      </c>
      <c r="AN135" s="7" t="n">
        <v>-0.282</v>
      </c>
      <c r="AO135" s="7" t="n">
        <v>0.018</v>
      </c>
      <c r="AP135" s="7" t="n">
        <v>0</v>
      </c>
      <c r="AQ135" s="7" t="n">
        <v>0.129</v>
      </c>
    </row>
    <row r="136" customFormat="false" ht="15" hidden="false" customHeight="false" outlineLevel="0" collapsed="false">
      <c r="A136" s="23" t="n">
        <v>46453</v>
      </c>
      <c r="B136" s="7" t="n">
        <v>0.177</v>
      </c>
      <c r="C136" s="7" t="n">
        <v>-0.329</v>
      </c>
      <c r="D136" s="7" t="n">
        <v>0.13</v>
      </c>
      <c r="E136" s="7" t="n">
        <v>0.466</v>
      </c>
      <c r="F136" s="7" t="n">
        <v>0.34</v>
      </c>
      <c r="G136" s="7" t="n">
        <v>0.13</v>
      </c>
      <c r="H136" s="7" t="n">
        <v>-0.163</v>
      </c>
      <c r="I136" s="7" t="n">
        <v>-0.597</v>
      </c>
      <c r="J136" s="7" t="n">
        <v>-0.047</v>
      </c>
      <c r="K136" s="7" t="n">
        <v>0.41</v>
      </c>
      <c r="L136" s="7" t="n">
        <v>-0.139</v>
      </c>
      <c r="M136" s="7" t="n">
        <v>0.148</v>
      </c>
      <c r="N136" s="7" t="n">
        <v>-0.034</v>
      </c>
      <c r="O136" s="7" t="n">
        <v>0.326</v>
      </c>
      <c r="P136" s="7" t="n">
        <v>0.255</v>
      </c>
      <c r="Q136" s="7" t="n">
        <v>0.255</v>
      </c>
      <c r="R136" s="7" t="n">
        <v>-0.163</v>
      </c>
      <c r="S136" s="7" t="n">
        <v>0.249</v>
      </c>
      <c r="T136" s="7" t="n">
        <v>-0.163</v>
      </c>
      <c r="U136" s="7" t="n">
        <v>0.242</v>
      </c>
      <c r="V136" s="7" t="n">
        <v>-0.234</v>
      </c>
      <c r="W136" s="7" t="n">
        <v>0.255</v>
      </c>
      <c r="X136" s="7" t="n">
        <v>0.148</v>
      </c>
      <c r="Y136" s="7" t="n">
        <v>0.13</v>
      </c>
      <c r="Z136" s="7" t="n">
        <v>0.41</v>
      </c>
      <c r="AA136" s="7" t="n">
        <v>-0.163</v>
      </c>
      <c r="AB136" s="7" t="n">
        <v>-0.287</v>
      </c>
      <c r="AC136" s="7" t="n">
        <v>0.271</v>
      </c>
      <c r="AD136" s="7" t="n">
        <v>0.243</v>
      </c>
      <c r="AE136" s="7" t="n">
        <v>0.34</v>
      </c>
      <c r="AF136" s="7" t="n">
        <v>0.446</v>
      </c>
      <c r="AG136" s="7" t="n">
        <v>-0.163</v>
      </c>
      <c r="AH136" s="7" t="n">
        <v>0.829</v>
      </c>
      <c r="AI136" s="7" t="n">
        <v>-0.259</v>
      </c>
      <c r="AJ136" s="7" t="n">
        <v>-0.681</v>
      </c>
      <c r="AK136" s="7" t="n">
        <v>-0.645</v>
      </c>
      <c r="AL136" s="7" t="n">
        <v>0.129</v>
      </c>
      <c r="AM136" s="7" t="n">
        <v>-0.373</v>
      </c>
      <c r="AN136" s="7" t="n">
        <v>-0.282</v>
      </c>
      <c r="AO136" s="7" t="n">
        <v>0.018</v>
      </c>
      <c r="AP136" s="7" t="n">
        <v>0</v>
      </c>
      <c r="AQ136" s="7" t="n">
        <v>0.129</v>
      </c>
    </row>
    <row r="137" customFormat="false" ht="15" hidden="false" customHeight="false" outlineLevel="0" collapsed="false">
      <c r="A137" s="23" t="n">
        <v>46454</v>
      </c>
      <c r="B137" s="7" t="n">
        <v>0.177</v>
      </c>
      <c r="C137" s="7" t="n">
        <v>-0.329</v>
      </c>
      <c r="D137" s="7" t="n">
        <v>0.13</v>
      </c>
      <c r="E137" s="7" t="n">
        <v>0.466</v>
      </c>
      <c r="F137" s="7" t="n">
        <v>0.34</v>
      </c>
      <c r="G137" s="7" t="n">
        <v>0.13</v>
      </c>
      <c r="H137" s="7" t="n">
        <v>-0.163</v>
      </c>
      <c r="I137" s="7" t="n">
        <v>-0.597</v>
      </c>
      <c r="J137" s="7" t="n">
        <v>-0.047</v>
      </c>
      <c r="K137" s="7" t="n">
        <v>0.41</v>
      </c>
      <c r="L137" s="7" t="n">
        <v>-0.139</v>
      </c>
      <c r="M137" s="7" t="n">
        <v>0.148</v>
      </c>
      <c r="N137" s="7" t="n">
        <v>-0.034</v>
      </c>
      <c r="O137" s="7" t="n">
        <v>0.326</v>
      </c>
      <c r="P137" s="7" t="n">
        <v>0.255</v>
      </c>
      <c r="Q137" s="7" t="n">
        <v>0.255</v>
      </c>
      <c r="R137" s="7" t="n">
        <v>-0.163</v>
      </c>
      <c r="S137" s="7" t="n">
        <v>0.249</v>
      </c>
      <c r="T137" s="7" t="n">
        <v>-0.163</v>
      </c>
      <c r="U137" s="7" t="n">
        <v>0.242</v>
      </c>
      <c r="V137" s="7" t="n">
        <v>-0.234</v>
      </c>
      <c r="W137" s="7" t="n">
        <v>0.255</v>
      </c>
      <c r="X137" s="7" t="n">
        <v>0.148</v>
      </c>
      <c r="Y137" s="7" t="n">
        <v>0.13</v>
      </c>
      <c r="Z137" s="7" t="n">
        <v>0.41</v>
      </c>
      <c r="AA137" s="7" t="n">
        <v>-0.163</v>
      </c>
      <c r="AB137" s="7" t="n">
        <v>-0.287</v>
      </c>
      <c r="AC137" s="7" t="n">
        <v>0.271</v>
      </c>
      <c r="AD137" s="7" t="n">
        <v>0.243</v>
      </c>
      <c r="AE137" s="7" t="n">
        <v>0.34</v>
      </c>
      <c r="AF137" s="7" t="n">
        <v>0.446</v>
      </c>
      <c r="AG137" s="7" t="n">
        <v>-0.163</v>
      </c>
      <c r="AH137" s="7" t="n">
        <v>0.829</v>
      </c>
      <c r="AI137" s="7" t="n">
        <v>-0.259</v>
      </c>
      <c r="AJ137" s="7" t="n">
        <v>-0.681</v>
      </c>
      <c r="AK137" s="7" t="n">
        <v>-0.645</v>
      </c>
      <c r="AL137" s="7" t="n">
        <v>0.129</v>
      </c>
      <c r="AM137" s="7" t="n">
        <v>-0.373</v>
      </c>
      <c r="AN137" s="7" t="n">
        <v>-0.282</v>
      </c>
      <c r="AO137" s="7" t="n">
        <v>0.018</v>
      </c>
      <c r="AP137" s="7" t="n">
        <v>0</v>
      </c>
      <c r="AQ137" s="7" t="n">
        <v>0.129</v>
      </c>
    </row>
    <row r="138" customFormat="false" ht="15" hidden="false" customHeight="false" outlineLevel="0" collapsed="false">
      <c r="A138" s="23" t="n">
        <v>46455</v>
      </c>
      <c r="B138" s="7" t="n">
        <v>0.167</v>
      </c>
      <c r="C138" s="7" t="n">
        <v>-0.344</v>
      </c>
      <c r="D138" s="7" t="n">
        <v>0.13</v>
      </c>
      <c r="E138" s="7" t="n">
        <v>0.462</v>
      </c>
      <c r="F138" s="7" t="n">
        <v>0.334</v>
      </c>
      <c r="G138" s="7" t="n">
        <v>0.13</v>
      </c>
      <c r="H138" s="7" t="n">
        <v>-0.172</v>
      </c>
      <c r="I138" s="7" t="n">
        <v>-0.612</v>
      </c>
      <c r="J138" s="7" t="n">
        <v>-0.047</v>
      </c>
      <c r="K138" s="7" t="n">
        <v>0.406</v>
      </c>
      <c r="L138" s="7" t="n">
        <v>-0.139</v>
      </c>
      <c r="M138" s="7" t="n">
        <v>0.147</v>
      </c>
      <c r="N138" s="7" t="n">
        <v>-0.039</v>
      </c>
      <c r="O138" s="7" t="n">
        <v>0.329</v>
      </c>
      <c r="P138" s="7" t="n">
        <v>0.254</v>
      </c>
      <c r="Q138" s="7" t="n">
        <v>0.254</v>
      </c>
      <c r="R138" s="7" t="n">
        <v>-0.172</v>
      </c>
      <c r="S138" s="7" t="n">
        <v>0.241</v>
      </c>
      <c r="T138" s="7" t="n">
        <v>-0.172</v>
      </c>
      <c r="U138" s="7" t="n">
        <v>0.23</v>
      </c>
      <c r="V138" s="7" t="n">
        <v>-0.25</v>
      </c>
      <c r="W138" s="7" t="n">
        <v>0.254</v>
      </c>
      <c r="X138" s="7" t="n">
        <v>0.147</v>
      </c>
      <c r="Y138" s="7" t="n">
        <v>0.13</v>
      </c>
      <c r="Z138" s="7" t="n">
        <v>0.406</v>
      </c>
      <c r="AA138" s="7" t="n">
        <v>-0.172</v>
      </c>
      <c r="AB138" s="7" t="n">
        <v>-0.289</v>
      </c>
      <c r="AC138" s="7" t="n">
        <v>0.27</v>
      </c>
      <c r="AD138" s="7" t="n">
        <v>0.232</v>
      </c>
      <c r="AE138" s="7" t="n">
        <v>0.334</v>
      </c>
      <c r="AF138" s="7" t="n">
        <v>0.44</v>
      </c>
      <c r="AG138" s="7" t="n">
        <v>-0.172</v>
      </c>
      <c r="AH138" s="7" t="n">
        <v>0.832</v>
      </c>
      <c r="AI138" s="7" t="n">
        <v>-0.26</v>
      </c>
      <c r="AJ138" s="7" t="n">
        <v>-0.686</v>
      </c>
      <c r="AK138" s="7" t="n">
        <v>-0.651</v>
      </c>
      <c r="AL138" s="7" t="n">
        <v>0.129</v>
      </c>
      <c r="AM138" s="7" t="n">
        <v>-0.373</v>
      </c>
      <c r="AN138" s="7" t="n">
        <v>-0.291</v>
      </c>
      <c r="AO138" s="7" t="n">
        <v>0.018</v>
      </c>
      <c r="AP138" s="7" t="n">
        <v>0</v>
      </c>
      <c r="AQ138" s="7" t="n">
        <v>0.129</v>
      </c>
    </row>
    <row r="139" customFormat="false" ht="15" hidden="false" customHeight="false" outlineLevel="0" collapsed="false">
      <c r="A139" s="23" t="n">
        <v>46456</v>
      </c>
      <c r="B139" s="7" t="n">
        <v>0.157</v>
      </c>
      <c r="C139" s="7" t="n">
        <v>-0.359</v>
      </c>
      <c r="D139" s="7" t="n">
        <v>0.13</v>
      </c>
      <c r="E139" s="7" t="n">
        <v>0.457</v>
      </c>
      <c r="F139" s="7" t="n">
        <v>0.329</v>
      </c>
      <c r="G139" s="7" t="n">
        <v>0.13</v>
      </c>
      <c r="H139" s="7" t="n">
        <v>-0.18</v>
      </c>
      <c r="I139" s="7" t="n">
        <v>-0.624</v>
      </c>
      <c r="J139" s="7" t="n">
        <v>-0.048</v>
      </c>
      <c r="K139" s="7" t="n">
        <v>0.401</v>
      </c>
      <c r="L139" s="7" t="n">
        <v>-0.139</v>
      </c>
      <c r="M139" s="7" t="n">
        <v>0.146</v>
      </c>
      <c r="N139" s="7" t="n">
        <v>-0.044</v>
      </c>
      <c r="O139" s="7" t="n">
        <v>0.332</v>
      </c>
      <c r="P139" s="7" t="n">
        <v>0.254</v>
      </c>
      <c r="Q139" s="7" t="n">
        <v>0.254</v>
      </c>
      <c r="R139" s="7" t="n">
        <v>-0.18</v>
      </c>
      <c r="S139" s="7" t="n">
        <v>0.233</v>
      </c>
      <c r="T139" s="7" t="n">
        <v>-0.18</v>
      </c>
      <c r="U139" s="7" t="n">
        <v>0.219</v>
      </c>
      <c r="V139" s="7" t="n">
        <v>-0.265</v>
      </c>
      <c r="W139" s="7" t="n">
        <v>0.254</v>
      </c>
      <c r="X139" s="7" t="n">
        <v>0.146</v>
      </c>
      <c r="Y139" s="7" t="n">
        <v>0.13</v>
      </c>
      <c r="Z139" s="7" t="n">
        <v>0.401</v>
      </c>
      <c r="AA139" s="7" t="n">
        <v>-0.18</v>
      </c>
      <c r="AB139" s="7" t="n">
        <v>-0.291</v>
      </c>
      <c r="AC139" s="7" t="n">
        <v>0.269</v>
      </c>
      <c r="AD139" s="7" t="n">
        <v>0.222</v>
      </c>
      <c r="AE139" s="7" t="n">
        <v>0.329</v>
      </c>
      <c r="AF139" s="7" t="n">
        <v>0.433</v>
      </c>
      <c r="AG139" s="7" t="n">
        <v>-0.18</v>
      </c>
      <c r="AH139" s="7" t="n">
        <v>0.836</v>
      </c>
      <c r="AI139" s="7" t="n">
        <v>-0.26</v>
      </c>
      <c r="AJ139" s="7" t="n">
        <v>-0.691</v>
      </c>
      <c r="AK139" s="7" t="n">
        <v>-0.656</v>
      </c>
      <c r="AL139" s="7" t="n">
        <v>0.128</v>
      </c>
      <c r="AM139" s="7" t="n">
        <v>-0.373</v>
      </c>
      <c r="AN139" s="7" t="n">
        <v>-0.3</v>
      </c>
      <c r="AO139" s="7" t="n">
        <v>0.017</v>
      </c>
      <c r="AP139" s="7" t="n">
        <v>0</v>
      </c>
      <c r="AQ139" s="7" t="n">
        <v>0.128</v>
      </c>
    </row>
    <row r="140" customFormat="false" ht="15" hidden="false" customHeight="false" outlineLevel="0" collapsed="false">
      <c r="A140" s="23" t="n">
        <v>46457</v>
      </c>
      <c r="B140" s="7" t="n">
        <v>0.155</v>
      </c>
      <c r="C140" s="7" t="n">
        <v>-0.365</v>
      </c>
      <c r="D140" s="7" t="n">
        <v>0.13</v>
      </c>
      <c r="E140" s="7" t="n">
        <v>0.458</v>
      </c>
      <c r="F140" s="7" t="n">
        <v>0.329</v>
      </c>
      <c r="G140" s="7" t="n">
        <v>0.13</v>
      </c>
      <c r="H140" s="7" t="n">
        <v>-0.18</v>
      </c>
      <c r="I140" s="7" t="n">
        <v>-0.628</v>
      </c>
      <c r="J140" s="7" t="n">
        <v>-0.049</v>
      </c>
      <c r="K140" s="7" t="n">
        <v>0.402</v>
      </c>
      <c r="L140" s="7" t="n">
        <v>-0.146</v>
      </c>
      <c r="M140" s="7" t="n">
        <v>0.147</v>
      </c>
      <c r="N140" s="7" t="n">
        <v>-0.05</v>
      </c>
      <c r="O140" s="7" t="n">
        <v>0.33</v>
      </c>
      <c r="P140" s="7" t="n">
        <v>0.254</v>
      </c>
      <c r="Q140" s="7" t="n">
        <v>0.254</v>
      </c>
      <c r="R140" s="7" t="n">
        <v>-0.18</v>
      </c>
      <c r="S140" s="7" t="n">
        <v>0.228</v>
      </c>
      <c r="T140" s="7" t="n">
        <v>-0.18</v>
      </c>
      <c r="U140" s="7" t="n">
        <v>0.21</v>
      </c>
      <c r="V140" s="7" t="n">
        <v>-0.263</v>
      </c>
      <c r="W140" s="7" t="n">
        <v>0.254</v>
      </c>
      <c r="X140" s="7" t="n">
        <v>0.147</v>
      </c>
      <c r="Y140" s="7" t="n">
        <v>0.13</v>
      </c>
      <c r="Z140" s="7" t="n">
        <v>0.402</v>
      </c>
      <c r="AA140" s="7" t="n">
        <v>-0.18</v>
      </c>
      <c r="AB140" s="7" t="n">
        <v>-0.291</v>
      </c>
      <c r="AC140" s="7" t="n">
        <v>0.27</v>
      </c>
      <c r="AD140" s="7" t="n">
        <v>0.214</v>
      </c>
      <c r="AE140" s="7" t="n">
        <v>0.329</v>
      </c>
      <c r="AF140" s="7" t="n">
        <v>0.432</v>
      </c>
      <c r="AG140" s="7" t="n">
        <v>-0.18</v>
      </c>
      <c r="AH140" s="7" t="n">
        <v>0.84</v>
      </c>
      <c r="AI140" s="7" t="n">
        <v>-0.266</v>
      </c>
      <c r="AJ140" s="7" t="n">
        <v>-0.694</v>
      </c>
      <c r="AK140" s="7" t="n">
        <v>-0.66</v>
      </c>
      <c r="AL140" s="7" t="n">
        <v>0.128</v>
      </c>
      <c r="AM140" s="7" t="n">
        <v>-0.378</v>
      </c>
      <c r="AN140" s="7" t="n">
        <v>-0.3</v>
      </c>
      <c r="AO140" s="7" t="n">
        <v>0.018</v>
      </c>
      <c r="AP140" s="7" t="n">
        <v>0</v>
      </c>
      <c r="AQ140" s="7" t="n">
        <v>0.128</v>
      </c>
    </row>
    <row r="141" customFormat="false" ht="15" hidden="false" customHeight="false" outlineLevel="0" collapsed="false">
      <c r="A141" s="23" t="n">
        <v>46458</v>
      </c>
      <c r="B141" s="7" t="n">
        <v>0.151</v>
      </c>
      <c r="C141" s="7" t="n">
        <v>-0.371</v>
      </c>
      <c r="D141" s="7" t="n">
        <v>0.13</v>
      </c>
      <c r="E141" s="7" t="n">
        <v>0.458</v>
      </c>
      <c r="F141" s="7" t="n">
        <v>0.329</v>
      </c>
      <c r="G141" s="7" t="n">
        <v>0.13</v>
      </c>
      <c r="H141" s="7" t="n">
        <v>-0.18</v>
      </c>
      <c r="I141" s="7" t="n">
        <v>-0.635</v>
      </c>
      <c r="J141" s="7" t="n">
        <v>-0.049</v>
      </c>
      <c r="K141" s="7" t="n">
        <v>0.403</v>
      </c>
      <c r="L141" s="7" t="n">
        <v>-0.153</v>
      </c>
      <c r="M141" s="7" t="n">
        <v>0.149</v>
      </c>
      <c r="N141" s="7" t="n">
        <v>-0.056</v>
      </c>
      <c r="O141" s="7" t="n">
        <v>0.328</v>
      </c>
      <c r="P141" s="7" t="n">
        <v>0.253</v>
      </c>
      <c r="Q141" s="7" t="n">
        <v>0.253</v>
      </c>
      <c r="R141" s="7" t="n">
        <v>-0.18</v>
      </c>
      <c r="S141" s="7" t="n">
        <v>0.222</v>
      </c>
      <c r="T141" s="7" t="n">
        <v>-0.18</v>
      </c>
      <c r="U141" s="7" t="n">
        <v>0.201</v>
      </c>
      <c r="V141" s="7" t="n">
        <v>-0.266</v>
      </c>
      <c r="W141" s="7" t="n">
        <v>0.253</v>
      </c>
      <c r="X141" s="7" t="n">
        <v>0.149</v>
      </c>
      <c r="Y141" s="7" t="n">
        <v>0.13</v>
      </c>
      <c r="Z141" s="7" t="n">
        <v>0.403</v>
      </c>
      <c r="AA141" s="7" t="n">
        <v>-0.18</v>
      </c>
      <c r="AB141" s="7" t="n">
        <v>-0.296</v>
      </c>
      <c r="AC141" s="7" t="n">
        <v>0.271</v>
      </c>
      <c r="AD141" s="7" t="n">
        <v>0.207</v>
      </c>
      <c r="AE141" s="7" t="n">
        <v>0.329</v>
      </c>
      <c r="AF141" s="7" t="n">
        <v>0.43</v>
      </c>
      <c r="AG141" s="7" t="n">
        <v>-0.18</v>
      </c>
      <c r="AH141" s="7" t="n">
        <v>0.845</v>
      </c>
      <c r="AI141" s="7" t="n">
        <v>-0.272</v>
      </c>
      <c r="AJ141" s="7" t="n">
        <v>-0.698</v>
      </c>
      <c r="AK141" s="7" t="n">
        <v>-0.663</v>
      </c>
      <c r="AL141" s="7" t="n">
        <v>0.128</v>
      </c>
      <c r="AM141" s="7" t="n">
        <v>-0.383</v>
      </c>
      <c r="AN141" s="7" t="n">
        <v>-0.3</v>
      </c>
      <c r="AO141" s="7" t="n">
        <v>0.019</v>
      </c>
      <c r="AP141" s="7" t="n">
        <v>0</v>
      </c>
      <c r="AQ141" s="7" t="n">
        <v>0.128</v>
      </c>
    </row>
    <row r="142" customFormat="false" ht="15" hidden="false" customHeight="false" outlineLevel="0" collapsed="false">
      <c r="A142" s="23" t="n">
        <v>46459</v>
      </c>
      <c r="B142" s="7" t="n">
        <v>0.156</v>
      </c>
      <c r="C142" s="7" t="n">
        <v>-0.365</v>
      </c>
      <c r="D142" s="7" t="n">
        <v>0.13</v>
      </c>
      <c r="E142" s="7" t="n">
        <v>0.467</v>
      </c>
      <c r="F142" s="7" t="n">
        <v>0.336</v>
      </c>
      <c r="G142" s="7" t="n">
        <v>0.13</v>
      </c>
      <c r="H142" s="7" t="n">
        <v>-0.179</v>
      </c>
      <c r="I142" s="7" t="n">
        <v>-0.64</v>
      </c>
      <c r="J142" s="7" t="n">
        <v>-0.055</v>
      </c>
      <c r="K142" s="7" t="n">
        <v>0.414</v>
      </c>
      <c r="L142" s="7" t="n">
        <v>-0.158</v>
      </c>
      <c r="M142" s="7" t="n">
        <v>0.15</v>
      </c>
      <c r="N142" s="7" t="n">
        <v>-0.057</v>
      </c>
      <c r="O142" s="7" t="n">
        <v>0.328</v>
      </c>
      <c r="P142" s="7" t="n">
        <v>0.256</v>
      </c>
      <c r="Q142" s="7" t="n">
        <v>0.256</v>
      </c>
      <c r="R142" s="7" t="n">
        <v>-0.179</v>
      </c>
      <c r="S142" s="7" t="n">
        <v>0.226</v>
      </c>
      <c r="T142" s="7" t="n">
        <v>-0.179</v>
      </c>
      <c r="U142" s="7" t="n">
        <v>0.202</v>
      </c>
      <c r="V142" s="7" t="n">
        <v>-0.268</v>
      </c>
      <c r="W142" s="7" t="n">
        <v>0.256</v>
      </c>
      <c r="X142" s="7" t="n">
        <v>0.15</v>
      </c>
      <c r="Y142" s="7" t="n">
        <v>0.13</v>
      </c>
      <c r="Z142" s="7" t="n">
        <v>0.414</v>
      </c>
      <c r="AA142" s="7" t="n">
        <v>-0.179</v>
      </c>
      <c r="AB142" s="7" t="n">
        <v>-0.303</v>
      </c>
      <c r="AC142" s="7" t="n">
        <v>0.275</v>
      </c>
      <c r="AD142" s="7" t="n">
        <v>0.21</v>
      </c>
      <c r="AE142" s="7" t="n">
        <v>0.336</v>
      </c>
      <c r="AF142" s="7" t="n">
        <v>0.439</v>
      </c>
      <c r="AG142" s="7" t="n">
        <v>-0.179</v>
      </c>
      <c r="AH142" s="7" t="n">
        <v>0.849</v>
      </c>
      <c r="AI142" s="7" t="n">
        <v>-0.277</v>
      </c>
      <c r="AJ142" s="7" t="n">
        <v>-0.7</v>
      </c>
      <c r="AK142" s="7" t="n">
        <v>-0.666</v>
      </c>
      <c r="AL142" s="7" t="n">
        <v>0.13</v>
      </c>
      <c r="AM142" s="7" t="n">
        <v>-0.389</v>
      </c>
      <c r="AN142" s="7" t="n">
        <v>-0.299</v>
      </c>
      <c r="AO142" s="7" t="n">
        <v>0.021</v>
      </c>
      <c r="AP142" s="7" t="n">
        <v>0</v>
      </c>
      <c r="AQ142" s="7" t="n">
        <v>0.13</v>
      </c>
    </row>
    <row r="143" customFormat="false" ht="15" hidden="false" customHeight="false" outlineLevel="0" collapsed="false">
      <c r="A143" s="23" t="n">
        <v>46460</v>
      </c>
      <c r="B143" s="7" t="n">
        <v>0.156</v>
      </c>
      <c r="C143" s="7" t="n">
        <v>-0.365</v>
      </c>
      <c r="D143" s="7" t="n">
        <v>0.13</v>
      </c>
      <c r="E143" s="7" t="n">
        <v>0.467</v>
      </c>
      <c r="F143" s="7" t="n">
        <v>0.336</v>
      </c>
      <c r="G143" s="7" t="n">
        <v>0.13</v>
      </c>
      <c r="H143" s="7" t="n">
        <v>-0.179</v>
      </c>
      <c r="I143" s="7" t="n">
        <v>-0.64</v>
      </c>
      <c r="J143" s="7" t="n">
        <v>-0.055</v>
      </c>
      <c r="K143" s="7" t="n">
        <v>0.414</v>
      </c>
      <c r="L143" s="7" t="n">
        <v>-0.158</v>
      </c>
      <c r="M143" s="7" t="n">
        <v>0.15</v>
      </c>
      <c r="N143" s="7" t="n">
        <v>-0.057</v>
      </c>
      <c r="O143" s="7" t="n">
        <v>0.328</v>
      </c>
      <c r="P143" s="7" t="n">
        <v>0.256</v>
      </c>
      <c r="Q143" s="7" t="n">
        <v>0.256</v>
      </c>
      <c r="R143" s="7" t="n">
        <v>-0.179</v>
      </c>
      <c r="S143" s="7" t="n">
        <v>0.226</v>
      </c>
      <c r="T143" s="7" t="n">
        <v>-0.179</v>
      </c>
      <c r="U143" s="7" t="n">
        <v>0.202</v>
      </c>
      <c r="V143" s="7" t="n">
        <v>-0.268</v>
      </c>
      <c r="W143" s="7" t="n">
        <v>0.256</v>
      </c>
      <c r="X143" s="7" t="n">
        <v>0.15</v>
      </c>
      <c r="Y143" s="7" t="n">
        <v>0.13</v>
      </c>
      <c r="Z143" s="7" t="n">
        <v>0.414</v>
      </c>
      <c r="AA143" s="7" t="n">
        <v>-0.179</v>
      </c>
      <c r="AB143" s="7" t="n">
        <v>-0.303</v>
      </c>
      <c r="AC143" s="7" t="n">
        <v>0.275</v>
      </c>
      <c r="AD143" s="7" t="n">
        <v>0.21</v>
      </c>
      <c r="AE143" s="7" t="n">
        <v>0.336</v>
      </c>
      <c r="AF143" s="7" t="n">
        <v>0.439</v>
      </c>
      <c r="AG143" s="7" t="n">
        <v>-0.179</v>
      </c>
      <c r="AH143" s="7" t="n">
        <v>0.849</v>
      </c>
      <c r="AI143" s="7" t="n">
        <v>-0.277</v>
      </c>
      <c r="AJ143" s="7" t="n">
        <v>-0.7</v>
      </c>
      <c r="AK143" s="7" t="n">
        <v>-0.666</v>
      </c>
      <c r="AL143" s="7" t="n">
        <v>0.13</v>
      </c>
      <c r="AM143" s="7" t="n">
        <v>-0.389</v>
      </c>
      <c r="AN143" s="7" t="n">
        <v>-0.299</v>
      </c>
      <c r="AO143" s="7" t="n">
        <v>0.021</v>
      </c>
      <c r="AP143" s="7" t="n">
        <v>0</v>
      </c>
      <c r="AQ143" s="7" t="n">
        <v>0.13</v>
      </c>
    </row>
    <row r="144" customFormat="false" ht="15" hidden="false" customHeight="false" outlineLevel="0" collapsed="false">
      <c r="A144" s="23" t="n">
        <v>46461</v>
      </c>
      <c r="B144" s="7" t="n">
        <v>0.156</v>
      </c>
      <c r="C144" s="7" t="n">
        <v>-0.365</v>
      </c>
      <c r="D144" s="7" t="n">
        <v>0.13</v>
      </c>
      <c r="E144" s="7" t="n">
        <v>0.467</v>
      </c>
      <c r="F144" s="7" t="n">
        <v>0.336</v>
      </c>
      <c r="G144" s="7" t="n">
        <v>0.13</v>
      </c>
      <c r="H144" s="7" t="n">
        <v>-0.179</v>
      </c>
      <c r="I144" s="7" t="n">
        <v>-0.64</v>
      </c>
      <c r="J144" s="7" t="n">
        <v>-0.055</v>
      </c>
      <c r="K144" s="7" t="n">
        <v>0.414</v>
      </c>
      <c r="L144" s="7" t="n">
        <v>-0.158</v>
      </c>
      <c r="M144" s="7" t="n">
        <v>0.15</v>
      </c>
      <c r="N144" s="7" t="n">
        <v>-0.057</v>
      </c>
      <c r="O144" s="7" t="n">
        <v>0.328</v>
      </c>
      <c r="P144" s="7" t="n">
        <v>0.256</v>
      </c>
      <c r="Q144" s="7" t="n">
        <v>0.256</v>
      </c>
      <c r="R144" s="7" t="n">
        <v>-0.179</v>
      </c>
      <c r="S144" s="7" t="n">
        <v>0.226</v>
      </c>
      <c r="T144" s="7" t="n">
        <v>-0.179</v>
      </c>
      <c r="U144" s="7" t="n">
        <v>0.202</v>
      </c>
      <c r="V144" s="7" t="n">
        <v>-0.268</v>
      </c>
      <c r="W144" s="7" t="n">
        <v>0.256</v>
      </c>
      <c r="X144" s="7" t="n">
        <v>0.15</v>
      </c>
      <c r="Y144" s="7" t="n">
        <v>0.13</v>
      </c>
      <c r="Z144" s="7" t="n">
        <v>0.414</v>
      </c>
      <c r="AA144" s="7" t="n">
        <v>-0.179</v>
      </c>
      <c r="AB144" s="7" t="n">
        <v>-0.303</v>
      </c>
      <c r="AC144" s="7" t="n">
        <v>0.275</v>
      </c>
      <c r="AD144" s="7" t="n">
        <v>0.21</v>
      </c>
      <c r="AE144" s="7" t="n">
        <v>0.336</v>
      </c>
      <c r="AF144" s="7" t="n">
        <v>0.439</v>
      </c>
      <c r="AG144" s="7" t="n">
        <v>-0.179</v>
      </c>
      <c r="AH144" s="7" t="n">
        <v>0.849</v>
      </c>
      <c r="AI144" s="7" t="n">
        <v>-0.277</v>
      </c>
      <c r="AJ144" s="7" t="n">
        <v>-0.7</v>
      </c>
      <c r="AK144" s="7" t="n">
        <v>-0.666</v>
      </c>
      <c r="AL144" s="7" t="n">
        <v>0.13</v>
      </c>
      <c r="AM144" s="7" t="n">
        <v>-0.389</v>
      </c>
      <c r="AN144" s="7" t="n">
        <v>-0.299</v>
      </c>
      <c r="AO144" s="7" t="n">
        <v>0.021</v>
      </c>
      <c r="AP144" s="7" t="n">
        <v>0</v>
      </c>
      <c r="AQ144" s="7" t="n">
        <v>0.13</v>
      </c>
    </row>
    <row r="145" customFormat="false" ht="15" hidden="false" customHeight="false" outlineLevel="0" collapsed="false">
      <c r="A145" s="23" t="n">
        <v>46462</v>
      </c>
      <c r="B145" s="7" t="n">
        <v>0.16</v>
      </c>
      <c r="C145" s="7" t="n">
        <v>-0.362</v>
      </c>
      <c r="D145" s="7" t="n">
        <v>0.13</v>
      </c>
      <c r="E145" s="7" t="n">
        <v>0.481</v>
      </c>
      <c r="F145" s="7" t="n">
        <v>0.339</v>
      </c>
      <c r="G145" s="7" t="n">
        <v>0.13</v>
      </c>
      <c r="H145" s="7" t="n">
        <v>-0.179</v>
      </c>
      <c r="I145" s="7" t="n">
        <v>-0.637</v>
      </c>
      <c r="J145" s="7" t="n">
        <v>-0.063</v>
      </c>
      <c r="K145" s="7" t="n">
        <v>0.436</v>
      </c>
      <c r="L145" s="7" t="n">
        <v>-0.16</v>
      </c>
      <c r="M145" s="7" t="n">
        <v>0.15</v>
      </c>
      <c r="N145" s="7" t="n">
        <v>-0.058</v>
      </c>
      <c r="O145" s="7" t="n">
        <v>0.33</v>
      </c>
      <c r="P145" s="7" t="n">
        <v>0.257</v>
      </c>
      <c r="Q145" s="7" t="n">
        <v>0.257</v>
      </c>
      <c r="R145" s="7" t="n">
        <v>-0.179</v>
      </c>
      <c r="S145" s="7" t="n">
        <v>0.231</v>
      </c>
      <c r="T145" s="7" t="n">
        <v>-0.179</v>
      </c>
      <c r="U145" s="7" t="n">
        <v>0.202</v>
      </c>
      <c r="V145" s="7" t="n">
        <v>-0.261</v>
      </c>
      <c r="W145" s="7" t="n">
        <v>0.257</v>
      </c>
      <c r="X145" s="7" t="n">
        <v>0.15</v>
      </c>
      <c r="Y145" s="7" t="n">
        <v>0.13</v>
      </c>
      <c r="Z145" s="7" t="n">
        <v>0.436</v>
      </c>
      <c r="AA145" s="7" t="n">
        <v>-0.179</v>
      </c>
      <c r="AB145" s="7" t="n">
        <v>-0.302</v>
      </c>
      <c r="AC145" s="7" t="n">
        <v>0.276</v>
      </c>
      <c r="AD145" s="7" t="n">
        <v>0.218</v>
      </c>
      <c r="AE145" s="7" t="n">
        <v>0.339</v>
      </c>
      <c r="AF145" s="7" t="n">
        <v>0.444</v>
      </c>
      <c r="AG145" s="7" t="n">
        <v>-0.179</v>
      </c>
      <c r="AH145" s="7" t="n">
        <v>0.853</v>
      </c>
      <c r="AI145" s="7" t="n">
        <v>-0.279</v>
      </c>
      <c r="AJ145" s="7" t="n">
        <v>-0.701</v>
      </c>
      <c r="AK145" s="7" t="n">
        <v>-0.667</v>
      </c>
      <c r="AL145" s="7" t="n">
        <v>0.132</v>
      </c>
      <c r="AM145" s="7" t="n">
        <v>-0.391</v>
      </c>
      <c r="AN145" s="7" t="n">
        <v>-0.299</v>
      </c>
      <c r="AO145" s="7" t="n">
        <v>0.021</v>
      </c>
      <c r="AP145" s="7" t="n">
        <v>0</v>
      </c>
      <c r="AQ145" s="7" t="n">
        <v>0.132</v>
      </c>
    </row>
    <row r="146" customFormat="false" ht="15" hidden="false" customHeight="false" outlineLevel="0" collapsed="false">
      <c r="A146" s="23" t="n">
        <v>46463</v>
      </c>
      <c r="B146" s="7" t="n">
        <v>0.163</v>
      </c>
      <c r="C146" s="7" t="n">
        <v>-0.359</v>
      </c>
      <c r="D146" s="7" t="n">
        <v>0.13</v>
      </c>
      <c r="E146" s="7" t="n">
        <v>0.495</v>
      </c>
      <c r="F146" s="7" t="n">
        <v>0.342</v>
      </c>
      <c r="G146" s="7" t="n">
        <v>0.13</v>
      </c>
      <c r="H146" s="7" t="n">
        <v>-0.179</v>
      </c>
      <c r="I146" s="7" t="n">
        <v>-0.638</v>
      </c>
      <c r="J146" s="7" t="n">
        <v>-0.07</v>
      </c>
      <c r="K146" s="7" t="n">
        <v>0.458</v>
      </c>
      <c r="L146" s="7" t="n">
        <v>-0.162</v>
      </c>
      <c r="M146" s="7" t="n">
        <v>0.151</v>
      </c>
      <c r="N146" s="7" t="n">
        <v>-0.059</v>
      </c>
      <c r="O146" s="7" t="n">
        <v>0.333</v>
      </c>
      <c r="P146" s="7" t="n">
        <v>0.259</v>
      </c>
      <c r="Q146" s="7" t="n">
        <v>0.259</v>
      </c>
      <c r="R146" s="7" t="n">
        <v>-0.179</v>
      </c>
      <c r="S146" s="7" t="n">
        <v>0.236</v>
      </c>
      <c r="T146" s="7" t="n">
        <v>-0.179</v>
      </c>
      <c r="U146" s="7" t="n">
        <v>0.202</v>
      </c>
      <c r="V146" s="7" t="n">
        <v>-0.26</v>
      </c>
      <c r="W146" s="7" t="n">
        <v>0.259</v>
      </c>
      <c r="X146" s="7" t="n">
        <v>0.151</v>
      </c>
      <c r="Y146" s="7" t="n">
        <v>0.13</v>
      </c>
      <c r="Z146" s="7" t="n">
        <v>0.458</v>
      </c>
      <c r="AA146" s="7" t="n">
        <v>-0.179</v>
      </c>
      <c r="AB146" s="7" t="n">
        <v>-0.308</v>
      </c>
      <c r="AC146" s="7" t="n">
        <v>0.278</v>
      </c>
      <c r="AD146" s="7" t="n">
        <v>0.225</v>
      </c>
      <c r="AE146" s="7" t="n">
        <v>0.342</v>
      </c>
      <c r="AF146" s="7" t="n">
        <v>0.449</v>
      </c>
      <c r="AG146" s="7" t="n">
        <v>-0.179</v>
      </c>
      <c r="AH146" s="7" t="n">
        <v>0.857</v>
      </c>
      <c r="AI146" s="7" t="n">
        <v>-0.281</v>
      </c>
      <c r="AJ146" s="7" t="n">
        <v>-0.702</v>
      </c>
      <c r="AK146" s="7" t="n">
        <v>-0.669</v>
      </c>
      <c r="AL146" s="7" t="n">
        <v>0.134</v>
      </c>
      <c r="AM146" s="7" t="n">
        <v>-0.394</v>
      </c>
      <c r="AN146" s="7" t="n">
        <v>-0.299</v>
      </c>
      <c r="AO146" s="7" t="n">
        <v>0.022</v>
      </c>
      <c r="AP146" s="7" t="n">
        <v>0</v>
      </c>
      <c r="AQ146" s="7" t="n">
        <v>0.134</v>
      </c>
    </row>
    <row r="147" customFormat="false" ht="15" hidden="false" customHeight="false" outlineLevel="0" collapsed="false">
      <c r="A147" s="23" t="n">
        <v>46464</v>
      </c>
      <c r="B147" s="7" t="n">
        <v>0.167</v>
      </c>
      <c r="C147" s="7" t="n">
        <v>-0.356</v>
      </c>
      <c r="D147" s="7" t="n">
        <v>0.13</v>
      </c>
      <c r="E147" s="7" t="n">
        <v>0.51</v>
      </c>
      <c r="F147" s="7" t="n">
        <v>0.347</v>
      </c>
      <c r="G147" s="7" t="n">
        <v>0.13</v>
      </c>
      <c r="H147" s="7" t="n">
        <v>-0.179</v>
      </c>
      <c r="I147" s="7" t="n">
        <v>-0.64</v>
      </c>
      <c r="J147" s="7" t="n">
        <v>-0.075</v>
      </c>
      <c r="K147" s="7" t="n">
        <v>0.48</v>
      </c>
      <c r="L147" s="7" t="n">
        <v>-0.164</v>
      </c>
      <c r="M147" s="7" t="n">
        <v>0.151</v>
      </c>
      <c r="N147" s="7" t="n">
        <v>-0.057</v>
      </c>
      <c r="O147" s="7" t="n">
        <v>0.336</v>
      </c>
      <c r="P147" s="7" t="n">
        <v>0.26</v>
      </c>
      <c r="Q147" s="7" t="n">
        <v>0.26</v>
      </c>
      <c r="R147" s="7" t="n">
        <v>-0.179</v>
      </c>
      <c r="S147" s="7" t="n">
        <v>0.241</v>
      </c>
      <c r="T147" s="7" t="n">
        <v>-0.179</v>
      </c>
      <c r="U147" s="7" t="n">
        <v>0.203</v>
      </c>
      <c r="V147" s="7" t="n">
        <v>-0.26</v>
      </c>
      <c r="W147" s="7" t="n">
        <v>0.26</v>
      </c>
      <c r="X147" s="7" t="n">
        <v>0.151</v>
      </c>
      <c r="Y147" s="7" t="n">
        <v>0.13</v>
      </c>
      <c r="Z147" s="7" t="n">
        <v>0.48</v>
      </c>
      <c r="AA147" s="7" t="n">
        <v>-0.179</v>
      </c>
      <c r="AB147" s="7" t="n">
        <v>-0.315</v>
      </c>
      <c r="AC147" s="7" t="n">
        <v>0.28</v>
      </c>
      <c r="AD147" s="7" t="n">
        <v>0.233</v>
      </c>
      <c r="AE147" s="7" t="n">
        <v>0.347</v>
      </c>
      <c r="AF147" s="7" t="n">
        <v>0.455</v>
      </c>
      <c r="AG147" s="7" t="n">
        <v>-0.179</v>
      </c>
      <c r="AH147" s="7" t="n">
        <v>0.86</v>
      </c>
      <c r="AI147" s="7" t="n">
        <v>-0.282</v>
      </c>
      <c r="AJ147" s="7" t="n">
        <v>-0.702</v>
      </c>
      <c r="AK147" s="7" t="n">
        <v>-0.67</v>
      </c>
      <c r="AL147" s="7" t="n">
        <v>0.135</v>
      </c>
      <c r="AM147" s="7" t="n">
        <v>-0.397</v>
      </c>
      <c r="AN147" s="7" t="n">
        <v>-0.299</v>
      </c>
      <c r="AO147" s="7" t="n">
        <v>0.022</v>
      </c>
      <c r="AP147" s="7" t="n">
        <v>0</v>
      </c>
      <c r="AQ147" s="7" t="n">
        <v>0.135</v>
      </c>
    </row>
    <row r="148" customFormat="false" ht="15" hidden="false" customHeight="false" outlineLevel="0" collapsed="false">
      <c r="A148" s="23" t="n">
        <v>46465</v>
      </c>
      <c r="B148" s="7" t="n">
        <v>0.171</v>
      </c>
      <c r="C148" s="7" t="n">
        <v>-0.357</v>
      </c>
      <c r="D148" s="7" t="n">
        <v>0.13</v>
      </c>
      <c r="E148" s="7" t="n">
        <v>0.525</v>
      </c>
      <c r="F148" s="7" t="n">
        <v>0.352</v>
      </c>
      <c r="G148" s="7" t="n">
        <v>0.13</v>
      </c>
      <c r="H148" s="7" t="n">
        <v>-0.177</v>
      </c>
      <c r="I148" s="7" t="n">
        <v>-0.649</v>
      </c>
      <c r="J148" s="7" t="n">
        <v>-0.08</v>
      </c>
      <c r="K148" s="7" t="n">
        <v>0.504</v>
      </c>
      <c r="L148" s="7" t="n">
        <v>-0.173</v>
      </c>
      <c r="M148" s="7" t="n">
        <v>0.152</v>
      </c>
      <c r="N148" s="7" t="n">
        <v>-0.063</v>
      </c>
      <c r="O148" s="7" t="n">
        <v>0.332</v>
      </c>
      <c r="P148" s="7" t="n">
        <v>0.262</v>
      </c>
      <c r="Q148" s="7" t="n">
        <v>0.262</v>
      </c>
      <c r="R148" s="7" t="n">
        <v>-0.177</v>
      </c>
      <c r="S148" s="7" t="n">
        <v>0.247</v>
      </c>
      <c r="T148" s="7" t="n">
        <v>-0.177</v>
      </c>
      <c r="U148" s="7" t="n">
        <v>0.205</v>
      </c>
      <c r="V148" s="7" t="n">
        <v>-0.26</v>
      </c>
      <c r="W148" s="7" t="n">
        <v>0.262</v>
      </c>
      <c r="X148" s="7" t="n">
        <v>0.152</v>
      </c>
      <c r="Y148" s="7" t="n">
        <v>0.13</v>
      </c>
      <c r="Z148" s="7" t="n">
        <v>0.504</v>
      </c>
      <c r="AA148" s="7" t="n">
        <v>-0.177</v>
      </c>
      <c r="AB148" s="7" t="n">
        <v>-0.334</v>
      </c>
      <c r="AC148" s="7" t="n">
        <v>0.282</v>
      </c>
      <c r="AD148" s="7" t="n">
        <v>0.243</v>
      </c>
      <c r="AE148" s="7" t="n">
        <v>0.352</v>
      </c>
      <c r="AF148" s="7" t="n">
        <v>0.461</v>
      </c>
      <c r="AG148" s="7" t="n">
        <v>-0.177</v>
      </c>
      <c r="AH148" s="7" t="n">
        <v>0.864</v>
      </c>
      <c r="AI148" s="7" t="n">
        <v>-0.292</v>
      </c>
      <c r="AJ148" s="7" t="n">
        <v>-0.709</v>
      </c>
      <c r="AK148" s="7" t="n">
        <v>-0.677</v>
      </c>
      <c r="AL148" s="7" t="n">
        <v>0.137</v>
      </c>
      <c r="AM148" s="7" t="n">
        <v>-0.407</v>
      </c>
      <c r="AN148" s="7" t="n">
        <v>-0.297</v>
      </c>
      <c r="AO148" s="7" t="n">
        <v>0.022</v>
      </c>
      <c r="AP148" s="7" t="n">
        <v>0</v>
      </c>
      <c r="AQ148" s="7" t="n">
        <v>0.137</v>
      </c>
    </row>
    <row r="149" customFormat="false" ht="15" hidden="false" customHeight="false" outlineLevel="0" collapsed="false">
      <c r="A149" s="23" t="n">
        <v>46466</v>
      </c>
      <c r="B149" s="7" t="n">
        <v>0.176</v>
      </c>
      <c r="C149" s="7" t="n">
        <v>-0.357</v>
      </c>
      <c r="D149" s="7" t="n">
        <v>0.131</v>
      </c>
      <c r="E149" s="7" t="n">
        <v>0.54</v>
      </c>
      <c r="F149" s="7" t="n">
        <v>0.358</v>
      </c>
      <c r="G149" s="7" t="n">
        <v>0.131</v>
      </c>
      <c r="H149" s="7" t="n">
        <v>-0.173</v>
      </c>
      <c r="I149" s="7" t="n">
        <v>-0.65</v>
      </c>
      <c r="J149" s="7" t="n">
        <v>-0.085</v>
      </c>
      <c r="K149" s="7" t="n">
        <v>0.529</v>
      </c>
      <c r="L149" s="7" t="n">
        <v>-0.183</v>
      </c>
      <c r="M149" s="7" t="n">
        <v>0.153</v>
      </c>
      <c r="N149" s="7" t="n">
        <v>-0.068</v>
      </c>
      <c r="O149" s="7" t="n">
        <v>0.327</v>
      </c>
      <c r="P149" s="7" t="n">
        <v>0.264</v>
      </c>
      <c r="Q149" s="7" t="n">
        <v>0.264</v>
      </c>
      <c r="R149" s="7" t="n">
        <v>-0.173</v>
      </c>
      <c r="S149" s="7" t="n">
        <v>0.254</v>
      </c>
      <c r="T149" s="7" t="n">
        <v>-0.173</v>
      </c>
      <c r="U149" s="7" t="n">
        <v>0.208</v>
      </c>
      <c r="V149" s="7" t="n">
        <v>-0.251</v>
      </c>
      <c r="W149" s="7" t="n">
        <v>0.264</v>
      </c>
      <c r="X149" s="7" t="n">
        <v>0.153</v>
      </c>
      <c r="Y149" s="7" t="n">
        <v>0.131</v>
      </c>
      <c r="Z149" s="7" t="n">
        <v>0.529</v>
      </c>
      <c r="AA149" s="7" t="n">
        <v>-0.173</v>
      </c>
      <c r="AB149" s="7" t="n">
        <v>-0.341</v>
      </c>
      <c r="AC149" s="7" t="n">
        <v>0.285</v>
      </c>
      <c r="AD149" s="7" t="n">
        <v>0.254</v>
      </c>
      <c r="AE149" s="7" t="n">
        <v>0.358</v>
      </c>
      <c r="AF149" s="7" t="n">
        <v>0.467</v>
      </c>
      <c r="AG149" s="7" t="n">
        <v>-0.173</v>
      </c>
      <c r="AH149" s="7" t="n">
        <v>0.868</v>
      </c>
      <c r="AI149" s="7" t="n">
        <v>-0.302</v>
      </c>
      <c r="AJ149" s="7" t="n">
        <v>-0.714</v>
      </c>
      <c r="AK149" s="7" t="n">
        <v>-0.684</v>
      </c>
      <c r="AL149" s="7" t="n">
        <v>0.138</v>
      </c>
      <c r="AM149" s="7" t="n">
        <v>-0.418</v>
      </c>
      <c r="AN149" s="7" t="n">
        <v>-0.294</v>
      </c>
      <c r="AO149" s="7" t="n">
        <v>0.023</v>
      </c>
      <c r="AP149" s="7" t="n">
        <v>0</v>
      </c>
      <c r="AQ149" s="7" t="n">
        <v>0.138</v>
      </c>
    </row>
    <row r="150" customFormat="false" ht="15" hidden="false" customHeight="false" outlineLevel="0" collapsed="false">
      <c r="A150" s="23" t="n">
        <v>46467</v>
      </c>
      <c r="B150" s="7" t="n">
        <v>0.176</v>
      </c>
      <c r="C150" s="7" t="n">
        <v>-0.357</v>
      </c>
      <c r="D150" s="7" t="n">
        <v>0.131</v>
      </c>
      <c r="E150" s="7" t="n">
        <v>0.54</v>
      </c>
      <c r="F150" s="7" t="n">
        <v>0.358</v>
      </c>
      <c r="G150" s="7" t="n">
        <v>0.131</v>
      </c>
      <c r="H150" s="7" t="n">
        <v>-0.173</v>
      </c>
      <c r="I150" s="7" t="n">
        <v>-0.65</v>
      </c>
      <c r="J150" s="7" t="n">
        <v>-0.085</v>
      </c>
      <c r="K150" s="7" t="n">
        <v>0.529</v>
      </c>
      <c r="L150" s="7" t="n">
        <v>-0.183</v>
      </c>
      <c r="M150" s="7" t="n">
        <v>0.153</v>
      </c>
      <c r="N150" s="7" t="n">
        <v>-0.068</v>
      </c>
      <c r="O150" s="7" t="n">
        <v>0.327</v>
      </c>
      <c r="P150" s="7" t="n">
        <v>0.264</v>
      </c>
      <c r="Q150" s="7" t="n">
        <v>0.264</v>
      </c>
      <c r="R150" s="7" t="n">
        <v>-0.173</v>
      </c>
      <c r="S150" s="7" t="n">
        <v>0.254</v>
      </c>
      <c r="T150" s="7" t="n">
        <v>-0.173</v>
      </c>
      <c r="U150" s="7" t="n">
        <v>0.208</v>
      </c>
      <c r="V150" s="7" t="n">
        <v>-0.251</v>
      </c>
      <c r="W150" s="7" t="n">
        <v>0.264</v>
      </c>
      <c r="X150" s="7" t="n">
        <v>0.153</v>
      </c>
      <c r="Y150" s="7" t="n">
        <v>0.131</v>
      </c>
      <c r="Z150" s="7" t="n">
        <v>0.529</v>
      </c>
      <c r="AA150" s="7" t="n">
        <v>-0.173</v>
      </c>
      <c r="AB150" s="7" t="n">
        <v>-0.341</v>
      </c>
      <c r="AC150" s="7" t="n">
        <v>0.285</v>
      </c>
      <c r="AD150" s="7" t="n">
        <v>0.254</v>
      </c>
      <c r="AE150" s="7" t="n">
        <v>0.358</v>
      </c>
      <c r="AF150" s="7" t="n">
        <v>0.467</v>
      </c>
      <c r="AG150" s="7" t="n">
        <v>-0.173</v>
      </c>
      <c r="AH150" s="7" t="n">
        <v>0.868</v>
      </c>
      <c r="AI150" s="7" t="n">
        <v>-0.302</v>
      </c>
      <c r="AJ150" s="7" t="n">
        <v>-0.714</v>
      </c>
      <c r="AK150" s="7" t="n">
        <v>-0.684</v>
      </c>
      <c r="AL150" s="7" t="n">
        <v>0.138</v>
      </c>
      <c r="AM150" s="7" t="n">
        <v>-0.418</v>
      </c>
      <c r="AN150" s="7" t="n">
        <v>-0.294</v>
      </c>
      <c r="AO150" s="7" t="n">
        <v>0.023</v>
      </c>
      <c r="AP150" s="7" t="n">
        <v>0</v>
      </c>
      <c r="AQ150" s="7" t="n">
        <v>0.138</v>
      </c>
    </row>
    <row r="151" customFormat="false" ht="15" hidden="false" customHeight="false" outlineLevel="0" collapsed="false">
      <c r="A151" s="23" t="n">
        <v>46468</v>
      </c>
      <c r="B151" s="7" t="n">
        <v>0.176</v>
      </c>
      <c r="C151" s="7" t="n">
        <v>-0.357</v>
      </c>
      <c r="D151" s="7" t="n">
        <v>0.131</v>
      </c>
      <c r="E151" s="7" t="n">
        <v>0.54</v>
      </c>
      <c r="F151" s="7" t="n">
        <v>0.358</v>
      </c>
      <c r="G151" s="7" t="n">
        <v>0.131</v>
      </c>
      <c r="H151" s="7" t="n">
        <v>-0.173</v>
      </c>
      <c r="I151" s="7" t="n">
        <v>-0.65</v>
      </c>
      <c r="J151" s="7" t="n">
        <v>-0.085</v>
      </c>
      <c r="K151" s="7" t="n">
        <v>0.529</v>
      </c>
      <c r="L151" s="7" t="n">
        <v>-0.183</v>
      </c>
      <c r="M151" s="7" t="n">
        <v>0.153</v>
      </c>
      <c r="N151" s="7" t="n">
        <v>-0.068</v>
      </c>
      <c r="O151" s="7" t="n">
        <v>0.327</v>
      </c>
      <c r="P151" s="7" t="n">
        <v>0.264</v>
      </c>
      <c r="Q151" s="7" t="n">
        <v>0.264</v>
      </c>
      <c r="R151" s="7" t="n">
        <v>-0.173</v>
      </c>
      <c r="S151" s="7" t="n">
        <v>0.254</v>
      </c>
      <c r="T151" s="7" t="n">
        <v>-0.173</v>
      </c>
      <c r="U151" s="7" t="n">
        <v>0.208</v>
      </c>
      <c r="V151" s="7" t="n">
        <v>-0.251</v>
      </c>
      <c r="W151" s="7" t="n">
        <v>0.264</v>
      </c>
      <c r="X151" s="7" t="n">
        <v>0.153</v>
      </c>
      <c r="Y151" s="7" t="n">
        <v>0.131</v>
      </c>
      <c r="Z151" s="7" t="n">
        <v>0.529</v>
      </c>
      <c r="AA151" s="7" t="n">
        <v>-0.173</v>
      </c>
      <c r="AB151" s="7" t="n">
        <v>-0.341</v>
      </c>
      <c r="AC151" s="7" t="n">
        <v>0.285</v>
      </c>
      <c r="AD151" s="7" t="n">
        <v>0.254</v>
      </c>
      <c r="AE151" s="7" t="n">
        <v>0.358</v>
      </c>
      <c r="AF151" s="7" t="n">
        <v>0.467</v>
      </c>
      <c r="AG151" s="7" t="n">
        <v>-0.173</v>
      </c>
      <c r="AH151" s="7" t="n">
        <v>0.868</v>
      </c>
      <c r="AI151" s="7" t="n">
        <v>-0.302</v>
      </c>
      <c r="AJ151" s="7" t="n">
        <v>-0.714</v>
      </c>
      <c r="AK151" s="7" t="n">
        <v>-0.684</v>
      </c>
      <c r="AL151" s="7" t="n">
        <v>0.138</v>
      </c>
      <c r="AM151" s="7" t="n">
        <v>-0.418</v>
      </c>
      <c r="AN151" s="7" t="n">
        <v>-0.294</v>
      </c>
      <c r="AO151" s="7" t="n">
        <v>0.023</v>
      </c>
      <c r="AP151" s="7" t="n">
        <v>0</v>
      </c>
      <c r="AQ151" s="7" t="n">
        <v>0.138</v>
      </c>
    </row>
    <row r="152" customFormat="false" ht="15" hidden="false" customHeight="false" outlineLevel="0" collapsed="false">
      <c r="A152" s="23" t="n">
        <v>46469</v>
      </c>
      <c r="B152" s="7" t="n">
        <v>0.181</v>
      </c>
      <c r="C152" s="7" t="n">
        <v>-0.346</v>
      </c>
      <c r="D152" s="7" t="n">
        <v>0.132</v>
      </c>
      <c r="E152" s="7" t="n">
        <v>0.55</v>
      </c>
      <c r="F152" s="7" t="n">
        <v>0.357</v>
      </c>
      <c r="G152" s="7" t="n">
        <v>0.132</v>
      </c>
      <c r="H152" s="7" t="n">
        <v>-0.159</v>
      </c>
      <c r="I152" s="7" t="n">
        <v>-0.645</v>
      </c>
      <c r="J152" s="7" t="n">
        <v>-0.098</v>
      </c>
      <c r="K152" s="7" t="n">
        <v>0.542</v>
      </c>
      <c r="L152" s="7" t="n">
        <v>-0.192</v>
      </c>
      <c r="M152" s="7" t="n">
        <v>0.154</v>
      </c>
      <c r="N152" s="7" t="n">
        <v>-0.077</v>
      </c>
      <c r="O152" s="7" t="n">
        <v>0.319</v>
      </c>
      <c r="P152" s="7" t="n">
        <v>0.263</v>
      </c>
      <c r="Q152" s="7" t="n">
        <v>0.263</v>
      </c>
      <c r="R152" s="7" t="n">
        <v>-0.159</v>
      </c>
      <c r="S152" s="7" t="n">
        <v>0.267</v>
      </c>
      <c r="T152" s="7" t="n">
        <v>-0.159</v>
      </c>
      <c r="U152" s="7" t="n">
        <v>0.212</v>
      </c>
      <c r="V152" s="7" t="n">
        <v>-0.237</v>
      </c>
      <c r="W152" s="7" t="n">
        <v>0.263</v>
      </c>
      <c r="X152" s="7" t="n">
        <v>0.154</v>
      </c>
      <c r="Y152" s="7" t="n">
        <v>0.132</v>
      </c>
      <c r="Z152" s="7" t="n">
        <v>0.542</v>
      </c>
      <c r="AA152" s="7" t="n">
        <v>-0.159</v>
      </c>
      <c r="AB152" s="7" t="n">
        <v>-0.358</v>
      </c>
      <c r="AC152" s="7" t="n">
        <v>0.284</v>
      </c>
      <c r="AD152" s="7" t="n">
        <v>0.266</v>
      </c>
      <c r="AE152" s="7" t="n">
        <v>0.357</v>
      </c>
      <c r="AF152" s="7" t="n">
        <v>0.472</v>
      </c>
      <c r="AG152" s="7" t="n">
        <v>-0.159</v>
      </c>
      <c r="AH152" s="7" t="n">
        <v>0.868</v>
      </c>
      <c r="AI152" s="7" t="n">
        <v>-0.31</v>
      </c>
      <c r="AJ152" s="7" t="n">
        <v>-0.711</v>
      </c>
      <c r="AK152" s="7" t="n">
        <v>-0.68</v>
      </c>
      <c r="AL152" s="7" t="n">
        <v>0.136</v>
      </c>
      <c r="AM152" s="7" t="n">
        <v>-0.424</v>
      </c>
      <c r="AN152" s="7" t="n">
        <v>-0.282</v>
      </c>
      <c r="AO152" s="7" t="n">
        <v>0.023</v>
      </c>
      <c r="AP152" s="7" t="n">
        <v>0</v>
      </c>
      <c r="AQ152" s="7" t="n">
        <v>0.136</v>
      </c>
    </row>
    <row r="153" customFormat="false" ht="15" hidden="false" customHeight="false" outlineLevel="0" collapsed="false">
      <c r="A153" s="23" t="n">
        <v>46470</v>
      </c>
      <c r="B153" s="7" t="n">
        <v>0.187</v>
      </c>
      <c r="C153" s="7" t="n">
        <v>-0.334</v>
      </c>
      <c r="D153" s="7" t="n">
        <v>0.132</v>
      </c>
      <c r="E153" s="7" t="n">
        <v>0.56</v>
      </c>
      <c r="F153" s="7" t="n">
        <v>0.356</v>
      </c>
      <c r="G153" s="7" t="n">
        <v>0.132</v>
      </c>
      <c r="H153" s="7" t="n">
        <v>-0.146</v>
      </c>
      <c r="I153" s="7" t="n">
        <v>-0.639</v>
      </c>
      <c r="J153" s="7" t="n">
        <v>-0.111</v>
      </c>
      <c r="K153" s="7" t="n">
        <v>0.555</v>
      </c>
      <c r="L153" s="7" t="n">
        <v>-0.201</v>
      </c>
      <c r="M153" s="7" t="n">
        <v>0.155</v>
      </c>
      <c r="N153" s="7" t="n">
        <v>-0.086</v>
      </c>
      <c r="O153" s="7" t="n">
        <v>0.311</v>
      </c>
      <c r="P153" s="7" t="n">
        <v>0.261</v>
      </c>
      <c r="Q153" s="7" t="n">
        <v>0.261</v>
      </c>
      <c r="R153" s="7" t="n">
        <v>-0.146</v>
      </c>
      <c r="S153" s="7" t="n">
        <v>0.28</v>
      </c>
      <c r="T153" s="7" t="n">
        <v>-0.146</v>
      </c>
      <c r="U153" s="7" t="n">
        <v>0.216</v>
      </c>
      <c r="V153" s="7" t="n">
        <v>-0.22</v>
      </c>
      <c r="W153" s="7" t="n">
        <v>0.261</v>
      </c>
      <c r="X153" s="7" t="n">
        <v>0.155</v>
      </c>
      <c r="Y153" s="7" t="n">
        <v>0.132</v>
      </c>
      <c r="Z153" s="7" t="n">
        <v>0.555</v>
      </c>
      <c r="AA153" s="7" t="n">
        <v>-0.146</v>
      </c>
      <c r="AB153" s="7" t="n">
        <v>-0.37</v>
      </c>
      <c r="AC153" s="7" t="n">
        <v>0.282</v>
      </c>
      <c r="AD153" s="7" t="n">
        <v>0.278</v>
      </c>
      <c r="AE153" s="7" t="n">
        <v>0.356</v>
      </c>
      <c r="AF153" s="7" t="n">
        <v>0.476</v>
      </c>
      <c r="AG153" s="7" t="n">
        <v>-0.146</v>
      </c>
      <c r="AH153" s="7" t="n">
        <v>0.867</v>
      </c>
      <c r="AI153" s="7" t="n">
        <v>-0.319</v>
      </c>
      <c r="AJ153" s="7" t="n">
        <v>-0.708</v>
      </c>
      <c r="AK153" s="7" t="n">
        <v>-0.676</v>
      </c>
      <c r="AL153" s="7" t="n">
        <v>0.134</v>
      </c>
      <c r="AM153" s="7" t="n">
        <v>-0.43</v>
      </c>
      <c r="AN153" s="7" t="n">
        <v>-0.269</v>
      </c>
      <c r="AO153" s="7" t="n">
        <v>0.024</v>
      </c>
      <c r="AP153" s="7" t="n">
        <v>0</v>
      </c>
      <c r="AQ153" s="7" t="n">
        <v>0.134</v>
      </c>
    </row>
    <row r="154" customFormat="false" ht="15" hidden="false" customHeight="false" outlineLevel="0" collapsed="false">
      <c r="A154" s="23" t="n">
        <v>46471</v>
      </c>
      <c r="B154" s="7" t="n">
        <v>0.192</v>
      </c>
      <c r="C154" s="7" t="n">
        <v>-0.323</v>
      </c>
      <c r="D154" s="7" t="n">
        <v>0.133</v>
      </c>
      <c r="E154" s="7" t="n">
        <v>0.569</v>
      </c>
      <c r="F154" s="7" t="n">
        <v>0.356</v>
      </c>
      <c r="G154" s="7" t="n">
        <v>0.133</v>
      </c>
      <c r="H154" s="7" t="n">
        <v>-0.134</v>
      </c>
      <c r="I154" s="7" t="n">
        <v>-0.633</v>
      </c>
      <c r="J154" s="7" t="n">
        <v>-0.123</v>
      </c>
      <c r="K154" s="7" t="n">
        <v>0.569</v>
      </c>
      <c r="L154" s="7" t="n">
        <v>-0.209</v>
      </c>
      <c r="M154" s="7" t="n">
        <v>0.156</v>
      </c>
      <c r="N154" s="7" t="n">
        <v>-0.093</v>
      </c>
      <c r="O154" s="7" t="n">
        <v>0.304</v>
      </c>
      <c r="P154" s="7" t="n">
        <v>0.259</v>
      </c>
      <c r="Q154" s="7" t="n">
        <v>0.259</v>
      </c>
      <c r="R154" s="7" t="n">
        <v>-0.134</v>
      </c>
      <c r="S154" s="7" t="n">
        <v>0.293</v>
      </c>
      <c r="T154" s="7" t="n">
        <v>-0.134</v>
      </c>
      <c r="U154" s="7" t="n">
        <v>0.219</v>
      </c>
      <c r="V154" s="7" t="n">
        <v>-0.205</v>
      </c>
      <c r="W154" s="7" t="n">
        <v>0.259</v>
      </c>
      <c r="X154" s="7" t="n">
        <v>0.156</v>
      </c>
      <c r="Y154" s="7" t="n">
        <v>0.133</v>
      </c>
      <c r="Z154" s="7" t="n">
        <v>0.569</v>
      </c>
      <c r="AA154" s="7" t="n">
        <v>-0.134</v>
      </c>
      <c r="AB154" s="7" t="n">
        <v>-0.382</v>
      </c>
      <c r="AC154" s="7" t="n">
        <v>0.281</v>
      </c>
      <c r="AD154" s="7" t="n">
        <v>0.289</v>
      </c>
      <c r="AE154" s="7" t="n">
        <v>0.356</v>
      </c>
      <c r="AF154" s="7" t="n">
        <v>0.481</v>
      </c>
      <c r="AG154" s="7" t="n">
        <v>-0.134</v>
      </c>
      <c r="AH154" s="7" t="n">
        <v>0.867</v>
      </c>
      <c r="AI154" s="7" t="n">
        <v>-0.328</v>
      </c>
      <c r="AJ154" s="7" t="n">
        <v>-0.705</v>
      </c>
      <c r="AK154" s="7" t="n">
        <v>-0.673</v>
      </c>
      <c r="AL154" s="7" t="n">
        <v>0.131</v>
      </c>
      <c r="AM154" s="7" t="n">
        <v>-0.436</v>
      </c>
      <c r="AN154" s="7" t="n">
        <v>-0.258</v>
      </c>
      <c r="AO154" s="7" t="n">
        <v>0.024</v>
      </c>
      <c r="AP154" s="7" t="n">
        <v>0</v>
      </c>
      <c r="AQ154" s="7" t="n">
        <v>0.131</v>
      </c>
    </row>
    <row r="155" customFormat="false" ht="15" hidden="false" customHeight="false" outlineLevel="0" collapsed="false">
      <c r="A155" s="23" t="n">
        <v>46472</v>
      </c>
      <c r="B155" s="7" t="n">
        <v>0.198</v>
      </c>
      <c r="C155" s="7" t="n">
        <v>-0.311</v>
      </c>
      <c r="D155" s="7" t="n">
        <v>0.134</v>
      </c>
      <c r="E155" s="7" t="n">
        <v>0.578</v>
      </c>
      <c r="F155" s="7" t="n">
        <v>0.356</v>
      </c>
      <c r="G155" s="7" t="n">
        <v>0.134</v>
      </c>
      <c r="H155" s="7" t="n">
        <v>-0.122</v>
      </c>
      <c r="I155" s="7" t="n">
        <v>-0.623</v>
      </c>
      <c r="J155" s="7" t="n">
        <v>-0.136</v>
      </c>
      <c r="K155" s="7" t="n">
        <v>0.583</v>
      </c>
      <c r="L155" s="7" t="n">
        <v>-0.217</v>
      </c>
      <c r="M155" s="7" t="n">
        <v>0.157</v>
      </c>
      <c r="N155" s="7" t="n">
        <v>-0.1</v>
      </c>
      <c r="O155" s="7" t="n">
        <v>0.296</v>
      </c>
      <c r="P155" s="7" t="n">
        <v>0.258</v>
      </c>
      <c r="Q155" s="7" t="n">
        <v>0.258</v>
      </c>
      <c r="R155" s="7" t="n">
        <v>-0.122</v>
      </c>
      <c r="S155" s="7" t="n">
        <v>0.305</v>
      </c>
      <c r="T155" s="7" t="n">
        <v>-0.122</v>
      </c>
      <c r="U155" s="7" t="n">
        <v>0.223</v>
      </c>
      <c r="V155" s="7" t="n">
        <v>-0.186</v>
      </c>
      <c r="W155" s="7" t="n">
        <v>0.258</v>
      </c>
      <c r="X155" s="7" t="n">
        <v>0.157</v>
      </c>
      <c r="Y155" s="7" t="n">
        <v>0.134</v>
      </c>
      <c r="Z155" s="7" t="n">
        <v>0.583</v>
      </c>
      <c r="AA155" s="7" t="n">
        <v>-0.122</v>
      </c>
      <c r="AB155" s="7" t="n">
        <v>-0.389</v>
      </c>
      <c r="AC155" s="7" t="n">
        <v>0.28</v>
      </c>
      <c r="AD155" s="7" t="n">
        <v>0.3</v>
      </c>
      <c r="AE155" s="7" t="n">
        <v>0.356</v>
      </c>
      <c r="AF155" s="7" t="n">
        <v>0.486</v>
      </c>
      <c r="AG155" s="7" t="n">
        <v>-0.122</v>
      </c>
      <c r="AH155" s="7" t="n">
        <v>0.867</v>
      </c>
      <c r="AI155" s="7" t="n">
        <v>-0.336</v>
      </c>
      <c r="AJ155" s="7" t="n">
        <v>-0.703</v>
      </c>
      <c r="AK155" s="7" t="n">
        <v>-0.67</v>
      </c>
      <c r="AL155" s="7" t="n">
        <v>0.129</v>
      </c>
      <c r="AM155" s="7" t="n">
        <v>-0.442</v>
      </c>
      <c r="AN155" s="7" t="n">
        <v>-0.247</v>
      </c>
      <c r="AO155" s="7" t="n">
        <v>0.024</v>
      </c>
      <c r="AP155" s="7" t="n">
        <v>0</v>
      </c>
      <c r="AQ155" s="7" t="n">
        <v>0.129</v>
      </c>
    </row>
    <row r="156" customFormat="false" ht="15" hidden="false" customHeight="false" outlineLevel="0" collapsed="false">
      <c r="A156" s="23" t="n">
        <v>46473</v>
      </c>
      <c r="B156" s="7" t="n">
        <v>0.204</v>
      </c>
      <c r="C156" s="7" t="n">
        <v>-0.3</v>
      </c>
      <c r="D156" s="7" t="n">
        <v>0.134</v>
      </c>
      <c r="E156" s="7" t="n">
        <v>0.588</v>
      </c>
      <c r="F156" s="7" t="n">
        <v>0.356</v>
      </c>
      <c r="G156" s="7" t="n">
        <v>0.134</v>
      </c>
      <c r="H156" s="7" t="n">
        <v>-0.111</v>
      </c>
      <c r="I156" s="7" t="n">
        <v>-0.615</v>
      </c>
      <c r="J156" s="7" t="n">
        <v>-0.149</v>
      </c>
      <c r="K156" s="7" t="n">
        <v>0.597</v>
      </c>
      <c r="L156" s="7" t="n">
        <v>-0.225</v>
      </c>
      <c r="M156" s="7" t="n">
        <v>0.158</v>
      </c>
      <c r="N156" s="7" t="n">
        <v>-0.107</v>
      </c>
      <c r="O156" s="7" t="n">
        <v>0.292</v>
      </c>
      <c r="P156" s="7" t="n">
        <v>0.256</v>
      </c>
      <c r="Q156" s="7" t="n">
        <v>0.256</v>
      </c>
      <c r="R156" s="7" t="n">
        <v>-0.111</v>
      </c>
      <c r="S156" s="7" t="n">
        <v>0.318</v>
      </c>
      <c r="T156" s="7" t="n">
        <v>-0.111</v>
      </c>
      <c r="U156" s="7" t="n">
        <v>0.226</v>
      </c>
      <c r="V156" s="7" t="n">
        <v>-0.169</v>
      </c>
      <c r="W156" s="7" t="n">
        <v>0.256</v>
      </c>
      <c r="X156" s="7" t="n">
        <v>0.158</v>
      </c>
      <c r="Y156" s="7" t="n">
        <v>0.134</v>
      </c>
      <c r="Z156" s="7" t="n">
        <v>0.597</v>
      </c>
      <c r="AA156" s="7" t="n">
        <v>-0.111</v>
      </c>
      <c r="AB156" s="7" t="n">
        <v>-0.399</v>
      </c>
      <c r="AC156" s="7" t="n">
        <v>0.278</v>
      </c>
      <c r="AD156" s="7" t="n">
        <v>0.311</v>
      </c>
      <c r="AE156" s="7" t="n">
        <v>0.356</v>
      </c>
      <c r="AF156" s="7" t="n">
        <v>0.492</v>
      </c>
      <c r="AG156" s="7" t="n">
        <v>-0.111</v>
      </c>
      <c r="AH156" s="7" t="n">
        <v>0.87</v>
      </c>
      <c r="AI156" s="7" t="n">
        <v>-0.344</v>
      </c>
      <c r="AJ156" s="7" t="n">
        <v>-0.701</v>
      </c>
      <c r="AK156" s="7" t="n">
        <v>-0.668</v>
      </c>
      <c r="AL156" s="7" t="n">
        <v>0.126</v>
      </c>
      <c r="AM156" s="7" t="n">
        <v>-0.447</v>
      </c>
      <c r="AN156" s="7" t="n">
        <v>-0.237</v>
      </c>
      <c r="AO156" s="7" t="n">
        <v>0.025</v>
      </c>
      <c r="AP156" s="7" t="n">
        <v>0</v>
      </c>
      <c r="AQ156" s="7" t="n">
        <v>0.126</v>
      </c>
    </row>
    <row r="157" customFormat="false" ht="15" hidden="false" customHeight="false" outlineLevel="0" collapsed="false">
      <c r="A157" s="23" t="n">
        <v>46474</v>
      </c>
      <c r="B157" s="7" t="n">
        <v>0.204</v>
      </c>
      <c r="C157" s="7" t="n">
        <v>-0.3</v>
      </c>
      <c r="D157" s="7" t="n">
        <v>0.134</v>
      </c>
      <c r="E157" s="7" t="n">
        <v>0.588</v>
      </c>
      <c r="F157" s="7" t="n">
        <v>0.356</v>
      </c>
      <c r="G157" s="7" t="n">
        <v>0.134</v>
      </c>
      <c r="H157" s="7" t="n">
        <v>-0.111</v>
      </c>
      <c r="I157" s="7" t="n">
        <v>-0.615</v>
      </c>
      <c r="J157" s="7" t="n">
        <v>-0.149</v>
      </c>
      <c r="K157" s="7" t="n">
        <v>0.597</v>
      </c>
      <c r="L157" s="7" t="n">
        <v>-0.225</v>
      </c>
      <c r="M157" s="7" t="n">
        <v>0.158</v>
      </c>
      <c r="N157" s="7" t="n">
        <v>-0.107</v>
      </c>
      <c r="O157" s="7" t="n">
        <v>0.292</v>
      </c>
      <c r="P157" s="7" t="n">
        <v>0.256</v>
      </c>
      <c r="Q157" s="7" t="n">
        <v>0.256</v>
      </c>
      <c r="R157" s="7" t="n">
        <v>-0.111</v>
      </c>
      <c r="S157" s="7" t="n">
        <v>0.318</v>
      </c>
      <c r="T157" s="7" t="n">
        <v>-0.111</v>
      </c>
      <c r="U157" s="7" t="n">
        <v>0.226</v>
      </c>
      <c r="V157" s="7" t="n">
        <v>-0.169</v>
      </c>
      <c r="W157" s="7" t="n">
        <v>0.256</v>
      </c>
      <c r="X157" s="7" t="n">
        <v>0.158</v>
      </c>
      <c r="Y157" s="7" t="n">
        <v>0.134</v>
      </c>
      <c r="Z157" s="7" t="n">
        <v>0.597</v>
      </c>
      <c r="AA157" s="7" t="n">
        <v>-0.111</v>
      </c>
      <c r="AB157" s="7" t="n">
        <v>-0.399</v>
      </c>
      <c r="AC157" s="7" t="n">
        <v>0.278</v>
      </c>
      <c r="AD157" s="7" t="n">
        <v>0.311</v>
      </c>
      <c r="AE157" s="7" t="n">
        <v>0.356</v>
      </c>
      <c r="AF157" s="7" t="n">
        <v>0.492</v>
      </c>
      <c r="AG157" s="7" t="n">
        <v>-0.111</v>
      </c>
      <c r="AH157" s="7" t="n">
        <v>0.87</v>
      </c>
      <c r="AI157" s="7" t="n">
        <v>-0.344</v>
      </c>
      <c r="AJ157" s="7" t="n">
        <v>-0.701</v>
      </c>
      <c r="AK157" s="7" t="n">
        <v>-0.668</v>
      </c>
      <c r="AL157" s="7" t="n">
        <v>0.126</v>
      </c>
      <c r="AM157" s="7" t="n">
        <v>-0.447</v>
      </c>
      <c r="AN157" s="7" t="n">
        <v>-0.237</v>
      </c>
      <c r="AO157" s="7" t="n">
        <v>0.025</v>
      </c>
      <c r="AP157" s="7" t="n">
        <v>0</v>
      </c>
      <c r="AQ157" s="7" t="n">
        <v>0.126</v>
      </c>
    </row>
    <row r="158" customFormat="false" ht="15" hidden="false" customHeight="false" outlineLevel="0" collapsed="false">
      <c r="A158" s="23" t="n">
        <v>46475</v>
      </c>
      <c r="B158" s="7" t="n">
        <v>0.204</v>
      </c>
      <c r="C158" s="7" t="n">
        <v>-0.3</v>
      </c>
      <c r="D158" s="7" t="n">
        <v>0.134</v>
      </c>
      <c r="E158" s="7" t="n">
        <v>0.588</v>
      </c>
      <c r="F158" s="7" t="n">
        <v>0.356</v>
      </c>
      <c r="G158" s="7" t="n">
        <v>0.134</v>
      </c>
      <c r="H158" s="7" t="n">
        <v>-0.111</v>
      </c>
      <c r="I158" s="7" t="n">
        <v>-0.615</v>
      </c>
      <c r="J158" s="7" t="n">
        <v>-0.149</v>
      </c>
      <c r="K158" s="7" t="n">
        <v>0.597</v>
      </c>
      <c r="L158" s="7" t="n">
        <v>-0.225</v>
      </c>
      <c r="M158" s="7" t="n">
        <v>0.158</v>
      </c>
      <c r="N158" s="7" t="n">
        <v>-0.107</v>
      </c>
      <c r="O158" s="7" t="n">
        <v>0.292</v>
      </c>
      <c r="P158" s="7" t="n">
        <v>0.256</v>
      </c>
      <c r="Q158" s="7" t="n">
        <v>0.256</v>
      </c>
      <c r="R158" s="7" t="n">
        <v>-0.111</v>
      </c>
      <c r="S158" s="7" t="n">
        <v>0.318</v>
      </c>
      <c r="T158" s="7" t="n">
        <v>-0.111</v>
      </c>
      <c r="U158" s="7" t="n">
        <v>0.226</v>
      </c>
      <c r="V158" s="7" t="n">
        <v>-0.169</v>
      </c>
      <c r="W158" s="7" t="n">
        <v>0.256</v>
      </c>
      <c r="X158" s="7" t="n">
        <v>0.158</v>
      </c>
      <c r="Y158" s="7" t="n">
        <v>0.134</v>
      </c>
      <c r="Z158" s="7" t="n">
        <v>0.597</v>
      </c>
      <c r="AA158" s="7" t="n">
        <v>-0.111</v>
      </c>
      <c r="AB158" s="7" t="n">
        <v>-0.399</v>
      </c>
      <c r="AC158" s="7" t="n">
        <v>0.278</v>
      </c>
      <c r="AD158" s="7" t="n">
        <v>0.311</v>
      </c>
      <c r="AE158" s="7" t="n">
        <v>0.356</v>
      </c>
      <c r="AF158" s="7" t="n">
        <v>0.492</v>
      </c>
      <c r="AG158" s="7" t="n">
        <v>-0.111</v>
      </c>
      <c r="AH158" s="7" t="n">
        <v>0.87</v>
      </c>
      <c r="AI158" s="7" t="n">
        <v>-0.344</v>
      </c>
      <c r="AJ158" s="7" t="n">
        <v>-0.701</v>
      </c>
      <c r="AK158" s="7" t="n">
        <v>-0.668</v>
      </c>
      <c r="AL158" s="7" t="n">
        <v>0.126</v>
      </c>
      <c r="AM158" s="7" t="n">
        <v>-0.447</v>
      </c>
      <c r="AN158" s="7" t="n">
        <v>-0.237</v>
      </c>
      <c r="AO158" s="7" t="n">
        <v>0.025</v>
      </c>
      <c r="AP158" s="7" t="n">
        <v>0</v>
      </c>
      <c r="AQ158" s="7" t="n">
        <v>0.126</v>
      </c>
    </row>
    <row r="159" customFormat="false" ht="15" hidden="false" customHeight="false" outlineLevel="0" collapsed="false">
      <c r="A159" s="23" t="n">
        <v>46476</v>
      </c>
      <c r="B159" s="7" t="n">
        <v>0.196</v>
      </c>
      <c r="C159" s="7" t="n">
        <v>-0.302</v>
      </c>
      <c r="D159" s="7" t="n">
        <v>0.135</v>
      </c>
      <c r="E159" s="7" t="n">
        <v>0.58</v>
      </c>
      <c r="F159" s="7" t="n">
        <v>0.345</v>
      </c>
      <c r="G159" s="7" t="n">
        <v>0.135</v>
      </c>
      <c r="H159" s="7" t="n">
        <v>-0.108</v>
      </c>
      <c r="I159" s="7" t="n">
        <v>-0.617</v>
      </c>
      <c r="J159" s="7" t="n">
        <v>-0.164</v>
      </c>
      <c r="K159" s="7" t="n">
        <v>0.597</v>
      </c>
      <c r="L159" s="7" t="n">
        <v>-0.234</v>
      </c>
      <c r="M159" s="7" t="n">
        <v>0.159</v>
      </c>
      <c r="N159" s="7" t="n">
        <v>-0.123</v>
      </c>
      <c r="O159" s="7" t="n">
        <v>0.286</v>
      </c>
      <c r="P159" s="7" t="n">
        <v>0.252</v>
      </c>
      <c r="Q159" s="7" t="n">
        <v>0.252</v>
      </c>
      <c r="R159" s="7" t="n">
        <v>-0.108</v>
      </c>
      <c r="S159" s="7" t="n">
        <v>0.317</v>
      </c>
      <c r="T159" s="7" t="n">
        <v>-0.108</v>
      </c>
      <c r="U159" s="7" t="n">
        <v>0.219</v>
      </c>
      <c r="V159" s="7" t="n">
        <v>-0.168</v>
      </c>
      <c r="W159" s="7" t="n">
        <v>0.252</v>
      </c>
      <c r="X159" s="7" t="n">
        <v>0.159</v>
      </c>
      <c r="Y159" s="7" t="n">
        <v>0.135</v>
      </c>
      <c r="Z159" s="7" t="n">
        <v>0.597</v>
      </c>
      <c r="AA159" s="7" t="n">
        <v>-0.108</v>
      </c>
      <c r="AB159" s="7" t="n">
        <v>-0.416</v>
      </c>
      <c r="AC159" s="7" t="n">
        <v>0.275</v>
      </c>
      <c r="AD159" s="7" t="n">
        <v>0.304</v>
      </c>
      <c r="AE159" s="7" t="n">
        <v>0.345</v>
      </c>
      <c r="AF159" s="7" t="n">
        <v>0.486</v>
      </c>
      <c r="AG159" s="7" t="n">
        <v>-0.108</v>
      </c>
      <c r="AH159" s="7" t="n">
        <v>0.872</v>
      </c>
      <c r="AI159" s="7" t="n">
        <v>-0.353</v>
      </c>
      <c r="AJ159" s="7" t="n">
        <v>-0.703</v>
      </c>
      <c r="AK159" s="7" t="n">
        <v>-0.67</v>
      </c>
      <c r="AL159" s="7" t="n">
        <v>0.122</v>
      </c>
      <c r="AM159" s="7" t="n">
        <v>-0.452</v>
      </c>
      <c r="AN159" s="7" t="n">
        <v>-0.235</v>
      </c>
      <c r="AO159" s="7" t="n">
        <v>0.025</v>
      </c>
      <c r="AP159" s="7" t="n">
        <v>0</v>
      </c>
      <c r="AQ159" s="7" t="n">
        <v>0.122</v>
      </c>
    </row>
    <row r="160" customFormat="false" ht="15" hidden="false" customHeight="false" outlineLevel="0" collapsed="false">
      <c r="A160" s="23" t="n">
        <v>46477</v>
      </c>
      <c r="B160" s="7" t="n">
        <v>0.187</v>
      </c>
      <c r="C160" s="7" t="n">
        <v>-0.304</v>
      </c>
      <c r="D160" s="7" t="n">
        <v>0.135</v>
      </c>
      <c r="E160" s="7" t="n">
        <v>0.573</v>
      </c>
      <c r="F160" s="7" t="n">
        <v>0.333</v>
      </c>
      <c r="G160" s="7" t="n">
        <v>0.135</v>
      </c>
      <c r="H160" s="7" t="n">
        <v>-0.105</v>
      </c>
      <c r="I160" s="7" t="n">
        <v>-0.617</v>
      </c>
      <c r="J160" s="7" t="n">
        <v>-0.18</v>
      </c>
      <c r="K160" s="7" t="n">
        <v>0.596</v>
      </c>
      <c r="L160" s="7" t="n">
        <v>-0.243</v>
      </c>
      <c r="M160" s="7" t="n">
        <v>0.16</v>
      </c>
      <c r="N160" s="7" t="n">
        <v>-0.14</v>
      </c>
      <c r="O160" s="7" t="n">
        <v>0.28</v>
      </c>
      <c r="P160" s="7" t="n">
        <v>0.249</v>
      </c>
      <c r="Q160" s="7" t="n">
        <v>0.249</v>
      </c>
      <c r="R160" s="7" t="n">
        <v>-0.105</v>
      </c>
      <c r="S160" s="7" t="n">
        <v>0.316</v>
      </c>
      <c r="T160" s="7" t="n">
        <v>-0.105</v>
      </c>
      <c r="U160" s="7" t="n">
        <v>0.211</v>
      </c>
      <c r="V160" s="7" t="n">
        <v>-0.163</v>
      </c>
      <c r="W160" s="7" t="n">
        <v>0.249</v>
      </c>
      <c r="X160" s="7" t="n">
        <v>0.16</v>
      </c>
      <c r="Y160" s="7" t="n">
        <v>0.135</v>
      </c>
      <c r="Z160" s="7" t="n">
        <v>0.596</v>
      </c>
      <c r="AA160" s="7" t="n">
        <v>-0.105</v>
      </c>
      <c r="AB160" s="7" t="n">
        <v>-0.424</v>
      </c>
      <c r="AC160" s="7" t="n">
        <v>0.272</v>
      </c>
      <c r="AD160" s="7" t="n">
        <v>0.297</v>
      </c>
      <c r="AE160" s="7" t="n">
        <v>0.333</v>
      </c>
      <c r="AF160" s="7" t="n">
        <v>0.48</v>
      </c>
      <c r="AG160" s="7" t="n">
        <v>-0.105</v>
      </c>
      <c r="AH160" s="7" t="n">
        <v>0.874</v>
      </c>
      <c r="AI160" s="7" t="n">
        <v>-0.361</v>
      </c>
      <c r="AJ160" s="7" t="n">
        <v>-0.706</v>
      </c>
      <c r="AK160" s="7" t="n">
        <v>-0.672</v>
      </c>
      <c r="AL160" s="7" t="n">
        <v>0.118</v>
      </c>
      <c r="AM160" s="7" t="n">
        <v>-0.457</v>
      </c>
      <c r="AN160" s="7" t="n">
        <v>-0.232</v>
      </c>
      <c r="AO160" s="7" t="n">
        <v>0.025</v>
      </c>
      <c r="AP160" s="7" t="n">
        <v>0</v>
      </c>
      <c r="AQ160" s="7" t="n">
        <v>0.118</v>
      </c>
    </row>
    <row r="161" customFormat="false" ht="15" hidden="false" customHeight="false" outlineLevel="0" collapsed="false">
      <c r="A161" s="23" t="n">
        <v>46478</v>
      </c>
      <c r="B161" s="7" t="n">
        <v>0.179</v>
      </c>
      <c r="C161" s="7" t="n">
        <v>-0.307</v>
      </c>
      <c r="D161" s="7" t="n">
        <v>0.136</v>
      </c>
      <c r="E161" s="7" t="n">
        <v>0.565</v>
      </c>
      <c r="F161" s="7" t="n">
        <v>0.322</v>
      </c>
      <c r="G161" s="7" t="n">
        <v>0.136</v>
      </c>
      <c r="H161" s="7" t="n">
        <v>-0.102</v>
      </c>
      <c r="I161" s="7" t="n">
        <v>-0.618</v>
      </c>
      <c r="J161" s="7" t="n">
        <v>-0.196</v>
      </c>
      <c r="K161" s="7" t="n">
        <v>0.596</v>
      </c>
      <c r="L161" s="7" t="n">
        <v>-0.252</v>
      </c>
      <c r="M161" s="7" t="n">
        <v>0.161</v>
      </c>
      <c r="N161" s="7" t="n">
        <v>-0.156</v>
      </c>
      <c r="O161" s="7" t="n">
        <v>0.274</v>
      </c>
      <c r="P161" s="7" t="n">
        <v>0.245</v>
      </c>
      <c r="Q161" s="7" t="n">
        <v>0.245</v>
      </c>
      <c r="R161" s="7" t="n">
        <v>-0.102</v>
      </c>
      <c r="S161" s="7" t="n">
        <v>0.315</v>
      </c>
      <c r="T161" s="7" t="n">
        <v>-0.102</v>
      </c>
      <c r="U161" s="7" t="n">
        <v>0.202</v>
      </c>
      <c r="V161" s="7" t="n">
        <v>-0.159</v>
      </c>
      <c r="W161" s="7" t="n">
        <v>0.245</v>
      </c>
      <c r="X161" s="7" t="n">
        <v>0.161</v>
      </c>
      <c r="Y161" s="7" t="n">
        <v>0.136</v>
      </c>
      <c r="Z161" s="7" t="n">
        <v>0.596</v>
      </c>
      <c r="AA161" s="7" t="n">
        <v>-0.102</v>
      </c>
      <c r="AB161" s="7" t="n">
        <v>-0.433</v>
      </c>
      <c r="AC161" s="7" t="n">
        <v>0.269</v>
      </c>
      <c r="AD161" s="7" t="n">
        <v>0.29</v>
      </c>
      <c r="AE161" s="7" t="n">
        <v>0.322</v>
      </c>
      <c r="AF161" s="7" t="n">
        <v>0.475</v>
      </c>
      <c r="AG161" s="7" t="n">
        <v>-0.102</v>
      </c>
      <c r="AH161" s="7" t="n">
        <v>0.876</v>
      </c>
      <c r="AI161" s="7" t="n">
        <v>-0.37</v>
      </c>
      <c r="AJ161" s="7" t="n">
        <v>-0.708</v>
      </c>
      <c r="AK161" s="7" t="n">
        <v>-0.674</v>
      </c>
      <c r="AL161" s="7" t="n">
        <v>0.113</v>
      </c>
      <c r="AM161" s="7" t="n">
        <v>-0.462</v>
      </c>
      <c r="AN161" s="7" t="n">
        <v>-0.231</v>
      </c>
      <c r="AO161" s="7" t="n">
        <v>0.026</v>
      </c>
      <c r="AP161" s="7" t="n">
        <v>0</v>
      </c>
      <c r="AQ161" s="7" t="n">
        <v>0.113</v>
      </c>
    </row>
    <row r="162" customFormat="false" ht="15" hidden="false" customHeight="false" outlineLevel="0" collapsed="false">
      <c r="A162" s="23" t="n">
        <v>46479</v>
      </c>
      <c r="B162" s="7" t="n">
        <v>0.17</v>
      </c>
      <c r="C162" s="7" t="n">
        <v>-0.308</v>
      </c>
      <c r="D162" s="7" t="n">
        <v>0.137</v>
      </c>
      <c r="E162" s="7" t="n">
        <v>0.558</v>
      </c>
      <c r="F162" s="7" t="n">
        <v>0.311</v>
      </c>
      <c r="G162" s="7" t="n">
        <v>0.137</v>
      </c>
      <c r="H162" s="7" t="n">
        <v>-0.099</v>
      </c>
      <c r="I162" s="7" t="n">
        <v>-0.62</v>
      </c>
      <c r="J162" s="7" t="n">
        <v>-0.212</v>
      </c>
      <c r="K162" s="7" t="n">
        <v>0.597</v>
      </c>
      <c r="L162" s="7" t="n">
        <v>-0.26</v>
      </c>
      <c r="M162" s="7" t="n">
        <v>0.162</v>
      </c>
      <c r="N162" s="7" t="n">
        <v>-0.172</v>
      </c>
      <c r="O162" s="7" t="n">
        <v>0.266</v>
      </c>
      <c r="P162" s="7" t="n">
        <v>0.241</v>
      </c>
      <c r="Q162" s="7" t="n">
        <v>0.241</v>
      </c>
      <c r="R162" s="7" t="n">
        <v>-0.099</v>
      </c>
      <c r="S162" s="7" t="n">
        <v>0.315</v>
      </c>
      <c r="T162" s="7" t="n">
        <v>-0.099</v>
      </c>
      <c r="U162" s="7" t="n">
        <v>0.193</v>
      </c>
      <c r="V162" s="7" t="n">
        <v>-0.158</v>
      </c>
      <c r="W162" s="7" t="n">
        <v>0.241</v>
      </c>
      <c r="X162" s="7" t="n">
        <v>0.162</v>
      </c>
      <c r="Y162" s="7" t="n">
        <v>0.137</v>
      </c>
      <c r="Z162" s="7" t="n">
        <v>0.597</v>
      </c>
      <c r="AA162" s="7" t="n">
        <v>-0.099</v>
      </c>
      <c r="AB162" s="7" t="n">
        <v>-0.451</v>
      </c>
      <c r="AC162" s="7" t="n">
        <v>0.265</v>
      </c>
      <c r="AD162" s="7" t="n">
        <v>0.283</v>
      </c>
      <c r="AE162" s="7" t="n">
        <v>0.311</v>
      </c>
      <c r="AF162" s="7" t="n">
        <v>0.47</v>
      </c>
      <c r="AG162" s="7" t="n">
        <v>-0.099</v>
      </c>
      <c r="AH162" s="7" t="n">
        <v>0.875</v>
      </c>
      <c r="AI162" s="7" t="n">
        <v>-0.379</v>
      </c>
      <c r="AJ162" s="7" t="n">
        <v>-0.71</v>
      </c>
      <c r="AK162" s="7" t="n">
        <v>-0.676</v>
      </c>
      <c r="AL162" s="7" t="n">
        <v>0.109</v>
      </c>
      <c r="AM162" s="7" t="n">
        <v>-0.466</v>
      </c>
      <c r="AN162" s="7" t="n">
        <v>-0.228</v>
      </c>
      <c r="AO162" s="7" t="n">
        <v>0.026</v>
      </c>
      <c r="AP162" s="7" t="n">
        <v>0</v>
      </c>
      <c r="AQ162" s="7" t="n">
        <v>0.109</v>
      </c>
    </row>
    <row r="163" customFormat="false" ht="15" hidden="false" customHeight="false" outlineLevel="0" collapsed="false">
      <c r="A163" s="23" t="n">
        <v>46480</v>
      </c>
      <c r="B163" s="7" t="n">
        <v>0.162</v>
      </c>
      <c r="C163" s="7" t="n">
        <v>-0.309</v>
      </c>
      <c r="D163" s="7" t="n">
        <v>0.137</v>
      </c>
      <c r="E163" s="7" t="n">
        <v>0.551</v>
      </c>
      <c r="F163" s="7" t="n">
        <v>0.301</v>
      </c>
      <c r="G163" s="7" t="n">
        <v>0.137</v>
      </c>
      <c r="H163" s="7" t="n">
        <v>-0.095</v>
      </c>
      <c r="I163" s="7" t="n">
        <v>-0.622</v>
      </c>
      <c r="J163" s="7" t="n">
        <v>-0.227</v>
      </c>
      <c r="K163" s="7" t="n">
        <v>0.597</v>
      </c>
      <c r="L163" s="7" t="n">
        <v>-0.269</v>
      </c>
      <c r="M163" s="7" t="n">
        <v>0.163</v>
      </c>
      <c r="N163" s="7" t="n">
        <v>-0.188</v>
      </c>
      <c r="O163" s="7" t="n">
        <v>0.258</v>
      </c>
      <c r="P163" s="7" t="n">
        <v>0.238</v>
      </c>
      <c r="Q163" s="7" t="n">
        <v>0.238</v>
      </c>
      <c r="R163" s="7" t="n">
        <v>-0.095</v>
      </c>
      <c r="S163" s="7" t="n">
        <v>0.316</v>
      </c>
      <c r="T163" s="7" t="n">
        <v>-0.095</v>
      </c>
      <c r="U163" s="7" t="n">
        <v>0.184</v>
      </c>
      <c r="V163" s="7" t="n">
        <v>-0.156</v>
      </c>
      <c r="W163" s="7" t="n">
        <v>0.238</v>
      </c>
      <c r="X163" s="7" t="n">
        <v>0.163</v>
      </c>
      <c r="Y163" s="7" t="n">
        <v>0.137</v>
      </c>
      <c r="Z163" s="7" t="n">
        <v>0.597</v>
      </c>
      <c r="AA163" s="7" t="n">
        <v>-0.095</v>
      </c>
      <c r="AB163" s="7" t="n">
        <v>-0.466</v>
      </c>
      <c r="AC163" s="7" t="n">
        <v>0.263</v>
      </c>
      <c r="AD163" s="7" t="n">
        <v>0.276</v>
      </c>
      <c r="AE163" s="7" t="n">
        <v>0.301</v>
      </c>
      <c r="AF163" s="7" t="n">
        <v>0.465</v>
      </c>
      <c r="AG163" s="7" t="n">
        <v>-0.095</v>
      </c>
      <c r="AH163" s="7" t="n">
        <v>0.875</v>
      </c>
      <c r="AI163" s="7" t="n">
        <v>-0.387</v>
      </c>
      <c r="AJ163" s="7" t="n">
        <v>-0.711</v>
      </c>
      <c r="AK163" s="7" t="n">
        <v>-0.678</v>
      </c>
      <c r="AL163" s="7" t="n">
        <v>0.105</v>
      </c>
      <c r="AM163" s="7" t="n">
        <v>-0.471</v>
      </c>
      <c r="AN163" s="7" t="n">
        <v>-0.226</v>
      </c>
      <c r="AO163" s="7" t="n">
        <v>0.027</v>
      </c>
      <c r="AP163" s="7" t="n">
        <v>0</v>
      </c>
      <c r="AQ163" s="7" t="n">
        <v>0.105</v>
      </c>
    </row>
    <row r="164" customFormat="false" ht="15" hidden="false" customHeight="false" outlineLevel="0" collapsed="false">
      <c r="A164" s="23" t="n">
        <v>46481</v>
      </c>
      <c r="B164" s="7" t="n">
        <v>0.162</v>
      </c>
      <c r="C164" s="7" t="n">
        <v>-0.309</v>
      </c>
      <c r="D164" s="7" t="n">
        <v>0.137</v>
      </c>
      <c r="E164" s="7" t="n">
        <v>0.551</v>
      </c>
      <c r="F164" s="7" t="n">
        <v>0.301</v>
      </c>
      <c r="G164" s="7" t="n">
        <v>0.137</v>
      </c>
      <c r="H164" s="7" t="n">
        <v>-0.095</v>
      </c>
      <c r="I164" s="7" t="n">
        <v>-0.622</v>
      </c>
      <c r="J164" s="7" t="n">
        <v>-0.227</v>
      </c>
      <c r="K164" s="7" t="n">
        <v>0.597</v>
      </c>
      <c r="L164" s="7" t="n">
        <v>-0.269</v>
      </c>
      <c r="M164" s="7" t="n">
        <v>0.163</v>
      </c>
      <c r="N164" s="7" t="n">
        <v>-0.188</v>
      </c>
      <c r="O164" s="7" t="n">
        <v>0.258</v>
      </c>
      <c r="P164" s="7" t="n">
        <v>0.238</v>
      </c>
      <c r="Q164" s="7" t="n">
        <v>0.238</v>
      </c>
      <c r="R164" s="7" t="n">
        <v>-0.095</v>
      </c>
      <c r="S164" s="7" t="n">
        <v>0.316</v>
      </c>
      <c r="T164" s="7" t="n">
        <v>-0.095</v>
      </c>
      <c r="U164" s="7" t="n">
        <v>0.184</v>
      </c>
      <c r="V164" s="7" t="n">
        <v>-0.156</v>
      </c>
      <c r="W164" s="7" t="n">
        <v>0.238</v>
      </c>
      <c r="X164" s="7" t="n">
        <v>0.163</v>
      </c>
      <c r="Y164" s="7" t="n">
        <v>0.137</v>
      </c>
      <c r="Z164" s="7" t="n">
        <v>0.597</v>
      </c>
      <c r="AA164" s="7" t="n">
        <v>-0.095</v>
      </c>
      <c r="AB164" s="7" t="n">
        <v>-0.466</v>
      </c>
      <c r="AC164" s="7" t="n">
        <v>0.263</v>
      </c>
      <c r="AD164" s="7" t="n">
        <v>0.276</v>
      </c>
      <c r="AE164" s="7" t="n">
        <v>0.301</v>
      </c>
      <c r="AF164" s="7" t="n">
        <v>0.465</v>
      </c>
      <c r="AG164" s="7" t="n">
        <v>-0.095</v>
      </c>
      <c r="AH164" s="7" t="n">
        <v>0.875</v>
      </c>
      <c r="AI164" s="7" t="n">
        <v>-0.387</v>
      </c>
      <c r="AJ164" s="7" t="n">
        <v>-0.711</v>
      </c>
      <c r="AK164" s="7" t="n">
        <v>-0.678</v>
      </c>
      <c r="AL164" s="7" t="n">
        <v>0.105</v>
      </c>
      <c r="AM164" s="7" t="n">
        <v>-0.471</v>
      </c>
      <c r="AN164" s="7" t="n">
        <v>-0.226</v>
      </c>
      <c r="AO164" s="7" t="n">
        <v>0.027</v>
      </c>
      <c r="AP164" s="7" t="n">
        <v>0</v>
      </c>
      <c r="AQ164" s="7" t="n">
        <v>0.105</v>
      </c>
    </row>
    <row r="165" customFormat="false" ht="15" hidden="false" customHeight="false" outlineLevel="0" collapsed="false">
      <c r="A165" s="23" t="n">
        <v>46482</v>
      </c>
      <c r="B165" s="7" t="n">
        <v>0.162</v>
      </c>
      <c r="C165" s="7" t="n">
        <v>-0.309</v>
      </c>
      <c r="D165" s="7" t="n">
        <v>0.137</v>
      </c>
      <c r="E165" s="7" t="n">
        <v>0.551</v>
      </c>
      <c r="F165" s="7" t="n">
        <v>0.301</v>
      </c>
      <c r="G165" s="7" t="n">
        <v>0.137</v>
      </c>
      <c r="H165" s="7" t="n">
        <v>-0.095</v>
      </c>
      <c r="I165" s="7" t="n">
        <v>-0.622</v>
      </c>
      <c r="J165" s="7" t="n">
        <v>-0.227</v>
      </c>
      <c r="K165" s="7" t="n">
        <v>0.597</v>
      </c>
      <c r="L165" s="7" t="n">
        <v>-0.269</v>
      </c>
      <c r="M165" s="7" t="n">
        <v>0.163</v>
      </c>
      <c r="N165" s="7" t="n">
        <v>-0.188</v>
      </c>
      <c r="O165" s="7" t="n">
        <v>0.258</v>
      </c>
      <c r="P165" s="7" t="n">
        <v>0.238</v>
      </c>
      <c r="Q165" s="7" t="n">
        <v>0.238</v>
      </c>
      <c r="R165" s="7" t="n">
        <v>-0.095</v>
      </c>
      <c r="S165" s="7" t="n">
        <v>0.316</v>
      </c>
      <c r="T165" s="7" t="n">
        <v>-0.095</v>
      </c>
      <c r="U165" s="7" t="n">
        <v>0.184</v>
      </c>
      <c r="V165" s="7" t="n">
        <v>-0.156</v>
      </c>
      <c r="W165" s="7" t="n">
        <v>0.238</v>
      </c>
      <c r="X165" s="7" t="n">
        <v>0.163</v>
      </c>
      <c r="Y165" s="7" t="n">
        <v>0.137</v>
      </c>
      <c r="Z165" s="7" t="n">
        <v>0.597</v>
      </c>
      <c r="AA165" s="7" t="n">
        <v>-0.095</v>
      </c>
      <c r="AB165" s="7" t="n">
        <v>-0.466</v>
      </c>
      <c r="AC165" s="7" t="n">
        <v>0.263</v>
      </c>
      <c r="AD165" s="7" t="n">
        <v>0.276</v>
      </c>
      <c r="AE165" s="7" t="n">
        <v>0.301</v>
      </c>
      <c r="AF165" s="7" t="n">
        <v>0.465</v>
      </c>
      <c r="AG165" s="7" t="n">
        <v>-0.095</v>
      </c>
      <c r="AH165" s="7" t="n">
        <v>0.875</v>
      </c>
      <c r="AI165" s="7" t="n">
        <v>-0.387</v>
      </c>
      <c r="AJ165" s="7" t="n">
        <v>-0.711</v>
      </c>
      <c r="AK165" s="7" t="n">
        <v>-0.678</v>
      </c>
      <c r="AL165" s="7" t="n">
        <v>0.105</v>
      </c>
      <c r="AM165" s="7" t="n">
        <v>-0.471</v>
      </c>
      <c r="AN165" s="7" t="n">
        <v>-0.226</v>
      </c>
      <c r="AO165" s="7" t="n">
        <v>0.027</v>
      </c>
      <c r="AP165" s="7" t="n">
        <v>0</v>
      </c>
      <c r="AQ165" s="7" t="n">
        <v>0.105</v>
      </c>
    </row>
    <row r="166" customFormat="false" ht="15" hidden="false" customHeight="false" outlineLevel="0" collapsed="false">
      <c r="A166" s="23" t="n">
        <v>46483</v>
      </c>
      <c r="B166" s="7" t="n">
        <v>0.154</v>
      </c>
      <c r="C166" s="7" t="n">
        <v>-0.31</v>
      </c>
      <c r="D166" s="7" t="n">
        <v>0.138</v>
      </c>
      <c r="E166" s="7" t="n">
        <v>0.544</v>
      </c>
      <c r="F166" s="7" t="n">
        <v>0.29</v>
      </c>
      <c r="G166" s="7" t="n">
        <v>0.138</v>
      </c>
      <c r="H166" s="7" t="n">
        <v>-0.093</v>
      </c>
      <c r="I166" s="7" t="n">
        <v>-0.624</v>
      </c>
      <c r="J166" s="7" t="n">
        <v>-0.244</v>
      </c>
      <c r="K166" s="7" t="n">
        <v>0.598</v>
      </c>
      <c r="L166" s="7" t="n">
        <v>-0.277</v>
      </c>
      <c r="M166" s="7" t="n">
        <v>0.164</v>
      </c>
      <c r="N166" s="7" t="n">
        <v>-0.204</v>
      </c>
      <c r="O166" s="7" t="n">
        <v>0.25</v>
      </c>
      <c r="P166" s="7" t="n">
        <v>0.234</v>
      </c>
      <c r="Q166" s="7" t="n">
        <v>0.234</v>
      </c>
      <c r="R166" s="7" t="n">
        <v>-0.093</v>
      </c>
      <c r="S166" s="7" t="n">
        <v>0.316</v>
      </c>
      <c r="T166" s="7" t="n">
        <v>-0.093</v>
      </c>
      <c r="U166" s="7" t="n">
        <v>0.175</v>
      </c>
      <c r="V166" s="7" t="n">
        <v>-0.155</v>
      </c>
      <c r="W166" s="7" t="n">
        <v>0.234</v>
      </c>
      <c r="X166" s="7" t="n">
        <v>0.164</v>
      </c>
      <c r="Y166" s="7" t="n">
        <v>0.138</v>
      </c>
      <c r="Z166" s="7" t="n">
        <v>0.598</v>
      </c>
      <c r="AA166" s="7" t="n">
        <v>-0.093</v>
      </c>
      <c r="AB166" s="7" t="n">
        <v>-0.48</v>
      </c>
      <c r="AC166" s="7" t="n">
        <v>0.26</v>
      </c>
      <c r="AD166" s="7" t="n">
        <v>0.269</v>
      </c>
      <c r="AE166" s="7" t="n">
        <v>0.29</v>
      </c>
      <c r="AF166" s="7" t="n">
        <v>0.461</v>
      </c>
      <c r="AG166" s="7" t="n">
        <v>-0.093</v>
      </c>
      <c r="AH166" s="7" t="n">
        <v>0.874</v>
      </c>
      <c r="AI166" s="7" t="n">
        <v>-0.395</v>
      </c>
      <c r="AJ166" s="7" t="n">
        <v>-0.713</v>
      </c>
      <c r="AK166" s="7" t="n">
        <v>-0.679</v>
      </c>
      <c r="AL166" s="7" t="n">
        <v>0.1</v>
      </c>
      <c r="AM166" s="7" t="n">
        <v>-0.475</v>
      </c>
      <c r="AN166" s="7" t="n">
        <v>-0.224</v>
      </c>
      <c r="AO166" s="7" t="n">
        <v>0.027</v>
      </c>
      <c r="AP166" s="7" t="n">
        <v>0</v>
      </c>
      <c r="AQ166" s="7" t="n">
        <v>0.1</v>
      </c>
    </row>
    <row r="167" customFormat="false" ht="15" hidden="false" customHeight="false" outlineLevel="0" collapsed="false">
      <c r="A167" s="23" t="n">
        <v>46484</v>
      </c>
      <c r="B167" s="7" t="n">
        <v>0.142</v>
      </c>
      <c r="C167" s="7" t="n">
        <v>-0.314</v>
      </c>
      <c r="D167" s="7" t="n">
        <v>0.138</v>
      </c>
      <c r="E167" s="7" t="n">
        <v>0.529</v>
      </c>
      <c r="F167" s="7" t="n">
        <v>0.277</v>
      </c>
      <c r="G167" s="7" t="n">
        <v>0.138</v>
      </c>
      <c r="H167" s="7" t="n">
        <v>-0.091</v>
      </c>
      <c r="I167" s="7" t="n">
        <v>-0.628</v>
      </c>
      <c r="J167" s="7" t="n">
        <v>-0.264</v>
      </c>
      <c r="K167" s="7" t="n">
        <v>0.584</v>
      </c>
      <c r="L167" s="7" t="n">
        <v>-0.285</v>
      </c>
      <c r="M167" s="7" t="n">
        <v>0.166</v>
      </c>
      <c r="N167" s="7" t="n">
        <v>-0.221</v>
      </c>
      <c r="O167" s="7" t="n">
        <v>0.242</v>
      </c>
      <c r="P167" s="7" t="n">
        <v>0.231</v>
      </c>
      <c r="Q167" s="7" t="n">
        <v>0.231</v>
      </c>
      <c r="R167" s="7" t="n">
        <v>-0.091</v>
      </c>
      <c r="S167" s="7" t="n">
        <v>0.308</v>
      </c>
      <c r="T167" s="7" t="n">
        <v>-0.091</v>
      </c>
      <c r="U167" s="7" t="n">
        <v>0.163</v>
      </c>
      <c r="V167" s="7" t="n">
        <v>-0.156</v>
      </c>
      <c r="W167" s="7" t="n">
        <v>0.231</v>
      </c>
      <c r="X167" s="7" t="n">
        <v>0.166</v>
      </c>
      <c r="Y167" s="7" t="n">
        <v>0.138</v>
      </c>
      <c r="Z167" s="7" t="n">
        <v>0.584</v>
      </c>
      <c r="AA167" s="7" t="n">
        <v>-0.091</v>
      </c>
      <c r="AB167" s="7" t="n">
        <v>-0.5</v>
      </c>
      <c r="AC167" s="7" t="n">
        <v>0.258</v>
      </c>
      <c r="AD167" s="7" t="n">
        <v>0.255</v>
      </c>
      <c r="AE167" s="7" t="n">
        <v>0.277</v>
      </c>
      <c r="AF167" s="7" t="n">
        <v>0.454</v>
      </c>
      <c r="AG167" s="7" t="n">
        <v>-0.091</v>
      </c>
      <c r="AH167" s="7" t="n">
        <v>0.874</v>
      </c>
      <c r="AI167" s="7" t="n">
        <v>-0.403</v>
      </c>
      <c r="AJ167" s="7" t="n">
        <v>-0.717</v>
      </c>
      <c r="AK167" s="7" t="n">
        <v>-0.682</v>
      </c>
      <c r="AL167" s="7" t="n">
        <v>0.096</v>
      </c>
      <c r="AM167" s="7" t="n">
        <v>-0.479</v>
      </c>
      <c r="AN167" s="7" t="n">
        <v>-0.222</v>
      </c>
      <c r="AO167" s="7" t="n">
        <v>0.029</v>
      </c>
      <c r="AP167" s="7" t="n">
        <v>0</v>
      </c>
      <c r="AQ167" s="7" t="n">
        <v>0.096</v>
      </c>
    </row>
    <row r="168" customFormat="false" ht="15" hidden="false" customHeight="false" outlineLevel="0" collapsed="false">
      <c r="A168" s="23" t="n">
        <v>46485</v>
      </c>
      <c r="B168" s="7" t="n">
        <v>0.13</v>
      </c>
      <c r="C168" s="7" t="n">
        <v>-0.318</v>
      </c>
      <c r="D168" s="7" t="n">
        <v>0.139</v>
      </c>
      <c r="E168" s="7" t="n">
        <v>0.515</v>
      </c>
      <c r="F168" s="7" t="n">
        <v>0.265</v>
      </c>
      <c r="G168" s="7" t="n">
        <v>0.139</v>
      </c>
      <c r="H168" s="7" t="n">
        <v>-0.089</v>
      </c>
      <c r="I168" s="7" t="n">
        <v>-0.634</v>
      </c>
      <c r="J168" s="7" t="n">
        <v>-0.285</v>
      </c>
      <c r="K168" s="7" t="n">
        <v>0.569</v>
      </c>
      <c r="L168" s="7" t="n">
        <v>-0.293</v>
      </c>
      <c r="M168" s="7" t="n">
        <v>0.168</v>
      </c>
      <c r="N168" s="7" t="n">
        <v>-0.238</v>
      </c>
      <c r="O168" s="7" t="n">
        <v>0.235</v>
      </c>
      <c r="P168" s="7" t="n">
        <v>0.227</v>
      </c>
      <c r="Q168" s="7" t="n">
        <v>0.227</v>
      </c>
      <c r="R168" s="7" t="n">
        <v>-0.089</v>
      </c>
      <c r="S168" s="7" t="n">
        <v>0.299</v>
      </c>
      <c r="T168" s="7" t="n">
        <v>-0.089</v>
      </c>
      <c r="U168" s="7" t="n">
        <v>0.151</v>
      </c>
      <c r="V168" s="7" t="n">
        <v>-0.161</v>
      </c>
      <c r="W168" s="7" t="n">
        <v>0.227</v>
      </c>
      <c r="X168" s="7" t="n">
        <v>0.168</v>
      </c>
      <c r="Y168" s="7" t="n">
        <v>0.139</v>
      </c>
      <c r="Z168" s="7" t="n">
        <v>0.569</v>
      </c>
      <c r="AA168" s="7" t="n">
        <v>-0.089</v>
      </c>
      <c r="AB168" s="7" t="n">
        <v>-0.524</v>
      </c>
      <c r="AC168" s="7" t="n">
        <v>0.256</v>
      </c>
      <c r="AD168" s="7" t="n">
        <v>0.241</v>
      </c>
      <c r="AE168" s="7" t="n">
        <v>0.265</v>
      </c>
      <c r="AF168" s="7" t="n">
        <v>0.447</v>
      </c>
      <c r="AG168" s="7" t="n">
        <v>-0.089</v>
      </c>
      <c r="AH168" s="7" t="n">
        <v>0.874</v>
      </c>
      <c r="AI168" s="7" t="n">
        <v>-0.411</v>
      </c>
      <c r="AJ168" s="7" t="n">
        <v>-0.72</v>
      </c>
      <c r="AK168" s="7" t="n">
        <v>-0.684</v>
      </c>
      <c r="AL168" s="7" t="n">
        <v>0.092</v>
      </c>
      <c r="AM168" s="7" t="n">
        <v>-0.483</v>
      </c>
      <c r="AN168" s="7" t="n">
        <v>-0.221</v>
      </c>
      <c r="AO168" s="7" t="n">
        <v>0.03</v>
      </c>
      <c r="AP168" s="7" t="n">
        <v>0</v>
      </c>
      <c r="AQ168" s="7" t="n">
        <v>0.092</v>
      </c>
    </row>
    <row r="169" customFormat="false" ht="15" hidden="false" customHeight="false" outlineLevel="0" collapsed="false">
      <c r="A169" s="23" t="n">
        <v>46486</v>
      </c>
      <c r="B169" s="7" t="n">
        <v>0.11</v>
      </c>
      <c r="C169" s="7" t="n">
        <v>-0.315</v>
      </c>
      <c r="D169" s="7" t="n">
        <v>0.122</v>
      </c>
      <c r="E169" s="7" t="n">
        <v>0.495</v>
      </c>
      <c r="F169" s="7" t="n">
        <v>0.253</v>
      </c>
      <c r="G169" s="7" t="n">
        <v>0.122</v>
      </c>
      <c r="H169" s="7" t="n">
        <v>-0.098</v>
      </c>
      <c r="I169" s="7" t="n">
        <v>-0.641</v>
      </c>
      <c r="J169" s="7" t="n">
        <v>-0.304</v>
      </c>
      <c r="K169" s="7" t="n">
        <v>0.558</v>
      </c>
      <c r="L169" s="7" t="n">
        <v>-0.307</v>
      </c>
      <c r="M169" s="7" t="n">
        <v>0.166</v>
      </c>
      <c r="N169" s="7" t="n">
        <v>-0.255</v>
      </c>
      <c r="O169" s="7" t="n">
        <v>0.223</v>
      </c>
      <c r="P169" s="7" t="n">
        <v>0.205</v>
      </c>
      <c r="Q169" s="7" t="n">
        <v>0.216</v>
      </c>
      <c r="R169" s="7" t="n">
        <v>-0.098</v>
      </c>
      <c r="S169" s="7" t="n">
        <v>0.289</v>
      </c>
      <c r="T169" s="7" t="n">
        <v>-0.088</v>
      </c>
      <c r="U169" s="7" t="n">
        <v>0.141</v>
      </c>
      <c r="V169" s="7" t="n">
        <v>-0.17</v>
      </c>
      <c r="W169" s="7" t="n">
        <v>0.216</v>
      </c>
      <c r="X169" s="7" t="n">
        <v>0.153</v>
      </c>
      <c r="Y169" s="7" t="n">
        <v>0.134</v>
      </c>
      <c r="Z169" s="7" t="n">
        <v>0.558</v>
      </c>
      <c r="AA169" s="7" t="n">
        <v>-0.088</v>
      </c>
      <c r="AB169" s="7" t="n">
        <v>-0.547</v>
      </c>
      <c r="AC169" s="7" t="n">
        <v>0.247</v>
      </c>
      <c r="AD169" s="7" t="n">
        <v>0.215</v>
      </c>
      <c r="AE169" s="7" t="n">
        <v>0.253</v>
      </c>
      <c r="AF169" s="7" t="n">
        <v>0.441</v>
      </c>
      <c r="AG169" s="7" t="n">
        <v>-0.098</v>
      </c>
      <c r="AH169" s="7" t="n">
        <v>0.874</v>
      </c>
      <c r="AI169" s="7" t="n">
        <v>-0.42</v>
      </c>
      <c r="AJ169" s="7" t="n">
        <v>-0.723</v>
      </c>
      <c r="AK169" s="7" t="n">
        <v>-0.681</v>
      </c>
      <c r="AL169" s="7" t="n">
        <v>0.074</v>
      </c>
      <c r="AM169" s="7" t="n">
        <v>-0.487</v>
      </c>
      <c r="AN169" s="7" t="n">
        <v>-0.227</v>
      </c>
      <c r="AO169" s="7" t="n">
        <v>0.033</v>
      </c>
      <c r="AP169" s="7" t="n">
        <v>0</v>
      </c>
      <c r="AQ169" s="7" t="n">
        <v>0.086</v>
      </c>
    </row>
    <row r="170" customFormat="false" ht="15" hidden="false" customHeight="false" outlineLevel="0" collapsed="false">
      <c r="A170" s="23" t="n">
        <v>46487</v>
      </c>
      <c r="B170" s="7" t="n">
        <v>0.092</v>
      </c>
      <c r="C170" s="7" t="n">
        <v>-0.314</v>
      </c>
      <c r="D170" s="7" t="n">
        <v>0.108</v>
      </c>
      <c r="E170" s="7" t="n">
        <v>0.482</v>
      </c>
      <c r="F170" s="7" t="n">
        <v>0.241</v>
      </c>
      <c r="G170" s="7" t="n">
        <v>0.108</v>
      </c>
      <c r="H170" s="7" t="n">
        <v>-0.105</v>
      </c>
      <c r="I170" s="7" t="n">
        <v>-0.645</v>
      </c>
      <c r="J170" s="7" t="n">
        <v>-0.323</v>
      </c>
      <c r="K170" s="7" t="n">
        <v>0.548</v>
      </c>
      <c r="L170" s="7" t="n">
        <v>-0.318</v>
      </c>
      <c r="M170" s="7" t="n">
        <v>0.164</v>
      </c>
      <c r="N170" s="7" t="n">
        <v>-0.272</v>
      </c>
      <c r="O170" s="7" t="n">
        <v>0.213</v>
      </c>
      <c r="P170" s="7" t="n">
        <v>0.188</v>
      </c>
      <c r="Q170" s="7" t="n">
        <v>0.207</v>
      </c>
      <c r="R170" s="7" t="n">
        <v>-0.105</v>
      </c>
      <c r="S170" s="7" t="n">
        <v>0.279</v>
      </c>
      <c r="T170" s="7" t="n">
        <v>-0.088</v>
      </c>
      <c r="U170" s="7" t="n">
        <v>0.128</v>
      </c>
      <c r="V170" s="7" t="n">
        <v>-0.177</v>
      </c>
      <c r="W170" s="7" t="n">
        <v>0.207</v>
      </c>
      <c r="X170" s="7" t="n">
        <v>0.142</v>
      </c>
      <c r="Y170" s="7" t="n">
        <v>0.128</v>
      </c>
      <c r="Z170" s="7" t="n">
        <v>0.548</v>
      </c>
      <c r="AA170" s="7" t="n">
        <v>-0.088</v>
      </c>
      <c r="AB170" s="7" t="n">
        <v>-0.567</v>
      </c>
      <c r="AC170" s="7" t="n">
        <v>0.242</v>
      </c>
      <c r="AD170" s="7" t="n">
        <v>0.195</v>
      </c>
      <c r="AE170" s="7" t="n">
        <v>0.241</v>
      </c>
      <c r="AF170" s="7" t="n">
        <v>0.432</v>
      </c>
      <c r="AG170" s="7" t="n">
        <v>-0.105</v>
      </c>
      <c r="AH170" s="7" t="n">
        <v>0.874</v>
      </c>
      <c r="AI170" s="7" t="n">
        <v>-0.427</v>
      </c>
      <c r="AJ170" s="7" t="n">
        <v>-0.724</v>
      </c>
      <c r="AK170" s="7" t="n">
        <v>-0.676</v>
      </c>
      <c r="AL170" s="7" t="n">
        <v>0.063</v>
      </c>
      <c r="AM170" s="7" t="n">
        <v>-0.491</v>
      </c>
      <c r="AN170" s="7" t="n">
        <v>-0.229</v>
      </c>
      <c r="AO170" s="7" t="n">
        <v>0.036</v>
      </c>
      <c r="AP170" s="7" t="n">
        <v>0</v>
      </c>
      <c r="AQ170" s="7" t="n">
        <v>0.083</v>
      </c>
    </row>
    <row r="171" customFormat="false" ht="15" hidden="false" customHeight="false" outlineLevel="0" collapsed="false">
      <c r="A171" s="23" t="n">
        <v>46488</v>
      </c>
      <c r="B171" s="7" t="n">
        <v>0.092</v>
      </c>
      <c r="C171" s="7" t="n">
        <v>-0.314</v>
      </c>
      <c r="D171" s="7" t="n">
        <v>0.108</v>
      </c>
      <c r="E171" s="7" t="n">
        <v>0.482</v>
      </c>
      <c r="F171" s="7" t="n">
        <v>0.241</v>
      </c>
      <c r="G171" s="7" t="n">
        <v>0.108</v>
      </c>
      <c r="H171" s="7" t="n">
        <v>-0.105</v>
      </c>
      <c r="I171" s="7" t="n">
        <v>-0.645</v>
      </c>
      <c r="J171" s="7" t="n">
        <v>-0.323</v>
      </c>
      <c r="K171" s="7" t="n">
        <v>0.548</v>
      </c>
      <c r="L171" s="7" t="n">
        <v>-0.318</v>
      </c>
      <c r="M171" s="7" t="n">
        <v>0.164</v>
      </c>
      <c r="N171" s="7" t="n">
        <v>-0.272</v>
      </c>
      <c r="O171" s="7" t="n">
        <v>0.213</v>
      </c>
      <c r="P171" s="7" t="n">
        <v>0.188</v>
      </c>
      <c r="Q171" s="7" t="n">
        <v>0.207</v>
      </c>
      <c r="R171" s="7" t="n">
        <v>-0.105</v>
      </c>
      <c r="S171" s="7" t="n">
        <v>0.279</v>
      </c>
      <c r="T171" s="7" t="n">
        <v>-0.088</v>
      </c>
      <c r="U171" s="7" t="n">
        <v>0.128</v>
      </c>
      <c r="V171" s="7" t="n">
        <v>-0.177</v>
      </c>
      <c r="W171" s="7" t="n">
        <v>0.207</v>
      </c>
      <c r="X171" s="7" t="n">
        <v>0.142</v>
      </c>
      <c r="Y171" s="7" t="n">
        <v>0.128</v>
      </c>
      <c r="Z171" s="7" t="n">
        <v>0.548</v>
      </c>
      <c r="AA171" s="7" t="n">
        <v>-0.088</v>
      </c>
      <c r="AB171" s="7" t="n">
        <v>-0.567</v>
      </c>
      <c r="AC171" s="7" t="n">
        <v>0.242</v>
      </c>
      <c r="AD171" s="7" t="n">
        <v>0.195</v>
      </c>
      <c r="AE171" s="7" t="n">
        <v>0.241</v>
      </c>
      <c r="AF171" s="7" t="n">
        <v>0.432</v>
      </c>
      <c r="AG171" s="7" t="n">
        <v>-0.105</v>
      </c>
      <c r="AH171" s="7" t="n">
        <v>0.874</v>
      </c>
      <c r="AI171" s="7" t="n">
        <v>-0.427</v>
      </c>
      <c r="AJ171" s="7" t="n">
        <v>-0.724</v>
      </c>
      <c r="AK171" s="7" t="n">
        <v>-0.676</v>
      </c>
      <c r="AL171" s="7" t="n">
        <v>0.063</v>
      </c>
      <c r="AM171" s="7" t="n">
        <v>-0.491</v>
      </c>
      <c r="AN171" s="7" t="n">
        <v>-0.229</v>
      </c>
      <c r="AO171" s="7" t="n">
        <v>0.036</v>
      </c>
      <c r="AP171" s="7" t="n">
        <v>0</v>
      </c>
      <c r="AQ171" s="7" t="n">
        <v>0.083</v>
      </c>
    </row>
    <row r="172" customFormat="false" ht="15" hidden="false" customHeight="false" outlineLevel="0" collapsed="false">
      <c r="A172" s="23" t="n">
        <v>46489</v>
      </c>
      <c r="B172" s="7" t="n">
        <v>0.092</v>
      </c>
      <c r="C172" s="7" t="n">
        <v>-0.314</v>
      </c>
      <c r="D172" s="7" t="n">
        <v>0.108</v>
      </c>
      <c r="E172" s="7" t="n">
        <v>0.482</v>
      </c>
      <c r="F172" s="7" t="n">
        <v>0.241</v>
      </c>
      <c r="G172" s="7" t="n">
        <v>0.108</v>
      </c>
      <c r="H172" s="7" t="n">
        <v>-0.105</v>
      </c>
      <c r="I172" s="7" t="n">
        <v>-0.645</v>
      </c>
      <c r="J172" s="7" t="n">
        <v>-0.323</v>
      </c>
      <c r="K172" s="7" t="n">
        <v>0.548</v>
      </c>
      <c r="L172" s="7" t="n">
        <v>-0.318</v>
      </c>
      <c r="M172" s="7" t="n">
        <v>0.164</v>
      </c>
      <c r="N172" s="7" t="n">
        <v>-0.272</v>
      </c>
      <c r="O172" s="7" t="n">
        <v>0.213</v>
      </c>
      <c r="P172" s="7" t="n">
        <v>0.188</v>
      </c>
      <c r="Q172" s="7" t="n">
        <v>0.207</v>
      </c>
      <c r="R172" s="7" t="n">
        <v>-0.105</v>
      </c>
      <c r="S172" s="7" t="n">
        <v>0.279</v>
      </c>
      <c r="T172" s="7" t="n">
        <v>-0.088</v>
      </c>
      <c r="U172" s="7" t="n">
        <v>0.128</v>
      </c>
      <c r="V172" s="7" t="n">
        <v>-0.177</v>
      </c>
      <c r="W172" s="7" t="n">
        <v>0.207</v>
      </c>
      <c r="X172" s="7" t="n">
        <v>0.142</v>
      </c>
      <c r="Y172" s="7" t="n">
        <v>0.128</v>
      </c>
      <c r="Z172" s="7" t="n">
        <v>0.548</v>
      </c>
      <c r="AA172" s="7" t="n">
        <v>-0.088</v>
      </c>
      <c r="AB172" s="7" t="n">
        <v>-0.567</v>
      </c>
      <c r="AC172" s="7" t="n">
        <v>0.242</v>
      </c>
      <c r="AD172" s="7" t="n">
        <v>0.195</v>
      </c>
      <c r="AE172" s="7" t="n">
        <v>0.241</v>
      </c>
      <c r="AF172" s="7" t="n">
        <v>0.432</v>
      </c>
      <c r="AG172" s="7" t="n">
        <v>-0.105</v>
      </c>
      <c r="AH172" s="7" t="n">
        <v>0.874</v>
      </c>
      <c r="AI172" s="7" t="n">
        <v>-0.427</v>
      </c>
      <c r="AJ172" s="7" t="n">
        <v>-0.724</v>
      </c>
      <c r="AK172" s="7" t="n">
        <v>-0.676</v>
      </c>
      <c r="AL172" s="7" t="n">
        <v>0.063</v>
      </c>
      <c r="AM172" s="7" t="n">
        <v>-0.491</v>
      </c>
      <c r="AN172" s="7" t="n">
        <v>-0.229</v>
      </c>
      <c r="AO172" s="7" t="n">
        <v>0.036</v>
      </c>
      <c r="AP172" s="7" t="n">
        <v>0</v>
      </c>
      <c r="AQ172" s="7" t="n">
        <v>0.083</v>
      </c>
    </row>
    <row r="173" customFormat="false" ht="15" hidden="false" customHeight="false" outlineLevel="0" collapsed="false">
      <c r="A173" s="23" t="n">
        <v>46490</v>
      </c>
      <c r="B173" s="7" t="n">
        <v>0.075</v>
      </c>
      <c r="C173" s="7" t="n">
        <v>-0.313</v>
      </c>
      <c r="D173" s="7" t="n">
        <v>0.094</v>
      </c>
      <c r="E173" s="7" t="n">
        <v>0.469</v>
      </c>
      <c r="F173" s="7" t="n">
        <v>0.23</v>
      </c>
      <c r="G173" s="7" t="n">
        <v>0.094</v>
      </c>
      <c r="H173" s="7" t="n">
        <v>-0.111</v>
      </c>
      <c r="I173" s="7" t="n">
        <v>-0.649</v>
      </c>
      <c r="J173" s="7" t="n">
        <v>-0.341</v>
      </c>
      <c r="K173" s="7" t="n">
        <v>0.536</v>
      </c>
      <c r="L173" s="7" t="n">
        <v>-0.329</v>
      </c>
      <c r="M173" s="7" t="n">
        <v>0.162</v>
      </c>
      <c r="N173" s="7" t="n">
        <v>-0.287</v>
      </c>
      <c r="O173" s="7" t="n">
        <v>0.204</v>
      </c>
      <c r="P173" s="7" t="n">
        <v>0.172</v>
      </c>
      <c r="Q173" s="7" t="n">
        <v>0.199</v>
      </c>
      <c r="R173" s="7" t="n">
        <v>-0.111</v>
      </c>
      <c r="S173" s="7" t="n">
        <v>0.268</v>
      </c>
      <c r="T173" s="7" t="n">
        <v>-0.087</v>
      </c>
      <c r="U173" s="7" t="n">
        <v>0.115</v>
      </c>
      <c r="V173" s="7" t="n">
        <v>-0.183</v>
      </c>
      <c r="W173" s="7" t="n">
        <v>0.199</v>
      </c>
      <c r="X173" s="7" t="n">
        <v>0.131</v>
      </c>
      <c r="Y173" s="7" t="n">
        <v>0.123</v>
      </c>
      <c r="Z173" s="7" t="n">
        <v>0.536</v>
      </c>
      <c r="AA173" s="7" t="n">
        <v>-0.087</v>
      </c>
      <c r="AB173" s="7" t="n">
        <v>-0.585</v>
      </c>
      <c r="AC173" s="7" t="n">
        <v>0.238</v>
      </c>
      <c r="AD173" s="7" t="n">
        <v>0.174</v>
      </c>
      <c r="AE173" s="7" t="n">
        <v>0.23</v>
      </c>
      <c r="AF173" s="7" t="n">
        <v>0.423</v>
      </c>
      <c r="AG173" s="7" t="n">
        <v>-0.111</v>
      </c>
      <c r="AH173" s="7" t="n">
        <v>0.874</v>
      </c>
      <c r="AI173" s="7" t="n">
        <v>-0.433</v>
      </c>
      <c r="AJ173" s="7" t="n">
        <v>-0.725</v>
      </c>
      <c r="AK173" s="7" t="n">
        <v>-0.671</v>
      </c>
      <c r="AL173" s="7" t="n">
        <v>0.051</v>
      </c>
      <c r="AM173" s="7" t="n">
        <v>-0.494</v>
      </c>
      <c r="AN173" s="7" t="n">
        <v>-0.231</v>
      </c>
      <c r="AO173" s="7" t="n">
        <v>0.04</v>
      </c>
      <c r="AP173" s="7" t="n">
        <v>0</v>
      </c>
      <c r="AQ173" s="7" t="n">
        <v>0.08</v>
      </c>
    </row>
    <row r="174" customFormat="false" ht="15" hidden="false" customHeight="false" outlineLevel="0" collapsed="false">
      <c r="A174" s="23" t="n">
        <v>46491</v>
      </c>
      <c r="B174" s="7" t="n">
        <v>0.059</v>
      </c>
      <c r="C174" s="7" t="n">
        <v>-0.311</v>
      </c>
      <c r="D174" s="7" t="n">
        <v>0.081</v>
      </c>
      <c r="E174" s="7" t="n">
        <v>0.455</v>
      </c>
      <c r="F174" s="7" t="n">
        <v>0.219</v>
      </c>
      <c r="G174" s="7" t="n">
        <v>0.081</v>
      </c>
      <c r="H174" s="7" t="n">
        <v>-0.117</v>
      </c>
      <c r="I174" s="7" t="n">
        <v>-0.652</v>
      </c>
      <c r="J174" s="7" t="n">
        <v>-0.359</v>
      </c>
      <c r="K174" s="7" t="n">
        <v>0.525</v>
      </c>
      <c r="L174" s="7" t="n">
        <v>-0.339</v>
      </c>
      <c r="M174" s="7" t="n">
        <v>0.16</v>
      </c>
      <c r="N174" s="7" t="n">
        <v>-0.302</v>
      </c>
      <c r="O174" s="7" t="n">
        <v>0.196</v>
      </c>
      <c r="P174" s="7" t="n">
        <v>0.156</v>
      </c>
      <c r="Q174" s="7" t="n">
        <v>0.191</v>
      </c>
      <c r="R174" s="7" t="n">
        <v>-0.117</v>
      </c>
      <c r="S174" s="7" t="n">
        <v>0.255</v>
      </c>
      <c r="T174" s="7" t="n">
        <v>-0.085</v>
      </c>
      <c r="U174" s="7" t="n">
        <v>0.102</v>
      </c>
      <c r="V174" s="7" t="n">
        <v>-0.188</v>
      </c>
      <c r="W174" s="7" t="n">
        <v>0.191</v>
      </c>
      <c r="X174" s="7" t="n">
        <v>0.121</v>
      </c>
      <c r="Y174" s="7" t="n">
        <v>0.117</v>
      </c>
      <c r="Z174" s="7" t="n">
        <v>0.525</v>
      </c>
      <c r="AA174" s="7" t="n">
        <v>-0.085</v>
      </c>
      <c r="AB174" s="7" t="n">
        <v>-0.599</v>
      </c>
      <c r="AC174" s="7" t="n">
        <v>0.234</v>
      </c>
      <c r="AD174" s="7" t="n">
        <v>0.154</v>
      </c>
      <c r="AE174" s="7" t="n">
        <v>0.219</v>
      </c>
      <c r="AF174" s="7" t="n">
        <v>0.415</v>
      </c>
      <c r="AG174" s="7" t="n">
        <v>-0.117</v>
      </c>
      <c r="AH174" s="7" t="n">
        <v>0.873</v>
      </c>
      <c r="AI174" s="7" t="n">
        <v>-0.438</v>
      </c>
      <c r="AJ174" s="7" t="n">
        <v>-0.725</v>
      </c>
      <c r="AK174" s="7" t="n">
        <v>-0.665</v>
      </c>
      <c r="AL174" s="7" t="n">
        <v>0.04</v>
      </c>
      <c r="AM174" s="7" t="n">
        <v>-0.497</v>
      </c>
      <c r="AN174" s="7" t="n">
        <v>-0.232</v>
      </c>
      <c r="AO174" s="7" t="n">
        <v>0.044</v>
      </c>
      <c r="AP174" s="7" t="n">
        <v>0</v>
      </c>
      <c r="AQ174" s="7" t="n">
        <v>0.077</v>
      </c>
    </row>
    <row r="175" customFormat="false" ht="15" hidden="false" customHeight="false" outlineLevel="0" collapsed="false">
      <c r="A175" s="23" t="n">
        <v>46492</v>
      </c>
      <c r="B175" s="7" t="n">
        <v>0.041</v>
      </c>
      <c r="C175" s="7" t="n">
        <v>-0.315</v>
      </c>
      <c r="D175" s="7" t="n">
        <v>0.067</v>
      </c>
      <c r="E175" s="7" t="n">
        <v>0.442</v>
      </c>
      <c r="F175" s="7" t="n">
        <v>0.21</v>
      </c>
      <c r="G175" s="7" t="n">
        <v>0.067</v>
      </c>
      <c r="H175" s="7" t="n">
        <v>-0.123</v>
      </c>
      <c r="I175" s="7" t="n">
        <v>-0.66</v>
      </c>
      <c r="J175" s="7" t="n">
        <v>-0.374</v>
      </c>
      <c r="K175" s="7" t="n">
        <v>0.513</v>
      </c>
      <c r="L175" s="7" t="n">
        <v>-0.355</v>
      </c>
      <c r="M175" s="7" t="n">
        <v>0.158</v>
      </c>
      <c r="N175" s="7" t="n">
        <v>-0.321</v>
      </c>
      <c r="O175" s="7" t="n">
        <v>0.183</v>
      </c>
      <c r="P175" s="7" t="n">
        <v>0.139</v>
      </c>
      <c r="Q175" s="7" t="n">
        <v>0.184</v>
      </c>
      <c r="R175" s="7" t="n">
        <v>-0.123</v>
      </c>
      <c r="S175" s="7" t="n">
        <v>0.243</v>
      </c>
      <c r="T175" s="7" t="n">
        <v>-0.084</v>
      </c>
      <c r="U175" s="7" t="n">
        <v>0.09</v>
      </c>
      <c r="V175" s="7" t="n">
        <v>-0.194</v>
      </c>
      <c r="W175" s="7" t="n">
        <v>0.184</v>
      </c>
      <c r="X175" s="7" t="n">
        <v>0.11</v>
      </c>
      <c r="Y175" s="7" t="n">
        <v>0.112</v>
      </c>
      <c r="Z175" s="7" t="n">
        <v>0.513</v>
      </c>
      <c r="AA175" s="7" t="n">
        <v>-0.084</v>
      </c>
      <c r="AB175" s="7" t="n">
        <v>-0.621</v>
      </c>
      <c r="AC175" s="7" t="n">
        <v>0.23</v>
      </c>
      <c r="AD175" s="7" t="n">
        <v>0.134</v>
      </c>
      <c r="AE175" s="7" t="n">
        <v>0.21</v>
      </c>
      <c r="AF175" s="7" t="n">
        <v>0.407</v>
      </c>
      <c r="AG175" s="7" t="n">
        <v>-0.123</v>
      </c>
      <c r="AH175" s="7" t="n">
        <v>0.873</v>
      </c>
      <c r="AI175" s="7" t="n">
        <v>-0.449</v>
      </c>
      <c r="AJ175" s="7" t="n">
        <v>-0.729</v>
      </c>
      <c r="AK175" s="7" t="n">
        <v>-0.663</v>
      </c>
      <c r="AL175" s="7" t="n">
        <v>0.029</v>
      </c>
      <c r="AM175" s="7" t="n">
        <v>-0.506</v>
      </c>
      <c r="AN175" s="7" t="n">
        <v>-0.234</v>
      </c>
      <c r="AO175" s="7" t="n">
        <v>0.047</v>
      </c>
      <c r="AP175" s="7" t="n">
        <v>0</v>
      </c>
      <c r="AQ175" s="7" t="n">
        <v>0.075</v>
      </c>
    </row>
    <row r="176" customFormat="false" ht="15" hidden="false" customHeight="false" outlineLevel="0" collapsed="false">
      <c r="A176" s="23" t="n">
        <v>46493</v>
      </c>
      <c r="B176" s="7" t="n">
        <v>0.029</v>
      </c>
      <c r="C176" s="7" t="n">
        <v>-0.317</v>
      </c>
      <c r="D176" s="7" t="n">
        <v>0.053</v>
      </c>
      <c r="E176" s="7" t="n">
        <v>0.433</v>
      </c>
      <c r="F176" s="7" t="n">
        <v>0.206</v>
      </c>
      <c r="G176" s="7" t="n">
        <v>0.053</v>
      </c>
      <c r="H176" s="7" t="n">
        <v>-0.129</v>
      </c>
      <c r="I176" s="7" t="n">
        <v>-0.668</v>
      </c>
      <c r="J176" s="7" t="n">
        <v>-0.381</v>
      </c>
      <c r="K176" s="7" t="n">
        <v>0.506</v>
      </c>
      <c r="L176" s="7" t="n">
        <v>-0.371</v>
      </c>
      <c r="M176" s="7" t="n">
        <v>0.158</v>
      </c>
      <c r="N176" s="7" t="n">
        <v>-0.333</v>
      </c>
      <c r="O176" s="7" t="n">
        <v>0.173</v>
      </c>
      <c r="P176" s="7" t="n">
        <v>0.123</v>
      </c>
      <c r="Q176" s="7" t="n">
        <v>0.176</v>
      </c>
      <c r="R176" s="7" t="n">
        <v>-0.129</v>
      </c>
      <c r="S176" s="7" t="n">
        <v>0.232</v>
      </c>
      <c r="T176" s="7" t="n">
        <v>-0.082</v>
      </c>
      <c r="U176" s="7" t="n">
        <v>0.078</v>
      </c>
      <c r="V176" s="7" t="n">
        <v>-0.202</v>
      </c>
      <c r="W176" s="7" t="n">
        <v>0.176</v>
      </c>
      <c r="X176" s="7" t="n">
        <v>0.101</v>
      </c>
      <c r="Y176" s="7" t="n">
        <v>0.106</v>
      </c>
      <c r="Z176" s="7" t="n">
        <v>0.506</v>
      </c>
      <c r="AA176" s="7" t="n">
        <v>-0.082</v>
      </c>
      <c r="AB176" s="7" t="n">
        <v>-0.635</v>
      </c>
      <c r="AC176" s="7" t="n">
        <v>0.228</v>
      </c>
      <c r="AD176" s="7" t="n">
        <v>0.117</v>
      </c>
      <c r="AE176" s="7" t="n">
        <v>0.206</v>
      </c>
      <c r="AF176" s="7" t="n">
        <v>0.403</v>
      </c>
      <c r="AG176" s="7" t="n">
        <v>-0.129</v>
      </c>
      <c r="AH176" s="7" t="n">
        <v>0.874</v>
      </c>
      <c r="AI176" s="7" t="n">
        <v>-0.46</v>
      </c>
      <c r="AJ176" s="7" t="n">
        <v>-0.731</v>
      </c>
      <c r="AK176" s="7" t="n">
        <v>-0.658</v>
      </c>
      <c r="AL176" s="7" t="n">
        <v>0.017</v>
      </c>
      <c r="AM176" s="7" t="n">
        <v>-0.513</v>
      </c>
      <c r="AN176" s="7" t="n">
        <v>-0.235</v>
      </c>
      <c r="AO176" s="7" t="n">
        <v>0.053</v>
      </c>
      <c r="AP176" s="7" t="n">
        <v>0</v>
      </c>
      <c r="AQ176" s="7" t="n">
        <v>0.073</v>
      </c>
    </row>
    <row r="177" customFormat="false" ht="15" hidden="false" customHeight="false" outlineLevel="0" collapsed="false">
      <c r="A177" s="23" t="n">
        <v>46494</v>
      </c>
      <c r="B177" s="7" t="n">
        <v>0.011</v>
      </c>
      <c r="C177" s="7" t="n">
        <v>-0.327</v>
      </c>
      <c r="D177" s="7" t="n">
        <v>0.039</v>
      </c>
      <c r="E177" s="7" t="n">
        <v>0.42</v>
      </c>
      <c r="F177" s="7" t="n">
        <v>0.193</v>
      </c>
      <c r="G177" s="7" t="n">
        <v>0.039</v>
      </c>
      <c r="H177" s="7" t="n">
        <v>-0.134</v>
      </c>
      <c r="I177" s="7" t="n">
        <v>-0.668</v>
      </c>
      <c r="J177" s="7" t="n">
        <v>-0.379</v>
      </c>
      <c r="K177" s="7" t="n">
        <v>0.495</v>
      </c>
      <c r="L177" s="7" t="n">
        <v>-0.377</v>
      </c>
      <c r="M177" s="7" t="n">
        <v>0.16</v>
      </c>
      <c r="N177" s="7" t="n">
        <v>-0.349</v>
      </c>
      <c r="O177" s="7" t="n">
        <v>0.171</v>
      </c>
      <c r="P177" s="7" t="n">
        <v>0.107</v>
      </c>
      <c r="Q177" s="7" t="n">
        <v>0.169</v>
      </c>
      <c r="R177" s="7" t="n">
        <v>-0.134</v>
      </c>
      <c r="S177" s="7" t="n">
        <v>0.216</v>
      </c>
      <c r="T177" s="7" t="n">
        <v>-0.08</v>
      </c>
      <c r="U177" s="7" t="n">
        <v>0.056</v>
      </c>
      <c r="V177" s="7" t="n">
        <v>-0.209</v>
      </c>
      <c r="W177" s="7" t="n">
        <v>0.169</v>
      </c>
      <c r="X177" s="7" t="n">
        <v>0.093</v>
      </c>
      <c r="Y177" s="7" t="n">
        <v>0.101</v>
      </c>
      <c r="Z177" s="7" t="n">
        <v>0.495</v>
      </c>
      <c r="AA177" s="7" t="n">
        <v>-0.08</v>
      </c>
      <c r="AB177" s="7" t="n">
        <v>-0.631</v>
      </c>
      <c r="AC177" s="7" t="n">
        <v>0.227</v>
      </c>
      <c r="AD177" s="7" t="n">
        <v>0.098</v>
      </c>
      <c r="AE177" s="7" t="n">
        <v>0.193</v>
      </c>
      <c r="AF177" s="7" t="n">
        <v>0.386</v>
      </c>
      <c r="AG177" s="7" t="n">
        <v>-0.134</v>
      </c>
      <c r="AH177" s="7" t="n">
        <v>0.874</v>
      </c>
      <c r="AI177" s="7" t="n">
        <v>-0.461</v>
      </c>
      <c r="AJ177" s="7" t="n">
        <v>-0.727</v>
      </c>
      <c r="AK177" s="7" t="n">
        <v>-0.648</v>
      </c>
      <c r="AL177" s="7" t="n">
        <v>0.006</v>
      </c>
      <c r="AM177" s="7" t="n">
        <v>-0.513</v>
      </c>
      <c r="AN177" s="7" t="n">
        <v>-0.236</v>
      </c>
      <c r="AO177" s="7" t="n">
        <v>0.059</v>
      </c>
      <c r="AP177" s="7" t="n">
        <v>0</v>
      </c>
      <c r="AQ177" s="7" t="n">
        <v>0.071</v>
      </c>
    </row>
    <row r="178" customFormat="false" ht="15" hidden="false" customHeight="false" outlineLevel="0" collapsed="false">
      <c r="A178" s="23" t="n">
        <v>46495</v>
      </c>
      <c r="B178" s="7" t="n">
        <v>0.011</v>
      </c>
      <c r="C178" s="7" t="n">
        <v>-0.327</v>
      </c>
      <c r="D178" s="7" t="n">
        <v>0.039</v>
      </c>
      <c r="E178" s="7" t="n">
        <v>0.42</v>
      </c>
      <c r="F178" s="7" t="n">
        <v>0.193</v>
      </c>
      <c r="G178" s="7" t="n">
        <v>0.039</v>
      </c>
      <c r="H178" s="7" t="n">
        <v>-0.134</v>
      </c>
      <c r="I178" s="7" t="n">
        <v>-0.668</v>
      </c>
      <c r="J178" s="7" t="n">
        <v>-0.379</v>
      </c>
      <c r="K178" s="7" t="n">
        <v>0.495</v>
      </c>
      <c r="L178" s="7" t="n">
        <v>-0.377</v>
      </c>
      <c r="M178" s="7" t="n">
        <v>0.16</v>
      </c>
      <c r="N178" s="7" t="n">
        <v>-0.349</v>
      </c>
      <c r="O178" s="7" t="n">
        <v>0.171</v>
      </c>
      <c r="P178" s="7" t="n">
        <v>0.107</v>
      </c>
      <c r="Q178" s="7" t="n">
        <v>0.169</v>
      </c>
      <c r="R178" s="7" t="n">
        <v>-0.134</v>
      </c>
      <c r="S178" s="7" t="n">
        <v>0.216</v>
      </c>
      <c r="T178" s="7" t="n">
        <v>-0.08</v>
      </c>
      <c r="U178" s="7" t="n">
        <v>0.056</v>
      </c>
      <c r="V178" s="7" t="n">
        <v>-0.209</v>
      </c>
      <c r="W178" s="7" t="n">
        <v>0.169</v>
      </c>
      <c r="X178" s="7" t="n">
        <v>0.093</v>
      </c>
      <c r="Y178" s="7" t="n">
        <v>0.101</v>
      </c>
      <c r="Z178" s="7" t="n">
        <v>0.495</v>
      </c>
      <c r="AA178" s="7" t="n">
        <v>-0.08</v>
      </c>
      <c r="AB178" s="7" t="n">
        <v>-0.631</v>
      </c>
      <c r="AC178" s="7" t="n">
        <v>0.227</v>
      </c>
      <c r="AD178" s="7" t="n">
        <v>0.098</v>
      </c>
      <c r="AE178" s="7" t="n">
        <v>0.193</v>
      </c>
      <c r="AF178" s="7" t="n">
        <v>0.386</v>
      </c>
      <c r="AG178" s="7" t="n">
        <v>-0.134</v>
      </c>
      <c r="AH178" s="7" t="n">
        <v>0.874</v>
      </c>
      <c r="AI178" s="7" t="n">
        <v>-0.461</v>
      </c>
      <c r="AJ178" s="7" t="n">
        <v>-0.727</v>
      </c>
      <c r="AK178" s="7" t="n">
        <v>-0.648</v>
      </c>
      <c r="AL178" s="7" t="n">
        <v>0.006</v>
      </c>
      <c r="AM178" s="7" t="n">
        <v>-0.513</v>
      </c>
      <c r="AN178" s="7" t="n">
        <v>-0.236</v>
      </c>
      <c r="AO178" s="7" t="n">
        <v>0.059</v>
      </c>
      <c r="AP178" s="7" t="n">
        <v>0</v>
      </c>
      <c r="AQ178" s="7" t="n">
        <v>0.071</v>
      </c>
    </row>
    <row r="179" customFormat="false" ht="15" hidden="false" customHeight="false" outlineLevel="0" collapsed="false">
      <c r="A179" s="23" t="n">
        <v>46496</v>
      </c>
      <c r="B179" s="7" t="n">
        <v>0.011</v>
      </c>
      <c r="C179" s="7" t="n">
        <v>-0.327</v>
      </c>
      <c r="D179" s="7" t="n">
        <v>0.039</v>
      </c>
      <c r="E179" s="7" t="n">
        <v>0.42</v>
      </c>
      <c r="F179" s="7" t="n">
        <v>0.193</v>
      </c>
      <c r="G179" s="7" t="n">
        <v>0.039</v>
      </c>
      <c r="H179" s="7" t="n">
        <v>-0.134</v>
      </c>
      <c r="I179" s="7" t="n">
        <v>-0.668</v>
      </c>
      <c r="J179" s="7" t="n">
        <v>-0.379</v>
      </c>
      <c r="K179" s="7" t="n">
        <v>0.495</v>
      </c>
      <c r="L179" s="7" t="n">
        <v>-0.377</v>
      </c>
      <c r="M179" s="7" t="n">
        <v>0.16</v>
      </c>
      <c r="N179" s="7" t="n">
        <v>-0.349</v>
      </c>
      <c r="O179" s="7" t="n">
        <v>0.171</v>
      </c>
      <c r="P179" s="7" t="n">
        <v>0.107</v>
      </c>
      <c r="Q179" s="7" t="n">
        <v>0.169</v>
      </c>
      <c r="R179" s="7" t="n">
        <v>-0.134</v>
      </c>
      <c r="S179" s="7" t="n">
        <v>0.216</v>
      </c>
      <c r="T179" s="7" t="n">
        <v>-0.08</v>
      </c>
      <c r="U179" s="7" t="n">
        <v>0.056</v>
      </c>
      <c r="V179" s="7" t="n">
        <v>-0.209</v>
      </c>
      <c r="W179" s="7" t="n">
        <v>0.169</v>
      </c>
      <c r="X179" s="7" t="n">
        <v>0.093</v>
      </c>
      <c r="Y179" s="7" t="n">
        <v>0.101</v>
      </c>
      <c r="Z179" s="7" t="n">
        <v>0.495</v>
      </c>
      <c r="AA179" s="7" t="n">
        <v>-0.08</v>
      </c>
      <c r="AB179" s="7" t="n">
        <v>-0.631</v>
      </c>
      <c r="AC179" s="7" t="n">
        <v>0.227</v>
      </c>
      <c r="AD179" s="7" t="n">
        <v>0.098</v>
      </c>
      <c r="AE179" s="7" t="n">
        <v>0.193</v>
      </c>
      <c r="AF179" s="7" t="n">
        <v>0.386</v>
      </c>
      <c r="AG179" s="7" t="n">
        <v>-0.134</v>
      </c>
      <c r="AH179" s="7" t="n">
        <v>0.874</v>
      </c>
      <c r="AI179" s="7" t="n">
        <v>-0.461</v>
      </c>
      <c r="AJ179" s="7" t="n">
        <v>-0.727</v>
      </c>
      <c r="AK179" s="7" t="n">
        <v>-0.648</v>
      </c>
      <c r="AL179" s="7" t="n">
        <v>0.006</v>
      </c>
      <c r="AM179" s="7" t="n">
        <v>-0.513</v>
      </c>
      <c r="AN179" s="7" t="n">
        <v>-0.236</v>
      </c>
      <c r="AO179" s="7" t="n">
        <v>0.059</v>
      </c>
      <c r="AP179" s="7" t="n">
        <v>0</v>
      </c>
      <c r="AQ179" s="7" t="n">
        <v>0.071</v>
      </c>
    </row>
    <row r="180" customFormat="false" ht="15" hidden="false" customHeight="false" outlineLevel="0" collapsed="false">
      <c r="A180" s="23" t="n">
        <v>46497</v>
      </c>
      <c r="B180" s="7" t="n">
        <v>-0.02</v>
      </c>
      <c r="C180" s="7" t="n">
        <v>-0.342</v>
      </c>
      <c r="D180" s="7" t="n">
        <v>0.017</v>
      </c>
      <c r="E180" s="7" t="n">
        <v>0.398</v>
      </c>
      <c r="F180" s="7" t="n">
        <v>0.169</v>
      </c>
      <c r="G180" s="7" t="n">
        <v>0.017</v>
      </c>
      <c r="H180" s="7" t="n">
        <v>-0.145</v>
      </c>
      <c r="I180" s="7" t="n">
        <v>-0.669</v>
      </c>
      <c r="J180" s="7" t="n">
        <v>-0.386</v>
      </c>
      <c r="K180" s="7" t="n">
        <v>0.473</v>
      </c>
      <c r="L180" s="7" t="n">
        <v>-0.392</v>
      </c>
      <c r="M180" s="7" t="n">
        <v>0.148</v>
      </c>
      <c r="N180" s="7" t="n">
        <v>-0.371</v>
      </c>
      <c r="O180" s="7" t="n">
        <v>0.156</v>
      </c>
      <c r="P180" s="7" t="n">
        <v>0.083</v>
      </c>
      <c r="Q180" s="7" t="n">
        <v>0.15</v>
      </c>
      <c r="R180" s="7" t="n">
        <v>-0.145</v>
      </c>
      <c r="S180" s="7" t="n">
        <v>0.19</v>
      </c>
      <c r="T180" s="7" t="n">
        <v>-0.085</v>
      </c>
      <c r="U180" s="7" t="n">
        <v>0.028</v>
      </c>
      <c r="V180" s="7" t="n">
        <v>-0.215</v>
      </c>
      <c r="W180" s="7" t="n">
        <v>0.15</v>
      </c>
      <c r="X180" s="7" t="n">
        <v>0.075</v>
      </c>
      <c r="Y180" s="7" t="n">
        <v>0.084</v>
      </c>
      <c r="Z180" s="7" t="n">
        <v>0.473</v>
      </c>
      <c r="AA180" s="7" t="n">
        <v>-0.085</v>
      </c>
      <c r="AB180" s="7" t="n">
        <v>-0.631</v>
      </c>
      <c r="AC180" s="7" t="n">
        <v>0.213</v>
      </c>
      <c r="AD180" s="7" t="n">
        <v>0.074</v>
      </c>
      <c r="AE180" s="7" t="n">
        <v>0.169</v>
      </c>
      <c r="AF180" s="7" t="n">
        <v>0.358</v>
      </c>
      <c r="AG180" s="7" t="n">
        <v>-0.145</v>
      </c>
      <c r="AH180" s="7" t="n">
        <v>0.877</v>
      </c>
      <c r="AI180" s="7" t="n">
        <v>-0.454</v>
      </c>
      <c r="AJ180" s="7" t="n">
        <v>-0.721</v>
      </c>
      <c r="AK180" s="7" t="n">
        <v>-0.635</v>
      </c>
      <c r="AL180" s="7" t="n">
        <v>-0.004</v>
      </c>
      <c r="AM180" s="7" t="n">
        <v>-0.514</v>
      </c>
      <c r="AN180" s="7" t="n">
        <v>-0.234</v>
      </c>
      <c r="AO180" s="7" t="n">
        <v>0.066</v>
      </c>
      <c r="AP180" s="7" t="n">
        <v>0</v>
      </c>
      <c r="AQ180" s="7" t="n">
        <v>0.069</v>
      </c>
    </row>
    <row r="181" customFormat="false" ht="15" hidden="false" customHeight="false" outlineLevel="0" collapsed="false">
      <c r="A181" s="23" t="n">
        <v>46498</v>
      </c>
      <c r="B181" s="7" t="n">
        <v>-0.049</v>
      </c>
      <c r="C181" s="7" t="n">
        <v>-0.355</v>
      </c>
      <c r="D181" s="7" t="n">
        <v>-0.005</v>
      </c>
      <c r="E181" s="7" t="n">
        <v>0.376</v>
      </c>
      <c r="F181" s="7" t="n">
        <v>0.148</v>
      </c>
      <c r="G181" s="7" t="n">
        <v>-0.005</v>
      </c>
      <c r="H181" s="7" t="n">
        <v>-0.156</v>
      </c>
      <c r="I181" s="7" t="n">
        <v>-0.67</v>
      </c>
      <c r="J181" s="7" t="n">
        <v>-0.39</v>
      </c>
      <c r="K181" s="7" t="n">
        <v>0.453</v>
      </c>
      <c r="L181" s="7" t="n">
        <v>-0.405</v>
      </c>
      <c r="M181" s="7" t="n">
        <v>0.137</v>
      </c>
      <c r="N181" s="7" t="n">
        <v>-0.389</v>
      </c>
      <c r="O181" s="7" t="n">
        <v>0.141</v>
      </c>
      <c r="P181" s="7" t="n">
        <v>0.058</v>
      </c>
      <c r="Q181" s="7" t="n">
        <v>0.131</v>
      </c>
      <c r="R181" s="7" t="n">
        <v>-0.156</v>
      </c>
      <c r="S181" s="7" t="n">
        <v>0.164</v>
      </c>
      <c r="T181" s="7" t="n">
        <v>-0.091</v>
      </c>
      <c r="U181" s="7" t="n">
        <v>0.001</v>
      </c>
      <c r="V181" s="7" t="n">
        <v>-0.222</v>
      </c>
      <c r="W181" s="7" t="n">
        <v>0.131</v>
      </c>
      <c r="X181" s="7" t="n">
        <v>0.057</v>
      </c>
      <c r="Y181" s="7" t="n">
        <v>0.067</v>
      </c>
      <c r="Z181" s="7" t="n">
        <v>0.453</v>
      </c>
      <c r="AA181" s="7" t="n">
        <v>-0.091</v>
      </c>
      <c r="AB181" s="7" t="n">
        <v>-0.63</v>
      </c>
      <c r="AC181" s="7" t="n">
        <v>0.2</v>
      </c>
      <c r="AD181" s="7" t="n">
        <v>0.051</v>
      </c>
      <c r="AE181" s="7" t="n">
        <v>0.148</v>
      </c>
      <c r="AF181" s="7" t="n">
        <v>0.331</v>
      </c>
      <c r="AG181" s="7" t="n">
        <v>-0.156</v>
      </c>
      <c r="AH181" s="7" t="n">
        <v>0.879</v>
      </c>
      <c r="AI181" s="7" t="n">
        <v>-0.446</v>
      </c>
      <c r="AJ181" s="7" t="n">
        <v>-0.714</v>
      </c>
      <c r="AK181" s="7" t="n">
        <v>-0.62</v>
      </c>
      <c r="AL181" s="7" t="n">
        <v>-0.015</v>
      </c>
      <c r="AM181" s="7" t="n">
        <v>-0.513</v>
      </c>
      <c r="AN181" s="7" t="n">
        <v>-0.232</v>
      </c>
      <c r="AO181" s="7" t="n">
        <v>0.073</v>
      </c>
      <c r="AP181" s="7" t="n">
        <v>0</v>
      </c>
      <c r="AQ181" s="7" t="n">
        <v>0.067</v>
      </c>
    </row>
    <row r="182" customFormat="false" ht="15" hidden="false" customHeight="false" outlineLevel="0" collapsed="false">
      <c r="A182" s="23" t="n">
        <v>46499</v>
      </c>
      <c r="B182" s="7" t="n">
        <v>-0.069</v>
      </c>
      <c r="C182" s="7" t="n">
        <v>-0.355</v>
      </c>
      <c r="D182" s="7" t="n">
        <v>-0.027</v>
      </c>
      <c r="E182" s="7" t="n">
        <v>0.367</v>
      </c>
      <c r="F182" s="7" t="n">
        <v>0.137</v>
      </c>
      <c r="G182" s="7" t="n">
        <v>-0.027</v>
      </c>
      <c r="H182" s="7" t="n">
        <v>-0.166</v>
      </c>
      <c r="I182" s="7" t="n">
        <v>-0.673</v>
      </c>
      <c r="J182" s="7" t="n">
        <v>-0.395</v>
      </c>
      <c r="K182" s="7" t="n">
        <v>0.446</v>
      </c>
      <c r="L182" s="7" t="n">
        <v>-0.418</v>
      </c>
      <c r="M182" s="7" t="n">
        <v>0.125</v>
      </c>
      <c r="N182" s="7" t="n">
        <v>-0.4</v>
      </c>
      <c r="O182" s="7" t="n">
        <v>0.129</v>
      </c>
      <c r="P182" s="7" t="n">
        <v>0.035</v>
      </c>
      <c r="Q182" s="7" t="n">
        <v>0.114</v>
      </c>
      <c r="R182" s="7" t="n">
        <v>-0.166</v>
      </c>
      <c r="S182" s="7" t="n">
        <v>0.143</v>
      </c>
      <c r="T182" s="7" t="n">
        <v>-0.094</v>
      </c>
      <c r="U182" s="7" t="n">
        <v>-0.015</v>
      </c>
      <c r="V182" s="7" t="n">
        <v>-0.234</v>
      </c>
      <c r="W182" s="7" t="n">
        <v>0.114</v>
      </c>
      <c r="X182" s="7" t="n">
        <v>0.039</v>
      </c>
      <c r="Y182" s="7" t="n">
        <v>0.05</v>
      </c>
      <c r="Z182" s="7" t="n">
        <v>0.446</v>
      </c>
      <c r="AA182" s="7" t="n">
        <v>-0.094</v>
      </c>
      <c r="AB182" s="7" t="n">
        <v>-0.641</v>
      </c>
      <c r="AC182" s="7" t="n">
        <v>0.19</v>
      </c>
      <c r="AD182" s="7" t="n">
        <v>0.035</v>
      </c>
      <c r="AE182" s="7" t="n">
        <v>0.137</v>
      </c>
      <c r="AF182" s="7" t="n">
        <v>0.319</v>
      </c>
      <c r="AG182" s="7" t="n">
        <v>-0.166</v>
      </c>
      <c r="AH182" s="7" t="n">
        <v>0.881</v>
      </c>
      <c r="AI182" s="7" t="n">
        <v>-0.435</v>
      </c>
      <c r="AJ182" s="7" t="n">
        <v>-0.703</v>
      </c>
      <c r="AK182" s="7" t="n">
        <v>-0.602</v>
      </c>
      <c r="AL182" s="7" t="n">
        <v>-0.023</v>
      </c>
      <c r="AM182" s="7" t="n">
        <v>-0.513</v>
      </c>
      <c r="AN182" s="7" t="n">
        <v>-0.226</v>
      </c>
      <c r="AO182" s="7" t="n">
        <v>0.079</v>
      </c>
      <c r="AP182" s="7" t="n">
        <v>0</v>
      </c>
      <c r="AQ182" s="7" t="n">
        <v>0.069</v>
      </c>
    </row>
    <row r="183" customFormat="false" ht="15" hidden="false" customHeight="false" outlineLevel="0" collapsed="false">
      <c r="A183" s="23" t="n">
        <v>46500</v>
      </c>
      <c r="B183" s="7" t="n">
        <v>-0.084</v>
      </c>
      <c r="C183" s="7" t="n">
        <v>-0.345</v>
      </c>
      <c r="D183" s="7" t="n">
        <v>-0.049</v>
      </c>
      <c r="E183" s="7" t="n">
        <v>0.361</v>
      </c>
      <c r="F183" s="7" t="n">
        <v>0.132</v>
      </c>
      <c r="G183" s="7" t="n">
        <v>-0.049</v>
      </c>
      <c r="H183" s="7" t="n">
        <v>-0.175</v>
      </c>
      <c r="I183" s="7" t="n">
        <v>-0.672</v>
      </c>
      <c r="J183" s="7" t="n">
        <v>-0.396</v>
      </c>
      <c r="K183" s="7" t="n">
        <v>0.447</v>
      </c>
      <c r="L183" s="7" t="n">
        <v>-0.43</v>
      </c>
      <c r="M183" s="7" t="n">
        <v>0.114</v>
      </c>
      <c r="N183" s="7" t="n">
        <v>-0.404</v>
      </c>
      <c r="O183" s="7" t="n">
        <v>0.118</v>
      </c>
      <c r="P183" s="7" t="n">
        <v>0.012</v>
      </c>
      <c r="Q183" s="7" t="n">
        <v>0.098</v>
      </c>
      <c r="R183" s="7" t="n">
        <v>-0.175</v>
      </c>
      <c r="S183" s="7" t="n">
        <v>0.129</v>
      </c>
      <c r="T183" s="7" t="n">
        <v>-0.097</v>
      </c>
      <c r="U183" s="7" t="n">
        <v>-0.026</v>
      </c>
      <c r="V183" s="7" t="n">
        <v>-0.241</v>
      </c>
      <c r="W183" s="7" t="n">
        <v>0.098</v>
      </c>
      <c r="X183" s="7" t="n">
        <v>0.021</v>
      </c>
      <c r="Y183" s="7" t="n">
        <v>0.033</v>
      </c>
      <c r="Z183" s="7" t="n">
        <v>0.447</v>
      </c>
      <c r="AA183" s="7" t="n">
        <v>-0.097</v>
      </c>
      <c r="AB183" s="7" t="n">
        <v>-0.647</v>
      </c>
      <c r="AC183" s="7" t="n">
        <v>0.18</v>
      </c>
      <c r="AD183" s="7" t="n">
        <v>0.024</v>
      </c>
      <c r="AE183" s="7" t="n">
        <v>0.132</v>
      </c>
      <c r="AF183" s="7" t="n">
        <v>0.313</v>
      </c>
      <c r="AG183" s="7" t="n">
        <v>-0.175</v>
      </c>
      <c r="AH183" s="7" t="n">
        <v>0.883</v>
      </c>
      <c r="AI183" s="7" t="n">
        <v>-0.424</v>
      </c>
      <c r="AJ183" s="7" t="n">
        <v>-0.691</v>
      </c>
      <c r="AK183" s="7" t="n">
        <v>-0.582</v>
      </c>
      <c r="AL183" s="7" t="n">
        <v>-0.03</v>
      </c>
      <c r="AM183" s="7" t="n">
        <v>-0.513</v>
      </c>
      <c r="AN183" s="7" t="n">
        <v>-0.221</v>
      </c>
      <c r="AO183" s="7" t="n">
        <v>0.086</v>
      </c>
      <c r="AP183" s="7" t="n">
        <v>0</v>
      </c>
      <c r="AQ183" s="7" t="n">
        <v>0.071</v>
      </c>
    </row>
    <row r="184" customFormat="false" ht="15" hidden="false" customHeight="false" outlineLevel="0" collapsed="false">
      <c r="A184" s="23" t="n">
        <v>46501</v>
      </c>
      <c r="B184" s="7" t="n">
        <v>-0.1</v>
      </c>
      <c r="C184" s="7" t="n">
        <v>-0.338</v>
      </c>
      <c r="D184" s="7" t="n">
        <v>-0.072</v>
      </c>
      <c r="E184" s="7" t="n">
        <v>0.356</v>
      </c>
      <c r="F184" s="7" t="n">
        <v>0.125</v>
      </c>
      <c r="G184" s="7" t="n">
        <v>-0.072</v>
      </c>
      <c r="H184" s="7" t="n">
        <v>-0.185</v>
      </c>
      <c r="I184" s="7" t="n">
        <v>-0.671</v>
      </c>
      <c r="J184" s="7" t="n">
        <v>-0.399</v>
      </c>
      <c r="K184" s="7" t="n">
        <v>0.447</v>
      </c>
      <c r="L184" s="7" t="n">
        <v>-0.445</v>
      </c>
      <c r="M184" s="7" t="n">
        <v>0.102</v>
      </c>
      <c r="N184" s="7" t="n">
        <v>-0.414</v>
      </c>
      <c r="O184" s="7" t="n">
        <v>0.103</v>
      </c>
      <c r="P184" s="7" t="n">
        <v>-0.011</v>
      </c>
      <c r="Q184" s="7" t="n">
        <v>0.082</v>
      </c>
      <c r="R184" s="7" t="n">
        <v>-0.185</v>
      </c>
      <c r="S184" s="7" t="n">
        <v>0.117</v>
      </c>
      <c r="T184" s="7" t="n">
        <v>-0.1</v>
      </c>
      <c r="U184" s="7" t="n">
        <v>-0.036</v>
      </c>
      <c r="V184" s="7" t="n">
        <v>-0.246</v>
      </c>
      <c r="W184" s="7" t="n">
        <v>0.082</v>
      </c>
      <c r="X184" s="7" t="n">
        <v>0.003</v>
      </c>
      <c r="Y184" s="7" t="n">
        <v>0.016</v>
      </c>
      <c r="Z184" s="7" t="n">
        <v>0.447</v>
      </c>
      <c r="AA184" s="7" t="n">
        <v>-0.1</v>
      </c>
      <c r="AB184" s="7" t="n">
        <v>-0.651</v>
      </c>
      <c r="AC184" s="7" t="n">
        <v>0.169</v>
      </c>
      <c r="AD184" s="7" t="n">
        <v>0.012</v>
      </c>
      <c r="AE184" s="7" t="n">
        <v>0.125</v>
      </c>
      <c r="AF184" s="7" t="n">
        <v>0.308</v>
      </c>
      <c r="AG184" s="7" t="n">
        <v>-0.185</v>
      </c>
      <c r="AH184" s="7" t="n">
        <v>0.885</v>
      </c>
      <c r="AI184" s="7" t="n">
        <v>-0.417</v>
      </c>
      <c r="AJ184" s="7" t="n">
        <v>-0.68</v>
      </c>
      <c r="AK184" s="7" t="n">
        <v>-0.564</v>
      </c>
      <c r="AL184" s="7" t="n">
        <v>-0.038</v>
      </c>
      <c r="AM184" s="7" t="n">
        <v>-0.515</v>
      </c>
      <c r="AN184" s="7" t="n">
        <v>-0.216</v>
      </c>
      <c r="AO184" s="7" t="n">
        <v>0.092</v>
      </c>
      <c r="AP184" s="7" t="n">
        <v>0</v>
      </c>
      <c r="AQ184" s="7" t="n">
        <v>0.072</v>
      </c>
    </row>
    <row r="185" customFormat="false" ht="15" hidden="false" customHeight="false" outlineLevel="0" collapsed="false">
      <c r="A185" s="23" t="n">
        <v>46502</v>
      </c>
      <c r="B185" s="7" t="n">
        <v>-0.1</v>
      </c>
      <c r="C185" s="7" t="n">
        <v>-0.338</v>
      </c>
      <c r="D185" s="7" t="n">
        <v>-0.072</v>
      </c>
      <c r="E185" s="7" t="n">
        <v>0.356</v>
      </c>
      <c r="F185" s="7" t="n">
        <v>0.125</v>
      </c>
      <c r="G185" s="7" t="n">
        <v>-0.072</v>
      </c>
      <c r="H185" s="7" t="n">
        <v>-0.185</v>
      </c>
      <c r="I185" s="7" t="n">
        <v>-0.671</v>
      </c>
      <c r="J185" s="7" t="n">
        <v>-0.399</v>
      </c>
      <c r="K185" s="7" t="n">
        <v>0.447</v>
      </c>
      <c r="L185" s="7" t="n">
        <v>-0.445</v>
      </c>
      <c r="M185" s="7" t="n">
        <v>0.102</v>
      </c>
      <c r="N185" s="7" t="n">
        <v>-0.414</v>
      </c>
      <c r="O185" s="7" t="n">
        <v>0.103</v>
      </c>
      <c r="P185" s="7" t="n">
        <v>-0.011</v>
      </c>
      <c r="Q185" s="7" t="n">
        <v>0.082</v>
      </c>
      <c r="R185" s="7" t="n">
        <v>-0.185</v>
      </c>
      <c r="S185" s="7" t="n">
        <v>0.117</v>
      </c>
      <c r="T185" s="7" t="n">
        <v>-0.1</v>
      </c>
      <c r="U185" s="7" t="n">
        <v>-0.036</v>
      </c>
      <c r="V185" s="7" t="n">
        <v>-0.246</v>
      </c>
      <c r="W185" s="7" t="n">
        <v>0.082</v>
      </c>
      <c r="X185" s="7" t="n">
        <v>0.003</v>
      </c>
      <c r="Y185" s="7" t="n">
        <v>0.016</v>
      </c>
      <c r="Z185" s="7" t="n">
        <v>0.447</v>
      </c>
      <c r="AA185" s="7" t="n">
        <v>-0.1</v>
      </c>
      <c r="AB185" s="7" t="n">
        <v>-0.651</v>
      </c>
      <c r="AC185" s="7" t="n">
        <v>0.169</v>
      </c>
      <c r="AD185" s="7" t="n">
        <v>0.012</v>
      </c>
      <c r="AE185" s="7" t="n">
        <v>0.125</v>
      </c>
      <c r="AF185" s="7" t="n">
        <v>0.308</v>
      </c>
      <c r="AG185" s="7" t="n">
        <v>-0.185</v>
      </c>
      <c r="AH185" s="7" t="n">
        <v>0.885</v>
      </c>
      <c r="AI185" s="7" t="n">
        <v>-0.417</v>
      </c>
      <c r="AJ185" s="7" t="n">
        <v>-0.68</v>
      </c>
      <c r="AK185" s="7" t="n">
        <v>-0.564</v>
      </c>
      <c r="AL185" s="7" t="n">
        <v>-0.038</v>
      </c>
      <c r="AM185" s="7" t="n">
        <v>-0.515</v>
      </c>
      <c r="AN185" s="7" t="n">
        <v>-0.216</v>
      </c>
      <c r="AO185" s="7" t="n">
        <v>0.092</v>
      </c>
      <c r="AP185" s="7" t="n">
        <v>0</v>
      </c>
      <c r="AQ185" s="7" t="n">
        <v>0.072</v>
      </c>
    </row>
    <row r="186" customFormat="false" ht="15" hidden="false" customHeight="false" outlineLevel="0" collapsed="false">
      <c r="A186" s="23" t="n">
        <v>46503</v>
      </c>
      <c r="B186" s="7" t="n">
        <v>-0.1</v>
      </c>
      <c r="C186" s="7" t="n">
        <v>-0.338</v>
      </c>
      <c r="D186" s="7" t="n">
        <v>-0.072</v>
      </c>
      <c r="E186" s="7" t="n">
        <v>0.356</v>
      </c>
      <c r="F186" s="7" t="n">
        <v>0.125</v>
      </c>
      <c r="G186" s="7" t="n">
        <v>-0.072</v>
      </c>
      <c r="H186" s="7" t="n">
        <v>-0.185</v>
      </c>
      <c r="I186" s="7" t="n">
        <v>-0.671</v>
      </c>
      <c r="J186" s="7" t="n">
        <v>-0.399</v>
      </c>
      <c r="K186" s="7" t="n">
        <v>0.447</v>
      </c>
      <c r="L186" s="7" t="n">
        <v>-0.445</v>
      </c>
      <c r="M186" s="7" t="n">
        <v>0.102</v>
      </c>
      <c r="N186" s="7" t="n">
        <v>-0.414</v>
      </c>
      <c r="O186" s="7" t="n">
        <v>0.103</v>
      </c>
      <c r="P186" s="7" t="n">
        <v>-0.011</v>
      </c>
      <c r="Q186" s="7" t="n">
        <v>0.082</v>
      </c>
      <c r="R186" s="7" t="n">
        <v>-0.185</v>
      </c>
      <c r="S186" s="7" t="n">
        <v>0.117</v>
      </c>
      <c r="T186" s="7" t="n">
        <v>-0.1</v>
      </c>
      <c r="U186" s="7" t="n">
        <v>-0.036</v>
      </c>
      <c r="V186" s="7" t="n">
        <v>-0.246</v>
      </c>
      <c r="W186" s="7" t="n">
        <v>0.082</v>
      </c>
      <c r="X186" s="7" t="n">
        <v>0.003</v>
      </c>
      <c r="Y186" s="7" t="n">
        <v>0.016</v>
      </c>
      <c r="Z186" s="7" t="n">
        <v>0.447</v>
      </c>
      <c r="AA186" s="7" t="n">
        <v>-0.1</v>
      </c>
      <c r="AB186" s="7" t="n">
        <v>-0.651</v>
      </c>
      <c r="AC186" s="7" t="n">
        <v>0.169</v>
      </c>
      <c r="AD186" s="7" t="n">
        <v>0.012</v>
      </c>
      <c r="AE186" s="7" t="n">
        <v>0.125</v>
      </c>
      <c r="AF186" s="7" t="n">
        <v>0.308</v>
      </c>
      <c r="AG186" s="7" t="n">
        <v>-0.185</v>
      </c>
      <c r="AH186" s="7" t="n">
        <v>0.885</v>
      </c>
      <c r="AI186" s="7" t="n">
        <v>-0.417</v>
      </c>
      <c r="AJ186" s="7" t="n">
        <v>-0.68</v>
      </c>
      <c r="AK186" s="7" t="n">
        <v>-0.564</v>
      </c>
      <c r="AL186" s="7" t="n">
        <v>-0.038</v>
      </c>
      <c r="AM186" s="7" t="n">
        <v>-0.515</v>
      </c>
      <c r="AN186" s="7" t="n">
        <v>-0.216</v>
      </c>
      <c r="AO186" s="7" t="n">
        <v>0.092</v>
      </c>
      <c r="AP186" s="7" t="n">
        <v>0</v>
      </c>
      <c r="AQ186" s="7" t="n">
        <v>0.072</v>
      </c>
    </row>
    <row r="187" customFormat="false" ht="15" hidden="false" customHeight="false" outlineLevel="0" collapsed="false">
      <c r="A187" s="23" t="n">
        <v>46504</v>
      </c>
      <c r="B187" s="7" t="n">
        <v>-0.116</v>
      </c>
      <c r="C187" s="7" t="n">
        <v>-0.334</v>
      </c>
      <c r="D187" s="7" t="n">
        <v>-0.094</v>
      </c>
      <c r="E187" s="7" t="n">
        <v>0.346</v>
      </c>
      <c r="F187" s="7" t="n">
        <v>0.12</v>
      </c>
      <c r="G187" s="7" t="n">
        <v>-0.094</v>
      </c>
      <c r="H187" s="7" t="n">
        <v>-0.203</v>
      </c>
      <c r="I187" s="7" t="n">
        <v>-0.674</v>
      </c>
      <c r="J187" s="7" t="n">
        <v>-0.398</v>
      </c>
      <c r="K187" s="7" t="n">
        <v>0.439</v>
      </c>
      <c r="L187" s="7" t="n">
        <v>-0.454</v>
      </c>
      <c r="M187" s="7" t="n">
        <v>0.089</v>
      </c>
      <c r="N187" s="7" t="n">
        <v>-0.414</v>
      </c>
      <c r="O187" s="7" t="n">
        <v>0.093</v>
      </c>
      <c r="P187" s="7" t="n">
        <v>-0.034</v>
      </c>
      <c r="Q187" s="7" t="n">
        <v>0.065</v>
      </c>
      <c r="R187" s="7" t="n">
        <v>-0.203</v>
      </c>
      <c r="S187" s="7" t="n">
        <v>0.101</v>
      </c>
      <c r="T187" s="7" t="n">
        <v>-0.111</v>
      </c>
      <c r="U187" s="7" t="n">
        <v>-0.046</v>
      </c>
      <c r="V187" s="7" t="n">
        <v>-0.262</v>
      </c>
      <c r="W187" s="7" t="n">
        <v>0.065</v>
      </c>
      <c r="X187" s="7" t="n">
        <v>-0.017</v>
      </c>
      <c r="Y187" s="7" t="n">
        <v>-0.001</v>
      </c>
      <c r="Z187" s="7" t="n">
        <v>0.439</v>
      </c>
      <c r="AA187" s="7" t="n">
        <v>-0.111</v>
      </c>
      <c r="AB187" s="7" t="n">
        <v>-0.652</v>
      </c>
      <c r="AC187" s="7" t="n">
        <v>0.157</v>
      </c>
      <c r="AD187" s="7" t="n">
        <v>-0.003</v>
      </c>
      <c r="AE187" s="7" t="n">
        <v>0.12</v>
      </c>
      <c r="AF187" s="7" t="n">
        <v>0.302</v>
      </c>
      <c r="AG187" s="7" t="n">
        <v>-0.203</v>
      </c>
      <c r="AH187" s="7" t="n">
        <v>0.886</v>
      </c>
      <c r="AI187" s="7" t="n">
        <v>-0.402</v>
      </c>
      <c r="AJ187" s="7" t="n">
        <v>-0.671</v>
      </c>
      <c r="AK187" s="7" t="n">
        <v>-0.548</v>
      </c>
      <c r="AL187" s="7" t="n">
        <v>-0.047</v>
      </c>
      <c r="AM187" s="7" t="n">
        <v>-0.511</v>
      </c>
      <c r="AN187" s="7" t="n">
        <v>-0.219</v>
      </c>
      <c r="AO187" s="7" t="n">
        <v>0.097</v>
      </c>
      <c r="AP187" s="7" t="n">
        <v>0</v>
      </c>
      <c r="AQ187" s="7" t="n">
        <v>0.073</v>
      </c>
    </row>
    <row r="188" customFormat="false" ht="15" hidden="false" customHeight="false" outlineLevel="0" collapsed="false">
      <c r="A188" s="23" t="n">
        <v>46505</v>
      </c>
      <c r="B188" s="7" t="n">
        <v>-0.133</v>
      </c>
      <c r="C188" s="7" t="n">
        <v>-0.33</v>
      </c>
      <c r="D188" s="7" t="n">
        <v>-0.116</v>
      </c>
      <c r="E188" s="7" t="n">
        <v>0.337</v>
      </c>
      <c r="F188" s="7" t="n">
        <v>0.115</v>
      </c>
      <c r="G188" s="7" t="n">
        <v>-0.116</v>
      </c>
      <c r="H188" s="7" t="n">
        <v>-0.221</v>
      </c>
      <c r="I188" s="7" t="n">
        <v>-0.676</v>
      </c>
      <c r="J188" s="7" t="n">
        <v>-0.398</v>
      </c>
      <c r="K188" s="7" t="n">
        <v>0.431</v>
      </c>
      <c r="L188" s="7" t="n">
        <v>-0.462</v>
      </c>
      <c r="M188" s="7" t="n">
        <v>0.075</v>
      </c>
      <c r="N188" s="7" t="n">
        <v>-0.414</v>
      </c>
      <c r="O188" s="7" t="n">
        <v>0.083</v>
      </c>
      <c r="P188" s="7" t="n">
        <v>-0.057</v>
      </c>
      <c r="Q188" s="7" t="n">
        <v>0.048</v>
      </c>
      <c r="R188" s="7" t="n">
        <v>-0.221</v>
      </c>
      <c r="S188" s="7" t="n">
        <v>0.085</v>
      </c>
      <c r="T188" s="7" t="n">
        <v>-0.123</v>
      </c>
      <c r="U188" s="7" t="n">
        <v>-0.057</v>
      </c>
      <c r="V188" s="7" t="n">
        <v>-0.276</v>
      </c>
      <c r="W188" s="7" t="n">
        <v>0.048</v>
      </c>
      <c r="X188" s="7" t="n">
        <v>-0.037</v>
      </c>
      <c r="Y188" s="7" t="n">
        <v>-0.018</v>
      </c>
      <c r="Z188" s="7" t="n">
        <v>0.431</v>
      </c>
      <c r="AA188" s="7" t="n">
        <v>-0.123</v>
      </c>
      <c r="AB188" s="7" t="n">
        <v>-0.652</v>
      </c>
      <c r="AC188" s="7" t="n">
        <v>0.144</v>
      </c>
      <c r="AD188" s="7" t="n">
        <v>-0.019</v>
      </c>
      <c r="AE188" s="7" t="n">
        <v>0.115</v>
      </c>
      <c r="AF188" s="7" t="n">
        <v>0.295</v>
      </c>
      <c r="AG188" s="7" t="n">
        <v>-0.221</v>
      </c>
      <c r="AH188" s="7" t="n">
        <v>0.888</v>
      </c>
      <c r="AI188" s="7" t="n">
        <v>-0.388</v>
      </c>
      <c r="AJ188" s="7" t="n">
        <v>-0.661</v>
      </c>
      <c r="AK188" s="7" t="n">
        <v>-0.531</v>
      </c>
      <c r="AL188" s="7" t="n">
        <v>-0.055</v>
      </c>
      <c r="AM188" s="7" t="n">
        <v>-0.508</v>
      </c>
      <c r="AN188" s="7" t="n">
        <v>-0.222</v>
      </c>
      <c r="AO188" s="7" t="n">
        <v>0.102</v>
      </c>
      <c r="AP188" s="7" t="n">
        <v>0</v>
      </c>
      <c r="AQ188" s="7" t="n">
        <v>0.074</v>
      </c>
    </row>
    <row r="189" customFormat="false" ht="15" hidden="false" customHeight="false" outlineLevel="0" collapsed="false">
      <c r="A189" s="23" t="n">
        <v>46506</v>
      </c>
      <c r="B189" s="7" t="n">
        <v>-0.149</v>
      </c>
      <c r="C189" s="7" t="n">
        <v>-0.323</v>
      </c>
      <c r="D189" s="7" t="n">
        <v>-0.139</v>
      </c>
      <c r="E189" s="7" t="n">
        <v>0.327</v>
      </c>
      <c r="F189" s="7" t="n">
        <v>0.112</v>
      </c>
      <c r="G189" s="7" t="n">
        <v>-0.139</v>
      </c>
      <c r="H189" s="7" t="n">
        <v>-0.239</v>
      </c>
      <c r="I189" s="7" t="n">
        <v>-0.678</v>
      </c>
      <c r="J189" s="7" t="n">
        <v>-0.396</v>
      </c>
      <c r="K189" s="7" t="n">
        <v>0.423</v>
      </c>
      <c r="L189" s="7" t="n">
        <v>-0.468</v>
      </c>
      <c r="M189" s="7" t="n">
        <v>0.062</v>
      </c>
      <c r="N189" s="7" t="n">
        <v>-0.41</v>
      </c>
      <c r="O189" s="7" t="n">
        <v>0.076</v>
      </c>
      <c r="P189" s="7" t="n">
        <v>-0.081</v>
      </c>
      <c r="Q189" s="7" t="n">
        <v>0.031</v>
      </c>
      <c r="R189" s="7" t="n">
        <v>-0.239</v>
      </c>
      <c r="S189" s="7" t="n">
        <v>0.067</v>
      </c>
      <c r="T189" s="7" t="n">
        <v>-0.134</v>
      </c>
      <c r="U189" s="7" t="n">
        <v>-0.067</v>
      </c>
      <c r="V189" s="7" t="n">
        <v>-0.293</v>
      </c>
      <c r="W189" s="7" t="n">
        <v>0.031</v>
      </c>
      <c r="X189" s="7" t="n">
        <v>-0.058</v>
      </c>
      <c r="Y189" s="7" t="n">
        <v>-0.035</v>
      </c>
      <c r="Z189" s="7" t="n">
        <v>0.423</v>
      </c>
      <c r="AA189" s="7" t="n">
        <v>-0.134</v>
      </c>
      <c r="AB189" s="7" t="n">
        <v>-0.652</v>
      </c>
      <c r="AC189" s="7" t="n">
        <v>0.131</v>
      </c>
      <c r="AD189" s="7" t="n">
        <v>-0.035</v>
      </c>
      <c r="AE189" s="7" t="n">
        <v>0.112</v>
      </c>
      <c r="AF189" s="7" t="n">
        <v>0.289</v>
      </c>
      <c r="AG189" s="7" t="n">
        <v>-0.239</v>
      </c>
      <c r="AH189" s="7" t="n">
        <v>0.889</v>
      </c>
      <c r="AI189" s="7" t="n">
        <v>-0.371</v>
      </c>
      <c r="AJ189" s="7" t="n">
        <v>-0.651</v>
      </c>
      <c r="AK189" s="7" t="n">
        <v>-0.513</v>
      </c>
      <c r="AL189" s="7" t="n">
        <v>-0.064</v>
      </c>
      <c r="AM189" s="7" t="n">
        <v>-0.502</v>
      </c>
      <c r="AN189" s="7" t="n">
        <v>-0.225</v>
      </c>
      <c r="AO189" s="7" t="n">
        <v>0.106</v>
      </c>
      <c r="AP189" s="7" t="n">
        <v>0</v>
      </c>
      <c r="AQ189" s="7" t="n">
        <v>0.075</v>
      </c>
    </row>
    <row r="190" customFormat="false" ht="15" hidden="false" customHeight="false" outlineLevel="0" collapsed="false">
      <c r="A190" s="23" t="n">
        <v>46507</v>
      </c>
      <c r="B190" s="7" t="n">
        <v>-0.164</v>
      </c>
      <c r="C190" s="7" t="n">
        <v>-0.317</v>
      </c>
      <c r="D190" s="7" t="n">
        <v>-0.161</v>
      </c>
      <c r="E190" s="7" t="n">
        <v>0.318</v>
      </c>
      <c r="F190" s="7" t="n">
        <v>0.108</v>
      </c>
      <c r="G190" s="7" t="n">
        <v>-0.161</v>
      </c>
      <c r="H190" s="7" t="n">
        <v>-0.257</v>
      </c>
      <c r="I190" s="7" t="n">
        <v>-0.676</v>
      </c>
      <c r="J190" s="7" t="n">
        <v>-0.394</v>
      </c>
      <c r="K190" s="7" t="n">
        <v>0.415</v>
      </c>
      <c r="L190" s="7" t="n">
        <v>-0.473</v>
      </c>
      <c r="M190" s="7" t="n">
        <v>0.049</v>
      </c>
      <c r="N190" s="7" t="n">
        <v>-0.406</v>
      </c>
      <c r="O190" s="7" t="n">
        <v>0.069</v>
      </c>
      <c r="P190" s="7" t="n">
        <v>-0.104</v>
      </c>
      <c r="Q190" s="7" t="n">
        <v>0.014</v>
      </c>
      <c r="R190" s="7" t="n">
        <v>-0.257</v>
      </c>
      <c r="S190" s="7" t="n">
        <v>0.048</v>
      </c>
      <c r="T190" s="7" t="n">
        <v>-0.146</v>
      </c>
      <c r="U190" s="7" t="n">
        <v>-0.078</v>
      </c>
      <c r="V190" s="7" t="n">
        <v>-0.306</v>
      </c>
      <c r="W190" s="7" t="n">
        <v>0.014</v>
      </c>
      <c r="X190" s="7" t="n">
        <v>-0.078</v>
      </c>
      <c r="Y190" s="7" t="n">
        <v>-0.052</v>
      </c>
      <c r="Z190" s="7" t="n">
        <v>0.415</v>
      </c>
      <c r="AA190" s="7" t="n">
        <v>-0.146</v>
      </c>
      <c r="AB190" s="7" t="n">
        <v>-0.647</v>
      </c>
      <c r="AC190" s="7" t="n">
        <v>0.118</v>
      </c>
      <c r="AD190" s="7" t="n">
        <v>-0.051</v>
      </c>
      <c r="AE190" s="7" t="n">
        <v>0.108</v>
      </c>
      <c r="AF190" s="7" t="n">
        <v>0.282</v>
      </c>
      <c r="AG190" s="7" t="n">
        <v>-0.257</v>
      </c>
      <c r="AH190" s="7" t="n">
        <v>0.891</v>
      </c>
      <c r="AI190" s="7" t="n">
        <v>-0.355</v>
      </c>
      <c r="AJ190" s="7" t="n">
        <v>-0.64</v>
      </c>
      <c r="AK190" s="7" t="n">
        <v>-0.495</v>
      </c>
      <c r="AL190" s="7" t="n">
        <v>-0.073</v>
      </c>
      <c r="AM190" s="7" t="n">
        <v>-0.496</v>
      </c>
      <c r="AN190" s="7" t="n">
        <v>-0.228</v>
      </c>
      <c r="AO190" s="7" t="n">
        <v>0.111</v>
      </c>
      <c r="AP190" s="7" t="n">
        <v>0</v>
      </c>
      <c r="AQ190" s="7" t="n">
        <v>0.076</v>
      </c>
    </row>
    <row r="191" customFormat="false" ht="15" hidden="false" customHeight="false" outlineLevel="0" collapsed="false">
      <c r="A191" s="23" t="n">
        <v>46508</v>
      </c>
      <c r="B191" s="7" t="n">
        <v>-0.182</v>
      </c>
      <c r="C191" s="7" t="n">
        <v>-0.316</v>
      </c>
      <c r="D191" s="7" t="n">
        <v>-0.184</v>
      </c>
      <c r="E191" s="7" t="n">
        <v>0.308</v>
      </c>
      <c r="F191" s="7" t="n">
        <v>0.104</v>
      </c>
      <c r="G191" s="7" t="n">
        <v>-0.184</v>
      </c>
      <c r="H191" s="7" t="n">
        <v>-0.277</v>
      </c>
      <c r="I191" s="7" t="n">
        <v>-0.679</v>
      </c>
      <c r="J191" s="7" t="n">
        <v>-0.393</v>
      </c>
      <c r="K191" s="7" t="n">
        <v>0.407</v>
      </c>
      <c r="L191" s="7" t="n">
        <v>-0.48</v>
      </c>
      <c r="M191" s="7" t="n">
        <v>0.034</v>
      </c>
      <c r="N191" s="7" t="n">
        <v>-0.403</v>
      </c>
      <c r="O191" s="7" t="n">
        <v>0.061</v>
      </c>
      <c r="P191" s="7" t="n">
        <v>-0.128</v>
      </c>
      <c r="Q191" s="7" t="n">
        <v>-0.003</v>
      </c>
      <c r="R191" s="7" t="n">
        <v>-0.277</v>
      </c>
      <c r="S191" s="7" t="n">
        <v>0.029</v>
      </c>
      <c r="T191" s="7" t="n">
        <v>-0.16</v>
      </c>
      <c r="U191" s="7" t="n">
        <v>-0.092</v>
      </c>
      <c r="V191" s="7" t="n">
        <v>-0.325</v>
      </c>
      <c r="W191" s="7" t="n">
        <v>-0.003</v>
      </c>
      <c r="X191" s="7" t="n">
        <v>-0.099</v>
      </c>
      <c r="Y191" s="7" t="n">
        <v>-0.069</v>
      </c>
      <c r="Z191" s="7" t="n">
        <v>0.407</v>
      </c>
      <c r="AA191" s="7" t="n">
        <v>-0.16</v>
      </c>
      <c r="AB191" s="7" t="n">
        <v>-0.643</v>
      </c>
      <c r="AC191" s="7" t="n">
        <v>0.105</v>
      </c>
      <c r="AD191" s="7" t="n">
        <v>-0.07</v>
      </c>
      <c r="AE191" s="7" t="n">
        <v>0.104</v>
      </c>
      <c r="AF191" s="7" t="n">
        <v>0.275</v>
      </c>
      <c r="AG191" s="7" t="n">
        <v>-0.277</v>
      </c>
      <c r="AH191" s="7" t="n">
        <v>0.892</v>
      </c>
      <c r="AI191" s="7" t="n">
        <v>-0.338</v>
      </c>
      <c r="AJ191" s="7" t="n">
        <v>-0.633</v>
      </c>
      <c r="AK191" s="7" t="n">
        <v>-0.48</v>
      </c>
      <c r="AL191" s="7" t="n">
        <v>-0.082</v>
      </c>
      <c r="AM191" s="7" t="n">
        <v>-0.49</v>
      </c>
      <c r="AN191" s="7" t="n">
        <v>-0.235</v>
      </c>
      <c r="AO191" s="7" t="n">
        <v>0.115</v>
      </c>
      <c r="AP191" s="7" t="n">
        <v>0</v>
      </c>
      <c r="AQ191" s="7" t="n">
        <v>0.077</v>
      </c>
    </row>
    <row r="192" customFormat="false" ht="15" hidden="false" customHeight="false" outlineLevel="0" collapsed="false">
      <c r="A192" s="23" t="n">
        <v>46509</v>
      </c>
      <c r="B192" s="7" t="n">
        <v>-0.182</v>
      </c>
      <c r="C192" s="7" t="n">
        <v>-0.316</v>
      </c>
      <c r="D192" s="7" t="n">
        <v>-0.184</v>
      </c>
      <c r="E192" s="7" t="n">
        <v>0.308</v>
      </c>
      <c r="F192" s="7" t="n">
        <v>0.104</v>
      </c>
      <c r="G192" s="7" t="n">
        <v>-0.184</v>
      </c>
      <c r="H192" s="7" t="n">
        <v>-0.277</v>
      </c>
      <c r="I192" s="7" t="n">
        <v>-0.679</v>
      </c>
      <c r="J192" s="7" t="n">
        <v>-0.393</v>
      </c>
      <c r="K192" s="7" t="n">
        <v>0.407</v>
      </c>
      <c r="L192" s="7" t="n">
        <v>-0.48</v>
      </c>
      <c r="M192" s="7" t="n">
        <v>0.034</v>
      </c>
      <c r="N192" s="7" t="n">
        <v>-0.403</v>
      </c>
      <c r="O192" s="7" t="n">
        <v>0.061</v>
      </c>
      <c r="P192" s="7" t="n">
        <v>-0.128</v>
      </c>
      <c r="Q192" s="7" t="n">
        <v>-0.003</v>
      </c>
      <c r="R192" s="7" t="n">
        <v>-0.277</v>
      </c>
      <c r="S192" s="7" t="n">
        <v>0.029</v>
      </c>
      <c r="T192" s="7" t="n">
        <v>-0.16</v>
      </c>
      <c r="U192" s="7" t="n">
        <v>-0.092</v>
      </c>
      <c r="V192" s="7" t="n">
        <v>-0.325</v>
      </c>
      <c r="W192" s="7" t="n">
        <v>-0.003</v>
      </c>
      <c r="X192" s="7" t="n">
        <v>-0.099</v>
      </c>
      <c r="Y192" s="7" t="n">
        <v>-0.069</v>
      </c>
      <c r="Z192" s="7" t="n">
        <v>0.407</v>
      </c>
      <c r="AA192" s="7" t="n">
        <v>-0.16</v>
      </c>
      <c r="AB192" s="7" t="n">
        <v>-0.643</v>
      </c>
      <c r="AC192" s="7" t="n">
        <v>0.105</v>
      </c>
      <c r="AD192" s="7" t="n">
        <v>-0.07</v>
      </c>
      <c r="AE192" s="7" t="n">
        <v>0.104</v>
      </c>
      <c r="AF192" s="7" t="n">
        <v>0.275</v>
      </c>
      <c r="AG192" s="7" t="n">
        <v>-0.277</v>
      </c>
      <c r="AH192" s="7" t="n">
        <v>0.892</v>
      </c>
      <c r="AI192" s="7" t="n">
        <v>-0.338</v>
      </c>
      <c r="AJ192" s="7" t="n">
        <v>-0.633</v>
      </c>
      <c r="AK192" s="7" t="n">
        <v>-0.48</v>
      </c>
      <c r="AL192" s="7" t="n">
        <v>-0.082</v>
      </c>
      <c r="AM192" s="7" t="n">
        <v>-0.49</v>
      </c>
      <c r="AN192" s="7" t="n">
        <v>-0.235</v>
      </c>
      <c r="AO192" s="7" t="n">
        <v>0.115</v>
      </c>
      <c r="AP192" s="7" t="n">
        <v>0</v>
      </c>
      <c r="AQ192" s="7" t="n">
        <v>0.077</v>
      </c>
    </row>
    <row r="193" customFormat="false" ht="15" hidden="false" customHeight="false" outlineLevel="0" collapsed="false">
      <c r="A193" s="23" t="n">
        <v>46510</v>
      </c>
      <c r="B193" s="7" t="n">
        <v>-0.182</v>
      </c>
      <c r="C193" s="7" t="n">
        <v>-0.316</v>
      </c>
      <c r="D193" s="7" t="n">
        <v>-0.184</v>
      </c>
      <c r="E193" s="7" t="n">
        <v>0.308</v>
      </c>
      <c r="F193" s="7" t="n">
        <v>0.104</v>
      </c>
      <c r="G193" s="7" t="n">
        <v>-0.184</v>
      </c>
      <c r="H193" s="7" t="n">
        <v>-0.277</v>
      </c>
      <c r="I193" s="7" t="n">
        <v>-0.679</v>
      </c>
      <c r="J193" s="7" t="n">
        <v>-0.393</v>
      </c>
      <c r="K193" s="7" t="n">
        <v>0.407</v>
      </c>
      <c r="L193" s="7" t="n">
        <v>-0.48</v>
      </c>
      <c r="M193" s="7" t="n">
        <v>0.034</v>
      </c>
      <c r="N193" s="7" t="n">
        <v>-0.403</v>
      </c>
      <c r="O193" s="7" t="n">
        <v>0.061</v>
      </c>
      <c r="P193" s="7" t="n">
        <v>-0.128</v>
      </c>
      <c r="Q193" s="7" t="n">
        <v>-0.003</v>
      </c>
      <c r="R193" s="7" t="n">
        <v>-0.277</v>
      </c>
      <c r="S193" s="7" t="n">
        <v>0.029</v>
      </c>
      <c r="T193" s="7" t="n">
        <v>-0.16</v>
      </c>
      <c r="U193" s="7" t="n">
        <v>-0.092</v>
      </c>
      <c r="V193" s="7" t="n">
        <v>-0.325</v>
      </c>
      <c r="W193" s="7" t="n">
        <v>-0.003</v>
      </c>
      <c r="X193" s="7" t="n">
        <v>-0.099</v>
      </c>
      <c r="Y193" s="7" t="n">
        <v>-0.069</v>
      </c>
      <c r="Z193" s="7" t="n">
        <v>0.407</v>
      </c>
      <c r="AA193" s="7" t="n">
        <v>-0.16</v>
      </c>
      <c r="AB193" s="7" t="n">
        <v>-0.643</v>
      </c>
      <c r="AC193" s="7" t="n">
        <v>0.105</v>
      </c>
      <c r="AD193" s="7" t="n">
        <v>-0.07</v>
      </c>
      <c r="AE193" s="7" t="n">
        <v>0.104</v>
      </c>
      <c r="AF193" s="7" t="n">
        <v>0.275</v>
      </c>
      <c r="AG193" s="7" t="n">
        <v>-0.277</v>
      </c>
      <c r="AH193" s="7" t="n">
        <v>0.892</v>
      </c>
      <c r="AI193" s="7" t="n">
        <v>-0.338</v>
      </c>
      <c r="AJ193" s="7" t="n">
        <v>-0.633</v>
      </c>
      <c r="AK193" s="7" t="n">
        <v>-0.48</v>
      </c>
      <c r="AL193" s="7" t="n">
        <v>-0.082</v>
      </c>
      <c r="AM193" s="7" t="n">
        <v>-0.49</v>
      </c>
      <c r="AN193" s="7" t="n">
        <v>-0.235</v>
      </c>
      <c r="AO193" s="7" t="n">
        <v>0.115</v>
      </c>
      <c r="AP193" s="7" t="n">
        <v>0</v>
      </c>
      <c r="AQ193" s="7" t="n">
        <v>0.077</v>
      </c>
    </row>
    <row r="194" customFormat="false" ht="15" hidden="false" customHeight="false" outlineLevel="0" collapsed="false">
      <c r="A194" s="23" t="n">
        <v>46511</v>
      </c>
      <c r="B194" s="7" t="n">
        <v>-0.203</v>
      </c>
      <c r="C194" s="7" t="n">
        <v>-0.319</v>
      </c>
      <c r="D194" s="7" t="n">
        <v>-0.203</v>
      </c>
      <c r="E194" s="7" t="n">
        <v>0.28</v>
      </c>
      <c r="F194" s="7" t="n">
        <v>0.091</v>
      </c>
      <c r="G194" s="7" t="n">
        <v>-0.206</v>
      </c>
      <c r="H194" s="7" t="n">
        <v>-0.296</v>
      </c>
      <c r="I194" s="7" t="n">
        <v>-0.678</v>
      </c>
      <c r="J194" s="7" t="n">
        <v>-0.388</v>
      </c>
      <c r="K194" s="7" t="n">
        <v>0.377</v>
      </c>
      <c r="L194" s="7" t="n">
        <v>-0.48</v>
      </c>
      <c r="M194" s="7" t="n">
        <v>0.019</v>
      </c>
      <c r="N194" s="7" t="n">
        <v>-0.4</v>
      </c>
      <c r="O194" s="7" t="n">
        <v>0.058</v>
      </c>
      <c r="P194" s="7" t="n">
        <v>-0.15</v>
      </c>
      <c r="Q194" s="7" t="n">
        <v>-0.021</v>
      </c>
      <c r="R194" s="7" t="n">
        <v>-0.294</v>
      </c>
      <c r="S194" s="7" t="n">
        <v>0.014</v>
      </c>
      <c r="T194" s="7" t="n">
        <v>-0.175</v>
      </c>
      <c r="U194" s="7" t="n">
        <v>-0.104</v>
      </c>
      <c r="V194" s="7" t="n">
        <v>-0.343</v>
      </c>
      <c r="W194" s="7" t="n">
        <v>-0.021</v>
      </c>
      <c r="X194" s="7" t="n">
        <v>-0.118</v>
      </c>
      <c r="Y194" s="7" t="n">
        <v>-0.086</v>
      </c>
      <c r="Z194" s="7" t="n">
        <v>0.377</v>
      </c>
      <c r="AA194" s="7" t="n">
        <v>-0.171</v>
      </c>
      <c r="AB194" s="7" t="n">
        <v>-0.634</v>
      </c>
      <c r="AC194" s="7" t="n">
        <v>0.089</v>
      </c>
      <c r="AD194" s="7" t="n">
        <v>-0.095</v>
      </c>
      <c r="AE194" s="7" t="n">
        <v>0.091</v>
      </c>
      <c r="AF194" s="7" t="n">
        <v>0.249</v>
      </c>
      <c r="AG194" s="7" t="n">
        <v>-0.296</v>
      </c>
      <c r="AH194" s="7" t="n">
        <v>0.892</v>
      </c>
      <c r="AI194" s="7" t="n">
        <v>-0.313</v>
      </c>
      <c r="AJ194" s="7" t="n">
        <v>-0.616</v>
      </c>
      <c r="AK194" s="7" t="n">
        <v>-0.458</v>
      </c>
      <c r="AL194" s="7" t="n">
        <v>-0.089</v>
      </c>
      <c r="AM194" s="7" t="n">
        <v>-0.476</v>
      </c>
      <c r="AN194" s="7" t="n">
        <v>-0.239</v>
      </c>
      <c r="AO194" s="7" t="n">
        <v>0.117</v>
      </c>
      <c r="AP194" s="7" t="n">
        <v>0</v>
      </c>
      <c r="AQ194" s="7" t="n">
        <v>0.077</v>
      </c>
    </row>
    <row r="195" customFormat="false" ht="15" hidden="false" customHeight="false" outlineLevel="0" collapsed="false">
      <c r="A195" s="23" t="n">
        <v>46512</v>
      </c>
      <c r="B195" s="7" t="n">
        <v>-0.227</v>
      </c>
      <c r="C195" s="7" t="n">
        <v>-0.327</v>
      </c>
      <c r="D195" s="7" t="n">
        <v>-0.225</v>
      </c>
      <c r="E195" s="7" t="n">
        <v>0.252</v>
      </c>
      <c r="F195" s="7" t="n">
        <v>0.072</v>
      </c>
      <c r="G195" s="7" t="n">
        <v>-0.229</v>
      </c>
      <c r="H195" s="7" t="n">
        <v>-0.317</v>
      </c>
      <c r="I195" s="7" t="n">
        <v>-0.678</v>
      </c>
      <c r="J195" s="7" t="n">
        <v>-0.383</v>
      </c>
      <c r="K195" s="7" t="n">
        <v>0.348</v>
      </c>
      <c r="L195" s="7" t="n">
        <v>-0.485</v>
      </c>
      <c r="M195" s="7" t="n">
        <v>0.003</v>
      </c>
      <c r="N195" s="7" t="n">
        <v>-0.401</v>
      </c>
      <c r="O195" s="7" t="n">
        <v>0.05</v>
      </c>
      <c r="P195" s="7" t="n">
        <v>-0.176</v>
      </c>
      <c r="Q195" s="7" t="n">
        <v>-0.043</v>
      </c>
      <c r="R195" s="7" t="n">
        <v>-0.312</v>
      </c>
      <c r="S195" s="7" t="n">
        <v>0.007</v>
      </c>
      <c r="T195" s="7" t="n">
        <v>-0.19</v>
      </c>
      <c r="U195" s="7" t="n">
        <v>-0.119</v>
      </c>
      <c r="V195" s="7" t="n">
        <v>-0.361</v>
      </c>
      <c r="W195" s="7" t="n">
        <v>-0.043</v>
      </c>
      <c r="X195" s="7" t="n">
        <v>-0.14</v>
      </c>
      <c r="Y195" s="7" t="n">
        <v>-0.106</v>
      </c>
      <c r="Z195" s="7" t="n">
        <v>0.348</v>
      </c>
      <c r="AA195" s="7" t="n">
        <v>-0.182</v>
      </c>
      <c r="AB195" s="7" t="n">
        <v>-0.625</v>
      </c>
      <c r="AC195" s="7" t="n">
        <v>0.069</v>
      </c>
      <c r="AD195" s="7" t="n">
        <v>-0.121</v>
      </c>
      <c r="AE195" s="7" t="n">
        <v>0.072</v>
      </c>
      <c r="AF195" s="7" t="n">
        <v>0.219</v>
      </c>
      <c r="AG195" s="7" t="n">
        <v>-0.317</v>
      </c>
      <c r="AH195" s="7" t="n">
        <v>0.892</v>
      </c>
      <c r="AI195" s="7" t="n">
        <v>-0.294</v>
      </c>
      <c r="AJ195" s="7" t="n">
        <v>-0.605</v>
      </c>
      <c r="AK195" s="7" t="n">
        <v>-0.437</v>
      </c>
      <c r="AL195" s="7" t="n">
        <v>-0.105</v>
      </c>
      <c r="AM195" s="7" t="n">
        <v>-0.461</v>
      </c>
      <c r="AN195" s="7" t="n">
        <v>-0.246</v>
      </c>
      <c r="AO195" s="7" t="n">
        <v>0.119</v>
      </c>
      <c r="AP195" s="7" t="n">
        <v>0</v>
      </c>
      <c r="AQ195" s="7" t="n">
        <v>0.072</v>
      </c>
    </row>
    <row r="196" customFormat="false" ht="15" hidden="false" customHeight="false" outlineLevel="0" collapsed="false">
      <c r="A196" s="23" t="n">
        <v>46513</v>
      </c>
      <c r="B196" s="7" t="n">
        <v>-0.252</v>
      </c>
      <c r="C196" s="7" t="n">
        <v>-0.335</v>
      </c>
      <c r="D196" s="7" t="n">
        <v>-0.246</v>
      </c>
      <c r="E196" s="7" t="n">
        <v>0.225</v>
      </c>
      <c r="F196" s="7" t="n">
        <v>0.054</v>
      </c>
      <c r="G196" s="7" t="n">
        <v>-0.252</v>
      </c>
      <c r="H196" s="7" t="n">
        <v>-0.338</v>
      </c>
      <c r="I196" s="7" t="n">
        <v>-0.682</v>
      </c>
      <c r="J196" s="7" t="n">
        <v>-0.378</v>
      </c>
      <c r="K196" s="7" t="n">
        <v>0.319</v>
      </c>
      <c r="L196" s="7" t="n">
        <v>-0.49</v>
      </c>
      <c r="M196" s="7" t="n">
        <v>-0.012</v>
      </c>
      <c r="N196" s="7" t="n">
        <v>-0.403</v>
      </c>
      <c r="O196" s="7" t="n">
        <v>0.041</v>
      </c>
      <c r="P196" s="7" t="n">
        <v>-0.203</v>
      </c>
      <c r="Q196" s="7" t="n">
        <v>-0.065</v>
      </c>
      <c r="R196" s="7" t="n">
        <v>-0.331</v>
      </c>
      <c r="S196" s="7" t="n">
        <v>0.001</v>
      </c>
      <c r="T196" s="7" t="n">
        <v>-0.204</v>
      </c>
      <c r="U196" s="7" t="n">
        <v>-0.135</v>
      </c>
      <c r="V196" s="7" t="n">
        <v>-0.384</v>
      </c>
      <c r="W196" s="7" t="n">
        <v>-0.065</v>
      </c>
      <c r="X196" s="7" t="n">
        <v>-0.161</v>
      </c>
      <c r="Y196" s="7" t="n">
        <v>-0.126</v>
      </c>
      <c r="Z196" s="7" t="n">
        <v>0.319</v>
      </c>
      <c r="AA196" s="7" t="n">
        <v>-0.193</v>
      </c>
      <c r="AB196" s="7" t="n">
        <v>-0.619</v>
      </c>
      <c r="AC196" s="7" t="n">
        <v>0.049</v>
      </c>
      <c r="AD196" s="7" t="n">
        <v>-0.147</v>
      </c>
      <c r="AE196" s="7" t="n">
        <v>0.054</v>
      </c>
      <c r="AF196" s="7" t="n">
        <v>0.189</v>
      </c>
      <c r="AG196" s="7" t="n">
        <v>-0.338</v>
      </c>
      <c r="AH196" s="7" t="n">
        <v>0.892</v>
      </c>
      <c r="AI196" s="7" t="n">
        <v>-0.274</v>
      </c>
      <c r="AJ196" s="7" t="n">
        <v>-0.593</v>
      </c>
      <c r="AK196" s="7" t="n">
        <v>-0.415</v>
      </c>
      <c r="AL196" s="7" t="n">
        <v>-0.121</v>
      </c>
      <c r="AM196" s="7" t="n">
        <v>-0.447</v>
      </c>
      <c r="AN196" s="7" t="n">
        <v>-0.253</v>
      </c>
      <c r="AO196" s="7" t="n">
        <v>0.121</v>
      </c>
      <c r="AP196" s="7" t="n">
        <v>0</v>
      </c>
      <c r="AQ196" s="7" t="n">
        <v>0.066</v>
      </c>
    </row>
    <row r="197" customFormat="false" ht="15" hidden="false" customHeight="false" outlineLevel="0" collapsed="false">
      <c r="A197" s="23" t="n">
        <v>46514</v>
      </c>
      <c r="B197" s="7" t="n">
        <v>-0.277</v>
      </c>
      <c r="C197" s="7" t="n">
        <v>-0.344</v>
      </c>
      <c r="D197" s="7" t="n">
        <v>-0.268</v>
      </c>
      <c r="E197" s="7" t="n">
        <v>0.197</v>
      </c>
      <c r="F197" s="7" t="n">
        <v>0.036</v>
      </c>
      <c r="G197" s="7" t="n">
        <v>-0.276</v>
      </c>
      <c r="H197" s="7" t="n">
        <v>-0.359</v>
      </c>
      <c r="I197" s="7" t="n">
        <v>-0.684</v>
      </c>
      <c r="J197" s="7" t="n">
        <v>-0.374</v>
      </c>
      <c r="K197" s="7" t="n">
        <v>0.291</v>
      </c>
      <c r="L197" s="7" t="n">
        <v>-0.494</v>
      </c>
      <c r="M197" s="7" t="n">
        <v>-0.028</v>
      </c>
      <c r="N197" s="7" t="n">
        <v>-0.405</v>
      </c>
      <c r="O197" s="7" t="n">
        <v>0.032</v>
      </c>
      <c r="P197" s="7" t="n">
        <v>-0.229</v>
      </c>
      <c r="Q197" s="7" t="n">
        <v>-0.088</v>
      </c>
      <c r="R197" s="7" t="n">
        <v>-0.349</v>
      </c>
      <c r="S197" s="7" t="n">
        <v>-0.005</v>
      </c>
      <c r="T197" s="7" t="n">
        <v>-0.219</v>
      </c>
      <c r="U197" s="7" t="n">
        <v>-0.151</v>
      </c>
      <c r="V197" s="7" t="n">
        <v>-0.406</v>
      </c>
      <c r="W197" s="7" t="n">
        <v>-0.088</v>
      </c>
      <c r="X197" s="7" t="n">
        <v>-0.182</v>
      </c>
      <c r="Y197" s="7" t="n">
        <v>-0.146</v>
      </c>
      <c r="Z197" s="7" t="n">
        <v>0.291</v>
      </c>
      <c r="AA197" s="7" t="n">
        <v>-0.204</v>
      </c>
      <c r="AB197" s="7" t="n">
        <v>-0.612</v>
      </c>
      <c r="AC197" s="7" t="n">
        <v>0.028</v>
      </c>
      <c r="AD197" s="7" t="n">
        <v>-0.173</v>
      </c>
      <c r="AE197" s="7" t="n">
        <v>0.036</v>
      </c>
      <c r="AF197" s="7" t="n">
        <v>0.158</v>
      </c>
      <c r="AG197" s="7" t="n">
        <v>-0.359</v>
      </c>
      <c r="AH197" s="7" t="n">
        <v>0.891</v>
      </c>
      <c r="AI197" s="7" t="n">
        <v>-0.255</v>
      </c>
      <c r="AJ197" s="7" t="n">
        <v>-0.582</v>
      </c>
      <c r="AK197" s="7" t="n">
        <v>-0.394</v>
      </c>
      <c r="AL197" s="7" t="n">
        <v>-0.138</v>
      </c>
      <c r="AM197" s="7" t="n">
        <v>-0.433</v>
      </c>
      <c r="AN197" s="7" t="n">
        <v>-0.26</v>
      </c>
      <c r="AO197" s="7" t="n">
        <v>0.123</v>
      </c>
      <c r="AP197" s="7" t="n">
        <v>0</v>
      </c>
      <c r="AQ197" s="7" t="n">
        <v>0.061</v>
      </c>
    </row>
    <row r="198" customFormat="false" ht="15" hidden="false" customHeight="false" outlineLevel="0" collapsed="false">
      <c r="A198" s="23" t="n">
        <v>46515</v>
      </c>
      <c r="B198" s="7" t="n">
        <v>-0.305</v>
      </c>
      <c r="C198" s="7" t="n">
        <v>-0.356</v>
      </c>
      <c r="D198" s="7" t="n">
        <v>-0.289</v>
      </c>
      <c r="E198" s="7" t="n">
        <v>0.165</v>
      </c>
      <c r="F198" s="7" t="n">
        <v>0.013</v>
      </c>
      <c r="G198" s="7" t="n">
        <v>-0.299</v>
      </c>
      <c r="H198" s="7" t="n">
        <v>-0.379</v>
      </c>
      <c r="I198" s="7" t="n">
        <v>-0.686</v>
      </c>
      <c r="J198" s="7" t="n">
        <v>-0.369</v>
      </c>
      <c r="K198" s="7" t="n">
        <v>0.26</v>
      </c>
      <c r="L198" s="7" t="n">
        <v>-0.502</v>
      </c>
      <c r="M198" s="7" t="n">
        <v>-0.043</v>
      </c>
      <c r="N198" s="7" t="n">
        <v>-0.41</v>
      </c>
      <c r="O198" s="7" t="n">
        <v>0.02</v>
      </c>
      <c r="P198" s="7" t="n">
        <v>-0.258</v>
      </c>
      <c r="Q198" s="7" t="n">
        <v>-0.112</v>
      </c>
      <c r="R198" s="7" t="n">
        <v>-0.368</v>
      </c>
      <c r="S198" s="7" t="n">
        <v>-0.012</v>
      </c>
      <c r="T198" s="7" t="n">
        <v>-0.234</v>
      </c>
      <c r="U198" s="7" t="n">
        <v>-0.17</v>
      </c>
      <c r="V198" s="7" t="n">
        <v>-0.426</v>
      </c>
      <c r="W198" s="7" t="n">
        <v>-0.112</v>
      </c>
      <c r="X198" s="7" t="n">
        <v>-0.203</v>
      </c>
      <c r="Y198" s="7" t="n">
        <v>-0.166</v>
      </c>
      <c r="Z198" s="7" t="n">
        <v>0.26</v>
      </c>
      <c r="AA198" s="7" t="n">
        <v>-0.215</v>
      </c>
      <c r="AB198" s="7" t="n">
        <v>-0.603</v>
      </c>
      <c r="AC198" s="7" t="n">
        <v>0.005</v>
      </c>
      <c r="AD198" s="7" t="n">
        <v>-0.203</v>
      </c>
      <c r="AE198" s="7" t="n">
        <v>0.013</v>
      </c>
      <c r="AF198" s="7" t="n">
        <v>0.126</v>
      </c>
      <c r="AG198" s="7" t="n">
        <v>-0.379</v>
      </c>
      <c r="AH198" s="7" t="n">
        <v>0.891</v>
      </c>
      <c r="AI198" s="7" t="n">
        <v>-0.238</v>
      </c>
      <c r="AJ198" s="7" t="n">
        <v>-0.572</v>
      </c>
      <c r="AK198" s="7" t="n">
        <v>-0.374</v>
      </c>
      <c r="AL198" s="7" t="n">
        <v>-0.157</v>
      </c>
      <c r="AM198" s="7" t="n">
        <v>-0.418</v>
      </c>
      <c r="AN198" s="7" t="n">
        <v>-0.267</v>
      </c>
      <c r="AO198" s="7" t="n">
        <v>0.124</v>
      </c>
      <c r="AP198" s="7" t="n">
        <v>0</v>
      </c>
      <c r="AQ198" s="7" t="n">
        <v>0.053</v>
      </c>
    </row>
    <row r="199" customFormat="false" ht="15" hidden="false" customHeight="false" outlineLevel="0" collapsed="false">
      <c r="A199" s="23" t="n">
        <v>46516</v>
      </c>
      <c r="B199" s="7" t="n">
        <v>-0.305</v>
      </c>
      <c r="C199" s="7" t="n">
        <v>-0.356</v>
      </c>
      <c r="D199" s="7" t="n">
        <v>-0.289</v>
      </c>
      <c r="E199" s="7" t="n">
        <v>0.165</v>
      </c>
      <c r="F199" s="7" t="n">
        <v>0.013</v>
      </c>
      <c r="G199" s="7" t="n">
        <v>-0.299</v>
      </c>
      <c r="H199" s="7" t="n">
        <v>-0.379</v>
      </c>
      <c r="I199" s="7" t="n">
        <v>-0.686</v>
      </c>
      <c r="J199" s="7" t="n">
        <v>-0.369</v>
      </c>
      <c r="K199" s="7" t="n">
        <v>0.26</v>
      </c>
      <c r="L199" s="7" t="n">
        <v>-0.502</v>
      </c>
      <c r="M199" s="7" t="n">
        <v>-0.043</v>
      </c>
      <c r="N199" s="7" t="n">
        <v>-0.41</v>
      </c>
      <c r="O199" s="7" t="n">
        <v>0.02</v>
      </c>
      <c r="P199" s="7" t="n">
        <v>-0.258</v>
      </c>
      <c r="Q199" s="7" t="n">
        <v>-0.112</v>
      </c>
      <c r="R199" s="7" t="n">
        <v>-0.368</v>
      </c>
      <c r="S199" s="7" t="n">
        <v>-0.012</v>
      </c>
      <c r="T199" s="7" t="n">
        <v>-0.234</v>
      </c>
      <c r="U199" s="7" t="n">
        <v>-0.17</v>
      </c>
      <c r="V199" s="7" t="n">
        <v>-0.426</v>
      </c>
      <c r="W199" s="7" t="n">
        <v>-0.112</v>
      </c>
      <c r="X199" s="7" t="n">
        <v>-0.203</v>
      </c>
      <c r="Y199" s="7" t="n">
        <v>-0.166</v>
      </c>
      <c r="Z199" s="7" t="n">
        <v>0.26</v>
      </c>
      <c r="AA199" s="7" t="n">
        <v>-0.215</v>
      </c>
      <c r="AB199" s="7" t="n">
        <v>-0.603</v>
      </c>
      <c r="AC199" s="7" t="n">
        <v>0.005</v>
      </c>
      <c r="AD199" s="7" t="n">
        <v>-0.203</v>
      </c>
      <c r="AE199" s="7" t="n">
        <v>0.013</v>
      </c>
      <c r="AF199" s="7" t="n">
        <v>0.126</v>
      </c>
      <c r="AG199" s="7" t="n">
        <v>-0.379</v>
      </c>
      <c r="AH199" s="7" t="n">
        <v>0.891</v>
      </c>
      <c r="AI199" s="7" t="n">
        <v>-0.238</v>
      </c>
      <c r="AJ199" s="7" t="n">
        <v>-0.572</v>
      </c>
      <c r="AK199" s="7" t="n">
        <v>-0.374</v>
      </c>
      <c r="AL199" s="7" t="n">
        <v>-0.157</v>
      </c>
      <c r="AM199" s="7" t="n">
        <v>-0.418</v>
      </c>
      <c r="AN199" s="7" t="n">
        <v>-0.267</v>
      </c>
      <c r="AO199" s="7" t="n">
        <v>0.124</v>
      </c>
      <c r="AP199" s="7" t="n">
        <v>0</v>
      </c>
      <c r="AQ199" s="7" t="n">
        <v>0.053</v>
      </c>
    </row>
    <row r="200" customFormat="false" ht="15" hidden="false" customHeight="false" outlineLevel="0" collapsed="false">
      <c r="A200" s="23" t="n">
        <v>46517</v>
      </c>
      <c r="B200" s="7" t="n">
        <v>-0.305</v>
      </c>
      <c r="C200" s="7" t="n">
        <v>-0.356</v>
      </c>
      <c r="D200" s="7" t="n">
        <v>-0.289</v>
      </c>
      <c r="E200" s="7" t="n">
        <v>0.165</v>
      </c>
      <c r="F200" s="7" t="n">
        <v>0.013</v>
      </c>
      <c r="G200" s="7" t="n">
        <v>-0.299</v>
      </c>
      <c r="H200" s="7" t="n">
        <v>-0.379</v>
      </c>
      <c r="I200" s="7" t="n">
        <v>-0.686</v>
      </c>
      <c r="J200" s="7" t="n">
        <v>-0.369</v>
      </c>
      <c r="K200" s="7" t="n">
        <v>0.26</v>
      </c>
      <c r="L200" s="7" t="n">
        <v>-0.502</v>
      </c>
      <c r="M200" s="7" t="n">
        <v>-0.043</v>
      </c>
      <c r="N200" s="7" t="n">
        <v>-0.41</v>
      </c>
      <c r="O200" s="7" t="n">
        <v>0.02</v>
      </c>
      <c r="P200" s="7" t="n">
        <v>-0.258</v>
      </c>
      <c r="Q200" s="7" t="n">
        <v>-0.112</v>
      </c>
      <c r="R200" s="7" t="n">
        <v>-0.368</v>
      </c>
      <c r="S200" s="7" t="n">
        <v>-0.012</v>
      </c>
      <c r="T200" s="7" t="n">
        <v>-0.234</v>
      </c>
      <c r="U200" s="7" t="n">
        <v>-0.17</v>
      </c>
      <c r="V200" s="7" t="n">
        <v>-0.426</v>
      </c>
      <c r="W200" s="7" t="n">
        <v>-0.112</v>
      </c>
      <c r="X200" s="7" t="n">
        <v>-0.203</v>
      </c>
      <c r="Y200" s="7" t="n">
        <v>-0.166</v>
      </c>
      <c r="Z200" s="7" t="n">
        <v>0.26</v>
      </c>
      <c r="AA200" s="7" t="n">
        <v>-0.215</v>
      </c>
      <c r="AB200" s="7" t="n">
        <v>-0.603</v>
      </c>
      <c r="AC200" s="7" t="n">
        <v>0.005</v>
      </c>
      <c r="AD200" s="7" t="n">
        <v>-0.203</v>
      </c>
      <c r="AE200" s="7" t="n">
        <v>0.013</v>
      </c>
      <c r="AF200" s="7" t="n">
        <v>0.126</v>
      </c>
      <c r="AG200" s="7" t="n">
        <v>-0.379</v>
      </c>
      <c r="AH200" s="7" t="n">
        <v>0.891</v>
      </c>
      <c r="AI200" s="7" t="n">
        <v>-0.238</v>
      </c>
      <c r="AJ200" s="7" t="n">
        <v>-0.572</v>
      </c>
      <c r="AK200" s="7" t="n">
        <v>-0.374</v>
      </c>
      <c r="AL200" s="7" t="n">
        <v>-0.157</v>
      </c>
      <c r="AM200" s="7" t="n">
        <v>-0.418</v>
      </c>
      <c r="AN200" s="7" t="n">
        <v>-0.267</v>
      </c>
      <c r="AO200" s="7" t="n">
        <v>0.124</v>
      </c>
      <c r="AP200" s="7" t="n">
        <v>0</v>
      </c>
      <c r="AQ200" s="7" t="n">
        <v>0.053</v>
      </c>
    </row>
    <row r="201" customFormat="false" ht="15" hidden="false" customHeight="false" outlineLevel="0" collapsed="false">
      <c r="A201" s="23" t="n">
        <v>46518</v>
      </c>
      <c r="B201" s="7" t="n">
        <v>-0.33</v>
      </c>
      <c r="C201" s="7" t="n">
        <v>-0.358</v>
      </c>
      <c r="D201" s="7" t="n">
        <v>-0.314</v>
      </c>
      <c r="E201" s="7" t="n">
        <v>0.132</v>
      </c>
      <c r="F201" s="7" t="n">
        <v>-0.003</v>
      </c>
      <c r="G201" s="7" t="n">
        <v>-0.323</v>
      </c>
      <c r="H201" s="7" t="n">
        <v>-0.4</v>
      </c>
      <c r="I201" s="7" t="n">
        <v>-0.691</v>
      </c>
      <c r="J201" s="7" t="n">
        <v>-0.369</v>
      </c>
      <c r="K201" s="7" t="n">
        <v>0.229</v>
      </c>
      <c r="L201" s="7" t="n">
        <v>-0.511</v>
      </c>
      <c r="M201" s="7" t="n">
        <v>-0.059</v>
      </c>
      <c r="N201" s="7" t="n">
        <v>-0.411</v>
      </c>
      <c r="O201" s="7" t="n">
        <v>0.006</v>
      </c>
      <c r="P201" s="7" t="n">
        <v>-0.288</v>
      </c>
      <c r="Q201" s="7" t="n">
        <v>-0.136</v>
      </c>
      <c r="R201" s="7" t="n">
        <v>-0.389</v>
      </c>
      <c r="S201" s="7" t="n">
        <v>-0.017</v>
      </c>
      <c r="T201" s="7" t="n">
        <v>-0.251</v>
      </c>
      <c r="U201" s="7" t="n">
        <v>-0.188</v>
      </c>
      <c r="V201" s="7" t="n">
        <v>-0.445</v>
      </c>
      <c r="W201" s="7" t="n">
        <v>-0.136</v>
      </c>
      <c r="X201" s="7" t="n">
        <v>-0.228</v>
      </c>
      <c r="Y201" s="7" t="n">
        <v>-0.19</v>
      </c>
      <c r="Z201" s="7" t="n">
        <v>0.229</v>
      </c>
      <c r="AA201" s="7" t="n">
        <v>-0.231</v>
      </c>
      <c r="AB201" s="7" t="n">
        <v>-0.597</v>
      </c>
      <c r="AC201" s="7" t="n">
        <v>-0.017</v>
      </c>
      <c r="AD201" s="7" t="n">
        <v>-0.235</v>
      </c>
      <c r="AE201" s="7" t="n">
        <v>-0.003</v>
      </c>
      <c r="AF201" s="7" t="n">
        <v>0.101</v>
      </c>
      <c r="AG201" s="7" t="n">
        <v>-0.4</v>
      </c>
      <c r="AH201" s="7" t="n">
        <v>0.888</v>
      </c>
      <c r="AI201" s="7" t="n">
        <v>-0.222</v>
      </c>
      <c r="AJ201" s="7" t="n">
        <v>-0.564</v>
      </c>
      <c r="AK201" s="7" t="n">
        <v>-0.355</v>
      </c>
      <c r="AL201" s="7" t="n">
        <v>-0.179</v>
      </c>
      <c r="AM201" s="7" t="n">
        <v>-0.405</v>
      </c>
      <c r="AN201" s="7" t="n">
        <v>-0.274</v>
      </c>
      <c r="AO201" s="7" t="n">
        <v>0.118</v>
      </c>
      <c r="AP201" s="7" t="n">
        <v>0</v>
      </c>
      <c r="AQ201" s="7" t="n">
        <v>0.045</v>
      </c>
    </row>
    <row r="202" customFormat="false" ht="15" hidden="false" customHeight="false" outlineLevel="0" collapsed="false">
      <c r="A202" s="23" t="n">
        <v>46519</v>
      </c>
      <c r="B202" s="7" t="n">
        <v>-0.355</v>
      </c>
      <c r="C202" s="7" t="n">
        <v>-0.36</v>
      </c>
      <c r="D202" s="7" t="n">
        <v>-0.339</v>
      </c>
      <c r="E202" s="7" t="n">
        <v>0.099</v>
      </c>
      <c r="F202" s="7" t="n">
        <v>-0.019</v>
      </c>
      <c r="G202" s="7" t="n">
        <v>-0.347</v>
      </c>
      <c r="H202" s="7" t="n">
        <v>-0.42</v>
      </c>
      <c r="I202" s="7" t="n">
        <v>-0.696</v>
      </c>
      <c r="J202" s="7" t="n">
        <v>-0.37</v>
      </c>
      <c r="K202" s="7" t="n">
        <v>0.197</v>
      </c>
      <c r="L202" s="7" t="n">
        <v>-0.52</v>
      </c>
      <c r="M202" s="7" t="n">
        <v>-0.076</v>
      </c>
      <c r="N202" s="7" t="n">
        <v>-0.414</v>
      </c>
      <c r="O202" s="7" t="n">
        <v>-0.008</v>
      </c>
      <c r="P202" s="7" t="n">
        <v>-0.318</v>
      </c>
      <c r="Q202" s="7" t="n">
        <v>-0.16</v>
      </c>
      <c r="R202" s="7" t="n">
        <v>-0.41</v>
      </c>
      <c r="S202" s="7" t="n">
        <v>-0.023</v>
      </c>
      <c r="T202" s="7" t="n">
        <v>-0.269</v>
      </c>
      <c r="U202" s="7" t="n">
        <v>-0.205</v>
      </c>
      <c r="V202" s="7" t="n">
        <v>-0.464</v>
      </c>
      <c r="W202" s="7" t="n">
        <v>-0.16</v>
      </c>
      <c r="X202" s="7" t="n">
        <v>-0.252</v>
      </c>
      <c r="Y202" s="7" t="n">
        <v>-0.213</v>
      </c>
      <c r="Z202" s="7" t="n">
        <v>0.197</v>
      </c>
      <c r="AA202" s="7" t="n">
        <v>-0.246</v>
      </c>
      <c r="AB202" s="7" t="n">
        <v>-0.592</v>
      </c>
      <c r="AC202" s="7" t="n">
        <v>-0.04</v>
      </c>
      <c r="AD202" s="7" t="n">
        <v>-0.267</v>
      </c>
      <c r="AE202" s="7" t="n">
        <v>-0.019</v>
      </c>
      <c r="AF202" s="7" t="n">
        <v>0.077</v>
      </c>
      <c r="AG202" s="7" t="n">
        <v>-0.42</v>
      </c>
      <c r="AH202" s="7" t="n">
        <v>0.886</v>
      </c>
      <c r="AI202" s="7" t="n">
        <v>-0.206</v>
      </c>
      <c r="AJ202" s="7" t="n">
        <v>-0.557</v>
      </c>
      <c r="AK202" s="7" t="n">
        <v>-0.336</v>
      </c>
      <c r="AL202" s="7" t="n">
        <v>-0.202</v>
      </c>
      <c r="AM202" s="7" t="n">
        <v>-0.393</v>
      </c>
      <c r="AN202" s="7" t="n">
        <v>-0.281</v>
      </c>
      <c r="AO202" s="7" t="n">
        <v>0.112</v>
      </c>
      <c r="AP202" s="7" t="n">
        <v>0</v>
      </c>
      <c r="AQ202" s="7" t="n">
        <v>0.038</v>
      </c>
    </row>
    <row r="203" customFormat="false" ht="15" hidden="false" customHeight="false" outlineLevel="0" collapsed="false">
      <c r="A203" s="23" t="n">
        <v>46520</v>
      </c>
      <c r="B203" s="7" t="n">
        <v>-0.382</v>
      </c>
      <c r="C203" s="7" t="n">
        <v>-0.363</v>
      </c>
      <c r="D203" s="7" t="n">
        <v>-0.364</v>
      </c>
      <c r="E203" s="7" t="n">
        <v>0.066</v>
      </c>
      <c r="F203" s="7" t="n">
        <v>-0.037</v>
      </c>
      <c r="G203" s="7" t="n">
        <v>-0.37</v>
      </c>
      <c r="H203" s="7" t="n">
        <v>-0.44</v>
      </c>
      <c r="I203" s="7" t="n">
        <v>-0.701</v>
      </c>
      <c r="J203" s="7" t="n">
        <v>-0.373</v>
      </c>
      <c r="K203" s="7" t="n">
        <v>0.165</v>
      </c>
      <c r="L203" s="7" t="n">
        <v>-0.53</v>
      </c>
      <c r="M203" s="7" t="n">
        <v>-0.092</v>
      </c>
      <c r="N203" s="7" t="n">
        <v>-0.418</v>
      </c>
      <c r="O203" s="7" t="n">
        <v>-0.023</v>
      </c>
      <c r="P203" s="7" t="n">
        <v>-0.348</v>
      </c>
      <c r="Q203" s="7" t="n">
        <v>-0.184</v>
      </c>
      <c r="R203" s="7" t="n">
        <v>-0.432</v>
      </c>
      <c r="S203" s="7" t="n">
        <v>-0.029</v>
      </c>
      <c r="T203" s="7" t="n">
        <v>-0.287</v>
      </c>
      <c r="U203" s="7" t="n">
        <v>-0.223</v>
      </c>
      <c r="V203" s="7" t="n">
        <v>-0.483</v>
      </c>
      <c r="W203" s="7" t="n">
        <v>-0.184</v>
      </c>
      <c r="X203" s="7" t="n">
        <v>-0.277</v>
      </c>
      <c r="Y203" s="7" t="n">
        <v>-0.236</v>
      </c>
      <c r="Z203" s="7" t="n">
        <v>0.165</v>
      </c>
      <c r="AA203" s="7" t="n">
        <v>-0.262</v>
      </c>
      <c r="AB203" s="7" t="n">
        <v>-0.588</v>
      </c>
      <c r="AC203" s="7" t="n">
        <v>-0.062</v>
      </c>
      <c r="AD203" s="7" t="n">
        <v>-0.3</v>
      </c>
      <c r="AE203" s="7" t="n">
        <v>-0.037</v>
      </c>
      <c r="AF203" s="7" t="n">
        <v>0.053</v>
      </c>
      <c r="AG203" s="7" t="n">
        <v>-0.44</v>
      </c>
      <c r="AH203" s="7" t="n">
        <v>0.883</v>
      </c>
      <c r="AI203" s="7" t="n">
        <v>-0.191</v>
      </c>
      <c r="AJ203" s="7" t="n">
        <v>-0.55</v>
      </c>
      <c r="AK203" s="7" t="n">
        <v>-0.318</v>
      </c>
      <c r="AL203" s="7" t="n">
        <v>-0.225</v>
      </c>
      <c r="AM203" s="7" t="n">
        <v>-0.38</v>
      </c>
      <c r="AN203" s="7" t="n">
        <v>-0.288</v>
      </c>
      <c r="AO203" s="7" t="n">
        <v>0.106</v>
      </c>
      <c r="AP203" s="7" t="n">
        <v>0</v>
      </c>
      <c r="AQ203" s="7" t="n">
        <v>0.031</v>
      </c>
    </row>
    <row r="204" customFormat="false" ht="15" hidden="false" customHeight="false" outlineLevel="0" collapsed="false">
      <c r="A204" s="23" t="n">
        <v>46521</v>
      </c>
      <c r="B204" s="7" t="n">
        <v>-0.409</v>
      </c>
      <c r="C204" s="7" t="n">
        <v>-0.368</v>
      </c>
      <c r="D204" s="7" t="n">
        <v>-0.39</v>
      </c>
      <c r="E204" s="7" t="n">
        <v>0.032</v>
      </c>
      <c r="F204" s="7" t="n">
        <v>-0.055</v>
      </c>
      <c r="G204" s="7" t="n">
        <v>-0.394</v>
      </c>
      <c r="H204" s="7" t="n">
        <v>-0.462</v>
      </c>
      <c r="I204" s="7" t="n">
        <v>-0.706</v>
      </c>
      <c r="J204" s="7" t="n">
        <v>-0.376</v>
      </c>
      <c r="K204" s="7" t="n">
        <v>0.132</v>
      </c>
      <c r="L204" s="7" t="n">
        <v>-0.54</v>
      </c>
      <c r="M204" s="7" t="n">
        <v>-0.108</v>
      </c>
      <c r="N204" s="7" t="n">
        <v>-0.423</v>
      </c>
      <c r="O204" s="7" t="n">
        <v>-0.038</v>
      </c>
      <c r="P204" s="7" t="n">
        <v>-0.377</v>
      </c>
      <c r="Q204" s="7" t="n">
        <v>-0.208</v>
      </c>
      <c r="R204" s="7" t="n">
        <v>-0.455</v>
      </c>
      <c r="S204" s="7" t="n">
        <v>-0.035</v>
      </c>
      <c r="T204" s="7" t="n">
        <v>-0.307</v>
      </c>
      <c r="U204" s="7" t="n">
        <v>-0.242</v>
      </c>
      <c r="V204" s="7" t="n">
        <v>-0.503</v>
      </c>
      <c r="W204" s="7" t="n">
        <v>-0.208</v>
      </c>
      <c r="X204" s="7" t="n">
        <v>-0.301</v>
      </c>
      <c r="Y204" s="7" t="n">
        <v>-0.26</v>
      </c>
      <c r="Z204" s="7" t="n">
        <v>0.132</v>
      </c>
      <c r="AA204" s="7" t="n">
        <v>-0.28</v>
      </c>
      <c r="AB204" s="7" t="n">
        <v>-0.58</v>
      </c>
      <c r="AC204" s="7" t="n">
        <v>-0.085</v>
      </c>
      <c r="AD204" s="7" t="n">
        <v>-0.334</v>
      </c>
      <c r="AE204" s="7" t="n">
        <v>-0.055</v>
      </c>
      <c r="AF204" s="7" t="n">
        <v>0.029</v>
      </c>
      <c r="AG204" s="7" t="n">
        <v>-0.462</v>
      </c>
      <c r="AH204" s="7" t="n">
        <v>0.88</v>
      </c>
      <c r="AI204" s="7" t="n">
        <v>-0.176</v>
      </c>
      <c r="AJ204" s="7" t="n">
        <v>-0.544</v>
      </c>
      <c r="AK204" s="7" t="n">
        <v>-0.301</v>
      </c>
      <c r="AL204" s="7" t="n">
        <v>-0.248</v>
      </c>
      <c r="AM204" s="7" t="n">
        <v>-0.368</v>
      </c>
      <c r="AN204" s="7" t="n">
        <v>-0.297</v>
      </c>
      <c r="AO204" s="7" t="n">
        <v>0.1</v>
      </c>
      <c r="AP204" s="7" t="n">
        <v>0</v>
      </c>
      <c r="AQ204" s="7" t="n">
        <v>0.023</v>
      </c>
    </row>
    <row r="205" customFormat="false" ht="15" hidden="false" customHeight="false" outlineLevel="0" collapsed="false">
      <c r="A205" s="23" t="n">
        <v>46522</v>
      </c>
      <c r="B205" s="7" t="n">
        <v>-0.438</v>
      </c>
      <c r="C205" s="7" t="n">
        <v>-0.374</v>
      </c>
      <c r="D205" s="7" t="n">
        <v>-0.415</v>
      </c>
      <c r="E205" s="7" t="n">
        <v>-0.001</v>
      </c>
      <c r="F205" s="7" t="n">
        <v>-0.073</v>
      </c>
      <c r="G205" s="7" t="n">
        <v>-0.418</v>
      </c>
      <c r="H205" s="7" t="n">
        <v>-0.486</v>
      </c>
      <c r="I205" s="7" t="n">
        <v>-0.716</v>
      </c>
      <c r="J205" s="7" t="n">
        <v>-0.379</v>
      </c>
      <c r="K205" s="7" t="n">
        <v>0.099</v>
      </c>
      <c r="L205" s="7" t="n">
        <v>-0.55</v>
      </c>
      <c r="M205" s="7" t="n">
        <v>-0.124</v>
      </c>
      <c r="N205" s="7" t="n">
        <v>-0.427</v>
      </c>
      <c r="O205" s="7" t="n">
        <v>-0.053</v>
      </c>
      <c r="P205" s="7" t="n">
        <v>-0.407</v>
      </c>
      <c r="Q205" s="7" t="n">
        <v>-0.232</v>
      </c>
      <c r="R205" s="7" t="n">
        <v>-0.479</v>
      </c>
      <c r="S205" s="7" t="n">
        <v>-0.043</v>
      </c>
      <c r="T205" s="7" t="n">
        <v>-0.328</v>
      </c>
      <c r="U205" s="7" t="n">
        <v>-0.262</v>
      </c>
      <c r="V205" s="7" t="n">
        <v>-0.528</v>
      </c>
      <c r="W205" s="7" t="n">
        <v>-0.232</v>
      </c>
      <c r="X205" s="7" t="n">
        <v>-0.326</v>
      </c>
      <c r="Y205" s="7" t="n">
        <v>-0.283</v>
      </c>
      <c r="Z205" s="7" t="n">
        <v>0.099</v>
      </c>
      <c r="AA205" s="7" t="n">
        <v>-0.299</v>
      </c>
      <c r="AB205" s="7" t="n">
        <v>-0.578</v>
      </c>
      <c r="AC205" s="7" t="n">
        <v>-0.107</v>
      </c>
      <c r="AD205" s="7" t="n">
        <v>-0.368</v>
      </c>
      <c r="AE205" s="7" t="n">
        <v>-0.073</v>
      </c>
      <c r="AF205" s="7" t="n">
        <v>0.005</v>
      </c>
      <c r="AG205" s="7" t="n">
        <v>-0.486</v>
      </c>
      <c r="AH205" s="7" t="n">
        <v>0.877</v>
      </c>
      <c r="AI205" s="7" t="n">
        <v>-0.16</v>
      </c>
      <c r="AJ205" s="7" t="n">
        <v>-0.539</v>
      </c>
      <c r="AK205" s="7" t="n">
        <v>-0.284</v>
      </c>
      <c r="AL205" s="7" t="n">
        <v>-0.271</v>
      </c>
      <c r="AM205" s="7" t="n">
        <v>-0.356</v>
      </c>
      <c r="AN205" s="7" t="n">
        <v>-0.307</v>
      </c>
      <c r="AO205" s="7" t="n">
        <v>0.094</v>
      </c>
      <c r="AP205" s="7" t="n">
        <v>0</v>
      </c>
      <c r="AQ205" s="7" t="n">
        <v>0.016</v>
      </c>
    </row>
    <row r="206" customFormat="false" ht="15" hidden="false" customHeight="false" outlineLevel="0" collapsed="false">
      <c r="A206" s="23" t="n">
        <v>46523</v>
      </c>
      <c r="B206" s="7" t="n">
        <v>-0.438</v>
      </c>
      <c r="C206" s="7" t="n">
        <v>-0.374</v>
      </c>
      <c r="D206" s="7" t="n">
        <v>-0.415</v>
      </c>
      <c r="E206" s="7" t="n">
        <v>-0.001</v>
      </c>
      <c r="F206" s="7" t="n">
        <v>-0.073</v>
      </c>
      <c r="G206" s="7" t="n">
        <v>-0.418</v>
      </c>
      <c r="H206" s="7" t="n">
        <v>-0.486</v>
      </c>
      <c r="I206" s="7" t="n">
        <v>-0.716</v>
      </c>
      <c r="J206" s="7" t="n">
        <v>-0.379</v>
      </c>
      <c r="K206" s="7" t="n">
        <v>0.099</v>
      </c>
      <c r="L206" s="7" t="n">
        <v>-0.55</v>
      </c>
      <c r="M206" s="7" t="n">
        <v>-0.124</v>
      </c>
      <c r="N206" s="7" t="n">
        <v>-0.427</v>
      </c>
      <c r="O206" s="7" t="n">
        <v>-0.053</v>
      </c>
      <c r="P206" s="7" t="n">
        <v>-0.407</v>
      </c>
      <c r="Q206" s="7" t="n">
        <v>-0.232</v>
      </c>
      <c r="R206" s="7" t="n">
        <v>-0.479</v>
      </c>
      <c r="S206" s="7" t="n">
        <v>-0.043</v>
      </c>
      <c r="T206" s="7" t="n">
        <v>-0.328</v>
      </c>
      <c r="U206" s="7" t="n">
        <v>-0.262</v>
      </c>
      <c r="V206" s="7" t="n">
        <v>-0.528</v>
      </c>
      <c r="W206" s="7" t="n">
        <v>-0.232</v>
      </c>
      <c r="X206" s="7" t="n">
        <v>-0.326</v>
      </c>
      <c r="Y206" s="7" t="n">
        <v>-0.283</v>
      </c>
      <c r="Z206" s="7" t="n">
        <v>0.099</v>
      </c>
      <c r="AA206" s="7" t="n">
        <v>-0.299</v>
      </c>
      <c r="AB206" s="7" t="n">
        <v>-0.578</v>
      </c>
      <c r="AC206" s="7" t="n">
        <v>-0.107</v>
      </c>
      <c r="AD206" s="7" t="n">
        <v>-0.368</v>
      </c>
      <c r="AE206" s="7" t="n">
        <v>-0.073</v>
      </c>
      <c r="AF206" s="7" t="n">
        <v>0.005</v>
      </c>
      <c r="AG206" s="7" t="n">
        <v>-0.486</v>
      </c>
      <c r="AH206" s="7" t="n">
        <v>0.877</v>
      </c>
      <c r="AI206" s="7" t="n">
        <v>-0.16</v>
      </c>
      <c r="AJ206" s="7" t="n">
        <v>-0.539</v>
      </c>
      <c r="AK206" s="7" t="n">
        <v>-0.284</v>
      </c>
      <c r="AL206" s="7" t="n">
        <v>-0.271</v>
      </c>
      <c r="AM206" s="7" t="n">
        <v>-0.356</v>
      </c>
      <c r="AN206" s="7" t="n">
        <v>-0.307</v>
      </c>
      <c r="AO206" s="7" t="n">
        <v>0.094</v>
      </c>
      <c r="AP206" s="7" t="n">
        <v>0</v>
      </c>
      <c r="AQ206" s="7" t="n">
        <v>0.016</v>
      </c>
    </row>
    <row r="207" customFormat="false" ht="15" hidden="false" customHeight="false" outlineLevel="0" collapsed="false">
      <c r="A207" s="23" t="n">
        <v>46524</v>
      </c>
      <c r="B207" s="7" t="n">
        <v>-0.438</v>
      </c>
      <c r="C207" s="7" t="n">
        <v>-0.374</v>
      </c>
      <c r="D207" s="7" t="n">
        <v>-0.415</v>
      </c>
      <c r="E207" s="7" t="n">
        <v>-0.001</v>
      </c>
      <c r="F207" s="7" t="n">
        <v>-0.073</v>
      </c>
      <c r="G207" s="7" t="n">
        <v>-0.418</v>
      </c>
      <c r="H207" s="7" t="n">
        <v>-0.486</v>
      </c>
      <c r="I207" s="7" t="n">
        <v>-0.716</v>
      </c>
      <c r="J207" s="7" t="n">
        <v>-0.379</v>
      </c>
      <c r="K207" s="7" t="n">
        <v>0.099</v>
      </c>
      <c r="L207" s="7" t="n">
        <v>-0.55</v>
      </c>
      <c r="M207" s="7" t="n">
        <v>-0.124</v>
      </c>
      <c r="N207" s="7" t="n">
        <v>-0.427</v>
      </c>
      <c r="O207" s="7" t="n">
        <v>-0.053</v>
      </c>
      <c r="P207" s="7" t="n">
        <v>-0.407</v>
      </c>
      <c r="Q207" s="7" t="n">
        <v>-0.232</v>
      </c>
      <c r="R207" s="7" t="n">
        <v>-0.479</v>
      </c>
      <c r="S207" s="7" t="n">
        <v>-0.043</v>
      </c>
      <c r="T207" s="7" t="n">
        <v>-0.328</v>
      </c>
      <c r="U207" s="7" t="n">
        <v>-0.262</v>
      </c>
      <c r="V207" s="7" t="n">
        <v>-0.528</v>
      </c>
      <c r="W207" s="7" t="n">
        <v>-0.232</v>
      </c>
      <c r="X207" s="7" t="n">
        <v>-0.326</v>
      </c>
      <c r="Y207" s="7" t="n">
        <v>-0.283</v>
      </c>
      <c r="Z207" s="7" t="n">
        <v>0.099</v>
      </c>
      <c r="AA207" s="7" t="n">
        <v>-0.299</v>
      </c>
      <c r="AB207" s="7" t="n">
        <v>-0.578</v>
      </c>
      <c r="AC207" s="7" t="n">
        <v>-0.107</v>
      </c>
      <c r="AD207" s="7" t="n">
        <v>-0.368</v>
      </c>
      <c r="AE207" s="7" t="n">
        <v>-0.073</v>
      </c>
      <c r="AF207" s="7" t="n">
        <v>0.005</v>
      </c>
      <c r="AG207" s="7" t="n">
        <v>-0.486</v>
      </c>
      <c r="AH207" s="7" t="n">
        <v>0.877</v>
      </c>
      <c r="AI207" s="7" t="n">
        <v>-0.16</v>
      </c>
      <c r="AJ207" s="7" t="n">
        <v>-0.539</v>
      </c>
      <c r="AK207" s="7" t="n">
        <v>-0.284</v>
      </c>
      <c r="AL207" s="7" t="n">
        <v>-0.271</v>
      </c>
      <c r="AM207" s="7" t="n">
        <v>-0.356</v>
      </c>
      <c r="AN207" s="7" t="n">
        <v>-0.307</v>
      </c>
      <c r="AO207" s="7" t="n">
        <v>0.094</v>
      </c>
      <c r="AP207" s="7" t="n">
        <v>0</v>
      </c>
      <c r="AQ207" s="7" t="n">
        <v>0.016</v>
      </c>
    </row>
    <row r="208" customFormat="false" ht="15" hidden="false" customHeight="false" outlineLevel="0" collapsed="false">
      <c r="A208" s="23" t="n">
        <v>46525</v>
      </c>
      <c r="B208" s="7" t="n">
        <v>-0.469</v>
      </c>
      <c r="C208" s="7" t="n">
        <v>-0.385</v>
      </c>
      <c r="D208" s="7" t="n">
        <v>-0.44</v>
      </c>
      <c r="E208" s="7" t="n">
        <v>-0.034</v>
      </c>
      <c r="F208" s="7" t="n">
        <v>-0.095</v>
      </c>
      <c r="G208" s="7" t="n">
        <v>-0.442</v>
      </c>
      <c r="H208" s="7" t="n">
        <v>-0.511</v>
      </c>
      <c r="I208" s="7" t="n">
        <v>-0.721</v>
      </c>
      <c r="J208" s="7" t="n">
        <v>-0.382</v>
      </c>
      <c r="K208" s="7" t="n">
        <v>0.066</v>
      </c>
      <c r="L208" s="7" t="n">
        <v>-0.557</v>
      </c>
      <c r="M208" s="7" t="n">
        <v>-0.139</v>
      </c>
      <c r="N208" s="7" t="n">
        <v>-0.435</v>
      </c>
      <c r="O208" s="7" t="n">
        <v>-0.064</v>
      </c>
      <c r="P208" s="7" t="n">
        <v>-0.433</v>
      </c>
      <c r="Q208" s="7" t="n">
        <v>-0.252</v>
      </c>
      <c r="R208" s="7" t="n">
        <v>-0.506</v>
      </c>
      <c r="S208" s="7" t="n">
        <v>-0.055</v>
      </c>
      <c r="T208" s="7" t="n">
        <v>-0.35</v>
      </c>
      <c r="U208" s="7" t="n">
        <v>-0.284</v>
      </c>
      <c r="V208" s="7" t="n">
        <v>-0.548</v>
      </c>
      <c r="W208" s="7" t="n">
        <v>-0.252</v>
      </c>
      <c r="X208" s="7" t="n">
        <v>-0.35</v>
      </c>
      <c r="Y208" s="7" t="n">
        <v>-0.307</v>
      </c>
      <c r="Z208" s="7" t="n">
        <v>0.066</v>
      </c>
      <c r="AA208" s="7" t="n">
        <v>-0.319</v>
      </c>
      <c r="AB208" s="7" t="n">
        <v>-0.57</v>
      </c>
      <c r="AC208" s="7" t="n">
        <v>-0.126</v>
      </c>
      <c r="AD208" s="7" t="n">
        <v>-0.403</v>
      </c>
      <c r="AE208" s="7" t="n">
        <v>-0.095</v>
      </c>
      <c r="AF208" s="7" t="n">
        <v>-0.025</v>
      </c>
      <c r="AG208" s="7" t="n">
        <v>-0.511</v>
      </c>
      <c r="AH208" s="7" t="n">
        <v>0.875</v>
      </c>
      <c r="AI208" s="7" t="n">
        <v>-0.142</v>
      </c>
      <c r="AJ208" s="7" t="n">
        <v>-0.534</v>
      </c>
      <c r="AK208" s="7" t="n">
        <v>-0.268</v>
      </c>
      <c r="AL208" s="7" t="n">
        <v>-0.291</v>
      </c>
      <c r="AM208" s="7" t="n">
        <v>-0.344</v>
      </c>
      <c r="AN208" s="7" t="n">
        <v>-0.319</v>
      </c>
      <c r="AO208" s="7" t="n">
        <v>0.088</v>
      </c>
      <c r="AP208" s="7" t="n">
        <v>0</v>
      </c>
      <c r="AQ208" s="7" t="n">
        <v>0.012</v>
      </c>
    </row>
    <row r="209" customFormat="false" ht="15" hidden="false" customHeight="false" outlineLevel="0" collapsed="false">
      <c r="A209" s="23" t="n">
        <v>46526</v>
      </c>
      <c r="B209" s="7" t="n">
        <v>-0.5</v>
      </c>
      <c r="C209" s="7" t="n">
        <v>-0.396</v>
      </c>
      <c r="D209" s="7" t="n">
        <v>-0.465</v>
      </c>
      <c r="E209" s="7" t="n">
        <v>-0.067</v>
      </c>
      <c r="F209" s="7" t="n">
        <v>-0.117</v>
      </c>
      <c r="G209" s="7" t="n">
        <v>-0.465</v>
      </c>
      <c r="H209" s="7" t="n">
        <v>-0.536</v>
      </c>
      <c r="I209" s="7" t="n">
        <v>-0.727</v>
      </c>
      <c r="J209" s="7" t="n">
        <v>-0.386</v>
      </c>
      <c r="K209" s="7" t="n">
        <v>0.032</v>
      </c>
      <c r="L209" s="7" t="n">
        <v>-0.564</v>
      </c>
      <c r="M209" s="7" t="n">
        <v>-0.155</v>
      </c>
      <c r="N209" s="7" t="n">
        <v>-0.444</v>
      </c>
      <c r="O209" s="7" t="n">
        <v>-0.075</v>
      </c>
      <c r="P209" s="7" t="n">
        <v>-0.46</v>
      </c>
      <c r="Q209" s="7" t="n">
        <v>-0.272</v>
      </c>
      <c r="R209" s="7" t="n">
        <v>-0.532</v>
      </c>
      <c r="S209" s="7" t="n">
        <v>-0.068</v>
      </c>
      <c r="T209" s="7" t="n">
        <v>-0.373</v>
      </c>
      <c r="U209" s="7" t="n">
        <v>-0.306</v>
      </c>
      <c r="V209" s="7" t="n">
        <v>-0.57</v>
      </c>
      <c r="W209" s="7" t="n">
        <v>-0.272</v>
      </c>
      <c r="X209" s="7" t="n">
        <v>-0.375</v>
      </c>
      <c r="Y209" s="7" t="n">
        <v>-0.33</v>
      </c>
      <c r="Z209" s="7" t="n">
        <v>0.032</v>
      </c>
      <c r="AA209" s="7" t="n">
        <v>-0.34</v>
      </c>
      <c r="AB209" s="7" t="n">
        <v>-0.563</v>
      </c>
      <c r="AC209" s="7" t="n">
        <v>-0.144</v>
      </c>
      <c r="AD209" s="7" t="n">
        <v>-0.438</v>
      </c>
      <c r="AE209" s="7" t="n">
        <v>-0.117</v>
      </c>
      <c r="AF209" s="7" t="n">
        <v>-0.055</v>
      </c>
      <c r="AG209" s="7" t="n">
        <v>-0.536</v>
      </c>
      <c r="AH209" s="7" t="n">
        <v>0.872</v>
      </c>
      <c r="AI209" s="7" t="n">
        <v>-0.124</v>
      </c>
      <c r="AJ209" s="7" t="n">
        <v>-0.528</v>
      </c>
      <c r="AK209" s="7" t="n">
        <v>-0.252</v>
      </c>
      <c r="AL209" s="7" t="n">
        <v>-0.31</v>
      </c>
      <c r="AM209" s="7" t="n">
        <v>-0.332</v>
      </c>
      <c r="AN209" s="7" t="n">
        <v>-0.331</v>
      </c>
      <c r="AO209" s="7" t="n">
        <v>0.082</v>
      </c>
      <c r="AP209" s="7" t="n">
        <v>0</v>
      </c>
      <c r="AQ209" s="7" t="n">
        <v>0.009</v>
      </c>
    </row>
    <row r="210" customFormat="false" ht="15" hidden="false" customHeight="false" outlineLevel="0" collapsed="false">
      <c r="A210" s="23" t="n">
        <v>46527</v>
      </c>
      <c r="B210" s="7" t="n">
        <v>-0.531</v>
      </c>
      <c r="C210" s="7" t="n">
        <v>-0.406</v>
      </c>
      <c r="D210" s="7" t="n">
        <v>-0.49</v>
      </c>
      <c r="E210" s="7" t="n">
        <v>-0.1</v>
      </c>
      <c r="F210" s="7" t="n">
        <v>-0.138</v>
      </c>
      <c r="G210" s="7" t="n">
        <v>-0.489</v>
      </c>
      <c r="H210" s="7" t="n">
        <v>-0.56</v>
      </c>
      <c r="I210" s="7" t="n">
        <v>-0.733</v>
      </c>
      <c r="J210" s="7" t="n">
        <v>-0.389</v>
      </c>
      <c r="K210" s="7" t="n">
        <v>-0.002</v>
      </c>
      <c r="L210" s="7" t="n">
        <v>-0.571</v>
      </c>
      <c r="M210" s="7" t="n">
        <v>-0.171</v>
      </c>
      <c r="N210" s="7" t="n">
        <v>-0.452</v>
      </c>
      <c r="O210" s="7" t="n">
        <v>-0.087</v>
      </c>
      <c r="P210" s="7" t="n">
        <v>-0.486</v>
      </c>
      <c r="Q210" s="7" t="n">
        <v>-0.292</v>
      </c>
      <c r="R210" s="7" t="n">
        <v>-0.557</v>
      </c>
      <c r="S210" s="7" t="n">
        <v>-0.08</v>
      </c>
      <c r="T210" s="7" t="n">
        <v>-0.394</v>
      </c>
      <c r="U210" s="7" t="n">
        <v>-0.327</v>
      </c>
      <c r="V210" s="7" t="n">
        <v>-0.591</v>
      </c>
      <c r="W210" s="7" t="n">
        <v>-0.292</v>
      </c>
      <c r="X210" s="7" t="n">
        <v>-0.399</v>
      </c>
      <c r="Y210" s="7" t="n">
        <v>-0.353</v>
      </c>
      <c r="Z210" s="7" t="n">
        <v>-0.002</v>
      </c>
      <c r="AA210" s="7" t="n">
        <v>-0.359</v>
      </c>
      <c r="AB210" s="7" t="n">
        <v>-0.557</v>
      </c>
      <c r="AC210" s="7" t="n">
        <v>-0.163</v>
      </c>
      <c r="AD210" s="7" t="n">
        <v>-0.472</v>
      </c>
      <c r="AE210" s="7" t="n">
        <v>-0.138</v>
      </c>
      <c r="AF210" s="7" t="n">
        <v>-0.086</v>
      </c>
      <c r="AG210" s="7" t="n">
        <v>-0.56</v>
      </c>
      <c r="AH210" s="7" t="n">
        <v>0.869</v>
      </c>
      <c r="AI210" s="7" t="n">
        <v>-0.106</v>
      </c>
      <c r="AJ210" s="7" t="n">
        <v>-0.522</v>
      </c>
      <c r="AK210" s="7" t="n">
        <v>-0.235</v>
      </c>
      <c r="AL210" s="7" t="n">
        <v>-0.329</v>
      </c>
      <c r="AM210" s="7" t="n">
        <v>-0.32</v>
      </c>
      <c r="AN210" s="7" t="n">
        <v>-0.341</v>
      </c>
      <c r="AO210" s="7" t="n">
        <v>0.077</v>
      </c>
      <c r="AP210" s="7" t="n">
        <v>0</v>
      </c>
      <c r="AQ210" s="7" t="n">
        <v>0.006</v>
      </c>
    </row>
    <row r="211" customFormat="false" ht="15" hidden="false" customHeight="false" outlineLevel="0" collapsed="false">
      <c r="A211" s="23" t="n">
        <v>46528</v>
      </c>
      <c r="B211" s="7" t="n">
        <v>-0.563</v>
      </c>
      <c r="C211" s="7" t="n">
        <v>-0.416</v>
      </c>
      <c r="D211" s="7" t="n">
        <v>-0.515</v>
      </c>
      <c r="E211" s="7" t="n">
        <v>-0.132</v>
      </c>
      <c r="F211" s="7" t="n">
        <v>-0.16</v>
      </c>
      <c r="G211" s="7" t="n">
        <v>-0.513</v>
      </c>
      <c r="H211" s="7" t="n">
        <v>-0.583</v>
      </c>
      <c r="I211" s="7" t="n">
        <v>-0.745</v>
      </c>
      <c r="J211" s="7" t="n">
        <v>-0.392</v>
      </c>
      <c r="K211" s="7" t="n">
        <v>-0.036</v>
      </c>
      <c r="L211" s="7" t="n">
        <v>-0.578</v>
      </c>
      <c r="M211" s="7" t="n">
        <v>-0.187</v>
      </c>
      <c r="N211" s="7" t="n">
        <v>-0.461</v>
      </c>
      <c r="O211" s="7" t="n">
        <v>-0.098</v>
      </c>
      <c r="P211" s="7" t="n">
        <v>-0.512</v>
      </c>
      <c r="Q211" s="7" t="n">
        <v>-0.312</v>
      </c>
      <c r="R211" s="7" t="n">
        <v>-0.581</v>
      </c>
      <c r="S211" s="7" t="n">
        <v>-0.093</v>
      </c>
      <c r="T211" s="7" t="n">
        <v>-0.415</v>
      </c>
      <c r="U211" s="7" t="n">
        <v>-0.348</v>
      </c>
      <c r="V211" s="7" t="n">
        <v>-0.618</v>
      </c>
      <c r="W211" s="7" t="n">
        <v>-0.312</v>
      </c>
      <c r="X211" s="7" t="n">
        <v>-0.424</v>
      </c>
      <c r="Y211" s="7" t="n">
        <v>-0.377</v>
      </c>
      <c r="Z211" s="7" t="n">
        <v>-0.036</v>
      </c>
      <c r="AA211" s="7" t="n">
        <v>-0.378</v>
      </c>
      <c r="AB211" s="7" t="n">
        <v>-0.563</v>
      </c>
      <c r="AC211" s="7" t="n">
        <v>-0.181</v>
      </c>
      <c r="AD211" s="7" t="n">
        <v>-0.505</v>
      </c>
      <c r="AE211" s="7" t="n">
        <v>-0.16</v>
      </c>
      <c r="AF211" s="7" t="n">
        <v>-0.116</v>
      </c>
      <c r="AG211" s="7" t="n">
        <v>-0.583</v>
      </c>
      <c r="AH211" s="7" t="n">
        <v>0.866</v>
      </c>
      <c r="AI211" s="7" t="n">
        <v>-0.088</v>
      </c>
      <c r="AJ211" s="7" t="n">
        <v>-0.515</v>
      </c>
      <c r="AK211" s="7" t="n">
        <v>-0.217</v>
      </c>
      <c r="AL211" s="7" t="n">
        <v>-0.348</v>
      </c>
      <c r="AM211" s="7" t="n">
        <v>-0.308</v>
      </c>
      <c r="AN211" s="7" t="n">
        <v>-0.351</v>
      </c>
      <c r="AO211" s="7" t="n">
        <v>0.071</v>
      </c>
      <c r="AP211" s="7" t="n">
        <v>0</v>
      </c>
      <c r="AQ211" s="7" t="n">
        <v>0.002</v>
      </c>
    </row>
    <row r="212" customFormat="false" ht="15" hidden="false" customHeight="false" outlineLevel="0" collapsed="false">
      <c r="A212" s="23" t="n">
        <v>46529</v>
      </c>
      <c r="B212" s="7" t="n">
        <v>-0.596</v>
      </c>
      <c r="C212" s="7" t="n">
        <v>-0.43</v>
      </c>
      <c r="D212" s="7" t="n">
        <v>-0.541</v>
      </c>
      <c r="E212" s="7" t="n">
        <v>-0.165</v>
      </c>
      <c r="F212" s="7" t="n">
        <v>-0.182</v>
      </c>
      <c r="G212" s="7" t="n">
        <v>-0.536</v>
      </c>
      <c r="H212" s="7" t="n">
        <v>-0.607</v>
      </c>
      <c r="I212" s="7" t="n">
        <v>-0.758</v>
      </c>
      <c r="J212" s="7" t="n">
        <v>-0.395</v>
      </c>
      <c r="K212" s="7" t="n">
        <v>-0.07</v>
      </c>
      <c r="L212" s="7" t="n">
        <v>-0.585</v>
      </c>
      <c r="M212" s="7" t="n">
        <v>-0.203</v>
      </c>
      <c r="N212" s="7" t="n">
        <v>-0.471</v>
      </c>
      <c r="O212" s="7" t="n">
        <v>-0.11</v>
      </c>
      <c r="P212" s="7" t="n">
        <v>-0.538</v>
      </c>
      <c r="Q212" s="7" t="n">
        <v>-0.332</v>
      </c>
      <c r="R212" s="7" t="n">
        <v>-0.606</v>
      </c>
      <c r="S212" s="7" t="n">
        <v>-0.106</v>
      </c>
      <c r="T212" s="7" t="n">
        <v>-0.438</v>
      </c>
      <c r="U212" s="7" t="n">
        <v>-0.368</v>
      </c>
      <c r="V212" s="7" t="n">
        <v>-0.647</v>
      </c>
      <c r="W212" s="7" t="n">
        <v>-0.332</v>
      </c>
      <c r="X212" s="7" t="n">
        <v>-0.448</v>
      </c>
      <c r="Y212" s="7" t="n">
        <v>-0.4</v>
      </c>
      <c r="Z212" s="7" t="n">
        <v>-0.07</v>
      </c>
      <c r="AA212" s="7" t="n">
        <v>-0.399</v>
      </c>
      <c r="AB212" s="7" t="n">
        <v>-0.569</v>
      </c>
      <c r="AC212" s="7" t="n">
        <v>-0.2</v>
      </c>
      <c r="AD212" s="7" t="n">
        <v>-0.538</v>
      </c>
      <c r="AE212" s="7" t="n">
        <v>-0.182</v>
      </c>
      <c r="AF212" s="7" t="n">
        <v>-0.147</v>
      </c>
      <c r="AG212" s="7" t="n">
        <v>-0.607</v>
      </c>
      <c r="AH212" s="7" t="n">
        <v>0.864</v>
      </c>
      <c r="AI212" s="7" t="n">
        <v>-0.071</v>
      </c>
      <c r="AJ212" s="7" t="n">
        <v>-0.513</v>
      </c>
      <c r="AK212" s="7" t="n">
        <v>-0.205</v>
      </c>
      <c r="AL212" s="7" t="n">
        <v>-0.366</v>
      </c>
      <c r="AM212" s="7" t="n">
        <v>-0.297</v>
      </c>
      <c r="AN212" s="7" t="n">
        <v>-0.365</v>
      </c>
      <c r="AO212" s="7" t="n">
        <v>0.065</v>
      </c>
      <c r="AP212" s="7" t="n">
        <v>0</v>
      </c>
      <c r="AQ212" s="7" t="n">
        <v>-0.001</v>
      </c>
    </row>
    <row r="213" customFormat="false" ht="15" hidden="false" customHeight="false" outlineLevel="0" collapsed="false">
      <c r="A213" s="23" t="n">
        <v>46530</v>
      </c>
      <c r="B213" s="7" t="n">
        <v>-0.596</v>
      </c>
      <c r="C213" s="7" t="n">
        <v>-0.43</v>
      </c>
      <c r="D213" s="7" t="n">
        <v>-0.541</v>
      </c>
      <c r="E213" s="7" t="n">
        <v>-0.165</v>
      </c>
      <c r="F213" s="7" t="n">
        <v>-0.182</v>
      </c>
      <c r="G213" s="7" t="n">
        <v>-0.536</v>
      </c>
      <c r="H213" s="7" t="n">
        <v>-0.607</v>
      </c>
      <c r="I213" s="7" t="n">
        <v>-0.758</v>
      </c>
      <c r="J213" s="7" t="n">
        <v>-0.395</v>
      </c>
      <c r="K213" s="7" t="n">
        <v>-0.07</v>
      </c>
      <c r="L213" s="7" t="n">
        <v>-0.585</v>
      </c>
      <c r="M213" s="7" t="n">
        <v>-0.203</v>
      </c>
      <c r="N213" s="7" t="n">
        <v>-0.471</v>
      </c>
      <c r="O213" s="7" t="n">
        <v>-0.11</v>
      </c>
      <c r="P213" s="7" t="n">
        <v>-0.538</v>
      </c>
      <c r="Q213" s="7" t="n">
        <v>-0.332</v>
      </c>
      <c r="R213" s="7" t="n">
        <v>-0.606</v>
      </c>
      <c r="S213" s="7" t="n">
        <v>-0.106</v>
      </c>
      <c r="T213" s="7" t="n">
        <v>-0.438</v>
      </c>
      <c r="U213" s="7" t="n">
        <v>-0.368</v>
      </c>
      <c r="V213" s="7" t="n">
        <v>-0.647</v>
      </c>
      <c r="W213" s="7" t="n">
        <v>-0.332</v>
      </c>
      <c r="X213" s="7" t="n">
        <v>-0.448</v>
      </c>
      <c r="Y213" s="7" t="n">
        <v>-0.4</v>
      </c>
      <c r="Z213" s="7" t="n">
        <v>-0.07</v>
      </c>
      <c r="AA213" s="7" t="n">
        <v>-0.399</v>
      </c>
      <c r="AB213" s="7" t="n">
        <v>-0.569</v>
      </c>
      <c r="AC213" s="7" t="n">
        <v>-0.2</v>
      </c>
      <c r="AD213" s="7" t="n">
        <v>-0.538</v>
      </c>
      <c r="AE213" s="7" t="n">
        <v>-0.182</v>
      </c>
      <c r="AF213" s="7" t="n">
        <v>-0.147</v>
      </c>
      <c r="AG213" s="7" t="n">
        <v>-0.607</v>
      </c>
      <c r="AH213" s="7" t="n">
        <v>0.864</v>
      </c>
      <c r="AI213" s="7" t="n">
        <v>-0.071</v>
      </c>
      <c r="AJ213" s="7" t="n">
        <v>-0.513</v>
      </c>
      <c r="AK213" s="7" t="n">
        <v>-0.205</v>
      </c>
      <c r="AL213" s="7" t="n">
        <v>-0.366</v>
      </c>
      <c r="AM213" s="7" t="n">
        <v>-0.297</v>
      </c>
      <c r="AN213" s="7" t="n">
        <v>-0.365</v>
      </c>
      <c r="AO213" s="7" t="n">
        <v>0.065</v>
      </c>
      <c r="AP213" s="7" t="n">
        <v>0</v>
      </c>
      <c r="AQ213" s="7" t="n">
        <v>-0.001</v>
      </c>
    </row>
    <row r="214" customFormat="false" ht="15" hidden="false" customHeight="false" outlineLevel="0" collapsed="false">
      <c r="A214" s="23" t="n">
        <v>46531</v>
      </c>
      <c r="B214" s="7" t="n">
        <v>-0.596</v>
      </c>
      <c r="C214" s="7" t="n">
        <v>-0.43</v>
      </c>
      <c r="D214" s="7" t="n">
        <v>-0.541</v>
      </c>
      <c r="E214" s="7" t="n">
        <v>-0.165</v>
      </c>
      <c r="F214" s="7" t="n">
        <v>-0.182</v>
      </c>
      <c r="G214" s="7" t="n">
        <v>-0.536</v>
      </c>
      <c r="H214" s="7" t="n">
        <v>-0.607</v>
      </c>
      <c r="I214" s="7" t="n">
        <v>-0.758</v>
      </c>
      <c r="J214" s="7" t="n">
        <v>-0.395</v>
      </c>
      <c r="K214" s="7" t="n">
        <v>-0.07</v>
      </c>
      <c r="L214" s="7" t="n">
        <v>-0.585</v>
      </c>
      <c r="M214" s="7" t="n">
        <v>-0.203</v>
      </c>
      <c r="N214" s="7" t="n">
        <v>-0.471</v>
      </c>
      <c r="O214" s="7" t="n">
        <v>-0.11</v>
      </c>
      <c r="P214" s="7" t="n">
        <v>-0.538</v>
      </c>
      <c r="Q214" s="7" t="n">
        <v>-0.332</v>
      </c>
      <c r="R214" s="7" t="n">
        <v>-0.606</v>
      </c>
      <c r="S214" s="7" t="n">
        <v>-0.106</v>
      </c>
      <c r="T214" s="7" t="n">
        <v>-0.438</v>
      </c>
      <c r="U214" s="7" t="n">
        <v>-0.368</v>
      </c>
      <c r="V214" s="7" t="n">
        <v>-0.647</v>
      </c>
      <c r="W214" s="7" t="n">
        <v>-0.332</v>
      </c>
      <c r="X214" s="7" t="n">
        <v>-0.448</v>
      </c>
      <c r="Y214" s="7" t="n">
        <v>-0.4</v>
      </c>
      <c r="Z214" s="7" t="n">
        <v>-0.07</v>
      </c>
      <c r="AA214" s="7" t="n">
        <v>-0.399</v>
      </c>
      <c r="AB214" s="7" t="n">
        <v>-0.569</v>
      </c>
      <c r="AC214" s="7" t="n">
        <v>-0.2</v>
      </c>
      <c r="AD214" s="7" t="n">
        <v>-0.538</v>
      </c>
      <c r="AE214" s="7" t="n">
        <v>-0.182</v>
      </c>
      <c r="AF214" s="7" t="n">
        <v>-0.147</v>
      </c>
      <c r="AG214" s="7" t="n">
        <v>-0.607</v>
      </c>
      <c r="AH214" s="7" t="n">
        <v>0.864</v>
      </c>
      <c r="AI214" s="7" t="n">
        <v>-0.071</v>
      </c>
      <c r="AJ214" s="7" t="n">
        <v>-0.513</v>
      </c>
      <c r="AK214" s="7" t="n">
        <v>-0.205</v>
      </c>
      <c r="AL214" s="7" t="n">
        <v>-0.366</v>
      </c>
      <c r="AM214" s="7" t="n">
        <v>-0.297</v>
      </c>
      <c r="AN214" s="7" t="n">
        <v>-0.365</v>
      </c>
      <c r="AO214" s="7" t="n">
        <v>0.065</v>
      </c>
      <c r="AP214" s="7" t="n">
        <v>0</v>
      </c>
      <c r="AQ214" s="7" t="n">
        <v>-0.001</v>
      </c>
    </row>
    <row r="215" customFormat="false" ht="15" hidden="false" customHeight="false" outlineLevel="0" collapsed="false">
      <c r="A215" s="23" t="n">
        <v>46532</v>
      </c>
      <c r="B215" s="7" t="n">
        <v>-0.616</v>
      </c>
      <c r="C215" s="7" t="n">
        <v>-0.43</v>
      </c>
      <c r="D215" s="7" t="n">
        <v>-0.567</v>
      </c>
      <c r="E215" s="7" t="n">
        <v>-0.18</v>
      </c>
      <c r="F215" s="7" t="n">
        <v>-0.193</v>
      </c>
      <c r="G215" s="7" t="n">
        <v>-0.56</v>
      </c>
      <c r="H215" s="7" t="n">
        <v>-0.625</v>
      </c>
      <c r="I215" s="7" t="n">
        <v>-0.758</v>
      </c>
      <c r="J215" s="7" t="n">
        <v>-0.399</v>
      </c>
      <c r="K215" s="7" t="n">
        <v>-0.087</v>
      </c>
      <c r="L215" s="7" t="n">
        <v>-0.592</v>
      </c>
      <c r="M215" s="7" t="n">
        <v>-0.218</v>
      </c>
      <c r="N215" s="7" t="n">
        <v>-0.472</v>
      </c>
      <c r="O215" s="7" t="n">
        <v>-0.121</v>
      </c>
      <c r="P215" s="7" t="n">
        <v>-0.562</v>
      </c>
      <c r="Q215" s="7" t="n">
        <v>-0.35</v>
      </c>
      <c r="R215" s="7" t="n">
        <v>-0.625</v>
      </c>
      <c r="S215" s="7" t="n">
        <v>-0.112</v>
      </c>
      <c r="T215" s="7" t="n">
        <v>-0.455</v>
      </c>
      <c r="U215" s="7" t="n">
        <v>-0.378</v>
      </c>
      <c r="V215" s="7" t="n">
        <v>-0.656</v>
      </c>
      <c r="W215" s="7" t="n">
        <v>-0.35</v>
      </c>
      <c r="X215" s="7" t="n">
        <v>-0.474</v>
      </c>
      <c r="Y215" s="7" t="n">
        <v>-0.425</v>
      </c>
      <c r="Z215" s="7" t="n">
        <v>-0.087</v>
      </c>
      <c r="AA215" s="7" t="n">
        <v>-0.416</v>
      </c>
      <c r="AB215" s="7" t="n">
        <v>-0.562</v>
      </c>
      <c r="AC215" s="7" t="n">
        <v>-0.216</v>
      </c>
      <c r="AD215" s="7" t="n">
        <v>-0.553</v>
      </c>
      <c r="AE215" s="7" t="n">
        <v>-0.193</v>
      </c>
      <c r="AF215" s="7" t="n">
        <v>-0.164</v>
      </c>
      <c r="AG215" s="7" t="n">
        <v>-0.625</v>
      </c>
      <c r="AH215" s="7" t="n">
        <v>0.861</v>
      </c>
      <c r="AI215" s="7" t="n">
        <v>-0.053</v>
      </c>
      <c r="AJ215" s="7" t="n">
        <v>-0.507</v>
      </c>
      <c r="AK215" s="7" t="n">
        <v>-0.19</v>
      </c>
      <c r="AL215" s="7" t="n">
        <v>-0.383</v>
      </c>
      <c r="AM215" s="7" t="n">
        <v>-0.287</v>
      </c>
      <c r="AN215" s="7" t="n">
        <v>-0.372</v>
      </c>
      <c r="AO215" s="7" t="n">
        <v>0.06</v>
      </c>
      <c r="AP215" s="7" t="n">
        <v>0</v>
      </c>
      <c r="AQ215" s="7" t="n">
        <v>-0.002</v>
      </c>
    </row>
    <row r="216" customFormat="false" ht="15" hidden="false" customHeight="false" outlineLevel="0" collapsed="false">
      <c r="A216" s="23" t="n">
        <v>46533</v>
      </c>
      <c r="B216" s="7" t="n">
        <v>-0.636</v>
      </c>
      <c r="C216" s="7" t="n">
        <v>-0.43</v>
      </c>
      <c r="D216" s="7" t="n">
        <v>-0.593</v>
      </c>
      <c r="E216" s="7" t="n">
        <v>-0.194</v>
      </c>
      <c r="F216" s="7" t="n">
        <v>-0.205</v>
      </c>
      <c r="G216" s="7" t="n">
        <v>-0.584</v>
      </c>
      <c r="H216" s="7" t="n">
        <v>-0.642</v>
      </c>
      <c r="I216" s="7" t="n">
        <v>-0.761</v>
      </c>
      <c r="J216" s="7" t="n">
        <v>-0.402</v>
      </c>
      <c r="K216" s="7" t="n">
        <v>-0.105</v>
      </c>
      <c r="L216" s="7" t="n">
        <v>-0.599</v>
      </c>
      <c r="M216" s="7" t="n">
        <v>-0.234</v>
      </c>
      <c r="N216" s="7" t="n">
        <v>-0.473</v>
      </c>
      <c r="O216" s="7" t="n">
        <v>-0.131</v>
      </c>
      <c r="P216" s="7" t="n">
        <v>-0.587</v>
      </c>
      <c r="Q216" s="7" t="n">
        <v>-0.367</v>
      </c>
      <c r="R216" s="7" t="n">
        <v>-0.645</v>
      </c>
      <c r="S216" s="7" t="n">
        <v>-0.118</v>
      </c>
      <c r="T216" s="7" t="n">
        <v>-0.473</v>
      </c>
      <c r="U216" s="7" t="n">
        <v>-0.389</v>
      </c>
      <c r="V216" s="7" t="n">
        <v>-0.669</v>
      </c>
      <c r="W216" s="7" t="n">
        <v>-0.367</v>
      </c>
      <c r="X216" s="7" t="n">
        <v>-0.499</v>
      </c>
      <c r="Y216" s="7" t="n">
        <v>-0.45</v>
      </c>
      <c r="Z216" s="7" t="n">
        <v>-0.105</v>
      </c>
      <c r="AA216" s="7" t="n">
        <v>-0.432</v>
      </c>
      <c r="AB216" s="7" t="n">
        <v>-0.562</v>
      </c>
      <c r="AC216" s="7" t="n">
        <v>-0.232</v>
      </c>
      <c r="AD216" s="7" t="n">
        <v>-0.568</v>
      </c>
      <c r="AE216" s="7" t="n">
        <v>-0.205</v>
      </c>
      <c r="AF216" s="7" t="n">
        <v>-0.182</v>
      </c>
      <c r="AG216" s="7" t="n">
        <v>-0.642</v>
      </c>
      <c r="AH216" s="7" t="n">
        <v>0.859</v>
      </c>
      <c r="AI216" s="7" t="n">
        <v>-0.034</v>
      </c>
      <c r="AJ216" s="7" t="n">
        <v>-0.501</v>
      </c>
      <c r="AK216" s="7" t="n">
        <v>-0.174</v>
      </c>
      <c r="AL216" s="7" t="n">
        <v>-0.399</v>
      </c>
      <c r="AM216" s="7" t="n">
        <v>-0.277</v>
      </c>
      <c r="AN216" s="7" t="n">
        <v>-0.379</v>
      </c>
      <c r="AO216" s="7" t="n">
        <v>0.055</v>
      </c>
      <c r="AP216" s="7" t="n">
        <v>0</v>
      </c>
      <c r="AQ216" s="7" t="n">
        <v>-0.002</v>
      </c>
    </row>
    <row r="217" customFormat="false" ht="15" hidden="false" customHeight="false" outlineLevel="0" collapsed="false">
      <c r="A217" s="23" t="n">
        <v>46534</v>
      </c>
      <c r="B217" s="7" t="n">
        <v>-0.656</v>
      </c>
      <c r="C217" s="7" t="n">
        <v>-0.431</v>
      </c>
      <c r="D217" s="7" t="n">
        <v>-0.62</v>
      </c>
      <c r="E217" s="7" t="n">
        <v>-0.209</v>
      </c>
      <c r="F217" s="7" t="n">
        <v>-0.216</v>
      </c>
      <c r="G217" s="7" t="n">
        <v>-0.608</v>
      </c>
      <c r="H217" s="7" t="n">
        <v>-0.66</v>
      </c>
      <c r="I217" s="7" t="n">
        <v>-0.764</v>
      </c>
      <c r="J217" s="7" t="n">
        <v>-0.405</v>
      </c>
      <c r="K217" s="7" t="n">
        <v>-0.122</v>
      </c>
      <c r="L217" s="7" t="n">
        <v>-0.605</v>
      </c>
      <c r="M217" s="7" t="n">
        <v>-0.249</v>
      </c>
      <c r="N217" s="7" t="n">
        <v>-0.474</v>
      </c>
      <c r="O217" s="7" t="n">
        <v>-0.142</v>
      </c>
      <c r="P217" s="7" t="n">
        <v>-0.611</v>
      </c>
      <c r="Q217" s="7" t="n">
        <v>-0.385</v>
      </c>
      <c r="R217" s="7" t="n">
        <v>-0.664</v>
      </c>
      <c r="S217" s="7" t="n">
        <v>-0.124</v>
      </c>
      <c r="T217" s="7" t="n">
        <v>-0.49</v>
      </c>
      <c r="U217" s="7" t="n">
        <v>-0.399</v>
      </c>
      <c r="V217" s="7" t="n">
        <v>-0.682</v>
      </c>
      <c r="W217" s="7" t="n">
        <v>-0.385</v>
      </c>
      <c r="X217" s="7" t="n">
        <v>-0.524</v>
      </c>
      <c r="Y217" s="7" t="n">
        <v>-0.476</v>
      </c>
      <c r="Z217" s="7" t="n">
        <v>-0.122</v>
      </c>
      <c r="AA217" s="7" t="n">
        <v>-0.449</v>
      </c>
      <c r="AB217" s="7" t="n">
        <v>-0.561</v>
      </c>
      <c r="AC217" s="7" t="n">
        <v>-0.248</v>
      </c>
      <c r="AD217" s="7" t="n">
        <v>-0.583</v>
      </c>
      <c r="AE217" s="7" t="n">
        <v>-0.216</v>
      </c>
      <c r="AF217" s="7" t="n">
        <v>-0.2</v>
      </c>
      <c r="AG217" s="7" t="n">
        <v>-0.66</v>
      </c>
      <c r="AH217" s="7" t="n">
        <v>0.856</v>
      </c>
      <c r="AI217" s="7" t="n">
        <v>-0.016</v>
      </c>
      <c r="AJ217" s="7" t="n">
        <v>-0.496</v>
      </c>
      <c r="AK217" s="7" t="n">
        <v>-0.161</v>
      </c>
      <c r="AL217" s="7" t="n">
        <v>-0.416</v>
      </c>
      <c r="AM217" s="7" t="n">
        <v>-0.267</v>
      </c>
      <c r="AN217" s="7" t="n">
        <v>-0.387</v>
      </c>
      <c r="AO217" s="7" t="n">
        <v>0.051</v>
      </c>
      <c r="AP217" s="7" t="n">
        <v>0</v>
      </c>
      <c r="AQ217" s="7" t="n">
        <v>-0.003</v>
      </c>
    </row>
    <row r="218" customFormat="false" ht="15" hidden="false" customHeight="false" outlineLevel="0" collapsed="false">
      <c r="A218" s="23" t="n">
        <v>46535</v>
      </c>
      <c r="B218" s="7" t="n">
        <v>-0.675</v>
      </c>
      <c r="C218" s="7" t="n">
        <v>-0.432</v>
      </c>
      <c r="D218" s="7" t="n">
        <v>-0.647</v>
      </c>
      <c r="E218" s="7" t="n">
        <v>-0.223</v>
      </c>
      <c r="F218" s="7" t="n">
        <v>-0.227</v>
      </c>
      <c r="G218" s="7" t="n">
        <v>-0.631</v>
      </c>
      <c r="H218" s="7" t="n">
        <v>-0.677</v>
      </c>
      <c r="I218" s="7" t="n">
        <v>-0.766</v>
      </c>
      <c r="J218" s="7" t="n">
        <v>-0.408</v>
      </c>
      <c r="K218" s="7" t="n">
        <v>-0.14</v>
      </c>
      <c r="L218" s="7" t="n">
        <v>-0.612</v>
      </c>
      <c r="M218" s="7" t="n">
        <v>-0.264</v>
      </c>
      <c r="N218" s="7" t="n">
        <v>-0.475</v>
      </c>
      <c r="O218" s="7" t="n">
        <v>-0.153</v>
      </c>
      <c r="P218" s="7" t="n">
        <v>-0.635</v>
      </c>
      <c r="Q218" s="7" t="n">
        <v>-0.403</v>
      </c>
      <c r="R218" s="7" t="n">
        <v>-0.682</v>
      </c>
      <c r="S218" s="7" t="n">
        <v>-0.131</v>
      </c>
      <c r="T218" s="7" t="n">
        <v>-0.508</v>
      </c>
      <c r="U218" s="7" t="n">
        <v>-0.409</v>
      </c>
      <c r="V218" s="7" t="n">
        <v>-0.694</v>
      </c>
      <c r="W218" s="7" t="n">
        <v>-0.403</v>
      </c>
      <c r="X218" s="7" t="n">
        <v>-0.549</v>
      </c>
      <c r="Y218" s="7" t="n">
        <v>-0.501</v>
      </c>
      <c r="Z218" s="7" t="n">
        <v>-0.14</v>
      </c>
      <c r="AA218" s="7" t="n">
        <v>-0.466</v>
      </c>
      <c r="AB218" s="7" t="n">
        <v>-0.559</v>
      </c>
      <c r="AC218" s="7" t="n">
        <v>-0.264</v>
      </c>
      <c r="AD218" s="7" t="n">
        <v>-0.597</v>
      </c>
      <c r="AE218" s="7" t="n">
        <v>-0.227</v>
      </c>
      <c r="AF218" s="7" t="n">
        <v>-0.218</v>
      </c>
      <c r="AG218" s="7" t="n">
        <v>-0.677</v>
      </c>
      <c r="AH218" s="7" t="n">
        <v>0.854</v>
      </c>
      <c r="AI218" s="7" t="n">
        <v>0.002</v>
      </c>
      <c r="AJ218" s="7" t="n">
        <v>-0.491</v>
      </c>
      <c r="AK218" s="7" t="n">
        <v>-0.147</v>
      </c>
      <c r="AL218" s="7" t="n">
        <v>-0.432</v>
      </c>
      <c r="AM218" s="7" t="n">
        <v>-0.257</v>
      </c>
      <c r="AN218" s="7" t="n">
        <v>-0.395</v>
      </c>
      <c r="AO218" s="7" t="n">
        <v>0.046</v>
      </c>
      <c r="AP218" s="7" t="n">
        <v>0</v>
      </c>
      <c r="AQ218" s="7" t="n">
        <v>-0.004</v>
      </c>
    </row>
    <row r="219" customFormat="false" ht="15" hidden="false" customHeight="false" outlineLevel="0" collapsed="false">
      <c r="A219" s="23" t="n">
        <v>46536</v>
      </c>
      <c r="B219" s="7" t="n">
        <v>-0.695</v>
      </c>
      <c r="C219" s="7" t="n">
        <v>-0.434</v>
      </c>
      <c r="D219" s="7" t="n">
        <v>-0.672</v>
      </c>
      <c r="E219" s="7" t="n">
        <v>-0.238</v>
      </c>
      <c r="F219" s="7" t="n">
        <v>-0.239</v>
      </c>
      <c r="G219" s="7" t="n">
        <v>-0.655</v>
      </c>
      <c r="H219" s="7" t="n">
        <v>-0.694</v>
      </c>
      <c r="I219" s="7" t="n">
        <v>-0.77</v>
      </c>
      <c r="J219" s="7" t="n">
        <v>-0.411</v>
      </c>
      <c r="K219" s="7" t="n">
        <v>-0.157</v>
      </c>
      <c r="L219" s="7" t="n">
        <v>-0.622</v>
      </c>
      <c r="M219" s="7" t="n">
        <v>-0.28</v>
      </c>
      <c r="N219" s="7" t="n">
        <v>-0.48</v>
      </c>
      <c r="O219" s="7" t="n">
        <v>-0.169</v>
      </c>
      <c r="P219" s="7" t="n">
        <v>-0.659</v>
      </c>
      <c r="Q219" s="7" t="n">
        <v>-0.421</v>
      </c>
      <c r="R219" s="7" t="n">
        <v>-0.7</v>
      </c>
      <c r="S219" s="7" t="n">
        <v>-0.138</v>
      </c>
      <c r="T219" s="7" t="n">
        <v>-0.522</v>
      </c>
      <c r="U219" s="7" t="n">
        <v>-0.423</v>
      </c>
      <c r="V219" s="7" t="n">
        <v>-0.707</v>
      </c>
      <c r="W219" s="7" t="n">
        <v>-0.421</v>
      </c>
      <c r="X219" s="7" t="n">
        <v>-0.573</v>
      </c>
      <c r="Y219" s="7" t="n">
        <v>-0.526</v>
      </c>
      <c r="Z219" s="7" t="n">
        <v>-0.157</v>
      </c>
      <c r="AA219" s="7" t="n">
        <v>-0.479</v>
      </c>
      <c r="AB219" s="7" t="n">
        <v>-0.565</v>
      </c>
      <c r="AC219" s="7" t="n">
        <v>-0.28</v>
      </c>
      <c r="AD219" s="7" t="n">
        <v>-0.612</v>
      </c>
      <c r="AE219" s="7" t="n">
        <v>-0.239</v>
      </c>
      <c r="AF219" s="7" t="n">
        <v>-0.236</v>
      </c>
      <c r="AG219" s="7" t="n">
        <v>-0.694</v>
      </c>
      <c r="AH219" s="7" t="n">
        <v>0.851</v>
      </c>
      <c r="AI219" s="7" t="n">
        <v>0.015</v>
      </c>
      <c r="AJ219" s="7" t="n">
        <v>-0.487</v>
      </c>
      <c r="AK219" s="7" t="n">
        <v>-0.134</v>
      </c>
      <c r="AL219" s="7" t="n">
        <v>-0.449</v>
      </c>
      <c r="AM219" s="7" t="n">
        <v>-0.251</v>
      </c>
      <c r="AN219" s="7" t="n">
        <v>-0.4</v>
      </c>
      <c r="AO219" s="7" t="n">
        <v>0.041</v>
      </c>
      <c r="AP219" s="7" t="n">
        <v>0</v>
      </c>
      <c r="AQ219" s="7" t="n">
        <v>-0.005</v>
      </c>
    </row>
    <row r="220" customFormat="false" ht="15" hidden="false" customHeight="false" outlineLevel="0" collapsed="false">
      <c r="A220" s="23" t="n">
        <v>46537</v>
      </c>
      <c r="B220" s="7" t="n">
        <v>-0.695</v>
      </c>
      <c r="C220" s="7" t="n">
        <v>-0.434</v>
      </c>
      <c r="D220" s="7" t="n">
        <v>-0.672</v>
      </c>
      <c r="E220" s="7" t="n">
        <v>-0.238</v>
      </c>
      <c r="F220" s="7" t="n">
        <v>-0.239</v>
      </c>
      <c r="G220" s="7" t="n">
        <v>-0.655</v>
      </c>
      <c r="H220" s="7" t="n">
        <v>-0.694</v>
      </c>
      <c r="I220" s="7" t="n">
        <v>-0.77</v>
      </c>
      <c r="J220" s="7" t="n">
        <v>-0.411</v>
      </c>
      <c r="K220" s="7" t="n">
        <v>-0.157</v>
      </c>
      <c r="L220" s="7" t="n">
        <v>-0.622</v>
      </c>
      <c r="M220" s="7" t="n">
        <v>-0.28</v>
      </c>
      <c r="N220" s="7" t="n">
        <v>-0.48</v>
      </c>
      <c r="O220" s="7" t="n">
        <v>-0.169</v>
      </c>
      <c r="P220" s="7" t="n">
        <v>-0.659</v>
      </c>
      <c r="Q220" s="7" t="n">
        <v>-0.421</v>
      </c>
      <c r="R220" s="7" t="n">
        <v>-0.7</v>
      </c>
      <c r="S220" s="7" t="n">
        <v>-0.138</v>
      </c>
      <c r="T220" s="7" t="n">
        <v>-0.522</v>
      </c>
      <c r="U220" s="7" t="n">
        <v>-0.423</v>
      </c>
      <c r="V220" s="7" t="n">
        <v>-0.707</v>
      </c>
      <c r="W220" s="7" t="n">
        <v>-0.421</v>
      </c>
      <c r="X220" s="7" t="n">
        <v>-0.573</v>
      </c>
      <c r="Y220" s="7" t="n">
        <v>-0.526</v>
      </c>
      <c r="Z220" s="7" t="n">
        <v>-0.157</v>
      </c>
      <c r="AA220" s="7" t="n">
        <v>-0.479</v>
      </c>
      <c r="AB220" s="7" t="n">
        <v>-0.565</v>
      </c>
      <c r="AC220" s="7" t="n">
        <v>-0.28</v>
      </c>
      <c r="AD220" s="7" t="n">
        <v>-0.612</v>
      </c>
      <c r="AE220" s="7" t="n">
        <v>-0.239</v>
      </c>
      <c r="AF220" s="7" t="n">
        <v>-0.236</v>
      </c>
      <c r="AG220" s="7" t="n">
        <v>-0.694</v>
      </c>
      <c r="AH220" s="7" t="n">
        <v>0.851</v>
      </c>
      <c r="AI220" s="7" t="n">
        <v>0.015</v>
      </c>
      <c r="AJ220" s="7" t="n">
        <v>-0.487</v>
      </c>
      <c r="AK220" s="7" t="n">
        <v>-0.134</v>
      </c>
      <c r="AL220" s="7" t="n">
        <v>-0.449</v>
      </c>
      <c r="AM220" s="7" t="n">
        <v>-0.251</v>
      </c>
      <c r="AN220" s="7" t="n">
        <v>-0.4</v>
      </c>
      <c r="AO220" s="7" t="n">
        <v>0.041</v>
      </c>
      <c r="AP220" s="7" t="n">
        <v>0</v>
      </c>
      <c r="AQ220" s="7" t="n">
        <v>-0.005</v>
      </c>
    </row>
    <row r="221" customFormat="false" ht="15" hidden="false" customHeight="false" outlineLevel="0" collapsed="false">
      <c r="A221" s="23" t="n">
        <v>46538</v>
      </c>
      <c r="B221" s="7" t="n">
        <v>-0.695</v>
      </c>
      <c r="C221" s="7" t="n">
        <v>-0.434</v>
      </c>
      <c r="D221" s="7" t="n">
        <v>-0.672</v>
      </c>
      <c r="E221" s="7" t="n">
        <v>-0.238</v>
      </c>
      <c r="F221" s="7" t="n">
        <v>-0.239</v>
      </c>
      <c r="G221" s="7" t="n">
        <v>-0.655</v>
      </c>
      <c r="H221" s="7" t="n">
        <v>-0.694</v>
      </c>
      <c r="I221" s="7" t="n">
        <v>-0.77</v>
      </c>
      <c r="J221" s="7" t="n">
        <v>-0.411</v>
      </c>
      <c r="K221" s="7" t="n">
        <v>-0.157</v>
      </c>
      <c r="L221" s="7" t="n">
        <v>-0.622</v>
      </c>
      <c r="M221" s="7" t="n">
        <v>-0.28</v>
      </c>
      <c r="N221" s="7" t="n">
        <v>-0.48</v>
      </c>
      <c r="O221" s="7" t="n">
        <v>-0.169</v>
      </c>
      <c r="P221" s="7" t="n">
        <v>-0.659</v>
      </c>
      <c r="Q221" s="7" t="n">
        <v>-0.421</v>
      </c>
      <c r="R221" s="7" t="n">
        <v>-0.7</v>
      </c>
      <c r="S221" s="7" t="n">
        <v>-0.138</v>
      </c>
      <c r="T221" s="7" t="n">
        <v>-0.522</v>
      </c>
      <c r="U221" s="7" t="n">
        <v>-0.423</v>
      </c>
      <c r="V221" s="7" t="n">
        <v>-0.707</v>
      </c>
      <c r="W221" s="7" t="n">
        <v>-0.421</v>
      </c>
      <c r="X221" s="7" t="n">
        <v>-0.573</v>
      </c>
      <c r="Y221" s="7" t="n">
        <v>-0.526</v>
      </c>
      <c r="Z221" s="7" t="n">
        <v>-0.157</v>
      </c>
      <c r="AA221" s="7" t="n">
        <v>-0.479</v>
      </c>
      <c r="AB221" s="7" t="n">
        <v>-0.565</v>
      </c>
      <c r="AC221" s="7" t="n">
        <v>-0.28</v>
      </c>
      <c r="AD221" s="7" t="n">
        <v>-0.612</v>
      </c>
      <c r="AE221" s="7" t="n">
        <v>-0.239</v>
      </c>
      <c r="AF221" s="7" t="n">
        <v>-0.236</v>
      </c>
      <c r="AG221" s="7" t="n">
        <v>-0.694</v>
      </c>
      <c r="AH221" s="7" t="n">
        <v>0.851</v>
      </c>
      <c r="AI221" s="7" t="n">
        <v>0.015</v>
      </c>
      <c r="AJ221" s="7" t="n">
        <v>-0.487</v>
      </c>
      <c r="AK221" s="7" t="n">
        <v>-0.134</v>
      </c>
      <c r="AL221" s="7" t="n">
        <v>-0.449</v>
      </c>
      <c r="AM221" s="7" t="n">
        <v>-0.251</v>
      </c>
      <c r="AN221" s="7" t="n">
        <v>-0.4</v>
      </c>
      <c r="AO221" s="7" t="n">
        <v>0.041</v>
      </c>
      <c r="AP221" s="7" t="n">
        <v>0</v>
      </c>
      <c r="AQ221" s="7" t="n">
        <v>-0.005</v>
      </c>
    </row>
    <row r="222" customFormat="false" ht="15" hidden="false" customHeight="false" outlineLevel="0" collapsed="false">
      <c r="A222" s="23" t="n">
        <v>46539</v>
      </c>
      <c r="B222" s="7" t="n">
        <v>-0.715</v>
      </c>
      <c r="C222" s="7" t="n">
        <v>-0.436</v>
      </c>
      <c r="D222" s="7" t="n">
        <v>-0.697</v>
      </c>
      <c r="E222" s="7" t="n">
        <v>-0.253</v>
      </c>
      <c r="F222" s="7" t="n">
        <v>-0.251</v>
      </c>
      <c r="G222" s="7" t="n">
        <v>-0.678</v>
      </c>
      <c r="H222" s="7" t="n">
        <v>-0.709</v>
      </c>
      <c r="I222" s="7" t="n">
        <v>-0.772</v>
      </c>
      <c r="J222" s="7" t="n">
        <v>-0.414</v>
      </c>
      <c r="K222" s="7" t="n">
        <v>-0.175</v>
      </c>
      <c r="L222" s="7" t="n">
        <v>-0.632</v>
      </c>
      <c r="M222" s="7" t="n">
        <v>-0.296</v>
      </c>
      <c r="N222" s="7" t="n">
        <v>-0.485</v>
      </c>
      <c r="O222" s="7" t="n">
        <v>-0.184</v>
      </c>
      <c r="P222" s="7" t="n">
        <v>-0.682</v>
      </c>
      <c r="Q222" s="7" t="n">
        <v>-0.439</v>
      </c>
      <c r="R222" s="7" t="n">
        <v>-0.716</v>
      </c>
      <c r="S222" s="7" t="n">
        <v>-0.146</v>
      </c>
      <c r="T222" s="7" t="n">
        <v>-0.536</v>
      </c>
      <c r="U222" s="7" t="n">
        <v>-0.436</v>
      </c>
      <c r="V222" s="7" t="n">
        <v>-0.718</v>
      </c>
      <c r="W222" s="7" t="n">
        <v>-0.439</v>
      </c>
      <c r="X222" s="7" t="n">
        <v>-0.596</v>
      </c>
      <c r="Y222" s="7" t="n">
        <v>-0.551</v>
      </c>
      <c r="Z222" s="7" t="n">
        <v>-0.175</v>
      </c>
      <c r="AA222" s="7" t="n">
        <v>-0.492</v>
      </c>
      <c r="AB222" s="7" t="n">
        <v>-0.569</v>
      </c>
      <c r="AC222" s="7" t="n">
        <v>-0.297</v>
      </c>
      <c r="AD222" s="7" t="n">
        <v>-0.626</v>
      </c>
      <c r="AE222" s="7" t="n">
        <v>-0.251</v>
      </c>
      <c r="AF222" s="7" t="n">
        <v>-0.254</v>
      </c>
      <c r="AG222" s="7" t="n">
        <v>-0.709</v>
      </c>
      <c r="AH222" s="7" t="n">
        <v>0.849</v>
      </c>
      <c r="AI222" s="7" t="n">
        <v>0.028</v>
      </c>
      <c r="AJ222" s="7" t="n">
        <v>-0.483</v>
      </c>
      <c r="AK222" s="7" t="n">
        <v>-0.122</v>
      </c>
      <c r="AL222" s="7" t="n">
        <v>-0.465</v>
      </c>
      <c r="AM222" s="7" t="n">
        <v>-0.247</v>
      </c>
      <c r="AN222" s="7" t="n">
        <v>-0.405</v>
      </c>
      <c r="AO222" s="7" t="n">
        <v>0.037</v>
      </c>
      <c r="AP222" s="7" t="n">
        <v>0</v>
      </c>
      <c r="AQ222" s="7" t="n">
        <v>-0.006</v>
      </c>
    </row>
    <row r="223" customFormat="false" ht="15" hidden="false" customHeight="false" outlineLevel="0" collapsed="false">
      <c r="A223" s="23" t="n">
        <v>46540</v>
      </c>
      <c r="B223" s="7" t="n">
        <v>-0.735</v>
      </c>
      <c r="C223" s="7" t="n">
        <v>-0.437</v>
      </c>
      <c r="D223" s="7" t="n">
        <v>-0.723</v>
      </c>
      <c r="E223" s="7" t="n">
        <v>-0.268</v>
      </c>
      <c r="F223" s="7" t="n">
        <v>-0.262</v>
      </c>
      <c r="G223" s="7" t="n">
        <v>-0.702</v>
      </c>
      <c r="H223" s="7" t="n">
        <v>-0.724</v>
      </c>
      <c r="I223" s="7" t="n">
        <v>-0.775</v>
      </c>
      <c r="J223" s="7" t="n">
        <v>-0.418</v>
      </c>
      <c r="K223" s="7" t="n">
        <v>-0.193</v>
      </c>
      <c r="L223" s="7" t="n">
        <v>-0.641</v>
      </c>
      <c r="M223" s="7" t="n">
        <v>-0.311</v>
      </c>
      <c r="N223" s="7" t="n">
        <v>-0.49</v>
      </c>
      <c r="O223" s="7" t="n">
        <v>-0.2</v>
      </c>
      <c r="P223" s="7" t="n">
        <v>-0.706</v>
      </c>
      <c r="Q223" s="7" t="n">
        <v>-0.457</v>
      </c>
      <c r="R223" s="7" t="n">
        <v>-0.732</v>
      </c>
      <c r="S223" s="7" t="n">
        <v>-0.154</v>
      </c>
      <c r="T223" s="7" t="n">
        <v>-0.549</v>
      </c>
      <c r="U223" s="7" t="n">
        <v>-0.449</v>
      </c>
      <c r="V223" s="7" t="n">
        <v>-0.729</v>
      </c>
      <c r="W223" s="7" t="n">
        <v>-0.457</v>
      </c>
      <c r="X223" s="7" t="n">
        <v>-0.619</v>
      </c>
      <c r="Y223" s="7" t="n">
        <v>-0.576</v>
      </c>
      <c r="Z223" s="7" t="n">
        <v>-0.193</v>
      </c>
      <c r="AA223" s="7" t="n">
        <v>-0.504</v>
      </c>
      <c r="AB223" s="7" t="n">
        <v>-0.572</v>
      </c>
      <c r="AC223" s="7" t="n">
        <v>-0.313</v>
      </c>
      <c r="AD223" s="7" t="n">
        <v>-0.64</v>
      </c>
      <c r="AE223" s="7" t="n">
        <v>-0.262</v>
      </c>
      <c r="AF223" s="7" t="n">
        <v>-0.272</v>
      </c>
      <c r="AG223" s="7" t="n">
        <v>-0.724</v>
      </c>
      <c r="AH223" s="7" t="n">
        <v>0.846</v>
      </c>
      <c r="AI223" s="7" t="n">
        <v>0.04</v>
      </c>
      <c r="AJ223" s="7" t="n">
        <v>-0.479</v>
      </c>
      <c r="AK223" s="7" t="n">
        <v>-0.109</v>
      </c>
      <c r="AL223" s="7" t="n">
        <v>-0.481</v>
      </c>
      <c r="AM223" s="7" t="n">
        <v>-0.242</v>
      </c>
      <c r="AN223" s="7" t="n">
        <v>-0.41</v>
      </c>
      <c r="AO223" s="7" t="n">
        <v>0.032</v>
      </c>
      <c r="AP223" s="7" t="n">
        <v>0</v>
      </c>
      <c r="AQ223" s="7" t="n">
        <v>-0.008</v>
      </c>
    </row>
    <row r="224" customFormat="false" ht="15" hidden="false" customHeight="false" outlineLevel="0" collapsed="false">
      <c r="A224" s="23" t="n">
        <v>46541</v>
      </c>
      <c r="B224" s="7" t="n">
        <v>-0.754</v>
      </c>
      <c r="C224" s="7" t="n">
        <v>-0.44</v>
      </c>
      <c r="D224" s="7" t="n">
        <v>-0.748</v>
      </c>
      <c r="E224" s="7" t="n">
        <v>-0.283</v>
      </c>
      <c r="F224" s="7" t="n">
        <v>-0.276</v>
      </c>
      <c r="G224" s="7" t="n">
        <v>-0.726</v>
      </c>
      <c r="H224" s="7" t="n">
        <v>-0.739</v>
      </c>
      <c r="I224" s="7" t="n">
        <v>-0.777</v>
      </c>
      <c r="J224" s="7" t="n">
        <v>-0.422</v>
      </c>
      <c r="K224" s="7" t="n">
        <v>-0.21</v>
      </c>
      <c r="L224" s="7" t="n">
        <v>-0.652</v>
      </c>
      <c r="M224" s="7" t="n">
        <v>-0.328</v>
      </c>
      <c r="N224" s="7" t="n">
        <v>-0.496</v>
      </c>
      <c r="O224" s="7" t="n">
        <v>-0.219</v>
      </c>
      <c r="P224" s="7" t="n">
        <v>-0.73</v>
      </c>
      <c r="Q224" s="7" t="n">
        <v>-0.476</v>
      </c>
      <c r="R224" s="7" t="n">
        <v>-0.748</v>
      </c>
      <c r="S224" s="7" t="n">
        <v>-0.162</v>
      </c>
      <c r="T224" s="7" t="n">
        <v>-0.563</v>
      </c>
      <c r="U224" s="7" t="n">
        <v>-0.462</v>
      </c>
      <c r="V224" s="7" t="n">
        <v>-0.738</v>
      </c>
      <c r="W224" s="7" t="n">
        <v>-0.476</v>
      </c>
      <c r="X224" s="7" t="n">
        <v>-0.644</v>
      </c>
      <c r="Y224" s="7" t="n">
        <v>-0.601</v>
      </c>
      <c r="Z224" s="7" t="n">
        <v>-0.21</v>
      </c>
      <c r="AA224" s="7" t="n">
        <v>-0.516</v>
      </c>
      <c r="AB224" s="7" t="n">
        <v>-0.575</v>
      </c>
      <c r="AC224" s="7" t="n">
        <v>-0.331</v>
      </c>
      <c r="AD224" s="7" t="n">
        <v>-0.654</v>
      </c>
      <c r="AE224" s="7" t="n">
        <v>-0.276</v>
      </c>
      <c r="AF224" s="7" t="n">
        <v>-0.291</v>
      </c>
      <c r="AG224" s="7" t="n">
        <v>-0.739</v>
      </c>
      <c r="AH224" s="7" t="n">
        <v>0.843</v>
      </c>
      <c r="AI224" s="7" t="n">
        <v>0.051</v>
      </c>
      <c r="AJ224" s="7" t="n">
        <v>-0.476</v>
      </c>
      <c r="AK224" s="7" t="n">
        <v>-0.099</v>
      </c>
      <c r="AL224" s="7" t="n">
        <v>-0.498</v>
      </c>
      <c r="AM224" s="7" t="n">
        <v>-0.238</v>
      </c>
      <c r="AN224" s="7" t="n">
        <v>-0.414</v>
      </c>
      <c r="AO224" s="7" t="n">
        <v>0.026</v>
      </c>
      <c r="AP224" s="7" t="n">
        <v>0</v>
      </c>
      <c r="AQ224" s="7" t="n">
        <v>-0.01</v>
      </c>
    </row>
    <row r="225" customFormat="false" ht="15" hidden="false" customHeight="false" outlineLevel="0" collapsed="false">
      <c r="A225" s="23" t="n">
        <v>46542</v>
      </c>
      <c r="B225" s="7" t="n">
        <v>-0.767</v>
      </c>
      <c r="C225" s="7" t="n">
        <v>-0.451</v>
      </c>
      <c r="D225" s="7" t="n">
        <v>-0.756</v>
      </c>
      <c r="E225" s="7" t="n">
        <v>-0.293</v>
      </c>
      <c r="F225" s="7" t="n">
        <v>-0.292</v>
      </c>
      <c r="G225" s="7" t="n">
        <v>-0.731</v>
      </c>
      <c r="H225" s="7" t="n">
        <v>-0.743</v>
      </c>
      <c r="I225" s="7" t="n">
        <v>-0.777</v>
      </c>
      <c r="J225" s="7" t="n">
        <v>-0.43</v>
      </c>
      <c r="K225" s="7" t="n">
        <v>-0.232</v>
      </c>
      <c r="L225" s="7" t="n">
        <v>-0.657</v>
      </c>
      <c r="M225" s="7" t="n">
        <v>-0.342</v>
      </c>
      <c r="N225" s="7" t="n">
        <v>-0.505</v>
      </c>
      <c r="O225" s="7" t="n">
        <v>-0.233</v>
      </c>
      <c r="P225" s="7" t="n">
        <v>-0.736</v>
      </c>
      <c r="Q225" s="7" t="n">
        <v>-0.487</v>
      </c>
      <c r="R225" s="7" t="n">
        <v>-0.753</v>
      </c>
      <c r="S225" s="7" t="n">
        <v>-0.169</v>
      </c>
      <c r="T225" s="7" t="n">
        <v>-0.574</v>
      </c>
      <c r="U225" s="7" t="n">
        <v>-0.477</v>
      </c>
      <c r="V225" s="7" t="n">
        <v>-0.739</v>
      </c>
      <c r="W225" s="7" t="n">
        <v>-0.487</v>
      </c>
      <c r="X225" s="7" t="n">
        <v>-0.653</v>
      </c>
      <c r="Y225" s="7" t="n">
        <v>-0.62</v>
      </c>
      <c r="Z225" s="7" t="n">
        <v>-0.232</v>
      </c>
      <c r="AA225" s="7" t="n">
        <v>-0.527</v>
      </c>
      <c r="AB225" s="7" t="n">
        <v>-0.574</v>
      </c>
      <c r="AC225" s="7" t="n">
        <v>-0.345</v>
      </c>
      <c r="AD225" s="7" t="n">
        <v>-0.656</v>
      </c>
      <c r="AE225" s="7" t="n">
        <v>-0.292</v>
      </c>
      <c r="AF225" s="7" t="n">
        <v>-0.311</v>
      </c>
      <c r="AG225" s="7" t="n">
        <v>-0.743</v>
      </c>
      <c r="AH225" s="7" t="n">
        <v>0.839</v>
      </c>
      <c r="AI225" s="7" t="n">
        <v>0.064</v>
      </c>
      <c r="AJ225" s="7" t="n">
        <v>-0.474</v>
      </c>
      <c r="AK225" s="7" t="n">
        <v>-0.097</v>
      </c>
      <c r="AL225" s="7" t="n">
        <v>-0.501</v>
      </c>
      <c r="AM225" s="7" t="n">
        <v>-0.233</v>
      </c>
      <c r="AN225" s="7" t="n">
        <v>-0.411</v>
      </c>
      <c r="AO225" s="7" t="n">
        <v>0.017</v>
      </c>
      <c r="AP225" s="7" t="n">
        <v>0</v>
      </c>
      <c r="AQ225" s="7" t="n">
        <v>-0.01</v>
      </c>
    </row>
    <row r="226" customFormat="false" ht="15" hidden="false" customHeight="false" outlineLevel="0" collapsed="false">
      <c r="A226" s="23" t="n">
        <v>46543</v>
      </c>
      <c r="B226" s="7" t="n">
        <v>-0.779</v>
      </c>
      <c r="C226" s="7" t="n">
        <v>-0.458</v>
      </c>
      <c r="D226" s="7" t="n">
        <v>-0.765</v>
      </c>
      <c r="E226" s="7" t="n">
        <v>-0.305</v>
      </c>
      <c r="F226" s="7" t="n">
        <v>-0.302</v>
      </c>
      <c r="G226" s="7" t="n">
        <v>-0.738</v>
      </c>
      <c r="H226" s="7" t="n">
        <v>-0.748</v>
      </c>
      <c r="I226" s="7" t="n">
        <v>-0.778</v>
      </c>
      <c r="J226" s="7" t="n">
        <v>-0.433</v>
      </c>
      <c r="K226" s="7" t="n">
        <v>-0.25</v>
      </c>
      <c r="L226" s="7" t="n">
        <v>-0.66</v>
      </c>
      <c r="M226" s="7" t="n">
        <v>-0.352</v>
      </c>
      <c r="N226" s="7" t="n">
        <v>-0.51</v>
      </c>
      <c r="O226" s="7" t="n">
        <v>-0.246</v>
      </c>
      <c r="P226" s="7" t="n">
        <v>-0.745</v>
      </c>
      <c r="Q226" s="7" t="n">
        <v>-0.496</v>
      </c>
      <c r="R226" s="7" t="n">
        <v>-0.759</v>
      </c>
      <c r="S226" s="7" t="n">
        <v>-0.172</v>
      </c>
      <c r="T226" s="7" t="n">
        <v>-0.583</v>
      </c>
      <c r="U226" s="7" t="n">
        <v>-0.487</v>
      </c>
      <c r="V226" s="7" t="n">
        <v>-0.74</v>
      </c>
      <c r="W226" s="7" t="n">
        <v>-0.496</v>
      </c>
      <c r="X226" s="7" t="n">
        <v>-0.664</v>
      </c>
      <c r="Y226" s="7" t="n">
        <v>-0.638</v>
      </c>
      <c r="Z226" s="7" t="n">
        <v>-0.25</v>
      </c>
      <c r="AA226" s="7" t="n">
        <v>-0.534</v>
      </c>
      <c r="AB226" s="7" t="n">
        <v>-0.572</v>
      </c>
      <c r="AC226" s="7" t="n">
        <v>-0.357</v>
      </c>
      <c r="AD226" s="7" t="n">
        <v>-0.661</v>
      </c>
      <c r="AE226" s="7" t="n">
        <v>-0.302</v>
      </c>
      <c r="AF226" s="7" t="n">
        <v>-0.324</v>
      </c>
      <c r="AG226" s="7" t="n">
        <v>-0.748</v>
      </c>
      <c r="AH226" s="7" t="n">
        <v>0.833</v>
      </c>
      <c r="AI226" s="7" t="n">
        <v>0.07</v>
      </c>
      <c r="AJ226" s="7" t="n">
        <v>-0.475</v>
      </c>
      <c r="AK226" s="7" t="n">
        <v>-0.095</v>
      </c>
      <c r="AL226" s="7" t="n">
        <v>-0.51</v>
      </c>
      <c r="AM226" s="7" t="n">
        <v>-0.229</v>
      </c>
      <c r="AN226" s="7" t="n">
        <v>-0.412</v>
      </c>
      <c r="AO226" s="7" t="n">
        <v>0.007</v>
      </c>
      <c r="AP226" s="7" t="n">
        <v>0</v>
      </c>
      <c r="AQ226" s="7" t="n">
        <v>-0.014</v>
      </c>
    </row>
    <row r="227" customFormat="false" ht="15" hidden="false" customHeight="false" outlineLevel="0" collapsed="false">
      <c r="A227" s="23" t="n">
        <v>46544</v>
      </c>
      <c r="B227" s="7" t="n">
        <v>-0.779</v>
      </c>
      <c r="C227" s="7" t="n">
        <v>-0.458</v>
      </c>
      <c r="D227" s="7" t="n">
        <v>-0.765</v>
      </c>
      <c r="E227" s="7" t="n">
        <v>-0.305</v>
      </c>
      <c r="F227" s="7" t="n">
        <v>-0.302</v>
      </c>
      <c r="G227" s="7" t="n">
        <v>-0.738</v>
      </c>
      <c r="H227" s="7" t="n">
        <v>-0.748</v>
      </c>
      <c r="I227" s="7" t="n">
        <v>-0.778</v>
      </c>
      <c r="J227" s="7" t="n">
        <v>-0.433</v>
      </c>
      <c r="K227" s="7" t="n">
        <v>-0.25</v>
      </c>
      <c r="L227" s="7" t="n">
        <v>-0.66</v>
      </c>
      <c r="M227" s="7" t="n">
        <v>-0.352</v>
      </c>
      <c r="N227" s="7" t="n">
        <v>-0.51</v>
      </c>
      <c r="O227" s="7" t="n">
        <v>-0.246</v>
      </c>
      <c r="P227" s="7" t="n">
        <v>-0.745</v>
      </c>
      <c r="Q227" s="7" t="n">
        <v>-0.496</v>
      </c>
      <c r="R227" s="7" t="n">
        <v>-0.759</v>
      </c>
      <c r="S227" s="7" t="n">
        <v>-0.172</v>
      </c>
      <c r="T227" s="7" t="n">
        <v>-0.583</v>
      </c>
      <c r="U227" s="7" t="n">
        <v>-0.487</v>
      </c>
      <c r="V227" s="7" t="n">
        <v>-0.74</v>
      </c>
      <c r="W227" s="7" t="n">
        <v>-0.496</v>
      </c>
      <c r="X227" s="7" t="n">
        <v>-0.664</v>
      </c>
      <c r="Y227" s="7" t="n">
        <v>-0.638</v>
      </c>
      <c r="Z227" s="7" t="n">
        <v>-0.25</v>
      </c>
      <c r="AA227" s="7" t="n">
        <v>-0.534</v>
      </c>
      <c r="AB227" s="7" t="n">
        <v>-0.572</v>
      </c>
      <c r="AC227" s="7" t="n">
        <v>-0.357</v>
      </c>
      <c r="AD227" s="7" t="n">
        <v>-0.661</v>
      </c>
      <c r="AE227" s="7" t="n">
        <v>-0.302</v>
      </c>
      <c r="AF227" s="7" t="n">
        <v>-0.324</v>
      </c>
      <c r="AG227" s="7" t="n">
        <v>-0.748</v>
      </c>
      <c r="AH227" s="7" t="n">
        <v>0.833</v>
      </c>
      <c r="AI227" s="7" t="n">
        <v>0.07</v>
      </c>
      <c r="AJ227" s="7" t="n">
        <v>-0.475</v>
      </c>
      <c r="AK227" s="7" t="n">
        <v>-0.095</v>
      </c>
      <c r="AL227" s="7" t="n">
        <v>-0.51</v>
      </c>
      <c r="AM227" s="7" t="n">
        <v>-0.229</v>
      </c>
      <c r="AN227" s="7" t="n">
        <v>-0.412</v>
      </c>
      <c r="AO227" s="7" t="n">
        <v>0.007</v>
      </c>
      <c r="AP227" s="7" t="n">
        <v>0</v>
      </c>
      <c r="AQ227" s="7" t="n">
        <v>-0.014</v>
      </c>
    </row>
    <row r="228" customFormat="false" ht="15" hidden="false" customHeight="false" outlineLevel="0" collapsed="false">
      <c r="A228" s="23" t="n">
        <v>46545</v>
      </c>
      <c r="B228" s="7" t="n">
        <v>-0.779</v>
      </c>
      <c r="C228" s="7" t="n">
        <v>-0.458</v>
      </c>
      <c r="D228" s="7" t="n">
        <v>-0.765</v>
      </c>
      <c r="E228" s="7" t="n">
        <v>-0.305</v>
      </c>
      <c r="F228" s="7" t="n">
        <v>-0.302</v>
      </c>
      <c r="G228" s="7" t="n">
        <v>-0.738</v>
      </c>
      <c r="H228" s="7" t="n">
        <v>-0.748</v>
      </c>
      <c r="I228" s="7" t="n">
        <v>-0.778</v>
      </c>
      <c r="J228" s="7" t="n">
        <v>-0.433</v>
      </c>
      <c r="K228" s="7" t="n">
        <v>-0.25</v>
      </c>
      <c r="L228" s="7" t="n">
        <v>-0.66</v>
      </c>
      <c r="M228" s="7" t="n">
        <v>-0.352</v>
      </c>
      <c r="N228" s="7" t="n">
        <v>-0.51</v>
      </c>
      <c r="O228" s="7" t="n">
        <v>-0.246</v>
      </c>
      <c r="P228" s="7" t="n">
        <v>-0.745</v>
      </c>
      <c r="Q228" s="7" t="n">
        <v>-0.496</v>
      </c>
      <c r="R228" s="7" t="n">
        <v>-0.759</v>
      </c>
      <c r="S228" s="7" t="n">
        <v>-0.172</v>
      </c>
      <c r="T228" s="7" t="n">
        <v>-0.583</v>
      </c>
      <c r="U228" s="7" t="n">
        <v>-0.487</v>
      </c>
      <c r="V228" s="7" t="n">
        <v>-0.74</v>
      </c>
      <c r="W228" s="7" t="n">
        <v>-0.496</v>
      </c>
      <c r="X228" s="7" t="n">
        <v>-0.664</v>
      </c>
      <c r="Y228" s="7" t="n">
        <v>-0.638</v>
      </c>
      <c r="Z228" s="7" t="n">
        <v>-0.25</v>
      </c>
      <c r="AA228" s="7" t="n">
        <v>-0.534</v>
      </c>
      <c r="AB228" s="7" t="n">
        <v>-0.572</v>
      </c>
      <c r="AC228" s="7" t="n">
        <v>-0.357</v>
      </c>
      <c r="AD228" s="7" t="n">
        <v>-0.661</v>
      </c>
      <c r="AE228" s="7" t="n">
        <v>-0.302</v>
      </c>
      <c r="AF228" s="7" t="n">
        <v>-0.324</v>
      </c>
      <c r="AG228" s="7" t="n">
        <v>-0.748</v>
      </c>
      <c r="AH228" s="7" t="n">
        <v>0.833</v>
      </c>
      <c r="AI228" s="7" t="n">
        <v>0.07</v>
      </c>
      <c r="AJ228" s="7" t="n">
        <v>-0.475</v>
      </c>
      <c r="AK228" s="7" t="n">
        <v>-0.095</v>
      </c>
      <c r="AL228" s="7" t="n">
        <v>-0.51</v>
      </c>
      <c r="AM228" s="7" t="n">
        <v>-0.229</v>
      </c>
      <c r="AN228" s="7" t="n">
        <v>-0.412</v>
      </c>
      <c r="AO228" s="7" t="n">
        <v>0.007</v>
      </c>
      <c r="AP228" s="7" t="n">
        <v>0</v>
      </c>
      <c r="AQ228" s="7" t="n">
        <v>-0.014</v>
      </c>
    </row>
    <row r="229" customFormat="false" ht="15" hidden="false" customHeight="false" outlineLevel="0" collapsed="false">
      <c r="A229" s="23" t="n">
        <v>46546</v>
      </c>
      <c r="B229" s="7" t="n">
        <v>-0.787</v>
      </c>
      <c r="C229" s="7" t="n">
        <v>-0.464</v>
      </c>
      <c r="D229" s="7" t="n">
        <v>-0.771</v>
      </c>
      <c r="E229" s="7" t="n">
        <v>-0.317</v>
      </c>
      <c r="F229" s="7" t="n">
        <v>-0.314</v>
      </c>
      <c r="G229" s="7" t="n">
        <v>-0.744</v>
      </c>
      <c r="H229" s="7" t="n">
        <v>-0.753</v>
      </c>
      <c r="I229" s="7" t="n">
        <v>-0.779</v>
      </c>
      <c r="J229" s="7" t="n">
        <v>-0.436</v>
      </c>
      <c r="K229" s="7" t="n">
        <v>-0.267</v>
      </c>
      <c r="L229" s="7" t="n">
        <v>-0.662</v>
      </c>
      <c r="M229" s="7" t="n">
        <v>-0.362</v>
      </c>
      <c r="N229" s="7" t="n">
        <v>-0.513</v>
      </c>
      <c r="O229" s="7" t="n">
        <v>-0.256</v>
      </c>
      <c r="P229" s="7" t="n">
        <v>-0.753</v>
      </c>
      <c r="Q229" s="7" t="n">
        <v>-0.506</v>
      </c>
      <c r="R229" s="7" t="n">
        <v>-0.762</v>
      </c>
      <c r="S229" s="7" t="n">
        <v>-0.155</v>
      </c>
      <c r="T229" s="7" t="n">
        <v>-0.588</v>
      </c>
      <c r="U229" s="7" t="n">
        <v>-0.49</v>
      </c>
      <c r="V229" s="7" t="n">
        <v>-0.743</v>
      </c>
      <c r="W229" s="7" t="n">
        <v>-0.506</v>
      </c>
      <c r="X229" s="7" t="n">
        <v>-0.674</v>
      </c>
      <c r="Y229" s="7" t="n">
        <v>-0.652</v>
      </c>
      <c r="Z229" s="7" t="n">
        <v>-0.267</v>
      </c>
      <c r="AA229" s="7" t="n">
        <v>-0.537</v>
      </c>
      <c r="AB229" s="7" t="n">
        <v>-0.568</v>
      </c>
      <c r="AC229" s="7" t="n">
        <v>-0.371</v>
      </c>
      <c r="AD229" s="7" t="n">
        <v>-0.666</v>
      </c>
      <c r="AE229" s="7" t="n">
        <v>-0.314</v>
      </c>
      <c r="AF229" s="7" t="n">
        <v>-0.338</v>
      </c>
      <c r="AG229" s="7" t="n">
        <v>-0.753</v>
      </c>
      <c r="AH229" s="7" t="n">
        <v>0.826</v>
      </c>
      <c r="AI229" s="7" t="n">
        <v>0.079</v>
      </c>
      <c r="AJ229" s="7" t="n">
        <v>-0.476</v>
      </c>
      <c r="AK229" s="7" t="n">
        <v>-0.093</v>
      </c>
      <c r="AL229" s="7" t="n">
        <v>-0.52</v>
      </c>
      <c r="AM229" s="7" t="n">
        <v>-0.222</v>
      </c>
      <c r="AN229" s="7" t="n">
        <v>-0.414</v>
      </c>
      <c r="AO229" s="7" t="n">
        <v>-0.003</v>
      </c>
      <c r="AP229" s="7" t="n">
        <v>0</v>
      </c>
      <c r="AQ229" s="7" t="n">
        <v>-0.017</v>
      </c>
    </row>
    <row r="230" customFormat="false" ht="15" hidden="false" customHeight="false" outlineLevel="0" collapsed="false">
      <c r="A230" s="23" t="n">
        <v>46547</v>
      </c>
      <c r="B230" s="7" t="n">
        <v>-0.796</v>
      </c>
      <c r="C230" s="7" t="n">
        <v>-0.47</v>
      </c>
      <c r="D230" s="7" t="n">
        <v>-0.778</v>
      </c>
      <c r="E230" s="7" t="n">
        <v>-0.33</v>
      </c>
      <c r="F230" s="7" t="n">
        <v>-0.326</v>
      </c>
      <c r="G230" s="7" t="n">
        <v>-0.751</v>
      </c>
      <c r="H230" s="7" t="n">
        <v>-0.758</v>
      </c>
      <c r="I230" s="7" t="n">
        <v>-0.781</v>
      </c>
      <c r="J230" s="7" t="n">
        <v>-0.439</v>
      </c>
      <c r="K230" s="7" t="n">
        <v>-0.284</v>
      </c>
      <c r="L230" s="7" t="n">
        <v>-0.664</v>
      </c>
      <c r="M230" s="7" t="n">
        <v>-0.372</v>
      </c>
      <c r="N230" s="7" t="n">
        <v>-0.516</v>
      </c>
      <c r="O230" s="7" t="n">
        <v>-0.266</v>
      </c>
      <c r="P230" s="7" t="n">
        <v>-0.761</v>
      </c>
      <c r="Q230" s="7" t="n">
        <v>-0.515</v>
      </c>
      <c r="R230" s="7" t="n">
        <v>-0.766</v>
      </c>
      <c r="S230" s="7" t="n">
        <v>-0.139</v>
      </c>
      <c r="T230" s="7" t="n">
        <v>-0.594</v>
      </c>
      <c r="U230" s="7" t="n">
        <v>-0.493</v>
      </c>
      <c r="V230" s="7" t="n">
        <v>-0.747</v>
      </c>
      <c r="W230" s="7" t="n">
        <v>-0.515</v>
      </c>
      <c r="X230" s="7" t="n">
        <v>-0.683</v>
      </c>
      <c r="Y230" s="7" t="n">
        <v>-0.667</v>
      </c>
      <c r="Z230" s="7" t="n">
        <v>-0.284</v>
      </c>
      <c r="AA230" s="7" t="n">
        <v>-0.541</v>
      </c>
      <c r="AB230" s="7" t="n">
        <v>-0.566</v>
      </c>
      <c r="AC230" s="7" t="n">
        <v>-0.384</v>
      </c>
      <c r="AD230" s="7" t="n">
        <v>-0.672</v>
      </c>
      <c r="AE230" s="7" t="n">
        <v>-0.326</v>
      </c>
      <c r="AF230" s="7" t="n">
        <v>-0.352</v>
      </c>
      <c r="AG230" s="7" t="n">
        <v>-0.758</v>
      </c>
      <c r="AH230" s="7" t="n">
        <v>0.82</v>
      </c>
      <c r="AI230" s="7" t="n">
        <v>0.089</v>
      </c>
      <c r="AJ230" s="7" t="n">
        <v>-0.476</v>
      </c>
      <c r="AK230" s="7" t="n">
        <v>-0.09</v>
      </c>
      <c r="AL230" s="7" t="n">
        <v>-0.529</v>
      </c>
      <c r="AM230" s="7" t="n">
        <v>-0.215</v>
      </c>
      <c r="AN230" s="7" t="n">
        <v>-0.415</v>
      </c>
      <c r="AO230" s="7" t="n">
        <v>-0.013</v>
      </c>
      <c r="AP230" s="7" t="n">
        <v>0</v>
      </c>
      <c r="AQ230" s="7" t="n">
        <v>-0.021</v>
      </c>
    </row>
    <row r="231" customFormat="false" ht="15" hidden="false" customHeight="false" outlineLevel="0" collapsed="false">
      <c r="A231" s="23" t="n">
        <v>46548</v>
      </c>
      <c r="B231" s="7" t="n">
        <v>-0.804</v>
      </c>
      <c r="C231" s="7" t="n">
        <v>-0.477</v>
      </c>
      <c r="D231" s="7" t="n">
        <v>-0.783</v>
      </c>
      <c r="E231" s="7" t="n">
        <v>-0.342</v>
      </c>
      <c r="F231" s="7" t="n">
        <v>-0.337</v>
      </c>
      <c r="G231" s="7" t="n">
        <v>-0.757</v>
      </c>
      <c r="H231" s="7" t="n">
        <v>-0.763</v>
      </c>
      <c r="I231" s="7" t="n">
        <v>-0.782</v>
      </c>
      <c r="J231" s="7" t="n">
        <v>-0.442</v>
      </c>
      <c r="K231" s="7" t="n">
        <v>-0.301</v>
      </c>
      <c r="L231" s="7" t="n">
        <v>-0.666</v>
      </c>
      <c r="M231" s="7" t="n">
        <v>-0.381</v>
      </c>
      <c r="N231" s="7" t="n">
        <v>-0.52</v>
      </c>
      <c r="O231" s="7" t="n">
        <v>-0.277</v>
      </c>
      <c r="P231" s="7" t="n">
        <v>-0.768</v>
      </c>
      <c r="Q231" s="7" t="n">
        <v>-0.525</v>
      </c>
      <c r="R231" s="7" t="n">
        <v>-0.77</v>
      </c>
      <c r="S231" s="7" t="n">
        <v>-0.123</v>
      </c>
      <c r="T231" s="7" t="n">
        <v>-0.599</v>
      </c>
      <c r="U231" s="7" t="n">
        <v>-0.495</v>
      </c>
      <c r="V231" s="7" t="n">
        <v>-0.75</v>
      </c>
      <c r="W231" s="7" t="n">
        <v>-0.525</v>
      </c>
      <c r="X231" s="7" t="n">
        <v>-0.69</v>
      </c>
      <c r="Y231" s="7" t="n">
        <v>-0.681</v>
      </c>
      <c r="Z231" s="7" t="n">
        <v>-0.301</v>
      </c>
      <c r="AA231" s="7" t="n">
        <v>-0.544</v>
      </c>
      <c r="AB231" s="7" t="n">
        <v>-0.562</v>
      </c>
      <c r="AC231" s="7" t="n">
        <v>-0.396</v>
      </c>
      <c r="AD231" s="7" t="n">
        <v>-0.678</v>
      </c>
      <c r="AE231" s="7" t="n">
        <v>-0.337</v>
      </c>
      <c r="AF231" s="7" t="n">
        <v>-0.367</v>
      </c>
      <c r="AG231" s="7" t="n">
        <v>-0.763</v>
      </c>
      <c r="AH231" s="7" t="n">
        <v>0.814</v>
      </c>
      <c r="AI231" s="7" t="n">
        <v>0.098</v>
      </c>
      <c r="AJ231" s="7" t="n">
        <v>-0.475</v>
      </c>
      <c r="AK231" s="7" t="n">
        <v>-0.087</v>
      </c>
      <c r="AL231" s="7" t="n">
        <v>-0.538</v>
      </c>
      <c r="AM231" s="7" t="n">
        <v>-0.208</v>
      </c>
      <c r="AN231" s="7" t="n">
        <v>-0.417</v>
      </c>
      <c r="AO231" s="7" t="n">
        <v>-0.022</v>
      </c>
      <c r="AP231" s="7" t="n">
        <v>0</v>
      </c>
      <c r="AQ231" s="7" t="n">
        <v>-0.024</v>
      </c>
    </row>
    <row r="232" customFormat="false" ht="15" hidden="false" customHeight="false" outlineLevel="0" collapsed="false">
      <c r="A232" s="23" t="n">
        <v>46549</v>
      </c>
      <c r="B232" s="7" t="n">
        <v>-0.812</v>
      </c>
      <c r="C232" s="7" t="n">
        <v>-0.484</v>
      </c>
      <c r="D232" s="7" t="n">
        <v>-0.789</v>
      </c>
      <c r="E232" s="7" t="n">
        <v>-0.355</v>
      </c>
      <c r="F232" s="7" t="n">
        <v>-0.348</v>
      </c>
      <c r="G232" s="7" t="n">
        <v>-0.763</v>
      </c>
      <c r="H232" s="7" t="n">
        <v>-0.769</v>
      </c>
      <c r="I232" s="7" t="n">
        <v>-0.784</v>
      </c>
      <c r="J232" s="7" t="n">
        <v>-0.445</v>
      </c>
      <c r="K232" s="7" t="n">
        <v>-0.318</v>
      </c>
      <c r="L232" s="7" t="n">
        <v>-0.668</v>
      </c>
      <c r="M232" s="7" t="n">
        <v>-0.39</v>
      </c>
      <c r="N232" s="7" t="n">
        <v>-0.523</v>
      </c>
      <c r="O232" s="7" t="n">
        <v>-0.287</v>
      </c>
      <c r="P232" s="7" t="n">
        <v>-0.774</v>
      </c>
      <c r="Q232" s="7" t="n">
        <v>-0.535</v>
      </c>
      <c r="R232" s="7" t="n">
        <v>-0.773</v>
      </c>
      <c r="S232" s="7" t="n">
        <v>-0.106</v>
      </c>
      <c r="T232" s="7" t="n">
        <v>-0.604</v>
      </c>
      <c r="U232" s="7" t="n">
        <v>-0.497</v>
      </c>
      <c r="V232" s="7" t="n">
        <v>-0.755</v>
      </c>
      <c r="W232" s="7" t="n">
        <v>-0.535</v>
      </c>
      <c r="X232" s="7" t="n">
        <v>-0.697</v>
      </c>
      <c r="Y232" s="7" t="n">
        <v>-0.695</v>
      </c>
      <c r="Z232" s="7" t="n">
        <v>-0.318</v>
      </c>
      <c r="AA232" s="7" t="n">
        <v>-0.547</v>
      </c>
      <c r="AB232" s="7" t="n">
        <v>-0.562</v>
      </c>
      <c r="AC232" s="7" t="n">
        <v>-0.409</v>
      </c>
      <c r="AD232" s="7" t="n">
        <v>-0.684</v>
      </c>
      <c r="AE232" s="7" t="n">
        <v>-0.348</v>
      </c>
      <c r="AF232" s="7" t="n">
        <v>-0.381</v>
      </c>
      <c r="AG232" s="7" t="n">
        <v>-0.769</v>
      </c>
      <c r="AH232" s="7" t="n">
        <v>0.808</v>
      </c>
      <c r="AI232" s="7" t="n">
        <v>0.107</v>
      </c>
      <c r="AJ232" s="7" t="n">
        <v>-0.475</v>
      </c>
      <c r="AK232" s="7" t="n">
        <v>-0.084</v>
      </c>
      <c r="AL232" s="7" t="n">
        <v>-0.547</v>
      </c>
      <c r="AM232" s="7" t="n">
        <v>-0.201</v>
      </c>
      <c r="AN232" s="7" t="n">
        <v>-0.419</v>
      </c>
      <c r="AO232" s="7" t="n">
        <v>-0.031</v>
      </c>
      <c r="AP232" s="7" t="n">
        <v>0</v>
      </c>
      <c r="AQ232" s="7" t="n">
        <v>-0.028</v>
      </c>
    </row>
    <row r="233" customFormat="false" ht="15" hidden="false" customHeight="false" outlineLevel="0" collapsed="false">
      <c r="A233" s="23" t="n">
        <v>46550</v>
      </c>
      <c r="B233" s="7" t="n">
        <v>-0.82</v>
      </c>
      <c r="C233" s="7" t="n">
        <v>-0.491</v>
      </c>
      <c r="D233" s="7" t="n">
        <v>-0.794</v>
      </c>
      <c r="E233" s="7" t="n">
        <v>-0.369</v>
      </c>
      <c r="F233" s="7" t="n">
        <v>-0.359</v>
      </c>
      <c r="G233" s="7" t="n">
        <v>-0.769</v>
      </c>
      <c r="H233" s="7" t="n">
        <v>-0.774</v>
      </c>
      <c r="I233" s="7" t="n">
        <v>-0.786</v>
      </c>
      <c r="J233" s="7" t="n">
        <v>-0.447</v>
      </c>
      <c r="K233" s="7" t="n">
        <v>-0.335</v>
      </c>
      <c r="L233" s="7" t="n">
        <v>-0.67</v>
      </c>
      <c r="M233" s="7" t="n">
        <v>-0.399</v>
      </c>
      <c r="N233" s="7" t="n">
        <v>-0.526</v>
      </c>
      <c r="O233" s="7" t="n">
        <v>-0.296</v>
      </c>
      <c r="P233" s="7" t="n">
        <v>-0.78</v>
      </c>
      <c r="Q233" s="7" t="n">
        <v>-0.544</v>
      </c>
      <c r="R233" s="7" t="n">
        <v>-0.776</v>
      </c>
      <c r="S233" s="7" t="n">
        <v>-0.09</v>
      </c>
      <c r="T233" s="7" t="n">
        <v>-0.608</v>
      </c>
      <c r="U233" s="7" t="n">
        <v>-0.498</v>
      </c>
      <c r="V233" s="7" t="n">
        <v>-0.761</v>
      </c>
      <c r="W233" s="7" t="n">
        <v>-0.544</v>
      </c>
      <c r="X233" s="7" t="n">
        <v>-0.703</v>
      </c>
      <c r="Y233" s="7" t="n">
        <v>-0.708</v>
      </c>
      <c r="Z233" s="7" t="n">
        <v>-0.335</v>
      </c>
      <c r="AA233" s="7" t="n">
        <v>-0.55</v>
      </c>
      <c r="AB233" s="7" t="n">
        <v>-0.563</v>
      </c>
      <c r="AC233" s="7" t="n">
        <v>-0.421</v>
      </c>
      <c r="AD233" s="7" t="n">
        <v>-0.691</v>
      </c>
      <c r="AE233" s="7" t="n">
        <v>-0.359</v>
      </c>
      <c r="AF233" s="7" t="n">
        <v>-0.395</v>
      </c>
      <c r="AG233" s="7" t="n">
        <v>-0.774</v>
      </c>
      <c r="AH233" s="7" t="n">
        <v>0.802</v>
      </c>
      <c r="AI233" s="7" t="n">
        <v>0.116</v>
      </c>
      <c r="AJ233" s="7" t="n">
        <v>-0.473</v>
      </c>
      <c r="AK233" s="7" t="n">
        <v>-0.079</v>
      </c>
      <c r="AL233" s="7" t="n">
        <v>-0.556</v>
      </c>
      <c r="AM233" s="7" t="n">
        <v>-0.194</v>
      </c>
      <c r="AN233" s="7" t="n">
        <v>-0.421</v>
      </c>
      <c r="AO233" s="7" t="n">
        <v>-0.04</v>
      </c>
      <c r="AP233" s="7" t="n">
        <v>0</v>
      </c>
      <c r="AQ233" s="7" t="n">
        <v>-0.031</v>
      </c>
    </row>
    <row r="234" customFormat="false" ht="15" hidden="false" customHeight="false" outlineLevel="0" collapsed="false">
      <c r="A234" s="23" t="n">
        <v>46551</v>
      </c>
      <c r="B234" s="7" t="n">
        <v>-0.82</v>
      </c>
      <c r="C234" s="7" t="n">
        <v>-0.491</v>
      </c>
      <c r="D234" s="7" t="n">
        <v>-0.794</v>
      </c>
      <c r="E234" s="7" t="n">
        <v>-0.369</v>
      </c>
      <c r="F234" s="7" t="n">
        <v>-0.359</v>
      </c>
      <c r="G234" s="7" t="n">
        <v>-0.769</v>
      </c>
      <c r="H234" s="7" t="n">
        <v>-0.774</v>
      </c>
      <c r="I234" s="7" t="n">
        <v>-0.786</v>
      </c>
      <c r="J234" s="7" t="n">
        <v>-0.447</v>
      </c>
      <c r="K234" s="7" t="n">
        <v>-0.335</v>
      </c>
      <c r="L234" s="7" t="n">
        <v>-0.67</v>
      </c>
      <c r="M234" s="7" t="n">
        <v>-0.399</v>
      </c>
      <c r="N234" s="7" t="n">
        <v>-0.526</v>
      </c>
      <c r="O234" s="7" t="n">
        <v>-0.296</v>
      </c>
      <c r="P234" s="7" t="n">
        <v>-0.78</v>
      </c>
      <c r="Q234" s="7" t="n">
        <v>-0.544</v>
      </c>
      <c r="R234" s="7" t="n">
        <v>-0.776</v>
      </c>
      <c r="S234" s="7" t="n">
        <v>-0.09</v>
      </c>
      <c r="T234" s="7" t="n">
        <v>-0.608</v>
      </c>
      <c r="U234" s="7" t="n">
        <v>-0.498</v>
      </c>
      <c r="V234" s="7" t="n">
        <v>-0.761</v>
      </c>
      <c r="W234" s="7" t="n">
        <v>-0.544</v>
      </c>
      <c r="X234" s="7" t="n">
        <v>-0.703</v>
      </c>
      <c r="Y234" s="7" t="n">
        <v>-0.708</v>
      </c>
      <c r="Z234" s="7" t="n">
        <v>-0.335</v>
      </c>
      <c r="AA234" s="7" t="n">
        <v>-0.55</v>
      </c>
      <c r="AB234" s="7" t="n">
        <v>-0.563</v>
      </c>
      <c r="AC234" s="7" t="n">
        <v>-0.421</v>
      </c>
      <c r="AD234" s="7" t="n">
        <v>-0.691</v>
      </c>
      <c r="AE234" s="7" t="n">
        <v>-0.359</v>
      </c>
      <c r="AF234" s="7" t="n">
        <v>-0.395</v>
      </c>
      <c r="AG234" s="7" t="n">
        <v>-0.774</v>
      </c>
      <c r="AH234" s="7" t="n">
        <v>0.802</v>
      </c>
      <c r="AI234" s="7" t="n">
        <v>0.116</v>
      </c>
      <c r="AJ234" s="7" t="n">
        <v>-0.473</v>
      </c>
      <c r="AK234" s="7" t="n">
        <v>-0.079</v>
      </c>
      <c r="AL234" s="7" t="n">
        <v>-0.556</v>
      </c>
      <c r="AM234" s="7" t="n">
        <v>-0.194</v>
      </c>
      <c r="AN234" s="7" t="n">
        <v>-0.421</v>
      </c>
      <c r="AO234" s="7" t="n">
        <v>-0.04</v>
      </c>
      <c r="AP234" s="7" t="n">
        <v>0</v>
      </c>
      <c r="AQ234" s="7" t="n">
        <v>-0.031</v>
      </c>
    </row>
    <row r="235" customFormat="false" ht="15" hidden="false" customHeight="false" outlineLevel="0" collapsed="false">
      <c r="A235" s="23" t="n">
        <v>46552</v>
      </c>
      <c r="B235" s="7" t="n">
        <v>-0.82</v>
      </c>
      <c r="C235" s="7" t="n">
        <v>-0.491</v>
      </c>
      <c r="D235" s="7" t="n">
        <v>-0.794</v>
      </c>
      <c r="E235" s="7" t="n">
        <v>-0.369</v>
      </c>
      <c r="F235" s="7" t="n">
        <v>-0.359</v>
      </c>
      <c r="G235" s="7" t="n">
        <v>-0.769</v>
      </c>
      <c r="H235" s="7" t="n">
        <v>-0.774</v>
      </c>
      <c r="I235" s="7" t="n">
        <v>-0.786</v>
      </c>
      <c r="J235" s="7" t="n">
        <v>-0.447</v>
      </c>
      <c r="K235" s="7" t="n">
        <v>-0.335</v>
      </c>
      <c r="L235" s="7" t="n">
        <v>-0.67</v>
      </c>
      <c r="M235" s="7" t="n">
        <v>-0.399</v>
      </c>
      <c r="N235" s="7" t="n">
        <v>-0.526</v>
      </c>
      <c r="O235" s="7" t="n">
        <v>-0.296</v>
      </c>
      <c r="P235" s="7" t="n">
        <v>-0.78</v>
      </c>
      <c r="Q235" s="7" t="n">
        <v>-0.544</v>
      </c>
      <c r="R235" s="7" t="n">
        <v>-0.776</v>
      </c>
      <c r="S235" s="7" t="n">
        <v>-0.09</v>
      </c>
      <c r="T235" s="7" t="n">
        <v>-0.608</v>
      </c>
      <c r="U235" s="7" t="n">
        <v>-0.498</v>
      </c>
      <c r="V235" s="7" t="n">
        <v>-0.761</v>
      </c>
      <c r="W235" s="7" t="n">
        <v>-0.544</v>
      </c>
      <c r="X235" s="7" t="n">
        <v>-0.703</v>
      </c>
      <c r="Y235" s="7" t="n">
        <v>-0.708</v>
      </c>
      <c r="Z235" s="7" t="n">
        <v>-0.335</v>
      </c>
      <c r="AA235" s="7" t="n">
        <v>-0.55</v>
      </c>
      <c r="AB235" s="7" t="n">
        <v>-0.563</v>
      </c>
      <c r="AC235" s="7" t="n">
        <v>-0.421</v>
      </c>
      <c r="AD235" s="7" t="n">
        <v>-0.691</v>
      </c>
      <c r="AE235" s="7" t="n">
        <v>-0.359</v>
      </c>
      <c r="AF235" s="7" t="n">
        <v>-0.395</v>
      </c>
      <c r="AG235" s="7" t="n">
        <v>-0.774</v>
      </c>
      <c r="AH235" s="7" t="n">
        <v>0.802</v>
      </c>
      <c r="AI235" s="7" t="n">
        <v>0.116</v>
      </c>
      <c r="AJ235" s="7" t="n">
        <v>-0.473</v>
      </c>
      <c r="AK235" s="7" t="n">
        <v>-0.079</v>
      </c>
      <c r="AL235" s="7" t="n">
        <v>-0.556</v>
      </c>
      <c r="AM235" s="7" t="n">
        <v>-0.194</v>
      </c>
      <c r="AN235" s="7" t="n">
        <v>-0.421</v>
      </c>
      <c r="AO235" s="7" t="n">
        <v>-0.04</v>
      </c>
      <c r="AP235" s="7" t="n">
        <v>0</v>
      </c>
      <c r="AQ235" s="7" t="n">
        <v>-0.031</v>
      </c>
    </row>
    <row r="236" customFormat="false" ht="15" hidden="false" customHeight="false" outlineLevel="0" collapsed="false">
      <c r="A236" s="23" t="n">
        <v>46553</v>
      </c>
      <c r="B236" s="7" t="n">
        <v>-0.811</v>
      </c>
      <c r="C236" s="7" t="n">
        <v>-0.489</v>
      </c>
      <c r="D236" s="7" t="n">
        <v>-0.791</v>
      </c>
      <c r="E236" s="7" t="n">
        <v>-0.37</v>
      </c>
      <c r="F236" s="7" t="n">
        <v>-0.356</v>
      </c>
      <c r="G236" s="7" t="n">
        <v>-0.767</v>
      </c>
      <c r="H236" s="7" t="n">
        <v>-0.774</v>
      </c>
      <c r="I236" s="7" t="n">
        <v>-0.784</v>
      </c>
      <c r="J236" s="7" t="n">
        <v>-0.437</v>
      </c>
      <c r="K236" s="7" t="n">
        <v>-0.339</v>
      </c>
      <c r="L236" s="7" t="n">
        <v>-0.664</v>
      </c>
      <c r="M236" s="7" t="n">
        <v>-0.394</v>
      </c>
      <c r="N236" s="7" t="n">
        <v>-0.518</v>
      </c>
      <c r="O236" s="7" t="n">
        <v>-0.291</v>
      </c>
      <c r="P236" s="7" t="n">
        <v>-0.779</v>
      </c>
      <c r="Q236" s="7" t="n">
        <v>-0.542</v>
      </c>
      <c r="R236" s="7" t="n">
        <v>-0.774</v>
      </c>
      <c r="S236" s="7" t="n">
        <v>-0.062</v>
      </c>
      <c r="T236" s="7" t="n">
        <v>-0.607</v>
      </c>
      <c r="U236" s="7" t="n">
        <v>-0.492</v>
      </c>
      <c r="V236" s="7" t="n">
        <v>-0.761</v>
      </c>
      <c r="W236" s="7" t="n">
        <v>-0.542</v>
      </c>
      <c r="X236" s="7" t="n">
        <v>-0.7</v>
      </c>
      <c r="Y236" s="7" t="n">
        <v>-0.71</v>
      </c>
      <c r="Z236" s="7" t="n">
        <v>-0.339</v>
      </c>
      <c r="AA236" s="7" t="n">
        <v>-0.546</v>
      </c>
      <c r="AB236" s="7" t="n">
        <v>-0.55</v>
      </c>
      <c r="AC236" s="7" t="n">
        <v>-0.419</v>
      </c>
      <c r="AD236" s="7" t="n">
        <v>-0.691</v>
      </c>
      <c r="AE236" s="7" t="n">
        <v>-0.356</v>
      </c>
      <c r="AF236" s="7" t="n">
        <v>-0.397</v>
      </c>
      <c r="AG236" s="7" t="n">
        <v>-0.774</v>
      </c>
      <c r="AH236" s="7" t="n">
        <v>0.795</v>
      </c>
      <c r="AI236" s="7" t="n">
        <v>0.118</v>
      </c>
      <c r="AJ236" s="7" t="n">
        <v>-0.475</v>
      </c>
      <c r="AK236" s="7" t="n">
        <v>-0.078</v>
      </c>
      <c r="AL236" s="7" t="n">
        <v>-0.565</v>
      </c>
      <c r="AM236" s="7" t="n">
        <v>-0.186</v>
      </c>
      <c r="AN236" s="7" t="n">
        <v>-0.427</v>
      </c>
      <c r="AO236" s="7" t="n">
        <v>-0.046</v>
      </c>
      <c r="AP236" s="7" t="n">
        <v>0</v>
      </c>
      <c r="AQ236" s="7" t="n">
        <v>-0.035</v>
      </c>
    </row>
    <row r="237" customFormat="false" ht="15" hidden="false" customHeight="false" outlineLevel="0" collapsed="false">
      <c r="A237" s="23" t="n">
        <v>46554</v>
      </c>
      <c r="B237" s="7" t="n">
        <v>-0.804</v>
      </c>
      <c r="C237" s="7" t="n">
        <v>-0.487</v>
      </c>
      <c r="D237" s="7" t="n">
        <v>-0.789</v>
      </c>
      <c r="E237" s="7" t="n">
        <v>-0.371</v>
      </c>
      <c r="F237" s="7" t="n">
        <v>-0.353</v>
      </c>
      <c r="G237" s="7" t="n">
        <v>-0.766</v>
      </c>
      <c r="H237" s="7" t="n">
        <v>-0.776</v>
      </c>
      <c r="I237" s="7" t="n">
        <v>-0.783</v>
      </c>
      <c r="J237" s="7" t="n">
        <v>-0.427</v>
      </c>
      <c r="K237" s="7" t="n">
        <v>-0.344</v>
      </c>
      <c r="L237" s="7" t="n">
        <v>-0.657</v>
      </c>
      <c r="M237" s="7" t="n">
        <v>-0.389</v>
      </c>
      <c r="N237" s="7" t="n">
        <v>-0.51</v>
      </c>
      <c r="O237" s="7" t="n">
        <v>-0.285</v>
      </c>
      <c r="P237" s="7" t="n">
        <v>-0.78</v>
      </c>
      <c r="Q237" s="7" t="n">
        <v>-0.54</v>
      </c>
      <c r="R237" s="7" t="n">
        <v>-0.775</v>
      </c>
      <c r="S237" s="7" t="n">
        <v>-0.035</v>
      </c>
      <c r="T237" s="7" t="n">
        <v>-0.607</v>
      </c>
      <c r="U237" s="7" t="n">
        <v>-0.485</v>
      </c>
      <c r="V237" s="7" t="n">
        <v>-0.761</v>
      </c>
      <c r="W237" s="7" t="n">
        <v>-0.54</v>
      </c>
      <c r="X237" s="7" t="n">
        <v>-0.699</v>
      </c>
      <c r="Y237" s="7" t="n">
        <v>-0.713</v>
      </c>
      <c r="Z237" s="7" t="n">
        <v>-0.344</v>
      </c>
      <c r="AA237" s="7" t="n">
        <v>-0.542</v>
      </c>
      <c r="AB237" s="7" t="n">
        <v>-0.537</v>
      </c>
      <c r="AC237" s="7" t="n">
        <v>-0.417</v>
      </c>
      <c r="AD237" s="7" t="n">
        <v>-0.692</v>
      </c>
      <c r="AE237" s="7" t="n">
        <v>-0.353</v>
      </c>
      <c r="AF237" s="7" t="n">
        <v>-0.399</v>
      </c>
      <c r="AG237" s="7" t="n">
        <v>-0.776</v>
      </c>
      <c r="AH237" s="7" t="n">
        <v>0.789</v>
      </c>
      <c r="AI237" s="7" t="n">
        <v>0.119</v>
      </c>
      <c r="AJ237" s="7" t="n">
        <v>-0.479</v>
      </c>
      <c r="AK237" s="7" t="n">
        <v>-0.078</v>
      </c>
      <c r="AL237" s="7" t="n">
        <v>-0.575</v>
      </c>
      <c r="AM237" s="7" t="n">
        <v>-0.178</v>
      </c>
      <c r="AN237" s="7" t="n">
        <v>-0.434</v>
      </c>
      <c r="AO237" s="7" t="n">
        <v>-0.053</v>
      </c>
      <c r="AP237" s="7" t="n">
        <v>0</v>
      </c>
      <c r="AQ237" s="7" t="n">
        <v>-0.038</v>
      </c>
    </row>
    <row r="238" customFormat="false" ht="15" hidden="false" customHeight="false" outlineLevel="0" collapsed="false">
      <c r="A238" s="23" t="n">
        <v>46555</v>
      </c>
      <c r="B238" s="7" t="n">
        <v>-0.806</v>
      </c>
      <c r="C238" s="7" t="n">
        <v>-0.498</v>
      </c>
      <c r="D238" s="7" t="n">
        <v>-0.788</v>
      </c>
      <c r="E238" s="7" t="n">
        <v>-0.384</v>
      </c>
      <c r="F238" s="7" t="n">
        <v>-0.362</v>
      </c>
      <c r="G238" s="7" t="n">
        <v>-0.766</v>
      </c>
      <c r="H238" s="7" t="n">
        <v>-0.778</v>
      </c>
      <c r="I238" s="7" t="n">
        <v>-0.784</v>
      </c>
      <c r="J238" s="7" t="n">
        <v>-0.417</v>
      </c>
      <c r="K238" s="7" t="n">
        <v>-0.36</v>
      </c>
      <c r="L238" s="7" t="n">
        <v>-0.652</v>
      </c>
      <c r="M238" s="7" t="n">
        <v>-0.384</v>
      </c>
      <c r="N238" s="7" t="n">
        <v>-0.509</v>
      </c>
      <c r="O238" s="7" t="n">
        <v>-0.282</v>
      </c>
      <c r="P238" s="7" t="n">
        <v>-0.782</v>
      </c>
      <c r="Q238" s="7" t="n">
        <v>-0.54</v>
      </c>
      <c r="R238" s="7" t="n">
        <v>-0.776</v>
      </c>
      <c r="S238" s="7" t="n">
        <v>-0.013</v>
      </c>
      <c r="T238" s="7" t="n">
        <v>-0.609</v>
      </c>
      <c r="U238" s="7" t="n">
        <v>-0.49</v>
      </c>
      <c r="V238" s="7" t="n">
        <v>-0.766</v>
      </c>
      <c r="W238" s="7" t="n">
        <v>-0.54</v>
      </c>
      <c r="X238" s="7" t="n">
        <v>-0.698</v>
      </c>
      <c r="Y238" s="7" t="n">
        <v>-0.714</v>
      </c>
      <c r="Z238" s="7" t="n">
        <v>-0.36</v>
      </c>
      <c r="AA238" s="7" t="n">
        <v>-0.542</v>
      </c>
      <c r="AB238" s="7" t="n">
        <v>-0.524</v>
      </c>
      <c r="AC238" s="7" t="n">
        <v>-0.418</v>
      </c>
      <c r="AD238" s="7" t="n">
        <v>-0.701</v>
      </c>
      <c r="AE238" s="7" t="n">
        <v>-0.362</v>
      </c>
      <c r="AF238" s="7" t="n">
        <v>-0.416</v>
      </c>
      <c r="AG238" s="7" t="n">
        <v>-0.778</v>
      </c>
      <c r="AH238" s="7" t="n">
        <v>0.782</v>
      </c>
      <c r="AI238" s="7" t="n">
        <v>0.118</v>
      </c>
      <c r="AJ238" s="7" t="n">
        <v>-0.486</v>
      </c>
      <c r="AK238" s="7" t="n">
        <v>-0.081</v>
      </c>
      <c r="AL238" s="7" t="n">
        <v>-0.588</v>
      </c>
      <c r="AM238" s="7" t="n">
        <v>-0.17</v>
      </c>
      <c r="AN238" s="7" t="n">
        <v>-0.444</v>
      </c>
      <c r="AO238" s="7" t="n">
        <v>-0.06</v>
      </c>
      <c r="AP238" s="7" t="n">
        <v>0</v>
      </c>
      <c r="AQ238" s="7" t="n">
        <v>-0.045</v>
      </c>
    </row>
    <row r="239" customFormat="false" ht="15" hidden="false" customHeight="false" outlineLevel="0" collapsed="false">
      <c r="A239" s="23" t="n">
        <v>46556</v>
      </c>
      <c r="B239" s="7" t="n">
        <v>-0.81</v>
      </c>
      <c r="C239" s="7" t="n">
        <v>-0.509</v>
      </c>
      <c r="D239" s="7" t="n">
        <v>-0.788</v>
      </c>
      <c r="E239" s="7" t="n">
        <v>-0.397</v>
      </c>
      <c r="F239" s="7" t="n">
        <v>-0.37</v>
      </c>
      <c r="G239" s="7" t="n">
        <v>-0.767</v>
      </c>
      <c r="H239" s="7" t="n">
        <v>-0.783</v>
      </c>
      <c r="I239" s="7" t="n">
        <v>-0.787</v>
      </c>
      <c r="J239" s="7" t="n">
        <v>-0.408</v>
      </c>
      <c r="K239" s="7" t="n">
        <v>-0.377</v>
      </c>
      <c r="L239" s="7" t="n">
        <v>-0.647</v>
      </c>
      <c r="M239" s="7" t="n">
        <v>-0.379</v>
      </c>
      <c r="N239" s="7" t="n">
        <v>-0.509</v>
      </c>
      <c r="O239" s="7" t="n">
        <v>-0.28</v>
      </c>
      <c r="P239" s="7" t="n">
        <v>-0.786</v>
      </c>
      <c r="Q239" s="7" t="n">
        <v>-0.541</v>
      </c>
      <c r="R239" s="7" t="n">
        <v>-0.779</v>
      </c>
      <c r="S239" s="7" t="n">
        <v>0.009</v>
      </c>
      <c r="T239" s="7" t="n">
        <v>-0.61</v>
      </c>
      <c r="U239" s="7" t="n">
        <v>-0.495</v>
      </c>
      <c r="V239" s="7" t="n">
        <v>-0.773</v>
      </c>
      <c r="W239" s="7" t="n">
        <v>-0.541</v>
      </c>
      <c r="X239" s="7" t="n">
        <v>-0.7</v>
      </c>
      <c r="Y239" s="7" t="n">
        <v>-0.716</v>
      </c>
      <c r="Z239" s="7" t="n">
        <v>-0.377</v>
      </c>
      <c r="AA239" s="7" t="n">
        <v>-0.54</v>
      </c>
      <c r="AB239" s="7" t="n">
        <v>-0.513</v>
      </c>
      <c r="AC239" s="7" t="n">
        <v>-0.419</v>
      </c>
      <c r="AD239" s="7" t="n">
        <v>-0.712</v>
      </c>
      <c r="AE239" s="7" t="n">
        <v>-0.37</v>
      </c>
      <c r="AF239" s="7" t="n">
        <v>-0.434</v>
      </c>
      <c r="AG239" s="7" t="n">
        <v>-0.783</v>
      </c>
      <c r="AH239" s="7" t="n">
        <v>0.775</v>
      </c>
      <c r="AI239" s="7" t="n">
        <v>0.116</v>
      </c>
      <c r="AJ239" s="7" t="n">
        <v>-0.495</v>
      </c>
      <c r="AK239" s="7" t="n">
        <v>-0.083</v>
      </c>
      <c r="AL239" s="7" t="n">
        <v>-0.603</v>
      </c>
      <c r="AM239" s="7" t="n">
        <v>-0.162</v>
      </c>
      <c r="AN239" s="7" t="n">
        <v>-0.457</v>
      </c>
      <c r="AO239" s="7" t="n">
        <v>-0.067</v>
      </c>
      <c r="AP239" s="7" t="n">
        <v>0</v>
      </c>
      <c r="AQ239" s="7" t="n">
        <v>-0.051</v>
      </c>
    </row>
    <row r="240" customFormat="false" ht="15" hidden="false" customHeight="false" outlineLevel="0" collapsed="false">
      <c r="A240" s="23" t="n">
        <v>46557</v>
      </c>
      <c r="B240" s="7" t="n">
        <v>-0.813</v>
      </c>
      <c r="C240" s="7" t="n">
        <v>-0.52</v>
      </c>
      <c r="D240" s="7" t="n">
        <v>-0.789</v>
      </c>
      <c r="E240" s="7" t="n">
        <v>-0.41</v>
      </c>
      <c r="F240" s="7" t="n">
        <v>-0.379</v>
      </c>
      <c r="G240" s="7" t="n">
        <v>-0.768</v>
      </c>
      <c r="H240" s="7" t="n">
        <v>-0.787</v>
      </c>
      <c r="I240" s="7" t="n">
        <v>-0.791</v>
      </c>
      <c r="J240" s="7" t="n">
        <v>-0.398</v>
      </c>
      <c r="K240" s="7" t="n">
        <v>-0.393</v>
      </c>
      <c r="L240" s="7" t="n">
        <v>-0.642</v>
      </c>
      <c r="M240" s="7" t="n">
        <v>-0.375</v>
      </c>
      <c r="N240" s="7" t="n">
        <v>-0.509</v>
      </c>
      <c r="O240" s="7" t="n">
        <v>-0.277</v>
      </c>
      <c r="P240" s="7" t="n">
        <v>-0.789</v>
      </c>
      <c r="Q240" s="7" t="n">
        <v>-0.541</v>
      </c>
      <c r="R240" s="7" t="n">
        <v>-0.782</v>
      </c>
      <c r="S240" s="7" t="n">
        <v>0.031</v>
      </c>
      <c r="T240" s="7" t="n">
        <v>-0.607</v>
      </c>
      <c r="U240" s="7" t="n">
        <v>-0.498</v>
      </c>
      <c r="V240" s="7" t="n">
        <v>-0.779</v>
      </c>
      <c r="W240" s="7" t="n">
        <v>-0.541</v>
      </c>
      <c r="X240" s="7" t="n">
        <v>-0.701</v>
      </c>
      <c r="Y240" s="7" t="n">
        <v>-0.717</v>
      </c>
      <c r="Z240" s="7" t="n">
        <v>-0.393</v>
      </c>
      <c r="AA240" s="7" t="n">
        <v>-0.537</v>
      </c>
      <c r="AB240" s="7" t="n">
        <v>-0.501</v>
      </c>
      <c r="AC240" s="7" t="n">
        <v>-0.42</v>
      </c>
      <c r="AD240" s="7" t="n">
        <v>-0.723</v>
      </c>
      <c r="AE240" s="7" t="n">
        <v>-0.379</v>
      </c>
      <c r="AF240" s="7" t="n">
        <v>-0.451</v>
      </c>
      <c r="AG240" s="7" t="n">
        <v>-0.787</v>
      </c>
      <c r="AH240" s="7" t="n">
        <v>0.769</v>
      </c>
      <c r="AI240" s="7" t="n">
        <v>0.115</v>
      </c>
      <c r="AJ240" s="7" t="n">
        <v>-0.503</v>
      </c>
      <c r="AK240" s="7" t="n">
        <v>-0.085</v>
      </c>
      <c r="AL240" s="7" t="n">
        <v>-0.617</v>
      </c>
      <c r="AM240" s="7" t="n">
        <v>-0.154</v>
      </c>
      <c r="AN240" s="7" t="n">
        <v>-0.47</v>
      </c>
      <c r="AO240" s="7" t="n">
        <v>-0.074</v>
      </c>
      <c r="AP240" s="7" t="n">
        <v>0</v>
      </c>
      <c r="AQ240" s="7" t="n">
        <v>-0.058</v>
      </c>
    </row>
    <row r="241" customFormat="false" ht="15" hidden="false" customHeight="false" outlineLevel="0" collapsed="false">
      <c r="A241" s="23" t="n">
        <v>46558</v>
      </c>
      <c r="B241" s="7" t="n">
        <v>-0.813</v>
      </c>
      <c r="C241" s="7" t="n">
        <v>-0.52</v>
      </c>
      <c r="D241" s="7" t="n">
        <v>-0.789</v>
      </c>
      <c r="E241" s="7" t="n">
        <v>-0.41</v>
      </c>
      <c r="F241" s="7" t="n">
        <v>-0.379</v>
      </c>
      <c r="G241" s="7" t="n">
        <v>-0.768</v>
      </c>
      <c r="H241" s="7" t="n">
        <v>-0.787</v>
      </c>
      <c r="I241" s="7" t="n">
        <v>-0.791</v>
      </c>
      <c r="J241" s="7" t="n">
        <v>-0.398</v>
      </c>
      <c r="K241" s="7" t="n">
        <v>-0.393</v>
      </c>
      <c r="L241" s="7" t="n">
        <v>-0.642</v>
      </c>
      <c r="M241" s="7" t="n">
        <v>-0.375</v>
      </c>
      <c r="N241" s="7" t="n">
        <v>-0.509</v>
      </c>
      <c r="O241" s="7" t="n">
        <v>-0.277</v>
      </c>
      <c r="P241" s="7" t="n">
        <v>-0.789</v>
      </c>
      <c r="Q241" s="7" t="n">
        <v>-0.541</v>
      </c>
      <c r="R241" s="7" t="n">
        <v>-0.782</v>
      </c>
      <c r="S241" s="7" t="n">
        <v>0.031</v>
      </c>
      <c r="T241" s="7" t="n">
        <v>-0.607</v>
      </c>
      <c r="U241" s="7" t="n">
        <v>-0.498</v>
      </c>
      <c r="V241" s="7" t="n">
        <v>-0.779</v>
      </c>
      <c r="W241" s="7" t="n">
        <v>-0.541</v>
      </c>
      <c r="X241" s="7" t="n">
        <v>-0.701</v>
      </c>
      <c r="Y241" s="7" t="n">
        <v>-0.717</v>
      </c>
      <c r="Z241" s="7" t="n">
        <v>-0.393</v>
      </c>
      <c r="AA241" s="7" t="n">
        <v>-0.537</v>
      </c>
      <c r="AB241" s="7" t="n">
        <v>-0.501</v>
      </c>
      <c r="AC241" s="7" t="n">
        <v>-0.42</v>
      </c>
      <c r="AD241" s="7" t="n">
        <v>-0.723</v>
      </c>
      <c r="AE241" s="7" t="n">
        <v>-0.379</v>
      </c>
      <c r="AF241" s="7" t="n">
        <v>-0.451</v>
      </c>
      <c r="AG241" s="7" t="n">
        <v>-0.787</v>
      </c>
      <c r="AH241" s="7" t="n">
        <v>0.769</v>
      </c>
      <c r="AI241" s="7" t="n">
        <v>0.115</v>
      </c>
      <c r="AJ241" s="7" t="n">
        <v>-0.503</v>
      </c>
      <c r="AK241" s="7" t="n">
        <v>-0.085</v>
      </c>
      <c r="AL241" s="7" t="n">
        <v>-0.617</v>
      </c>
      <c r="AM241" s="7" t="n">
        <v>-0.154</v>
      </c>
      <c r="AN241" s="7" t="n">
        <v>-0.47</v>
      </c>
      <c r="AO241" s="7" t="n">
        <v>-0.074</v>
      </c>
      <c r="AP241" s="7" t="n">
        <v>0</v>
      </c>
      <c r="AQ241" s="7" t="n">
        <v>-0.058</v>
      </c>
    </row>
    <row r="242" customFormat="false" ht="15" hidden="false" customHeight="false" outlineLevel="0" collapsed="false">
      <c r="A242" s="23" t="n">
        <v>46559</v>
      </c>
      <c r="B242" s="7" t="n">
        <v>-0.813</v>
      </c>
      <c r="C242" s="7" t="n">
        <v>-0.52</v>
      </c>
      <c r="D242" s="7" t="n">
        <v>-0.789</v>
      </c>
      <c r="E242" s="7" t="n">
        <v>-0.41</v>
      </c>
      <c r="F242" s="7" t="n">
        <v>-0.379</v>
      </c>
      <c r="G242" s="7" t="n">
        <v>-0.768</v>
      </c>
      <c r="H242" s="7" t="n">
        <v>-0.787</v>
      </c>
      <c r="I242" s="7" t="n">
        <v>-0.791</v>
      </c>
      <c r="J242" s="7" t="n">
        <v>-0.398</v>
      </c>
      <c r="K242" s="7" t="n">
        <v>-0.393</v>
      </c>
      <c r="L242" s="7" t="n">
        <v>-0.642</v>
      </c>
      <c r="M242" s="7" t="n">
        <v>-0.375</v>
      </c>
      <c r="N242" s="7" t="n">
        <v>-0.509</v>
      </c>
      <c r="O242" s="7" t="n">
        <v>-0.277</v>
      </c>
      <c r="P242" s="7" t="n">
        <v>-0.789</v>
      </c>
      <c r="Q242" s="7" t="n">
        <v>-0.541</v>
      </c>
      <c r="R242" s="7" t="n">
        <v>-0.782</v>
      </c>
      <c r="S242" s="7" t="n">
        <v>0.031</v>
      </c>
      <c r="T242" s="7" t="n">
        <v>-0.607</v>
      </c>
      <c r="U242" s="7" t="n">
        <v>-0.498</v>
      </c>
      <c r="V242" s="7" t="n">
        <v>-0.779</v>
      </c>
      <c r="W242" s="7" t="n">
        <v>-0.541</v>
      </c>
      <c r="X242" s="7" t="n">
        <v>-0.701</v>
      </c>
      <c r="Y242" s="7" t="n">
        <v>-0.717</v>
      </c>
      <c r="Z242" s="7" t="n">
        <v>-0.393</v>
      </c>
      <c r="AA242" s="7" t="n">
        <v>-0.537</v>
      </c>
      <c r="AB242" s="7" t="n">
        <v>-0.501</v>
      </c>
      <c r="AC242" s="7" t="n">
        <v>-0.42</v>
      </c>
      <c r="AD242" s="7" t="n">
        <v>-0.723</v>
      </c>
      <c r="AE242" s="7" t="n">
        <v>-0.379</v>
      </c>
      <c r="AF242" s="7" t="n">
        <v>-0.451</v>
      </c>
      <c r="AG242" s="7" t="n">
        <v>-0.787</v>
      </c>
      <c r="AH242" s="7" t="n">
        <v>0.769</v>
      </c>
      <c r="AI242" s="7" t="n">
        <v>0.115</v>
      </c>
      <c r="AJ242" s="7" t="n">
        <v>-0.503</v>
      </c>
      <c r="AK242" s="7" t="n">
        <v>-0.085</v>
      </c>
      <c r="AL242" s="7" t="n">
        <v>-0.617</v>
      </c>
      <c r="AM242" s="7" t="n">
        <v>-0.154</v>
      </c>
      <c r="AN242" s="7" t="n">
        <v>-0.47</v>
      </c>
      <c r="AO242" s="7" t="n">
        <v>-0.074</v>
      </c>
      <c r="AP242" s="7" t="n">
        <v>0</v>
      </c>
      <c r="AQ242" s="7" t="n">
        <v>-0.058</v>
      </c>
    </row>
    <row r="243" customFormat="false" ht="15" hidden="false" customHeight="false" outlineLevel="0" collapsed="false">
      <c r="A243" s="23" t="n">
        <v>46560</v>
      </c>
      <c r="B243" s="7" t="n">
        <v>-0.821</v>
      </c>
      <c r="C243" s="7" t="n">
        <v>-0.534</v>
      </c>
      <c r="D243" s="7" t="n">
        <v>-0.793</v>
      </c>
      <c r="E243" s="7" t="n">
        <v>-0.423</v>
      </c>
      <c r="F243" s="7" t="n">
        <v>-0.388</v>
      </c>
      <c r="G243" s="7" t="n">
        <v>-0.769</v>
      </c>
      <c r="H243" s="7" t="n">
        <v>-0.792</v>
      </c>
      <c r="I243" s="7" t="n">
        <v>-0.794</v>
      </c>
      <c r="J243" s="7" t="n">
        <v>-0.389</v>
      </c>
      <c r="K243" s="7" t="n">
        <v>-0.41</v>
      </c>
      <c r="L243" s="7" t="n">
        <v>-0.636</v>
      </c>
      <c r="M243" s="7" t="n">
        <v>-0.37</v>
      </c>
      <c r="N243" s="7" t="n">
        <v>-0.509</v>
      </c>
      <c r="O243" s="7" t="n">
        <v>-0.273</v>
      </c>
      <c r="P243" s="7" t="n">
        <v>-0.794</v>
      </c>
      <c r="Q243" s="7" t="n">
        <v>-0.541</v>
      </c>
      <c r="R243" s="7" t="n">
        <v>-0.788</v>
      </c>
      <c r="S243" s="7" t="n">
        <v>0.037</v>
      </c>
      <c r="T243" s="7" t="n">
        <v>-0.614</v>
      </c>
      <c r="U243" s="7" t="n">
        <v>-0.511</v>
      </c>
      <c r="V243" s="7" t="n">
        <v>-0.786</v>
      </c>
      <c r="W243" s="7" t="n">
        <v>-0.541</v>
      </c>
      <c r="X243" s="7" t="n">
        <v>-0.705</v>
      </c>
      <c r="Y243" s="7" t="n">
        <v>-0.725</v>
      </c>
      <c r="Z243" s="7" t="n">
        <v>-0.41</v>
      </c>
      <c r="AA243" s="7" t="n">
        <v>-0.544</v>
      </c>
      <c r="AB243" s="7" t="n">
        <v>-0.488</v>
      </c>
      <c r="AC243" s="7" t="n">
        <v>-0.421</v>
      </c>
      <c r="AD243" s="7" t="n">
        <v>-0.734</v>
      </c>
      <c r="AE243" s="7" t="n">
        <v>-0.388</v>
      </c>
      <c r="AF243" s="7" t="n">
        <v>-0.469</v>
      </c>
      <c r="AG243" s="7" t="n">
        <v>-0.792</v>
      </c>
      <c r="AH243" s="7" t="n">
        <v>0.758</v>
      </c>
      <c r="AI243" s="7" t="n">
        <v>0.115</v>
      </c>
      <c r="AJ243" s="7" t="n">
        <v>-0.513</v>
      </c>
      <c r="AK243" s="7" t="n">
        <v>-0.09</v>
      </c>
      <c r="AL243" s="7" t="n">
        <v>-0.633</v>
      </c>
      <c r="AM243" s="7" t="n">
        <v>-0.145</v>
      </c>
      <c r="AN243" s="7" t="n">
        <v>-0.484</v>
      </c>
      <c r="AO243" s="7" t="n">
        <v>-0.086</v>
      </c>
      <c r="AP243" s="7" t="n">
        <v>0</v>
      </c>
      <c r="AQ243" s="7" t="n">
        <v>-0.064</v>
      </c>
    </row>
    <row r="244" customFormat="false" ht="15" hidden="false" customHeight="false" outlineLevel="0" collapsed="false">
      <c r="A244" s="23" t="n">
        <v>46561</v>
      </c>
      <c r="B244" s="7" t="n">
        <v>-0.829</v>
      </c>
      <c r="C244" s="7" t="n">
        <v>-0.546</v>
      </c>
      <c r="D244" s="7" t="n">
        <v>-0.796</v>
      </c>
      <c r="E244" s="7" t="n">
        <v>-0.436</v>
      </c>
      <c r="F244" s="7" t="n">
        <v>-0.397</v>
      </c>
      <c r="G244" s="7" t="n">
        <v>-0.77</v>
      </c>
      <c r="H244" s="7" t="n">
        <v>-0.797</v>
      </c>
      <c r="I244" s="7" t="n">
        <v>-0.796</v>
      </c>
      <c r="J244" s="7" t="n">
        <v>-0.379</v>
      </c>
      <c r="K244" s="7" t="n">
        <v>-0.427</v>
      </c>
      <c r="L244" s="7" t="n">
        <v>-0.63</v>
      </c>
      <c r="M244" s="7" t="n">
        <v>-0.365</v>
      </c>
      <c r="N244" s="7" t="n">
        <v>-0.509</v>
      </c>
      <c r="O244" s="7" t="n">
        <v>-0.274</v>
      </c>
      <c r="P244" s="7" t="n">
        <v>-0.8</v>
      </c>
      <c r="Q244" s="7" t="n">
        <v>-0.541</v>
      </c>
      <c r="R244" s="7" t="n">
        <v>-0.794</v>
      </c>
      <c r="S244" s="7" t="n">
        <v>0.042</v>
      </c>
      <c r="T244" s="7" t="n">
        <v>-0.62</v>
      </c>
      <c r="U244" s="7" t="n">
        <v>-0.524</v>
      </c>
      <c r="V244" s="7" t="n">
        <v>-0.791</v>
      </c>
      <c r="W244" s="7" t="n">
        <v>-0.541</v>
      </c>
      <c r="X244" s="7" t="n">
        <v>-0.709</v>
      </c>
      <c r="Y244" s="7" t="n">
        <v>-0.732</v>
      </c>
      <c r="Z244" s="7" t="n">
        <v>-0.427</v>
      </c>
      <c r="AA244" s="7" t="n">
        <v>-0.551</v>
      </c>
      <c r="AB244" s="7" t="n">
        <v>-0.474</v>
      </c>
      <c r="AC244" s="7" t="n">
        <v>-0.422</v>
      </c>
      <c r="AD244" s="7" t="n">
        <v>-0.744</v>
      </c>
      <c r="AE244" s="7" t="n">
        <v>-0.397</v>
      </c>
      <c r="AF244" s="7" t="n">
        <v>-0.487</v>
      </c>
      <c r="AG244" s="7" t="n">
        <v>-0.797</v>
      </c>
      <c r="AH244" s="7" t="n">
        <v>0.736</v>
      </c>
      <c r="AI244" s="7" t="n">
        <v>0.114</v>
      </c>
      <c r="AJ244" s="7" t="n">
        <v>-0.521</v>
      </c>
      <c r="AK244" s="7" t="n">
        <v>-0.092</v>
      </c>
      <c r="AL244" s="7" t="n">
        <v>-0.65</v>
      </c>
      <c r="AM244" s="7" t="n">
        <v>-0.136</v>
      </c>
      <c r="AN244" s="7" t="n">
        <v>-0.497</v>
      </c>
      <c r="AO244" s="7" t="n">
        <v>-0.099</v>
      </c>
      <c r="AP244" s="7" t="n">
        <v>0</v>
      </c>
      <c r="AQ244" s="7" t="n">
        <v>-0.07</v>
      </c>
    </row>
    <row r="245" customFormat="false" ht="15" hidden="false" customHeight="false" outlineLevel="0" collapsed="false">
      <c r="A245" s="23" t="n">
        <v>46562</v>
      </c>
      <c r="B245" s="7" t="n">
        <v>-0.833</v>
      </c>
      <c r="C245" s="7" t="n">
        <v>-0.558</v>
      </c>
      <c r="D245" s="7" t="n">
        <v>-0.799</v>
      </c>
      <c r="E245" s="7" t="n">
        <v>-0.45</v>
      </c>
      <c r="F245" s="7" t="n">
        <v>-0.407</v>
      </c>
      <c r="G245" s="7" t="n">
        <v>-0.771</v>
      </c>
      <c r="H245" s="7" t="n">
        <v>-0.801</v>
      </c>
      <c r="I245" s="7" t="n">
        <v>-0.797</v>
      </c>
      <c r="J245" s="7" t="n">
        <v>-0.37</v>
      </c>
      <c r="K245" s="7" t="n">
        <v>-0.443</v>
      </c>
      <c r="L245" s="7" t="n">
        <v>-0.624</v>
      </c>
      <c r="M245" s="7" t="n">
        <v>-0.361</v>
      </c>
      <c r="N245" s="7" t="n">
        <v>-0.509</v>
      </c>
      <c r="O245" s="7" t="n">
        <v>-0.273</v>
      </c>
      <c r="P245" s="7" t="n">
        <v>-0.804</v>
      </c>
      <c r="Q245" s="7" t="n">
        <v>-0.54</v>
      </c>
      <c r="R245" s="7" t="n">
        <v>-0.798</v>
      </c>
      <c r="S245" s="7" t="n">
        <v>0.058</v>
      </c>
      <c r="T245" s="7" t="n">
        <v>-0.622</v>
      </c>
      <c r="U245" s="7" t="n">
        <v>-0.52</v>
      </c>
      <c r="V245" s="7" t="n">
        <v>-0.795</v>
      </c>
      <c r="W245" s="7" t="n">
        <v>-0.54</v>
      </c>
      <c r="X245" s="7" t="n">
        <v>-0.712</v>
      </c>
      <c r="Y245" s="7" t="n">
        <v>-0.728</v>
      </c>
      <c r="Z245" s="7" t="n">
        <v>-0.443</v>
      </c>
      <c r="AA245" s="7" t="n">
        <v>-0.552</v>
      </c>
      <c r="AB245" s="7" t="n">
        <v>-0.46</v>
      </c>
      <c r="AC245" s="7" t="n">
        <v>-0.423</v>
      </c>
      <c r="AD245" s="7" t="n">
        <v>-0.755</v>
      </c>
      <c r="AE245" s="7" t="n">
        <v>-0.407</v>
      </c>
      <c r="AF245" s="7" t="n">
        <v>-0.505</v>
      </c>
      <c r="AG245" s="7" t="n">
        <v>-0.801</v>
      </c>
      <c r="AH245" s="7" t="n">
        <v>0.729</v>
      </c>
      <c r="AI245" s="7" t="n">
        <v>0.114</v>
      </c>
      <c r="AJ245" s="7" t="n">
        <v>-0.529</v>
      </c>
      <c r="AK245" s="7" t="n">
        <v>-0.094</v>
      </c>
      <c r="AL245" s="7" t="n">
        <v>-0.661</v>
      </c>
      <c r="AM245" s="7" t="n">
        <v>-0.128</v>
      </c>
      <c r="AN245" s="7" t="n">
        <v>-0.51</v>
      </c>
      <c r="AO245" s="7" t="n">
        <v>-0.1</v>
      </c>
      <c r="AP245" s="7" t="n">
        <v>0</v>
      </c>
      <c r="AQ245" s="7" t="n">
        <v>-0.076</v>
      </c>
    </row>
    <row r="246" customFormat="false" ht="15" hidden="false" customHeight="false" outlineLevel="0" collapsed="false">
      <c r="A246" s="23" t="n">
        <v>46563</v>
      </c>
      <c r="B246" s="7" t="n">
        <v>-0.839</v>
      </c>
      <c r="C246" s="7" t="n">
        <v>-0.57</v>
      </c>
      <c r="D246" s="7" t="n">
        <v>-0.801</v>
      </c>
      <c r="E246" s="7" t="n">
        <v>-0.463</v>
      </c>
      <c r="F246" s="7" t="n">
        <v>-0.416</v>
      </c>
      <c r="G246" s="7" t="n">
        <v>-0.772</v>
      </c>
      <c r="H246" s="7" t="n">
        <v>-0.806</v>
      </c>
      <c r="I246" s="7" t="n">
        <v>-0.801</v>
      </c>
      <c r="J246" s="7" t="n">
        <v>-0.361</v>
      </c>
      <c r="K246" s="7" t="n">
        <v>-0.46</v>
      </c>
      <c r="L246" s="7" t="n">
        <v>-0.618</v>
      </c>
      <c r="M246" s="7" t="n">
        <v>-0.356</v>
      </c>
      <c r="N246" s="7" t="n">
        <v>-0.509</v>
      </c>
      <c r="O246" s="7" t="n">
        <v>-0.272</v>
      </c>
      <c r="P246" s="7" t="n">
        <v>-0.808</v>
      </c>
      <c r="Q246" s="7" t="n">
        <v>-0.54</v>
      </c>
      <c r="R246" s="7" t="n">
        <v>-0.802</v>
      </c>
      <c r="S246" s="7" t="n">
        <v>0.074</v>
      </c>
      <c r="T246" s="7" t="n">
        <v>-0.624</v>
      </c>
      <c r="U246" s="7" t="n">
        <v>-0.517</v>
      </c>
      <c r="V246" s="7" t="n">
        <v>-0.803</v>
      </c>
      <c r="W246" s="7" t="n">
        <v>-0.54</v>
      </c>
      <c r="X246" s="7" t="n">
        <v>-0.715</v>
      </c>
      <c r="Y246" s="7" t="n">
        <v>-0.723</v>
      </c>
      <c r="Z246" s="7" t="n">
        <v>-0.46</v>
      </c>
      <c r="AA246" s="7" t="n">
        <v>-0.554</v>
      </c>
      <c r="AB246" s="7" t="n">
        <v>-0.451</v>
      </c>
      <c r="AC246" s="7" t="n">
        <v>-0.424</v>
      </c>
      <c r="AD246" s="7" t="n">
        <v>-0.765</v>
      </c>
      <c r="AE246" s="7" t="n">
        <v>-0.416</v>
      </c>
      <c r="AF246" s="7" t="n">
        <v>-0.522</v>
      </c>
      <c r="AG246" s="7" t="n">
        <v>-0.806</v>
      </c>
      <c r="AH246" s="7" t="n">
        <v>0.722</v>
      </c>
      <c r="AI246" s="7" t="n">
        <v>0.114</v>
      </c>
      <c r="AJ246" s="7" t="n">
        <v>-0.537</v>
      </c>
      <c r="AK246" s="7" t="n">
        <v>-0.096</v>
      </c>
      <c r="AL246" s="7" t="n">
        <v>-0.672</v>
      </c>
      <c r="AM246" s="7" t="n">
        <v>-0.119</v>
      </c>
      <c r="AN246" s="7" t="n">
        <v>-0.523</v>
      </c>
      <c r="AO246" s="7" t="n">
        <v>-0.102</v>
      </c>
      <c r="AP246" s="7" t="n">
        <v>0</v>
      </c>
      <c r="AQ246" s="7" t="n">
        <v>-0.081</v>
      </c>
    </row>
    <row r="247" customFormat="false" ht="15" hidden="false" customHeight="false" outlineLevel="0" collapsed="false">
      <c r="A247" s="23" t="n">
        <v>46564</v>
      </c>
      <c r="B247" s="7" t="n">
        <v>-0.843</v>
      </c>
      <c r="C247" s="7" t="n">
        <v>-0.578</v>
      </c>
      <c r="D247" s="7" t="n">
        <v>-0.804</v>
      </c>
      <c r="E247" s="7" t="n">
        <v>-0.476</v>
      </c>
      <c r="F247" s="7" t="n">
        <v>-0.425</v>
      </c>
      <c r="G247" s="7" t="n">
        <v>-0.773</v>
      </c>
      <c r="H247" s="7" t="n">
        <v>-0.808</v>
      </c>
      <c r="I247" s="7" t="n">
        <v>-0.803</v>
      </c>
      <c r="J247" s="7" t="n">
        <v>-0.352</v>
      </c>
      <c r="K247" s="7" t="n">
        <v>-0.476</v>
      </c>
      <c r="L247" s="7" t="n">
        <v>-0.612</v>
      </c>
      <c r="M247" s="7" t="n">
        <v>-0.352</v>
      </c>
      <c r="N247" s="7" t="n">
        <v>-0.509</v>
      </c>
      <c r="O247" s="7" t="n">
        <v>-0.271</v>
      </c>
      <c r="P247" s="7" t="n">
        <v>-0.812</v>
      </c>
      <c r="Q247" s="7" t="n">
        <v>-0.54</v>
      </c>
      <c r="R247" s="7" t="n">
        <v>-0.806</v>
      </c>
      <c r="S247" s="7" t="n">
        <v>0.086</v>
      </c>
      <c r="T247" s="7" t="n">
        <v>-0.626</v>
      </c>
      <c r="U247" s="7" t="n">
        <v>-0.514</v>
      </c>
      <c r="V247" s="7" t="n">
        <v>-0.808</v>
      </c>
      <c r="W247" s="7" t="n">
        <v>-0.54</v>
      </c>
      <c r="X247" s="7" t="n">
        <v>-0.718</v>
      </c>
      <c r="Y247" s="7" t="n">
        <v>-0.719</v>
      </c>
      <c r="Z247" s="7" t="n">
        <v>-0.476</v>
      </c>
      <c r="AA247" s="7" t="n">
        <v>-0.555</v>
      </c>
      <c r="AB247" s="7" t="n">
        <v>-0.443</v>
      </c>
      <c r="AC247" s="7" t="n">
        <v>-0.425</v>
      </c>
      <c r="AD247" s="7" t="n">
        <v>-0.773</v>
      </c>
      <c r="AE247" s="7" t="n">
        <v>-0.425</v>
      </c>
      <c r="AF247" s="7" t="n">
        <v>-0.54</v>
      </c>
      <c r="AG247" s="7" t="n">
        <v>-0.808</v>
      </c>
      <c r="AH247" s="7" t="n">
        <v>0.714</v>
      </c>
      <c r="AI247" s="7" t="n">
        <v>0.114</v>
      </c>
      <c r="AJ247" s="7" t="n">
        <v>-0.542</v>
      </c>
      <c r="AK247" s="7" t="n">
        <v>-0.095</v>
      </c>
      <c r="AL247" s="7" t="n">
        <v>-0.683</v>
      </c>
      <c r="AM247" s="7" t="n">
        <v>-0.11</v>
      </c>
      <c r="AN247" s="7" t="n">
        <v>-0.533</v>
      </c>
      <c r="AO247" s="7" t="n">
        <v>-0.103</v>
      </c>
      <c r="AP247" s="7" t="n">
        <v>0</v>
      </c>
      <c r="AQ247" s="7" t="n">
        <v>-0.087</v>
      </c>
    </row>
    <row r="248" customFormat="false" ht="15" hidden="false" customHeight="false" outlineLevel="0" collapsed="false">
      <c r="A248" s="23" t="n">
        <v>46565</v>
      </c>
      <c r="B248" s="7" t="n">
        <v>-0.843</v>
      </c>
      <c r="C248" s="7" t="n">
        <v>-0.578</v>
      </c>
      <c r="D248" s="7" t="n">
        <v>-0.804</v>
      </c>
      <c r="E248" s="7" t="n">
        <v>-0.476</v>
      </c>
      <c r="F248" s="7" t="n">
        <v>-0.425</v>
      </c>
      <c r="G248" s="7" t="n">
        <v>-0.773</v>
      </c>
      <c r="H248" s="7" t="n">
        <v>-0.808</v>
      </c>
      <c r="I248" s="7" t="n">
        <v>-0.803</v>
      </c>
      <c r="J248" s="7" t="n">
        <v>-0.352</v>
      </c>
      <c r="K248" s="7" t="n">
        <v>-0.476</v>
      </c>
      <c r="L248" s="7" t="n">
        <v>-0.612</v>
      </c>
      <c r="M248" s="7" t="n">
        <v>-0.352</v>
      </c>
      <c r="N248" s="7" t="n">
        <v>-0.509</v>
      </c>
      <c r="O248" s="7" t="n">
        <v>-0.271</v>
      </c>
      <c r="P248" s="7" t="n">
        <v>-0.812</v>
      </c>
      <c r="Q248" s="7" t="n">
        <v>-0.54</v>
      </c>
      <c r="R248" s="7" t="n">
        <v>-0.806</v>
      </c>
      <c r="S248" s="7" t="n">
        <v>0.086</v>
      </c>
      <c r="T248" s="7" t="n">
        <v>-0.626</v>
      </c>
      <c r="U248" s="7" t="n">
        <v>-0.514</v>
      </c>
      <c r="V248" s="7" t="n">
        <v>-0.808</v>
      </c>
      <c r="W248" s="7" t="n">
        <v>-0.54</v>
      </c>
      <c r="X248" s="7" t="n">
        <v>-0.718</v>
      </c>
      <c r="Y248" s="7" t="n">
        <v>-0.719</v>
      </c>
      <c r="Z248" s="7" t="n">
        <v>-0.476</v>
      </c>
      <c r="AA248" s="7" t="n">
        <v>-0.555</v>
      </c>
      <c r="AB248" s="7" t="n">
        <v>-0.443</v>
      </c>
      <c r="AC248" s="7" t="n">
        <v>-0.425</v>
      </c>
      <c r="AD248" s="7" t="n">
        <v>-0.773</v>
      </c>
      <c r="AE248" s="7" t="n">
        <v>-0.425</v>
      </c>
      <c r="AF248" s="7" t="n">
        <v>-0.54</v>
      </c>
      <c r="AG248" s="7" t="n">
        <v>-0.808</v>
      </c>
      <c r="AH248" s="7" t="n">
        <v>0.714</v>
      </c>
      <c r="AI248" s="7" t="n">
        <v>0.114</v>
      </c>
      <c r="AJ248" s="7" t="n">
        <v>-0.542</v>
      </c>
      <c r="AK248" s="7" t="n">
        <v>-0.095</v>
      </c>
      <c r="AL248" s="7" t="n">
        <v>-0.683</v>
      </c>
      <c r="AM248" s="7" t="n">
        <v>-0.11</v>
      </c>
      <c r="AN248" s="7" t="n">
        <v>-0.533</v>
      </c>
      <c r="AO248" s="7" t="n">
        <v>-0.103</v>
      </c>
      <c r="AP248" s="7" t="n">
        <v>0</v>
      </c>
      <c r="AQ248" s="7" t="n">
        <v>-0.087</v>
      </c>
    </row>
    <row r="249" customFormat="false" ht="15" hidden="false" customHeight="false" outlineLevel="0" collapsed="false">
      <c r="A249" s="23" t="n">
        <v>46566</v>
      </c>
      <c r="B249" s="7" t="n">
        <v>-0.843</v>
      </c>
      <c r="C249" s="7" t="n">
        <v>-0.578</v>
      </c>
      <c r="D249" s="7" t="n">
        <v>-0.804</v>
      </c>
      <c r="E249" s="7" t="n">
        <v>-0.476</v>
      </c>
      <c r="F249" s="7" t="n">
        <v>-0.425</v>
      </c>
      <c r="G249" s="7" t="n">
        <v>-0.773</v>
      </c>
      <c r="H249" s="7" t="n">
        <v>-0.808</v>
      </c>
      <c r="I249" s="7" t="n">
        <v>-0.803</v>
      </c>
      <c r="J249" s="7" t="n">
        <v>-0.352</v>
      </c>
      <c r="K249" s="7" t="n">
        <v>-0.476</v>
      </c>
      <c r="L249" s="7" t="n">
        <v>-0.612</v>
      </c>
      <c r="M249" s="7" t="n">
        <v>-0.352</v>
      </c>
      <c r="N249" s="7" t="n">
        <v>-0.509</v>
      </c>
      <c r="O249" s="7" t="n">
        <v>-0.271</v>
      </c>
      <c r="P249" s="7" t="n">
        <v>-0.812</v>
      </c>
      <c r="Q249" s="7" t="n">
        <v>-0.54</v>
      </c>
      <c r="R249" s="7" t="n">
        <v>-0.806</v>
      </c>
      <c r="S249" s="7" t="n">
        <v>0.086</v>
      </c>
      <c r="T249" s="7" t="n">
        <v>-0.626</v>
      </c>
      <c r="U249" s="7" t="n">
        <v>-0.514</v>
      </c>
      <c r="V249" s="7" t="n">
        <v>-0.808</v>
      </c>
      <c r="W249" s="7" t="n">
        <v>-0.54</v>
      </c>
      <c r="X249" s="7" t="n">
        <v>-0.718</v>
      </c>
      <c r="Y249" s="7" t="n">
        <v>-0.719</v>
      </c>
      <c r="Z249" s="7" t="n">
        <v>-0.476</v>
      </c>
      <c r="AA249" s="7" t="n">
        <v>-0.555</v>
      </c>
      <c r="AB249" s="7" t="n">
        <v>-0.443</v>
      </c>
      <c r="AC249" s="7" t="n">
        <v>-0.425</v>
      </c>
      <c r="AD249" s="7" t="n">
        <v>-0.773</v>
      </c>
      <c r="AE249" s="7" t="n">
        <v>-0.425</v>
      </c>
      <c r="AF249" s="7" t="n">
        <v>-0.54</v>
      </c>
      <c r="AG249" s="7" t="n">
        <v>-0.808</v>
      </c>
      <c r="AH249" s="7" t="n">
        <v>0.714</v>
      </c>
      <c r="AI249" s="7" t="n">
        <v>0.114</v>
      </c>
      <c r="AJ249" s="7" t="n">
        <v>-0.542</v>
      </c>
      <c r="AK249" s="7" t="n">
        <v>-0.095</v>
      </c>
      <c r="AL249" s="7" t="n">
        <v>-0.683</v>
      </c>
      <c r="AM249" s="7" t="n">
        <v>-0.11</v>
      </c>
      <c r="AN249" s="7" t="n">
        <v>-0.533</v>
      </c>
      <c r="AO249" s="7" t="n">
        <v>-0.103</v>
      </c>
      <c r="AP249" s="7" t="n">
        <v>0</v>
      </c>
      <c r="AQ249" s="7" t="n">
        <v>-0.087</v>
      </c>
    </row>
    <row r="250" customFormat="false" ht="15" hidden="false" customHeight="false" outlineLevel="0" collapsed="false">
      <c r="A250" s="23" t="n">
        <v>46567</v>
      </c>
      <c r="B250" s="7" t="n">
        <v>-0.844</v>
      </c>
      <c r="C250" s="7" t="n">
        <v>-0.576</v>
      </c>
      <c r="D250" s="7" t="n">
        <v>-0.809</v>
      </c>
      <c r="E250" s="7" t="n">
        <v>-0.471</v>
      </c>
      <c r="F250" s="7" t="n">
        <v>-0.424</v>
      </c>
      <c r="G250" s="7" t="n">
        <v>-0.775</v>
      </c>
      <c r="H250" s="7" t="n">
        <v>-0.81</v>
      </c>
      <c r="I250" s="7" t="n">
        <v>-0.806</v>
      </c>
      <c r="J250" s="7" t="n">
        <v>-0.346</v>
      </c>
      <c r="K250" s="7" t="n">
        <v>-0.471</v>
      </c>
      <c r="L250" s="7" t="n">
        <v>-0.611</v>
      </c>
      <c r="M250" s="7" t="n">
        <v>-0.346</v>
      </c>
      <c r="N250" s="7" t="n">
        <v>-0.507</v>
      </c>
      <c r="O250" s="7" t="n">
        <v>-0.274</v>
      </c>
      <c r="P250" s="7" t="n">
        <v>-0.818</v>
      </c>
      <c r="Q250" s="7" t="n">
        <v>-0.539</v>
      </c>
      <c r="R250" s="7" t="n">
        <v>-0.811</v>
      </c>
      <c r="S250" s="7" t="n">
        <v>0.092</v>
      </c>
      <c r="T250" s="7" t="n">
        <v>-0.625</v>
      </c>
      <c r="U250" s="7" t="n">
        <v>-0.514</v>
      </c>
      <c r="V250" s="7" t="n">
        <v>-0.81</v>
      </c>
      <c r="W250" s="7" t="n">
        <v>-0.539</v>
      </c>
      <c r="X250" s="7" t="n">
        <v>-0.722</v>
      </c>
      <c r="Y250" s="7" t="n">
        <v>-0.715</v>
      </c>
      <c r="Z250" s="7" t="n">
        <v>-0.471</v>
      </c>
      <c r="AA250" s="7" t="n">
        <v>-0.556</v>
      </c>
      <c r="AB250" s="7" t="n">
        <v>-0.437</v>
      </c>
      <c r="AC250" s="7" t="n">
        <v>-0.424</v>
      </c>
      <c r="AD250" s="7" t="n">
        <v>-0.775</v>
      </c>
      <c r="AE250" s="7" t="n">
        <v>-0.424</v>
      </c>
      <c r="AF250" s="7" t="n">
        <v>-0.539</v>
      </c>
      <c r="AG250" s="7" t="n">
        <v>-0.81</v>
      </c>
      <c r="AH250" s="7" t="n">
        <v>0.708</v>
      </c>
      <c r="AI250" s="7" t="n">
        <v>0.106</v>
      </c>
      <c r="AJ250" s="7" t="n">
        <v>-0.554</v>
      </c>
      <c r="AK250" s="7" t="n">
        <v>-0.096</v>
      </c>
      <c r="AL250" s="7" t="n">
        <v>-0.696</v>
      </c>
      <c r="AM250" s="7" t="n">
        <v>-0.11</v>
      </c>
      <c r="AN250" s="7" t="n">
        <v>-0.541</v>
      </c>
      <c r="AO250" s="7" t="n">
        <v>-0.102</v>
      </c>
      <c r="AP250" s="7" t="n">
        <v>0</v>
      </c>
      <c r="AQ250" s="7" t="n">
        <v>-0.093</v>
      </c>
    </row>
    <row r="251" customFormat="false" ht="15" hidden="false" customHeight="false" outlineLevel="0" collapsed="false">
      <c r="A251" s="23" t="n">
        <v>46568</v>
      </c>
      <c r="B251" s="7" t="n">
        <v>-0.843</v>
      </c>
      <c r="C251" s="7" t="n">
        <v>-0.576</v>
      </c>
      <c r="D251" s="7" t="n">
        <v>-0.814</v>
      </c>
      <c r="E251" s="7" t="n">
        <v>-0.466</v>
      </c>
      <c r="F251" s="7" t="n">
        <v>-0.421</v>
      </c>
      <c r="G251" s="7" t="n">
        <v>-0.775</v>
      </c>
      <c r="H251" s="7" t="n">
        <v>-0.812</v>
      </c>
      <c r="I251" s="7" t="n">
        <v>-0.809</v>
      </c>
      <c r="J251" s="7" t="n">
        <v>-0.342</v>
      </c>
      <c r="K251" s="7" t="n">
        <v>-0.466</v>
      </c>
      <c r="L251" s="7" t="n">
        <v>-0.607</v>
      </c>
      <c r="M251" s="7" t="n">
        <v>-0.342</v>
      </c>
      <c r="N251" s="7" t="n">
        <v>-0.504</v>
      </c>
      <c r="O251" s="7" t="n">
        <v>-0.274</v>
      </c>
      <c r="P251" s="7" t="n">
        <v>-0.821</v>
      </c>
      <c r="Q251" s="7" t="n">
        <v>-0.535</v>
      </c>
      <c r="R251" s="7" t="n">
        <v>-0.817</v>
      </c>
      <c r="S251" s="7" t="n">
        <v>0.091</v>
      </c>
      <c r="T251" s="7" t="n">
        <v>-0.63</v>
      </c>
      <c r="U251" s="7" t="n">
        <v>-0.51</v>
      </c>
      <c r="V251" s="7" t="n">
        <v>-0.812</v>
      </c>
      <c r="W251" s="7" t="n">
        <v>-0.535</v>
      </c>
      <c r="X251" s="7" t="n">
        <v>-0.726</v>
      </c>
      <c r="Y251" s="7" t="n">
        <v>-0.71</v>
      </c>
      <c r="Z251" s="7" t="n">
        <v>-0.466</v>
      </c>
      <c r="AA251" s="7" t="n">
        <v>-0.562</v>
      </c>
      <c r="AB251" s="7" t="n">
        <v>-0.433</v>
      </c>
      <c r="AC251" s="7" t="n">
        <v>-0.421</v>
      </c>
      <c r="AD251" s="7" t="n">
        <v>-0.775</v>
      </c>
      <c r="AE251" s="7" t="n">
        <v>-0.421</v>
      </c>
      <c r="AF251" s="7" t="n">
        <v>-0.535</v>
      </c>
      <c r="AG251" s="7" t="n">
        <v>-0.812</v>
      </c>
      <c r="AH251" s="7" t="n">
        <v>0.701</v>
      </c>
      <c r="AI251" s="7" t="n">
        <v>0.102</v>
      </c>
      <c r="AJ251" s="7" t="n">
        <v>-0.565</v>
      </c>
      <c r="AK251" s="7" t="n">
        <v>-0.105</v>
      </c>
      <c r="AL251" s="7" t="n">
        <v>-0.7</v>
      </c>
      <c r="AM251" s="7" t="n">
        <v>-0.109</v>
      </c>
      <c r="AN251" s="7" t="n">
        <v>-0.55</v>
      </c>
      <c r="AO251" s="7" t="n">
        <v>-0.103</v>
      </c>
      <c r="AP251" s="7" t="n">
        <v>0</v>
      </c>
      <c r="AQ251" s="7" t="n">
        <v>-0.093</v>
      </c>
    </row>
    <row r="252" customFormat="false" ht="15" hidden="false" customHeight="false" outlineLevel="0" collapsed="false">
      <c r="A252" s="23" t="n">
        <v>46569</v>
      </c>
      <c r="B252" s="7" t="n">
        <v>-0.843</v>
      </c>
      <c r="C252" s="7" t="n">
        <v>-0.577</v>
      </c>
      <c r="D252" s="7" t="n">
        <v>-0.818</v>
      </c>
      <c r="E252" s="7" t="n">
        <v>-0.461</v>
      </c>
      <c r="F252" s="7" t="n">
        <v>-0.418</v>
      </c>
      <c r="G252" s="7" t="n">
        <v>-0.776</v>
      </c>
      <c r="H252" s="7" t="n">
        <v>-0.815</v>
      </c>
      <c r="I252" s="7" t="n">
        <v>-0.812</v>
      </c>
      <c r="J252" s="7" t="n">
        <v>-0.339</v>
      </c>
      <c r="K252" s="7" t="n">
        <v>-0.461</v>
      </c>
      <c r="L252" s="7" t="n">
        <v>-0.603</v>
      </c>
      <c r="M252" s="7" t="n">
        <v>-0.339</v>
      </c>
      <c r="N252" s="7" t="n">
        <v>-0.501</v>
      </c>
      <c r="O252" s="7" t="n">
        <v>-0.275</v>
      </c>
      <c r="P252" s="7" t="n">
        <v>-0.823</v>
      </c>
      <c r="Q252" s="7" t="n">
        <v>-0.531</v>
      </c>
      <c r="R252" s="7" t="n">
        <v>-0.822</v>
      </c>
      <c r="S252" s="7" t="n">
        <v>0.089</v>
      </c>
      <c r="T252" s="7" t="n">
        <v>-0.635</v>
      </c>
      <c r="U252" s="7" t="n">
        <v>-0.507</v>
      </c>
      <c r="V252" s="7" t="n">
        <v>-0.815</v>
      </c>
      <c r="W252" s="7" t="n">
        <v>-0.531</v>
      </c>
      <c r="X252" s="7" t="n">
        <v>-0.73</v>
      </c>
      <c r="Y252" s="7" t="n">
        <v>-0.704</v>
      </c>
      <c r="Z252" s="7" t="n">
        <v>-0.461</v>
      </c>
      <c r="AA252" s="7" t="n">
        <v>-0.569</v>
      </c>
      <c r="AB252" s="7" t="n">
        <v>-0.429</v>
      </c>
      <c r="AC252" s="7" t="n">
        <v>-0.418</v>
      </c>
      <c r="AD252" s="7" t="n">
        <v>-0.776</v>
      </c>
      <c r="AE252" s="7" t="n">
        <v>-0.418</v>
      </c>
      <c r="AF252" s="7" t="n">
        <v>-0.531</v>
      </c>
      <c r="AG252" s="7" t="n">
        <v>-0.815</v>
      </c>
      <c r="AH252" s="7" t="n">
        <v>0.694</v>
      </c>
      <c r="AI252" s="7" t="n">
        <v>0.098</v>
      </c>
      <c r="AJ252" s="7" t="n">
        <v>-0.577</v>
      </c>
      <c r="AK252" s="7" t="n">
        <v>-0.113</v>
      </c>
      <c r="AL252" s="7" t="n">
        <v>-0.705</v>
      </c>
      <c r="AM252" s="7" t="n">
        <v>-0.109</v>
      </c>
      <c r="AN252" s="7" t="n">
        <v>-0.558</v>
      </c>
      <c r="AO252" s="7" t="n">
        <v>-0.104</v>
      </c>
      <c r="AP252" s="7" t="n">
        <v>0</v>
      </c>
      <c r="AQ252" s="7" t="n">
        <v>-0.094</v>
      </c>
    </row>
    <row r="253" customFormat="false" ht="15" hidden="false" customHeight="false" outlineLevel="0" collapsed="false">
      <c r="A253" s="23" t="n">
        <v>46570</v>
      </c>
      <c r="B253" s="7" t="n">
        <v>-0.842</v>
      </c>
      <c r="C253" s="7" t="n">
        <v>-0.577</v>
      </c>
      <c r="D253" s="7" t="n">
        <v>-0.821</v>
      </c>
      <c r="E253" s="7" t="n">
        <v>-0.456</v>
      </c>
      <c r="F253" s="7" t="n">
        <v>-0.415</v>
      </c>
      <c r="G253" s="7" t="n">
        <v>-0.774</v>
      </c>
      <c r="H253" s="7" t="n">
        <v>-0.815</v>
      </c>
      <c r="I253" s="7" t="n">
        <v>-0.814</v>
      </c>
      <c r="J253" s="7" t="n">
        <v>-0.335</v>
      </c>
      <c r="K253" s="7" t="n">
        <v>-0.456</v>
      </c>
      <c r="L253" s="7" t="n">
        <v>-0.599</v>
      </c>
      <c r="M253" s="7" t="n">
        <v>-0.335</v>
      </c>
      <c r="N253" s="7" t="n">
        <v>-0.498</v>
      </c>
      <c r="O253" s="7" t="n">
        <v>-0.275</v>
      </c>
      <c r="P253" s="7" t="n">
        <v>-0.824</v>
      </c>
      <c r="Q253" s="7" t="n">
        <v>-0.527</v>
      </c>
      <c r="R253" s="7" t="n">
        <v>-0.827</v>
      </c>
      <c r="S253" s="7" t="n">
        <v>0.087</v>
      </c>
      <c r="T253" s="7" t="n">
        <v>-0.641</v>
      </c>
      <c r="U253" s="7" t="n">
        <v>-0.505</v>
      </c>
      <c r="V253" s="7" t="n">
        <v>-0.815</v>
      </c>
      <c r="W253" s="7" t="n">
        <v>-0.527</v>
      </c>
      <c r="X253" s="7" t="n">
        <v>-0.731</v>
      </c>
      <c r="Y253" s="7" t="n">
        <v>-0.699</v>
      </c>
      <c r="Z253" s="7" t="n">
        <v>-0.456</v>
      </c>
      <c r="AA253" s="7" t="n">
        <v>-0.576</v>
      </c>
      <c r="AB253" s="7" t="n">
        <v>-0.425</v>
      </c>
      <c r="AC253" s="7" t="n">
        <v>-0.415</v>
      </c>
      <c r="AD253" s="7" t="n">
        <v>-0.774</v>
      </c>
      <c r="AE253" s="7" t="n">
        <v>-0.415</v>
      </c>
      <c r="AF253" s="7" t="n">
        <v>-0.527</v>
      </c>
      <c r="AG253" s="7" t="n">
        <v>-0.815</v>
      </c>
      <c r="AH253" s="7" t="n">
        <v>0.687</v>
      </c>
      <c r="AI253" s="7" t="n">
        <v>0.094</v>
      </c>
      <c r="AJ253" s="7" t="n">
        <v>-0.586</v>
      </c>
      <c r="AK253" s="7" t="n">
        <v>-0.123</v>
      </c>
      <c r="AL253" s="7" t="n">
        <v>-0.706</v>
      </c>
      <c r="AM253" s="7" t="n">
        <v>-0.108</v>
      </c>
      <c r="AN253" s="7" t="n">
        <v>-0.564</v>
      </c>
      <c r="AO253" s="7" t="n">
        <v>-0.104</v>
      </c>
      <c r="AP253" s="7" t="n">
        <v>0</v>
      </c>
      <c r="AQ253" s="7" t="n">
        <v>-0.094</v>
      </c>
    </row>
    <row r="254" customFormat="false" ht="15" hidden="false" customHeight="false" outlineLevel="0" collapsed="false">
      <c r="A254" s="23" t="n">
        <v>46571</v>
      </c>
      <c r="B254" s="7" t="n">
        <v>-0.841</v>
      </c>
      <c r="C254" s="7" t="n">
        <v>-0.577</v>
      </c>
      <c r="D254" s="7" t="n">
        <v>-0.825</v>
      </c>
      <c r="E254" s="7" t="n">
        <v>-0.452</v>
      </c>
      <c r="F254" s="7" t="n">
        <v>-0.412</v>
      </c>
      <c r="G254" s="7" t="n">
        <v>-0.772</v>
      </c>
      <c r="H254" s="7" t="n">
        <v>-0.815</v>
      </c>
      <c r="I254" s="7" t="n">
        <v>-0.816</v>
      </c>
      <c r="J254" s="7" t="n">
        <v>-0.331</v>
      </c>
      <c r="K254" s="7" t="n">
        <v>-0.452</v>
      </c>
      <c r="L254" s="7" t="n">
        <v>-0.595</v>
      </c>
      <c r="M254" s="7" t="n">
        <v>-0.331</v>
      </c>
      <c r="N254" s="7" t="n">
        <v>-0.494</v>
      </c>
      <c r="O254" s="7" t="n">
        <v>-0.275</v>
      </c>
      <c r="P254" s="7" t="n">
        <v>-0.825</v>
      </c>
      <c r="Q254" s="7" t="n">
        <v>-0.523</v>
      </c>
      <c r="R254" s="7" t="n">
        <v>-0.832</v>
      </c>
      <c r="S254" s="7" t="n">
        <v>0.086</v>
      </c>
      <c r="T254" s="7" t="n">
        <v>-0.647</v>
      </c>
      <c r="U254" s="7" t="n">
        <v>-0.503</v>
      </c>
      <c r="V254" s="7" t="n">
        <v>-0.815</v>
      </c>
      <c r="W254" s="7" t="n">
        <v>-0.523</v>
      </c>
      <c r="X254" s="7" t="n">
        <v>-0.733</v>
      </c>
      <c r="Y254" s="7" t="n">
        <v>-0.692</v>
      </c>
      <c r="Z254" s="7" t="n">
        <v>-0.452</v>
      </c>
      <c r="AA254" s="7" t="n">
        <v>-0.584</v>
      </c>
      <c r="AB254" s="7" t="n">
        <v>-0.421</v>
      </c>
      <c r="AC254" s="7" t="n">
        <v>-0.412</v>
      </c>
      <c r="AD254" s="7" t="n">
        <v>-0.772</v>
      </c>
      <c r="AE254" s="7" t="n">
        <v>-0.412</v>
      </c>
      <c r="AF254" s="7" t="n">
        <v>-0.523</v>
      </c>
      <c r="AG254" s="7" t="n">
        <v>-0.815</v>
      </c>
      <c r="AH254" s="7" t="n">
        <v>0.68</v>
      </c>
      <c r="AI254" s="7" t="n">
        <v>0.091</v>
      </c>
      <c r="AJ254" s="7" t="n">
        <v>-0.596</v>
      </c>
      <c r="AK254" s="7" t="n">
        <v>-0.132</v>
      </c>
      <c r="AL254" s="7" t="n">
        <v>-0.707</v>
      </c>
      <c r="AM254" s="7" t="n">
        <v>-0.107</v>
      </c>
      <c r="AN254" s="7" t="n">
        <v>-0.569</v>
      </c>
      <c r="AO254" s="7" t="n">
        <v>-0.105</v>
      </c>
      <c r="AP254" s="7" t="n">
        <v>0</v>
      </c>
      <c r="AQ254" s="7" t="n">
        <v>-0.095</v>
      </c>
    </row>
    <row r="255" customFormat="false" ht="15" hidden="false" customHeight="false" outlineLevel="0" collapsed="false">
      <c r="A255" s="23" t="n">
        <v>46572</v>
      </c>
      <c r="B255" s="7" t="n">
        <v>-0.841</v>
      </c>
      <c r="C255" s="7" t="n">
        <v>-0.577</v>
      </c>
      <c r="D255" s="7" t="n">
        <v>-0.825</v>
      </c>
      <c r="E255" s="7" t="n">
        <v>-0.452</v>
      </c>
      <c r="F255" s="7" t="n">
        <v>-0.412</v>
      </c>
      <c r="G255" s="7" t="n">
        <v>-0.772</v>
      </c>
      <c r="H255" s="7" t="n">
        <v>-0.815</v>
      </c>
      <c r="I255" s="7" t="n">
        <v>-0.816</v>
      </c>
      <c r="J255" s="7" t="n">
        <v>-0.331</v>
      </c>
      <c r="K255" s="7" t="n">
        <v>-0.452</v>
      </c>
      <c r="L255" s="7" t="n">
        <v>-0.595</v>
      </c>
      <c r="M255" s="7" t="n">
        <v>-0.331</v>
      </c>
      <c r="N255" s="7" t="n">
        <v>-0.494</v>
      </c>
      <c r="O255" s="7" t="n">
        <v>-0.275</v>
      </c>
      <c r="P255" s="7" t="n">
        <v>-0.825</v>
      </c>
      <c r="Q255" s="7" t="n">
        <v>-0.523</v>
      </c>
      <c r="R255" s="7" t="n">
        <v>-0.832</v>
      </c>
      <c r="S255" s="7" t="n">
        <v>0.086</v>
      </c>
      <c r="T255" s="7" t="n">
        <v>-0.647</v>
      </c>
      <c r="U255" s="7" t="n">
        <v>-0.503</v>
      </c>
      <c r="V255" s="7" t="n">
        <v>-0.815</v>
      </c>
      <c r="W255" s="7" t="n">
        <v>-0.523</v>
      </c>
      <c r="X255" s="7" t="n">
        <v>-0.733</v>
      </c>
      <c r="Y255" s="7" t="n">
        <v>-0.692</v>
      </c>
      <c r="Z255" s="7" t="n">
        <v>-0.452</v>
      </c>
      <c r="AA255" s="7" t="n">
        <v>-0.584</v>
      </c>
      <c r="AB255" s="7" t="n">
        <v>-0.421</v>
      </c>
      <c r="AC255" s="7" t="n">
        <v>-0.412</v>
      </c>
      <c r="AD255" s="7" t="n">
        <v>-0.772</v>
      </c>
      <c r="AE255" s="7" t="n">
        <v>-0.412</v>
      </c>
      <c r="AF255" s="7" t="n">
        <v>-0.523</v>
      </c>
      <c r="AG255" s="7" t="n">
        <v>-0.815</v>
      </c>
      <c r="AH255" s="7" t="n">
        <v>0.68</v>
      </c>
      <c r="AI255" s="7" t="n">
        <v>0.091</v>
      </c>
      <c r="AJ255" s="7" t="n">
        <v>-0.596</v>
      </c>
      <c r="AK255" s="7" t="n">
        <v>-0.132</v>
      </c>
      <c r="AL255" s="7" t="n">
        <v>-0.707</v>
      </c>
      <c r="AM255" s="7" t="n">
        <v>-0.107</v>
      </c>
      <c r="AN255" s="7" t="n">
        <v>-0.569</v>
      </c>
      <c r="AO255" s="7" t="n">
        <v>-0.105</v>
      </c>
      <c r="AP255" s="7" t="n">
        <v>0</v>
      </c>
      <c r="AQ255" s="7" t="n">
        <v>-0.095</v>
      </c>
    </row>
    <row r="256" customFormat="false" ht="15" hidden="false" customHeight="false" outlineLevel="0" collapsed="false">
      <c r="A256" s="23" t="n">
        <v>46573</v>
      </c>
      <c r="B256" s="7" t="n">
        <v>-0.841</v>
      </c>
      <c r="C256" s="7" t="n">
        <v>-0.577</v>
      </c>
      <c r="D256" s="7" t="n">
        <v>-0.825</v>
      </c>
      <c r="E256" s="7" t="n">
        <v>-0.452</v>
      </c>
      <c r="F256" s="7" t="n">
        <v>-0.412</v>
      </c>
      <c r="G256" s="7" t="n">
        <v>-0.772</v>
      </c>
      <c r="H256" s="7" t="n">
        <v>-0.815</v>
      </c>
      <c r="I256" s="7" t="n">
        <v>-0.816</v>
      </c>
      <c r="J256" s="7" t="n">
        <v>-0.331</v>
      </c>
      <c r="K256" s="7" t="n">
        <v>-0.452</v>
      </c>
      <c r="L256" s="7" t="n">
        <v>-0.595</v>
      </c>
      <c r="M256" s="7" t="n">
        <v>-0.331</v>
      </c>
      <c r="N256" s="7" t="n">
        <v>-0.494</v>
      </c>
      <c r="O256" s="7" t="n">
        <v>-0.275</v>
      </c>
      <c r="P256" s="7" t="n">
        <v>-0.825</v>
      </c>
      <c r="Q256" s="7" t="n">
        <v>-0.523</v>
      </c>
      <c r="R256" s="7" t="n">
        <v>-0.832</v>
      </c>
      <c r="S256" s="7" t="n">
        <v>0.086</v>
      </c>
      <c r="T256" s="7" t="n">
        <v>-0.647</v>
      </c>
      <c r="U256" s="7" t="n">
        <v>-0.503</v>
      </c>
      <c r="V256" s="7" t="n">
        <v>-0.815</v>
      </c>
      <c r="W256" s="7" t="n">
        <v>-0.523</v>
      </c>
      <c r="X256" s="7" t="n">
        <v>-0.733</v>
      </c>
      <c r="Y256" s="7" t="n">
        <v>-0.692</v>
      </c>
      <c r="Z256" s="7" t="n">
        <v>-0.452</v>
      </c>
      <c r="AA256" s="7" t="n">
        <v>-0.584</v>
      </c>
      <c r="AB256" s="7" t="n">
        <v>-0.421</v>
      </c>
      <c r="AC256" s="7" t="n">
        <v>-0.412</v>
      </c>
      <c r="AD256" s="7" t="n">
        <v>-0.772</v>
      </c>
      <c r="AE256" s="7" t="n">
        <v>-0.412</v>
      </c>
      <c r="AF256" s="7" t="n">
        <v>-0.523</v>
      </c>
      <c r="AG256" s="7" t="n">
        <v>-0.815</v>
      </c>
      <c r="AH256" s="7" t="n">
        <v>0.68</v>
      </c>
      <c r="AI256" s="7" t="n">
        <v>0.091</v>
      </c>
      <c r="AJ256" s="7" t="n">
        <v>-0.596</v>
      </c>
      <c r="AK256" s="7" t="n">
        <v>-0.132</v>
      </c>
      <c r="AL256" s="7" t="n">
        <v>-0.707</v>
      </c>
      <c r="AM256" s="7" t="n">
        <v>-0.107</v>
      </c>
      <c r="AN256" s="7" t="n">
        <v>-0.569</v>
      </c>
      <c r="AO256" s="7" t="n">
        <v>-0.105</v>
      </c>
      <c r="AP256" s="7" t="n">
        <v>0</v>
      </c>
      <c r="AQ256" s="7" t="n">
        <v>-0.095</v>
      </c>
    </row>
    <row r="257" customFormat="false" ht="15" hidden="false" customHeight="false" outlineLevel="0" collapsed="false">
      <c r="A257" s="23" t="n">
        <v>46574</v>
      </c>
      <c r="B257" s="7" t="n">
        <v>-0.839</v>
      </c>
      <c r="C257" s="7" t="n">
        <v>-0.579</v>
      </c>
      <c r="D257" s="7" t="n">
        <v>-0.824</v>
      </c>
      <c r="E257" s="7" t="n">
        <v>-0.447</v>
      </c>
      <c r="F257" s="7" t="n">
        <v>-0.409</v>
      </c>
      <c r="G257" s="7" t="n">
        <v>-0.77</v>
      </c>
      <c r="H257" s="7" t="n">
        <v>-0.816</v>
      </c>
      <c r="I257" s="7" t="n">
        <v>-0.818</v>
      </c>
      <c r="J257" s="7" t="n">
        <v>-0.328</v>
      </c>
      <c r="K257" s="7" t="n">
        <v>-0.447</v>
      </c>
      <c r="L257" s="7" t="n">
        <v>-0.591</v>
      </c>
      <c r="M257" s="7" t="n">
        <v>-0.328</v>
      </c>
      <c r="N257" s="7" t="n">
        <v>-0.493</v>
      </c>
      <c r="O257" s="7" t="n">
        <v>-0.277</v>
      </c>
      <c r="P257" s="7" t="n">
        <v>-0.824</v>
      </c>
      <c r="Q257" s="7" t="n">
        <v>-0.519</v>
      </c>
      <c r="R257" s="7" t="n">
        <v>-0.833</v>
      </c>
      <c r="S257" s="7" t="n">
        <v>0.084</v>
      </c>
      <c r="T257" s="7" t="n">
        <v>-0.649</v>
      </c>
      <c r="U257" s="7" t="n">
        <v>-0.494</v>
      </c>
      <c r="V257" s="7" t="n">
        <v>-0.816</v>
      </c>
      <c r="W257" s="7" t="n">
        <v>-0.519</v>
      </c>
      <c r="X257" s="7" t="n">
        <v>-0.733</v>
      </c>
      <c r="Y257" s="7" t="n">
        <v>-0.683</v>
      </c>
      <c r="Z257" s="7" t="n">
        <v>-0.447</v>
      </c>
      <c r="AA257" s="7" t="n">
        <v>-0.586</v>
      </c>
      <c r="AB257" s="7" t="n">
        <v>-0.418</v>
      </c>
      <c r="AC257" s="7" t="n">
        <v>-0.409</v>
      </c>
      <c r="AD257" s="7" t="n">
        <v>-0.77</v>
      </c>
      <c r="AE257" s="7" t="n">
        <v>-0.409</v>
      </c>
      <c r="AF257" s="7" t="n">
        <v>-0.519</v>
      </c>
      <c r="AG257" s="7" t="n">
        <v>-0.816</v>
      </c>
      <c r="AH257" s="7" t="n">
        <v>0.675</v>
      </c>
      <c r="AI257" s="7" t="n">
        <v>0.086</v>
      </c>
      <c r="AJ257" s="7" t="n">
        <v>-0.604</v>
      </c>
      <c r="AK257" s="7" t="n">
        <v>-0.142</v>
      </c>
      <c r="AL257" s="7" t="n">
        <v>-0.703</v>
      </c>
      <c r="AM257" s="7" t="n">
        <v>-0.108</v>
      </c>
      <c r="AN257" s="7" t="n">
        <v>-0.574</v>
      </c>
      <c r="AO257" s="7" t="n">
        <v>-0.099</v>
      </c>
      <c r="AP257" s="7" t="n">
        <v>0</v>
      </c>
      <c r="AQ257" s="7" t="n">
        <v>-0.096</v>
      </c>
    </row>
    <row r="258" customFormat="false" ht="15" hidden="false" customHeight="false" outlineLevel="0" collapsed="false">
      <c r="A258" s="23" t="n">
        <v>46575</v>
      </c>
      <c r="B258" s="7" t="n">
        <v>-0.839</v>
      </c>
      <c r="C258" s="7" t="n">
        <v>-0.586</v>
      </c>
      <c r="D258" s="7" t="n">
        <v>-0.821</v>
      </c>
      <c r="E258" s="7" t="n">
        <v>-0.442</v>
      </c>
      <c r="F258" s="7" t="n">
        <v>-0.408</v>
      </c>
      <c r="G258" s="7" t="n">
        <v>-0.768</v>
      </c>
      <c r="H258" s="7" t="n">
        <v>-0.816</v>
      </c>
      <c r="I258" s="7" t="n">
        <v>-0.819</v>
      </c>
      <c r="J258" s="7" t="n">
        <v>-0.325</v>
      </c>
      <c r="K258" s="7" t="n">
        <v>-0.442</v>
      </c>
      <c r="L258" s="7" t="n">
        <v>-0.596</v>
      </c>
      <c r="M258" s="7" t="n">
        <v>-0.325</v>
      </c>
      <c r="N258" s="7" t="n">
        <v>-0.492</v>
      </c>
      <c r="O258" s="7" t="n">
        <v>-0.284</v>
      </c>
      <c r="P258" s="7" t="n">
        <v>-0.822</v>
      </c>
      <c r="Q258" s="7" t="n">
        <v>-0.524</v>
      </c>
      <c r="R258" s="7" t="n">
        <v>-0.832</v>
      </c>
      <c r="S258" s="7" t="n">
        <v>0.072</v>
      </c>
      <c r="T258" s="7" t="n">
        <v>-0.644</v>
      </c>
      <c r="U258" s="7" t="n">
        <v>-0.49</v>
      </c>
      <c r="V258" s="7" t="n">
        <v>-0.816</v>
      </c>
      <c r="W258" s="7" t="n">
        <v>-0.524</v>
      </c>
      <c r="X258" s="7" t="n">
        <v>-0.731</v>
      </c>
      <c r="Y258" s="7" t="n">
        <v>-0.672</v>
      </c>
      <c r="Z258" s="7" t="n">
        <v>-0.442</v>
      </c>
      <c r="AA258" s="7" t="n">
        <v>-0.583</v>
      </c>
      <c r="AB258" s="7" t="n">
        <v>-0.416</v>
      </c>
      <c r="AC258" s="7" t="n">
        <v>-0.416</v>
      </c>
      <c r="AD258" s="7" t="n">
        <v>-0.768</v>
      </c>
      <c r="AE258" s="7" t="n">
        <v>-0.408</v>
      </c>
      <c r="AF258" s="7" t="n">
        <v>-0.518</v>
      </c>
      <c r="AG258" s="7" t="n">
        <v>-0.816</v>
      </c>
      <c r="AH258" s="7" t="n">
        <v>0.671</v>
      </c>
      <c r="AI258" s="7" t="n">
        <v>0.081</v>
      </c>
      <c r="AJ258" s="7" t="n">
        <v>-0.612</v>
      </c>
      <c r="AK258" s="7" t="n">
        <v>-0.151</v>
      </c>
      <c r="AL258" s="7" t="n">
        <v>-0.699</v>
      </c>
      <c r="AM258" s="7" t="n">
        <v>-0.108</v>
      </c>
      <c r="AN258" s="7" t="n">
        <v>-0.579</v>
      </c>
      <c r="AO258" s="7" t="n">
        <v>-0.092</v>
      </c>
      <c r="AP258" s="7" t="n">
        <v>0</v>
      </c>
      <c r="AQ258" s="7" t="n">
        <v>-0.097</v>
      </c>
    </row>
    <row r="259" customFormat="false" ht="15" hidden="false" customHeight="false" outlineLevel="0" collapsed="false">
      <c r="A259" s="23" t="n">
        <v>46576</v>
      </c>
      <c r="B259" s="7" t="n">
        <v>-0.84</v>
      </c>
      <c r="C259" s="7" t="n">
        <v>-0.593</v>
      </c>
      <c r="D259" s="7" t="n">
        <v>-0.817</v>
      </c>
      <c r="E259" s="7" t="n">
        <v>-0.437</v>
      </c>
      <c r="F259" s="7" t="n">
        <v>-0.407</v>
      </c>
      <c r="G259" s="7" t="n">
        <v>-0.766</v>
      </c>
      <c r="H259" s="7" t="n">
        <v>-0.816</v>
      </c>
      <c r="I259" s="7" t="n">
        <v>-0.821</v>
      </c>
      <c r="J259" s="7" t="n">
        <v>-0.321</v>
      </c>
      <c r="K259" s="7" t="n">
        <v>-0.437</v>
      </c>
      <c r="L259" s="7" t="n">
        <v>-0.6</v>
      </c>
      <c r="M259" s="7" t="n">
        <v>-0.321</v>
      </c>
      <c r="N259" s="7" t="n">
        <v>-0.491</v>
      </c>
      <c r="O259" s="7" t="n">
        <v>-0.291</v>
      </c>
      <c r="P259" s="7" t="n">
        <v>-0.82</v>
      </c>
      <c r="Q259" s="7" t="n">
        <v>-0.528</v>
      </c>
      <c r="R259" s="7" t="n">
        <v>-0.832</v>
      </c>
      <c r="S259" s="7" t="n">
        <v>0.06</v>
      </c>
      <c r="T259" s="7" t="n">
        <v>-0.639</v>
      </c>
      <c r="U259" s="7" t="n">
        <v>-0.487</v>
      </c>
      <c r="V259" s="7" t="n">
        <v>-0.816</v>
      </c>
      <c r="W259" s="7" t="n">
        <v>-0.528</v>
      </c>
      <c r="X259" s="7" t="n">
        <v>-0.729</v>
      </c>
      <c r="Y259" s="7" t="n">
        <v>-0.662</v>
      </c>
      <c r="Z259" s="7" t="n">
        <v>-0.437</v>
      </c>
      <c r="AA259" s="7" t="n">
        <v>-0.58</v>
      </c>
      <c r="AB259" s="7" t="n">
        <v>-0.413</v>
      </c>
      <c r="AC259" s="7" t="n">
        <v>-0.422</v>
      </c>
      <c r="AD259" s="7" t="n">
        <v>-0.766</v>
      </c>
      <c r="AE259" s="7" t="n">
        <v>-0.407</v>
      </c>
      <c r="AF259" s="7" t="n">
        <v>-0.516</v>
      </c>
      <c r="AG259" s="7" t="n">
        <v>-0.816</v>
      </c>
      <c r="AH259" s="7" t="n">
        <v>0.666</v>
      </c>
      <c r="AI259" s="7" t="n">
        <v>0.076</v>
      </c>
      <c r="AJ259" s="7" t="n">
        <v>-0.62</v>
      </c>
      <c r="AK259" s="7" t="n">
        <v>-0.16</v>
      </c>
      <c r="AL259" s="7" t="n">
        <v>-0.695</v>
      </c>
      <c r="AM259" s="7" t="n">
        <v>-0.109</v>
      </c>
      <c r="AN259" s="7" t="n">
        <v>-0.584</v>
      </c>
      <c r="AO259" s="7" t="n">
        <v>-0.086</v>
      </c>
      <c r="AP259" s="7" t="n">
        <v>0</v>
      </c>
      <c r="AQ259" s="7" t="n">
        <v>-0.097</v>
      </c>
    </row>
    <row r="260" customFormat="false" ht="15" hidden="false" customHeight="false" outlineLevel="0" collapsed="false">
      <c r="A260" s="23" t="n">
        <v>46577</v>
      </c>
      <c r="B260" s="7" t="n">
        <v>-0.84</v>
      </c>
      <c r="C260" s="7" t="n">
        <v>-0.599</v>
      </c>
      <c r="D260" s="7" t="n">
        <v>-0.814</v>
      </c>
      <c r="E260" s="7" t="n">
        <v>-0.432</v>
      </c>
      <c r="F260" s="7" t="n">
        <v>-0.406</v>
      </c>
      <c r="G260" s="7" t="n">
        <v>-0.764</v>
      </c>
      <c r="H260" s="7" t="n">
        <v>-0.816</v>
      </c>
      <c r="I260" s="7" t="n">
        <v>-0.822</v>
      </c>
      <c r="J260" s="7" t="n">
        <v>-0.318</v>
      </c>
      <c r="K260" s="7" t="n">
        <v>-0.432</v>
      </c>
      <c r="L260" s="7" t="n">
        <v>-0.604</v>
      </c>
      <c r="M260" s="7" t="n">
        <v>-0.318</v>
      </c>
      <c r="N260" s="7" t="n">
        <v>-0.49</v>
      </c>
      <c r="O260" s="7" t="n">
        <v>-0.298</v>
      </c>
      <c r="P260" s="7" t="n">
        <v>-0.818</v>
      </c>
      <c r="Q260" s="7" t="n">
        <v>-0.532</v>
      </c>
      <c r="R260" s="7" t="n">
        <v>-0.831</v>
      </c>
      <c r="S260" s="7" t="n">
        <v>0.048</v>
      </c>
      <c r="T260" s="7" t="n">
        <v>-0.635</v>
      </c>
      <c r="U260" s="7" t="n">
        <v>-0.48</v>
      </c>
      <c r="V260" s="7" t="n">
        <v>-0.816</v>
      </c>
      <c r="W260" s="7" t="n">
        <v>-0.532</v>
      </c>
      <c r="X260" s="7" t="n">
        <v>-0.726</v>
      </c>
      <c r="Y260" s="7" t="n">
        <v>-0.649</v>
      </c>
      <c r="Z260" s="7" t="n">
        <v>-0.432</v>
      </c>
      <c r="AA260" s="7" t="n">
        <v>-0.578</v>
      </c>
      <c r="AB260" s="7" t="n">
        <v>-0.411</v>
      </c>
      <c r="AC260" s="7" t="n">
        <v>-0.429</v>
      </c>
      <c r="AD260" s="7" t="n">
        <v>-0.764</v>
      </c>
      <c r="AE260" s="7" t="n">
        <v>-0.406</v>
      </c>
      <c r="AF260" s="7" t="n">
        <v>-0.514</v>
      </c>
      <c r="AG260" s="7" t="n">
        <v>-0.816</v>
      </c>
      <c r="AH260" s="7" t="n">
        <v>0.663</v>
      </c>
      <c r="AI260" s="7" t="n">
        <v>0.071</v>
      </c>
      <c r="AJ260" s="7" t="n">
        <v>-0.627</v>
      </c>
      <c r="AK260" s="7" t="n">
        <v>-0.168</v>
      </c>
      <c r="AL260" s="7" t="n">
        <v>-0.689</v>
      </c>
      <c r="AM260" s="7" t="n">
        <v>-0.109</v>
      </c>
      <c r="AN260" s="7" t="n">
        <v>-0.589</v>
      </c>
      <c r="AO260" s="7" t="n">
        <v>-0.078</v>
      </c>
      <c r="AP260" s="7" t="n">
        <v>0</v>
      </c>
      <c r="AQ260" s="7" t="n">
        <v>-0.098</v>
      </c>
    </row>
    <row r="261" customFormat="false" ht="15" hidden="false" customHeight="false" outlineLevel="0" collapsed="false">
      <c r="A261" s="23" t="n">
        <v>46578</v>
      </c>
      <c r="B261" s="7" t="n">
        <v>-0.84</v>
      </c>
      <c r="C261" s="7" t="n">
        <v>-0.605</v>
      </c>
      <c r="D261" s="7" t="n">
        <v>-0.81</v>
      </c>
      <c r="E261" s="7" t="n">
        <v>-0.427</v>
      </c>
      <c r="F261" s="7" t="n">
        <v>-0.405</v>
      </c>
      <c r="G261" s="7" t="n">
        <v>-0.762</v>
      </c>
      <c r="H261" s="7" t="n">
        <v>-0.816</v>
      </c>
      <c r="I261" s="7" t="n">
        <v>-0.824</v>
      </c>
      <c r="J261" s="7" t="n">
        <v>-0.315</v>
      </c>
      <c r="K261" s="7" t="n">
        <v>-0.427</v>
      </c>
      <c r="L261" s="7" t="n">
        <v>-0.608</v>
      </c>
      <c r="M261" s="7" t="n">
        <v>-0.315</v>
      </c>
      <c r="N261" s="7" t="n">
        <v>-0.49</v>
      </c>
      <c r="O261" s="7" t="n">
        <v>-0.305</v>
      </c>
      <c r="P261" s="7" t="n">
        <v>-0.816</v>
      </c>
      <c r="Q261" s="7" t="n">
        <v>-0.537</v>
      </c>
      <c r="R261" s="7" t="n">
        <v>-0.83</v>
      </c>
      <c r="S261" s="7" t="n">
        <v>0.036</v>
      </c>
      <c r="T261" s="7" t="n">
        <v>-0.63</v>
      </c>
      <c r="U261" s="7" t="n">
        <v>-0.473</v>
      </c>
      <c r="V261" s="7" t="n">
        <v>-0.816</v>
      </c>
      <c r="W261" s="7" t="n">
        <v>-0.537</v>
      </c>
      <c r="X261" s="7" t="n">
        <v>-0.724</v>
      </c>
      <c r="Y261" s="7" t="n">
        <v>-0.637</v>
      </c>
      <c r="Z261" s="7" t="n">
        <v>-0.427</v>
      </c>
      <c r="AA261" s="7" t="n">
        <v>-0.575</v>
      </c>
      <c r="AB261" s="7" t="n">
        <v>-0.408</v>
      </c>
      <c r="AC261" s="7" t="n">
        <v>-0.436</v>
      </c>
      <c r="AD261" s="7" t="n">
        <v>-0.762</v>
      </c>
      <c r="AE261" s="7" t="n">
        <v>-0.405</v>
      </c>
      <c r="AF261" s="7" t="n">
        <v>-0.512</v>
      </c>
      <c r="AG261" s="7" t="n">
        <v>-0.816</v>
      </c>
      <c r="AH261" s="7" t="n">
        <v>0.659</v>
      </c>
      <c r="AI261" s="7" t="n">
        <v>0.066</v>
      </c>
      <c r="AJ261" s="7" t="n">
        <v>-0.634</v>
      </c>
      <c r="AK261" s="7" t="n">
        <v>-0.177</v>
      </c>
      <c r="AL261" s="7" t="n">
        <v>-0.684</v>
      </c>
      <c r="AM261" s="7" t="n">
        <v>-0.11</v>
      </c>
      <c r="AN261" s="7" t="n">
        <v>-0.594</v>
      </c>
      <c r="AO261" s="7" t="n">
        <v>-0.07</v>
      </c>
      <c r="AP261" s="7" t="n">
        <v>0</v>
      </c>
      <c r="AQ261" s="7" t="n">
        <v>-0.099</v>
      </c>
    </row>
    <row r="262" customFormat="false" ht="15" hidden="false" customHeight="false" outlineLevel="0" collapsed="false">
      <c r="A262" s="23" t="n">
        <v>46579</v>
      </c>
      <c r="B262" s="7" t="n">
        <v>-0.84</v>
      </c>
      <c r="C262" s="7" t="n">
        <v>-0.605</v>
      </c>
      <c r="D262" s="7" t="n">
        <v>-0.81</v>
      </c>
      <c r="E262" s="7" t="n">
        <v>-0.427</v>
      </c>
      <c r="F262" s="7" t="n">
        <v>-0.405</v>
      </c>
      <c r="G262" s="7" t="n">
        <v>-0.762</v>
      </c>
      <c r="H262" s="7" t="n">
        <v>-0.816</v>
      </c>
      <c r="I262" s="7" t="n">
        <v>-0.824</v>
      </c>
      <c r="J262" s="7" t="n">
        <v>-0.315</v>
      </c>
      <c r="K262" s="7" t="n">
        <v>-0.427</v>
      </c>
      <c r="L262" s="7" t="n">
        <v>-0.608</v>
      </c>
      <c r="M262" s="7" t="n">
        <v>-0.315</v>
      </c>
      <c r="N262" s="7" t="n">
        <v>-0.49</v>
      </c>
      <c r="O262" s="7" t="n">
        <v>-0.305</v>
      </c>
      <c r="P262" s="7" t="n">
        <v>-0.816</v>
      </c>
      <c r="Q262" s="7" t="n">
        <v>-0.537</v>
      </c>
      <c r="R262" s="7" t="n">
        <v>-0.83</v>
      </c>
      <c r="S262" s="7" t="n">
        <v>0.036</v>
      </c>
      <c r="T262" s="7" t="n">
        <v>-0.63</v>
      </c>
      <c r="U262" s="7" t="n">
        <v>-0.473</v>
      </c>
      <c r="V262" s="7" t="n">
        <v>-0.816</v>
      </c>
      <c r="W262" s="7" t="n">
        <v>-0.537</v>
      </c>
      <c r="X262" s="7" t="n">
        <v>-0.724</v>
      </c>
      <c r="Y262" s="7" t="n">
        <v>-0.637</v>
      </c>
      <c r="Z262" s="7" t="n">
        <v>-0.427</v>
      </c>
      <c r="AA262" s="7" t="n">
        <v>-0.575</v>
      </c>
      <c r="AB262" s="7" t="n">
        <v>-0.408</v>
      </c>
      <c r="AC262" s="7" t="n">
        <v>-0.436</v>
      </c>
      <c r="AD262" s="7" t="n">
        <v>-0.762</v>
      </c>
      <c r="AE262" s="7" t="n">
        <v>-0.405</v>
      </c>
      <c r="AF262" s="7" t="n">
        <v>-0.512</v>
      </c>
      <c r="AG262" s="7" t="n">
        <v>-0.816</v>
      </c>
      <c r="AH262" s="7" t="n">
        <v>0.659</v>
      </c>
      <c r="AI262" s="7" t="n">
        <v>0.066</v>
      </c>
      <c r="AJ262" s="7" t="n">
        <v>-0.634</v>
      </c>
      <c r="AK262" s="7" t="n">
        <v>-0.177</v>
      </c>
      <c r="AL262" s="7" t="n">
        <v>-0.684</v>
      </c>
      <c r="AM262" s="7" t="n">
        <v>-0.11</v>
      </c>
      <c r="AN262" s="7" t="n">
        <v>-0.594</v>
      </c>
      <c r="AO262" s="7" t="n">
        <v>-0.07</v>
      </c>
      <c r="AP262" s="7" t="n">
        <v>0</v>
      </c>
      <c r="AQ262" s="7" t="n">
        <v>-0.099</v>
      </c>
    </row>
    <row r="263" customFormat="false" ht="15" hidden="false" customHeight="false" outlineLevel="0" collapsed="false">
      <c r="A263" s="23" t="n">
        <v>46580</v>
      </c>
      <c r="B263" s="7" t="n">
        <v>-0.84</v>
      </c>
      <c r="C263" s="7" t="n">
        <v>-0.605</v>
      </c>
      <c r="D263" s="7" t="n">
        <v>-0.81</v>
      </c>
      <c r="E263" s="7" t="n">
        <v>-0.427</v>
      </c>
      <c r="F263" s="7" t="n">
        <v>-0.405</v>
      </c>
      <c r="G263" s="7" t="n">
        <v>-0.762</v>
      </c>
      <c r="H263" s="7" t="n">
        <v>-0.816</v>
      </c>
      <c r="I263" s="7" t="n">
        <v>-0.824</v>
      </c>
      <c r="J263" s="7" t="n">
        <v>-0.315</v>
      </c>
      <c r="K263" s="7" t="n">
        <v>-0.427</v>
      </c>
      <c r="L263" s="7" t="n">
        <v>-0.608</v>
      </c>
      <c r="M263" s="7" t="n">
        <v>-0.315</v>
      </c>
      <c r="N263" s="7" t="n">
        <v>-0.49</v>
      </c>
      <c r="O263" s="7" t="n">
        <v>-0.305</v>
      </c>
      <c r="P263" s="7" t="n">
        <v>-0.816</v>
      </c>
      <c r="Q263" s="7" t="n">
        <v>-0.537</v>
      </c>
      <c r="R263" s="7" t="n">
        <v>-0.83</v>
      </c>
      <c r="S263" s="7" t="n">
        <v>0.036</v>
      </c>
      <c r="T263" s="7" t="n">
        <v>-0.63</v>
      </c>
      <c r="U263" s="7" t="n">
        <v>-0.473</v>
      </c>
      <c r="V263" s="7" t="n">
        <v>-0.816</v>
      </c>
      <c r="W263" s="7" t="n">
        <v>-0.537</v>
      </c>
      <c r="X263" s="7" t="n">
        <v>-0.724</v>
      </c>
      <c r="Y263" s="7" t="n">
        <v>-0.637</v>
      </c>
      <c r="Z263" s="7" t="n">
        <v>-0.427</v>
      </c>
      <c r="AA263" s="7" t="n">
        <v>-0.575</v>
      </c>
      <c r="AB263" s="7" t="n">
        <v>-0.408</v>
      </c>
      <c r="AC263" s="7" t="n">
        <v>-0.436</v>
      </c>
      <c r="AD263" s="7" t="n">
        <v>-0.762</v>
      </c>
      <c r="AE263" s="7" t="n">
        <v>-0.405</v>
      </c>
      <c r="AF263" s="7" t="n">
        <v>-0.512</v>
      </c>
      <c r="AG263" s="7" t="n">
        <v>-0.816</v>
      </c>
      <c r="AH263" s="7" t="n">
        <v>0.659</v>
      </c>
      <c r="AI263" s="7" t="n">
        <v>0.066</v>
      </c>
      <c r="AJ263" s="7" t="n">
        <v>-0.634</v>
      </c>
      <c r="AK263" s="7" t="n">
        <v>-0.177</v>
      </c>
      <c r="AL263" s="7" t="n">
        <v>-0.684</v>
      </c>
      <c r="AM263" s="7" t="n">
        <v>-0.11</v>
      </c>
      <c r="AN263" s="7" t="n">
        <v>-0.594</v>
      </c>
      <c r="AO263" s="7" t="n">
        <v>-0.07</v>
      </c>
      <c r="AP263" s="7" t="n">
        <v>0</v>
      </c>
      <c r="AQ263" s="7" t="n">
        <v>-0.099</v>
      </c>
    </row>
    <row r="264" customFormat="false" ht="15" hidden="false" customHeight="false" outlineLevel="0" collapsed="false">
      <c r="A264" s="23" t="n">
        <v>46581</v>
      </c>
      <c r="B264" s="7" t="n">
        <v>-0.838</v>
      </c>
      <c r="C264" s="7" t="n">
        <v>-0.608</v>
      </c>
      <c r="D264" s="7" t="n">
        <v>-0.806</v>
      </c>
      <c r="E264" s="7" t="n">
        <v>-0.422</v>
      </c>
      <c r="F264" s="7" t="n">
        <v>-0.402</v>
      </c>
      <c r="G264" s="7" t="n">
        <v>-0.759</v>
      </c>
      <c r="H264" s="7" t="n">
        <v>-0.815</v>
      </c>
      <c r="I264" s="7" t="n">
        <v>-0.824</v>
      </c>
      <c r="J264" s="7" t="n">
        <v>-0.312</v>
      </c>
      <c r="K264" s="7" t="n">
        <v>-0.422</v>
      </c>
      <c r="L264" s="7" t="n">
        <v>-0.612</v>
      </c>
      <c r="M264" s="7" t="n">
        <v>-0.312</v>
      </c>
      <c r="N264" s="7" t="n">
        <v>-0.487</v>
      </c>
      <c r="O264" s="7" t="n">
        <v>-0.312</v>
      </c>
      <c r="P264" s="7" t="n">
        <v>-0.813</v>
      </c>
      <c r="Q264" s="7" t="n">
        <v>-0.54</v>
      </c>
      <c r="R264" s="7" t="n">
        <v>-0.828</v>
      </c>
      <c r="S264" s="7" t="n">
        <v>0.025</v>
      </c>
      <c r="T264" s="7" t="n">
        <v>-0.624</v>
      </c>
      <c r="U264" s="7" t="n">
        <v>-0.463</v>
      </c>
      <c r="V264" s="7" t="n">
        <v>-0.815</v>
      </c>
      <c r="W264" s="7" t="n">
        <v>-0.54</v>
      </c>
      <c r="X264" s="7" t="n">
        <v>-0.722</v>
      </c>
      <c r="Y264" s="7" t="n">
        <v>-0.621</v>
      </c>
      <c r="Z264" s="7" t="n">
        <v>-0.422</v>
      </c>
      <c r="AA264" s="7" t="n">
        <v>-0.571</v>
      </c>
      <c r="AB264" s="7" t="n">
        <v>-0.406</v>
      </c>
      <c r="AC264" s="7" t="n">
        <v>-0.441</v>
      </c>
      <c r="AD264" s="7" t="n">
        <v>-0.759</v>
      </c>
      <c r="AE264" s="7" t="n">
        <v>-0.402</v>
      </c>
      <c r="AF264" s="7" t="n">
        <v>-0.508</v>
      </c>
      <c r="AG264" s="7" t="n">
        <v>-0.815</v>
      </c>
      <c r="AH264" s="7" t="n">
        <v>0.655</v>
      </c>
      <c r="AI264" s="7" t="n">
        <v>0.063</v>
      </c>
      <c r="AJ264" s="7" t="n">
        <v>-0.638</v>
      </c>
      <c r="AK264" s="7" t="n">
        <v>-0.183</v>
      </c>
      <c r="AL264" s="7" t="n">
        <v>-0.677</v>
      </c>
      <c r="AM264" s="7" t="n">
        <v>-0.11</v>
      </c>
      <c r="AN264" s="7" t="n">
        <v>-0.597</v>
      </c>
      <c r="AO264" s="7" t="n">
        <v>-0.062</v>
      </c>
      <c r="AP264" s="7" t="n">
        <v>0</v>
      </c>
      <c r="AQ264" s="7" t="n">
        <v>-0.098</v>
      </c>
    </row>
    <row r="265" customFormat="false" ht="15" hidden="false" customHeight="false" outlineLevel="0" collapsed="false">
      <c r="A265" s="23" t="n">
        <v>46582</v>
      </c>
      <c r="B265" s="7" t="n">
        <v>-0.836</v>
      </c>
      <c r="C265" s="7" t="n">
        <v>-0.611</v>
      </c>
      <c r="D265" s="7" t="n">
        <v>-0.803</v>
      </c>
      <c r="E265" s="7" t="n">
        <v>-0.417</v>
      </c>
      <c r="F265" s="7" t="n">
        <v>-0.398</v>
      </c>
      <c r="G265" s="7" t="n">
        <v>-0.757</v>
      </c>
      <c r="H265" s="7" t="n">
        <v>-0.814</v>
      </c>
      <c r="I265" s="7" t="n">
        <v>-0.824</v>
      </c>
      <c r="J265" s="7" t="n">
        <v>-0.31</v>
      </c>
      <c r="K265" s="7" t="n">
        <v>-0.417</v>
      </c>
      <c r="L265" s="7" t="n">
        <v>-0.615</v>
      </c>
      <c r="M265" s="7" t="n">
        <v>-0.31</v>
      </c>
      <c r="N265" s="7" t="n">
        <v>-0.484</v>
      </c>
      <c r="O265" s="7" t="n">
        <v>-0.317</v>
      </c>
      <c r="P265" s="7" t="n">
        <v>-0.809</v>
      </c>
      <c r="Q265" s="7" t="n">
        <v>-0.543</v>
      </c>
      <c r="R265" s="7" t="n">
        <v>-0.826</v>
      </c>
      <c r="S265" s="7" t="n">
        <v>0.014</v>
      </c>
      <c r="T265" s="7" t="n">
        <v>-0.617</v>
      </c>
      <c r="U265" s="7" t="n">
        <v>-0.451</v>
      </c>
      <c r="V265" s="7" t="n">
        <v>-0.814</v>
      </c>
      <c r="W265" s="7" t="n">
        <v>-0.543</v>
      </c>
      <c r="X265" s="7" t="n">
        <v>-0.72</v>
      </c>
      <c r="Y265" s="7" t="n">
        <v>-0.605</v>
      </c>
      <c r="Z265" s="7" t="n">
        <v>-0.417</v>
      </c>
      <c r="AA265" s="7" t="n">
        <v>-0.566</v>
      </c>
      <c r="AB265" s="7" t="n">
        <v>-0.403</v>
      </c>
      <c r="AC265" s="7" t="n">
        <v>-0.447</v>
      </c>
      <c r="AD265" s="7" t="n">
        <v>-0.757</v>
      </c>
      <c r="AE265" s="7" t="n">
        <v>-0.398</v>
      </c>
      <c r="AF265" s="7" t="n">
        <v>-0.504</v>
      </c>
      <c r="AG265" s="7" t="n">
        <v>-0.814</v>
      </c>
      <c r="AH265" s="7" t="n">
        <v>0.651</v>
      </c>
      <c r="AI265" s="7" t="n">
        <v>0.06</v>
      </c>
      <c r="AJ265" s="7" t="n">
        <v>-0.643</v>
      </c>
      <c r="AK265" s="7" t="n">
        <v>-0.188</v>
      </c>
      <c r="AL265" s="7" t="n">
        <v>-0.669</v>
      </c>
      <c r="AM265" s="7" t="n">
        <v>-0.111</v>
      </c>
      <c r="AN265" s="7" t="n">
        <v>-0.6</v>
      </c>
      <c r="AO265" s="7" t="n">
        <v>-0.053</v>
      </c>
      <c r="AP265" s="7" t="n">
        <v>0</v>
      </c>
      <c r="AQ265" s="7" t="n">
        <v>-0.097</v>
      </c>
    </row>
    <row r="266" customFormat="false" ht="15" hidden="false" customHeight="false" outlineLevel="0" collapsed="false">
      <c r="A266" s="23" t="n">
        <v>46583</v>
      </c>
      <c r="B266" s="7" t="n">
        <v>-0.833</v>
      </c>
      <c r="C266" s="7" t="n">
        <v>-0.614</v>
      </c>
      <c r="D266" s="7" t="n">
        <v>-0.799</v>
      </c>
      <c r="E266" s="7" t="n">
        <v>-0.412</v>
      </c>
      <c r="F266" s="7" t="n">
        <v>-0.395</v>
      </c>
      <c r="G266" s="7" t="n">
        <v>-0.755</v>
      </c>
      <c r="H266" s="7" t="n">
        <v>-0.813</v>
      </c>
      <c r="I266" s="7" t="n">
        <v>-0.824</v>
      </c>
      <c r="J266" s="7" t="n">
        <v>-0.307</v>
      </c>
      <c r="K266" s="7" t="n">
        <v>-0.412</v>
      </c>
      <c r="L266" s="7" t="n">
        <v>-0.618</v>
      </c>
      <c r="M266" s="7" t="n">
        <v>-0.307</v>
      </c>
      <c r="N266" s="7" t="n">
        <v>-0.481</v>
      </c>
      <c r="O266" s="7" t="n">
        <v>-0.323</v>
      </c>
      <c r="P266" s="7" t="n">
        <v>-0.806</v>
      </c>
      <c r="Q266" s="7" t="n">
        <v>-0.546</v>
      </c>
      <c r="R266" s="7" t="n">
        <v>-0.823</v>
      </c>
      <c r="S266" s="7" t="n">
        <v>0.003</v>
      </c>
      <c r="T266" s="7" t="n">
        <v>-0.61</v>
      </c>
      <c r="U266" s="7" t="n">
        <v>-0.438</v>
      </c>
      <c r="V266" s="7" t="n">
        <v>-0.813</v>
      </c>
      <c r="W266" s="7" t="n">
        <v>-0.546</v>
      </c>
      <c r="X266" s="7" t="n">
        <v>-0.717</v>
      </c>
      <c r="Y266" s="7" t="n">
        <v>-0.589</v>
      </c>
      <c r="Z266" s="7" t="n">
        <v>-0.412</v>
      </c>
      <c r="AA266" s="7" t="n">
        <v>-0.562</v>
      </c>
      <c r="AB266" s="7" t="n">
        <v>-0.401</v>
      </c>
      <c r="AC266" s="7" t="n">
        <v>-0.452</v>
      </c>
      <c r="AD266" s="7" t="n">
        <v>-0.755</v>
      </c>
      <c r="AE266" s="7" t="n">
        <v>-0.395</v>
      </c>
      <c r="AF266" s="7" t="n">
        <v>-0.499</v>
      </c>
      <c r="AG266" s="7" t="n">
        <v>-0.813</v>
      </c>
      <c r="AH266" s="7" t="n">
        <v>0.647</v>
      </c>
      <c r="AI266" s="7" t="n">
        <v>0.057</v>
      </c>
      <c r="AJ266" s="7" t="n">
        <v>-0.647</v>
      </c>
      <c r="AK266" s="7" t="n">
        <v>-0.193</v>
      </c>
      <c r="AL266" s="7" t="n">
        <v>-0.661</v>
      </c>
      <c r="AM266" s="7" t="n">
        <v>-0.111</v>
      </c>
      <c r="AN266" s="7" t="n">
        <v>-0.603</v>
      </c>
      <c r="AO266" s="7" t="n">
        <v>-0.045</v>
      </c>
      <c r="AP266" s="7" t="n">
        <v>0</v>
      </c>
      <c r="AQ266" s="7" t="n">
        <v>-0.095</v>
      </c>
    </row>
    <row r="267" customFormat="false" ht="15" hidden="false" customHeight="false" outlineLevel="0" collapsed="false">
      <c r="A267" s="23" t="n">
        <v>46584</v>
      </c>
      <c r="B267" s="7" t="n">
        <v>-0.83</v>
      </c>
      <c r="C267" s="7" t="n">
        <v>-0.617</v>
      </c>
      <c r="D267" s="7" t="n">
        <v>-0.795</v>
      </c>
      <c r="E267" s="7" t="n">
        <v>-0.407</v>
      </c>
      <c r="F267" s="7" t="n">
        <v>-0.39</v>
      </c>
      <c r="G267" s="7" t="n">
        <v>-0.752</v>
      </c>
      <c r="H267" s="7" t="n">
        <v>-0.812</v>
      </c>
      <c r="I267" s="7" t="n">
        <v>-0.824</v>
      </c>
      <c r="J267" s="7" t="n">
        <v>-0.304</v>
      </c>
      <c r="K267" s="7" t="n">
        <v>-0.407</v>
      </c>
      <c r="L267" s="7" t="n">
        <v>-0.621</v>
      </c>
      <c r="M267" s="7" t="n">
        <v>-0.304</v>
      </c>
      <c r="N267" s="7" t="n">
        <v>-0.477</v>
      </c>
      <c r="O267" s="7" t="n">
        <v>-0.328</v>
      </c>
      <c r="P267" s="7" t="n">
        <v>-0.802</v>
      </c>
      <c r="Q267" s="7" t="n">
        <v>-0.549</v>
      </c>
      <c r="R267" s="7" t="n">
        <v>-0.821</v>
      </c>
      <c r="S267" s="7" t="n">
        <v>-0.008</v>
      </c>
      <c r="T267" s="7" t="n">
        <v>-0.604</v>
      </c>
      <c r="U267" s="7" t="n">
        <v>-0.425</v>
      </c>
      <c r="V267" s="7" t="n">
        <v>-0.812</v>
      </c>
      <c r="W267" s="7" t="n">
        <v>-0.549</v>
      </c>
      <c r="X267" s="7" t="n">
        <v>-0.715</v>
      </c>
      <c r="Y267" s="7" t="n">
        <v>-0.573</v>
      </c>
      <c r="Z267" s="7" t="n">
        <v>-0.407</v>
      </c>
      <c r="AA267" s="7" t="n">
        <v>-0.557</v>
      </c>
      <c r="AB267" s="7" t="n">
        <v>-0.399</v>
      </c>
      <c r="AC267" s="7" t="n">
        <v>-0.457</v>
      </c>
      <c r="AD267" s="7" t="n">
        <v>-0.752</v>
      </c>
      <c r="AE267" s="7" t="n">
        <v>-0.39</v>
      </c>
      <c r="AF267" s="7" t="n">
        <v>-0.494</v>
      </c>
      <c r="AG267" s="7" t="n">
        <v>-0.812</v>
      </c>
      <c r="AH267" s="7" t="n">
        <v>0.642</v>
      </c>
      <c r="AI267" s="7" t="n">
        <v>0.055</v>
      </c>
      <c r="AJ267" s="7" t="n">
        <v>-0.652</v>
      </c>
      <c r="AK267" s="7" t="n">
        <v>-0.199</v>
      </c>
      <c r="AL267" s="7" t="n">
        <v>-0.653</v>
      </c>
      <c r="AM267" s="7" t="n">
        <v>-0.112</v>
      </c>
      <c r="AN267" s="7" t="n">
        <v>-0.606</v>
      </c>
      <c r="AO267" s="7" t="n">
        <v>-0.037</v>
      </c>
      <c r="AP267" s="7" t="n">
        <v>0</v>
      </c>
      <c r="AQ267" s="7" t="n">
        <v>-0.093</v>
      </c>
    </row>
    <row r="268" customFormat="false" ht="15" hidden="false" customHeight="false" outlineLevel="0" collapsed="false">
      <c r="A268" s="23" t="n">
        <v>46585</v>
      </c>
      <c r="B268" s="7" t="n">
        <v>-0.817</v>
      </c>
      <c r="C268" s="7" t="n">
        <v>-0.608</v>
      </c>
      <c r="D268" s="7" t="n">
        <v>-0.791</v>
      </c>
      <c r="E268" s="7" t="n">
        <v>-0.403</v>
      </c>
      <c r="F268" s="7" t="n">
        <v>-0.373</v>
      </c>
      <c r="G268" s="7" t="n">
        <v>-0.75</v>
      </c>
      <c r="H268" s="7" t="n">
        <v>-0.809</v>
      </c>
      <c r="I268" s="7" t="n">
        <v>-0.825</v>
      </c>
      <c r="J268" s="7" t="n">
        <v>-0.306</v>
      </c>
      <c r="K268" s="7" t="n">
        <v>-0.403</v>
      </c>
      <c r="L268" s="7" t="n">
        <v>-0.595</v>
      </c>
      <c r="M268" s="7" t="n">
        <v>-0.306</v>
      </c>
      <c r="N268" s="7" t="n">
        <v>-0.461</v>
      </c>
      <c r="O268" s="7" t="n">
        <v>-0.317</v>
      </c>
      <c r="P268" s="7" t="n">
        <v>-0.798</v>
      </c>
      <c r="Q268" s="7" t="n">
        <v>-0.523</v>
      </c>
      <c r="R268" s="7" t="n">
        <v>-0.818</v>
      </c>
      <c r="S268" s="7" t="n">
        <v>-0.019</v>
      </c>
      <c r="T268" s="7" t="n">
        <v>-0.595</v>
      </c>
      <c r="U268" s="7" t="n">
        <v>-0.392</v>
      </c>
      <c r="V268" s="7" t="n">
        <v>-0.809</v>
      </c>
      <c r="W268" s="7" t="n">
        <v>-0.523</v>
      </c>
      <c r="X268" s="7" t="n">
        <v>-0.716</v>
      </c>
      <c r="Y268" s="7" t="n">
        <v>-0.545</v>
      </c>
      <c r="Z268" s="7" t="n">
        <v>-0.403</v>
      </c>
      <c r="AA268" s="7" t="n">
        <v>-0.55</v>
      </c>
      <c r="AB268" s="7" t="n">
        <v>-0.401</v>
      </c>
      <c r="AC268" s="7" t="n">
        <v>-0.439</v>
      </c>
      <c r="AD268" s="7" t="n">
        <v>-0.75</v>
      </c>
      <c r="AE268" s="7" t="n">
        <v>-0.373</v>
      </c>
      <c r="AF268" s="7" t="n">
        <v>-0.467</v>
      </c>
      <c r="AG268" s="7" t="n">
        <v>-0.809</v>
      </c>
      <c r="AH268" s="7" t="n">
        <v>0.639</v>
      </c>
      <c r="AI268" s="7" t="n">
        <v>0.054</v>
      </c>
      <c r="AJ268" s="7" t="n">
        <v>-0.656</v>
      </c>
      <c r="AK268" s="7" t="n">
        <v>-0.206</v>
      </c>
      <c r="AL268" s="7" t="n">
        <v>-0.636</v>
      </c>
      <c r="AM268" s="7" t="n">
        <v>-0.112</v>
      </c>
      <c r="AN268" s="7" t="n">
        <v>-0.605</v>
      </c>
      <c r="AO268" s="7" t="n">
        <v>-0.027</v>
      </c>
      <c r="AP268" s="7" t="n">
        <v>0</v>
      </c>
      <c r="AQ268" s="7" t="n">
        <v>-0.091</v>
      </c>
    </row>
    <row r="269" customFormat="false" ht="15" hidden="false" customHeight="false" outlineLevel="0" collapsed="false">
      <c r="A269" s="23" t="n">
        <v>46586</v>
      </c>
      <c r="B269" s="7" t="n">
        <v>-0.817</v>
      </c>
      <c r="C269" s="7" t="n">
        <v>-0.608</v>
      </c>
      <c r="D269" s="7" t="n">
        <v>-0.791</v>
      </c>
      <c r="E269" s="7" t="n">
        <v>-0.403</v>
      </c>
      <c r="F269" s="7" t="n">
        <v>-0.373</v>
      </c>
      <c r="G269" s="7" t="n">
        <v>-0.75</v>
      </c>
      <c r="H269" s="7" t="n">
        <v>-0.809</v>
      </c>
      <c r="I269" s="7" t="n">
        <v>-0.825</v>
      </c>
      <c r="J269" s="7" t="n">
        <v>-0.306</v>
      </c>
      <c r="K269" s="7" t="n">
        <v>-0.403</v>
      </c>
      <c r="L269" s="7" t="n">
        <v>-0.595</v>
      </c>
      <c r="M269" s="7" t="n">
        <v>-0.306</v>
      </c>
      <c r="N269" s="7" t="n">
        <v>-0.461</v>
      </c>
      <c r="O269" s="7" t="n">
        <v>-0.317</v>
      </c>
      <c r="P269" s="7" t="n">
        <v>-0.798</v>
      </c>
      <c r="Q269" s="7" t="n">
        <v>-0.523</v>
      </c>
      <c r="R269" s="7" t="n">
        <v>-0.818</v>
      </c>
      <c r="S269" s="7" t="n">
        <v>-0.019</v>
      </c>
      <c r="T269" s="7" t="n">
        <v>-0.595</v>
      </c>
      <c r="U269" s="7" t="n">
        <v>-0.392</v>
      </c>
      <c r="V269" s="7" t="n">
        <v>-0.809</v>
      </c>
      <c r="W269" s="7" t="n">
        <v>-0.523</v>
      </c>
      <c r="X269" s="7" t="n">
        <v>-0.716</v>
      </c>
      <c r="Y269" s="7" t="n">
        <v>-0.545</v>
      </c>
      <c r="Z269" s="7" t="n">
        <v>-0.403</v>
      </c>
      <c r="AA269" s="7" t="n">
        <v>-0.55</v>
      </c>
      <c r="AB269" s="7" t="n">
        <v>-0.401</v>
      </c>
      <c r="AC269" s="7" t="n">
        <v>-0.439</v>
      </c>
      <c r="AD269" s="7" t="n">
        <v>-0.75</v>
      </c>
      <c r="AE269" s="7" t="n">
        <v>-0.373</v>
      </c>
      <c r="AF269" s="7" t="n">
        <v>-0.467</v>
      </c>
      <c r="AG269" s="7" t="n">
        <v>-0.809</v>
      </c>
      <c r="AH269" s="7" t="n">
        <v>0.639</v>
      </c>
      <c r="AI269" s="7" t="n">
        <v>0.054</v>
      </c>
      <c r="AJ269" s="7" t="n">
        <v>-0.656</v>
      </c>
      <c r="AK269" s="7" t="n">
        <v>-0.206</v>
      </c>
      <c r="AL269" s="7" t="n">
        <v>-0.636</v>
      </c>
      <c r="AM269" s="7" t="n">
        <v>-0.112</v>
      </c>
      <c r="AN269" s="7" t="n">
        <v>-0.605</v>
      </c>
      <c r="AO269" s="7" t="n">
        <v>-0.027</v>
      </c>
      <c r="AP269" s="7" t="n">
        <v>0</v>
      </c>
      <c r="AQ269" s="7" t="n">
        <v>-0.091</v>
      </c>
    </row>
    <row r="270" customFormat="false" ht="15" hidden="false" customHeight="false" outlineLevel="0" collapsed="false">
      <c r="A270" s="23" t="n">
        <v>46587</v>
      </c>
      <c r="B270" s="7" t="n">
        <v>-0.817</v>
      </c>
      <c r="C270" s="7" t="n">
        <v>-0.608</v>
      </c>
      <c r="D270" s="7" t="n">
        <v>-0.791</v>
      </c>
      <c r="E270" s="7" t="n">
        <v>-0.403</v>
      </c>
      <c r="F270" s="7" t="n">
        <v>-0.373</v>
      </c>
      <c r="G270" s="7" t="n">
        <v>-0.75</v>
      </c>
      <c r="H270" s="7" t="n">
        <v>-0.809</v>
      </c>
      <c r="I270" s="7" t="n">
        <v>-0.825</v>
      </c>
      <c r="J270" s="7" t="n">
        <v>-0.306</v>
      </c>
      <c r="K270" s="7" t="n">
        <v>-0.403</v>
      </c>
      <c r="L270" s="7" t="n">
        <v>-0.595</v>
      </c>
      <c r="M270" s="7" t="n">
        <v>-0.306</v>
      </c>
      <c r="N270" s="7" t="n">
        <v>-0.461</v>
      </c>
      <c r="O270" s="7" t="n">
        <v>-0.317</v>
      </c>
      <c r="P270" s="7" t="n">
        <v>-0.798</v>
      </c>
      <c r="Q270" s="7" t="n">
        <v>-0.523</v>
      </c>
      <c r="R270" s="7" t="n">
        <v>-0.818</v>
      </c>
      <c r="S270" s="7" t="n">
        <v>-0.019</v>
      </c>
      <c r="T270" s="7" t="n">
        <v>-0.595</v>
      </c>
      <c r="U270" s="7" t="n">
        <v>-0.392</v>
      </c>
      <c r="V270" s="7" t="n">
        <v>-0.809</v>
      </c>
      <c r="W270" s="7" t="n">
        <v>-0.523</v>
      </c>
      <c r="X270" s="7" t="n">
        <v>-0.716</v>
      </c>
      <c r="Y270" s="7" t="n">
        <v>-0.545</v>
      </c>
      <c r="Z270" s="7" t="n">
        <v>-0.403</v>
      </c>
      <c r="AA270" s="7" t="n">
        <v>-0.55</v>
      </c>
      <c r="AB270" s="7" t="n">
        <v>-0.401</v>
      </c>
      <c r="AC270" s="7" t="n">
        <v>-0.439</v>
      </c>
      <c r="AD270" s="7" t="n">
        <v>-0.75</v>
      </c>
      <c r="AE270" s="7" t="n">
        <v>-0.373</v>
      </c>
      <c r="AF270" s="7" t="n">
        <v>-0.467</v>
      </c>
      <c r="AG270" s="7" t="n">
        <v>-0.809</v>
      </c>
      <c r="AH270" s="7" t="n">
        <v>0.639</v>
      </c>
      <c r="AI270" s="7" t="n">
        <v>0.054</v>
      </c>
      <c r="AJ270" s="7" t="n">
        <v>-0.656</v>
      </c>
      <c r="AK270" s="7" t="n">
        <v>-0.206</v>
      </c>
      <c r="AL270" s="7" t="n">
        <v>-0.636</v>
      </c>
      <c r="AM270" s="7" t="n">
        <v>-0.112</v>
      </c>
      <c r="AN270" s="7" t="n">
        <v>-0.605</v>
      </c>
      <c r="AO270" s="7" t="n">
        <v>-0.027</v>
      </c>
      <c r="AP270" s="7" t="n">
        <v>0</v>
      </c>
      <c r="AQ270" s="7" t="n">
        <v>-0.091</v>
      </c>
    </row>
    <row r="271" customFormat="false" ht="15" hidden="false" customHeight="false" outlineLevel="0" collapsed="false">
      <c r="A271" s="23" t="n">
        <v>46588</v>
      </c>
      <c r="B271" s="7" t="n">
        <v>-0.803</v>
      </c>
      <c r="C271" s="7" t="n">
        <v>-0.601</v>
      </c>
      <c r="D271" s="7" t="n">
        <v>-0.786</v>
      </c>
      <c r="E271" s="7" t="n">
        <v>-0.398</v>
      </c>
      <c r="F271" s="7" t="n">
        <v>-0.358</v>
      </c>
      <c r="G271" s="7" t="n">
        <v>-0.747</v>
      </c>
      <c r="H271" s="7" t="n">
        <v>-0.806</v>
      </c>
      <c r="I271" s="7" t="n">
        <v>-0.825</v>
      </c>
      <c r="J271" s="7" t="n">
        <v>-0.309</v>
      </c>
      <c r="K271" s="7" t="n">
        <v>-0.398</v>
      </c>
      <c r="L271" s="7" t="n">
        <v>-0.571</v>
      </c>
      <c r="M271" s="7" t="n">
        <v>-0.309</v>
      </c>
      <c r="N271" s="7" t="n">
        <v>-0.446</v>
      </c>
      <c r="O271" s="7" t="n">
        <v>-0.308</v>
      </c>
      <c r="P271" s="7" t="n">
        <v>-0.794</v>
      </c>
      <c r="Q271" s="7" t="n">
        <v>-0.498</v>
      </c>
      <c r="R271" s="7" t="n">
        <v>-0.813</v>
      </c>
      <c r="S271" s="7" t="n">
        <v>-0.018</v>
      </c>
      <c r="T271" s="7" t="n">
        <v>-0.584</v>
      </c>
      <c r="U271" s="7" t="n">
        <v>-0.359</v>
      </c>
      <c r="V271" s="7" t="n">
        <v>-0.806</v>
      </c>
      <c r="W271" s="7" t="n">
        <v>-0.498</v>
      </c>
      <c r="X271" s="7" t="n">
        <v>-0.715</v>
      </c>
      <c r="Y271" s="7" t="n">
        <v>-0.517</v>
      </c>
      <c r="Z271" s="7" t="n">
        <v>-0.398</v>
      </c>
      <c r="AA271" s="7" t="n">
        <v>-0.54</v>
      </c>
      <c r="AB271" s="7" t="n">
        <v>-0.404</v>
      </c>
      <c r="AC271" s="7" t="n">
        <v>-0.422</v>
      </c>
      <c r="AD271" s="7" t="n">
        <v>-0.747</v>
      </c>
      <c r="AE271" s="7" t="n">
        <v>-0.358</v>
      </c>
      <c r="AF271" s="7" t="n">
        <v>-0.441</v>
      </c>
      <c r="AG271" s="7" t="n">
        <v>-0.806</v>
      </c>
      <c r="AH271" s="7" t="n">
        <v>0.635</v>
      </c>
      <c r="AI271" s="7" t="n">
        <v>0.051</v>
      </c>
      <c r="AJ271" s="7" t="n">
        <v>-0.661</v>
      </c>
      <c r="AK271" s="7" t="n">
        <v>-0.213</v>
      </c>
      <c r="AL271" s="7" t="n">
        <v>-0.622</v>
      </c>
      <c r="AM271" s="7" t="n">
        <v>-0.112</v>
      </c>
      <c r="AN271" s="7" t="n">
        <v>-0.603</v>
      </c>
      <c r="AO271" s="7" t="n">
        <v>-0.018</v>
      </c>
      <c r="AP271" s="7" t="n">
        <v>0</v>
      </c>
      <c r="AQ271" s="7" t="n">
        <v>-0.09</v>
      </c>
    </row>
    <row r="272" customFormat="false" ht="15" hidden="false" customHeight="false" outlineLevel="0" collapsed="false">
      <c r="A272" s="23" t="n">
        <v>46589</v>
      </c>
      <c r="B272" s="7" t="n">
        <v>-0.79</v>
      </c>
      <c r="C272" s="7" t="n">
        <v>-0.594</v>
      </c>
      <c r="D272" s="7" t="n">
        <v>-0.781</v>
      </c>
      <c r="E272" s="7" t="n">
        <v>-0.393</v>
      </c>
      <c r="F272" s="7" t="n">
        <v>-0.344</v>
      </c>
      <c r="G272" s="7" t="n">
        <v>-0.745</v>
      </c>
      <c r="H272" s="7" t="n">
        <v>-0.803</v>
      </c>
      <c r="I272" s="7" t="n">
        <v>-0.826</v>
      </c>
      <c r="J272" s="7" t="n">
        <v>-0.312</v>
      </c>
      <c r="K272" s="7" t="n">
        <v>-0.393</v>
      </c>
      <c r="L272" s="7" t="n">
        <v>-0.547</v>
      </c>
      <c r="M272" s="7" t="n">
        <v>-0.312</v>
      </c>
      <c r="N272" s="7" t="n">
        <v>-0.433</v>
      </c>
      <c r="O272" s="7" t="n">
        <v>-0.301</v>
      </c>
      <c r="P272" s="7" t="n">
        <v>-0.791</v>
      </c>
      <c r="Q272" s="7" t="n">
        <v>-0.474</v>
      </c>
      <c r="R272" s="7" t="n">
        <v>-0.809</v>
      </c>
      <c r="S272" s="7" t="n">
        <v>-0.018</v>
      </c>
      <c r="T272" s="7" t="n">
        <v>-0.574</v>
      </c>
      <c r="U272" s="7" t="n">
        <v>-0.326</v>
      </c>
      <c r="V272" s="7" t="n">
        <v>-0.803</v>
      </c>
      <c r="W272" s="7" t="n">
        <v>-0.474</v>
      </c>
      <c r="X272" s="7" t="n">
        <v>-0.716</v>
      </c>
      <c r="Y272" s="7" t="n">
        <v>-0.49</v>
      </c>
      <c r="Z272" s="7" t="n">
        <v>-0.393</v>
      </c>
      <c r="AA272" s="7" t="n">
        <v>-0.53</v>
      </c>
      <c r="AB272" s="7" t="n">
        <v>-0.407</v>
      </c>
      <c r="AC272" s="7" t="n">
        <v>-0.406</v>
      </c>
      <c r="AD272" s="7" t="n">
        <v>-0.745</v>
      </c>
      <c r="AE272" s="7" t="n">
        <v>-0.344</v>
      </c>
      <c r="AF272" s="7" t="n">
        <v>-0.416</v>
      </c>
      <c r="AG272" s="7" t="n">
        <v>-0.803</v>
      </c>
      <c r="AH272" s="7" t="n">
        <v>0.631</v>
      </c>
      <c r="AI272" s="7" t="n">
        <v>0.047</v>
      </c>
      <c r="AJ272" s="7" t="n">
        <v>-0.667</v>
      </c>
      <c r="AK272" s="7" t="n">
        <v>-0.221</v>
      </c>
      <c r="AL272" s="7" t="n">
        <v>-0.608</v>
      </c>
      <c r="AM272" s="7" t="n">
        <v>-0.112</v>
      </c>
      <c r="AN272" s="7" t="n">
        <v>-0.602</v>
      </c>
      <c r="AO272" s="7" t="n">
        <v>-0.01</v>
      </c>
      <c r="AP272" s="7" t="n">
        <v>0</v>
      </c>
      <c r="AQ272" s="7" t="n">
        <v>-0.09</v>
      </c>
    </row>
    <row r="273" customFormat="false" ht="15" hidden="false" customHeight="false" outlineLevel="0" collapsed="false">
      <c r="A273" s="23" t="n">
        <v>46590</v>
      </c>
      <c r="B273" s="7" t="n">
        <v>-0.779</v>
      </c>
      <c r="C273" s="7" t="n">
        <v>-0.588</v>
      </c>
      <c r="D273" s="7" t="n">
        <v>-0.775</v>
      </c>
      <c r="E273" s="7" t="n">
        <v>-0.388</v>
      </c>
      <c r="F273" s="7" t="n">
        <v>-0.332</v>
      </c>
      <c r="G273" s="7" t="n">
        <v>-0.743</v>
      </c>
      <c r="H273" s="7" t="n">
        <v>-0.8</v>
      </c>
      <c r="I273" s="7" t="n">
        <v>-0.826</v>
      </c>
      <c r="J273" s="7" t="n">
        <v>-0.316</v>
      </c>
      <c r="K273" s="7" t="n">
        <v>-0.388</v>
      </c>
      <c r="L273" s="7" t="n">
        <v>-0.524</v>
      </c>
      <c r="M273" s="7" t="n">
        <v>-0.316</v>
      </c>
      <c r="N273" s="7" t="n">
        <v>-0.422</v>
      </c>
      <c r="O273" s="7" t="n">
        <v>-0.291</v>
      </c>
      <c r="P273" s="7" t="n">
        <v>-0.789</v>
      </c>
      <c r="Q273" s="7" t="n">
        <v>-0.45</v>
      </c>
      <c r="R273" s="7" t="n">
        <v>-0.804</v>
      </c>
      <c r="S273" s="7" t="n">
        <v>-0.017</v>
      </c>
      <c r="T273" s="7" t="n">
        <v>-0.562</v>
      </c>
      <c r="U273" s="7" t="n">
        <v>-0.295</v>
      </c>
      <c r="V273" s="7" t="n">
        <v>-0.8</v>
      </c>
      <c r="W273" s="7" t="n">
        <v>-0.45</v>
      </c>
      <c r="X273" s="7" t="n">
        <v>-0.716</v>
      </c>
      <c r="Y273" s="7" t="n">
        <v>-0.464</v>
      </c>
      <c r="Z273" s="7" t="n">
        <v>-0.388</v>
      </c>
      <c r="AA273" s="7" t="n">
        <v>-0.519</v>
      </c>
      <c r="AB273" s="7" t="n">
        <v>-0.411</v>
      </c>
      <c r="AC273" s="7" t="n">
        <v>-0.391</v>
      </c>
      <c r="AD273" s="7" t="n">
        <v>-0.743</v>
      </c>
      <c r="AE273" s="7" t="n">
        <v>-0.332</v>
      </c>
      <c r="AF273" s="7" t="n">
        <v>-0.392</v>
      </c>
      <c r="AG273" s="7" t="n">
        <v>-0.8</v>
      </c>
      <c r="AH273" s="7" t="n">
        <v>0.632</v>
      </c>
      <c r="AI273" s="7" t="n">
        <v>0.041</v>
      </c>
      <c r="AJ273" s="7" t="n">
        <v>-0.671</v>
      </c>
      <c r="AK273" s="7" t="n">
        <v>-0.227</v>
      </c>
      <c r="AL273" s="7" t="n">
        <v>-0.597</v>
      </c>
      <c r="AM273" s="7" t="n">
        <v>-0.113</v>
      </c>
      <c r="AN273" s="7" t="n">
        <v>-0.599</v>
      </c>
      <c r="AO273" s="7" t="n">
        <v>-0.003</v>
      </c>
      <c r="AP273" s="7" t="n">
        <v>0</v>
      </c>
      <c r="AQ273" s="7" t="n">
        <v>-0.092</v>
      </c>
    </row>
    <row r="274" customFormat="false" ht="15" hidden="false" customHeight="false" outlineLevel="0" collapsed="false">
      <c r="A274" s="23" t="n">
        <v>46591</v>
      </c>
      <c r="B274" s="7" t="n">
        <v>-0.769</v>
      </c>
      <c r="C274" s="7" t="n">
        <v>-0.583</v>
      </c>
      <c r="D274" s="7" t="n">
        <v>-0.77</v>
      </c>
      <c r="E274" s="7" t="n">
        <v>-0.383</v>
      </c>
      <c r="F274" s="7" t="n">
        <v>-0.322</v>
      </c>
      <c r="G274" s="7" t="n">
        <v>-0.74</v>
      </c>
      <c r="H274" s="7" t="n">
        <v>-0.797</v>
      </c>
      <c r="I274" s="7" t="n">
        <v>-0.827</v>
      </c>
      <c r="J274" s="7" t="n">
        <v>-0.319</v>
      </c>
      <c r="K274" s="7" t="n">
        <v>-0.383</v>
      </c>
      <c r="L274" s="7" t="n">
        <v>-0.503</v>
      </c>
      <c r="M274" s="7" t="n">
        <v>-0.319</v>
      </c>
      <c r="N274" s="7" t="n">
        <v>-0.412</v>
      </c>
      <c r="O274" s="7" t="n">
        <v>-0.284</v>
      </c>
      <c r="P274" s="7" t="n">
        <v>-0.787</v>
      </c>
      <c r="Q274" s="7" t="n">
        <v>-0.428</v>
      </c>
      <c r="R274" s="7" t="n">
        <v>-0.799</v>
      </c>
      <c r="S274" s="7" t="n">
        <v>-0.016</v>
      </c>
      <c r="T274" s="7" t="n">
        <v>-0.551</v>
      </c>
      <c r="U274" s="7" t="n">
        <v>-0.264</v>
      </c>
      <c r="V274" s="7" t="n">
        <v>-0.797</v>
      </c>
      <c r="W274" s="7" t="n">
        <v>-0.428</v>
      </c>
      <c r="X274" s="7" t="n">
        <v>-0.716</v>
      </c>
      <c r="Y274" s="7" t="n">
        <v>-0.439</v>
      </c>
      <c r="Z274" s="7" t="n">
        <v>-0.383</v>
      </c>
      <c r="AA274" s="7" t="n">
        <v>-0.509</v>
      </c>
      <c r="AB274" s="7" t="n">
        <v>-0.414</v>
      </c>
      <c r="AC274" s="7" t="n">
        <v>-0.378</v>
      </c>
      <c r="AD274" s="7" t="n">
        <v>-0.74</v>
      </c>
      <c r="AE274" s="7" t="n">
        <v>-0.322</v>
      </c>
      <c r="AF274" s="7" t="n">
        <v>-0.37</v>
      </c>
      <c r="AG274" s="7" t="n">
        <v>-0.797</v>
      </c>
      <c r="AH274" s="7" t="n">
        <v>0.631</v>
      </c>
      <c r="AI274" s="7" t="n">
        <v>0.034</v>
      </c>
      <c r="AJ274" s="7" t="n">
        <v>-0.676</v>
      </c>
      <c r="AK274" s="7" t="n">
        <v>-0.234</v>
      </c>
      <c r="AL274" s="7" t="n">
        <v>-0.586</v>
      </c>
      <c r="AM274" s="7" t="n">
        <v>-0.113</v>
      </c>
      <c r="AN274" s="7" t="n">
        <v>-0.596</v>
      </c>
      <c r="AO274" s="7" t="n">
        <v>0.005</v>
      </c>
      <c r="AP274" s="7" t="n">
        <v>0</v>
      </c>
      <c r="AQ274" s="7" t="n">
        <v>-0.095</v>
      </c>
    </row>
    <row r="275" customFormat="false" ht="15" hidden="false" customHeight="false" outlineLevel="0" collapsed="false">
      <c r="A275" s="23" t="n">
        <v>46592</v>
      </c>
      <c r="B275" s="7" t="n">
        <v>-0.757</v>
      </c>
      <c r="C275" s="7" t="n">
        <v>-0.576</v>
      </c>
      <c r="D275" s="7" t="n">
        <v>-0.766</v>
      </c>
      <c r="E275" s="7" t="n">
        <v>-0.378</v>
      </c>
      <c r="F275" s="7" t="n">
        <v>-0.309</v>
      </c>
      <c r="G275" s="7" t="n">
        <v>-0.738</v>
      </c>
      <c r="H275" s="7" t="n">
        <v>-0.794</v>
      </c>
      <c r="I275" s="7" t="n">
        <v>-0.827</v>
      </c>
      <c r="J275" s="7" t="n">
        <v>-0.323</v>
      </c>
      <c r="K275" s="7" t="n">
        <v>-0.378</v>
      </c>
      <c r="L275" s="7" t="n">
        <v>-0.476</v>
      </c>
      <c r="M275" s="7" t="n">
        <v>-0.323</v>
      </c>
      <c r="N275" s="7" t="n">
        <v>-0.396</v>
      </c>
      <c r="O275" s="7" t="n">
        <v>-0.27</v>
      </c>
      <c r="P275" s="7" t="n">
        <v>-0.784</v>
      </c>
      <c r="Q275" s="7" t="n">
        <v>-0.403</v>
      </c>
      <c r="R275" s="7" t="n">
        <v>-0.795</v>
      </c>
      <c r="S275" s="7" t="n">
        <v>-0.014</v>
      </c>
      <c r="T275" s="7" t="n">
        <v>-0.543</v>
      </c>
      <c r="U275" s="7" t="n">
        <v>-0.229</v>
      </c>
      <c r="V275" s="7" t="n">
        <v>-0.794</v>
      </c>
      <c r="W275" s="7" t="n">
        <v>-0.403</v>
      </c>
      <c r="X275" s="7" t="n">
        <v>-0.718</v>
      </c>
      <c r="Y275" s="7" t="n">
        <v>-0.413</v>
      </c>
      <c r="Z275" s="7" t="n">
        <v>-0.378</v>
      </c>
      <c r="AA275" s="7" t="n">
        <v>-0.502</v>
      </c>
      <c r="AB275" s="7" t="n">
        <v>-0.414</v>
      </c>
      <c r="AC275" s="7" t="n">
        <v>-0.361</v>
      </c>
      <c r="AD275" s="7" t="n">
        <v>-0.738</v>
      </c>
      <c r="AE275" s="7" t="n">
        <v>-0.309</v>
      </c>
      <c r="AF275" s="7" t="n">
        <v>-0.345</v>
      </c>
      <c r="AG275" s="7" t="n">
        <v>-0.794</v>
      </c>
      <c r="AH275" s="7" t="n">
        <v>0.629</v>
      </c>
      <c r="AI275" s="7" t="n">
        <v>0.035</v>
      </c>
      <c r="AJ275" s="7" t="n">
        <v>-0.68</v>
      </c>
      <c r="AK275" s="7" t="n">
        <v>-0.24</v>
      </c>
      <c r="AL275" s="7" t="n">
        <v>-0.573</v>
      </c>
      <c r="AM275" s="7" t="n">
        <v>-0.109</v>
      </c>
      <c r="AN275" s="7" t="n">
        <v>-0.596</v>
      </c>
      <c r="AO275" s="7" t="n">
        <v>0.012</v>
      </c>
      <c r="AP275" s="7" t="n">
        <v>0</v>
      </c>
      <c r="AQ275" s="7" t="n">
        <v>-0.095</v>
      </c>
    </row>
    <row r="276" customFormat="false" ht="15" hidden="false" customHeight="false" outlineLevel="0" collapsed="false">
      <c r="A276" s="23" t="n">
        <v>46593</v>
      </c>
      <c r="B276" s="7" t="n">
        <v>-0.757</v>
      </c>
      <c r="C276" s="7" t="n">
        <v>-0.576</v>
      </c>
      <c r="D276" s="7" t="n">
        <v>-0.766</v>
      </c>
      <c r="E276" s="7" t="n">
        <v>-0.378</v>
      </c>
      <c r="F276" s="7" t="n">
        <v>-0.309</v>
      </c>
      <c r="G276" s="7" t="n">
        <v>-0.738</v>
      </c>
      <c r="H276" s="7" t="n">
        <v>-0.794</v>
      </c>
      <c r="I276" s="7" t="n">
        <v>-0.827</v>
      </c>
      <c r="J276" s="7" t="n">
        <v>-0.323</v>
      </c>
      <c r="K276" s="7" t="n">
        <v>-0.378</v>
      </c>
      <c r="L276" s="7" t="n">
        <v>-0.476</v>
      </c>
      <c r="M276" s="7" t="n">
        <v>-0.323</v>
      </c>
      <c r="N276" s="7" t="n">
        <v>-0.396</v>
      </c>
      <c r="O276" s="7" t="n">
        <v>-0.27</v>
      </c>
      <c r="P276" s="7" t="n">
        <v>-0.784</v>
      </c>
      <c r="Q276" s="7" t="n">
        <v>-0.403</v>
      </c>
      <c r="R276" s="7" t="n">
        <v>-0.795</v>
      </c>
      <c r="S276" s="7" t="n">
        <v>-0.014</v>
      </c>
      <c r="T276" s="7" t="n">
        <v>-0.543</v>
      </c>
      <c r="U276" s="7" t="n">
        <v>-0.229</v>
      </c>
      <c r="V276" s="7" t="n">
        <v>-0.794</v>
      </c>
      <c r="W276" s="7" t="n">
        <v>-0.403</v>
      </c>
      <c r="X276" s="7" t="n">
        <v>-0.718</v>
      </c>
      <c r="Y276" s="7" t="n">
        <v>-0.413</v>
      </c>
      <c r="Z276" s="7" t="n">
        <v>-0.378</v>
      </c>
      <c r="AA276" s="7" t="n">
        <v>-0.502</v>
      </c>
      <c r="AB276" s="7" t="n">
        <v>-0.414</v>
      </c>
      <c r="AC276" s="7" t="n">
        <v>-0.361</v>
      </c>
      <c r="AD276" s="7" t="n">
        <v>-0.738</v>
      </c>
      <c r="AE276" s="7" t="n">
        <v>-0.309</v>
      </c>
      <c r="AF276" s="7" t="n">
        <v>-0.345</v>
      </c>
      <c r="AG276" s="7" t="n">
        <v>-0.794</v>
      </c>
      <c r="AH276" s="7" t="n">
        <v>0.629</v>
      </c>
      <c r="AI276" s="7" t="n">
        <v>0.035</v>
      </c>
      <c r="AJ276" s="7" t="n">
        <v>-0.68</v>
      </c>
      <c r="AK276" s="7" t="n">
        <v>-0.24</v>
      </c>
      <c r="AL276" s="7" t="n">
        <v>-0.573</v>
      </c>
      <c r="AM276" s="7" t="n">
        <v>-0.109</v>
      </c>
      <c r="AN276" s="7" t="n">
        <v>-0.596</v>
      </c>
      <c r="AO276" s="7" t="n">
        <v>0.012</v>
      </c>
      <c r="AP276" s="7" t="n">
        <v>0</v>
      </c>
      <c r="AQ276" s="7" t="n">
        <v>-0.095</v>
      </c>
    </row>
    <row r="277" customFormat="false" ht="15" hidden="false" customHeight="false" outlineLevel="0" collapsed="false">
      <c r="A277" s="23" t="n">
        <v>46594</v>
      </c>
      <c r="B277" s="7" t="n">
        <v>-0.757</v>
      </c>
      <c r="C277" s="7" t="n">
        <v>-0.576</v>
      </c>
      <c r="D277" s="7" t="n">
        <v>-0.766</v>
      </c>
      <c r="E277" s="7" t="n">
        <v>-0.378</v>
      </c>
      <c r="F277" s="7" t="n">
        <v>-0.309</v>
      </c>
      <c r="G277" s="7" t="n">
        <v>-0.738</v>
      </c>
      <c r="H277" s="7" t="n">
        <v>-0.794</v>
      </c>
      <c r="I277" s="7" t="n">
        <v>-0.827</v>
      </c>
      <c r="J277" s="7" t="n">
        <v>-0.323</v>
      </c>
      <c r="K277" s="7" t="n">
        <v>-0.378</v>
      </c>
      <c r="L277" s="7" t="n">
        <v>-0.476</v>
      </c>
      <c r="M277" s="7" t="n">
        <v>-0.323</v>
      </c>
      <c r="N277" s="7" t="n">
        <v>-0.396</v>
      </c>
      <c r="O277" s="7" t="n">
        <v>-0.27</v>
      </c>
      <c r="P277" s="7" t="n">
        <v>-0.784</v>
      </c>
      <c r="Q277" s="7" t="n">
        <v>-0.403</v>
      </c>
      <c r="R277" s="7" t="n">
        <v>-0.795</v>
      </c>
      <c r="S277" s="7" t="n">
        <v>-0.014</v>
      </c>
      <c r="T277" s="7" t="n">
        <v>-0.543</v>
      </c>
      <c r="U277" s="7" t="n">
        <v>-0.229</v>
      </c>
      <c r="V277" s="7" t="n">
        <v>-0.794</v>
      </c>
      <c r="W277" s="7" t="n">
        <v>-0.403</v>
      </c>
      <c r="X277" s="7" t="n">
        <v>-0.718</v>
      </c>
      <c r="Y277" s="7" t="n">
        <v>-0.413</v>
      </c>
      <c r="Z277" s="7" t="n">
        <v>-0.378</v>
      </c>
      <c r="AA277" s="7" t="n">
        <v>-0.502</v>
      </c>
      <c r="AB277" s="7" t="n">
        <v>-0.414</v>
      </c>
      <c r="AC277" s="7" t="n">
        <v>-0.361</v>
      </c>
      <c r="AD277" s="7" t="n">
        <v>-0.738</v>
      </c>
      <c r="AE277" s="7" t="n">
        <v>-0.309</v>
      </c>
      <c r="AF277" s="7" t="n">
        <v>-0.345</v>
      </c>
      <c r="AG277" s="7" t="n">
        <v>-0.794</v>
      </c>
      <c r="AH277" s="7" t="n">
        <v>0.629</v>
      </c>
      <c r="AI277" s="7" t="n">
        <v>0.035</v>
      </c>
      <c r="AJ277" s="7" t="n">
        <v>-0.68</v>
      </c>
      <c r="AK277" s="7" t="n">
        <v>-0.24</v>
      </c>
      <c r="AL277" s="7" t="n">
        <v>-0.573</v>
      </c>
      <c r="AM277" s="7" t="n">
        <v>-0.109</v>
      </c>
      <c r="AN277" s="7" t="n">
        <v>-0.596</v>
      </c>
      <c r="AO277" s="7" t="n">
        <v>0.012</v>
      </c>
      <c r="AP277" s="7" t="n">
        <v>0</v>
      </c>
      <c r="AQ277" s="7" t="n">
        <v>-0.095</v>
      </c>
    </row>
    <row r="278" customFormat="false" ht="15" hidden="false" customHeight="false" outlineLevel="0" collapsed="false">
      <c r="A278" s="23" t="n">
        <v>46595</v>
      </c>
      <c r="B278" s="7" t="n">
        <v>-0.744</v>
      </c>
      <c r="C278" s="7" t="n">
        <v>-0.563</v>
      </c>
      <c r="D278" s="7" t="n">
        <v>-0.761</v>
      </c>
      <c r="E278" s="7" t="n">
        <v>-0.373</v>
      </c>
      <c r="F278" s="7" t="n">
        <v>-0.294</v>
      </c>
      <c r="G278" s="7" t="n">
        <v>-0.735</v>
      </c>
      <c r="H278" s="7" t="n">
        <v>-0.791</v>
      </c>
      <c r="I278" s="7" t="n">
        <v>-0.825</v>
      </c>
      <c r="J278" s="7" t="n">
        <v>-0.322</v>
      </c>
      <c r="K278" s="7" t="n">
        <v>-0.373</v>
      </c>
      <c r="L278" s="7" t="n">
        <v>-0.459</v>
      </c>
      <c r="M278" s="7" t="n">
        <v>-0.322</v>
      </c>
      <c r="N278" s="7" t="n">
        <v>-0.379</v>
      </c>
      <c r="O278" s="7" t="n">
        <v>-0.264</v>
      </c>
      <c r="P278" s="7" t="n">
        <v>-0.781</v>
      </c>
      <c r="Q278" s="7" t="n">
        <v>-0.388</v>
      </c>
      <c r="R278" s="7" t="n">
        <v>-0.792</v>
      </c>
      <c r="S278" s="7" t="n">
        <v>-0.012</v>
      </c>
      <c r="T278" s="7" t="n">
        <v>-0.534</v>
      </c>
      <c r="U278" s="7" t="n">
        <v>-0.207</v>
      </c>
      <c r="V278" s="7" t="n">
        <v>-0.791</v>
      </c>
      <c r="W278" s="7" t="n">
        <v>-0.388</v>
      </c>
      <c r="X278" s="7" t="n">
        <v>-0.718</v>
      </c>
      <c r="Y278" s="7" t="n">
        <v>-0.4</v>
      </c>
      <c r="Z278" s="7" t="n">
        <v>-0.373</v>
      </c>
      <c r="AA278" s="7" t="n">
        <v>-0.495</v>
      </c>
      <c r="AB278" s="7" t="n">
        <v>-0.41</v>
      </c>
      <c r="AC278" s="7" t="n">
        <v>-0.35</v>
      </c>
      <c r="AD278" s="7" t="n">
        <v>-0.735</v>
      </c>
      <c r="AE278" s="7" t="n">
        <v>-0.294</v>
      </c>
      <c r="AF278" s="7" t="n">
        <v>-0.321</v>
      </c>
      <c r="AG278" s="7" t="n">
        <v>-0.791</v>
      </c>
      <c r="AH278" s="7" t="n">
        <v>0.622</v>
      </c>
      <c r="AI278" s="7" t="n">
        <v>0.037</v>
      </c>
      <c r="AJ278" s="7" t="n">
        <v>-0.679</v>
      </c>
      <c r="AK278" s="7" t="n">
        <v>-0.238</v>
      </c>
      <c r="AL278" s="7" t="n">
        <v>-0.567</v>
      </c>
      <c r="AM278" s="7" t="n">
        <v>-0.104</v>
      </c>
      <c r="AN278" s="7" t="n">
        <v>-0.595</v>
      </c>
      <c r="AO278" s="7" t="n">
        <v>0.015</v>
      </c>
      <c r="AP278" s="7" t="n">
        <v>0</v>
      </c>
      <c r="AQ278" s="7" t="n">
        <v>-0.094</v>
      </c>
    </row>
    <row r="279" customFormat="false" ht="15" hidden="false" customHeight="false" outlineLevel="0" collapsed="false">
      <c r="A279" s="23" t="n">
        <v>46596</v>
      </c>
      <c r="B279" s="7" t="n">
        <v>-0.731</v>
      </c>
      <c r="C279" s="7" t="n">
        <v>-0.549</v>
      </c>
      <c r="D279" s="7" t="n">
        <v>-0.757</v>
      </c>
      <c r="E279" s="7" t="n">
        <v>-0.368</v>
      </c>
      <c r="F279" s="7" t="n">
        <v>-0.279</v>
      </c>
      <c r="G279" s="7" t="n">
        <v>-0.732</v>
      </c>
      <c r="H279" s="7" t="n">
        <v>-0.789</v>
      </c>
      <c r="I279" s="7" t="n">
        <v>-0.822</v>
      </c>
      <c r="J279" s="7" t="n">
        <v>-0.321</v>
      </c>
      <c r="K279" s="7" t="n">
        <v>-0.368</v>
      </c>
      <c r="L279" s="7" t="n">
        <v>-0.441</v>
      </c>
      <c r="M279" s="7" t="n">
        <v>-0.321</v>
      </c>
      <c r="N279" s="7" t="n">
        <v>-0.361</v>
      </c>
      <c r="O279" s="7" t="n">
        <v>-0.256</v>
      </c>
      <c r="P279" s="7" t="n">
        <v>-0.778</v>
      </c>
      <c r="Q279" s="7" t="n">
        <v>-0.372</v>
      </c>
      <c r="R279" s="7" t="n">
        <v>-0.788</v>
      </c>
      <c r="S279" s="7" t="n">
        <v>-0.01</v>
      </c>
      <c r="T279" s="7" t="n">
        <v>-0.526</v>
      </c>
      <c r="U279" s="7" t="n">
        <v>-0.185</v>
      </c>
      <c r="V279" s="7" t="n">
        <v>-0.789</v>
      </c>
      <c r="W279" s="7" t="n">
        <v>-0.372</v>
      </c>
      <c r="X279" s="7" t="n">
        <v>-0.717</v>
      </c>
      <c r="Y279" s="7" t="n">
        <v>-0.388</v>
      </c>
      <c r="Z279" s="7" t="n">
        <v>-0.368</v>
      </c>
      <c r="AA279" s="7" t="n">
        <v>-0.487</v>
      </c>
      <c r="AB279" s="7" t="n">
        <v>-0.405</v>
      </c>
      <c r="AC279" s="7" t="n">
        <v>-0.338</v>
      </c>
      <c r="AD279" s="7" t="n">
        <v>-0.732</v>
      </c>
      <c r="AE279" s="7" t="n">
        <v>-0.279</v>
      </c>
      <c r="AF279" s="7" t="n">
        <v>-0.296</v>
      </c>
      <c r="AG279" s="7" t="n">
        <v>-0.789</v>
      </c>
      <c r="AH279" s="7" t="n">
        <v>0.615</v>
      </c>
      <c r="AI279" s="7" t="n">
        <v>0.04</v>
      </c>
      <c r="AJ279" s="7" t="n">
        <v>-0.677</v>
      </c>
      <c r="AK279" s="7" t="n">
        <v>-0.236</v>
      </c>
      <c r="AL279" s="7" t="n">
        <v>-0.561</v>
      </c>
      <c r="AM279" s="7" t="n">
        <v>-0.099</v>
      </c>
      <c r="AN279" s="7" t="n">
        <v>-0.594</v>
      </c>
      <c r="AO279" s="7" t="n">
        <v>0.018</v>
      </c>
      <c r="AP279" s="7" t="n">
        <v>0</v>
      </c>
      <c r="AQ279" s="7" t="n">
        <v>-0.092</v>
      </c>
    </row>
    <row r="280" customFormat="false" ht="15" hidden="false" customHeight="false" outlineLevel="0" collapsed="false">
      <c r="A280" s="23" t="n">
        <v>46597</v>
      </c>
      <c r="B280" s="7" t="n">
        <v>-0.727</v>
      </c>
      <c r="C280" s="7" t="n">
        <v>-0.541</v>
      </c>
      <c r="D280" s="7" t="n">
        <v>-0.755</v>
      </c>
      <c r="E280" s="7" t="n">
        <v>-0.363</v>
      </c>
      <c r="F280" s="7" t="n">
        <v>-0.273</v>
      </c>
      <c r="G280" s="7" t="n">
        <v>-0.733</v>
      </c>
      <c r="H280" s="7" t="n">
        <v>-0.789</v>
      </c>
      <c r="I280" s="7" t="n">
        <v>-0.821</v>
      </c>
      <c r="J280" s="7" t="n">
        <v>-0.318</v>
      </c>
      <c r="K280" s="7" t="n">
        <v>-0.363</v>
      </c>
      <c r="L280" s="7" t="n">
        <v>-0.433</v>
      </c>
      <c r="M280" s="7" t="n">
        <v>-0.318</v>
      </c>
      <c r="N280" s="7" t="n">
        <v>-0.352</v>
      </c>
      <c r="O280" s="7" t="n">
        <v>-0.251</v>
      </c>
      <c r="P280" s="7" t="n">
        <v>-0.777</v>
      </c>
      <c r="Q280" s="7" t="n">
        <v>-0.366</v>
      </c>
      <c r="R280" s="7" t="n">
        <v>-0.788</v>
      </c>
      <c r="S280" s="7" t="n">
        <v>-0.008</v>
      </c>
      <c r="T280" s="7" t="n">
        <v>-0.519</v>
      </c>
      <c r="U280" s="7" t="n">
        <v>-0.173</v>
      </c>
      <c r="V280" s="7" t="n">
        <v>-0.789</v>
      </c>
      <c r="W280" s="7" t="n">
        <v>-0.366</v>
      </c>
      <c r="X280" s="7" t="n">
        <v>-0.718</v>
      </c>
      <c r="Y280" s="7" t="n">
        <v>-0.376</v>
      </c>
      <c r="Z280" s="7" t="n">
        <v>-0.363</v>
      </c>
      <c r="AA280" s="7" t="n">
        <v>-0.481</v>
      </c>
      <c r="AB280" s="7" t="n">
        <v>-0.399</v>
      </c>
      <c r="AC280" s="7" t="n">
        <v>-0.334</v>
      </c>
      <c r="AD280" s="7" t="n">
        <v>-0.733</v>
      </c>
      <c r="AE280" s="7" t="n">
        <v>-0.273</v>
      </c>
      <c r="AF280" s="7" t="n">
        <v>-0.287</v>
      </c>
      <c r="AG280" s="7" t="n">
        <v>-0.789</v>
      </c>
      <c r="AH280" s="7" t="n">
        <v>0.608</v>
      </c>
      <c r="AI280" s="7" t="n">
        <v>0.044</v>
      </c>
      <c r="AJ280" s="7" t="n">
        <v>-0.678</v>
      </c>
      <c r="AK280" s="7" t="n">
        <v>-0.232</v>
      </c>
      <c r="AL280" s="7" t="n">
        <v>-0.558</v>
      </c>
      <c r="AM280" s="7" t="n">
        <v>-0.094</v>
      </c>
      <c r="AN280" s="7" t="n">
        <v>-0.599</v>
      </c>
      <c r="AO280" s="7" t="n">
        <v>0.024</v>
      </c>
      <c r="AP280" s="7" t="n">
        <v>0</v>
      </c>
      <c r="AQ280" s="7" t="n">
        <v>-0.089</v>
      </c>
    </row>
    <row r="281" customFormat="false" ht="15" hidden="false" customHeight="false" outlineLevel="0" collapsed="false">
      <c r="A281" s="23" t="n">
        <v>46598</v>
      </c>
      <c r="B281" s="7" t="n">
        <v>-0.724</v>
      </c>
      <c r="C281" s="7" t="n">
        <v>-0.533</v>
      </c>
      <c r="D281" s="7" t="n">
        <v>-0.754</v>
      </c>
      <c r="E281" s="7" t="n">
        <v>-0.358</v>
      </c>
      <c r="F281" s="7" t="n">
        <v>-0.268</v>
      </c>
      <c r="G281" s="7" t="n">
        <v>-0.733</v>
      </c>
      <c r="H281" s="7" t="n">
        <v>-0.789</v>
      </c>
      <c r="I281" s="7" t="n">
        <v>-0.821</v>
      </c>
      <c r="J281" s="7" t="n">
        <v>-0.315</v>
      </c>
      <c r="K281" s="7" t="n">
        <v>-0.358</v>
      </c>
      <c r="L281" s="7" t="n">
        <v>-0.426</v>
      </c>
      <c r="M281" s="7" t="n">
        <v>-0.315</v>
      </c>
      <c r="N281" s="7" t="n">
        <v>-0.344</v>
      </c>
      <c r="O281" s="7" t="n">
        <v>-0.246</v>
      </c>
      <c r="P281" s="7" t="n">
        <v>-0.776</v>
      </c>
      <c r="Q281" s="7" t="n">
        <v>-0.362</v>
      </c>
      <c r="R281" s="7" t="n">
        <v>-0.787</v>
      </c>
      <c r="S281" s="7" t="n">
        <v>-0.006</v>
      </c>
      <c r="T281" s="7" t="n">
        <v>-0.512</v>
      </c>
      <c r="U281" s="7" t="n">
        <v>-0.162</v>
      </c>
      <c r="V281" s="7" t="n">
        <v>-0.789</v>
      </c>
      <c r="W281" s="7" t="n">
        <v>-0.362</v>
      </c>
      <c r="X281" s="7" t="n">
        <v>-0.718</v>
      </c>
      <c r="Y281" s="7" t="n">
        <v>-0.365</v>
      </c>
      <c r="Z281" s="7" t="n">
        <v>-0.358</v>
      </c>
      <c r="AA281" s="7" t="n">
        <v>-0.475</v>
      </c>
      <c r="AB281" s="7" t="n">
        <v>-0.392</v>
      </c>
      <c r="AC281" s="7" t="n">
        <v>-0.331</v>
      </c>
      <c r="AD281" s="7" t="n">
        <v>-0.733</v>
      </c>
      <c r="AE281" s="7" t="n">
        <v>-0.268</v>
      </c>
      <c r="AF281" s="7" t="n">
        <v>-0.28</v>
      </c>
      <c r="AG281" s="7" t="n">
        <v>-0.789</v>
      </c>
      <c r="AH281" s="7" t="n">
        <v>0.603</v>
      </c>
      <c r="AI281" s="7" t="n">
        <v>0.048</v>
      </c>
      <c r="AJ281" s="7" t="n">
        <v>-0.679</v>
      </c>
      <c r="AK281" s="7" t="n">
        <v>-0.227</v>
      </c>
      <c r="AL281" s="7" t="n">
        <v>-0.557</v>
      </c>
      <c r="AM281" s="7" t="n">
        <v>-0.088</v>
      </c>
      <c r="AN281" s="7" t="n">
        <v>-0.603</v>
      </c>
      <c r="AO281" s="7" t="n">
        <v>0.03</v>
      </c>
      <c r="AP281" s="7" t="n">
        <v>0</v>
      </c>
      <c r="AQ281" s="7" t="n">
        <v>-0.088</v>
      </c>
    </row>
    <row r="282" customFormat="false" ht="15" hidden="false" customHeight="false" outlineLevel="0" collapsed="false">
      <c r="A282" s="23" t="n">
        <v>46599</v>
      </c>
      <c r="B282" s="7" t="n">
        <v>-0.725</v>
      </c>
      <c r="C282" s="7" t="n">
        <v>-0.528</v>
      </c>
      <c r="D282" s="7" t="n">
        <v>-0.754</v>
      </c>
      <c r="E282" s="7" t="n">
        <v>-0.358</v>
      </c>
      <c r="F282" s="7" t="n">
        <v>-0.268</v>
      </c>
      <c r="G282" s="7" t="n">
        <v>-0.736</v>
      </c>
      <c r="H282" s="7" t="n">
        <v>-0.792</v>
      </c>
      <c r="I282" s="7" t="n">
        <v>-0.821</v>
      </c>
      <c r="J282" s="7" t="n">
        <v>-0.316</v>
      </c>
      <c r="K282" s="7" t="n">
        <v>-0.358</v>
      </c>
      <c r="L282" s="7" t="n">
        <v>-0.422</v>
      </c>
      <c r="M282" s="7" t="n">
        <v>-0.316</v>
      </c>
      <c r="N282" s="7" t="n">
        <v>-0.34</v>
      </c>
      <c r="O282" s="7" t="n">
        <v>-0.246</v>
      </c>
      <c r="P282" s="7" t="n">
        <v>-0.777</v>
      </c>
      <c r="Q282" s="7" t="n">
        <v>-0.362</v>
      </c>
      <c r="R282" s="7" t="n">
        <v>-0.788</v>
      </c>
      <c r="S282" s="7" t="n">
        <v>-0.009</v>
      </c>
      <c r="T282" s="7" t="n">
        <v>-0.508</v>
      </c>
      <c r="U282" s="7" t="n">
        <v>-0.153</v>
      </c>
      <c r="V282" s="7" t="n">
        <v>-0.792</v>
      </c>
      <c r="W282" s="7" t="n">
        <v>-0.362</v>
      </c>
      <c r="X282" s="7" t="n">
        <v>-0.721</v>
      </c>
      <c r="Y282" s="7" t="n">
        <v>-0.357</v>
      </c>
      <c r="Z282" s="7" t="n">
        <v>-0.358</v>
      </c>
      <c r="AA282" s="7" t="n">
        <v>-0.473</v>
      </c>
      <c r="AB282" s="7" t="n">
        <v>-0.389</v>
      </c>
      <c r="AC282" s="7" t="n">
        <v>-0.332</v>
      </c>
      <c r="AD282" s="7" t="n">
        <v>-0.736</v>
      </c>
      <c r="AE282" s="7" t="n">
        <v>-0.268</v>
      </c>
      <c r="AF282" s="7" t="n">
        <v>-0.278</v>
      </c>
      <c r="AG282" s="7" t="n">
        <v>-0.792</v>
      </c>
      <c r="AH282" s="7" t="n">
        <v>0.599</v>
      </c>
      <c r="AI282" s="7" t="n">
        <v>0.055</v>
      </c>
      <c r="AJ282" s="7" t="n">
        <v>-0.679</v>
      </c>
      <c r="AK282" s="7" t="n">
        <v>-0.222</v>
      </c>
      <c r="AL282" s="7" t="n">
        <v>-0.556</v>
      </c>
      <c r="AM282" s="7" t="n">
        <v>-0.082</v>
      </c>
      <c r="AN282" s="7" t="n">
        <v>-0.607</v>
      </c>
      <c r="AO282" s="7" t="n">
        <v>0.036</v>
      </c>
      <c r="AP282" s="7" t="n">
        <v>0</v>
      </c>
      <c r="AQ282" s="7" t="n">
        <v>-0.087</v>
      </c>
    </row>
    <row r="283" customFormat="false" ht="15" hidden="false" customHeight="false" outlineLevel="0" collapsed="false">
      <c r="A283" s="23" t="n">
        <v>46600</v>
      </c>
      <c r="B283" s="7" t="n">
        <v>-0.725</v>
      </c>
      <c r="C283" s="7" t="n">
        <v>-0.528</v>
      </c>
      <c r="D283" s="7" t="n">
        <v>-0.754</v>
      </c>
      <c r="E283" s="7" t="n">
        <v>-0.358</v>
      </c>
      <c r="F283" s="7" t="n">
        <v>-0.268</v>
      </c>
      <c r="G283" s="7" t="n">
        <v>-0.736</v>
      </c>
      <c r="H283" s="7" t="n">
        <v>-0.792</v>
      </c>
      <c r="I283" s="7" t="n">
        <v>-0.821</v>
      </c>
      <c r="J283" s="7" t="n">
        <v>-0.316</v>
      </c>
      <c r="K283" s="7" t="n">
        <v>-0.358</v>
      </c>
      <c r="L283" s="7" t="n">
        <v>-0.422</v>
      </c>
      <c r="M283" s="7" t="n">
        <v>-0.316</v>
      </c>
      <c r="N283" s="7" t="n">
        <v>-0.34</v>
      </c>
      <c r="O283" s="7" t="n">
        <v>-0.246</v>
      </c>
      <c r="P283" s="7" t="n">
        <v>-0.777</v>
      </c>
      <c r="Q283" s="7" t="n">
        <v>-0.362</v>
      </c>
      <c r="R283" s="7" t="n">
        <v>-0.788</v>
      </c>
      <c r="S283" s="7" t="n">
        <v>-0.009</v>
      </c>
      <c r="T283" s="7" t="n">
        <v>-0.508</v>
      </c>
      <c r="U283" s="7" t="n">
        <v>-0.153</v>
      </c>
      <c r="V283" s="7" t="n">
        <v>-0.792</v>
      </c>
      <c r="W283" s="7" t="n">
        <v>-0.362</v>
      </c>
      <c r="X283" s="7" t="n">
        <v>-0.721</v>
      </c>
      <c r="Y283" s="7" t="n">
        <v>-0.357</v>
      </c>
      <c r="Z283" s="7" t="n">
        <v>-0.358</v>
      </c>
      <c r="AA283" s="7" t="n">
        <v>-0.473</v>
      </c>
      <c r="AB283" s="7" t="n">
        <v>-0.389</v>
      </c>
      <c r="AC283" s="7" t="n">
        <v>-0.332</v>
      </c>
      <c r="AD283" s="7" t="n">
        <v>-0.736</v>
      </c>
      <c r="AE283" s="7" t="n">
        <v>-0.268</v>
      </c>
      <c r="AF283" s="7" t="n">
        <v>-0.278</v>
      </c>
      <c r="AG283" s="7" t="n">
        <v>-0.792</v>
      </c>
      <c r="AH283" s="7" t="n">
        <v>0.599</v>
      </c>
      <c r="AI283" s="7" t="n">
        <v>0.055</v>
      </c>
      <c r="AJ283" s="7" t="n">
        <v>-0.679</v>
      </c>
      <c r="AK283" s="7" t="n">
        <v>-0.222</v>
      </c>
      <c r="AL283" s="7" t="n">
        <v>-0.556</v>
      </c>
      <c r="AM283" s="7" t="n">
        <v>-0.082</v>
      </c>
      <c r="AN283" s="7" t="n">
        <v>-0.607</v>
      </c>
      <c r="AO283" s="7" t="n">
        <v>0.036</v>
      </c>
      <c r="AP283" s="7" t="n">
        <v>0</v>
      </c>
      <c r="AQ283" s="7" t="n">
        <v>-0.087</v>
      </c>
    </row>
    <row r="284" customFormat="false" ht="15" hidden="false" customHeight="false" outlineLevel="0" collapsed="false">
      <c r="A284" s="23" t="n">
        <v>46601</v>
      </c>
      <c r="B284" s="7" t="n">
        <v>-0.725</v>
      </c>
      <c r="C284" s="7" t="n">
        <v>-0.528</v>
      </c>
      <c r="D284" s="7" t="n">
        <v>-0.754</v>
      </c>
      <c r="E284" s="7" t="n">
        <v>-0.358</v>
      </c>
      <c r="F284" s="7" t="n">
        <v>-0.268</v>
      </c>
      <c r="G284" s="7" t="n">
        <v>-0.736</v>
      </c>
      <c r="H284" s="7" t="n">
        <v>-0.792</v>
      </c>
      <c r="I284" s="7" t="n">
        <v>-0.821</v>
      </c>
      <c r="J284" s="7" t="n">
        <v>-0.316</v>
      </c>
      <c r="K284" s="7" t="n">
        <v>-0.358</v>
      </c>
      <c r="L284" s="7" t="n">
        <v>-0.422</v>
      </c>
      <c r="M284" s="7" t="n">
        <v>-0.316</v>
      </c>
      <c r="N284" s="7" t="n">
        <v>-0.34</v>
      </c>
      <c r="O284" s="7" t="n">
        <v>-0.246</v>
      </c>
      <c r="P284" s="7" t="n">
        <v>-0.777</v>
      </c>
      <c r="Q284" s="7" t="n">
        <v>-0.362</v>
      </c>
      <c r="R284" s="7" t="n">
        <v>-0.788</v>
      </c>
      <c r="S284" s="7" t="n">
        <v>-0.009</v>
      </c>
      <c r="T284" s="7" t="n">
        <v>-0.508</v>
      </c>
      <c r="U284" s="7" t="n">
        <v>-0.153</v>
      </c>
      <c r="V284" s="7" t="n">
        <v>-0.792</v>
      </c>
      <c r="W284" s="7" t="n">
        <v>-0.362</v>
      </c>
      <c r="X284" s="7" t="n">
        <v>-0.721</v>
      </c>
      <c r="Y284" s="7" t="n">
        <v>-0.357</v>
      </c>
      <c r="Z284" s="7" t="n">
        <v>-0.358</v>
      </c>
      <c r="AA284" s="7" t="n">
        <v>-0.473</v>
      </c>
      <c r="AB284" s="7" t="n">
        <v>-0.389</v>
      </c>
      <c r="AC284" s="7" t="n">
        <v>-0.332</v>
      </c>
      <c r="AD284" s="7" t="n">
        <v>-0.736</v>
      </c>
      <c r="AE284" s="7" t="n">
        <v>-0.268</v>
      </c>
      <c r="AF284" s="7" t="n">
        <v>-0.278</v>
      </c>
      <c r="AG284" s="7" t="n">
        <v>-0.792</v>
      </c>
      <c r="AH284" s="7" t="n">
        <v>0.599</v>
      </c>
      <c r="AI284" s="7" t="n">
        <v>0.055</v>
      </c>
      <c r="AJ284" s="7" t="n">
        <v>-0.679</v>
      </c>
      <c r="AK284" s="7" t="n">
        <v>-0.222</v>
      </c>
      <c r="AL284" s="7" t="n">
        <v>-0.556</v>
      </c>
      <c r="AM284" s="7" t="n">
        <v>-0.082</v>
      </c>
      <c r="AN284" s="7" t="n">
        <v>-0.607</v>
      </c>
      <c r="AO284" s="7" t="n">
        <v>0.036</v>
      </c>
      <c r="AP284" s="7" t="n">
        <v>0</v>
      </c>
      <c r="AQ284" s="7" t="n">
        <v>-0.087</v>
      </c>
    </row>
    <row r="285" customFormat="false" ht="15" hidden="false" customHeight="false" outlineLevel="0" collapsed="false">
      <c r="A285" s="23" t="n">
        <v>46602</v>
      </c>
      <c r="B285" s="7" t="n">
        <v>-0.732</v>
      </c>
      <c r="C285" s="7" t="n">
        <v>-0.527</v>
      </c>
      <c r="D285" s="7" t="n">
        <v>-0.757</v>
      </c>
      <c r="E285" s="7" t="n">
        <v>-0.358</v>
      </c>
      <c r="F285" s="7" t="n">
        <v>-0.27</v>
      </c>
      <c r="G285" s="7" t="n">
        <v>-0.739</v>
      </c>
      <c r="H285" s="7" t="n">
        <v>-0.794</v>
      </c>
      <c r="I285" s="7" t="n">
        <v>-0.822</v>
      </c>
      <c r="J285" s="7" t="n">
        <v>-0.317</v>
      </c>
      <c r="K285" s="7" t="n">
        <v>-0.358</v>
      </c>
      <c r="L285" s="7" t="n">
        <v>-0.424</v>
      </c>
      <c r="M285" s="7" t="n">
        <v>-0.317</v>
      </c>
      <c r="N285" s="7" t="n">
        <v>-0.34</v>
      </c>
      <c r="O285" s="7" t="n">
        <v>-0.252</v>
      </c>
      <c r="P285" s="7" t="n">
        <v>-0.781</v>
      </c>
      <c r="Q285" s="7" t="n">
        <v>-0.365</v>
      </c>
      <c r="R285" s="7" t="n">
        <v>-0.792</v>
      </c>
      <c r="S285" s="7" t="n">
        <v>-0.031</v>
      </c>
      <c r="T285" s="7" t="n">
        <v>-0.508</v>
      </c>
      <c r="U285" s="7" t="n">
        <v>-0.157</v>
      </c>
      <c r="V285" s="7" t="n">
        <v>-0.794</v>
      </c>
      <c r="W285" s="7" t="n">
        <v>-0.365</v>
      </c>
      <c r="X285" s="7" t="n">
        <v>-0.725</v>
      </c>
      <c r="Y285" s="7" t="n">
        <v>-0.353</v>
      </c>
      <c r="Z285" s="7" t="n">
        <v>-0.358</v>
      </c>
      <c r="AA285" s="7" t="n">
        <v>-0.475</v>
      </c>
      <c r="AB285" s="7" t="n">
        <v>-0.388</v>
      </c>
      <c r="AC285" s="7" t="n">
        <v>-0.336</v>
      </c>
      <c r="AD285" s="7" t="n">
        <v>-0.739</v>
      </c>
      <c r="AE285" s="7" t="n">
        <v>-0.27</v>
      </c>
      <c r="AF285" s="7" t="n">
        <v>-0.28</v>
      </c>
      <c r="AG285" s="7" t="n">
        <v>-0.794</v>
      </c>
      <c r="AH285" s="7" t="n">
        <v>0.597</v>
      </c>
      <c r="AI285" s="7" t="n">
        <v>0.055</v>
      </c>
      <c r="AJ285" s="7" t="n">
        <v>-0.68</v>
      </c>
      <c r="AK285" s="7" t="n">
        <v>-0.219</v>
      </c>
      <c r="AL285" s="7" t="n">
        <v>-0.557</v>
      </c>
      <c r="AM285" s="7" t="n">
        <v>-0.08</v>
      </c>
      <c r="AN285" s="7" t="n">
        <v>-0.611</v>
      </c>
      <c r="AO285" s="7" t="n">
        <v>0.043</v>
      </c>
      <c r="AP285" s="7" t="n">
        <v>0</v>
      </c>
      <c r="AQ285" s="7" t="n">
        <v>-0.089</v>
      </c>
    </row>
    <row r="286" customFormat="false" ht="15" hidden="false" customHeight="false" outlineLevel="0" collapsed="false">
      <c r="A286" s="23" t="n">
        <v>46603</v>
      </c>
      <c r="B286" s="7" t="n">
        <v>-0.739</v>
      </c>
      <c r="C286" s="7" t="n">
        <v>-0.526</v>
      </c>
      <c r="D286" s="7" t="n">
        <v>-0.761</v>
      </c>
      <c r="E286" s="7" t="n">
        <v>-0.358</v>
      </c>
      <c r="F286" s="7" t="n">
        <v>-0.273</v>
      </c>
      <c r="G286" s="7" t="n">
        <v>-0.742</v>
      </c>
      <c r="H286" s="7" t="n">
        <v>-0.796</v>
      </c>
      <c r="I286" s="7" t="n">
        <v>-0.824</v>
      </c>
      <c r="J286" s="7" t="n">
        <v>-0.318</v>
      </c>
      <c r="K286" s="7" t="n">
        <v>-0.358</v>
      </c>
      <c r="L286" s="7" t="n">
        <v>-0.426</v>
      </c>
      <c r="M286" s="7" t="n">
        <v>-0.318</v>
      </c>
      <c r="N286" s="7" t="n">
        <v>-0.341</v>
      </c>
      <c r="O286" s="7" t="n">
        <v>-0.258</v>
      </c>
      <c r="P286" s="7" t="n">
        <v>-0.785</v>
      </c>
      <c r="Q286" s="7" t="n">
        <v>-0.369</v>
      </c>
      <c r="R286" s="7" t="n">
        <v>-0.795</v>
      </c>
      <c r="S286" s="7" t="n">
        <v>-0.052</v>
      </c>
      <c r="T286" s="7" t="n">
        <v>-0.508</v>
      </c>
      <c r="U286" s="7" t="n">
        <v>-0.161</v>
      </c>
      <c r="V286" s="7" t="n">
        <v>-0.796</v>
      </c>
      <c r="W286" s="7" t="n">
        <v>-0.369</v>
      </c>
      <c r="X286" s="7" t="n">
        <v>-0.73</v>
      </c>
      <c r="Y286" s="7" t="n">
        <v>-0.35</v>
      </c>
      <c r="Z286" s="7" t="n">
        <v>-0.358</v>
      </c>
      <c r="AA286" s="7" t="n">
        <v>-0.477</v>
      </c>
      <c r="AB286" s="7" t="n">
        <v>-0.386</v>
      </c>
      <c r="AC286" s="7" t="n">
        <v>-0.341</v>
      </c>
      <c r="AD286" s="7" t="n">
        <v>-0.742</v>
      </c>
      <c r="AE286" s="7" t="n">
        <v>-0.273</v>
      </c>
      <c r="AF286" s="7" t="n">
        <v>-0.281</v>
      </c>
      <c r="AG286" s="7" t="n">
        <v>-0.796</v>
      </c>
      <c r="AH286" s="7" t="n">
        <v>0.594</v>
      </c>
      <c r="AI286" s="7" t="n">
        <v>0.054</v>
      </c>
      <c r="AJ286" s="7" t="n">
        <v>-0.683</v>
      </c>
      <c r="AK286" s="7" t="n">
        <v>-0.218</v>
      </c>
      <c r="AL286" s="7" t="n">
        <v>-0.558</v>
      </c>
      <c r="AM286" s="7" t="n">
        <v>-0.078</v>
      </c>
      <c r="AN286" s="7" t="n">
        <v>-0.615</v>
      </c>
      <c r="AO286" s="7" t="n">
        <v>0.051</v>
      </c>
      <c r="AP286" s="7" t="n">
        <v>0</v>
      </c>
      <c r="AQ286" s="7" t="n">
        <v>-0.092</v>
      </c>
    </row>
    <row r="287" customFormat="false" ht="15" hidden="false" customHeight="false" outlineLevel="0" collapsed="false">
      <c r="A287" s="23" t="n">
        <v>46604</v>
      </c>
      <c r="B287" s="7" t="n">
        <v>-0.747</v>
      </c>
      <c r="C287" s="7" t="n">
        <v>-0.528</v>
      </c>
      <c r="D287" s="7" t="n">
        <v>-0.764</v>
      </c>
      <c r="E287" s="7" t="n">
        <v>-0.358</v>
      </c>
      <c r="F287" s="7" t="n">
        <v>-0.276</v>
      </c>
      <c r="G287" s="7" t="n">
        <v>-0.746</v>
      </c>
      <c r="H287" s="7" t="n">
        <v>-0.799</v>
      </c>
      <c r="I287" s="7" t="n">
        <v>-0.826</v>
      </c>
      <c r="J287" s="7" t="n">
        <v>-0.319</v>
      </c>
      <c r="K287" s="7" t="n">
        <v>-0.358</v>
      </c>
      <c r="L287" s="7" t="n">
        <v>-0.427</v>
      </c>
      <c r="M287" s="7" t="n">
        <v>-0.319</v>
      </c>
      <c r="N287" s="7" t="n">
        <v>-0.342</v>
      </c>
      <c r="O287" s="7" t="n">
        <v>-0.264</v>
      </c>
      <c r="P287" s="7" t="n">
        <v>-0.79</v>
      </c>
      <c r="Q287" s="7" t="n">
        <v>-0.372</v>
      </c>
      <c r="R287" s="7" t="n">
        <v>-0.8</v>
      </c>
      <c r="S287" s="7" t="n">
        <v>-0.074</v>
      </c>
      <c r="T287" s="7" t="n">
        <v>-0.511</v>
      </c>
      <c r="U287" s="7" t="n">
        <v>-0.168</v>
      </c>
      <c r="V287" s="7" t="n">
        <v>-0.799</v>
      </c>
      <c r="W287" s="7" t="n">
        <v>-0.372</v>
      </c>
      <c r="X287" s="7" t="n">
        <v>-0.735</v>
      </c>
      <c r="Y287" s="7" t="n">
        <v>-0.349</v>
      </c>
      <c r="Z287" s="7" t="n">
        <v>-0.358</v>
      </c>
      <c r="AA287" s="7" t="n">
        <v>-0.482</v>
      </c>
      <c r="AB287" s="7" t="n">
        <v>-0.385</v>
      </c>
      <c r="AC287" s="7" t="n">
        <v>-0.346</v>
      </c>
      <c r="AD287" s="7" t="n">
        <v>-0.746</v>
      </c>
      <c r="AE287" s="7" t="n">
        <v>-0.276</v>
      </c>
      <c r="AF287" s="7" t="n">
        <v>-0.283</v>
      </c>
      <c r="AG287" s="7" t="n">
        <v>-0.799</v>
      </c>
      <c r="AH287" s="7" t="n">
        <v>0.591</v>
      </c>
      <c r="AI287" s="7" t="n">
        <v>0.053</v>
      </c>
      <c r="AJ287" s="7" t="n">
        <v>-0.687</v>
      </c>
      <c r="AK287" s="7" t="n">
        <v>-0.219</v>
      </c>
      <c r="AL287" s="7" t="n">
        <v>-0.559</v>
      </c>
      <c r="AM287" s="7" t="n">
        <v>-0.076</v>
      </c>
      <c r="AN287" s="7" t="n">
        <v>-0.62</v>
      </c>
      <c r="AO287" s="7" t="n">
        <v>0.057</v>
      </c>
      <c r="AP287" s="7" t="n">
        <v>0</v>
      </c>
      <c r="AQ287" s="7" t="n">
        <v>-0.095</v>
      </c>
    </row>
    <row r="288" customFormat="false" ht="15" hidden="false" customHeight="false" outlineLevel="0" collapsed="false">
      <c r="A288" s="23" t="n">
        <v>46605</v>
      </c>
      <c r="B288" s="7" t="n">
        <v>-0.755</v>
      </c>
      <c r="C288" s="7" t="n">
        <v>-0.53</v>
      </c>
      <c r="D288" s="7" t="n">
        <v>-0.768</v>
      </c>
      <c r="E288" s="7" t="n">
        <v>-0.358</v>
      </c>
      <c r="F288" s="7" t="n">
        <v>-0.28</v>
      </c>
      <c r="G288" s="7" t="n">
        <v>-0.749</v>
      </c>
      <c r="H288" s="7" t="n">
        <v>-0.802</v>
      </c>
      <c r="I288" s="7" t="n">
        <v>-0.829</v>
      </c>
      <c r="J288" s="7" t="n">
        <v>-0.32</v>
      </c>
      <c r="K288" s="7" t="n">
        <v>-0.358</v>
      </c>
      <c r="L288" s="7" t="n">
        <v>-0.43</v>
      </c>
      <c r="M288" s="7" t="n">
        <v>-0.32</v>
      </c>
      <c r="N288" s="7" t="n">
        <v>-0.344</v>
      </c>
      <c r="O288" s="7" t="n">
        <v>-0.271</v>
      </c>
      <c r="P288" s="7" t="n">
        <v>-0.795</v>
      </c>
      <c r="Q288" s="7" t="n">
        <v>-0.376</v>
      </c>
      <c r="R288" s="7" t="n">
        <v>-0.805</v>
      </c>
      <c r="S288" s="7" t="n">
        <v>-0.096</v>
      </c>
      <c r="T288" s="7" t="n">
        <v>-0.515</v>
      </c>
      <c r="U288" s="7" t="n">
        <v>-0.175</v>
      </c>
      <c r="V288" s="7" t="n">
        <v>-0.802</v>
      </c>
      <c r="W288" s="7" t="n">
        <v>-0.376</v>
      </c>
      <c r="X288" s="7" t="n">
        <v>-0.742</v>
      </c>
      <c r="Y288" s="7" t="n">
        <v>-0.348</v>
      </c>
      <c r="Z288" s="7" t="n">
        <v>-0.358</v>
      </c>
      <c r="AA288" s="7" t="n">
        <v>-0.487</v>
      </c>
      <c r="AB288" s="7" t="n">
        <v>-0.385</v>
      </c>
      <c r="AC288" s="7" t="n">
        <v>-0.351</v>
      </c>
      <c r="AD288" s="7" t="n">
        <v>-0.749</v>
      </c>
      <c r="AE288" s="7" t="n">
        <v>-0.28</v>
      </c>
      <c r="AF288" s="7" t="n">
        <v>-0.286</v>
      </c>
      <c r="AG288" s="7" t="n">
        <v>-0.802</v>
      </c>
      <c r="AH288" s="7" t="n">
        <v>0.588</v>
      </c>
      <c r="AI288" s="7" t="n">
        <v>0.052</v>
      </c>
      <c r="AJ288" s="7" t="n">
        <v>-0.692</v>
      </c>
      <c r="AK288" s="7" t="n">
        <v>-0.221</v>
      </c>
      <c r="AL288" s="7" t="n">
        <v>-0.56</v>
      </c>
      <c r="AM288" s="7" t="n">
        <v>-0.074</v>
      </c>
      <c r="AN288" s="7" t="n">
        <v>-0.625</v>
      </c>
      <c r="AO288" s="7" t="n">
        <v>0.064</v>
      </c>
      <c r="AP288" s="7" t="n">
        <v>0</v>
      </c>
      <c r="AQ288" s="7" t="n">
        <v>-0.098</v>
      </c>
    </row>
    <row r="289" customFormat="false" ht="15" hidden="false" customHeight="false" outlineLevel="0" collapsed="false">
      <c r="A289" s="23" t="n">
        <v>46606</v>
      </c>
      <c r="B289" s="7" t="n">
        <v>-0.764</v>
      </c>
      <c r="C289" s="7" t="n">
        <v>-0.533</v>
      </c>
      <c r="D289" s="7" t="n">
        <v>-0.773</v>
      </c>
      <c r="E289" s="7" t="n">
        <v>-0.358</v>
      </c>
      <c r="F289" s="7" t="n">
        <v>-0.284</v>
      </c>
      <c r="G289" s="7" t="n">
        <v>-0.752</v>
      </c>
      <c r="H289" s="7" t="n">
        <v>-0.806</v>
      </c>
      <c r="I289" s="7" t="n">
        <v>-0.832</v>
      </c>
      <c r="J289" s="7" t="n">
        <v>-0.322</v>
      </c>
      <c r="K289" s="7" t="n">
        <v>-0.358</v>
      </c>
      <c r="L289" s="7" t="n">
        <v>-0.433</v>
      </c>
      <c r="M289" s="7" t="n">
        <v>-0.322</v>
      </c>
      <c r="N289" s="7" t="n">
        <v>-0.347</v>
      </c>
      <c r="O289" s="7" t="n">
        <v>-0.279</v>
      </c>
      <c r="P289" s="7" t="n">
        <v>-0.801</v>
      </c>
      <c r="Q289" s="7" t="n">
        <v>-0.381</v>
      </c>
      <c r="R289" s="7" t="n">
        <v>-0.811</v>
      </c>
      <c r="S289" s="7" t="n">
        <v>-0.117</v>
      </c>
      <c r="T289" s="7" t="n">
        <v>-0.519</v>
      </c>
      <c r="U289" s="7" t="n">
        <v>-0.183</v>
      </c>
      <c r="V289" s="7" t="n">
        <v>-0.806</v>
      </c>
      <c r="W289" s="7" t="n">
        <v>-0.381</v>
      </c>
      <c r="X289" s="7" t="n">
        <v>-0.749</v>
      </c>
      <c r="Y289" s="7" t="n">
        <v>-0.347</v>
      </c>
      <c r="Z289" s="7" t="n">
        <v>-0.358</v>
      </c>
      <c r="AA289" s="7" t="n">
        <v>-0.493</v>
      </c>
      <c r="AB289" s="7" t="n">
        <v>-0.385</v>
      </c>
      <c r="AC289" s="7" t="n">
        <v>-0.357</v>
      </c>
      <c r="AD289" s="7" t="n">
        <v>-0.752</v>
      </c>
      <c r="AE289" s="7" t="n">
        <v>-0.284</v>
      </c>
      <c r="AF289" s="7" t="n">
        <v>-0.288</v>
      </c>
      <c r="AG289" s="7" t="n">
        <v>-0.806</v>
      </c>
      <c r="AH289" s="7" t="n">
        <v>0.585</v>
      </c>
      <c r="AI289" s="7" t="n">
        <v>0.05</v>
      </c>
      <c r="AJ289" s="7" t="n">
        <v>-0.698</v>
      </c>
      <c r="AK289" s="7" t="n">
        <v>-0.225</v>
      </c>
      <c r="AL289" s="7" t="n">
        <v>-0.562</v>
      </c>
      <c r="AM289" s="7" t="n">
        <v>-0.073</v>
      </c>
      <c r="AN289" s="7" t="n">
        <v>-0.631</v>
      </c>
      <c r="AO289" s="7" t="n">
        <v>0.069</v>
      </c>
      <c r="AP289" s="7" t="n">
        <v>0</v>
      </c>
      <c r="AQ289" s="7" t="n">
        <v>-0.101</v>
      </c>
    </row>
    <row r="290" customFormat="false" ht="15" hidden="false" customHeight="false" outlineLevel="0" collapsed="false">
      <c r="A290" s="23" t="n">
        <v>46607</v>
      </c>
      <c r="B290" s="7" t="n">
        <v>-0.764</v>
      </c>
      <c r="C290" s="7" t="n">
        <v>-0.533</v>
      </c>
      <c r="D290" s="7" t="n">
        <v>-0.773</v>
      </c>
      <c r="E290" s="7" t="n">
        <v>-0.358</v>
      </c>
      <c r="F290" s="7" t="n">
        <v>-0.284</v>
      </c>
      <c r="G290" s="7" t="n">
        <v>-0.752</v>
      </c>
      <c r="H290" s="7" t="n">
        <v>-0.806</v>
      </c>
      <c r="I290" s="7" t="n">
        <v>-0.832</v>
      </c>
      <c r="J290" s="7" t="n">
        <v>-0.322</v>
      </c>
      <c r="K290" s="7" t="n">
        <v>-0.358</v>
      </c>
      <c r="L290" s="7" t="n">
        <v>-0.433</v>
      </c>
      <c r="M290" s="7" t="n">
        <v>-0.322</v>
      </c>
      <c r="N290" s="7" t="n">
        <v>-0.347</v>
      </c>
      <c r="O290" s="7" t="n">
        <v>-0.279</v>
      </c>
      <c r="P290" s="7" t="n">
        <v>-0.801</v>
      </c>
      <c r="Q290" s="7" t="n">
        <v>-0.381</v>
      </c>
      <c r="R290" s="7" t="n">
        <v>-0.811</v>
      </c>
      <c r="S290" s="7" t="n">
        <v>-0.117</v>
      </c>
      <c r="T290" s="7" t="n">
        <v>-0.519</v>
      </c>
      <c r="U290" s="7" t="n">
        <v>-0.183</v>
      </c>
      <c r="V290" s="7" t="n">
        <v>-0.806</v>
      </c>
      <c r="W290" s="7" t="n">
        <v>-0.381</v>
      </c>
      <c r="X290" s="7" t="n">
        <v>-0.749</v>
      </c>
      <c r="Y290" s="7" t="n">
        <v>-0.347</v>
      </c>
      <c r="Z290" s="7" t="n">
        <v>-0.358</v>
      </c>
      <c r="AA290" s="7" t="n">
        <v>-0.493</v>
      </c>
      <c r="AB290" s="7" t="n">
        <v>-0.385</v>
      </c>
      <c r="AC290" s="7" t="n">
        <v>-0.357</v>
      </c>
      <c r="AD290" s="7" t="n">
        <v>-0.752</v>
      </c>
      <c r="AE290" s="7" t="n">
        <v>-0.284</v>
      </c>
      <c r="AF290" s="7" t="n">
        <v>-0.288</v>
      </c>
      <c r="AG290" s="7" t="n">
        <v>-0.806</v>
      </c>
      <c r="AH290" s="7" t="n">
        <v>0.585</v>
      </c>
      <c r="AI290" s="7" t="n">
        <v>0.05</v>
      </c>
      <c r="AJ290" s="7" t="n">
        <v>-0.698</v>
      </c>
      <c r="AK290" s="7" t="n">
        <v>-0.225</v>
      </c>
      <c r="AL290" s="7" t="n">
        <v>-0.562</v>
      </c>
      <c r="AM290" s="7" t="n">
        <v>-0.073</v>
      </c>
      <c r="AN290" s="7" t="n">
        <v>-0.631</v>
      </c>
      <c r="AO290" s="7" t="n">
        <v>0.069</v>
      </c>
      <c r="AP290" s="7" t="n">
        <v>0</v>
      </c>
      <c r="AQ290" s="7" t="n">
        <v>-0.101</v>
      </c>
    </row>
    <row r="291" customFormat="false" ht="15" hidden="false" customHeight="false" outlineLevel="0" collapsed="false">
      <c r="A291" s="23" t="n">
        <v>46608</v>
      </c>
      <c r="B291" s="7" t="n">
        <v>-0.764</v>
      </c>
      <c r="C291" s="7" t="n">
        <v>-0.533</v>
      </c>
      <c r="D291" s="7" t="n">
        <v>-0.773</v>
      </c>
      <c r="E291" s="7" t="n">
        <v>-0.358</v>
      </c>
      <c r="F291" s="7" t="n">
        <v>-0.284</v>
      </c>
      <c r="G291" s="7" t="n">
        <v>-0.752</v>
      </c>
      <c r="H291" s="7" t="n">
        <v>-0.806</v>
      </c>
      <c r="I291" s="7" t="n">
        <v>-0.832</v>
      </c>
      <c r="J291" s="7" t="n">
        <v>-0.322</v>
      </c>
      <c r="K291" s="7" t="n">
        <v>-0.358</v>
      </c>
      <c r="L291" s="7" t="n">
        <v>-0.433</v>
      </c>
      <c r="M291" s="7" t="n">
        <v>-0.322</v>
      </c>
      <c r="N291" s="7" t="n">
        <v>-0.347</v>
      </c>
      <c r="O291" s="7" t="n">
        <v>-0.279</v>
      </c>
      <c r="P291" s="7" t="n">
        <v>-0.801</v>
      </c>
      <c r="Q291" s="7" t="n">
        <v>-0.381</v>
      </c>
      <c r="R291" s="7" t="n">
        <v>-0.811</v>
      </c>
      <c r="S291" s="7" t="n">
        <v>-0.117</v>
      </c>
      <c r="T291" s="7" t="n">
        <v>-0.519</v>
      </c>
      <c r="U291" s="7" t="n">
        <v>-0.183</v>
      </c>
      <c r="V291" s="7" t="n">
        <v>-0.806</v>
      </c>
      <c r="W291" s="7" t="n">
        <v>-0.381</v>
      </c>
      <c r="X291" s="7" t="n">
        <v>-0.749</v>
      </c>
      <c r="Y291" s="7" t="n">
        <v>-0.347</v>
      </c>
      <c r="Z291" s="7" t="n">
        <v>-0.358</v>
      </c>
      <c r="AA291" s="7" t="n">
        <v>-0.493</v>
      </c>
      <c r="AB291" s="7" t="n">
        <v>-0.385</v>
      </c>
      <c r="AC291" s="7" t="n">
        <v>-0.357</v>
      </c>
      <c r="AD291" s="7" t="n">
        <v>-0.752</v>
      </c>
      <c r="AE291" s="7" t="n">
        <v>-0.284</v>
      </c>
      <c r="AF291" s="7" t="n">
        <v>-0.288</v>
      </c>
      <c r="AG291" s="7" t="n">
        <v>-0.806</v>
      </c>
      <c r="AH291" s="7" t="n">
        <v>0.585</v>
      </c>
      <c r="AI291" s="7" t="n">
        <v>0.05</v>
      </c>
      <c r="AJ291" s="7" t="n">
        <v>-0.698</v>
      </c>
      <c r="AK291" s="7" t="n">
        <v>-0.225</v>
      </c>
      <c r="AL291" s="7" t="n">
        <v>-0.562</v>
      </c>
      <c r="AM291" s="7" t="n">
        <v>-0.073</v>
      </c>
      <c r="AN291" s="7" t="n">
        <v>-0.631</v>
      </c>
      <c r="AO291" s="7" t="n">
        <v>0.069</v>
      </c>
      <c r="AP291" s="7" t="n">
        <v>0</v>
      </c>
      <c r="AQ291" s="7" t="n">
        <v>-0.101</v>
      </c>
    </row>
    <row r="292" customFormat="false" ht="15" hidden="false" customHeight="false" outlineLevel="0" collapsed="false">
      <c r="A292" s="23" t="n">
        <v>46609</v>
      </c>
      <c r="B292" s="7" t="n">
        <v>-0.764</v>
      </c>
      <c r="C292" s="7" t="n">
        <v>-0.521</v>
      </c>
      <c r="D292" s="7" t="n">
        <v>-0.777</v>
      </c>
      <c r="E292" s="7" t="n">
        <v>-0.358</v>
      </c>
      <c r="F292" s="7" t="n">
        <v>-0.276</v>
      </c>
      <c r="G292" s="7" t="n">
        <v>-0.755</v>
      </c>
      <c r="H292" s="7" t="n">
        <v>-0.809</v>
      </c>
      <c r="I292" s="7" t="n">
        <v>-0.834</v>
      </c>
      <c r="J292" s="7" t="n">
        <v>-0.321</v>
      </c>
      <c r="K292" s="7" t="n">
        <v>-0.358</v>
      </c>
      <c r="L292" s="7" t="n">
        <v>-0.417</v>
      </c>
      <c r="M292" s="7" t="n">
        <v>-0.321</v>
      </c>
      <c r="N292" s="7" t="n">
        <v>-0.338</v>
      </c>
      <c r="O292" s="7" t="n">
        <v>-0.276</v>
      </c>
      <c r="P292" s="7" t="n">
        <v>-0.805</v>
      </c>
      <c r="Q292" s="7" t="n">
        <v>-0.365</v>
      </c>
      <c r="R292" s="7" t="n">
        <v>-0.816</v>
      </c>
      <c r="S292" s="7" t="n">
        <v>-0.139</v>
      </c>
      <c r="T292" s="7" t="n">
        <v>-0.521</v>
      </c>
      <c r="U292" s="7" t="n">
        <v>-0.183</v>
      </c>
      <c r="V292" s="7" t="n">
        <v>-0.809</v>
      </c>
      <c r="W292" s="7" t="n">
        <v>-0.365</v>
      </c>
      <c r="X292" s="7" t="n">
        <v>-0.754</v>
      </c>
      <c r="Y292" s="7" t="n">
        <v>-0.345</v>
      </c>
      <c r="Z292" s="7" t="n">
        <v>-0.358</v>
      </c>
      <c r="AA292" s="7" t="n">
        <v>-0.498</v>
      </c>
      <c r="AB292" s="7" t="n">
        <v>-0.384</v>
      </c>
      <c r="AC292" s="7" t="n">
        <v>-0.341</v>
      </c>
      <c r="AD292" s="7" t="n">
        <v>-0.755</v>
      </c>
      <c r="AE292" s="7" t="n">
        <v>-0.276</v>
      </c>
      <c r="AF292" s="7" t="n">
        <v>-0.275</v>
      </c>
      <c r="AG292" s="7" t="n">
        <v>-0.809</v>
      </c>
      <c r="AH292" s="7" t="n">
        <v>0.583</v>
      </c>
      <c r="AI292" s="7" t="n">
        <v>0.047</v>
      </c>
      <c r="AJ292" s="7" t="n">
        <v>-0.7</v>
      </c>
      <c r="AK292" s="7" t="n">
        <v>-0.223</v>
      </c>
      <c r="AL292" s="7" t="n">
        <v>-0.564</v>
      </c>
      <c r="AM292" s="7" t="n">
        <v>-0.071</v>
      </c>
      <c r="AN292" s="7" t="n">
        <v>-0.637</v>
      </c>
      <c r="AO292" s="7" t="n">
        <v>0.077</v>
      </c>
      <c r="AP292" s="7" t="n">
        <v>0</v>
      </c>
      <c r="AQ292" s="7" t="n">
        <v>-0.105</v>
      </c>
    </row>
    <row r="293" customFormat="false" ht="15" hidden="false" customHeight="false" outlineLevel="0" collapsed="false">
      <c r="A293" s="23" t="n">
        <v>46610</v>
      </c>
      <c r="B293" s="7" t="n">
        <v>-0.763</v>
      </c>
      <c r="C293" s="7" t="n">
        <v>-0.51</v>
      </c>
      <c r="D293" s="7" t="n">
        <v>-0.78</v>
      </c>
      <c r="E293" s="7" t="n">
        <v>-0.358</v>
      </c>
      <c r="F293" s="7" t="n">
        <v>-0.268</v>
      </c>
      <c r="G293" s="7" t="n">
        <v>-0.757</v>
      </c>
      <c r="H293" s="7" t="n">
        <v>-0.811</v>
      </c>
      <c r="I293" s="7" t="n">
        <v>-0.835</v>
      </c>
      <c r="J293" s="7" t="n">
        <v>-0.321</v>
      </c>
      <c r="K293" s="7" t="n">
        <v>-0.358</v>
      </c>
      <c r="L293" s="7" t="n">
        <v>-0.401</v>
      </c>
      <c r="M293" s="7" t="n">
        <v>-0.321</v>
      </c>
      <c r="N293" s="7" t="n">
        <v>-0.329</v>
      </c>
      <c r="O293" s="7" t="n">
        <v>-0.272</v>
      </c>
      <c r="P293" s="7" t="n">
        <v>-0.808</v>
      </c>
      <c r="Q293" s="7" t="n">
        <v>-0.35</v>
      </c>
      <c r="R293" s="7" t="n">
        <v>-0.819</v>
      </c>
      <c r="S293" s="7" t="n">
        <v>-0.161</v>
      </c>
      <c r="T293" s="7" t="n">
        <v>-0.523</v>
      </c>
      <c r="U293" s="7" t="n">
        <v>-0.182</v>
      </c>
      <c r="V293" s="7" t="n">
        <v>-0.811</v>
      </c>
      <c r="W293" s="7" t="n">
        <v>-0.35</v>
      </c>
      <c r="X293" s="7" t="n">
        <v>-0.757</v>
      </c>
      <c r="Y293" s="7" t="n">
        <v>-0.342</v>
      </c>
      <c r="Z293" s="7" t="n">
        <v>-0.358</v>
      </c>
      <c r="AA293" s="7" t="n">
        <v>-0.503</v>
      </c>
      <c r="AB293" s="7" t="n">
        <v>-0.382</v>
      </c>
      <c r="AC293" s="7" t="n">
        <v>-0.326</v>
      </c>
      <c r="AD293" s="7" t="n">
        <v>-0.757</v>
      </c>
      <c r="AE293" s="7" t="n">
        <v>-0.268</v>
      </c>
      <c r="AF293" s="7" t="n">
        <v>-0.262</v>
      </c>
      <c r="AG293" s="7" t="n">
        <v>-0.811</v>
      </c>
      <c r="AH293" s="7" t="n">
        <v>0.581</v>
      </c>
      <c r="AI293" s="7" t="n">
        <v>0.044</v>
      </c>
      <c r="AJ293" s="7" t="n">
        <v>-0.7</v>
      </c>
      <c r="AK293" s="7" t="n">
        <v>-0.222</v>
      </c>
      <c r="AL293" s="7" t="n">
        <v>-0.565</v>
      </c>
      <c r="AM293" s="7" t="n">
        <v>-0.07</v>
      </c>
      <c r="AN293" s="7" t="n">
        <v>-0.641</v>
      </c>
      <c r="AO293" s="7" t="n">
        <v>0.084</v>
      </c>
      <c r="AP293" s="7" t="n">
        <v>0</v>
      </c>
      <c r="AQ293" s="7" t="n">
        <v>-0.109</v>
      </c>
    </row>
    <row r="294" customFormat="false" ht="15" hidden="false" customHeight="false" outlineLevel="0" collapsed="false">
      <c r="A294" s="23" t="n">
        <v>46611</v>
      </c>
      <c r="B294" s="7" t="n">
        <v>-0.763</v>
      </c>
      <c r="C294" s="7" t="n">
        <v>-0.498</v>
      </c>
      <c r="D294" s="7" t="n">
        <v>-0.783</v>
      </c>
      <c r="E294" s="7" t="n">
        <v>-0.358</v>
      </c>
      <c r="F294" s="7" t="n">
        <v>-0.26</v>
      </c>
      <c r="G294" s="7" t="n">
        <v>-0.759</v>
      </c>
      <c r="H294" s="7" t="n">
        <v>-0.813</v>
      </c>
      <c r="I294" s="7" t="n">
        <v>-0.837</v>
      </c>
      <c r="J294" s="7" t="n">
        <v>-0.321</v>
      </c>
      <c r="K294" s="7" t="n">
        <v>-0.358</v>
      </c>
      <c r="L294" s="7" t="n">
        <v>-0.385</v>
      </c>
      <c r="M294" s="7" t="n">
        <v>-0.321</v>
      </c>
      <c r="N294" s="7" t="n">
        <v>-0.32</v>
      </c>
      <c r="O294" s="7" t="n">
        <v>-0.269</v>
      </c>
      <c r="P294" s="7" t="n">
        <v>-0.811</v>
      </c>
      <c r="Q294" s="7" t="n">
        <v>-0.335</v>
      </c>
      <c r="R294" s="7" t="n">
        <v>-0.823</v>
      </c>
      <c r="S294" s="7" t="n">
        <v>-0.183</v>
      </c>
      <c r="T294" s="7" t="n">
        <v>-0.524</v>
      </c>
      <c r="U294" s="7" t="n">
        <v>-0.181</v>
      </c>
      <c r="V294" s="7" t="n">
        <v>-0.813</v>
      </c>
      <c r="W294" s="7" t="n">
        <v>-0.335</v>
      </c>
      <c r="X294" s="7" t="n">
        <v>-0.76</v>
      </c>
      <c r="Y294" s="7" t="n">
        <v>-0.34</v>
      </c>
      <c r="Z294" s="7" t="n">
        <v>-0.358</v>
      </c>
      <c r="AA294" s="7" t="n">
        <v>-0.507</v>
      </c>
      <c r="AB294" s="7" t="n">
        <v>-0.381</v>
      </c>
      <c r="AC294" s="7" t="n">
        <v>-0.31</v>
      </c>
      <c r="AD294" s="7" t="n">
        <v>-0.759</v>
      </c>
      <c r="AE294" s="7" t="n">
        <v>-0.26</v>
      </c>
      <c r="AF294" s="7" t="n">
        <v>-0.249</v>
      </c>
      <c r="AG294" s="7" t="n">
        <v>-0.813</v>
      </c>
      <c r="AH294" s="7" t="n">
        <v>0.58</v>
      </c>
      <c r="AI294" s="7" t="n">
        <v>0.042</v>
      </c>
      <c r="AJ294" s="7" t="n">
        <v>-0.701</v>
      </c>
      <c r="AK294" s="7" t="n">
        <v>-0.22</v>
      </c>
      <c r="AL294" s="7" t="n">
        <v>-0.565</v>
      </c>
      <c r="AM294" s="7" t="n">
        <v>-0.069</v>
      </c>
      <c r="AN294" s="7" t="n">
        <v>-0.645</v>
      </c>
      <c r="AO294" s="7" t="n">
        <v>0.091</v>
      </c>
      <c r="AP294" s="7" t="n">
        <v>0</v>
      </c>
      <c r="AQ294" s="7" t="n">
        <v>-0.113</v>
      </c>
    </row>
    <row r="295" customFormat="false" ht="15" hidden="false" customHeight="false" outlineLevel="0" collapsed="false">
      <c r="A295" s="23" t="n">
        <v>46612</v>
      </c>
      <c r="B295" s="7" t="n">
        <v>-0.761</v>
      </c>
      <c r="C295" s="7" t="n">
        <v>-0.486</v>
      </c>
      <c r="D295" s="7" t="n">
        <v>-0.783</v>
      </c>
      <c r="E295" s="7" t="n">
        <v>-0.358</v>
      </c>
      <c r="F295" s="7" t="n">
        <v>-0.252</v>
      </c>
      <c r="G295" s="7" t="n">
        <v>-0.759</v>
      </c>
      <c r="H295" s="7" t="n">
        <v>-0.814</v>
      </c>
      <c r="I295" s="7" t="n">
        <v>-0.837</v>
      </c>
      <c r="J295" s="7" t="n">
        <v>-0.321</v>
      </c>
      <c r="K295" s="7" t="n">
        <v>-0.358</v>
      </c>
      <c r="L295" s="7" t="n">
        <v>-0.37</v>
      </c>
      <c r="M295" s="7" t="n">
        <v>-0.321</v>
      </c>
      <c r="N295" s="7" t="n">
        <v>-0.311</v>
      </c>
      <c r="O295" s="7" t="n">
        <v>-0.266</v>
      </c>
      <c r="P295" s="7" t="n">
        <v>-0.813</v>
      </c>
      <c r="Q295" s="7" t="n">
        <v>-0.32</v>
      </c>
      <c r="R295" s="7" t="n">
        <v>-0.825</v>
      </c>
      <c r="S295" s="7" t="n">
        <v>-0.204</v>
      </c>
      <c r="T295" s="7" t="n">
        <v>-0.527</v>
      </c>
      <c r="U295" s="7" t="n">
        <v>-0.181</v>
      </c>
      <c r="V295" s="7" t="n">
        <v>-0.814</v>
      </c>
      <c r="W295" s="7" t="n">
        <v>-0.32</v>
      </c>
      <c r="X295" s="7" t="n">
        <v>-0.76</v>
      </c>
      <c r="Y295" s="7" t="n">
        <v>-0.337</v>
      </c>
      <c r="Z295" s="7" t="n">
        <v>-0.358</v>
      </c>
      <c r="AA295" s="7" t="n">
        <v>-0.513</v>
      </c>
      <c r="AB295" s="7" t="n">
        <v>-0.38</v>
      </c>
      <c r="AC295" s="7" t="n">
        <v>-0.295</v>
      </c>
      <c r="AD295" s="7" t="n">
        <v>-0.759</v>
      </c>
      <c r="AE295" s="7" t="n">
        <v>-0.252</v>
      </c>
      <c r="AF295" s="7" t="n">
        <v>-0.236</v>
      </c>
      <c r="AG295" s="7" t="n">
        <v>-0.814</v>
      </c>
      <c r="AH295" s="7" t="n">
        <v>0.578</v>
      </c>
      <c r="AI295" s="7" t="n">
        <v>0.039</v>
      </c>
      <c r="AJ295" s="7" t="n">
        <v>-0.7</v>
      </c>
      <c r="AK295" s="7" t="n">
        <v>-0.22</v>
      </c>
      <c r="AL295" s="7" t="n">
        <v>-0.564</v>
      </c>
      <c r="AM295" s="7" t="n">
        <v>-0.068</v>
      </c>
      <c r="AN295" s="7" t="n">
        <v>-0.646</v>
      </c>
      <c r="AO295" s="7" t="n">
        <v>0.098</v>
      </c>
      <c r="AP295" s="7" t="n">
        <v>0</v>
      </c>
      <c r="AQ295" s="7" t="n">
        <v>-0.117</v>
      </c>
    </row>
    <row r="296" customFormat="false" ht="15" hidden="false" customHeight="false" outlineLevel="0" collapsed="false">
      <c r="A296" s="23" t="n">
        <v>46613</v>
      </c>
      <c r="B296" s="7" t="n">
        <v>-0.754</v>
      </c>
      <c r="C296" s="7" t="n">
        <v>-0.467</v>
      </c>
      <c r="D296" s="7" t="n">
        <v>-0.783</v>
      </c>
      <c r="E296" s="7" t="n">
        <v>-0.358</v>
      </c>
      <c r="F296" s="7" t="n">
        <v>-0.238</v>
      </c>
      <c r="G296" s="7" t="n">
        <v>-0.758</v>
      </c>
      <c r="H296" s="7" t="n">
        <v>-0.813</v>
      </c>
      <c r="I296" s="7" t="n">
        <v>-0.835</v>
      </c>
      <c r="J296" s="7" t="n">
        <v>-0.321</v>
      </c>
      <c r="K296" s="7" t="n">
        <v>-0.358</v>
      </c>
      <c r="L296" s="7" t="n">
        <v>-0.35</v>
      </c>
      <c r="M296" s="7" t="n">
        <v>-0.321</v>
      </c>
      <c r="N296" s="7" t="n">
        <v>-0.296</v>
      </c>
      <c r="O296" s="7" t="n">
        <v>-0.258</v>
      </c>
      <c r="P296" s="7" t="n">
        <v>-0.813</v>
      </c>
      <c r="Q296" s="7" t="n">
        <v>-0.302</v>
      </c>
      <c r="R296" s="7" t="n">
        <v>-0.826</v>
      </c>
      <c r="S296" s="7" t="n">
        <v>-0.226</v>
      </c>
      <c r="T296" s="7" t="n">
        <v>-0.531</v>
      </c>
      <c r="U296" s="7" t="n">
        <v>-0.177</v>
      </c>
      <c r="V296" s="7" t="n">
        <v>-0.813</v>
      </c>
      <c r="W296" s="7" t="n">
        <v>-0.302</v>
      </c>
      <c r="X296" s="7" t="n">
        <v>-0.759</v>
      </c>
      <c r="Y296" s="7" t="n">
        <v>-0.335</v>
      </c>
      <c r="Z296" s="7" t="n">
        <v>-0.358</v>
      </c>
      <c r="AA296" s="7" t="n">
        <v>-0.517</v>
      </c>
      <c r="AB296" s="7" t="n">
        <v>-0.379</v>
      </c>
      <c r="AC296" s="7" t="n">
        <v>-0.277</v>
      </c>
      <c r="AD296" s="7" t="n">
        <v>-0.758</v>
      </c>
      <c r="AE296" s="7" t="n">
        <v>-0.238</v>
      </c>
      <c r="AF296" s="7" t="n">
        <v>-0.217</v>
      </c>
      <c r="AG296" s="7" t="n">
        <v>-0.813</v>
      </c>
      <c r="AH296" s="7" t="n">
        <v>0.576</v>
      </c>
      <c r="AI296" s="7" t="n">
        <v>0.036</v>
      </c>
      <c r="AJ296" s="7" t="n">
        <v>-0.696</v>
      </c>
      <c r="AK296" s="7" t="n">
        <v>-0.216</v>
      </c>
      <c r="AL296" s="7" t="n">
        <v>-0.562</v>
      </c>
      <c r="AM296" s="7" t="n">
        <v>-0.066</v>
      </c>
      <c r="AN296" s="7" t="n">
        <v>-0.645</v>
      </c>
      <c r="AO296" s="7" t="n">
        <v>0.105</v>
      </c>
      <c r="AP296" s="7" t="n">
        <v>0</v>
      </c>
      <c r="AQ296" s="7" t="n">
        <v>-0.121</v>
      </c>
    </row>
    <row r="297" customFormat="false" ht="15" hidden="false" customHeight="false" outlineLevel="0" collapsed="false">
      <c r="A297" s="23" t="n">
        <v>46614</v>
      </c>
      <c r="B297" s="7" t="n">
        <v>-0.754</v>
      </c>
      <c r="C297" s="7" t="n">
        <v>-0.467</v>
      </c>
      <c r="D297" s="7" t="n">
        <v>-0.783</v>
      </c>
      <c r="E297" s="7" t="n">
        <v>-0.358</v>
      </c>
      <c r="F297" s="7" t="n">
        <v>-0.238</v>
      </c>
      <c r="G297" s="7" t="n">
        <v>-0.758</v>
      </c>
      <c r="H297" s="7" t="n">
        <v>-0.813</v>
      </c>
      <c r="I297" s="7" t="n">
        <v>-0.835</v>
      </c>
      <c r="J297" s="7" t="n">
        <v>-0.321</v>
      </c>
      <c r="K297" s="7" t="n">
        <v>-0.358</v>
      </c>
      <c r="L297" s="7" t="n">
        <v>-0.35</v>
      </c>
      <c r="M297" s="7" t="n">
        <v>-0.321</v>
      </c>
      <c r="N297" s="7" t="n">
        <v>-0.296</v>
      </c>
      <c r="O297" s="7" t="n">
        <v>-0.258</v>
      </c>
      <c r="P297" s="7" t="n">
        <v>-0.813</v>
      </c>
      <c r="Q297" s="7" t="n">
        <v>-0.302</v>
      </c>
      <c r="R297" s="7" t="n">
        <v>-0.826</v>
      </c>
      <c r="S297" s="7" t="n">
        <v>-0.226</v>
      </c>
      <c r="T297" s="7" t="n">
        <v>-0.531</v>
      </c>
      <c r="U297" s="7" t="n">
        <v>-0.177</v>
      </c>
      <c r="V297" s="7" t="n">
        <v>-0.813</v>
      </c>
      <c r="W297" s="7" t="n">
        <v>-0.302</v>
      </c>
      <c r="X297" s="7" t="n">
        <v>-0.759</v>
      </c>
      <c r="Y297" s="7" t="n">
        <v>-0.335</v>
      </c>
      <c r="Z297" s="7" t="n">
        <v>-0.358</v>
      </c>
      <c r="AA297" s="7" t="n">
        <v>-0.517</v>
      </c>
      <c r="AB297" s="7" t="n">
        <v>-0.379</v>
      </c>
      <c r="AC297" s="7" t="n">
        <v>-0.277</v>
      </c>
      <c r="AD297" s="7" t="n">
        <v>-0.758</v>
      </c>
      <c r="AE297" s="7" t="n">
        <v>-0.238</v>
      </c>
      <c r="AF297" s="7" t="n">
        <v>-0.217</v>
      </c>
      <c r="AG297" s="7" t="n">
        <v>-0.813</v>
      </c>
      <c r="AH297" s="7" t="n">
        <v>0.576</v>
      </c>
      <c r="AI297" s="7" t="n">
        <v>0.036</v>
      </c>
      <c r="AJ297" s="7" t="n">
        <v>-0.696</v>
      </c>
      <c r="AK297" s="7" t="n">
        <v>-0.216</v>
      </c>
      <c r="AL297" s="7" t="n">
        <v>-0.562</v>
      </c>
      <c r="AM297" s="7" t="n">
        <v>-0.066</v>
      </c>
      <c r="AN297" s="7" t="n">
        <v>-0.645</v>
      </c>
      <c r="AO297" s="7" t="n">
        <v>0.105</v>
      </c>
      <c r="AP297" s="7" t="n">
        <v>0</v>
      </c>
      <c r="AQ297" s="7" t="n">
        <v>-0.121</v>
      </c>
    </row>
    <row r="298" customFormat="false" ht="15" hidden="false" customHeight="false" outlineLevel="0" collapsed="false">
      <c r="A298" s="23" t="n">
        <v>46615</v>
      </c>
      <c r="B298" s="7" t="n">
        <v>-0.754</v>
      </c>
      <c r="C298" s="7" t="n">
        <v>-0.467</v>
      </c>
      <c r="D298" s="7" t="n">
        <v>-0.783</v>
      </c>
      <c r="E298" s="7" t="n">
        <v>-0.358</v>
      </c>
      <c r="F298" s="7" t="n">
        <v>-0.238</v>
      </c>
      <c r="G298" s="7" t="n">
        <v>-0.758</v>
      </c>
      <c r="H298" s="7" t="n">
        <v>-0.813</v>
      </c>
      <c r="I298" s="7" t="n">
        <v>-0.835</v>
      </c>
      <c r="J298" s="7" t="n">
        <v>-0.321</v>
      </c>
      <c r="K298" s="7" t="n">
        <v>-0.358</v>
      </c>
      <c r="L298" s="7" t="n">
        <v>-0.35</v>
      </c>
      <c r="M298" s="7" t="n">
        <v>-0.321</v>
      </c>
      <c r="N298" s="7" t="n">
        <v>-0.296</v>
      </c>
      <c r="O298" s="7" t="n">
        <v>-0.258</v>
      </c>
      <c r="P298" s="7" t="n">
        <v>-0.813</v>
      </c>
      <c r="Q298" s="7" t="n">
        <v>-0.302</v>
      </c>
      <c r="R298" s="7" t="n">
        <v>-0.826</v>
      </c>
      <c r="S298" s="7" t="n">
        <v>-0.226</v>
      </c>
      <c r="T298" s="7" t="n">
        <v>-0.531</v>
      </c>
      <c r="U298" s="7" t="n">
        <v>-0.177</v>
      </c>
      <c r="V298" s="7" t="n">
        <v>-0.813</v>
      </c>
      <c r="W298" s="7" t="n">
        <v>-0.302</v>
      </c>
      <c r="X298" s="7" t="n">
        <v>-0.759</v>
      </c>
      <c r="Y298" s="7" t="n">
        <v>-0.335</v>
      </c>
      <c r="Z298" s="7" t="n">
        <v>-0.358</v>
      </c>
      <c r="AA298" s="7" t="n">
        <v>-0.517</v>
      </c>
      <c r="AB298" s="7" t="n">
        <v>-0.379</v>
      </c>
      <c r="AC298" s="7" t="n">
        <v>-0.277</v>
      </c>
      <c r="AD298" s="7" t="n">
        <v>-0.758</v>
      </c>
      <c r="AE298" s="7" t="n">
        <v>-0.238</v>
      </c>
      <c r="AF298" s="7" t="n">
        <v>-0.217</v>
      </c>
      <c r="AG298" s="7" t="n">
        <v>-0.813</v>
      </c>
      <c r="AH298" s="7" t="n">
        <v>0.576</v>
      </c>
      <c r="AI298" s="7" t="n">
        <v>0.036</v>
      </c>
      <c r="AJ298" s="7" t="n">
        <v>-0.696</v>
      </c>
      <c r="AK298" s="7" t="n">
        <v>-0.216</v>
      </c>
      <c r="AL298" s="7" t="n">
        <v>-0.562</v>
      </c>
      <c r="AM298" s="7" t="n">
        <v>-0.066</v>
      </c>
      <c r="AN298" s="7" t="n">
        <v>-0.645</v>
      </c>
      <c r="AO298" s="7" t="n">
        <v>0.105</v>
      </c>
      <c r="AP298" s="7" t="n">
        <v>0</v>
      </c>
      <c r="AQ298" s="7" t="n">
        <v>-0.121</v>
      </c>
    </row>
    <row r="299" customFormat="false" ht="15" hidden="false" customHeight="false" outlineLevel="0" collapsed="false">
      <c r="A299" s="23" t="n">
        <v>46616</v>
      </c>
      <c r="B299" s="7" t="n">
        <v>-0.742</v>
      </c>
      <c r="C299" s="7" t="n">
        <v>-0.444</v>
      </c>
      <c r="D299" s="7" t="n">
        <v>-0.779</v>
      </c>
      <c r="E299" s="7" t="n">
        <v>-0.358</v>
      </c>
      <c r="F299" s="7" t="n">
        <v>-0.223</v>
      </c>
      <c r="G299" s="7" t="n">
        <v>-0.758</v>
      </c>
      <c r="H299" s="7" t="n">
        <v>-0.811</v>
      </c>
      <c r="I299" s="7" t="n">
        <v>-0.832</v>
      </c>
      <c r="J299" s="7" t="n">
        <v>-0.321</v>
      </c>
      <c r="K299" s="7" t="n">
        <v>-0.358</v>
      </c>
      <c r="L299" s="7" t="n">
        <v>-0.332</v>
      </c>
      <c r="M299" s="7" t="n">
        <v>-0.321</v>
      </c>
      <c r="N299" s="7" t="n">
        <v>-0.281</v>
      </c>
      <c r="O299" s="7" t="n">
        <v>-0.251</v>
      </c>
      <c r="P299" s="7" t="n">
        <v>-0.813</v>
      </c>
      <c r="Q299" s="7" t="n">
        <v>-0.283</v>
      </c>
      <c r="R299" s="7" t="n">
        <v>-0.823</v>
      </c>
      <c r="S299" s="7" t="n">
        <v>-0.232</v>
      </c>
      <c r="T299" s="7" t="n">
        <v>-0.525</v>
      </c>
      <c r="U299" s="7" t="n">
        <v>-0.162</v>
      </c>
      <c r="V299" s="7" t="n">
        <v>-0.811</v>
      </c>
      <c r="W299" s="7" t="n">
        <v>-0.283</v>
      </c>
      <c r="X299" s="7" t="n">
        <v>-0.756</v>
      </c>
      <c r="Y299" s="7" t="n">
        <v>-0.326</v>
      </c>
      <c r="Z299" s="7" t="n">
        <v>-0.358</v>
      </c>
      <c r="AA299" s="7" t="n">
        <v>-0.511</v>
      </c>
      <c r="AB299" s="7" t="n">
        <v>-0.378</v>
      </c>
      <c r="AC299" s="7" t="n">
        <v>-0.258</v>
      </c>
      <c r="AD299" s="7" t="n">
        <v>-0.758</v>
      </c>
      <c r="AE299" s="7" t="n">
        <v>-0.223</v>
      </c>
      <c r="AF299" s="7" t="n">
        <v>-0.199</v>
      </c>
      <c r="AG299" s="7" t="n">
        <v>-0.811</v>
      </c>
      <c r="AH299" s="7" t="n">
        <v>0.578</v>
      </c>
      <c r="AI299" s="7" t="n">
        <v>0.033</v>
      </c>
      <c r="AJ299" s="7" t="n">
        <v>-0.689</v>
      </c>
      <c r="AK299" s="7" t="n">
        <v>-0.209</v>
      </c>
      <c r="AL299" s="7" t="n">
        <v>-0.558</v>
      </c>
      <c r="AM299" s="7" t="n">
        <v>-0.066</v>
      </c>
      <c r="AN299" s="7" t="n">
        <v>-0.642</v>
      </c>
      <c r="AO299" s="7" t="n">
        <v>0.117</v>
      </c>
      <c r="AP299" s="7" t="n">
        <v>0</v>
      </c>
      <c r="AQ299" s="7" t="n">
        <v>-0.125</v>
      </c>
    </row>
    <row r="300" customFormat="false" ht="15" hidden="false" customHeight="false" outlineLevel="0" collapsed="false">
      <c r="A300" s="23" t="n">
        <v>46617</v>
      </c>
      <c r="B300" s="7" t="n">
        <v>-0.731</v>
      </c>
      <c r="C300" s="7" t="n">
        <v>-0.423</v>
      </c>
      <c r="D300" s="7" t="n">
        <v>-0.776</v>
      </c>
      <c r="E300" s="7" t="n">
        <v>-0.358</v>
      </c>
      <c r="F300" s="7" t="n">
        <v>-0.208</v>
      </c>
      <c r="G300" s="7" t="n">
        <v>-0.757</v>
      </c>
      <c r="H300" s="7" t="n">
        <v>-0.81</v>
      </c>
      <c r="I300" s="7" t="n">
        <v>-0.83</v>
      </c>
      <c r="J300" s="7" t="n">
        <v>-0.321</v>
      </c>
      <c r="K300" s="7" t="n">
        <v>-0.358</v>
      </c>
      <c r="L300" s="7" t="n">
        <v>-0.313</v>
      </c>
      <c r="M300" s="7" t="n">
        <v>-0.321</v>
      </c>
      <c r="N300" s="7" t="n">
        <v>-0.266</v>
      </c>
      <c r="O300" s="7" t="n">
        <v>-0.24</v>
      </c>
      <c r="P300" s="7" t="n">
        <v>-0.812</v>
      </c>
      <c r="Q300" s="7" t="n">
        <v>-0.265</v>
      </c>
      <c r="R300" s="7" t="n">
        <v>-0.82</v>
      </c>
      <c r="S300" s="7" t="n">
        <v>-0.238</v>
      </c>
      <c r="T300" s="7" t="n">
        <v>-0.519</v>
      </c>
      <c r="U300" s="7" t="n">
        <v>-0.148</v>
      </c>
      <c r="V300" s="7" t="n">
        <v>-0.81</v>
      </c>
      <c r="W300" s="7" t="n">
        <v>-0.265</v>
      </c>
      <c r="X300" s="7" t="n">
        <v>-0.753</v>
      </c>
      <c r="Y300" s="7" t="n">
        <v>-0.317</v>
      </c>
      <c r="Z300" s="7" t="n">
        <v>-0.358</v>
      </c>
      <c r="AA300" s="7" t="n">
        <v>-0.505</v>
      </c>
      <c r="AB300" s="7" t="n">
        <v>-0.378</v>
      </c>
      <c r="AC300" s="7" t="n">
        <v>-0.24</v>
      </c>
      <c r="AD300" s="7" t="n">
        <v>-0.757</v>
      </c>
      <c r="AE300" s="7" t="n">
        <v>-0.208</v>
      </c>
      <c r="AF300" s="7" t="n">
        <v>-0.18</v>
      </c>
      <c r="AG300" s="7" t="n">
        <v>-0.81</v>
      </c>
      <c r="AH300" s="7" t="n">
        <v>0.591</v>
      </c>
      <c r="AI300" s="7" t="n">
        <v>0.029</v>
      </c>
      <c r="AJ300" s="7" t="n">
        <v>-0.684</v>
      </c>
      <c r="AK300" s="7" t="n">
        <v>-0.204</v>
      </c>
      <c r="AL300" s="7" t="n">
        <v>-0.554</v>
      </c>
      <c r="AM300" s="7" t="n">
        <v>-0.066</v>
      </c>
      <c r="AN300" s="7" t="n">
        <v>-0.639</v>
      </c>
      <c r="AO300" s="7" t="n">
        <v>0.13</v>
      </c>
      <c r="AP300" s="7" t="n">
        <v>0</v>
      </c>
      <c r="AQ300" s="7" t="n">
        <v>-0.129</v>
      </c>
    </row>
    <row r="301" customFormat="false" ht="15" hidden="false" customHeight="false" outlineLevel="0" collapsed="false">
      <c r="A301" s="23" t="n">
        <v>46618</v>
      </c>
      <c r="B301" s="7" t="n">
        <v>-0.722</v>
      </c>
      <c r="C301" s="7" t="n">
        <v>-0.402</v>
      </c>
      <c r="D301" s="7" t="n">
        <v>-0.773</v>
      </c>
      <c r="E301" s="7" t="n">
        <v>-0.358</v>
      </c>
      <c r="F301" s="7" t="n">
        <v>-0.193</v>
      </c>
      <c r="G301" s="7" t="n">
        <v>-0.756</v>
      </c>
      <c r="H301" s="7" t="n">
        <v>-0.809</v>
      </c>
      <c r="I301" s="7" t="n">
        <v>-0.827</v>
      </c>
      <c r="J301" s="7" t="n">
        <v>-0.321</v>
      </c>
      <c r="K301" s="7" t="n">
        <v>-0.358</v>
      </c>
      <c r="L301" s="7" t="n">
        <v>-0.294</v>
      </c>
      <c r="M301" s="7" t="n">
        <v>-0.321</v>
      </c>
      <c r="N301" s="7" t="n">
        <v>-0.25</v>
      </c>
      <c r="O301" s="7" t="n">
        <v>-0.23</v>
      </c>
      <c r="P301" s="7" t="n">
        <v>-0.811</v>
      </c>
      <c r="Q301" s="7" t="n">
        <v>-0.245</v>
      </c>
      <c r="R301" s="7" t="n">
        <v>-0.819</v>
      </c>
      <c r="S301" s="7" t="n">
        <v>-0.255</v>
      </c>
      <c r="T301" s="7" t="n">
        <v>-0.517</v>
      </c>
      <c r="U301" s="7" t="n">
        <v>-0.148</v>
      </c>
      <c r="V301" s="7" t="n">
        <v>-0.809</v>
      </c>
      <c r="W301" s="7" t="n">
        <v>-0.245</v>
      </c>
      <c r="X301" s="7" t="n">
        <v>-0.751</v>
      </c>
      <c r="Y301" s="7" t="n">
        <v>-0.319</v>
      </c>
      <c r="Z301" s="7" t="n">
        <v>-0.358</v>
      </c>
      <c r="AA301" s="7" t="n">
        <v>-0.503</v>
      </c>
      <c r="AB301" s="7" t="n">
        <v>-0.377</v>
      </c>
      <c r="AC301" s="7" t="n">
        <v>-0.221</v>
      </c>
      <c r="AD301" s="7" t="n">
        <v>-0.756</v>
      </c>
      <c r="AE301" s="7" t="n">
        <v>-0.193</v>
      </c>
      <c r="AF301" s="7" t="n">
        <v>-0.161</v>
      </c>
      <c r="AG301" s="7" t="n">
        <v>-0.809</v>
      </c>
      <c r="AH301" s="7" t="n">
        <v>0.59</v>
      </c>
      <c r="AI301" s="7" t="n">
        <v>0.027</v>
      </c>
      <c r="AJ301" s="7" t="n">
        <v>-0.679</v>
      </c>
      <c r="AK301" s="7" t="n">
        <v>-0.199</v>
      </c>
      <c r="AL301" s="7" t="n">
        <v>-0.554</v>
      </c>
      <c r="AM301" s="7" t="n">
        <v>-0.065</v>
      </c>
      <c r="AN301" s="7" t="n">
        <v>-0.637</v>
      </c>
      <c r="AO301" s="7" t="n">
        <v>0.131</v>
      </c>
      <c r="AP301" s="7" t="n">
        <v>0</v>
      </c>
      <c r="AQ301" s="7" t="n">
        <v>-0.131</v>
      </c>
    </row>
    <row r="302" customFormat="false" ht="15" hidden="false" customHeight="false" outlineLevel="0" collapsed="false">
      <c r="A302" s="23" t="n">
        <v>46619</v>
      </c>
      <c r="B302" s="7" t="n">
        <v>-0.713</v>
      </c>
      <c r="C302" s="7" t="n">
        <v>-0.379</v>
      </c>
      <c r="D302" s="7" t="n">
        <v>-0.771</v>
      </c>
      <c r="E302" s="7" t="n">
        <v>-0.358</v>
      </c>
      <c r="F302" s="7" t="n">
        <v>-0.178</v>
      </c>
      <c r="G302" s="7" t="n">
        <v>-0.755</v>
      </c>
      <c r="H302" s="7" t="n">
        <v>-0.807</v>
      </c>
      <c r="I302" s="7" t="n">
        <v>-0.824</v>
      </c>
      <c r="J302" s="7" t="n">
        <v>-0.32</v>
      </c>
      <c r="K302" s="7" t="n">
        <v>-0.358</v>
      </c>
      <c r="L302" s="7" t="n">
        <v>-0.274</v>
      </c>
      <c r="M302" s="7" t="n">
        <v>-0.32</v>
      </c>
      <c r="N302" s="7" t="n">
        <v>-0.234</v>
      </c>
      <c r="O302" s="7" t="n">
        <v>-0.22</v>
      </c>
      <c r="P302" s="7" t="n">
        <v>-0.811</v>
      </c>
      <c r="Q302" s="7" t="n">
        <v>-0.226</v>
      </c>
      <c r="R302" s="7" t="n">
        <v>-0.818</v>
      </c>
      <c r="S302" s="7" t="n">
        <v>-0.272</v>
      </c>
      <c r="T302" s="7" t="n">
        <v>-0.515</v>
      </c>
      <c r="U302" s="7" t="n">
        <v>-0.148</v>
      </c>
      <c r="V302" s="7" t="n">
        <v>-0.807</v>
      </c>
      <c r="W302" s="7" t="n">
        <v>-0.226</v>
      </c>
      <c r="X302" s="7" t="n">
        <v>-0.748</v>
      </c>
      <c r="Y302" s="7" t="n">
        <v>-0.321</v>
      </c>
      <c r="Z302" s="7" t="n">
        <v>-0.358</v>
      </c>
      <c r="AA302" s="7" t="n">
        <v>-0.501</v>
      </c>
      <c r="AB302" s="7" t="n">
        <v>-0.376</v>
      </c>
      <c r="AC302" s="7" t="n">
        <v>-0.201</v>
      </c>
      <c r="AD302" s="7" t="n">
        <v>-0.755</v>
      </c>
      <c r="AE302" s="7" t="n">
        <v>-0.178</v>
      </c>
      <c r="AF302" s="7" t="n">
        <v>-0.141</v>
      </c>
      <c r="AG302" s="7" t="n">
        <v>-0.807</v>
      </c>
      <c r="AH302" s="7" t="n">
        <v>0.589</v>
      </c>
      <c r="AI302" s="7" t="n">
        <v>0.024</v>
      </c>
      <c r="AJ302" s="7" t="n">
        <v>-0.672</v>
      </c>
      <c r="AK302" s="7" t="n">
        <v>-0.192</v>
      </c>
      <c r="AL302" s="7" t="n">
        <v>-0.553</v>
      </c>
      <c r="AM302" s="7" t="n">
        <v>-0.065</v>
      </c>
      <c r="AN302" s="7" t="n">
        <v>-0.634</v>
      </c>
      <c r="AO302" s="7" t="n">
        <v>0.133</v>
      </c>
      <c r="AP302" s="7" t="n">
        <v>0</v>
      </c>
      <c r="AQ302" s="7" t="n">
        <v>-0.134</v>
      </c>
    </row>
    <row r="303" customFormat="false" ht="15" hidden="false" customHeight="false" outlineLevel="0" collapsed="false">
      <c r="A303" s="23" t="n">
        <v>46620</v>
      </c>
      <c r="B303" s="7" t="n">
        <v>-0.702</v>
      </c>
      <c r="C303" s="7" t="n">
        <v>-0.353</v>
      </c>
      <c r="D303" s="7" t="n">
        <v>-0.769</v>
      </c>
      <c r="E303" s="7" t="n">
        <v>-0.358</v>
      </c>
      <c r="F303" s="7" t="n">
        <v>-0.162</v>
      </c>
      <c r="G303" s="7" t="n">
        <v>-0.755</v>
      </c>
      <c r="H303" s="7" t="n">
        <v>-0.805</v>
      </c>
      <c r="I303" s="7" t="n">
        <v>-0.819</v>
      </c>
      <c r="J303" s="7" t="n">
        <v>-0.318</v>
      </c>
      <c r="K303" s="7" t="n">
        <v>-0.358</v>
      </c>
      <c r="L303" s="7" t="n">
        <v>-0.254</v>
      </c>
      <c r="M303" s="7" t="n">
        <v>-0.318</v>
      </c>
      <c r="N303" s="7" t="n">
        <v>-0.218</v>
      </c>
      <c r="O303" s="7" t="n">
        <v>-0.21</v>
      </c>
      <c r="P303" s="7" t="n">
        <v>-0.81</v>
      </c>
      <c r="Q303" s="7" t="n">
        <v>-0.207</v>
      </c>
      <c r="R303" s="7" t="n">
        <v>-0.815</v>
      </c>
      <c r="S303" s="7" t="n">
        <v>-0.285</v>
      </c>
      <c r="T303" s="7" t="n">
        <v>-0.508</v>
      </c>
      <c r="U303" s="7" t="n">
        <v>-0.145</v>
      </c>
      <c r="V303" s="7" t="n">
        <v>-0.805</v>
      </c>
      <c r="W303" s="7" t="n">
        <v>-0.207</v>
      </c>
      <c r="X303" s="7" t="n">
        <v>-0.746</v>
      </c>
      <c r="Y303" s="7" t="n">
        <v>-0.321</v>
      </c>
      <c r="Z303" s="7" t="n">
        <v>-0.358</v>
      </c>
      <c r="AA303" s="7" t="n">
        <v>-0.495</v>
      </c>
      <c r="AB303" s="7" t="n">
        <v>-0.374</v>
      </c>
      <c r="AC303" s="7" t="n">
        <v>-0.18</v>
      </c>
      <c r="AD303" s="7" t="n">
        <v>-0.755</v>
      </c>
      <c r="AE303" s="7" t="n">
        <v>-0.162</v>
      </c>
      <c r="AF303" s="7" t="n">
        <v>-0.122</v>
      </c>
      <c r="AG303" s="7" t="n">
        <v>-0.805</v>
      </c>
      <c r="AH303" s="7" t="n">
        <v>0.589</v>
      </c>
      <c r="AI303" s="7" t="n">
        <v>0.022</v>
      </c>
      <c r="AJ303" s="7" t="n">
        <v>-0.661</v>
      </c>
      <c r="AK303" s="7" t="n">
        <v>-0.182</v>
      </c>
      <c r="AL303" s="7" t="n">
        <v>-0.553</v>
      </c>
      <c r="AM303" s="7" t="n">
        <v>-0.064</v>
      </c>
      <c r="AN303" s="7" t="n">
        <v>-0.63</v>
      </c>
      <c r="AO303" s="7" t="n">
        <v>0.136</v>
      </c>
      <c r="AP303" s="7" t="n">
        <v>0</v>
      </c>
      <c r="AQ303" s="7" t="n">
        <v>-0.137</v>
      </c>
    </row>
    <row r="304" customFormat="false" ht="15" hidden="false" customHeight="false" outlineLevel="0" collapsed="false">
      <c r="A304" s="23" t="n">
        <v>46621</v>
      </c>
      <c r="B304" s="7" t="n">
        <v>-0.702</v>
      </c>
      <c r="C304" s="7" t="n">
        <v>-0.353</v>
      </c>
      <c r="D304" s="7" t="n">
        <v>-0.769</v>
      </c>
      <c r="E304" s="7" t="n">
        <v>-0.358</v>
      </c>
      <c r="F304" s="7" t="n">
        <v>-0.162</v>
      </c>
      <c r="G304" s="7" t="n">
        <v>-0.755</v>
      </c>
      <c r="H304" s="7" t="n">
        <v>-0.805</v>
      </c>
      <c r="I304" s="7" t="n">
        <v>-0.819</v>
      </c>
      <c r="J304" s="7" t="n">
        <v>-0.318</v>
      </c>
      <c r="K304" s="7" t="n">
        <v>-0.358</v>
      </c>
      <c r="L304" s="7" t="n">
        <v>-0.254</v>
      </c>
      <c r="M304" s="7" t="n">
        <v>-0.318</v>
      </c>
      <c r="N304" s="7" t="n">
        <v>-0.218</v>
      </c>
      <c r="O304" s="7" t="n">
        <v>-0.21</v>
      </c>
      <c r="P304" s="7" t="n">
        <v>-0.81</v>
      </c>
      <c r="Q304" s="7" t="n">
        <v>-0.207</v>
      </c>
      <c r="R304" s="7" t="n">
        <v>-0.815</v>
      </c>
      <c r="S304" s="7" t="n">
        <v>-0.285</v>
      </c>
      <c r="T304" s="7" t="n">
        <v>-0.508</v>
      </c>
      <c r="U304" s="7" t="n">
        <v>-0.145</v>
      </c>
      <c r="V304" s="7" t="n">
        <v>-0.805</v>
      </c>
      <c r="W304" s="7" t="n">
        <v>-0.207</v>
      </c>
      <c r="X304" s="7" t="n">
        <v>-0.746</v>
      </c>
      <c r="Y304" s="7" t="n">
        <v>-0.321</v>
      </c>
      <c r="Z304" s="7" t="n">
        <v>-0.358</v>
      </c>
      <c r="AA304" s="7" t="n">
        <v>-0.495</v>
      </c>
      <c r="AB304" s="7" t="n">
        <v>-0.374</v>
      </c>
      <c r="AC304" s="7" t="n">
        <v>-0.18</v>
      </c>
      <c r="AD304" s="7" t="n">
        <v>-0.755</v>
      </c>
      <c r="AE304" s="7" t="n">
        <v>-0.162</v>
      </c>
      <c r="AF304" s="7" t="n">
        <v>-0.122</v>
      </c>
      <c r="AG304" s="7" t="n">
        <v>-0.805</v>
      </c>
      <c r="AH304" s="7" t="n">
        <v>0.589</v>
      </c>
      <c r="AI304" s="7" t="n">
        <v>0.022</v>
      </c>
      <c r="AJ304" s="7" t="n">
        <v>-0.661</v>
      </c>
      <c r="AK304" s="7" t="n">
        <v>-0.182</v>
      </c>
      <c r="AL304" s="7" t="n">
        <v>-0.553</v>
      </c>
      <c r="AM304" s="7" t="n">
        <v>-0.064</v>
      </c>
      <c r="AN304" s="7" t="n">
        <v>-0.63</v>
      </c>
      <c r="AO304" s="7" t="n">
        <v>0.136</v>
      </c>
      <c r="AP304" s="7" t="n">
        <v>0</v>
      </c>
      <c r="AQ304" s="7" t="n">
        <v>-0.137</v>
      </c>
    </row>
    <row r="305" customFormat="false" ht="15" hidden="false" customHeight="false" outlineLevel="0" collapsed="false">
      <c r="A305" s="23" t="n">
        <v>46622</v>
      </c>
      <c r="B305" s="7" t="n">
        <v>-0.702</v>
      </c>
      <c r="C305" s="7" t="n">
        <v>-0.353</v>
      </c>
      <c r="D305" s="7" t="n">
        <v>-0.769</v>
      </c>
      <c r="E305" s="7" t="n">
        <v>-0.358</v>
      </c>
      <c r="F305" s="7" t="n">
        <v>-0.162</v>
      </c>
      <c r="G305" s="7" t="n">
        <v>-0.755</v>
      </c>
      <c r="H305" s="7" t="n">
        <v>-0.805</v>
      </c>
      <c r="I305" s="7" t="n">
        <v>-0.819</v>
      </c>
      <c r="J305" s="7" t="n">
        <v>-0.318</v>
      </c>
      <c r="K305" s="7" t="n">
        <v>-0.358</v>
      </c>
      <c r="L305" s="7" t="n">
        <v>-0.254</v>
      </c>
      <c r="M305" s="7" t="n">
        <v>-0.318</v>
      </c>
      <c r="N305" s="7" t="n">
        <v>-0.218</v>
      </c>
      <c r="O305" s="7" t="n">
        <v>-0.21</v>
      </c>
      <c r="P305" s="7" t="n">
        <v>-0.81</v>
      </c>
      <c r="Q305" s="7" t="n">
        <v>-0.207</v>
      </c>
      <c r="R305" s="7" t="n">
        <v>-0.815</v>
      </c>
      <c r="S305" s="7" t="n">
        <v>-0.285</v>
      </c>
      <c r="T305" s="7" t="n">
        <v>-0.508</v>
      </c>
      <c r="U305" s="7" t="n">
        <v>-0.145</v>
      </c>
      <c r="V305" s="7" t="n">
        <v>-0.805</v>
      </c>
      <c r="W305" s="7" t="n">
        <v>-0.207</v>
      </c>
      <c r="X305" s="7" t="n">
        <v>-0.746</v>
      </c>
      <c r="Y305" s="7" t="n">
        <v>-0.321</v>
      </c>
      <c r="Z305" s="7" t="n">
        <v>-0.358</v>
      </c>
      <c r="AA305" s="7" t="n">
        <v>-0.495</v>
      </c>
      <c r="AB305" s="7" t="n">
        <v>-0.374</v>
      </c>
      <c r="AC305" s="7" t="n">
        <v>-0.18</v>
      </c>
      <c r="AD305" s="7" t="n">
        <v>-0.755</v>
      </c>
      <c r="AE305" s="7" t="n">
        <v>-0.162</v>
      </c>
      <c r="AF305" s="7" t="n">
        <v>-0.122</v>
      </c>
      <c r="AG305" s="7" t="n">
        <v>-0.805</v>
      </c>
      <c r="AH305" s="7" t="n">
        <v>0.589</v>
      </c>
      <c r="AI305" s="7" t="n">
        <v>0.022</v>
      </c>
      <c r="AJ305" s="7" t="n">
        <v>-0.661</v>
      </c>
      <c r="AK305" s="7" t="n">
        <v>-0.182</v>
      </c>
      <c r="AL305" s="7" t="n">
        <v>-0.553</v>
      </c>
      <c r="AM305" s="7" t="n">
        <v>-0.064</v>
      </c>
      <c r="AN305" s="7" t="n">
        <v>-0.63</v>
      </c>
      <c r="AO305" s="7" t="n">
        <v>0.136</v>
      </c>
      <c r="AP305" s="7" t="n">
        <v>0</v>
      </c>
      <c r="AQ305" s="7" t="n">
        <v>-0.137</v>
      </c>
    </row>
    <row r="306" customFormat="false" ht="15" hidden="false" customHeight="false" outlineLevel="0" collapsed="false">
      <c r="A306" s="23" t="n">
        <v>46623</v>
      </c>
      <c r="B306" s="7" t="n">
        <v>-0.694</v>
      </c>
      <c r="C306" s="7" t="n">
        <v>-0.335</v>
      </c>
      <c r="D306" s="7" t="n">
        <v>-0.767</v>
      </c>
      <c r="E306" s="7" t="n">
        <v>-0.358</v>
      </c>
      <c r="F306" s="7" t="n">
        <v>-0.149</v>
      </c>
      <c r="G306" s="7" t="n">
        <v>-0.754</v>
      </c>
      <c r="H306" s="7" t="n">
        <v>-0.803</v>
      </c>
      <c r="I306" s="7" t="n">
        <v>-0.817</v>
      </c>
      <c r="J306" s="7" t="n">
        <v>-0.319</v>
      </c>
      <c r="K306" s="7" t="n">
        <v>-0.358</v>
      </c>
      <c r="L306" s="7" t="n">
        <v>-0.246</v>
      </c>
      <c r="M306" s="7" t="n">
        <v>-0.319</v>
      </c>
      <c r="N306" s="7" t="n">
        <v>-0.204</v>
      </c>
      <c r="O306" s="7" t="n">
        <v>-0.208</v>
      </c>
      <c r="P306" s="7" t="n">
        <v>-0.81</v>
      </c>
      <c r="Q306" s="7" t="n">
        <v>-0.199</v>
      </c>
      <c r="R306" s="7" t="n">
        <v>-0.813</v>
      </c>
      <c r="S306" s="7" t="n">
        <v>-0.298</v>
      </c>
      <c r="T306" s="7" t="n">
        <v>-0.503</v>
      </c>
      <c r="U306" s="7" t="n">
        <v>-0.145</v>
      </c>
      <c r="V306" s="7" t="n">
        <v>-0.803</v>
      </c>
      <c r="W306" s="7" t="n">
        <v>-0.199</v>
      </c>
      <c r="X306" s="7" t="n">
        <v>-0.744</v>
      </c>
      <c r="Y306" s="7" t="n">
        <v>-0.324</v>
      </c>
      <c r="Z306" s="7" t="n">
        <v>-0.358</v>
      </c>
      <c r="AA306" s="7" t="n">
        <v>-0.492</v>
      </c>
      <c r="AB306" s="7" t="n">
        <v>-0.374</v>
      </c>
      <c r="AC306" s="7" t="n">
        <v>-0.173</v>
      </c>
      <c r="AD306" s="7" t="n">
        <v>-0.754</v>
      </c>
      <c r="AE306" s="7" t="n">
        <v>-0.149</v>
      </c>
      <c r="AF306" s="7" t="n">
        <v>-0.103</v>
      </c>
      <c r="AG306" s="7" t="n">
        <v>-0.803</v>
      </c>
      <c r="AH306" s="7" t="n">
        <v>0.588</v>
      </c>
      <c r="AI306" s="7" t="n">
        <v>0.019</v>
      </c>
      <c r="AJ306" s="7" t="n">
        <v>-0.658</v>
      </c>
      <c r="AK306" s="7" t="n">
        <v>-0.18</v>
      </c>
      <c r="AL306" s="7" t="n">
        <v>-0.553</v>
      </c>
      <c r="AM306" s="7" t="n">
        <v>-0.063</v>
      </c>
      <c r="AN306" s="7" t="n">
        <v>-0.627</v>
      </c>
      <c r="AO306" s="7" t="n">
        <v>0.137</v>
      </c>
      <c r="AP306" s="7" t="n">
        <v>0</v>
      </c>
      <c r="AQ306" s="7" t="n">
        <v>-0.14</v>
      </c>
    </row>
    <row r="307" customFormat="false" ht="15" hidden="false" customHeight="false" outlineLevel="0" collapsed="false">
      <c r="A307" s="23" t="n">
        <v>46624</v>
      </c>
      <c r="B307" s="7" t="n">
        <v>-0.683</v>
      </c>
      <c r="C307" s="7" t="n">
        <v>-0.311</v>
      </c>
      <c r="D307" s="7" t="n">
        <v>-0.764</v>
      </c>
      <c r="E307" s="7" t="n">
        <v>-0.358</v>
      </c>
      <c r="F307" s="7" t="n">
        <v>-0.133</v>
      </c>
      <c r="G307" s="7" t="n">
        <v>-0.753</v>
      </c>
      <c r="H307" s="7" t="n">
        <v>-0.801</v>
      </c>
      <c r="I307" s="7" t="n">
        <v>-0.813</v>
      </c>
      <c r="J307" s="7" t="n">
        <v>-0.318</v>
      </c>
      <c r="K307" s="7" t="n">
        <v>-0.358</v>
      </c>
      <c r="L307" s="7" t="n">
        <v>-0.238</v>
      </c>
      <c r="M307" s="7" t="n">
        <v>-0.318</v>
      </c>
      <c r="N307" s="7" t="n">
        <v>-0.187</v>
      </c>
      <c r="O307" s="7" t="n">
        <v>-0.204</v>
      </c>
      <c r="P307" s="7" t="n">
        <v>-0.809</v>
      </c>
      <c r="Q307" s="7" t="n">
        <v>-0.191</v>
      </c>
      <c r="R307" s="7" t="n">
        <v>-0.808</v>
      </c>
      <c r="S307" s="7" t="n">
        <v>-0.31</v>
      </c>
      <c r="T307" s="7" t="n">
        <v>-0.492</v>
      </c>
      <c r="U307" s="7" t="n">
        <v>-0.144</v>
      </c>
      <c r="V307" s="7" t="n">
        <v>-0.801</v>
      </c>
      <c r="W307" s="7" t="n">
        <v>-0.191</v>
      </c>
      <c r="X307" s="7" t="n">
        <v>-0.741</v>
      </c>
      <c r="Y307" s="7" t="n">
        <v>-0.326</v>
      </c>
      <c r="Z307" s="7" t="n">
        <v>-0.358</v>
      </c>
      <c r="AA307" s="7" t="n">
        <v>-0.483</v>
      </c>
      <c r="AB307" s="7" t="n">
        <v>-0.372</v>
      </c>
      <c r="AC307" s="7" t="n">
        <v>-0.163</v>
      </c>
      <c r="AD307" s="7" t="n">
        <v>-0.753</v>
      </c>
      <c r="AE307" s="7" t="n">
        <v>-0.133</v>
      </c>
      <c r="AF307" s="7" t="n">
        <v>-0.083</v>
      </c>
      <c r="AG307" s="7" t="n">
        <v>-0.801</v>
      </c>
      <c r="AH307" s="7" t="n">
        <v>0.588</v>
      </c>
      <c r="AI307" s="7" t="n">
        <v>0.018</v>
      </c>
      <c r="AJ307" s="7" t="n">
        <v>-0.65</v>
      </c>
      <c r="AK307" s="7" t="n">
        <v>-0.17</v>
      </c>
      <c r="AL307" s="7" t="n">
        <v>-0.552</v>
      </c>
      <c r="AM307" s="7" t="n">
        <v>-0.062</v>
      </c>
      <c r="AN307" s="7" t="n">
        <v>-0.623</v>
      </c>
      <c r="AO307" s="7" t="n">
        <v>0.14</v>
      </c>
      <c r="AP307" s="7" t="n">
        <v>0</v>
      </c>
      <c r="AQ307" s="7" t="n">
        <v>-0.143</v>
      </c>
    </row>
    <row r="308" customFormat="false" ht="15" hidden="false" customHeight="false" outlineLevel="0" collapsed="false">
      <c r="A308" s="23" t="n">
        <v>46625</v>
      </c>
      <c r="B308" s="7" t="n">
        <v>-0.657</v>
      </c>
      <c r="C308" s="7" t="n">
        <v>-0.291</v>
      </c>
      <c r="D308" s="7" t="n">
        <v>-0.741</v>
      </c>
      <c r="E308" s="7" t="n">
        <v>-0.348</v>
      </c>
      <c r="F308" s="7" t="n">
        <v>-0.114</v>
      </c>
      <c r="G308" s="7" t="n">
        <v>-0.732</v>
      </c>
      <c r="H308" s="7" t="n">
        <v>-0.78</v>
      </c>
      <c r="I308" s="7" t="n">
        <v>-0.795</v>
      </c>
      <c r="J308" s="7" t="n">
        <v>-0.309</v>
      </c>
      <c r="K308" s="7" t="n">
        <v>-0.348</v>
      </c>
      <c r="L308" s="7" t="n">
        <v>-0.226</v>
      </c>
      <c r="M308" s="7" t="n">
        <v>-0.309</v>
      </c>
      <c r="N308" s="7" t="n">
        <v>-0.168</v>
      </c>
      <c r="O308" s="7" t="n">
        <v>-0.194</v>
      </c>
      <c r="P308" s="7" t="n">
        <v>-0.787</v>
      </c>
      <c r="Q308" s="7" t="n">
        <v>-0.18</v>
      </c>
      <c r="R308" s="7" t="n">
        <v>-0.787</v>
      </c>
      <c r="S308" s="7" t="n">
        <v>-0.313</v>
      </c>
      <c r="T308" s="7" t="n">
        <v>-0.475</v>
      </c>
      <c r="U308" s="7" t="n">
        <v>-0.134</v>
      </c>
      <c r="V308" s="7" t="n">
        <v>-0.78</v>
      </c>
      <c r="W308" s="7" t="n">
        <v>-0.18</v>
      </c>
      <c r="X308" s="7" t="n">
        <v>-0.719</v>
      </c>
      <c r="Y308" s="7" t="n">
        <v>-0.315</v>
      </c>
      <c r="Z308" s="7" t="n">
        <v>-0.348</v>
      </c>
      <c r="AA308" s="7" t="n">
        <v>-0.469</v>
      </c>
      <c r="AB308" s="7" t="n">
        <v>-0.362</v>
      </c>
      <c r="AC308" s="7" t="n">
        <v>-0.154</v>
      </c>
      <c r="AD308" s="7" t="n">
        <v>-0.732</v>
      </c>
      <c r="AE308" s="7" t="n">
        <v>-0.114</v>
      </c>
      <c r="AF308" s="7" t="n">
        <v>-0.06</v>
      </c>
      <c r="AG308" s="7" t="n">
        <v>-0.78</v>
      </c>
      <c r="AH308" s="7" t="n">
        <v>0.582</v>
      </c>
      <c r="AI308" s="7" t="n">
        <v>0.015</v>
      </c>
      <c r="AJ308" s="7" t="n">
        <v>-0.639</v>
      </c>
      <c r="AK308" s="7" t="n">
        <v>-0.169</v>
      </c>
      <c r="AL308" s="7" t="n">
        <v>-0.534</v>
      </c>
      <c r="AM308" s="7" t="n">
        <v>-0.061</v>
      </c>
      <c r="AN308" s="7" t="n">
        <v>-0.607</v>
      </c>
      <c r="AO308" s="7" t="n">
        <v>0.141</v>
      </c>
      <c r="AP308" s="7" t="n">
        <v>0</v>
      </c>
      <c r="AQ308" s="7" t="n">
        <v>-0.141</v>
      </c>
    </row>
    <row r="309" customFormat="false" ht="15" hidden="false" customHeight="false" outlineLevel="0" collapsed="false">
      <c r="A309" s="23" t="n">
        <v>46626</v>
      </c>
      <c r="B309" s="7" t="n">
        <v>-0.634</v>
      </c>
      <c r="C309" s="7" t="n">
        <v>-0.27</v>
      </c>
      <c r="D309" s="7" t="n">
        <v>-0.719</v>
      </c>
      <c r="E309" s="7" t="n">
        <v>-0.339</v>
      </c>
      <c r="F309" s="7" t="n">
        <v>-0.099</v>
      </c>
      <c r="G309" s="7" t="n">
        <v>-0.713</v>
      </c>
      <c r="H309" s="7" t="n">
        <v>-0.762</v>
      </c>
      <c r="I309" s="7" t="n">
        <v>-0.777</v>
      </c>
      <c r="J309" s="7" t="n">
        <v>-0.3</v>
      </c>
      <c r="K309" s="7" t="n">
        <v>-0.339</v>
      </c>
      <c r="L309" s="7" t="n">
        <v>-0.225</v>
      </c>
      <c r="M309" s="7" t="n">
        <v>-0.3</v>
      </c>
      <c r="N309" s="7" t="n">
        <v>-0.153</v>
      </c>
      <c r="O309" s="7" t="n">
        <v>-0.189</v>
      </c>
      <c r="P309" s="7" t="n">
        <v>-0.767</v>
      </c>
      <c r="Q309" s="7" t="n">
        <v>-0.179</v>
      </c>
      <c r="R309" s="7" t="n">
        <v>-0.766</v>
      </c>
      <c r="S309" s="7" t="n">
        <v>-0.315</v>
      </c>
      <c r="T309" s="7" t="n">
        <v>-0.457</v>
      </c>
      <c r="U309" s="7" t="n">
        <v>-0.125</v>
      </c>
      <c r="V309" s="7" t="n">
        <v>-0.762</v>
      </c>
      <c r="W309" s="7" t="n">
        <v>-0.179</v>
      </c>
      <c r="X309" s="7" t="n">
        <v>-0.699</v>
      </c>
      <c r="Y309" s="7" t="n">
        <v>-0.305</v>
      </c>
      <c r="Z309" s="7" t="n">
        <v>-0.339</v>
      </c>
      <c r="AA309" s="7" t="n">
        <v>-0.453</v>
      </c>
      <c r="AB309" s="7" t="n">
        <v>-0.352</v>
      </c>
      <c r="AC309" s="7" t="n">
        <v>-0.153</v>
      </c>
      <c r="AD309" s="7" t="n">
        <v>-0.713</v>
      </c>
      <c r="AE309" s="7" t="n">
        <v>-0.099</v>
      </c>
      <c r="AF309" s="7" t="n">
        <v>-0.042</v>
      </c>
      <c r="AG309" s="7" t="n">
        <v>-0.762</v>
      </c>
      <c r="AH309" s="7" t="n">
        <v>0.575</v>
      </c>
      <c r="AI309" s="7" t="n">
        <v>0.012</v>
      </c>
      <c r="AJ309" s="7" t="n">
        <v>-0.625</v>
      </c>
      <c r="AK309" s="7" t="n">
        <v>-0.166</v>
      </c>
      <c r="AL309" s="7" t="n">
        <v>-0.519</v>
      </c>
      <c r="AM309" s="7" t="n">
        <v>-0.06</v>
      </c>
      <c r="AN309" s="7" t="n">
        <v>-0.594</v>
      </c>
      <c r="AO309" s="7" t="n">
        <v>0.142</v>
      </c>
      <c r="AP309" s="7" t="n">
        <v>0</v>
      </c>
      <c r="AQ309" s="7" t="n">
        <v>-0.139</v>
      </c>
    </row>
    <row r="310" customFormat="false" ht="15" hidden="false" customHeight="false" outlineLevel="0" collapsed="false">
      <c r="A310" s="23" t="n">
        <v>46627</v>
      </c>
      <c r="B310" s="7" t="n">
        <v>-0.611</v>
      </c>
      <c r="C310" s="7" t="n">
        <v>-0.249</v>
      </c>
      <c r="D310" s="7" t="n">
        <v>-0.697</v>
      </c>
      <c r="E310" s="7" t="n">
        <v>-0.329</v>
      </c>
      <c r="F310" s="7" t="n">
        <v>-0.085</v>
      </c>
      <c r="G310" s="7" t="n">
        <v>-0.694</v>
      </c>
      <c r="H310" s="7" t="n">
        <v>-0.744</v>
      </c>
      <c r="I310" s="7" t="n">
        <v>-0.759</v>
      </c>
      <c r="J310" s="7" t="n">
        <v>-0.291</v>
      </c>
      <c r="K310" s="7" t="n">
        <v>-0.329</v>
      </c>
      <c r="L310" s="7" t="n">
        <v>-0.223</v>
      </c>
      <c r="M310" s="7" t="n">
        <v>-0.291</v>
      </c>
      <c r="N310" s="7" t="n">
        <v>-0.138</v>
      </c>
      <c r="O310" s="7" t="n">
        <v>-0.184</v>
      </c>
      <c r="P310" s="7" t="n">
        <v>-0.747</v>
      </c>
      <c r="Q310" s="7" t="n">
        <v>-0.178</v>
      </c>
      <c r="R310" s="7" t="n">
        <v>-0.746</v>
      </c>
      <c r="S310" s="7" t="n">
        <v>-0.317</v>
      </c>
      <c r="T310" s="7" t="n">
        <v>-0.439</v>
      </c>
      <c r="U310" s="7" t="n">
        <v>-0.117</v>
      </c>
      <c r="V310" s="7" t="n">
        <v>-0.744</v>
      </c>
      <c r="W310" s="7" t="n">
        <v>-0.178</v>
      </c>
      <c r="X310" s="7" t="n">
        <v>-0.679</v>
      </c>
      <c r="Y310" s="7" t="n">
        <v>-0.295</v>
      </c>
      <c r="Z310" s="7" t="n">
        <v>-0.329</v>
      </c>
      <c r="AA310" s="7" t="n">
        <v>-0.437</v>
      </c>
      <c r="AB310" s="7" t="n">
        <v>-0.343</v>
      </c>
      <c r="AC310" s="7" t="n">
        <v>-0.153</v>
      </c>
      <c r="AD310" s="7" t="n">
        <v>-0.694</v>
      </c>
      <c r="AE310" s="7" t="n">
        <v>-0.085</v>
      </c>
      <c r="AF310" s="7" t="n">
        <v>-0.025</v>
      </c>
      <c r="AG310" s="7" t="n">
        <v>-0.744</v>
      </c>
      <c r="AH310" s="7" t="n">
        <v>0.569</v>
      </c>
      <c r="AI310" s="7" t="n">
        <v>0.009</v>
      </c>
      <c r="AJ310" s="7" t="n">
        <v>-0.611</v>
      </c>
      <c r="AK310" s="7" t="n">
        <v>-0.163</v>
      </c>
      <c r="AL310" s="7" t="n">
        <v>-0.504</v>
      </c>
      <c r="AM310" s="7" t="n">
        <v>-0.06</v>
      </c>
      <c r="AN310" s="7" t="n">
        <v>-0.582</v>
      </c>
      <c r="AO310" s="7" t="n">
        <v>0.143</v>
      </c>
      <c r="AP310" s="7" t="n">
        <v>0</v>
      </c>
      <c r="AQ310" s="7" t="n">
        <v>-0.137</v>
      </c>
    </row>
    <row r="311" customFormat="false" ht="15" hidden="false" customHeight="false" outlineLevel="0" collapsed="false">
      <c r="A311" s="23" t="n">
        <v>46628</v>
      </c>
      <c r="B311" s="7" t="n">
        <v>-0.611</v>
      </c>
      <c r="C311" s="7" t="n">
        <v>-0.249</v>
      </c>
      <c r="D311" s="7" t="n">
        <v>-0.697</v>
      </c>
      <c r="E311" s="7" t="n">
        <v>-0.329</v>
      </c>
      <c r="F311" s="7" t="n">
        <v>-0.085</v>
      </c>
      <c r="G311" s="7" t="n">
        <v>-0.694</v>
      </c>
      <c r="H311" s="7" t="n">
        <v>-0.744</v>
      </c>
      <c r="I311" s="7" t="n">
        <v>-0.759</v>
      </c>
      <c r="J311" s="7" t="n">
        <v>-0.291</v>
      </c>
      <c r="K311" s="7" t="n">
        <v>-0.329</v>
      </c>
      <c r="L311" s="7" t="n">
        <v>-0.223</v>
      </c>
      <c r="M311" s="7" t="n">
        <v>-0.291</v>
      </c>
      <c r="N311" s="7" t="n">
        <v>-0.138</v>
      </c>
      <c r="O311" s="7" t="n">
        <v>-0.184</v>
      </c>
      <c r="P311" s="7" t="n">
        <v>-0.747</v>
      </c>
      <c r="Q311" s="7" t="n">
        <v>-0.178</v>
      </c>
      <c r="R311" s="7" t="n">
        <v>-0.746</v>
      </c>
      <c r="S311" s="7" t="n">
        <v>-0.317</v>
      </c>
      <c r="T311" s="7" t="n">
        <v>-0.439</v>
      </c>
      <c r="U311" s="7" t="n">
        <v>-0.117</v>
      </c>
      <c r="V311" s="7" t="n">
        <v>-0.744</v>
      </c>
      <c r="W311" s="7" t="n">
        <v>-0.178</v>
      </c>
      <c r="X311" s="7" t="n">
        <v>-0.679</v>
      </c>
      <c r="Y311" s="7" t="n">
        <v>-0.295</v>
      </c>
      <c r="Z311" s="7" t="n">
        <v>-0.329</v>
      </c>
      <c r="AA311" s="7" t="n">
        <v>-0.437</v>
      </c>
      <c r="AB311" s="7" t="n">
        <v>-0.343</v>
      </c>
      <c r="AC311" s="7" t="n">
        <v>-0.153</v>
      </c>
      <c r="AD311" s="7" t="n">
        <v>-0.694</v>
      </c>
      <c r="AE311" s="7" t="n">
        <v>-0.085</v>
      </c>
      <c r="AF311" s="7" t="n">
        <v>-0.025</v>
      </c>
      <c r="AG311" s="7" t="n">
        <v>-0.744</v>
      </c>
      <c r="AH311" s="7" t="n">
        <v>0.569</v>
      </c>
      <c r="AI311" s="7" t="n">
        <v>0.009</v>
      </c>
      <c r="AJ311" s="7" t="n">
        <v>-0.611</v>
      </c>
      <c r="AK311" s="7" t="n">
        <v>-0.163</v>
      </c>
      <c r="AL311" s="7" t="n">
        <v>-0.504</v>
      </c>
      <c r="AM311" s="7" t="n">
        <v>-0.06</v>
      </c>
      <c r="AN311" s="7" t="n">
        <v>-0.582</v>
      </c>
      <c r="AO311" s="7" t="n">
        <v>0.143</v>
      </c>
      <c r="AP311" s="7" t="n">
        <v>0</v>
      </c>
      <c r="AQ311" s="7" t="n">
        <v>-0.137</v>
      </c>
    </row>
    <row r="312" customFormat="false" ht="15" hidden="false" customHeight="false" outlineLevel="0" collapsed="false">
      <c r="A312" s="23" t="n">
        <v>46629</v>
      </c>
      <c r="B312" s="7" t="n">
        <v>-0.611</v>
      </c>
      <c r="C312" s="7" t="n">
        <v>-0.249</v>
      </c>
      <c r="D312" s="7" t="n">
        <v>-0.697</v>
      </c>
      <c r="E312" s="7" t="n">
        <v>-0.329</v>
      </c>
      <c r="F312" s="7" t="n">
        <v>-0.085</v>
      </c>
      <c r="G312" s="7" t="n">
        <v>-0.694</v>
      </c>
      <c r="H312" s="7" t="n">
        <v>-0.744</v>
      </c>
      <c r="I312" s="7" t="n">
        <v>-0.759</v>
      </c>
      <c r="J312" s="7" t="n">
        <v>-0.291</v>
      </c>
      <c r="K312" s="7" t="n">
        <v>-0.329</v>
      </c>
      <c r="L312" s="7" t="n">
        <v>-0.223</v>
      </c>
      <c r="M312" s="7" t="n">
        <v>-0.291</v>
      </c>
      <c r="N312" s="7" t="n">
        <v>-0.138</v>
      </c>
      <c r="O312" s="7" t="n">
        <v>-0.184</v>
      </c>
      <c r="P312" s="7" t="n">
        <v>-0.747</v>
      </c>
      <c r="Q312" s="7" t="n">
        <v>-0.178</v>
      </c>
      <c r="R312" s="7" t="n">
        <v>-0.746</v>
      </c>
      <c r="S312" s="7" t="n">
        <v>-0.317</v>
      </c>
      <c r="T312" s="7" t="n">
        <v>-0.439</v>
      </c>
      <c r="U312" s="7" t="n">
        <v>-0.117</v>
      </c>
      <c r="V312" s="7" t="n">
        <v>-0.744</v>
      </c>
      <c r="W312" s="7" t="n">
        <v>-0.178</v>
      </c>
      <c r="X312" s="7" t="n">
        <v>-0.679</v>
      </c>
      <c r="Y312" s="7" t="n">
        <v>-0.295</v>
      </c>
      <c r="Z312" s="7" t="n">
        <v>-0.329</v>
      </c>
      <c r="AA312" s="7" t="n">
        <v>-0.437</v>
      </c>
      <c r="AB312" s="7" t="n">
        <v>-0.343</v>
      </c>
      <c r="AC312" s="7" t="n">
        <v>-0.153</v>
      </c>
      <c r="AD312" s="7" t="n">
        <v>-0.694</v>
      </c>
      <c r="AE312" s="7" t="n">
        <v>-0.085</v>
      </c>
      <c r="AF312" s="7" t="n">
        <v>-0.025</v>
      </c>
      <c r="AG312" s="7" t="n">
        <v>-0.744</v>
      </c>
      <c r="AH312" s="7" t="n">
        <v>0.569</v>
      </c>
      <c r="AI312" s="7" t="n">
        <v>0.009</v>
      </c>
      <c r="AJ312" s="7" t="n">
        <v>-0.611</v>
      </c>
      <c r="AK312" s="7" t="n">
        <v>-0.163</v>
      </c>
      <c r="AL312" s="7" t="n">
        <v>-0.504</v>
      </c>
      <c r="AM312" s="7" t="n">
        <v>-0.06</v>
      </c>
      <c r="AN312" s="7" t="n">
        <v>-0.582</v>
      </c>
      <c r="AO312" s="7" t="n">
        <v>0.143</v>
      </c>
      <c r="AP312" s="7" t="n">
        <v>0</v>
      </c>
      <c r="AQ312" s="7" t="n">
        <v>-0.137</v>
      </c>
    </row>
    <row r="313" customFormat="false" ht="15" hidden="false" customHeight="false" outlineLevel="0" collapsed="false">
      <c r="A313" s="23" t="n">
        <v>46630</v>
      </c>
      <c r="B313" s="7" t="n">
        <v>-0.588</v>
      </c>
      <c r="C313" s="7" t="n">
        <v>-0.229</v>
      </c>
      <c r="D313" s="7" t="n">
        <v>-0.675</v>
      </c>
      <c r="E313" s="7" t="n">
        <v>-0.319</v>
      </c>
      <c r="F313" s="7" t="n">
        <v>-0.07</v>
      </c>
      <c r="G313" s="7" t="n">
        <v>-0.675</v>
      </c>
      <c r="H313" s="7" t="n">
        <v>-0.725</v>
      </c>
      <c r="I313" s="7" t="n">
        <v>-0.742</v>
      </c>
      <c r="J313" s="7" t="n">
        <v>-0.282</v>
      </c>
      <c r="K313" s="7" t="n">
        <v>-0.319</v>
      </c>
      <c r="L313" s="7" t="n">
        <v>-0.222</v>
      </c>
      <c r="M313" s="7" t="n">
        <v>-0.282</v>
      </c>
      <c r="N313" s="7" t="n">
        <v>-0.123</v>
      </c>
      <c r="O313" s="7" t="n">
        <v>-0.18</v>
      </c>
      <c r="P313" s="7" t="n">
        <v>-0.727</v>
      </c>
      <c r="Q313" s="7" t="n">
        <v>-0.177</v>
      </c>
      <c r="R313" s="7" t="n">
        <v>-0.725</v>
      </c>
      <c r="S313" s="7" t="n">
        <v>-0.319</v>
      </c>
      <c r="T313" s="7" t="n">
        <v>-0.422</v>
      </c>
      <c r="U313" s="7" t="n">
        <v>-0.11</v>
      </c>
      <c r="V313" s="7" t="n">
        <v>-0.725</v>
      </c>
      <c r="W313" s="7" t="n">
        <v>-0.177</v>
      </c>
      <c r="X313" s="7" t="n">
        <v>-0.659</v>
      </c>
      <c r="Y313" s="7" t="n">
        <v>-0.285</v>
      </c>
      <c r="Z313" s="7" t="n">
        <v>-0.319</v>
      </c>
      <c r="AA313" s="7" t="n">
        <v>-0.422</v>
      </c>
      <c r="AB313" s="7" t="n">
        <v>-0.334</v>
      </c>
      <c r="AC313" s="7" t="n">
        <v>-0.153</v>
      </c>
      <c r="AD313" s="7" t="n">
        <v>-0.675</v>
      </c>
      <c r="AE313" s="7" t="n">
        <v>-0.07</v>
      </c>
      <c r="AF313" s="7" t="n">
        <v>-0.007</v>
      </c>
      <c r="AG313" s="7" t="n">
        <v>-0.725</v>
      </c>
      <c r="AH313" s="7" t="n">
        <v>0.563</v>
      </c>
      <c r="AI313" s="7" t="n">
        <v>0.005</v>
      </c>
      <c r="AJ313" s="7" t="n">
        <v>-0.599</v>
      </c>
      <c r="AK313" s="7" t="n">
        <v>-0.16</v>
      </c>
      <c r="AL313" s="7" t="n">
        <v>-0.489</v>
      </c>
      <c r="AM313" s="7" t="n">
        <v>-0.059</v>
      </c>
      <c r="AN313" s="7" t="n">
        <v>-0.569</v>
      </c>
      <c r="AO313" s="7" t="n">
        <v>0.143</v>
      </c>
      <c r="AP313" s="7" t="n">
        <v>0</v>
      </c>
      <c r="AQ313" s="7" t="n">
        <v>-0.136</v>
      </c>
    </row>
    <row r="314" customFormat="false" ht="15" hidden="false" customHeight="false" outlineLevel="0" collapsed="false">
      <c r="A314" s="23" t="n">
        <v>46631</v>
      </c>
      <c r="B314" s="7" t="n">
        <v>-0.564</v>
      </c>
      <c r="C314" s="7" t="n">
        <v>-0.205</v>
      </c>
      <c r="D314" s="7" t="n">
        <v>-0.656</v>
      </c>
      <c r="E314" s="7" t="n">
        <v>-0.309</v>
      </c>
      <c r="F314" s="7" t="n">
        <v>-0.055</v>
      </c>
      <c r="G314" s="7" t="n">
        <v>-0.656</v>
      </c>
      <c r="H314" s="7" t="n">
        <v>-0.707</v>
      </c>
      <c r="I314" s="7" t="n">
        <v>-0.725</v>
      </c>
      <c r="J314" s="7" t="n">
        <v>-0.274</v>
      </c>
      <c r="K314" s="7" t="n">
        <v>-0.309</v>
      </c>
      <c r="L314" s="7" t="n">
        <v>-0.213</v>
      </c>
      <c r="M314" s="7" t="n">
        <v>-0.274</v>
      </c>
      <c r="N314" s="7" t="n">
        <v>-0.108</v>
      </c>
      <c r="O314" s="7" t="n">
        <v>-0.171</v>
      </c>
      <c r="P314" s="7" t="n">
        <v>-0.708</v>
      </c>
      <c r="Q314" s="7" t="n">
        <v>-0.168</v>
      </c>
      <c r="R314" s="7" t="n">
        <v>-0.707</v>
      </c>
      <c r="S314" s="7" t="n">
        <v>-0.309</v>
      </c>
      <c r="T314" s="7" t="n">
        <v>-0.411</v>
      </c>
      <c r="U314" s="7" t="n">
        <v>-0.096</v>
      </c>
      <c r="V314" s="7" t="n">
        <v>-0.707</v>
      </c>
      <c r="W314" s="7" t="n">
        <v>-0.168</v>
      </c>
      <c r="X314" s="7" t="n">
        <v>-0.641</v>
      </c>
      <c r="Y314" s="7" t="n">
        <v>-0.275</v>
      </c>
      <c r="Z314" s="7" t="n">
        <v>-0.309</v>
      </c>
      <c r="AA314" s="7" t="n">
        <v>-0.411</v>
      </c>
      <c r="AB314" s="7" t="n">
        <v>-0.326</v>
      </c>
      <c r="AC314" s="7" t="n">
        <v>-0.145</v>
      </c>
      <c r="AD314" s="7" t="n">
        <v>-0.656</v>
      </c>
      <c r="AE314" s="7" t="n">
        <v>-0.055</v>
      </c>
      <c r="AF314" s="7" t="n">
        <v>0.013</v>
      </c>
      <c r="AG314" s="7" t="n">
        <v>-0.707</v>
      </c>
      <c r="AH314" s="7" t="n">
        <v>0.556</v>
      </c>
      <c r="AI314" s="7" t="n">
        <v>0.002</v>
      </c>
      <c r="AJ314" s="7" t="n">
        <v>-0.588</v>
      </c>
      <c r="AK314" s="7" t="n">
        <v>-0.159</v>
      </c>
      <c r="AL314" s="7" t="n">
        <v>-0.475</v>
      </c>
      <c r="AM314" s="7" t="n">
        <v>-0.059</v>
      </c>
      <c r="AN314" s="7" t="n">
        <v>-0.556</v>
      </c>
      <c r="AO314" s="7" t="n">
        <v>0.143</v>
      </c>
      <c r="AP314" s="7" t="n">
        <v>0</v>
      </c>
      <c r="AQ314" s="7" t="n">
        <v>-0.134</v>
      </c>
    </row>
    <row r="315" customFormat="false" ht="15" hidden="false" customHeight="false" outlineLevel="0" collapsed="false">
      <c r="A315" s="23" t="n">
        <v>46632</v>
      </c>
      <c r="B315" s="7" t="n">
        <v>-0.54</v>
      </c>
      <c r="C315" s="7" t="n">
        <v>-0.181</v>
      </c>
      <c r="D315" s="7" t="n">
        <v>-0.638</v>
      </c>
      <c r="E315" s="7" t="n">
        <v>-0.299</v>
      </c>
      <c r="F315" s="7" t="n">
        <v>-0.041</v>
      </c>
      <c r="G315" s="7" t="n">
        <v>-0.638</v>
      </c>
      <c r="H315" s="7" t="n">
        <v>-0.688</v>
      </c>
      <c r="I315" s="7" t="n">
        <v>-0.709</v>
      </c>
      <c r="J315" s="7" t="n">
        <v>-0.266</v>
      </c>
      <c r="K315" s="7" t="n">
        <v>-0.299</v>
      </c>
      <c r="L315" s="7" t="n">
        <v>-0.204</v>
      </c>
      <c r="M315" s="7" t="n">
        <v>-0.266</v>
      </c>
      <c r="N315" s="7" t="n">
        <v>-0.094</v>
      </c>
      <c r="O315" s="7" t="n">
        <v>-0.163</v>
      </c>
      <c r="P315" s="7" t="n">
        <v>-0.69</v>
      </c>
      <c r="Q315" s="7" t="n">
        <v>-0.158</v>
      </c>
      <c r="R315" s="7" t="n">
        <v>-0.688</v>
      </c>
      <c r="S315" s="7" t="n">
        <v>-0.299</v>
      </c>
      <c r="T315" s="7" t="n">
        <v>-0.399</v>
      </c>
      <c r="U315" s="7" t="n">
        <v>-0.083</v>
      </c>
      <c r="V315" s="7" t="n">
        <v>-0.688</v>
      </c>
      <c r="W315" s="7" t="n">
        <v>-0.158</v>
      </c>
      <c r="X315" s="7" t="n">
        <v>-0.624</v>
      </c>
      <c r="Y315" s="7" t="n">
        <v>-0.266</v>
      </c>
      <c r="Z315" s="7" t="n">
        <v>-0.299</v>
      </c>
      <c r="AA315" s="7" t="n">
        <v>-0.399</v>
      </c>
      <c r="AB315" s="7" t="n">
        <v>-0.317</v>
      </c>
      <c r="AC315" s="7" t="n">
        <v>-0.136</v>
      </c>
      <c r="AD315" s="7" t="n">
        <v>-0.638</v>
      </c>
      <c r="AE315" s="7" t="n">
        <v>-0.041</v>
      </c>
      <c r="AF315" s="7" t="n">
        <v>0.032</v>
      </c>
      <c r="AG315" s="7" t="n">
        <v>-0.688</v>
      </c>
      <c r="AH315" s="7" t="n">
        <v>0.549</v>
      </c>
      <c r="AI315" s="7" t="n">
        <v>-0.002</v>
      </c>
      <c r="AJ315" s="7" t="n">
        <v>-0.577</v>
      </c>
      <c r="AK315" s="7" t="n">
        <v>-0.158</v>
      </c>
      <c r="AL315" s="7" t="n">
        <v>-0.461</v>
      </c>
      <c r="AM315" s="7" t="n">
        <v>-0.059</v>
      </c>
      <c r="AN315" s="7" t="n">
        <v>-0.544</v>
      </c>
      <c r="AO315" s="7" t="n">
        <v>0.142</v>
      </c>
      <c r="AP315" s="7" t="n">
        <v>0</v>
      </c>
      <c r="AQ315" s="7" t="n">
        <v>-0.133</v>
      </c>
    </row>
    <row r="316" customFormat="false" ht="15" hidden="false" customHeight="false" outlineLevel="0" collapsed="false">
      <c r="A316" s="23" t="n">
        <v>46633</v>
      </c>
      <c r="B316" s="7" t="n">
        <v>-0.515</v>
      </c>
      <c r="C316" s="7" t="n">
        <v>-0.157</v>
      </c>
      <c r="D316" s="7" t="n">
        <v>-0.619</v>
      </c>
      <c r="E316" s="7" t="n">
        <v>-0.289</v>
      </c>
      <c r="F316" s="7" t="n">
        <v>-0.025</v>
      </c>
      <c r="G316" s="7" t="n">
        <v>-0.619</v>
      </c>
      <c r="H316" s="7" t="n">
        <v>-0.67</v>
      </c>
      <c r="I316" s="7" t="n">
        <v>-0.693</v>
      </c>
      <c r="J316" s="7" t="n">
        <v>-0.258</v>
      </c>
      <c r="K316" s="7" t="n">
        <v>-0.289</v>
      </c>
      <c r="L316" s="7" t="n">
        <v>-0.195</v>
      </c>
      <c r="M316" s="7" t="n">
        <v>-0.258</v>
      </c>
      <c r="N316" s="7" t="n">
        <v>-0.078</v>
      </c>
      <c r="O316" s="7" t="n">
        <v>-0.153</v>
      </c>
      <c r="P316" s="7" t="n">
        <v>-0.669</v>
      </c>
      <c r="Q316" s="7" t="n">
        <v>-0.149</v>
      </c>
      <c r="R316" s="7" t="n">
        <v>-0.67</v>
      </c>
      <c r="S316" s="7" t="n">
        <v>-0.289</v>
      </c>
      <c r="T316" s="7" t="n">
        <v>-0.388</v>
      </c>
      <c r="U316" s="7" t="n">
        <v>-0.068</v>
      </c>
      <c r="V316" s="7" t="n">
        <v>-0.67</v>
      </c>
      <c r="W316" s="7" t="n">
        <v>-0.149</v>
      </c>
      <c r="X316" s="7" t="n">
        <v>-0.607</v>
      </c>
      <c r="Y316" s="7" t="n">
        <v>-0.255</v>
      </c>
      <c r="Z316" s="7" t="n">
        <v>-0.289</v>
      </c>
      <c r="AA316" s="7" t="n">
        <v>-0.388</v>
      </c>
      <c r="AB316" s="7" t="n">
        <v>-0.309</v>
      </c>
      <c r="AC316" s="7" t="n">
        <v>-0.128</v>
      </c>
      <c r="AD316" s="7" t="n">
        <v>-0.619</v>
      </c>
      <c r="AE316" s="7" t="n">
        <v>-0.025</v>
      </c>
      <c r="AF316" s="7" t="n">
        <v>0.053</v>
      </c>
      <c r="AG316" s="7" t="n">
        <v>-0.67</v>
      </c>
      <c r="AH316" s="7" t="n">
        <v>0.541</v>
      </c>
      <c r="AI316" s="7" t="n">
        <v>-0.003</v>
      </c>
      <c r="AJ316" s="7" t="n">
        <v>-0.565</v>
      </c>
      <c r="AK316" s="7" t="n">
        <v>-0.156</v>
      </c>
      <c r="AL316" s="7" t="n">
        <v>-0.446</v>
      </c>
      <c r="AM316" s="7" t="n">
        <v>-0.058</v>
      </c>
      <c r="AN316" s="7" t="n">
        <v>-0.531</v>
      </c>
      <c r="AO316" s="7" t="n">
        <v>0.14</v>
      </c>
      <c r="AP316" s="7" t="n">
        <v>0</v>
      </c>
      <c r="AQ316" s="7" t="n">
        <v>-0.129</v>
      </c>
    </row>
    <row r="317" customFormat="false" ht="15" hidden="false" customHeight="false" outlineLevel="0" collapsed="false">
      <c r="A317" s="23" t="n">
        <v>46634</v>
      </c>
      <c r="B317" s="7" t="n">
        <v>-0.49</v>
      </c>
      <c r="C317" s="7" t="n">
        <v>-0.133</v>
      </c>
      <c r="D317" s="7" t="n">
        <v>-0.6</v>
      </c>
      <c r="E317" s="7" t="n">
        <v>-0.279</v>
      </c>
      <c r="F317" s="7" t="n">
        <v>-0.01</v>
      </c>
      <c r="G317" s="7" t="n">
        <v>-0.6</v>
      </c>
      <c r="H317" s="7" t="n">
        <v>-0.652</v>
      </c>
      <c r="I317" s="7" t="n">
        <v>-0.676</v>
      </c>
      <c r="J317" s="7" t="n">
        <v>-0.251</v>
      </c>
      <c r="K317" s="7" t="n">
        <v>-0.279</v>
      </c>
      <c r="L317" s="7" t="n">
        <v>-0.185</v>
      </c>
      <c r="M317" s="7" t="n">
        <v>-0.251</v>
      </c>
      <c r="N317" s="7" t="n">
        <v>-0.062</v>
      </c>
      <c r="O317" s="7" t="n">
        <v>-0.143</v>
      </c>
      <c r="P317" s="7" t="n">
        <v>-0.648</v>
      </c>
      <c r="Q317" s="7" t="n">
        <v>-0.139</v>
      </c>
      <c r="R317" s="7" t="n">
        <v>-0.652</v>
      </c>
      <c r="S317" s="7" t="n">
        <v>-0.279</v>
      </c>
      <c r="T317" s="7" t="n">
        <v>-0.377</v>
      </c>
      <c r="U317" s="7" t="n">
        <v>-0.054</v>
      </c>
      <c r="V317" s="7" t="n">
        <v>-0.652</v>
      </c>
      <c r="W317" s="7" t="n">
        <v>-0.139</v>
      </c>
      <c r="X317" s="7" t="n">
        <v>-0.59</v>
      </c>
      <c r="Y317" s="7" t="n">
        <v>-0.244</v>
      </c>
      <c r="Z317" s="7" t="n">
        <v>-0.279</v>
      </c>
      <c r="AA317" s="7" t="n">
        <v>-0.377</v>
      </c>
      <c r="AB317" s="7" t="n">
        <v>-0.301</v>
      </c>
      <c r="AC317" s="7" t="n">
        <v>-0.12</v>
      </c>
      <c r="AD317" s="7" t="n">
        <v>-0.6</v>
      </c>
      <c r="AE317" s="7" t="n">
        <v>-0.01</v>
      </c>
      <c r="AF317" s="7" t="n">
        <v>0.073</v>
      </c>
      <c r="AG317" s="7" t="n">
        <v>-0.652</v>
      </c>
      <c r="AH317" s="7" t="n">
        <v>0.532</v>
      </c>
      <c r="AI317" s="7" t="n">
        <v>-0.005</v>
      </c>
      <c r="AJ317" s="7" t="n">
        <v>-0.553</v>
      </c>
      <c r="AK317" s="7" t="n">
        <v>-0.155</v>
      </c>
      <c r="AL317" s="7" t="n">
        <v>-0.431</v>
      </c>
      <c r="AM317" s="7" t="n">
        <v>-0.057</v>
      </c>
      <c r="AN317" s="7" t="n">
        <v>-0.518</v>
      </c>
      <c r="AO317" s="7" t="n">
        <v>0.137</v>
      </c>
      <c r="AP317" s="7" t="n">
        <v>0</v>
      </c>
      <c r="AQ317" s="7" t="n">
        <v>-0.125</v>
      </c>
    </row>
    <row r="318" customFormat="false" ht="15" hidden="false" customHeight="false" outlineLevel="0" collapsed="false">
      <c r="A318" s="23" t="n">
        <v>46635</v>
      </c>
      <c r="B318" s="7" t="n">
        <v>-0.49</v>
      </c>
      <c r="C318" s="7" t="n">
        <v>-0.133</v>
      </c>
      <c r="D318" s="7" t="n">
        <v>-0.6</v>
      </c>
      <c r="E318" s="7" t="n">
        <v>-0.279</v>
      </c>
      <c r="F318" s="7" t="n">
        <v>-0.01</v>
      </c>
      <c r="G318" s="7" t="n">
        <v>-0.6</v>
      </c>
      <c r="H318" s="7" t="n">
        <v>-0.652</v>
      </c>
      <c r="I318" s="7" t="n">
        <v>-0.676</v>
      </c>
      <c r="J318" s="7" t="n">
        <v>-0.251</v>
      </c>
      <c r="K318" s="7" t="n">
        <v>-0.279</v>
      </c>
      <c r="L318" s="7" t="n">
        <v>-0.185</v>
      </c>
      <c r="M318" s="7" t="n">
        <v>-0.251</v>
      </c>
      <c r="N318" s="7" t="n">
        <v>-0.062</v>
      </c>
      <c r="O318" s="7" t="n">
        <v>-0.143</v>
      </c>
      <c r="P318" s="7" t="n">
        <v>-0.648</v>
      </c>
      <c r="Q318" s="7" t="n">
        <v>-0.139</v>
      </c>
      <c r="R318" s="7" t="n">
        <v>-0.652</v>
      </c>
      <c r="S318" s="7" t="n">
        <v>-0.279</v>
      </c>
      <c r="T318" s="7" t="n">
        <v>-0.377</v>
      </c>
      <c r="U318" s="7" t="n">
        <v>-0.054</v>
      </c>
      <c r="V318" s="7" t="n">
        <v>-0.652</v>
      </c>
      <c r="W318" s="7" t="n">
        <v>-0.139</v>
      </c>
      <c r="X318" s="7" t="n">
        <v>-0.59</v>
      </c>
      <c r="Y318" s="7" t="n">
        <v>-0.244</v>
      </c>
      <c r="Z318" s="7" t="n">
        <v>-0.279</v>
      </c>
      <c r="AA318" s="7" t="n">
        <v>-0.377</v>
      </c>
      <c r="AB318" s="7" t="n">
        <v>-0.301</v>
      </c>
      <c r="AC318" s="7" t="n">
        <v>-0.12</v>
      </c>
      <c r="AD318" s="7" t="n">
        <v>-0.6</v>
      </c>
      <c r="AE318" s="7" t="n">
        <v>-0.01</v>
      </c>
      <c r="AF318" s="7" t="n">
        <v>0.073</v>
      </c>
      <c r="AG318" s="7" t="n">
        <v>-0.652</v>
      </c>
      <c r="AH318" s="7" t="n">
        <v>0.532</v>
      </c>
      <c r="AI318" s="7" t="n">
        <v>-0.005</v>
      </c>
      <c r="AJ318" s="7" t="n">
        <v>-0.553</v>
      </c>
      <c r="AK318" s="7" t="n">
        <v>-0.155</v>
      </c>
      <c r="AL318" s="7" t="n">
        <v>-0.431</v>
      </c>
      <c r="AM318" s="7" t="n">
        <v>-0.057</v>
      </c>
      <c r="AN318" s="7" t="n">
        <v>-0.518</v>
      </c>
      <c r="AO318" s="7" t="n">
        <v>0.137</v>
      </c>
      <c r="AP318" s="7" t="n">
        <v>0</v>
      </c>
      <c r="AQ318" s="7" t="n">
        <v>-0.125</v>
      </c>
    </row>
    <row r="319" customFormat="false" ht="15" hidden="false" customHeight="false" outlineLevel="0" collapsed="false">
      <c r="A319" s="23" t="n">
        <v>46636</v>
      </c>
      <c r="B319" s="7" t="n">
        <v>-0.49</v>
      </c>
      <c r="C319" s="7" t="n">
        <v>-0.133</v>
      </c>
      <c r="D319" s="7" t="n">
        <v>-0.6</v>
      </c>
      <c r="E319" s="7" t="n">
        <v>-0.279</v>
      </c>
      <c r="F319" s="7" t="n">
        <v>-0.01</v>
      </c>
      <c r="G319" s="7" t="n">
        <v>-0.6</v>
      </c>
      <c r="H319" s="7" t="n">
        <v>-0.652</v>
      </c>
      <c r="I319" s="7" t="n">
        <v>-0.676</v>
      </c>
      <c r="J319" s="7" t="n">
        <v>-0.251</v>
      </c>
      <c r="K319" s="7" t="n">
        <v>-0.279</v>
      </c>
      <c r="L319" s="7" t="n">
        <v>-0.185</v>
      </c>
      <c r="M319" s="7" t="n">
        <v>-0.251</v>
      </c>
      <c r="N319" s="7" t="n">
        <v>-0.062</v>
      </c>
      <c r="O319" s="7" t="n">
        <v>-0.143</v>
      </c>
      <c r="P319" s="7" t="n">
        <v>-0.648</v>
      </c>
      <c r="Q319" s="7" t="n">
        <v>-0.139</v>
      </c>
      <c r="R319" s="7" t="n">
        <v>-0.652</v>
      </c>
      <c r="S319" s="7" t="n">
        <v>-0.279</v>
      </c>
      <c r="T319" s="7" t="n">
        <v>-0.377</v>
      </c>
      <c r="U319" s="7" t="n">
        <v>-0.054</v>
      </c>
      <c r="V319" s="7" t="n">
        <v>-0.652</v>
      </c>
      <c r="W319" s="7" t="n">
        <v>-0.139</v>
      </c>
      <c r="X319" s="7" t="n">
        <v>-0.59</v>
      </c>
      <c r="Y319" s="7" t="n">
        <v>-0.244</v>
      </c>
      <c r="Z319" s="7" t="n">
        <v>-0.279</v>
      </c>
      <c r="AA319" s="7" t="n">
        <v>-0.377</v>
      </c>
      <c r="AB319" s="7" t="n">
        <v>-0.301</v>
      </c>
      <c r="AC319" s="7" t="n">
        <v>-0.12</v>
      </c>
      <c r="AD319" s="7" t="n">
        <v>-0.6</v>
      </c>
      <c r="AE319" s="7" t="n">
        <v>-0.01</v>
      </c>
      <c r="AF319" s="7" t="n">
        <v>0.073</v>
      </c>
      <c r="AG319" s="7" t="n">
        <v>-0.652</v>
      </c>
      <c r="AH319" s="7" t="n">
        <v>0.532</v>
      </c>
      <c r="AI319" s="7" t="n">
        <v>-0.005</v>
      </c>
      <c r="AJ319" s="7" t="n">
        <v>-0.553</v>
      </c>
      <c r="AK319" s="7" t="n">
        <v>-0.155</v>
      </c>
      <c r="AL319" s="7" t="n">
        <v>-0.431</v>
      </c>
      <c r="AM319" s="7" t="n">
        <v>-0.057</v>
      </c>
      <c r="AN319" s="7" t="n">
        <v>-0.518</v>
      </c>
      <c r="AO319" s="7" t="n">
        <v>0.137</v>
      </c>
      <c r="AP319" s="7" t="n">
        <v>0</v>
      </c>
      <c r="AQ319" s="7" t="n">
        <v>-0.125</v>
      </c>
    </row>
    <row r="320" customFormat="false" ht="15" hidden="false" customHeight="false" outlineLevel="0" collapsed="false">
      <c r="A320" s="23" t="n">
        <v>46637</v>
      </c>
      <c r="B320" s="7" t="n">
        <v>-0.472</v>
      </c>
      <c r="C320" s="7" t="n">
        <v>-0.119</v>
      </c>
      <c r="D320" s="7" t="n">
        <v>-0.582</v>
      </c>
      <c r="E320" s="7" t="n">
        <v>-0.269</v>
      </c>
      <c r="F320" s="7" t="n">
        <v>-0.001</v>
      </c>
      <c r="G320" s="7" t="n">
        <v>-0.582</v>
      </c>
      <c r="H320" s="7" t="n">
        <v>-0.634</v>
      </c>
      <c r="I320" s="7" t="n">
        <v>-0.668</v>
      </c>
      <c r="J320" s="7" t="n">
        <v>-0.248</v>
      </c>
      <c r="K320" s="7" t="n">
        <v>-0.269</v>
      </c>
      <c r="L320" s="7" t="n">
        <v>-0.18</v>
      </c>
      <c r="M320" s="7" t="n">
        <v>-0.248</v>
      </c>
      <c r="N320" s="7" t="n">
        <v>-0.056</v>
      </c>
      <c r="O320" s="7" t="n">
        <v>-0.142</v>
      </c>
      <c r="P320" s="7" t="n">
        <v>-0.629</v>
      </c>
      <c r="Q320" s="7" t="n">
        <v>-0.131</v>
      </c>
      <c r="R320" s="7" t="n">
        <v>-0.634</v>
      </c>
      <c r="S320" s="7" t="n">
        <v>-0.269</v>
      </c>
      <c r="T320" s="7" t="n">
        <v>-0.368</v>
      </c>
      <c r="U320" s="7" t="n">
        <v>-0.043</v>
      </c>
      <c r="V320" s="7" t="n">
        <v>-0.634</v>
      </c>
      <c r="W320" s="7" t="n">
        <v>-0.131</v>
      </c>
      <c r="X320" s="7" t="n">
        <v>-0.578</v>
      </c>
      <c r="Y320" s="7" t="n">
        <v>-0.234</v>
      </c>
      <c r="Z320" s="7" t="n">
        <v>-0.269</v>
      </c>
      <c r="AA320" s="7" t="n">
        <v>-0.368</v>
      </c>
      <c r="AB320" s="7" t="n">
        <v>-0.301</v>
      </c>
      <c r="AC320" s="7" t="n">
        <v>-0.117</v>
      </c>
      <c r="AD320" s="7" t="n">
        <v>-0.582</v>
      </c>
      <c r="AE320" s="7" t="n">
        <v>-0.001</v>
      </c>
      <c r="AF320" s="7" t="n">
        <v>0.092</v>
      </c>
      <c r="AG320" s="7" t="n">
        <v>-0.634</v>
      </c>
      <c r="AH320" s="7" t="n">
        <v>0.519</v>
      </c>
      <c r="AI320" s="7" t="n">
        <v>-0.011</v>
      </c>
      <c r="AJ320" s="7" t="n">
        <v>-0.552</v>
      </c>
      <c r="AK320" s="7" t="n">
        <v>-0.165</v>
      </c>
      <c r="AL320" s="7" t="n">
        <v>-0.418</v>
      </c>
      <c r="AM320" s="7" t="n">
        <v>-0.06</v>
      </c>
      <c r="AN320" s="7" t="n">
        <v>-0.507</v>
      </c>
      <c r="AO320" s="7" t="n">
        <v>0.129</v>
      </c>
      <c r="AP320" s="7" t="n">
        <v>0</v>
      </c>
      <c r="AQ320" s="7" t="n">
        <v>-0.123</v>
      </c>
    </row>
    <row r="321" customFormat="false" ht="15" hidden="false" customHeight="false" outlineLevel="0" collapsed="false">
      <c r="A321" s="23" t="n">
        <v>46638</v>
      </c>
      <c r="B321" s="7" t="n">
        <v>-0.455</v>
      </c>
      <c r="C321" s="7" t="n">
        <v>-0.107</v>
      </c>
      <c r="D321" s="7" t="n">
        <v>-0.563</v>
      </c>
      <c r="E321" s="7" t="n">
        <v>-0.259</v>
      </c>
      <c r="F321" s="7" t="n">
        <v>0.008</v>
      </c>
      <c r="G321" s="7" t="n">
        <v>-0.563</v>
      </c>
      <c r="H321" s="7" t="n">
        <v>-0.617</v>
      </c>
      <c r="I321" s="7" t="n">
        <v>-0.661</v>
      </c>
      <c r="J321" s="7" t="n">
        <v>-0.245</v>
      </c>
      <c r="K321" s="7" t="n">
        <v>-0.259</v>
      </c>
      <c r="L321" s="7" t="n">
        <v>-0.174</v>
      </c>
      <c r="M321" s="7" t="n">
        <v>-0.245</v>
      </c>
      <c r="N321" s="7" t="n">
        <v>-0.051</v>
      </c>
      <c r="O321" s="7" t="n">
        <v>-0.142</v>
      </c>
      <c r="P321" s="7" t="n">
        <v>-0.609</v>
      </c>
      <c r="Q321" s="7" t="n">
        <v>-0.123</v>
      </c>
      <c r="R321" s="7" t="n">
        <v>-0.617</v>
      </c>
      <c r="S321" s="7" t="n">
        <v>-0.259</v>
      </c>
      <c r="T321" s="7" t="n">
        <v>-0.359</v>
      </c>
      <c r="U321" s="7" t="n">
        <v>-0.033</v>
      </c>
      <c r="V321" s="7" t="n">
        <v>-0.617</v>
      </c>
      <c r="W321" s="7" t="n">
        <v>-0.123</v>
      </c>
      <c r="X321" s="7" t="n">
        <v>-0.566</v>
      </c>
      <c r="Y321" s="7" t="n">
        <v>-0.224</v>
      </c>
      <c r="Z321" s="7" t="n">
        <v>-0.259</v>
      </c>
      <c r="AA321" s="7" t="n">
        <v>-0.359</v>
      </c>
      <c r="AB321" s="7" t="n">
        <v>-0.301</v>
      </c>
      <c r="AC321" s="7" t="n">
        <v>-0.113</v>
      </c>
      <c r="AD321" s="7" t="n">
        <v>-0.563</v>
      </c>
      <c r="AE321" s="7" t="n">
        <v>0.008</v>
      </c>
      <c r="AF321" s="7" t="n">
        <v>0.11</v>
      </c>
      <c r="AG321" s="7" t="n">
        <v>-0.617</v>
      </c>
      <c r="AH321" s="7" t="n">
        <v>0.507</v>
      </c>
      <c r="AI321" s="7" t="n">
        <v>-0.018</v>
      </c>
      <c r="AJ321" s="7" t="n">
        <v>-0.551</v>
      </c>
      <c r="AK321" s="7" t="n">
        <v>-0.175</v>
      </c>
      <c r="AL321" s="7" t="n">
        <v>-0.405</v>
      </c>
      <c r="AM321" s="7" t="n">
        <v>-0.063</v>
      </c>
      <c r="AN321" s="7" t="n">
        <v>-0.496</v>
      </c>
      <c r="AO321" s="7" t="n">
        <v>0.121</v>
      </c>
      <c r="AP321" s="7" t="n">
        <v>0</v>
      </c>
      <c r="AQ321" s="7" t="n">
        <v>-0.121</v>
      </c>
    </row>
    <row r="322" customFormat="false" ht="15" hidden="false" customHeight="false" outlineLevel="0" collapsed="false">
      <c r="A322" s="23" t="n">
        <v>46639</v>
      </c>
      <c r="B322" s="7" t="n">
        <v>-0.438</v>
      </c>
      <c r="C322" s="7" t="n">
        <v>-0.094</v>
      </c>
      <c r="D322" s="7" t="n">
        <v>-0.544</v>
      </c>
      <c r="E322" s="7" t="n">
        <v>-0.25</v>
      </c>
      <c r="F322" s="7" t="n">
        <v>0.016</v>
      </c>
      <c r="G322" s="7" t="n">
        <v>-0.544</v>
      </c>
      <c r="H322" s="7" t="n">
        <v>-0.6</v>
      </c>
      <c r="I322" s="7" t="n">
        <v>-0.655</v>
      </c>
      <c r="J322" s="7" t="n">
        <v>-0.242</v>
      </c>
      <c r="K322" s="7" t="n">
        <v>-0.25</v>
      </c>
      <c r="L322" s="7" t="n">
        <v>-0.17</v>
      </c>
      <c r="M322" s="7" t="n">
        <v>-0.242</v>
      </c>
      <c r="N322" s="7" t="n">
        <v>-0.047</v>
      </c>
      <c r="O322" s="7" t="n">
        <v>-0.142</v>
      </c>
      <c r="P322" s="7" t="n">
        <v>-0.589</v>
      </c>
      <c r="Q322" s="7" t="n">
        <v>-0.115</v>
      </c>
      <c r="R322" s="7" t="n">
        <v>-0.6</v>
      </c>
      <c r="S322" s="7" t="n">
        <v>-0.25</v>
      </c>
      <c r="T322" s="7" t="n">
        <v>-0.349</v>
      </c>
      <c r="U322" s="7" t="n">
        <v>-0.023</v>
      </c>
      <c r="V322" s="7" t="n">
        <v>-0.6</v>
      </c>
      <c r="W322" s="7" t="n">
        <v>-0.115</v>
      </c>
      <c r="X322" s="7" t="n">
        <v>-0.553</v>
      </c>
      <c r="Y322" s="7" t="n">
        <v>-0.214</v>
      </c>
      <c r="Z322" s="7" t="n">
        <v>-0.25</v>
      </c>
      <c r="AA322" s="7" t="n">
        <v>-0.349</v>
      </c>
      <c r="AB322" s="7" t="n">
        <v>-0.302</v>
      </c>
      <c r="AC322" s="7" t="n">
        <v>-0.11</v>
      </c>
      <c r="AD322" s="7" t="n">
        <v>-0.544</v>
      </c>
      <c r="AE322" s="7" t="n">
        <v>0.016</v>
      </c>
      <c r="AF322" s="7" t="n">
        <v>0.128</v>
      </c>
      <c r="AG322" s="7" t="n">
        <v>-0.6</v>
      </c>
      <c r="AH322" s="7" t="n">
        <v>0.494</v>
      </c>
      <c r="AI322" s="7" t="n">
        <v>-0.026</v>
      </c>
      <c r="AJ322" s="7" t="n">
        <v>-0.551</v>
      </c>
      <c r="AK322" s="7" t="n">
        <v>-0.186</v>
      </c>
      <c r="AL322" s="7" t="n">
        <v>-0.392</v>
      </c>
      <c r="AM322" s="7" t="n">
        <v>-0.067</v>
      </c>
      <c r="AN322" s="7" t="n">
        <v>-0.486</v>
      </c>
      <c r="AO322" s="7" t="n">
        <v>0.113</v>
      </c>
      <c r="AP322" s="7" t="n">
        <v>0</v>
      </c>
      <c r="AQ322" s="7" t="n">
        <v>-0.12</v>
      </c>
    </row>
    <row r="323" customFormat="false" ht="15" hidden="false" customHeight="false" outlineLevel="0" collapsed="false">
      <c r="A323" s="23" t="n">
        <v>46640</v>
      </c>
      <c r="B323" s="7" t="n">
        <v>-0.421</v>
      </c>
      <c r="C323" s="7" t="n">
        <v>-0.083</v>
      </c>
      <c r="D323" s="7" t="n">
        <v>-0.526</v>
      </c>
      <c r="E323" s="7" t="n">
        <v>-0.24</v>
      </c>
      <c r="F323" s="7" t="n">
        <v>0.023</v>
      </c>
      <c r="G323" s="7" t="n">
        <v>-0.526</v>
      </c>
      <c r="H323" s="7" t="n">
        <v>-0.583</v>
      </c>
      <c r="I323" s="7" t="n">
        <v>-0.649</v>
      </c>
      <c r="J323" s="7" t="n">
        <v>-0.239</v>
      </c>
      <c r="K323" s="7" t="n">
        <v>-0.24</v>
      </c>
      <c r="L323" s="7" t="n">
        <v>-0.166</v>
      </c>
      <c r="M323" s="7" t="n">
        <v>-0.239</v>
      </c>
      <c r="N323" s="7" t="n">
        <v>-0.044</v>
      </c>
      <c r="O323" s="7" t="n">
        <v>-0.143</v>
      </c>
      <c r="P323" s="7" t="n">
        <v>-0.57</v>
      </c>
      <c r="Q323" s="7" t="n">
        <v>-0.107</v>
      </c>
      <c r="R323" s="7" t="n">
        <v>-0.583</v>
      </c>
      <c r="S323" s="7" t="n">
        <v>-0.24</v>
      </c>
      <c r="T323" s="7" t="n">
        <v>-0.34</v>
      </c>
      <c r="U323" s="7" t="n">
        <v>-0.015</v>
      </c>
      <c r="V323" s="7" t="n">
        <v>-0.583</v>
      </c>
      <c r="W323" s="7" t="n">
        <v>-0.107</v>
      </c>
      <c r="X323" s="7" t="n">
        <v>-0.541</v>
      </c>
      <c r="Y323" s="7" t="n">
        <v>-0.205</v>
      </c>
      <c r="Z323" s="7" t="n">
        <v>-0.24</v>
      </c>
      <c r="AA323" s="7" t="n">
        <v>-0.34</v>
      </c>
      <c r="AB323" s="7" t="n">
        <v>-0.303</v>
      </c>
      <c r="AC323" s="7" t="n">
        <v>-0.108</v>
      </c>
      <c r="AD323" s="7" t="n">
        <v>-0.526</v>
      </c>
      <c r="AE323" s="7" t="n">
        <v>0.023</v>
      </c>
      <c r="AF323" s="7" t="n">
        <v>0.145</v>
      </c>
      <c r="AG323" s="7" t="n">
        <v>-0.583</v>
      </c>
      <c r="AH323" s="7" t="n">
        <v>0.482</v>
      </c>
      <c r="AI323" s="7" t="n">
        <v>-0.035</v>
      </c>
      <c r="AJ323" s="7" t="n">
        <v>-0.551</v>
      </c>
      <c r="AK323" s="7" t="n">
        <v>-0.197</v>
      </c>
      <c r="AL323" s="7" t="n">
        <v>-0.38</v>
      </c>
      <c r="AM323" s="7" t="n">
        <v>-0.071</v>
      </c>
      <c r="AN323" s="7" t="n">
        <v>-0.475</v>
      </c>
      <c r="AO323" s="7" t="n">
        <v>0.105</v>
      </c>
      <c r="AP323" s="7" t="n">
        <v>0</v>
      </c>
      <c r="AQ323" s="7" t="n">
        <v>-0.119</v>
      </c>
    </row>
    <row r="324" customFormat="false" ht="15" hidden="false" customHeight="false" outlineLevel="0" collapsed="false">
      <c r="A324" s="23" t="n">
        <v>46641</v>
      </c>
      <c r="B324" s="7" t="n">
        <v>-0.416</v>
      </c>
      <c r="C324" s="7" t="n">
        <v>-0.087</v>
      </c>
      <c r="D324" s="7" t="n">
        <v>-0.507</v>
      </c>
      <c r="E324" s="7" t="n">
        <v>-0.23</v>
      </c>
      <c r="F324" s="7" t="n">
        <v>0.014</v>
      </c>
      <c r="G324" s="7" t="n">
        <v>-0.507</v>
      </c>
      <c r="H324" s="7" t="n">
        <v>-0.565</v>
      </c>
      <c r="I324" s="7" t="n">
        <v>-0.64</v>
      </c>
      <c r="J324" s="7" t="n">
        <v>-0.231</v>
      </c>
      <c r="K324" s="7" t="n">
        <v>-0.23</v>
      </c>
      <c r="L324" s="7" t="n">
        <v>-0.179</v>
      </c>
      <c r="M324" s="7" t="n">
        <v>-0.231</v>
      </c>
      <c r="N324" s="7" t="n">
        <v>-0.056</v>
      </c>
      <c r="O324" s="7" t="n">
        <v>-0.154</v>
      </c>
      <c r="P324" s="7" t="n">
        <v>-0.55</v>
      </c>
      <c r="Q324" s="7" t="n">
        <v>-0.116</v>
      </c>
      <c r="R324" s="7" t="n">
        <v>-0.565</v>
      </c>
      <c r="S324" s="7" t="n">
        <v>-0.23</v>
      </c>
      <c r="T324" s="7" t="n">
        <v>-0.331</v>
      </c>
      <c r="U324" s="7" t="n">
        <v>-0.026</v>
      </c>
      <c r="V324" s="7" t="n">
        <v>-0.565</v>
      </c>
      <c r="W324" s="7" t="n">
        <v>-0.116</v>
      </c>
      <c r="X324" s="7" t="n">
        <v>-0.526</v>
      </c>
      <c r="Y324" s="7" t="n">
        <v>-0.206</v>
      </c>
      <c r="Z324" s="7" t="n">
        <v>-0.23</v>
      </c>
      <c r="AA324" s="7" t="n">
        <v>-0.331</v>
      </c>
      <c r="AB324" s="7" t="n">
        <v>-0.299</v>
      </c>
      <c r="AC324" s="7" t="n">
        <v>-0.118</v>
      </c>
      <c r="AD324" s="7" t="n">
        <v>-0.507</v>
      </c>
      <c r="AE324" s="7" t="n">
        <v>0.014</v>
      </c>
      <c r="AF324" s="7" t="n">
        <v>0.135</v>
      </c>
      <c r="AG324" s="7" t="n">
        <v>-0.565</v>
      </c>
      <c r="AH324" s="7" t="n">
        <v>0.469</v>
      </c>
      <c r="AI324" s="7" t="n">
        <v>-0.044</v>
      </c>
      <c r="AJ324" s="7" t="n">
        <v>-0.547</v>
      </c>
      <c r="AK324" s="7" t="n">
        <v>-0.201</v>
      </c>
      <c r="AL324" s="7" t="n">
        <v>-0.375</v>
      </c>
      <c r="AM324" s="7" t="n">
        <v>-0.075</v>
      </c>
      <c r="AN324" s="7" t="n">
        <v>-0.464</v>
      </c>
      <c r="AO324" s="7" t="n">
        <v>0.095</v>
      </c>
      <c r="AP324" s="7" t="n">
        <v>0</v>
      </c>
      <c r="AQ324" s="7" t="n">
        <v>-0.118</v>
      </c>
    </row>
    <row r="325" customFormat="false" ht="15" hidden="false" customHeight="false" outlineLevel="0" collapsed="false">
      <c r="A325" s="23" t="n">
        <v>46642</v>
      </c>
      <c r="B325" s="7" t="n">
        <v>-0.416</v>
      </c>
      <c r="C325" s="7" t="n">
        <v>-0.087</v>
      </c>
      <c r="D325" s="7" t="n">
        <v>-0.507</v>
      </c>
      <c r="E325" s="7" t="n">
        <v>-0.23</v>
      </c>
      <c r="F325" s="7" t="n">
        <v>0.014</v>
      </c>
      <c r="G325" s="7" t="n">
        <v>-0.507</v>
      </c>
      <c r="H325" s="7" t="n">
        <v>-0.565</v>
      </c>
      <c r="I325" s="7" t="n">
        <v>-0.64</v>
      </c>
      <c r="J325" s="7" t="n">
        <v>-0.231</v>
      </c>
      <c r="K325" s="7" t="n">
        <v>-0.23</v>
      </c>
      <c r="L325" s="7" t="n">
        <v>-0.179</v>
      </c>
      <c r="M325" s="7" t="n">
        <v>-0.231</v>
      </c>
      <c r="N325" s="7" t="n">
        <v>-0.056</v>
      </c>
      <c r="O325" s="7" t="n">
        <v>-0.154</v>
      </c>
      <c r="P325" s="7" t="n">
        <v>-0.55</v>
      </c>
      <c r="Q325" s="7" t="n">
        <v>-0.116</v>
      </c>
      <c r="R325" s="7" t="n">
        <v>-0.565</v>
      </c>
      <c r="S325" s="7" t="n">
        <v>-0.23</v>
      </c>
      <c r="T325" s="7" t="n">
        <v>-0.331</v>
      </c>
      <c r="U325" s="7" t="n">
        <v>-0.026</v>
      </c>
      <c r="V325" s="7" t="n">
        <v>-0.565</v>
      </c>
      <c r="W325" s="7" t="n">
        <v>-0.116</v>
      </c>
      <c r="X325" s="7" t="n">
        <v>-0.526</v>
      </c>
      <c r="Y325" s="7" t="n">
        <v>-0.206</v>
      </c>
      <c r="Z325" s="7" t="n">
        <v>-0.23</v>
      </c>
      <c r="AA325" s="7" t="n">
        <v>-0.331</v>
      </c>
      <c r="AB325" s="7" t="n">
        <v>-0.299</v>
      </c>
      <c r="AC325" s="7" t="n">
        <v>-0.118</v>
      </c>
      <c r="AD325" s="7" t="n">
        <v>-0.507</v>
      </c>
      <c r="AE325" s="7" t="n">
        <v>0.014</v>
      </c>
      <c r="AF325" s="7" t="n">
        <v>0.135</v>
      </c>
      <c r="AG325" s="7" t="n">
        <v>-0.565</v>
      </c>
      <c r="AH325" s="7" t="n">
        <v>0.469</v>
      </c>
      <c r="AI325" s="7" t="n">
        <v>-0.044</v>
      </c>
      <c r="AJ325" s="7" t="n">
        <v>-0.547</v>
      </c>
      <c r="AK325" s="7" t="n">
        <v>-0.201</v>
      </c>
      <c r="AL325" s="7" t="n">
        <v>-0.375</v>
      </c>
      <c r="AM325" s="7" t="n">
        <v>-0.075</v>
      </c>
      <c r="AN325" s="7" t="n">
        <v>-0.464</v>
      </c>
      <c r="AO325" s="7" t="n">
        <v>0.095</v>
      </c>
      <c r="AP325" s="7" t="n">
        <v>0</v>
      </c>
      <c r="AQ325" s="7" t="n">
        <v>-0.118</v>
      </c>
    </row>
    <row r="326" customFormat="false" ht="15" hidden="false" customHeight="false" outlineLevel="0" collapsed="false">
      <c r="A326" s="23" t="n">
        <v>46643</v>
      </c>
      <c r="B326" s="7" t="n">
        <v>-0.416</v>
      </c>
      <c r="C326" s="7" t="n">
        <v>-0.087</v>
      </c>
      <c r="D326" s="7" t="n">
        <v>-0.507</v>
      </c>
      <c r="E326" s="7" t="n">
        <v>-0.23</v>
      </c>
      <c r="F326" s="7" t="n">
        <v>0.014</v>
      </c>
      <c r="G326" s="7" t="n">
        <v>-0.507</v>
      </c>
      <c r="H326" s="7" t="n">
        <v>-0.565</v>
      </c>
      <c r="I326" s="7" t="n">
        <v>-0.64</v>
      </c>
      <c r="J326" s="7" t="n">
        <v>-0.231</v>
      </c>
      <c r="K326" s="7" t="n">
        <v>-0.23</v>
      </c>
      <c r="L326" s="7" t="n">
        <v>-0.179</v>
      </c>
      <c r="M326" s="7" t="n">
        <v>-0.231</v>
      </c>
      <c r="N326" s="7" t="n">
        <v>-0.056</v>
      </c>
      <c r="O326" s="7" t="n">
        <v>-0.154</v>
      </c>
      <c r="P326" s="7" t="n">
        <v>-0.55</v>
      </c>
      <c r="Q326" s="7" t="n">
        <v>-0.116</v>
      </c>
      <c r="R326" s="7" t="n">
        <v>-0.565</v>
      </c>
      <c r="S326" s="7" t="n">
        <v>-0.23</v>
      </c>
      <c r="T326" s="7" t="n">
        <v>-0.331</v>
      </c>
      <c r="U326" s="7" t="n">
        <v>-0.026</v>
      </c>
      <c r="V326" s="7" t="n">
        <v>-0.565</v>
      </c>
      <c r="W326" s="7" t="n">
        <v>-0.116</v>
      </c>
      <c r="X326" s="7" t="n">
        <v>-0.526</v>
      </c>
      <c r="Y326" s="7" t="n">
        <v>-0.206</v>
      </c>
      <c r="Z326" s="7" t="n">
        <v>-0.23</v>
      </c>
      <c r="AA326" s="7" t="n">
        <v>-0.331</v>
      </c>
      <c r="AB326" s="7" t="n">
        <v>-0.299</v>
      </c>
      <c r="AC326" s="7" t="n">
        <v>-0.118</v>
      </c>
      <c r="AD326" s="7" t="n">
        <v>-0.507</v>
      </c>
      <c r="AE326" s="7" t="n">
        <v>0.014</v>
      </c>
      <c r="AF326" s="7" t="n">
        <v>0.135</v>
      </c>
      <c r="AG326" s="7" t="n">
        <v>-0.565</v>
      </c>
      <c r="AH326" s="7" t="n">
        <v>0.469</v>
      </c>
      <c r="AI326" s="7" t="n">
        <v>-0.044</v>
      </c>
      <c r="AJ326" s="7" t="n">
        <v>-0.547</v>
      </c>
      <c r="AK326" s="7" t="n">
        <v>-0.201</v>
      </c>
      <c r="AL326" s="7" t="n">
        <v>-0.375</v>
      </c>
      <c r="AM326" s="7" t="n">
        <v>-0.075</v>
      </c>
      <c r="AN326" s="7" t="n">
        <v>-0.464</v>
      </c>
      <c r="AO326" s="7" t="n">
        <v>0.095</v>
      </c>
      <c r="AP326" s="7" t="n">
        <v>0</v>
      </c>
      <c r="AQ326" s="7" t="n">
        <v>-0.118</v>
      </c>
    </row>
    <row r="327" customFormat="false" ht="15" hidden="false" customHeight="false" outlineLevel="0" collapsed="false">
      <c r="A327" s="23" t="n">
        <v>46644</v>
      </c>
      <c r="B327" s="7" t="n">
        <v>-0.41</v>
      </c>
      <c r="C327" s="7" t="n">
        <v>-0.088</v>
      </c>
      <c r="D327" s="7" t="n">
        <v>-0.489</v>
      </c>
      <c r="E327" s="7" t="n">
        <v>-0.22</v>
      </c>
      <c r="F327" s="7" t="n">
        <v>0.007</v>
      </c>
      <c r="G327" s="7" t="n">
        <v>-0.489</v>
      </c>
      <c r="H327" s="7" t="n">
        <v>-0.548</v>
      </c>
      <c r="I327" s="7" t="n">
        <v>-0.632</v>
      </c>
      <c r="J327" s="7" t="n">
        <v>-0.223</v>
      </c>
      <c r="K327" s="7" t="n">
        <v>-0.22</v>
      </c>
      <c r="L327" s="7" t="n">
        <v>-0.19</v>
      </c>
      <c r="M327" s="7" t="n">
        <v>-0.223</v>
      </c>
      <c r="N327" s="7" t="n">
        <v>-0.067</v>
      </c>
      <c r="O327" s="7" t="n">
        <v>-0.163</v>
      </c>
      <c r="P327" s="7" t="n">
        <v>-0.53</v>
      </c>
      <c r="Q327" s="7" t="n">
        <v>-0.124</v>
      </c>
      <c r="R327" s="7" t="n">
        <v>-0.548</v>
      </c>
      <c r="S327" s="7" t="n">
        <v>-0.22</v>
      </c>
      <c r="T327" s="7" t="n">
        <v>-0.321</v>
      </c>
      <c r="U327" s="7" t="n">
        <v>-0.039</v>
      </c>
      <c r="V327" s="7" t="n">
        <v>-0.548</v>
      </c>
      <c r="W327" s="7" t="n">
        <v>-0.124</v>
      </c>
      <c r="X327" s="7" t="n">
        <v>-0.512</v>
      </c>
      <c r="Y327" s="7" t="n">
        <v>-0.205</v>
      </c>
      <c r="Z327" s="7" t="n">
        <v>-0.22</v>
      </c>
      <c r="AA327" s="7" t="n">
        <v>-0.321</v>
      </c>
      <c r="AB327" s="7" t="n">
        <v>-0.294</v>
      </c>
      <c r="AC327" s="7" t="n">
        <v>-0.127</v>
      </c>
      <c r="AD327" s="7" t="n">
        <v>-0.489</v>
      </c>
      <c r="AE327" s="7" t="n">
        <v>0.007</v>
      </c>
      <c r="AF327" s="7" t="n">
        <v>0.126</v>
      </c>
      <c r="AG327" s="7" t="n">
        <v>-0.548</v>
      </c>
      <c r="AH327" s="7" t="n">
        <v>0.456</v>
      </c>
      <c r="AI327" s="7" t="n">
        <v>-0.05</v>
      </c>
      <c r="AJ327" s="7" t="n">
        <v>-0.544</v>
      </c>
      <c r="AK327" s="7" t="n">
        <v>-0.205</v>
      </c>
      <c r="AL327" s="7" t="n">
        <v>-0.369</v>
      </c>
      <c r="AM327" s="7" t="n">
        <v>-0.079</v>
      </c>
      <c r="AN327" s="7" t="n">
        <v>-0.453</v>
      </c>
      <c r="AO327" s="7" t="n">
        <v>0.086</v>
      </c>
      <c r="AP327" s="7" t="n">
        <v>0</v>
      </c>
      <c r="AQ327" s="7" t="n">
        <v>-0.116</v>
      </c>
    </row>
    <row r="328" customFormat="false" ht="15" hidden="false" customHeight="false" outlineLevel="0" collapsed="false">
      <c r="A328" s="23" t="n">
        <v>46645</v>
      </c>
      <c r="B328" s="7" t="n">
        <v>-0.403</v>
      </c>
      <c r="C328" s="7" t="n">
        <v>-0.089</v>
      </c>
      <c r="D328" s="7" t="n">
        <v>-0.47</v>
      </c>
      <c r="E328" s="7" t="n">
        <v>-0.21</v>
      </c>
      <c r="F328" s="7" t="n">
        <v>0.001</v>
      </c>
      <c r="G328" s="7" t="n">
        <v>-0.47</v>
      </c>
      <c r="H328" s="7" t="n">
        <v>-0.531</v>
      </c>
      <c r="I328" s="7" t="n">
        <v>-0.623</v>
      </c>
      <c r="J328" s="7" t="n">
        <v>-0.215</v>
      </c>
      <c r="K328" s="7" t="n">
        <v>-0.21</v>
      </c>
      <c r="L328" s="7" t="n">
        <v>-0.201</v>
      </c>
      <c r="M328" s="7" t="n">
        <v>-0.215</v>
      </c>
      <c r="N328" s="7" t="n">
        <v>-0.076</v>
      </c>
      <c r="O328" s="7" t="n">
        <v>-0.17</v>
      </c>
      <c r="P328" s="7" t="n">
        <v>-0.51</v>
      </c>
      <c r="Q328" s="7" t="n">
        <v>-0.131</v>
      </c>
      <c r="R328" s="7" t="n">
        <v>-0.531</v>
      </c>
      <c r="S328" s="7" t="n">
        <v>-0.21</v>
      </c>
      <c r="T328" s="7" t="n">
        <v>-0.312</v>
      </c>
      <c r="U328" s="7" t="n">
        <v>-0.051</v>
      </c>
      <c r="V328" s="7" t="n">
        <v>-0.531</v>
      </c>
      <c r="W328" s="7" t="n">
        <v>-0.131</v>
      </c>
      <c r="X328" s="7" t="n">
        <v>-0.497</v>
      </c>
      <c r="Y328" s="7" t="n">
        <v>-0.204</v>
      </c>
      <c r="Z328" s="7" t="n">
        <v>-0.21</v>
      </c>
      <c r="AA328" s="7" t="n">
        <v>-0.312</v>
      </c>
      <c r="AB328" s="7" t="n">
        <v>-0.289</v>
      </c>
      <c r="AC328" s="7" t="n">
        <v>-0.135</v>
      </c>
      <c r="AD328" s="7" t="n">
        <v>-0.47</v>
      </c>
      <c r="AE328" s="7" t="n">
        <v>0.001</v>
      </c>
      <c r="AF328" s="7" t="n">
        <v>0.118</v>
      </c>
      <c r="AG328" s="7" t="n">
        <v>-0.531</v>
      </c>
      <c r="AH328" s="7" t="n">
        <v>0.444</v>
      </c>
      <c r="AI328" s="7" t="n">
        <v>-0.056</v>
      </c>
      <c r="AJ328" s="7" t="n">
        <v>-0.541</v>
      </c>
      <c r="AK328" s="7" t="n">
        <v>-0.209</v>
      </c>
      <c r="AL328" s="7" t="n">
        <v>-0.363</v>
      </c>
      <c r="AM328" s="7" t="n">
        <v>-0.082</v>
      </c>
      <c r="AN328" s="7" t="n">
        <v>-0.442</v>
      </c>
      <c r="AO328" s="7" t="n">
        <v>0.077</v>
      </c>
      <c r="AP328" s="7" t="n">
        <v>0</v>
      </c>
      <c r="AQ328" s="7" t="n">
        <v>-0.113</v>
      </c>
    </row>
    <row r="329" customFormat="false" ht="15" hidden="false" customHeight="false" outlineLevel="0" collapsed="false">
      <c r="A329" s="23" t="n">
        <v>46646</v>
      </c>
      <c r="B329" s="7" t="n">
        <v>-0.393</v>
      </c>
      <c r="C329" s="7" t="n">
        <v>-0.086</v>
      </c>
      <c r="D329" s="7" t="n">
        <v>-0.452</v>
      </c>
      <c r="E329" s="7" t="n">
        <v>-0.2</v>
      </c>
      <c r="F329" s="7" t="n">
        <v>-0.001</v>
      </c>
      <c r="G329" s="7" t="n">
        <v>-0.452</v>
      </c>
      <c r="H329" s="7" t="n">
        <v>-0.513</v>
      </c>
      <c r="I329" s="7" t="n">
        <v>-0.613</v>
      </c>
      <c r="J329" s="7" t="n">
        <v>-0.204</v>
      </c>
      <c r="K329" s="7" t="n">
        <v>-0.2</v>
      </c>
      <c r="L329" s="7" t="n">
        <v>-0.21</v>
      </c>
      <c r="M329" s="7" t="n">
        <v>-0.204</v>
      </c>
      <c r="N329" s="7" t="n">
        <v>-0.08</v>
      </c>
      <c r="O329" s="7" t="n">
        <v>-0.178</v>
      </c>
      <c r="P329" s="7" t="n">
        <v>-0.489</v>
      </c>
      <c r="Q329" s="7" t="n">
        <v>-0.137</v>
      </c>
      <c r="R329" s="7" t="n">
        <v>-0.513</v>
      </c>
      <c r="S329" s="7" t="n">
        <v>-0.2</v>
      </c>
      <c r="T329" s="7" t="n">
        <v>-0.302</v>
      </c>
      <c r="U329" s="7" t="n">
        <v>-0.062</v>
      </c>
      <c r="V329" s="7" t="n">
        <v>-0.513</v>
      </c>
      <c r="W329" s="7" t="n">
        <v>-0.137</v>
      </c>
      <c r="X329" s="7" t="n">
        <v>-0.48</v>
      </c>
      <c r="Y329" s="7" t="n">
        <v>-0.202</v>
      </c>
      <c r="Z329" s="7" t="n">
        <v>-0.2</v>
      </c>
      <c r="AA329" s="7" t="n">
        <v>-0.302</v>
      </c>
      <c r="AB329" s="7" t="n">
        <v>-0.282</v>
      </c>
      <c r="AC329" s="7" t="n">
        <v>-0.14</v>
      </c>
      <c r="AD329" s="7" t="n">
        <v>-0.452</v>
      </c>
      <c r="AE329" s="7" t="n">
        <v>-0.001</v>
      </c>
      <c r="AF329" s="7" t="n">
        <v>0.112</v>
      </c>
      <c r="AG329" s="7" t="n">
        <v>-0.513</v>
      </c>
      <c r="AH329" s="7" t="n">
        <v>0.428</v>
      </c>
      <c r="AI329" s="7" t="n">
        <v>-0.059</v>
      </c>
      <c r="AJ329" s="7" t="n">
        <v>-0.535</v>
      </c>
      <c r="AK329" s="7" t="n">
        <v>-0.21</v>
      </c>
      <c r="AL329" s="7" t="n">
        <v>-0.354</v>
      </c>
      <c r="AM329" s="7" t="n">
        <v>-0.084</v>
      </c>
      <c r="AN329" s="7" t="n">
        <v>-0.431</v>
      </c>
      <c r="AO329" s="7" t="n">
        <v>0.07</v>
      </c>
      <c r="AP329" s="7" t="n">
        <v>0</v>
      </c>
      <c r="AQ329" s="7" t="n">
        <v>-0.108</v>
      </c>
    </row>
    <row r="330" customFormat="false" ht="15" hidden="false" customHeight="false" outlineLevel="0" collapsed="false">
      <c r="A330" s="23" t="n">
        <v>46647</v>
      </c>
      <c r="B330" s="7" t="n">
        <v>-0.381</v>
      </c>
      <c r="C330" s="7" t="n">
        <v>-0.081</v>
      </c>
      <c r="D330" s="7" t="n">
        <v>-0.433</v>
      </c>
      <c r="E330" s="7" t="n">
        <v>-0.19</v>
      </c>
      <c r="F330" s="7" t="n">
        <v>-0.002</v>
      </c>
      <c r="G330" s="7" t="n">
        <v>-0.433</v>
      </c>
      <c r="H330" s="7" t="n">
        <v>-0.496</v>
      </c>
      <c r="I330" s="7" t="n">
        <v>-0.602</v>
      </c>
      <c r="J330" s="7" t="n">
        <v>-0.194</v>
      </c>
      <c r="K330" s="7" t="n">
        <v>-0.19</v>
      </c>
      <c r="L330" s="7" t="n">
        <v>-0.217</v>
      </c>
      <c r="M330" s="7" t="n">
        <v>-0.194</v>
      </c>
      <c r="N330" s="7" t="n">
        <v>-0.083</v>
      </c>
      <c r="O330" s="7" t="n">
        <v>-0.181</v>
      </c>
      <c r="P330" s="7" t="n">
        <v>-0.467</v>
      </c>
      <c r="Q330" s="7" t="n">
        <v>-0.142</v>
      </c>
      <c r="R330" s="7" t="n">
        <v>-0.496</v>
      </c>
      <c r="S330" s="7" t="n">
        <v>-0.19</v>
      </c>
      <c r="T330" s="7" t="n">
        <v>-0.292</v>
      </c>
      <c r="U330" s="7" t="n">
        <v>-0.071</v>
      </c>
      <c r="V330" s="7" t="n">
        <v>-0.496</v>
      </c>
      <c r="W330" s="7" t="n">
        <v>-0.142</v>
      </c>
      <c r="X330" s="7" t="n">
        <v>-0.463</v>
      </c>
      <c r="Y330" s="7" t="n">
        <v>-0.199</v>
      </c>
      <c r="Z330" s="7" t="n">
        <v>-0.19</v>
      </c>
      <c r="AA330" s="7" t="n">
        <v>-0.292</v>
      </c>
      <c r="AB330" s="7" t="n">
        <v>-0.274</v>
      </c>
      <c r="AC330" s="7" t="n">
        <v>-0.144</v>
      </c>
      <c r="AD330" s="7" t="n">
        <v>-0.433</v>
      </c>
      <c r="AE330" s="7" t="n">
        <v>-0.002</v>
      </c>
      <c r="AF330" s="7" t="n">
        <v>0.107</v>
      </c>
      <c r="AG330" s="7" t="n">
        <v>-0.496</v>
      </c>
      <c r="AH330" s="7" t="n">
        <v>0.414</v>
      </c>
      <c r="AI330" s="7" t="n">
        <v>-0.061</v>
      </c>
      <c r="AJ330" s="7" t="n">
        <v>-0.529</v>
      </c>
      <c r="AK330" s="7" t="n">
        <v>-0.211</v>
      </c>
      <c r="AL330" s="7" t="n">
        <v>-0.344</v>
      </c>
      <c r="AM330" s="7" t="n">
        <v>-0.086</v>
      </c>
      <c r="AN330" s="7" t="n">
        <v>-0.42</v>
      </c>
      <c r="AO330" s="7" t="n">
        <v>0.064</v>
      </c>
      <c r="AP330" s="7" t="n">
        <v>0</v>
      </c>
      <c r="AQ330" s="7" t="n">
        <v>-0.102</v>
      </c>
    </row>
    <row r="331" customFormat="false" ht="15" hidden="false" customHeight="false" outlineLevel="0" collapsed="false">
      <c r="A331" s="23" t="n">
        <v>46648</v>
      </c>
      <c r="B331" s="7" t="n">
        <v>-0.371</v>
      </c>
      <c r="C331" s="7" t="n">
        <v>-0.077</v>
      </c>
      <c r="D331" s="7" t="n">
        <v>-0.415</v>
      </c>
      <c r="E331" s="7" t="n">
        <v>-0.18</v>
      </c>
      <c r="F331" s="7" t="n">
        <v>-0.005</v>
      </c>
      <c r="G331" s="7" t="n">
        <v>-0.415</v>
      </c>
      <c r="H331" s="7" t="n">
        <v>-0.478</v>
      </c>
      <c r="I331" s="7" t="n">
        <v>-0.59</v>
      </c>
      <c r="J331" s="7" t="n">
        <v>-0.184</v>
      </c>
      <c r="K331" s="7" t="n">
        <v>-0.18</v>
      </c>
      <c r="L331" s="7" t="n">
        <v>-0.226</v>
      </c>
      <c r="M331" s="7" t="n">
        <v>-0.184</v>
      </c>
      <c r="N331" s="7" t="n">
        <v>-0.087</v>
      </c>
      <c r="O331" s="7" t="n">
        <v>-0.187</v>
      </c>
      <c r="P331" s="7" t="n">
        <v>-0.446</v>
      </c>
      <c r="Q331" s="7" t="n">
        <v>-0.15</v>
      </c>
      <c r="R331" s="7" t="n">
        <v>-0.478</v>
      </c>
      <c r="S331" s="7" t="n">
        <v>-0.18</v>
      </c>
      <c r="T331" s="7" t="n">
        <v>-0.282</v>
      </c>
      <c r="U331" s="7" t="n">
        <v>-0.082</v>
      </c>
      <c r="V331" s="7" t="n">
        <v>-0.478</v>
      </c>
      <c r="W331" s="7" t="n">
        <v>-0.15</v>
      </c>
      <c r="X331" s="7" t="n">
        <v>-0.446</v>
      </c>
      <c r="Y331" s="7" t="n">
        <v>-0.197</v>
      </c>
      <c r="Z331" s="7" t="n">
        <v>-0.18</v>
      </c>
      <c r="AA331" s="7" t="n">
        <v>-0.282</v>
      </c>
      <c r="AB331" s="7" t="n">
        <v>-0.265</v>
      </c>
      <c r="AC331" s="7" t="n">
        <v>-0.15</v>
      </c>
      <c r="AD331" s="7" t="n">
        <v>-0.415</v>
      </c>
      <c r="AE331" s="7" t="n">
        <v>-0.005</v>
      </c>
      <c r="AF331" s="7" t="n">
        <v>0.099</v>
      </c>
      <c r="AG331" s="7" t="n">
        <v>-0.478</v>
      </c>
      <c r="AH331" s="7" t="n">
        <v>0.401</v>
      </c>
      <c r="AI331" s="7" t="n">
        <v>-0.064</v>
      </c>
      <c r="AJ331" s="7" t="n">
        <v>-0.523</v>
      </c>
      <c r="AK331" s="7" t="n">
        <v>-0.211</v>
      </c>
      <c r="AL331" s="7" t="n">
        <v>-0.336</v>
      </c>
      <c r="AM331" s="7" t="n">
        <v>-0.088</v>
      </c>
      <c r="AN331" s="7" t="n">
        <v>-0.409</v>
      </c>
      <c r="AO331" s="7" t="n">
        <v>0.057</v>
      </c>
      <c r="AP331" s="7" t="n">
        <v>0</v>
      </c>
      <c r="AQ331" s="7" t="n">
        <v>-0.099</v>
      </c>
    </row>
    <row r="332" customFormat="false" ht="15" hidden="false" customHeight="false" outlineLevel="0" collapsed="false">
      <c r="A332" s="23" t="n">
        <v>46649</v>
      </c>
      <c r="B332" s="7" t="n">
        <v>-0.371</v>
      </c>
      <c r="C332" s="7" t="n">
        <v>-0.077</v>
      </c>
      <c r="D332" s="7" t="n">
        <v>-0.415</v>
      </c>
      <c r="E332" s="7" t="n">
        <v>-0.18</v>
      </c>
      <c r="F332" s="7" t="n">
        <v>-0.005</v>
      </c>
      <c r="G332" s="7" t="n">
        <v>-0.415</v>
      </c>
      <c r="H332" s="7" t="n">
        <v>-0.478</v>
      </c>
      <c r="I332" s="7" t="n">
        <v>-0.59</v>
      </c>
      <c r="J332" s="7" t="n">
        <v>-0.184</v>
      </c>
      <c r="K332" s="7" t="n">
        <v>-0.18</v>
      </c>
      <c r="L332" s="7" t="n">
        <v>-0.226</v>
      </c>
      <c r="M332" s="7" t="n">
        <v>-0.184</v>
      </c>
      <c r="N332" s="7" t="n">
        <v>-0.087</v>
      </c>
      <c r="O332" s="7" t="n">
        <v>-0.187</v>
      </c>
      <c r="P332" s="7" t="n">
        <v>-0.446</v>
      </c>
      <c r="Q332" s="7" t="n">
        <v>-0.15</v>
      </c>
      <c r="R332" s="7" t="n">
        <v>-0.478</v>
      </c>
      <c r="S332" s="7" t="n">
        <v>-0.18</v>
      </c>
      <c r="T332" s="7" t="n">
        <v>-0.282</v>
      </c>
      <c r="U332" s="7" t="n">
        <v>-0.082</v>
      </c>
      <c r="V332" s="7" t="n">
        <v>-0.478</v>
      </c>
      <c r="W332" s="7" t="n">
        <v>-0.15</v>
      </c>
      <c r="X332" s="7" t="n">
        <v>-0.446</v>
      </c>
      <c r="Y332" s="7" t="n">
        <v>-0.197</v>
      </c>
      <c r="Z332" s="7" t="n">
        <v>-0.18</v>
      </c>
      <c r="AA332" s="7" t="n">
        <v>-0.282</v>
      </c>
      <c r="AB332" s="7" t="n">
        <v>-0.265</v>
      </c>
      <c r="AC332" s="7" t="n">
        <v>-0.15</v>
      </c>
      <c r="AD332" s="7" t="n">
        <v>-0.415</v>
      </c>
      <c r="AE332" s="7" t="n">
        <v>-0.005</v>
      </c>
      <c r="AF332" s="7" t="n">
        <v>0.099</v>
      </c>
      <c r="AG332" s="7" t="n">
        <v>-0.478</v>
      </c>
      <c r="AH332" s="7" t="n">
        <v>0.401</v>
      </c>
      <c r="AI332" s="7" t="n">
        <v>-0.064</v>
      </c>
      <c r="AJ332" s="7" t="n">
        <v>-0.523</v>
      </c>
      <c r="AK332" s="7" t="n">
        <v>-0.211</v>
      </c>
      <c r="AL332" s="7" t="n">
        <v>-0.336</v>
      </c>
      <c r="AM332" s="7" t="n">
        <v>-0.088</v>
      </c>
      <c r="AN332" s="7" t="n">
        <v>-0.409</v>
      </c>
      <c r="AO332" s="7" t="n">
        <v>0.057</v>
      </c>
      <c r="AP332" s="7" t="n">
        <v>0</v>
      </c>
      <c r="AQ332" s="7" t="n">
        <v>-0.099</v>
      </c>
    </row>
    <row r="333" customFormat="false" ht="15" hidden="false" customHeight="false" outlineLevel="0" collapsed="false">
      <c r="A333" s="23" t="n">
        <v>46650</v>
      </c>
      <c r="B333" s="7" t="n">
        <v>-0.371</v>
      </c>
      <c r="C333" s="7" t="n">
        <v>-0.077</v>
      </c>
      <c r="D333" s="7" t="n">
        <v>-0.415</v>
      </c>
      <c r="E333" s="7" t="n">
        <v>-0.18</v>
      </c>
      <c r="F333" s="7" t="n">
        <v>-0.005</v>
      </c>
      <c r="G333" s="7" t="n">
        <v>-0.415</v>
      </c>
      <c r="H333" s="7" t="n">
        <v>-0.478</v>
      </c>
      <c r="I333" s="7" t="n">
        <v>-0.59</v>
      </c>
      <c r="J333" s="7" t="n">
        <v>-0.184</v>
      </c>
      <c r="K333" s="7" t="n">
        <v>-0.18</v>
      </c>
      <c r="L333" s="7" t="n">
        <v>-0.226</v>
      </c>
      <c r="M333" s="7" t="n">
        <v>-0.184</v>
      </c>
      <c r="N333" s="7" t="n">
        <v>-0.087</v>
      </c>
      <c r="O333" s="7" t="n">
        <v>-0.187</v>
      </c>
      <c r="P333" s="7" t="n">
        <v>-0.446</v>
      </c>
      <c r="Q333" s="7" t="n">
        <v>-0.15</v>
      </c>
      <c r="R333" s="7" t="n">
        <v>-0.478</v>
      </c>
      <c r="S333" s="7" t="n">
        <v>-0.18</v>
      </c>
      <c r="T333" s="7" t="n">
        <v>-0.282</v>
      </c>
      <c r="U333" s="7" t="n">
        <v>-0.082</v>
      </c>
      <c r="V333" s="7" t="n">
        <v>-0.478</v>
      </c>
      <c r="W333" s="7" t="n">
        <v>-0.15</v>
      </c>
      <c r="X333" s="7" t="n">
        <v>-0.446</v>
      </c>
      <c r="Y333" s="7" t="n">
        <v>-0.197</v>
      </c>
      <c r="Z333" s="7" t="n">
        <v>-0.18</v>
      </c>
      <c r="AA333" s="7" t="n">
        <v>-0.282</v>
      </c>
      <c r="AB333" s="7" t="n">
        <v>-0.265</v>
      </c>
      <c r="AC333" s="7" t="n">
        <v>-0.15</v>
      </c>
      <c r="AD333" s="7" t="n">
        <v>-0.415</v>
      </c>
      <c r="AE333" s="7" t="n">
        <v>-0.005</v>
      </c>
      <c r="AF333" s="7" t="n">
        <v>0.099</v>
      </c>
      <c r="AG333" s="7" t="n">
        <v>-0.478</v>
      </c>
      <c r="AH333" s="7" t="n">
        <v>0.401</v>
      </c>
      <c r="AI333" s="7" t="n">
        <v>-0.064</v>
      </c>
      <c r="AJ333" s="7" t="n">
        <v>-0.523</v>
      </c>
      <c r="AK333" s="7" t="n">
        <v>-0.211</v>
      </c>
      <c r="AL333" s="7" t="n">
        <v>-0.336</v>
      </c>
      <c r="AM333" s="7" t="n">
        <v>-0.088</v>
      </c>
      <c r="AN333" s="7" t="n">
        <v>-0.409</v>
      </c>
      <c r="AO333" s="7" t="n">
        <v>0.057</v>
      </c>
      <c r="AP333" s="7" t="n">
        <v>0</v>
      </c>
      <c r="AQ333" s="7" t="n">
        <v>-0.099</v>
      </c>
    </row>
    <row r="334" customFormat="false" ht="15" hidden="false" customHeight="false" outlineLevel="0" collapsed="false">
      <c r="A334" s="23" t="n">
        <v>46651</v>
      </c>
      <c r="B334" s="7" t="n">
        <v>-0.361</v>
      </c>
      <c r="C334" s="7" t="n">
        <v>-0.078</v>
      </c>
      <c r="D334" s="7" t="n">
        <v>-0.397</v>
      </c>
      <c r="E334" s="7" t="n">
        <v>-0.17</v>
      </c>
      <c r="F334" s="7" t="n">
        <v>-0.009</v>
      </c>
      <c r="G334" s="7" t="n">
        <v>-0.397</v>
      </c>
      <c r="H334" s="7" t="n">
        <v>-0.461</v>
      </c>
      <c r="I334" s="7" t="n">
        <v>-0.58</v>
      </c>
      <c r="J334" s="7" t="n">
        <v>-0.178</v>
      </c>
      <c r="K334" s="7" t="n">
        <v>-0.17</v>
      </c>
      <c r="L334" s="7" t="n">
        <v>-0.224</v>
      </c>
      <c r="M334" s="7" t="n">
        <v>-0.178</v>
      </c>
      <c r="N334" s="7" t="n">
        <v>-0.092</v>
      </c>
      <c r="O334" s="7" t="n">
        <v>-0.183</v>
      </c>
      <c r="P334" s="7" t="n">
        <v>-0.426</v>
      </c>
      <c r="Q334" s="7" t="n">
        <v>-0.147</v>
      </c>
      <c r="R334" s="7" t="n">
        <v>-0.461</v>
      </c>
      <c r="S334" s="7" t="n">
        <v>-0.17</v>
      </c>
      <c r="T334" s="7" t="n">
        <v>-0.273</v>
      </c>
      <c r="U334" s="7" t="n">
        <v>-0.076</v>
      </c>
      <c r="V334" s="7" t="n">
        <v>-0.461</v>
      </c>
      <c r="W334" s="7" t="n">
        <v>-0.147</v>
      </c>
      <c r="X334" s="7" t="n">
        <v>-0.432</v>
      </c>
      <c r="Y334" s="7" t="n">
        <v>-0.183</v>
      </c>
      <c r="Z334" s="7" t="n">
        <v>-0.17</v>
      </c>
      <c r="AA334" s="7" t="n">
        <v>-0.273</v>
      </c>
      <c r="AB334" s="7" t="n">
        <v>-0.26</v>
      </c>
      <c r="AC334" s="7" t="n">
        <v>-0.152</v>
      </c>
      <c r="AD334" s="7" t="n">
        <v>-0.397</v>
      </c>
      <c r="AE334" s="7" t="n">
        <v>-0.009</v>
      </c>
      <c r="AF334" s="7" t="n">
        <v>0.092</v>
      </c>
      <c r="AG334" s="7" t="n">
        <v>-0.461</v>
      </c>
      <c r="AH334" s="7" t="n">
        <v>0.393</v>
      </c>
      <c r="AI334" s="7" t="n">
        <v>-0.068</v>
      </c>
      <c r="AJ334" s="7" t="n">
        <v>-0.519</v>
      </c>
      <c r="AK334" s="7" t="n">
        <v>-0.216</v>
      </c>
      <c r="AL334" s="7" t="n">
        <v>-0.321</v>
      </c>
      <c r="AM334" s="7" t="n">
        <v>-0.088</v>
      </c>
      <c r="AN334" s="7" t="n">
        <v>-0.398</v>
      </c>
      <c r="AO334" s="7" t="n">
        <v>0.055</v>
      </c>
      <c r="AP334" s="7" t="n">
        <v>0</v>
      </c>
      <c r="AQ334" s="7" t="n">
        <v>-0.096</v>
      </c>
    </row>
    <row r="335" customFormat="false" ht="15" hidden="false" customHeight="false" outlineLevel="0" collapsed="false">
      <c r="A335" s="23" t="n">
        <v>46652</v>
      </c>
      <c r="B335" s="7" t="n">
        <v>-0.352</v>
      </c>
      <c r="C335" s="7" t="n">
        <v>-0.078</v>
      </c>
      <c r="D335" s="7" t="n">
        <v>-0.378</v>
      </c>
      <c r="E335" s="7" t="n">
        <v>-0.16</v>
      </c>
      <c r="F335" s="7" t="n">
        <v>-0.014</v>
      </c>
      <c r="G335" s="7" t="n">
        <v>-0.378</v>
      </c>
      <c r="H335" s="7" t="n">
        <v>-0.444</v>
      </c>
      <c r="I335" s="7" t="n">
        <v>-0.568</v>
      </c>
      <c r="J335" s="7" t="n">
        <v>-0.172</v>
      </c>
      <c r="K335" s="7" t="n">
        <v>-0.16</v>
      </c>
      <c r="L335" s="7" t="n">
        <v>-0.221</v>
      </c>
      <c r="M335" s="7" t="n">
        <v>-0.172</v>
      </c>
      <c r="N335" s="7" t="n">
        <v>-0.096</v>
      </c>
      <c r="O335" s="7" t="n">
        <v>-0.179</v>
      </c>
      <c r="P335" s="7" t="n">
        <v>-0.406</v>
      </c>
      <c r="Q335" s="7" t="n">
        <v>-0.146</v>
      </c>
      <c r="R335" s="7" t="n">
        <v>-0.444</v>
      </c>
      <c r="S335" s="7" t="n">
        <v>-0.16</v>
      </c>
      <c r="T335" s="7" t="n">
        <v>-0.263</v>
      </c>
      <c r="U335" s="7" t="n">
        <v>-0.073</v>
      </c>
      <c r="V335" s="7" t="n">
        <v>-0.444</v>
      </c>
      <c r="W335" s="7" t="n">
        <v>-0.146</v>
      </c>
      <c r="X335" s="7" t="n">
        <v>-0.418</v>
      </c>
      <c r="Y335" s="7" t="n">
        <v>-0.172</v>
      </c>
      <c r="Z335" s="7" t="n">
        <v>-0.16</v>
      </c>
      <c r="AA335" s="7" t="n">
        <v>-0.263</v>
      </c>
      <c r="AB335" s="7" t="n">
        <v>-0.253</v>
      </c>
      <c r="AC335" s="7" t="n">
        <v>-0.154</v>
      </c>
      <c r="AD335" s="7" t="n">
        <v>-0.378</v>
      </c>
      <c r="AE335" s="7" t="n">
        <v>-0.014</v>
      </c>
      <c r="AF335" s="7" t="n">
        <v>0.085</v>
      </c>
      <c r="AG335" s="7" t="n">
        <v>-0.444</v>
      </c>
      <c r="AH335" s="7" t="n">
        <v>0.386</v>
      </c>
      <c r="AI335" s="7" t="n">
        <v>-0.07</v>
      </c>
      <c r="AJ335" s="7" t="n">
        <v>-0.515</v>
      </c>
      <c r="AK335" s="7" t="n">
        <v>-0.221</v>
      </c>
      <c r="AL335" s="7" t="n">
        <v>-0.307</v>
      </c>
      <c r="AM335" s="7" t="n">
        <v>-0.087</v>
      </c>
      <c r="AN335" s="7" t="n">
        <v>-0.387</v>
      </c>
      <c r="AO335" s="7" t="n">
        <v>0.051</v>
      </c>
      <c r="AP335" s="7" t="n">
        <v>0</v>
      </c>
      <c r="AQ335" s="7" t="n">
        <v>-0.094</v>
      </c>
    </row>
    <row r="336" customFormat="false" ht="15" hidden="false" customHeight="false" outlineLevel="0" collapsed="false">
      <c r="A336" s="23" t="n">
        <v>46653</v>
      </c>
      <c r="B336" s="7" t="n">
        <v>-0.331</v>
      </c>
      <c r="C336" s="7" t="n">
        <v>-0.07</v>
      </c>
      <c r="D336" s="7" t="n">
        <v>-0.357</v>
      </c>
      <c r="E336" s="7" t="n">
        <v>-0.151</v>
      </c>
      <c r="F336" s="7" t="n">
        <v>-0.007</v>
      </c>
      <c r="G336" s="7" t="n">
        <v>-0.357</v>
      </c>
      <c r="H336" s="7" t="n">
        <v>-0.424</v>
      </c>
      <c r="I336" s="7" t="n">
        <v>-0.552</v>
      </c>
      <c r="J336" s="7" t="n">
        <v>-0.164</v>
      </c>
      <c r="K336" s="7" t="n">
        <v>-0.151</v>
      </c>
      <c r="L336" s="7" t="n">
        <v>-0.209</v>
      </c>
      <c r="M336" s="7" t="n">
        <v>-0.164</v>
      </c>
      <c r="N336" s="7" t="n">
        <v>-0.087</v>
      </c>
      <c r="O336" s="7" t="n">
        <v>-0.169</v>
      </c>
      <c r="P336" s="7" t="n">
        <v>-0.385</v>
      </c>
      <c r="Q336" s="7" t="n">
        <v>-0.134</v>
      </c>
      <c r="R336" s="7" t="n">
        <v>-0.424</v>
      </c>
      <c r="S336" s="7" t="n">
        <v>-0.151</v>
      </c>
      <c r="T336" s="7" t="n">
        <v>-0.252</v>
      </c>
      <c r="U336" s="7" t="n">
        <v>-0.067</v>
      </c>
      <c r="V336" s="7" t="n">
        <v>-0.424</v>
      </c>
      <c r="W336" s="7" t="n">
        <v>-0.134</v>
      </c>
      <c r="X336" s="7" t="n">
        <v>-0.398</v>
      </c>
      <c r="Y336" s="7" t="n">
        <v>-0.164</v>
      </c>
      <c r="Z336" s="7" t="n">
        <v>-0.151</v>
      </c>
      <c r="AA336" s="7" t="n">
        <v>-0.252</v>
      </c>
      <c r="AB336" s="7" t="n">
        <v>-0.244</v>
      </c>
      <c r="AC336" s="7" t="n">
        <v>-0.145</v>
      </c>
      <c r="AD336" s="7" t="n">
        <v>-0.357</v>
      </c>
      <c r="AE336" s="7" t="n">
        <v>-0.007</v>
      </c>
      <c r="AF336" s="7" t="n">
        <v>0.094</v>
      </c>
      <c r="AG336" s="7" t="n">
        <v>-0.424</v>
      </c>
      <c r="AH336" s="7" t="n">
        <v>0.38</v>
      </c>
      <c r="AI336" s="7" t="n">
        <v>-0.074</v>
      </c>
      <c r="AJ336" s="7" t="n">
        <v>-0.505</v>
      </c>
      <c r="AK336" s="7" t="n">
        <v>-0.223</v>
      </c>
      <c r="AL336" s="7" t="n">
        <v>-0.29</v>
      </c>
      <c r="AM336" s="7" t="n">
        <v>-0.085</v>
      </c>
      <c r="AN336" s="7" t="n">
        <v>-0.372</v>
      </c>
      <c r="AO336" s="7" t="n">
        <v>0.051</v>
      </c>
      <c r="AP336" s="7" t="n">
        <v>0</v>
      </c>
      <c r="AQ336" s="7" t="n">
        <v>-0.094</v>
      </c>
    </row>
    <row r="337" customFormat="false" ht="15" hidden="false" customHeight="false" outlineLevel="0" collapsed="false">
      <c r="A337" s="23" t="n">
        <v>46654</v>
      </c>
      <c r="B337" s="7" t="n">
        <v>-0.306</v>
      </c>
      <c r="C337" s="7" t="n">
        <v>-0.057</v>
      </c>
      <c r="D337" s="7" t="n">
        <v>-0.336</v>
      </c>
      <c r="E337" s="7" t="n">
        <v>-0.141</v>
      </c>
      <c r="F337" s="7" t="n">
        <v>0.006</v>
      </c>
      <c r="G337" s="7" t="n">
        <v>-0.336</v>
      </c>
      <c r="H337" s="7" t="n">
        <v>-0.404</v>
      </c>
      <c r="I337" s="7" t="n">
        <v>-0.532</v>
      </c>
      <c r="J337" s="7" t="n">
        <v>-0.152</v>
      </c>
      <c r="K337" s="7" t="n">
        <v>-0.141</v>
      </c>
      <c r="L337" s="7" t="n">
        <v>-0.196</v>
      </c>
      <c r="M337" s="7" t="n">
        <v>-0.152</v>
      </c>
      <c r="N337" s="7" t="n">
        <v>-0.075</v>
      </c>
      <c r="O337" s="7" t="n">
        <v>-0.154</v>
      </c>
      <c r="P337" s="7" t="n">
        <v>-0.362</v>
      </c>
      <c r="Q337" s="7" t="n">
        <v>-0.121</v>
      </c>
      <c r="R337" s="7" t="n">
        <v>-0.404</v>
      </c>
      <c r="S337" s="7" t="n">
        <v>-0.141</v>
      </c>
      <c r="T337" s="7" t="n">
        <v>-0.241</v>
      </c>
      <c r="U337" s="7" t="n">
        <v>-0.057</v>
      </c>
      <c r="V337" s="7" t="n">
        <v>-0.404</v>
      </c>
      <c r="W337" s="7" t="n">
        <v>-0.121</v>
      </c>
      <c r="X337" s="7" t="n">
        <v>-0.375</v>
      </c>
      <c r="Y337" s="7" t="n">
        <v>-0.153</v>
      </c>
      <c r="Z337" s="7" t="n">
        <v>-0.141</v>
      </c>
      <c r="AA337" s="7" t="n">
        <v>-0.241</v>
      </c>
      <c r="AB337" s="7" t="n">
        <v>-0.233</v>
      </c>
      <c r="AC337" s="7" t="n">
        <v>-0.13</v>
      </c>
      <c r="AD337" s="7" t="n">
        <v>-0.336</v>
      </c>
      <c r="AE337" s="7" t="n">
        <v>0.006</v>
      </c>
      <c r="AF337" s="7" t="n">
        <v>0.105</v>
      </c>
      <c r="AG337" s="7" t="n">
        <v>-0.404</v>
      </c>
      <c r="AH337" s="7" t="n">
        <v>0.378</v>
      </c>
      <c r="AI337" s="7" t="n">
        <v>-0.077</v>
      </c>
      <c r="AJ337" s="7" t="n">
        <v>-0.49</v>
      </c>
      <c r="AK337" s="7" t="n">
        <v>-0.221</v>
      </c>
      <c r="AL337" s="7" t="n">
        <v>-0.27</v>
      </c>
      <c r="AM337" s="7" t="n">
        <v>-0.085</v>
      </c>
      <c r="AN337" s="7" t="n">
        <v>-0.356</v>
      </c>
      <c r="AO337" s="7" t="n">
        <v>0.053</v>
      </c>
      <c r="AP337" s="7" t="n">
        <v>0</v>
      </c>
      <c r="AQ337" s="7" t="n">
        <v>-0.091</v>
      </c>
    </row>
    <row r="338" customFormat="false" ht="15" hidden="false" customHeight="false" outlineLevel="0" collapsed="false">
      <c r="A338" s="23" t="n">
        <v>46655</v>
      </c>
      <c r="B338" s="7" t="n">
        <v>-0.281</v>
      </c>
      <c r="C338" s="7" t="n">
        <v>-0.045</v>
      </c>
      <c r="D338" s="7" t="n">
        <v>-0.315</v>
      </c>
      <c r="E338" s="7" t="n">
        <v>-0.131</v>
      </c>
      <c r="F338" s="7" t="n">
        <v>0.02</v>
      </c>
      <c r="G338" s="7" t="n">
        <v>-0.315</v>
      </c>
      <c r="H338" s="7" t="n">
        <v>-0.384</v>
      </c>
      <c r="I338" s="7" t="n">
        <v>-0.513</v>
      </c>
      <c r="J338" s="7" t="n">
        <v>-0.141</v>
      </c>
      <c r="K338" s="7" t="n">
        <v>-0.131</v>
      </c>
      <c r="L338" s="7" t="n">
        <v>-0.182</v>
      </c>
      <c r="M338" s="7" t="n">
        <v>-0.141</v>
      </c>
      <c r="N338" s="7" t="n">
        <v>-0.062</v>
      </c>
      <c r="O338" s="7" t="n">
        <v>-0.139</v>
      </c>
      <c r="P338" s="7" t="n">
        <v>-0.339</v>
      </c>
      <c r="Q338" s="7" t="n">
        <v>-0.107</v>
      </c>
      <c r="R338" s="7" t="n">
        <v>-0.384</v>
      </c>
      <c r="S338" s="7" t="n">
        <v>-0.131</v>
      </c>
      <c r="T338" s="7" t="n">
        <v>-0.23</v>
      </c>
      <c r="U338" s="7" t="n">
        <v>-0.045</v>
      </c>
      <c r="V338" s="7" t="n">
        <v>-0.384</v>
      </c>
      <c r="W338" s="7" t="n">
        <v>-0.107</v>
      </c>
      <c r="X338" s="7" t="n">
        <v>-0.353</v>
      </c>
      <c r="Y338" s="7" t="n">
        <v>-0.142</v>
      </c>
      <c r="Z338" s="7" t="n">
        <v>-0.131</v>
      </c>
      <c r="AA338" s="7" t="n">
        <v>-0.23</v>
      </c>
      <c r="AB338" s="7" t="n">
        <v>-0.222</v>
      </c>
      <c r="AC338" s="7" t="n">
        <v>-0.114</v>
      </c>
      <c r="AD338" s="7" t="n">
        <v>-0.315</v>
      </c>
      <c r="AE338" s="7" t="n">
        <v>0.02</v>
      </c>
      <c r="AF338" s="7" t="n">
        <v>0.117</v>
      </c>
      <c r="AG338" s="7" t="n">
        <v>-0.384</v>
      </c>
      <c r="AH338" s="7" t="n">
        <v>0.375</v>
      </c>
      <c r="AI338" s="7" t="n">
        <v>-0.079</v>
      </c>
      <c r="AJ338" s="7" t="n">
        <v>-0.476</v>
      </c>
      <c r="AK338" s="7" t="n">
        <v>-0.219</v>
      </c>
      <c r="AL338" s="7" t="n">
        <v>-0.251</v>
      </c>
      <c r="AM338" s="7" t="n">
        <v>-0.086</v>
      </c>
      <c r="AN338" s="7" t="n">
        <v>-0.34</v>
      </c>
      <c r="AO338" s="7" t="n">
        <v>0.055</v>
      </c>
      <c r="AP338" s="7" t="n">
        <v>0</v>
      </c>
      <c r="AQ338" s="7" t="n">
        <v>-0.087</v>
      </c>
    </row>
    <row r="339" customFormat="false" ht="15" hidden="false" customHeight="false" outlineLevel="0" collapsed="false">
      <c r="A339" s="23" t="n">
        <v>46656</v>
      </c>
      <c r="B339" s="7" t="n">
        <v>-0.281</v>
      </c>
      <c r="C339" s="7" t="n">
        <v>-0.045</v>
      </c>
      <c r="D339" s="7" t="n">
        <v>-0.315</v>
      </c>
      <c r="E339" s="7" t="n">
        <v>-0.131</v>
      </c>
      <c r="F339" s="7" t="n">
        <v>0.02</v>
      </c>
      <c r="G339" s="7" t="n">
        <v>-0.315</v>
      </c>
      <c r="H339" s="7" t="n">
        <v>-0.384</v>
      </c>
      <c r="I339" s="7" t="n">
        <v>-0.513</v>
      </c>
      <c r="J339" s="7" t="n">
        <v>-0.141</v>
      </c>
      <c r="K339" s="7" t="n">
        <v>-0.131</v>
      </c>
      <c r="L339" s="7" t="n">
        <v>-0.182</v>
      </c>
      <c r="M339" s="7" t="n">
        <v>-0.141</v>
      </c>
      <c r="N339" s="7" t="n">
        <v>-0.062</v>
      </c>
      <c r="O339" s="7" t="n">
        <v>-0.139</v>
      </c>
      <c r="P339" s="7" t="n">
        <v>-0.339</v>
      </c>
      <c r="Q339" s="7" t="n">
        <v>-0.107</v>
      </c>
      <c r="R339" s="7" t="n">
        <v>-0.384</v>
      </c>
      <c r="S339" s="7" t="n">
        <v>-0.131</v>
      </c>
      <c r="T339" s="7" t="n">
        <v>-0.23</v>
      </c>
      <c r="U339" s="7" t="n">
        <v>-0.045</v>
      </c>
      <c r="V339" s="7" t="n">
        <v>-0.384</v>
      </c>
      <c r="W339" s="7" t="n">
        <v>-0.107</v>
      </c>
      <c r="X339" s="7" t="n">
        <v>-0.353</v>
      </c>
      <c r="Y339" s="7" t="n">
        <v>-0.142</v>
      </c>
      <c r="Z339" s="7" t="n">
        <v>-0.131</v>
      </c>
      <c r="AA339" s="7" t="n">
        <v>-0.23</v>
      </c>
      <c r="AB339" s="7" t="n">
        <v>-0.222</v>
      </c>
      <c r="AC339" s="7" t="n">
        <v>-0.114</v>
      </c>
      <c r="AD339" s="7" t="n">
        <v>-0.315</v>
      </c>
      <c r="AE339" s="7" t="n">
        <v>0.02</v>
      </c>
      <c r="AF339" s="7" t="n">
        <v>0.117</v>
      </c>
      <c r="AG339" s="7" t="n">
        <v>-0.384</v>
      </c>
      <c r="AH339" s="7" t="n">
        <v>0.375</v>
      </c>
      <c r="AI339" s="7" t="n">
        <v>-0.079</v>
      </c>
      <c r="AJ339" s="7" t="n">
        <v>-0.476</v>
      </c>
      <c r="AK339" s="7" t="n">
        <v>-0.219</v>
      </c>
      <c r="AL339" s="7" t="n">
        <v>-0.251</v>
      </c>
      <c r="AM339" s="7" t="n">
        <v>-0.086</v>
      </c>
      <c r="AN339" s="7" t="n">
        <v>-0.34</v>
      </c>
      <c r="AO339" s="7" t="n">
        <v>0.055</v>
      </c>
      <c r="AP339" s="7" t="n">
        <v>0</v>
      </c>
      <c r="AQ339" s="7" t="n">
        <v>-0.087</v>
      </c>
    </row>
    <row r="340" customFormat="false" ht="15" hidden="false" customHeight="false" outlineLevel="0" collapsed="false">
      <c r="A340" s="23" t="n">
        <v>46657</v>
      </c>
      <c r="B340" s="7" t="n">
        <v>-0.281</v>
      </c>
      <c r="C340" s="7" t="n">
        <v>-0.045</v>
      </c>
      <c r="D340" s="7" t="n">
        <v>-0.315</v>
      </c>
      <c r="E340" s="7" t="n">
        <v>-0.131</v>
      </c>
      <c r="F340" s="7" t="n">
        <v>0.02</v>
      </c>
      <c r="G340" s="7" t="n">
        <v>-0.315</v>
      </c>
      <c r="H340" s="7" t="n">
        <v>-0.384</v>
      </c>
      <c r="I340" s="7" t="n">
        <v>-0.513</v>
      </c>
      <c r="J340" s="7" t="n">
        <v>-0.141</v>
      </c>
      <c r="K340" s="7" t="n">
        <v>-0.131</v>
      </c>
      <c r="L340" s="7" t="n">
        <v>-0.182</v>
      </c>
      <c r="M340" s="7" t="n">
        <v>-0.141</v>
      </c>
      <c r="N340" s="7" t="n">
        <v>-0.062</v>
      </c>
      <c r="O340" s="7" t="n">
        <v>-0.139</v>
      </c>
      <c r="P340" s="7" t="n">
        <v>-0.339</v>
      </c>
      <c r="Q340" s="7" t="n">
        <v>-0.107</v>
      </c>
      <c r="R340" s="7" t="n">
        <v>-0.384</v>
      </c>
      <c r="S340" s="7" t="n">
        <v>-0.131</v>
      </c>
      <c r="T340" s="7" t="n">
        <v>-0.23</v>
      </c>
      <c r="U340" s="7" t="n">
        <v>-0.045</v>
      </c>
      <c r="V340" s="7" t="n">
        <v>-0.384</v>
      </c>
      <c r="W340" s="7" t="n">
        <v>-0.107</v>
      </c>
      <c r="X340" s="7" t="n">
        <v>-0.353</v>
      </c>
      <c r="Y340" s="7" t="n">
        <v>-0.142</v>
      </c>
      <c r="Z340" s="7" t="n">
        <v>-0.131</v>
      </c>
      <c r="AA340" s="7" t="n">
        <v>-0.23</v>
      </c>
      <c r="AB340" s="7" t="n">
        <v>-0.222</v>
      </c>
      <c r="AC340" s="7" t="n">
        <v>-0.114</v>
      </c>
      <c r="AD340" s="7" t="n">
        <v>-0.315</v>
      </c>
      <c r="AE340" s="7" t="n">
        <v>0.02</v>
      </c>
      <c r="AF340" s="7" t="n">
        <v>0.117</v>
      </c>
      <c r="AG340" s="7" t="n">
        <v>-0.384</v>
      </c>
      <c r="AH340" s="7" t="n">
        <v>0.375</v>
      </c>
      <c r="AI340" s="7" t="n">
        <v>-0.079</v>
      </c>
      <c r="AJ340" s="7" t="n">
        <v>-0.476</v>
      </c>
      <c r="AK340" s="7" t="n">
        <v>-0.219</v>
      </c>
      <c r="AL340" s="7" t="n">
        <v>-0.251</v>
      </c>
      <c r="AM340" s="7" t="n">
        <v>-0.086</v>
      </c>
      <c r="AN340" s="7" t="n">
        <v>-0.34</v>
      </c>
      <c r="AO340" s="7" t="n">
        <v>0.055</v>
      </c>
      <c r="AP340" s="7" t="n">
        <v>0</v>
      </c>
      <c r="AQ340" s="7" t="n">
        <v>-0.087</v>
      </c>
    </row>
    <row r="341" customFormat="false" ht="15" hidden="false" customHeight="false" outlineLevel="0" collapsed="false">
      <c r="A341" s="23" t="n">
        <v>46658</v>
      </c>
      <c r="B341" s="7" t="n">
        <v>-0.255</v>
      </c>
      <c r="C341" s="7" t="n">
        <v>-0.032</v>
      </c>
      <c r="D341" s="7" t="n">
        <v>-0.294</v>
      </c>
      <c r="E341" s="7" t="n">
        <v>-0.121</v>
      </c>
      <c r="F341" s="7" t="n">
        <v>0.034</v>
      </c>
      <c r="G341" s="7" t="n">
        <v>-0.294</v>
      </c>
      <c r="H341" s="7" t="n">
        <v>-0.364</v>
      </c>
      <c r="I341" s="7" t="n">
        <v>-0.494</v>
      </c>
      <c r="J341" s="7" t="n">
        <v>-0.131</v>
      </c>
      <c r="K341" s="7" t="n">
        <v>-0.121</v>
      </c>
      <c r="L341" s="7" t="n">
        <v>-0.168</v>
      </c>
      <c r="M341" s="7" t="n">
        <v>-0.131</v>
      </c>
      <c r="N341" s="7" t="n">
        <v>-0.048</v>
      </c>
      <c r="O341" s="7" t="n">
        <v>-0.124</v>
      </c>
      <c r="P341" s="7" t="n">
        <v>-0.317</v>
      </c>
      <c r="Q341" s="7" t="n">
        <v>-0.092</v>
      </c>
      <c r="R341" s="7" t="n">
        <v>-0.364</v>
      </c>
      <c r="S341" s="7" t="n">
        <v>-0.121</v>
      </c>
      <c r="T341" s="7" t="n">
        <v>-0.22</v>
      </c>
      <c r="U341" s="7" t="n">
        <v>-0.033</v>
      </c>
      <c r="V341" s="7" t="n">
        <v>-0.364</v>
      </c>
      <c r="W341" s="7" t="n">
        <v>-0.092</v>
      </c>
      <c r="X341" s="7" t="n">
        <v>-0.33</v>
      </c>
      <c r="Y341" s="7" t="n">
        <v>-0.13</v>
      </c>
      <c r="Z341" s="7" t="n">
        <v>-0.121</v>
      </c>
      <c r="AA341" s="7" t="n">
        <v>-0.22</v>
      </c>
      <c r="AB341" s="7" t="n">
        <v>-0.212</v>
      </c>
      <c r="AC341" s="7" t="n">
        <v>-0.098</v>
      </c>
      <c r="AD341" s="7" t="n">
        <v>-0.294</v>
      </c>
      <c r="AE341" s="7" t="n">
        <v>0.034</v>
      </c>
      <c r="AF341" s="7" t="n">
        <v>0.13</v>
      </c>
      <c r="AG341" s="7" t="n">
        <v>-0.364</v>
      </c>
      <c r="AH341" s="7" t="n">
        <v>0.372</v>
      </c>
      <c r="AI341" s="7" t="n">
        <v>-0.08</v>
      </c>
      <c r="AJ341" s="7" t="n">
        <v>-0.463</v>
      </c>
      <c r="AK341" s="7" t="n">
        <v>-0.218</v>
      </c>
      <c r="AL341" s="7" t="n">
        <v>-0.231</v>
      </c>
      <c r="AM341" s="7" t="n">
        <v>-0.086</v>
      </c>
      <c r="AN341" s="7" t="n">
        <v>-0.325</v>
      </c>
      <c r="AO341" s="7" t="n">
        <v>0.057</v>
      </c>
      <c r="AP341" s="7" t="n">
        <v>0</v>
      </c>
      <c r="AQ341" s="7" t="n">
        <v>-0.083</v>
      </c>
    </row>
    <row r="342" customFormat="false" ht="15" hidden="false" customHeight="false" outlineLevel="0" collapsed="false">
      <c r="A342" s="23" t="n">
        <v>46659</v>
      </c>
      <c r="B342" s="7" t="n">
        <v>-0.23</v>
      </c>
      <c r="C342" s="7" t="n">
        <v>-0.019</v>
      </c>
      <c r="D342" s="7" t="n">
        <v>-0.273</v>
      </c>
      <c r="E342" s="7" t="n">
        <v>-0.111</v>
      </c>
      <c r="F342" s="7" t="n">
        <v>0.048</v>
      </c>
      <c r="G342" s="7" t="n">
        <v>-0.273</v>
      </c>
      <c r="H342" s="7" t="n">
        <v>-0.344</v>
      </c>
      <c r="I342" s="7" t="n">
        <v>-0.476</v>
      </c>
      <c r="J342" s="7" t="n">
        <v>-0.12</v>
      </c>
      <c r="K342" s="7" t="n">
        <v>-0.111</v>
      </c>
      <c r="L342" s="7" t="n">
        <v>-0.154</v>
      </c>
      <c r="M342" s="7" t="n">
        <v>-0.12</v>
      </c>
      <c r="N342" s="7" t="n">
        <v>-0.034</v>
      </c>
      <c r="O342" s="7" t="n">
        <v>-0.109</v>
      </c>
      <c r="P342" s="7" t="n">
        <v>-0.295</v>
      </c>
      <c r="Q342" s="7" t="n">
        <v>-0.077</v>
      </c>
      <c r="R342" s="7" t="n">
        <v>-0.344</v>
      </c>
      <c r="S342" s="7" t="n">
        <v>-0.111</v>
      </c>
      <c r="T342" s="7" t="n">
        <v>-0.209</v>
      </c>
      <c r="U342" s="7" t="n">
        <v>-0.02</v>
      </c>
      <c r="V342" s="7" t="n">
        <v>-0.344</v>
      </c>
      <c r="W342" s="7" t="n">
        <v>-0.077</v>
      </c>
      <c r="X342" s="7" t="n">
        <v>-0.308</v>
      </c>
      <c r="Y342" s="7" t="n">
        <v>-0.118</v>
      </c>
      <c r="Z342" s="7" t="n">
        <v>-0.111</v>
      </c>
      <c r="AA342" s="7" t="n">
        <v>-0.209</v>
      </c>
      <c r="AB342" s="7" t="n">
        <v>-0.201</v>
      </c>
      <c r="AC342" s="7" t="n">
        <v>-0.083</v>
      </c>
      <c r="AD342" s="7" t="n">
        <v>-0.273</v>
      </c>
      <c r="AE342" s="7" t="n">
        <v>0.048</v>
      </c>
      <c r="AF342" s="7" t="n">
        <v>0.143</v>
      </c>
      <c r="AG342" s="7" t="n">
        <v>-0.344</v>
      </c>
      <c r="AH342" s="7" t="n">
        <v>0.368</v>
      </c>
      <c r="AI342" s="7" t="n">
        <v>-0.081</v>
      </c>
      <c r="AJ342" s="7" t="n">
        <v>-0.451</v>
      </c>
      <c r="AK342" s="7" t="n">
        <v>-0.218</v>
      </c>
      <c r="AL342" s="7" t="n">
        <v>-0.212</v>
      </c>
      <c r="AM342" s="7" t="n">
        <v>-0.086</v>
      </c>
      <c r="AN342" s="7" t="n">
        <v>-0.309</v>
      </c>
      <c r="AO342" s="7" t="n">
        <v>0.058</v>
      </c>
      <c r="AP342" s="7" t="n">
        <v>0</v>
      </c>
      <c r="AQ342" s="7" t="n">
        <v>-0.078</v>
      </c>
    </row>
    <row r="343" customFormat="false" ht="15" hidden="false" customHeight="false" outlineLevel="0" collapsed="false">
      <c r="A343" s="23" t="n">
        <v>46660</v>
      </c>
      <c r="B343" s="7" t="n">
        <v>-0.204</v>
      </c>
      <c r="C343" s="7" t="n">
        <v>-0.004</v>
      </c>
      <c r="D343" s="7" t="n">
        <v>-0.252</v>
      </c>
      <c r="E343" s="7" t="n">
        <v>-0.101</v>
      </c>
      <c r="F343" s="7" t="n">
        <v>0.062</v>
      </c>
      <c r="G343" s="7" t="n">
        <v>-0.252</v>
      </c>
      <c r="H343" s="7" t="n">
        <v>-0.323</v>
      </c>
      <c r="I343" s="7" t="n">
        <v>-0.457</v>
      </c>
      <c r="J343" s="7" t="n">
        <v>-0.11</v>
      </c>
      <c r="K343" s="7" t="n">
        <v>-0.101</v>
      </c>
      <c r="L343" s="7" t="n">
        <v>-0.139</v>
      </c>
      <c r="M343" s="7" t="n">
        <v>-0.11</v>
      </c>
      <c r="N343" s="7" t="n">
        <v>-0.021</v>
      </c>
      <c r="O343" s="7" t="n">
        <v>-0.093</v>
      </c>
      <c r="P343" s="7" t="n">
        <v>-0.273</v>
      </c>
      <c r="Q343" s="7" t="n">
        <v>-0.062</v>
      </c>
      <c r="R343" s="7" t="n">
        <v>-0.323</v>
      </c>
      <c r="S343" s="7" t="n">
        <v>-0.101</v>
      </c>
      <c r="T343" s="7" t="n">
        <v>-0.196</v>
      </c>
      <c r="U343" s="7" t="n">
        <v>-0.007</v>
      </c>
      <c r="V343" s="7" t="n">
        <v>-0.323</v>
      </c>
      <c r="W343" s="7" t="n">
        <v>-0.062</v>
      </c>
      <c r="X343" s="7" t="n">
        <v>-0.286</v>
      </c>
      <c r="Y343" s="7" t="n">
        <v>-0.106</v>
      </c>
      <c r="Z343" s="7" t="n">
        <v>-0.101</v>
      </c>
      <c r="AA343" s="7" t="n">
        <v>-0.196</v>
      </c>
      <c r="AB343" s="7" t="n">
        <v>-0.191</v>
      </c>
      <c r="AC343" s="7" t="n">
        <v>-0.067</v>
      </c>
      <c r="AD343" s="7" t="n">
        <v>-0.252</v>
      </c>
      <c r="AE343" s="7" t="n">
        <v>0.062</v>
      </c>
      <c r="AF343" s="7" t="n">
        <v>0.156</v>
      </c>
      <c r="AG343" s="7" t="n">
        <v>-0.323</v>
      </c>
      <c r="AH343" s="7" t="n">
        <v>0.365</v>
      </c>
      <c r="AI343" s="7" t="n">
        <v>-0.082</v>
      </c>
      <c r="AJ343" s="7" t="n">
        <v>-0.437</v>
      </c>
      <c r="AK343" s="7" t="n">
        <v>-0.214</v>
      </c>
      <c r="AL343" s="7" t="n">
        <v>-0.193</v>
      </c>
      <c r="AM343" s="7" t="n">
        <v>-0.086</v>
      </c>
      <c r="AN343" s="7" t="n">
        <v>-0.292</v>
      </c>
      <c r="AO343" s="7" t="n">
        <v>0.059</v>
      </c>
      <c r="AP343" s="7" t="n">
        <v>0</v>
      </c>
      <c r="AQ343" s="7" t="n">
        <v>-0.073</v>
      </c>
    </row>
    <row r="344" customFormat="false" ht="15" hidden="false" customHeight="false" outlineLevel="0" collapsed="false">
      <c r="A344" s="23" t="n">
        <v>46661</v>
      </c>
      <c r="B344" s="7" t="n">
        <v>-0.179</v>
      </c>
      <c r="C344" s="7" t="n">
        <v>0.011</v>
      </c>
      <c r="D344" s="7" t="n">
        <v>-0.231</v>
      </c>
      <c r="E344" s="7" t="n">
        <v>-0.091</v>
      </c>
      <c r="F344" s="7" t="n">
        <v>0.076</v>
      </c>
      <c r="G344" s="7" t="n">
        <v>-0.231</v>
      </c>
      <c r="H344" s="7" t="n">
        <v>-0.302</v>
      </c>
      <c r="I344" s="7" t="n">
        <v>-0.438</v>
      </c>
      <c r="J344" s="7" t="n">
        <v>-0.099</v>
      </c>
      <c r="K344" s="7" t="n">
        <v>-0.091</v>
      </c>
      <c r="L344" s="7" t="n">
        <v>-0.125</v>
      </c>
      <c r="M344" s="7" t="n">
        <v>-0.099</v>
      </c>
      <c r="N344" s="7" t="n">
        <v>-0.007</v>
      </c>
      <c r="O344" s="7" t="n">
        <v>-0.078</v>
      </c>
      <c r="P344" s="7" t="n">
        <v>-0.252</v>
      </c>
      <c r="Q344" s="7" t="n">
        <v>-0.047</v>
      </c>
      <c r="R344" s="7" t="n">
        <v>-0.302</v>
      </c>
      <c r="S344" s="7" t="n">
        <v>-0.091</v>
      </c>
      <c r="T344" s="7" t="n">
        <v>-0.183</v>
      </c>
      <c r="U344" s="7" t="n">
        <v>0.007</v>
      </c>
      <c r="V344" s="7" t="n">
        <v>-0.302</v>
      </c>
      <c r="W344" s="7" t="n">
        <v>-0.047</v>
      </c>
      <c r="X344" s="7" t="n">
        <v>-0.263</v>
      </c>
      <c r="Y344" s="7" t="n">
        <v>-0.093</v>
      </c>
      <c r="Z344" s="7" t="n">
        <v>-0.091</v>
      </c>
      <c r="AA344" s="7" t="n">
        <v>-0.183</v>
      </c>
      <c r="AB344" s="7" t="n">
        <v>-0.181</v>
      </c>
      <c r="AC344" s="7" t="n">
        <v>-0.051</v>
      </c>
      <c r="AD344" s="7" t="n">
        <v>-0.231</v>
      </c>
      <c r="AE344" s="7" t="n">
        <v>0.076</v>
      </c>
      <c r="AF344" s="7" t="n">
        <v>0.169</v>
      </c>
      <c r="AG344" s="7" t="n">
        <v>-0.302</v>
      </c>
      <c r="AH344" s="7" t="n">
        <v>0.361</v>
      </c>
      <c r="AI344" s="7" t="n">
        <v>-0.083</v>
      </c>
      <c r="AJ344" s="7" t="n">
        <v>-0.424</v>
      </c>
      <c r="AK344" s="7" t="n">
        <v>-0.211</v>
      </c>
      <c r="AL344" s="7" t="n">
        <v>-0.174</v>
      </c>
      <c r="AM344" s="7" t="n">
        <v>-0.086</v>
      </c>
      <c r="AN344" s="7" t="n">
        <v>-0.275</v>
      </c>
      <c r="AO344" s="7" t="n">
        <v>0.061</v>
      </c>
      <c r="AP344" s="7" t="n">
        <v>0</v>
      </c>
      <c r="AQ344" s="7" t="n">
        <v>-0.069</v>
      </c>
    </row>
    <row r="345" customFormat="false" ht="15" hidden="false" customHeight="false" outlineLevel="0" collapsed="false">
      <c r="A345" s="23" t="n">
        <v>46662</v>
      </c>
      <c r="B345" s="7" t="n">
        <v>-0.152</v>
      </c>
      <c r="C345" s="7" t="n">
        <v>0.027</v>
      </c>
      <c r="D345" s="7" t="n">
        <v>-0.21</v>
      </c>
      <c r="E345" s="7" t="n">
        <v>-0.081</v>
      </c>
      <c r="F345" s="7" t="n">
        <v>0.092</v>
      </c>
      <c r="G345" s="7" t="n">
        <v>-0.21</v>
      </c>
      <c r="H345" s="7" t="n">
        <v>-0.281</v>
      </c>
      <c r="I345" s="7" t="n">
        <v>-0.419</v>
      </c>
      <c r="J345" s="7" t="n">
        <v>-0.089</v>
      </c>
      <c r="K345" s="7" t="n">
        <v>-0.081</v>
      </c>
      <c r="L345" s="7" t="n">
        <v>-0.109</v>
      </c>
      <c r="M345" s="7" t="n">
        <v>-0.089</v>
      </c>
      <c r="N345" s="7" t="n">
        <v>0.008</v>
      </c>
      <c r="O345" s="7" t="n">
        <v>-0.061</v>
      </c>
      <c r="P345" s="7" t="n">
        <v>-0.228</v>
      </c>
      <c r="Q345" s="7" t="n">
        <v>-0.03</v>
      </c>
      <c r="R345" s="7" t="n">
        <v>-0.281</v>
      </c>
      <c r="S345" s="7" t="n">
        <v>-0.081</v>
      </c>
      <c r="T345" s="7" t="n">
        <v>-0.17</v>
      </c>
      <c r="U345" s="7" t="n">
        <v>0.026</v>
      </c>
      <c r="V345" s="7" t="n">
        <v>-0.281</v>
      </c>
      <c r="W345" s="7" t="n">
        <v>-0.03</v>
      </c>
      <c r="X345" s="7" t="n">
        <v>-0.241</v>
      </c>
      <c r="Y345" s="7" t="n">
        <v>-0.078</v>
      </c>
      <c r="Z345" s="7" t="n">
        <v>-0.081</v>
      </c>
      <c r="AA345" s="7" t="n">
        <v>-0.17</v>
      </c>
      <c r="AB345" s="7" t="n">
        <v>-0.171</v>
      </c>
      <c r="AC345" s="7" t="n">
        <v>-0.033</v>
      </c>
      <c r="AD345" s="7" t="n">
        <v>-0.21</v>
      </c>
      <c r="AE345" s="7" t="n">
        <v>0.092</v>
      </c>
      <c r="AF345" s="7" t="n">
        <v>0.185</v>
      </c>
      <c r="AG345" s="7" t="n">
        <v>-0.281</v>
      </c>
      <c r="AH345" s="7" t="n">
        <v>0.358</v>
      </c>
      <c r="AI345" s="7" t="n">
        <v>-0.082</v>
      </c>
      <c r="AJ345" s="7" t="n">
        <v>-0.41</v>
      </c>
      <c r="AK345" s="7" t="n">
        <v>-0.207</v>
      </c>
      <c r="AL345" s="7" t="n">
        <v>-0.153</v>
      </c>
      <c r="AM345" s="7" t="n">
        <v>-0.086</v>
      </c>
      <c r="AN345" s="7" t="n">
        <v>-0.258</v>
      </c>
      <c r="AO345" s="7" t="n">
        <v>0.062</v>
      </c>
      <c r="AP345" s="7" t="n">
        <v>0</v>
      </c>
      <c r="AQ345" s="7" t="n">
        <v>-0.062</v>
      </c>
    </row>
    <row r="346" customFormat="false" ht="15" hidden="false" customHeight="false" outlineLevel="0" collapsed="false">
      <c r="A346" s="23" t="n">
        <v>46663</v>
      </c>
      <c r="B346" s="7" t="n">
        <v>-0.152</v>
      </c>
      <c r="C346" s="7" t="n">
        <v>0.027</v>
      </c>
      <c r="D346" s="7" t="n">
        <v>-0.21</v>
      </c>
      <c r="E346" s="7" t="n">
        <v>-0.081</v>
      </c>
      <c r="F346" s="7" t="n">
        <v>0.092</v>
      </c>
      <c r="G346" s="7" t="n">
        <v>-0.21</v>
      </c>
      <c r="H346" s="7" t="n">
        <v>-0.281</v>
      </c>
      <c r="I346" s="7" t="n">
        <v>-0.419</v>
      </c>
      <c r="J346" s="7" t="n">
        <v>-0.089</v>
      </c>
      <c r="K346" s="7" t="n">
        <v>-0.081</v>
      </c>
      <c r="L346" s="7" t="n">
        <v>-0.109</v>
      </c>
      <c r="M346" s="7" t="n">
        <v>-0.089</v>
      </c>
      <c r="N346" s="7" t="n">
        <v>0.008</v>
      </c>
      <c r="O346" s="7" t="n">
        <v>-0.061</v>
      </c>
      <c r="P346" s="7" t="n">
        <v>-0.228</v>
      </c>
      <c r="Q346" s="7" t="n">
        <v>-0.03</v>
      </c>
      <c r="R346" s="7" t="n">
        <v>-0.281</v>
      </c>
      <c r="S346" s="7" t="n">
        <v>-0.081</v>
      </c>
      <c r="T346" s="7" t="n">
        <v>-0.17</v>
      </c>
      <c r="U346" s="7" t="n">
        <v>0.026</v>
      </c>
      <c r="V346" s="7" t="n">
        <v>-0.281</v>
      </c>
      <c r="W346" s="7" t="n">
        <v>-0.03</v>
      </c>
      <c r="X346" s="7" t="n">
        <v>-0.241</v>
      </c>
      <c r="Y346" s="7" t="n">
        <v>-0.078</v>
      </c>
      <c r="Z346" s="7" t="n">
        <v>-0.081</v>
      </c>
      <c r="AA346" s="7" t="n">
        <v>-0.17</v>
      </c>
      <c r="AB346" s="7" t="n">
        <v>-0.171</v>
      </c>
      <c r="AC346" s="7" t="n">
        <v>-0.033</v>
      </c>
      <c r="AD346" s="7" t="n">
        <v>-0.21</v>
      </c>
      <c r="AE346" s="7" t="n">
        <v>0.092</v>
      </c>
      <c r="AF346" s="7" t="n">
        <v>0.185</v>
      </c>
      <c r="AG346" s="7" t="n">
        <v>-0.281</v>
      </c>
      <c r="AH346" s="7" t="n">
        <v>0.358</v>
      </c>
      <c r="AI346" s="7" t="n">
        <v>-0.082</v>
      </c>
      <c r="AJ346" s="7" t="n">
        <v>-0.41</v>
      </c>
      <c r="AK346" s="7" t="n">
        <v>-0.207</v>
      </c>
      <c r="AL346" s="7" t="n">
        <v>-0.153</v>
      </c>
      <c r="AM346" s="7" t="n">
        <v>-0.086</v>
      </c>
      <c r="AN346" s="7" t="n">
        <v>-0.258</v>
      </c>
      <c r="AO346" s="7" t="n">
        <v>0.062</v>
      </c>
      <c r="AP346" s="7" t="n">
        <v>0</v>
      </c>
      <c r="AQ346" s="7" t="n">
        <v>-0.062</v>
      </c>
    </row>
    <row r="347" customFormat="false" ht="15" hidden="false" customHeight="false" outlineLevel="0" collapsed="false">
      <c r="A347" s="23" t="n">
        <v>46664</v>
      </c>
      <c r="B347" s="7" t="n">
        <v>-0.152</v>
      </c>
      <c r="C347" s="7" t="n">
        <v>0.027</v>
      </c>
      <c r="D347" s="7" t="n">
        <v>-0.21</v>
      </c>
      <c r="E347" s="7" t="n">
        <v>-0.081</v>
      </c>
      <c r="F347" s="7" t="n">
        <v>0.092</v>
      </c>
      <c r="G347" s="7" t="n">
        <v>-0.21</v>
      </c>
      <c r="H347" s="7" t="n">
        <v>-0.281</v>
      </c>
      <c r="I347" s="7" t="n">
        <v>-0.419</v>
      </c>
      <c r="J347" s="7" t="n">
        <v>-0.089</v>
      </c>
      <c r="K347" s="7" t="n">
        <v>-0.081</v>
      </c>
      <c r="L347" s="7" t="n">
        <v>-0.109</v>
      </c>
      <c r="M347" s="7" t="n">
        <v>-0.089</v>
      </c>
      <c r="N347" s="7" t="n">
        <v>0.008</v>
      </c>
      <c r="O347" s="7" t="n">
        <v>-0.061</v>
      </c>
      <c r="P347" s="7" t="n">
        <v>-0.228</v>
      </c>
      <c r="Q347" s="7" t="n">
        <v>-0.03</v>
      </c>
      <c r="R347" s="7" t="n">
        <v>-0.281</v>
      </c>
      <c r="S347" s="7" t="n">
        <v>-0.081</v>
      </c>
      <c r="T347" s="7" t="n">
        <v>-0.17</v>
      </c>
      <c r="U347" s="7" t="n">
        <v>0.026</v>
      </c>
      <c r="V347" s="7" t="n">
        <v>-0.281</v>
      </c>
      <c r="W347" s="7" t="n">
        <v>-0.03</v>
      </c>
      <c r="X347" s="7" t="n">
        <v>-0.241</v>
      </c>
      <c r="Y347" s="7" t="n">
        <v>-0.078</v>
      </c>
      <c r="Z347" s="7" t="n">
        <v>-0.081</v>
      </c>
      <c r="AA347" s="7" t="n">
        <v>-0.17</v>
      </c>
      <c r="AB347" s="7" t="n">
        <v>-0.171</v>
      </c>
      <c r="AC347" s="7" t="n">
        <v>-0.033</v>
      </c>
      <c r="AD347" s="7" t="n">
        <v>-0.21</v>
      </c>
      <c r="AE347" s="7" t="n">
        <v>0.092</v>
      </c>
      <c r="AF347" s="7" t="n">
        <v>0.185</v>
      </c>
      <c r="AG347" s="7" t="n">
        <v>-0.281</v>
      </c>
      <c r="AH347" s="7" t="n">
        <v>0.358</v>
      </c>
      <c r="AI347" s="7" t="n">
        <v>-0.082</v>
      </c>
      <c r="AJ347" s="7" t="n">
        <v>-0.41</v>
      </c>
      <c r="AK347" s="7" t="n">
        <v>-0.207</v>
      </c>
      <c r="AL347" s="7" t="n">
        <v>-0.153</v>
      </c>
      <c r="AM347" s="7" t="n">
        <v>-0.086</v>
      </c>
      <c r="AN347" s="7" t="n">
        <v>-0.258</v>
      </c>
      <c r="AO347" s="7" t="n">
        <v>0.062</v>
      </c>
      <c r="AP347" s="7" t="n">
        <v>0</v>
      </c>
      <c r="AQ347" s="7" t="n">
        <v>-0.062</v>
      </c>
    </row>
    <row r="348" customFormat="false" ht="15" hidden="false" customHeight="false" outlineLevel="0" collapsed="false">
      <c r="A348" s="23" t="n">
        <v>46665</v>
      </c>
      <c r="B348" s="7" t="n">
        <v>-0.133</v>
      </c>
      <c r="C348" s="7" t="n">
        <v>0.023</v>
      </c>
      <c r="D348" s="7" t="n">
        <v>-0.186</v>
      </c>
      <c r="E348" s="7" t="n">
        <v>-0.06</v>
      </c>
      <c r="F348" s="7" t="n">
        <v>0.094</v>
      </c>
      <c r="G348" s="7" t="n">
        <v>-0.186</v>
      </c>
      <c r="H348" s="7" t="n">
        <v>-0.257</v>
      </c>
      <c r="I348" s="7" t="n">
        <v>-0.402</v>
      </c>
      <c r="J348" s="7" t="n">
        <v>-0.079</v>
      </c>
      <c r="K348" s="7" t="n">
        <v>-0.057</v>
      </c>
      <c r="L348" s="7" t="n">
        <v>-0.116</v>
      </c>
      <c r="M348" s="7" t="n">
        <v>-0.081</v>
      </c>
      <c r="N348" s="7" t="n">
        <v>0.006</v>
      </c>
      <c r="O348" s="7" t="n">
        <v>-0.063</v>
      </c>
      <c r="P348" s="7" t="n">
        <v>-0.202</v>
      </c>
      <c r="Q348" s="7" t="n">
        <v>-0.031</v>
      </c>
      <c r="R348" s="7" t="n">
        <v>-0.257</v>
      </c>
      <c r="S348" s="7" t="n">
        <v>-0.065</v>
      </c>
      <c r="T348" s="7" t="n">
        <v>-0.154</v>
      </c>
      <c r="U348" s="7" t="n">
        <v>0.033</v>
      </c>
      <c r="V348" s="7" t="n">
        <v>-0.257</v>
      </c>
      <c r="W348" s="7" t="n">
        <v>-0.031</v>
      </c>
      <c r="X348" s="7" t="n">
        <v>-0.217</v>
      </c>
      <c r="Y348" s="7" t="n">
        <v>-0.064</v>
      </c>
      <c r="Z348" s="7" t="n">
        <v>-0.058</v>
      </c>
      <c r="AA348" s="7" t="n">
        <v>-0.154</v>
      </c>
      <c r="AB348" s="7" t="n">
        <v>-0.165</v>
      </c>
      <c r="AC348" s="7" t="n">
        <v>-0.037</v>
      </c>
      <c r="AD348" s="7" t="n">
        <v>-0.184</v>
      </c>
      <c r="AE348" s="7" t="n">
        <v>0.094</v>
      </c>
      <c r="AF348" s="7" t="n">
        <v>0.19</v>
      </c>
      <c r="AG348" s="7" t="n">
        <v>-0.257</v>
      </c>
      <c r="AH348" s="7" t="n">
        <v>0.343</v>
      </c>
      <c r="AI348" s="7" t="n">
        <v>-0.086</v>
      </c>
      <c r="AJ348" s="7" t="n">
        <v>-0.402</v>
      </c>
      <c r="AK348" s="7" t="n">
        <v>-0.213</v>
      </c>
      <c r="AL348" s="7" t="n">
        <v>-0.134</v>
      </c>
      <c r="AM348" s="7" t="n">
        <v>-0.09</v>
      </c>
      <c r="AN348" s="7" t="n">
        <v>-0.241</v>
      </c>
      <c r="AO348" s="7" t="n">
        <v>0.056</v>
      </c>
      <c r="AP348" s="7" t="n">
        <v>-0.002</v>
      </c>
      <c r="AQ348" s="7" t="n">
        <v>-0.056</v>
      </c>
    </row>
    <row r="349" customFormat="false" ht="15" hidden="false" customHeight="false" outlineLevel="0" collapsed="false">
      <c r="A349" s="23" t="n">
        <v>46666</v>
      </c>
      <c r="B349" s="7" t="n">
        <v>-0.113</v>
      </c>
      <c r="C349" s="7" t="n">
        <v>0.019</v>
      </c>
      <c r="D349" s="7" t="n">
        <v>-0.162</v>
      </c>
      <c r="E349" s="7" t="n">
        <v>-0.04</v>
      </c>
      <c r="F349" s="7" t="n">
        <v>0.096</v>
      </c>
      <c r="G349" s="7" t="n">
        <v>-0.162</v>
      </c>
      <c r="H349" s="7" t="n">
        <v>-0.234</v>
      </c>
      <c r="I349" s="7" t="n">
        <v>-0.386</v>
      </c>
      <c r="J349" s="7" t="n">
        <v>-0.069</v>
      </c>
      <c r="K349" s="7" t="n">
        <v>-0.033</v>
      </c>
      <c r="L349" s="7" t="n">
        <v>-0.124</v>
      </c>
      <c r="M349" s="7" t="n">
        <v>-0.072</v>
      </c>
      <c r="N349" s="7" t="n">
        <v>0.003</v>
      </c>
      <c r="O349" s="7" t="n">
        <v>-0.065</v>
      </c>
      <c r="P349" s="7" t="n">
        <v>-0.176</v>
      </c>
      <c r="Q349" s="7" t="n">
        <v>-0.031</v>
      </c>
      <c r="R349" s="7" t="n">
        <v>-0.234</v>
      </c>
      <c r="S349" s="7" t="n">
        <v>-0.047</v>
      </c>
      <c r="T349" s="7" t="n">
        <v>-0.138</v>
      </c>
      <c r="U349" s="7" t="n">
        <v>0.04</v>
      </c>
      <c r="V349" s="7" t="n">
        <v>-0.234</v>
      </c>
      <c r="W349" s="7" t="n">
        <v>-0.031</v>
      </c>
      <c r="X349" s="7" t="n">
        <v>-0.194</v>
      </c>
      <c r="Y349" s="7" t="n">
        <v>-0.049</v>
      </c>
      <c r="Z349" s="7" t="n">
        <v>-0.036</v>
      </c>
      <c r="AA349" s="7" t="n">
        <v>-0.138</v>
      </c>
      <c r="AB349" s="7" t="n">
        <v>-0.16</v>
      </c>
      <c r="AC349" s="7" t="n">
        <v>-0.04</v>
      </c>
      <c r="AD349" s="7" t="n">
        <v>-0.158</v>
      </c>
      <c r="AE349" s="7" t="n">
        <v>0.096</v>
      </c>
      <c r="AF349" s="7" t="n">
        <v>0.196</v>
      </c>
      <c r="AG349" s="7" t="n">
        <v>-0.234</v>
      </c>
      <c r="AH349" s="7" t="n">
        <v>0.327</v>
      </c>
      <c r="AI349" s="7" t="n">
        <v>-0.09</v>
      </c>
      <c r="AJ349" s="7" t="n">
        <v>-0.394</v>
      </c>
      <c r="AK349" s="7" t="n">
        <v>-0.218</v>
      </c>
      <c r="AL349" s="7" t="n">
        <v>-0.116</v>
      </c>
      <c r="AM349" s="7" t="n">
        <v>-0.095</v>
      </c>
      <c r="AN349" s="7" t="n">
        <v>-0.224</v>
      </c>
      <c r="AO349" s="7" t="n">
        <v>0.051</v>
      </c>
      <c r="AP349" s="7" t="n">
        <v>-0.004</v>
      </c>
      <c r="AQ349" s="7" t="n">
        <v>-0.05</v>
      </c>
    </row>
    <row r="350" customFormat="false" ht="15" hidden="false" customHeight="false" outlineLevel="0" collapsed="false">
      <c r="A350" s="23" t="n">
        <v>46667</v>
      </c>
      <c r="B350" s="7" t="n">
        <v>-0.094</v>
      </c>
      <c r="C350" s="7" t="n">
        <v>0.014</v>
      </c>
      <c r="D350" s="7" t="n">
        <v>-0.138</v>
      </c>
      <c r="E350" s="7" t="n">
        <v>-0.018</v>
      </c>
      <c r="F350" s="7" t="n">
        <v>0.099</v>
      </c>
      <c r="G350" s="7" t="n">
        <v>-0.138</v>
      </c>
      <c r="H350" s="7" t="n">
        <v>-0.21</v>
      </c>
      <c r="I350" s="7" t="n">
        <v>-0.37</v>
      </c>
      <c r="J350" s="7" t="n">
        <v>-0.058</v>
      </c>
      <c r="K350" s="7" t="n">
        <v>-0.009</v>
      </c>
      <c r="L350" s="7" t="n">
        <v>-0.132</v>
      </c>
      <c r="M350" s="7" t="n">
        <v>-0.064</v>
      </c>
      <c r="N350" s="7" t="n">
        <v>-0.001</v>
      </c>
      <c r="O350" s="7" t="n">
        <v>-0.067</v>
      </c>
      <c r="P350" s="7" t="n">
        <v>-0.15</v>
      </c>
      <c r="Q350" s="7" t="n">
        <v>-0.032</v>
      </c>
      <c r="R350" s="7" t="n">
        <v>-0.21</v>
      </c>
      <c r="S350" s="7" t="n">
        <v>-0.029</v>
      </c>
      <c r="T350" s="7" t="n">
        <v>-0.122</v>
      </c>
      <c r="U350" s="7" t="n">
        <v>0.047</v>
      </c>
      <c r="V350" s="7" t="n">
        <v>-0.21</v>
      </c>
      <c r="W350" s="7" t="n">
        <v>-0.032</v>
      </c>
      <c r="X350" s="7" t="n">
        <v>-0.17</v>
      </c>
      <c r="Y350" s="7" t="n">
        <v>-0.034</v>
      </c>
      <c r="Z350" s="7" t="n">
        <v>-0.013</v>
      </c>
      <c r="AA350" s="7" t="n">
        <v>-0.122</v>
      </c>
      <c r="AB350" s="7" t="n">
        <v>-0.156</v>
      </c>
      <c r="AC350" s="7" t="n">
        <v>-0.042</v>
      </c>
      <c r="AD350" s="7" t="n">
        <v>-0.131</v>
      </c>
      <c r="AE350" s="7" t="n">
        <v>0.099</v>
      </c>
      <c r="AF350" s="7" t="n">
        <v>0.201</v>
      </c>
      <c r="AG350" s="7" t="n">
        <v>-0.21</v>
      </c>
      <c r="AH350" s="7" t="n">
        <v>0.312</v>
      </c>
      <c r="AI350" s="7" t="n">
        <v>-0.095</v>
      </c>
      <c r="AJ350" s="7" t="n">
        <v>-0.387</v>
      </c>
      <c r="AK350" s="7" t="n">
        <v>-0.225</v>
      </c>
      <c r="AL350" s="7" t="n">
        <v>-0.097</v>
      </c>
      <c r="AM350" s="7" t="n">
        <v>-0.101</v>
      </c>
      <c r="AN350" s="7" t="n">
        <v>-0.207</v>
      </c>
      <c r="AO350" s="7" t="n">
        <v>0.045</v>
      </c>
      <c r="AP350" s="7" t="n">
        <v>-0.006</v>
      </c>
      <c r="AQ350" s="7" t="n">
        <v>-0.044</v>
      </c>
    </row>
    <row r="351" customFormat="false" ht="15" hidden="false" customHeight="false" outlineLevel="0" collapsed="false">
      <c r="A351" s="23" t="n">
        <v>46668</v>
      </c>
      <c r="B351" s="7" t="n">
        <v>-0.074</v>
      </c>
      <c r="C351" s="7" t="n">
        <v>0.007</v>
      </c>
      <c r="D351" s="7" t="n">
        <v>-0.114</v>
      </c>
      <c r="E351" s="7" t="n">
        <v>0.003</v>
      </c>
      <c r="F351" s="7" t="n">
        <v>0.101</v>
      </c>
      <c r="G351" s="7" t="n">
        <v>-0.114</v>
      </c>
      <c r="H351" s="7" t="n">
        <v>-0.187</v>
      </c>
      <c r="I351" s="7" t="n">
        <v>-0.355</v>
      </c>
      <c r="J351" s="7" t="n">
        <v>-0.048</v>
      </c>
      <c r="K351" s="7" t="n">
        <v>0.016</v>
      </c>
      <c r="L351" s="7" t="n">
        <v>-0.14</v>
      </c>
      <c r="M351" s="7" t="n">
        <v>-0.056</v>
      </c>
      <c r="N351" s="7" t="n">
        <v>-0.004</v>
      </c>
      <c r="O351" s="7" t="n">
        <v>-0.069</v>
      </c>
      <c r="P351" s="7" t="n">
        <v>-0.124</v>
      </c>
      <c r="Q351" s="7" t="n">
        <v>-0.032</v>
      </c>
      <c r="R351" s="7" t="n">
        <v>-0.187</v>
      </c>
      <c r="S351" s="7" t="n">
        <v>-0.01</v>
      </c>
      <c r="T351" s="7" t="n">
        <v>-0.106</v>
      </c>
      <c r="U351" s="7" t="n">
        <v>0.053</v>
      </c>
      <c r="V351" s="7" t="n">
        <v>-0.187</v>
      </c>
      <c r="W351" s="7" t="n">
        <v>-0.032</v>
      </c>
      <c r="X351" s="7" t="n">
        <v>-0.146</v>
      </c>
      <c r="Y351" s="7" t="n">
        <v>-0.02</v>
      </c>
      <c r="Z351" s="7" t="n">
        <v>0.01</v>
      </c>
      <c r="AA351" s="7" t="n">
        <v>-0.106</v>
      </c>
      <c r="AB351" s="7" t="n">
        <v>-0.151</v>
      </c>
      <c r="AC351" s="7" t="n">
        <v>-0.045</v>
      </c>
      <c r="AD351" s="7" t="n">
        <v>-0.105</v>
      </c>
      <c r="AE351" s="7" t="n">
        <v>0.101</v>
      </c>
      <c r="AF351" s="7" t="n">
        <v>0.207</v>
      </c>
      <c r="AG351" s="7" t="n">
        <v>-0.187</v>
      </c>
      <c r="AH351" s="7" t="n">
        <v>0.297</v>
      </c>
      <c r="AI351" s="7" t="n">
        <v>-0.1</v>
      </c>
      <c r="AJ351" s="7" t="n">
        <v>-0.381</v>
      </c>
      <c r="AK351" s="7" t="n">
        <v>-0.231</v>
      </c>
      <c r="AL351" s="7" t="n">
        <v>-0.078</v>
      </c>
      <c r="AM351" s="7" t="n">
        <v>-0.107</v>
      </c>
      <c r="AN351" s="7" t="n">
        <v>-0.19</v>
      </c>
      <c r="AO351" s="7" t="n">
        <v>0.04</v>
      </c>
      <c r="AP351" s="7" t="n">
        <v>-0.008</v>
      </c>
      <c r="AQ351" s="7" t="n">
        <v>-0.038</v>
      </c>
    </row>
    <row r="352" customFormat="false" ht="15" hidden="false" customHeight="false" outlineLevel="0" collapsed="false">
      <c r="A352" s="23" t="n">
        <v>46669</v>
      </c>
      <c r="B352" s="7" t="n">
        <v>-0.06</v>
      </c>
      <c r="C352" s="7" t="n">
        <v>-0.007</v>
      </c>
      <c r="D352" s="7" t="n">
        <v>-0.091</v>
      </c>
      <c r="E352" s="7" t="n">
        <v>0.025</v>
      </c>
      <c r="F352" s="7" t="n">
        <v>0.098</v>
      </c>
      <c r="G352" s="7" t="n">
        <v>-0.091</v>
      </c>
      <c r="H352" s="7" t="n">
        <v>-0.164</v>
      </c>
      <c r="I352" s="7" t="n">
        <v>-0.341</v>
      </c>
      <c r="J352" s="7" t="n">
        <v>-0.037</v>
      </c>
      <c r="K352" s="7" t="n">
        <v>0.04</v>
      </c>
      <c r="L352" s="7" t="n">
        <v>-0.151</v>
      </c>
      <c r="M352" s="7" t="n">
        <v>-0.047</v>
      </c>
      <c r="N352" s="7" t="n">
        <v>-0.012</v>
      </c>
      <c r="O352" s="7" t="n">
        <v>-0.075</v>
      </c>
      <c r="P352" s="7" t="n">
        <v>-0.099</v>
      </c>
      <c r="Q352" s="7" t="n">
        <v>-0.036</v>
      </c>
      <c r="R352" s="7" t="n">
        <v>-0.164</v>
      </c>
      <c r="S352" s="7" t="n">
        <v>0.008</v>
      </c>
      <c r="T352" s="7" t="n">
        <v>-0.093</v>
      </c>
      <c r="U352" s="7" t="n">
        <v>0.054</v>
      </c>
      <c r="V352" s="7" t="n">
        <v>-0.164</v>
      </c>
      <c r="W352" s="7" t="n">
        <v>-0.036</v>
      </c>
      <c r="X352" s="7" t="n">
        <v>-0.123</v>
      </c>
      <c r="Y352" s="7" t="n">
        <v>-0.006</v>
      </c>
      <c r="Z352" s="7" t="n">
        <v>0.034</v>
      </c>
      <c r="AA352" s="7" t="n">
        <v>-0.093</v>
      </c>
      <c r="AB352" s="7" t="n">
        <v>-0.146</v>
      </c>
      <c r="AC352" s="7" t="n">
        <v>-0.051</v>
      </c>
      <c r="AD352" s="7" t="n">
        <v>-0.079</v>
      </c>
      <c r="AE352" s="7" t="n">
        <v>0.098</v>
      </c>
      <c r="AF352" s="7" t="n">
        <v>0.208</v>
      </c>
      <c r="AG352" s="7" t="n">
        <v>-0.164</v>
      </c>
      <c r="AH352" s="7" t="n">
        <v>0.282</v>
      </c>
      <c r="AI352" s="7" t="n">
        <v>-0.105</v>
      </c>
      <c r="AJ352" s="7" t="n">
        <v>-0.379</v>
      </c>
      <c r="AK352" s="7" t="n">
        <v>-0.241</v>
      </c>
      <c r="AL352" s="7" t="n">
        <v>-0.06</v>
      </c>
      <c r="AM352" s="7" t="n">
        <v>-0.112</v>
      </c>
      <c r="AN352" s="7" t="n">
        <v>-0.175</v>
      </c>
      <c r="AO352" s="7" t="n">
        <v>0.034</v>
      </c>
      <c r="AP352" s="7" t="n">
        <v>-0.01</v>
      </c>
      <c r="AQ352" s="7" t="n">
        <v>-0.031</v>
      </c>
    </row>
    <row r="353" customFormat="false" ht="15" hidden="false" customHeight="false" outlineLevel="0" collapsed="false">
      <c r="A353" s="23" t="n">
        <v>46670</v>
      </c>
      <c r="B353" s="7" t="n">
        <v>-0.06</v>
      </c>
      <c r="C353" s="7" t="n">
        <v>-0.007</v>
      </c>
      <c r="D353" s="7" t="n">
        <v>-0.091</v>
      </c>
      <c r="E353" s="7" t="n">
        <v>0.025</v>
      </c>
      <c r="F353" s="7" t="n">
        <v>0.098</v>
      </c>
      <c r="G353" s="7" t="n">
        <v>-0.091</v>
      </c>
      <c r="H353" s="7" t="n">
        <v>-0.164</v>
      </c>
      <c r="I353" s="7" t="n">
        <v>-0.341</v>
      </c>
      <c r="J353" s="7" t="n">
        <v>-0.037</v>
      </c>
      <c r="K353" s="7" t="n">
        <v>0.04</v>
      </c>
      <c r="L353" s="7" t="n">
        <v>-0.151</v>
      </c>
      <c r="M353" s="7" t="n">
        <v>-0.047</v>
      </c>
      <c r="N353" s="7" t="n">
        <v>-0.012</v>
      </c>
      <c r="O353" s="7" t="n">
        <v>-0.075</v>
      </c>
      <c r="P353" s="7" t="n">
        <v>-0.099</v>
      </c>
      <c r="Q353" s="7" t="n">
        <v>-0.036</v>
      </c>
      <c r="R353" s="7" t="n">
        <v>-0.164</v>
      </c>
      <c r="S353" s="7" t="n">
        <v>0.008</v>
      </c>
      <c r="T353" s="7" t="n">
        <v>-0.093</v>
      </c>
      <c r="U353" s="7" t="n">
        <v>0.054</v>
      </c>
      <c r="V353" s="7" t="n">
        <v>-0.164</v>
      </c>
      <c r="W353" s="7" t="n">
        <v>-0.036</v>
      </c>
      <c r="X353" s="7" t="n">
        <v>-0.123</v>
      </c>
      <c r="Y353" s="7" t="n">
        <v>-0.006</v>
      </c>
      <c r="Z353" s="7" t="n">
        <v>0.034</v>
      </c>
      <c r="AA353" s="7" t="n">
        <v>-0.093</v>
      </c>
      <c r="AB353" s="7" t="n">
        <v>-0.146</v>
      </c>
      <c r="AC353" s="7" t="n">
        <v>-0.051</v>
      </c>
      <c r="AD353" s="7" t="n">
        <v>-0.079</v>
      </c>
      <c r="AE353" s="7" t="n">
        <v>0.098</v>
      </c>
      <c r="AF353" s="7" t="n">
        <v>0.208</v>
      </c>
      <c r="AG353" s="7" t="n">
        <v>-0.164</v>
      </c>
      <c r="AH353" s="7" t="n">
        <v>0.282</v>
      </c>
      <c r="AI353" s="7" t="n">
        <v>-0.105</v>
      </c>
      <c r="AJ353" s="7" t="n">
        <v>-0.379</v>
      </c>
      <c r="AK353" s="7" t="n">
        <v>-0.241</v>
      </c>
      <c r="AL353" s="7" t="n">
        <v>-0.06</v>
      </c>
      <c r="AM353" s="7" t="n">
        <v>-0.112</v>
      </c>
      <c r="AN353" s="7" t="n">
        <v>-0.175</v>
      </c>
      <c r="AO353" s="7" t="n">
        <v>0.034</v>
      </c>
      <c r="AP353" s="7" t="n">
        <v>-0.01</v>
      </c>
      <c r="AQ353" s="7" t="n">
        <v>-0.031</v>
      </c>
    </row>
    <row r="354" customFormat="false" ht="15" hidden="false" customHeight="false" outlineLevel="0" collapsed="false">
      <c r="A354" s="23" t="n">
        <v>46671</v>
      </c>
      <c r="B354" s="7" t="n">
        <v>-0.06</v>
      </c>
      <c r="C354" s="7" t="n">
        <v>-0.007</v>
      </c>
      <c r="D354" s="7" t="n">
        <v>-0.091</v>
      </c>
      <c r="E354" s="7" t="n">
        <v>0.025</v>
      </c>
      <c r="F354" s="7" t="n">
        <v>0.098</v>
      </c>
      <c r="G354" s="7" t="n">
        <v>-0.091</v>
      </c>
      <c r="H354" s="7" t="n">
        <v>-0.164</v>
      </c>
      <c r="I354" s="7" t="n">
        <v>-0.341</v>
      </c>
      <c r="J354" s="7" t="n">
        <v>-0.037</v>
      </c>
      <c r="K354" s="7" t="n">
        <v>0.04</v>
      </c>
      <c r="L354" s="7" t="n">
        <v>-0.151</v>
      </c>
      <c r="M354" s="7" t="n">
        <v>-0.047</v>
      </c>
      <c r="N354" s="7" t="n">
        <v>-0.012</v>
      </c>
      <c r="O354" s="7" t="n">
        <v>-0.075</v>
      </c>
      <c r="P354" s="7" t="n">
        <v>-0.099</v>
      </c>
      <c r="Q354" s="7" t="n">
        <v>-0.036</v>
      </c>
      <c r="R354" s="7" t="n">
        <v>-0.164</v>
      </c>
      <c r="S354" s="7" t="n">
        <v>0.008</v>
      </c>
      <c r="T354" s="7" t="n">
        <v>-0.093</v>
      </c>
      <c r="U354" s="7" t="n">
        <v>0.054</v>
      </c>
      <c r="V354" s="7" t="n">
        <v>-0.164</v>
      </c>
      <c r="W354" s="7" t="n">
        <v>-0.036</v>
      </c>
      <c r="X354" s="7" t="n">
        <v>-0.123</v>
      </c>
      <c r="Y354" s="7" t="n">
        <v>-0.006</v>
      </c>
      <c r="Z354" s="7" t="n">
        <v>0.034</v>
      </c>
      <c r="AA354" s="7" t="n">
        <v>-0.093</v>
      </c>
      <c r="AB354" s="7" t="n">
        <v>-0.146</v>
      </c>
      <c r="AC354" s="7" t="n">
        <v>-0.051</v>
      </c>
      <c r="AD354" s="7" t="n">
        <v>-0.079</v>
      </c>
      <c r="AE354" s="7" t="n">
        <v>0.098</v>
      </c>
      <c r="AF354" s="7" t="n">
        <v>0.208</v>
      </c>
      <c r="AG354" s="7" t="n">
        <v>-0.164</v>
      </c>
      <c r="AH354" s="7" t="n">
        <v>0.282</v>
      </c>
      <c r="AI354" s="7" t="n">
        <v>-0.105</v>
      </c>
      <c r="AJ354" s="7" t="n">
        <v>-0.379</v>
      </c>
      <c r="AK354" s="7" t="n">
        <v>-0.241</v>
      </c>
      <c r="AL354" s="7" t="n">
        <v>-0.06</v>
      </c>
      <c r="AM354" s="7" t="n">
        <v>-0.112</v>
      </c>
      <c r="AN354" s="7" t="n">
        <v>-0.175</v>
      </c>
      <c r="AO354" s="7" t="n">
        <v>0.034</v>
      </c>
      <c r="AP354" s="7" t="n">
        <v>-0.01</v>
      </c>
      <c r="AQ354" s="7" t="n">
        <v>-0.031</v>
      </c>
    </row>
    <row r="355" customFormat="false" ht="15" hidden="false" customHeight="false" outlineLevel="0" collapsed="false">
      <c r="A355" s="23" t="n">
        <v>46672</v>
      </c>
      <c r="B355" s="7" t="n">
        <v>-0.044</v>
      </c>
      <c r="C355" s="7" t="n">
        <v>-0.018</v>
      </c>
      <c r="D355" s="7" t="n">
        <v>-0.068</v>
      </c>
      <c r="E355" s="7" t="n">
        <v>0.047</v>
      </c>
      <c r="F355" s="7" t="n">
        <v>0.095</v>
      </c>
      <c r="G355" s="7" t="n">
        <v>-0.068</v>
      </c>
      <c r="H355" s="7" t="n">
        <v>-0.141</v>
      </c>
      <c r="I355" s="7" t="n">
        <v>-0.326</v>
      </c>
      <c r="J355" s="7" t="n">
        <v>-0.027</v>
      </c>
      <c r="K355" s="7" t="n">
        <v>0.065</v>
      </c>
      <c r="L355" s="7" t="n">
        <v>-0.16</v>
      </c>
      <c r="M355" s="7" t="n">
        <v>-0.038</v>
      </c>
      <c r="N355" s="7" t="n">
        <v>-0.019</v>
      </c>
      <c r="O355" s="7" t="n">
        <v>-0.079</v>
      </c>
      <c r="P355" s="7" t="n">
        <v>-0.073</v>
      </c>
      <c r="Q355" s="7" t="n">
        <v>-0.039</v>
      </c>
      <c r="R355" s="7" t="n">
        <v>-0.141</v>
      </c>
      <c r="S355" s="7" t="n">
        <v>0.026</v>
      </c>
      <c r="T355" s="7" t="n">
        <v>-0.079</v>
      </c>
      <c r="U355" s="7" t="n">
        <v>0.054</v>
      </c>
      <c r="V355" s="7" t="n">
        <v>-0.141</v>
      </c>
      <c r="W355" s="7" t="n">
        <v>-0.039</v>
      </c>
      <c r="X355" s="7" t="n">
        <v>-0.1</v>
      </c>
      <c r="Y355" s="7" t="n">
        <v>0.007</v>
      </c>
      <c r="Z355" s="7" t="n">
        <v>0.057</v>
      </c>
      <c r="AA355" s="7" t="n">
        <v>-0.079</v>
      </c>
      <c r="AB355" s="7" t="n">
        <v>-0.139</v>
      </c>
      <c r="AC355" s="7" t="n">
        <v>-0.056</v>
      </c>
      <c r="AD355" s="7" t="n">
        <v>-0.053</v>
      </c>
      <c r="AE355" s="7" t="n">
        <v>0.095</v>
      </c>
      <c r="AF355" s="7" t="n">
        <v>0.211</v>
      </c>
      <c r="AG355" s="7" t="n">
        <v>-0.141</v>
      </c>
      <c r="AH355" s="7" t="n">
        <v>0.267</v>
      </c>
      <c r="AI355" s="7" t="n">
        <v>-0.107</v>
      </c>
      <c r="AJ355" s="7" t="n">
        <v>-0.376</v>
      </c>
      <c r="AK355" s="7" t="n">
        <v>-0.251</v>
      </c>
      <c r="AL355" s="7" t="n">
        <v>-0.042</v>
      </c>
      <c r="AM355" s="7" t="n">
        <v>-0.115</v>
      </c>
      <c r="AN355" s="7" t="n">
        <v>-0.16</v>
      </c>
      <c r="AO355" s="7" t="n">
        <v>0.029</v>
      </c>
      <c r="AP355" s="7" t="n">
        <v>-0.012</v>
      </c>
      <c r="AQ355" s="7" t="n">
        <v>-0.025</v>
      </c>
    </row>
    <row r="356" customFormat="false" ht="15" hidden="false" customHeight="false" outlineLevel="0" collapsed="false">
      <c r="A356" s="23" t="n">
        <v>46673</v>
      </c>
      <c r="B356" s="7" t="n">
        <v>-0.028</v>
      </c>
      <c r="C356" s="7" t="n">
        <v>-0.028</v>
      </c>
      <c r="D356" s="7" t="n">
        <v>-0.045</v>
      </c>
      <c r="E356" s="7" t="n">
        <v>0.069</v>
      </c>
      <c r="F356" s="7" t="n">
        <v>0.093</v>
      </c>
      <c r="G356" s="7" t="n">
        <v>-0.045</v>
      </c>
      <c r="H356" s="7" t="n">
        <v>-0.119</v>
      </c>
      <c r="I356" s="7" t="n">
        <v>-0.309</v>
      </c>
      <c r="J356" s="7" t="n">
        <v>-0.016</v>
      </c>
      <c r="K356" s="7" t="n">
        <v>0.09</v>
      </c>
      <c r="L356" s="7" t="n">
        <v>-0.165</v>
      </c>
      <c r="M356" s="7" t="n">
        <v>-0.03</v>
      </c>
      <c r="N356" s="7" t="n">
        <v>-0.021</v>
      </c>
      <c r="O356" s="7" t="n">
        <v>-0.078</v>
      </c>
      <c r="P356" s="7" t="n">
        <v>-0.047</v>
      </c>
      <c r="Q356" s="7" t="n">
        <v>-0.042</v>
      </c>
      <c r="R356" s="7" t="n">
        <v>-0.119</v>
      </c>
      <c r="S356" s="7" t="n">
        <v>0.04</v>
      </c>
      <c r="T356" s="7" t="n">
        <v>-0.066</v>
      </c>
      <c r="U356" s="7" t="n">
        <v>0.054</v>
      </c>
      <c r="V356" s="7" t="n">
        <v>-0.119</v>
      </c>
      <c r="W356" s="7" t="n">
        <v>-0.042</v>
      </c>
      <c r="X356" s="7" t="n">
        <v>-0.077</v>
      </c>
      <c r="Y356" s="7" t="n">
        <v>0.018</v>
      </c>
      <c r="Z356" s="7" t="n">
        <v>0.081</v>
      </c>
      <c r="AA356" s="7" t="n">
        <v>-0.066</v>
      </c>
      <c r="AB356" s="7" t="n">
        <v>-0.128</v>
      </c>
      <c r="AC356" s="7" t="n">
        <v>-0.061</v>
      </c>
      <c r="AD356" s="7" t="n">
        <v>-0.027</v>
      </c>
      <c r="AE356" s="7" t="n">
        <v>0.093</v>
      </c>
      <c r="AF356" s="7" t="n">
        <v>0.213</v>
      </c>
      <c r="AG356" s="7" t="n">
        <v>-0.119</v>
      </c>
      <c r="AH356" s="7" t="n">
        <v>0.252</v>
      </c>
      <c r="AI356" s="7" t="n">
        <v>-0.106</v>
      </c>
      <c r="AJ356" s="7" t="n">
        <v>-0.372</v>
      </c>
      <c r="AK356" s="7" t="n">
        <v>-0.258</v>
      </c>
      <c r="AL356" s="7" t="n">
        <v>-0.024</v>
      </c>
      <c r="AM356" s="7" t="n">
        <v>-0.115</v>
      </c>
      <c r="AN356" s="7" t="n">
        <v>-0.146</v>
      </c>
      <c r="AO356" s="7" t="n">
        <v>0.024</v>
      </c>
      <c r="AP356" s="7" t="n">
        <v>-0.014</v>
      </c>
      <c r="AQ356" s="7" t="n">
        <v>-0.018</v>
      </c>
    </row>
    <row r="357" customFormat="false" ht="15" hidden="false" customHeight="false" outlineLevel="0" collapsed="false">
      <c r="A357" s="23" t="n">
        <v>46674</v>
      </c>
      <c r="B357" s="7" t="n">
        <v>-0.01</v>
      </c>
      <c r="C357" s="7" t="n">
        <v>-0.034</v>
      </c>
      <c r="D357" s="7" t="n">
        <v>-0.022</v>
      </c>
      <c r="E357" s="7" t="n">
        <v>0.094</v>
      </c>
      <c r="F357" s="7" t="n">
        <v>0.092</v>
      </c>
      <c r="G357" s="7" t="n">
        <v>-0.022</v>
      </c>
      <c r="H357" s="7" t="n">
        <v>-0.097</v>
      </c>
      <c r="I357" s="7" t="n">
        <v>-0.291</v>
      </c>
      <c r="J357" s="7" t="n">
        <v>-0.005</v>
      </c>
      <c r="K357" s="7" t="n">
        <v>0.118</v>
      </c>
      <c r="L357" s="7" t="n">
        <v>-0.171</v>
      </c>
      <c r="M357" s="7" t="n">
        <v>-0.021</v>
      </c>
      <c r="N357" s="7" t="n">
        <v>-0.021</v>
      </c>
      <c r="O357" s="7" t="n">
        <v>-0.078</v>
      </c>
      <c r="P357" s="7" t="n">
        <v>-0.021</v>
      </c>
      <c r="Q357" s="7" t="n">
        <v>-0.047</v>
      </c>
      <c r="R357" s="7" t="n">
        <v>-0.097</v>
      </c>
      <c r="S357" s="7" t="n">
        <v>0.061</v>
      </c>
      <c r="T357" s="7" t="n">
        <v>-0.054</v>
      </c>
      <c r="U357" s="7" t="n">
        <v>0.056</v>
      </c>
      <c r="V357" s="7" t="n">
        <v>-0.097</v>
      </c>
      <c r="W357" s="7" t="n">
        <v>-0.047</v>
      </c>
      <c r="X357" s="7" t="n">
        <v>-0.054</v>
      </c>
      <c r="Y357" s="7" t="n">
        <v>0.03</v>
      </c>
      <c r="Z357" s="7" t="n">
        <v>0.108</v>
      </c>
      <c r="AA357" s="7" t="n">
        <v>-0.054</v>
      </c>
      <c r="AB357" s="7" t="n">
        <v>-0.117</v>
      </c>
      <c r="AC357" s="7" t="n">
        <v>-0.067</v>
      </c>
      <c r="AD357" s="7" t="n">
        <v>0.002</v>
      </c>
      <c r="AE357" s="7" t="n">
        <v>0.092</v>
      </c>
      <c r="AF357" s="7" t="n">
        <v>0.217</v>
      </c>
      <c r="AG357" s="7" t="n">
        <v>-0.097</v>
      </c>
      <c r="AH357" s="7" t="n">
        <v>0.237</v>
      </c>
      <c r="AI357" s="7" t="n">
        <v>-0.105</v>
      </c>
      <c r="AJ357" s="7" t="n">
        <v>-0.368</v>
      </c>
      <c r="AK357" s="7" t="n">
        <v>-0.266</v>
      </c>
      <c r="AL357" s="7" t="n">
        <v>-0.006</v>
      </c>
      <c r="AM357" s="7" t="n">
        <v>-0.115</v>
      </c>
      <c r="AN357" s="7" t="n">
        <v>-0.133</v>
      </c>
      <c r="AO357" s="7" t="n">
        <v>0.019</v>
      </c>
      <c r="AP357" s="7" t="n">
        <v>-0.016</v>
      </c>
      <c r="AQ357" s="7" t="n">
        <v>-0.012</v>
      </c>
    </row>
    <row r="358" customFormat="false" ht="15" hidden="false" customHeight="false" outlineLevel="0" collapsed="false">
      <c r="A358" s="23" t="n">
        <v>46675</v>
      </c>
      <c r="B358" s="7" t="n">
        <v>0.008</v>
      </c>
      <c r="C358" s="7" t="n">
        <v>-0.04</v>
      </c>
      <c r="D358" s="7" t="n">
        <v>0.002</v>
      </c>
      <c r="E358" s="7" t="n">
        <v>0.118</v>
      </c>
      <c r="F358" s="7" t="n">
        <v>0.091</v>
      </c>
      <c r="G358" s="7" t="n">
        <v>0.002</v>
      </c>
      <c r="H358" s="7" t="n">
        <v>-0.076</v>
      </c>
      <c r="I358" s="7" t="n">
        <v>-0.275</v>
      </c>
      <c r="J358" s="7" t="n">
        <v>0.005</v>
      </c>
      <c r="K358" s="7" t="n">
        <v>0.146</v>
      </c>
      <c r="L358" s="7" t="n">
        <v>-0.177</v>
      </c>
      <c r="M358" s="7" t="n">
        <v>-0.013</v>
      </c>
      <c r="N358" s="7" t="n">
        <v>-0.022</v>
      </c>
      <c r="O358" s="7" t="n">
        <v>-0.079</v>
      </c>
      <c r="P358" s="7" t="n">
        <v>0.004</v>
      </c>
      <c r="Q358" s="7" t="n">
        <v>-0.051</v>
      </c>
      <c r="R358" s="7" t="n">
        <v>-0.076</v>
      </c>
      <c r="S358" s="7" t="n">
        <v>0.082</v>
      </c>
      <c r="T358" s="7" t="n">
        <v>-0.042</v>
      </c>
      <c r="U358" s="7" t="n">
        <v>0.057</v>
      </c>
      <c r="V358" s="7" t="n">
        <v>-0.076</v>
      </c>
      <c r="W358" s="7" t="n">
        <v>-0.051</v>
      </c>
      <c r="X358" s="7" t="n">
        <v>-0.032</v>
      </c>
      <c r="Y358" s="7" t="n">
        <v>0.041</v>
      </c>
      <c r="Z358" s="7" t="n">
        <v>0.135</v>
      </c>
      <c r="AA358" s="7" t="n">
        <v>-0.042</v>
      </c>
      <c r="AB358" s="7" t="n">
        <v>-0.107</v>
      </c>
      <c r="AC358" s="7" t="n">
        <v>-0.073</v>
      </c>
      <c r="AD358" s="7" t="n">
        <v>0.03</v>
      </c>
      <c r="AE358" s="7" t="n">
        <v>0.091</v>
      </c>
      <c r="AF358" s="7" t="n">
        <v>0.222</v>
      </c>
      <c r="AG358" s="7" t="n">
        <v>-0.076</v>
      </c>
      <c r="AH358" s="7" t="n">
        <v>0.221</v>
      </c>
      <c r="AI358" s="7" t="n">
        <v>-0.105</v>
      </c>
      <c r="AJ358" s="7" t="n">
        <v>-0.365</v>
      </c>
      <c r="AK358" s="7" t="n">
        <v>-0.275</v>
      </c>
      <c r="AL358" s="7" t="n">
        <v>0.012</v>
      </c>
      <c r="AM358" s="7" t="n">
        <v>-0.114</v>
      </c>
      <c r="AN358" s="7" t="n">
        <v>-0.119</v>
      </c>
      <c r="AO358" s="7" t="n">
        <v>0.013</v>
      </c>
      <c r="AP358" s="7" t="n">
        <v>-0.018</v>
      </c>
      <c r="AQ358" s="7" t="n">
        <v>-0.007</v>
      </c>
    </row>
    <row r="359" customFormat="false" ht="15" hidden="false" customHeight="false" outlineLevel="0" collapsed="false">
      <c r="A359" s="23" t="n">
        <v>46676</v>
      </c>
      <c r="B359" s="7" t="n">
        <v>0.024</v>
      </c>
      <c r="C359" s="7" t="n">
        <v>-0.049</v>
      </c>
      <c r="D359" s="7" t="n">
        <v>0.025</v>
      </c>
      <c r="E359" s="7" t="n">
        <v>0.143</v>
      </c>
      <c r="F359" s="7" t="n">
        <v>0.089</v>
      </c>
      <c r="G359" s="7" t="n">
        <v>0.025</v>
      </c>
      <c r="H359" s="7" t="n">
        <v>-0.055</v>
      </c>
      <c r="I359" s="7" t="n">
        <v>-0.259</v>
      </c>
      <c r="J359" s="7" t="n">
        <v>0.014</v>
      </c>
      <c r="K359" s="7" t="n">
        <v>0.175</v>
      </c>
      <c r="L359" s="7" t="n">
        <v>-0.184</v>
      </c>
      <c r="M359" s="7" t="n">
        <v>-0.006</v>
      </c>
      <c r="N359" s="7" t="n">
        <v>-0.024</v>
      </c>
      <c r="O359" s="7" t="n">
        <v>-0.079</v>
      </c>
      <c r="P359" s="7" t="n">
        <v>0.03</v>
      </c>
      <c r="Q359" s="7" t="n">
        <v>-0.055</v>
      </c>
      <c r="R359" s="7" t="n">
        <v>-0.055</v>
      </c>
      <c r="S359" s="7" t="n">
        <v>0.103</v>
      </c>
      <c r="T359" s="7" t="n">
        <v>-0.032</v>
      </c>
      <c r="U359" s="7" t="n">
        <v>0.057</v>
      </c>
      <c r="V359" s="7" t="n">
        <v>-0.055</v>
      </c>
      <c r="W359" s="7" t="n">
        <v>-0.055</v>
      </c>
      <c r="X359" s="7" t="n">
        <v>-0.009</v>
      </c>
      <c r="Y359" s="7" t="n">
        <v>0.051</v>
      </c>
      <c r="Z359" s="7" t="n">
        <v>0.163</v>
      </c>
      <c r="AA359" s="7" t="n">
        <v>-0.032</v>
      </c>
      <c r="AB359" s="7" t="n">
        <v>-0.097</v>
      </c>
      <c r="AC359" s="7" t="n">
        <v>-0.08</v>
      </c>
      <c r="AD359" s="7" t="n">
        <v>0.058</v>
      </c>
      <c r="AE359" s="7" t="n">
        <v>0.089</v>
      </c>
      <c r="AF359" s="7" t="n">
        <v>0.228</v>
      </c>
      <c r="AG359" s="7" t="n">
        <v>-0.055</v>
      </c>
      <c r="AH359" s="7" t="n">
        <v>0.205</v>
      </c>
      <c r="AI359" s="7" t="n">
        <v>-0.104</v>
      </c>
      <c r="AJ359" s="7" t="n">
        <v>-0.365</v>
      </c>
      <c r="AK359" s="7" t="n">
        <v>-0.287</v>
      </c>
      <c r="AL359" s="7" t="n">
        <v>0.03</v>
      </c>
      <c r="AM359" s="7" t="n">
        <v>-0.114</v>
      </c>
      <c r="AN359" s="7" t="n">
        <v>-0.108</v>
      </c>
      <c r="AO359" s="7" t="n">
        <v>0.005</v>
      </c>
      <c r="AP359" s="7" t="n">
        <v>-0.021</v>
      </c>
      <c r="AQ359" s="7" t="n">
        <v>-0.001</v>
      </c>
    </row>
    <row r="360" customFormat="false" ht="15" hidden="false" customHeight="false" outlineLevel="0" collapsed="false">
      <c r="A360" s="23" t="n">
        <v>46677</v>
      </c>
      <c r="B360" s="7" t="n">
        <v>0.024</v>
      </c>
      <c r="C360" s="7" t="n">
        <v>-0.049</v>
      </c>
      <c r="D360" s="7" t="n">
        <v>0.025</v>
      </c>
      <c r="E360" s="7" t="n">
        <v>0.143</v>
      </c>
      <c r="F360" s="7" t="n">
        <v>0.089</v>
      </c>
      <c r="G360" s="7" t="n">
        <v>0.025</v>
      </c>
      <c r="H360" s="7" t="n">
        <v>-0.055</v>
      </c>
      <c r="I360" s="7" t="n">
        <v>-0.259</v>
      </c>
      <c r="J360" s="7" t="n">
        <v>0.014</v>
      </c>
      <c r="K360" s="7" t="n">
        <v>0.175</v>
      </c>
      <c r="L360" s="7" t="n">
        <v>-0.184</v>
      </c>
      <c r="M360" s="7" t="n">
        <v>-0.006</v>
      </c>
      <c r="N360" s="7" t="n">
        <v>-0.024</v>
      </c>
      <c r="O360" s="7" t="n">
        <v>-0.079</v>
      </c>
      <c r="P360" s="7" t="n">
        <v>0.03</v>
      </c>
      <c r="Q360" s="7" t="n">
        <v>-0.055</v>
      </c>
      <c r="R360" s="7" t="n">
        <v>-0.055</v>
      </c>
      <c r="S360" s="7" t="n">
        <v>0.103</v>
      </c>
      <c r="T360" s="7" t="n">
        <v>-0.032</v>
      </c>
      <c r="U360" s="7" t="n">
        <v>0.057</v>
      </c>
      <c r="V360" s="7" t="n">
        <v>-0.055</v>
      </c>
      <c r="W360" s="7" t="n">
        <v>-0.055</v>
      </c>
      <c r="X360" s="7" t="n">
        <v>-0.009</v>
      </c>
      <c r="Y360" s="7" t="n">
        <v>0.051</v>
      </c>
      <c r="Z360" s="7" t="n">
        <v>0.163</v>
      </c>
      <c r="AA360" s="7" t="n">
        <v>-0.032</v>
      </c>
      <c r="AB360" s="7" t="n">
        <v>-0.097</v>
      </c>
      <c r="AC360" s="7" t="n">
        <v>-0.08</v>
      </c>
      <c r="AD360" s="7" t="n">
        <v>0.058</v>
      </c>
      <c r="AE360" s="7" t="n">
        <v>0.089</v>
      </c>
      <c r="AF360" s="7" t="n">
        <v>0.228</v>
      </c>
      <c r="AG360" s="7" t="n">
        <v>-0.055</v>
      </c>
      <c r="AH360" s="7" t="n">
        <v>0.205</v>
      </c>
      <c r="AI360" s="7" t="n">
        <v>-0.104</v>
      </c>
      <c r="AJ360" s="7" t="n">
        <v>-0.365</v>
      </c>
      <c r="AK360" s="7" t="n">
        <v>-0.287</v>
      </c>
      <c r="AL360" s="7" t="n">
        <v>0.03</v>
      </c>
      <c r="AM360" s="7" t="n">
        <v>-0.114</v>
      </c>
      <c r="AN360" s="7" t="n">
        <v>-0.108</v>
      </c>
      <c r="AO360" s="7" t="n">
        <v>0.005</v>
      </c>
      <c r="AP360" s="7" t="n">
        <v>-0.021</v>
      </c>
      <c r="AQ360" s="7" t="n">
        <v>-0.001</v>
      </c>
    </row>
    <row r="361" customFormat="false" ht="15" hidden="false" customHeight="false" outlineLevel="0" collapsed="false">
      <c r="A361" s="23" t="n">
        <v>46678</v>
      </c>
      <c r="B361" s="7" t="n">
        <v>0.024</v>
      </c>
      <c r="C361" s="7" t="n">
        <v>-0.049</v>
      </c>
      <c r="D361" s="7" t="n">
        <v>0.025</v>
      </c>
      <c r="E361" s="7" t="n">
        <v>0.143</v>
      </c>
      <c r="F361" s="7" t="n">
        <v>0.089</v>
      </c>
      <c r="G361" s="7" t="n">
        <v>0.025</v>
      </c>
      <c r="H361" s="7" t="n">
        <v>-0.055</v>
      </c>
      <c r="I361" s="7" t="n">
        <v>-0.259</v>
      </c>
      <c r="J361" s="7" t="n">
        <v>0.014</v>
      </c>
      <c r="K361" s="7" t="n">
        <v>0.175</v>
      </c>
      <c r="L361" s="7" t="n">
        <v>-0.184</v>
      </c>
      <c r="M361" s="7" t="n">
        <v>-0.006</v>
      </c>
      <c r="N361" s="7" t="n">
        <v>-0.024</v>
      </c>
      <c r="O361" s="7" t="n">
        <v>-0.079</v>
      </c>
      <c r="P361" s="7" t="n">
        <v>0.03</v>
      </c>
      <c r="Q361" s="7" t="n">
        <v>-0.055</v>
      </c>
      <c r="R361" s="7" t="n">
        <v>-0.055</v>
      </c>
      <c r="S361" s="7" t="n">
        <v>0.103</v>
      </c>
      <c r="T361" s="7" t="n">
        <v>-0.032</v>
      </c>
      <c r="U361" s="7" t="n">
        <v>0.057</v>
      </c>
      <c r="V361" s="7" t="n">
        <v>-0.055</v>
      </c>
      <c r="W361" s="7" t="n">
        <v>-0.055</v>
      </c>
      <c r="X361" s="7" t="n">
        <v>-0.009</v>
      </c>
      <c r="Y361" s="7" t="n">
        <v>0.051</v>
      </c>
      <c r="Z361" s="7" t="n">
        <v>0.163</v>
      </c>
      <c r="AA361" s="7" t="n">
        <v>-0.032</v>
      </c>
      <c r="AB361" s="7" t="n">
        <v>-0.097</v>
      </c>
      <c r="AC361" s="7" t="n">
        <v>-0.08</v>
      </c>
      <c r="AD361" s="7" t="n">
        <v>0.058</v>
      </c>
      <c r="AE361" s="7" t="n">
        <v>0.089</v>
      </c>
      <c r="AF361" s="7" t="n">
        <v>0.228</v>
      </c>
      <c r="AG361" s="7" t="n">
        <v>-0.055</v>
      </c>
      <c r="AH361" s="7" t="n">
        <v>0.205</v>
      </c>
      <c r="AI361" s="7" t="n">
        <v>-0.104</v>
      </c>
      <c r="AJ361" s="7" t="n">
        <v>-0.365</v>
      </c>
      <c r="AK361" s="7" t="n">
        <v>-0.287</v>
      </c>
      <c r="AL361" s="7" t="n">
        <v>0.03</v>
      </c>
      <c r="AM361" s="7" t="n">
        <v>-0.114</v>
      </c>
      <c r="AN361" s="7" t="n">
        <v>-0.108</v>
      </c>
      <c r="AO361" s="7" t="n">
        <v>0.005</v>
      </c>
      <c r="AP361" s="7" t="n">
        <v>-0.021</v>
      </c>
      <c r="AQ361" s="7" t="n">
        <v>-0.001</v>
      </c>
    </row>
    <row r="362" customFormat="false" ht="15" hidden="false" customHeight="false" outlineLevel="0" collapsed="false">
      <c r="A362" s="23" t="n">
        <v>46679</v>
      </c>
      <c r="B362" s="7" t="n">
        <v>0.042</v>
      </c>
      <c r="C362" s="7" t="n">
        <v>-0.054</v>
      </c>
      <c r="D362" s="7" t="n">
        <v>0.048</v>
      </c>
      <c r="E362" s="7" t="n">
        <v>0.168</v>
      </c>
      <c r="F362" s="7" t="n">
        <v>0.089</v>
      </c>
      <c r="G362" s="7" t="n">
        <v>0.048</v>
      </c>
      <c r="H362" s="7" t="n">
        <v>-0.035</v>
      </c>
      <c r="I362" s="7" t="n">
        <v>-0.243</v>
      </c>
      <c r="J362" s="7" t="n">
        <v>0.026</v>
      </c>
      <c r="K362" s="7" t="n">
        <v>0.204</v>
      </c>
      <c r="L362" s="7" t="n">
        <v>-0.18</v>
      </c>
      <c r="M362" s="7" t="n">
        <v>0.002</v>
      </c>
      <c r="N362" s="7" t="n">
        <v>-0.024</v>
      </c>
      <c r="O362" s="7" t="n">
        <v>-0.07</v>
      </c>
      <c r="P362" s="7" t="n">
        <v>0.057</v>
      </c>
      <c r="Q362" s="7" t="n">
        <v>-0.047</v>
      </c>
      <c r="R362" s="7" t="n">
        <v>-0.035</v>
      </c>
      <c r="S362" s="7" t="n">
        <v>0.124</v>
      </c>
      <c r="T362" s="7" t="n">
        <v>-0.024</v>
      </c>
      <c r="U362" s="7" t="n">
        <v>0.062</v>
      </c>
      <c r="V362" s="7" t="n">
        <v>-0.035</v>
      </c>
      <c r="W362" s="7" t="n">
        <v>-0.047</v>
      </c>
      <c r="X362" s="7" t="n">
        <v>0.014</v>
      </c>
      <c r="Y362" s="7" t="n">
        <v>0.063</v>
      </c>
      <c r="Z362" s="7" t="n">
        <v>0.191</v>
      </c>
      <c r="AA362" s="7" t="n">
        <v>-0.024</v>
      </c>
      <c r="AB362" s="7" t="n">
        <v>-0.085</v>
      </c>
      <c r="AC362" s="7" t="n">
        <v>-0.073</v>
      </c>
      <c r="AD362" s="7" t="n">
        <v>0.086</v>
      </c>
      <c r="AE362" s="7" t="n">
        <v>0.089</v>
      </c>
      <c r="AF362" s="7" t="n">
        <v>0.235</v>
      </c>
      <c r="AG362" s="7" t="n">
        <v>-0.035</v>
      </c>
      <c r="AH362" s="7" t="n">
        <v>0.19</v>
      </c>
      <c r="AI362" s="7" t="n">
        <v>-0.103</v>
      </c>
      <c r="AJ362" s="7" t="n">
        <v>-0.361</v>
      </c>
      <c r="AK362" s="7" t="n">
        <v>-0.296</v>
      </c>
      <c r="AL362" s="7" t="n">
        <v>0.048</v>
      </c>
      <c r="AM362" s="7" t="n">
        <v>-0.114</v>
      </c>
      <c r="AN362" s="7" t="n">
        <v>-0.097</v>
      </c>
      <c r="AO362" s="7" t="n">
        <v>-0.001</v>
      </c>
      <c r="AP362" s="7" t="n">
        <v>-0.024</v>
      </c>
      <c r="AQ362" s="7" t="n">
        <v>0.006</v>
      </c>
    </row>
    <row r="363" customFormat="false" ht="15" hidden="false" customHeight="false" outlineLevel="0" collapsed="false">
      <c r="A363" s="23" t="n">
        <v>46680</v>
      </c>
      <c r="B363" s="7" t="n">
        <v>0.061</v>
      </c>
      <c r="C363" s="7" t="n">
        <v>-0.06</v>
      </c>
      <c r="D363" s="7" t="n">
        <v>0.071</v>
      </c>
      <c r="E363" s="7" t="n">
        <v>0.192</v>
      </c>
      <c r="F363" s="7" t="n">
        <v>0.088</v>
      </c>
      <c r="G363" s="7" t="n">
        <v>0.071</v>
      </c>
      <c r="H363" s="7" t="n">
        <v>-0.015</v>
      </c>
      <c r="I363" s="7" t="n">
        <v>-0.226</v>
      </c>
      <c r="J363" s="7" t="n">
        <v>0.038</v>
      </c>
      <c r="K363" s="7" t="n">
        <v>0.233</v>
      </c>
      <c r="L363" s="7" t="n">
        <v>-0.174</v>
      </c>
      <c r="M363" s="7" t="n">
        <v>0.011</v>
      </c>
      <c r="N363" s="7" t="n">
        <v>-0.025</v>
      </c>
      <c r="O363" s="7" t="n">
        <v>-0.061</v>
      </c>
      <c r="P363" s="7" t="n">
        <v>0.083</v>
      </c>
      <c r="Q363" s="7" t="n">
        <v>-0.038</v>
      </c>
      <c r="R363" s="7" t="n">
        <v>-0.015</v>
      </c>
      <c r="S363" s="7" t="n">
        <v>0.145</v>
      </c>
      <c r="T363" s="7" t="n">
        <v>-0.015</v>
      </c>
      <c r="U363" s="7" t="n">
        <v>0.066</v>
      </c>
      <c r="V363" s="7" t="n">
        <v>-0.015</v>
      </c>
      <c r="W363" s="7" t="n">
        <v>-0.038</v>
      </c>
      <c r="X363" s="7" t="n">
        <v>0.038</v>
      </c>
      <c r="Y363" s="7" t="n">
        <v>0.075</v>
      </c>
      <c r="Z363" s="7" t="n">
        <v>0.218</v>
      </c>
      <c r="AA363" s="7" t="n">
        <v>-0.015</v>
      </c>
      <c r="AB363" s="7" t="n">
        <v>-0.074</v>
      </c>
      <c r="AC363" s="7" t="n">
        <v>-0.066</v>
      </c>
      <c r="AD363" s="7" t="n">
        <v>0.114</v>
      </c>
      <c r="AE363" s="7" t="n">
        <v>0.088</v>
      </c>
      <c r="AF363" s="7" t="n">
        <v>0.241</v>
      </c>
      <c r="AG363" s="7" t="n">
        <v>-0.015</v>
      </c>
      <c r="AH363" s="7" t="n">
        <v>0.175</v>
      </c>
      <c r="AI363" s="7" t="n">
        <v>-0.103</v>
      </c>
      <c r="AJ363" s="7" t="n">
        <v>-0.357</v>
      </c>
      <c r="AK363" s="7" t="n">
        <v>-0.306</v>
      </c>
      <c r="AL363" s="7" t="n">
        <v>0.066</v>
      </c>
      <c r="AM363" s="7" t="n">
        <v>-0.115</v>
      </c>
      <c r="AN363" s="7" t="n">
        <v>-0.086</v>
      </c>
      <c r="AO363" s="7" t="n">
        <v>-0.007</v>
      </c>
      <c r="AP363" s="7" t="n">
        <v>-0.027</v>
      </c>
      <c r="AQ363" s="7" t="n">
        <v>0.012</v>
      </c>
    </row>
    <row r="364" customFormat="false" ht="15" hidden="false" customHeight="false" outlineLevel="0" collapsed="false">
      <c r="A364" s="23" t="n">
        <v>46681</v>
      </c>
      <c r="B364" s="7" t="n">
        <v>0.057</v>
      </c>
      <c r="C364" s="7" t="n">
        <v>-0.069</v>
      </c>
      <c r="D364" s="7" t="n">
        <v>0.074</v>
      </c>
      <c r="E364" s="7" t="n">
        <v>0.19</v>
      </c>
      <c r="F364" s="7" t="n">
        <v>0.079</v>
      </c>
      <c r="G364" s="7" t="n">
        <v>0.074</v>
      </c>
      <c r="H364" s="7" t="n">
        <v>-0.007</v>
      </c>
      <c r="I364" s="7" t="n">
        <v>-0.224</v>
      </c>
      <c r="J364" s="7" t="n">
        <v>0.042</v>
      </c>
      <c r="K364" s="7" t="n">
        <v>0.233</v>
      </c>
      <c r="L364" s="7" t="n">
        <v>-0.18</v>
      </c>
      <c r="M364" s="7" t="n">
        <v>0.012</v>
      </c>
      <c r="N364" s="7" t="n">
        <v>-0.042</v>
      </c>
      <c r="O364" s="7" t="n">
        <v>-0.066</v>
      </c>
      <c r="P364" s="7" t="n">
        <v>0.087</v>
      </c>
      <c r="Q364" s="7" t="n">
        <v>-0.034</v>
      </c>
      <c r="R364" s="7" t="n">
        <v>-0.007</v>
      </c>
      <c r="S364" s="7" t="n">
        <v>0.15</v>
      </c>
      <c r="T364" s="7" t="n">
        <v>-0.007</v>
      </c>
      <c r="U364" s="7" t="n">
        <v>0.06</v>
      </c>
      <c r="V364" s="7" t="n">
        <v>-0.007</v>
      </c>
      <c r="W364" s="7" t="n">
        <v>-0.034</v>
      </c>
      <c r="X364" s="7" t="n">
        <v>0.042</v>
      </c>
      <c r="Y364" s="7" t="n">
        <v>0.078</v>
      </c>
      <c r="Z364" s="7" t="n">
        <v>0.215</v>
      </c>
      <c r="AA364" s="7" t="n">
        <v>-0.007</v>
      </c>
      <c r="AB364" s="7" t="n">
        <v>-0.077</v>
      </c>
      <c r="AC364" s="7" t="n">
        <v>-0.06</v>
      </c>
      <c r="AD364" s="7" t="n">
        <v>0.113</v>
      </c>
      <c r="AE364" s="7" t="n">
        <v>0.079</v>
      </c>
      <c r="AF364" s="7" t="n">
        <v>0.238</v>
      </c>
      <c r="AG364" s="7" t="n">
        <v>-0.007</v>
      </c>
      <c r="AH364" s="7" t="n">
        <v>0.167</v>
      </c>
      <c r="AI364" s="7" t="n">
        <v>-0.109</v>
      </c>
      <c r="AJ364" s="7" t="n">
        <v>-0.358</v>
      </c>
      <c r="AK364" s="7" t="n">
        <v>-0.306</v>
      </c>
      <c r="AL364" s="7" t="n">
        <v>0.065</v>
      </c>
      <c r="AM364" s="7" t="n">
        <v>-0.122</v>
      </c>
      <c r="AN364" s="7" t="n">
        <v>-0.08</v>
      </c>
      <c r="AO364" s="7" t="n">
        <v>-0.01</v>
      </c>
      <c r="AP364" s="7" t="n">
        <v>-0.031</v>
      </c>
      <c r="AQ364" s="7" t="n">
        <v>0.013</v>
      </c>
    </row>
    <row r="365" customFormat="false" ht="15" hidden="false" customHeight="false" outlineLevel="0" collapsed="false">
      <c r="A365" s="23" t="n">
        <v>46682</v>
      </c>
      <c r="B365" s="7" t="n">
        <v>0.056</v>
      </c>
      <c r="C365" s="7" t="n">
        <v>-0.078</v>
      </c>
      <c r="D365" s="7" t="n">
        <v>0.076</v>
      </c>
      <c r="E365" s="7" t="n">
        <v>0.187</v>
      </c>
      <c r="F365" s="7" t="n">
        <v>0.073</v>
      </c>
      <c r="G365" s="7" t="n">
        <v>0.076</v>
      </c>
      <c r="H365" s="7" t="n">
        <v>0.002</v>
      </c>
      <c r="I365" s="7" t="n">
        <v>-0.224</v>
      </c>
      <c r="J365" s="7" t="n">
        <v>0.046</v>
      </c>
      <c r="K365" s="7" t="n">
        <v>0.233</v>
      </c>
      <c r="L365" s="7" t="n">
        <v>-0.177</v>
      </c>
      <c r="M365" s="7" t="n">
        <v>0.013</v>
      </c>
      <c r="N365" s="7" t="n">
        <v>-0.055</v>
      </c>
      <c r="O365" s="7" t="n">
        <v>-0.067</v>
      </c>
      <c r="P365" s="7" t="n">
        <v>0.091</v>
      </c>
      <c r="Q365" s="7" t="n">
        <v>-0.02</v>
      </c>
      <c r="R365" s="7" t="n">
        <v>0.002</v>
      </c>
      <c r="S365" s="7" t="n">
        <v>0.155</v>
      </c>
      <c r="T365" s="7" t="n">
        <v>0.002</v>
      </c>
      <c r="U365" s="7" t="n">
        <v>0.058</v>
      </c>
      <c r="V365" s="7" t="n">
        <v>0.002</v>
      </c>
      <c r="W365" s="7" t="n">
        <v>-0.02</v>
      </c>
      <c r="X365" s="7" t="n">
        <v>0.046</v>
      </c>
      <c r="Y365" s="7" t="n">
        <v>0.082</v>
      </c>
      <c r="Z365" s="7" t="n">
        <v>0.212</v>
      </c>
      <c r="AA365" s="7" t="n">
        <v>0.002</v>
      </c>
      <c r="AB365" s="7" t="n">
        <v>-0.081</v>
      </c>
      <c r="AC365" s="7" t="n">
        <v>-0.045</v>
      </c>
      <c r="AD365" s="7" t="n">
        <v>0.113</v>
      </c>
      <c r="AE365" s="7" t="n">
        <v>0.073</v>
      </c>
      <c r="AF365" s="7" t="n">
        <v>0.241</v>
      </c>
      <c r="AG365" s="7" t="n">
        <v>0.002</v>
      </c>
      <c r="AH365" s="7" t="n">
        <v>0.158</v>
      </c>
      <c r="AI365" s="7" t="n">
        <v>-0.115</v>
      </c>
      <c r="AJ365" s="7" t="n">
        <v>-0.364</v>
      </c>
      <c r="AK365" s="7" t="n">
        <v>-0.31</v>
      </c>
      <c r="AL365" s="7" t="n">
        <v>0.064</v>
      </c>
      <c r="AM365" s="7" t="n">
        <v>-0.129</v>
      </c>
      <c r="AN365" s="7" t="n">
        <v>-0.074</v>
      </c>
      <c r="AO365" s="7" t="n">
        <v>-0.014</v>
      </c>
      <c r="AP365" s="7" t="n">
        <v>-0.034</v>
      </c>
      <c r="AQ365" s="7" t="n">
        <v>0.014</v>
      </c>
    </row>
    <row r="366" customFormat="false" ht="15" hidden="false" customHeight="false" outlineLevel="0" collapsed="false">
      <c r="A366" s="23" t="n">
        <v>46683</v>
      </c>
      <c r="B366" s="7" t="n">
        <v>0.063</v>
      </c>
      <c r="C366" s="7" t="n">
        <v>-0.08</v>
      </c>
      <c r="D366" s="7" t="n">
        <v>0.079</v>
      </c>
      <c r="E366" s="7" t="n">
        <v>0.197</v>
      </c>
      <c r="F366" s="7" t="n">
        <v>0.076</v>
      </c>
      <c r="G366" s="7" t="n">
        <v>0.079</v>
      </c>
      <c r="H366" s="7" t="n">
        <v>0.011</v>
      </c>
      <c r="I366" s="7" t="n">
        <v>-0.224</v>
      </c>
      <c r="J366" s="7" t="n">
        <v>0.05</v>
      </c>
      <c r="K366" s="7" t="n">
        <v>0.246</v>
      </c>
      <c r="L366" s="7" t="n">
        <v>-0.171</v>
      </c>
      <c r="M366" s="7" t="n">
        <v>0.014</v>
      </c>
      <c r="N366" s="7" t="n">
        <v>-0.06</v>
      </c>
      <c r="O366" s="7" t="n">
        <v>-0.064</v>
      </c>
      <c r="P366" s="7" t="n">
        <v>0.098</v>
      </c>
      <c r="Q366" s="7" t="n">
        <v>-0.003</v>
      </c>
      <c r="R366" s="7" t="n">
        <v>0.011</v>
      </c>
      <c r="S366" s="7" t="n">
        <v>0.167</v>
      </c>
      <c r="T366" s="7" t="n">
        <v>0.011</v>
      </c>
      <c r="U366" s="7" t="n">
        <v>0.067</v>
      </c>
      <c r="V366" s="7" t="n">
        <v>0.011</v>
      </c>
      <c r="W366" s="7" t="n">
        <v>-0.003</v>
      </c>
      <c r="X366" s="7" t="n">
        <v>0.05</v>
      </c>
      <c r="Y366" s="7" t="n">
        <v>0.091</v>
      </c>
      <c r="Z366" s="7" t="n">
        <v>0.223</v>
      </c>
      <c r="AA366" s="7" t="n">
        <v>0.011</v>
      </c>
      <c r="AB366" s="7" t="n">
        <v>-0.085</v>
      </c>
      <c r="AC366" s="7" t="n">
        <v>-0.026</v>
      </c>
      <c r="AD366" s="7" t="n">
        <v>0.121</v>
      </c>
      <c r="AE366" s="7" t="n">
        <v>0.076</v>
      </c>
      <c r="AF366" s="7" t="n">
        <v>0.251</v>
      </c>
      <c r="AG366" s="7" t="n">
        <v>0.011</v>
      </c>
      <c r="AH366" s="7" t="n">
        <v>0.149</v>
      </c>
      <c r="AI366" s="7" t="n">
        <v>-0.118</v>
      </c>
      <c r="AJ366" s="7" t="n">
        <v>-0.368</v>
      </c>
      <c r="AK366" s="7" t="n">
        <v>-0.313</v>
      </c>
      <c r="AL366" s="7" t="n">
        <v>0.067</v>
      </c>
      <c r="AM366" s="7" t="n">
        <v>-0.137</v>
      </c>
      <c r="AN366" s="7" t="n">
        <v>-0.067</v>
      </c>
      <c r="AO366" s="7" t="n">
        <v>-0.018</v>
      </c>
      <c r="AP366" s="7" t="n">
        <v>-0.037</v>
      </c>
      <c r="AQ366" s="7" t="n">
        <v>0.019</v>
      </c>
    </row>
    <row r="367" customFormat="false" ht="15" hidden="false" customHeight="false" outlineLevel="0" collapsed="false">
      <c r="A367" s="23" t="n">
        <v>46684</v>
      </c>
      <c r="B367" s="7" t="n">
        <v>0.063</v>
      </c>
      <c r="C367" s="7" t="n">
        <v>-0.08</v>
      </c>
      <c r="D367" s="7" t="n">
        <v>0.079</v>
      </c>
      <c r="E367" s="7" t="n">
        <v>0.197</v>
      </c>
      <c r="F367" s="7" t="n">
        <v>0.076</v>
      </c>
      <c r="G367" s="7" t="n">
        <v>0.079</v>
      </c>
      <c r="H367" s="7" t="n">
        <v>0.011</v>
      </c>
      <c r="I367" s="7" t="n">
        <v>-0.224</v>
      </c>
      <c r="J367" s="7" t="n">
        <v>0.05</v>
      </c>
      <c r="K367" s="7" t="n">
        <v>0.246</v>
      </c>
      <c r="L367" s="7" t="n">
        <v>-0.171</v>
      </c>
      <c r="M367" s="7" t="n">
        <v>0.014</v>
      </c>
      <c r="N367" s="7" t="n">
        <v>-0.06</v>
      </c>
      <c r="O367" s="7" t="n">
        <v>-0.064</v>
      </c>
      <c r="P367" s="7" t="n">
        <v>0.098</v>
      </c>
      <c r="Q367" s="7" t="n">
        <v>-0.003</v>
      </c>
      <c r="R367" s="7" t="n">
        <v>0.011</v>
      </c>
      <c r="S367" s="7" t="n">
        <v>0.167</v>
      </c>
      <c r="T367" s="7" t="n">
        <v>0.011</v>
      </c>
      <c r="U367" s="7" t="n">
        <v>0.067</v>
      </c>
      <c r="V367" s="7" t="n">
        <v>0.011</v>
      </c>
      <c r="W367" s="7" t="n">
        <v>-0.003</v>
      </c>
      <c r="X367" s="7" t="n">
        <v>0.05</v>
      </c>
      <c r="Y367" s="7" t="n">
        <v>0.091</v>
      </c>
      <c r="Z367" s="7" t="n">
        <v>0.223</v>
      </c>
      <c r="AA367" s="7" t="n">
        <v>0.011</v>
      </c>
      <c r="AB367" s="7" t="n">
        <v>-0.085</v>
      </c>
      <c r="AC367" s="7" t="n">
        <v>-0.026</v>
      </c>
      <c r="AD367" s="7" t="n">
        <v>0.121</v>
      </c>
      <c r="AE367" s="7" t="n">
        <v>0.076</v>
      </c>
      <c r="AF367" s="7" t="n">
        <v>0.251</v>
      </c>
      <c r="AG367" s="7" t="n">
        <v>0.011</v>
      </c>
      <c r="AH367" s="7" t="n">
        <v>0.149</v>
      </c>
      <c r="AI367" s="7" t="n">
        <v>-0.118</v>
      </c>
      <c r="AJ367" s="7" t="n">
        <v>-0.368</v>
      </c>
      <c r="AK367" s="7" t="n">
        <v>-0.313</v>
      </c>
      <c r="AL367" s="7" t="n">
        <v>0.067</v>
      </c>
      <c r="AM367" s="7" t="n">
        <v>-0.137</v>
      </c>
      <c r="AN367" s="7" t="n">
        <v>-0.067</v>
      </c>
      <c r="AO367" s="7" t="n">
        <v>-0.018</v>
      </c>
      <c r="AP367" s="7" t="n">
        <v>-0.037</v>
      </c>
      <c r="AQ367" s="7" t="n">
        <v>0.019</v>
      </c>
    </row>
    <row r="368" customFormat="false" ht="15" hidden="false" customHeight="false" outlineLevel="0" collapsed="false">
      <c r="A368" s="23" t="n">
        <v>46685</v>
      </c>
      <c r="B368" s="7" t="n">
        <v>0.063</v>
      </c>
      <c r="C368" s="7" t="n">
        <v>-0.08</v>
      </c>
      <c r="D368" s="7" t="n">
        <v>0.079</v>
      </c>
      <c r="E368" s="7" t="n">
        <v>0.197</v>
      </c>
      <c r="F368" s="7" t="n">
        <v>0.076</v>
      </c>
      <c r="G368" s="7" t="n">
        <v>0.079</v>
      </c>
      <c r="H368" s="7" t="n">
        <v>0.011</v>
      </c>
      <c r="I368" s="7" t="n">
        <v>-0.224</v>
      </c>
      <c r="J368" s="7" t="n">
        <v>0.05</v>
      </c>
      <c r="K368" s="7" t="n">
        <v>0.246</v>
      </c>
      <c r="L368" s="7" t="n">
        <v>-0.171</v>
      </c>
      <c r="M368" s="7" t="n">
        <v>0.014</v>
      </c>
      <c r="N368" s="7" t="n">
        <v>-0.06</v>
      </c>
      <c r="O368" s="7" t="n">
        <v>-0.064</v>
      </c>
      <c r="P368" s="7" t="n">
        <v>0.098</v>
      </c>
      <c r="Q368" s="7" t="n">
        <v>-0.003</v>
      </c>
      <c r="R368" s="7" t="n">
        <v>0.011</v>
      </c>
      <c r="S368" s="7" t="n">
        <v>0.167</v>
      </c>
      <c r="T368" s="7" t="n">
        <v>0.011</v>
      </c>
      <c r="U368" s="7" t="n">
        <v>0.067</v>
      </c>
      <c r="V368" s="7" t="n">
        <v>0.011</v>
      </c>
      <c r="W368" s="7" t="n">
        <v>-0.003</v>
      </c>
      <c r="X368" s="7" t="n">
        <v>0.05</v>
      </c>
      <c r="Y368" s="7" t="n">
        <v>0.091</v>
      </c>
      <c r="Z368" s="7" t="n">
        <v>0.223</v>
      </c>
      <c r="AA368" s="7" t="n">
        <v>0.011</v>
      </c>
      <c r="AB368" s="7" t="n">
        <v>-0.085</v>
      </c>
      <c r="AC368" s="7" t="n">
        <v>-0.026</v>
      </c>
      <c r="AD368" s="7" t="n">
        <v>0.121</v>
      </c>
      <c r="AE368" s="7" t="n">
        <v>0.076</v>
      </c>
      <c r="AF368" s="7" t="n">
        <v>0.251</v>
      </c>
      <c r="AG368" s="7" t="n">
        <v>0.011</v>
      </c>
      <c r="AH368" s="7" t="n">
        <v>0.149</v>
      </c>
      <c r="AI368" s="7" t="n">
        <v>-0.118</v>
      </c>
      <c r="AJ368" s="7" t="n">
        <v>-0.368</v>
      </c>
      <c r="AK368" s="7" t="n">
        <v>-0.313</v>
      </c>
      <c r="AL368" s="7" t="n">
        <v>0.067</v>
      </c>
      <c r="AM368" s="7" t="n">
        <v>-0.137</v>
      </c>
      <c r="AN368" s="7" t="n">
        <v>-0.067</v>
      </c>
      <c r="AO368" s="7" t="n">
        <v>-0.018</v>
      </c>
      <c r="AP368" s="7" t="n">
        <v>-0.037</v>
      </c>
      <c r="AQ368" s="7" t="n">
        <v>0.019</v>
      </c>
    </row>
    <row r="369" customFormat="false" ht="15" hidden="false" customHeight="false" outlineLevel="0" collapsed="false">
      <c r="A369" s="23" t="n">
        <v>46686</v>
      </c>
      <c r="B369" s="7" t="n">
        <v>0.069</v>
      </c>
      <c r="C369" s="7" t="n">
        <v>-0.086</v>
      </c>
      <c r="D369" s="7" t="n">
        <v>0.082</v>
      </c>
      <c r="E369" s="7" t="n">
        <v>0.204</v>
      </c>
      <c r="F369" s="7" t="n">
        <v>0.077</v>
      </c>
      <c r="G369" s="7" t="n">
        <v>0.082</v>
      </c>
      <c r="H369" s="7" t="n">
        <v>0.021</v>
      </c>
      <c r="I369" s="7" t="n">
        <v>-0.223</v>
      </c>
      <c r="J369" s="7" t="n">
        <v>0.054</v>
      </c>
      <c r="K369" s="7" t="n">
        <v>0.259</v>
      </c>
      <c r="L369" s="7" t="n">
        <v>-0.168</v>
      </c>
      <c r="M369" s="7" t="n">
        <v>0.011</v>
      </c>
      <c r="N369" s="7" t="n">
        <v>-0.066</v>
      </c>
      <c r="O369" s="7" t="n">
        <v>-0.06</v>
      </c>
      <c r="P369" s="7" t="n">
        <v>0.105</v>
      </c>
      <c r="Q369" s="7" t="n">
        <v>0.015</v>
      </c>
      <c r="R369" s="7" t="n">
        <v>0.021</v>
      </c>
      <c r="S369" s="7" t="n">
        <v>0.175</v>
      </c>
      <c r="T369" s="7" t="n">
        <v>0.021</v>
      </c>
      <c r="U369" s="7" t="n">
        <v>0.072</v>
      </c>
      <c r="V369" s="7" t="n">
        <v>0.021</v>
      </c>
      <c r="W369" s="7" t="n">
        <v>0.015</v>
      </c>
      <c r="X369" s="7" t="n">
        <v>0.054</v>
      </c>
      <c r="Y369" s="7" t="n">
        <v>0.101</v>
      </c>
      <c r="Z369" s="7" t="n">
        <v>0.23</v>
      </c>
      <c r="AA369" s="7" t="n">
        <v>0.021</v>
      </c>
      <c r="AB369" s="7" t="n">
        <v>-0.088</v>
      </c>
      <c r="AC369" s="7" t="n">
        <v>-0.007</v>
      </c>
      <c r="AD369" s="7" t="n">
        <v>0.125</v>
      </c>
      <c r="AE369" s="7" t="n">
        <v>0.077</v>
      </c>
      <c r="AF369" s="7" t="n">
        <v>0.262</v>
      </c>
      <c r="AG369" s="7" t="n">
        <v>0.021</v>
      </c>
      <c r="AH369" s="7" t="n">
        <v>0.141</v>
      </c>
      <c r="AI369" s="7" t="n">
        <v>-0.121</v>
      </c>
      <c r="AJ369" s="7" t="n">
        <v>-0.372</v>
      </c>
      <c r="AK369" s="7" t="n">
        <v>-0.315</v>
      </c>
      <c r="AL369" s="7" t="n">
        <v>0.069</v>
      </c>
      <c r="AM369" s="7" t="n">
        <v>-0.144</v>
      </c>
      <c r="AN369" s="7" t="n">
        <v>-0.06</v>
      </c>
      <c r="AO369" s="7" t="n">
        <v>-0.026</v>
      </c>
      <c r="AP369" s="7" t="n">
        <v>-0.044</v>
      </c>
      <c r="AQ369" s="7" t="n">
        <v>0.024</v>
      </c>
    </row>
  </sheetData>
  <conditionalFormatting sqref="B5:AQ369">
    <cfRule type="expression" priority="2" aboveAverage="0" equalAverage="0" bottom="0" percent="0" rank="0" text="" dxfId="0">
      <formula>AND(ISNUMBER(B5),B5&gt;Settings!$C$4)</formula>
    </cfRule>
    <cfRule type="expression" priority="3" aboveAverage="0" equalAverage="0" bottom="0" percent="0" rank="0" text="" dxfId="1">
      <formula>AND(ISNUMBER(B5),B5&lt;-Settings!$C$4)</formula>
    </cfRule>
    <cfRule type="expression" priority="4" aboveAverage="0" equalAverage="0" bottom="0" percent="0" rank="0" text="" dxfId="2">
      <formula>AND(ISNUMBER(B5),ABS(B5)&lt;=Settings!$C$4)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7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110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26.85" hidden="false" customHeight="false" outlineLevel="0" collapsed="false">
      <c r="A4" s="5" t="s">
        <v>139</v>
      </c>
      <c r="B4" s="5" t="s">
        <v>220</v>
      </c>
      <c r="C4" s="5" t="s">
        <v>221</v>
      </c>
      <c r="D4" s="5" t="s">
        <v>222</v>
      </c>
      <c r="E4" s="5" t="s">
        <v>223</v>
      </c>
      <c r="F4" s="5" t="s">
        <v>224</v>
      </c>
      <c r="G4" s="5" t="s">
        <v>225</v>
      </c>
      <c r="H4" s="5" t="s">
        <v>226</v>
      </c>
    </row>
    <row r="5" customFormat="false" ht="15" hidden="false" customHeight="false" outlineLevel="0" collapsed="false">
      <c r="A5" s="19" t="n">
        <v>46322</v>
      </c>
      <c r="B5" s="6" t="s">
        <v>227</v>
      </c>
      <c r="C5" s="6" t="s">
        <v>228</v>
      </c>
      <c r="D5" s="6" t="s">
        <v>229</v>
      </c>
      <c r="E5" s="6" t="s">
        <v>230</v>
      </c>
      <c r="F5" s="6" t="n">
        <v>-1.54</v>
      </c>
      <c r="G5" s="6" t="s">
        <v>231</v>
      </c>
      <c r="H5" s="6" t="s">
        <v>232</v>
      </c>
    </row>
    <row r="6" customFormat="false" ht="15" hidden="false" customHeight="false" outlineLevel="0" collapsed="false">
      <c r="A6" s="19" t="n">
        <v>46322</v>
      </c>
      <c r="B6" s="6" t="s">
        <v>227</v>
      </c>
      <c r="C6" s="6" t="s">
        <v>229</v>
      </c>
      <c r="D6" s="6" t="s">
        <v>233</v>
      </c>
      <c r="E6" s="6" t="s">
        <v>234</v>
      </c>
      <c r="F6" s="6" t="n">
        <v>-0.4</v>
      </c>
      <c r="G6" s="6" t="s">
        <v>231</v>
      </c>
      <c r="H6" s="6" t="s">
        <v>235</v>
      </c>
    </row>
    <row r="7" customFormat="false" ht="15" hidden="false" customHeight="false" outlineLevel="0" collapsed="false">
      <c r="A7" s="19" t="n">
        <v>46322</v>
      </c>
      <c r="B7" s="6" t="s">
        <v>227</v>
      </c>
      <c r="C7" s="6" t="s">
        <v>233</v>
      </c>
      <c r="D7" s="6" t="s">
        <v>236</v>
      </c>
      <c r="E7" s="6" t="s">
        <v>237</v>
      </c>
      <c r="F7" s="6" t="n">
        <v>0.75</v>
      </c>
      <c r="G7" s="6" t="s">
        <v>238</v>
      </c>
      <c r="H7" s="6" t="s">
        <v>239</v>
      </c>
    </row>
    <row r="8" customFormat="false" ht="15" hidden="false" customHeight="false" outlineLevel="0" collapsed="false">
      <c r="A8" s="19" t="n">
        <v>46322</v>
      </c>
      <c r="B8" s="6" t="s">
        <v>227</v>
      </c>
      <c r="C8" s="6" t="s">
        <v>236</v>
      </c>
      <c r="D8" s="6" t="s">
        <v>240</v>
      </c>
      <c r="E8" s="6" t="s">
        <v>241</v>
      </c>
      <c r="F8" s="6" t="n">
        <v>-0.45</v>
      </c>
      <c r="G8" s="6" t="s">
        <v>231</v>
      </c>
      <c r="H8" s="6" t="s">
        <v>242</v>
      </c>
    </row>
    <row r="9" customFormat="false" ht="15" hidden="false" customHeight="false" outlineLevel="0" collapsed="false">
      <c r="A9" s="19" t="n">
        <v>46322</v>
      </c>
      <c r="B9" s="6" t="s">
        <v>227</v>
      </c>
      <c r="C9" s="6" t="s">
        <v>240</v>
      </c>
      <c r="D9" s="6" t="s">
        <v>243</v>
      </c>
      <c r="E9" s="6" t="s">
        <v>244</v>
      </c>
      <c r="F9" s="6" t="n">
        <v>0.88</v>
      </c>
      <c r="G9" s="6" t="s">
        <v>238</v>
      </c>
      <c r="H9" s="6" t="s">
        <v>245</v>
      </c>
    </row>
    <row r="10" customFormat="false" ht="15" hidden="false" customHeight="false" outlineLevel="0" collapsed="false">
      <c r="A10" s="19" t="n">
        <v>46322</v>
      </c>
      <c r="B10" s="6" t="s">
        <v>227</v>
      </c>
      <c r="C10" s="6" t="s">
        <v>243</v>
      </c>
      <c r="D10" s="6" t="s">
        <v>246</v>
      </c>
      <c r="E10" s="6" t="s">
        <v>247</v>
      </c>
      <c r="F10" s="6" t="n">
        <v>0.43</v>
      </c>
      <c r="G10" s="6" t="s">
        <v>238</v>
      </c>
      <c r="H10" s="6" t="s">
        <v>248</v>
      </c>
    </row>
    <row r="11" customFormat="false" ht="15" hidden="false" customHeight="false" outlineLevel="0" collapsed="false">
      <c r="A11" s="19" t="n">
        <v>46322</v>
      </c>
      <c r="B11" s="6" t="s">
        <v>227</v>
      </c>
      <c r="C11" s="6" t="s">
        <v>246</v>
      </c>
      <c r="D11" s="6" t="s">
        <v>249</v>
      </c>
      <c r="E11" s="6" t="s">
        <v>250</v>
      </c>
      <c r="F11" s="6" t="n">
        <v>-0.16</v>
      </c>
      <c r="G11" s="6" t="s">
        <v>231</v>
      </c>
      <c r="H11" s="6" t="s">
        <v>251</v>
      </c>
    </row>
    <row r="12" customFormat="false" ht="15" hidden="false" customHeight="false" outlineLevel="0" collapsed="false">
      <c r="A12" s="19" t="n">
        <v>46322</v>
      </c>
      <c r="B12" s="6" t="s">
        <v>252</v>
      </c>
      <c r="C12" s="6" t="s">
        <v>228</v>
      </c>
      <c r="D12" s="6" t="s">
        <v>253</v>
      </c>
      <c r="E12" s="6" t="s">
        <v>230</v>
      </c>
      <c r="F12" s="6" t="n">
        <v>-0.85</v>
      </c>
      <c r="G12" s="6" t="s">
        <v>254</v>
      </c>
      <c r="H12" s="6" t="s">
        <v>255</v>
      </c>
    </row>
    <row r="13" customFormat="false" ht="15" hidden="false" customHeight="false" outlineLevel="0" collapsed="false">
      <c r="A13" s="19" t="n">
        <v>46322</v>
      </c>
      <c r="B13" s="6" t="s">
        <v>252</v>
      </c>
      <c r="C13" s="6" t="s">
        <v>253</v>
      </c>
      <c r="D13" s="6" t="s">
        <v>256</v>
      </c>
      <c r="E13" s="6" t="s">
        <v>250</v>
      </c>
      <c r="F13" s="6" t="n">
        <v>-0.14</v>
      </c>
      <c r="G13" s="6" t="s">
        <v>254</v>
      </c>
      <c r="H13" s="6" t="s">
        <v>257</v>
      </c>
    </row>
    <row r="14" customFormat="false" ht="15" hidden="false" customHeight="false" outlineLevel="0" collapsed="false">
      <c r="A14" s="19" t="n">
        <v>46322</v>
      </c>
      <c r="B14" s="6" t="s">
        <v>252</v>
      </c>
      <c r="C14" s="6" t="s">
        <v>256</v>
      </c>
      <c r="D14" s="6" t="s">
        <v>258</v>
      </c>
      <c r="E14" s="6" t="s">
        <v>237</v>
      </c>
      <c r="F14" s="6" t="n">
        <v>0.08</v>
      </c>
      <c r="G14" s="6" t="s">
        <v>259</v>
      </c>
      <c r="H14" s="6" t="s">
        <v>260</v>
      </c>
    </row>
    <row r="15" customFormat="false" ht="15" hidden="false" customHeight="false" outlineLevel="0" collapsed="false">
      <c r="A15" s="19" t="n">
        <v>46322</v>
      </c>
      <c r="B15" s="6" t="s">
        <v>252</v>
      </c>
      <c r="C15" s="6" t="s">
        <v>258</v>
      </c>
      <c r="D15" s="6" t="s">
        <v>261</v>
      </c>
      <c r="E15" s="6" t="s">
        <v>247</v>
      </c>
      <c r="F15" s="6" t="n">
        <v>0.42</v>
      </c>
      <c r="G15" s="6" t="s">
        <v>259</v>
      </c>
      <c r="H15" s="6" t="s">
        <v>262</v>
      </c>
    </row>
    <row r="16" customFormat="false" ht="15" hidden="false" customHeight="false" outlineLevel="0" collapsed="false">
      <c r="A16" s="19" t="n">
        <v>46322</v>
      </c>
      <c r="B16" s="6" t="s">
        <v>252</v>
      </c>
      <c r="C16" s="6" t="s">
        <v>261</v>
      </c>
      <c r="D16" s="6" t="s">
        <v>263</v>
      </c>
      <c r="E16" s="6" t="s">
        <v>264</v>
      </c>
      <c r="F16" s="6" t="n">
        <v>0.13</v>
      </c>
      <c r="G16" s="6" t="s">
        <v>259</v>
      </c>
      <c r="H16" s="6" t="s">
        <v>265</v>
      </c>
    </row>
    <row r="17" customFormat="false" ht="15" hidden="false" customHeight="false" outlineLevel="0" collapsed="false">
      <c r="A17" s="19" t="n">
        <v>46322</v>
      </c>
      <c r="B17" s="6" t="s">
        <v>252</v>
      </c>
      <c r="C17" s="6" t="s">
        <v>263</v>
      </c>
      <c r="D17" s="6" t="s">
        <v>266</v>
      </c>
      <c r="E17" s="6" t="s">
        <v>244</v>
      </c>
      <c r="F17" s="6" t="n">
        <v>0.87</v>
      </c>
      <c r="G17" s="6" t="s">
        <v>259</v>
      </c>
      <c r="H17" s="6" t="s">
        <v>267</v>
      </c>
    </row>
    <row r="18" customFormat="false" ht="15" hidden="false" customHeight="false" outlineLevel="0" collapsed="false">
      <c r="A18" s="19" t="n">
        <v>46322</v>
      </c>
      <c r="B18" s="6" t="s">
        <v>252</v>
      </c>
      <c r="C18" s="6" t="s">
        <v>266</v>
      </c>
      <c r="D18" s="6" t="s">
        <v>268</v>
      </c>
      <c r="E18" s="6" t="s">
        <v>241</v>
      </c>
      <c r="F18" s="6" t="n">
        <v>-0.45</v>
      </c>
      <c r="G18" s="6" t="s">
        <v>254</v>
      </c>
      <c r="H18" s="6" t="s">
        <v>269</v>
      </c>
    </row>
    <row r="19" customFormat="false" ht="15" hidden="false" customHeight="false" outlineLevel="0" collapsed="false">
      <c r="A19" s="19" t="n">
        <v>46322</v>
      </c>
      <c r="B19" s="6" t="s">
        <v>252</v>
      </c>
      <c r="C19" s="6" t="s">
        <v>268</v>
      </c>
      <c r="D19" s="6" t="s">
        <v>249</v>
      </c>
      <c r="E19" s="6" t="s">
        <v>234</v>
      </c>
      <c r="F19" s="6" t="n">
        <v>0.09</v>
      </c>
      <c r="G19" s="6" t="s">
        <v>259</v>
      </c>
      <c r="H19" s="6" t="s">
        <v>270</v>
      </c>
    </row>
    <row r="20" customFormat="false" ht="15" hidden="false" customHeight="false" outlineLevel="0" collapsed="false">
      <c r="A20" s="19" t="n">
        <v>46323</v>
      </c>
      <c r="B20" s="6" t="s">
        <v>227</v>
      </c>
      <c r="C20" s="6" t="s">
        <v>228</v>
      </c>
      <c r="D20" s="6" t="s">
        <v>253</v>
      </c>
      <c r="E20" s="6" t="s">
        <v>241</v>
      </c>
      <c r="F20" s="6" t="n">
        <v>-0.42</v>
      </c>
      <c r="G20" s="6" t="s">
        <v>231</v>
      </c>
      <c r="H20" s="6" t="s">
        <v>242</v>
      </c>
    </row>
    <row r="21" customFormat="false" ht="15" hidden="false" customHeight="false" outlineLevel="0" collapsed="false">
      <c r="A21" s="19" t="n">
        <v>46323</v>
      </c>
      <c r="B21" s="6" t="s">
        <v>227</v>
      </c>
      <c r="C21" s="6" t="s">
        <v>253</v>
      </c>
      <c r="D21" s="6" t="s">
        <v>271</v>
      </c>
      <c r="E21" s="6" t="s">
        <v>244</v>
      </c>
      <c r="F21" s="6" t="n">
        <v>0.88</v>
      </c>
      <c r="G21" s="6" t="s">
        <v>238</v>
      </c>
      <c r="H21" s="6" t="s">
        <v>245</v>
      </c>
    </row>
    <row r="22" customFormat="false" ht="15" hidden="false" customHeight="false" outlineLevel="0" collapsed="false">
      <c r="A22" s="19" t="n">
        <v>46323</v>
      </c>
      <c r="B22" s="6" t="s">
        <v>227</v>
      </c>
      <c r="C22" s="6" t="s">
        <v>271</v>
      </c>
      <c r="D22" s="6" t="s">
        <v>272</v>
      </c>
      <c r="E22" s="6" t="s">
        <v>247</v>
      </c>
      <c r="F22" s="6" t="n">
        <v>0.46</v>
      </c>
      <c r="G22" s="6" t="s">
        <v>238</v>
      </c>
      <c r="H22" s="6" t="s">
        <v>248</v>
      </c>
    </row>
    <row r="23" customFormat="false" ht="15" hidden="false" customHeight="false" outlineLevel="0" collapsed="false">
      <c r="A23" s="19" t="n">
        <v>46323</v>
      </c>
      <c r="B23" s="6" t="s">
        <v>227</v>
      </c>
      <c r="C23" s="6" t="s">
        <v>272</v>
      </c>
      <c r="D23" s="6" t="s">
        <v>273</v>
      </c>
      <c r="E23" s="6" t="s">
        <v>250</v>
      </c>
      <c r="F23" s="6" t="n">
        <v>-0.86</v>
      </c>
      <c r="G23" s="6" t="s">
        <v>231</v>
      </c>
      <c r="H23" s="6" t="s">
        <v>251</v>
      </c>
    </row>
    <row r="24" customFormat="false" ht="15" hidden="false" customHeight="false" outlineLevel="0" collapsed="false">
      <c r="A24" s="19" t="n">
        <v>46323</v>
      </c>
      <c r="B24" s="6" t="s">
        <v>227</v>
      </c>
      <c r="C24" s="6" t="s">
        <v>273</v>
      </c>
      <c r="D24" s="6" t="s">
        <v>274</v>
      </c>
      <c r="E24" s="6" t="s">
        <v>230</v>
      </c>
      <c r="F24" s="6" t="n">
        <v>-0.84</v>
      </c>
      <c r="G24" s="6" t="s">
        <v>231</v>
      </c>
      <c r="H24" s="6" t="s">
        <v>232</v>
      </c>
    </row>
    <row r="25" customFormat="false" ht="15" hidden="false" customHeight="false" outlineLevel="0" collapsed="false">
      <c r="A25" s="19" t="n">
        <v>46323</v>
      </c>
      <c r="B25" s="6" t="s">
        <v>227</v>
      </c>
      <c r="C25" s="6" t="s">
        <v>274</v>
      </c>
      <c r="D25" s="6" t="s">
        <v>275</v>
      </c>
      <c r="E25" s="6" t="s">
        <v>234</v>
      </c>
      <c r="F25" s="6" t="n">
        <v>0.58</v>
      </c>
      <c r="G25" s="6" t="s">
        <v>238</v>
      </c>
      <c r="H25" s="6" t="s">
        <v>235</v>
      </c>
    </row>
    <row r="26" customFormat="false" ht="15" hidden="false" customHeight="false" outlineLevel="0" collapsed="false">
      <c r="A26" s="19" t="n">
        <v>46323</v>
      </c>
      <c r="B26" s="6" t="s">
        <v>227</v>
      </c>
      <c r="C26" s="6" t="s">
        <v>275</v>
      </c>
      <c r="D26" s="6" t="s">
        <v>249</v>
      </c>
      <c r="E26" s="6" t="s">
        <v>237</v>
      </c>
      <c r="F26" s="6" t="n">
        <v>-0.77</v>
      </c>
      <c r="G26" s="6" t="s">
        <v>231</v>
      </c>
      <c r="H26" s="6" t="s">
        <v>239</v>
      </c>
    </row>
    <row r="27" customFormat="false" ht="15" hidden="false" customHeight="false" outlineLevel="0" collapsed="false">
      <c r="A27" s="19" t="n">
        <v>46323</v>
      </c>
      <c r="B27" s="6" t="s">
        <v>252</v>
      </c>
      <c r="C27" s="6" t="s">
        <v>228</v>
      </c>
      <c r="D27" s="6" t="s">
        <v>276</v>
      </c>
      <c r="E27" s="6" t="s">
        <v>250</v>
      </c>
      <c r="F27" s="6" t="n">
        <v>-0.87</v>
      </c>
      <c r="G27" s="6" t="s">
        <v>254</v>
      </c>
      <c r="H27" s="6" t="s">
        <v>257</v>
      </c>
    </row>
    <row r="28" customFormat="false" ht="15" hidden="false" customHeight="false" outlineLevel="0" collapsed="false">
      <c r="A28" s="19" t="n">
        <v>46323</v>
      </c>
      <c r="B28" s="6" t="s">
        <v>252</v>
      </c>
      <c r="C28" s="6" t="s">
        <v>276</v>
      </c>
      <c r="D28" s="6" t="s">
        <v>277</v>
      </c>
      <c r="E28" s="6" t="s">
        <v>237</v>
      </c>
      <c r="F28" s="6" t="n">
        <v>-0.74</v>
      </c>
      <c r="G28" s="6" t="s">
        <v>254</v>
      </c>
      <c r="H28" s="6" t="s">
        <v>260</v>
      </c>
    </row>
    <row r="29" customFormat="false" ht="15" hidden="false" customHeight="false" outlineLevel="0" collapsed="false">
      <c r="A29" s="19" t="n">
        <v>46323</v>
      </c>
      <c r="B29" s="6" t="s">
        <v>252</v>
      </c>
      <c r="C29" s="6" t="s">
        <v>277</v>
      </c>
      <c r="D29" s="6" t="s">
        <v>278</v>
      </c>
      <c r="E29" s="6" t="s">
        <v>247</v>
      </c>
      <c r="F29" s="6" t="n">
        <v>0.45</v>
      </c>
      <c r="G29" s="6" t="s">
        <v>259</v>
      </c>
      <c r="H29" s="6" t="s">
        <v>262</v>
      </c>
    </row>
    <row r="30" customFormat="false" ht="15" hidden="false" customHeight="false" outlineLevel="0" collapsed="false">
      <c r="A30" s="19" t="n">
        <v>46323</v>
      </c>
      <c r="B30" s="6" t="s">
        <v>252</v>
      </c>
      <c r="C30" s="6" t="s">
        <v>278</v>
      </c>
      <c r="D30" s="6" t="s">
        <v>279</v>
      </c>
      <c r="E30" s="6" t="s">
        <v>264</v>
      </c>
      <c r="F30" s="6" t="n">
        <v>0.18</v>
      </c>
      <c r="G30" s="6" t="s">
        <v>259</v>
      </c>
      <c r="H30" s="6" t="s">
        <v>265</v>
      </c>
    </row>
    <row r="31" customFormat="false" ht="15" hidden="false" customHeight="false" outlineLevel="0" collapsed="false">
      <c r="A31" s="19" t="n">
        <v>46323</v>
      </c>
      <c r="B31" s="6" t="s">
        <v>252</v>
      </c>
      <c r="C31" s="6" t="s">
        <v>279</v>
      </c>
      <c r="D31" s="6" t="s">
        <v>280</v>
      </c>
      <c r="E31" s="6" t="s">
        <v>244</v>
      </c>
      <c r="F31" s="6" t="n">
        <v>0.88</v>
      </c>
      <c r="G31" s="6" t="s">
        <v>259</v>
      </c>
      <c r="H31" s="6" t="s">
        <v>267</v>
      </c>
    </row>
    <row r="32" customFormat="false" ht="15" hidden="false" customHeight="false" outlineLevel="0" collapsed="false">
      <c r="A32" s="19" t="n">
        <v>46323</v>
      </c>
      <c r="B32" s="6" t="s">
        <v>252</v>
      </c>
      <c r="C32" s="6" t="s">
        <v>280</v>
      </c>
      <c r="D32" s="6" t="s">
        <v>281</v>
      </c>
      <c r="E32" s="6" t="s">
        <v>241</v>
      </c>
      <c r="F32" s="6" t="n">
        <v>-0.43</v>
      </c>
      <c r="G32" s="6" t="s">
        <v>254</v>
      </c>
      <c r="H32" s="6" t="s">
        <v>269</v>
      </c>
    </row>
    <row r="33" customFormat="false" ht="15" hidden="false" customHeight="false" outlineLevel="0" collapsed="false">
      <c r="A33" s="19" t="n">
        <v>46323</v>
      </c>
      <c r="B33" s="6" t="s">
        <v>252</v>
      </c>
      <c r="C33" s="6" t="s">
        <v>281</v>
      </c>
      <c r="D33" s="6" t="s">
        <v>282</v>
      </c>
      <c r="E33" s="6" t="s">
        <v>234</v>
      </c>
      <c r="F33" s="6" t="n">
        <v>1.05</v>
      </c>
      <c r="G33" s="6" t="s">
        <v>259</v>
      </c>
      <c r="H33" s="6" t="s">
        <v>270</v>
      </c>
    </row>
    <row r="34" customFormat="false" ht="15" hidden="false" customHeight="false" outlineLevel="0" collapsed="false">
      <c r="A34" s="19" t="n">
        <v>46323</v>
      </c>
      <c r="B34" s="6" t="s">
        <v>252</v>
      </c>
      <c r="C34" s="6" t="s">
        <v>282</v>
      </c>
      <c r="D34" s="6" t="s">
        <v>249</v>
      </c>
      <c r="E34" s="6" t="s">
        <v>283</v>
      </c>
      <c r="F34" s="6" t="n">
        <v>0</v>
      </c>
      <c r="G34" s="6" t="s">
        <v>284</v>
      </c>
      <c r="H34" s="6" t="s">
        <v>285</v>
      </c>
    </row>
    <row r="35" customFormat="false" ht="15" hidden="false" customHeight="false" outlineLevel="0" collapsed="false">
      <c r="A35" s="19" t="n">
        <v>46324</v>
      </c>
      <c r="B35" s="6" t="s">
        <v>227</v>
      </c>
      <c r="C35" s="6" t="s">
        <v>228</v>
      </c>
      <c r="D35" s="6" t="s">
        <v>253</v>
      </c>
      <c r="E35" s="6" t="s">
        <v>250</v>
      </c>
      <c r="F35" s="6" t="n">
        <v>-0.82</v>
      </c>
      <c r="G35" s="6" t="s">
        <v>231</v>
      </c>
      <c r="H35" s="6" t="s">
        <v>251</v>
      </c>
    </row>
    <row r="36" customFormat="false" ht="15" hidden="false" customHeight="false" outlineLevel="0" collapsed="false">
      <c r="A36" s="19" t="n">
        <v>46324</v>
      </c>
      <c r="B36" s="6" t="s">
        <v>227</v>
      </c>
      <c r="C36" s="6" t="s">
        <v>253</v>
      </c>
      <c r="D36" s="6" t="s">
        <v>271</v>
      </c>
      <c r="E36" s="6" t="s">
        <v>230</v>
      </c>
      <c r="F36" s="6" t="n">
        <v>-1.17</v>
      </c>
      <c r="G36" s="6" t="s">
        <v>231</v>
      </c>
      <c r="H36" s="6" t="s">
        <v>232</v>
      </c>
    </row>
    <row r="37" customFormat="false" ht="15" hidden="false" customHeight="false" outlineLevel="0" collapsed="false">
      <c r="A37" s="19" t="n">
        <v>46324</v>
      </c>
      <c r="B37" s="6" t="s">
        <v>227</v>
      </c>
      <c r="C37" s="6" t="s">
        <v>271</v>
      </c>
      <c r="D37" s="6" t="s">
        <v>272</v>
      </c>
      <c r="E37" s="6" t="s">
        <v>234</v>
      </c>
      <c r="F37" s="6" t="n">
        <v>0.6</v>
      </c>
      <c r="G37" s="6" t="s">
        <v>238</v>
      </c>
      <c r="H37" s="6" t="s">
        <v>235</v>
      </c>
    </row>
    <row r="38" customFormat="false" ht="15" hidden="false" customHeight="false" outlineLevel="0" collapsed="false">
      <c r="A38" s="19" t="n">
        <v>46324</v>
      </c>
      <c r="B38" s="6" t="s">
        <v>227</v>
      </c>
      <c r="C38" s="6" t="s">
        <v>272</v>
      </c>
      <c r="D38" s="6" t="s">
        <v>273</v>
      </c>
      <c r="E38" s="6" t="s">
        <v>237</v>
      </c>
      <c r="F38" s="6" t="n">
        <v>-1.16</v>
      </c>
      <c r="G38" s="6" t="s">
        <v>231</v>
      </c>
      <c r="H38" s="6" t="s">
        <v>239</v>
      </c>
    </row>
    <row r="39" customFormat="false" ht="15" hidden="false" customHeight="false" outlineLevel="0" collapsed="false">
      <c r="A39" s="19" t="n">
        <v>46324</v>
      </c>
      <c r="B39" s="6" t="s">
        <v>227</v>
      </c>
      <c r="C39" s="6" t="s">
        <v>273</v>
      </c>
      <c r="D39" s="6" t="s">
        <v>274</v>
      </c>
      <c r="E39" s="6" t="s">
        <v>241</v>
      </c>
      <c r="F39" s="6" t="n">
        <v>-0.4</v>
      </c>
      <c r="G39" s="6" t="s">
        <v>231</v>
      </c>
      <c r="H39" s="6" t="s">
        <v>242</v>
      </c>
    </row>
    <row r="40" customFormat="false" ht="15" hidden="false" customHeight="false" outlineLevel="0" collapsed="false">
      <c r="A40" s="19" t="n">
        <v>46324</v>
      </c>
      <c r="B40" s="6" t="s">
        <v>227</v>
      </c>
      <c r="C40" s="6" t="s">
        <v>274</v>
      </c>
      <c r="D40" s="6" t="s">
        <v>275</v>
      </c>
      <c r="E40" s="6" t="s">
        <v>244</v>
      </c>
      <c r="F40" s="6" t="n">
        <v>0.89</v>
      </c>
      <c r="G40" s="6" t="s">
        <v>238</v>
      </c>
      <c r="H40" s="6" t="s">
        <v>245</v>
      </c>
    </row>
    <row r="41" customFormat="false" ht="15" hidden="false" customHeight="false" outlineLevel="0" collapsed="false">
      <c r="A41" s="19" t="n">
        <v>46324</v>
      </c>
      <c r="B41" s="6" t="s">
        <v>227</v>
      </c>
      <c r="C41" s="6" t="s">
        <v>275</v>
      </c>
      <c r="D41" s="6" t="s">
        <v>249</v>
      </c>
      <c r="E41" s="6" t="s">
        <v>247</v>
      </c>
      <c r="F41" s="6" t="n">
        <v>0.49</v>
      </c>
      <c r="G41" s="6" t="s">
        <v>238</v>
      </c>
      <c r="H41" s="6" t="s">
        <v>248</v>
      </c>
    </row>
    <row r="42" customFormat="false" ht="15" hidden="false" customHeight="false" outlineLevel="0" collapsed="false">
      <c r="A42" s="19" t="n">
        <v>46324</v>
      </c>
      <c r="B42" s="6" t="s">
        <v>252</v>
      </c>
      <c r="C42" s="6" t="s">
        <v>228</v>
      </c>
      <c r="D42" s="6" t="s">
        <v>286</v>
      </c>
      <c r="E42" s="6" t="s">
        <v>237</v>
      </c>
      <c r="F42" s="6" t="n">
        <v>-0.75</v>
      </c>
      <c r="G42" s="6" t="s">
        <v>254</v>
      </c>
      <c r="H42" s="6" t="s">
        <v>260</v>
      </c>
    </row>
    <row r="43" customFormat="false" ht="15" hidden="false" customHeight="false" outlineLevel="0" collapsed="false">
      <c r="A43" s="19" t="n">
        <v>46324</v>
      </c>
      <c r="B43" s="6" t="s">
        <v>252</v>
      </c>
      <c r="C43" s="6" t="s">
        <v>286</v>
      </c>
      <c r="D43" s="6" t="s">
        <v>287</v>
      </c>
      <c r="E43" s="6" t="s">
        <v>247</v>
      </c>
      <c r="F43" s="6" t="n">
        <v>0.49</v>
      </c>
      <c r="G43" s="6" t="s">
        <v>259</v>
      </c>
      <c r="H43" s="6" t="s">
        <v>262</v>
      </c>
    </row>
    <row r="44" customFormat="false" ht="15" hidden="false" customHeight="false" outlineLevel="0" collapsed="false">
      <c r="A44" s="19" t="n">
        <v>46324</v>
      </c>
      <c r="B44" s="6" t="s">
        <v>252</v>
      </c>
      <c r="C44" s="6" t="s">
        <v>287</v>
      </c>
      <c r="D44" s="6" t="s">
        <v>288</v>
      </c>
      <c r="E44" s="6" t="s">
        <v>264</v>
      </c>
      <c r="F44" s="6" t="n">
        <v>0.24</v>
      </c>
      <c r="G44" s="6" t="s">
        <v>259</v>
      </c>
      <c r="H44" s="6" t="s">
        <v>265</v>
      </c>
    </row>
    <row r="45" customFormat="false" ht="15" hidden="false" customHeight="false" outlineLevel="0" collapsed="false">
      <c r="A45" s="19" t="n">
        <v>46324</v>
      </c>
      <c r="B45" s="6" t="s">
        <v>252</v>
      </c>
      <c r="C45" s="6" t="s">
        <v>288</v>
      </c>
      <c r="D45" s="6" t="s">
        <v>289</v>
      </c>
      <c r="E45" s="6" t="s">
        <v>244</v>
      </c>
      <c r="F45" s="6" t="n">
        <v>0.89</v>
      </c>
      <c r="G45" s="6" t="s">
        <v>259</v>
      </c>
      <c r="H45" s="6" t="s">
        <v>267</v>
      </c>
    </row>
    <row r="46" customFormat="false" ht="15" hidden="false" customHeight="false" outlineLevel="0" collapsed="false">
      <c r="A46" s="19" t="n">
        <v>46324</v>
      </c>
      <c r="B46" s="6" t="s">
        <v>252</v>
      </c>
      <c r="C46" s="6" t="s">
        <v>289</v>
      </c>
      <c r="D46" s="6" t="s">
        <v>290</v>
      </c>
      <c r="E46" s="6" t="s">
        <v>241</v>
      </c>
      <c r="F46" s="6" t="n">
        <v>-0.4</v>
      </c>
      <c r="G46" s="6" t="s">
        <v>254</v>
      </c>
      <c r="H46" s="6" t="s">
        <v>269</v>
      </c>
    </row>
    <row r="47" customFormat="false" ht="15" hidden="false" customHeight="false" outlineLevel="0" collapsed="false">
      <c r="A47" s="19" t="n">
        <v>46324</v>
      </c>
      <c r="B47" s="6" t="s">
        <v>252</v>
      </c>
      <c r="C47" s="6" t="s">
        <v>290</v>
      </c>
      <c r="D47" s="6" t="s">
        <v>291</v>
      </c>
      <c r="E47" s="6" t="s">
        <v>234</v>
      </c>
      <c r="F47" s="6" t="n">
        <v>1.07</v>
      </c>
      <c r="G47" s="6" t="s">
        <v>259</v>
      </c>
      <c r="H47" s="6" t="s">
        <v>270</v>
      </c>
    </row>
    <row r="48" customFormat="false" ht="15" hidden="false" customHeight="false" outlineLevel="0" collapsed="false">
      <c r="A48" s="19" t="n">
        <v>46324</v>
      </c>
      <c r="B48" s="6" t="s">
        <v>252</v>
      </c>
      <c r="C48" s="6" t="s">
        <v>291</v>
      </c>
      <c r="D48" s="6" t="s">
        <v>292</v>
      </c>
      <c r="E48" s="6" t="s">
        <v>283</v>
      </c>
      <c r="F48" s="6" t="n">
        <v>0</v>
      </c>
      <c r="G48" s="6" t="s">
        <v>284</v>
      </c>
      <c r="H48" s="6" t="s">
        <v>285</v>
      </c>
    </row>
    <row r="49" customFormat="false" ht="15" hidden="false" customHeight="false" outlineLevel="0" collapsed="false">
      <c r="A49" s="19" t="n">
        <v>46324</v>
      </c>
      <c r="B49" s="6" t="s">
        <v>252</v>
      </c>
      <c r="C49" s="6" t="s">
        <v>292</v>
      </c>
      <c r="D49" s="6" t="s">
        <v>249</v>
      </c>
      <c r="E49" s="6" t="s">
        <v>230</v>
      </c>
      <c r="F49" s="6" t="n">
        <v>-0.06</v>
      </c>
      <c r="G49" s="6" t="s">
        <v>254</v>
      </c>
      <c r="H49" s="6" t="s">
        <v>255</v>
      </c>
    </row>
    <row r="50" customFormat="false" ht="15" hidden="false" customHeight="false" outlineLevel="0" collapsed="false">
      <c r="A50" s="19" t="n">
        <v>46325</v>
      </c>
      <c r="B50" s="6" t="s">
        <v>227</v>
      </c>
      <c r="C50" s="6" t="s">
        <v>228</v>
      </c>
      <c r="D50" s="6" t="s">
        <v>293</v>
      </c>
      <c r="E50" s="6" t="s">
        <v>237</v>
      </c>
      <c r="F50" s="6" t="n">
        <v>-0.04</v>
      </c>
      <c r="G50" s="6" t="s">
        <v>294</v>
      </c>
      <c r="H50" s="6" t="s">
        <v>239</v>
      </c>
    </row>
    <row r="51" customFormat="false" ht="15" hidden="false" customHeight="false" outlineLevel="0" collapsed="false">
      <c r="A51" s="19" t="n">
        <v>46325</v>
      </c>
      <c r="B51" s="6" t="s">
        <v>227</v>
      </c>
      <c r="C51" s="6" t="s">
        <v>293</v>
      </c>
      <c r="D51" s="6" t="s">
        <v>295</v>
      </c>
      <c r="E51" s="6" t="s">
        <v>241</v>
      </c>
      <c r="F51" s="6" t="n">
        <v>0</v>
      </c>
      <c r="G51" s="6" t="s">
        <v>294</v>
      </c>
      <c r="H51" s="6" t="s">
        <v>242</v>
      </c>
    </row>
    <row r="52" customFormat="false" ht="15" hidden="false" customHeight="false" outlineLevel="0" collapsed="false">
      <c r="A52" s="19" t="n">
        <v>46325</v>
      </c>
      <c r="B52" s="6" t="s">
        <v>227</v>
      </c>
      <c r="C52" s="6" t="s">
        <v>295</v>
      </c>
      <c r="D52" s="6" t="s">
        <v>279</v>
      </c>
      <c r="E52" s="6" t="s">
        <v>244</v>
      </c>
      <c r="F52" s="6" t="n">
        <v>0.89</v>
      </c>
      <c r="G52" s="6" t="s">
        <v>238</v>
      </c>
      <c r="H52" s="6" t="s">
        <v>245</v>
      </c>
    </row>
    <row r="53" customFormat="false" ht="15" hidden="false" customHeight="false" outlineLevel="0" collapsed="false">
      <c r="A53" s="19" t="n">
        <v>46325</v>
      </c>
      <c r="B53" s="6" t="s">
        <v>227</v>
      </c>
      <c r="C53" s="6" t="s">
        <v>279</v>
      </c>
      <c r="D53" s="6" t="s">
        <v>296</v>
      </c>
      <c r="E53" s="6" t="s">
        <v>247</v>
      </c>
      <c r="F53" s="6" t="n">
        <v>0.89</v>
      </c>
      <c r="G53" s="6" t="s">
        <v>238</v>
      </c>
      <c r="H53" s="6" t="s">
        <v>248</v>
      </c>
    </row>
    <row r="54" customFormat="false" ht="15" hidden="false" customHeight="false" outlineLevel="0" collapsed="false">
      <c r="A54" s="19" t="n">
        <v>46325</v>
      </c>
      <c r="B54" s="6" t="s">
        <v>227</v>
      </c>
      <c r="C54" s="6" t="s">
        <v>296</v>
      </c>
      <c r="D54" s="6" t="s">
        <v>297</v>
      </c>
      <c r="E54" s="6" t="s">
        <v>250</v>
      </c>
      <c r="F54" s="6" t="n">
        <v>-0.13</v>
      </c>
      <c r="G54" s="6" t="s">
        <v>231</v>
      </c>
      <c r="H54" s="6" t="s">
        <v>251</v>
      </c>
    </row>
    <row r="55" customFormat="false" ht="15" hidden="false" customHeight="false" outlineLevel="0" collapsed="false">
      <c r="A55" s="19" t="n">
        <v>46325</v>
      </c>
      <c r="B55" s="6" t="s">
        <v>227</v>
      </c>
      <c r="C55" s="6" t="s">
        <v>297</v>
      </c>
      <c r="D55" s="6" t="s">
        <v>298</v>
      </c>
      <c r="E55" s="6" t="s">
        <v>230</v>
      </c>
      <c r="F55" s="6" t="n">
        <v>-1.27</v>
      </c>
      <c r="G55" s="6" t="s">
        <v>231</v>
      </c>
      <c r="H55" s="6" t="s">
        <v>232</v>
      </c>
    </row>
    <row r="56" customFormat="false" ht="15" hidden="false" customHeight="false" outlineLevel="0" collapsed="false">
      <c r="A56" s="19" t="n">
        <v>46325</v>
      </c>
      <c r="B56" s="6" t="s">
        <v>227</v>
      </c>
      <c r="C56" s="6" t="s">
        <v>298</v>
      </c>
      <c r="D56" s="6" t="s">
        <v>249</v>
      </c>
      <c r="E56" s="6" t="s">
        <v>234</v>
      </c>
      <c r="F56" s="6" t="n">
        <v>0.61</v>
      </c>
      <c r="G56" s="6" t="s">
        <v>238</v>
      </c>
      <c r="H56" s="6" t="s">
        <v>235</v>
      </c>
    </row>
    <row r="57" customFormat="false" ht="15" hidden="false" customHeight="false" outlineLevel="0" collapsed="false">
      <c r="A57" s="19" t="n">
        <v>46325</v>
      </c>
      <c r="B57" s="6" t="s">
        <v>252</v>
      </c>
      <c r="C57" s="6" t="s">
        <v>228</v>
      </c>
      <c r="D57" s="6" t="s">
        <v>299</v>
      </c>
      <c r="E57" s="6" t="s">
        <v>264</v>
      </c>
      <c r="F57" s="6" t="n">
        <v>-0.31</v>
      </c>
      <c r="G57" s="6" t="s">
        <v>254</v>
      </c>
      <c r="H57" s="6" t="s">
        <v>265</v>
      </c>
    </row>
    <row r="58" customFormat="false" ht="15" hidden="false" customHeight="false" outlineLevel="0" collapsed="false">
      <c r="A58" s="19" t="n">
        <v>46325</v>
      </c>
      <c r="B58" s="6" t="s">
        <v>252</v>
      </c>
      <c r="C58" s="6" t="s">
        <v>299</v>
      </c>
      <c r="D58" s="6" t="s">
        <v>300</v>
      </c>
      <c r="E58" s="6" t="s">
        <v>244</v>
      </c>
      <c r="F58" s="6" t="n">
        <v>0.89</v>
      </c>
      <c r="G58" s="6" t="s">
        <v>259</v>
      </c>
      <c r="H58" s="6" t="s">
        <v>267</v>
      </c>
    </row>
    <row r="59" customFormat="false" ht="15" hidden="false" customHeight="false" outlineLevel="0" collapsed="false">
      <c r="A59" s="19" t="n">
        <v>46325</v>
      </c>
      <c r="B59" s="6" t="s">
        <v>252</v>
      </c>
      <c r="C59" s="6" t="s">
        <v>300</v>
      </c>
      <c r="D59" s="6" t="s">
        <v>301</v>
      </c>
      <c r="E59" s="6" t="s">
        <v>241</v>
      </c>
      <c r="F59" s="6" t="n">
        <v>0</v>
      </c>
      <c r="G59" s="6" t="s">
        <v>284</v>
      </c>
      <c r="H59" s="6" t="s">
        <v>269</v>
      </c>
    </row>
    <row r="60" customFormat="false" ht="15" hidden="false" customHeight="false" outlineLevel="0" collapsed="false">
      <c r="A60" s="19" t="n">
        <v>46325</v>
      </c>
      <c r="B60" s="6" t="s">
        <v>252</v>
      </c>
      <c r="C60" s="6" t="s">
        <v>301</v>
      </c>
      <c r="D60" s="6" t="s">
        <v>302</v>
      </c>
      <c r="E60" s="6" t="s">
        <v>234</v>
      </c>
      <c r="F60" s="6" t="n">
        <v>1.09</v>
      </c>
      <c r="G60" s="6" t="s">
        <v>259</v>
      </c>
      <c r="H60" s="6" t="s">
        <v>270</v>
      </c>
    </row>
    <row r="61" customFormat="false" ht="15" hidden="false" customHeight="false" outlineLevel="0" collapsed="false">
      <c r="A61" s="19" t="n">
        <v>46325</v>
      </c>
      <c r="B61" s="6" t="s">
        <v>252</v>
      </c>
      <c r="C61" s="6" t="s">
        <v>302</v>
      </c>
      <c r="D61" s="6" t="s">
        <v>303</v>
      </c>
      <c r="E61" s="6" t="s">
        <v>283</v>
      </c>
      <c r="F61" s="6" t="n">
        <v>0</v>
      </c>
      <c r="G61" s="6" t="s">
        <v>284</v>
      </c>
      <c r="H61" s="6" t="s">
        <v>285</v>
      </c>
    </row>
    <row r="62" customFormat="false" ht="15" hidden="false" customHeight="false" outlineLevel="0" collapsed="false">
      <c r="A62" s="19" t="n">
        <v>46325</v>
      </c>
      <c r="B62" s="6" t="s">
        <v>252</v>
      </c>
      <c r="C62" s="6" t="s">
        <v>303</v>
      </c>
      <c r="D62" s="6" t="s">
        <v>249</v>
      </c>
      <c r="E62" s="6" t="s">
        <v>230</v>
      </c>
      <c r="F62" s="6" t="n">
        <v>-0.61</v>
      </c>
      <c r="G62" s="6" t="s">
        <v>254</v>
      </c>
      <c r="H62" s="6" t="s">
        <v>255</v>
      </c>
    </row>
    <row r="63" customFormat="false" ht="15" hidden="false" customHeight="false" outlineLevel="0" collapsed="false">
      <c r="A63" s="19" t="n">
        <v>46328</v>
      </c>
      <c r="B63" s="6" t="s">
        <v>227</v>
      </c>
      <c r="C63" s="6" t="s">
        <v>228</v>
      </c>
      <c r="D63" s="6" t="s">
        <v>304</v>
      </c>
      <c r="E63" s="6" t="s">
        <v>244</v>
      </c>
      <c r="F63" s="6" t="n">
        <v>-0.96</v>
      </c>
      <c r="G63" s="6" t="s">
        <v>231</v>
      </c>
      <c r="H63" s="6" t="s">
        <v>245</v>
      </c>
    </row>
    <row r="64" customFormat="false" ht="15" hidden="false" customHeight="false" outlineLevel="0" collapsed="false">
      <c r="A64" s="19" t="n">
        <v>46328</v>
      </c>
      <c r="B64" s="6" t="s">
        <v>227</v>
      </c>
      <c r="C64" s="6" t="s">
        <v>304</v>
      </c>
      <c r="D64" s="6" t="s">
        <v>305</v>
      </c>
      <c r="E64" s="6" t="s">
        <v>247</v>
      </c>
      <c r="F64" s="6" t="n">
        <v>0.94</v>
      </c>
      <c r="G64" s="6" t="s">
        <v>238</v>
      </c>
      <c r="H64" s="6" t="s">
        <v>248</v>
      </c>
    </row>
    <row r="65" customFormat="false" ht="15" hidden="false" customHeight="false" outlineLevel="0" collapsed="false">
      <c r="A65" s="19" t="n">
        <v>46328</v>
      </c>
      <c r="B65" s="6" t="s">
        <v>227</v>
      </c>
      <c r="C65" s="6" t="s">
        <v>305</v>
      </c>
      <c r="D65" s="6" t="s">
        <v>306</v>
      </c>
      <c r="E65" s="6" t="s">
        <v>250</v>
      </c>
      <c r="F65" s="6" t="n">
        <v>-0.63</v>
      </c>
      <c r="G65" s="6" t="s">
        <v>231</v>
      </c>
      <c r="H65" s="6" t="s">
        <v>251</v>
      </c>
    </row>
    <row r="66" customFormat="false" ht="15" hidden="false" customHeight="false" outlineLevel="0" collapsed="false">
      <c r="A66" s="19" t="n">
        <v>46328</v>
      </c>
      <c r="B66" s="6" t="s">
        <v>227</v>
      </c>
      <c r="C66" s="6" t="s">
        <v>306</v>
      </c>
      <c r="D66" s="6" t="s">
        <v>307</v>
      </c>
      <c r="E66" s="6" t="s">
        <v>230</v>
      </c>
      <c r="F66" s="6" t="n">
        <v>-0.6</v>
      </c>
      <c r="G66" s="6" t="s">
        <v>231</v>
      </c>
      <c r="H66" s="6" t="s">
        <v>232</v>
      </c>
    </row>
    <row r="67" customFormat="false" ht="15" hidden="false" customHeight="false" outlineLevel="0" collapsed="false">
      <c r="A67" s="19" t="n">
        <v>46328</v>
      </c>
      <c r="B67" s="6" t="s">
        <v>227</v>
      </c>
      <c r="C67" s="6" t="s">
        <v>307</v>
      </c>
      <c r="D67" s="6" t="s">
        <v>308</v>
      </c>
      <c r="E67" s="6" t="s">
        <v>234</v>
      </c>
      <c r="F67" s="6" t="n">
        <v>0.8</v>
      </c>
      <c r="G67" s="6" t="s">
        <v>238</v>
      </c>
      <c r="H67" s="6" t="s">
        <v>235</v>
      </c>
    </row>
    <row r="68" customFormat="false" ht="15" hidden="false" customHeight="false" outlineLevel="0" collapsed="false">
      <c r="A68" s="19" t="n">
        <v>46328</v>
      </c>
      <c r="B68" s="6" t="s">
        <v>227</v>
      </c>
      <c r="C68" s="6" t="s">
        <v>308</v>
      </c>
      <c r="D68" s="6" t="s">
        <v>309</v>
      </c>
      <c r="E68" s="6" t="s">
        <v>237</v>
      </c>
      <c r="F68" s="6" t="n">
        <v>-0.53</v>
      </c>
      <c r="G68" s="6" t="s">
        <v>231</v>
      </c>
      <c r="H68" s="6" t="s">
        <v>239</v>
      </c>
    </row>
    <row r="69" customFormat="false" ht="15" hidden="false" customHeight="false" outlineLevel="0" collapsed="false">
      <c r="A69" s="19" t="n">
        <v>46328</v>
      </c>
      <c r="B69" s="6" t="s">
        <v>227</v>
      </c>
      <c r="C69" s="6" t="s">
        <v>309</v>
      </c>
      <c r="D69" s="6" t="s">
        <v>249</v>
      </c>
      <c r="E69" s="6" t="s">
        <v>241</v>
      </c>
      <c r="F69" s="6" t="n">
        <v>-0.53</v>
      </c>
      <c r="G69" s="6" t="s">
        <v>231</v>
      </c>
      <c r="H69" s="6" t="s">
        <v>242</v>
      </c>
    </row>
    <row r="70" customFormat="false" ht="15" hidden="false" customHeight="false" outlineLevel="0" collapsed="false">
      <c r="A70" s="19" t="n">
        <v>46328</v>
      </c>
      <c r="B70" s="6" t="s">
        <v>252</v>
      </c>
      <c r="C70" s="6" t="s">
        <v>228</v>
      </c>
      <c r="D70" s="6" t="s">
        <v>310</v>
      </c>
      <c r="E70" s="6" t="s">
        <v>234</v>
      </c>
      <c r="F70" s="6" t="n">
        <v>1.31</v>
      </c>
      <c r="G70" s="6" t="s">
        <v>259</v>
      </c>
      <c r="H70" s="6" t="s">
        <v>270</v>
      </c>
    </row>
    <row r="71" customFormat="false" ht="15" hidden="false" customHeight="false" outlineLevel="0" collapsed="false">
      <c r="A71" s="19" t="n">
        <v>46328</v>
      </c>
      <c r="B71" s="6" t="s">
        <v>252</v>
      </c>
      <c r="C71" s="6" t="s">
        <v>310</v>
      </c>
      <c r="D71" s="6" t="s">
        <v>233</v>
      </c>
      <c r="E71" s="6" t="s">
        <v>283</v>
      </c>
      <c r="F71" s="6" t="n">
        <v>-0.96</v>
      </c>
      <c r="G71" s="6" t="s">
        <v>254</v>
      </c>
      <c r="H71" s="6" t="s">
        <v>285</v>
      </c>
    </row>
    <row r="72" customFormat="false" ht="15" hidden="false" customHeight="false" outlineLevel="0" collapsed="false">
      <c r="A72" s="19" t="n">
        <v>46328</v>
      </c>
      <c r="B72" s="6" t="s">
        <v>252</v>
      </c>
      <c r="C72" s="6" t="s">
        <v>233</v>
      </c>
      <c r="D72" s="6" t="s">
        <v>311</v>
      </c>
      <c r="E72" s="6" t="s">
        <v>230</v>
      </c>
      <c r="F72" s="6" t="n">
        <v>0.12</v>
      </c>
      <c r="G72" s="6" t="s">
        <v>259</v>
      </c>
      <c r="H72" s="6" t="s">
        <v>255</v>
      </c>
    </row>
    <row r="73" customFormat="false" ht="15" hidden="false" customHeight="false" outlineLevel="0" collapsed="false">
      <c r="A73" s="19" t="n">
        <v>46328</v>
      </c>
      <c r="B73" s="6" t="s">
        <v>252</v>
      </c>
      <c r="C73" s="6" t="s">
        <v>311</v>
      </c>
      <c r="D73" s="6" t="s">
        <v>312</v>
      </c>
      <c r="E73" s="6" t="s">
        <v>250</v>
      </c>
      <c r="F73" s="6" t="n">
        <v>-0.64</v>
      </c>
      <c r="G73" s="6" t="s">
        <v>254</v>
      </c>
      <c r="H73" s="6" t="s">
        <v>257</v>
      </c>
    </row>
    <row r="74" customFormat="false" ht="15" hidden="false" customHeight="false" outlineLevel="0" collapsed="false">
      <c r="A74" s="19" t="n">
        <v>46328</v>
      </c>
      <c r="B74" s="6" t="s">
        <v>252</v>
      </c>
      <c r="C74" s="6" t="s">
        <v>312</v>
      </c>
      <c r="D74" s="6" t="s">
        <v>313</v>
      </c>
      <c r="E74" s="6" t="s">
        <v>237</v>
      </c>
      <c r="F74" s="6" t="n">
        <v>0.32</v>
      </c>
      <c r="G74" s="6" t="s">
        <v>259</v>
      </c>
      <c r="H74" s="6" t="s">
        <v>260</v>
      </c>
    </row>
    <row r="75" customFormat="false" ht="15" hidden="false" customHeight="false" outlineLevel="0" collapsed="false">
      <c r="A75" s="19" t="n">
        <v>46328</v>
      </c>
      <c r="B75" s="6" t="s">
        <v>252</v>
      </c>
      <c r="C75" s="6" t="s">
        <v>313</v>
      </c>
      <c r="D75" s="6" t="s">
        <v>314</v>
      </c>
      <c r="E75" s="6" t="s">
        <v>247</v>
      </c>
      <c r="F75" s="6" t="n">
        <v>0.91</v>
      </c>
      <c r="G75" s="6" t="s">
        <v>259</v>
      </c>
      <c r="H75" s="6" t="s">
        <v>262</v>
      </c>
    </row>
    <row r="76" customFormat="false" ht="15" hidden="false" customHeight="false" outlineLevel="0" collapsed="false">
      <c r="A76" s="19" t="n">
        <v>46328</v>
      </c>
      <c r="B76" s="6" t="s">
        <v>252</v>
      </c>
      <c r="C76" s="6" t="s">
        <v>314</v>
      </c>
      <c r="D76" s="6" t="s">
        <v>315</v>
      </c>
      <c r="E76" s="6" t="s">
        <v>264</v>
      </c>
      <c r="F76" s="6" t="n">
        <v>-0.27</v>
      </c>
      <c r="G76" s="6" t="s">
        <v>254</v>
      </c>
      <c r="H76" s="6" t="s">
        <v>265</v>
      </c>
    </row>
    <row r="77" customFormat="false" ht="15" hidden="false" customHeight="false" outlineLevel="0" collapsed="false">
      <c r="A77" s="19" t="n">
        <v>46328</v>
      </c>
      <c r="B77" s="6" t="s">
        <v>252</v>
      </c>
      <c r="C77" s="6" t="s">
        <v>315</v>
      </c>
      <c r="D77" s="6" t="s">
        <v>249</v>
      </c>
      <c r="E77" s="6" t="s">
        <v>244</v>
      </c>
      <c r="F77" s="6" t="n">
        <v>-0.96</v>
      </c>
      <c r="G77" s="6" t="s">
        <v>254</v>
      </c>
      <c r="H77" s="6" t="s">
        <v>267</v>
      </c>
    </row>
    <row r="78" customFormat="false" ht="15" hidden="false" customHeight="false" outlineLevel="0" collapsed="false">
      <c r="A78" s="19" t="n">
        <v>46329</v>
      </c>
      <c r="B78" s="6" t="s">
        <v>227</v>
      </c>
      <c r="C78" s="6" t="s">
        <v>228</v>
      </c>
      <c r="D78" s="6" t="s">
        <v>304</v>
      </c>
      <c r="E78" s="6" t="s">
        <v>230</v>
      </c>
      <c r="F78" s="6" t="n">
        <v>-0.55</v>
      </c>
      <c r="G78" s="6" t="s">
        <v>231</v>
      </c>
      <c r="H78" s="6" t="s">
        <v>232</v>
      </c>
    </row>
    <row r="79" customFormat="false" ht="15" hidden="false" customHeight="false" outlineLevel="0" collapsed="false">
      <c r="A79" s="19" t="n">
        <v>46329</v>
      </c>
      <c r="B79" s="6" t="s">
        <v>227</v>
      </c>
      <c r="C79" s="6" t="s">
        <v>304</v>
      </c>
      <c r="D79" s="6" t="s">
        <v>305</v>
      </c>
      <c r="E79" s="6" t="s">
        <v>234</v>
      </c>
      <c r="F79" s="6" t="n">
        <v>0.87</v>
      </c>
      <c r="G79" s="6" t="s">
        <v>238</v>
      </c>
      <c r="H79" s="6" t="s">
        <v>235</v>
      </c>
    </row>
    <row r="80" customFormat="false" ht="15" hidden="false" customHeight="false" outlineLevel="0" collapsed="false">
      <c r="A80" s="19" t="n">
        <v>46329</v>
      </c>
      <c r="B80" s="6" t="s">
        <v>227</v>
      </c>
      <c r="C80" s="6" t="s">
        <v>305</v>
      </c>
      <c r="D80" s="6" t="s">
        <v>306</v>
      </c>
      <c r="E80" s="6" t="s">
        <v>237</v>
      </c>
      <c r="F80" s="6" t="n">
        <v>-0.04</v>
      </c>
      <c r="G80" s="6" t="s">
        <v>294</v>
      </c>
      <c r="H80" s="6" t="s">
        <v>239</v>
      </c>
    </row>
    <row r="81" customFormat="false" ht="15" hidden="false" customHeight="false" outlineLevel="0" collapsed="false">
      <c r="A81" s="19" t="n">
        <v>46329</v>
      </c>
      <c r="B81" s="6" t="s">
        <v>227</v>
      </c>
      <c r="C81" s="6" t="s">
        <v>306</v>
      </c>
      <c r="D81" s="6" t="s">
        <v>307</v>
      </c>
      <c r="E81" s="6" t="s">
        <v>241</v>
      </c>
      <c r="F81" s="6" t="n">
        <v>0</v>
      </c>
      <c r="G81" s="6" t="s">
        <v>294</v>
      </c>
      <c r="H81" s="6" t="s">
        <v>242</v>
      </c>
    </row>
    <row r="82" customFormat="false" ht="15" hidden="false" customHeight="false" outlineLevel="0" collapsed="false">
      <c r="A82" s="19" t="n">
        <v>46329</v>
      </c>
      <c r="B82" s="6" t="s">
        <v>227</v>
      </c>
      <c r="C82" s="6" t="s">
        <v>307</v>
      </c>
      <c r="D82" s="6" t="s">
        <v>308</v>
      </c>
      <c r="E82" s="6" t="s">
        <v>244</v>
      </c>
      <c r="F82" s="6" t="n">
        <v>-0.04</v>
      </c>
      <c r="G82" s="6" t="s">
        <v>294</v>
      </c>
      <c r="H82" s="6" t="s">
        <v>245</v>
      </c>
    </row>
    <row r="83" customFormat="false" ht="15" hidden="false" customHeight="false" outlineLevel="0" collapsed="false">
      <c r="A83" s="19" t="n">
        <v>46329</v>
      </c>
      <c r="B83" s="6" t="s">
        <v>227</v>
      </c>
      <c r="C83" s="6" t="s">
        <v>308</v>
      </c>
      <c r="D83" s="6" t="s">
        <v>309</v>
      </c>
      <c r="E83" s="6" t="s">
        <v>247</v>
      </c>
      <c r="F83" s="6" t="n">
        <v>0</v>
      </c>
      <c r="G83" s="6" t="s">
        <v>294</v>
      </c>
      <c r="H83" s="6" t="s">
        <v>248</v>
      </c>
    </row>
    <row r="84" customFormat="false" ht="15" hidden="false" customHeight="false" outlineLevel="0" collapsed="false">
      <c r="A84" s="19" t="n">
        <v>46329</v>
      </c>
      <c r="B84" s="6" t="s">
        <v>227</v>
      </c>
      <c r="C84" s="6" t="s">
        <v>309</v>
      </c>
      <c r="D84" s="6" t="s">
        <v>249</v>
      </c>
      <c r="E84" s="6" t="s">
        <v>250</v>
      </c>
      <c r="F84" s="6" t="n">
        <v>-0.59</v>
      </c>
      <c r="G84" s="6" t="s">
        <v>231</v>
      </c>
      <c r="H84" s="6" t="s">
        <v>251</v>
      </c>
    </row>
    <row r="85" customFormat="false" ht="15" hidden="false" customHeight="false" outlineLevel="0" collapsed="false">
      <c r="A85" s="19" t="n">
        <v>46329</v>
      </c>
      <c r="B85" s="6" t="s">
        <v>252</v>
      </c>
      <c r="C85" s="6" t="s">
        <v>228</v>
      </c>
      <c r="D85" s="6" t="s">
        <v>316</v>
      </c>
      <c r="E85" s="6" t="s">
        <v>283</v>
      </c>
      <c r="F85" s="6" t="n">
        <v>-1.95</v>
      </c>
      <c r="G85" s="6" t="s">
        <v>254</v>
      </c>
      <c r="H85" s="6" t="s">
        <v>285</v>
      </c>
    </row>
    <row r="86" customFormat="false" ht="15" hidden="false" customHeight="false" outlineLevel="0" collapsed="false">
      <c r="A86" s="19" t="n">
        <v>46329</v>
      </c>
      <c r="B86" s="6" t="s">
        <v>252</v>
      </c>
      <c r="C86" s="6" t="s">
        <v>316</v>
      </c>
      <c r="D86" s="6" t="s">
        <v>317</v>
      </c>
      <c r="E86" s="6" t="s">
        <v>230</v>
      </c>
      <c r="F86" s="6" t="n">
        <v>0.17</v>
      </c>
      <c r="G86" s="6" t="s">
        <v>259</v>
      </c>
      <c r="H86" s="6" t="s">
        <v>255</v>
      </c>
    </row>
    <row r="87" customFormat="false" ht="15" hidden="false" customHeight="false" outlineLevel="0" collapsed="false">
      <c r="A87" s="19" t="n">
        <v>46329</v>
      </c>
      <c r="B87" s="6" t="s">
        <v>252</v>
      </c>
      <c r="C87" s="6" t="s">
        <v>317</v>
      </c>
      <c r="D87" s="6" t="s">
        <v>318</v>
      </c>
      <c r="E87" s="6" t="s">
        <v>250</v>
      </c>
      <c r="F87" s="6" t="n">
        <v>-0.6</v>
      </c>
      <c r="G87" s="6" t="s">
        <v>254</v>
      </c>
      <c r="H87" s="6" t="s">
        <v>257</v>
      </c>
    </row>
    <row r="88" customFormat="false" ht="15" hidden="false" customHeight="false" outlineLevel="0" collapsed="false">
      <c r="A88" s="19" t="n">
        <v>46329</v>
      </c>
      <c r="B88" s="6" t="s">
        <v>252</v>
      </c>
      <c r="C88" s="6" t="s">
        <v>318</v>
      </c>
      <c r="D88" s="6" t="s">
        <v>319</v>
      </c>
      <c r="E88" s="6" t="s">
        <v>237</v>
      </c>
      <c r="F88" s="6" t="n">
        <v>-0.04</v>
      </c>
      <c r="G88" s="6" t="s">
        <v>284</v>
      </c>
      <c r="H88" s="6" t="s">
        <v>260</v>
      </c>
    </row>
    <row r="89" customFormat="false" ht="15" hidden="false" customHeight="false" outlineLevel="0" collapsed="false">
      <c r="A89" s="19" t="n">
        <v>46329</v>
      </c>
      <c r="B89" s="6" t="s">
        <v>252</v>
      </c>
      <c r="C89" s="6" t="s">
        <v>319</v>
      </c>
      <c r="D89" s="6" t="s">
        <v>320</v>
      </c>
      <c r="E89" s="6" t="s">
        <v>247</v>
      </c>
      <c r="F89" s="6" t="n">
        <v>0</v>
      </c>
      <c r="G89" s="6" t="s">
        <v>284</v>
      </c>
      <c r="H89" s="6" t="s">
        <v>262</v>
      </c>
    </row>
    <row r="90" customFormat="false" ht="15" hidden="false" customHeight="false" outlineLevel="0" collapsed="false">
      <c r="A90" s="19" t="n">
        <v>46329</v>
      </c>
      <c r="B90" s="6" t="s">
        <v>252</v>
      </c>
      <c r="C90" s="6" t="s">
        <v>320</v>
      </c>
      <c r="D90" s="6" t="s">
        <v>308</v>
      </c>
      <c r="E90" s="6" t="s">
        <v>264</v>
      </c>
      <c r="F90" s="6" t="n">
        <v>-1.28</v>
      </c>
      <c r="G90" s="6" t="s">
        <v>254</v>
      </c>
      <c r="H90" s="6" t="s">
        <v>265</v>
      </c>
    </row>
    <row r="91" customFormat="false" ht="15" hidden="false" customHeight="false" outlineLevel="0" collapsed="false">
      <c r="A91" s="19" t="n">
        <v>46329</v>
      </c>
      <c r="B91" s="6" t="s">
        <v>252</v>
      </c>
      <c r="C91" s="6" t="s">
        <v>308</v>
      </c>
      <c r="D91" s="6" t="s">
        <v>321</v>
      </c>
      <c r="E91" s="6" t="s">
        <v>244</v>
      </c>
      <c r="F91" s="6" t="n">
        <v>-0.01</v>
      </c>
      <c r="G91" s="6" t="s">
        <v>284</v>
      </c>
      <c r="H91" s="6" t="s">
        <v>267</v>
      </c>
    </row>
    <row r="92" customFormat="false" ht="15" hidden="false" customHeight="false" outlineLevel="0" collapsed="false">
      <c r="A92" s="19" t="n">
        <v>46329</v>
      </c>
      <c r="B92" s="6" t="s">
        <v>252</v>
      </c>
      <c r="C92" s="6" t="s">
        <v>321</v>
      </c>
      <c r="D92" s="6" t="s">
        <v>249</v>
      </c>
      <c r="E92" s="6" t="s">
        <v>241</v>
      </c>
      <c r="F92" s="6" t="n">
        <v>0</v>
      </c>
      <c r="G92" s="6" t="s">
        <v>284</v>
      </c>
      <c r="H92" s="6" t="s">
        <v>269</v>
      </c>
    </row>
    <row r="93" customFormat="false" ht="15" hidden="false" customHeight="false" outlineLevel="0" collapsed="false">
      <c r="A93" s="19" t="n">
        <v>46330</v>
      </c>
      <c r="B93" s="6" t="s">
        <v>227</v>
      </c>
      <c r="C93" s="6" t="s">
        <v>228</v>
      </c>
      <c r="D93" s="6" t="s">
        <v>322</v>
      </c>
      <c r="E93" s="6" t="s">
        <v>241</v>
      </c>
      <c r="F93" s="6" t="n">
        <v>0</v>
      </c>
      <c r="G93" s="6" t="s">
        <v>294</v>
      </c>
      <c r="H93" s="6" t="s">
        <v>242</v>
      </c>
    </row>
    <row r="94" customFormat="false" ht="15" hidden="false" customHeight="false" outlineLevel="0" collapsed="false">
      <c r="A94" s="19" t="n">
        <v>46330</v>
      </c>
      <c r="B94" s="6" t="s">
        <v>227</v>
      </c>
      <c r="C94" s="6" t="s">
        <v>322</v>
      </c>
      <c r="D94" s="6" t="s">
        <v>323</v>
      </c>
      <c r="E94" s="6" t="s">
        <v>244</v>
      </c>
      <c r="F94" s="6" t="n">
        <v>-0.26</v>
      </c>
      <c r="G94" s="6" t="s">
        <v>231</v>
      </c>
      <c r="H94" s="6" t="s">
        <v>245</v>
      </c>
    </row>
    <row r="95" customFormat="false" ht="15" hidden="false" customHeight="false" outlineLevel="0" collapsed="false">
      <c r="A95" s="19" t="n">
        <v>46330</v>
      </c>
      <c r="B95" s="6" t="s">
        <v>227</v>
      </c>
      <c r="C95" s="6" t="s">
        <v>323</v>
      </c>
      <c r="D95" s="6" t="s">
        <v>324</v>
      </c>
      <c r="E95" s="6" t="s">
        <v>247</v>
      </c>
      <c r="F95" s="6" t="n">
        <v>0</v>
      </c>
      <c r="G95" s="6" t="s">
        <v>294</v>
      </c>
      <c r="H95" s="6" t="s">
        <v>248</v>
      </c>
    </row>
    <row r="96" customFormat="false" ht="15" hidden="false" customHeight="false" outlineLevel="0" collapsed="false">
      <c r="A96" s="19" t="n">
        <v>46330</v>
      </c>
      <c r="B96" s="6" t="s">
        <v>227</v>
      </c>
      <c r="C96" s="6" t="s">
        <v>324</v>
      </c>
      <c r="D96" s="6" t="s">
        <v>325</v>
      </c>
      <c r="E96" s="6" t="s">
        <v>250</v>
      </c>
      <c r="F96" s="6" t="n">
        <v>-0.55</v>
      </c>
      <c r="G96" s="6" t="s">
        <v>231</v>
      </c>
      <c r="H96" s="6" t="s">
        <v>251</v>
      </c>
    </row>
    <row r="97" customFormat="false" ht="15" hidden="false" customHeight="false" outlineLevel="0" collapsed="false">
      <c r="A97" s="19" t="n">
        <v>46330</v>
      </c>
      <c r="B97" s="6" t="s">
        <v>227</v>
      </c>
      <c r="C97" s="6" t="s">
        <v>325</v>
      </c>
      <c r="D97" s="6" t="s">
        <v>326</v>
      </c>
      <c r="E97" s="6" t="s">
        <v>230</v>
      </c>
      <c r="F97" s="6" t="n">
        <v>-0.5</v>
      </c>
      <c r="G97" s="6" t="s">
        <v>231</v>
      </c>
      <c r="H97" s="6" t="s">
        <v>232</v>
      </c>
    </row>
    <row r="98" customFormat="false" ht="15" hidden="false" customHeight="false" outlineLevel="0" collapsed="false">
      <c r="A98" s="19" t="n">
        <v>46330</v>
      </c>
      <c r="B98" s="6" t="s">
        <v>227</v>
      </c>
      <c r="C98" s="6" t="s">
        <v>326</v>
      </c>
      <c r="D98" s="6" t="s">
        <v>315</v>
      </c>
      <c r="E98" s="6" t="s">
        <v>234</v>
      </c>
      <c r="F98" s="6" t="n">
        <v>0.95</v>
      </c>
      <c r="G98" s="6" t="s">
        <v>238</v>
      </c>
      <c r="H98" s="6" t="s">
        <v>235</v>
      </c>
    </row>
    <row r="99" customFormat="false" ht="15" hidden="false" customHeight="false" outlineLevel="0" collapsed="false">
      <c r="A99" s="19" t="n">
        <v>46330</v>
      </c>
      <c r="B99" s="6" t="s">
        <v>227</v>
      </c>
      <c r="C99" s="6" t="s">
        <v>315</v>
      </c>
      <c r="D99" s="6" t="s">
        <v>249</v>
      </c>
      <c r="E99" s="6" t="s">
        <v>237</v>
      </c>
      <c r="F99" s="6" t="n">
        <v>-0.04</v>
      </c>
      <c r="G99" s="6" t="s">
        <v>294</v>
      </c>
      <c r="H99" s="6" t="s">
        <v>239</v>
      </c>
    </row>
    <row r="100" customFormat="false" ht="15" hidden="false" customHeight="false" outlineLevel="0" collapsed="false">
      <c r="A100" s="19" t="n">
        <v>46330</v>
      </c>
      <c r="B100" s="6" t="s">
        <v>252</v>
      </c>
      <c r="C100" s="6" t="s">
        <v>228</v>
      </c>
      <c r="D100" s="6" t="s">
        <v>327</v>
      </c>
      <c r="E100" s="6" t="s">
        <v>230</v>
      </c>
      <c r="F100" s="6" t="n">
        <v>0.22</v>
      </c>
      <c r="G100" s="6" t="s">
        <v>259</v>
      </c>
      <c r="H100" s="6" t="s">
        <v>255</v>
      </c>
    </row>
    <row r="101" customFormat="false" ht="15" hidden="false" customHeight="false" outlineLevel="0" collapsed="false">
      <c r="A101" s="19" t="n">
        <v>46330</v>
      </c>
      <c r="B101" s="6" t="s">
        <v>252</v>
      </c>
      <c r="C101" s="6" t="s">
        <v>327</v>
      </c>
      <c r="D101" s="6" t="s">
        <v>295</v>
      </c>
      <c r="E101" s="6" t="s">
        <v>250</v>
      </c>
      <c r="F101" s="6" t="n">
        <v>-0.55</v>
      </c>
      <c r="G101" s="6" t="s">
        <v>254</v>
      </c>
      <c r="H101" s="6" t="s">
        <v>257</v>
      </c>
    </row>
    <row r="102" customFormat="false" ht="15" hidden="false" customHeight="false" outlineLevel="0" collapsed="false">
      <c r="A102" s="19" t="n">
        <v>46330</v>
      </c>
      <c r="B102" s="6" t="s">
        <v>252</v>
      </c>
      <c r="C102" s="6" t="s">
        <v>295</v>
      </c>
      <c r="D102" s="6" t="s">
        <v>328</v>
      </c>
      <c r="E102" s="6" t="s">
        <v>237</v>
      </c>
      <c r="F102" s="6" t="n">
        <v>-0.04</v>
      </c>
      <c r="G102" s="6" t="s">
        <v>284</v>
      </c>
      <c r="H102" s="6" t="s">
        <v>260</v>
      </c>
    </row>
    <row r="103" customFormat="false" ht="15" hidden="false" customHeight="false" outlineLevel="0" collapsed="false">
      <c r="A103" s="19" t="n">
        <v>46330</v>
      </c>
      <c r="B103" s="6" t="s">
        <v>252</v>
      </c>
      <c r="C103" s="6" t="s">
        <v>328</v>
      </c>
      <c r="D103" s="6" t="s">
        <v>329</v>
      </c>
      <c r="E103" s="6" t="s">
        <v>247</v>
      </c>
      <c r="F103" s="6" t="n">
        <v>0</v>
      </c>
      <c r="G103" s="6" t="s">
        <v>284</v>
      </c>
      <c r="H103" s="6" t="s">
        <v>262</v>
      </c>
    </row>
    <row r="104" customFormat="false" ht="15" hidden="false" customHeight="false" outlineLevel="0" collapsed="false">
      <c r="A104" s="19" t="n">
        <v>46330</v>
      </c>
      <c r="B104" s="6" t="s">
        <v>252</v>
      </c>
      <c r="C104" s="6" t="s">
        <v>329</v>
      </c>
      <c r="D104" s="6" t="s">
        <v>330</v>
      </c>
      <c r="E104" s="6" t="s">
        <v>264</v>
      </c>
      <c r="F104" s="6" t="n">
        <v>-1.08</v>
      </c>
      <c r="G104" s="6" t="s">
        <v>254</v>
      </c>
      <c r="H104" s="6" t="s">
        <v>265</v>
      </c>
    </row>
    <row r="105" customFormat="false" ht="15" hidden="false" customHeight="false" outlineLevel="0" collapsed="false">
      <c r="A105" s="19" t="n">
        <v>46330</v>
      </c>
      <c r="B105" s="6" t="s">
        <v>252</v>
      </c>
      <c r="C105" s="6" t="s">
        <v>330</v>
      </c>
      <c r="D105" s="6" t="s">
        <v>331</v>
      </c>
      <c r="E105" s="6" t="s">
        <v>244</v>
      </c>
      <c r="F105" s="6" t="n">
        <v>-0.23</v>
      </c>
      <c r="G105" s="6" t="s">
        <v>254</v>
      </c>
      <c r="H105" s="6" t="s">
        <v>267</v>
      </c>
    </row>
    <row r="106" customFormat="false" ht="15" hidden="false" customHeight="false" outlineLevel="0" collapsed="false">
      <c r="A106" s="19" t="n">
        <v>46330</v>
      </c>
      <c r="B106" s="6" t="s">
        <v>252</v>
      </c>
      <c r="C106" s="6" t="s">
        <v>331</v>
      </c>
      <c r="D106" s="6" t="s">
        <v>332</v>
      </c>
      <c r="E106" s="6" t="s">
        <v>241</v>
      </c>
      <c r="F106" s="6" t="n">
        <v>0</v>
      </c>
      <c r="G106" s="6" t="s">
        <v>284</v>
      </c>
      <c r="H106" s="6" t="s">
        <v>269</v>
      </c>
    </row>
    <row r="107" customFormat="false" ht="15" hidden="false" customHeight="false" outlineLevel="0" collapsed="false">
      <c r="A107" s="19" t="n">
        <v>46330</v>
      </c>
      <c r="B107" s="6" t="s">
        <v>252</v>
      </c>
      <c r="C107" s="6" t="s">
        <v>332</v>
      </c>
      <c r="D107" s="6" t="s">
        <v>249</v>
      </c>
      <c r="E107" s="6" t="s">
        <v>234</v>
      </c>
      <c r="F107" s="6" t="n">
        <v>1.49</v>
      </c>
      <c r="G107" s="6" t="s">
        <v>259</v>
      </c>
      <c r="H107" s="6" t="s">
        <v>270</v>
      </c>
    </row>
    <row r="108" customFormat="false" ht="15" hidden="false" customHeight="false" outlineLevel="0" collapsed="false">
      <c r="A108" s="19" t="n">
        <v>46331</v>
      </c>
      <c r="B108" s="6" t="s">
        <v>227</v>
      </c>
      <c r="C108" s="6" t="s">
        <v>228</v>
      </c>
      <c r="D108" s="6" t="s">
        <v>322</v>
      </c>
      <c r="E108" s="6" t="s">
        <v>250</v>
      </c>
      <c r="F108" s="6" t="n">
        <v>-0.5</v>
      </c>
      <c r="G108" s="6" t="s">
        <v>231</v>
      </c>
      <c r="H108" s="6" t="s">
        <v>251</v>
      </c>
    </row>
    <row r="109" customFormat="false" ht="15" hidden="false" customHeight="false" outlineLevel="0" collapsed="false">
      <c r="A109" s="19" t="n">
        <v>46331</v>
      </c>
      <c r="B109" s="6" t="s">
        <v>227</v>
      </c>
      <c r="C109" s="6" t="s">
        <v>322</v>
      </c>
      <c r="D109" s="6" t="s">
        <v>323</v>
      </c>
      <c r="E109" s="6" t="s">
        <v>230</v>
      </c>
      <c r="F109" s="6" t="n">
        <v>-0.45</v>
      </c>
      <c r="G109" s="6" t="s">
        <v>231</v>
      </c>
      <c r="H109" s="6" t="s">
        <v>232</v>
      </c>
    </row>
    <row r="110" customFormat="false" ht="15" hidden="false" customHeight="false" outlineLevel="0" collapsed="false">
      <c r="A110" s="19" t="n">
        <v>46331</v>
      </c>
      <c r="B110" s="6" t="s">
        <v>227</v>
      </c>
      <c r="C110" s="6" t="s">
        <v>323</v>
      </c>
      <c r="D110" s="6" t="s">
        <v>324</v>
      </c>
      <c r="E110" s="6" t="s">
        <v>234</v>
      </c>
      <c r="F110" s="6" t="n">
        <v>0.98</v>
      </c>
      <c r="G110" s="6" t="s">
        <v>238</v>
      </c>
      <c r="H110" s="6" t="s">
        <v>235</v>
      </c>
    </row>
    <row r="111" customFormat="false" ht="15" hidden="false" customHeight="false" outlineLevel="0" collapsed="false">
      <c r="A111" s="19" t="n">
        <v>46331</v>
      </c>
      <c r="B111" s="6" t="s">
        <v>227</v>
      </c>
      <c r="C111" s="6" t="s">
        <v>324</v>
      </c>
      <c r="D111" s="6" t="s">
        <v>325</v>
      </c>
      <c r="E111" s="6" t="s">
        <v>237</v>
      </c>
      <c r="F111" s="6" t="n">
        <v>-0.78</v>
      </c>
      <c r="G111" s="6" t="s">
        <v>231</v>
      </c>
      <c r="H111" s="6" t="s">
        <v>239</v>
      </c>
    </row>
    <row r="112" customFormat="false" ht="15" hidden="false" customHeight="false" outlineLevel="0" collapsed="false">
      <c r="A112" s="19" t="n">
        <v>46331</v>
      </c>
      <c r="B112" s="6" t="s">
        <v>227</v>
      </c>
      <c r="C112" s="6" t="s">
        <v>325</v>
      </c>
      <c r="D112" s="6" t="s">
        <v>326</v>
      </c>
      <c r="E112" s="6" t="s">
        <v>241</v>
      </c>
      <c r="F112" s="6" t="n">
        <v>-0.78</v>
      </c>
      <c r="G112" s="6" t="s">
        <v>231</v>
      </c>
      <c r="H112" s="6" t="s">
        <v>242</v>
      </c>
    </row>
    <row r="113" customFormat="false" ht="15" hidden="false" customHeight="false" outlineLevel="0" collapsed="false">
      <c r="A113" s="19" t="n">
        <v>46331</v>
      </c>
      <c r="B113" s="6" t="s">
        <v>227</v>
      </c>
      <c r="C113" s="6" t="s">
        <v>326</v>
      </c>
      <c r="D113" s="6" t="s">
        <v>315</v>
      </c>
      <c r="E113" s="6" t="s">
        <v>244</v>
      </c>
      <c r="F113" s="6" t="n">
        <v>-0.97</v>
      </c>
      <c r="G113" s="6" t="s">
        <v>231</v>
      </c>
      <c r="H113" s="6" t="s">
        <v>245</v>
      </c>
    </row>
    <row r="114" customFormat="false" ht="15" hidden="false" customHeight="false" outlineLevel="0" collapsed="false">
      <c r="A114" s="19" t="n">
        <v>46331</v>
      </c>
      <c r="B114" s="6" t="s">
        <v>227</v>
      </c>
      <c r="C114" s="6" t="s">
        <v>315</v>
      </c>
      <c r="D114" s="6" t="s">
        <v>249</v>
      </c>
      <c r="E114" s="6" t="s">
        <v>247</v>
      </c>
      <c r="F114" s="6" t="n">
        <v>0</v>
      </c>
      <c r="G114" s="6" t="s">
        <v>294</v>
      </c>
      <c r="H114" s="6" t="s">
        <v>248</v>
      </c>
    </row>
    <row r="115" customFormat="false" ht="15" hidden="false" customHeight="false" outlineLevel="0" collapsed="false">
      <c r="A115" s="19" t="n">
        <v>46331</v>
      </c>
      <c r="B115" s="6" t="s">
        <v>252</v>
      </c>
      <c r="C115" s="6" t="s">
        <v>228</v>
      </c>
      <c r="D115" s="6" t="s">
        <v>333</v>
      </c>
      <c r="E115" s="6" t="s">
        <v>250</v>
      </c>
      <c r="F115" s="6" t="n">
        <v>-0.51</v>
      </c>
      <c r="G115" s="6" t="s">
        <v>254</v>
      </c>
      <c r="H115" s="6" t="s">
        <v>257</v>
      </c>
    </row>
    <row r="116" customFormat="false" ht="15" hidden="false" customHeight="false" outlineLevel="0" collapsed="false">
      <c r="A116" s="19" t="n">
        <v>46331</v>
      </c>
      <c r="B116" s="6" t="s">
        <v>252</v>
      </c>
      <c r="C116" s="6" t="s">
        <v>333</v>
      </c>
      <c r="D116" s="6" t="s">
        <v>334</v>
      </c>
      <c r="E116" s="6" t="s">
        <v>237</v>
      </c>
      <c r="F116" s="6" t="n">
        <v>-0.03</v>
      </c>
      <c r="G116" s="6" t="s">
        <v>284</v>
      </c>
      <c r="H116" s="6" t="s">
        <v>260</v>
      </c>
    </row>
    <row r="117" customFormat="false" ht="15" hidden="false" customHeight="false" outlineLevel="0" collapsed="false">
      <c r="A117" s="19" t="n">
        <v>46331</v>
      </c>
      <c r="B117" s="6" t="s">
        <v>252</v>
      </c>
      <c r="C117" s="6" t="s">
        <v>334</v>
      </c>
      <c r="D117" s="6" t="s">
        <v>323</v>
      </c>
      <c r="E117" s="6" t="s">
        <v>247</v>
      </c>
      <c r="F117" s="6" t="n">
        <v>0</v>
      </c>
      <c r="G117" s="6" t="s">
        <v>284</v>
      </c>
      <c r="H117" s="6" t="s">
        <v>262</v>
      </c>
    </row>
    <row r="118" customFormat="false" ht="15" hidden="false" customHeight="false" outlineLevel="0" collapsed="false">
      <c r="A118" s="19" t="n">
        <v>46331</v>
      </c>
      <c r="B118" s="6" t="s">
        <v>252</v>
      </c>
      <c r="C118" s="6" t="s">
        <v>323</v>
      </c>
      <c r="D118" s="6" t="s">
        <v>335</v>
      </c>
      <c r="E118" s="6" t="s">
        <v>264</v>
      </c>
      <c r="F118" s="6" t="n">
        <v>-0.88</v>
      </c>
      <c r="G118" s="6" t="s">
        <v>254</v>
      </c>
      <c r="H118" s="6" t="s">
        <v>265</v>
      </c>
    </row>
    <row r="119" customFormat="false" ht="15" hidden="false" customHeight="false" outlineLevel="0" collapsed="false">
      <c r="A119" s="19" t="n">
        <v>46331</v>
      </c>
      <c r="B119" s="6" t="s">
        <v>252</v>
      </c>
      <c r="C119" s="6" t="s">
        <v>335</v>
      </c>
      <c r="D119" s="6" t="s">
        <v>336</v>
      </c>
      <c r="E119" s="6" t="s">
        <v>244</v>
      </c>
      <c r="F119" s="6" t="n">
        <v>-0.45</v>
      </c>
      <c r="G119" s="6" t="s">
        <v>254</v>
      </c>
      <c r="H119" s="6" t="s">
        <v>267</v>
      </c>
    </row>
    <row r="120" customFormat="false" ht="15" hidden="false" customHeight="false" outlineLevel="0" collapsed="false">
      <c r="A120" s="19" t="n">
        <v>46331</v>
      </c>
      <c r="B120" s="6" t="s">
        <v>252</v>
      </c>
      <c r="C120" s="6" t="s">
        <v>336</v>
      </c>
      <c r="D120" s="6" t="s">
        <v>337</v>
      </c>
      <c r="E120" s="6" t="s">
        <v>241</v>
      </c>
      <c r="F120" s="6" t="n">
        <v>0</v>
      </c>
      <c r="G120" s="6" t="s">
        <v>284</v>
      </c>
      <c r="H120" s="6" t="s">
        <v>269</v>
      </c>
    </row>
    <row r="121" customFormat="false" ht="15" hidden="false" customHeight="false" outlineLevel="0" collapsed="false">
      <c r="A121" s="19" t="n">
        <v>46331</v>
      </c>
      <c r="B121" s="6" t="s">
        <v>252</v>
      </c>
      <c r="C121" s="6" t="s">
        <v>337</v>
      </c>
      <c r="D121" s="6" t="s">
        <v>338</v>
      </c>
      <c r="E121" s="6" t="s">
        <v>234</v>
      </c>
      <c r="F121" s="6" t="n">
        <v>1.54</v>
      </c>
      <c r="G121" s="6" t="s">
        <v>259</v>
      </c>
      <c r="H121" s="6" t="s">
        <v>270</v>
      </c>
    </row>
    <row r="122" customFormat="false" ht="15" hidden="false" customHeight="false" outlineLevel="0" collapsed="false">
      <c r="A122" s="19" t="n">
        <v>46331</v>
      </c>
      <c r="B122" s="6" t="s">
        <v>252</v>
      </c>
      <c r="C122" s="6" t="s">
        <v>338</v>
      </c>
      <c r="D122" s="6" t="s">
        <v>249</v>
      </c>
      <c r="E122" s="6" t="s">
        <v>283</v>
      </c>
      <c r="F122" s="6" t="n">
        <v>-1.51</v>
      </c>
      <c r="G122" s="6" t="s">
        <v>254</v>
      </c>
      <c r="H122" s="6" t="s">
        <v>285</v>
      </c>
    </row>
    <row r="123" customFormat="false" ht="15" hidden="false" customHeight="false" outlineLevel="0" collapsed="false">
      <c r="A123" s="19" t="n">
        <v>46332</v>
      </c>
      <c r="B123" s="6" t="s">
        <v>227</v>
      </c>
      <c r="C123" s="6" t="s">
        <v>228</v>
      </c>
      <c r="D123" s="6" t="s">
        <v>339</v>
      </c>
      <c r="E123" s="6" t="s">
        <v>237</v>
      </c>
      <c r="F123" s="6" t="n">
        <v>-1</v>
      </c>
      <c r="G123" s="6" t="s">
        <v>231</v>
      </c>
      <c r="H123" s="6" t="s">
        <v>239</v>
      </c>
    </row>
    <row r="124" customFormat="false" ht="15" hidden="false" customHeight="false" outlineLevel="0" collapsed="false">
      <c r="A124" s="19" t="n">
        <v>46332</v>
      </c>
      <c r="B124" s="6" t="s">
        <v>227</v>
      </c>
      <c r="C124" s="6" t="s">
        <v>339</v>
      </c>
      <c r="D124" s="6" t="s">
        <v>258</v>
      </c>
      <c r="E124" s="6" t="s">
        <v>241</v>
      </c>
      <c r="F124" s="6" t="n">
        <v>-0.25</v>
      </c>
      <c r="G124" s="6" t="s">
        <v>231</v>
      </c>
      <c r="H124" s="6" t="s">
        <v>242</v>
      </c>
    </row>
    <row r="125" customFormat="false" ht="15" hidden="false" customHeight="false" outlineLevel="0" collapsed="false">
      <c r="A125" s="19" t="n">
        <v>46332</v>
      </c>
      <c r="B125" s="6" t="s">
        <v>227</v>
      </c>
      <c r="C125" s="6" t="s">
        <v>258</v>
      </c>
      <c r="D125" s="6" t="s">
        <v>340</v>
      </c>
      <c r="E125" s="6" t="s">
        <v>244</v>
      </c>
      <c r="F125" s="6" t="n">
        <v>-0.97</v>
      </c>
      <c r="G125" s="6" t="s">
        <v>231</v>
      </c>
      <c r="H125" s="6" t="s">
        <v>245</v>
      </c>
    </row>
    <row r="126" customFormat="false" ht="15" hidden="false" customHeight="false" outlineLevel="0" collapsed="false">
      <c r="A126" s="19" t="n">
        <v>46332</v>
      </c>
      <c r="B126" s="6" t="s">
        <v>227</v>
      </c>
      <c r="C126" s="6" t="s">
        <v>340</v>
      </c>
      <c r="D126" s="6" t="s">
        <v>341</v>
      </c>
      <c r="E126" s="6" t="s">
        <v>247</v>
      </c>
      <c r="F126" s="6" t="n">
        <v>0</v>
      </c>
      <c r="G126" s="6" t="s">
        <v>294</v>
      </c>
      <c r="H126" s="6" t="s">
        <v>248</v>
      </c>
    </row>
    <row r="127" customFormat="false" ht="15" hidden="false" customHeight="false" outlineLevel="0" collapsed="false">
      <c r="A127" s="19" t="n">
        <v>46332</v>
      </c>
      <c r="B127" s="6" t="s">
        <v>227</v>
      </c>
      <c r="C127" s="6" t="s">
        <v>341</v>
      </c>
      <c r="D127" s="6" t="s">
        <v>342</v>
      </c>
      <c r="E127" s="6" t="s">
        <v>250</v>
      </c>
      <c r="F127" s="6" t="n">
        <v>0.21</v>
      </c>
      <c r="G127" s="6" t="s">
        <v>238</v>
      </c>
      <c r="H127" s="6" t="s">
        <v>251</v>
      </c>
    </row>
    <row r="128" customFormat="false" ht="15" hidden="false" customHeight="false" outlineLevel="0" collapsed="false">
      <c r="A128" s="19" t="n">
        <v>46332</v>
      </c>
      <c r="B128" s="6" t="s">
        <v>227</v>
      </c>
      <c r="C128" s="6" t="s">
        <v>342</v>
      </c>
      <c r="D128" s="6" t="s">
        <v>268</v>
      </c>
      <c r="E128" s="6" t="s">
        <v>230</v>
      </c>
      <c r="F128" s="6" t="n">
        <v>0</v>
      </c>
      <c r="G128" s="6" t="s">
        <v>294</v>
      </c>
      <c r="H128" s="6" t="s">
        <v>232</v>
      </c>
    </row>
    <row r="129" customFormat="false" ht="15" hidden="false" customHeight="false" outlineLevel="0" collapsed="false">
      <c r="A129" s="19" t="n">
        <v>46332</v>
      </c>
      <c r="B129" s="6" t="s">
        <v>227</v>
      </c>
      <c r="C129" s="6" t="s">
        <v>268</v>
      </c>
      <c r="D129" s="6" t="s">
        <v>249</v>
      </c>
      <c r="E129" s="6" t="s">
        <v>234</v>
      </c>
      <c r="F129" s="6" t="n">
        <v>0.25</v>
      </c>
      <c r="G129" s="6" t="s">
        <v>238</v>
      </c>
      <c r="H129" s="6" t="s">
        <v>235</v>
      </c>
    </row>
    <row r="130" customFormat="false" ht="15" hidden="false" customHeight="false" outlineLevel="0" collapsed="false">
      <c r="A130" s="19" t="n">
        <v>46332</v>
      </c>
      <c r="B130" s="6" t="s">
        <v>252</v>
      </c>
      <c r="C130" s="6" t="s">
        <v>228</v>
      </c>
      <c r="D130" s="6" t="s">
        <v>287</v>
      </c>
      <c r="E130" s="6" t="s">
        <v>237</v>
      </c>
      <c r="F130" s="6" t="n">
        <v>-1.69</v>
      </c>
      <c r="G130" s="6" t="s">
        <v>254</v>
      </c>
      <c r="H130" s="6" t="s">
        <v>260</v>
      </c>
    </row>
    <row r="131" customFormat="false" ht="15" hidden="false" customHeight="false" outlineLevel="0" collapsed="false">
      <c r="A131" s="19" t="n">
        <v>46332</v>
      </c>
      <c r="B131" s="6" t="s">
        <v>252</v>
      </c>
      <c r="C131" s="6" t="s">
        <v>287</v>
      </c>
      <c r="D131" s="6" t="s">
        <v>343</v>
      </c>
      <c r="E131" s="6" t="s">
        <v>247</v>
      </c>
      <c r="F131" s="6" t="n">
        <v>0</v>
      </c>
      <c r="G131" s="6" t="s">
        <v>284</v>
      </c>
      <c r="H131" s="6" t="s">
        <v>262</v>
      </c>
    </row>
    <row r="132" customFormat="false" ht="15" hidden="false" customHeight="false" outlineLevel="0" collapsed="false">
      <c r="A132" s="19" t="n">
        <v>46332</v>
      </c>
      <c r="B132" s="6" t="s">
        <v>252</v>
      </c>
      <c r="C132" s="6" t="s">
        <v>343</v>
      </c>
      <c r="D132" s="6" t="s">
        <v>344</v>
      </c>
      <c r="E132" s="6" t="s">
        <v>264</v>
      </c>
      <c r="F132" s="6" t="n">
        <v>-0.34</v>
      </c>
      <c r="G132" s="6" t="s">
        <v>254</v>
      </c>
      <c r="H132" s="6" t="s">
        <v>265</v>
      </c>
    </row>
    <row r="133" customFormat="false" ht="15" hidden="false" customHeight="false" outlineLevel="0" collapsed="false">
      <c r="A133" s="19" t="n">
        <v>46332</v>
      </c>
      <c r="B133" s="6" t="s">
        <v>252</v>
      </c>
      <c r="C133" s="6" t="s">
        <v>344</v>
      </c>
      <c r="D133" s="6" t="s">
        <v>345</v>
      </c>
      <c r="E133" s="6" t="s">
        <v>244</v>
      </c>
      <c r="F133" s="6" t="n">
        <v>-0.97</v>
      </c>
      <c r="G133" s="6" t="s">
        <v>254</v>
      </c>
      <c r="H133" s="6" t="s">
        <v>267</v>
      </c>
    </row>
    <row r="134" customFormat="false" ht="15" hidden="false" customHeight="false" outlineLevel="0" collapsed="false">
      <c r="A134" s="19" t="n">
        <v>46332</v>
      </c>
      <c r="B134" s="6" t="s">
        <v>252</v>
      </c>
      <c r="C134" s="6" t="s">
        <v>345</v>
      </c>
      <c r="D134" s="6" t="s">
        <v>346</v>
      </c>
      <c r="E134" s="6" t="s">
        <v>241</v>
      </c>
      <c r="F134" s="6" t="n">
        <v>-0.22</v>
      </c>
      <c r="G134" s="6" t="s">
        <v>254</v>
      </c>
      <c r="H134" s="6" t="s">
        <v>269</v>
      </c>
    </row>
    <row r="135" customFormat="false" ht="15" hidden="false" customHeight="false" outlineLevel="0" collapsed="false">
      <c r="A135" s="19" t="n">
        <v>46332</v>
      </c>
      <c r="B135" s="6" t="s">
        <v>252</v>
      </c>
      <c r="C135" s="6" t="s">
        <v>346</v>
      </c>
      <c r="D135" s="6" t="s">
        <v>292</v>
      </c>
      <c r="E135" s="6" t="s">
        <v>234</v>
      </c>
      <c r="F135" s="6" t="n">
        <v>0.83</v>
      </c>
      <c r="G135" s="6" t="s">
        <v>259</v>
      </c>
      <c r="H135" s="6" t="s">
        <v>270</v>
      </c>
    </row>
    <row r="136" customFormat="false" ht="15" hidden="false" customHeight="false" outlineLevel="0" collapsed="false">
      <c r="A136" s="19" t="n">
        <v>46332</v>
      </c>
      <c r="B136" s="6" t="s">
        <v>252</v>
      </c>
      <c r="C136" s="6" t="s">
        <v>292</v>
      </c>
      <c r="D136" s="6" t="s">
        <v>347</v>
      </c>
      <c r="E136" s="6" t="s">
        <v>283</v>
      </c>
      <c r="F136" s="6" t="n">
        <v>-0.97</v>
      </c>
      <c r="G136" s="6" t="s">
        <v>254</v>
      </c>
      <c r="H136" s="6" t="s">
        <v>285</v>
      </c>
    </row>
    <row r="137" customFormat="false" ht="15" hidden="false" customHeight="false" outlineLevel="0" collapsed="false">
      <c r="A137" s="19" t="n">
        <v>46332</v>
      </c>
      <c r="B137" s="6" t="s">
        <v>252</v>
      </c>
      <c r="C137" s="6" t="s">
        <v>347</v>
      </c>
      <c r="D137" s="6" t="s">
        <v>249</v>
      </c>
      <c r="E137" s="6" t="s">
        <v>230</v>
      </c>
      <c r="F137" s="6" t="n">
        <v>0.66</v>
      </c>
      <c r="G137" s="6" t="s">
        <v>259</v>
      </c>
      <c r="H137" s="6" t="s">
        <v>255</v>
      </c>
    </row>
    <row r="138" customFormat="false" ht="15" hidden="false" customHeight="false" outlineLevel="0" collapsed="false">
      <c r="A138" s="19" t="n">
        <v>46335</v>
      </c>
      <c r="B138" s="6" t="s">
        <v>227</v>
      </c>
      <c r="C138" s="6" t="s">
        <v>228</v>
      </c>
      <c r="D138" s="6" t="s">
        <v>348</v>
      </c>
      <c r="E138" s="6" t="s">
        <v>244</v>
      </c>
      <c r="F138" s="6" t="n">
        <v>-0.98</v>
      </c>
      <c r="G138" s="6" t="s">
        <v>231</v>
      </c>
      <c r="H138" s="6" t="s">
        <v>245</v>
      </c>
    </row>
    <row r="139" customFormat="false" ht="15" hidden="false" customHeight="false" outlineLevel="0" collapsed="false">
      <c r="A139" s="19" t="n">
        <v>46335</v>
      </c>
      <c r="B139" s="6" t="s">
        <v>227</v>
      </c>
      <c r="C139" s="6" t="s">
        <v>348</v>
      </c>
      <c r="D139" s="6" t="s">
        <v>349</v>
      </c>
      <c r="E139" s="6" t="s">
        <v>247</v>
      </c>
      <c r="F139" s="6" t="n">
        <v>0</v>
      </c>
      <c r="G139" s="6" t="s">
        <v>294</v>
      </c>
      <c r="H139" s="6" t="s">
        <v>248</v>
      </c>
    </row>
    <row r="140" customFormat="false" ht="15" hidden="false" customHeight="false" outlineLevel="0" collapsed="false">
      <c r="A140" s="19" t="n">
        <v>46335</v>
      </c>
      <c r="B140" s="6" t="s">
        <v>227</v>
      </c>
      <c r="C140" s="6" t="s">
        <v>349</v>
      </c>
      <c r="D140" s="6" t="s">
        <v>350</v>
      </c>
      <c r="E140" s="6" t="s">
        <v>250</v>
      </c>
      <c r="F140" s="6" t="n">
        <v>1.28</v>
      </c>
      <c r="G140" s="6" t="s">
        <v>238</v>
      </c>
      <c r="H140" s="6" t="s">
        <v>251</v>
      </c>
    </row>
    <row r="141" customFormat="false" ht="15" hidden="false" customHeight="false" outlineLevel="0" collapsed="false">
      <c r="A141" s="19" t="n">
        <v>46335</v>
      </c>
      <c r="B141" s="6" t="s">
        <v>227</v>
      </c>
      <c r="C141" s="6" t="s">
        <v>350</v>
      </c>
      <c r="D141" s="6" t="s">
        <v>280</v>
      </c>
      <c r="E141" s="6" t="s">
        <v>230</v>
      </c>
      <c r="F141" s="6" t="n">
        <v>0.76</v>
      </c>
      <c r="G141" s="6" t="s">
        <v>238</v>
      </c>
      <c r="H141" s="6" t="s">
        <v>232</v>
      </c>
    </row>
    <row r="142" customFormat="false" ht="15" hidden="false" customHeight="false" outlineLevel="0" collapsed="false">
      <c r="A142" s="19" t="n">
        <v>46335</v>
      </c>
      <c r="B142" s="6" t="s">
        <v>227</v>
      </c>
      <c r="C142" s="6" t="s">
        <v>280</v>
      </c>
      <c r="D142" s="6" t="s">
        <v>351</v>
      </c>
      <c r="E142" s="6" t="s">
        <v>234</v>
      </c>
      <c r="F142" s="6" t="n">
        <v>-0.63</v>
      </c>
      <c r="G142" s="6" t="s">
        <v>231</v>
      </c>
      <c r="H142" s="6" t="s">
        <v>235</v>
      </c>
    </row>
    <row r="143" customFormat="false" ht="15" hidden="false" customHeight="false" outlineLevel="0" collapsed="false">
      <c r="A143" s="19" t="n">
        <v>46335</v>
      </c>
      <c r="B143" s="6" t="s">
        <v>227</v>
      </c>
      <c r="C143" s="6" t="s">
        <v>351</v>
      </c>
      <c r="D143" s="6" t="s">
        <v>352</v>
      </c>
      <c r="E143" s="6" t="s">
        <v>237</v>
      </c>
      <c r="F143" s="6" t="n">
        <v>0.51</v>
      </c>
      <c r="G143" s="6" t="s">
        <v>238</v>
      </c>
      <c r="H143" s="6" t="s">
        <v>239</v>
      </c>
    </row>
    <row r="144" customFormat="false" ht="15" hidden="false" customHeight="false" outlineLevel="0" collapsed="false">
      <c r="A144" s="19" t="n">
        <v>46335</v>
      </c>
      <c r="B144" s="6" t="s">
        <v>227</v>
      </c>
      <c r="C144" s="6" t="s">
        <v>352</v>
      </c>
      <c r="D144" s="6" t="s">
        <v>249</v>
      </c>
      <c r="E144" s="6" t="s">
        <v>241</v>
      </c>
      <c r="F144" s="6" t="n">
        <v>0.76</v>
      </c>
      <c r="G144" s="6" t="s">
        <v>238</v>
      </c>
      <c r="H144" s="6" t="s">
        <v>242</v>
      </c>
    </row>
    <row r="145" customFormat="false" ht="15" hidden="false" customHeight="false" outlineLevel="0" collapsed="false">
      <c r="A145" s="19" t="n">
        <v>46335</v>
      </c>
      <c r="B145" s="6" t="s">
        <v>252</v>
      </c>
      <c r="C145" s="6" t="s">
        <v>228</v>
      </c>
      <c r="D145" s="6" t="s">
        <v>343</v>
      </c>
      <c r="E145" s="6" t="s">
        <v>244</v>
      </c>
      <c r="F145" s="6" t="n">
        <v>-0.98</v>
      </c>
      <c r="G145" s="6" t="s">
        <v>254</v>
      </c>
      <c r="H145" s="6" t="s">
        <v>267</v>
      </c>
    </row>
    <row r="146" customFormat="false" ht="15" hidden="false" customHeight="false" outlineLevel="0" collapsed="false">
      <c r="A146" s="19" t="n">
        <v>46335</v>
      </c>
      <c r="B146" s="6" t="s">
        <v>252</v>
      </c>
      <c r="C146" s="6" t="s">
        <v>343</v>
      </c>
      <c r="D146" s="6" t="s">
        <v>300</v>
      </c>
      <c r="E146" s="6" t="s">
        <v>241</v>
      </c>
      <c r="F146" s="6" t="n">
        <v>0.76</v>
      </c>
      <c r="G146" s="6" t="s">
        <v>259</v>
      </c>
      <c r="H146" s="6" t="s">
        <v>269</v>
      </c>
    </row>
    <row r="147" customFormat="false" ht="15" hidden="false" customHeight="false" outlineLevel="0" collapsed="false">
      <c r="A147" s="19" t="n">
        <v>46335</v>
      </c>
      <c r="B147" s="6" t="s">
        <v>252</v>
      </c>
      <c r="C147" s="6" t="s">
        <v>300</v>
      </c>
      <c r="D147" s="6" t="s">
        <v>273</v>
      </c>
      <c r="E147" s="6" t="s">
        <v>234</v>
      </c>
      <c r="F147" s="6" t="n">
        <v>-0.04</v>
      </c>
      <c r="G147" s="6" t="s">
        <v>284</v>
      </c>
      <c r="H147" s="6" t="s">
        <v>270</v>
      </c>
    </row>
    <row r="148" customFormat="false" ht="15" hidden="false" customHeight="false" outlineLevel="0" collapsed="false">
      <c r="A148" s="19" t="n">
        <v>46335</v>
      </c>
      <c r="B148" s="6" t="s">
        <v>252</v>
      </c>
      <c r="C148" s="6" t="s">
        <v>273</v>
      </c>
      <c r="D148" s="6" t="s">
        <v>353</v>
      </c>
      <c r="E148" s="6" t="s">
        <v>283</v>
      </c>
      <c r="F148" s="6" t="n">
        <v>-0.98</v>
      </c>
      <c r="G148" s="6" t="s">
        <v>254</v>
      </c>
      <c r="H148" s="6" t="s">
        <v>285</v>
      </c>
    </row>
    <row r="149" customFormat="false" ht="15" hidden="false" customHeight="false" outlineLevel="0" collapsed="false">
      <c r="A149" s="19" t="n">
        <v>46335</v>
      </c>
      <c r="B149" s="6" t="s">
        <v>252</v>
      </c>
      <c r="C149" s="6" t="s">
        <v>353</v>
      </c>
      <c r="D149" s="6" t="s">
        <v>291</v>
      </c>
      <c r="E149" s="6" t="s">
        <v>230</v>
      </c>
      <c r="F149" s="6" t="n">
        <v>1.37</v>
      </c>
      <c r="G149" s="6" t="s">
        <v>259</v>
      </c>
      <c r="H149" s="6" t="s">
        <v>255</v>
      </c>
    </row>
    <row r="150" customFormat="false" ht="15" hidden="false" customHeight="false" outlineLevel="0" collapsed="false">
      <c r="A150" s="19" t="n">
        <v>46335</v>
      </c>
      <c r="B150" s="6" t="s">
        <v>252</v>
      </c>
      <c r="C150" s="6" t="s">
        <v>291</v>
      </c>
      <c r="D150" s="6" t="s">
        <v>354</v>
      </c>
      <c r="E150" s="6" t="s">
        <v>250</v>
      </c>
      <c r="F150" s="6" t="n">
        <v>1.25</v>
      </c>
      <c r="G150" s="6" t="s">
        <v>259</v>
      </c>
      <c r="H150" s="6" t="s">
        <v>257</v>
      </c>
    </row>
    <row r="151" customFormat="false" ht="15" hidden="false" customHeight="false" outlineLevel="0" collapsed="false">
      <c r="A151" s="19" t="n">
        <v>46335</v>
      </c>
      <c r="B151" s="6" t="s">
        <v>252</v>
      </c>
      <c r="C151" s="6" t="s">
        <v>354</v>
      </c>
      <c r="D151" s="6" t="s">
        <v>249</v>
      </c>
      <c r="E151" s="6" t="s">
        <v>237</v>
      </c>
      <c r="F151" s="6" t="n">
        <v>1.21</v>
      </c>
      <c r="G151" s="6" t="s">
        <v>259</v>
      </c>
      <c r="H151" s="6" t="s">
        <v>260</v>
      </c>
    </row>
    <row r="152" customFormat="false" ht="15" hidden="false" customHeight="false" outlineLevel="0" collapsed="false">
      <c r="A152" s="19" t="n">
        <v>46336</v>
      </c>
      <c r="B152" s="6" t="s">
        <v>227</v>
      </c>
      <c r="C152" s="6" t="s">
        <v>228</v>
      </c>
      <c r="D152" s="6" t="s">
        <v>355</v>
      </c>
      <c r="E152" s="6" t="s">
        <v>230</v>
      </c>
      <c r="F152" s="6" t="n">
        <v>0.76</v>
      </c>
      <c r="G152" s="6" t="s">
        <v>238</v>
      </c>
      <c r="H152" s="6" t="s">
        <v>232</v>
      </c>
    </row>
    <row r="153" customFormat="false" ht="15" hidden="false" customHeight="false" outlineLevel="0" collapsed="false">
      <c r="A153" s="19" t="n">
        <v>46336</v>
      </c>
      <c r="B153" s="6" t="s">
        <v>227</v>
      </c>
      <c r="C153" s="6" t="s">
        <v>355</v>
      </c>
      <c r="D153" s="6" t="s">
        <v>356</v>
      </c>
      <c r="E153" s="6" t="s">
        <v>234</v>
      </c>
      <c r="F153" s="6" t="n">
        <v>0.2</v>
      </c>
      <c r="G153" s="6" t="s">
        <v>238</v>
      </c>
      <c r="H153" s="6" t="s">
        <v>235</v>
      </c>
    </row>
    <row r="154" customFormat="false" ht="15" hidden="false" customHeight="false" outlineLevel="0" collapsed="false">
      <c r="A154" s="19" t="n">
        <v>46336</v>
      </c>
      <c r="B154" s="6" t="s">
        <v>227</v>
      </c>
      <c r="C154" s="6" t="s">
        <v>356</v>
      </c>
      <c r="D154" s="6" t="s">
        <v>357</v>
      </c>
      <c r="E154" s="6" t="s">
        <v>237</v>
      </c>
      <c r="F154" s="6" t="n">
        <v>-0.41</v>
      </c>
      <c r="G154" s="6" t="s">
        <v>231</v>
      </c>
      <c r="H154" s="6" t="s">
        <v>239</v>
      </c>
    </row>
    <row r="155" customFormat="false" ht="15" hidden="false" customHeight="false" outlineLevel="0" collapsed="false">
      <c r="A155" s="19" t="n">
        <v>46336</v>
      </c>
      <c r="B155" s="6" t="s">
        <v>227</v>
      </c>
      <c r="C155" s="6" t="s">
        <v>357</v>
      </c>
      <c r="D155" s="6" t="s">
        <v>358</v>
      </c>
      <c r="E155" s="6" t="s">
        <v>241</v>
      </c>
      <c r="F155" s="6" t="n">
        <v>0.35</v>
      </c>
      <c r="G155" s="6" t="s">
        <v>238</v>
      </c>
      <c r="H155" s="6" t="s">
        <v>242</v>
      </c>
    </row>
    <row r="156" customFormat="false" ht="15" hidden="false" customHeight="false" outlineLevel="0" collapsed="false">
      <c r="A156" s="19" t="n">
        <v>46336</v>
      </c>
      <c r="B156" s="6" t="s">
        <v>227</v>
      </c>
      <c r="C156" s="6" t="s">
        <v>358</v>
      </c>
      <c r="D156" s="6" t="s">
        <v>359</v>
      </c>
      <c r="E156" s="6" t="s">
        <v>244</v>
      </c>
      <c r="F156" s="6" t="n">
        <v>-0.99</v>
      </c>
      <c r="G156" s="6" t="s">
        <v>231</v>
      </c>
      <c r="H156" s="6" t="s">
        <v>245</v>
      </c>
    </row>
    <row r="157" customFormat="false" ht="15" hidden="false" customHeight="false" outlineLevel="0" collapsed="false">
      <c r="A157" s="19" t="n">
        <v>46336</v>
      </c>
      <c r="B157" s="6" t="s">
        <v>227</v>
      </c>
      <c r="C157" s="6" t="s">
        <v>359</v>
      </c>
      <c r="D157" s="6" t="s">
        <v>321</v>
      </c>
      <c r="E157" s="6" t="s">
        <v>247</v>
      </c>
      <c r="F157" s="6" t="n">
        <v>0</v>
      </c>
      <c r="G157" s="6" t="s">
        <v>294</v>
      </c>
      <c r="H157" s="6" t="s">
        <v>248</v>
      </c>
    </row>
    <row r="158" customFormat="false" ht="15" hidden="false" customHeight="false" outlineLevel="0" collapsed="false">
      <c r="A158" s="19" t="n">
        <v>46336</v>
      </c>
      <c r="B158" s="6" t="s">
        <v>227</v>
      </c>
      <c r="C158" s="6" t="s">
        <v>321</v>
      </c>
      <c r="D158" s="6" t="s">
        <v>249</v>
      </c>
      <c r="E158" s="6" t="s">
        <v>250</v>
      </c>
      <c r="F158" s="6" t="n">
        <v>0.3</v>
      </c>
      <c r="G158" s="6" t="s">
        <v>238</v>
      </c>
      <c r="H158" s="6" t="s">
        <v>251</v>
      </c>
    </row>
    <row r="159" customFormat="false" ht="15" hidden="false" customHeight="false" outlineLevel="0" collapsed="false">
      <c r="A159" s="19" t="n">
        <v>46336</v>
      </c>
      <c r="B159" s="6" t="s">
        <v>252</v>
      </c>
      <c r="C159" s="6" t="s">
        <v>228</v>
      </c>
      <c r="D159" s="6" t="s">
        <v>228</v>
      </c>
      <c r="E159" s="6" t="s">
        <v>244</v>
      </c>
      <c r="F159" s="6" t="n">
        <v>-0.99</v>
      </c>
      <c r="G159" s="6" t="s">
        <v>254</v>
      </c>
      <c r="H159" s="6" t="s">
        <v>267</v>
      </c>
    </row>
    <row r="160" customFormat="false" ht="15" hidden="false" customHeight="false" outlineLevel="0" collapsed="false">
      <c r="A160" s="19" t="n">
        <v>46336</v>
      </c>
      <c r="B160" s="6" t="s">
        <v>252</v>
      </c>
      <c r="C160" s="6" t="s">
        <v>228</v>
      </c>
      <c r="D160" s="6" t="s">
        <v>360</v>
      </c>
      <c r="E160" s="6" t="s">
        <v>241</v>
      </c>
      <c r="F160" s="6" t="n">
        <v>0.76</v>
      </c>
      <c r="G160" s="6" t="s">
        <v>259</v>
      </c>
      <c r="H160" s="6" t="s">
        <v>269</v>
      </c>
    </row>
    <row r="161" customFormat="false" ht="15" hidden="false" customHeight="false" outlineLevel="0" collapsed="false">
      <c r="A161" s="19" t="n">
        <v>46336</v>
      </c>
      <c r="B161" s="6" t="s">
        <v>252</v>
      </c>
      <c r="C161" s="6" t="s">
        <v>360</v>
      </c>
      <c r="D161" s="6" t="s">
        <v>279</v>
      </c>
      <c r="E161" s="6" t="s">
        <v>234</v>
      </c>
      <c r="F161" s="6" t="n">
        <v>0.82</v>
      </c>
      <c r="G161" s="6" t="s">
        <v>259</v>
      </c>
      <c r="H161" s="6" t="s">
        <v>270</v>
      </c>
    </row>
    <row r="162" customFormat="false" ht="15" hidden="false" customHeight="false" outlineLevel="0" collapsed="false">
      <c r="A162" s="19" t="n">
        <v>46336</v>
      </c>
      <c r="B162" s="6" t="s">
        <v>252</v>
      </c>
      <c r="C162" s="6" t="s">
        <v>279</v>
      </c>
      <c r="D162" s="6" t="s">
        <v>361</v>
      </c>
      <c r="E162" s="6" t="s">
        <v>283</v>
      </c>
      <c r="F162" s="6" t="n">
        <v>-0.99</v>
      </c>
      <c r="G162" s="6" t="s">
        <v>254</v>
      </c>
      <c r="H162" s="6" t="s">
        <v>285</v>
      </c>
    </row>
    <row r="163" customFormat="false" ht="15" hidden="false" customHeight="false" outlineLevel="0" collapsed="false">
      <c r="A163" s="19" t="n">
        <v>46336</v>
      </c>
      <c r="B163" s="6" t="s">
        <v>252</v>
      </c>
      <c r="C163" s="6" t="s">
        <v>361</v>
      </c>
      <c r="D163" s="6" t="s">
        <v>362</v>
      </c>
      <c r="E163" s="6" t="s">
        <v>230</v>
      </c>
      <c r="F163" s="6" t="n">
        <v>1.38</v>
      </c>
      <c r="G163" s="6" t="s">
        <v>259</v>
      </c>
      <c r="H163" s="6" t="s">
        <v>255</v>
      </c>
    </row>
    <row r="164" customFormat="false" ht="15" hidden="false" customHeight="false" outlineLevel="0" collapsed="false">
      <c r="A164" s="19" t="n">
        <v>46336</v>
      </c>
      <c r="B164" s="6" t="s">
        <v>252</v>
      </c>
      <c r="C164" s="6" t="s">
        <v>362</v>
      </c>
      <c r="D164" s="6" t="s">
        <v>363</v>
      </c>
      <c r="E164" s="6" t="s">
        <v>250</v>
      </c>
      <c r="F164" s="6" t="n">
        <v>0.3</v>
      </c>
      <c r="G164" s="6" t="s">
        <v>259</v>
      </c>
      <c r="H164" s="6" t="s">
        <v>257</v>
      </c>
    </row>
    <row r="165" customFormat="false" ht="15" hidden="false" customHeight="false" outlineLevel="0" collapsed="false">
      <c r="A165" s="19" t="n">
        <v>46336</v>
      </c>
      <c r="B165" s="6" t="s">
        <v>252</v>
      </c>
      <c r="C165" s="6" t="s">
        <v>363</v>
      </c>
      <c r="D165" s="6" t="s">
        <v>364</v>
      </c>
      <c r="E165" s="6" t="s">
        <v>237</v>
      </c>
      <c r="F165" s="6" t="n">
        <v>0</v>
      </c>
      <c r="G165" s="6" t="s">
        <v>284</v>
      </c>
      <c r="H165" s="6" t="s">
        <v>260</v>
      </c>
    </row>
    <row r="166" customFormat="false" ht="15" hidden="false" customHeight="false" outlineLevel="0" collapsed="false">
      <c r="A166" s="19" t="n">
        <v>46336</v>
      </c>
      <c r="B166" s="6" t="s">
        <v>252</v>
      </c>
      <c r="C166" s="6" t="s">
        <v>364</v>
      </c>
      <c r="D166" s="6" t="s">
        <v>365</v>
      </c>
      <c r="E166" s="6" t="s">
        <v>247</v>
      </c>
      <c r="F166" s="6" t="n">
        <v>0</v>
      </c>
      <c r="G166" s="6" t="s">
        <v>284</v>
      </c>
      <c r="H166" s="6" t="s">
        <v>262</v>
      </c>
    </row>
    <row r="167" customFormat="false" ht="15" hidden="false" customHeight="false" outlineLevel="0" collapsed="false">
      <c r="A167" s="19" t="n">
        <v>46336</v>
      </c>
      <c r="B167" s="6" t="s">
        <v>252</v>
      </c>
      <c r="C167" s="6" t="s">
        <v>365</v>
      </c>
      <c r="D167" s="6" t="s">
        <v>249</v>
      </c>
      <c r="E167" s="6" t="s">
        <v>264</v>
      </c>
      <c r="F167" s="6" t="n">
        <v>-0.37</v>
      </c>
      <c r="G167" s="6" t="s">
        <v>254</v>
      </c>
      <c r="H167" s="6" t="s">
        <v>265</v>
      </c>
    </row>
    <row r="168" customFormat="false" ht="15" hidden="false" customHeight="false" outlineLevel="0" collapsed="false">
      <c r="A168" s="19" t="n">
        <v>46337</v>
      </c>
      <c r="B168" s="6" t="s">
        <v>227</v>
      </c>
      <c r="C168" s="6" t="s">
        <v>228</v>
      </c>
      <c r="D168" s="6" t="s">
        <v>355</v>
      </c>
      <c r="E168" s="6" t="s">
        <v>241</v>
      </c>
      <c r="F168" s="6" t="n">
        <v>0.1</v>
      </c>
      <c r="G168" s="6" t="s">
        <v>238</v>
      </c>
      <c r="H168" s="6" t="s">
        <v>242</v>
      </c>
    </row>
    <row r="169" customFormat="false" ht="15" hidden="false" customHeight="false" outlineLevel="0" collapsed="false">
      <c r="A169" s="19" t="n">
        <v>46337</v>
      </c>
      <c r="B169" s="6" t="s">
        <v>227</v>
      </c>
      <c r="C169" s="6" t="s">
        <v>355</v>
      </c>
      <c r="D169" s="6" t="s">
        <v>356</v>
      </c>
      <c r="E169" s="6" t="s">
        <v>244</v>
      </c>
      <c r="F169" s="6" t="n">
        <v>-0.99</v>
      </c>
      <c r="G169" s="6" t="s">
        <v>231</v>
      </c>
      <c r="H169" s="6" t="s">
        <v>245</v>
      </c>
    </row>
    <row r="170" customFormat="false" ht="15" hidden="false" customHeight="false" outlineLevel="0" collapsed="false">
      <c r="A170" s="19" t="n">
        <v>46337</v>
      </c>
      <c r="B170" s="6" t="s">
        <v>227</v>
      </c>
      <c r="C170" s="6" t="s">
        <v>356</v>
      </c>
      <c r="D170" s="6" t="s">
        <v>357</v>
      </c>
      <c r="E170" s="6" t="s">
        <v>247</v>
      </c>
      <c r="F170" s="6" t="n">
        <v>0</v>
      </c>
      <c r="G170" s="6" t="s">
        <v>294</v>
      </c>
      <c r="H170" s="6" t="s">
        <v>248</v>
      </c>
    </row>
    <row r="171" customFormat="false" ht="15" hidden="false" customHeight="false" outlineLevel="0" collapsed="false">
      <c r="A171" s="19" t="n">
        <v>46337</v>
      </c>
      <c r="B171" s="6" t="s">
        <v>227</v>
      </c>
      <c r="C171" s="6" t="s">
        <v>357</v>
      </c>
      <c r="D171" s="6" t="s">
        <v>358</v>
      </c>
      <c r="E171" s="6" t="s">
        <v>250</v>
      </c>
      <c r="F171" s="6" t="n">
        <v>0.32</v>
      </c>
      <c r="G171" s="6" t="s">
        <v>238</v>
      </c>
      <c r="H171" s="6" t="s">
        <v>251</v>
      </c>
    </row>
    <row r="172" customFormat="false" ht="15" hidden="false" customHeight="false" outlineLevel="0" collapsed="false">
      <c r="A172" s="19" t="n">
        <v>46337</v>
      </c>
      <c r="B172" s="6" t="s">
        <v>227</v>
      </c>
      <c r="C172" s="6" t="s">
        <v>358</v>
      </c>
      <c r="D172" s="6" t="s">
        <v>359</v>
      </c>
      <c r="E172" s="6" t="s">
        <v>230</v>
      </c>
      <c r="F172" s="6" t="n">
        <v>0.76</v>
      </c>
      <c r="G172" s="6" t="s">
        <v>238</v>
      </c>
      <c r="H172" s="6" t="s">
        <v>232</v>
      </c>
    </row>
    <row r="173" customFormat="false" ht="15" hidden="false" customHeight="false" outlineLevel="0" collapsed="false">
      <c r="A173" s="19" t="n">
        <v>46337</v>
      </c>
      <c r="B173" s="6" t="s">
        <v>227</v>
      </c>
      <c r="C173" s="6" t="s">
        <v>359</v>
      </c>
      <c r="D173" s="6" t="s">
        <v>321</v>
      </c>
      <c r="E173" s="6" t="s">
        <v>234</v>
      </c>
      <c r="F173" s="6" t="n">
        <v>0.18</v>
      </c>
      <c r="G173" s="6" t="s">
        <v>238</v>
      </c>
      <c r="H173" s="6" t="s">
        <v>235</v>
      </c>
    </row>
    <row r="174" customFormat="false" ht="15" hidden="false" customHeight="false" outlineLevel="0" collapsed="false">
      <c r="A174" s="19" t="n">
        <v>46337</v>
      </c>
      <c r="B174" s="6" t="s">
        <v>227</v>
      </c>
      <c r="C174" s="6" t="s">
        <v>321</v>
      </c>
      <c r="D174" s="6" t="s">
        <v>249</v>
      </c>
      <c r="E174" s="6" t="s">
        <v>237</v>
      </c>
      <c r="F174" s="6" t="n">
        <v>-0.66</v>
      </c>
      <c r="G174" s="6" t="s">
        <v>231</v>
      </c>
      <c r="H174" s="6" t="s">
        <v>239</v>
      </c>
    </row>
    <row r="175" customFormat="false" ht="15" hidden="false" customHeight="false" outlineLevel="0" collapsed="false">
      <c r="A175" s="19" t="n">
        <v>46337</v>
      </c>
      <c r="B175" s="6" t="s">
        <v>252</v>
      </c>
      <c r="C175" s="6" t="s">
        <v>228</v>
      </c>
      <c r="D175" s="6" t="s">
        <v>366</v>
      </c>
      <c r="E175" s="6" t="s">
        <v>241</v>
      </c>
      <c r="F175" s="6" t="n">
        <v>0.05</v>
      </c>
      <c r="G175" s="6" t="s">
        <v>284</v>
      </c>
      <c r="H175" s="6" t="s">
        <v>269</v>
      </c>
    </row>
    <row r="176" customFormat="false" ht="15" hidden="false" customHeight="false" outlineLevel="0" collapsed="false">
      <c r="A176" s="19" t="n">
        <v>46337</v>
      </c>
      <c r="B176" s="6" t="s">
        <v>252</v>
      </c>
      <c r="C176" s="6" t="s">
        <v>366</v>
      </c>
      <c r="D176" s="6" t="s">
        <v>367</v>
      </c>
      <c r="E176" s="6" t="s">
        <v>234</v>
      </c>
      <c r="F176" s="6" t="n">
        <v>0.81</v>
      </c>
      <c r="G176" s="6" t="s">
        <v>259</v>
      </c>
      <c r="H176" s="6" t="s">
        <v>270</v>
      </c>
    </row>
    <row r="177" customFormat="false" ht="15" hidden="false" customHeight="false" outlineLevel="0" collapsed="false">
      <c r="A177" s="19" t="n">
        <v>46337</v>
      </c>
      <c r="B177" s="6" t="s">
        <v>252</v>
      </c>
      <c r="C177" s="6" t="s">
        <v>367</v>
      </c>
      <c r="D177" s="6" t="s">
        <v>368</v>
      </c>
      <c r="E177" s="6" t="s">
        <v>283</v>
      </c>
      <c r="F177" s="6" t="n">
        <v>-0.99</v>
      </c>
      <c r="G177" s="6" t="s">
        <v>254</v>
      </c>
      <c r="H177" s="6" t="s">
        <v>285</v>
      </c>
    </row>
    <row r="178" customFormat="false" ht="15" hidden="false" customHeight="false" outlineLevel="0" collapsed="false">
      <c r="A178" s="19" t="n">
        <v>46337</v>
      </c>
      <c r="B178" s="6" t="s">
        <v>252</v>
      </c>
      <c r="C178" s="6" t="s">
        <v>368</v>
      </c>
      <c r="D178" s="6" t="s">
        <v>369</v>
      </c>
      <c r="E178" s="6" t="s">
        <v>230</v>
      </c>
      <c r="F178" s="6" t="n">
        <v>1.38</v>
      </c>
      <c r="G178" s="6" t="s">
        <v>259</v>
      </c>
      <c r="H178" s="6" t="s">
        <v>255</v>
      </c>
    </row>
    <row r="179" customFormat="false" ht="15" hidden="false" customHeight="false" outlineLevel="0" collapsed="false">
      <c r="A179" s="19" t="n">
        <v>46337</v>
      </c>
      <c r="B179" s="6" t="s">
        <v>252</v>
      </c>
      <c r="C179" s="6" t="s">
        <v>369</v>
      </c>
      <c r="D179" s="6" t="s">
        <v>325</v>
      </c>
      <c r="E179" s="6" t="s">
        <v>250</v>
      </c>
      <c r="F179" s="6" t="n">
        <v>0.32</v>
      </c>
      <c r="G179" s="6" t="s">
        <v>259</v>
      </c>
      <c r="H179" s="6" t="s">
        <v>257</v>
      </c>
    </row>
    <row r="180" customFormat="false" ht="15" hidden="false" customHeight="false" outlineLevel="0" collapsed="false">
      <c r="A180" s="19" t="n">
        <v>46337</v>
      </c>
      <c r="B180" s="6" t="s">
        <v>252</v>
      </c>
      <c r="C180" s="6" t="s">
        <v>325</v>
      </c>
      <c r="D180" s="6" t="s">
        <v>370</v>
      </c>
      <c r="E180" s="6" t="s">
        <v>237</v>
      </c>
      <c r="F180" s="6" t="n">
        <v>-0.71</v>
      </c>
      <c r="G180" s="6" t="s">
        <v>254</v>
      </c>
      <c r="H180" s="6" t="s">
        <v>260</v>
      </c>
    </row>
    <row r="181" customFormat="false" ht="15" hidden="false" customHeight="false" outlineLevel="0" collapsed="false">
      <c r="A181" s="19" t="n">
        <v>46337</v>
      </c>
      <c r="B181" s="6" t="s">
        <v>252</v>
      </c>
      <c r="C181" s="6" t="s">
        <v>370</v>
      </c>
      <c r="D181" s="6" t="s">
        <v>371</v>
      </c>
      <c r="E181" s="6" t="s">
        <v>247</v>
      </c>
      <c r="F181" s="6" t="n">
        <v>0</v>
      </c>
      <c r="G181" s="6" t="s">
        <v>284</v>
      </c>
      <c r="H181" s="6" t="s">
        <v>262</v>
      </c>
    </row>
    <row r="182" customFormat="false" ht="15" hidden="false" customHeight="false" outlineLevel="0" collapsed="false">
      <c r="A182" s="19" t="n">
        <v>46337</v>
      </c>
      <c r="B182" s="6" t="s">
        <v>252</v>
      </c>
      <c r="C182" s="6" t="s">
        <v>371</v>
      </c>
      <c r="D182" s="6" t="s">
        <v>372</v>
      </c>
      <c r="E182" s="6" t="s">
        <v>264</v>
      </c>
      <c r="F182" s="6" t="n">
        <v>-0.37</v>
      </c>
      <c r="G182" s="6" t="s">
        <v>254</v>
      </c>
      <c r="H182" s="6" t="s">
        <v>265</v>
      </c>
    </row>
    <row r="183" customFormat="false" ht="15" hidden="false" customHeight="false" outlineLevel="0" collapsed="false">
      <c r="A183" s="19" t="n">
        <v>46337</v>
      </c>
      <c r="B183" s="6" t="s">
        <v>252</v>
      </c>
      <c r="C183" s="6" t="s">
        <v>372</v>
      </c>
      <c r="D183" s="6" t="s">
        <v>249</v>
      </c>
      <c r="E183" s="6" t="s">
        <v>244</v>
      </c>
      <c r="F183" s="6" t="n">
        <v>-0.99</v>
      </c>
      <c r="G183" s="6" t="s">
        <v>254</v>
      </c>
      <c r="H183" s="6" t="s">
        <v>267</v>
      </c>
    </row>
    <row r="184" customFormat="false" ht="15" hidden="false" customHeight="false" outlineLevel="0" collapsed="false">
      <c r="A184" s="19" t="n">
        <v>46338</v>
      </c>
      <c r="B184" s="6" t="s">
        <v>227</v>
      </c>
      <c r="C184" s="6" t="s">
        <v>228</v>
      </c>
      <c r="D184" s="6" t="s">
        <v>373</v>
      </c>
      <c r="E184" s="6" t="s">
        <v>250</v>
      </c>
      <c r="F184" s="6" t="n">
        <v>0.35</v>
      </c>
      <c r="G184" s="6" t="s">
        <v>238</v>
      </c>
      <c r="H184" s="6" t="s">
        <v>251</v>
      </c>
    </row>
    <row r="185" customFormat="false" ht="15" hidden="false" customHeight="false" outlineLevel="0" collapsed="false">
      <c r="A185" s="19" t="n">
        <v>46338</v>
      </c>
      <c r="B185" s="6" t="s">
        <v>227</v>
      </c>
      <c r="C185" s="6" t="s">
        <v>373</v>
      </c>
      <c r="D185" s="6" t="s">
        <v>374</v>
      </c>
      <c r="E185" s="6" t="s">
        <v>230</v>
      </c>
      <c r="F185" s="6" t="n">
        <v>0.76</v>
      </c>
      <c r="G185" s="6" t="s">
        <v>238</v>
      </c>
      <c r="H185" s="6" t="s">
        <v>232</v>
      </c>
    </row>
    <row r="186" customFormat="false" ht="15" hidden="false" customHeight="false" outlineLevel="0" collapsed="false">
      <c r="A186" s="19" t="n">
        <v>46338</v>
      </c>
      <c r="B186" s="6" t="s">
        <v>227</v>
      </c>
      <c r="C186" s="6" t="s">
        <v>374</v>
      </c>
      <c r="D186" s="6" t="s">
        <v>375</v>
      </c>
      <c r="E186" s="6" t="s">
        <v>234</v>
      </c>
      <c r="F186" s="6" t="n">
        <v>0.17</v>
      </c>
      <c r="G186" s="6" t="s">
        <v>238</v>
      </c>
      <c r="H186" s="6" t="s">
        <v>235</v>
      </c>
    </row>
    <row r="187" customFormat="false" ht="15" hidden="false" customHeight="false" outlineLevel="0" collapsed="false">
      <c r="A187" s="19" t="n">
        <v>46338</v>
      </c>
      <c r="B187" s="6" t="s">
        <v>227</v>
      </c>
      <c r="C187" s="6" t="s">
        <v>375</v>
      </c>
      <c r="D187" s="6" t="s">
        <v>376</v>
      </c>
      <c r="E187" s="6" t="s">
        <v>237</v>
      </c>
      <c r="F187" s="6" t="n">
        <v>0.67</v>
      </c>
      <c r="G187" s="6" t="s">
        <v>238</v>
      </c>
      <c r="H187" s="6" t="s">
        <v>239</v>
      </c>
    </row>
    <row r="188" customFormat="false" ht="15" hidden="false" customHeight="false" outlineLevel="0" collapsed="false">
      <c r="A188" s="19" t="n">
        <v>46338</v>
      </c>
      <c r="B188" s="6" t="s">
        <v>227</v>
      </c>
      <c r="C188" s="6" t="s">
        <v>376</v>
      </c>
      <c r="D188" s="6" t="s">
        <v>377</v>
      </c>
      <c r="E188" s="6" t="s">
        <v>241</v>
      </c>
      <c r="F188" s="6" t="n">
        <v>0.76</v>
      </c>
      <c r="G188" s="6" t="s">
        <v>238</v>
      </c>
      <c r="H188" s="6" t="s">
        <v>242</v>
      </c>
    </row>
    <row r="189" customFormat="false" ht="15" hidden="false" customHeight="false" outlineLevel="0" collapsed="false">
      <c r="A189" s="19" t="n">
        <v>46338</v>
      </c>
      <c r="B189" s="6" t="s">
        <v>227</v>
      </c>
      <c r="C189" s="6" t="s">
        <v>377</v>
      </c>
      <c r="D189" s="6" t="s">
        <v>378</v>
      </c>
      <c r="E189" s="6" t="s">
        <v>244</v>
      </c>
      <c r="F189" s="6" t="n">
        <v>-0.33</v>
      </c>
      <c r="G189" s="6" t="s">
        <v>231</v>
      </c>
      <c r="H189" s="6" t="s">
        <v>245</v>
      </c>
    </row>
    <row r="190" customFormat="false" ht="15" hidden="false" customHeight="false" outlineLevel="0" collapsed="false">
      <c r="A190" s="19" t="n">
        <v>46338</v>
      </c>
      <c r="B190" s="6" t="s">
        <v>227</v>
      </c>
      <c r="C190" s="6" t="s">
        <v>378</v>
      </c>
      <c r="D190" s="6" t="s">
        <v>249</v>
      </c>
      <c r="E190" s="6" t="s">
        <v>247</v>
      </c>
      <c r="F190" s="6" t="n">
        <v>0.72</v>
      </c>
      <c r="G190" s="6" t="s">
        <v>238</v>
      </c>
      <c r="H190" s="6" t="s">
        <v>248</v>
      </c>
    </row>
    <row r="191" customFormat="false" ht="15" hidden="false" customHeight="false" outlineLevel="0" collapsed="false">
      <c r="A191" s="19" t="n">
        <v>46338</v>
      </c>
      <c r="B191" s="6" t="s">
        <v>252</v>
      </c>
      <c r="C191" s="6" t="s">
        <v>228</v>
      </c>
      <c r="D191" s="6" t="s">
        <v>379</v>
      </c>
      <c r="E191" s="6" t="s">
        <v>234</v>
      </c>
      <c r="F191" s="6" t="n">
        <v>0.8</v>
      </c>
      <c r="G191" s="6" t="s">
        <v>259</v>
      </c>
      <c r="H191" s="6" t="s">
        <v>270</v>
      </c>
    </row>
    <row r="192" customFormat="false" ht="15" hidden="false" customHeight="false" outlineLevel="0" collapsed="false">
      <c r="A192" s="19" t="n">
        <v>46338</v>
      </c>
      <c r="B192" s="6" t="s">
        <v>252</v>
      </c>
      <c r="C192" s="6" t="s">
        <v>379</v>
      </c>
      <c r="D192" s="6" t="s">
        <v>380</v>
      </c>
      <c r="E192" s="6" t="s">
        <v>283</v>
      </c>
      <c r="F192" s="6" t="n">
        <v>-1.61</v>
      </c>
      <c r="G192" s="6" t="s">
        <v>254</v>
      </c>
      <c r="H192" s="6" t="s">
        <v>285</v>
      </c>
    </row>
    <row r="193" customFormat="false" ht="15" hidden="false" customHeight="false" outlineLevel="0" collapsed="false">
      <c r="A193" s="19" t="n">
        <v>46338</v>
      </c>
      <c r="B193" s="6" t="s">
        <v>252</v>
      </c>
      <c r="C193" s="6" t="s">
        <v>380</v>
      </c>
      <c r="D193" s="6" t="s">
        <v>381</v>
      </c>
      <c r="E193" s="6" t="s">
        <v>230</v>
      </c>
      <c r="F193" s="6" t="n">
        <v>1.39</v>
      </c>
      <c r="G193" s="6" t="s">
        <v>259</v>
      </c>
      <c r="H193" s="6" t="s">
        <v>255</v>
      </c>
    </row>
    <row r="194" customFormat="false" ht="15" hidden="false" customHeight="false" outlineLevel="0" collapsed="false">
      <c r="A194" s="19" t="n">
        <v>46338</v>
      </c>
      <c r="B194" s="6" t="s">
        <v>252</v>
      </c>
      <c r="C194" s="6" t="s">
        <v>381</v>
      </c>
      <c r="D194" s="6" t="s">
        <v>279</v>
      </c>
      <c r="E194" s="6" t="s">
        <v>250</v>
      </c>
      <c r="F194" s="6" t="n">
        <v>0.34</v>
      </c>
      <c r="G194" s="6" t="s">
        <v>259</v>
      </c>
      <c r="H194" s="6" t="s">
        <v>257</v>
      </c>
    </row>
    <row r="195" customFormat="false" ht="15" hidden="false" customHeight="false" outlineLevel="0" collapsed="false">
      <c r="A195" s="19" t="n">
        <v>46338</v>
      </c>
      <c r="B195" s="6" t="s">
        <v>252</v>
      </c>
      <c r="C195" s="6" t="s">
        <v>279</v>
      </c>
      <c r="D195" s="6" t="s">
        <v>382</v>
      </c>
      <c r="E195" s="6" t="s">
        <v>237</v>
      </c>
      <c r="F195" s="6" t="n">
        <v>1.27</v>
      </c>
      <c r="G195" s="6" t="s">
        <v>259</v>
      </c>
      <c r="H195" s="6" t="s">
        <v>260</v>
      </c>
    </row>
    <row r="196" customFormat="false" ht="15" hidden="false" customHeight="false" outlineLevel="0" collapsed="false">
      <c r="A196" s="19" t="n">
        <v>46338</v>
      </c>
      <c r="B196" s="6" t="s">
        <v>252</v>
      </c>
      <c r="C196" s="6" t="s">
        <v>382</v>
      </c>
      <c r="D196" s="6" t="s">
        <v>383</v>
      </c>
      <c r="E196" s="6" t="s">
        <v>247</v>
      </c>
      <c r="F196" s="6" t="n">
        <v>0.66</v>
      </c>
      <c r="G196" s="6" t="s">
        <v>259</v>
      </c>
      <c r="H196" s="6" t="s">
        <v>262</v>
      </c>
    </row>
    <row r="197" customFormat="false" ht="15" hidden="false" customHeight="false" outlineLevel="0" collapsed="false">
      <c r="A197" s="19" t="n">
        <v>46338</v>
      </c>
      <c r="B197" s="6" t="s">
        <v>252</v>
      </c>
      <c r="C197" s="6" t="s">
        <v>383</v>
      </c>
      <c r="D197" s="6" t="s">
        <v>281</v>
      </c>
      <c r="E197" s="6" t="s">
        <v>264</v>
      </c>
      <c r="F197" s="6" t="n">
        <v>-0.37</v>
      </c>
      <c r="G197" s="6" t="s">
        <v>254</v>
      </c>
      <c r="H197" s="6" t="s">
        <v>265</v>
      </c>
    </row>
    <row r="198" customFormat="false" ht="15" hidden="false" customHeight="false" outlineLevel="0" collapsed="false">
      <c r="A198" s="19" t="n">
        <v>46338</v>
      </c>
      <c r="B198" s="6" t="s">
        <v>252</v>
      </c>
      <c r="C198" s="6" t="s">
        <v>281</v>
      </c>
      <c r="D198" s="6" t="s">
        <v>384</v>
      </c>
      <c r="E198" s="6" t="s">
        <v>244</v>
      </c>
      <c r="F198" s="6" t="n">
        <v>-0.39</v>
      </c>
      <c r="G198" s="6" t="s">
        <v>254</v>
      </c>
      <c r="H198" s="6" t="s">
        <v>267</v>
      </c>
    </row>
    <row r="199" customFormat="false" ht="15" hidden="false" customHeight="false" outlineLevel="0" collapsed="false">
      <c r="A199" s="19" t="n">
        <v>46338</v>
      </c>
      <c r="B199" s="6" t="s">
        <v>252</v>
      </c>
      <c r="C199" s="6" t="s">
        <v>384</v>
      </c>
      <c r="D199" s="6" t="s">
        <v>249</v>
      </c>
      <c r="E199" s="6" t="s">
        <v>241</v>
      </c>
      <c r="F199" s="6" t="n">
        <v>0.76</v>
      </c>
      <c r="G199" s="6" t="s">
        <v>259</v>
      </c>
      <c r="H199" s="6" t="s">
        <v>269</v>
      </c>
    </row>
    <row r="200" customFormat="false" ht="15" hidden="false" customHeight="false" outlineLevel="0" collapsed="false">
      <c r="A200" s="19" t="n">
        <v>46339</v>
      </c>
      <c r="B200" s="6" t="s">
        <v>227</v>
      </c>
      <c r="C200" s="6" t="s">
        <v>228</v>
      </c>
      <c r="D200" s="6" t="s">
        <v>373</v>
      </c>
      <c r="E200" s="6" t="s">
        <v>237</v>
      </c>
      <c r="F200" s="6" t="n">
        <v>-0.17</v>
      </c>
      <c r="G200" s="6" t="s">
        <v>231</v>
      </c>
      <c r="H200" s="6" t="s">
        <v>239</v>
      </c>
    </row>
    <row r="201" customFormat="false" ht="15" hidden="false" customHeight="false" outlineLevel="0" collapsed="false">
      <c r="A201" s="19" t="n">
        <v>46339</v>
      </c>
      <c r="B201" s="6" t="s">
        <v>227</v>
      </c>
      <c r="C201" s="6" t="s">
        <v>373</v>
      </c>
      <c r="D201" s="6" t="s">
        <v>374</v>
      </c>
      <c r="E201" s="6" t="s">
        <v>241</v>
      </c>
      <c r="F201" s="6" t="n">
        <v>0.11</v>
      </c>
      <c r="G201" s="6" t="s">
        <v>238</v>
      </c>
      <c r="H201" s="6" t="s">
        <v>242</v>
      </c>
    </row>
    <row r="202" customFormat="false" ht="15" hidden="false" customHeight="false" outlineLevel="0" collapsed="false">
      <c r="A202" s="19" t="n">
        <v>46339</v>
      </c>
      <c r="B202" s="6" t="s">
        <v>227</v>
      </c>
      <c r="C202" s="6" t="s">
        <v>374</v>
      </c>
      <c r="D202" s="6" t="s">
        <v>375</v>
      </c>
      <c r="E202" s="6" t="s">
        <v>244</v>
      </c>
      <c r="F202" s="6" t="n">
        <v>0.4</v>
      </c>
      <c r="G202" s="6" t="s">
        <v>238</v>
      </c>
      <c r="H202" s="6" t="s">
        <v>245</v>
      </c>
    </row>
    <row r="203" customFormat="false" ht="15" hidden="false" customHeight="false" outlineLevel="0" collapsed="false">
      <c r="A203" s="19" t="n">
        <v>46339</v>
      </c>
      <c r="B203" s="6" t="s">
        <v>227</v>
      </c>
      <c r="C203" s="6" t="s">
        <v>375</v>
      </c>
      <c r="D203" s="6" t="s">
        <v>376</v>
      </c>
      <c r="E203" s="6" t="s">
        <v>247</v>
      </c>
      <c r="F203" s="6" t="n">
        <v>0</v>
      </c>
      <c r="G203" s="6" t="s">
        <v>294</v>
      </c>
      <c r="H203" s="6" t="s">
        <v>248</v>
      </c>
    </row>
    <row r="204" customFormat="false" ht="15" hidden="false" customHeight="false" outlineLevel="0" collapsed="false">
      <c r="A204" s="19" t="n">
        <v>46339</v>
      </c>
      <c r="B204" s="6" t="s">
        <v>227</v>
      </c>
      <c r="C204" s="6" t="s">
        <v>376</v>
      </c>
      <c r="D204" s="6" t="s">
        <v>377</v>
      </c>
      <c r="E204" s="6" t="s">
        <v>250</v>
      </c>
      <c r="F204" s="6" t="n">
        <v>-0.43</v>
      </c>
      <c r="G204" s="6" t="s">
        <v>231</v>
      </c>
      <c r="H204" s="6" t="s">
        <v>251</v>
      </c>
    </row>
    <row r="205" customFormat="false" ht="15" hidden="false" customHeight="false" outlineLevel="0" collapsed="false">
      <c r="A205" s="19" t="n">
        <v>46339</v>
      </c>
      <c r="B205" s="6" t="s">
        <v>227</v>
      </c>
      <c r="C205" s="6" t="s">
        <v>377</v>
      </c>
      <c r="D205" s="6" t="s">
        <v>378</v>
      </c>
      <c r="E205" s="6" t="s">
        <v>230</v>
      </c>
      <c r="F205" s="6" t="n">
        <v>0.76</v>
      </c>
      <c r="G205" s="6" t="s">
        <v>238</v>
      </c>
      <c r="H205" s="6" t="s">
        <v>232</v>
      </c>
    </row>
    <row r="206" customFormat="false" ht="15" hidden="false" customHeight="false" outlineLevel="0" collapsed="false">
      <c r="A206" s="19" t="n">
        <v>46339</v>
      </c>
      <c r="B206" s="6" t="s">
        <v>227</v>
      </c>
      <c r="C206" s="6" t="s">
        <v>378</v>
      </c>
      <c r="D206" s="6" t="s">
        <v>249</v>
      </c>
      <c r="E206" s="6" t="s">
        <v>234</v>
      </c>
      <c r="F206" s="6" t="n">
        <v>0.74</v>
      </c>
      <c r="G206" s="6" t="s">
        <v>238</v>
      </c>
      <c r="H206" s="6" t="s">
        <v>235</v>
      </c>
    </row>
    <row r="207" customFormat="false" ht="15" hidden="false" customHeight="false" outlineLevel="0" collapsed="false">
      <c r="A207" s="19" t="n">
        <v>46339</v>
      </c>
      <c r="B207" s="6" t="s">
        <v>252</v>
      </c>
      <c r="C207" s="6" t="s">
        <v>228</v>
      </c>
      <c r="D207" s="6" t="s">
        <v>385</v>
      </c>
      <c r="E207" s="6" t="s">
        <v>283</v>
      </c>
      <c r="F207" s="6" t="n">
        <v>-1.45</v>
      </c>
      <c r="G207" s="6" t="s">
        <v>254</v>
      </c>
      <c r="H207" s="6" t="s">
        <v>285</v>
      </c>
    </row>
    <row r="208" customFormat="false" ht="15" hidden="false" customHeight="false" outlineLevel="0" collapsed="false">
      <c r="A208" s="19" t="n">
        <v>46339</v>
      </c>
      <c r="B208" s="6" t="s">
        <v>252</v>
      </c>
      <c r="C208" s="6" t="s">
        <v>385</v>
      </c>
      <c r="D208" s="6" t="s">
        <v>349</v>
      </c>
      <c r="E208" s="6" t="s">
        <v>230</v>
      </c>
      <c r="F208" s="6" t="n">
        <v>1.4</v>
      </c>
      <c r="G208" s="6" t="s">
        <v>259</v>
      </c>
      <c r="H208" s="6" t="s">
        <v>255</v>
      </c>
    </row>
    <row r="209" customFormat="false" ht="15" hidden="false" customHeight="false" outlineLevel="0" collapsed="false">
      <c r="A209" s="19" t="n">
        <v>46339</v>
      </c>
      <c r="B209" s="6" t="s">
        <v>252</v>
      </c>
      <c r="C209" s="6" t="s">
        <v>349</v>
      </c>
      <c r="D209" s="6" t="s">
        <v>386</v>
      </c>
      <c r="E209" s="6" t="s">
        <v>250</v>
      </c>
      <c r="F209" s="6" t="n">
        <v>-0.43</v>
      </c>
      <c r="G209" s="6" t="s">
        <v>254</v>
      </c>
      <c r="H209" s="6" t="s">
        <v>257</v>
      </c>
    </row>
    <row r="210" customFormat="false" ht="15" hidden="false" customHeight="false" outlineLevel="0" collapsed="false">
      <c r="A210" s="19" t="n">
        <v>46339</v>
      </c>
      <c r="B210" s="6" t="s">
        <v>252</v>
      </c>
      <c r="C210" s="6" t="s">
        <v>386</v>
      </c>
      <c r="D210" s="6" t="s">
        <v>329</v>
      </c>
      <c r="E210" s="6" t="s">
        <v>237</v>
      </c>
      <c r="F210" s="6" t="n">
        <v>0.27</v>
      </c>
      <c r="G210" s="6" t="s">
        <v>259</v>
      </c>
      <c r="H210" s="6" t="s">
        <v>260</v>
      </c>
    </row>
    <row r="211" customFormat="false" ht="15" hidden="false" customHeight="false" outlineLevel="0" collapsed="false">
      <c r="A211" s="19" t="n">
        <v>46339</v>
      </c>
      <c r="B211" s="6" t="s">
        <v>252</v>
      </c>
      <c r="C211" s="6" t="s">
        <v>329</v>
      </c>
      <c r="D211" s="6" t="s">
        <v>387</v>
      </c>
      <c r="E211" s="6" t="s">
        <v>247</v>
      </c>
      <c r="F211" s="6" t="n">
        <v>0.39</v>
      </c>
      <c r="G211" s="6" t="s">
        <v>259</v>
      </c>
      <c r="H211" s="6" t="s">
        <v>262</v>
      </c>
    </row>
    <row r="212" customFormat="false" ht="15" hidden="false" customHeight="false" outlineLevel="0" collapsed="false">
      <c r="A212" s="19" t="n">
        <v>46339</v>
      </c>
      <c r="B212" s="6" t="s">
        <v>252</v>
      </c>
      <c r="C212" s="6" t="s">
        <v>387</v>
      </c>
      <c r="D212" s="6" t="s">
        <v>362</v>
      </c>
      <c r="E212" s="6" t="s">
        <v>264</v>
      </c>
      <c r="F212" s="6" t="n">
        <v>-0.36</v>
      </c>
      <c r="G212" s="6" t="s">
        <v>254</v>
      </c>
      <c r="H212" s="6" t="s">
        <v>265</v>
      </c>
    </row>
    <row r="213" customFormat="false" ht="15" hidden="false" customHeight="false" outlineLevel="0" collapsed="false">
      <c r="A213" s="19" t="n">
        <v>46339</v>
      </c>
      <c r="B213" s="6" t="s">
        <v>252</v>
      </c>
      <c r="C213" s="6" t="s">
        <v>362</v>
      </c>
      <c r="D213" s="6" t="s">
        <v>364</v>
      </c>
      <c r="E213" s="6" t="s">
        <v>244</v>
      </c>
      <c r="F213" s="6" t="n">
        <v>0.45</v>
      </c>
      <c r="G213" s="6" t="s">
        <v>259</v>
      </c>
      <c r="H213" s="6" t="s">
        <v>267</v>
      </c>
    </row>
    <row r="214" customFormat="false" ht="15" hidden="false" customHeight="false" outlineLevel="0" collapsed="false">
      <c r="A214" s="19" t="n">
        <v>46339</v>
      </c>
      <c r="B214" s="6" t="s">
        <v>252</v>
      </c>
      <c r="C214" s="6" t="s">
        <v>364</v>
      </c>
      <c r="D214" s="6" t="s">
        <v>249</v>
      </c>
      <c r="E214" s="6" t="s">
        <v>241</v>
      </c>
      <c r="F214" s="6" t="n">
        <v>0.11</v>
      </c>
      <c r="G214" s="6" t="s">
        <v>259</v>
      </c>
      <c r="H214" s="6" t="s">
        <v>269</v>
      </c>
    </row>
    <row r="215" customFormat="false" ht="15" hidden="false" customHeight="false" outlineLevel="0" collapsed="false">
      <c r="A215" s="19" t="n">
        <v>46342</v>
      </c>
      <c r="B215" s="6" t="s">
        <v>227</v>
      </c>
      <c r="C215" s="6" t="s">
        <v>228</v>
      </c>
      <c r="D215" s="6" t="s">
        <v>388</v>
      </c>
      <c r="E215" s="6" t="s">
        <v>244</v>
      </c>
      <c r="F215" s="6" t="n">
        <v>0.01</v>
      </c>
      <c r="G215" s="6" t="s">
        <v>294</v>
      </c>
      <c r="H215" s="6" t="s">
        <v>245</v>
      </c>
    </row>
    <row r="216" customFormat="false" ht="15" hidden="false" customHeight="false" outlineLevel="0" collapsed="false">
      <c r="A216" s="19" t="n">
        <v>46342</v>
      </c>
      <c r="B216" s="6" t="s">
        <v>227</v>
      </c>
      <c r="C216" s="6" t="s">
        <v>388</v>
      </c>
      <c r="D216" s="6" t="s">
        <v>389</v>
      </c>
      <c r="E216" s="6" t="s">
        <v>247</v>
      </c>
      <c r="F216" s="6" t="n">
        <v>0.01</v>
      </c>
      <c r="G216" s="6" t="s">
        <v>294</v>
      </c>
      <c r="H216" s="6" t="s">
        <v>248</v>
      </c>
    </row>
    <row r="217" customFormat="false" ht="15" hidden="false" customHeight="false" outlineLevel="0" collapsed="false">
      <c r="A217" s="19" t="n">
        <v>46342</v>
      </c>
      <c r="B217" s="6" t="s">
        <v>227</v>
      </c>
      <c r="C217" s="6" t="s">
        <v>389</v>
      </c>
      <c r="D217" s="6" t="s">
        <v>329</v>
      </c>
      <c r="E217" s="6" t="s">
        <v>250</v>
      </c>
      <c r="F217" s="6" t="n">
        <v>-0.39</v>
      </c>
      <c r="G217" s="6" t="s">
        <v>231</v>
      </c>
      <c r="H217" s="6" t="s">
        <v>251</v>
      </c>
    </row>
    <row r="218" customFormat="false" ht="15" hidden="false" customHeight="false" outlineLevel="0" collapsed="false">
      <c r="A218" s="19" t="n">
        <v>46342</v>
      </c>
      <c r="B218" s="6" t="s">
        <v>227</v>
      </c>
      <c r="C218" s="6" t="s">
        <v>329</v>
      </c>
      <c r="D218" s="6" t="s">
        <v>383</v>
      </c>
      <c r="E218" s="6" t="s">
        <v>230</v>
      </c>
      <c r="F218" s="6" t="n">
        <v>0.76</v>
      </c>
      <c r="G218" s="6" t="s">
        <v>238</v>
      </c>
      <c r="H218" s="6" t="s">
        <v>232</v>
      </c>
    </row>
    <row r="219" customFormat="false" ht="15" hidden="false" customHeight="false" outlineLevel="0" collapsed="false">
      <c r="A219" s="19" t="n">
        <v>46342</v>
      </c>
      <c r="B219" s="6" t="s">
        <v>227</v>
      </c>
      <c r="C219" s="6" t="s">
        <v>383</v>
      </c>
      <c r="D219" s="6" t="s">
        <v>390</v>
      </c>
      <c r="E219" s="6" t="s">
        <v>234</v>
      </c>
      <c r="F219" s="6" t="n">
        <v>0.69</v>
      </c>
      <c r="G219" s="6" t="s">
        <v>238</v>
      </c>
      <c r="H219" s="6" t="s">
        <v>235</v>
      </c>
    </row>
    <row r="220" customFormat="false" ht="15" hidden="false" customHeight="false" outlineLevel="0" collapsed="false">
      <c r="A220" s="19" t="n">
        <v>46342</v>
      </c>
      <c r="B220" s="6" t="s">
        <v>227</v>
      </c>
      <c r="C220" s="6" t="s">
        <v>390</v>
      </c>
      <c r="D220" s="6" t="s">
        <v>391</v>
      </c>
      <c r="E220" s="6" t="s">
        <v>237</v>
      </c>
      <c r="F220" s="6" t="n">
        <v>0</v>
      </c>
      <c r="G220" s="6" t="s">
        <v>294</v>
      </c>
      <c r="H220" s="6" t="s">
        <v>239</v>
      </c>
    </row>
    <row r="221" customFormat="false" ht="15" hidden="false" customHeight="false" outlineLevel="0" collapsed="false">
      <c r="A221" s="19" t="n">
        <v>46342</v>
      </c>
      <c r="B221" s="6" t="s">
        <v>227</v>
      </c>
      <c r="C221" s="6" t="s">
        <v>391</v>
      </c>
      <c r="D221" s="6" t="s">
        <v>249</v>
      </c>
      <c r="E221" s="6" t="s">
        <v>241</v>
      </c>
      <c r="F221" s="6" t="n">
        <v>0.09</v>
      </c>
      <c r="G221" s="6" t="s">
        <v>238</v>
      </c>
      <c r="H221" s="6" t="s">
        <v>242</v>
      </c>
    </row>
    <row r="222" customFormat="false" ht="15" hidden="false" customHeight="false" outlineLevel="0" collapsed="false">
      <c r="A222" s="19" t="n">
        <v>46342</v>
      </c>
      <c r="B222" s="6" t="s">
        <v>252</v>
      </c>
      <c r="C222" s="6" t="s">
        <v>228</v>
      </c>
      <c r="D222" s="6" t="s">
        <v>304</v>
      </c>
      <c r="E222" s="6" t="s">
        <v>237</v>
      </c>
      <c r="F222" s="6" t="n">
        <v>0</v>
      </c>
      <c r="G222" s="6" t="s">
        <v>284</v>
      </c>
      <c r="H222" s="6" t="s">
        <v>260</v>
      </c>
    </row>
    <row r="223" customFormat="false" ht="15" hidden="false" customHeight="false" outlineLevel="0" collapsed="false">
      <c r="A223" s="19" t="n">
        <v>46342</v>
      </c>
      <c r="B223" s="6" t="s">
        <v>252</v>
      </c>
      <c r="C223" s="6" t="s">
        <v>304</v>
      </c>
      <c r="D223" s="6" t="s">
        <v>392</v>
      </c>
      <c r="E223" s="6" t="s">
        <v>247</v>
      </c>
      <c r="F223" s="6" t="n">
        <v>0.01</v>
      </c>
      <c r="G223" s="6" t="s">
        <v>284</v>
      </c>
      <c r="H223" s="6" t="s">
        <v>262</v>
      </c>
    </row>
    <row r="224" customFormat="false" ht="15" hidden="false" customHeight="false" outlineLevel="0" collapsed="false">
      <c r="A224" s="19" t="n">
        <v>46342</v>
      </c>
      <c r="B224" s="6" t="s">
        <v>252</v>
      </c>
      <c r="C224" s="6" t="s">
        <v>392</v>
      </c>
      <c r="D224" s="6" t="s">
        <v>318</v>
      </c>
      <c r="E224" s="6" t="s">
        <v>264</v>
      </c>
      <c r="F224" s="6" t="n">
        <v>-0.34</v>
      </c>
      <c r="G224" s="6" t="s">
        <v>254</v>
      </c>
      <c r="H224" s="6" t="s">
        <v>265</v>
      </c>
    </row>
    <row r="225" customFormat="false" ht="15" hidden="false" customHeight="false" outlineLevel="0" collapsed="false">
      <c r="A225" s="19" t="n">
        <v>46342</v>
      </c>
      <c r="B225" s="6" t="s">
        <v>252</v>
      </c>
      <c r="C225" s="6" t="s">
        <v>318</v>
      </c>
      <c r="D225" s="6" t="s">
        <v>393</v>
      </c>
      <c r="E225" s="6" t="s">
        <v>244</v>
      </c>
      <c r="F225" s="6" t="n">
        <v>0.01</v>
      </c>
      <c r="G225" s="6" t="s">
        <v>284</v>
      </c>
      <c r="H225" s="6" t="s">
        <v>267</v>
      </c>
    </row>
    <row r="226" customFormat="false" ht="15" hidden="false" customHeight="false" outlineLevel="0" collapsed="false">
      <c r="A226" s="19" t="n">
        <v>46342</v>
      </c>
      <c r="B226" s="6" t="s">
        <v>252</v>
      </c>
      <c r="C226" s="6" t="s">
        <v>393</v>
      </c>
      <c r="D226" s="6" t="s">
        <v>308</v>
      </c>
      <c r="E226" s="6" t="s">
        <v>241</v>
      </c>
      <c r="F226" s="6" t="n">
        <v>0.09</v>
      </c>
      <c r="G226" s="6" t="s">
        <v>259</v>
      </c>
      <c r="H226" s="6" t="s">
        <v>269</v>
      </c>
    </row>
    <row r="227" customFormat="false" ht="15" hidden="false" customHeight="false" outlineLevel="0" collapsed="false">
      <c r="A227" s="19" t="n">
        <v>46342</v>
      </c>
      <c r="B227" s="6" t="s">
        <v>252</v>
      </c>
      <c r="C227" s="6" t="s">
        <v>308</v>
      </c>
      <c r="D227" s="6" t="s">
        <v>394</v>
      </c>
      <c r="E227" s="6" t="s">
        <v>234</v>
      </c>
      <c r="F227" s="6" t="n">
        <v>1.32</v>
      </c>
      <c r="G227" s="6" t="s">
        <v>259</v>
      </c>
      <c r="H227" s="6" t="s">
        <v>270</v>
      </c>
    </row>
    <row r="228" customFormat="false" ht="15" hidden="false" customHeight="false" outlineLevel="0" collapsed="false">
      <c r="A228" s="19" t="n">
        <v>46342</v>
      </c>
      <c r="B228" s="6" t="s">
        <v>252</v>
      </c>
      <c r="C228" s="6" t="s">
        <v>394</v>
      </c>
      <c r="D228" s="6" t="s">
        <v>395</v>
      </c>
      <c r="E228" s="6" t="s">
        <v>283</v>
      </c>
      <c r="F228" s="6" t="n">
        <v>-0.99</v>
      </c>
      <c r="G228" s="6" t="s">
        <v>254</v>
      </c>
      <c r="H228" s="6" t="s">
        <v>285</v>
      </c>
    </row>
    <row r="229" customFormat="false" ht="15" hidden="false" customHeight="false" outlineLevel="0" collapsed="false">
      <c r="A229" s="19" t="n">
        <v>46342</v>
      </c>
      <c r="B229" s="6" t="s">
        <v>252</v>
      </c>
      <c r="C229" s="6" t="s">
        <v>395</v>
      </c>
      <c r="D229" s="6" t="s">
        <v>249</v>
      </c>
      <c r="E229" s="6" t="s">
        <v>230</v>
      </c>
      <c r="F229" s="6" t="n">
        <v>1.41</v>
      </c>
      <c r="G229" s="6" t="s">
        <v>259</v>
      </c>
      <c r="H229" s="6" t="s">
        <v>255</v>
      </c>
    </row>
    <row r="230" customFormat="false" ht="15" hidden="false" customHeight="false" outlineLevel="0" collapsed="false">
      <c r="A230" s="19" t="n">
        <v>46343</v>
      </c>
      <c r="B230" s="6" t="s">
        <v>227</v>
      </c>
      <c r="C230" s="6" t="s">
        <v>228</v>
      </c>
      <c r="D230" s="6" t="s">
        <v>396</v>
      </c>
      <c r="E230" s="6" t="s">
        <v>230</v>
      </c>
      <c r="F230" s="6" t="n">
        <v>0.02</v>
      </c>
      <c r="G230" s="6" t="s">
        <v>294</v>
      </c>
      <c r="H230" s="6" t="s">
        <v>232</v>
      </c>
    </row>
    <row r="231" customFormat="false" ht="15" hidden="false" customHeight="false" outlineLevel="0" collapsed="false">
      <c r="A231" s="19" t="n">
        <v>46343</v>
      </c>
      <c r="B231" s="6" t="s">
        <v>227</v>
      </c>
      <c r="C231" s="6" t="s">
        <v>396</v>
      </c>
      <c r="D231" s="6" t="s">
        <v>397</v>
      </c>
      <c r="E231" s="6" t="s">
        <v>234</v>
      </c>
      <c r="F231" s="6" t="n">
        <v>0</v>
      </c>
      <c r="G231" s="6" t="s">
        <v>294</v>
      </c>
      <c r="H231" s="6" t="s">
        <v>235</v>
      </c>
    </row>
    <row r="232" customFormat="false" ht="15" hidden="false" customHeight="false" outlineLevel="0" collapsed="false">
      <c r="A232" s="19" t="n">
        <v>46343</v>
      </c>
      <c r="B232" s="6" t="s">
        <v>227</v>
      </c>
      <c r="C232" s="6" t="s">
        <v>397</v>
      </c>
      <c r="D232" s="6" t="s">
        <v>398</v>
      </c>
      <c r="E232" s="6" t="s">
        <v>237</v>
      </c>
      <c r="F232" s="6" t="n">
        <v>0</v>
      </c>
      <c r="G232" s="6" t="s">
        <v>294</v>
      </c>
      <c r="H232" s="6" t="s">
        <v>239</v>
      </c>
    </row>
    <row r="233" customFormat="false" ht="15" hidden="false" customHeight="false" outlineLevel="0" collapsed="false">
      <c r="A233" s="19" t="n">
        <v>46343</v>
      </c>
      <c r="B233" s="6" t="s">
        <v>227</v>
      </c>
      <c r="C233" s="6" t="s">
        <v>398</v>
      </c>
      <c r="D233" s="6" t="s">
        <v>399</v>
      </c>
      <c r="E233" s="6" t="s">
        <v>241</v>
      </c>
      <c r="F233" s="6" t="n">
        <v>0.08</v>
      </c>
      <c r="G233" s="6" t="s">
        <v>238</v>
      </c>
      <c r="H233" s="6" t="s">
        <v>242</v>
      </c>
    </row>
    <row r="234" customFormat="false" ht="15" hidden="false" customHeight="false" outlineLevel="0" collapsed="false">
      <c r="A234" s="19" t="n">
        <v>46343</v>
      </c>
      <c r="B234" s="6" t="s">
        <v>227</v>
      </c>
      <c r="C234" s="6" t="s">
        <v>399</v>
      </c>
      <c r="D234" s="6" t="s">
        <v>400</v>
      </c>
      <c r="E234" s="6" t="s">
        <v>244</v>
      </c>
      <c r="F234" s="6" t="n">
        <v>0.01</v>
      </c>
      <c r="G234" s="6" t="s">
        <v>294</v>
      </c>
      <c r="H234" s="6" t="s">
        <v>245</v>
      </c>
    </row>
    <row r="235" customFormat="false" ht="15" hidden="false" customHeight="false" outlineLevel="0" collapsed="false">
      <c r="A235" s="19" t="n">
        <v>46343</v>
      </c>
      <c r="B235" s="6" t="s">
        <v>227</v>
      </c>
      <c r="C235" s="6" t="s">
        <v>400</v>
      </c>
      <c r="D235" s="6" t="s">
        <v>394</v>
      </c>
      <c r="E235" s="6" t="s">
        <v>247</v>
      </c>
      <c r="F235" s="6" t="n">
        <v>0.01</v>
      </c>
      <c r="G235" s="6" t="s">
        <v>294</v>
      </c>
      <c r="H235" s="6" t="s">
        <v>248</v>
      </c>
    </row>
    <row r="236" customFormat="false" ht="15" hidden="false" customHeight="false" outlineLevel="0" collapsed="false">
      <c r="A236" s="19" t="n">
        <v>46343</v>
      </c>
      <c r="B236" s="6" t="s">
        <v>227</v>
      </c>
      <c r="C236" s="6" t="s">
        <v>394</v>
      </c>
      <c r="D236" s="6" t="s">
        <v>249</v>
      </c>
      <c r="E236" s="6" t="s">
        <v>250</v>
      </c>
      <c r="F236" s="6" t="n">
        <v>0.83</v>
      </c>
      <c r="G236" s="6" t="s">
        <v>238</v>
      </c>
      <c r="H236" s="6" t="s">
        <v>251</v>
      </c>
    </row>
    <row r="237" customFormat="false" ht="15" hidden="false" customHeight="false" outlineLevel="0" collapsed="false">
      <c r="A237" s="19" t="n">
        <v>46343</v>
      </c>
      <c r="B237" s="6" t="s">
        <v>252</v>
      </c>
      <c r="C237" s="6" t="s">
        <v>228</v>
      </c>
      <c r="D237" s="6" t="s">
        <v>401</v>
      </c>
      <c r="E237" s="6" t="s">
        <v>247</v>
      </c>
      <c r="F237" s="6" t="n">
        <v>0.01</v>
      </c>
      <c r="G237" s="6" t="s">
        <v>284</v>
      </c>
      <c r="H237" s="6" t="s">
        <v>262</v>
      </c>
    </row>
    <row r="238" customFormat="false" ht="15" hidden="false" customHeight="false" outlineLevel="0" collapsed="false">
      <c r="A238" s="19" t="n">
        <v>46343</v>
      </c>
      <c r="B238" s="6" t="s">
        <v>252</v>
      </c>
      <c r="C238" s="6" t="s">
        <v>401</v>
      </c>
      <c r="D238" s="6" t="s">
        <v>389</v>
      </c>
      <c r="E238" s="6" t="s">
        <v>264</v>
      </c>
      <c r="F238" s="6" t="n">
        <v>-0.33</v>
      </c>
      <c r="G238" s="6" t="s">
        <v>254</v>
      </c>
      <c r="H238" s="6" t="s">
        <v>265</v>
      </c>
    </row>
    <row r="239" customFormat="false" ht="15" hidden="false" customHeight="false" outlineLevel="0" collapsed="false">
      <c r="A239" s="19" t="n">
        <v>46343</v>
      </c>
      <c r="B239" s="6" t="s">
        <v>252</v>
      </c>
      <c r="C239" s="6" t="s">
        <v>389</v>
      </c>
      <c r="D239" s="6" t="s">
        <v>402</v>
      </c>
      <c r="E239" s="6" t="s">
        <v>244</v>
      </c>
      <c r="F239" s="6" t="n">
        <v>0.01</v>
      </c>
      <c r="G239" s="6" t="s">
        <v>284</v>
      </c>
      <c r="H239" s="6" t="s">
        <v>267</v>
      </c>
    </row>
    <row r="240" customFormat="false" ht="15" hidden="false" customHeight="false" outlineLevel="0" collapsed="false">
      <c r="A240" s="19" t="n">
        <v>46343</v>
      </c>
      <c r="B240" s="6" t="s">
        <v>252</v>
      </c>
      <c r="C240" s="6" t="s">
        <v>402</v>
      </c>
      <c r="D240" s="6" t="s">
        <v>403</v>
      </c>
      <c r="E240" s="6" t="s">
        <v>241</v>
      </c>
      <c r="F240" s="6" t="n">
        <v>0.08</v>
      </c>
      <c r="G240" s="6" t="s">
        <v>259</v>
      </c>
      <c r="H240" s="6" t="s">
        <v>269</v>
      </c>
    </row>
    <row r="241" customFormat="false" ht="15" hidden="false" customHeight="false" outlineLevel="0" collapsed="false">
      <c r="A241" s="19" t="n">
        <v>46343</v>
      </c>
      <c r="B241" s="6" t="s">
        <v>252</v>
      </c>
      <c r="C241" s="6" t="s">
        <v>403</v>
      </c>
      <c r="D241" s="6" t="s">
        <v>404</v>
      </c>
      <c r="E241" s="6" t="s">
        <v>234</v>
      </c>
      <c r="F241" s="6" t="n">
        <v>0.61</v>
      </c>
      <c r="G241" s="6" t="s">
        <v>259</v>
      </c>
      <c r="H241" s="6" t="s">
        <v>270</v>
      </c>
    </row>
    <row r="242" customFormat="false" ht="15" hidden="false" customHeight="false" outlineLevel="0" collapsed="false">
      <c r="A242" s="19" t="n">
        <v>46343</v>
      </c>
      <c r="B242" s="6" t="s">
        <v>252</v>
      </c>
      <c r="C242" s="6" t="s">
        <v>404</v>
      </c>
      <c r="D242" s="6" t="s">
        <v>352</v>
      </c>
      <c r="E242" s="6" t="s">
        <v>283</v>
      </c>
      <c r="F242" s="6" t="n">
        <v>-0.99</v>
      </c>
      <c r="G242" s="6" t="s">
        <v>254</v>
      </c>
      <c r="H242" s="6" t="s">
        <v>285</v>
      </c>
    </row>
    <row r="243" customFormat="false" ht="15" hidden="false" customHeight="false" outlineLevel="0" collapsed="false">
      <c r="A243" s="19" t="n">
        <v>46343</v>
      </c>
      <c r="B243" s="6" t="s">
        <v>252</v>
      </c>
      <c r="C243" s="6" t="s">
        <v>352</v>
      </c>
      <c r="D243" s="6" t="s">
        <v>249</v>
      </c>
      <c r="E243" s="6" t="s">
        <v>230</v>
      </c>
      <c r="F243" s="6" t="n">
        <v>0.74</v>
      </c>
      <c r="G243" s="6" t="s">
        <v>259</v>
      </c>
      <c r="H243" s="6" t="s">
        <v>255</v>
      </c>
    </row>
    <row r="244" customFormat="false" ht="15" hidden="false" customHeight="false" outlineLevel="0" collapsed="false">
      <c r="A244" s="19" t="n">
        <v>46344</v>
      </c>
      <c r="B244" s="6" t="s">
        <v>227</v>
      </c>
      <c r="C244" s="6" t="s">
        <v>228</v>
      </c>
      <c r="D244" s="6" t="s">
        <v>396</v>
      </c>
      <c r="E244" s="6" t="s">
        <v>241</v>
      </c>
      <c r="F244" s="6" t="n">
        <v>0.07</v>
      </c>
      <c r="G244" s="6" t="s">
        <v>238</v>
      </c>
      <c r="H244" s="6" t="s">
        <v>242</v>
      </c>
    </row>
    <row r="245" customFormat="false" ht="15" hidden="false" customHeight="false" outlineLevel="0" collapsed="false">
      <c r="A245" s="19" t="n">
        <v>46344</v>
      </c>
      <c r="B245" s="6" t="s">
        <v>227</v>
      </c>
      <c r="C245" s="6" t="s">
        <v>396</v>
      </c>
      <c r="D245" s="6" t="s">
        <v>397</v>
      </c>
      <c r="E245" s="6" t="s">
        <v>244</v>
      </c>
      <c r="F245" s="6" t="n">
        <v>0.85</v>
      </c>
      <c r="G245" s="6" t="s">
        <v>238</v>
      </c>
      <c r="H245" s="6" t="s">
        <v>245</v>
      </c>
    </row>
    <row r="246" customFormat="false" ht="15" hidden="false" customHeight="false" outlineLevel="0" collapsed="false">
      <c r="A246" s="19" t="n">
        <v>46344</v>
      </c>
      <c r="B246" s="6" t="s">
        <v>227</v>
      </c>
      <c r="C246" s="6" t="s">
        <v>397</v>
      </c>
      <c r="D246" s="6" t="s">
        <v>398</v>
      </c>
      <c r="E246" s="6" t="s">
        <v>247</v>
      </c>
      <c r="F246" s="6" t="n">
        <v>0.88</v>
      </c>
      <c r="G246" s="6" t="s">
        <v>238</v>
      </c>
      <c r="H246" s="6" t="s">
        <v>248</v>
      </c>
    </row>
    <row r="247" customFormat="false" ht="15" hidden="false" customHeight="false" outlineLevel="0" collapsed="false">
      <c r="A247" s="19" t="n">
        <v>46344</v>
      </c>
      <c r="B247" s="6" t="s">
        <v>227</v>
      </c>
      <c r="C247" s="6" t="s">
        <v>398</v>
      </c>
      <c r="D247" s="6" t="s">
        <v>399</v>
      </c>
      <c r="E247" s="6" t="s">
        <v>250</v>
      </c>
      <c r="F247" s="6" t="n">
        <v>0.84</v>
      </c>
      <c r="G247" s="6" t="s">
        <v>238</v>
      </c>
      <c r="H247" s="6" t="s">
        <v>251</v>
      </c>
    </row>
    <row r="248" customFormat="false" ht="15" hidden="false" customHeight="false" outlineLevel="0" collapsed="false">
      <c r="A248" s="19" t="n">
        <v>46344</v>
      </c>
      <c r="B248" s="6" t="s">
        <v>227</v>
      </c>
      <c r="C248" s="6" t="s">
        <v>399</v>
      </c>
      <c r="D248" s="6" t="s">
        <v>400</v>
      </c>
      <c r="E248" s="6" t="s">
        <v>230</v>
      </c>
      <c r="F248" s="6" t="n">
        <v>0.75</v>
      </c>
      <c r="G248" s="6" t="s">
        <v>238</v>
      </c>
      <c r="H248" s="6" t="s">
        <v>232</v>
      </c>
    </row>
    <row r="249" customFormat="false" ht="15" hidden="false" customHeight="false" outlineLevel="0" collapsed="false">
      <c r="A249" s="19" t="n">
        <v>46344</v>
      </c>
      <c r="B249" s="6" t="s">
        <v>227</v>
      </c>
      <c r="C249" s="6" t="s">
        <v>400</v>
      </c>
      <c r="D249" s="6" t="s">
        <v>394</v>
      </c>
      <c r="E249" s="6" t="s">
        <v>234</v>
      </c>
      <c r="F249" s="6" t="n">
        <v>-0.68</v>
      </c>
      <c r="G249" s="6" t="s">
        <v>231</v>
      </c>
      <c r="H249" s="6" t="s">
        <v>235</v>
      </c>
    </row>
    <row r="250" customFormat="false" ht="15" hidden="false" customHeight="false" outlineLevel="0" collapsed="false">
      <c r="A250" s="19" t="n">
        <v>46344</v>
      </c>
      <c r="B250" s="6" t="s">
        <v>227</v>
      </c>
      <c r="C250" s="6" t="s">
        <v>394</v>
      </c>
      <c r="D250" s="6" t="s">
        <v>249</v>
      </c>
      <c r="E250" s="6" t="s">
        <v>237</v>
      </c>
      <c r="F250" s="6" t="n">
        <v>0.02</v>
      </c>
      <c r="G250" s="6" t="s">
        <v>294</v>
      </c>
      <c r="H250" s="6" t="s">
        <v>239</v>
      </c>
    </row>
    <row r="251" customFormat="false" ht="15" hidden="false" customHeight="false" outlineLevel="0" collapsed="false">
      <c r="A251" s="19" t="n">
        <v>46344</v>
      </c>
      <c r="B251" s="6" t="s">
        <v>252</v>
      </c>
      <c r="C251" s="6" t="s">
        <v>228</v>
      </c>
      <c r="D251" s="6" t="s">
        <v>343</v>
      </c>
      <c r="E251" s="6" t="s">
        <v>264</v>
      </c>
      <c r="F251" s="6" t="n">
        <v>-1.19</v>
      </c>
      <c r="G251" s="6" t="s">
        <v>254</v>
      </c>
      <c r="H251" s="6" t="s">
        <v>265</v>
      </c>
    </row>
    <row r="252" customFormat="false" ht="15" hidden="false" customHeight="false" outlineLevel="0" collapsed="false">
      <c r="A252" s="19" t="n">
        <v>46344</v>
      </c>
      <c r="B252" s="6" t="s">
        <v>252</v>
      </c>
      <c r="C252" s="6" t="s">
        <v>343</v>
      </c>
      <c r="D252" s="6" t="s">
        <v>405</v>
      </c>
      <c r="E252" s="6" t="s">
        <v>244</v>
      </c>
      <c r="F252" s="6" t="n">
        <v>0.88</v>
      </c>
      <c r="G252" s="6" t="s">
        <v>259</v>
      </c>
      <c r="H252" s="6" t="s">
        <v>267</v>
      </c>
    </row>
    <row r="253" customFormat="false" ht="15" hidden="false" customHeight="false" outlineLevel="0" collapsed="false">
      <c r="A253" s="19" t="n">
        <v>46344</v>
      </c>
      <c r="B253" s="6" t="s">
        <v>252</v>
      </c>
      <c r="C253" s="6" t="s">
        <v>405</v>
      </c>
      <c r="D253" s="6" t="s">
        <v>406</v>
      </c>
      <c r="E253" s="6" t="s">
        <v>241</v>
      </c>
      <c r="F253" s="6" t="n">
        <v>0.07</v>
      </c>
      <c r="G253" s="6" t="s">
        <v>259</v>
      </c>
      <c r="H253" s="6" t="s">
        <v>269</v>
      </c>
    </row>
    <row r="254" customFormat="false" ht="15" hidden="false" customHeight="false" outlineLevel="0" collapsed="false">
      <c r="A254" s="19" t="n">
        <v>46344</v>
      </c>
      <c r="B254" s="6" t="s">
        <v>252</v>
      </c>
      <c r="C254" s="6" t="s">
        <v>406</v>
      </c>
      <c r="D254" s="6" t="s">
        <v>342</v>
      </c>
      <c r="E254" s="6" t="s">
        <v>234</v>
      </c>
      <c r="F254" s="6" t="n">
        <v>-0.01</v>
      </c>
      <c r="G254" s="6" t="s">
        <v>284</v>
      </c>
      <c r="H254" s="6" t="s">
        <v>270</v>
      </c>
    </row>
    <row r="255" customFormat="false" ht="15" hidden="false" customHeight="false" outlineLevel="0" collapsed="false">
      <c r="A255" s="19" t="n">
        <v>46344</v>
      </c>
      <c r="B255" s="6" t="s">
        <v>252</v>
      </c>
      <c r="C255" s="6" t="s">
        <v>342</v>
      </c>
      <c r="D255" s="6" t="s">
        <v>407</v>
      </c>
      <c r="E255" s="6" t="s">
        <v>283</v>
      </c>
      <c r="F255" s="6" t="n">
        <v>-1.85</v>
      </c>
      <c r="G255" s="6" t="s">
        <v>254</v>
      </c>
      <c r="H255" s="6" t="s">
        <v>285</v>
      </c>
    </row>
    <row r="256" customFormat="false" ht="15" hidden="false" customHeight="false" outlineLevel="0" collapsed="false">
      <c r="A256" s="19" t="n">
        <v>46344</v>
      </c>
      <c r="B256" s="6" t="s">
        <v>252</v>
      </c>
      <c r="C256" s="6" t="s">
        <v>407</v>
      </c>
      <c r="D256" s="6" t="s">
        <v>249</v>
      </c>
      <c r="E256" s="6" t="s">
        <v>230</v>
      </c>
      <c r="F256" s="6" t="n">
        <v>1.41</v>
      </c>
      <c r="G256" s="6" t="s">
        <v>259</v>
      </c>
      <c r="H256" s="6" t="s">
        <v>255</v>
      </c>
    </row>
    <row r="257" customFormat="false" ht="15" hidden="false" customHeight="false" outlineLevel="0" collapsed="false">
      <c r="A257" s="19" t="n">
        <v>46345</v>
      </c>
      <c r="B257" s="6" t="s">
        <v>227</v>
      </c>
      <c r="C257" s="6" t="s">
        <v>228</v>
      </c>
      <c r="D257" s="6" t="s">
        <v>408</v>
      </c>
      <c r="E257" s="6" t="s">
        <v>250</v>
      </c>
      <c r="F257" s="6" t="n">
        <v>0.94</v>
      </c>
      <c r="G257" s="6" t="s">
        <v>238</v>
      </c>
      <c r="H257" s="6" t="s">
        <v>251</v>
      </c>
    </row>
    <row r="258" customFormat="false" ht="15" hidden="false" customHeight="false" outlineLevel="0" collapsed="false">
      <c r="A258" s="19" t="n">
        <v>46345</v>
      </c>
      <c r="B258" s="6" t="s">
        <v>227</v>
      </c>
      <c r="C258" s="6" t="s">
        <v>408</v>
      </c>
      <c r="D258" s="6" t="s">
        <v>409</v>
      </c>
      <c r="E258" s="6" t="s">
        <v>230</v>
      </c>
      <c r="F258" s="6" t="n">
        <v>0.75</v>
      </c>
      <c r="G258" s="6" t="s">
        <v>238</v>
      </c>
      <c r="H258" s="6" t="s">
        <v>232</v>
      </c>
    </row>
    <row r="259" customFormat="false" ht="15" hidden="false" customHeight="false" outlineLevel="0" collapsed="false">
      <c r="A259" s="19" t="n">
        <v>46345</v>
      </c>
      <c r="B259" s="6" t="s">
        <v>227</v>
      </c>
      <c r="C259" s="6" t="s">
        <v>409</v>
      </c>
      <c r="D259" s="6" t="s">
        <v>410</v>
      </c>
      <c r="E259" s="6" t="s">
        <v>234</v>
      </c>
      <c r="F259" s="6" t="n">
        <v>0</v>
      </c>
      <c r="G259" s="6" t="s">
        <v>294</v>
      </c>
      <c r="H259" s="6" t="s">
        <v>235</v>
      </c>
    </row>
    <row r="260" customFormat="false" ht="15" hidden="false" customHeight="false" outlineLevel="0" collapsed="false">
      <c r="A260" s="19" t="n">
        <v>46345</v>
      </c>
      <c r="B260" s="6" t="s">
        <v>227</v>
      </c>
      <c r="C260" s="6" t="s">
        <v>410</v>
      </c>
      <c r="D260" s="6" t="s">
        <v>411</v>
      </c>
      <c r="E260" s="6" t="s">
        <v>237</v>
      </c>
      <c r="F260" s="6" t="n">
        <v>0.5</v>
      </c>
      <c r="G260" s="6" t="s">
        <v>238</v>
      </c>
      <c r="H260" s="6" t="s">
        <v>239</v>
      </c>
    </row>
    <row r="261" customFormat="false" ht="15" hidden="false" customHeight="false" outlineLevel="0" collapsed="false">
      <c r="A261" s="19" t="n">
        <v>46345</v>
      </c>
      <c r="B261" s="6" t="s">
        <v>227</v>
      </c>
      <c r="C261" s="6" t="s">
        <v>411</v>
      </c>
      <c r="D261" s="6" t="s">
        <v>371</v>
      </c>
      <c r="E261" s="6" t="s">
        <v>241</v>
      </c>
      <c r="F261" s="6" t="n">
        <v>-0.34</v>
      </c>
      <c r="G261" s="6" t="s">
        <v>231</v>
      </c>
      <c r="H261" s="6" t="s">
        <v>242</v>
      </c>
    </row>
    <row r="262" customFormat="false" ht="15" hidden="false" customHeight="false" outlineLevel="0" collapsed="false">
      <c r="A262" s="19" t="n">
        <v>46345</v>
      </c>
      <c r="B262" s="6" t="s">
        <v>227</v>
      </c>
      <c r="C262" s="6" t="s">
        <v>371</v>
      </c>
      <c r="D262" s="6" t="s">
        <v>412</v>
      </c>
      <c r="E262" s="6" t="s">
        <v>244</v>
      </c>
      <c r="F262" s="6" t="n">
        <v>0.64</v>
      </c>
      <c r="G262" s="6" t="s">
        <v>238</v>
      </c>
      <c r="H262" s="6" t="s">
        <v>245</v>
      </c>
    </row>
    <row r="263" customFormat="false" ht="15" hidden="false" customHeight="false" outlineLevel="0" collapsed="false">
      <c r="A263" s="19" t="n">
        <v>46345</v>
      </c>
      <c r="B263" s="6" t="s">
        <v>227</v>
      </c>
      <c r="C263" s="6" t="s">
        <v>412</v>
      </c>
      <c r="D263" s="6" t="s">
        <v>249</v>
      </c>
      <c r="E263" s="6" t="s">
        <v>247</v>
      </c>
      <c r="F263" s="6" t="n">
        <v>0.68</v>
      </c>
      <c r="G263" s="6" t="s">
        <v>238</v>
      </c>
      <c r="H263" s="6" t="s">
        <v>248</v>
      </c>
    </row>
    <row r="264" customFormat="false" ht="15" hidden="false" customHeight="false" outlineLevel="0" collapsed="false">
      <c r="A264" s="19" t="n">
        <v>46345</v>
      </c>
      <c r="B264" s="6" t="s">
        <v>252</v>
      </c>
      <c r="C264" s="6" t="s">
        <v>228</v>
      </c>
      <c r="D264" s="6" t="s">
        <v>413</v>
      </c>
      <c r="E264" s="6" t="s">
        <v>244</v>
      </c>
      <c r="F264" s="6" t="n">
        <v>0.67</v>
      </c>
      <c r="G264" s="6" t="s">
        <v>259</v>
      </c>
      <c r="H264" s="6" t="s">
        <v>267</v>
      </c>
    </row>
    <row r="265" customFormat="false" ht="15" hidden="false" customHeight="false" outlineLevel="0" collapsed="false">
      <c r="A265" s="19" t="n">
        <v>46345</v>
      </c>
      <c r="B265" s="6" t="s">
        <v>252</v>
      </c>
      <c r="C265" s="6" t="s">
        <v>413</v>
      </c>
      <c r="D265" s="6" t="s">
        <v>414</v>
      </c>
      <c r="E265" s="6" t="s">
        <v>241</v>
      </c>
      <c r="F265" s="6" t="n">
        <v>-0.33</v>
      </c>
      <c r="G265" s="6" t="s">
        <v>254</v>
      </c>
      <c r="H265" s="6" t="s">
        <v>269</v>
      </c>
    </row>
    <row r="266" customFormat="false" ht="15" hidden="false" customHeight="false" outlineLevel="0" collapsed="false">
      <c r="A266" s="19" t="n">
        <v>46345</v>
      </c>
      <c r="B266" s="6" t="s">
        <v>252</v>
      </c>
      <c r="C266" s="6" t="s">
        <v>414</v>
      </c>
      <c r="D266" s="6" t="s">
        <v>415</v>
      </c>
      <c r="E266" s="6" t="s">
        <v>234</v>
      </c>
      <c r="F266" s="6" t="n">
        <v>0.17</v>
      </c>
      <c r="G266" s="6" t="s">
        <v>259</v>
      </c>
      <c r="H266" s="6" t="s">
        <v>270</v>
      </c>
    </row>
    <row r="267" customFormat="false" ht="15" hidden="false" customHeight="false" outlineLevel="0" collapsed="false">
      <c r="A267" s="19" t="n">
        <v>46345</v>
      </c>
      <c r="B267" s="6" t="s">
        <v>252</v>
      </c>
      <c r="C267" s="6" t="s">
        <v>415</v>
      </c>
      <c r="D267" s="6" t="s">
        <v>416</v>
      </c>
      <c r="E267" s="6" t="s">
        <v>283</v>
      </c>
      <c r="F267" s="6" t="n">
        <v>-1.64</v>
      </c>
      <c r="G267" s="6" t="s">
        <v>254</v>
      </c>
      <c r="H267" s="6" t="s">
        <v>285</v>
      </c>
    </row>
    <row r="268" customFormat="false" ht="15" hidden="false" customHeight="false" outlineLevel="0" collapsed="false">
      <c r="A268" s="19" t="n">
        <v>46345</v>
      </c>
      <c r="B268" s="6" t="s">
        <v>252</v>
      </c>
      <c r="C268" s="6" t="s">
        <v>416</v>
      </c>
      <c r="D268" s="6" t="s">
        <v>417</v>
      </c>
      <c r="E268" s="6" t="s">
        <v>230</v>
      </c>
      <c r="F268" s="6" t="n">
        <v>1.42</v>
      </c>
      <c r="G268" s="6" t="s">
        <v>259</v>
      </c>
      <c r="H268" s="6" t="s">
        <v>255</v>
      </c>
    </row>
    <row r="269" customFormat="false" ht="15" hidden="false" customHeight="false" outlineLevel="0" collapsed="false">
      <c r="A269" s="19" t="n">
        <v>46345</v>
      </c>
      <c r="B269" s="6" t="s">
        <v>252</v>
      </c>
      <c r="C269" s="6" t="s">
        <v>417</v>
      </c>
      <c r="D269" s="6" t="s">
        <v>391</v>
      </c>
      <c r="E269" s="6" t="s">
        <v>250</v>
      </c>
      <c r="F269" s="6" t="n">
        <v>0.9</v>
      </c>
      <c r="G269" s="6" t="s">
        <v>259</v>
      </c>
      <c r="H269" s="6" t="s">
        <v>257</v>
      </c>
    </row>
    <row r="270" customFormat="false" ht="15" hidden="false" customHeight="false" outlineLevel="0" collapsed="false">
      <c r="A270" s="19" t="n">
        <v>46345</v>
      </c>
      <c r="B270" s="6" t="s">
        <v>252</v>
      </c>
      <c r="C270" s="6" t="s">
        <v>391</v>
      </c>
      <c r="D270" s="6" t="s">
        <v>418</v>
      </c>
      <c r="E270" s="6" t="s">
        <v>237</v>
      </c>
      <c r="F270" s="6" t="n">
        <v>1.15</v>
      </c>
      <c r="G270" s="6" t="s">
        <v>259</v>
      </c>
      <c r="H270" s="6" t="s">
        <v>260</v>
      </c>
    </row>
    <row r="271" customFormat="false" ht="15" hidden="false" customHeight="false" outlineLevel="0" collapsed="false">
      <c r="A271" s="19" t="n">
        <v>46345</v>
      </c>
      <c r="B271" s="6" t="s">
        <v>252</v>
      </c>
      <c r="C271" s="6" t="s">
        <v>418</v>
      </c>
      <c r="D271" s="6" t="s">
        <v>249</v>
      </c>
      <c r="E271" s="6" t="s">
        <v>247</v>
      </c>
      <c r="F271" s="6" t="n">
        <v>0.7</v>
      </c>
      <c r="G271" s="6" t="s">
        <v>259</v>
      </c>
      <c r="H271" s="6" t="s">
        <v>262</v>
      </c>
    </row>
    <row r="272" customFormat="false" ht="15" hidden="false" customHeight="false" outlineLevel="0" collapsed="false">
      <c r="A272" s="19" t="n">
        <v>46346</v>
      </c>
      <c r="B272" s="6" t="s">
        <v>227</v>
      </c>
      <c r="C272" s="6" t="s">
        <v>228</v>
      </c>
      <c r="D272" s="6" t="s">
        <v>408</v>
      </c>
      <c r="E272" s="6" t="s">
        <v>237</v>
      </c>
      <c r="F272" s="6" t="n">
        <v>-0.19</v>
      </c>
      <c r="G272" s="6" t="s">
        <v>231</v>
      </c>
      <c r="H272" s="6" t="s">
        <v>239</v>
      </c>
    </row>
    <row r="273" customFormat="false" ht="15" hidden="false" customHeight="false" outlineLevel="0" collapsed="false">
      <c r="A273" s="19" t="n">
        <v>46346</v>
      </c>
      <c r="B273" s="6" t="s">
        <v>227</v>
      </c>
      <c r="C273" s="6" t="s">
        <v>408</v>
      </c>
      <c r="D273" s="6" t="s">
        <v>409</v>
      </c>
      <c r="E273" s="6" t="s">
        <v>241</v>
      </c>
      <c r="F273" s="6" t="n">
        <v>-1.25</v>
      </c>
      <c r="G273" s="6" t="s">
        <v>231</v>
      </c>
      <c r="H273" s="6" t="s">
        <v>242</v>
      </c>
    </row>
    <row r="274" customFormat="false" ht="15" hidden="false" customHeight="false" outlineLevel="0" collapsed="false">
      <c r="A274" s="19" t="n">
        <v>46346</v>
      </c>
      <c r="B274" s="6" t="s">
        <v>227</v>
      </c>
      <c r="C274" s="6" t="s">
        <v>409</v>
      </c>
      <c r="D274" s="6" t="s">
        <v>410</v>
      </c>
      <c r="E274" s="6" t="s">
        <v>244</v>
      </c>
      <c r="F274" s="6" t="n">
        <v>-0.01</v>
      </c>
      <c r="G274" s="6" t="s">
        <v>294</v>
      </c>
      <c r="H274" s="6" t="s">
        <v>245</v>
      </c>
    </row>
    <row r="275" customFormat="false" ht="15" hidden="false" customHeight="false" outlineLevel="0" collapsed="false">
      <c r="A275" s="19" t="n">
        <v>46346</v>
      </c>
      <c r="B275" s="6" t="s">
        <v>227</v>
      </c>
      <c r="C275" s="6" t="s">
        <v>410</v>
      </c>
      <c r="D275" s="6" t="s">
        <v>411</v>
      </c>
      <c r="E275" s="6" t="s">
        <v>247</v>
      </c>
      <c r="F275" s="6" t="n">
        <v>0.02</v>
      </c>
      <c r="G275" s="6" t="s">
        <v>294</v>
      </c>
      <c r="H275" s="6" t="s">
        <v>248</v>
      </c>
    </row>
    <row r="276" customFormat="false" ht="15" hidden="false" customHeight="false" outlineLevel="0" collapsed="false">
      <c r="A276" s="19" t="n">
        <v>46346</v>
      </c>
      <c r="B276" s="6" t="s">
        <v>227</v>
      </c>
      <c r="C276" s="6" t="s">
        <v>411</v>
      </c>
      <c r="D276" s="6" t="s">
        <v>371</v>
      </c>
      <c r="E276" s="6" t="s">
        <v>250</v>
      </c>
      <c r="F276" s="6" t="n">
        <v>1.1</v>
      </c>
      <c r="G276" s="6" t="s">
        <v>238</v>
      </c>
      <c r="H276" s="6" t="s">
        <v>251</v>
      </c>
    </row>
    <row r="277" customFormat="false" ht="15" hidden="false" customHeight="false" outlineLevel="0" collapsed="false">
      <c r="A277" s="19" t="n">
        <v>46346</v>
      </c>
      <c r="B277" s="6" t="s">
        <v>227</v>
      </c>
      <c r="C277" s="6" t="s">
        <v>371</v>
      </c>
      <c r="D277" s="6" t="s">
        <v>412</v>
      </c>
      <c r="E277" s="6" t="s">
        <v>230</v>
      </c>
      <c r="F277" s="6" t="n">
        <v>0.13</v>
      </c>
      <c r="G277" s="6" t="s">
        <v>238</v>
      </c>
      <c r="H277" s="6" t="s">
        <v>232</v>
      </c>
    </row>
    <row r="278" customFormat="false" ht="15" hidden="false" customHeight="false" outlineLevel="0" collapsed="false">
      <c r="A278" s="19" t="n">
        <v>46346</v>
      </c>
      <c r="B278" s="6" t="s">
        <v>227</v>
      </c>
      <c r="C278" s="6" t="s">
        <v>412</v>
      </c>
      <c r="D278" s="6" t="s">
        <v>249</v>
      </c>
      <c r="E278" s="6" t="s">
        <v>234</v>
      </c>
      <c r="F278" s="6" t="n">
        <v>0</v>
      </c>
      <c r="G278" s="6" t="s">
        <v>294</v>
      </c>
      <c r="H278" s="6" t="s">
        <v>235</v>
      </c>
    </row>
    <row r="279" customFormat="false" ht="15" hidden="false" customHeight="false" outlineLevel="0" collapsed="false">
      <c r="A279" s="19" t="n">
        <v>46346</v>
      </c>
      <c r="B279" s="6" t="s">
        <v>252</v>
      </c>
      <c r="C279" s="6" t="s">
        <v>228</v>
      </c>
      <c r="D279" s="6" t="s">
        <v>419</v>
      </c>
      <c r="E279" s="6" t="s">
        <v>241</v>
      </c>
      <c r="F279" s="6" t="n">
        <v>-1.22</v>
      </c>
      <c r="G279" s="6" t="s">
        <v>254</v>
      </c>
      <c r="H279" s="6" t="s">
        <v>269</v>
      </c>
    </row>
    <row r="280" customFormat="false" ht="15" hidden="false" customHeight="false" outlineLevel="0" collapsed="false">
      <c r="A280" s="19" t="n">
        <v>46346</v>
      </c>
      <c r="B280" s="6" t="s">
        <v>252</v>
      </c>
      <c r="C280" s="6" t="s">
        <v>419</v>
      </c>
      <c r="D280" s="6" t="s">
        <v>420</v>
      </c>
      <c r="E280" s="6" t="s">
        <v>234</v>
      </c>
      <c r="F280" s="6" t="n">
        <v>0.58</v>
      </c>
      <c r="G280" s="6" t="s">
        <v>259</v>
      </c>
      <c r="H280" s="6" t="s">
        <v>270</v>
      </c>
    </row>
    <row r="281" customFormat="false" ht="15" hidden="false" customHeight="false" outlineLevel="0" collapsed="false">
      <c r="A281" s="19" t="n">
        <v>46346</v>
      </c>
      <c r="B281" s="6" t="s">
        <v>252</v>
      </c>
      <c r="C281" s="6" t="s">
        <v>420</v>
      </c>
      <c r="D281" s="6" t="s">
        <v>421</v>
      </c>
      <c r="E281" s="6" t="s">
        <v>283</v>
      </c>
      <c r="F281" s="6" t="n">
        <v>-0.98</v>
      </c>
      <c r="G281" s="6" t="s">
        <v>254</v>
      </c>
      <c r="H281" s="6" t="s">
        <v>285</v>
      </c>
    </row>
    <row r="282" customFormat="false" ht="15" hidden="false" customHeight="false" outlineLevel="0" collapsed="false">
      <c r="A282" s="19" t="n">
        <v>46346</v>
      </c>
      <c r="B282" s="6" t="s">
        <v>252</v>
      </c>
      <c r="C282" s="6" t="s">
        <v>421</v>
      </c>
      <c r="D282" s="6" t="s">
        <v>422</v>
      </c>
      <c r="E282" s="6" t="s">
        <v>230</v>
      </c>
      <c r="F282" s="6" t="n">
        <v>0.84</v>
      </c>
      <c r="G282" s="6" t="s">
        <v>259</v>
      </c>
      <c r="H282" s="6" t="s">
        <v>255</v>
      </c>
    </row>
    <row r="283" customFormat="false" ht="15" hidden="false" customHeight="false" outlineLevel="0" collapsed="false">
      <c r="A283" s="19" t="n">
        <v>46346</v>
      </c>
      <c r="B283" s="6" t="s">
        <v>252</v>
      </c>
      <c r="C283" s="6" t="s">
        <v>422</v>
      </c>
      <c r="D283" s="6" t="s">
        <v>351</v>
      </c>
      <c r="E283" s="6" t="s">
        <v>250</v>
      </c>
      <c r="F283" s="6" t="n">
        <v>1.15</v>
      </c>
      <c r="G283" s="6" t="s">
        <v>259</v>
      </c>
      <c r="H283" s="6" t="s">
        <v>257</v>
      </c>
    </row>
    <row r="284" customFormat="false" ht="15" hidden="false" customHeight="false" outlineLevel="0" collapsed="false">
      <c r="A284" s="19" t="n">
        <v>46346</v>
      </c>
      <c r="B284" s="6" t="s">
        <v>252</v>
      </c>
      <c r="C284" s="6" t="s">
        <v>351</v>
      </c>
      <c r="D284" s="6" t="s">
        <v>417</v>
      </c>
      <c r="E284" s="6" t="s">
        <v>237</v>
      </c>
      <c r="F284" s="6" t="n">
        <v>0.12</v>
      </c>
      <c r="G284" s="6" t="s">
        <v>259</v>
      </c>
      <c r="H284" s="6" t="s">
        <v>260</v>
      </c>
    </row>
    <row r="285" customFormat="false" ht="15" hidden="false" customHeight="false" outlineLevel="0" collapsed="false">
      <c r="A285" s="19" t="n">
        <v>46346</v>
      </c>
      <c r="B285" s="6" t="s">
        <v>252</v>
      </c>
      <c r="C285" s="6" t="s">
        <v>417</v>
      </c>
      <c r="D285" s="6" t="s">
        <v>423</v>
      </c>
      <c r="E285" s="6" t="s">
        <v>247</v>
      </c>
      <c r="F285" s="6" t="n">
        <v>0.02</v>
      </c>
      <c r="G285" s="6" t="s">
        <v>284</v>
      </c>
      <c r="H285" s="6" t="s">
        <v>262</v>
      </c>
    </row>
    <row r="286" customFormat="false" ht="15" hidden="false" customHeight="false" outlineLevel="0" collapsed="false">
      <c r="A286" s="19" t="n">
        <v>46346</v>
      </c>
      <c r="B286" s="6" t="s">
        <v>252</v>
      </c>
      <c r="C286" s="6" t="s">
        <v>423</v>
      </c>
      <c r="D286" s="6" t="s">
        <v>249</v>
      </c>
      <c r="E286" s="6" t="s">
        <v>264</v>
      </c>
      <c r="F286" s="6" t="n">
        <v>-0.3</v>
      </c>
      <c r="G286" s="6" t="s">
        <v>254</v>
      </c>
      <c r="H286" s="6" t="s">
        <v>265</v>
      </c>
    </row>
    <row r="287" customFormat="false" ht="15" hidden="false" customHeight="false" outlineLevel="0" collapsed="false">
      <c r="A287" s="19" t="n">
        <v>46349</v>
      </c>
      <c r="B287" s="6" t="s">
        <v>227</v>
      </c>
      <c r="C287" s="6" t="s">
        <v>228</v>
      </c>
      <c r="D287" s="6" t="s">
        <v>424</v>
      </c>
      <c r="E287" s="6" t="s">
        <v>244</v>
      </c>
      <c r="F287" s="6" t="n">
        <v>-0.01</v>
      </c>
      <c r="G287" s="6" t="s">
        <v>294</v>
      </c>
      <c r="H287" s="6" t="s">
        <v>245</v>
      </c>
    </row>
    <row r="288" customFormat="false" ht="15" hidden="false" customHeight="false" outlineLevel="0" collapsed="false">
      <c r="A288" s="19" t="n">
        <v>46349</v>
      </c>
      <c r="B288" s="6" t="s">
        <v>227</v>
      </c>
      <c r="C288" s="6" t="s">
        <v>424</v>
      </c>
      <c r="D288" s="6" t="s">
        <v>425</v>
      </c>
      <c r="E288" s="6" t="s">
        <v>247</v>
      </c>
      <c r="F288" s="6" t="n">
        <v>0.03</v>
      </c>
      <c r="G288" s="6" t="s">
        <v>294</v>
      </c>
      <c r="H288" s="6" t="s">
        <v>248</v>
      </c>
    </row>
    <row r="289" customFormat="false" ht="15" hidden="false" customHeight="false" outlineLevel="0" collapsed="false">
      <c r="A289" s="19" t="n">
        <v>46349</v>
      </c>
      <c r="B289" s="6" t="s">
        <v>227</v>
      </c>
      <c r="C289" s="6" t="s">
        <v>425</v>
      </c>
      <c r="D289" s="6" t="s">
        <v>402</v>
      </c>
      <c r="E289" s="6" t="s">
        <v>250</v>
      </c>
      <c r="F289" s="6" t="n">
        <v>0.3</v>
      </c>
      <c r="G289" s="6" t="s">
        <v>238</v>
      </c>
      <c r="H289" s="6" t="s">
        <v>251</v>
      </c>
    </row>
    <row r="290" customFormat="false" ht="15" hidden="false" customHeight="false" outlineLevel="0" collapsed="false">
      <c r="A290" s="19" t="n">
        <v>46349</v>
      </c>
      <c r="B290" s="6" t="s">
        <v>227</v>
      </c>
      <c r="C290" s="6" t="s">
        <v>402</v>
      </c>
      <c r="D290" s="6" t="s">
        <v>426</v>
      </c>
      <c r="E290" s="6" t="s">
        <v>230</v>
      </c>
      <c r="F290" s="6" t="n">
        <v>0.01</v>
      </c>
      <c r="G290" s="6" t="s">
        <v>294</v>
      </c>
      <c r="H290" s="6" t="s">
        <v>232</v>
      </c>
    </row>
    <row r="291" customFormat="false" ht="15" hidden="false" customHeight="false" outlineLevel="0" collapsed="false">
      <c r="A291" s="19" t="n">
        <v>46349</v>
      </c>
      <c r="B291" s="6" t="s">
        <v>227</v>
      </c>
      <c r="C291" s="6" t="s">
        <v>426</v>
      </c>
      <c r="D291" s="6" t="s">
        <v>363</v>
      </c>
      <c r="E291" s="6" t="s">
        <v>234</v>
      </c>
      <c r="F291" s="6" t="n">
        <v>-0.27</v>
      </c>
      <c r="G291" s="6" t="s">
        <v>231</v>
      </c>
      <c r="H291" s="6" t="s">
        <v>235</v>
      </c>
    </row>
    <row r="292" customFormat="false" ht="15" hidden="false" customHeight="false" outlineLevel="0" collapsed="false">
      <c r="A292" s="19" t="n">
        <v>46349</v>
      </c>
      <c r="B292" s="6" t="s">
        <v>227</v>
      </c>
      <c r="C292" s="6" t="s">
        <v>363</v>
      </c>
      <c r="D292" s="6" t="s">
        <v>423</v>
      </c>
      <c r="E292" s="6" t="s">
        <v>237</v>
      </c>
      <c r="F292" s="6" t="n">
        <v>0.55</v>
      </c>
      <c r="G292" s="6" t="s">
        <v>238</v>
      </c>
      <c r="H292" s="6" t="s">
        <v>239</v>
      </c>
    </row>
    <row r="293" customFormat="false" ht="15" hidden="false" customHeight="false" outlineLevel="0" collapsed="false">
      <c r="A293" s="19" t="n">
        <v>46349</v>
      </c>
      <c r="B293" s="6" t="s">
        <v>227</v>
      </c>
      <c r="C293" s="6" t="s">
        <v>423</v>
      </c>
      <c r="D293" s="6" t="s">
        <v>249</v>
      </c>
      <c r="E293" s="6" t="s">
        <v>241</v>
      </c>
      <c r="F293" s="6" t="n">
        <v>-1.24</v>
      </c>
      <c r="G293" s="6" t="s">
        <v>231</v>
      </c>
      <c r="H293" s="6" t="s">
        <v>242</v>
      </c>
    </row>
    <row r="294" customFormat="false" ht="15" hidden="false" customHeight="false" outlineLevel="0" collapsed="false">
      <c r="A294" s="19" t="n">
        <v>46349</v>
      </c>
      <c r="B294" s="6" t="s">
        <v>252</v>
      </c>
      <c r="C294" s="6" t="s">
        <v>228</v>
      </c>
      <c r="D294" s="6" t="s">
        <v>427</v>
      </c>
      <c r="E294" s="6" t="s">
        <v>230</v>
      </c>
      <c r="F294" s="6" t="n">
        <v>0.73</v>
      </c>
      <c r="G294" s="6" t="s">
        <v>259</v>
      </c>
      <c r="H294" s="6" t="s">
        <v>255</v>
      </c>
    </row>
    <row r="295" customFormat="false" ht="15" hidden="false" customHeight="false" outlineLevel="0" collapsed="false">
      <c r="A295" s="19" t="n">
        <v>46349</v>
      </c>
      <c r="B295" s="6" t="s">
        <v>252</v>
      </c>
      <c r="C295" s="6" t="s">
        <v>427</v>
      </c>
      <c r="D295" s="6" t="s">
        <v>305</v>
      </c>
      <c r="E295" s="6" t="s">
        <v>250</v>
      </c>
      <c r="F295" s="6" t="n">
        <v>0.3</v>
      </c>
      <c r="G295" s="6" t="s">
        <v>259</v>
      </c>
      <c r="H295" s="6" t="s">
        <v>257</v>
      </c>
    </row>
    <row r="296" customFormat="false" ht="15" hidden="false" customHeight="false" outlineLevel="0" collapsed="false">
      <c r="A296" s="19" t="n">
        <v>46349</v>
      </c>
      <c r="B296" s="6" t="s">
        <v>252</v>
      </c>
      <c r="C296" s="6" t="s">
        <v>305</v>
      </c>
      <c r="D296" s="6" t="s">
        <v>318</v>
      </c>
      <c r="E296" s="6" t="s">
        <v>237</v>
      </c>
      <c r="F296" s="6" t="n">
        <v>-0.16</v>
      </c>
      <c r="G296" s="6" t="s">
        <v>254</v>
      </c>
      <c r="H296" s="6" t="s">
        <v>260</v>
      </c>
    </row>
    <row r="297" customFormat="false" ht="15" hidden="false" customHeight="false" outlineLevel="0" collapsed="false">
      <c r="A297" s="19" t="n">
        <v>46349</v>
      </c>
      <c r="B297" s="6" t="s">
        <v>252</v>
      </c>
      <c r="C297" s="6" t="s">
        <v>318</v>
      </c>
      <c r="D297" s="6" t="s">
        <v>398</v>
      </c>
      <c r="E297" s="6" t="s">
        <v>247</v>
      </c>
      <c r="F297" s="6" t="n">
        <v>0.03</v>
      </c>
      <c r="G297" s="6" t="s">
        <v>284</v>
      </c>
      <c r="H297" s="6" t="s">
        <v>262</v>
      </c>
    </row>
    <row r="298" customFormat="false" ht="15" hidden="false" customHeight="false" outlineLevel="0" collapsed="false">
      <c r="A298" s="19" t="n">
        <v>46349</v>
      </c>
      <c r="B298" s="6" t="s">
        <v>252</v>
      </c>
      <c r="C298" s="6" t="s">
        <v>398</v>
      </c>
      <c r="D298" s="6" t="s">
        <v>428</v>
      </c>
      <c r="E298" s="6" t="s">
        <v>264</v>
      </c>
      <c r="F298" s="6" t="n">
        <v>-0.23</v>
      </c>
      <c r="G298" s="6" t="s">
        <v>254</v>
      </c>
      <c r="H298" s="6" t="s">
        <v>265</v>
      </c>
    </row>
    <row r="299" customFormat="false" ht="15" hidden="false" customHeight="false" outlineLevel="0" collapsed="false">
      <c r="A299" s="19" t="n">
        <v>46349</v>
      </c>
      <c r="B299" s="6" t="s">
        <v>252</v>
      </c>
      <c r="C299" s="6" t="s">
        <v>428</v>
      </c>
      <c r="D299" s="6" t="s">
        <v>429</v>
      </c>
      <c r="E299" s="6" t="s">
        <v>244</v>
      </c>
      <c r="F299" s="6" t="n">
        <v>-0.01</v>
      </c>
      <c r="G299" s="6" t="s">
        <v>284</v>
      </c>
      <c r="H299" s="6" t="s">
        <v>267</v>
      </c>
    </row>
    <row r="300" customFormat="false" ht="15" hidden="false" customHeight="false" outlineLevel="0" collapsed="false">
      <c r="A300" s="19" t="n">
        <v>46349</v>
      </c>
      <c r="B300" s="6" t="s">
        <v>252</v>
      </c>
      <c r="C300" s="6" t="s">
        <v>429</v>
      </c>
      <c r="D300" s="6" t="s">
        <v>430</v>
      </c>
      <c r="E300" s="6" t="s">
        <v>241</v>
      </c>
      <c r="F300" s="6" t="n">
        <v>-1.24</v>
      </c>
      <c r="G300" s="6" t="s">
        <v>254</v>
      </c>
      <c r="H300" s="6" t="s">
        <v>269</v>
      </c>
    </row>
    <row r="301" customFormat="false" ht="15" hidden="false" customHeight="false" outlineLevel="0" collapsed="false">
      <c r="A301" s="19" t="n">
        <v>46349</v>
      </c>
      <c r="B301" s="6" t="s">
        <v>252</v>
      </c>
      <c r="C301" s="6" t="s">
        <v>430</v>
      </c>
      <c r="D301" s="6" t="s">
        <v>249</v>
      </c>
      <c r="E301" s="6" t="s">
        <v>234</v>
      </c>
      <c r="F301" s="6" t="n">
        <v>0.27</v>
      </c>
      <c r="G301" s="6" t="s">
        <v>259</v>
      </c>
      <c r="H301" s="6" t="s">
        <v>270</v>
      </c>
    </row>
    <row r="302" customFormat="false" ht="15" hidden="false" customHeight="false" outlineLevel="0" collapsed="false">
      <c r="A302" s="19" t="n">
        <v>46350</v>
      </c>
      <c r="B302" s="6" t="s">
        <v>227</v>
      </c>
      <c r="C302" s="6" t="s">
        <v>228</v>
      </c>
      <c r="D302" s="6" t="s">
        <v>431</v>
      </c>
      <c r="E302" s="6" t="s">
        <v>230</v>
      </c>
      <c r="F302" s="6" t="n">
        <v>0.7</v>
      </c>
      <c r="G302" s="6" t="s">
        <v>238</v>
      </c>
      <c r="H302" s="6" t="s">
        <v>232</v>
      </c>
    </row>
    <row r="303" customFormat="false" ht="15" hidden="false" customHeight="false" outlineLevel="0" collapsed="false">
      <c r="A303" s="19" t="n">
        <v>46350</v>
      </c>
      <c r="B303" s="6" t="s">
        <v>227</v>
      </c>
      <c r="C303" s="6" t="s">
        <v>431</v>
      </c>
      <c r="D303" s="6" t="s">
        <v>432</v>
      </c>
      <c r="E303" s="6" t="s">
        <v>234</v>
      </c>
      <c r="F303" s="6" t="n">
        <v>0.7</v>
      </c>
      <c r="G303" s="6" t="s">
        <v>238</v>
      </c>
      <c r="H303" s="6" t="s">
        <v>235</v>
      </c>
    </row>
    <row r="304" customFormat="false" ht="15" hidden="false" customHeight="false" outlineLevel="0" collapsed="false">
      <c r="A304" s="19" t="n">
        <v>46350</v>
      </c>
      <c r="B304" s="6" t="s">
        <v>227</v>
      </c>
      <c r="C304" s="6" t="s">
        <v>432</v>
      </c>
      <c r="D304" s="6" t="s">
        <v>433</v>
      </c>
      <c r="E304" s="6" t="s">
        <v>237</v>
      </c>
      <c r="F304" s="6" t="n">
        <v>0.23</v>
      </c>
      <c r="G304" s="6" t="s">
        <v>238</v>
      </c>
      <c r="H304" s="6" t="s">
        <v>239</v>
      </c>
    </row>
    <row r="305" customFormat="false" ht="15" hidden="false" customHeight="false" outlineLevel="0" collapsed="false">
      <c r="A305" s="19" t="n">
        <v>46350</v>
      </c>
      <c r="B305" s="6" t="s">
        <v>227</v>
      </c>
      <c r="C305" s="6" t="s">
        <v>433</v>
      </c>
      <c r="D305" s="6" t="s">
        <v>434</v>
      </c>
      <c r="E305" s="6" t="s">
        <v>241</v>
      </c>
      <c r="F305" s="6" t="n">
        <v>-1.28</v>
      </c>
      <c r="G305" s="6" t="s">
        <v>231</v>
      </c>
      <c r="H305" s="6" t="s">
        <v>242</v>
      </c>
    </row>
    <row r="306" customFormat="false" ht="15" hidden="false" customHeight="false" outlineLevel="0" collapsed="false">
      <c r="A306" s="19" t="n">
        <v>46350</v>
      </c>
      <c r="B306" s="6" t="s">
        <v>227</v>
      </c>
      <c r="C306" s="6" t="s">
        <v>434</v>
      </c>
      <c r="D306" s="6" t="s">
        <v>435</v>
      </c>
      <c r="E306" s="6" t="s">
        <v>244</v>
      </c>
      <c r="F306" s="6" t="n">
        <v>-0.02</v>
      </c>
      <c r="G306" s="6" t="s">
        <v>294</v>
      </c>
      <c r="H306" s="6" t="s">
        <v>245</v>
      </c>
    </row>
    <row r="307" customFormat="false" ht="15" hidden="false" customHeight="false" outlineLevel="0" collapsed="false">
      <c r="A307" s="19" t="n">
        <v>46350</v>
      </c>
      <c r="B307" s="6" t="s">
        <v>227</v>
      </c>
      <c r="C307" s="6" t="s">
        <v>435</v>
      </c>
      <c r="D307" s="6" t="s">
        <v>436</v>
      </c>
      <c r="E307" s="6" t="s">
        <v>247</v>
      </c>
      <c r="F307" s="6" t="n">
        <v>0.03</v>
      </c>
      <c r="G307" s="6" t="s">
        <v>294</v>
      </c>
      <c r="H307" s="6" t="s">
        <v>248</v>
      </c>
    </row>
    <row r="308" customFormat="false" ht="15" hidden="false" customHeight="false" outlineLevel="0" collapsed="false">
      <c r="A308" s="19" t="n">
        <v>46350</v>
      </c>
      <c r="B308" s="6" t="s">
        <v>227</v>
      </c>
      <c r="C308" s="6" t="s">
        <v>436</v>
      </c>
      <c r="D308" s="6" t="s">
        <v>249</v>
      </c>
      <c r="E308" s="6" t="s">
        <v>250</v>
      </c>
      <c r="F308" s="6" t="n">
        <v>1.18</v>
      </c>
      <c r="G308" s="6" t="s">
        <v>238</v>
      </c>
      <c r="H308" s="6" t="s">
        <v>251</v>
      </c>
    </row>
    <row r="309" customFormat="false" ht="15" hidden="false" customHeight="false" outlineLevel="0" collapsed="false">
      <c r="A309" s="19" t="n">
        <v>46350</v>
      </c>
      <c r="B309" s="6" t="s">
        <v>252</v>
      </c>
      <c r="C309" s="6" t="s">
        <v>228</v>
      </c>
      <c r="D309" s="6" t="s">
        <v>437</v>
      </c>
      <c r="E309" s="6" t="s">
        <v>250</v>
      </c>
      <c r="F309" s="6" t="n">
        <v>1.15</v>
      </c>
      <c r="G309" s="6" t="s">
        <v>259</v>
      </c>
      <c r="H309" s="6" t="s">
        <v>257</v>
      </c>
    </row>
    <row r="310" customFormat="false" ht="15" hidden="false" customHeight="false" outlineLevel="0" collapsed="false">
      <c r="A310" s="19" t="n">
        <v>46350</v>
      </c>
      <c r="B310" s="6" t="s">
        <v>252</v>
      </c>
      <c r="C310" s="6" t="s">
        <v>437</v>
      </c>
      <c r="D310" s="6" t="s">
        <v>438</v>
      </c>
      <c r="E310" s="6" t="s">
        <v>237</v>
      </c>
      <c r="F310" s="6" t="n">
        <v>0.22</v>
      </c>
      <c r="G310" s="6" t="s">
        <v>259</v>
      </c>
      <c r="H310" s="6" t="s">
        <v>260</v>
      </c>
    </row>
    <row r="311" customFormat="false" ht="15" hidden="false" customHeight="false" outlineLevel="0" collapsed="false">
      <c r="A311" s="19" t="n">
        <v>46350</v>
      </c>
      <c r="B311" s="6" t="s">
        <v>252</v>
      </c>
      <c r="C311" s="6" t="s">
        <v>438</v>
      </c>
      <c r="D311" s="6" t="s">
        <v>271</v>
      </c>
      <c r="E311" s="6" t="s">
        <v>247</v>
      </c>
      <c r="F311" s="6" t="n">
        <v>0.03</v>
      </c>
      <c r="G311" s="6" t="s">
        <v>284</v>
      </c>
      <c r="H311" s="6" t="s">
        <v>262</v>
      </c>
    </row>
    <row r="312" customFormat="false" ht="15" hidden="false" customHeight="false" outlineLevel="0" collapsed="false">
      <c r="A312" s="19" t="n">
        <v>46350</v>
      </c>
      <c r="B312" s="6" t="s">
        <v>252</v>
      </c>
      <c r="C312" s="6" t="s">
        <v>271</v>
      </c>
      <c r="D312" s="6" t="s">
        <v>439</v>
      </c>
      <c r="E312" s="6" t="s">
        <v>264</v>
      </c>
      <c r="F312" s="6" t="n">
        <v>-0.23</v>
      </c>
      <c r="G312" s="6" t="s">
        <v>254</v>
      </c>
      <c r="H312" s="6" t="s">
        <v>265</v>
      </c>
    </row>
    <row r="313" customFormat="false" ht="15" hidden="false" customHeight="false" outlineLevel="0" collapsed="false">
      <c r="A313" s="19" t="n">
        <v>46350</v>
      </c>
      <c r="B313" s="6" t="s">
        <v>252</v>
      </c>
      <c r="C313" s="6" t="s">
        <v>439</v>
      </c>
      <c r="D313" s="6" t="s">
        <v>440</v>
      </c>
      <c r="E313" s="6" t="s">
        <v>244</v>
      </c>
      <c r="F313" s="6" t="n">
        <v>-0.01</v>
      </c>
      <c r="G313" s="6" t="s">
        <v>284</v>
      </c>
      <c r="H313" s="6" t="s">
        <v>267</v>
      </c>
    </row>
    <row r="314" customFormat="false" ht="15" hidden="false" customHeight="false" outlineLevel="0" collapsed="false">
      <c r="A314" s="19" t="n">
        <v>46350</v>
      </c>
      <c r="B314" s="6" t="s">
        <v>252</v>
      </c>
      <c r="C314" s="6" t="s">
        <v>440</v>
      </c>
      <c r="D314" s="6" t="s">
        <v>407</v>
      </c>
      <c r="E314" s="6" t="s">
        <v>241</v>
      </c>
      <c r="F314" s="6" t="n">
        <v>-1.28</v>
      </c>
      <c r="G314" s="6" t="s">
        <v>254</v>
      </c>
      <c r="H314" s="6" t="s">
        <v>269</v>
      </c>
    </row>
    <row r="315" customFormat="false" ht="15" hidden="false" customHeight="false" outlineLevel="0" collapsed="false">
      <c r="A315" s="19" t="n">
        <v>46350</v>
      </c>
      <c r="B315" s="6" t="s">
        <v>252</v>
      </c>
      <c r="C315" s="6" t="s">
        <v>407</v>
      </c>
      <c r="D315" s="6" t="s">
        <v>441</v>
      </c>
      <c r="E315" s="6" t="s">
        <v>234</v>
      </c>
      <c r="F315" s="6" t="n">
        <v>1.22</v>
      </c>
      <c r="G315" s="6" t="s">
        <v>259</v>
      </c>
      <c r="H315" s="6" t="s">
        <v>270</v>
      </c>
    </row>
    <row r="316" customFormat="false" ht="15" hidden="false" customHeight="false" outlineLevel="0" collapsed="false">
      <c r="A316" s="19" t="n">
        <v>46350</v>
      </c>
      <c r="B316" s="6" t="s">
        <v>252</v>
      </c>
      <c r="C316" s="6" t="s">
        <v>441</v>
      </c>
      <c r="D316" s="6" t="s">
        <v>249</v>
      </c>
      <c r="E316" s="6" t="s">
        <v>283</v>
      </c>
      <c r="F316" s="6" t="n">
        <v>-0.97</v>
      </c>
      <c r="G316" s="6" t="s">
        <v>254</v>
      </c>
      <c r="H316" s="6" t="s">
        <v>285</v>
      </c>
    </row>
    <row r="317" customFormat="false" ht="15" hidden="false" customHeight="false" outlineLevel="0" collapsed="false">
      <c r="A317" s="19" t="n">
        <v>46351</v>
      </c>
      <c r="B317" s="6" t="s">
        <v>227</v>
      </c>
      <c r="C317" s="6" t="s">
        <v>228</v>
      </c>
      <c r="D317" s="6" t="s">
        <v>431</v>
      </c>
      <c r="E317" s="6" t="s">
        <v>241</v>
      </c>
      <c r="F317" s="6" t="n">
        <v>-1.32</v>
      </c>
      <c r="G317" s="6" t="s">
        <v>231</v>
      </c>
      <c r="H317" s="6" t="s">
        <v>242</v>
      </c>
    </row>
    <row r="318" customFormat="false" ht="15" hidden="false" customHeight="false" outlineLevel="0" collapsed="false">
      <c r="A318" s="19" t="n">
        <v>46351</v>
      </c>
      <c r="B318" s="6" t="s">
        <v>227</v>
      </c>
      <c r="C318" s="6" t="s">
        <v>431</v>
      </c>
      <c r="D318" s="6" t="s">
        <v>432</v>
      </c>
      <c r="E318" s="6" t="s">
        <v>244</v>
      </c>
      <c r="F318" s="6" t="n">
        <v>-0.02</v>
      </c>
      <c r="G318" s="6" t="s">
        <v>294</v>
      </c>
      <c r="H318" s="6" t="s">
        <v>245</v>
      </c>
    </row>
    <row r="319" customFormat="false" ht="15" hidden="false" customHeight="false" outlineLevel="0" collapsed="false">
      <c r="A319" s="19" t="n">
        <v>46351</v>
      </c>
      <c r="B319" s="6" t="s">
        <v>227</v>
      </c>
      <c r="C319" s="6" t="s">
        <v>432</v>
      </c>
      <c r="D319" s="6" t="s">
        <v>433</v>
      </c>
      <c r="E319" s="6" t="s">
        <v>247</v>
      </c>
      <c r="F319" s="6" t="n">
        <v>0.04</v>
      </c>
      <c r="G319" s="6" t="s">
        <v>294</v>
      </c>
      <c r="H319" s="6" t="s">
        <v>248</v>
      </c>
    </row>
    <row r="320" customFormat="false" ht="15" hidden="false" customHeight="false" outlineLevel="0" collapsed="false">
      <c r="A320" s="19" t="n">
        <v>46351</v>
      </c>
      <c r="B320" s="6" t="s">
        <v>227</v>
      </c>
      <c r="C320" s="6" t="s">
        <v>433</v>
      </c>
      <c r="D320" s="6" t="s">
        <v>434</v>
      </c>
      <c r="E320" s="6" t="s">
        <v>250</v>
      </c>
      <c r="F320" s="6" t="n">
        <v>1.06</v>
      </c>
      <c r="G320" s="6" t="s">
        <v>238</v>
      </c>
      <c r="H320" s="6" t="s">
        <v>251</v>
      </c>
    </row>
    <row r="321" customFormat="false" ht="15" hidden="false" customHeight="false" outlineLevel="0" collapsed="false">
      <c r="A321" s="19" t="n">
        <v>46351</v>
      </c>
      <c r="B321" s="6" t="s">
        <v>227</v>
      </c>
      <c r="C321" s="6" t="s">
        <v>434</v>
      </c>
      <c r="D321" s="6" t="s">
        <v>435</v>
      </c>
      <c r="E321" s="6" t="s">
        <v>230</v>
      </c>
      <c r="F321" s="6" t="n">
        <v>0.69</v>
      </c>
      <c r="G321" s="6" t="s">
        <v>238</v>
      </c>
      <c r="H321" s="6" t="s">
        <v>232</v>
      </c>
    </row>
    <row r="322" customFormat="false" ht="15" hidden="false" customHeight="false" outlineLevel="0" collapsed="false">
      <c r="A322" s="19" t="n">
        <v>46351</v>
      </c>
      <c r="B322" s="6" t="s">
        <v>227</v>
      </c>
      <c r="C322" s="6" t="s">
        <v>435</v>
      </c>
      <c r="D322" s="6" t="s">
        <v>436</v>
      </c>
      <c r="E322" s="6" t="s">
        <v>234</v>
      </c>
      <c r="F322" s="6" t="n">
        <v>0.69</v>
      </c>
      <c r="G322" s="6" t="s">
        <v>238</v>
      </c>
      <c r="H322" s="6" t="s">
        <v>235</v>
      </c>
    </row>
    <row r="323" customFormat="false" ht="15" hidden="false" customHeight="false" outlineLevel="0" collapsed="false">
      <c r="A323" s="19" t="n">
        <v>46351</v>
      </c>
      <c r="B323" s="6" t="s">
        <v>227</v>
      </c>
      <c r="C323" s="6" t="s">
        <v>436</v>
      </c>
      <c r="D323" s="6" t="s">
        <v>249</v>
      </c>
      <c r="E323" s="6" t="s">
        <v>237</v>
      </c>
      <c r="F323" s="6" t="n">
        <v>0.05</v>
      </c>
      <c r="G323" s="6" t="s">
        <v>238</v>
      </c>
      <c r="H323" s="6" t="s">
        <v>239</v>
      </c>
    </row>
    <row r="324" customFormat="false" ht="15" hidden="false" customHeight="false" outlineLevel="0" collapsed="false">
      <c r="A324" s="19" t="n">
        <v>46351</v>
      </c>
      <c r="B324" s="6" t="s">
        <v>252</v>
      </c>
      <c r="C324" s="6" t="s">
        <v>228</v>
      </c>
      <c r="D324" s="6" t="s">
        <v>316</v>
      </c>
      <c r="E324" s="6" t="s">
        <v>237</v>
      </c>
      <c r="F324" s="6" t="n">
        <v>0.06</v>
      </c>
      <c r="G324" s="6" t="s">
        <v>259</v>
      </c>
      <c r="H324" s="6" t="s">
        <v>260</v>
      </c>
    </row>
    <row r="325" customFormat="false" ht="15" hidden="false" customHeight="false" outlineLevel="0" collapsed="false">
      <c r="A325" s="19" t="n">
        <v>46351</v>
      </c>
      <c r="B325" s="6" t="s">
        <v>252</v>
      </c>
      <c r="C325" s="6" t="s">
        <v>316</v>
      </c>
      <c r="D325" s="6" t="s">
        <v>442</v>
      </c>
      <c r="E325" s="6" t="s">
        <v>247</v>
      </c>
      <c r="F325" s="6" t="n">
        <v>0.04</v>
      </c>
      <c r="G325" s="6" t="s">
        <v>284</v>
      </c>
      <c r="H325" s="6" t="s">
        <v>262</v>
      </c>
    </row>
    <row r="326" customFormat="false" ht="15" hidden="false" customHeight="false" outlineLevel="0" collapsed="false">
      <c r="A326" s="19" t="n">
        <v>46351</v>
      </c>
      <c r="B326" s="6" t="s">
        <v>252</v>
      </c>
      <c r="C326" s="6" t="s">
        <v>442</v>
      </c>
      <c r="D326" s="6" t="s">
        <v>443</v>
      </c>
      <c r="E326" s="6" t="s">
        <v>264</v>
      </c>
      <c r="F326" s="6" t="n">
        <v>-0.25</v>
      </c>
      <c r="G326" s="6" t="s">
        <v>254</v>
      </c>
      <c r="H326" s="6" t="s">
        <v>265</v>
      </c>
    </row>
    <row r="327" customFormat="false" ht="15" hidden="false" customHeight="false" outlineLevel="0" collapsed="false">
      <c r="A327" s="19" t="n">
        <v>46351</v>
      </c>
      <c r="B327" s="6" t="s">
        <v>252</v>
      </c>
      <c r="C327" s="6" t="s">
        <v>443</v>
      </c>
      <c r="D327" s="6" t="s">
        <v>444</v>
      </c>
      <c r="E327" s="6" t="s">
        <v>244</v>
      </c>
      <c r="F327" s="6" t="n">
        <v>-0.02</v>
      </c>
      <c r="G327" s="6" t="s">
        <v>284</v>
      </c>
      <c r="H327" s="6" t="s">
        <v>267</v>
      </c>
    </row>
    <row r="328" customFormat="false" ht="15" hidden="false" customHeight="false" outlineLevel="0" collapsed="false">
      <c r="A328" s="19" t="n">
        <v>46351</v>
      </c>
      <c r="B328" s="6" t="s">
        <v>252</v>
      </c>
      <c r="C328" s="6" t="s">
        <v>444</v>
      </c>
      <c r="D328" s="6" t="s">
        <v>445</v>
      </c>
      <c r="E328" s="6" t="s">
        <v>241</v>
      </c>
      <c r="F328" s="6" t="n">
        <v>-1.31</v>
      </c>
      <c r="G328" s="6" t="s">
        <v>254</v>
      </c>
      <c r="H328" s="6" t="s">
        <v>269</v>
      </c>
    </row>
    <row r="329" customFormat="false" ht="15" hidden="false" customHeight="false" outlineLevel="0" collapsed="false">
      <c r="A329" s="19" t="n">
        <v>46351</v>
      </c>
      <c r="B329" s="6" t="s">
        <v>252</v>
      </c>
      <c r="C329" s="6" t="s">
        <v>445</v>
      </c>
      <c r="D329" s="6" t="s">
        <v>321</v>
      </c>
      <c r="E329" s="6" t="s">
        <v>234</v>
      </c>
      <c r="F329" s="6" t="n">
        <v>1.19</v>
      </c>
      <c r="G329" s="6" t="s">
        <v>259</v>
      </c>
      <c r="H329" s="6" t="s">
        <v>270</v>
      </c>
    </row>
    <row r="330" customFormat="false" ht="15" hidden="false" customHeight="false" outlineLevel="0" collapsed="false">
      <c r="A330" s="19" t="n">
        <v>46351</v>
      </c>
      <c r="B330" s="6" t="s">
        <v>252</v>
      </c>
      <c r="C330" s="6" t="s">
        <v>321</v>
      </c>
      <c r="D330" s="6" t="s">
        <v>446</v>
      </c>
      <c r="E330" s="6" t="s">
        <v>283</v>
      </c>
      <c r="F330" s="6" t="n">
        <v>-0.96</v>
      </c>
      <c r="G330" s="6" t="s">
        <v>254</v>
      </c>
      <c r="H330" s="6" t="s">
        <v>285</v>
      </c>
    </row>
    <row r="331" customFormat="false" ht="15" hidden="false" customHeight="false" outlineLevel="0" collapsed="false">
      <c r="A331" s="19" t="n">
        <v>46351</v>
      </c>
      <c r="B331" s="6" t="s">
        <v>252</v>
      </c>
      <c r="C331" s="6" t="s">
        <v>446</v>
      </c>
      <c r="D331" s="6" t="s">
        <v>249</v>
      </c>
      <c r="E331" s="6" t="s">
        <v>230</v>
      </c>
      <c r="F331" s="6" t="n">
        <v>1.43</v>
      </c>
      <c r="G331" s="6" t="s">
        <v>259</v>
      </c>
      <c r="H331" s="6" t="s">
        <v>255</v>
      </c>
    </row>
  </sheetData>
  <conditionalFormatting sqref="F5:F332">
    <cfRule type="expression" priority="2" aboveAverage="0" equalAverage="0" bottom="0" percent="0" rank="0" text="" dxfId="0">
      <formula>AND(ISNUMBER(F5),F5&gt;Settings!$C$4)</formula>
    </cfRule>
    <cfRule type="expression" priority="3" aboveAverage="0" equalAverage="0" bottom="0" percent="0" rank="0" text="" dxfId="1">
      <formula>AND(ISNUMBER(F5),F5&lt;-Settings!$C$4)</formula>
    </cfRule>
    <cfRule type="expression" priority="4" aboveAverage="0" equalAverage="0" bottom="0" percent="0" rank="0" text="" dxfId="2">
      <formula>AND(ISNUMBER(F5),ABS(F5)&lt;=Settings!$C$4)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447</v>
      </c>
    </row>
    <row r="4" customFormat="false" ht="15" hidden="false" customHeight="false" outlineLevel="0" collapsed="false">
      <c r="A4" s="5" t="s">
        <v>139</v>
      </c>
      <c r="B4" s="5" t="s">
        <v>448</v>
      </c>
      <c r="C4" s="5" t="s">
        <v>449</v>
      </c>
    </row>
    <row r="5" customFormat="false" ht="15" hidden="false" customHeight="false" outlineLevel="0" collapsed="false">
      <c r="A5" s="23" t="n">
        <v>46322</v>
      </c>
      <c r="B5" s="6" t="s">
        <v>450</v>
      </c>
      <c r="C5" s="2" t="s">
        <v>451</v>
      </c>
    </row>
    <row r="6" customFormat="false" ht="15" hidden="false" customHeight="false" outlineLevel="0" collapsed="false">
      <c r="A6" s="23" t="n">
        <v>46326</v>
      </c>
      <c r="B6" s="6" t="s">
        <v>452</v>
      </c>
      <c r="C6" s="2" t="s">
        <v>451</v>
      </c>
    </row>
    <row r="7" customFormat="false" ht="15" hidden="false" customHeight="false" outlineLevel="0" collapsed="false">
      <c r="A7" s="23" t="n">
        <v>46326</v>
      </c>
      <c r="B7" s="6" t="s">
        <v>453</v>
      </c>
      <c r="C7" s="2" t="s">
        <v>454</v>
      </c>
    </row>
    <row r="8" customFormat="false" ht="15" hidden="false" customHeight="false" outlineLevel="0" collapsed="false">
      <c r="A8" s="23" t="n">
        <v>46331</v>
      </c>
      <c r="B8" s="6" t="s">
        <v>455</v>
      </c>
      <c r="C8" s="2" t="s">
        <v>456</v>
      </c>
    </row>
    <row r="9" customFormat="false" ht="15" hidden="false" customHeight="false" outlineLevel="0" collapsed="false">
      <c r="A9" s="23" t="n">
        <v>46338</v>
      </c>
      <c r="B9" s="6" t="s">
        <v>457</v>
      </c>
      <c r="C9" s="2" t="s">
        <v>456</v>
      </c>
    </row>
    <row r="10" customFormat="false" ht="15" hidden="false" customHeight="false" outlineLevel="0" collapsed="false">
      <c r="A10" s="23" t="n">
        <v>46340</v>
      </c>
      <c r="B10" s="6" t="s">
        <v>458</v>
      </c>
      <c r="C10" s="2" t="s">
        <v>459</v>
      </c>
    </row>
    <row r="11" customFormat="false" ht="15" hidden="false" customHeight="false" outlineLevel="0" collapsed="false">
      <c r="A11" s="23" t="n">
        <v>46340</v>
      </c>
      <c r="B11" s="6" t="s">
        <v>460</v>
      </c>
      <c r="C11" s="2" t="s">
        <v>459</v>
      </c>
    </row>
    <row r="12" customFormat="false" ht="15" hidden="false" customHeight="false" outlineLevel="0" collapsed="false">
      <c r="A12" s="23" t="n">
        <v>46342</v>
      </c>
      <c r="B12" s="6" t="s">
        <v>461</v>
      </c>
      <c r="C12" s="2" t="s">
        <v>454</v>
      </c>
    </row>
    <row r="13" customFormat="false" ht="15" hidden="false" customHeight="false" outlineLevel="0" collapsed="false">
      <c r="A13" s="23" t="n">
        <v>46348</v>
      </c>
      <c r="B13" s="6" t="s">
        <v>462</v>
      </c>
      <c r="C13" s="2" t="s">
        <v>456</v>
      </c>
    </row>
    <row r="14" customFormat="false" ht="15" hidden="false" customHeight="false" outlineLevel="0" collapsed="false">
      <c r="A14" s="23" t="n">
        <v>46351</v>
      </c>
      <c r="B14" s="6" t="s">
        <v>463</v>
      </c>
      <c r="C14" s="2" t="s">
        <v>456</v>
      </c>
    </row>
    <row r="15" customFormat="false" ht="15" hidden="false" customHeight="false" outlineLevel="0" collapsed="false">
      <c r="A15" s="23" t="n">
        <v>46358</v>
      </c>
      <c r="B15" s="6" t="s">
        <v>464</v>
      </c>
      <c r="C15" s="2" t="s">
        <v>456</v>
      </c>
    </row>
    <row r="16" customFormat="false" ht="15" hidden="false" customHeight="false" outlineLevel="0" collapsed="false">
      <c r="A16" s="23" t="n">
        <v>46367</v>
      </c>
      <c r="B16" s="6" t="s">
        <v>465</v>
      </c>
      <c r="C16" s="2" t="s">
        <v>459</v>
      </c>
    </row>
    <row r="17" customFormat="false" ht="15" hidden="false" customHeight="false" outlineLevel="0" collapsed="false">
      <c r="A17" s="23" t="n">
        <v>46369</v>
      </c>
      <c r="B17" s="6" t="s">
        <v>466</v>
      </c>
      <c r="C17" s="2" t="s">
        <v>459</v>
      </c>
    </row>
    <row r="18" customFormat="false" ht="15" hidden="false" customHeight="false" outlineLevel="0" collapsed="false">
      <c r="A18" s="23" t="n">
        <v>46369</v>
      </c>
      <c r="B18" s="6" t="s">
        <v>467</v>
      </c>
      <c r="C18" s="2" t="s">
        <v>459</v>
      </c>
    </row>
    <row r="19" customFormat="false" ht="15" hidden="false" customHeight="false" outlineLevel="0" collapsed="false">
      <c r="A19" s="23" t="n">
        <v>46372</v>
      </c>
      <c r="B19" s="6" t="s">
        <v>468</v>
      </c>
      <c r="C19" s="2" t="s">
        <v>454</v>
      </c>
    </row>
    <row r="20" customFormat="false" ht="15" hidden="false" customHeight="false" outlineLevel="0" collapsed="false">
      <c r="A20" s="23" t="n">
        <v>46378</v>
      </c>
      <c r="B20" s="6" t="s">
        <v>469</v>
      </c>
      <c r="C20" s="2" t="s">
        <v>456</v>
      </c>
    </row>
    <row r="21" customFormat="false" ht="15" hidden="false" customHeight="false" outlineLevel="0" collapsed="false">
      <c r="A21" s="23" t="n">
        <v>46388</v>
      </c>
      <c r="B21" s="6" t="s">
        <v>470</v>
      </c>
      <c r="C21" s="2" t="s">
        <v>456</v>
      </c>
    </row>
    <row r="22" customFormat="false" ht="15" hidden="false" customHeight="false" outlineLevel="0" collapsed="false">
      <c r="A22" s="23" t="n">
        <v>46396</v>
      </c>
      <c r="B22" s="6" t="s">
        <v>471</v>
      </c>
      <c r="C22" s="2" t="s">
        <v>456</v>
      </c>
    </row>
    <row r="23" customFormat="false" ht="15" hidden="false" customHeight="false" outlineLevel="0" collapsed="false">
      <c r="A23" s="23" t="n">
        <v>46398</v>
      </c>
      <c r="B23" s="6" t="s">
        <v>472</v>
      </c>
      <c r="C23" s="2" t="s">
        <v>459</v>
      </c>
    </row>
    <row r="24" customFormat="false" ht="15" hidden="false" customHeight="false" outlineLevel="0" collapsed="false">
      <c r="A24" s="23" t="n">
        <v>46401</v>
      </c>
      <c r="B24" s="6" t="s">
        <v>473</v>
      </c>
      <c r="C24" s="2" t="s">
        <v>454</v>
      </c>
    </row>
    <row r="25" customFormat="false" ht="15" hidden="false" customHeight="false" outlineLevel="0" collapsed="false">
      <c r="A25" s="23" t="n">
        <v>46411</v>
      </c>
      <c r="B25" s="6" t="s">
        <v>474</v>
      </c>
      <c r="C25" s="2" t="s">
        <v>454</v>
      </c>
    </row>
    <row r="26" customFormat="false" ht="15" hidden="false" customHeight="false" outlineLevel="0" collapsed="false">
      <c r="A26" s="23" t="n">
        <v>46412</v>
      </c>
      <c r="B26" s="6" t="s">
        <v>450</v>
      </c>
      <c r="C26" s="2" t="s">
        <v>451</v>
      </c>
    </row>
    <row r="27" customFormat="false" ht="15" hidden="false" customHeight="false" outlineLevel="0" collapsed="false">
      <c r="A27" s="23" t="n">
        <v>46414</v>
      </c>
      <c r="B27" s="6" t="s">
        <v>475</v>
      </c>
      <c r="C27" s="2" t="s">
        <v>456</v>
      </c>
    </row>
    <row r="28" customFormat="false" ht="15" hidden="false" customHeight="false" outlineLevel="0" collapsed="false">
      <c r="A28" s="23" t="n">
        <v>46416</v>
      </c>
      <c r="B28" s="6" t="s">
        <v>476</v>
      </c>
      <c r="C28" s="2" t="s">
        <v>456</v>
      </c>
    </row>
    <row r="29" customFormat="false" ht="15" hidden="false" customHeight="false" outlineLevel="0" collapsed="false">
      <c r="A29" s="23" t="n">
        <v>46424</v>
      </c>
      <c r="B29" s="6" t="s">
        <v>477</v>
      </c>
      <c r="C29" s="2" t="s">
        <v>478</v>
      </c>
    </row>
    <row r="30" customFormat="false" ht="15" hidden="false" customHeight="false" outlineLevel="0" collapsed="false">
      <c r="A30" s="23" t="n">
        <v>46427</v>
      </c>
      <c r="B30" s="6" t="s">
        <v>479</v>
      </c>
      <c r="C30" s="2" t="s">
        <v>459</v>
      </c>
    </row>
    <row r="31" customFormat="false" ht="15" hidden="false" customHeight="false" outlineLevel="0" collapsed="false">
      <c r="A31" s="23" t="n">
        <v>46428</v>
      </c>
      <c r="B31" s="6" t="s">
        <v>480</v>
      </c>
      <c r="C31" s="2" t="s">
        <v>459</v>
      </c>
    </row>
    <row r="32" customFormat="false" ht="15" hidden="false" customHeight="false" outlineLevel="0" collapsed="false">
      <c r="A32" s="23" t="n">
        <v>46431</v>
      </c>
      <c r="B32" s="6" t="s">
        <v>481</v>
      </c>
      <c r="C32" s="2" t="s">
        <v>454</v>
      </c>
    </row>
    <row r="33" customFormat="false" ht="15" hidden="false" customHeight="false" outlineLevel="0" collapsed="false">
      <c r="A33" s="23" t="n">
        <v>46438</v>
      </c>
      <c r="B33" s="6" t="s">
        <v>482</v>
      </c>
      <c r="C33" s="2" t="s">
        <v>478</v>
      </c>
    </row>
    <row r="34" customFormat="false" ht="15" hidden="false" customHeight="false" outlineLevel="0" collapsed="false">
      <c r="A34" s="23" t="n">
        <v>46441</v>
      </c>
      <c r="B34" s="6" t="s">
        <v>483</v>
      </c>
      <c r="C34" s="2" t="s">
        <v>456</v>
      </c>
    </row>
    <row r="35" customFormat="false" ht="15" hidden="false" customHeight="false" outlineLevel="0" collapsed="false">
      <c r="A35" s="23" t="n">
        <v>46442</v>
      </c>
      <c r="B35" s="6" t="s">
        <v>484</v>
      </c>
      <c r="C35" s="2" t="s">
        <v>456</v>
      </c>
    </row>
    <row r="36" customFormat="false" ht="15" hidden="false" customHeight="false" outlineLevel="0" collapsed="false">
      <c r="A36" s="23" t="n">
        <v>46450</v>
      </c>
      <c r="B36" s="6" t="s">
        <v>458</v>
      </c>
      <c r="C36" s="2" t="s">
        <v>459</v>
      </c>
    </row>
    <row r="37" customFormat="false" ht="15" hidden="false" customHeight="false" outlineLevel="0" collapsed="false">
      <c r="A37" s="23" t="n">
        <v>46455</v>
      </c>
      <c r="B37" s="6" t="s">
        <v>485</v>
      </c>
      <c r="C37" s="2" t="s">
        <v>456</v>
      </c>
    </row>
    <row r="38" customFormat="false" ht="15" hidden="false" customHeight="false" outlineLevel="0" collapsed="false">
      <c r="A38" s="23" t="n">
        <v>46457</v>
      </c>
      <c r="B38" s="6" t="s">
        <v>475</v>
      </c>
      <c r="C38" s="2" t="s">
        <v>456</v>
      </c>
    </row>
    <row r="39" customFormat="false" ht="15" hidden="false" customHeight="false" outlineLevel="0" collapsed="false">
      <c r="A39" s="23" t="n">
        <v>46461</v>
      </c>
      <c r="B39" s="6" t="s">
        <v>486</v>
      </c>
      <c r="C39" s="2" t="s">
        <v>454</v>
      </c>
    </row>
    <row r="40" customFormat="false" ht="15" hidden="false" customHeight="false" outlineLevel="0" collapsed="false">
      <c r="A40" s="23" t="n">
        <v>46464</v>
      </c>
      <c r="B40" s="6" t="s">
        <v>487</v>
      </c>
      <c r="C40" s="2" t="s">
        <v>451</v>
      </c>
    </row>
    <row r="41" customFormat="false" ht="15" hidden="false" customHeight="false" outlineLevel="0" collapsed="false">
      <c r="A41" s="23" t="n">
        <v>46467</v>
      </c>
      <c r="B41" s="6" t="s">
        <v>488</v>
      </c>
      <c r="C41" s="2" t="s">
        <v>456</v>
      </c>
    </row>
    <row r="42" customFormat="false" ht="15" hidden="false" customHeight="false" outlineLevel="0" collapsed="false">
      <c r="A42" s="23" t="n">
        <v>46479</v>
      </c>
      <c r="B42" s="6" t="s">
        <v>489</v>
      </c>
      <c r="C42" s="2" t="s">
        <v>459</v>
      </c>
    </row>
    <row r="43" customFormat="false" ht="15" hidden="false" customHeight="false" outlineLevel="0" collapsed="false">
      <c r="A43" s="23" t="n">
        <v>46482</v>
      </c>
      <c r="B43" s="6" t="s">
        <v>490</v>
      </c>
      <c r="C43" s="2" t="s">
        <v>456</v>
      </c>
    </row>
    <row r="44" customFormat="false" ht="15" hidden="false" customHeight="false" outlineLevel="0" collapsed="false">
      <c r="A44" s="23" t="n">
        <v>46490</v>
      </c>
      <c r="B44" s="6" t="s">
        <v>491</v>
      </c>
      <c r="C44" s="2" t="s">
        <v>459</v>
      </c>
    </row>
    <row r="45" customFormat="false" ht="15" hidden="false" customHeight="false" outlineLevel="0" collapsed="false">
      <c r="A45" s="23" t="n">
        <v>46491</v>
      </c>
      <c r="B45" s="6" t="s">
        <v>492</v>
      </c>
      <c r="C45" s="2" t="s">
        <v>454</v>
      </c>
    </row>
    <row r="46" customFormat="false" ht="15" hidden="false" customHeight="false" outlineLevel="0" collapsed="false">
      <c r="A46" s="23" t="n">
        <v>46492</v>
      </c>
      <c r="B46" s="6" t="s">
        <v>493</v>
      </c>
      <c r="C46" s="2" t="s">
        <v>456</v>
      </c>
    </row>
    <row r="47" customFormat="false" ht="15" hidden="false" customHeight="false" outlineLevel="0" collapsed="false">
      <c r="A47" s="23" t="n">
        <v>46499</v>
      </c>
      <c r="B47" s="6" t="s">
        <v>494</v>
      </c>
      <c r="C47" s="2" t="s">
        <v>456</v>
      </c>
    </row>
    <row r="48" customFormat="false" ht="15" hidden="false" customHeight="false" outlineLevel="0" collapsed="false">
      <c r="A48" s="23" t="n">
        <v>46503</v>
      </c>
      <c r="B48" s="6" t="s">
        <v>457</v>
      </c>
      <c r="C48" s="2" t="s">
        <v>456</v>
      </c>
    </row>
    <row r="49" customFormat="false" ht="15" hidden="false" customHeight="false" outlineLevel="0" collapsed="false">
      <c r="A49" s="23" t="n">
        <v>46507</v>
      </c>
      <c r="B49" s="6" t="s">
        <v>450</v>
      </c>
      <c r="C49" s="2" t="s">
        <v>451</v>
      </c>
    </row>
    <row r="50" customFormat="false" ht="15" hidden="false" customHeight="false" outlineLevel="0" collapsed="false">
      <c r="A50" s="23" t="n">
        <v>46513</v>
      </c>
      <c r="B50" s="6" t="s">
        <v>495</v>
      </c>
      <c r="C50" s="2" t="s">
        <v>456</v>
      </c>
    </row>
    <row r="51" customFormat="false" ht="15" hidden="false" customHeight="false" outlineLevel="0" collapsed="false">
      <c r="A51" s="23" t="n">
        <v>46516</v>
      </c>
      <c r="B51" s="6" t="s">
        <v>496</v>
      </c>
      <c r="C51" s="2" t="s">
        <v>459</v>
      </c>
    </row>
    <row r="52" customFormat="false" ht="15" hidden="false" customHeight="false" outlineLevel="0" collapsed="false">
      <c r="A52" s="23" t="n">
        <v>46517</v>
      </c>
      <c r="B52" s="6" t="s">
        <v>497</v>
      </c>
      <c r="C52" s="2" t="s">
        <v>456</v>
      </c>
    </row>
    <row r="53" customFormat="false" ht="15" hidden="false" customHeight="false" outlineLevel="0" collapsed="false">
      <c r="A53" s="23" t="n">
        <v>46522</v>
      </c>
      <c r="B53" s="6" t="s">
        <v>498</v>
      </c>
      <c r="C53" s="2" t="s">
        <v>454</v>
      </c>
    </row>
    <row r="54" customFormat="false" ht="15" hidden="false" customHeight="false" outlineLevel="0" collapsed="false">
      <c r="A54" s="23" t="n">
        <v>46530</v>
      </c>
      <c r="B54" s="6" t="s">
        <v>499</v>
      </c>
      <c r="C54" s="2" t="s">
        <v>456</v>
      </c>
    </row>
    <row r="55" customFormat="false" ht="15" hidden="false" customHeight="false" outlineLevel="0" collapsed="false">
      <c r="A55" s="23" t="n">
        <v>46540</v>
      </c>
      <c r="B55" s="6" t="s">
        <v>500</v>
      </c>
      <c r="C55" s="2" t="s">
        <v>456</v>
      </c>
    </row>
    <row r="56" customFormat="false" ht="15" hidden="false" customHeight="false" outlineLevel="0" collapsed="false">
      <c r="A56" s="23" t="n">
        <v>46541</v>
      </c>
      <c r="B56" s="6" t="s">
        <v>501</v>
      </c>
      <c r="C56" s="2" t="s">
        <v>451</v>
      </c>
    </row>
    <row r="57" customFormat="false" ht="15" hidden="false" customHeight="false" outlineLevel="0" collapsed="false">
      <c r="A57" s="23" t="n">
        <v>46541</v>
      </c>
      <c r="B57" s="6" t="s">
        <v>502</v>
      </c>
      <c r="C57" s="2" t="s">
        <v>456</v>
      </c>
    </row>
    <row r="58" customFormat="false" ht="15" hidden="false" customHeight="false" outlineLevel="0" collapsed="false">
      <c r="A58" s="23" t="n">
        <v>46549</v>
      </c>
      <c r="B58" s="6" t="s">
        <v>480</v>
      </c>
      <c r="C58" s="2" t="s">
        <v>459</v>
      </c>
    </row>
    <row r="59" customFormat="false" ht="15" hidden="false" customHeight="false" outlineLevel="0" collapsed="false">
      <c r="A59" s="23" t="n">
        <v>46552</v>
      </c>
      <c r="B59" s="6" t="s">
        <v>503</v>
      </c>
      <c r="C59" s="2" t="s">
        <v>451</v>
      </c>
    </row>
    <row r="60" customFormat="false" ht="15" hidden="false" customHeight="false" outlineLevel="0" collapsed="false">
      <c r="A60" s="23" t="n">
        <v>46553</v>
      </c>
      <c r="B60" s="6" t="s">
        <v>504</v>
      </c>
      <c r="C60" s="2" t="s">
        <v>454</v>
      </c>
    </row>
    <row r="61" customFormat="false" ht="15" hidden="false" customHeight="false" outlineLevel="0" collapsed="false">
      <c r="A61" s="23" t="n">
        <v>46563</v>
      </c>
      <c r="B61" s="6" t="s">
        <v>453</v>
      </c>
      <c r="C61" s="2" t="s">
        <v>454</v>
      </c>
    </row>
    <row r="62" customFormat="false" ht="15" hidden="false" customHeight="false" outlineLevel="0" collapsed="false">
      <c r="A62" s="23" t="n">
        <v>46566</v>
      </c>
      <c r="B62" s="6" t="s">
        <v>505</v>
      </c>
      <c r="C62" s="2" t="s">
        <v>456</v>
      </c>
    </row>
    <row r="63" customFormat="false" ht="15" hidden="false" customHeight="false" outlineLevel="0" collapsed="false">
      <c r="A63" s="23" t="n">
        <v>46572</v>
      </c>
      <c r="B63" s="6" t="s">
        <v>506</v>
      </c>
      <c r="C63" s="2" t="s">
        <v>456</v>
      </c>
    </row>
    <row r="64" customFormat="false" ht="15" hidden="false" customHeight="false" outlineLevel="0" collapsed="false">
      <c r="A64" s="23" t="n">
        <v>46573</v>
      </c>
      <c r="B64" s="6" t="s">
        <v>458</v>
      </c>
      <c r="C64" s="2" t="s">
        <v>459</v>
      </c>
    </row>
    <row r="65" customFormat="false" ht="15" hidden="false" customHeight="false" outlineLevel="0" collapsed="false">
      <c r="A65" s="23" t="n">
        <v>46578</v>
      </c>
      <c r="B65" s="6" t="s">
        <v>507</v>
      </c>
      <c r="C65" s="2" t="s">
        <v>459</v>
      </c>
    </row>
    <row r="66" customFormat="false" ht="15" hidden="false" customHeight="false" outlineLevel="0" collapsed="false">
      <c r="A66" s="23" t="n">
        <v>46585</v>
      </c>
      <c r="B66" s="6" t="s">
        <v>508</v>
      </c>
      <c r="C66" s="2" t="s">
        <v>454</v>
      </c>
    </row>
    <row r="67" customFormat="false" ht="15" hidden="false" customHeight="false" outlineLevel="0" collapsed="false">
      <c r="A67" s="23" t="n">
        <v>46586</v>
      </c>
      <c r="B67" s="6" t="s">
        <v>482</v>
      </c>
      <c r="C67" s="2" t="s">
        <v>478</v>
      </c>
    </row>
    <row r="68" customFormat="false" ht="15" hidden="false" customHeight="false" outlineLevel="0" collapsed="false">
      <c r="A68" s="23" t="n">
        <v>46590</v>
      </c>
      <c r="B68" s="6" t="s">
        <v>509</v>
      </c>
      <c r="C68" s="2" t="s">
        <v>456</v>
      </c>
    </row>
    <row r="69" customFormat="false" ht="15" hidden="false" customHeight="false" outlineLevel="0" collapsed="false">
      <c r="A69" s="23" t="n">
        <v>46598</v>
      </c>
      <c r="B69" s="6" t="s">
        <v>510</v>
      </c>
      <c r="C69" s="2" t="s">
        <v>456</v>
      </c>
    </row>
    <row r="70" customFormat="false" ht="15" hidden="false" customHeight="false" outlineLevel="0" collapsed="false">
      <c r="A70" s="23" t="n">
        <v>46598</v>
      </c>
      <c r="B70" s="6" t="s">
        <v>511</v>
      </c>
      <c r="C70" s="2" t="s">
        <v>451</v>
      </c>
    </row>
    <row r="71" customFormat="false" ht="15" hidden="false" customHeight="false" outlineLevel="0" collapsed="false">
      <c r="A71" s="23" t="n">
        <v>46601</v>
      </c>
      <c r="B71" s="6" t="s">
        <v>477</v>
      </c>
      <c r="C71" s="2" t="s">
        <v>478</v>
      </c>
    </row>
    <row r="72" customFormat="false" ht="15" hidden="false" customHeight="false" outlineLevel="0" collapsed="false">
      <c r="A72" s="23" t="n">
        <v>46609</v>
      </c>
      <c r="B72" s="6" t="s">
        <v>512</v>
      </c>
      <c r="C72" s="2" t="s">
        <v>459</v>
      </c>
    </row>
    <row r="73" customFormat="false" ht="15" hidden="false" customHeight="false" outlineLevel="0" collapsed="false">
      <c r="A73" s="23" t="n">
        <v>46613</v>
      </c>
      <c r="B73" s="6" t="s">
        <v>513</v>
      </c>
      <c r="C73" s="2" t="s">
        <v>456</v>
      </c>
    </row>
    <row r="74" customFormat="false" ht="15" hidden="false" customHeight="false" outlineLevel="0" collapsed="false">
      <c r="A74" s="23" t="n">
        <v>46615</v>
      </c>
      <c r="B74" s="6" t="s">
        <v>514</v>
      </c>
      <c r="C74" s="2" t="s">
        <v>456</v>
      </c>
    </row>
    <row r="75" customFormat="false" ht="15" hidden="false" customHeight="false" outlineLevel="0" collapsed="false">
      <c r="A75" s="23" t="n">
        <v>46616</v>
      </c>
      <c r="B75" s="6" t="s">
        <v>482</v>
      </c>
      <c r="C75" s="2" t="s">
        <v>478</v>
      </c>
    </row>
    <row r="76" customFormat="false" ht="15" hidden="false" customHeight="false" outlineLevel="0" collapsed="false">
      <c r="A76" s="23" t="n">
        <v>46616</v>
      </c>
      <c r="B76" s="6" t="s">
        <v>515</v>
      </c>
      <c r="C76" s="2" t="s">
        <v>454</v>
      </c>
    </row>
    <row r="77" customFormat="false" ht="15" hidden="false" customHeight="false" outlineLevel="0" collapsed="false">
      <c r="A77" s="23" t="n">
        <v>46623</v>
      </c>
      <c r="B77" s="6" t="s">
        <v>516</v>
      </c>
      <c r="C77" s="2" t="s">
        <v>456</v>
      </c>
    </row>
    <row r="78" customFormat="false" ht="15" hidden="false" customHeight="false" outlineLevel="0" collapsed="false">
      <c r="A78" s="23" t="n">
        <v>46629</v>
      </c>
      <c r="B78" s="6" t="s">
        <v>517</v>
      </c>
      <c r="C78" s="2" t="s">
        <v>456</v>
      </c>
    </row>
    <row r="79" customFormat="false" ht="15" hidden="false" customHeight="false" outlineLevel="0" collapsed="false">
      <c r="A79" s="23" t="n">
        <v>46639</v>
      </c>
      <c r="B79" s="6" t="s">
        <v>518</v>
      </c>
      <c r="C79" s="2" t="s">
        <v>456</v>
      </c>
    </row>
    <row r="80" customFormat="false" ht="15" hidden="false" customHeight="false" outlineLevel="0" collapsed="false">
      <c r="A80" s="23" t="n">
        <v>46646</v>
      </c>
      <c r="B80" s="6" t="s">
        <v>519</v>
      </c>
      <c r="C80" s="2" t="s">
        <v>459</v>
      </c>
    </row>
    <row r="81" customFormat="false" ht="15" hidden="false" customHeight="false" outlineLevel="0" collapsed="false">
      <c r="A81" s="23" t="n">
        <v>46647</v>
      </c>
      <c r="B81" s="6" t="s">
        <v>520</v>
      </c>
      <c r="C81" s="2" t="s">
        <v>454</v>
      </c>
    </row>
    <row r="82" customFormat="false" ht="15" hidden="false" customHeight="false" outlineLevel="0" collapsed="false">
      <c r="A82" s="23" t="n">
        <v>46651</v>
      </c>
      <c r="B82" s="6" t="s">
        <v>521</v>
      </c>
      <c r="C82" s="2" t="s">
        <v>456</v>
      </c>
    </row>
    <row r="83" customFormat="false" ht="15" hidden="false" customHeight="false" outlineLevel="0" collapsed="false">
      <c r="A83" s="23" t="n">
        <v>46663</v>
      </c>
      <c r="B83" s="6" t="s">
        <v>462</v>
      </c>
      <c r="C83" s="2" t="s">
        <v>456</v>
      </c>
    </row>
    <row r="84" customFormat="false" ht="15" hidden="false" customHeight="false" outlineLevel="0" collapsed="false">
      <c r="A84" s="23" t="n">
        <v>46667</v>
      </c>
      <c r="B84" s="6" t="s">
        <v>522</v>
      </c>
      <c r="C84" s="2" t="s">
        <v>456</v>
      </c>
    </row>
    <row r="85" customFormat="false" ht="15" hidden="false" customHeight="false" outlineLevel="0" collapsed="false">
      <c r="A85" s="23" t="n">
        <v>46668</v>
      </c>
      <c r="B85" s="6" t="s">
        <v>480</v>
      </c>
      <c r="C85" s="2" t="s">
        <v>459</v>
      </c>
    </row>
    <row r="86" customFormat="false" ht="15" hidden="false" customHeight="false" outlineLevel="0" collapsed="false">
      <c r="A86" s="23" t="n">
        <v>46677</v>
      </c>
      <c r="B86" s="6" t="s">
        <v>523</v>
      </c>
      <c r="C86" s="2" t="s">
        <v>454</v>
      </c>
    </row>
    <row r="87" customFormat="false" ht="15" hidden="false" customHeight="false" outlineLevel="0" collapsed="false">
      <c r="A87" s="23" t="n">
        <v>46678</v>
      </c>
      <c r="B87" s="6" t="s">
        <v>524</v>
      </c>
      <c r="C87" s="2" t="s">
        <v>459</v>
      </c>
    </row>
    <row r="88" customFormat="false" ht="15" hidden="false" customHeight="false" outlineLevel="0" collapsed="false">
      <c r="A88" s="23" t="n">
        <v>46680</v>
      </c>
      <c r="B88" s="6" t="s">
        <v>452</v>
      </c>
      <c r="C88" s="2" t="s">
        <v>451</v>
      </c>
    </row>
    <row r="89" customFormat="false" ht="15" hidden="false" customHeight="false" outlineLevel="0" collapsed="false">
      <c r="A89" s="23" t="n">
        <v>46680</v>
      </c>
      <c r="B89" s="6" t="s">
        <v>525</v>
      </c>
      <c r="C89" s="2" t="s">
        <v>456</v>
      </c>
    </row>
    <row r="90" customFormat="false" ht="15" hidden="false" customHeight="false" outlineLevel="0" collapsed="false">
      <c r="A90" s="23" t="n">
        <v>46681</v>
      </c>
      <c r="B90" s="6" t="s">
        <v>526</v>
      </c>
      <c r="C90" s="2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5" min="2" style="0" width="17"/>
  </cols>
  <sheetData>
    <row r="1" customFormat="false" ht="17.35" hidden="false" customHeight="false" outlineLevel="0" collapsed="false">
      <c r="A1" s="1" t="s">
        <v>527</v>
      </c>
    </row>
    <row r="2" customFormat="false" ht="15" hidden="false" customHeight="false" outlineLevel="0" collapsed="false">
      <c r="A2" s="2" t="s">
        <v>528</v>
      </c>
    </row>
    <row r="4" customFormat="false" ht="15" hidden="false" customHeight="false" outlineLevel="0" collapsed="false">
      <c r="A4" s="5" t="s">
        <v>139</v>
      </c>
      <c r="B4" s="5" t="s">
        <v>250</v>
      </c>
      <c r="C4" s="5" t="s">
        <v>237</v>
      </c>
      <c r="D4" s="5" t="s">
        <v>247</v>
      </c>
      <c r="E4" s="5" t="s">
        <v>234</v>
      </c>
      <c r="F4" s="5" t="s">
        <v>244</v>
      </c>
      <c r="G4" s="5" t="s">
        <v>230</v>
      </c>
      <c r="H4" s="5" t="s">
        <v>241</v>
      </c>
      <c r="I4" s="5" t="s">
        <v>264</v>
      </c>
      <c r="J4" s="5" t="s">
        <v>283</v>
      </c>
      <c r="K4" s="5" t="s">
        <v>529</v>
      </c>
      <c r="L4" s="5" t="s">
        <v>530</v>
      </c>
      <c r="M4" s="5" t="s">
        <v>531</v>
      </c>
      <c r="N4" s="5" t="s">
        <v>532</v>
      </c>
      <c r="O4" s="5" t="s">
        <v>533</v>
      </c>
    </row>
    <row r="5" customFormat="false" ht="15" hidden="false" customHeight="false" outlineLevel="0" collapsed="false">
      <c r="A5" s="23" t="n">
        <v>46322</v>
      </c>
      <c r="B5" s="6" t="s">
        <v>534</v>
      </c>
      <c r="C5" s="6" t="s">
        <v>535</v>
      </c>
      <c r="D5" s="6" t="s">
        <v>536</v>
      </c>
      <c r="E5" s="6" t="s">
        <v>537</v>
      </c>
      <c r="F5" s="6" t="s">
        <v>538</v>
      </c>
      <c r="G5" s="6" t="s">
        <v>539</v>
      </c>
      <c r="H5" s="6" t="s">
        <v>540</v>
      </c>
      <c r="I5" s="6" t="s">
        <v>541</v>
      </c>
      <c r="J5" s="6" t="s">
        <v>542</v>
      </c>
      <c r="K5" s="6" t="s">
        <v>543</v>
      </c>
      <c r="L5" s="6" t="s">
        <v>544</v>
      </c>
      <c r="M5" s="6" t="s">
        <v>545</v>
      </c>
      <c r="N5" s="6" t="s">
        <v>170</v>
      </c>
      <c r="O5" s="6" t="n">
        <v>17</v>
      </c>
    </row>
    <row r="6" customFormat="false" ht="15" hidden="false" customHeight="false" outlineLevel="0" collapsed="false">
      <c r="A6" s="23" t="n">
        <v>46323</v>
      </c>
      <c r="B6" s="6" t="s">
        <v>546</v>
      </c>
      <c r="C6" s="6" t="s">
        <v>547</v>
      </c>
      <c r="D6" s="6" t="s">
        <v>548</v>
      </c>
      <c r="E6" s="6" t="s">
        <v>549</v>
      </c>
      <c r="F6" s="6" t="s">
        <v>550</v>
      </c>
      <c r="G6" s="6" t="s">
        <v>551</v>
      </c>
      <c r="H6" s="6" t="s">
        <v>552</v>
      </c>
      <c r="I6" s="6" t="s">
        <v>553</v>
      </c>
      <c r="J6" s="6" t="s">
        <v>554</v>
      </c>
      <c r="K6" s="6" t="s">
        <v>555</v>
      </c>
      <c r="L6" s="6" t="s">
        <v>556</v>
      </c>
      <c r="M6" s="6" t="s">
        <v>545</v>
      </c>
      <c r="N6" s="6" t="s">
        <v>174</v>
      </c>
      <c r="O6" s="6" t="n">
        <v>18</v>
      </c>
    </row>
    <row r="7" customFormat="false" ht="15" hidden="false" customHeight="false" outlineLevel="0" collapsed="false">
      <c r="A7" s="23" t="n">
        <v>46324</v>
      </c>
      <c r="B7" s="6" t="s">
        <v>557</v>
      </c>
      <c r="C7" s="6" t="s">
        <v>558</v>
      </c>
      <c r="D7" s="6" t="s">
        <v>559</v>
      </c>
      <c r="E7" s="6" t="s">
        <v>560</v>
      </c>
      <c r="F7" s="6" t="s">
        <v>561</v>
      </c>
      <c r="G7" s="6" t="s">
        <v>562</v>
      </c>
      <c r="H7" s="6" t="s">
        <v>563</v>
      </c>
      <c r="I7" s="6" t="s">
        <v>564</v>
      </c>
      <c r="J7" s="6" t="s">
        <v>565</v>
      </c>
      <c r="K7" s="6" t="s">
        <v>566</v>
      </c>
      <c r="L7" s="6" t="s">
        <v>567</v>
      </c>
      <c r="M7" s="6" t="s">
        <v>568</v>
      </c>
      <c r="N7" s="6" t="s">
        <v>175</v>
      </c>
      <c r="O7" s="6" t="n">
        <v>19</v>
      </c>
    </row>
    <row r="8" customFormat="false" ht="15" hidden="false" customHeight="false" outlineLevel="0" collapsed="false">
      <c r="A8" s="23" t="n">
        <v>46325</v>
      </c>
      <c r="B8" s="6" t="s">
        <v>569</v>
      </c>
      <c r="C8" s="6" t="s">
        <v>570</v>
      </c>
      <c r="D8" s="6" t="s">
        <v>571</v>
      </c>
      <c r="E8" s="6" t="s">
        <v>572</v>
      </c>
      <c r="F8" s="6" t="s">
        <v>573</v>
      </c>
      <c r="G8" s="6" t="s">
        <v>574</v>
      </c>
      <c r="H8" s="6" t="s">
        <v>575</v>
      </c>
      <c r="I8" s="6" t="s">
        <v>576</v>
      </c>
      <c r="J8" s="6" t="s">
        <v>577</v>
      </c>
      <c r="K8" s="6" t="s">
        <v>578</v>
      </c>
      <c r="L8" s="6" t="s">
        <v>579</v>
      </c>
      <c r="M8" s="6" t="s">
        <v>568</v>
      </c>
      <c r="N8" s="6" t="s">
        <v>177</v>
      </c>
      <c r="O8" s="6" t="n">
        <v>20</v>
      </c>
    </row>
    <row r="9" customFormat="false" ht="15" hidden="false" customHeight="false" outlineLevel="0" collapsed="false">
      <c r="A9" s="23" t="n">
        <v>46326</v>
      </c>
      <c r="B9" s="6" t="s">
        <v>580</v>
      </c>
      <c r="C9" s="6" t="s">
        <v>581</v>
      </c>
      <c r="D9" s="6" t="s">
        <v>582</v>
      </c>
      <c r="E9" s="6" t="s">
        <v>583</v>
      </c>
      <c r="F9" s="6" t="s">
        <v>584</v>
      </c>
      <c r="G9" s="6" t="s">
        <v>585</v>
      </c>
      <c r="H9" s="6" t="s">
        <v>586</v>
      </c>
      <c r="I9" s="6" t="s">
        <v>587</v>
      </c>
      <c r="J9" s="6" t="s">
        <v>588</v>
      </c>
      <c r="K9" s="6" t="s">
        <v>589</v>
      </c>
      <c r="L9" s="6" t="s">
        <v>590</v>
      </c>
      <c r="M9" s="6" t="s">
        <v>568</v>
      </c>
      <c r="N9" s="6" t="s">
        <v>178</v>
      </c>
      <c r="O9" s="6" t="n">
        <v>21</v>
      </c>
    </row>
    <row r="10" customFormat="false" ht="15" hidden="false" customHeight="false" outlineLevel="0" collapsed="false">
      <c r="A10" s="23" t="n">
        <v>46327</v>
      </c>
      <c r="B10" s="6" t="s">
        <v>591</v>
      </c>
      <c r="C10" s="6" t="s">
        <v>592</v>
      </c>
      <c r="D10" s="6" t="s">
        <v>593</v>
      </c>
      <c r="E10" s="6" t="s">
        <v>594</v>
      </c>
      <c r="F10" s="6" t="s">
        <v>595</v>
      </c>
      <c r="G10" s="6" t="s">
        <v>596</v>
      </c>
      <c r="H10" s="6" t="s">
        <v>597</v>
      </c>
      <c r="I10" s="6" t="s">
        <v>598</v>
      </c>
      <c r="J10" s="6" t="s">
        <v>599</v>
      </c>
      <c r="K10" s="6" t="s">
        <v>600</v>
      </c>
      <c r="L10" s="6" t="s">
        <v>601</v>
      </c>
      <c r="M10" s="6" t="s">
        <v>602</v>
      </c>
      <c r="N10" s="6" t="s">
        <v>181</v>
      </c>
      <c r="O10" s="6" t="n">
        <v>22</v>
      </c>
    </row>
    <row r="11" customFormat="false" ht="15" hidden="false" customHeight="false" outlineLevel="0" collapsed="false">
      <c r="A11" s="23" t="n">
        <v>46328</v>
      </c>
      <c r="B11" s="6" t="s">
        <v>603</v>
      </c>
      <c r="C11" s="6" t="s">
        <v>604</v>
      </c>
      <c r="D11" s="6" t="s">
        <v>605</v>
      </c>
      <c r="E11" s="6" t="s">
        <v>606</v>
      </c>
      <c r="F11" s="6" t="s">
        <v>607</v>
      </c>
      <c r="G11" s="6" t="s">
        <v>608</v>
      </c>
      <c r="H11" s="6" t="s">
        <v>609</v>
      </c>
      <c r="I11" s="6" t="s">
        <v>598</v>
      </c>
      <c r="J11" s="6" t="s">
        <v>599</v>
      </c>
      <c r="K11" s="6" t="s">
        <v>610</v>
      </c>
      <c r="L11" s="6" t="s">
        <v>611</v>
      </c>
      <c r="M11" s="6" t="s">
        <v>602</v>
      </c>
      <c r="N11" s="6" t="s">
        <v>182</v>
      </c>
      <c r="O11" s="6" t="n">
        <v>23</v>
      </c>
    </row>
    <row r="12" customFormat="false" ht="15" hidden="false" customHeight="false" outlineLevel="0" collapsed="false">
      <c r="A12" s="23" t="n">
        <v>46329</v>
      </c>
      <c r="B12" s="6" t="s">
        <v>612</v>
      </c>
      <c r="C12" s="6" t="s">
        <v>613</v>
      </c>
      <c r="D12" s="6" t="s">
        <v>614</v>
      </c>
      <c r="E12" s="6" t="s">
        <v>615</v>
      </c>
      <c r="F12" s="6" t="s">
        <v>616</v>
      </c>
      <c r="G12" s="6" t="s">
        <v>617</v>
      </c>
      <c r="H12" s="6" t="s">
        <v>618</v>
      </c>
      <c r="I12" s="6" t="s">
        <v>598</v>
      </c>
      <c r="J12" s="6" t="s">
        <v>599</v>
      </c>
      <c r="K12" s="6" t="s">
        <v>619</v>
      </c>
      <c r="L12" s="6" t="s">
        <v>620</v>
      </c>
      <c r="M12" s="6" t="s">
        <v>621</v>
      </c>
      <c r="N12" s="6" t="s">
        <v>184</v>
      </c>
      <c r="O12" s="6" t="n">
        <v>25</v>
      </c>
    </row>
    <row r="13" customFormat="false" ht="15" hidden="false" customHeight="false" outlineLevel="0" collapsed="false">
      <c r="A13" s="23" t="n">
        <v>46330</v>
      </c>
      <c r="B13" s="6" t="s">
        <v>622</v>
      </c>
      <c r="C13" s="6" t="s">
        <v>623</v>
      </c>
      <c r="D13" s="6" t="s">
        <v>624</v>
      </c>
      <c r="E13" s="6" t="s">
        <v>625</v>
      </c>
      <c r="F13" s="6" t="s">
        <v>626</v>
      </c>
      <c r="G13" s="6" t="s">
        <v>627</v>
      </c>
      <c r="H13" s="6" t="s">
        <v>628</v>
      </c>
      <c r="I13" s="6" t="s">
        <v>629</v>
      </c>
      <c r="J13" s="6" t="s">
        <v>630</v>
      </c>
      <c r="K13" s="6" t="s">
        <v>631</v>
      </c>
      <c r="L13" s="6" t="s">
        <v>632</v>
      </c>
      <c r="M13" s="6" t="s">
        <v>621</v>
      </c>
      <c r="N13" s="6" t="s">
        <v>185</v>
      </c>
      <c r="O13" s="6" t="n">
        <v>26</v>
      </c>
    </row>
    <row r="14" customFormat="false" ht="15" hidden="false" customHeight="false" outlineLevel="0" collapsed="false">
      <c r="A14" s="23" t="n">
        <v>46331</v>
      </c>
      <c r="B14" s="6" t="s">
        <v>633</v>
      </c>
      <c r="C14" s="6" t="s">
        <v>634</v>
      </c>
      <c r="D14" s="6" t="s">
        <v>635</v>
      </c>
      <c r="E14" s="6" t="s">
        <v>636</v>
      </c>
      <c r="F14" s="6" t="s">
        <v>637</v>
      </c>
      <c r="G14" s="6" t="s">
        <v>638</v>
      </c>
      <c r="H14" s="6" t="s">
        <v>639</v>
      </c>
      <c r="I14" s="6" t="s">
        <v>640</v>
      </c>
      <c r="J14" s="6" t="s">
        <v>641</v>
      </c>
      <c r="K14" s="6" t="s">
        <v>642</v>
      </c>
      <c r="L14" s="6" t="s">
        <v>643</v>
      </c>
      <c r="M14" s="6" t="s">
        <v>644</v>
      </c>
      <c r="N14" s="6" t="s">
        <v>187</v>
      </c>
      <c r="O14" s="6" t="n">
        <v>27</v>
      </c>
    </row>
    <row r="15" customFormat="false" ht="15" hidden="false" customHeight="false" outlineLevel="0" collapsed="false">
      <c r="A15" s="23" t="n">
        <v>46332</v>
      </c>
      <c r="B15" s="6" t="s">
        <v>645</v>
      </c>
      <c r="C15" s="6" t="s">
        <v>646</v>
      </c>
      <c r="D15" s="6" t="s">
        <v>647</v>
      </c>
      <c r="E15" s="6" t="s">
        <v>648</v>
      </c>
      <c r="F15" s="6" t="s">
        <v>649</v>
      </c>
      <c r="G15" s="6" t="s">
        <v>650</v>
      </c>
      <c r="H15" s="6" t="s">
        <v>651</v>
      </c>
      <c r="I15" s="6" t="s">
        <v>652</v>
      </c>
      <c r="J15" s="6" t="s">
        <v>653</v>
      </c>
      <c r="K15" s="6" t="s">
        <v>654</v>
      </c>
      <c r="L15" s="6" t="s">
        <v>655</v>
      </c>
      <c r="M15" s="6" t="s">
        <v>644</v>
      </c>
      <c r="N15" s="6" t="s">
        <v>188</v>
      </c>
      <c r="O15" s="6" t="n">
        <v>28</v>
      </c>
    </row>
    <row r="16" customFormat="false" ht="15" hidden="false" customHeight="false" outlineLevel="0" collapsed="false">
      <c r="A16" s="23" t="n">
        <v>46333</v>
      </c>
      <c r="B16" s="6" t="s">
        <v>656</v>
      </c>
      <c r="C16" s="6" t="s">
        <v>657</v>
      </c>
      <c r="D16" s="6" t="s">
        <v>658</v>
      </c>
      <c r="E16" s="6" t="s">
        <v>659</v>
      </c>
      <c r="F16" s="6" t="s">
        <v>660</v>
      </c>
      <c r="G16" s="6" t="s">
        <v>661</v>
      </c>
      <c r="H16" s="6" t="s">
        <v>662</v>
      </c>
      <c r="I16" s="6" t="s">
        <v>663</v>
      </c>
      <c r="J16" s="6" t="s">
        <v>664</v>
      </c>
      <c r="K16" s="6" t="s">
        <v>665</v>
      </c>
      <c r="L16" s="6" t="s">
        <v>666</v>
      </c>
      <c r="M16" s="6" t="s">
        <v>667</v>
      </c>
      <c r="N16" s="6" t="s">
        <v>189</v>
      </c>
      <c r="O16" s="6" t="n">
        <v>29</v>
      </c>
    </row>
    <row r="17" customFormat="false" ht="15" hidden="false" customHeight="false" outlineLevel="0" collapsed="false">
      <c r="A17" s="23" t="n">
        <v>46334</v>
      </c>
      <c r="B17" s="6" t="s">
        <v>668</v>
      </c>
      <c r="C17" s="6" t="s">
        <v>669</v>
      </c>
      <c r="D17" s="6" t="s">
        <v>670</v>
      </c>
      <c r="E17" s="6" t="s">
        <v>671</v>
      </c>
      <c r="F17" s="6" t="s">
        <v>672</v>
      </c>
      <c r="G17" s="6" t="s">
        <v>673</v>
      </c>
      <c r="H17" s="6" t="s">
        <v>674</v>
      </c>
      <c r="I17" s="6" t="s">
        <v>675</v>
      </c>
      <c r="J17" s="6" t="s">
        <v>676</v>
      </c>
      <c r="K17" s="6" t="s">
        <v>677</v>
      </c>
      <c r="L17" s="6" t="s">
        <v>678</v>
      </c>
      <c r="M17" s="6" t="s">
        <v>679</v>
      </c>
      <c r="N17" s="6" t="s">
        <v>191</v>
      </c>
      <c r="O17" s="6" t="n">
        <v>30</v>
      </c>
    </row>
    <row r="18" customFormat="false" ht="15" hidden="false" customHeight="false" outlineLevel="0" collapsed="false">
      <c r="A18" s="23" t="n">
        <v>46335</v>
      </c>
      <c r="B18" s="6" t="s">
        <v>680</v>
      </c>
      <c r="C18" s="6" t="s">
        <v>681</v>
      </c>
      <c r="D18" s="6" t="s">
        <v>682</v>
      </c>
      <c r="E18" s="6" t="s">
        <v>683</v>
      </c>
      <c r="F18" s="6" t="s">
        <v>684</v>
      </c>
      <c r="G18" s="6" t="s">
        <v>685</v>
      </c>
      <c r="H18" s="6" t="s">
        <v>686</v>
      </c>
      <c r="I18" s="6" t="s">
        <v>687</v>
      </c>
      <c r="J18" s="6" t="s">
        <v>688</v>
      </c>
      <c r="K18" s="6" t="s">
        <v>689</v>
      </c>
      <c r="L18" s="6" t="s">
        <v>690</v>
      </c>
      <c r="M18" s="6" t="s">
        <v>679</v>
      </c>
      <c r="N18" s="6" t="s">
        <v>192</v>
      </c>
      <c r="O18" s="6" t="n">
        <v>30</v>
      </c>
    </row>
    <row r="19" customFormat="false" ht="15" hidden="false" customHeight="false" outlineLevel="0" collapsed="false">
      <c r="A19" s="23" t="n">
        <v>46336</v>
      </c>
      <c r="B19" s="6" t="s">
        <v>691</v>
      </c>
      <c r="C19" s="6" t="s">
        <v>692</v>
      </c>
      <c r="D19" s="6" t="s">
        <v>693</v>
      </c>
      <c r="E19" s="6" t="s">
        <v>694</v>
      </c>
      <c r="F19" s="6" t="s">
        <v>695</v>
      </c>
      <c r="G19" s="6" t="s">
        <v>696</v>
      </c>
      <c r="H19" s="6" t="s">
        <v>697</v>
      </c>
      <c r="I19" s="6" t="s">
        <v>698</v>
      </c>
      <c r="J19" s="6" t="s">
        <v>699</v>
      </c>
      <c r="K19" s="6" t="s">
        <v>700</v>
      </c>
      <c r="L19" s="6" t="s">
        <v>701</v>
      </c>
      <c r="M19" s="6" t="s">
        <v>702</v>
      </c>
      <c r="N19" s="6" t="s">
        <v>193</v>
      </c>
      <c r="O19" s="6" t="n">
        <v>1</v>
      </c>
    </row>
    <row r="20" customFormat="false" ht="15" hidden="false" customHeight="false" outlineLevel="0" collapsed="false">
      <c r="A20" s="23" t="n">
        <v>46337</v>
      </c>
      <c r="B20" s="6" t="s">
        <v>703</v>
      </c>
      <c r="C20" s="6" t="s">
        <v>704</v>
      </c>
      <c r="D20" s="6" t="s">
        <v>705</v>
      </c>
      <c r="E20" s="6" t="s">
        <v>706</v>
      </c>
      <c r="F20" s="6" t="s">
        <v>707</v>
      </c>
      <c r="G20" s="6" t="s">
        <v>708</v>
      </c>
      <c r="H20" s="6" t="s">
        <v>709</v>
      </c>
      <c r="I20" s="6" t="s">
        <v>710</v>
      </c>
      <c r="J20" s="6" t="s">
        <v>711</v>
      </c>
      <c r="K20" s="6" t="s">
        <v>712</v>
      </c>
      <c r="L20" s="6" t="s">
        <v>713</v>
      </c>
      <c r="M20" s="6" t="s">
        <v>714</v>
      </c>
      <c r="N20" s="6" t="s">
        <v>194</v>
      </c>
      <c r="O20" s="6" t="n">
        <v>2</v>
      </c>
    </row>
    <row r="21" customFormat="false" ht="15" hidden="false" customHeight="false" outlineLevel="0" collapsed="false">
      <c r="A21" s="23" t="n">
        <v>46338</v>
      </c>
      <c r="B21" s="6" t="s">
        <v>715</v>
      </c>
      <c r="C21" s="6" t="s">
        <v>716</v>
      </c>
      <c r="D21" s="6" t="s">
        <v>717</v>
      </c>
      <c r="E21" s="6" t="s">
        <v>718</v>
      </c>
      <c r="F21" s="6" t="s">
        <v>719</v>
      </c>
      <c r="G21" s="6" t="s">
        <v>720</v>
      </c>
      <c r="H21" s="6" t="s">
        <v>721</v>
      </c>
      <c r="I21" s="6" t="s">
        <v>722</v>
      </c>
      <c r="J21" s="6" t="s">
        <v>723</v>
      </c>
      <c r="K21" s="6" t="s">
        <v>724</v>
      </c>
      <c r="L21" s="6" t="s">
        <v>725</v>
      </c>
      <c r="M21" s="6" t="s">
        <v>726</v>
      </c>
      <c r="N21" s="6" t="s">
        <v>194</v>
      </c>
      <c r="O21" s="6" t="n">
        <v>3</v>
      </c>
    </row>
    <row r="22" customFormat="false" ht="15" hidden="false" customHeight="false" outlineLevel="0" collapsed="false">
      <c r="A22" s="23" t="n">
        <v>46339</v>
      </c>
      <c r="B22" s="6" t="s">
        <v>727</v>
      </c>
      <c r="C22" s="6" t="s">
        <v>728</v>
      </c>
      <c r="D22" s="6" t="s">
        <v>729</v>
      </c>
      <c r="E22" s="6" t="s">
        <v>730</v>
      </c>
      <c r="F22" s="6" t="s">
        <v>731</v>
      </c>
      <c r="G22" s="6" t="s">
        <v>732</v>
      </c>
      <c r="H22" s="6" t="s">
        <v>733</v>
      </c>
      <c r="I22" s="6" t="s">
        <v>734</v>
      </c>
      <c r="J22" s="6" t="s">
        <v>695</v>
      </c>
      <c r="K22" s="6" t="s">
        <v>735</v>
      </c>
      <c r="L22" s="6" t="s">
        <v>736</v>
      </c>
      <c r="M22" s="6" t="s">
        <v>726</v>
      </c>
      <c r="N22" s="6" t="s">
        <v>196</v>
      </c>
      <c r="O22" s="6" t="n">
        <v>4</v>
      </c>
    </row>
    <row r="23" customFormat="false" ht="15" hidden="false" customHeight="false" outlineLevel="0" collapsed="false">
      <c r="A23" s="23" t="n">
        <v>46340</v>
      </c>
      <c r="B23" s="6" t="s">
        <v>737</v>
      </c>
      <c r="C23" s="6" t="s">
        <v>738</v>
      </c>
      <c r="D23" s="6" t="s">
        <v>739</v>
      </c>
      <c r="E23" s="6" t="s">
        <v>740</v>
      </c>
      <c r="F23" s="6" t="s">
        <v>741</v>
      </c>
      <c r="G23" s="6" t="s">
        <v>742</v>
      </c>
      <c r="H23" s="6" t="s">
        <v>743</v>
      </c>
      <c r="I23" s="6" t="s">
        <v>744</v>
      </c>
      <c r="J23" s="6" t="s">
        <v>745</v>
      </c>
      <c r="K23" s="6" t="s">
        <v>746</v>
      </c>
      <c r="L23" s="6" t="s">
        <v>747</v>
      </c>
      <c r="M23" s="6" t="s">
        <v>748</v>
      </c>
      <c r="N23" s="6" t="s">
        <v>197</v>
      </c>
      <c r="O23" s="6" t="n">
        <v>5</v>
      </c>
    </row>
    <row r="24" customFormat="false" ht="15" hidden="false" customHeight="false" outlineLevel="0" collapsed="false">
      <c r="A24" s="23" t="n">
        <v>46341</v>
      </c>
      <c r="B24" s="6" t="s">
        <v>749</v>
      </c>
      <c r="C24" s="6" t="s">
        <v>750</v>
      </c>
      <c r="D24" s="6" t="s">
        <v>707</v>
      </c>
      <c r="E24" s="6" t="s">
        <v>751</v>
      </c>
      <c r="F24" s="6" t="s">
        <v>752</v>
      </c>
      <c r="G24" s="6" t="s">
        <v>753</v>
      </c>
      <c r="H24" s="6" t="s">
        <v>754</v>
      </c>
      <c r="I24" s="6" t="s">
        <v>755</v>
      </c>
      <c r="J24" s="6" t="s">
        <v>756</v>
      </c>
      <c r="K24" s="6" t="s">
        <v>757</v>
      </c>
      <c r="L24" s="6" t="s">
        <v>758</v>
      </c>
      <c r="M24" s="6" t="s">
        <v>759</v>
      </c>
      <c r="N24" s="6" t="s">
        <v>199</v>
      </c>
      <c r="O24" s="6" t="n">
        <v>6</v>
      </c>
    </row>
    <row r="25" customFormat="false" ht="15" hidden="false" customHeight="false" outlineLevel="0" collapsed="false">
      <c r="A25" s="23" t="n">
        <v>46342</v>
      </c>
      <c r="B25" s="6" t="s">
        <v>760</v>
      </c>
      <c r="C25" s="6" t="s">
        <v>761</v>
      </c>
      <c r="D25" s="6" t="s">
        <v>762</v>
      </c>
      <c r="E25" s="6" t="s">
        <v>763</v>
      </c>
      <c r="F25" s="6" t="s">
        <v>764</v>
      </c>
      <c r="G25" s="6" t="s">
        <v>765</v>
      </c>
      <c r="H25" s="6" t="s">
        <v>766</v>
      </c>
      <c r="I25" s="6" t="s">
        <v>767</v>
      </c>
      <c r="J25" s="6" t="s">
        <v>672</v>
      </c>
      <c r="K25" s="6" t="s">
        <v>768</v>
      </c>
      <c r="L25" s="6" t="s">
        <v>758</v>
      </c>
      <c r="M25" s="6" t="s">
        <v>769</v>
      </c>
      <c r="N25" s="6" t="s">
        <v>200</v>
      </c>
      <c r="O25" s="6" t="n">
        <v>7</v>
      </c>
    </row>
    <row r="26" customFormat="false" ht="15" hidden="false" customHeight="false" outlineLevel="0" collapsed="false">
      <c r="A26" s="23" t="n">
        <v>46343</v>
      </c>
      <c r="B26" s="6" t="s">
        <v>770</v>
      </c>
      <c r="C26" s="6" t="s">
        <v>771</v>
      </c>
      <c r="D26" s="6" t="s">
        <v>772</v>
      </c>
      <c r="E26" s="6" t="s">
        <v>773</v>
      </c>
      <c r="F26" s="6" t="s">
        <v>699</v>
      </c>
      <c r="G26" s="6" t="s">
        <v>774</v>
      </c>
      <c r="H26" s="6" t="s">
        <v>775</v>
      </c>
      <c r="I26" s="6" t="s">
        <v>776</v>
      </c>
      <c r="J26" s="6" t="s">
        <v>777</v>
      </c>
      <c r="K26" s="6" t="s">
        <v>778</v>
      </c>
      <c r="L26" s="6" t="s">
        <v>779</v>
      </c>
      <c r="M26" s="6" t="s">
        <v>780</v>
      </c>
      <c r="N26" s="6" t="s">
        <v>201</v>
      </c>
      <c r="O26" s="6" t="n">
        <v>8</v>
      </c>
    </row>
    <row r="27" customFormat="false" ht="15" hidden="false" customHeight="false" outlineLevel="0" collapsed="false">
      <c r="A27" s="23" t="n">
        <v>46344</v>
      </c>
      <c r="B27" s="6" t="s">
        <v>781</v>
      </c>
      <c r="C27" s="6" t="s">
        <v>782</v>
      </c>
      <c r="D27" s="6" t="s">
        <v>783</v>
      </c>
      <c r="E27" s="6" t="s">
        <v>784</v>
      </c>
      <c r="F27" s="6" t="s">
        <v>785</v>
      </c>
      <c r="G27" s="6" t="s">
        <v>786</v>
      </c>
      <c r="H27" s="6" t="s">
        <v>787</v>
      </c>
      <c r="I27" s="6" t="s">
        <v>776</v>
      </c>
      <c r="J27" s="6" t="s">
        <v>777</v>
      </c>
      <c r="K27" s="6" t="s">
        <v>788</v>
      </c>
      <c r="L27" s="6" t="s">
        <v>789</v>
      </c>
      <c r="M27" s="6" t="s">
        <v>790</v>
      </c>
      <c r="N27" s="6" t="s">
        <v>203</v>
      </c>
      <c r="O27" s="6" t="n">
        <v>9</v>
      </c>
    </row>
    <row r="28" customFormat="false" ht="15" hidden="false" customHeight="false" outlineLevel="0" collapsed="false">
      <c r="A28" s="23" t="n">
        <v>46345</v>
      </c>
      <c r="B28" s="6" t="s">
        <v>791</v>
      </c>
      <c r="C28" s="6" t="s">
        <v>792</v>
      </c>
      <c r="D28" s="6" t="s">
        <v>793</v>
      </c>
      <c r="E28" s="6" t="s">
        <v>794</v>
      </c>
      <c r="F28" s="6" t="s">
        <v>795</v>
      </c>
      <c r="G28" s="6" t="s">
        <v>796</v>
      </c>
      <c r="H28" s="6" t="s">
        <v>797</v>
      </c>
      <c r="I28" s="6" t="s">
        <v>798</v>
      </c>
      <c r="J28" s="6" t="s">
        <v>799</v>
      </c>
      <c r="K28" s="6" t="s">
        <v>800</v>
      </c>
      <c r="L28" s="6" t="s">
        <v>801</v>
      </c>
      <c r="M28" s="6" t="s">
        <v>802</v>
      </c>
      <c r="N28" s="6" t="s">
        <v>204</v>
      </c>
      <c r="O28" s="6" t="n">
        <v>10</v>
      </c>
    </row>
    <row r="29" customFormat="false" ht="15" hidden="false" customHeight="false" outlineLevel="0" collapsed="false">
      <c r="A29" s="23" t="n">
        <v>46346</v>
      </c>
      <c r="B29" s="6" t="s">
        <v>803</v>
      </c>
      <c r="C29" s="6" t="s">
        <v>804</v>
      </c>
      <c r="D29" s="6" t="s">
        <v>805</v>
      </c>
      <c r="E29" s="6" t="s">
        <v>806</v>
      </c>
      <c r="F29" s="6" t="s">
        <v>688</v>
      </c>
      <c r="G29" s="6" t="s">
        <v>807</v>
      </c>
      <c r="H29" s="6" t="s">
        <v>808</v>
      </c>
      <c r="I29" s="6" t="s">
        <v>809</v>
      </c>
      <c r="J29" s="6" t="s">
        <v>810</v>
      </c>
      <c r="K29" s="6" t="s">
        <v>811</v>
      </c>
      <c r="L29" s="6" t="s">
        <v>812</v>
      </c>
      <c r="M29" s="6" t="s">
        <v>802</v>
      </c>
      <c r="N29" s="6" t="s">
        <v>206</v>
      </c>
      <c r="O29" s="6" t="n">
        <v>11</v>
      </c>
    </row>
    <row r="30" customFormat="false" ht="15" hidden="false" customHeight="false" outlineLevel="0" collapsed="false">
      <c r="A30" s="23" t="n">
        <v>46347</v>
      </c>
      <c r="B30" s="6" t="s">
        <v>813</v>
      </c>
      <c r="C30" s="6" t="s">
        <v>814</v>
      </c>
      <c r="D30" s="6" t="s">
        <v>815</v>
      </c>
      <c r="E30" s="6" t="s">
        <v>816</v>
      </c>
      <c r="F30" s="6" t="s">
        <v>817</v>
      </c>
      <c r="G30" s="6" t="s">
        <v>818</v>
      </c>
      <c r="H30" s="6" t="s">
        <v>819</v>
      </c>
      <c r="I30" s="6" t="s">
        <v>820</v>
      </c>
      <c r="J30" s="6" t="s">
        <v>821</v>
      </c>
      <c r="K30" s="6" t="s">
        <v>822</v>
      </c>
      <c r="L30" s="6" t="s">
        <v>812</v>
      </c>
      <c r="M30" s="6" t="s">
        <v>823</v>
      </c>
      <c r="N30" s="6" t="s">
        <v>207</v>
      </c>
      <c r="O30" s="6" t="n">
        <v>12</v>
      </c>
    </row>
    <row r="31" customFormat="false" ht="15" hidden="false" customHeight="false" outlineLevel="0" collapsed="false">
      <c r="A31" s="23" t="n">
        <v>46348</v>
      </c>
      <c r="B31" s="6" t="s">
        <v>824</v>
      </c>
      <c r="C31" s="6" t="s">
        <v>825</v>
      </c>
      <c r="D31" s="6" t="s">
        <v>826</v>
      </c>
      <c r="E31" s="6" t="s">
        <v>827</v>
      </c>
      <c r="F31" s="6" t="s">
        <v>772</v>
      </c>
      <c r="G31" s="6" t="s">
        <v>828</v>
      </c>
      <c r="H31" s="6" t="s">
        <v>829</v>
      </c>
      <c r="I31" s="6" t="s">
        <v>830</v>
      </c>
      <c r="J31" s="6" t="s">
        <v>831</v>
      </c>
      <c r="K31" s="6" t="s">
        <v>832</v>
      </c>
      <c r="L31" s="6" t="s">
        <v>833</v>
      </c>
      <c r="M31" s="6" t="s">
        <v>834</v>
      </c>
      <c r="N31" s="6" t="s">
        <v>208</v>
      </c>
      <c r="O31" s="6" t="n">
        <v>13</v>
      </c>
    </row>
    <row r="32" customFormat="false" ht="15" hidden="false" customHeight="false" outlineLevel="0" collapsed="false">
      <c r="A32" s="23" t="n">
        <v>46349</v>
      </c>
      <c r="B32" s="6" t="s">
        <v>835</v>
      </c>
      <c r="C32" s="6" t="s">
        <v>836</v>
      </c>
      <c r="D32" s="6" t="s">
        <v>837</v>
      </c>
      <c r="E32" s="6" t="s">
        <v>838</v>
      </c>
      <c r="F32" s="6" t="s">
        <v>839</v>
      </c>
      <c r="G32" s="6" t="s">
        <v>840</v>
      </c>
      <c r="H32" s="6" t="s">
        <v>841</v>
      </c>
      <c r="I32" s="6" t="s">
        <v>842</v>
      </c>
      <c r="J32" s="6" t="s">
        <v>843</v>
      </c>
      <c r="K32" s="6" t="s">
        <v>844</v>
      </c>
      <c r="L32" s="6" t="s">
        <v>845</v>
      </c>
      <c r="M32" s="6" t="s">
        <v>846</v>
      </c>
      <c r="N32" s="6" t="s">
        <v>170</v>
      </c>
      <c r="O32" s="6" t="n">
        <v>14</v>
      </c>
    </row>
    <row r="33" customFormat="false" ht="15" hidden="false" customHeight="false" outlineLevel="0" collapsed="false">
      <c r="A33" s="23" t="n">
        <v>46350</v>
      </c>
      <c r="B33" s="6" t="s">
        <v>847</v>
      </c>
      <c r="C33" s="6" t="s">
        <v>848</v>
      </c>
      <c r="D33" s="6" t="s">
        <v>849</v>
      </c>
      <c r="E33" s="6" t="s">
        <v>850</v>
      </c>
      <c r="F33" s="6" t="s">
        <v>851</v>
      </c>
      <c r="G33" s="6" t="s">
        <v>852</v>
      </c>
      <c r="H33" s="6" t="s">
        <v>853</v>
      </c>
      <c r="I33" s="6" t="s">
        <v>854</v>
      </c>
      <c r="J33" s="6" t="s">
        <v>855</v>
      </c>
      <c r="K33" s="6" t="s">
        <v>856</v>
      </c>
      <c r="L33" s="6" t="s">
        <v>845</v>
      </c>
      <c r="M33" s="6" t="s">
        <v>857</v>
      </c>
      <c r="N33" s="6" t="s">
        <v>174</v>
      </c>
      <c r="O33" s="6" t="n">
        <v>15</v>
      </c>
    </row>
    <row r="34" customFormat="false" ht="15" hidden="false" customHeight="false" outlineLevel="0" collapsed="false">
      <c r="A34" s="23" t="n">
        <v>46351</v>
      </c>
      <c r="B34" s="6" t="s">
        <v>858</v>
      </c>
      <c r="C34" s="6" t="s">
        <v>859</v>
      </c>
      <c r="D34" s="6" t="s">
        <v>860</v>
      </c>
      <c r="E34" s="6" t="s">
        <v>861</v>
      </c>
      <c r="F34" s="6" t="s">
        <v>862</v>
      </c>
      <c r="G34" s="6" t="s">
        <v>863</v>
      </c>
      <c r="H34" s="6" t="s">
        <v>864</v>
      </c>
      <c r="I34" s="6" t="s">
        <v>865</v>
      </c>
      <c r="J34" s="6" t="s">
        <v>866</v>
      </c>
      <c r="K34" s="6" t="s">
        <v>867</v>
      </c>
      <c r="L34" s="6" t="s">
        <v>868</v>
      </c>
      <c r="M34" s="6" t="s">
        <v>869</v>
      </c>
      <c r="N34" s="6" t="s">
        <v>209</v>
      </c>
      <c r="O34" s="6" t="n">
        <v>16</v>
      </c>
    </row>
    <row r="35" customFormat="false" ht="15" hidden="false" customHeight="false" outlineLevel="0" collapsed="false">
      <c r="A35" s="23" t="n">
        <v>46352</v>
      </c>
      <c r="B35" s="6" t="s">
        <v>870</v>
      </c>
      <c r="C35" s="6" t="s">
        <v>871</v>
      </c>
      <c r="D35" s="6" t="s">
        <v>872</v>
      </c>
      <c r="E35" s="6" t="s">
        <v>873</v>
      </c>
      <c r="F35" s="6" t="s">
        <v>874</v>
      </c>
      <c r="G35" s="6" t="s">
        <v>875</v>
      </c>
      <c r="H35" s="6" t="s">
        <v>876</v>
      </c>
      <c r="I35" s="6" t="s">
        <v>877</v>
      </c>
      <c r="J35" s="6" t="s">
        <v>573</v>
      </c>
      <c r="K35" s="6" t="s">
        <v>878</v>
      </c>
      <c r="L35" s="6" t="s">
        <v>879</v>
      </c>
      <c r="M35" s="6" t="s">
        <v>880</v>
      </c>
      <c r="N35" s="6" t="s">
        <v>175</v>
      </c>
      <c r="O35" s="6" t="n">
        <v>17</v>
      </c>
    </row>
    <row r="36" customFormat="false" ht="15" hidden="false" customHeight="false" outlineLevel="0" collapsed="false">
      <c r="A36" s="23" t="n">
        <v>46353</v>
      </c>
      <c r="B36" s="6" t="s">
        <v>881</v>
      </c>
      <c r="C36" s="6" t="s">
        <v>882</v>
      </c>
      <c r="D36" s="6" t="s">
        <v>883</v>
      </c>
      <c r="E36" s="6" t="s">
        <v>884</v>
      </c>
      <c r="F36" s="6" t="s">
        <v>664</v>
      </c>
      <c r="G36" s="6" t="s">
        <v>885</v>
      </c>
      <c r="H36" s="6" t="s">
        <v>886</v>
      </c>
      <c r="I36" s="6" t="s">
        <v>887</v>
      </c>
      <c r="J36" s="6" t="s">
        <v>561</v>
      </c>
      <c r="K36" s="6" t="s">
        <v>888</v>
      </c>
      <c r="L36" s="6" t="s">
        <v>879</v>
      </c>
      <c r="M36" s="6" t="s">
        <v>889</v>
      </c>
      <c r="N36" s="6" t="s">
        <v>177</v>
      </c>
      <c r="O36" s="6" t="n">
        <v>19</v>
      </c>
    </row>
    <row r="37" customFormat="false" ht="15" hidden="false" customHeight="false" outlineLevel="0" collapsed="false">
      <c r="A37" s="23" t="n">
        <v>46354</v>
      </c>
      <c r="B37" s="6" t="s">
        <v>890</v>
      </c>
      <c r="C37" s="6" t="s">
        <v>891</v>
      </c>
      <c r="D37" s="6" t="s">
        <v>892</v>
      </c>
      <c r="E37" s="6" t="s">
        <v>893</v>
      </c>
      <c r="F37" s="6" t="s">
        <v>894</v>
      </c>
      <c r="G37" s="6" t="s">
        <v>895</v>
      </c>
      <c r="H37" s="6" t="s">
        <v>896</v>
      </c>
      <c r="I37" s="6" t="s">
        <v>897</v>
      </c>
      <c r="J37" s="6" t="s">
        <v>898</v>
      </c>
      <c r="K37" s="6" t="s">
        <v>899</v>
      </c>
      <c r="L37" s="6" t="s">
        <v>900</v>
      </c>
      <c r="M37" s="6" t="s">
        <v>901</v>
      </c>
      <c r="N37" s="6" t="s">
        <v>178</v>
      </c>
      <c r="O37" s="6" t="n">
        <v>20</v>
      </c>
    </row>
    <row r="38" customFormat="false" ht="15" hidden="false" customHeight="false" outlineLevel="0" collapsed="false">
      <c r="A38" s="23" t="n">
        <v>46355</v>
      </c>
      <c r="B38" s="6" t="s">
        <v>902</v>
      </c>
      <c r="C38" s="6" t="s">
        <v>903</v>
      </c>
      <c r="D38" s="6" t="s">
        <v>904</v>
      </c>
      <c r="E38" s="6" t="s">
        <v>905</v>
      </c>
      <c r="F38" s="6" t="s">
        <v>906</v>
      </c>
      <c r="G38" s="6" t="s">
        <v>907</v>
      </c>
      <c r="H38" s="6" t="s">
        <v>908</v>
      </c>
      <c r="I38" s="6" t="s">
        <v>909</v>
      </c>
      <c r="J38" s="6" t="s">
        <v>550</v>
      </c>
      <c r="K38" s="6" t="s">
        <v>910</v>
      </c>
      <c r="L38" s="6" t="s">
        <v>900</v>
      </c>
      <c r="M38" s="6" t="s">
        <v>911</v>
      </c>
      <c r="N38" s="6" t="s">
        <v>182</v>
      </c>
      <c r="O38" s="6" t="n">
        <v>21</v>
      </c>
    </row>
    <row r="39" customFormat="false" ht="15" hidden="false" customHeight="false" outlineLevel="0" collapsed="false">
      <c r="A39" s="23" t="n">
        <v>46356</v>
      </c>
      <c r="B39" s="6" t="s">
        <v>912</v>
      </c>
      <c r="C39" s="6" t="s">
        <v>913</v>
      </c>
      <c r="D39" s="6" t="s">
        <v>914</v>
      </c>
      <c r="E39" s="6" t="s">
        <v>915</v>
      </c>
      <c r="F39" s="6" t="s">
        <v>916</v>
      </c>
      <c r="G39" s="6" t="s">
        <v>917</v>
      </c>
      <c r="H39" s="6" t="s">
        <v>918</v>
      </c>
      <c r="I39" s="6" t="s">
        <v>909</v>
      </c>
      <c r="J39" s="6" t="s">
        <v>550</v>
      </c>
      <c r="K39" s="6" t="s">
        <v>919</v>
      </c>
      <c r="L39" s="6" t="s">
        <v>920</v>
      </c>
      <c r="M39" s="6" t="s">
        <v>921</v>
      </c>
      <c r="N39" s="6" t="s">
        <v>184</v>
      </c>
      <c r="O39" s="6" t="n">
        <v>22</v>
      </c>
    </row>
    <row r="40" customFormat="false" ht="15" hidden="false" customHeight="false" outlineLevel="0" collapsed="false">
      <c r="A40" s="23" t="n">
        <v>46357</v>
      </c>
      <c r="B40" s="6" t="s">
        <v>922</v>
      </c>
      <c r="C40" s="6" t="s">
        <v>923</v>
      </c>
      <c r="D40" s="6" t="s">
        <v>924</v>
      </c>
      <c r="E40" s="6" t="s">
        <v>925</v>
      </c>
      <c r="F40" s="6" t="s">
        <v>926</v>
      </c>
      <c r="G40" s="6" t="s">
        <v>927</v>
      </c>
      <c r="H40" s="6" t="s">
        <v>928</v>
      </c>
      <c r="I40" s="6" t="s">
        <v>909</v>
      </c>
      <c r="J40" s="6" t="s">
        <v>550</v>
      </c>
      <c r="K40" s="6" t="s">
        <v>929</v>
      </c>
      <c r="L40" s="6" t="s">
        <v>920</v>
      </c>
      <c r="M40" s="6" t="s">
        <v>930</v>
      </c>
      <c r="N40" s="6" t="s">
        <v>185</v>
      </c>
      <c r="O40" s="6" t="n">
        <v>23</v>
      </c>
    </row>
    <row r="41" customFormat="false" ht="15" hidden="false" customHeight="false" outlineLevel="0" collapsed="false">
      <c r="A41" s="23" t="n">
        <v>46358</v>
      </c>
      <c r="B41" s="6" t="s">
        <v>931</v>
      </c>
      <c r="C41" s="6" t="s">
        <v>932</v>
      </c>
      <c r="D41" s="6" t="s">
        <v>933</v>
      </c>
      <c r="E41" s="6" t="s">
        <v>760</v>
      </c>
      <c r="F41" s="6" t="s">
        <v>934</v>
      </c>
      <c r="G41" s="6" t="s">
        <v>935</v>
      </c>
      <c r="H41" s="6" t="s">
        <v>936</v>
      </c>
      <c r="I41" s="6" t="s">
        <v>937</v>
      </c>
      <c r="J41" s="6" t="s">
        <v>938</v>
      </c>
      <c r="K41" s="6" t="s">
        <v>939</v>
      </c>
      <c r="L41" s="6" t="s">
        <v>920</v>
      </c>
      <c r="M41" s="6" t="s">
        <v>940</v>
      </c>
      <c r="N41" s="6" t="s">
        <v>187</v>
      </c>
      <c r="O41" s="6" t="n">
        <v>24</v>
      </c>
    </row>
    <row r="42" customFormat="false" ht="15" hidden="false" customHeight="false" outlineLevel="0" collapsed="false">
      <c r="A42" s="23" t="n">
        <v>46359</v>
      </c>
      <c r="B42" s="6" t="s">
        <v>941</v>
      </c>
      <c r="C42" s="6" t="s">
        <v>942</v>
      </c>
      <c r="D42" s="6" t="s">
        <v>943</v>
      </c>
      <c r="E42" s="6" t="s">
        <v>944</v>
      </c>
      <c r="F42" s="6" t="s">
        <v>641</v>
      </c>
      <c r="G42" s="6" t="s">
        <v>945</v>
      </c>
      <c r="H42" s="6" t="s">
        <v>946</v>
      </c>
      <c r="I42" s="6" t="s">
        <v>947</v>
      </c>
      <c r="J42" s="6" t="s">
        <v>948</v>
      </c>
      <c r="K42" s="6" t="s">
        <v>949</v>
      </c>
      <c r="L42" s="6" t="s">
        <v>950</v>
      </c>
      <c r="M42" s="6" t="s">
        <v>951</v>
      </c>
      <c r="N42" s="6" t="s">
        <v>188</v>
      </c>
      <c r="O42" s="6" t="n">
        <v>25</v>
      </c>
    </row>
    <row r="43" customFormat="false" ht="15" hidden="false" customHeight="false" outlineLevel="0" collapsed="false">
      <c r="A43" s="23" t="n">
        <v>46360</v>
      </c>
      <c r="B43" s="6" t="s">
        <v>952</v>
      </c>
      <c r="C43" s="6" t="s">
        <v>953</v>
      </c>
      <c r="D43" s="6" t="s">
        <v>954</v>
      </c>
      <c r="E43" s="6" t="s">
        <v>955</v>
      </c>
      <c r="F43" s="6" t="s">
        <v>956</v>
      </c>
      <c r="G43" s="6" t="s">
        <v>957</v>
      </c>
      <c r="H43" s="6" t="s">
        <v>958</v>
      </c>
      <c r="I43" s="6" t="s">
        <v>959</v>
      </c>
      <c r="J43" s="6" t="s">
        <v>538</v>
      </c>
      <c r="K43" s="6" t="s">
        <v>960</v>
      </c>
      <c r="L43" s="6" t="s">
        <v>950</v>
      </c>
      <c r="M43" s="6" t="s">
        <v>961</v>
      </c>
      <c r="N43" s="6" t="s">
        <v>189</v>
      </c>
      <c r="O43" s="6" t="n">
        <v>26</v>
      </c>
    </row>
    <row r="44" customFormat="false" ht="15" hidden="false" customHeight="false" outlineLevel="0" collapsed="false">
      <c r="A44" s="23" t="n">
        <v>46361</v>
      </c>
      <c r="B44" s="6" t="s">
        <v>962</v>
      </c>
      <c r="C44" s="6" t="s">
        <v>963</v>
      </c>
      <c r="D44" s="6" t="s">
        <v>964</v>
      </c>
      <c r="E44" s="6" t="s">
        <v>965</v>
      </c>
      <c r="F44" s="6" t="s">
        <v>630</v>
      </c>
      <c r="G44" s="6" t="s">
        <v>966</v>
      </c>
      <c r="H44" s="6" t="s">
        <v>958</v>
      </c>
      <c r="I44" s="6" t="s">
        <v>967</v>
      </c>
      <c r="J44" s="6" t="s">
        <v>968</v>
      </c>
      <c r="K44" s="6" t="s">
        <v>969</v>
      </c>
      <c r="L44" s="6" t="s">
        <v>950</v>
      </c>
      <c r="M44" s="6" t="s">
        <v>970</v>
      </c>
      <c r="N44" s="6" t="s">
        <v>191</v>
      </c>
      <c r="O44" s="6" t="n">
        <v>27</v>
      </c>
    </row>
    <row r="45" customFormat="false" ht="15" hidden="false" customHeight="false" outlineLevel="0" collapsed="false">
      <c r="A45" s="23" t="n">
        <v>46362</v>
      </c>
      <c r="B45" s="6" t="s">
        <v>971</v>
      </c>
      <c r="C45" s="6" t="s">
        <v>972</v>
      </c>
      <c r="D45" s="6" t="s">
        <v>973</v>
      </c>
      <c r="E45" s="6" t="s">
        <v>974</v>
      </c>
      <c r="F45" s="6" t="s">
        <v>975</v>
      </c>
      <c r="G45" s="6" t="s">
        <v>976</v>
      </c>
      <c r="H45" s="6" t="s">
        <v>977</v>
      </c>
      <c r="I45" s="6" t="s">
        <v>978</v>
      </c>
      <c r="J45" s="6" t="s">
        <v>979</v>
      </c>
      <c r="K45" s="6" t="s">
        <v>980</v>
      </c>
      <c r="L45" s="6" t="s">
        <v>981</v>
      </c>
      <c r="M45" s="6" t="s">
        <v>982</v>
      </c>
      <c r="N45" s="6" t="s">
        <v>191</v>
      </c>
      <c r="O45" s="6" t="n">
        <v>28</v>
      </c>
    </row>
    <row r="46" customFormat="false" ht="15" hidden="false" customHeight="false" outlineLevel="0" collapsed="false">
      <c r="A46" s="23" t="n">
        <v>46363</v>
      </c>
      <c r="B46" s="6" t="s">
        <v>983</v>
      </c>
      <c r="C46" s="6" t="s">
        <v>984</v>
      </c>
      <c r="D46" s="6" t="s">
        <v>985</v>
      </c>
      <c r="E46" s="6" t="s">
        <v>986</v>
      </c>
      <c r="F46" s="6" t="s">
        <v>588</v>
      </c>
      <c r="G46" s="6" t="s">
        <v>987</v>
      </c>
      <c r="H46" s="6" t="s">
        <v>988</v>
      </c>
      <c r="I46" s="6" t="s">
        <v>989</v>
      </c>
      <c r="J46" s="6" t="s">
        <v>990</v>
      </c>
      <c r="K46" s="6" t="s">
        <v>991</v>
      </c>
      <c r="L46" s="6" t="s">
        <v>981</v>
      </c>
      <c r="M46" s="6" t="s">
        <v>992</v>
      </c>
      <c r="N46" s="6" t="s">
        <v>192</v>
      </c>
      <c r="O46" s="6" t="n">
        <v>29</v>
      </c>
    </row>
    <row r="47" customFormat="false" ht="15" hidden="false" customHeight="false" outlineLevel="0" collapsed="false">
      <c r="A47" s="23" t="n">
        <v>46364</v>
      </c>
      <c r="B47" s="6" t="s">
        <v>993</v>
      </c>
      <c r="C47" s="6" t="s">
        <v>994</v>
      </c>
      <c r="D47" s="6" t="s">
        <v>995</v>
      </c>
      <c r="E47" s="6" t="s">
        <v>996</v>
      </c>
      <c r="F47" s="6" t="s">
        <v>997</v>
      </c>
      <c r="G47" s="6" t="s">
        <v>998</v>
      </c>
      <c r="H47" s="6" t="s">
        <v>988</v>
      </c>
      <c r="I47" s="6" t="s">
        <v>999</v>
      </c>
      <c r="J47" s="6" t="s">
        <v>1000</v>
      </c>
      <c r="K47" s="6" t="s">
        <v>1001</v>
      </c>
      <c r="L47" s="6" t="s">
        <v>981</v>
      </c>
      <c r="M47" s="6" t="s">
        <v>1002</v>
      </c>
      <c r="N47" s="6" t="s">
        <v>193</v>
      </c>
      <c r="O47" s="6" t="n">
        <v>30</v>
      </c>
    </row>
    <row r="48" customFormat="false" ht="15" hidden="false" customHeight="false" outlineLevel="0" collapsed="false">
      <c r="A48" s="23" t="n">
        <v>46365</v>
      </c>
      <c r="B48" s="6" t="s">
        <v>1003</v>
      </c>
      <c r="C48" s="6" t="s">
        <v>1004</v>
      </c>
      <c r="D48" s="6" t="s">
        <v>1005</v>
      </c>
      <c r="E48" s="6" t="s">
        <v>1006</v>
      </c>
      <c r="F48" s="6" t="s">
        <v>1007</v>
      </c>
      <c r="G48" s="6" t="s">
        <v>1008</v>
      </c>
      <c r="H48" s="6" t="s">
        <v>988</v>
      </c>
      <c r="I48" s="6" t="s">
        <v>1009</v>
      </c>
      <c r="J48" s="6" t="s">
        <v>1010</v>
      </c>
      <c r="K48" s="6" t="s">
        <v>1011</v>
      </c>
      <c r="L48" s="6" t="s">
        <v>981</v>
      </c>
      <c r="M48" s="6" t="s">
        <v>1012</v>
      </c>
      <c r="N48" s="6" t="s">
        <v>194</v>
      </c>
      <c r="O48" s="6" t="n">
        <v>1</v>
      </c>
    </row>
    <row r="49" customFormat="false" ht="15" hidden="false" customHeight="false" outlineLevel="0" collapsed="false">
      <c r="A49" s="23" t="n">
        <v>46366</v>
      </c>
      <c r="B49" s="6" t="s">
        <v>1013</v>
      </c>
      <c r="C49" s="6" t="s">
        <v>1014</v>
      </c>
      <c r="D49" s="6" t="s">
        <v>1015</v>
      </c>
      <c r="E49" s="6" t="s">
        <v>1016</v>
      </c>
      <c r="F49" s="6" t="s">
        <v>1017</v>
      </c>
      <c r="G49" s="6" t="s">
        <v>1018</v>
      </c>
      <c r="H49" s="6" t="s">
        <v>988</v>
      </c>
      <c r="I49" s="6" t="s">
        <v>1019</v>
      </c>
      <c r="J49" s="6" t="s">
        <v>1020</v>
      </c>
      <c r="K49" s="6" t="s">
        <v>1021</v>
      </c>
      <c r="L49" s="6" t="s">
        <v>981</v>
      </c>
      <c r="M49" s="6" t="s">
        <v>1022</v>
      </c>
      <c r="N49" s="6" t="s">
        <v>196</v>
      </c>
      <c r="O49" s="6" t="n">
        <v>2</v>
      </c>
    </row>
    <row r="50" customFormat="false" ht="15" hidden="false" customHeight="false" outlineLevel="0" collapsed="false">
      <c r="A50" s="23" t="n">
        <v>46367</v>
      </c>
      <c r="B50" s="6" t="s">
        <v>1023</v>
      </c>
      <c r="C50" s="6" t="s">
        <v>1024</v>
      </c>
      <c r="D50" s="6" t="s">
        <v>1025</v>
      </c>
      <c r="E50" s="6" t="s">
        <v>1026</v>
      </c>
      <c r="F50" s="6" t="s">
        <v>1017</v>
      </c>
      <c r="G50" s="6" t="s">
        <v>1027</v>
      </c>
      <c r="H50" s="6" t="s">
        <v>1028</v>
      </c>
      <c r="I50" s="6" t="s">
        <v>1029</v>
      </c>
      <c r="J50" s="6" t="s">
        <v>1030</v>
      </c>
      <c r="K50" s="6" t="s">
        <v>1031</v>
      </c>
      <c r="L50" s="6" t="s">
        <v>981</v>
      </c>
      <c r="M50" s="6" t="s">
        <v>1032</v>
      </c>
      <c r="N50" s="6" t="s">
        <v>197</v>
      </c>
      <c r="O50" s="6" t="n">
        <v>3</v>
      </c>
    </row>
    <row r="51" customFormat="false" ht="15" hidden="false" customHeight="false" outlineLevel="0" collapsed="false">
      <c r="A51" s="23" t="n">
        <v>46368</v>
      </c>
      <c r="B51" s="6" t="s">
        <v>1033</v>
      </c>
      <c r="C51" s="6" t="s">
        <v>1034</v>
      </c>
      <c r="D51" s="6" t="s">
        <v>1035</v>
      </c>
      <c r="E51" s="6" t="s">
        <v>1036</v>
      </c>
      <c r="F51" s="6" t="s">
        <v>1017</v>
      </c>
      <c r="G51" s="6" t="s">
        <v>1037</v>
      </c>
      <c r="H51" s="6" t="s">
        <v>1028</v>
      </c>
      <c r="I51" s="6" t="s">
        <v>1038</v>
      </c>
      <c r="J51" s="6" t="s">
        <v>1039</v>
      </c>
      <c r="K51" s="6" t="s">
        <v>1040</v>
      </c>
      <c r="L51" s="6" t="s">
        <v>981</v>
      </c>
      <c r="M51" s="6" t="s">
        <v>1041</v>
      </c>
      <c r="N51" s="6" t="s">
        <v>199</v>
      </c>
      <c r="O51" s="6" t="n">
        <v>3</v>
      </c>
    </row>
    <row r="52" customFormat="false" ht="15" hidden="false" customHeight="false" outlineLevel="0" collapsed="false">
      <c r="A52" s="23" t="n">
        <v>46369</v>
      </c>
      <c r="B52" s="6" t="s">
        <v>1042</v>
      </c>
      <c r="C52" s="6" t="s">
        <v>1043</v>
      </c>
      <c r="D52" s="6" t="s">
        <v>1044</v>
      </c>
      <c r="E52" s="6" t="s">
        <v>1045</v>
      </c>
      <c r="F52" s="6" t="s">
        <v>1046</v>
      </c>
      <c r="G52" s="6" t="s">
        <v>1047</v>
      </c>
      <c r="H52" s="6" t="s">
        <v>1028</v>
      </c>
      <c r="I52" s="6" t="s">
        <v>1048</v>
      </c>
      <c r="J52" s="6" t="s">
        <v>647</v>
      </c>
      <c r="K52" s="6" t="s">
        <v>1049</v>
      </c>
      <c r="L52" s="6" t="s">
        <v>1050</v>
      </c>
      <c r="M52" s="6" t="s">
        <v>1051</v>
      </c>
      <c r="N52" s="6" t="s">
        <v>200</v>
      </c>
      <c r="O52" s="6" t="n">
        <v>4</v>
      </c>
    </row>
    <row r="53" customFormat="false" ht="15" hidden="false" customHeight="false" outlineLevel="0" collapsed="false">
      <c r="A53" s="23" t="n">
        <v>46370</v>
      </c>
      <c r="B53" s="6" t="s">
        <v>1052</v>
      </c>
      <c r="C53" s="6" t="s">
        <v>1053</v>
      </c>
      <c r="D53" s="6" t="s">
        <v>1054</v>
      </c>
      <c r="E53" s="6" t="s">
        <v>952</v>
      </c>
      <c r="F53" s="6" t="s">
        <v>1046</v>
      </c>
      <c r="G53" s="6" t="s">
        <v>1055</v>
      </c>
      <c r="H53" s="6" t="s">
        <v>1028</v>
      </c>
      <c r="I53" s="6" t="s">
        <v>1056</v>
      </c>
      <c r="J53" s="6" t="s">
        <v>670</v>
      </c>
      <c r="K53" s="6" t="s">
        <v>1057</v>
      </c>
      <c r="L53" s="6" t="s">
        <v>1050</v>
      </c>
      <c r="M53" s="6" t="s">
        <v>1058</v>
      </c>
      <c r="N53" s="6" t="s">
        <v>201</v>
      </c>
      <c r="O53" s="6" t="n">
        <v>5</v>
      </c>
    </row>
    <row r="54" customFormat="false" ht="15" hidden="false" customHeight="false" outlineLevel="0" collapsed="false">
      <c r="A54" s="23" t="n">
        <v>46371</v>
      </c>
      <c r="B54" s="6" t="s">
        <v>1059</v>
      </c>
      <c r="C54" s="6" t="s">
        <v>1060</v>
      </c>
      <c r="D54" s="6" t="s">
        <v>1061</v>
      </c>
      <c r="E54" s="6" t="s">
        <v>1062</v>
      </c>
      <c r="F54" s="6" t="s">
        <v>1046</v>
      </c>
      <c r="G54" s="6" t="s">
        <v>1063</v>
      </c>
      <c r="H54" s="6" t="s">
        <v>1064</v>
      </c>
      <c r="I54" s="6" t="s">
        <v>1065</v>
      </c>
      <c r="J54" s="6" t="s">
        <v>1066</v>
      </c>
      <c r="K54" s="6" t="s">
        <v>1067</v>
      </c>
      <c r="L54" s="6" t="s">
        <v>1050</v>
      </c>
      <c r="M54" s="6" t="s">
        <v>1068</v>
      </c>
      <c r="N54" s="6" t="s">
        <v>203</v>
      </c>
      <c r="O54" s="6" t="n">
        <v>6</v>
      </c>
    </row>
    <row r="55" customFormat="false" ht="15" hidden="false" customHeight="false" outlineLevel="0" collapsed="false">
      <c r="A55" s="23" t="n">
        <v>46372</v>
      </c>
      <c r="B55" s="6" t="s">
        <v>1069</v>
      </c>
      <c r="C55" s="6" t="s">
        <v>1070</v>
      </c>
      <c r="D55" s="6" t="s">
        <v>1071</v>
      </c>
      <c r="E55" s="6" t="s">
        <v>1072</v>
      </c>
      <c r="F55" s="6" t="s">
        <v>1073</v>
      </c>
      <c r="G55" s="6" t="s">
        <v>1074</v>
      </c>
      <c r="H55" s="6" t="s">
        <v>1064</v>
      </c>
      <c r="I55" s="6" t="s">
        <v>1048</v>
      </c>
      <c r="J55" s="6" t="s">
        <v>647</v>
      </c>
      <c r="K55" s="6" t="s">
        <v>1075</v>
      </c>
      <c r="L55" s="6" t="s">
        <v>1050</v>
      </c>
      <c r="M55" s="6" t="s">
        <v>1076</v>
      </c>
      <c r="N55" s="6" t="s">
        <v>203</v>
      </c>
      <c r="O55" s="6" t="n">
        <v>7</v>
      </c>
    </row>
    <row r="56" customFormat="false" ht="15" hidden="false" customHeight="false" outlineLevel="0" collapsed="false">
      <c r="A56" s="23" t="n">
        <v>46373</v>
      </c>
      <c r="B56" s="6" t="s">
        <v>1077</v>
      </c>
      <c r="C56" s="6" t="s">
        <v>1078</v>
      </c>
      <c r="D56" s="6" t="s">
        <v>1079</v>
      </c>
      <c r="E56" s="6" t="s">
        <v>1080</v>
      </c>
      <c r="F56" s="6" t="s">
        <v>1073</v>
      </c>
      <c r="G56" s="6" t="s">
        <v>1081</v>
      </c>
      <c r="H56" s="6" t="s">
        <v>1082</v>
      </c>
      <c r="I56" s="6" t="s">
        <v>1083</v>
      </c>
      <c r="J56" s="6" t="s">
        <v>1084</v>
      </c>
      <c r="K56" s="6" t="s">
        <v>1085</v>
      </c>
      <c r="L56" s="6" t="s">
        <v>1050</v>
      </c>
      <c r="M56" s="6" t="s">
        <v>1086</v>
      </c>
      <c r="N56" s="6" t="s">
        <v>204</v>
      </c>
      <c r="O56" s="6" t="n">
        <v>8</v>
      </c>
    </row>
    <row r="57" customFormat="false" ht="15" hidden="false" customHeight="false" outlineLevel="0" collapsed="false">
      <c r="A57" s="23" t="n">
        <v>46374</v>
      </c>
      <c r="B57" s="6" t="s">
        <v>1087</v>
      </c>
      <c r="C57" s="6" t="s">
        <v>1088</v>
      </c>
      <c r="D57" s="6" t="s">
        <v>1089</v>
      </c>
      <c r="E57" s="6" t="s">
        <v>1090</v>
      </c>
      <c r="F57" s="6" t="s">
        <v>1091</v>
      </c>
      <c r="G57" s="6" t="s">
        <v>1092</v>
      </c>
      <c r="H57" s="6" t="s">
        <v>1093</v>
      </c>
      <c r="I57" s="6" t="s">
        <v>1065</v>
      </c>
      <c r="J57" s="6" t="s">
        <v>1066</v>
      </c>
      <c r="K57" s="6" t="s">
        <v>1094</v>
      </c>
      <c r="L57" s="6" t="s">
        <v>1050</v>
      </c>
      <c r="M57" s="6" t="s">
        <v>1095</v>
      </c>
      <c r="N57" s="6" t="s">
        <v>206</v>
      </c>
      <c r="O57" s="6" t="n">
        <v>9</v>
      </c>
    </row>
    <row r="58" customFormat="false" ht="15" hidden="false" customHeight="false" outlineLevel="0" collapsed="false">
      <c r="A58" s="23" t="n">
        <v>46375</v>
      </c>
      <c r="B58" s="6" t="s">
        <v>1096</v>
      </c>
      <c r="C58" s="6" t="s">
        <v>1097</v>
      </c>
      <c r="D58" s="6" t="s">
        <v>1098</v>
      </c>
      <c r="E58" s="6" t="s">
        <v>1099</v>
      </c>
      <c r="F58" s="6" t="s">
        <v>1100</v>
      </c>
      <c r="G58" s="6" t="s">
        <v>1101</v>
      </c>
      <c r="H58" s="6" t="s">
        <v>1093</v>
      </c>
      <c r="I58" s="6" t="s">
        <v>1102</v>
      </c>
      <c r="J58" s="6" t="s">
        <v>1103</v>
      </c>
      <c r="K58" s="6" t="s">
        <v>1104</v>
      </c>
      <c r="L58" s="6" t="s">
        <v>1050</v>
      </c>
      <c r="M58" s="6" t="s">
        <v>1105</v>
      </c>
      <c r="N58" s="6" t="s">
        <v>207</v>
      </c>
      <c r="O58" s="6" t="n">
        <v>10</v>
      </c>
    </row>
    <row r="59" customFormat="false" ht="15" hidden="false" customHeight="false" outlineLevel="0" collapsed="false">
      <c r="A59" s="23" t="n">
        <v>46376</v>
      </c>
      <c r="B59" s="6" t="s">
        <v>1106</v>
      </c>
      <c r="C59" s="6" t="s">
        <v>1107</v>
      </c>
      <c r="D59" s="6" t="s">
        <v>1108</v>
      </c>
      <c r="E59" s="6" t="s">
        <v>1109</v>
      </c>
      <c r="F59" s="6" t="s">
        <v>1110</v>
      </c>
      <c r="G59" s="6" t="s">
        <v>1111</v>
      </c>
      <c r="H59" s="6" t="s">
        <v>1112</v>
      </c>
      <c r="I59" s="6" t="s">
        <v>1113</v>
      </c>
      <c r="J59" s="6" t="s">
        <v>1114</v>
      </c>
      <c r="K59" s="6" t="s">
        <v>1115</v>
      </c>
      <c r="L59" s="6" t="s">
        <v>1116</v>
      </c>
      <c r="M59" s="6" t="s">
        <v>1117</v>
      </c>
      <c r="N59" s="6" t="s">
        <v>208</v>
      </c>
      <c r="O59" s="6" t="n">
        <v>11</v>
      </c>
    </row>
    <row r="60" customFormat="false" ht="15" hidden="false" customHeight="false" outlineLevel="0" collapsed="false">
      <c r="A60" s="23" t="n">
        <v>46377</v>
      </c>
      <c r="B60" s="6" t="s">
        <v>1118</v>
      </c>
      <c r="C60" s="6" t="s">
        <v>1119</v>
      </c>
      <c r="D60" s="6" t="s">
        <v>1120</v>
      </c>
      <c r="E60" s="6" t="s">
        <v>1121</v>
      </c>
      <c r="F60" s="6" t="s">
        <v>1122</v>
      </c>
      <c r="G60" s="6" t="s">
        <v>1123</v>
      </c>
      <c r="H60" s="6" t="s">
        <v>1124</v>
      </c>
      <c r="I60" s="6" t="s">
        <v>1125</v>
      </c>
      <c r="J60" s="6" t="s">
        <v>1126</v>
      </c>
      <c r="K60" s="6" t="s">
        <v>1127</v>
      </c>
      <c r="L60" s="6" t="s">
        <v>1116</v>
      </c>
      <c r="M60" s="6" t="s">
        <v>1128</v>
      </c>
      <c r="N60" s="6" t="s">
        <v>170</v>
      </c>
      <c r="O60" s="6" t="n">
        <v>12</v>
      </c>
    </row>
    <row r="61" customFormat="false" ht="15" hidden="false" customHeight="false" outlineLevel="0" collapsed="false">
      <c r="A61" s="23" t="n">
        <v>46378</v>
      </c>
      <c r="B61" s="6" t="s">
        <v>1129</v>
      </c>
      <c r="C61" s="6" t="s">
        <v>1130</v>
      </c>
      <c r="D61" s="6" t="s">
        <v>1131</v>
      </c>
      <c r="E61" s="6" t="s">
        <v>1132</v>
      </c>
      <c r="F61" s="6" t="s">
        <v>1133</v>
      </c>
      <c r="G61" s="6" t="s">
        <v>1134</v>
      </c>
      <c r="H61" s="6" t="s">
        <v>1135</v>
      </c>
      <c r="I61" s="6" t="s">
        <v>1136</v>
      </c>
      <c r="J61" s="6" t="s">
        <v>1137</v>
      </c>
      <c r="K61" s="6" t="s">
        <v>1138</v>
      </c>
      <c r="L61" s="6" t="s">
        <v>1116</v>
      </c>
      <c r="M61" s="6" t="s">
        <v>1139</v>
      </c>
      <c r="N61" s="6" t="s">
        <v>209</v>
      </c>
      <c r="O61" s="6" t="n">
        <v>13</v>
      </c>
    </row>
    <row r="62" customFormat="false" ht="15" hidden="false" customHeight="false" outlineLevel="0" collapsed="false">
      <c r="A62" s="23" t="n">
        <v>46379</v>
      </c>
      <c r="B62" s="6" t="s">
        <v>1140</v>
      </c>
      <c r="C62" s="6" t="s">
        <v>1141</v>
      </c>
      <c r="D62" s="6" t="s">
        <v>1142</v>
      </c>
      <c r="E62" s="6" t="s">
        <v>1143</v>
      </c>
      <c r="F62" s="6" t="s">
        <v>1144</v>
      </c>
      <c r="G62" s="6" t="s">
        <v>1145</v>
      </c>
      <c r="H62" s="6" t="s">
        <v>1146</v>
      </c>
      <c r="I62" s="6" t="s">
        <v>1147</v>
      </c>
      <c r="J62" s="6" t="s">
        <v>658</v>
      </c>
      <c r="K62" s="6" t="s">
        <v>1148</v>
      </c>
      <c r="L62" s="6" t="s">
        <v>1116</v>
      </c>
      <c r="M62" s="6" t="s">
        <v>1149</v>
      </c>
      <c r="N62" s="6" t="s">
        <v>175</v>
      </c>
      <c r="O62" s="6" t="n">
        <v>15</v>
      </c>
    </row>
    <row r="63" customFormat="false" ht="15" hidden="false" customHeight="false" outlineLevel="0" collapsed="false">
      <c r="A63" s="23" t="n">
        <v>46380</v>
      </c>
      <c r="B63" s="6" t="s">
        <v>1150</v>
      </c>
      <c r="C63" s="6" t="s">
        <v>1151</v>
      </c>
      <c r="D63" s="6" t="s">
        <v>1152</v>
      </c>
      <c r="E63" s="6" t="s">
        <v>1153</v>
      </c>
      <c r="F63" s="6" t="s">
        <v>1154</v>
      </c>
      <c r="G63" s="6" t="s">
        <v>1155</v>
      </c>
      <c r="H63" s="6" t="s">
        <v>1156</v>
      </c>
      <c r="I63" s="6" t="s">
        <v>1157</v>
      </c>
      <c r="J63" s="6" t="s">
        <v>1158</v>
      </c>
      <c r="K63" s="6" t="s">
        <v>1159</v>
      </c>
      <c r="L63" s="6" t="s">
        <v>1160</v>
      </c>
      <c r="M63" s="6" t="s">
        <v>1161</v>
      </c>
      <c r="N63" s="6" t="s">
        <v>177</v>
      </c>
      <c r="O63" s="6" t="n">
        <v>16</v>
      </c>
    </row>
    <row r="64" customFormat="false" ht="15" hidden="false" customHeight="false" outlineLevel="0" collapsed="false">
      <c r="A64" s="23" t="n">
        <v>46381</v>
      </c>
      <c r="B64" s="6" t="s">
        <v>1162</v>
      </c>
      <c r="C64" s="6" t="s">
        <v>1163</v>
      </c>
      <c r="D64" s="6" t="s">
        <v>1164</v>
      </c>
      <c r="E64" s="6" t="s">
        <v>1165</v>
      </c>
      <c r="F64" s="6" t="s">
        <v>1166</v>
      </c>
      <c r="G64" s="6" t="s">
        <v>1167</v>
      </c>
      <c r="H64" s="6" t="s">
        <v>1168</v>
      </c>
      <c r="I64" s="6" t="s">
        <v>1169</v>
      </c>
      <c r="J64" s="6" t="s">
        <v>1170</v>
      </c>
      <c r="K64" s="6" t="s">
        <v>1171</v>
      </c>
      <c r="L64" s="6" t="s">
        <v>1160</v>
      </c>
      <c r="M64" s="6" t="s">
        <v>1172</v>
      </c>
      <c r="N64" s="6" t="s">
        <v>178</v>
      </c>
      <c r="O64" s="6" t="n">
        <v>17</v>
      </c>
    </row>
    <row r="65" customFormat="false" ht="15" hidden="false" customHeight="false" outlineLevel="0" collapsed="false">
      <c r="A65" s="23" t="n">
        <v>46382</v>
      </c>
      <c r="B65" s="6" t="s">
        <v>1173</v>
      </c>
      <c r="C65" s="6" t="s">
        <v>1174</v>
      </c>
      <c r="D65" s="6" t="s">
        <v>1175</v>
      </c>
      <c r="E65" s="6" t="s">
        <v>1176</v>
      </c>
      <c r="F65" s="6" t="s">
        <v>1177</v>
      </c>
      <c r="G65" s="6" t="s">
        <v>1178</v>
      </c>
      <c r="H65" s="6" t="s">
        <v>1179</v>
      </c>
      <c r="I65" s="6" t="s">
        <v>1180</v>
      </c>
      <c r="J65" s="6" t="s">
        <v>1181</v>
      </c>
      <c r="K65" s="6" t="s">
        <v>1182</v>
      </c>
      <c r="L65" s="6" t="s">
        <v>1183</v>
      </c>
      <c r="M65" s="6" t="s">
        <v>1184</v>
      </c>
      <c r="N65" s="6" t="s">
        <v>181</v>
      </c>
      <c r="O65" s="6" t="n">
        <v>18</v>
      </c>
    </row>
    <row r="66" customFormat="false" ht="15" hidden="false" customHeight="false" outlineLevel="0" collapsed="false">
      <c r="A66" s="23" t="n">
        <v>46383</v>
      </c>
      <c r="B66" s="6" t="s">
        <v>1185</v>
      </c>
      <c r="C66" s="6" t="s">
        <v>1186</v>
      </c>
      <c r="D66" s="6" t="s">
        <v>1187</v>
      </c>
      <c r="E66" s="6" t="s">
        <v>1188</v>
      </c>
      <c r="F66" s="6" t="s">
        <v>1189</v>
      </c>
      <c r="G66" s="6" t="s">
        <v>1190</v>
      </c>
      <c r="H66" s="6" t="s">
        <v>1191</v>
      </c>
      <c r="I66" s="6" t="s">
        <v>1192</v>
      </c>
      <c r="J66" s="6" t="s">
        <v>1193</v>
      </c>
      <c r="K66" s="6" t="s">
        <v>1194</v>
      </c>
      <c r="L66" s="6" t="s">
        <v>1183</v>
      </c>
      <c r="M66" s="6" t="s">
        <v>1195</v>
      </c>
      <c r="N66" s="6" t="s">
        <v>182</v>
      </c>
      <c r="O66" s="6" t="n">
        <v>19</v>
      </c>
    </row>
    <row r="67" customFormat="false" ht="15" hidden="false" customHeight="false" outlineLevel="0" collapsed="false">
      <c r="A67" s="23" t="n">
        <v>46384</v>
      </c>
      <c r="B67" s="6" t="s">
        <v>1196</v>
      </c>
      <c r="C67" s="6" t="s">
        <v>1197</v>
      </c>
      <c r="D67" s="6" t="s">
        <v>1198</v>
      </c>
      <c r="E67" s="6" t="s">
        <v>1199</v>
      </c>
      <c r="F67" s="6" t="s">
        <v>1200</v>
      </c>
      <c r="G67" s="6" t="s">
        <v>1201</v>
      </c>
      <c r="H67" s="6" t="s">
        <v>1202</v>
      </c>
      <c r="I67" s="6" t="s">
        <v>1180</v>
      </c>
      <c r="J67" s="6" t="s">
        <v>1181</v>
      </c>
      <c r="K67" s="6" t="s">
        <v>1203</v>
      </c>
      <c r="L67" s="6" t="s">
        <v>1204</v>
      </c>
      <c r="M67" s="6" t="s">
        <v>1205</v>
      </c>
      <c r="N67" s="6" t="s">
        <v>184</v>
      </c>
      <c r="O67" s="6" t="n">
        <v>20</v>
      </c>
    </row>
    <row r="68" customFormat="false" ht="15" hidden="false" customHeight="false" outlineLevel="0" collapsed="false">
      <c r="A68" s="23" t="n">
        <v>46385</v>
      </c>
      <c r="B68" s="6" t="s">
        <v>1206</v>
      </c>
      <c r="C68" s="6" t="s">
        <v>1207</v>
      </c>
      <c r="D68" s="6" t="s">
        <v>1208</v>
      </c>
      <c r="E68" s="6" t="s">
        <v>1209</v>
      </c>
      <c r="F68" s="6" t="s">
        <v>1210</v>
      </c>
      <c r="G68" s="6" t="s">
        <v>1211</v>
      </c>
      <c r="H68" s="6" t="s">
        <v>1212</v>
      </c>
      <c r="I68" s="6" t="s">
        <v>1213</v>
      </c>
      <c r="J68" s="6" t="s">
        <v>1214</v>
      </c>
      <c r="K68" s="6" t="s">
        <v>1215</v>
      </c>
      <c r="L68" s="6" t="s">
        <v>1204</v>
      </c>
      <c r="M68" s="6" t="s">
        <v>1216</v>
      </c>
      <c r="N68" s="6" t="s">
        <v>185</v>
      </c>
      <c r="O68" s="6" t="n">
        <v>21</v>
      </c>
    </row>
    <row r="69" customFormat="false" ht="15" hidden="false" customHeight="false" outlineLevel="0" collapsed="false">
      <c r="A69" s="23" t="n">
        <v>46386</v>
      </c>
      <c r="B69" s="6" t="s">
        <v>1217</v>
      </c>
      <c r="C69" s="6" t="s">
        <v>1218</v>
      </c>
      <c r="D69" s="6" t="s">
        <v>1219</v>
      </c>
      <c r="E69" s="6" t="s">
        <v>1220</v>
      </c>
      <c r="F69" s="6" t="s">
        <v>1221</v>
      </c>
      <c r="G69" s="6" t="s">
        <v>1222</v>
      </c>
      <c r="H69" s="6" t="s">
        <v>1223</v>
      </c>
      <c r="I69" s="6" t="s">
        <v>1224</v>
      </c>
      <c r="J69" s="6" t="s">
        <v>1225</v>
      </c>
      <c r="K69" s="6" t="s">
        <v>1226</v>
      </c>
      <c r="L69" s="6" t="s">
        <v>1227</v>
      </c>
      <c r="M69" s="6" t="s">
        <v>1228</v>
      </c>
      <c r="N69" s="6" t="s">
        <v>187</v>
      </c>
      <c r="O69" s="6" t="n">
        <v>22</v>
      </c>
    </row>
    <row r="70" customFormat="false" ht="15" hidden="false" customHeight="false" outlineLevel="0" collapsed="false">
      <c r="A70" s="23" t="n">
        <v>46387</v>
      </c>
      <c r="B70" s="6" t="s">
        <v>1229</v>
      </c>
      <c r="C70" s="6" t="s">
        <v>1230</v>
      </c>
      <c r="D70" s="6" t="s">
        <v>1231</v>
      </c>
      <c r="E70" s="6" t="s">
        <v>1232</v>
      </c>
      <c r="F70" s="6" t="s">
        <v>1233</v>
      </c>
      <c r="G70" s="6" t="s">
        <v>1234</v>
      </c>
      <c r="H70" s="6" t="s">
        <v>1235</v>
      </c>
      <c r="I70" s="6" t="s">
        <v>1224</v>
      </c>
      <c r="J70" s="6" t="s">
        <v>1225</v>
      </c>
      <c r="K70" s="6" t="s">
        <v>1236</v>
      </c>
      <c r="L70" s="6" t="s">
        <v>1227</v>
      </c>
      <c r="M70" s="6" t="s">
        <v>1237</v>
      </c>
      <c r="N70" s="6" t="s">
        <v>188</v>
      </c>
      <c r="O70" s="6" t="n">
        <v>23</v>
      </c>
    </row>
    <row r="71" customFormat="false" ht="15" hidden="false" customHeight="false" outlineLevel="0" collapsed="false">
      <c r="A71" s="23" t="n">
        <v>46388</v>
      </c>
      <c r="B71" s="6" t="s">
        <v>1238</v>
      </c>
      <c r="C71" s="6" t="s">
        <v>1239</v>
      </c>
      <c r="D71" s="6" t="s">
        <v>1240</v>
      </c>
      <c r="E71" s="6" t="s">
        <v>1241</v>
      </c>
      <c r="F71" s="6" t="s">
        <v>1242</v>
      </c>
      <c r="G71" s="6" t="s">
        <v>1243</v>
      </c>
      <c r="H71" s="6" t="s">
        <v>1244</v>
      </c>
      <c r="I71" s="6" t="s">
        <v>1213</v>
      </c>
      <c r="J71" s="6" t="s">
        <v>1214</v>
      </c>
      <c r="K71" s="6" t="s">
        <v>1245</v>
      </c>
      <c r="L71" s="6" t="s">
        <v>1246</v>
      </c>
      <c r="M71" s="6" t="s">
        <v>1247</v>
      </c>
      <c r="N71" s="6" t="s">
        <v>189</v>
      </c>
      <c r="O71" s="6" t="n">
        <v>24</v>
      </c>
    </row>
    <row r="72" customFormat="false" ht="15" hidden="false" customHeight="false" outlineLevel="0" collapsed="false">
      <c r="A72" s="23" t="n">
        <v>46389</v>
      </c>
      <c r="B72" s="6" t="s">
        <v>1248</v>
      </c>
      <c r="C72" s="6" t="s">
        <v>1249</v>
      </c>
      <c r="D72" s="6" t="s">
        <v>1250</v>
      </c>
      <c r="E72" s="6" t="s">
        <v>1251</v>
      </c>
      <c r="F72" s="6" t="s">
        <v>1252</v>
      </c>
      <c r="G72" s="6" t="s">
        <v>1253</v>
      </c>
      <c r="H72" s="6" t="s">
        <v>1254</v>
      </c>
      <c r="I72" s="6" t="s">
        <v>1255</v>
      </c>
      <c r="J72" s="6" t="s">
        <v>1256</v>
      </c>
      <c r="K72" s="6" t="s">
        <v>1257</v>
      </c>
      <c r="L72" s="6" t="s">
        <v>1258</v>
      </c>
      <c r="M72" s="6" t="s">
        <v>1259</v>
      </c>
      <c r="N72" s="6" t="s">
        <v>191</v>
      </c>
      <c r="O72" s="6" t="n">
        <v>25</v>
      </c>
    </row>
    <row r="73" customFormat="false" ht="15" hidden="false" customHeight="false" outlineLevel="0" collapsed="false">
      <c r="A73" s="23" t="n">
        <v>46390</v>
      </c>
      <c r="B73" s="6" t="s">
        <v>1260</v>
      </c>
      <c r="C73" s="6" t="s">
        <v>1261</v>
      </c>
      <c r="D73" s="6" t="s">
        <v>1262</v>
      </c>
      <c r="E73" s="6" t="s">
        <v>1263</v>
      </c>
      <c r="F73" s="6" t="s">
        <v>1264</v>
      </c>
      <c r="G73" s="6" t="s">
        <v>1265</v>
      </c>
      <c r="H73" s="6" t="s">
        <v>1266</v>
      </c>
      <c r="I73" s="6" t="s">
        <v>1267</v>
      </c>
      <c r="J73" s="6" t="s">
        <v>1268</v>
      </c>
      <c r="K73" s="6" t="s">
        <v>1269</v>
      </c>
      <c r="L73" s="6" t="s">
        <v>1258</v>
      </c>
      <c r="M73" s="6" t="s">
        <v>1270</v>
      </c>
      <c r="N73" s="6" t="s">
        <v>192</v>
      </c>
      <c r="O73" s="6" t="n">
        <v>26</v>
      </c>
    </row>
    <row r="74" customFormat="false" ht="15" hidden="false" customHeight="false" outlineLevel="0" collapsed="false">
      <c r="A74" s="23" t="n">
        <v>46391</v>
      </c>
      <c r="B74" s="6" t="s">
        <v>1024</v>
      </c>
      <c r="C74" s="6" t="s">
        <v>1271</v>
      </c>
      <c r="D74" s="6" t="s">
        <v>1272</v>
      </c>
      <c r="E74" s="6" t="s">
        <v>1273</v>
      </c>
      <c r="F74" s="6" t="s">
        <v>1274</v>
      </c>
      <c r="G74" s="6" t="s">
        <v>1275</v>
      </c>
      <c r="H74" s="6" t="s">
        <v>1276</v>
      </c>
      <c r="I74" s="6" t="s">
        <v>1277</v>
      </c>
      <c r="J74" s="6" t="s">
        <v>1278</v>
      </c>
      <c r="K74" s="6" t="s">
        <v>1279</v>
      </c>
      <c r="L74" s="6" t="s">
        <v>1280</v>
      </c>
      <c r="M74" s="6" t="s">
        <v>1281</v>
      </c>
      <c r="N74" s="6" t="s">
        <v>193</v>
      </c>
      <c r="O74" s="6" t="n">
        <v>27</v>
      </c>
    </row>
    <row r="75" customFormat="false" ht="15" hidden="false" customHeight="false" outlineLevel="0" collapsed="false">
      <c r="A75" s="23" t="n">
        <v>46392</v>
      </c>
      <c r="B75" s="6" t="s">
        <v>1282</v>
      </c>
      <c r="C75" s="6" t="s">
        <v>1283</v>
      </c>
      <c r="D75" s="6" t="s">
        <v>1284</v>
      </c>
      <c r="E75" s="6" t="s">
        <v>1285</v>
      </c>
      <c r="F75" s="6" t="s">
        <v>1286</v>
      </c>
      <c r="G75" s="6" t="s">
        <v>1287</v>
      </c>
      <c r="H75" s="6" t="s">
        <v>1288</v>
      </c>
      <c r="I75" s="6" t="s">
        <v>1289</v>
      </c>
      <c r="J75" s="6" t="s">
        <v>1290</v>
      </c>
      <c r="K75" s="6" t="s">
        <v>1291</v>
      </c>
      <c r="L75" s="6" t="s">
        <v>1292</v>
      </c>
      <c r="M75" s="6" t="s">
        <v>1293</v>
      </c>
      <c r="N75" s="6" t="s">
        <v>194</v>
      </c>
      <c r="O75" s="6" t="n">
        <v>28</v>
      </c>
    </row>
    <row r="76" customFormat="false" ht="15" hidden="false" customHeight="false" outlineLevel="0" collapsed="false">
      <c r="A76" s="23" t="n">
        <v>46393</v>
      </c>
      <c r="B76" s="6" t="s">
        <v>1294</v>
      </c>
      <c r="C76" s="6" t="s">
        <v>1295</v>
      </c>
      <c r="D76" s="6" t="s">
        <v>1296</v>
      </c>
      <c r="E76" s="6" t="s">
        <v>1297</v>
      </c>
      <c r="F76" s="6" t="s">
        <v>1298</v>
      </c>
      <c r="G76" s="6" t="s">
        <v>1299</v>
      </c>
      <c r="H76" s="6" t="s">
        <v>1300</v>
      </c>
      <c r="I76" s="6" t="s">
        <v>1301</v>
      </c>
      <c r="J76" s="6" t="s">
        <v>1302</v>
      </c>
      <c r="K76" s="6" t="s">
        <v>1303</v>
      </c>
      <c r="L76" s="6" t="s">
        <v>1304</v>
      </c>
      <c r="M76" s="6" t="s">
        <v>1305</v>
      </c>
      <c r="N76" s="6" t="s">
        <v>196</v>
      </c>
      <c r="O76" s="6" t="n">
        <v>29</v>
      </c>
    </row>
    <row r="77" customFormat="false" ht="15" hidden="false" customHeight="false" outlineLevel="0" collapsed="false">
      <c r="A77" s="23" t="n">
        <v>46394</v>
      </c>
      <c r="B77" s="6" t="s">
        <v>1306</v>
      </c>
      <c r="C77" s="6" t="s">
        <v>1307</v>
      </c>
      <c r="D77" s="6" t="s">
        <v>1308</v>
      </c>
      <c r="E77" s="6" t="s">
        <v>1309</v>
      </c>
      <c r="F77" s="6" t="s">
        <v>1310</v>
      </c>
      <c r="G77" s="6" t="s">
        <v>974</v>
      </c>
      <c r="H77" s="6" t="s">
        <v>1311</v>
      </c>
      <c r="I77" s="6" t="s">
        <v>1312</v>
      </c>
      <c r="J77" s="6" t="s">
        <v>1313</v>
      </c>
      <c r="K77" s="6" t="s">
        <v>1314</v>
      </c>
      <c r="L77" s="6" t="s">
        <v>1315</v>
      </c>
      <c r="M77" s="6" t="s">
        <v>1316</v>
      </c>
      <c r="N77" s="6" t="s">
        <v>197</v>
      </c>
      <c r="O77" s="6" t="n">
        <v>30</v>
      </c>
    </row>
    <row r="78" customFormat="false" ht="15" hidden="false" customHeight="false" outlineLevel="0" collapsed="false">
      <c r="A78" s="23" t="n">
        <v>46395</v>
      </c>
      <c r="B78" s="6" t="s">
        <v>1317</v>
      </c>
      <c r="C78" s="6" t="s">
        <v>1318</v>
      </c>
      <c r="D78" s="6" t="s">
        <v>1319</v>
      </c>
      <c r="E78" s="6" t="s">
        <v>1320</v>
      </c>
      <c r="F78" s="6" t="s">
        <v>1321</v>
      </c>
      <c r="G78" s="6" t="s">
        <v>1322</v>
      </c>
      <c r="H78" s="6" t="s">
        <v>1323</v>
      </c>
      <c r="I78" s="6" t="s">
        <v>1324</v>
      </c>
      <c r="J78" s="6" t="s">
        <v>635</v>
      </c>
      <c r="K78" s="6" t="s">
        <v>1325</v>
      </c>
      <c r="L78" s="6" t="s">
        <v>1326</v>
      </c>
      <c r="M78" s="6" t="s">
        <v>1327</v>
      </c>
      <c r="N78" s="6" t="s">
        <v>199</v>
      </c>
      <c r="O78" s="6" t="n">
        <v>1</v>
      </c>
    </row>
    <row r="79" customFormat="false" ht="15" hidden="false" customHeight="false" outlineLevel="0" collapsed="false">
      <c r="A79" s="23" t="n">
        <v>46396</v>
      </c>
      <c r="B79" s="6" t="s">
        <v>1328</v>
      </c>
      <c r="C79" s="6" t="s">
        <v>1329</v>
      </c>
      <c r="D79" s="6" t="s">
        <v>1330</v>
      </c>
      <c r="E79" s="6" t="s">
        <v>1331</v>
      </c>
      <c r="F79" s="6" t="s">
        <v>1332</v>
      </c>
      <c r="G79" s="6" t="s">
        <v>847</v>
      </c>
      <c r="H79" s="6" t="s">
        <v>1333</v>
      </c>
      <c r="I79" s="6" t="s">
        <v>1334</v>
      </c>
      <c r="J79" s="6" t="s">
        <v>1335</v>
      </c>
      <c r="K79" s="6" t="s">
        <v>1336</v>
      </c>
      <c r="L79" s="6" t="s">
        <v>1326</v>
      </c>
      <c r="M79" s="6" t="s">
        <v>1337</v>
      </c>
      <c r="N79" s="6" t="s">
        <v>200</v>
      </c>
      <c r="O79" s="6" t="n">
        <v>2</v>
      </c>
    </row>
    <row r="80" customFormat="false" ht="15" hidden="false" customHeight="false" outlineLevel="0" collapsed="false">
      <c r="A80" s="23" t="n">
        <v>46397</v>
      </c>
      <c r="B80" s="6" t="s">
        <v>1338</v>
      </c>
      <c r="C80" s="6" t="s">
        <v>1339</v>
      </c>
      <c r="D80" s="6" t="s">
        <v>1330</v>
      </c>
      <c r="E80" s="6" t="s">
        <v>1340</v>
      </c>
      <c r="F80" s="6" t="s">
        <v>1341</v>
      </c>
      <c r="G80" s="6" t="s">
        <v>1342</v>
      </c>
      <c r="H80" s="6" t="s">
        <v>1343</v>
      </c>
      <c r="I80" s="6" t="s">
        <v>1344</v>
      </c>
      <c r="J80" s="6" t="s">
        <v>1345</v>
      </c>
      <c r="K80" s="6" t="s">
        <v>1346</v>
      </c>
      <c r="L80" s="6" t="s">
        <v>1347</v>
      </c>
      <c r="M80" s="6" t="s">
        <v>1348</v>
      </c>
      <c r="N80" s="6" t="s">
        <v>200</v>
      </c>
      <c r="O80" s="6" t="n">
        <v>3</v>
      </c>
    </row>
    <row r="81" customFormat="false" ht="15" hidden="false" customHeight="false" outlineLevel="0" collapsed="false">
      <c r="A81" s="23" t="n">
        <v>46398</v>
      </c>
      <c r="B81" s="6" t="s">
        <v>1349</v>
      </c>
      <c r="C81" s="6" t="s">
        <v>1350</v>
      </c>
      <c r="D81" s="6" t="s">
        <v>1351</v>
      </c>
      <c r="E81" s="6" t="s">
        <v>1352</v>
      </c>
      <c r="F81" s="6" t="s">
        <v>1353</v>
      </c>
      <c r="G81" s="6" t="s">
        <v>1354</v>
      </c>
      <c r="H81" s="6" t="s">
        <v>1355</v>
      </c>
      <c r="I81" s="6" t="s">
        <v>1344</v>
      </c>
      <c r="J81" s="6" t="s">
        <v>1345</v>
      </c>
      <c r="K81" s="6" t="s">
        <v>1356</v>
      </c>
      <c r="L81" s="6" t="s">
        <v>1357</v>
      </c>
      <c r="M81" s="6" t="s">
        <v>1358</v>
      </c>
      <c r="N81" s="6" t="s">
        <v>201</v>
      </c>
      <c r="O81" s="6" t="n">
        <v>4</v>
      </c>
    </row>
    <row r="82" customFormat="false" ht="15" hidden="false" customHeight="false" outlineLevel="0" collapsed="false">
      <c r="A82" s="23" t="n">
        <v>46399</v>
      </c>
      <c r="B82" s="6" t="s">
        <v>1359</v>
      </c>
      <c r="C82" s="6" t="s">
        <v>1360</v>
      </c>
      <c r="D82" s="6" t="s">
        <v>1361</v>
      </c>
      <c r="E82" s="6" t="s">
        <v>1362</v>
      </c>
      <c r="F82" s="6" t="s">
        <v>1363</v>
      </c>
      <c r="G82" s="6" t="s">
        <v>1364</v>
      </c>
      <c r="H82" s="6" t="s">
        <v>1365</v>
      </c>
      <c r="I82" s="6" t="s">
        <v>1334</v>
      </c>
      <c r="J82" s="6" t="s">
        <v>1335</v>
      </c>
      <c r="K82" s="6" t="s">
        <v>1366</v>
      </c>
      <c r="L82" s="6" t="s">
        <v>1367</v>
      </c>
      <c r="M82" s="6" t="s">
        <v>1368</v>
      </c>
      <c r="N82" s="6" t="s">
        <v>203</v>
      </c>
      <c r="O82" s="6" t="n">
        <v>5</v>
      </c>
    </row>
    <row r="83" customFormat="false" ht="15" hidden="false" customHeight="false" outlineLevel="0" collapsed="false">
      <c r="A83" s="23" t="n">
        <v>46400</v>
      </c>
      <c r="B83" s="6" t="s">
        <v>1369</v>
      </c>
      <c r="C83" s="6" t="s">
        <v>1370</v>
      </c>
      <c r="D83" s="6" t="s">
        <v>1371</v>
      </c>
      <c r="E83" s="6" t="s">
        <v>1372</v>
      </c>
      <c r="F83" s="6" t="s">
        <v>1373</v>
      </c>
      <c r="G83" s="6" t="s">
        <v>1374</v>
      </c>
      <c r="H83" s="6" t="s">
        <v>1375</v>
      </c>
      <c r="I83" s="6" t="s">
        <v>1376</v>
      </c>
      <c r="J83" s="6" t="s">
        <v>1377</v>
      </c>
      <c r="K83" s="6" t="s">
        <v>1378</v>
      </c>
      <c r="L83" s="6" t="s">
        <v>1379</v>
      </c>
      <c r="M83" s="6" t="s">
        <v>1380</v>
      </c>
      <c r="N83" s="6" t="s">
        <v>204</v>
      </c>
      <c r="O83" s="6" t="n">
        <v>5</v>
      </c>
    </row>
    <row r="84" customFormat="false" ht="15" hidden="false" customHeight="false" outlineLevel="0" collapsed="false">
      <c r="A84" s="23" t="n">
        <v>46401</v>
      </c>
      <c r="B84" s="6" t="s">
        <v>1381</v>
      </c>
      <c r="C84" s="6" t="s">
        <v>1382</v>
      </c>
      <c r="D84" s="6" t="s">
        <v>1383</v>
      </c>
      <c r="E84" s="6" t="s">
        <v>1384</v>
      </c>
      <c r="F84" s="6" t="s">
        <v>1385</v>
      </c>
      <c r="G84" s="6" t="s">
        <v>1386</v>
      </c>
      <c r="H84" s="6" t="s">
        <v>1387</v>
      </c>
      <c r="I84" s="6" t="s">
        <v>1388</v>
      </c>
      <c r="J84" s="6" t="s">
        <v>1389</v>
      </c>
      <c r="K84" s="6" t="s">
        <v>1390</v>
      </c>
      <c r="L84" s="6" t="s">
        <v>1391</v>
      </c>
      <c r="M84" s="6" t="s">
        <v>1392</v>
      </c>
      <c r="N84" s="6" t="s">
        <v>206</v>
      </c>
      <c r="O84" s="6" t="n">
        <v>6</v>
      </c>
    </row>
    <row r="85" customFormat="false" ht="15" hidden="false" customHeight="false" outlineLevel="0" collapsed="false">
      <c r="A85" s="23" t="n">
        <v>46402</v>
      </c>
      <c r="B85" s="6" t="s">
        <v>1393</v>
      </c>
      <c r="C85" s="6" t="s">
        <v>1394</v>
      </c>
      <c r="D85" s="6" t="s">
        <v>1395</v>
      </c>
      <c r="E85" s="6" t="s">
        <v>846</v>
      </c>
      <c r="F85" s="6" t="s">
        <v>1396</v>
      </c>
      <c r="G85" s="6" t="s">
        <v>1397</v>
      </c>
      <c r="H85" s="6" t="s">
        <v>1398</v>
      </c>
      <c r="I85" s="6" t="s">
        <v>1399</v>
      </c>
      <c r="J85" s="6" t="s">
        <v>1186</v>
      </c>
      <c r="K85" s="6" t="s">
        <v>1400</v>
      </c>
      <c r="L85" s="6" t="s">
        <v>1401</v>
      </c>
      <c r="M85" s="6" t="s">
        <v>1402</v>
      </c>
      <c r="N85" s="6" t="s">
        <v>207</v>
      </c>
      <c r="O85" s="6" t="n">
        <v>7</v>
      </c>
    </row>
    <row r="86" customFormat="false" ht="15" hidden="false" customHeight="false" outlineLevel="0" collapsed="false">
      <c r="A86" s="23" t="n">
        <v>46403</v>
      </c>
      <c r="B86" s="6" t="s">
        <v>1403</v>
      </c>
      <c r="C86" s="6" t="s">
        <v>1404</v>
      </c>
      <c r="D86" s="6" t="s">
        <v>1405</v>
      </c>
      <c r="E86" s="6" t="s">
        <v>1406</v>
      </c>
      <c r="F86" s="6" t="s">
        <v>1407</v>
      </c>
      <c r="G86" s="6" t="s">
        <v>1408</v>
      </c>
      <c r="H86" s="6" t="s">
        <v>1409</v>
      </c>
      <c r="I86" s="6" t="s">
        <v>1399</v>
      </c>
      <c r="J86" s="6" t="s">
        <v>1186</v>
      </c>
      <c r="K86" s="6" t="s">
        <v>1410</v>
      </c>
      <c r="L86" s="6" t="s">
        <v>1411</v>
      </c>
      <c r="M86" s="6" t="s">
        <v>1412</v>
      </c>
      <c r="N86" s="6" t="s">
        <v>208</v>
      </c>
      <c r="O86" s="6" t="n">
        <v>8</v>
      </c>
    </row>
    <row r="87" customFormat="false" ht="15" hidden="false" customHeight="false" outlineLevel="0" collapsed="false">
      <c r="A87" s="23" t="n">
        <v>46404</v>
      </c>
      <c r="B87" s="6" t="s">
        <v>1413</v>
      </c>
      <c r="C87" s="6" t="s">
        <v>1414</v>
      </c>
      <c r="D87" s="6" t="s">
        <v>1415</v>
      </c>
      <c r="E87" s="6" t="s">
        <v>1416</v>
      </c>
      <c r="F87" s="6" t="s">
        <v>1417</v>
      </c>
      <c r="G87" s="6" t="s">
        <v>1045</v>
      </c>
      <c r="H87" s="6" t="s">
        <v>1418</v>
      </c>
      <c r="I87" s="6" t="s">
        <v>1388</v>
      </c>
      <c r="J87" s="6" t="s">
        <v>1389</v>
      </c>
      <c r="K87" s="6" t="s">
        <v>1419</v>
      </c>
      <c r="L87" s="6" t="s">
        <v>1420</v>
      </c>
      <c r="M87" s="6" t="s">
        <v>1421</v>
      </c>
      <c r="N87" s="6" t="s">
        <v>170</v>
      </c>
      <c r="O87" s="6" t="n">
        <v>9</v>
      </c>
    </row>
    <row r="88" customFormat="false" ht="15" hidden="false" customHeight="false" outlineLevel="0" collapsed="false">
      <c r="A88" s="23" t="n">
        <v>46405</v>
      </c>
      <c r="B88" s="6" t="s">
        <v>1422</v>
      </c>
      <c r="C88" s="6" t="s">
        <v>1423</v>
      </c>
      <c r="D88" s="6" t="s">
        <v>1424</v>
      </c>
      <c r="E88" s="6" t="s">
        <v>1425</v>
      </c>
      <c r="F88" s="6" t="s">
        <v>1426</v>
      </c>
      <c r="G88" s="6" t="s">
        <v>1427</v>
      </c>
      <c r="H88" s="6" t="s">
        <v>1428</v>
      </c>
      <c r="I88" s="6" t="s">
        <v>1429</v>
      </c>
      <c r="J88" s="6" t="s">
        <v>1430</v>
      </c>
      <c r="K88" s="6" t="s">
        <v>1431</v>
      </c>
      <c r="L88" s="6" t="s">
        <v>1432</v>
      </c>
      <c r="M88" s="6" t="s">
        <v>1433</v>
      </c>
      <c r="N88" s="6" t="s">
        <v>174</v>
      </c>
      <c r="O88" s="6" t="n">
        <v>11</v>
      </c>
    </row>
    <row r="89" customFormat="false" ht="15" hidden="false" customHeight="false" outlineLevel="0" collapsed="false">
      <c r="A89" s="23" t="n">
        <v>46406</v>
      </c>
      <c r="B89" s="6" t="s">
        <v>1434</v>
      </c>
      <c r="C89" s="6" t="s">
        <v>1435</v>
      </c>
      <c r="D89" s="6" t="s">
        <v>1436</v>
      </c>
      <c r="E89" s="6" t="s">
        <v>1437</v>
      </c>
      <c r="F89" s="6" t="s">
        <v>1438</v>
      </c>
      <c r="G89" s="6" t="s">
        <v>1439</v>
      </c>
      <c r="H89" s="6" t="s">
        <v>1440</v>
      </c>
      <c r="I89" s="6" t="s">
        <v>1441</v>
      </c>
      <c r="J89" s="6" t="s">
        <v>1442</v>
      </c>
      <c r="K89" s="6" t="s">
        <v>1443</v>
      </c>
      <c r="L89" s="6" t="s">
        <v>1444</v>
      </c>
      <c r="M89" s="6" t="s">
        <v>1445</v>
      </c>
      <c r="N89" s="6" t="s">
        <v>209</v>
      </c>
      <c r="O89" s="6" t="n">
        <v>12</v>
      </c>
    </row>
    <row r="90" customFormat="false" ht="15" hidden="false" customHeight="false" outlineLevel="0" collapsed="false">
      <c r="A90" s="23" t="n">
        <v>46407</v>
      </c>
      <c r="B90" s="6" t="s">
        <v>1446</v>
      </c>
      <c r="C90" s="6" t="s">
        <v>1447</v>
      </c>
      <c r="D90" s="6" t="s">
        <v>1448</v>
      </c>
      <c r="E90" s="6" t="s">
        <v>1449</v>
      </c>
      <c r="F90" s="6" t="s">
        <v>1450</v>
      </c>
      <c r="G90" s="6" t="s">
        <v>1451</v>
      </c>
      <c r="H90" s="6" t="s">
        <v>1452</v>
      </c>
      <c r="I90" s="6" t="s">
        <v>1453</v>
      </c>
      <c r="J90" s="6" t="s">
        <v>1454</v>
      </c>
      <c r="K90" s="6" t="s">
        <v>1455</v>
      </c>
      <c r="L90" s="6" t="s">
        <v>1456</v>
      </c>
      <c r="M90" s="6" t="s">
        <v>1457</v>
      </c>
      <c r="N90" s="6" t="s">
        <v>175</v>
      </c>
      <c r="O90" s="6" t="n">
        <v>13</v>
      </c>
    </row>
    <row r="91" customFormat="false" ht="15" hidden="false" customHeight="false" outlineLevel="0" collapsed="false">
      <c r="A91" s="23" t="n">
        <v>46408</v>
      </c>
      <c r="B91" s="6" t="s">
        <v>1458</v>
      </c>
      <c r="C91" s="6" t="s">
        <v>1459</v>
      </c>
      <c r="D91" s="6" t="s">
        <v>1460</v>
      </c>
      <c r="E91" s="6" t="s">
        <v>1461</v>
      </c>
      <c r="F91" s="6" t="s">
        <v>1462</v>
      </c>
      <c r="G91" s="6" t="s">
        <v>1463</v>
      </c>
      <c r="H91" s="6" t="s">
        <v>1464</v>
      </c>
      <c r="I91" s="6" t="s">
        <v>1465</v>
      </c>
      <c r="J91" s="6" t="s">
        <v>1466</v>
      </c>
      <c r="K91" s="6" t="s">
        <v>1467</v>
      </c>
      <c r="L91" s="6" t="s">
        <v>1468</v>
      </c>
      <c r="M91" s="6" t="s">
        <v>1469</v>
      </c>
      <c r="N91" s="6" t="s">
        <v>177</v>
      </c>
      <c r="O91" s="6" t="n">
        <v>14</v>
      </c>
    </row>
    <row r="92" customFormat="false" ht="15" hidden="false" customHeight="false" outlineLevel="0" collapsed="false">
      <c r="A92" s="23" t="n">
        <v>46409</v>
      </c>
      <c r="B92" s="6" t="s">
        <v>1470</v>
      </c>
      <c r="C92" s="6" t="s">
        <v>1471</v>
      </c>
      <c r="D92" s="6" t="s">
        <v>1472</v>
      </c>
      <c r="E92" s="6" t="s">
        <v>1473</v>
      </c>
      <c r="F92" s="6" t="s">
        <v>1474</v>
      </c>
      <c r="G92" s="6" t="s">
        <v>1475</v>
      </c>
      <c r="H92" s="6" t="s">
        <v>1476</v>
      </c>
      <c r="I92" s="6" t="s">
        <v>1477</v>
      </c>
      <c r="J92" s="6" t="s">
        <v>1478</v>
      </c>
      <c r="K92" s="6" t="s">
        <v>1479</v>
      </c>
      <c r="L92" s="6" t="s">
        <v>1480</v>
      </c>
      <c r="M92" s="6" t="s">
        <v>1481</v>
      </c>
      <c r="N92" s="6" t="s">
        <v>181</v>
      </c>
      <c r="O92" s="6" t="n">
        <v>15</v>
      </c>
    </row>
    <row r="93" customFormat="false" ht="15" hidden="false" customHeight="false" outlineLevel="0" collapsed="false">
      <c r="A93" s="23" t="n">
        <v>46410</v>
      </c>
      <c r="B93" s="6" t="s">
        <v>1482</v>
      </c>
      <c r="C93" s="6" t="s">
        <v>1483</v>
      </c>
      <c r="D93" s="6" t="s">
        <v>1484</v>
      </c>
      <c r="E93" s="6" t="s">
        <v>1485</v>
      </c>
      <c r="F93" s="6" t="s">
        <v>1486</v>
      </c>
      <c r="G93" s="6" t="s">
        <v>1003</v>
      </c>
      <c r="H93" s="6" t="s">
        <v>1487</v>
      </c>
      <c r="I93" s="6" t="s">
        <v>1488</v>
      </c>
      <c r="J93" s="6" t="s">
        <v>1489</v>
      </c>
      <c r="K93" s="6" t="s">
        <v>1479</v>
      </c>
      <c r="L93" s="6" t="s">
        <v>1490</v>
      </c>
      <c r="M93" s="6" t="s">
        <v>1491</v>
      </c>
      <c r="N93" s="6" t="s">
        <v>182</v>
      </c>
      <c r="O93" s="6" t="n">
        <v>16</v>
      </c>
    </row>
    <row r="94" customFormat="false" ht="15" hidden="false" customHeight="false" outlineLevel="0" collapsed="false">
      <c r="A94" s="23" t="n">
        <v>46411</v>
      </c>
      <c r="B94" s="6" t="s">
        <v>1492</v>
      </c>
      <c r="C94" s="6" t="s">
        <v>1493</v>
      </c>
      <c r="D94" s="6" t="s">
        <v>1494</v>
      </c>
      <c r="E94" s="6" t="s">
        <v>1495</v>
      </c>
      <c r="F94" s="6" t="s">
        <v>1496</v>
      </c>
      <c r="G94" s="6" t="s">
        <v>1090</v>
      </c>
      <c r="H94" s="6" t="s">
        <v>1497</v>
      </c>
      <c r="I94" s="6" t="s">
        <v>1488</v>
      </c>
      <c r="J94" s="6" t="s">
        <v>1489</v>
      </c>
      <c r="K94" s="6" t="s">
        <v>1498</v>
      </c>
      <c r="L94" s="6" t="s">
        <v>1499</v>
      </c>
      <c r="M94" s="6" t="s">
        <v>1500</v>
      </c>
      <c r="N94" s="6" t="s">
        <v>184</v>
      </c>
      <c r="O94" s="6" t="n">
        <v>18</v>
      </c>
    </row>
    <row r="95" customFormat="false" ht="15" hidden="false" customHeight="false" outlineLevel="0" collapsed="false">
      <c r="A95" s="23" t="n">
        <v>46412</v>
      </c>
      <c r="B95" s="6" t="s">
        <v>1501</v>
      </c>
      <c r="C95" s="6" t="s">
        <v>1502</v>
      </c>
      <c r="D95" s="6" t="s">
        <v>1503</v>
      </c>
      <c r="E95" s="6" t="s">
        <v>1504</v>
      </c>
      <c r="F95" s="6" t="s">
        <v>1505</v>
      </c>
      <c r="G95" s="6" t="s">
        <v>1506</v>
      </c>
      <c r="H95" s="6" t="s">
        <v>1507</v>
      </c>
      <c r="I95" s="6" t="s">
        <v>1477</v>
      </c>
      <c r="J95" s="6" t="s">
        <v>1478</v>
      </c>
      <c r="K95" s="6" t="s">
        <v>1508</v>
      </c>
      <c r="L95" s="6" t="s">
        <v>1509</v>
      </c>
      <c r="M95" s="6" t="s">
        <v>1406</v>
      </c>
      <c r="N95" s="6" t="s">
        <v>185</v>
      </c>
      <c r="O95" s="6" t="n">
        <v>19</v>
      </c>
    </row>
    <row r="96" customFormat="false" ht="15" hidden="false" customHeight="false" outlineLevel="0" collapsed="false">
      <c r="A96" s="23" t="n">
        <v>46413</v>
      </c>
      <c r="B96" s="6" t="s">
        <v>1510</v>
      </c>
      <c r="C96" s="6" t="s">
        <v>1511</v>
      </c>
      <c r="D96" s="6" t="s">
        <v>1512</v>
      </c>
      <c r="E96" s="6" t="s">
        <v>1513</v>
      </c>
      <c r="F96" s="6" t="s">
        <v>1514</v>
      </c>
      <c r="G96" s="6" t="s">
        <v>1515</v>
      </c>
      <c r="H96" s="6" t="s">
        <v>1516</v>
      </c>
      <c r="I96" s="6" t="s">
        <v>1517</v>
      </c>
      <c r="J96" s="6" t="s">
        <v>1518</v>
      </c>
      <c r="K96" s="6" t="s">
        <v>1519</v>
      </c>
      <c r="L96" s="6" t="s">
        <v>1520</v>
      </c>
      <c r="M96" s="6" t="s">
        <v>1521</v>
      </c>
      <c r="N96" s="6" t="s">
        <v>187</v>
      </c>
      <c r="O96" s="6" t="n">
        <v>20</v>
      </c>
    </row>
    <row r="97" customFormat="false" ht="15" hidden="false" customHeight="false" outlineLevel="0" collapsed="false">
      <c r="A97" s="23" t="n">
        <v>46414</v>
      </c>
      <c r="B97" s="6" t="s">
        <v>1522</v>
      </c>
      <c r="C97" s="6" t="s">
        <v>1523</v>
      </c>
      <c r="D97" s="6" t="s">
        <v>1524</v>
      </c>
      <c r="E97" s="6" t="s">
        <v>1525</v>
      </c>
      <c r="F97" s="6" t="s">
        <v>1526</v>
      </c>
      <c r="G97" s="6" t="s">
        <v>1527</v>
      </c>
      <c r="H97" s="6" t="s">
        <v>1528</v>
      </c>
      <c r="I97" s="6" t="s">
        <v>1465</v>
      </c>
      <c r="J97" s="6" t="s">
        <v>1466</v>
      </c>
      <c r="K97" s="6" t="s">
        <v>1519</v>
      </c>
      <c r="L97" s="6" t="s">
        <v>1529</v>
      </c>
      <c r="M97" s="6" t="s">
        <v>1530</v>
      </c>
      <c r="N97" s="6" t="s">
        <v>188</v>
      </c>
      <c r="O97" s="6" t="n">
        <v>21</v>
      </c>
    </row>
    <row r="98" customFormat="false" ht="15" hidden="false" customHeight="false" outlineLevel="0" collapsed="false">
      <c r="A98" s="23" t="n">
        <v>46415</v>
      </c>
      <c r="B98" s="6" t="s">
        <v>1531</v>
      </c>
      <c r="C98" s="6" t="s">
        <v>1532</v>
      </c>
      <c r="D98" s="6" t="s">
        <v>1533</v>
      </c>
      <c r="E98" s="6" t="s">
        <v>1534</v>
      </c>
      <c r="F98" s="6" t="s">
        <v>1535</v>
      </c>
      <c r="G98" s="6" t="s">
        <v>1536</v>
      </c>
      <c r="H98" s="6" t="s">
        <v>1537</v>
      </c>
      <c r="I98" s="6" t="s">
        <v>1538</v>
      </c>
      <c r="J98" s="6" t="s">
        <v>1539</v>
      </c>
      <c r="K98" s="6" t="s">
        <v>1540</v>
      </c>
      <c r="L98" s="6" t="s">
        <v>1541</v>
      </c>
      <c r="M98" s="6" t="s">
        <v>1542</v>
      </c>
      <c r="N98" s="6" t="s">
        <v>189</v>
      </c>
      <c r="O98" s="6" t="n">
        <v>22</v>
      </c>
    </row>
    <row r="99" customFormat="false" ht="15" hidden="false" customHeight="false" outlineLevel="0" collapsed="false">
      <c r="A99" s="23" t="n">
        <v>46416</v>
      </c>
      <c r="B99" s="6" t="s">
        <v>1543</v>
      </c>
      <c r="C99" s="6" t="s">
        <v>1544</v>
      </c>
      <c r="D99" s="6" t="s">
        <v>1545</v>
      </c>
      <c r="E99" s="6" t="s">
        <v>1546</v>
      </c>
      <c r="F99" s="6" t="s">
        <v>1547</v>
      </c>
      <c r="G99" s="6" t="s">
        <v>1548</v>
      </c>
      <c r="H99" s="6" t="s">
        <v>1549</v>
      </c>
      <c r="I99" s="6" t="s">
        <v>1453</v>
      </c>
      <c r="J99" s="6" t="s">
        <v>1454</v>
      </c>
      <c r="K99" s="6" t="s">
        <v>1550</v>
      </c>
      <c r="L99" s="6" t="s">
        <v>1551</v>
      </c>
      <c r="M99" s="6" t="s">
        <v>1205</v>
      </c>
      <c r="N99" s="6" t="s">
        <v>191</v>
      </c>
      <c r="O99" s="6" t="n">
        <v>23</v>
      </c>
    </row>
    <row r="100" customFormat="false" ht="15" hidden="false" customHeight="false" outlineLevel="0" collapsed="false">
      <c r="A100" s="23" t="n">
        <v>46417</v>
      </c>
      <c r="B100" s="6" t="s">
        <v>1552</v>
      </c>
      <c r="C100" s="6" t="s">
        <v>1553</v>
      </c>
      <c r="D100" s="6" t="s">
        <v>1554</v>
      </c>
      <c r="E100" s="6" t="s">
        <v>1555</v>
      </c>
      <c r="F100" s="6" t="s">
        <v>1556</v>
      </c>
      <c r="G100" s="6" t="s">
        <v>1557</v>
      </c>
      <c r="H100" s="6" t="s">
        <v>1558</v>
      </c>
      <c r="I100" s="6" t="s">
        <v>1538</v>
      </c>
      <c r="J100" s="6" t="s">
        <v>1539</v>
      </c>
      <c r="K100" s="6" t="s">
        <v>1550</v>
      </c>
      <c r="L100" s="6" t="s">
        <v>1559</v>
      </c>
      <c r="M100" s="6" t="s">
        <v>1560</v>
      </c>
      <c r="N100" s="6" t="s">
        <v>192</v>
      </c>
      <c r="O100" s="6" t="n">
        <v>24</v>
      </c>
    </row>
    <row r="101" customFormat="false" ht="15" hidden="false" customHeight="false" outlineLevel="0" collapsed="false">
      <c r="A101" s="23" t="n">
        <v>46418</v>
      </c>
      <c r="B101" s="6" t="s">
        <v>1561</v>
      </c>
      <c r="C101" s="6" t="s">
        <v>1562</v>
      </c>
      <c r="D101" s="6" t="s">
        <v>1563</v>
      </c>
      <c r="E101" s="6" t="s">
        <v>1564</v>
      </c>
      <c r="F101" s="6" t="s">
        <v>1565</v>
      </c>
      <c r="G101" s="6" t="s">
        <v>1566</v>
      </c>
      <c r="H101" s="6" t="s">
        <v>1567</v>
      </c>
      <c r="I101" s="6" t="s">
        <v>1538</v>
      </c>
      <c r="J101" s="6" t="s">
        <v>1539</v>
      </c>
      <c r="K101" s="6" t="s">
        <v>1568</v>
      </c>
      <c r="L101" s="6" t="s">
        <v>1569</v>
      </c>
      <c r="M101" s="6" t="s">
        <v>1570</v>
      </c>
      <c r="N101" s="6" t="s">
        <v>193</v>
      </c>
      <c r="O101" s="6" t="n">
        <v>25</v>
      </c>
    </row>
    <row r="102" customFormat="false" ht="15" hidden="false" customHeight="false" outlineLevel="0" collapsed="false">
      <c r="A102" s="23" t="n">
        <v>46419</v>
      </c>
      <c r="B102" s="6" t="s">
        <v>1571</v>
      </c>
      <c r="C102" s="6" t="s">
        <v>1572</v>
      </c>
      <c r="D102" s="6" t="s">
        <v>1573</v>
      </c>
      <c r="E102" s="6" t="s">
        <v>1574</v>
      </c>
      <c r="F102" s="6" t="s">
        <v>1575</v>
      </c>
      <c r="G102" s="6" t="s">
        <v>1576</v>
      </c>
      <c r="H102" s="6" t="s">
        <v>1577</v>
      </c>
      <c r="I102" s="6" t="s">
        <v>1465</v>
      </c>
      <c r="J102" s="6" t="s">
        <v>1466</v>
      </c>
      <c r="K102" s="6" t="s">
        <v>1568</v>
      </c>
      <c r="L102" s="6" t="s">
        <v>1578</v>
      </c>
      <c r="M102" s="6" t="s">
        <v>1579</v>
      </c>
      <c r="N102" s="6" t="s">
        <v>194</v>
      </c>
      <c r="O102" s="6" t="n">
        <v>26</v>
      </c>
    </row>
    <row r="103" customFormat="false" ht="15" hidden="false" customHeight="false" outlineLevel="0" collapsed="false">
      <c r="A103" s="23" t="n">
        <v>46420</v>
      </c>
      <c r="B103" s="6" t="s">
        <v>1580</v>
      </c>
      <c r="C103" s="6" t="s">
        <v>1581</v>
      </c>
      <c r="D103" s="6" t="s">
        <v>1582</v>
      </c>
      <c r="E103" s="6" t="s">
        <v>1583</v>
      </c>
      <c r="F103" s="6" t="s">
        <v>1584</v>
      </c>
      <c r="G103" s="6" t="s">
        <v>1585</v>
      </c>
      <c r="H103" s="6" t="s">
        <v>1586</v>
      </c>
      <c r="I103" s="6" t="s">
        <v>1517</v>
      </c>
      <c r="J103" s="6" t="s">
        <v>1518</v>
      </c>
      <c r="K103" s="6" t="s">
        <v>1568</v>
      </c>
      <c r="L103" s="6" t="s">
        <v>1587</v>
      </c>
      <c r="M103" s="6" t="s">
        <v>1588</v>
      </c>
      <c r="N103" s="6" t="s">
        <v>196</v>
      </c>
      <c r="O103" s="6" t="n">
        <v>27</v>
      </c>
    </row>
    <row r="104" customFormat="false" ht="15" hidden="false" customHeight="false" outlineLevel="0" collapsed="false">
      <c r="A104" s="23" t="n">
        <v>46421</v>
      </c>
      <c r="B104" s="6" t="s">
        <v>1589</v>
      </c>
      <c r="C104" s="6" t="s">
        <v>1590</v>
      </c>
      <c r="D104" s="6" t="s">
        <v>1591</v>
      </c>
      <c r="E104" s="6" t="s">
        <v>1592</v>
      </c>
      <c r="F104" s="6" t="s">
        <v>1593</v>
      </c>
      <c r="G104" s="6" t="s">
        <v>1594</v>
      </c>
      <c r="H104" s="6" t="s">
        <v>1595</v>
      </c>
      <c r="I104" s="6" t="s">
        <v>1477</v>
      </c>
      <c r="J104" s="6" t="s">
        <v>1478</v>
      </c>
      <c r="K104" s="6" t="s">
        <v>1596</v>
      </c>
      <c r="L104" s="6" t="s">
        <v>1597</v>
      </c>
      <c r="M104" s="6" t="s">
        <v>1598</v>
      </c>
      <c r="N104" s="6" t="s">
        <v>196</v>
      </c>
      <c r="O104" s="6" t="n">
        <v>27</v>
      </c>
    </row>
    <row r="105" customFormat="false" ht="15" hidden="false" customHeight="false" outlineLevel="0" collapsed="false">
      <c r="A105" s="23" t="n">
        <v>46422</v>
      </c>
      <c r="B105" s="6" t="s">
        <v>1599</v>
      </c>
      <c r="C105" s="6" t="s">
        <v>1600</v>
      </c>
      <c r="D105" s="6" t="s">
        <v>1601</v>
      </c>
      <c r="E105" s="6" t="s">
        <v>1602</v>
      </c>
      <c r="F105" s="6" t="s">
        <v>1603</v>
      </c>
      <c r="G105" s="6" t="s">
        <v>1604</v>
      </c>
      <c r="H105" s="6" t="s">
        <v>1605</v>
      </c>
      <c r="I105" s="6" t="s">
        <v>1488</v>
      </c>
      <c r="J105" s="6" t="s">
        <v>1489</v>
      </c>
      <c r="K105" s="6" t="s">
        <v>1596</v>
      </c>
      <c r="L105" s="6" t="s">
        <v>1606</v>
      </c>
      <c r="M105" s="6" t="s">
        <v>1607</v>
      </c>
      <c r="N105" s="6" t="s">
        <v>197</v>
      </c>
      <c r="O105" s="6" t="n">
        <v>28</v>
      </c>
    </row>
    <row r="106" customFormat="false" ht="15" hidden="false" customHeight="false" outlineLevel="0" collapsed="false">
      <c r="A106" s="23" t="n">
        <v>46423</v>
      </c>
      <c r="B106" s="6" t="s">
        <v>1608</v>
      </c>
      <c r="C106" s="6" t="s">
        <v>1609</v>
      </c>
      <c r="D106" s="6" t="s">
        <v>1610</v>
      </c>
      <c r="E106" s="6" t="s">
        <v>1611</v>
      </c>
      <c r="F106" s="6" t="s">
        <v>1612</v>
      </c>
      <c r="G106" s="6" t="s">
        <v>1613</v>
      </c>
      <c r="H106" s="6" t="s">
        <v>1614</v>
      </c>
      <c r="I106" s="6" t="s">
        <v>1615</v>
      </c>
      <c r="J106" s="6" t="s">
        <v>1616</v>
      </c>
      <c r="K106" s="6" t="s">
        <v>1596</v>
      </c>
      <c r="L106" s="6" t="s">
        <v>1617</v>
      </c>
      <c r="M106" s="6" t="s">
        <v>1618</v>
      </c>
      <c r="N106" s="6" t="s">
        <v>199</v>
      </c>
      <c r="O106" s="6" t="n">
        <v>29</v>
      </c>
    </row>
    <row r="107" customFormat="false" ht="15" hidden="false" customHeight="false" outlineLevel="0" collapsed="false">
      <c r="A107" s="23" t="n">
        <v>46424</v>
      </c>
      <c r="B107" s="6" t="s">
        <v>1619</v>
      </c>
      <c r="C107" s="6" t="s">
        <v>1620</v>
      </c>
      <c r="D107" s="6" t="s">
        <v>1621</v>
      </c>
      <c r="E107" s="6" t="s">
        <v>1622</v>
      </c>
      <c r="F107" s="6" t="s">
        <v>1623</v>
      </c>
      <c r="G107" s="6" t="s">
        <v>1624</v>
      </c>
      <c r="H107" s="6" t="s">
        <v>1625</v>
      </c>
      <c r="I107" s="6" t="s">
        <v>1615</v>
      </c>
      <c r="J107" s="6" t="s">
        <v>1616</v>
      </c>
      <c r="K107" s="6" t="s">
        <v>1596</v>
      </c>
      <c r="L107" s="6" t="s">
        <v>1626</v>
      </c>
      <c r="M107" s="6" t="s">
        <v>1627</v>
      </c>
      <c r="N107" s="6" t="s">
        <v>200</v>
      </c>
      <c r="O107" s="6" t="n">
        <v>30</v>
      </c>
    </row>
    <row r="108" customFormat="false" ht="15" hidden="false" customHeight="false" outlineLevel="0" collapsed="false">
      <c r="A108" s="23" t="n">
        <v>46425</v>
      </c>
      <c r="B108" s="6" t="s">
        <v>1628</v>
      </c>
      <c r="C108" s="6" t="s">
        <v>798</v>
      </c>
      <c r="D108" s="6" t="s">
        <v>1629</v>
      </c>
      <c r="E108" s="6" t="s">
        <v>1630</v>
      </c>
      <c r="F108" s="6" t="s">
        <v>1631</v>
      </c>
      <c r="G108" s="6" t="s">
        <v>1632</v>
      </c>
      <c r="H108" s="6" t="s">
        <v>1633</v>
      </c>
      <c r="I108" s="6" t="s">
        <v>1615</v>
      </c>
      <c r="J108" s="6" t="s">
        <v>1616</v>
      </c>
      <c r="K108" s="6" t="s">
        <v>1596</v>
      </c>
      <c r="L108" s="6" t="s">
        <v>1634</v>
      </c>
      <c r="M108" s="6" t="s">
        <v>1635</v>
      </c>
      <c r="N108" s="6" t="s">
        <v>201</v>
      </c>
      <c r="O108" s="6" t="n">
        <v>1</v>
      </c>
    </row>
    <row r="109" customFormat="false" ht="15" hidden="false" customHeight="false" outlineLevel="0" collapsed="false">
      <c r="A109" s="23" t="n">
        <v>46426</v>
      </c>
      <c r="B109" s="6" t="s">
        <v>1636</v>
      </c>
      <c r="C109" s="6" t="s">
        <v>1637</v>
      </c>
      <c r="D109" s="6" t="s">
        <v>1638</v>
      </c>
      <c r="E109" s="6" t="s">
        <v>1639</v>
      </c>
      <c r="F109" s="6" t="s">
        <v>1640</v>
      </c>
      <c r="G109" s="6" t="s">
        <v>1641</v>
      </c>
      <c r="H109" s="6" t="s">
        <v>1642</v>
      </c>
      <c r="I109" s="6" t="s">
        <v>1615</v>
      </c>
      <c r="J109" s="6" t="s">
        <v>1616</v>
      </c>
      <c r="K109" s="6" t="s">
        <v>1596</v>
      </c>
      <c r="L109" s="6" t="s">
        <v>1643</v>
      </c>
      <c r="M109" s="6" t="s">
        <v>1644</v>
      </c>
      <c r="N109" s="6" t="s">
        <v>203</v>
      </c>
      <c r="O109" s="6" t="n">
        <v>2</v>
      </c>
    </row>
    <row r="110" customFormat="false" ht="15" hidden="false" customHeight="false" outlineLevel="0" collapsed="false">
      <c r="A110" s="23" t="n">
        <v>46427</v>
      </c>
      <c r="B110" s="6" t="s">
        <v>1645</v>
      </c>
      <c r="C110" s="6" t="s">
        <v>1646</v>
      </c>
      <c r="D110" s="6" t="s">
        <v>1647</v>
      </c>
      <c r="E110" s="6" t="s">
        <v>1648</v>
      </c>
      <c r="F110" s="6" t="s">
        <v>1649</v>
      </c>
      <c r="G110" s="6" t="s">
        <v>1196</v>
      </c>
      <c r="H110" s="6" t="s">
        <v>1650</v>
      </c>
      <c r="I110" s="6" t="s">
        <v>1615</v>
      </c>
      <c r="J110" s="6" t="s">
        <v>1616</v>
      </c>
      <c r="K110" s="6" t="s">
        <v>1651</v>
      </c>
      <c r="L110" s="6" t="s">
        <v>1652</v>
      </c>
      <c r="M110" s="6" t="s">
        <v>1653</v>
      </c>
      <c r="N110" s="6" t="s">
        <v>204</v>
      </c>
      <c r="O110" s="6" t="n">
        <v>3</v>
      </c>
    </row>
    <row r="111" customFormat="false" ht="15" hidden="false" customHeight="false" outlineLevel="0" collapsed="false">
      <c r="A111" s="23" t="n">
        <v>46428</v>
      </c>
      <c r="B111" s="6" t="s">
        <v>1267</v>
      </c>
      <c r="C111" s="6" t="s">
        <v>1509</v>
      </c>
      <c r="D111" s="6" t="s">
        <v>1654</v>
      </c>
      <c r="E111" s="6" t="s">
        <v>1655</v>
      </c>
      <c r="F111" s="6" t="s">
        <v>1656</v>
      </c>
      <c r="G111" s="6" t="s">
        <v>1657</v>
      </c>
      <c r="H111" s="6" t="s">
        <v>1658</v>
      </c>
      <c r="I111" s="6" t="s">
        <v>1615</v>
      </c>
      <c r="J111" s="6" t="s">
        <v>1616</v>
      </c>
      <c r="K111" s="6" t="s">
        <v>1651</v>
      </c>
      <c r="L111" s="6" t="s">
        <v>1659</v>
      </c>
      <c r="M111" s="6" t="s">
        <v>1660</v>
      </c>
      <c r="N111" s="6" t="s">
        <v>206</v>
      </c>
      <c r="O111" s="6" t="n">
        <v>4</v>
      </c>
    </row>
    <row r="112" customFormat="false" ht="15" hidden="false" customHeight="false" outlineLevel="0" collapsed="false">
      <c r="A112" s="23" t="n">
        <v>46429</v>
      </c>
      <c r="B112" s="6" t="s">
        <v>1661</v>
      </c>
      <c r="C112" s="6" t="s">
        <v>1662</v>
      </c>
      <c r="D112" s="6" t="s">
        <v>1663</v>
      </c>
      <c r="E112" s="6" t="s">
        <v>1664</v>
      </c>
      <c r="F112" s="6" t="s">
        <v>1665</v>
      </c>
      <c r="G112" s="6" t="s">
        <v>1666</v>
      </c>
      <c r="H112" s="6" t="s">
        <v>1667</v>
      </c>
      <c r="I112" s="6" t="s">
        <v>1615</v>
      </c>
      <c r="J112" s="6" t="s">
        <v>1616</v>
      </c>
      <c r="K112" s="6" t="s">
        <v>1651</v>
      </c>
      <c r="L112" s="6" t="s">
        <v>1668</v>
      </c>
      <c r="M112" s="6" t="s">
        <v>1669</v>
      </c>
      <c r="N112" s="6" t="s">
        <v>207</v>
      </c>
      <c r="O112" s="6" t="n">
        <v>5</v>
      </c>
    </row>
    <row r="113" customFormat="false" ht="15" hidden="false" customHeight="false" outlineLevel="0" collapsed="false">
      <c r="A113" s="23" t="n">
        <v>46430</v>
      </c>
      <c r="B113" s="6" t="s">
        <v>1670</v>
      </c>
      <c r="C113" s="6" t="s">
        <v>1671</v>
      </c>
      <c r="D113" s="6" t="s">
        <v>1672</v>
      </c>
      <c r="E113" s="6" t="s">
        <v>1673</v>
      </c>
      <c r="F113" s="6" t="s">
        <v>1674</v>
      </c>
      <c r="G113" s="6" t="s">
        <v>1675</v>
      </c>
      <c r="H113" s="6" t="s">
        <v>1676</v>
      </c>
      <c r="I113" s="6" t="s">
        <v>1615</v>
      </c>
      <c r="J113" s="6" t="s">
        <v>1616</v>
      </c>
      <c r="K113" s="6" t="s">
        <v>1651</v>
      </c>
      <c r="L113" s="6" t="s">
        <v>1677</v>
      </c>
      <c r="M113" s="6" t="s">
        <v>1678</v>
      </c>
      <c r="N113" s="6" t="s">
        <v>208</v>
      </c>
      <c r="O113" s="6" t="n">
        <v>6</v>
      </c>
    </row>
    <row r="114" customFormat="false" ht="15" hidden="false" customHeight="false" outlineLevel="0" collapsed="false">
      <c r="A114" s="23" t="n">
        <v>46431</v>
      </c>
      <c r="B114" s="6" t="s">
        <v>1679</v>
      </c>
      <c r="C114" s="6" t="s">
        <v>1680</v>
      </c>
      <c r="D114" s="6" t="s">
        <v>1681</v>
      </c>
      <c r="E114" s="6" t="s">
        <v>1682</v>
      </c>
      <c r="F114" s="6" t="s">
        <v>1683</v>
      </c>
      <c r="G114" s="6" t="s">
        <v>1684</v>
      </c>
      <c r="H114" s="6" t="s">
        <v>1685</v>
      </c>
      <c r="I114" s="6" t="s">
        <v>1615</v>
      </c>
      <c r="J114" s="6" t="s">
        <v>1616</v>
      </c>
      <c r="K114" s="6" t="s">
        <v>1651</v>
      </c>
      <c r="L114" s="6" t="s">
        <v>1686</v>
      </c>
      <c r="M114" s="6" t="s">
        <v>1687</v>
      </c>
      <c r="N114" s="6" t="s">
        <v>170</v>
      </c>
      <c r="O114" s="6" t="n">
        <v>7</v>
      </c>
    </row>
    <row r="115" customFormat="false" ht="15" hidden="false" customHeight="false" outlineLevel="0" collapsed="false">
      <c r="A115" s="23" t="n">
        <v>46432</v>
      </c>
      <c r="B115" s="6" t="s">
        <v>1688</v>
      </c>
      <c r="C115" s="6" t="s">
        <v>1689</v>
      </c>
      <c r="D115" s="6" t="s">
        <v>1690</v>
      </c>
      <c r="E115" s="6" t="s">
        <v>1691</v>
      </c>
      <c r="F115" s="6" t="s">
        <v>1692</v>
      </c>
      <c r="G115" s="6" t="s">
        <v>1693</v>
      </c>
      <c r="H115" s="6" t="s">
        <v>1694</v>
      </c>
      <c r="I115" s="6" t="s">
        <v>1615</v>
      </c>
      <c r="J115" s="6" t="s">
        <v>1616</v>
      </c>
      <c r="K115" s="6" t="s">
        <v>1651</v>
      </c>
      <c r="L115" s="6" t="s">
        <v>1695</v>
      </c>
      <c r="M115" s="6" t="s">
        <v>1696</v>
      </c>
      <c r="N115" s="6" t="s">
        <v>174</v>
      </c>
      <c r="O115" s="6" t="n">
        <v>8</v>
      </c>
    </row>
    <row r="116" customFormat="false" ht="15" hidden="false" customHeight="false" outlineLevel="0" collapsed="false">
      <c r="A116" s="23" t="n">
        <v>46433</v>
      </c>
      <c r="B116" s="6" t="s">
        <v>1697</v>
      </c>
      <c r="C116" s="6" t="s">
        <v>1698</v>
      </c>
      <c r="D116" s="6" t="s">
        <v>1699</v>
      </c>
      <c r="E116" s="6" t="s">
        <v>1700</v>
      </c>
      <c r="F116" s="6" t="s">
        <v>1701</v>
      </c>
      <c r="G116" s="6" t="s">
        <v>1702</v>
      </c>
      <c r="H116" s="6" t="s">
        <v>1703</v>
      </c>
      <c r="I116" s="6" t="s">
        <v>1615</v>
      </c>
      <c r="J116" s="6" t="s">
        <v>1616</v>
      </c>
      <c r="K116" s="6" t="s">
        <v>1704</v>
      </c>
      <c r="L116" s="6" t="s">
        <v>1705</v>
      </c>
      <c r="M116" s="6" t="s">
        <v>1706</v>
      </c>
      <c r="N116" s="6" t="s">
        <v>209</v>
      </c>
      <c r="O116" s="6" t="n">
        <v>9</v>
      </c>
    </row>
    <row r="117" customFormat="false" ht="15" hidden="false" customHeight="false" outlineLevel="0" collapsed="false">
      <c r="A117" s="23" t="n">
        <v>46434</v>
      </c>
      <c r="B117" s="6" t="s">
        <v>1707</v>
      </c>
      <c r="C117" s="6" t="s">
        <v>1708</v>
      </c>
      <c r="D117" s="6" t="s">
        <v>1709</v>
      </c>
      <c r="E117" s="6" t="s">
        <v>1710</v>
      </c>
      <c r="F117" s="6" t="s">
        <v>1711</v>
      </c>
      <c r="G117" s="6" t="s">
        <v>1282</v>
      </c>
      <c r="H117" s="6" t="s">
        <v>1712</v>
      </c>
      <c r="I117" s="6" t="s">
        <v>1615</v>
      </c>
      <c r="J117" s="6" t="s">
        <v>1616</v>
      </c>
      <c r="K117" s="6" t="s">
        <v>1704</v>
      </c>
      <c r="L117" s="6" t="s">
        <v>1713</v>
      </c>
      <c r="M117" s="6" t="s">
        <v>1714</v>
      </c>
      <c r="N117" s="6" t="s">
        <v>175</v>
      </c>
      <c r="O117" s="6" t="n">
        <v>10</v>
      </c>
    </row>
    <row r="118" customFormat="false" ht="15" hidden="false" customHeight="false" outlineLevel="0" collapsed="false">
      <c r="A118" s="23" t="n">
        <v>46435</v>
      </c>
      <c r="B118" s="6" t="s">
        <v>1715</v>
      </c>
      <c r="C118" s="6" t="s">
        <v>1716</v>
      </c>
      <c r="D118" s="6" t="s">
        <v>1717</v>
      </c>
      <c r="E118" s="6" t="s">
        <v>1718</v>
      </c>
      <c r="F118" s="6" t="s">
        <v>1719</v>
      </c>
      <c r="G118" s="6" t="s">
        <v>1720</v>
      </c>
      <c r="H118" s="6" t="s">
        <v>1721</v>
      </c>
      <c r="I118" s="6" t="s">
        <v>1615</v>
      </c>
      <c r="J118" s="6" t="s">
        <v>1616</v>
      </c>
      <c r="K118" s="6" t="s">
        <v>1722</v>
      </c>
      <c r="L118" s="6" t="s">
        <v>1723</v>
      </c>
      <c r="M118" s="6" t="s">
        <v>1724</v>
      </c>
      <c r="N118" s="6" t="s">
        <v>177</v>
      </c>
      <c r="O118" s="6" t="n">
        <v>11</v>
      </c>
    </row>
    <row r="119" customFormat="false" ht="15" hidden="false" customHeight="false" outlineLevel="0" collapsed="false">
      <c r="A119" s="23" t="n">
        <v>46436</v>
      </c>
      <c r="B119" s="6" t="s">
        <v>1725</v>
      </c>
      <c r="C119" s="6" t="s">
        <v>1726</v>
      </c>
      <c r="D119" s="6" t="s">
        <v>1727</v>
      </c>
      <c r="E119" s="6" t="s">
        <v>1728</v>
      </c>
      <c r="F119" s="6" t="s">
        <v>1729</v>
      </c>
      <c r="G119" s="6" t="s">
        <v>1730</v>
      </c>
      <c r="H119" s="6" t="s">
        <v>1731</v>
      </c>
      <c r="I119" s="6" t="s">
        <v>1488</v>
      </c>
      <c r="J119" s="6" t="s">
        <v>1489</v>
      </c>
      <c r="K119" s="6" t="s">
        <v>1722</v>
      </c>
      <c r="L119" s="6" t="s">
        <v>1732</v>
      </c>
      <c r="M119" s="6" t="s">
        <v>1733</v>
      </c>
      <c r="N119" s="6" t="s">
        <v>178</v>
      </c>
      <c r="O119" s="6" t="n">
        <v>12</v>
      </c>
    </row>
    <row r="120" customFormat="false" ht="15" hidden="false" customHeight="false" outlineLevel="0" collapsed="false">
      <c r="A120" s="23" t="n">
        <v>46437</v>
      </c>
      <c r="B120" s="6" t="s">
        <v>1734</v>
      </c>
      <c r="C120" s="6" t="s">
        <v>1735</v>
      </c>
      <c r="D120" s="6" t="s">
        <v>1736</v>
      </c>
      <c r="E120" s="6" t="s">
        <v>1737</v>
      </c>
      <c r="F120" s="6" t="s">
        <v>1738</v>
      </c>
      <c r="G120" s="6" t="s">
        <v>1739</v>
      </c>
      <c r="H120" s="6" t="s">
        <v>1740</v>
      </c>
      <c r="I120" s="6" t="s">
        <v>1477</v>
      </c>
      <c r="J120" s="6" t="s">
        <v>1478</v>
      </c>
      <c r="K120" s="6" t="s">
        <v>1741</v>
      </c>
      <c r="L120" s="6" t="s">
        <v>1742</v>
      </c>
      <c r="M120" s="6" t="s">
        <v>1743</v>
      </c>
      <c r="N120" s="6" t="s">
        <v>181</v>
      </c>
      <c r="O120" s="6" t="n">
        <v>14</v>
      </c>
    </row>
    <row r="121" customFormat="false" ht="15" hidden="false" customHeight="false" outlineLevel="0" collapsed="false">
      <c r="A121" s="23" t="n">
        <v>46438</v>
      </c>
      <c r="B121" s="6" t="s">
        <v>1744</v>
      </c>
      <c r="C121" s="6" t="s">
        <v>1745</v>
      </c>
      <c r="D121" s="6" t="s">
        <v>1746</v>
      </c>
      <c r="E121" s="6" t="s">
        <v>1747</v>
      </c>
      <c r="F121" s="6" t="s">
        <v>1748</v>
      </c>
      <c r="G121" s="6" t="s">
        <v>1749</v>
      </c>
      <c r="H121" s="6" t="s">
        <v>1750</v>
      </c>
      <c r="I121" s="6" t="s">
        <v>1477</v>
      </c>
      <c r="J121" s="6" t="s">
        <v>1478</v>
      </c>
      <c r="K121" s="6" t="s">
        <v>1741</v>
      </c>
      <c r="L121" s="6" t="s">
        <v>1751</v>
      </c>
      <c r="M121" s="6" t="s">
        <v>1752</v>
      </c>
      <c r="N121" s="6" t="s">
        <v>182</v>
      </c>
      <c r="O121" s="6" t="n">
        <v>15</v>
      </c>
    </row>
    <row r="122" customFormat="false" ht="15" hidden="false" customHeight="false" outlineLevel="0" collapsed="false">
      <c r="A122" s="23" t="n">
        <v>46439</v>
      </c>
      <c r="B122" s="6" t="s">
        <v>1753</v>
      </c>
      <c r="C122" s="6" t="s">
        <v>1754</v>
      </c>
      <c r="D122" s="6" t="s">
        <v>1755</v>
      </c>
      <c r="E122" s="6" t="s">
        <v>1756</v>
      </c>
      <c r="F122" s="6" t="s">
        <v>1757</v>
      </c>
      <c r="G122" s="6" t="s">
        <v>1758</v>
      </c>
      <c r="H122" s="6" t="s">
        <v>1759</v>
      </c>
      <c r="I122" s="6" t="s">
        <v>1477</v>
      </c>
      <c r="J122" s="6" t="s">
        <v>1478</v>
      </c>
      <c r="K122" s="6" t="s">
        <v>1760</v>
      </c>
      <c r="L122" s="6" t="s">
        <v>1761</v>
      </c>
      <c r="M122" s="6" t="s">
        <v>1762</v>
      </c>
      <c r="N122" s="6" t="s">
        <v>184</v>
      </c>
      <c r="O122" s="6" t="n">
        <v>16</v>
      </c>
    </row>
    <row r="123" customFormat="false" ht="15" hidden="false" customHeight="false" outlineLevel="0" collapsed="false">
      <c r="A123" s="23" t="n">
        <v>46440</v>
      </c>
      <c r="B123" s="6" t="s">
        <v>1763</v>
      </c>
      <c r="C123" s="6" t="s">
        <v>1764</v>
      </c>
      <c r="D123" s="6" t="s">
        <v>1765</v>
      </c>
      <c r="E123" s="6" t="s">
        <v>1766</v>
      </c>
      <c r="F123" s="6" t="s">
        <v>1767</v>
      </c>
      <c r="G123" s="6" t="s">
        <v>1320</v>
      </c>
      <c r="H123" s="6" t="s">
        <v>1768</v>
      </c>
      <c r="I123" s="6" t="s">
        <v>1488</v>
      </c>
      <c r="J123" s="6" t="s">
        <v>1489</v>
      </c>
      <c r="K123" s="6" t="s">
        <v>1769</v>
      </c>
      <c r="L123" s="6" t="s">
        <v>1770</v>
      </c>
      <c r="M123" s="6" t="s">
        <v>1771</v>
      </c>
      <c r="N123" s="6" t="s">
        <v>187</v>
      </c>
      <c r="O123" s="6" t="n">
        <v>17</v>
      </c>
    </row>
    <row r="124" customFormat="false" ht="15" hidden="false" customHeight="false" outlineLevel="0" collapsed="false">
      <c r="A124" s="23" t="n">
        <v>46441</v>
      </c>
      <c r="B124" s="6" t="s">
        <v>1772</v>
      </c>
      <c r="C124" s="6" t="s">
        <v>1773</v>
      </c>
      <c r="D124" s="6" t="s">
        <v>1774</v>
      </c>
      <c r="E124" s="6" t="s">
        <v>1775</v>
      </c>
      <c r="F124" s="6" t="s">
        <v>1776</v>
      </c>
      <c r="G124" s="6" t="s">
        <v>1777</v>
      </c>
      <c r="H124" s="6" t="s">
        <v>1778</v>
      </c>
      <c r="I124" s="6" t="s">
        <v>1779</v>
      </c>
      <c r="J124" s="6" t="s">
        <v>1780</v>
      </c>
      <c r="K124" s="6" t="s">
        <v>1769</v>
      </c>
      <c r="L124" s="6" t="s">
        <v>1781</v>
      </c>
      <c r="M124" s="6" t="s">
        <v>1782</v>
      </c>
      <c r="N124" s="6" t="s">
        <v>188</v>
      </c>
      <c r="O124" s="6" t="n">
        <v>18</v>
      </c>
    </row>
    <row r="125" customFormat="false" ht="15" hidden="false" customHeight="false" outlineLevel="0" collapsed="false">
      <c r="A125" s="23" t="n">
        <v>46442</v>
      </c>
      <c r="B125" s="6" t="s">
        <v>1783</v>
      </c>
      <c r="C125" s="6" t="s">
        <v>1784</v>
      </c>
      <c r="D125" s="6" t="s">
        <v>1785</v>
      </c>
      <c r="E125" s="6" t="s">
        <v>1786</v>
      </c>
      <c r="F125" s="6" t="s">
        <v>1787</v>
      </c>
      <c r="G125" s="6" t="s">
        <v>1788</v>
      </c>
      <c r="H125" s="6" t="s">
        <v>1789</v>
      </c>
      <c r="I125" s="6" t="s">
        <v>1790</v>
      </c>
      <c r="J125" s="6" t="s">
        <v>1791</v>
      </c>
      <c r="K125" s="6" t="s">
        <v>1792</v>
      </c>
      <c r="L125" s="6" t="s">
        <v>1793</v>
      </c>
      <c r="M125" s="6" t="s">
        <v>1794</v>
      </c>
      <c r="N125" s="6" t="s">
        <v>189</v>
      </c>
      <c r="O125" s="6" t="n">
        <v>19</v>
      </c>
    </row>
    <row r="126" customFormat="false" ht="15" hidden="false" customHeight="false" outlineLevel="0" collapsed="false">
      <c r="A126" s="23" t="n">
        <v>46443</v>
      </c>
      <c r="B126" s="6" t="s">
        <v>1795</v>
      </c>
      <c r="C126" s="6" t="s">
        <v>1796</v>
      </c>
      <c r="D126" s="6" t="s">
        <v>1797</v>
      </c>
      <c r="E126" s="6" t="s">
        <v>1798</v>
      </c>
      <c r="F126" s="6" t="s">
        <v>1799</v>
      </c>
      <c r="G126" s="6" t="s">
        <v>1800</v>
      </c>
      <c r="H126" s="6" t="s">
        <v>1801</v>
      </c>
      <c r="I126" s="6" t="s">
        <v>1802</v>
      </c>
      <c r="J126" s="6" t="s">
        <v>1803</v>
      </c>
      <c r="K126" s="6" t="s">
        <v>1804</v>
      </c>
      <c r="L126" s="6" t="s">
        <v>1805</v>
      </c>
      <c r="M126" s="6" t="s">
        <v>1806</v>
      </c>
      <c r="N126" s="6" t="s">
        <v>191</v>
      </c>
      <c r="O126" s="6" t="n">
        <v>20</v>
      </c>
    </row>
    <row r="127" customFormat="false" ht="15" hidden="false" customHeight="false" outlineLevel="0" collapsed="false">
      <c r="A127" s="23" t="n">
        <v>46444</v>
      </c>
      <c r="B127" s="6" t="s">
        <v>1807</v>
      </c>
      <c r="C127" s="6" t="s">
        <v>1808</v>
      </c>
      <c r="D127" s="6" t="s">
        <v>1809</v>
      </c>
      <c r="E127" s="6" t="s">
        <v>1810</v>
      </c>
      <c r="F127" s="6" t="s">
        <v>1811</v>
      </c>
      <c r="G127" s="6" t="s">
        <v>1812</v>
      </c>
      <c r="H127" s="6" t="s">
        <v>1813</v>
      </c>
      <c r="I127" s="6" t="s">
        <v>1814</v>
      </c>
      <c r="J127" s="6" t="s">
        <v>1815</v>
      </c>
      <c r="K127" s="6" t="s">
        <v>1816</v>
      </c>
      <c r="L127" s="6" t="s">
        <v>1817</v>
      </c>
      <c r="M127" s="6" t="s">
        <v>1818</v>
      </c>
      <c r="N127" s="6" t="s">
        <v>192</v>
      </c>
      <c r="O127" s="6" t="n">
        <v>21</v>
      </c>
    </row>
    <row r="128" customFormat="false" ht="15" hidden="false" customHeight="false" outlineLevel="0" collapsed="false">
      <c r="A128" s="23" t="n">
        <v>46445</v>
      </c>
      <c r="B128" s="6" t="s">
        <v>1819</v>
      </c>
      <c r="C128" s="6" t="s">
        <v>1820</v>
      </c>
      <c r="D128" s="6" t="s">
        <v>1821</v>
      </c>
      <c r="E128" s="6" t="s">
        <v>1822</v>
      </c>
      <c r="F128" s="6" t="s">
        <v>1823</v>
      </c>
      <c r="G128" s="6" t="s">
        <v>1824</v>
      </c>
      <c r="H128" s="6" t="s">
        <v>1825</v>
      </c>
      <c r="I128" s="6" t="s">
        <v>1826</v>
      </c>
      <c r="J128" s="6" t="s">
        <v>1827</v>
      </c>
      <c r="K128" s="6" t="s">
        <v>1828</v>
      </c>
      <c r="L128" s="6" t="s">
        <v>1829</v>
      </c>
      <c r="M128" s="6" t="s">
        <v>1830</v>
      </c>
      <c r="N128" s="6" t="s">
        <v>193</v>
      </c>
      <c r="O128" s="6" t="n">
        <v>22</v>
      </c>
    </row>
    <row r="129" customFormat="false" ht="15" hidden="false" customHeight="false" outlineLevel="0" collapsed="false">
      <c r="A129" s="23" t="n">
        <v>46446</v>
      </c>
      <c r="B129" s="6" t="s">
        <v>1831</v>
      </c>
      <c r="C129" s="6" t="s">
        <v>1832</v>
      </c>
      <c r="D129" s="6" t="s">
        <v>1833</v>
      </c>
      <c r="E129" s="6" t="s">
        <v>1834</v>
      </c>
      <c r="F129" s="6" t="s">
        <v>1835</v>
      </c>
      <c r="G129" s="6" t="s">
        <v>1836</v>
      </c>
      <c r="H129" s="6" t="s">
        <v>1837</v>
      </c>
      <c r="I129" s="6" t="s">
        <v>1838</v>
      </c>
      <c r="J129" s="6" t="s">
        <v>1839</v>
      </c>
      <c r="K129" s="6" t="s">
        <v>1840</v>
      </c>
      <c r="L129" s="6" t="s">
        <v>1841</v>
      </c>
      <c r="M129" s="6" t="s">
        <v>1842</v>
      </c>
      <c r="N129" s="6" t="s">
        <v>193</v>
      </c>
      <c r="O129" s="6" t="n">
        <v>23</v>
      </c>
    </row>
    <row r="130" customFormat="false" ht="15" hidden="false" customHeight="false" outlineLevel="0" collapsed="false">
      <c r="A130" s="23" t="n">
        <v>46447</v>
      </c>
      <c r="B130" s="6" t="s">
        <v>1843</v>
      </c>
      <c r="C130" s="6" t="s">
        <v>1844</v>
      </c>
      <c r="D130" s="6" t="s">
        <v>1845</v>
      </c>
      <c r="E130" s="6" t="s">
        <v>1846</v>
      </c>
      <c r="F130" s="6" t="s">
        <v>1847</v>
      </c>
      <c r="G130" s="6" t="s">
        <v>1848</v>
      </c>
      <c r="H130" s="6" t="s">
        <v>1849</v>
      </c>
      <c r="I130" s="6" t="s">
        <v>1826</v>
      </c>
      <c r="J130" s="6" t="s">
        <v>1827</v>
      </c>
      <c r="K130" s="6" t="s">
        <v>1850</v>
      </c>
      <c r="L130" s="6" t="s">
        <v>1851</v>
      </c>
      <c r="M130" s="6" t="s">
        <v>1852</v>
      </c>
      <c r="N130" s="6" t="s">
        <v>194</v>
      </c>
      <c r="O130" s="6" t="n">
        <v>24</v>
      </c>
    </row>
    <row r="131" customFormat="false" ht="15" hidden="false" customHeight="false" outlineLevel="0" collapsed="false">
      <c r="A131" s="23" t="n">
        <v>46448</v>
      </c>
      <c r="B131" s="6" t="s">
        <v>1853</v>
      </c>
      <c r="C131" s="6" t="s">
        <v>1854</v>
      </c>
      <c r="D131" s="6" t="s">
        <v>1855</v>
      </c>
      <c r="E131" s="6" t="s">
        <v>1856</v>
      </c>
      <c r="F131" s="6" t="s">
        <v>1857</v>
      </c>
      <c r="G131" s="6" t="s">
        <v>1858</v>
      </c>
      <c r="H131" s="6" t="s">
        <v>1859</v>
      </c>
      <c r="I131" s="6" t="s">
        <v>1860</v>
      </c>
      <c r="J131" s="6" t="s">
        <v>1861</v>
      </c>
      <c r="K131" s="6" t="s">
        <v>1862</v>
      </c>
      <c r="L131" s="6" t="s">
        <v>1863</v>
      </c>
      <c r="M131" s="6" t="s">
        <v>1864</v>
      </c>
      <c r="N131" s="6" t="s">
        <v>196</v>
      </c>
      <c r="O131" s="6" t="n">
        <v>25</v>
      </c>
    </row>
    <row r="132" customFormat="false" ht="15" hidden="false" customHeight="false" outlineLevel="0" collapsed="false">
      <c r="A132" s="23" t="n">
        <v>46449</v>
      </c>
      <c r="B132" s="6" t="s">
        <v>1865</v>
      </c>
      <c r="C132" s="6" t="s">
        <v>1866</v>
      </c>
      <c r="D132" s="6" t="s">
        <v>1867</v>
      </c>
      <c r="E132" s="6" t="s">
        <v>1868</v>
      </c>
      <c r="F132" s="6" t="s">
        <v>1869</v>
      </c>
      <c r="G132" s="6" t="s">
        <v>1870</v>
      </c>
      <c r="H132" s="6" t="s">
        <v>1871</v>
      </c>
      <c r="I132" s="6" t="s">
        <v>1802</v>
      </c>
      <c r="J132" s="6" t="s">
        <v>1803</v>
      </c>
      <c r="K132" s="6" t="s">
        <v>1872</v>
      </c>
      <c r="L132" s="6" t="s">
        <v>1873</v>
      </c>
      <c r="M132" s="6" t="s">
        <v>1874</v>
      </c>
      <c r="N132" s="6" t="s">
        <v>197</v>
      </c>
      <c r="O132" s="6" t="n">
        <v>26</v>
      </c>
    </row>
    <row r="133" customFormat="false" ht="15" hidden="false" customHeight="false" outlineLevel="0" collapsed="false">
      <c r="A133" s="23" t="n">
        <v>46450</v>
      </c>
      <c r="B133" s="6" t="s">
        <v>1875</v>
      </c>
      <c r="C133" s="6" t="s">
        <v>1876</v>
      </c>
      <c r="D133" s="6" t="s">
        <v>1877</v>
      </c>
      <c r="E133" s="6" t="s">
        <v>1878</v>
      </c>
      <c r="F133" s="6" t="s">
        <v>1879</v>
      </c>
      <c r="G133" s="6" t="s">
        <v>930</v>
      </c>
      <c r="H133" s="6" t="s">
        <v>1880</v>
      </c>
      <c r="I133" s="6" t="s">
        <v>1790</v>
      </c>
      <c r="J133" s="6" t="s">
        <v>1791</v>
      </c>
      <c r="K133" s="6" t="s">
        <v>1881</v>
      </c>
      <c r="L133" s="6" t="s">
        <v>1882</v>
      </c>
      <c r="M133" s="6" t="s">
        <v>1883</v>
      </c>
      <c r="N133" s="6" t="s">
        <v>199</v>
      </c>
      <c r="O133" s="6" t="n">
        <v>27</v>
      </c>
    </row>
    <row r="134" customFormat="false" ht="15" hidden="false" customHeight="false" outlineLevel="0" collapsed="false">
      <c r="A134" s="23" t="n">
        <v>46451</v>
      </c>
      <c r="B134" s="6" t="s">
        <v>1884</v>
      </c>
      <c r="C134" s="6" t="s">
        <v>1885</v>
      </c>
      <c r="D134" s="6" t="s">
        <v>1886</v>
      </c>
      <c r="E134" s="6" t="s">
        <v>1887</v>
      </c>
      <c r="F134" s="6" t="s">
        <v>1888</v>
      </c>
      <c r="G134" s="6" t="s">
        <v>1889</v>
      </c>
      <c r="H134" s="6" t="s">
        <v>1890</v>
      </c>
      <c r="I134" s="6" t="s">
        <v>1891</v>
      </c>
      <c r="J134" s="6" t="s">
        <v>1892</v>
      </c>
      <c r="K134" s="6" t="s">
        <v>1893</v>
      </c>
      <c r="L134" s="6" t="s">
        <v>1894</v>
      </c>
      <c r="M134" s="6" t="s">
        <v>1895</v>
      </c>
      <c r="N134" s="6" t="s">
        <v>200</v>
      </c>
      <c r="O134" s="6" t="n">
        <v>28</v>
      </c>
    </row>
    <row r="135" customFormat="false" ht="15" hidden="false" customHeight="false" outlineLevel="0" collapsed="false">
      <c r="A135" s="23" t="n">
        <v>46452</v>
      </c>
      <c r="B135" s="6" t="s">
        <v>1896</v>
      </c>
      <c r="C135" s="6" t="s">
        <v>1157</v>
      </c>
      <c r="D135" s="6" t="s">
        <v>1897</v>
      </c>
      <c r="E135" s="6" t="s">
        <v>1898</v>
      </c>
      <c r="F135" s="6" t="s">
        <v>1899</v>
      </c>
      <c r="G135" s="6" t="s">
        <v>1900</v>
      </c>
      <c r="H135" s="6" t="s">
        <v>1901</v>
      </c>
      <c r="I135" s="6" t="s">
        <v>1779</v>
      </c>
      <c r="J135" s="6" t="s">
        <v>1780</v>
      </c>
      <c r="K135" s="6" t="s">
        <v>1902</v>
      </c>
      <c r="L135" s="6" t="s">
        <v>1903</v>
      </c>
      <c r="M135" s="6" t="s">
        <v>1904</v>
      </c>
      <c r="N135" s="6" t="s">
        <v>201</v>
      </c>
      <c r="O135" s="6" t="n">
        <v>29</v>
      </c>
    </row>
    <row r="136" customFormat="false" ht="15" hidden="false" customHeight="false" outlineLevel="0" collapsed="false">
      <c r="A136" s="23" t="n">
        <v>46453</v>
      </c>
      <c r="B136" s="6" t="s">
        <v>1905</v>
      </c>
      <c r="C136" s="6" t="s">
        <v>1906</v>
      </c>
      <c r="D136" s="6" t="s">
        <v>1907</v>
      </c>
      <c r="E136" s="6" t="s">
        <v>1908</v>
      </c>
      <c r="F136" s="6" t="s">
        <v>1909</v>
      </c>
      <c r="G136" s="6" t="s">
        <v>1910</v>
      </c>
      <c r="H136" s="6" t="s">
        <v>1911</v>
      </c>
      <c r="I136" s="6" t="s">
        <v>1891</v>
      </c>
      <c r="J136" s="6" t="s">
        <v>1892</v>
      </c>
      <c r="K136" s="6" t="s">
        <v>1912</v>
      </c>
      <c r="L136" s="6" t="s">
        <v>1913</v>
      </c>
      <c r="M136" s="6" t="s">
        <v>1914</v>
      </c>
      <c r="N136" s="6" t="s">
        <v>203</v>
      </c>
      <c r="O136" s="6" t="n">
        <v>29</v>
      </c>
    </row>
    <row r="137" customFormat="false" ht="15" hidden="false" customHeight="false" outlineLevel="0" collapsed="false">
      <c r="A137" s="23" t="n">
        <v>46454</v>
      </c>
      <c r="B137" s="6" t="s">
        <v>1915</v>
      </c>
      <c r="C137" s="6" t="s">
        <v>1916</v>
      </c>
      <c r="D137" s="6" t="s">
        <v>1917</v>
      </c>
      <c r="E137" s="6" t="s">
        <v>1918</v>
      </c>
      <c r="F137" s="6" t="s">
        <v>1919</v>
      </c>
      <c r="G137" s="6" t="s">
        <v>1920</v>
      </c>
      <c r="H137" s="6" t="s">
        <v>1921</v>
      </c>
      <c r="I137" s="6" t="s">
        <v>1922</v>
      </c>
      <c r="J137" s="6" t="s">
        <v>1923</v>
      </c>
      <c r="K137" s="6" t="s">
        <v>1924</v>
      </c>
      <c r="L137" s="6" t="s">
        <v>1925</v>
      </c>
      <c r="M137" s="6" t="s">
        <v>1926</v>
      </c>
      <c r="N137" s="6" t="s">
        <v>204</v>
      </c>
      <c r="O137" s="6" t="n">
        <v>30</v>
      </c>
    </row>
    <row r="138" customFormat="false" ht="15" hidden="false" customHeight="false" outlineLevel="0" collapsed="false">
      <c r="A138" s="23" t="n">
        <v>46455</v>
      </c>
      <c r="B138" s="6" t="s">
        <v>1927</v>
      </c>
      <c r="C138" s="6" t="s">
        <v>1928</v>
      </c>
      <c r="D138" s="6" t="s">
        <v>1929</v>
      </c>
      <c r="E138" s="6" t="s">
        <v>1930</v>
      </c>
      <c r="F138" s="6" t="s">
        <v>1931</v>
      </c>
      <c r="G138" s="6" t="s">
        <v>1932</v>
      </c>
      <c r="H138" s="6" t="s">
        <v>1933</v>
      </c>
      <c r="I138" s="6" t="s">
        <v>1826</v>
      </c>
      <c r="J138" s="6" t="s">
        <v>1827</v>
      </c>
      <c r="K138" s="6" t="s">
        <v>1934</v>
      </c>
      <c r="L138" s="6" t="s">
        <v>1935</v>
      </c>
      <c r="M138" s="6" t="s">
        <v>1936</v>
      </c>
      <c r="N138" s="6" t="s">
        <v>206</v>
      </c>
      <c r="O138" s="6" t="n">
        <v>1</v>
      </c>
    </row>
    <row r="139" customFormat="false" ht="15" hidden="false" customHeight="false" outlineLevel="0" collapsed="false">
      <c r="A139" s="23" t="n">
        <v>46456</v>
      </c>
      <c r="B139" s="6" t="s">
        <v>1937</v>
      </c>
      <c r="C139" s="6" t="s">
        <v>1712</v>
      </c>
      <c r="D139" s="6" t="s">
        <v>1938</v>
      </c>
      <c r="E139" s="6" t="s">
        <v>1939</v>
      </c>
      <c r="F139" s="6" t="s">
        <v>1940</v>
      </c>
      <c r="G139" s="6" t="s">
        <v>1941</v>
      </c>
      <c r="H139" s="6" t="s">
        <v>1942</v>
      </c>
      <c r="I139" s="6" t="s">
        <v>1943</v>
      </c>
      <c r="J139" s="6" t="s">
        <v>1944</v>
      </c>
      <c r="K139" s="6" t="s">
        <v>1945</v>
      </c>
      <c r="L139" s="6" t="s">
        <v>1946</v>
      </c>
      <c r="M139" s="6" t="s">
        <v>1947</v>
      </c>
      <c r="N139" s="6" t="s">
        <v>207</v>
      </c>
      <c r="O139" s="6" t="n">
        <v>2</v>
      </c>
    </row>
    <row r="140" customFormat="false" ht="15" hidden="false" customHeight="false" outlineLevel="0" collapsed="false">
      <c r="A140" s="23" t="n">
        <v>46457</v>
      </c>
      <c r="B140" s="6" t="s">
        <v>1948</v>
      </c>
      <c r="C140" s="6" t="s">
        <v>1949</v>
      </c>
      <c r="D140" s="6" t="s">
        <v>1535</v>
      </c>
      <c r="E140" s="6" t="s">
        <v>1950</v>
      </c>
      <c r="F140" s="6" t="s">
        <v>1951</v>
      </c>
      <c r="G140" s="6" t="s">
        <v>1952</v>
      </c>
      <c r="H140" s="6" t="s">
        <v>1953</v>
      </c>
      <c r="I140" s="6" t="s">
        <v>1954</v>
      </c>
      <c r="J140" s="6" t="s">
        <v>1955</v>
      </c>
      <c r="K140" s="6" t="s">
        <v>1956</v>
      </c>
      <c r="L140" s="6" t="s">
        <v>1957</v>
      </c>
      <c r="M140" s="6" t="s">
        <v>1958</v>
      </c>
      <c r="N140" s="6" t="s">
        <v>208</v>
      </c>
      <c r="O140" s="6" t="n">
        <v>3</v>
      </c>
    </row>
    <row r="141" customFormat="false" ht="15" hidden="false" customHeight="false" outlineLevel="0" collapsed="false">
      <c r="A141" s="23" t="n">
        <v>46458</v>
      </c>
      <c r="B141" s="6" t="s">
        <v>1959</v>
      </c>
      <c r="C141" s="6" t="s">
        <v>1960</v>
      </c>
      <c r="D141" s="6" t="s">
        <v>1961</v>
      </c>
      <c r="E141" s="6" t="s">
        <v>1962</v>
      </c>
      <c r="F141" s="6" t="s">
        <v>1963</v>
      </c>
      <c r="G141" s="6" t="s">
        <v>1964</v>
      </c>
      <c r="H141" s="6" t="s">
        <v>1965</v>
      </c>
      <c r="I141" s="6" t="s">
        <v>1966</v>
      </c>
      <c r="J141" s="6" t="s">
        <v>1967</v>
      </c>
      <c r="K141" s="6" t="s">
        <v>1968</v>
      </c>
      <c r="L141" s="6" t="s">
        <v>1969</v>
      </c>
      <c r="M141" s="6" t="s">
        <v>1970</v>
      </c>
      <c r="N141" s="6" t="s">
        <v>170</v>
      </c>
      <c r="O141" s="6" t="n">
        <v>4</v>
      </c>
    </row>
    <row r="142" customFormat="false" ht="15" hidden="false" customHeight="false" outlineLevel="0" collapsed="false">
      <c r="A142" s="23" t="n">
        <v>46459</v>
      </c>
      <c r="B142" s="6" t="s">
        <v>1971</v>
      </c>
      <c r="C142" s="6" t="s">
        <v>1972</v>
      </c>
      <c r="D142" s="6" t="s">
        <v>1973</v>
      </c>
      <c r="E142" s="6" t="s">
        <v>1974</v>
      </c>
      <c r="F142" s="6" t="s">
        <v>1975</v>
      </c>
      <c r="G142" s="6" t="s">
        <v>1976</v>
      </c>
      <c r="H142" s="6" t="s">
        <v>1977</v>
      </c>
      <c r="I142" s="6" t="s">
        <v>1978</v>
      </c>
      <c r="J142" s="6" t="s">
        <v>1979</v>
      </c>
      <c r="K142" s="6" t="s">
        <v>1980</v>
      </c>
      <c r="L142" s="6" t="s">
        <v>1981</v>
      </c>
      <c r="M142" s="6" t="s">
        <v>1982</v>
      </c>
      <c r="N142" s="6" t="s">
        <v>174</v>
      </c>
      <c r="O142" s="6" t="n">
        <v>5</v>
      </c>
    </row>
    <row r="143" customFormat="false" ht="15" hidden="false" customHeight="false" outlineLevel="0" collapsed="false">
      <c r="A143" s="23" t="n">
        <v>46460</v>
      </c>
      <c r="B143" s="6" t="s">
        <v>1983</v>
      </c>
      <c r="C143" s="6" t="s">
        <v>1984</v>
      </c>
      <c r="D143" s="6" t="s">
        <v>1593</v>
      </c>
      <c r="E143" s="6" t="s">
        <v>1985</v>
      </c>
      <c r="F143" s="6" t="s">
        <v>1986</v>
      </c>
      <c r="G143" s="6" t="s">
        <v>1987</v>
      </c>
      <c r="H143" s="6" t="s">
        <v>1988</v>
      </c>
      <c r="I143" s="6" t="s">
        <v>1989</v>
      </c>
      <c r="J143" s="6" t="s">
        <v>1990</v>
      </c>
      <c r="K143" s="6" t="s">
        <v>1991</v>
      </c>
      <c r="L143" s="6" t="s">
        <v>1992</v>
      </c>
      <c r="M143" s="6" t="s">
        <v>1993</v>
      </c>
      <c r="N143" s="6" t="s">
        <v>209</v>
      </c>
      <c r="O143" s="6" t="n">
        <v>6</v>
      </c>
    </row>
    <row r="144" customFormat="false" ht="15" hidden="false" customHeight="false" outlineLevel="0" collapsed="false">
      <c r="A144" s="23" t="n">
        <v>46461</v>
      </c>
      <c r="B144" s="6" t="s">
        <v>1994</v>
      </c>
      <c r="C144" s="6" t="s">
        <v>1995</v>
      </c>
      <c r="D144" s="6" t="s">
        <v>1996</v>
      </c>
      <c r="E144" s="6" t="s">
        <v>598</v>
      </c>
      <c r="F144" s="6" t="s">
        <v>1997</v>
      </c>
      <c r="G144" s="6" t="s">
        <v>1998</v>
      </c>
      <c r="H144" s="6" t="s">
        <v>1999</v>
      </c>
      <c r="I144" s="6" t="s">
        <v>2000</v>
      </c>
      <c r="J144" s="6" t="s">
        <v>2001</v>
      </c>
      <c r="K144" s="6" t="s">
        <v>2002</v>
      </c>
      <c r="L144" s="6" t="s">
        <v>2003</v>
      </c>
      <c r="M144" s="6" t="s">
        <v>2004</v>
      </c>
      <c r="N144" s="6" t="s">
        <v>175</v>
      </c>
      <c r="O144" s="6" t="n">
        <v>8</v>
      </c>
    </row>
    <row r="145" customFormat="false" ht="15" hidden="false" customHeight="false" outlineLevel="0" collapsed="false">
      <c r="A145" s="23" t="n">
        <v>46462</v>
      </c>
      <c r="B145" s="6" t="s">
        <v>2005</v>
      </c>
      <c r="C145" s="6" t="s">
        <v>2006</v>
      </c>
      <c r="D145" s="6" t="s">
        <v>2007</v>
      </c>
      <c r="E145" s="6" t="s">
        <v>2008</v>
      </c>
      <c r="F145" s="6" t="s">
        <v>2009</v>
      </c>
      <c r="G145" s="6" t="s">
        <v>2010</v>
      </c>
      <c r="H145" s="6" t="s">
        <v>1662</v>
      </c>
      <c r="I145" s="6" t="s">
        <v>2000</v>
      </c>
      <c r="J145" s="6" t="s">
        <v>2001</v>
      </c>
      <c r="K145" s="6" t="s">
        <v>2011</v>
      </c>
      <c r="L145" s="6" t="s">
        <v>2012</v>
      </c>
      <c r="M145" s="6" t="s">
        <v>2013</v>
      </c>
      <c r="N145" s="6" t="s">
        <v>177</v>
      </c>
      <c r="O145" s="6" t="n">
        <v>9</v>
      </c>
    </row>
    <row r="146" customFormat="false" ht="15" hidden="false" customHeight="false" outlineLevel="0" collapsed="false">
      <c r="A146" s="23" t="n">
        <v>46463</v>
      </c>
      <c r="B146" s="6" t="s">
        <v>2014</v>
      </c>
      <c r="C146" s="6" t="s">
        <v>2015</v>
      </c>
      <c r="D146" s="6" t="s">
        <v>1640</v>
      </c>
      <c r="E146" s="6" t="s">
        <v>2016</v>
      </c>
      <c r="F146" s="6" t="s">
        <v>2017</v>
      </c>
      <c r="G146" s="6" t="s">
        <v>2018</v>
      </c>
      <c r="H146" s="6" t="s">
        <v>2019</v>
      </c>
      <c r="I146" s="6" t="s">
        <v>2020</v>
      </c>
      <c r="J146" s="6" t="s">
        <v>2021</v>
      </c>
      <c r="K146" s="6" t="s">
        <v>2022</v>
      </c>
      <c r="L146" s="6" t="s">
        <v>2023</v>
      </c>
      <c r="M146" s="6" t="s">
        <v>2024</v>
      </c>
      <c r="N146" s="6" t="s">
        <v>178</v>
      </c>
      <c r="O146" s="6" t="n">
        <v>10</v>
      </c>
    </row>
    <row r="147" customFormat="false" ht="15" hidden="false" customHeight="false" outlineLevel="0" collapsed="false">
      <c r="A147" s="23" t="n">
        <v>46464</v>
      </c>
      <c r="B147" s="6" t="s">
        <v>2025</v>
      </c>
      <c r="C147" s="6" t="s">
        <v>2026</v>
      </c>
      <c r="D147" s="6" t="s">
        <v>2027</v>
      </c>
      <c r="E147" s="6" t="s">
        <v>2028</v>
      </c>
      <c r="F147" s="6" t="s">
        <v>2029</v>
      </c>
      <c r="G147" s="6" t="s">
        <v>2030</v>
      </c>
      <c r="H147" s="6" t="s">
        <v>2031</v>
      </c>
      <c r="I147" s="6" t="s">
        <v>2032</v>
      </c>
      <c r="J147" s="6" t="s">
        <v>2033</v>
      </c>
      <c r="K147" s="6" t="s">
        <v>2034</v>
      </c>
      <c r="L147" s="6" t="s">
        <v>2035</v>
      </c>
      <c r="M147" s="6" t="s">
        <v>2036</v>
      </c>
      <c r="N147" s="6" t="s">
        <v>181</v>
      </c>
      <c r="O147" s="6" t="n">
        <v>11</v>
      </c>
    </row>
    <row r="148" customFormat="false" ht="15" hidden="false" customHeight="false" outlineLevel="0" collapsed="false">
      <c r="A148" s="23" t="n">
        <v>46465</v>
      </c>
      <c r="B148" s="6" t="s">
        <v>2037</v>
      </c>
      <c r="C148" s="6" t="s">
        <v>2038</v>
      </c>
      <c r="D148" s="6" t="s">
        <v>2039</v>
      </c>
      <c r="E148" s="6" t="s">
        <v>2040</v>
      </c>
      <c r="F148" s="6" t="s">
        <v>2041</v>
      </c>
      <c r="G148" s="6" t="s">
        <v>1169</v>
      </c>
      <c r="H148" s="6" t="s">
        <v>2042</v>
      </c>
      <c r="I148" s="6" t="s">
        <v>1978</v>
      </c>
      <c r="J148" s="6" t="s">
        <v>1979</v>
      </c>
      <c r="K148" s="6" t="s">
        <v>2043</v>
      </c>
      <c r="L148" s="6" t="s">
        <v>2044</v>
      </c>
      <c r="M148" s="6" t="s">
        <v>2045</v>
      </c>
      <c r="N148" s="6" t="s">
        <v>182</v>
      </c>
      <c r="O148" s="6" t="n">
        <v>12</v>
      </c>
    </row>
    <row r="149" customFormat="false" ht="15" hidden="false" customHeight="false" outlineLevel="0" collapsed="false">
      <c r="A149" s="23" t="n">
        <v>46466</v>
      </c>
      <c r="B149" s="6" t="s">
        <v>2046</v>
      </c>
      <c r="C149" s="6" t="s">
        <v>2047</v>
      </c>
      <c r="D149" s="6" t="s">
        <v>2048</v>
      </c>
      <c r="E149" s="6" t="s">
        <v>2049</v>
      </c>
      <c r="F149" s="6" t="s">
        <v>2050</v>
      </c>
      <c r="G149" s="6" t="s">
        <v>2051</v>
      </c>
      <c r="H149" s="6" t="s">
        <v>2052</v>
      </c>
      <c r="I149" s="6" t="s">
        <v>1978</v>
      </c>
      <c r="J149" s="6" t="s">
        <v>1979</v>
      </c>
      <c r="K149" s="6" t="s">
        <v>2053</v>
      </c>
      <c r="L149" s="6" t="s">
        <v>2054</v>
      </c>
      <c r="M149" s="6" t="s">
        <v>2055</v>
      </c>
      <c r="N149" s="6" t="s">
        <v>184</v>
      </c>
      <c r="O149" s="6" t="n">
        <v>13</v>
      </c>
    </row>
    <row r="150" customFormat="false" ht="15" hidden="false" customHeight="false" outlineLevel="0" collapsed="false">
      <c r="A150" s="23" t="n">
        <v>46467</v>
      </c>
      <c r="B150" s="6" t="s">
        <v>2056</v>
      </c>
      <c r="C150" s="6" t="s">
        <v>2057</v>
      </c>
      <c r="D150" s="6" t="s">
        <v>1683</v>
      </c>
      <c r="E150" s="6" t="s">
        <v>2058</v>
      </c>
      <c r="F150" s="6" t="s">
        <v>2059</v>
      </c>
      <c r="G150" s="6" t="s">
        <v>2060</v>
      </c>
      <c r="H150" s="6" t="s">
        <v>2061</v>
      </c>
      <c r="I150" s="6" t="s">
        <v>1989</v>
      </c>
      <c r="J150" s="6" t="s">
        <v>1990</v>
      </c>
      <c r="K150" s="6" t="s">
        <v>2062</v>
      </c>
      <c r="L150" s="6" t="s">
        <v>2063</v>
      </c>
      <c r="M150" s="6" t="s">
        <v>2064</v>
      </c>
      <c r="N150" s="6" t="s">
        <v>185</v>
      </c>
      <c r="O150" s="6" t="n">
        <v>14</v>
      </c>
    </row>
    <row r="151" customFormat="false" ht="15" hidden="false" customHeight="false" outlineLevel="0" collapsed="false">
      <c r="A151" s="23" t="n">
        <v>46468</v>
      </c>
      <c r="B151" s="6" t="s">
        <v>2065</v>
      </c>
      <c r="C151" s="6" t="s">
        <v>2066</v>
      </c>
      <c r="D151" s="6" t="s">
        <v>2067</v>
      </c>
      <c r="E151" s="6" t="s">
        <v>2068</v>
      </c>
      <c r="F151" s="6" t="s">
        <v>2069</v>
      </c>
      <c r="G151" s="6" t="s">
        <v>798</v>
      </c>
      <c r="H151" s="6" t="s">
        <v>2070</v>
      </c>
      <c r="I151" s="6" t="s">
        <v>2071</v>
      </c>
      <c r="J151" s="6" t="s">
        <v>2072</v>
      </c>
      <c r="K151" s="6" t="s">
        <v>2073</v>
      </c>
      <c r="L151" s="6" t="s">
        <v>2074</v>
      </c>
      <c r="M151" s="6" t="s">
        <v>2075</v>
      </c>
      <c r="N151" s="6" t="s">
        <v>187</v>
      </c>
      <c r="O151" s="6" t="n">
        <v>15</v>
      </c>
    </row>
    <row r="152" customFormat="false" ht="15" hidden="false" customHeight="false" outlineLevel="0" collapsed="false">
      <c r="A152" s="23" t="n">
        <v>46469</v>
      </c>
      <c r="B152" s="6" t="s">
        <v>1617</v>
      </c>
      <c r="C152" s="6" t="s">
        <v>2076</v>
      </c>
      <c r="D152" s="6" t="s">
        <v>1701</v>
      </c>
      <c r="E152" s="6" t="s">
        <v>2077</v>
      </c>
      <c r="F152" s="6" t="s">
        <v>2078</v>
      </c>
      <c r="G152" s="6" t="s">
        <v>2079</v>
      </c>
      <c r="H152" s="6" t="s">
        <v>2080</v>
      </c>
      <c r="I152" s="6" t="s">
        <v>2081</v>
      </c>
      <c r="J152" s="6" t="s">
        <v>2082</v>
      </c>
      <c r="K152" s="6" t="s">
        <v>2083</v>
      </c>
      <c r="L152" s="6" t="s">
        <v>2084</v>
      </c>
      <c r="M152" s="6" t="s">
        <v>2085</v>
      </c>
      <c r="N152" s="6" t="s">
        <v>188</v>
      </c>
      <c r="O152" s="6" t="n">
        <v>16</v>
      </c>
    </row>
    <row r="153" customFormat="false" ht="15" hidden="false" customHeight="false" outlineLevel="0" collapsed="false">
      <c r="A153" s="23" t="n">
        <v>46470</v>
      </c>
      <c r="B153" s="6" t="s">
        <v>2086</v>
      </c>
      <c r="C153" s="6" t="s">
        <v>2087</v>
      </c>
      <c r="D153" s="6" t="s">
        <v>2088</v>
      </c>
      <c r="E153" s="6" t="s">
        <v>2089</v>
      </c>
      <c r="F153" s="6" t="s">
        <v>2090</v>
      </c>
      <c r="G153" s="6" t="s">
        <v>2091</v>
      </c>
      <c r="H153" s="6" t="s">
        <v>2092</v>
      </c>
      <c r="I153" s="6" t="s">
        <v>2093</v>
      </c>
      <c r="J153" s="6" t="s">
        <v>2094</v>
      </c>
      <c r="K153" s="6" t="s">
        <v>2095</v>
      </c>
      <c r="L153" s="6" t="s">
        <v>2096</v>
      </c>
      <c r="M153" s="6" t="s">
        <v>2097</v>
      </c>
      <c r="N153" s="6" t="s">
        <v>189</v>
      </c>
      <c r="O153" s="6" t="n">
        <v>17</v>
      </c>
    </row>
    <row r="154" customFormat="false" ht="15" hidden="false" customHeight="false" outlineLevel="0" collapsed="false">
      <c r="A154" s="23" t="n">
        <v>46471</v>
      </c>
      <c r="B154" s="6" t="s">
        <v>2098</v>
      </c>
      <c r="C154" s="6" t="s">
        <v>2099</v>
      </c>
      <c r="D154" s="6" t="s">
        <v>2100</v>
      </c>
      <c r="E154" s="6" t="s">
        <v>2101</v>
      </c>
      <c r="F154" s="6" t="s">
        <v>2102</v>
      </c>
      <c r="G154" s="6" t="s">
        <v>2103</v>
      </c>
      <c r="H154" s="6" t="s">
        <v>2104</v>
      </c>
      <c r="I154" s="6" t="s">
        <v>2105</v>
      </c>
      <c r="J154" s="6" t="s">
        <v>2106</v>
      </c>
      <c r="K154" s="6" t="s">
        <v>2107</v>
      </c>
      <c r="L154" s="6" t="s">
        <v>2108</v>
      </c>
      <c r="M154" s="6" t="s">
        <v>2109</v>
      </c>
      <c r="N154" s="6" t="s">
        <v>191</v>
      </c>
      <c r="O154" s="6" t="n">
        <v>18</v>
      </c>
    </row>
    <row r="155" customFormat="false" ht="15" hidden="false" customHeight="false" outlineLevel="0" collapsed="false">
      <c r="A155" s="23" t="n">
        <v>46472</v>
      </c>
      <c r="B155" s="6" t="s">
        <v>2110</v>
      </c>
      <c r="C155" s="6" t="s">
        <v>2111</v>
      </c>
      <c r="D155" s="6" t="s">
        <v>2112</v>
      </c>
      <c r="E155" s="6" t="s">
        <v>2113</v>
      </c>
      <c r="F155" s="6" t="s">
        <v>2114</v>
      </c>
      <c r="G155" s="6" t="s">
        <v>2115</v>
      </c>
      <c r="H155" s="6" t="s">
        <v>2116</v>
      </c>
      <c r="I155" s="6" t="s">
        <v>2117</v>
      </c>
      <c r="J155" s="6" t="s">
        <v>2118</v>
      </c>
      <c r="K155" s="6" t="s">
        <v>2119</v>
      </c>
      <c r="L155" s="6" t="s">
        <v>2120</v>
      </c>
      <c r="M155" s="6" t="s">
        <v>2121</v>
      </c>
      <c r="N155" s="6" t="s">
        <v>192</v>
      </c>
      <c r="O155" s="6" t="n">
        <v>19</v>
      </c>
    </row>
    <row r="156" customFormat="false" ht="15" hidden="false" customHeight="false" outlineLevel="0" collapsed="false">
      <c r="A156" s="23" t="n">
        <v>46473</v>
      </c>
      <c r="B156" s="6" t="s">
        <v>2122</v>
      </c>
      <c r="C156" s="6" t="s">
        <v>2123</v>
      </c>
      <c r="D156" s="6" t="s">
        <v>2124</v>
      </c>
      <c r="E156" s="6" t="s">
        <v>2125</v>
      </c>
      <c r="F156" s="6" t="s">
        <v>2126</v>
      </c>
      <c r="G156" s="6" t="s">
        <v>2127</v>
      </c>
      <c r="H156" s="6" t="s">
        <v>2128</v>
      </c>
      <c r="I156" s="6" t="s">
        <v>2129</v>
      </c>
      <c r="J156" s="6" t="s">
        <v>2130</v>
      </c>
      <c r="K156" s="6" t="s">
        <v>2131</v>
      </c>
      <c r="L156" s="6" t="s">
        <v>2132</v>
      </c>
      <c r="M156" s="6" t="s">
        <v>2133</v>
      </c>
      <c r="N156" s="6" t="s">
        <v>193</v>
      </c>
      <c r="O156" s="6" t="n">
        <v>20</v>
      </c>
    </row>
    <row r="157" customFormat="false" ht="15" hidden="false" customHeight="false" outlineLevel="0" collapsed="false">
      <c r="A157" s="23" t="n">
        <v>46474</v>
      </c>
      <c r="B157" s="6" t="s">
        <v>2134</v>
      </c>
      <c r="C157" s="6" t="s">
        <v>2135</v>
      </c>
      <c r="D157" s="6" t="s">
        <v>2136</v>
      </c>
      <c r="E157" s="6" t="s">
        <v>2137</v>
      </c>
      <c r="F157" s="6" t="s">
        <v>2138</v>
      </c>
      <c r="G157" s="6" t="s">
        <v>2139</v>
      </c>
      <c r="H157" s="6" t="s">
        <v>2140</v>
      </c>
      <c r="I157" s="6" t="s">
        <v>2141</v>
      </c>
      <c r="J157" s="6" t="s">
        <v>2142</v>
      </c>
      <c r="K157" s="6" t="s">
        <v>2143</v>
      </c>
      <c r="L157" s="6" t="s">
        <v>2144</v>
      </c>
      <c r="M157" s="6" t="s">
        <v>1416</v>
      </c>
      <c r="N157" s="6" t="s">
        <v>194</v>
      </c>
      <c r="O157" s="6" t="n">
        <v>21</v>
      </c>
    </row>
    <row r="158" customFormat="false" ht="15" hidden="false" customHeight="false" outlineLevel="0" collapsed="false">
      <c r="A158" s="23" t="n">
        <v>46475</v>
      </c>
      <c r="B158" s="6" t="s">
        <v>2145</v>
      </c>
      <c r="C158" s="6" t="s">
        <v>2146</v>
      </c>
      <c r="D158" s="6" t="s">
        <v>2147</v>
      </c>
      <c r="E158" s="6" t="s">
        <v>2148</v>
      </c>
      <c r="F158" s="6" t="s">
        <v>2149</v>
      </c>
      <c r="G158" s="6" t="s">
        <v>2150</v>
      </c>
      <c r="H158" s="6" t="s">
        <v>2151</v>
      </c>
      <c r="I158" s="6" t="s">
        <v>2152</v>
      </c>
      <c r="J158" s="6" t="s">
        <v>2153</v>
      </c>
      <c r="K158" s="6" t="s">
        <v>2154</v>
      </c>
      <c r="L158" s="6" t="s">
        <v>2155</v>
      </c>
      <c r="M158" s="6" t="s">
        <v>2156</v>
      </c>
      <c r="N158" s="6" t="s">
        <v>196</v>
      </c>
      <c r="O158" s="6" t="n">
        <v>22</v>
      </c>
    </row>
    <row r="159" customFormat="false" ht="15" hidden="false" customHeight="false" outlineLevel="0" collapsed="false">
      <c r="A159" s="23" t="n">
        <v>46476</v>
      </c>
      <c r="B159" s="6" t="s">
        <v>2157</v>
      </c>
      <c r="C159" s="6" t="s">
        <v>2158</v>
      </c>
      <c r="D159" s="6" t="s">
        <v>1738</v>
      </c>
      <c r="E159" s="6" t="s">
        <v>2159</v>
      </c>
      <c r="F159" s="6" t="s">
        <v>2160</v>
      </c>
      <c r="G159" s="6" t="s">
        <v>2161</v>
      </c>
      <c r="H159" s="6" t="s">
        <v>2162</v>
      </c>
      <c r="I159" s="6" t="s">
        <v>2152</v>
      </c>
      <c r="J159" s="6" t="s">
        <v>2153</v>
      </c>
      <c r="K159" s="6" t="s">
        <v>2163</v>
      </c>
      <c r="L159" s="6" t="s">
        <v>2164</v>
      </c>
      <c r="M159" s="6" t="s">
        <v>2165</v>
      </c>
      <c r="N159" s="6" t="s">
        <v>197</v>
      </c>
      <c r="O159" s="6" t="n">
        <v>23</v>
      </c>
    </row>
    <row r="160" customFormat="false" ht="15" hidden="false" customHeight="false" outlineLevel="0" collapsed="false">
      <c r="A160" s="23" t="n">
        <v>46477</v>
      </c>
      <c r="B160" s="6" t="s">
        <v>2166</v>
      </c>
      <c r="C160" s="6" t="s">
        <v>1381</v>
      </c>
      <c r="D160" s="6" t="s">
        <v>2167</v>
      </c>
      <c r="E160" s="6" t="s">
        <v>2168</v>
      </c>
      <c r="F160" s="6" t="s">
        <v>2169</v>
      </c>
      <c r="G160" s="6" t="s">
        <v>1648</v>
      </c>
      <c r="H160" s="6" t="s">
        <v>2170</v>
      </c>
      <c r="I160" s="6" t="s">
        <v>2152</v>
      </c>
      <c r="J160" s="6" t="s">
        <v>2153</v>
      </c>
      <c r="K160" s="6" t="s">
        <v>2171</v>
      </c>
      <c r="L160" s="6" t="s">
        <v>2172</v>
      </c>
      <c r="M160" s="6" t="s">
        <v>2173</v>
      </c>
      <c r="N160" s="6" t="s">
        <v>199</v>
      </c>
      <c r="O160" s="6" t="n">
        <v>24</v>
      </c>
    </row>
    <row r="161" customFormat="false" ht="15" hidden="false" customHeight="false" outlineLevel="0" collapsed="false">
      <c r="A161" s="23" t="n">
        <v>46478</v>
      </c>
      <c r="B161" s="6" t="s">
        <v>2174</v>
      </c>
      <c r="C161" s="6" t="s">
        <v>2175</v>
      </c>
      <c r="D161" s="6" t="s">
        <v>2176</v>
      </c>
      <c r="E161" s="6" t="s">
        <v>2177</v>
      </c>
      <c r="F161" s="6" t="s">
        <v>2178</v>
      </c>
      <c r="G161" s="6" t="s">
        <v>2179</v>
      </c>
      <c r="H161" s="6" t="s">
        <v>2180</v>
      </c>
      <c r="I161" s="6" t="s">
        <v>2181</v>
      </c>
      <c r="J161" s="6" t="s">
        <v>2182</v>
      </c>
      <c r="K161" s="6" t="s">
        <v>2183</v>
      </c>
      <c r="L161" s="6" t="s">
        <v>2184</v>
      </c>
      <c r="M161" s="6" t="s">
        <v>2185</v>
      </c>
      <c r="N161" s="6" t="s">
        <v>200</v>
      </c>
      <c r="O161" s="6" t="n">
        <v>25</v>
      </c>
    </row>
    <row r="162" customFormat="false" ht="15" hidden="false" customHeight="false" outlineLevel="0" collapsed="false">
      <c r="A162" s="23" t="n">
        <v>46479</v>
      </c>
      <c r="B162" s="6" t="s">
        <v>2186</v>
      </c>
      <c r="C162" s="6" t="s">
        <v>2187</v>
      </c>
      <c r="D162" s="6" t="s">
        <v>2188</v>
      </c>
      <c r="E162" s="6" t="s">
        <v>2189</v>
      </c>
      <c r="F162" s="6" t="s">
        <v>2190</v>
      </c>
      <c r="G162" s="6" t="s">
        <v>2191</v>
      </c>
      <c r="H162" s="6" t="s">
        <v>2192</v>
      </c>
      <c r="I162" s="6" t="s">
        <v>2141</v>
      </c>
      <c r="J162" s="6" t="s">
        <v>2142</v>
      </c>
      <c r="K162" s="6" t="s">
        <v>2193</v>
      </c>
      <c r="L162" s="6" t="s">
        <v>2194</v>
      </c>
      <c r="M162" s="6" t="s">
        <v>2195</v>
      </c>
      <c r="N162" s="6" t="s">
        <v>201</v>
      </c>
      <c r="O162" s="6" t="n">
        <v>26</v>
      </c>
    </row>
    <row r="163" customFormat="false" ht="15" hidden="false" customHeight="false" outlineLevel="0" collapsed="false">
      <c r="A163" s="23" t="n">
        <v>46480</v>
      </c>
      <c r="B163" s="6" t="s">
        <v>2196</v>
      </c>
      <c r="C163" s="6" t="s">
        <v>2197</v>
      </c>
      <c r="D163" s="6" t="s">
        <v>1302</v>
      </c>
      <c r="E163" s="6" t="s">
        <v>2198</v>
      </c>
      <c r="F163" s="6" t="s">
        <v>2199</v>
      </c>
      <c r="G163" s="6" t="s">
        <v>2200</v>
      </c>
      <c r="H163" s="6" t="s">
        <v>2201</v>
      </c>
      <c r="I163" s="6" t="s">
        <v>2181</v>
      </c>
      <c r="J163" s="6" t="s">
        <v>2182</v>
      </c>
      <c r="K163" s="6" t="s">
        <v>2202</v>
      </c>
      <c r="L163" s="6" t="s">
        <v>2203</v>
      </c>
      <c r="M163" s="6" t="s">
        <v>2204</v>
      </c>
      <c r="N163" s="6" t="s">
        <v>201</v>
      </c>
      <c r="O163" s="6" t="n">
        <v>27</v>
      </c>
    </row>
    <row r="164" customFormat="false" ht="15" hidden="false" customHeight="false" outlineLevel="0" collapsed="false">
      <c r="A164" s="23" t="n">
        <v>46481</v>
      </c>
      <c r="B164" s="6" t="s">
        <v>2205</v>
      </c>
      <c r="C164" s="6" t="s">
        <v>2206</v>
      </c>
      <c r="D164" s="6" t="s">
        <v>2207</v>
      </c>
      <c r="E164" s="6" t="s">
        <v>2208</v>
      </c>
      <c r="F164" s="6" t="s">
        <v>2209</v>
      </c>
      <c r="G164" s="6" t="s">
        <v>2210</v>
      </c>
      <c r="H164" s="6" t="s">
        <v>2211</v>
      </c>
      <c r="I164" s="6" t="s">
        <v>1636</v>
      </c>
      <c r="J164" s="6" t="s">
        <v>605</v>
      </c>
      <c r="K164" s="6" t="s">
        <v>2212</v>
      </c>
      <c r="L164" s="6" t="s">
        <v>2213</v>
      </c>
      <c r="M164" s="6" t="s">
        <v>2214</v>
      </c>
      <c r="N164" s="6" t="s">
        <v>203</v>
      </c>
      <c r="O164" s="6" t="n">
        <v>28</v>
      </c>
    </row>
    <row r="165" customFormat="false" ht="15" hidden="false" customHeight="false" outlineLevel="0" collapsed="false">
      <c r="A165" s="23" t="n">
        <v>46482</v>
      </c>
      <c r="B165" s="6" t="s">
        <v>2215</v>
      </c>
      <c r="C165" s="6" t="s">
        <v>2216</v>
      </c>
      <c r="D165" s="6" t="s">
        <v>2217</v>
      </c>
      <c r="E165" s="6" t="s">
        <v>2218</v>
      </c>
      <c r="F165" s="6" t="s">
        <v>2219</v>
      </c>
      <c r="G165" s="6" t="s">
        <v>2220</v>
      </c>
      <c r="H165" s="6" t="s">
        <v>2221</v>
      </c>
      <c r="I165" s="6" t="s">
        <v>2222</v>
      </c>
      <c r="J165" s="6" t="s">
        <v>2223</v>
      </c>
      <c r="K165" s="6" t="s">
        <v>2224</v>
      </c>
      <c r="L165" s="6" t="s">
        <v>2225</v>
      </c>
      <c r="M165" s="6" t="s">
        <v>2226</v>
      </c>
      <c r="N165" s="6" t="s">
        <v>204</v>
      </c>
      <c r="O165" s="6" t="n">
        <v>29</v>
      </c>
    </row>
    <row r="166" customFormat="false" ht="15" hidden="false" customHeight="false" outlineLevel="0" collapsed="false">
      <c r="A166" s="23" t="n">
        <v>46483</v>
      </c>
      <c r="B166" s="6" t="s">
        <v>2227</v>
      </c>
      <c r="C166" s="6" t="s">
        <v>2228</v>
      </c>
      <c r="D166" s="6" t="s">
        <v>2229</v>
      </c>
      <c r="E166" s="6" t="s">
        <v>2230</v>
      </c>
      <c r="F166" s="6" t="s">
        <v>2231</v>
      </c>
      <c r="G166" s="6" t="s">
        <v>2232</v>
      </c>
      <c r="H166" s="6" t="s">
        <v>2233</v>
      </c>
      <c r="I166" s="6" t="s">
        <v>2234</v>
      </c>
      <c r="J166" s="6" t="s">
        <v>2235</v>
      </c>
      <c r="K166" s="6" t="s">
        <v>2236</v>
      </c>
      <c r="L166" s="6" t="s">
        <v>2237</v>
      </c>
      <c r="M166" s="6" t="s">
        <v>2238</v>
      </c>
      <c r="N166" s="6" t="s">
        <v>206</v>
      </c>
      <c r="O166" s="6" t="n">
        <v>30</v>
      </c>
    </row>
    <row r="167" customFormat="false" ht="15" hidden="false" customHeight="false" outlineLevel="0" collapsed="false">
      <c r="A167" s="23" t="n">
        <v>46484</v>
      </c>
      <c r="B167" s="6" t="s">
        <v>2211</v>
      </c>
      <c r="C167" s="6" t="s">
        <v>2239</v>
      </c>
      <c r="D167" s="6" t="s">
        <v>2240</v>
      </c>
      <c r="E167" s="6" t="s">
        <v>2241</v>
      </c>
      <c r="F167" s="6" t="s">
        <v>2242</v>
      </c>
      <c r="G167" s="6" t="s">
        <v>2243</v>
      </c>
      <c r="H167" s="6" t="s">
        <v>2244</v>
      </c>
      <c r="I167" s="6" t="s">
        <v>2245</v>
      </c>
      <c r="J167" s="6" t="s">
        <v>2246</v>
      </c>
      <c r="K167" s="6" t="s">
        <v>2247</v>
      </c>
      <c r="L167" s="6" t="s">
        <v>2248</v>
      </c>
      <c r="M167" s="6" t="s">
        <v>2249</v>
      </c>
      <c r="N167" s="6" t="s">
        <v>207</v>
      </c>
      <c r="O167" s="6" t="n">
        <v>1</v>
      </c>
    </row>
    <row r="168" customFormat="false" ht="15" hidden="false" customHeight="false" outlineLevel="0" collapsed="false">
      <c r="A168" s="23" t="n">
        <v>46485</v>
      </c>
      <c r="B168" s="6" t="s">
        <v>2250</v>
      </c>
      <c r="C168" s="6" t="s">
        <v>2251</v>
      </c>
      <c r="D168" s="6" t="s">
        <v>1278</v>
      </c>
      <c r="E168" s="6" t="s">
        <v>2252</v>
      </c>
      <c r="F168" s="6" t="s">
        <v>2253</v>
      </c>
      <c r="G168" s="6" t="s">
        <v>2254</v>
      </c>
      <c r="H168" s="6" t="s">
        <v>2255</v>
      </c>
      <c r="I168" s="6" t="s">
        <v>2256</v>
      </c>
      <c r="J168" s="6" t="s">
        <v>2257</v>
      </c>
      <c r="K168" s="6" t="s">
        <v>2258</v>
      </c>
      <c r="L168" s="6" t="s">
        <v>2259</v>
      </c>
      <c r="M168" s="6" t="s">
        <v>2260</v>
      </c>
      <c r="N168" s="6" t="s">
        <v>208</v>
      </c>
      <c r="O168" s="6" t="n">
        <v>2</v>
      </c>
    </row>
    <row r="169" customFormat="false" ht="15" hidden="false" customHeight="false" outlineLevel="0" collapsed="false">
      <c r="A169" s="23" t="n">
        <v>46486</v>
      </c>
      <c r="B169" s="6" t="s">
        <v>2261</v>
      </c>
      <c r="C169" s="6" t="s">
        <v>2262</v>
      </c>
      <c r="D169" s="6" t="s">
        <v>2263</v>
      </c>
      <c r="E169" s="6" t="s">
        <v>2264</v>
      </c>
      <c r="F169" s="6" t="s">
        <v>2253</v>
      </c>
      <c r="G169" s="6" t="s">
        <v>2265</v>
      </c>
      <c r="H169" s="6" t="s">
        <v>2266</v>
      </c>
      <c r="I169" s="6" t="s">
        <v>2267</v>
      </c>
      <c r="J169" s="6" t="s">
        <v>2268</v>
      </c>
      <c r="K169" s="6" t="s">
        <v>2269</v>
      </c>
      <c r="L169" s="6" t="s">
        <v>2270</v>
      </c>
      <c r="M169" s="6" t="s">
        <v>2260</v>
      </c>
      <c r="N169" s="6" t="s">
        <v>170</v>
      </c>
      <c r="O169" s="6" t="n">
        <v>3</v>
      </c>
    </row>
    <row r="170" customFormat="false" ht="15" hidden="false" customHeight="false" outlineLevel="0" collapsed="false">
      <c r="A170" s="23" t="n">
        <v>46487</v>
      </c>
      <c r="B170" s="6" t="s">
        <v>2271</v>
      </c>
      <c r="C170" s="6" t="s">
        <v>2272</v>
      </c>
      <c r="D170" s="6" t="s">
        <v>2273</v>
      </c>
      <c r="E170" s="6" t="s">
        <v>1541</v>
      </c>
      <c r="F170" s="6" t="s">
        <v>2274</v>
      </c>
      <c r="G170" s="6" t="s">
        <v>2275</v>
      </c>
      <c r="H170" s="6" t="s">
        <v>2276</v>
      </c>
      <c r="I170" s="6" t="s">
        <v>2277</v>
      </c>
      <c r="J170" s="6" t="s">
        <v>2278</v>
      </c>
      <c r="K170" s="6" t="s">
        <v>2279</v>
      </c>
      <c r="L170" s="6" t="s">
        <v>2280</v>
      </c>
      <c r="M170" s="6" t="s">
        <v>2281</v>
      </c>
      <c r="N170" s="6" t="s">
        <v>174</v>
      </c>
      <c r="O170" s="6" t="n">
        <v>4</v>
      </c>
    </row>
    <row r="171" customFormat="false" ht="15" hidden="false" customHeight="false" outlineLevel="0" collapsed="false">
      <c r="A171" s="23" t="n">
        <v>46488</v>
      </c>
      <c r="B171" s="6" t="s">
        <v>2282</v>
      </c>
      <c r="C171" s="6" t="s">
        <v>2283</v>
      </c>
      <c r="D171" s="6" t="s">
        <v>1225</v>
      </c>
      <c r="E171" s="6" t="s">
        <v>2284</v>
      </c>
      <c r="F171" s="6" t="s">
        <v>2274</v>
      </c>
      <c r="G171" s="6" t="s">
        <v>2285</v>
      </c>
      <c r="H171" s="6" t="s">
        <v>2286</v>
      </c>
      <c r="I171" s="6" t="s">
        <v>2287</v>
      </c>
      <c r="J171" s="6" t="s">
        <v>2288</v>
      </c>
      <c r="K171" s="6" t="s">
        <v>2289</v>
      </c>
      <c r="L171" s="6" t="s">
        <v>2290</v>
      </c>
      <c r="M171" s="6" t="s">
        <v>2291</v>
      </c>
      <c r="N171" s="6" t="s">
        <v>209</v>
      </c>
      <c r="O171" s="6" t="n">
        <v>5</v>
      </c>
    </row>
    <row r="172" customFormat="false" ht="15" hidden="false" customHeight="false" outlineLevel="0" collapsed="false">
      <c r="A172" s="23" t="n">
        <v>46489</v>
      </c>
      <c r="B172" s="6" t="s">
        <v>2292</v>
      </c>
      <c r="C172" s="6" t="s">
        <v>2293</v>
      </c>
      <c r="D172" s="6" t="s">
        <v>2294</v>
      </c>
      <c r="E172" s="6" t="s">
        <v>2295</v>
      </c>
      <c r="F172" s="6" t="s">
        <v>2296</v>
      </c>
      <c r="G172" s="6" t="s">
        <v>2297</v>
      </c>
      <c r="H172" s="6" t="s">
        <v>2298</v>
      </c>
      <c r="I172" s="6" t="s">
        <v>2299</v>
      </c>
      <c r="J172" s="6" t="s">
        <v>2300</v>
      </c>
      <c r="K172" s="6" t="s">
        <v>2301</v>
      </c>
      <c r="L172" s="6" t="s">
        <v>2302</v>
      </c>
      <c r="M172" s="6" t="s">
        <v>2303</v>
      </c>
      <c r="N172" s="6" t="s">
        <v>175</v>
      </c>
      <c r="O172" s="6" t="n">
        <v>6</v>
      </c>
    </row>
    <row r="173" customFormat="false" ht="15" hidden="false" customHeight="false" outlineLevel="0" collapsed="false">
      <c r="A173" s="23" t="n">
        <v>46490</v>
      </c>
      <c r="B173" s="6" t="s">
        <v>2304</v>
      </c>
      <c r="C173" s="6" t="s">
        <v>2305</v>
      </c>
      <c r="D173" s="6" t="s">
        <v>658</v>
      </c>
      <c r="E173" s="6" t="s">
        <v>2306</v>
      </c>
      <c r="F173" s="6" t="s">
        <v>2307</v>
      </c>
      <c r="G173" s="6" t="s">
        <v>2308</v>
      </c>
      <c r="H173" s="6" t="s">
        <v>2309</v>
      </c>
      <c r="I173" s="6" t="s">
        <v>2310</v>
      </c>
      <c r="J173" s="6" t="s">
        <v>2311</v>
      </c>
      <c r="K173" s="6" t="s">
        <v>2312</v>
      </c>
      <c r="L173" s="6" t="s">
        <v>2313</v>
      </c>
      <c r="M173" s="6" t="s">
        <v>2303</v>
      </c>
      <c r="N173" s="6" t="s">
        <v>178</v>
      </c>
      <c r="O173" s="6" t="n">
        <v>7</v>
      </c>
    </row>
    <row r="174" customFormat="false" ht="15" hidden="false" customHeight="false" outlineLevel="0" collapsed="false">
      <c r="A174" s="23" t="n">
        <v>46491</v>
      </c>
      <c r="B174" s="6" t="s">
        <v>2314</v>
      </c>
      <c r="C174" s="6" t="s">
        <v>2315</v>
      </c>
      <c r="D174" s="6" t="s">
        <v>2316</v>
      </c>
      <c r="E174" s="6" t="s">
        <v>2317</v>
      </c>
      <c r="F174" s="6" t="s">
        <v>2307</v>
      </c>
      <c r="G174" s="6" t="s">
        <v>2318</v>
      </c>
      <c r="H174" s="6" t="s">
        <v>2319</v>
      </c>
      <c r="I174" s="6" t="s">
        <v>2310</v>
      </c>
      <c r="J174" s="6" t="s">
        <v>2311</v>
      </c>
      <c r="K174" s="6" t="s">
        <v>2320</v>
      </c>
      <c r="L174" s="6" t="s">
        <v>2321</v>
      </c>
      <c r="M174" s="6" t="s">
        <v>2322</v>
      </c>
      <c r="N174" s="6" t="s">
        <v>181</v>
      </c>
      <c r="O174" s="6" t="n">
        <v>8</v>
      </c>
    </row>
    <row r="175" customFormat="false" ht="15" hidden="false" customHeight="false" outlineLevel="0" collapsed="false">
      <c r="A175" s="23" t="n">
        <v>46492</v>
      </c>
      <c r="B175" s="6" t="s">
        <v>2323</v>
      </c>
      <c r="C175" s="6" t="s">
        <v>2324</v>
      </c>
      <c r="D175" s="6" t="s">
        <v>2325</v>
      </c>
      <c r="E175" s="6" t="s">
        <v>2326</v>
      </c>
      <c r="F175" s="6" t="s">
        <v>2327</v>
      </c>
      <c r="G175" s="6" t="s">
        <v>2328</v>
      </c>
      <c r="H175" s="6" t="s">
        <v>2329</v>
      </c>
      <c r="I175" s="6" t="s">
        <v>2310</v>
      </c>
      <c r="J175" s="6" t="s">
        <v>2311</v>
      </c>
      <c r="K175" s="6" t="s">
        <v>2330</v>
      </c>
      <c r="L175" s="6" t="s">
        <v>2331</v>
      </c>
      <c r="M175" s="6" t="s">
        <v>2332</v>
      </c>
      <c r="N175" s="6" t="s">
        <v>182</v>
      </c>
      <c r="O175" s="6" t="n">
        <v>9</v>
      </c>
    </row>
    <row r="176" customFormat="false" ht="15" hidden="false" customHeight="false" outlineLevel="0" collapsed="false">
      <c r="A176" s="23" t="n">
        <v>46493</v>
      </c>
      <c r="B176" s="6" t="s">
        <v>2333</v>
      </c>
      <c r="C176" s="6" t="s">
        <v>664</v>
      </c>
      <c r="D176" s="6" t="s">
        <v>2334</v>
      </c>
      <c r="E176" s="6" t="s">
        <v>2335</v>
      </c>
      <c r="F176" s="6" t="s">
        <v>2327</v>
      </c>
      <c r="G176" s="6" t="s">
        <v>2336</v>
      </c>
      <c r="H176" s="6" t="s">
        <v>2337</v>
      </c>
      <c r="I176" s="6" t="s">
        <v>2310</v>
      </c>
      <c r="J176" s="6" t="s">
        <v>2311</v>
      </c>
      <c r="K176" s="6" t="s">
        <v>2338</v>
      </c>
      <c r="L176" s="6" t="s">
        <v>2339</v>
      </c>
      <c r="M176" s="6" t="s">
        <v>2332</v>
      </c>
      <c r="N176" s="6" t="s">
        <v>184</v>
      </c>
      <c r="O176" s="6" t="n">
        <v>11</v>
      </c>
    </row>
    <row r="177" customFormat="false" ht="15" hidden="false" customHeight="false" outlineLevel="0" collapsed="false">
      <c r="A177" s="23" t="n">
        <v>46494</v>
      </c>
      <c r="B177" s="6" t="s">
        <v>2340</v>
      </c>
      <c r="C177" s="6" t="s">
        <v>2341</v>
      </c>
      <c r="D177" s="6" t="s">
        <v>2342</v>
      </c>
      <c r="E177" s="6" t="s">
        <v>2343</v>
      </c>
      <c r="F177" s="6" t="s">
        <v>2344</v>
      </c>
      <c r="G177" s="6" t="s">
        <v>2345</v>
      </c>
      <c r="H177" s="6" t="s">
        <v>2346</v>
      </c>
      <c r="I177" s="6" t="s">
        <v>2347</v>
      </c>
      <c r="J177" s="6" t="s">
        <v>2348</v>
      </c>
      <c r="K177" s="6" t="s">
        <v>2349</v>
      </c>
      <c r="L177" s="6" t="s">
        <v>2350</v>
      </c>
      <c r="M177" s="6" t="s">
        <v>2351</v>
      </c>
      <c r="N177" s="6" t="s">
        <v>185</v>
      </c>
      <c r="O177" s="6" t="n">
        <v>12</v>
      </c>
    </row>
    <row r="178" customFormat="false" ht="15" hidden="false" customHeight="false" outlineLevel="0" collapsed="false">
      <c r="A178" s="23" t="n">
        <v>46495</v>
      </c>
      <c r="B178" s="6" t="s">
        <v>2352</v>
      </c>
      <c r="C178" s="6" t="s">
        <v>2353</v>
      </c>
      <c r="D178" s="6" t="s">
        <v>2354</v>
      </c>
      <c r="E178" s="6" t="s">
        <v>2170</v>
      </c>
      <c r="F178" s="6" t="s">
        <v>2355</v>
      </c>
      <c r="G178" s="6" t="s">
        <v>2356</v>
      </c>
      <c r="H178" s="6" t="s">
        <v>2357</v>
      </c>
      <c r="I178" s="6" t="s">
        <v>2358</v>
      </c>
      <c r="J178" s="6" t="s">
        <v>2359</v>
      </c>
      <c r="K178" s="6" t="s">
        <v>547</v>
      </c>
      <c r="L178" s="6" t="s">
        <v>2360</v>
      </c>
      <c r="M178" s="6" t="s">
        <v>1522</v>
      </c>
      <c r="N178" s="6" t="s">
        <v>187</v>
      </c>
      <c r="O178" s="6" t="n">
        <v>13</v>
      </c>
    </row>
    <row r="179" customFormat="false" ht="15" hidden="false" customHeight="false" outlineLevel="0" collapsed="false">
      <c r="A179" s="23" t="n">
        <v>46496</v>
      </c>
      <c r="B179" s="6" t="s">
        <v>2361</v>
      </c>
      <c r="C179" s="6" t="s">
        <v>2362</v>
      </c>
      <c r="D179" s="6" t="s">
        <v>2363</v>
      </c>
      <c r="E179" s="6" t="s">
        <v>2364</v>
      </c>
      <c r="F179" s="6" t="s">
        <v>2365</v>
      </c>
      <c r="G179" s="6" t="s">
        <v>2366</v>
      </c>
      <c r="H179" s="6" t="s">
        <v>2367</v>
      </c>
      <c r="I179" s="6" t="s">
        <v>2368</v>
      </c>
      <c r="J179" s="6" t="s">
        <v>2369</v>
      </c>
      <c r="K179" s="6" t="s">
        <v>2370</v>
      </c>
      <c r="L179" s="6" t="s">
        <v>2371</v>
      </c>
      <c r="M179" s="6" t="s">
        <v>1522</v>
      </c>
      <c r="N179" s="6" t="s">
        <v>188</v>
      </c>
      <c r="O179" s="6" t="n">
        <v>14</v>
      </c>
    </row>
    <row r="180" customFormat="false" ht="15" hidden="false" customHeight="false" outlineLevel="0" collapsed="false">
      <c r="A180" s="23" t="n">
        <v>46497</v>
      </c>
      <c r="B180" s="6" t="s">
        <v>2372</v>
      </c>
      <c r="C180" s="6" t="s">
        <v>2373</v>
      </c>
      <c r="D180" s="6" t="s">
        <v>2374</v>
      </c>
      <c r="E180" s="6" t="s">
        <v>2375</v>
      </c>
      <c r="F180" s="6" t="s">
        <v>2376</v>
      </c>
      <c r="G180" s="6" t="s">
        <v>2377</v>
      </c>
      <c r="H180" s="6" t="s">
        <v>2378</v>
      </c>
      <c r="I180" s="6" t="s">
        <v>2379</v>
      </c>
      <c r="J180" s="6" t="s">
        <v>2380</v>
      </c>
      <c r="K180" s="6" t="s">
        <v>2381</v>
      </c>
      <c r="L180" s="6" t="s">
        <v>2382</v>
      </c>
      <c r="M180" s="6" t="s">
        <v>2383</v>
      </c>
      <c r="N180" s="6" t="s">
        <v>189</v>
      </c>
      <c r="O180" s="6" t="n">
        <v>15</v>
      </c>
    </row>
    <row r="181" customFormat="false" ht="15" hidden="false" customHeight="false" outlineLevel="0" collapsed="false">
      <c r="A181" s="23" t="n">
        <v>46498</v>
      </c>
      <c r="B181" s="6" t="s">
        <v>2384</v>
      </c>
      <c r="C181" s="6" t="s">
        <v>751</v>
      </c>
      <c r="D181" s="6" t="s">
        <v>2385</v>
      </c>
      <c r="E181" s="6" t="s">
        <v>2386</v>
      </c>
      <c r="F181" s="6" t="s">
        <v>2387</v>
      </c>
      <c r="G181" s="6" t="s">
        <v>2388</v>
      </c>
      <c r="H181" s="6" t="s">
        <v>2389</v>
      </c>
      <c r="I181" s="6" t="s">
        <v>2187</v>
      </c>
      <c r="J181" s="6" t="s">
        <v>2390</v>
      </c>
      <c r="K181" s="6" t="s">
        <v>2391</v>
      </c>
      <c r="L181" s="6" t="s">
        <v>1382</v>
      </c>
      <c r="M181" s="6" t="s">
        <v>2383</v>
      </c>
      <c r="N181" s="6" t="s">
        <v>191</v>
      </c>
      <c r="O181" s="6" t="n">
        <v>16</v>
      </c>
    </row>
    <row r="182" customFormat="false" ht="15" hidden="false" customHeight="false" outlineLevel="0" collapsed="false">
      <c r="A182" s="23" t="n">
        <v>46499</v>
      </c>
      <c r="B182" s="6" t="s">
        <v>2392</v>
      </c>
      <c r="C182" s="6" t="s">
        <v>2393</v>
      </c>
      <c r="D182" s="6" t="s">
        <v>2394</v>
      </c>
      <c r="E182" s="6" t="s">
        <v>2395</v>
      </c>
      <c r="F182" s="6" t="s">
        <v>2396</v>
      </c>
      <c r="G182" s="6" t="s">
        <v>1659</v>
      </c>
      <c r="H182" s="6" t="s">
        <v>2397</v>
      </c>
      <c r="I182" s="6" t="s">
        <v>2398</v>
      </c>
      <c r="J182" s="6" t="s">
        <v>2399</v>
      </c>
      <c r="K182" s="6" t="s">
        <v>2400</v>
      </c>
      <c r="L182" s="6" t="s">
        <v>2401</v>
      </c>
      <c r="M182" s="6" t="s">
        <v>2402</v>
      </c>
      <c r="N182" s="6" t="s">
        <v>192</v>
      </c>
      <c r="O182" s="6" t="n">
        <v>17</v>
      </c>
    </row>
    <row r="183" customFormat="false" ht="15" hidden="false" customHeight="false" outlineLevel="0" collapsed="false">
      <c r="A183" s="23" t="n">
        <v>46500</v>
      </c>
      <c r="B183" s="6" t="s">
        <v>2403</v>
      </c>
      <c r="C183" s="6" t="s">
        <v>2404</v>
      </c>
      <c r="D183" s="6" t="s">
        <v>2405</v>
      </c>
      <c r="E183" s="6" t="s">
        <v>2406</v>
      </c>
      <c r="F183" s="6" t="s">
        <v>2407</v>
      </c>
      <c r="G183" s="6" t="s">
        <v>2023</v>
      </c>
      <c r="H183" s="6" t="s">
        <v>2408</v>
      </c>
      <c r="I183" s="6" t="s">
        <v>2409</v>
      </c>
      <c r="J183" s="6" t="s">
        <v>2410</v>
      </c>
      <c r="K183" s="6" t="s">
        <v>2411</v>
      </c>
      <c r="L183" s="6" t="s">
        <v>2412</v>
      </c>
      <c r="M183" s="6" t="s">
        <v>2402</v>
      </c>
      <c r="N183" s="6" t="s">
        <v>193</v>
      </c>
      <c r="O183" s="6" t="n">
        <v>18</v>
      </c>
    </row>
    <row r="184" customFormat="false" ht="15" hidden="false" customHeight="false" outlineLevel="0" collapsed="false">
      <c r="A184" s="23" t="n">
        <v>46501</v>
      </c>
      <c r="B184" s="6" t="s">
        <v>2413</v>
      </c>
      <c r="C184" s="6" t="s">
        <v>2414</v>
      </c>
      <c r="D184" s="6" t="s">
        <v>2415</v>
      </c>
      <c r="E184" s="6" t="s">
        <v>2416</v>
      </c>
      <c r="F184" s="6" t="s">
        <v>2417</v>
      </c>
      <c r="G184" s="6" t="s">
        <v>2360</v>
      </c>
      <c r="H184" s="6" t="s">
        <v>2418</v>
      </c>
      <c r="I184" s="6" t="s">
        <v>2419</v>
      </c>
      <c r="J184" s="6" t="s">
        <v>2365</v>
      </c>
      <c r="K184" s="6" t="s">
        <v>2420</v>
      </c>
      <c r="L184" s="6" t="s">
        <v>2421</v>
      </c>
      <c r="M184" s="6" t="s">
        <v>2402</v>
      </c>
      <c r="N184" s="6" t="s">
        <v>194</v>
      </c>
      <c r="O184" s="6" t="n">
        <v>19</v>
      </c>
    </row>
    <row r="185" customFormat="false" ht="15" hidden="false" customHeight="false" outlineLevel="0" collapsed="false">
      <c r="A185" s="23" t="n">
        <v>46502</v>
      </c>
      <c r="B185" s="6" t="s">
        <v>2422</v>
      </c>
      <c r="C185" s="6" t="s">
        <v>2423</v>
      </c>
      <c r="D185" s="6" t="s">
        <v>2424</v>
      </c>
      <c r="E185" s="6" t="s">
        <v>2425</v>
      </c>
      <c r="F185" s="6" t="s">
        <v>2410</v>
      </c>
      <c r="G185" s="6" t="s">
        <v>2426</v>
      </c>
      <c r="H185" s="6" t="s">
        <v>2427</v>
      </c>
      <c r="I185" s="6" t="s">
        <v>2428</v>
      </c>
      <c r="J185" s="6" t="s">
        <v>2429</v>
      </c>
      <c r="K185" s="6" t="s">
        <v>2430</v>
      </c>
      <c r="L185" s="6" t="s">
        <v>2431</v>
      </c>
      <c r="M185" s="6" t="s">
        <v>2432</v>
      </c>
      <c r="N185" s="6" t="s">
        <v>196</v>
      </c>
      <c r="O185" s="6" t="n">
        <v>20</v>
      </c>
    </row>
    <row r="186" customFormat="false" ht="15" hidden="false" customHeight="false" outlineLevel="0" collapsed="false">
      <c r="A186" s="23" t="n">
        <v>46503</v>
      </c>
      <c r="B186" s="6" t="s">
        <v>2433</v>
      </c>
      <c r="C186" s="6" t="s">
        <v>2434</v>
      </c>
      <c r="D186" s="6" t="s">
        <v>584</v>
      </c>
      <c r="E186" s="6" t="s">
        <v>2435</v>
      </c>
      <c r="F186" s="6" t="s">
        <v>559</v>
      </c>
      <c r="G186" s="6" t="s">
        <v>2436</v>
      </c>
      <c r="H186" s="6" t="s">
        <v>2437</v>
      </c>
      <c r="I186" s="6" t="s">
        <v>2438</v>
      </c>
      <c r="J186" s="6" t="s">
        <v>2439</v>
      </c>
      <c r="K186" s="6" t="s">
        <v>2440</v>
      </c>
      <c r="L186" s="6" t="s">
        <v>2441</v>
      </c>
      <c r="M186" s="6" t="s">
        <v>2432</v>
      </c>
      <c r="N186" s="6" t="s">
        <v>197</v>
      </c>
      <c r="O186" s="6" t="n">
        <v>21</v>
      </c>
    </row>
    <row r="187" customFormat="false" ht="15" hidden="false" customHeight="false" outlineLevel="0" collapsed="false">
      <c r="A187" s="23" t="n">
        <v>46504</v>
      </c>
      <c r="B187" s="6" t="s">
        <v>2442</v>
      </c>
      <c r="C187" s="6" t="s">
        <v>2443</v>
      </c>
      <c r="D187" s="6" t="s">
        <v>2444</v>
      </c>
      <c r="E187" s="6" t="s">
        <v>2445</v>
      </c>
      <c r="F187" s="6" t="s">
        <v>2446</v>
      </c>
      <c r="G187" s="6" t="s">
        <v>2447</v>
      </c>
      <c r="H187" s="6" t="s">
        <v>2448</v>
      </c>
      <c r="I187" s="6" t="s">
        <v>2449</v>
      </c>
      <c r="J187" s="6" t="s">
        <v>2450</v>
      </c>
      <c r="K187" s="6" t="s">
        <v>2451</v>
      </c>
      <c r="L187" s="6" t="s">
        <v>2452</v>
      </c>
      <c r="M187" s="6" t="s">
        <v>2432</v>
      </c>
      <c r="N187" s="6" t="s">
        <v>197</v>
      </c>
      <c r="O187" s="6" t="n">
        <v>22</v>
      </c>
    </row>
    <row r="188" customFormat="false" ht="15" hidden="false" customHeight="false" outlineLevel="0" collapsed="false">
      <c r="A188" s="23" t="n">
        <v>46505</v>
      </c>
      <c r="B188" s="6" t="s">
        <v>2453</v>
      </c>
      <c r="C188" s="6" t="s">
        <v>2454</v>
      </c>
      <c r="D188" s="6" t="s">
        <v>2455</v>
      </c>
      <c r="E188" s="6" t="s">
        <v>2456</v>
      </c>
      <c r="F188" s="6" t="s">
        <v>2457</v>
      </c>
      <c r="G188" s="6" t="s">
        <v>2458</v>
      </c>
      <c r="H188" s="6" t="s">
        <v>2378</v>
      </c>
      <c r="I188" s="6" t="s">
        <v>2459</v>
      </c>
      <c r="J188" s="6" t="s">
        <v>2460</v>
      </c>
      <c r="K188" s="6" t="s">
        <v>2461</v>
      </c>
      <c r="L188" s="6" t="s">
        <v>2462</v>
      </c>
      <c r="M188" s="6" t="s">
        <v>1910</v>
      </c>
      <c r="N188" s="6" t="s">
        <v>199</v>
      </c>
      <c r="O188" s="6" t="n">
        <v>22</v>
      </c>
    </row>
    <row r="189" customFormat="false" ht="15" hidden="false" customHeight="false" outlineLevel="0" collapsed="false">
      <c r="A189" s="23" t="n">
        <v>46506</v>
      </c>
      <c r="B189" s="6" t="s">
        <v>2463</v>
      </c>
      <c r="C189" s="6" t="s">
        <v>2464</v>
      </c>
      <c r="D189" s="6" t="s">
        <v>2465</v>
      </c>
      <c r="E189" s="6" t="s">
        <v>2466</v>
      </c>
      <c r="F189" s="6" t="s">
        <v>2467</v>
      </c>
      <c r="G189" s="6" t="s">
        <v>2468</v>
      </c>
      <c r="H189" s="6" t="s">
        <v>2469</v>
      </c>
      <c r="I189" s="6" t="s">
        <v>2459</v>
      </c>
      <c r="J189" s="6" t="s">
        <v>2460</v>
      </c>
      <c r="K189" s="6" t="s">
        <v>2470</v>
      </c>
      <c r="L189" s="6" t="s">
        <v>2471</v>
      </c>
      <c r="M189" s="6" t="s">
        <v>1910</v>
      </c>
      <c r="N189" s="6" t="s">
        <v>200</v>
      </c>
      <c r="O189" s="6" t="n">
        <v>23</v>
      </c>
    </row>
    <row r="190" customFormat="false" ht="15" hidden="false" customHeight="false" outlineLevel="0" collapsed="false">
      <c r="A190" s="23" t="n">
        <v>46507</v>
      </c>
      <c r="B190" s="6" t="s">
        <v>2472</v>
      </c>
      <c r="C190" s="6" t="s">
        <v>2473</v>
      </c>
      <c r="D190" s="6" t="s">
        <v>2474</v>
      </c>
      <c r="E190" s="6" t="s">
        <v>2475</v>
      </c>
      <c r="F190" s="6" t="s">
        <v>2476</v>
      </c>
      <c r="G190" s="6" t="s">
        <v>2477</v>
      </c>
      <c r="H190" s="6" t="s">
        <v>2478</v>
      </c>
      <c r="I190" s="6" t="s">
        <v>2459</v>
      </c>
      <c r="J190" s="6" t="s">
        <v>2460</v>
      </c>
      <c r="K190" s="6" t="s">
        <v>2479</v>
      </c>
      <c r="L190" s="6" t="s">
        <v>2110</v>
      </c>
      <c r="M190" s="6" t="s">
        <v>1910</v>
      </c>
      <c r="N190" s="6" t="s">
        <v>201</v>
      </c>
      <c r="O190" s="6" t="n">
        <v>24</v>
      </c>
    </row>
    <row r="191" customFormat="false" ht="15" hidden="false" customHeight="false" outlineLevel="0" collapsed="false">
      <c r="A191" s="23" t="n">
        <v>46508</v>
      </c>
      <c r="B191" s="6" t="s">
        <v>2480</v>
      </c>
      <c r="C191" s="6" t="s">
        <v>2481</v>
      </c>
      <c r="D191" s="6" t="s">
        <v>2482</v>
      </c>
      <c r="E191" s="6" t="s">
        <v>2483</v>
      </c>
      <c r="F191" s="6" t="s">
        <v>2484</v>
      </c>
      <c r="G191" s="6" t="s">
        <v>2485</v>
      </c>
      <c r="H191" s="6" t="s">
        <v>2375</v>
      </c>
      <c r="I191" s="6" t="s">
        <v>2486</v>
      </c>
      <c r="J191" s="6" t="s">
        <v>548</v>
      </c>
      <c r="K191" s="6" t="s">
        <v>2487</v>
      </c>
      <c r="L191" s="6" t="s">
        <v>2488</v>
      </c>
      <c r="M191" s="6" t="s">
        <v>1910</v>
      </c>
      <c r="N191" s="6" t="s">
        <v>203</v>
      </c>
      <c r="O191" s="6" t="n">
        <v>25</v>
      </c>
    </row>
    <row r="192" customFormat="false" ht="15" hidden="false" customHeight="false" outlineLevel="0" collapsed="false">
      <c r="A192" s="23" t="n">
        <v>46509</v>
      </c>
      <c r="B192" s="6" t="s">
        <v>2489</v>
      </c>
      <c r="C192" s="6" t="s">
        <v>2490</v>
      </c>
      <c r="D192" s="6" t="s">
        <v>2491</v>
      </c>
      <c r="E192" s="6" t="s">
        <v>2492</v>
      </c>
      <c r="F192" s="6" t="s">
        <v>2493</v>
      </c>
      <c r="G192" s="6" t="s">
        <v>2494</v>
      </c>
      <c r="H192" s="6" t="s">
        <v>2495</v>
      </c>
      <c r="I192" s="6" t="s">
        <v>2496</v>
      </c>
      <c r="J192" s="6" t="s">
        <v>2497</v>
      </c>
      <c r="K192" s="6" t="s">
        <v>2498</v>
      </c>
      <c r="L192" s="6" t="s">
        <v>2499</v>
      </c>
      <c r="M192" s="6" t="s">
        <v>2500</v>
      </c>
      <c r="N192" s="6" t="s">
        <v>204</v>
      </c>
      <c r="O192" s="6" t="n">
        <v>26</v>
      </c>
    </row>
    <row r="193" customFormat="false" ht="15" hidden="false" customHeight="false" outlineLevel="0" collapsed="false">
      <c r="A193" s="23" t="n">
        <v>46510</v>
      </c>
      <c r="B193" s="6" t="s">
        <v>2501</v>
      </c>
      <c r="C193" s="6" t="s">
        <v>2502</v>
      </c>
      <c r="D193" s="6" t="s">
        <v>2503</v>
      </c>
      <c r="E193" s="6" t="s">
        <v>2504</v>
      </c>
      <c r="F193" s="6" t="s">
        <v>2390</v>
      </c>
      <c r="G193" s="6" t="s">
        <v>2505</v>
      </c>
      <c r="H193" s="6" t="s">
        <v>2506</v>
      </c>
      <c r="I193" s="6" t="s">
        <v>2507</v>
      </c>
      <c r="J193" s="6" t="s">
        <v>2508</v>
      </c>
      <c r="K193" s="6" t="s">
        <v>2509</v>
      </c>
      <c r="L193" s="6" t="s">
        <v>2510</v>
      </c>
      <c r="M193" s="6" t="s">
        <v>2500</v>
      </c>
      <c r="N193" s="6" t="s">
        <v>206</v>
      </c>
      <c r="O193" s="6" t="n">
        <v>27</v>
      </c>
    </row>
    <row r="194" customFormat="false" ht="15" hidden="false" customHeight="false" outlineLevel="0" collapsed="false">
      <c r="A194" s="23" t="n">
        <v>46511</v>
      </c>
      <c r="B194" s="6" t="s">
        <v>2511</v>
      </c>
      <c r="C194" s="6" t="s">
        <v>2512</v>
      </c>
      <c r="D194" s="6" t="s">
        <v>2513</v>
      </c>
      <c r="E194" s="6" t="s">
        <v>2514</v>
      </c>
      <c r="F194" s="6" t="s">
        <v>2515</v>
      </c>
      <c r="G194" s="6" t="s">
        <v>2516</v>
      </c>
      <c r="H194" s="6" t="s">
        <v>2517</v>
      </c>
      <c r="I194" s="6" t="s">
        <v>2518</v>
      </c>
      <c r="J194" s="6" t="s">
        <v>2519</v>
      </c>
      <c r="K194" s="6" t="s">
        <v>2520</v>
      </c>
      <c r="L194" s="6" t="s">
        <v>2521</v>
      </c>
      <c r="M194" s="6" t="s">
        <v>2500</v>
      </c>
      <c r="N194" s="6" t="s">
        <v>207</v>
      </c>
      <c r="O194" s="6" t="n">
        <v>28</v>
      </c>
    </row>
    <row r="195" customFormat="false" ht="15" hidden="false" customHeight="false" outlineLevel="0" collapsed="false">
      <c r="A195" s="23" t="n">
        <v>46512</v>
      </c>
      <c r="B195" s="6" t="s">
        <v>2522</v>
      </c>
      <c r="C195" s="6" t="s">
        <v>2523</v>
      </c>
      <c r="D195" s="6" t="s">
        <v>783</v>
      </c>
      <c r="E195" s="6" t="s">
        <v>2524</v>
      </c>
      <c r="F195" s="6" t="s">
        <v>2525</v>
      </c>
      <c r="G195" s="6" t="s">
        <v>2526</v>
      </c>
      <c r="H195" s="6" t="s">
        <v>2527</v>
      </c>
      <c r="I195" s="6" t="s">
        <v>2528</v>
      </c>
      <c r="J195" s="6" t="s">
        <v>2529</v>
      </c>
      <c r="K195" s="6" t="s">
        <v>2530</v>
      </c>
      <c r="L195" s="6" t="s">
        <v>2531</v>
      </c>
      <c r="M195" s="6" t="s">
        <v>2500</v>
      </c>
      <c r="N195" s="6" t="s">
        <v>208</v>
      </c>
      <c r="O195" s="6" t="n">
        <v>29</v>
      </c>
    </row>
    <row r="196" customFormat="false" ht="15" hidden="false" customHeight="false" outlineLevel="0" collapsed="false">
      <c r="A196" s="23" t="n">
        <v>46513</v>
      </c>
      <c r="B196" s="6" t="s">
        <v>2532</v>
      </c>
      <c r="C196" s="6" t="s">
        <v>2533</v>
      </c>
      <c r="D196" s="6" t="s">
        <v>2534</v>
      </c>
      <c r="E196" s="6" t="s">
        <v>2535</v>
      </c>
      <c r="F196" s="6" t="s">
        <v>2536</v>
      </c>
      <c r="G196" s="6" t="s">
        <v>2537</v>
      </c>
      <c r="H196" s="6" t="s">
        <v>2538</v>
      </c>
      <c r="I196" s="6" t="s">
        <v>2539</v>
      </c>
      <c r="J196" s="6" t="s">
        <v>2540</v>
      </c>
      <c r="K196" s="6" t="s">
        <v>2541</v>
      </c>
      <c r="L196" s="6" t="s">
        <v>2542</v>
      </c>
      <c r="M196" s="6" t="s">
        <v>2500</v>
      </c>
      <c r="N196" s="6" t="s">
        <v>170</v>
      </c>
      <c r="O196" s="6" t="n">
        <v>30</v>
      </c>
    </row>
    <row r="197" customFormat="false" ht="15" hidden="false" customHeight="false" outlineLevel="0" collapsed="false">
      <c r="A197" s="23" t="n">
        <v>46514</v>
      </c>
      <c r="B197" s="6" t="s">
        <v>2543</v>
      </c>
      <c r="C197" s="6" t="s">
        <v>2544</v>
      </c>
      <c r="D197" s="6" t="s">
        <v>2545</v>
      </c>
      <c r="E197" s="6" t="s">
        <v>2546</v>
      </c>
      <c r="F197" s="6" t="s">
        <v>2547</v>
      </c>
      <c r="G197" s="6" t="s">
        <v>2548</v>
      </c>
      <c r="H197" s="6" t="s">
        <v>2549</v>
      </c>
      <c r="I197" s="6" t="s">
        <v>2550</v>
      </c>
      <c r="J197" s="6" t="s">
        <v>2551</v>
      </c>
      <c r="K197" s="6" t="s">
        <v>2552</v>
      </c>
      <c r="L197" s="6" t="s">
        <v>2553</v>
      </c>
      <c r="M197" s="6" t="s">
        <v>2500</v>
      </c>
      <c r="N197" s="6" t="s">
        <v>174</v>
      </c>
      <c r="O197" s="6" t="n">
        <v>1</v>
      </c>
    </row>
    <row r="198" customFormat="false" ht="15" hidden="false" customHeight="false" outlineLevel="0" collapsed="false">
      <c r="A198" s="23" t="n">
        <v>46515</v>
      </c>
      <c r="B198" s="6" t="s">
        <v>2554</v>
      </c>
      <c r="C198" s="6" t="s">
        <v>2555</v>
      </c>
      <c r="D198" s="6" t="s">
        <v>2556</v>
      </c>
      <c r="E198" s="6" t="s">
        <v>2557</v>
      </c>
      <c r="F198" s="6" t="s">
        <v>2558</v>
      </c>
      <c r="G198" s="6" t="s">
        <v>2559</v>
      </c>
      <c r="H198" s="6" t="s">
        <v>2560</v>
      </c>
      <c r="I198" s="6" t="s">
        <v>2561</v>
      </c>
      <c r="J198" s="6" t="s">
        <v>2562</v>
      </c>
      <c r="K198" s="6" t="s">
        <v>2563</v>
      </c>
      <c r="L198" s="6" t="s">
        <v>2564</v>
      </c>
      <c r="M198" s="6" t="s">
        <v>2500</v>
      </c>
      <c r="N198" s="6" t="s">
        <v>209</v>
      </c>
      <c r="O198" s="6" t="n">
        <v>3</v>
      </c>
    </row>
    <row r="199" customFormat="false" ht="15" hidden="false" customHeight="false" outlineLevel="0" collapsed="false">
      <c r="A199" s="23" t="n">
        <v>46516</v>
      </c>
      <c r="B199" s="6" t="s">
        <v>2565</v>
      </c>
      <c r="C199" s="6" t="s">
        <v>2566</v>
      </c>
      <c r="D199" s="6" t="s">
        <v>2567</v>
      </c>
      <c r="E199" s="6" t="s">
        <v>2568</v>
      </c>
      <c r="F199" s="6" t="s">
        <v>2569</v>
      </c>
      <c r="G199" s="6" t="s">
        <v>2570</v>
      </c>
      <c r="H199" s="6" t="s">
        <v>2571</v>
      </c>
      <c r="I199" s="6" t="s">
        <v>2572</v>
      </c>
      <c r="J199" s="6" t="s">
        <v>2573</v>
      </c>
      <c r="K199" s="6" t="s">
        <v>2574</v>
      </c>
      <c r="L199" s="6" t="s">
        <v>2575</v>
      </c>
      <c r="M199" s="6" t="s">
        <v>2576</v>
      </c>
      <c r="N199" s="6" t="s">
        <v>175</v>
      </c>
      <c r="O199" s="6" t="n">
        <v>4</v>
      </c>
    </row>
    <row r="200" customFormat="false" ht="15" hidden="false" customHeight="false" outlineLevel="0" collapsed="false">
      <c r="A200" s="23" t="n">
        <v>46517</v>
      </c>
      <c r="B200" s="6" t="s">
        <v>2577</v>
      </c>
      <c r="C200" s="6" t="s">
        <v>2578</v>
      </c>
      <c r="D200" s="6" t="s">
        <v>2579</v>
      </c>
      <c r="E200" s="6" t="s">
        <v>2580</v>
      </c>
      <c r="F200" s="6" t="s">
        <v>2359</v>
      </c>
      <c r="G200" s="6" t="s">
        <v>2581</v>
      </c>
      <c r="H200" s="6" t="s">
        <v>2582</v>
      </c>
      <c r="I200" s="6" t="s">
        <v>2583</v>
      </c>
      <c r="J200" s="6" t="s">
        <v>2584</v>
      </c>
      <c r="K200" s="6" t="s">
        <v>2585</v>
      </c>
      <c r="L200" s="6" t="s">
        <v>2586</v>
      </c>
      <c r="M200" s="6" t="s">
        <v>2576</v>
      </c>
      <c r="N200" s="6" t="s">
        <v>177</v>
      </c>
      <c r="O200" s="6" t="n">
        <v>5</v>
      </c>
    </row>
    <row r="201" customFormat="false" ht="15" hidden="false" customHeight="false" outlineLevel="0" collapsed="false">
      <c r="A201" s="23" t="n">
        <v>46518</v>
      </c>
      <c r="B201" s="6" t="s">
        <v>2587</v>
      </c>
      <c r="C201" s="6" t="s">
        <v>2588</v>
      </c>
      <c r="D201" s="6" t="s">
        <v>2589</v>
      </c>
      <c r="E201" s="6" t="s">
        <v>2509</v>
      </c>
      <c r="F201" s="6" t="s">
        <v>2590</v>
      </c>
      <c r="G201" s="6" t="s">
        <v>2591</v>
      </c>
      <c r="H201" s="6" t="s">
        <v>2592</v>
      </c>
      <c r="I201" s="6" t="s">
        <v>2593</v>
      </c>
      <c r="J201" s="6" t="s">
        <v>2594</v>
      </c>
      <c r="K201" s="6" t="s">
        <v>2595</v>
      </c>
      <c r="L201" s="6" t="s">
        <v>2596</v>
      </c>
      <c r="M201" s="6" t="s">
        <v>2576</v>
      </c>
      <c r="N201" s="6" t="s">
        <v>178</v>
      </c>
      <c r="O201" s="6" t="n">
        <v>6</v>
      </c>
    </row>
    <row r="202" customFormat="false" ht="15" hidden="false" customHeight="false" outlineLevel="0" collapsed="false">
      <c r="A202" s="23" t="n">
        <v>46519</v>
      </c>
      <c r="B202" s="6" t="s">
        <v>2597</v>
      </c>
      <c r="C202" s="6" t="s">
        <v>2598</v>
      </c>
      <c r="D202" s="6" t="s">
        <v>2599</v>
      </c>
      <c r="E202" s="6" t="s">
        <v>2600</v>
      </c>
      <c r="F202" s="6" t="s">
        <v>582</v>
      </c>
      <c r="G202" s="6" t="s">
        <v>2601</v>
      </c>
      <c r="H202" s="6" t="s">
        <v>2602</v>
      </c>
      <c r="I202" s="6" t="s">
        <v>2603</v>
      </c>
      <c r="J202" s="6" t="s">
        <v>2604</v>
      </c>
      <c r="K202" s="6" t="s">
        <v>2605</v>
      </c>
      <c r="L202" s="6" t="s">
        <v>2606</v>
      </c>
      <c r="M202" s="6" t="s">
        <v>2576</v>
      </c>
      <c r="N202" s="6" t="s">
        <v>181</v>
      </c>
      <c r="O202" s="6" t="n">
        <v>7</v>
      </c>
    </row>
    <row r="203" customFormat="false" ht="15" hidden="false" customHeight="false" outlineLevel="0" collapsed="false">
      <c r="A203" s="23" t="n">
        <v>46520</v>
      </c>
      <c r="B203" s="6" t="s">
        <v>2607</v>
      </c>
      <c r="C203" s="6" t="s">
        <v>2608</v>
      </c>
      <c r="D203" s="6" t="s">
        <v>2609</v>
      </c>
      <c r="E203" s="6" t="s">
        <v>2610</v>
      </c>
      <c r="F203" s="6" t="s">
        <v>2611</v>
      </c>
      <c r="G203" s="6" t="s">
        <v>2612</v>
      </c>
      <c r="H203" s="6" t="s">
        <v>2613</v>
      </c>
      <c r="I203" s="6" t="s">
        <v>2603</v>
      </c>
      <c r="J203" s="6" t="s">
        <v>2604</v>
      </c>
      <c r="K203" s="6" t="s">
        <v>2614</v>
      </c>
      <c r="L203" s="6" t="s">
        <v>2615</v>
      </c>
      <c r="M203" s="6" t="s">
        <v>2576</v>
      </c>
      <c r="N203" s="6" t="s">
        <v>182</v>
      </c>
      <c r="O203" s="6" t="n">
        <v>8</v>
      </c>
    </row>
    <row r="204" customFormat="false" ht="15" hidden="false" customHeight="false" outlineLevel="0" collapsed="false">
      <c r="A204" s="23" t="n">
        <v>46521</v>
      </c>
      <c r="B204" s="6" t="s">
        <v>2616</v>
      </c>
      <c r="C204" s="6" t="s">
        <v>2617</v>
      </c>
      <c r="D204" s="6" t="s">
        <v>2618</v>
      </c>
      <c r="E204" s="6" t="s">
        <v>2619</v>
      </c>
      <c r="F204" s="6" t="s">
        <v>2278</v>
      </c>
      <c r="G204" s="6" t="s">
        <v>2620</v>
      </c>
      <c r="H204" s="6" t="s">
        <v>2621</v>
      </c>
      <c r="I204" s="6" t="s">
        <v>2603</v>
      </c>
      <c r="J204" s="6" t="s">
        <v>2604</v>
      </c>
      <c r="K204" s="6" t="s">
        <v>2622</v>
      </c>
      <c r="L204" s="6" t="s">
        <v>2623</v>
      </c>
      <c r="M204" s="6" t="s">
        <v>2576</v>
      </c>
      <c r="N204" s="6" t="s">
        <v>184</v>
      </c>
      <c r="O204" s="6" t="n">
        <v>9</v>
      </c>
    </row>
    <row r="205" customFormat="false" ht="15" hidden="false" customHeight="false" outlineLevel="0" collapsed="false">
      <c r="A205" s="23" t="n">
        <v>46522</v>
      </c>
      <c r="B205" s="6" t="s">
        <v>2624</v>
      </c>
      <c r="C205" s="6" t="s">
        <v>2625</v>
      </c>
      <c r="D205" s="6" t="s">
        <v>2626</v>
      </c>
      <c r="E205" s="6" t="s">
        <v>2627</v>
      </c>
      <c r="F205" s="6" t="s">
        <v>2628</v>
      </c>
      <c r="G205" s="6" t="s">
        <v>2629</v>
      </c>
      <c r="H205" s="6" t="s">
        <v>2630</v>
      </c>
      <c r="I205" s="6" t="s">
        <v>2631</v>
      </c>
      <c r="J205" s="6" t="s">
        <v>2632</v>
      </c>
      <c r="K205" s="6" t="s">
        <v>2633</v>
      </c>
      <c r="L205" s="6" t="s">
        <v>2634</v>
      </c>
      <c r="M205" s="6" t="s">
        <v>2635</v>
      </c>
      <c r="N205" s="6" t="s">
        <v>187</v>
      </c>
      <c r="O205" s="6" t="n">
        <v>10</v>
      </c>
    </row>
    <row r="206" customFormat="false" ht="15" hidden="false" customHeight="false" outlineLevel="0" collapsed="false">
      <c r="A206" s="23" t="n">
        <v>46523</v>
      </c>
      <c r="B206" s="6" t="s">
        <v>2636</v>
      </c>
      <c r="C206" s="6" t="s">
        <v>2637</v>
      </c>
      <c r="D206" s="6" t="s">
        <v>2638</v>
      </c>
      <c r="E206" s="6" t="s">
        <v>2639</v>
      </c>
      <c r="F206" s="6" t="s">
        <v>2640</v>
      </c>
      <c r="G206" s="6" t="s">
        <v>2641</v>
      </c>
      <c r="H206" s="6" t="s">
        <v>2642</v>
      </c>
      <c r="I206" s="6" t="s">
        <v>2643</v>
      </c>
      <c r="J206" s="6" t="s">
        <v>2644</v>
      </c>
      <c r="K206" s="6" t="s">
        <v>2645</v>
      </c>
      <c r="L206" s="6" t="s">
        <v>2646</v>
      </c>
      <c r="M206" s="6" t="s">
        <v>2635</v>
      </c>
      <c r="N206" s="6" t="s">
        <v>188</v>
      </c>
      <c r="O206" s="6" t="n">
        <v>11</v>
      </c>
    </row>
    <row r="207" customFormat="false" ht="15" hidden="false" customHeight="false" outlineLevel="0" collapsed="false">
      <c r="A207" s="23" t="n">
        <v>46524</v>
      </c>
      <c r="B207" s="6" t="s">
        <v>2647</v>
      </c>
      <c r="C207" s="6" t="s">
        <v>2648</v>
      </c>
      <c r="D207" s="6" t="s">
        <v>2649</v>
      </c>
      <c r="E207" s="6" t="s">
        <v>2650</v>
      </c>
      <c r="F207" s="6" t="s">
        <v>2651</v>
      </c>
      <c r="G207" s="6" t="s">
        <v>2652</v>
      </c>
      <c r="H207" s="6" t="s">
        <v>2653</v>
      </c>
      <c r="I207" s="6" t="s">
        <v>2654</v>
      </c>
      <c r="J207" s="6" t="s">
        <v>2655</v>
      </c>
      <c r="K207" s="6" t="s">
        <v>2656</v>
      </c>
      <c r="L207" s="6" t="s">
        <v>2657</v>
      </c>
      <c r="M207" s="6" t="s">
        <v>2635</v>
      </c>
      <c r="N207" s="6" t="s">
        <v>189</v>
      </c>
      <c r="O207" s="6" t="n">
        <v>12</v>
      </c>
    </row>
    <row r="208" customFormat="false" ht="15" hidden="false" customHeight="false" outlineLevel="0" collapsed="false">
      <c r="A208" s="23" t="n">
        <v>46525</v>
      </c>
      <c r="B208" s="6" t="s">
        <v>2658</v>
      </c>
      <c r="C208" s="6" t="s">
        <v>976</v>
      </c>
      <c r="D208" s="6" t="s">
        <v>2659</v>
      </c>
      <c r="E208" s="6" t="s">
        <v>2660</v>
      </c>
      <c r="F208" s="6" t="s">
        <v>2661</v>
      </c>
      <c r="G208" s="6" t="s">
        <v>2662</v>
      </c>
      <c r="H208" s="6" t="s">
        <v>2386</v>
      </c>
      <c r="I208" s="6" t="s">
        <v>2663</v>
      </c>
      <c r="J208" s="6" t="s">
        <v>2664</v>
      </c>
      <c r="K208" s="6" t="s">
        <v>2665</v>
      </c>
      <c r="L208" s="6" t="s">
        <v>2666</v>
      </c>
      <c r="M208" s="6" t="s">
        <v>2635</v>
      </c>
      <c r="N208" s="6" t="s">
        <v>191</v>
      </c>
      <c r="O208" s="6" t="n">
        <v>13</v>
      </c>
    </row>
    <row r="209" customFormat="false" ht="15" hidden="false" customHeight="false" outlineLevel="0" collapsed="false">
      <c r="A209" s="23" t="n">
        <v>46526</v>
      </c>
      <c r="B209" s="6" t="s">
        <v>2667</v>
      </c>
      <c r="C209" s="6" t="s">
        <v>2668</v>
      </c>
      <c r="D209" s="6" t="s">
        <v>2669</v>
      </c>
      <c r="E209" s="6" t="s">
        <v>2670</v>
      </c>
      <c r="F209" s="6" t="s">
        <v>2246</v>
      </c>
      <c r="G209" s="6" t="s">
        <v>2671</v>
      </c>
      <c r="H209" s="6" t="s">
        <v>2672</v>
      </c>
      <c r="I209" s="6" t="s">
        <v>2673</v>
      </c>
      <c r="J209" s="6" t="s">
        <v>2674</v>
      </c>
      <c r="K209" s="6" t="s">
        <v>2675</v>
      </c>
      <c r="L209" s="6" t="s">
        <v>2676</v>
      </c>
      <c r="M209" s="6" t="s">
        <v>2635</v>
      </c>
      <c r="N209" s="6" t="s">
        <v>192</v>
      </c>
      <c r="O209" s="6" t="n">
        <v>14</v>
      </c>
    </row>
    <row r="210" customFormat="false" ht="15" hidden="false" customHeight="false" outlineLevel="0" collapsed="false">
      <c r="A210" s="23" t="n">
        <v>46527</v>
      </c>
      <c r="B210" s="6" t="s">
        <v>2677</v>
      </c>
      <c r="C210" s="6" t="s">
        <v>2678</v>
      </c>
      <c r="D210" s="6" t="s">
        <v>2679</v>
      </c>
      <c r="E210" s="6" t="s">
        <v>2680</v>
      </c>
      <c r="F210" s="6" t="s">
        <v>2681</v>
      </c>
      <c r="G210" s="6" t="s">
        <v>2682</v>
      </c>
      <c r="H210" s="6" t="s">
        <v>2683</v>
      </c>
      <c r="I210" s="6" t="s">
        <v>2684</v>
      </c>
      <c r="J210" s="6" t="s">
        <v>2685</v>
      </c>
      <c r="K210" s="6" t="s">
        <v>2686</v>
      </c>
      <c r="L210" s="6" t="s">
        <v>2687</v>
      </c>
      <c r="M210" s="6" t="s">
        <v>2688</v>
      </c>
      <c r="N210" s="6" t="s">
        <v>192</v>
      </c>
      <c r="O210" s="6" t="n">
        <v>15</v>
      </c>
    </row>
    <row r="211" customFormat="false" ht="15" hidden="false" customHeight="false" outlineLevel="0" collapsed="false">
      <c r="A211" s="23" t="n">
        <v>46528</v>
      </c>
      <c r="B211" s="6" t="s">
        <v>2689</v>
      </c>
      <c r="C211" s="6" t="s">
        <v>2690</v>
      </c>
      <c r="D211" s="6" t="s">
        <v>2691</v>
      </c>
      <c r="E211" s="6" t="s">
        <v>2692</v>
      </c>
      <c r="F211" s="6" t="s">
        <v>2693</v>
      </c>
      <c r="G211" s="6" t="s">
        <v>2694</v>
      </c>
      <c r="H211" s="6" t="s">
        <v>2695</v>
      </c>
      <c r="I211" s="6" t="s">
        <v>2696</v>
      </c>
      <c r="J211" s="6" t="s">
        <v>2697</v>
      </c>
      <c r="K211" s="6" t="s">
        <v>2698</v>
      </c>
      <c r="L211" s="6" t="s">
        <v>2699</v>
      </c>
      <c r="M211" s="6" t="s">
        <v>2688</v>
      </c>
      <c r="N211" s="6" t="s">
        <v>193</v>
      </c>
      <c r="O211" s="6" t="n">
        <v>16</v>
      </c>
    </row>
    <row r="212" customFormat="false" ht="15" hidden="false" customHeight="false" outlineLevel="0" collapsed="false">
      <c r="A212" s="23" t="n">
        <v>46529</v>
      </c>
      <c r="B212" s="6" t="s">
        <v>2700</v>
      </c>
      <c r="C212" s="6" t="s">
        <v>2701</v>
      </c>
      <c r="D212" s="6" t="s">
        <v>2702</v>
      </c>
      <c r="E212" s="6" t="s">
        <v>2703</v>
      </c>
      <c r="F212" s="6" t="s">
        <v>1955</v>
      </c>
      <c r="G212" s="6" t="s">
        <v>2704</v>
      </c>
      <c r="H212" s="6" t="s">
        <v>2705</v>
      </c>
      <c r="I212" s="6" t="s">
        <v>1589</v>
      </c>
      <c r="J212" s="6" t="s">
        <v>2706</v>
      </c>
      <c r="K212" s="6" t="s">
        <v>2707</v>
      </c>
      <c r="L212" s="6" t="s">
        <v>2708</v>
      </c>
      <c r="M212" s="6" t="s">
        <v>2688</v>
      </c>
      <c r="N212" s="6" t="s">
        <v>194</v>
      </c>
      <c r="O212" s="6" t="n">
        <v>17</v>
      </c>
    </row>
    <row r="213" customFormat="false" ht="15" hidden="false" customHeight="false" outlineLevel="0" collapsed="false">
      <c r="A213" s="23" t="n">
        <v>46530</v>
      </c>
      <c r="B213" s="6" t="s">
        <v>2709</v>
      </c>
      <c r="C213" s="6" t="s">
        <v>2710</v>
      </c>
      <c r="D213" s="6" t="s">
        <v>2711</v>
      </c>
      <c r="E213" s="6" t="s">
        <v>2712</v>
      </c>
      <c r="F213" s="6" t="s">
        <v>2713</v>
      </c>
      <c r="G213" s="6" t="s">
        <v>2714</v>
      </c>
      <c r="H213" s="6" t="s">
        <v>2304</v>
      </c>
      <c r="I213" s="6" t="s">
        <v>2715</v>
      </c>
      <c r="J213" s="6" t="s">
        <v>2716</v>
      </c>
      <c r="K213" s="6" t="s">
        <v>2717</v>
      </c>
      <c r="L213" s="6" t="s">
        <v>2718</v>
      </c>
      <c r="M213" s="6" t="s">
        <v>2719</v>
      </c>
      <c r="N213" s="6" t="s">
        <v>196</v>
      </c>
      <c r="O213" s="6" t="n">
        <v>18</v>
      </c>
    </row>
    <row r="214" customFormat="false" ht="15" hidden="false" customHeight="false" outlineLevel="0" collapsed="false">
      <c r="A214" s="23" t="n">
        <v>46531</v>
      </c>
      <c r="B214" s="6" t="s">
        <v>2720</v>
      </c>
      <c r="C214" s="6" t="s">
        <v>2721</v>
      </c>
      <c r="D214" s="6" t="s">
        <v>2722</v>
      </c>
      <c r="E214" s="6" t="s">
        <v>2723</v>
      </c>
      <c r="F214" s="6" t="s">
        <v>2724</v>
      </c>
      <c r="G214" s="6" t="s">
        <v>2725</v>
      </c>
      <c r="H214" s="6" t="s">
        <v>2726</v>
      </c>
      <c r="I214" s="6" t="s">
        <v>2727</v>
      </c>
      <c r="J214" s="6" t="s">
        <v>1483</v>
      </c>
      <c r="K214" s="6" t="s">
        <v>2728</v>
      </c>
      <c r="L214" s="6" t="s">
        <v>2729</v>
      </c>
      <c r="M214" s="6" t="s">
        <v>2719</v>
      </c>
      <c r="N214" s="6" t="s">
        <v>197</v>
      </c>
      <c r="O214" s="6" t="n">
        <v>19</v>
      </c>
    </row>
    <row r="215" customFormat="false" ht="15" hidden="false" customHeight="false" outlineLevel="0" collapsed="false">
      <c r="A215" s="23" t="n">
        <v>46532</v>
      </c>
      <c r="B215" s="6" t="s">
        <v>2730</v>
      </c>
      <c r="C215" s="6" t="s">
        <v>2731</v>
      </c>
      <c r="D215" s="6" t="s">
        <v>2732</v>
      </c>
      <c r="E215" s="6" t="s">
        <v>2733</v>
      </c>
      <c r="F215" s="6" t="s">
        <v>2734</v>
      </c>
      <c r="G215" s="6" t="s">
        <v>2735</v>
      </c>
      <c r="H215" s="6" t="s">
        <v>2736</v>
      </c>
      <c r="I215" s="6" t="s">
        <v>2737</v>
      </c>
      <c r="J215" s="6" t="s">
        <v>2738</v>
      </c>
      <c r="K215" s="6" t="s">
        <v>2739</v>
      </c>
      <c r="L215" s="6" t="s">
        <v>2740</v>
      </c>
      <c r="M215" s="6" t="s">
        <v>2741</v>
      </c>
      <c r="N215" s="6" t="s">
        <v>199</v>
      </c>
      <c r="O215" s="6" t="n">
        <v>20</v>
      </c>
    </row>
    <row r="216" customFormat="false" ht="15" hidden="false" customHeight="false" outlineLevel="0" collapsed="false">
      <c r="A216" s="23" t="n">
        <v>46533</v>
      </c>
      <c r="B216" s="6" t="s">
        <v>2595</v>
      </c>
      <c r="C216" s="6" t="s">
        <v>2742</v>
      </c>
      <c r="D216" s="6" t="s">
        <v>2743</v>
      </c>
      <c r="E216" s="6" t="s">
        <v>871</v>
      </c>
      <c r="F216" s="6" t="s">
        <v>2744</v>
      </c>
      <c r="G216" s="6" t="s">
        <v>2745</v>
      </c>
      <c r="H216" s="6" t="s">
        <v>2746</v>
      </c>
      <c r="I216" s="6" t="s">
        <v>2747</v>
      </c>
      <c r="J216" s="6" t="s">
        <v>2748</v>
      </c>
      <c r="K216" s="6" t="s">
        <v>2749</v>
      </c>
      <c r="L216" s="6" t="s">
        <v>2750</v>
      </c>
      <c r="M216" s="6" t="s">
        <v>2741</v>
      </c>
      <c r="N216" s="6" t="s">
        <v>200</v>
      </c>
      <c r="O216" s="6" t="n">
        <v>21</v>
      </c>
    </row>
    <row r="217" customFormat="false" ht="15" hidden="false" customHeight="false" outlineLevel="0" collapsed="false">
      <c r="A217" s="23" t="n">
        <v>46534</v>
      </c>
      <c r="B217" s="6" t="s">
        <v>2751</v>
      </c>
      <c r="C217" s="6" t="s">
        <v>2752</v>
      </c>
      <c r="D217" s="6" t="s">
        <v>2753</v>
      </c>
      <c r="E217" s="6" t="s">
        <v>2754</v>
      </c>
      <c r="F217" s="6" t="s">
        <v>2755</v>
      </c>
      <c r="G217" s="6" t="s">
        <v>2756</v>
      </c>
      <c r="H217" s="6" t="s">
        <v>2757</v>
      </c>
      <c r="I217" s="6" t="s">
        <v>2747</v>
      </c>
      <c r="J217" s="6" t="s">
        <v>2748</v>
      </c>
      <c r="K217" s="6" t="s">
        <v>2758</v>
      </c>
      <c r="L217" s="6" t="s">
        <v>2759</v>
      </c>
      <c r="M217" s="6" t="s">
        <v>2760</v>
      </c>
      <c r="N217" s="6" t="s">
        <v>201</v>
      </c>
      <c r="O217" s="6" t="n">
        <v>22</v>
      </c>
    </row>
    <row r="218" customFormat="false" ht="15" hidden="false" customHeight="false" outlineLevel="0" collapsed="false">
      <c r="A218" s="23" t="n">
        <v>46535</v>
      </c>
      <c r="B218" s="6" t="s">
        <v>2761</v>
      </c>
      <c r="C218" s="6" t="s">
        <v>2762</v>
      </c>
      <c r="D218" s="6" t="s">
        <v>2763</v>
      </c>
      <c r="E218" s="6" t="s">
        <v>2764</v>
      </c>
      <c r="F218" s="6" t="s">
        <v>2765</v>
      </c>
      <c r="G218" s="6" t="s">
        <v>2766</v>
      </c>
      <c r="H218" s="6" t="s">
        <v>2767</v>
      </c>
      <c r="I218" s="6" t="s">
        <v>2747</v>
      </c>
      <c r="J218" s="6" t="s">
        <v>2748</v>
      </c>
      <c r="K218" s="6" t="s">
        <v>2768</v>
      </c>
      <c r="L218" s="6" t="s">
        <v>2769</v>
      </c>
      <c r="M218" s="6" t="s">
        <v>2760</v>
      </c>
      <c r="N218" s="6" t="s">
        <v>203</v>
      </c>
      <c r="O218" s="6" t="n">
        <v>23</v>
      </c>
    </row>
    <row r="219" customFormat="false" ht="15" hidden="false" customHeight="false" outlineLevel="0" collapsed="false">
      <c r="A219" s="23" t="n">
        <v>46536</v>
      </c>
      <c r="B219" s="6" t="s">
        <v>2770</v>
      </c>
      <c r="C219" s="6" t="s">
        <v>2771</v>
      </c>
      <c r="D219" s="6" t="s">
        <v>2772</v>
      </c>
      <c r="E219" s="6" t="s">
        <v>2773</v>
      </c>
      <c r="F219" s="6" t="s">
        <v>1979</v>
      </c>
      <c r="G219" s="6" t="s">
        <v>2774</v>
      </c>
      <c r="H219" s="6" t="s">
        <v>2775</v>
      </c>
      <c r="I219" s="6" t="s">
        <v>2747</v>
      </c>
      <c r="J219" s="6" t="s">
        <v>2748</v>
      </c>
      <c r="K219" s="6" t="s">
        <v>2776</v>
      </c>
      <c r="L219" s="6" t="s">
        <v>2777</v>
      </c>
      <c r="M219" s="6" t="s">
        <v>2778</v>
      </c>
      <c r="N219" s="6" t="s">
        <v>204</v>
      </c>
      <c r="O219" s="6" t="n">
        <v>24</v>
      </c>
    </row>
    <row r="220" customFormat="false" ht="15" hidden="false" customHeight="false" outlineLevel="0" collapsed="false">
      <c r="A220" s="23" t="n">
        <v>46537</v>
      </c>
      <c r="B220" s="6" t="s">
        <v>2779</v>
      </c>
      <c r="C220" s="6" t="s">
        <v>2780</v>
      </c>
      <c r="D220" s="6" t="s">
        <v>2781</v>
      </c>
      <c r="E220" s="6" t="s">
        <v>2782</v>
      </c>
      <c r="F220" s="6" t="s">
        <v>2783</v>
      </c>
      <c r="G220" s="6" t="s">
        <v>2784</v>
      </c>
      <c r="H220" s="6" t="s">
        <v>2785</v>
      </c>
      <c r="I220" s="6" t="s">
        <v>2786</v>
      </c>
      <c r="J220" s="6" t="s">
        <v>2787</v>
      </c>
      <c r="K220" s="6" t="s">
        <v>2788</v>
      </c>
      <c r="L220" s="6" t="s">
        <v>2426</v>
      </c>
      <c r="M220" s="6" t="s">
        <v>2778</v>
      </c>
      <c r="N220" s="6" t="s">
        <v>206</v>
      </c>
      <c r="O220" s="6" t="n">
        <v>25</v>
      </c>
    </row>
    <row r="221" customFormat="false" ht="15" hidden="false" customHeight="false" outlineLevel="0" collapsed="false">
      <c r="A221" s="23" t="n">
        <v>46538</v>
      </c>
      <c r="B221" s="6" t="s">
        <v>2789</v>
      </c>
      <c r="C221" s="6" t="s">
        <v>2790</v>
      </c>
      <c r="D221" s="6" t="s">
        <v>1071</v>
      </c>
      <c r="E221" s="6" t="s">
        <v>2791</v>
      </c>
      <c r="F221" s="6" t="s">
        <v>1944</v>
      </c>
      <c r="G221" s="6" t="s">
        <v>2792</v>
      </c>
      <c r="H221" s="6" t="s">
        <v>2793</v>
      </c>
      <c r="I221" s="6" t="s">
        <v>2794</v>
      </c>
      <c r="J221" s="6" t="s">
        <v>2795</v>
      </c>
      <c r="K221" s="6" t="s">
        <v>2796</v>
      </c>
      <c r="L221" s="6" t="s">
        <v>2797</v>
      </c>
      <c r="M221" s="6" t="s">
        <v>2798</v>
      </c>
      <c r="N221" s="6" t="s">
        <v>206</v>
      </c>
      <c r="O221" s="6" t="n">
        <v>26</v>
      </c>
    </row>
    <row r="222" customFormat="false" ht="15" hidden="false" customHeight="false" outlineLevel="0" collapsed="false">
      <c r="A222" s="23" t="n">
        <v>46539</v>
      </c>
      <c r="B222" s="6" t="s">
        <v>2799</v>
      </c>
      <c r="C222" s="6" t="s">
        <v>2800</v>
      </c>
      <c r="D222" s="6" t="s">
        <v>2801</v>
      </c>
      <c r="E222" s="6" t="s">
        <v>2802</v>
      </c>
      <c r="F222" s="6" t="s">
        <v>1923</v>
      </c>
      <c r="G222" s="6" t="s">
        <v>2803</v>
      </c>
      <c r="H222" s="6" t="s">
        <v>2804</v>
      </c>
      <c r="I222" s="6" t="s">
        <v>2805</v>
      </c>
      <c r="J222" s="6" t="s">
        <v>2806</v>
      </c>
      <c r="K222" s="6" t="s">
        <v>2807</v>
      </c>
      <c r="L222" s="6" t="s">
        <v>2808</v>
      </c>
      <c r="M222" s="6" t="s">
        <v>2809</v>
      </c>
      <c r="N222" s="6" t="s">
        <v>207</v>
      </c>
      <c r="O222" s="6" t="n">
        <v>27</v>
      </c>
    </row>
    <row r="223" customFormat="false" ht="15" hidden="false" customHeight="false" outlineLevel="0" collapsed="false">
      <c r="A223" s="23" t="n">
        <v>46540</v>
      </c>
      <c r="B223" s="6" t="s">
        <v>2810</v>
      </c>
      <c r="C223" s="6" t="s">
        <v>2811</v>
      </c>
      <c r="D223" s="6" t="s">
        <v>2812</v>
      </c>
      <c r="E223" s="6" t="s">
        <v>2813</v>
      </c>
      <c r="F223" s="6" t="s">
        <v>1518</v>
      </c>
      <c r="G223" s="6" t="s">
        <v>2814</v>
      </c>
      <c r="H223" s="6" t="s">
        <v>2815</v>
      </c>
      <c r="I223" s="6" t="s">
        <v>2816</v>
      </c>
      <c r="J223" s="6" t="s">
        <v>2817</v>
      </c>
      <c r="K223" s="6" t="s">
        <v>2818</v>
      </c>
      <c r="L223" s="6" t="s">
        <v>2819</v>
      </c>
      <c r="M223" s="6" t="s">
        <v>2809</v>
      </c>
      <c r="N223" s="6" t="s">
        <v>170</v>
      </c>
      <c r="O223" s="6" t="n">
        <v>28</v>
      </c>
    </row>
    <row r="224" customFormat="false" ht="15" hidden="false" customHeight="false" outlineLevel="0" collapsed="false">
      <c r="A224" s="23" t="n">
        <v>46541</v>
      </c>
      <c r="B224" s="6" t="s">
        <v>2820</v>
      </c>
      <c r="C224" s="6" t="s">
        <v>2821</v>
      </c>
      <c r="D224" s="6" t="s">
        <v>2822</v>
      </c>
      <c r="E224" s="6" t="s">
        <v>2823</v>
      </c>
      <c r="F224" s="6" t="s">
        <v>1430</v>
      </c>
      <c r="G224" s="6" t="s">
        <v>2824</v>
      </c>
      <c r="H224" s="6" t="s">
        <v>2825</v>
      </c>
      <c r="I224" s="6" t="s">
        <v>2826</v>
      </c>
      <c r="J224" s="6" t="s">
        <v>2827</v>
      </c>
      <c r="K224" s="6" t="s">
        <v>2828</v>
      </c>
      <c r="L224" s="6" t="s">
        <v>2829</v>
      </c>
      <c r="M224" s="6" t="s">
        <v>2830</v>
      </c>
      <c r="N224" s="6" t="s">
        <v>174</v>
      </c>
      <c r="O224" s="6" t="n">
        <v>29</v>
      </c>
    </row>
    <row r="225" customFormat="false" ht="15" hidden="false" customHeight="false" outlineLevel="0" collapsed="false">
      <c r="A225" s="23" t="n">
        <v>46542</v>
      </c>
      <c r="B225" s="6" t="s">
        <v>2639</v>
      </c>
      <c r="C225" s="6" t="s">
        <v>2831</v>
      </c>
      <c r="D225" s="6" t="s">
        <v>2832</v>
      </c>
      <c r="E225" s="6" t="s">
        <v>2833</v>
      </c>
      <c r="F225" s="6" t="s">
        <v>2834</v>
      </c>
      <c r="G225" s="6" t="s">
        <v>2835</v>
      </c>
      <c r="H225" s="6" t="s">
        <v>2836</v>
      </c>
      <c r="I225" s="6" t="s">
        <v>2837</v>
      </c>
      <c r="J225" s="6" t="s">
        <v>2838</v>
      </c>
      <c r="K225" s="6" t="s">
        <v>2839</v>
      </c>
      <c r="L225" s="6" t="s">
        <v>2840</v>
      </c>
      <c r="M225" s="6" t="s">
        <v>2841</v>
      </c>
      <c r="N225" s="6" t="s">
        <v>209</v>
      </c>
      <c r="O225" s="6" t="n">
        <v>30</v>
      </c>
    </row>
    <row r="226" customFormat="false" ht="15" hidden="false" customHeight="false" outlineLevel="0" collapsed="false">
      <c r="A226" s="23" t="n">
        <v>46543</v>
      </c>
      <c r="B226" s="6" t="s">
        <v>2842</v>
      </c>
      <c r="C226" s="6" t="s">
        <v>2843</v>
      </c>
      <c r="D226" s="6" t="s">
        <v>2844</v>
      </c>
      <c r="E226" s="6" t="s">
        <v>2845</v>
      </c>
      <c r="F226" s="6" t="s">
        <v>2846</v>
      </c>
      <c r="G226" s="6" t="s">
        <v>2847</v>
      </c>
      <c r="H226" s="6" t="s">
        <v>2848</v>
      </c>
      <c r="I226" s="6" t="s">
        <v>1620</v>
      </c>
      <c r="J226" s="6" t="s">
        <v>2849</v>
      </c>
      <c r="K226" s="6" t="s">
        <v>2850</v>
      </c>
      <c r="L226" s="6" t="s">
        <v>2851</v>
      </c>
      <c r="M226" s="6" t="s">
        <v>2841</v>
      </c>
      <c r="N226" s="6" t="s">
        <v>175</v>
      </c>
      <c r="O226" s="6" t="n">
        <v>1</v>
      </c>
    </row>
    <row r="227" customFormat="false" ht="15" hidden="false" customHeight="false" outlineLevel="0" collapsed="false">
      <c r="A227" s="23" t="n">
        <v>46544</v>
      </c>
      <c r="B227" s="6" t="s">
        <v>2852</v>
      </c>
      <c r="C227" s="6" t="s">
        <v>2853</v>
      </c>
      <c r="D227" s="6" t="s">
        <v>2854</v>
      </c>
      <c r="E227" s="6" t="s">
        <v>2855</v>
      </c>
      <c r="F227" s="6" t="s">
        <v>2240</v>
      </c>
      <c r="G227" s="6" t="s">
        <v>2856</v>
      </c>
      <c r="H227" s="6" t="s">
        <v>2857</v>
      </c>
      <c r="I227" s="6" t="s">
        <v>2858</v>
      </c>
      <c r="J227" s="6" t="s">
        <v>2859</v>
      </c>
      <c r="K227" s="6" t="s">
        <v>2860</v>
      </c>
      <c r="L227" s="6" t="s">
        <v>2861</v>
      </c>
      <c r="M227" s="6" t="s">
        <v>2862</v>
      </c>
      <c r="N227" s="6" t="s">
        <v>177</v>
      </c>
      <c r="O227" s="6" t="n">
        <v>2</v>
      </c>
    </row>
    <row r="228" customFormat="false" ht="15" hidden="false" customHeight="false" outlineLevel="0" collapsed="false">
      <c r="A228" s="23" t="n">
        <v>46545</v>
      </c>
      <c r="B228" s="6" t="s">
        <v>2863</v>
      </c>
      <c r="C228" s="6" t="s">
        <v>2864</v>
      </c>
      <c r="D228" s="6" t="s">
        <v>2865</v>
      </c>
      <c r="E228" s="6" t="s">
        <v>2866</v>
      </c>
      <c r="F228" s="6" t="s">
        <v>2263</v>
      </c>
      <c r="G228" s="6" t="s">
        <v>2867</v>
      </c>
      <c r="H228" s="6" t="s">
        <v>2868</v>
      </c>
      <c r="I228" s="6" t="s">
        <v>2869</v>
      </c>
      <c r="J228" s="6" t="s">
        <v>2870</v>
      </c>
      <c r="K228" s="6" t="s">
        <v>2871</v>
      </c>
      <c r="L228" s="6" t="s">
        <v>2122</v>
      </c>
      <c r="M228" s="6" t="s">
        <v>2872</v>
      </c>
      <c r="N228" s="6" t="s">
        <v>178</v>
      </c>
      <c r="O228" s="6" t="n">
        <v>3</v>
      </c>
    </row>
    <row r="229" customFormat="false" ht="15" hidden="false" customHeight="false" outlineLevel="0" collapsed="false">
      <c r="A229" s="23" t="n">
        <v>46546</v>
      </c>
      <c r="B229" s="6" t="s">
        <v>2873</v>
      </c>
      <c r="C229" s="6" t="s">
        <v>2874</v>
      </c>
      <c r="D229" s="6" t="s">
        <v>2875</v>
      </c>
      <c r="E229" s="6" t="s">
        <v>2876</v>
      </c>
      <c r="F229" s="6" t="s">
        <v>1193</v>
      </c>
      <c r="G229" s="6" t="s">
        <v>2877</v>
      </c>
      <c r="H229" s="6" t="s">
        <v>2878</v>
      </c>
      <c r="I229" s="6" t="s">
        <v>2879</v>
      </c>
      <c r="J229" s="6" t="s">
        <v>2880</v>
      </c>
      <c r="K229" s="6" t="s">
        <v>2881</v>
      </c>
      <c r="L229" s="6" t="s">
        <v>2882</v>
      </c>
      <c r="M229" s="6" t="s">
        <v>2872</v>
      </c>
      <c r="N229" s="6" t="s">
        <v>181</v>
      </c>
      <c r="O229" s="6" t="n">
        <v>5</v>
      </c>
    </row>
    <row r="230" customFormat="false" ht="15" hidden="false" customHeight="false" outlineLevel="0" collapsed="false">
      <c r="A230" s="23" t="n">
        <v>46547</v>
      </c>
      <c r="B230" s="6" t="s">
        <v>2883</v>
      </c>
      <c r="C230" s="6" t="s">
        <v>2884</v>
      </c>
      <c r="D230" s="6" t="s">
        <v>2885</v>
      </c>
      <c r="E230" s="6" t="s">
        <v>2886</v>
      </c>
      <c r="F230" s="6" t="s">
        <v>2887</v>
      </c>
      <c r="G230" s="6" t="s">
        <v>2888</v>
      </c>
      <c r="H230" s="6" t="s">
        <v>2889</v>
      </c>
      <c r="I230" s="6" t="s">
        <v>2879</v>
      </c>
      <c r="J230" s="6" t="s">
        <v>2880</v>
      </c>
      <c r="K230" s="6" t="s">
        <v>2890</v>
      </c>
      <c r="L230" s="6" t="s">
        <v>2891</v>
      </c>
      <c r="M230" s="6" t="s">
        <v>2892</v>
      </c>
      <c r="N230" s="6" t="s">
        <v>182</v>
      </c>
      <c r="O230" s="6" t="n">
        <v>6</v>
      </c>
    </row>
    <row r="231" customFormat="false" ht="15" hidden="false" customHeight="false" outlineLevel="0" collapsed="false">
      <c r="A231" s="23" t="n">
        <v>46548</v>
      </c>
      <c r="B231" s="6" t="s">
        <v>2893</v>
      </c>
      <c r="C231" s="6" t="s">
        <v>2894</v>
      </c>
      <c r="D231" s="6" t="s">
        <v>2895</v>
      </c>
      <c r="E231" s="6" t="s">
        <v>2896</v>
      </c>
      <c r="F231" s="6" t="s">
        <v>2897</v>
      </c>
      <c r="G231" s="6" t="s">
        <v>2898</v>
      </c>
      <c r="H231" s="6" t="s">
        <v>2899</v>
      </c>
      <c r="I231" s="6" t="s">
        <v>2900</v>
      </c>
      <c r="J231" s="6" t="s">
        <v>2901</v>
      </c>
      <c r="K231" s="6" t="s">
        <v>2902</v>
      </c>
      <c r="L231" s="6" t="s">
        <v>2903</v>
      </c>
      <c r="M231" s="6" t="s">
        <v>2904</v>
      </c>
      <c r="N231" s="6" t="s">
        <v>184</v>
      </c>
      <c r="O231" s="6" t="n">
        <v>7</v>
      </c>
    </row>
    <row r="232" customFormat="false" ht="15" hidden="false" customHeight="false" outlineLevel="0" collapsed="false">
      <c r="A232" s="23" t="n">
        <v>46549</v>
      </c>
      <c r="B232" s="6" t="s">
        <v>2905</v>
      </c>
      <c r="C232" s="6" t="s">
        <v>2906</v>
      </c>
      <c r="D232" s="6" t="s">
        <v>2907</v>
      </c>
      <c r="E232" s="6" t="s">
        <v>2908</v>
      </c>
      <c r="F232" s="6" t="s">
        <v>2316</v>
      </c>
      <c r="G232" s="6" t="s">
        <v>2909</v>
      </c>
      <c r="H232" s="6" t="s">
        <v>2910</v>
      </c>
      <c r="I232" s="6" t="s">
        <v>2900</v>
      </c>
      <c r="J232" s="6" t="s">
        <v>2901</v>
      </c>
      <c r="K232" s="6" t="s">
        <v>2911</v>
      </c>
      <c r="L232" s="6" t="s">
        <v>2912</v>
      </c>
      <c r="M232" s="6" t="s">
        <v>2913</v>
      </c>
      <c r="N232" s="6" t="s">
        <v>185</v>
      </c>
      <c r="O232" s="6" t="n">
        <v>8</v>
      </c>
    </row>
    <row r="233" customFormat="false" ht="15" hidden="false" customHeight="false" outlineLevel="0" collapsed="false">
      <c r="A233" s="23" t="n">
        <v>46550</v>
      </c>
      <c r="B233" s="6" t="s">
        <v>2914</v>
      </c>
      <c r="C233" s="6" t="s">
        <v>2915</v>
      </c>
      <c r="D233" s="6" t="s">
        <v>2916</v>
      </c>
      <c r="E233" s="6" t="s">
        <v>2917</v>
      </c>
      <c r="F233" s="6" t="s">
        <v>2325</v>
      </c>
      <c r="G233" s="6" t="s">
        <v>2918</v>
      </c>
      <c r="H233" s="6" t="s">
        <v>2919</v>
      </c>
      <c r="I233" s="6" t="s">
        <v>2900</v>
      </c>
      <c r="J233" s="6" t="s">
        <v>2901</v>
      </c>
      <c r="K233" s="6" t="s">
        <v>2920</v>
      </c>
      <c r="L233" s="6" t="s">
        <v>2912</v>
      </c>
      <c r="M233" s="6" t="s">
        <v>2921</v>
      </c>
      <c r="N233" s="6" t="s">
        <v>187</v>
      </c>
      <c r="O233" s="6" t="n">
        <v>9</v>
      </c>
    </row>
    <row r="234" customFormat="false" ht="15" hidden="false" customHeight="false" outlineLevel="0" collapsed="false">
      <c r="A234" s="23" t="n">
        <v>46551</v>
      </c>
      <c r="B234" s="6" t="s">
        <v>2922</v>
      </c>
      <c r="C234" s="6" t="s">
        <v>2923</v>
      </c>
      <c r="D234" s="6" t="s">
        <v>2924</v>
      </c>
      <c r="E234" s="6" t="s">
        <v>2925</v>
      </c>
      <c r="F234" s="6" t="s">
        <v>2926</v>
      </c>
      <c r="G234" s="6" t="s">
        <v>2927</v>
      </c>
      <c r="H234" s="6" t="s">
        <v>2928</v>
      </c>
      <c r="I234" s="6" t="s">
        <v>2929</v>
      </c>
      <c r="J234" s="6" t="s">
        <v>2930</v>
      </c>
      <c r="K234" s="6" t="s">
        <v>2761</v>
      </c>
      <c r="L234" s="6" t="s">
        <v>2931</v>
      </c>
      <c r="M234" s="6" t="s">
        <v>2932</v>
      </c>
      <c r="N234" s="6" t="s">
        <v>188</v>
      </c>
      <c r="O234" s="6" t="n">
        <v>10</v>
      </c>
    </row>
    <row r="235" customFormat="false" ht="15" hidden="false" customHeight="false" outlineLevel="0" collapsed="false">
      <c r="A235" s="23" t="n">
        <v>46552</v>
      </c>
      <c r="B235" s="6" t="s">
        <v>2933</v>
      </c>
      <c r="C235" s="6" t="s">
        <v>927</v>
      </c>
      <c r="D235" s="6" t="s">
        <v>2934</v>
      </c>
      <c r="E235" s="6" t="s">
        <v>2935</v>
      </c>
      <c r="F235" s="6" t="s">
        <v>2936</v>
      </c>
      <c r="G235" s="6" t="s">
        <v>2937</v>
      </c>
      <c r="H235" s="6" t="s">
        <v>2938</v>
      </c>
      <c r="I235" s="6" t="s">
        <v>2939</v>
      </c>
      <c r="J235" s="6" t="s">
        <v>2940</v>
      </c>
      <c r="K235" s="6" t="s">
        <v>2941</v>
      </c>
      <c r="L235" s="6" t="s">
        <v>2942</v>
      </c>
      <c r="M235" s="6" t="s">
        <v>2943</v>
      </c>
      <c r="N235" s="6" t="s">
        <v>189</v>
      </c>
      <c r="O235" s="6" t="n">
        <v>11</v>
      </c>
    </row>
    <row r="236" customFormat="false" ht="15" hidden="false" customHeight="false" outlineLevel="0" collapsed="false">
      <c r="A236" s="23" t="n">
        <v>46553</v>
      </c>
      <c r="B236" s="6" t="s">
        <v>2944</v>
      </c>
      <c r="C236" s="6" t="s">
        <v>2945</v>
      </c>
      <c r="D236" s="6" t="s">
        <v>2946</v>
      </c>
      <c r="E236" s="6" t="s">
        <v>2947</v>
      </c>
      <c r="F236" s="6" t="s">
        <v>2948</v>
      </c>
      <c r="G236" s="6" t="s">
        <v>2949</v>
      </c>
      <c r="H236" s="6" t="s">
        <v>2950</v>
      </c>
      <c r="I236" s="6" t="s">
        <v>2951</v>
      </c>
      <c r="J236" s="6" t="s">
        <v>2952</v>
      </c>
      <c r="K236" s="6" t="s">
        <v>2953</v>
      </c>
      <c r="L236" s="6" t="s">
        <v>2954</v>
      </c>
      <c r="M236" s="6" t="s">
        <v>2955</v>
      </c>
      <c r="N236" s="6" t="s">
        <v>191</v>
      </c>
      <c r="O236" s="6" t="n">
        <v>12</v>
      </c>
    </row>
    <row r="237" customFormat="false" ht="15" hidden="false" customHeight="false" outlineLevel="0" collapsed="false">
      <c r="A237" s="23" t="n">
        <v>46554</v>
      </c>
      <c r="B237" s="6" t="s">
        <v>2956</v>
      </c>
      <c r="C237" s="6" t="s">
        <v>2957</v>
      </c>
      <c r="D237" s="6" t="s">
        <v>2958</v>
      </c>
      <c r="E237" s="6" t="s">
        <v>2959</v>
      </c>
      <c r="F237" s="6" t="s">
        <v>2960</v>
      </c>
      <c r="G237" s="6" t="s">
        <v>2961</v>
      </c>
      <c r="H237" s="6" t="s">
        <v>2962</v>
      </c>
      <c r="I237" s="6" t="s">
        <v>2963</v>
      </c>
      <c r="J237" s="6" t="s">
        <v>2324</v>
      </c>
      <c r="K237" s="6" t="s">
        <v>2964</v>
      </c>
      <c r="L237" s="6" t="s">
        <v>2965</v>
      </c>
      <c r="M237" s="6" t="s">
        <v>2955</v>
      </c>
      <c r="N237" s="6" t="s">
        <v>192</v>
      </c>
      <c r="O237" s="6" t="n">
        <v>13</v>
      </c>
    </row>
    <row r="238" customFormat="false" ht="15" hidden="false" customHeight="false" outlineLevel="0" collapsed="false">
      <c r="A238" s="23" t="n">
        <v>46555</v>
      </c>
      <c r="B238" s="6" t="s">
        <v>2966</v>
      </c>
      <c r="C238" s="6" t="s">
        <v>2967</v>
      </c>
      <c r="D238" s="6" t="s">
        <v>2968</v>
      </c>
      <c r="E238" s="6" t="s">
        <v>2969</v>
      </c>
      <c r="F238" s="6" t="s">
        <v>2970</v>
      </c>
      <c r="G238" s="6" t="s">
        <v>2971</v>
      </c>
      <c r="H238" s="6" t="s">
        <v>2972</v>
      </c>
      <c r="I238" s="6" t="s">
        <v>2973</v>
      </c>
      <c r="J238" s="6" t="s">
        <v>2974</v>
      </c>
      <c r="K238" s="6" t="s">
        <v>2975</v>
      </c>
      <c r="L238" s="6" t="s">
        <v>2965</v>
      </c>
      <c r="M238" s="6" t="s">
        <v>2976</v>
      </c>
      <c r="N238" s="6" t="s">
        <v>193</v>
      </c>
      <c r="O238" s="6" t="n">
        <v>14</v>
      </c>
    </row>
    <row r="239" customFormat="false" ht="15" hidden="false" customHeight="false" outlineLevel="0" collapsed="false">
      <c r="A239" s="23" t="n">
        <v>46556</v>
      </c>
      <c r="B239" s="6" t="s">
        <v>2977</v>
      </c>
      <c r="C239" s="6" t="s">
        <v>2978</v>
      </c>
      <c r="D239" s="6" t="s">
        <v>2979</v>
      </c>
      <c r="E239" s="6" t="s">
        <v>2980</v>
      </c>
      <c r="F239" s="6" t="s">
        <v>2981</v>
      </c>
      <c r="G239" s="6" t="s">
        <v>2982</v>
      </c>
      <c r="H239" s="6" t="s">
        <v>2983</v>
      </c>
      <c r="I239" s="6" t="s">
        <v>2984</v>
      </c>
      <c r="J239" s="6" t="s">
        <v>2985</v>
      </c>
      <c r="K239" s="6" t="s">
        <v>2937</v>
      </c>
      <c r="L239" s="6" t="s">
        <v>2986</v>
      </c>
      <c r="M239" s="6" t="s">
        <v>2987</v>
      </c>
      <c r="N239" s="6" t="s">
        <v>194</v>
      </c>
      <c r="O239" s="6" t="n">
        <v>15</v>
      </c>
    </row>
    <row r="240" customFormat="false" ht="15" hidden="false" customHeight="false" outlineLevel="0" collapsed="false">
      <c r="A240" s="23" t="n">
        <v>46557</v>
      </c>
      <c r="B240" s="6" t="s">
        <v>2988</v>
      </c>
      <c r="C240" s="6" t="s">
        <v>2989</v>
      </c>
      <c r="D240" s="6" t="s">
        <v>2990</v>
      </c>
      <c r="E240" s="6" t="s">
        <v>2991</v>
      </c>
      <c r="F240" s="6" t="s">
        <v>2385</v>
      </c>
      <c r="G240" s="6" t="s">
        <v>2992</v>
      </c>
      <c r="H240" s="6" t="s">
        <v>2993</v>
      </c>
      <c r="I240" s="6" t="s">
        <v>1571</v>
      </c>
      <c r="J240" s="6" t="s">
        <v>2994</v>
      </c>
      <c r="K240" s="6" t="s">
        <v>2995</v>
      </c>
      <c r="L240" s="6" t="s">
        <v>2996</v>
      </c>
      <c r="M240" s="6" t="s">
        <v>2997</v>
      </c>
      <c r="N240" s="6" t="s">
        <v>196</v>
      </c>
      <c r="O240" s="6" t="n">
        <v>16</v>
      </c>
    </row>
    <row r="241" customFormat="false" ht="15" hidden="false" customHeight="false" outlineLevel="0" collapsed="false">
      <c r="A241" s="23" t="n">
        <v>46558</v>
      </c>
      <c r="B241" s="6" t="s">
        <v>2998</v>
      </c>
      <c r="C241" s="6" t="s">
        <v>2999</v>
      </c>
      <c r="D241" s="6" t="s">
        <v>3000</v>
      </c>
      <c r="E241" s="6" t="s">
        <v>3001</v>
      </c>
      <c r="F241" s="6" t="s">
        <v>3002</v>
      </c>
      <c r="G241" s="6" t="s">
        <v>3003</v>
      </c>
      <c r="H241" s="6" t="s">
        <v>3004</v>
      </c>
      <c r="I241" s="6" t="s">
        <v>3005</v>
      </c>
      <c r="J241" s="6" t="s">
        <v>3006</v>
      </c>
      <c r="K241" s="6" t="s">
        <v>3007</v>
      </c>
      <c r="L241" s="6" t="s">
        <v>3008</v>
      </c>
      <c r="M241" s="6" t="s">
        <v>3009</v>
      </c>
      <c r="N241" s="6" t="s">
        <v>197</v>
      </c>
      <c r="O241" s="6" t="n">
        <v>17</v>
      </c>
    </row>
    <row r="242" customFormat="false" ht="15" hidden="false" customHeight="false" outlineLevel="0" collapsed="false">
      <c r="A242" s="23" t="n">
        <v>46559</v>
      </c>
      <c r="B242" s="6" t="s">
        <v>3010</v>
      </c>
      <c r="C242" s="6" t="s">
        <v>3011</v>
      </c>
      <c r="D242" s="6" t="s">
        <v>3012</v>
      </c>
      <c r="E242" s="6" t="s">
        <v>3013</v>
      </c>
      <c r="F242" s="6" t="s">
        <v>3014</v>
      </c>
      <c r="G242" s="6" t="s">
        <v>3015</v>
      </c>
      <c r="H242" s="6" t="s">
        <v>3016</v>
      </c>
      <c r="I242" s="6" t="s">
        <v>3017</v>
      </c>
      <c r="J242" s="6" t="s">
        <v>3018</v>
      </c>
      <c r="K242" s="6" t="s">
        <v>3019</v>
      </c>
      <c r="L242" s="6" t="s">
        <v>3008</v>
      </c>
      <c r="M242" s="6" t="s">
        <v>3020</v>
      </c>
      <c r="N242" s="6" t="s">
        <v>199</v>
      </c>
      <c r="O242" s="6" t="n">
        <v>18</v>
      </c>
    </row>
    <row r="243" customFormat="false" ht="15" hidden="false" customHeight="false" outlineLevel="0" collapsed="false">
      <c r="A243" s="23" t="n">
        <v>46560</v>
      </c>
      <c r="B243" s="6" t="s">
        <v>3021</v>
      </c>
      <c r="C243" s="6" t="s">
        <v>1914</v>
      </c>
      <c r="D243" s="6" t="s">
        <v>3022</v>
      </c>
      <c r="E243" s="6" t="s">
        <v>3023</v>
      </c>
      <c r="F243" s="6" t="s">
        <v>3024</v>
      </c>
      <c r="G243" s="6" t="s">
        <v>3025</v>
      </c>
      <c r="H243" s="6" t="s">
        <v>3026</v>
      </c>
      <c r="I243" s="6" t="s">
        <v>3027</v>
      </c>
      <c r="J243" s="6" t="s">
        <v>3028</v>
      </c>
      <c r="K243" s="6" t="s">
        <v>3029</v>
      </c>
      <c r="L243" s="6" t="s">
        <v>3030</v>
      </c>
      <c r="M243" s="6" t="s">
        <v>3031</v>
      </c>
      <c r="N243" s="6" t="s">
        <v>200</v>
      </c>
      <c r="O243" s="6" t="n">
        <v>18</v>
      </c>
    </row>
    <row r="244" customFormat="false" ht="15" hidden="false" customHeight="false" outlineLevel="0" collapsed="false">
      <c r="A244" s="23" t="n">
        <v>46561</v>
      </c>
      <c r="B244" s="6" t="s">
        <v>3032</v>
      </c>
      <c r="C244" s="6" t="s">
        <v>2358</v>
      </c>
      <c r="D244" s="6" t="s">
        <v>3033</v>
      </c>
      <c r="E244" s="6" t="s">
        <v>3034</v>
      </c>
      <c r="F244" s="6" t="s">
        <v>3035</v>
      </c>
      <c r="G244" s="6" t="s">
        <v>3036</v>
      </c>
      <c r="H244" s="6" t="s">
        <v>3037</v>
      </c>
      <c r="I244" s="6" t="s">
        <v>3027</v>
      </c>
      <c r="J244" s="6" t="s">
        <v>3028</v>
      </c>
      <c r="K244" s="6" t="s">
        <v>3038</v>
      </c>
      <c r="L244" s="6" t="s">
        <v>3030</v>
      </c>
      <c r="M244" s="6" t="s">
        <v>3039</v>
      </c>
      <c r="N244" s="6" t="s">
        <v>201</v>
      </c>
      <c r="O244" s="6" t="n">
        <v>19</v>
      </c>
    </row>
    <row r="245" customFormat="false" ht="15" hidden="false" customHeight="false" outlineLevel="0" collapsed="false">
      <c r="A245" s="23" t="n">
        <v>46562</v>
      </c>
      <c r="B245" s="6" t="s">
        <v>3040</v>
      </c>
      <c r="C245" s="6" t="s">
        <v>2115</v>
      </c>
      <c r="D245" s="6" t="s">
        <v>3041</v>
      </c>
      <c r="E245" s="6" t="s">
        <v>3042</v>
      </c>
      <c r="F245" s="6" t="s">
        <v>3043</v>
      </c>
      <c r="G245" s="6" t="s">
        <v>2883</v>
      </c>
      <c r="H245" s="6" t="s">
        <v>3044</v>
      </c>
      <c r="I245" s="6" t="s">
        <v>3045</v>
      </c>
      <c r="J245" s="6" t="s">
        <v>3046</v>
      </c>
      <c r="K245" s="6" t="s">
        <v>3047</v>
      </c>
      <c r="L245" s="6" t="s">
        <v>3048</v>
      </c>
      <c r="M245" s="6" t="s">
        <v>3049</v>
      </c>
      <c r="N245" s="6" t="s">
        <v>201</v>
      </c>
      <c r="O245" s="6" t="n">
        <v>20</v>
      </c>
    </row>
    <row r="246" customFormat="false" ht="15" hidden="false" customHeight="false" outlineLevel="0" collapsed="false">
      <c r="A246" s="23" t="n">
        <v>46563</v>
      </c>
      <c r="B246" s="6" t="s">
        <v>3050</v>
      </c>
      <c r="C246" s="6" t="s">
        <v>3051</v>
      </c>
      <c r="D246" s="6" t="s">
        <v>3052</v>
      </c>
      <c r="E246" s="6" t="s">
        <v>3053</v>
      </c>
      <c r="F246" s="6" t="s">
        <v>573</v>
      </c>
      <c r="G246" s="6" t="s">
        <v>3054</v>
      </c>
      <c r="H246" s="6" t="s">
        <v>3055</v>
      </c>
      <c r="I246" s="6" t="s">
        <v>3056</v>
      </c>
      <c r="J246" s="6" t="s">
        <v>3057</v>
      </c>
      <c r="K246" s="6" t="s">
        <v>3058</v>
      </c>
      <c r="L246" s="6" t="s">
        <v>3048</v>
      </c>
      <c r="M246" s="6" t="s">
        <v>3059</v>
      </c>
      <c r="N246" s="6" t="s">
        <v>203</v>
      </c>
      <c r="O246" s="6" t="n">
        <v>21</v>
      </c>
    </row>
    <row r="247" customFormat="false" ht="15" hidden="false" customHeight="false" outlineLevel="0" collapsed="false">
      <c r="A247" s="23" t="n">
        <v>46564</v>
      </c>
      <c r="B247" s="6" t="s">
        <v>3060</v>
      </c>
      <c r="C247" s="6" t="s">
        <v>2218</v>
      </c>
      <c r="D247" s="6" t="s">
        <v>3061</v>
      </c>
      <c r="E247" s="6" t="s">
        <v>3062</v>
      </c>
      <c r="F247" s="6" t="s">
        <v>866</v>
      </c>
      <c r="G247" s="6" t="s">
        <v>3063</v>
      </c>
      <c r="H247" s="6" t="s">
        <v>3064</v>
      </c>
      <c r="I247" s="6" t="s">
        <v>3065</v>
      </c>
      <c r="J247" s="6" t="s">
        <v>3066</v>
      </c>
      <c r="K247" s="6" t="s">
        <v>3067</v>
      </c>
      <c r="L247" s="6" t="s">
        <v>3068</v>
      </c>
      <c r="M247" s="6" t="s">
        <v>3069</v>
      </c>
      <c r="N247" s="6" t="s">
        <v>204</v>
      </c>
      <c r="O247" s="6" t="n">
        <v>22</v>
      </c>
    </row>
    <row r="248" customFormat="false" ht="15" hidden="false" customHeight="false" outlineLevel="0" collapsed="false">
      <c r="A248" s="23" t="n">
        <v>46565</v>
      </c>
      <c r="B248" s="6" t="s">
        <v>3070</v>
      </c>
      <c r="C248" s="6" t="s">
        <v>2122</v>
      </c>
      <c r="D248" s="6" t="s">
        <v>3071</v>
      </c>
      <c r="E248" s="6" t="s">
        <v>3072</v>
      </c>
      <c r="F248" s="6" t="s">
        <v>855</v>
      </c>
      <c r="G248" s="6" t="s">
        <v>1708</v>
      </c>
      <c r="H248" s="6" t="s">
        <v>3073</v>
      </c>
      <c r="I248" s="6" t="s">
        <v>3005</v>
      </c>
      <c r="J248" s="6" t="s">
        <v>3006</v>
      </c>
      <c r="K248" s="6" t="s">
        <v>3074</v>
      </c>
      <c r="L248" s="6" t="s">
        <v>3068</v>
      </c>
      <c r="M248" s="6" t="s">
        <v>3075</v>
      </c>
      <c r="N248" s="6" t="s">
        <v>206</v>
      </c>
      <c r="O248" s="6" t="n">
        <v>23</v>
      </c>
    </row>
    <row r="249" customFormat="false" ht="15" hidden="false" customHeight="false" outlineLevel="0" collapsed="false">
      <c r="A249" s="23" t="n">
        <v>46566</v>
      </c>
      <c r="B249" s="6" t="s">
        <v>3076</v>
      </c>
      <c r="C249" s="6" t="s">
        <v>2367</v>
      </c>
      <c r="D249" s="6" t="s">
        <v>3077</v>
      </c>
      <c r="E249" s="6" t="s">
        <v>3078</v>
      </c>
      <c r="F249" s="6" t="s">
        <v>3079</v>
      </c>
      <c r="G249" s="6" t="s">
        <v>3080</v>
      </c>
      <c r="H249" s="6" t="s">
        <v>3081</v>
      </c>
      <c r="I249" s="6" t="s">
        <v>3065</v>
      </c>
      <c r="J249" s="6" t="s">
        <v>3066</v>
      </c>
      <c r="K249" s="6" t="s">
        <v>3082</v>
      </c>
      <c r="L249" s="6" t="s">
        <v>3083</v>
      </c>
      <c r="M249" s="6" t="s">
        <v>3084</v>
      </c>
      <c r="N249" s="6" t="s">
        <v>207</v>
      </c>
      <c r="O249" s="6" t="n">
        <v>24</v>
      </c>
    </row>
    <row r="250" customFormat="false" ht="15" hidden="false" customHeight="false" outlineLevel="0" collapsed="false">
      <c r="A250" s="23" t="n">
        <v>46567</v>
      </c>
      <c r="B250" s="6" t="s">
        <v>3085</v>
      </c>
      <c r="C250" s="6" t="s">
        <v>3086</v>
      </c>
      <c r="D250" s="6" t="s">
        <v>3087</v>
      </c>
      <c r="E250" s="6" t="s">
        <v>3088</v>
      </c>
      <c r="F250" s="6" t="s">
        <v>637</v>
      </c>
      <c r="G250" s="6" t="s">
        <v>3089</v>
      </c>
      <c r="H250" s="6" t="s">
        <v>3090</v>
      </c>
      <c r="I250" s="6" t="s">
        <v>3045</v>
      </c>
      <c r="J250" s="6" t="s">
        <v>3046</v>
      </c>
      <c r="K250" s="6" t="s">
        <v>3091</v>
      </c>
      <c r="L250" s="6" t="s">
        <v>3083</v>
      </c>
      <c r="M250" s="6" t="s">
        <v>3092</v>
      </c>
      <c r="N250" s="6" t="s">
        <v>208</v>
      </c>
      <c r="O250" s="6" t="n">
        <v>25</v>
      </c>
    </row>
    <row r="251" customFormat="false" ht="15" hidden="false" customHeight="false" outlineLevel="0" collapsed="false">
      <c r="A251" s="23" t="n">
        <v>46568</v>
      </c>
      <c r="B251" s="6" t="s">
        <v>3093</v>
      </c>
      <c r="C251" s="6" t="s">
        <v>3094</v>
      </c>
      <c r="D251" s="6" t="s">
        <v>3095</v>
      </c>
      <c r="E251" s="6" t="s">
        <v>3096</v>
      </c>
      <c r="F251" s="6" t="s">
        <v>821</v>
      </c>
      <c r="G251" s="6" t="s">
        <v>3097</v>
      </c>
      <c r="H251" s="6" t="s">
        <v>3098</v>
      </c>
      <c r="I251" s="6" t="s">
        <v>3099</v>
      </c>
      <c r="J251" s="6" t="s">
        <v>3100</v>
      </c>
      <c r="K251" s="6" t="s">
        <v>3101</v>
      </c>
      <c r="L251" s="6" t="s">
        <v>3083</v>
      </c>
      <c r="M251" s="6" t="s">
        <v>3102</v>
      </c>
      <c r="N251" s="6" t="s">
        <v>170</v>
      </c>
      <c r="O251" s="6" t="n">
        <v>26</v>
      </c>
    </row>
    <row r="252" customFormat="false" ht="15" hidden="false" customHeight="false" outlineLevel="0" collapsed="false">
      <c r="A252" s="23" t="n">
        <v>46569</v>
      </c>
      <c r="B252" s="6" t="s">
        <v>3103</v>
      </c>
      <c r="C252" s="6" t="s">
        <v>3104</v>
      </c>
      <c r="D252" s="6" t="s">
        <v>3105</v>
      </c>
      <c r="E252" s="6" t="s">
        <v>3106</v>
      </c>
      <c r="F252" s="6" t="s">
        <v>756</v>
      </c>
      <c r="G252" s="6" t="s">
        <v>2988</v>
      </c>
      <c r="H252" s="6" t="s">
        <v>3107</v>
      </c>
      <c r="I252" s="6" t="s">
        <v>3108</v>
      </c>
      <c r="J252" s="6" t="s">
        <v>3109</v>
      </c>
      <c r="K252" s="6" t="s">
        <v>3110</v>
      </c>
      <c r="L252" s="6" t="s">
        <v>3111</v>
      </c>
      <c r="M252" s="6" t="s">
        <v>3112</v>
      </c>
      <c r="N252" s="6" t="s">
        <v>174</v>
      </c>
      <c r="O252" s="6" t="n">
        <v>27</v>
      </c>
    </row>
    <row r="253" customFormat="false" ht="15" hidden="false" customHeight="false" outlineLevel="0" collapsed="false">
      <c r="A253" s="23" t="n">
        <v>46570</v>
      </c>
      <c r="B253" s="6" t="s">
        <v>3113</v>
      </c>
      <c r="C253" s="6" t="s">
        <v>3114</v>
      </c>
      <c r="D253" s="6" t="s">
        <v>3115</v>
      </c>
      <c r="E253" s="6" t="s">
        <v>3116</v>
      </c>
      <c r="F253" s="6" t="s">
        <v>695</v>
      </c>
      <c r="G253" s="6" t="s">
        <v>3117</v>
      </c>
      <c r="H253" s="6" t="s">
        <v>2406</v>
      </c>
      <c r="I253" s="6" t="s">
        <v>3118</v>
      </c>
      <c r="J253" s="6" t="s">
        <v>3119</v>
      </c>
      <c r="K253" s="6" t="s">
        <v>3120</v>
      </c>
      <c r="L253" s="6" t="s">
        <v>3111</v>
      </c>
      <c r="M253" s="6" t="s">
        <v>3121</v>
      </c>
      <c r="N253" s="6" t="s">
        <v>209</v>
      </c>
      <c r="O253" s="6" t="n">
        <v>28</v>
      </c>
    </row>
    <row r="254" customFormat="false" ht="15" hidden="false" customHeight="false" outlineLevel="0" collapsed="false">
      <c r="A254" s="23" t="n">
        <v>46571</v>
      </c>
      <c r="B254" s="6" t="s">
        <v>3122</v>
      </c>
      <c r="C254" s="6" t="s">
        <v>3123</v>
      </c>
      <c r="D254" s="6" t="s">
        <v>3124</v>
      </c>
      <c r="E254" s="6" t="s">
        <v>3125</v>
      </c>
      <c r="F254" s="6" t="s">
        <v>719</v>
      </c>
      <c r="G254" s="6" t="s">
        <v>3126</v>
      </c>
      <c r="H254" s="6" t="s">
        <v>3127</v>
      </c>
      <c r="I254" s="6" t="s">
        <v>3128</v>
      </c>
      <c r="J254" s="6" t="s">
        <v>3129</v>
      </c>
      <c r="K254" s="6" t="s">
        <v>3130</v>
      </c>
      <c r="L254" s="6" t="s">
        <v>3111</v>
      </c>
      <c r="M254" s="6" t="s">
        <v>3131</v>
      </c>
      <c r="N254" s="6" t="s">
        <v>175</v>
      </c>
      <c r="O254" s="6" t="n">
        <v>30</v>
      </c>
    </row>
    <row r="255" customFormat="false" ht="15" hidden="false" customHeight="false" outlineLevel="0" collapsed="false">
      <c r="A255" s="23" t="n">
        <v>46572</v>
      </c>
      <c r="B255" s="6" t="s">
        <v>3132</v>
      </c>
      <c r="C255" s="6" t="s">
        <v>3133</v>
      </c>
      <c r="D255" s="6" t="s">
        <v>3134</v>
      </c>
      <c r="E255" s="6" t="s">
        <v>3135</v>
      </c>
      <c r="F255" s="6" t="s">
        <v>741</v>
      </c>
      <c r="G255" s="6" t="s">
        <v>3136</v>
      </c>
      <c r="H255" s="6" t="s">
        <v>3137</v>
      </c>
      <c r="I255" s="6" t="s">
        <v>3138</v>
      </c>
      <c r="J255" s="6" t="s">
        <v>3139</v>
      </c>
      <c r="K255" s="6" t="s">
        <v>3140</v>
      </c>
      <c r="L255" s="6" t="s">
        <v>3111</v>
      </c>
      <c r="M255" s="6" t="s">
        <v>3141</v>
      </c>
      <c r="N255" s="6" t="s">
        <v>178</v>
      </c>
      <c r="O255" s="6" t="n">
        <v>1</v>
      </c>
    </row>
    <row r="256" customFormat="false" ht="15" hidden="false" customHeight="false" outlineLevel="0" collapsed="false">
      <c r="A256" s="23" t="n">
        <v>46573</v>
      </c>
      <c r="B256" s="6" t="s">
        <v>3142</v>
      </c>
      <c r="C256" s="6" t="s">
        <v>3143</v>
      </c>
      <c r="D256" s="6" t="s">
        <v>3144</v>
      </c>
      <c r="E256" s="6" t="s">
        <v>3145</v>
      </c>
      <c r="F256" s="6" t="s">
        <v>762</v>
      </c>
      <c r="G256" s="6" t="s">
        <v>3146</v>
      </c>
      <c r="H256" s="6" t="s">
        <v>3147</v>
      </c>
      <c r="I256" s="6" t="s">
        <v>3148</v>
      </c>
      <c r="J256" s="6" t="s">
        <v>3149</v>
      </c>
      <c r="K256" s="6" t="s">
        <v>3150</v>
      </c>
      <c r="L256" s="6" t="s">
        <v>3151</v>
      </c>
      <c r="M256" s="6" t="s">
        <v>3152</v>
      </c>
      <c r="N256" s="6" t="s">
        <v>181</v>
      </c>
      <c r="O256" s="6" t="n">
        <v>2</v>
      </c>
    </row>
    <row r="257" customFormat="false" ht="15" hidden="false" customHeight="false" outlineLevel="0" collapsed="false">
      <c r="A257" s="23" t="n">
        <v>46574</v>
      </c>
      <c r="B257" s="6" t="s">
        <v>3153</v>
      </c>
      <c r="C257" s="6" t="s">
        <v>3154</v>
      </c>
      <c r="D257" s="6" t="s">
        <v>3155</v>
      </c>
      <c r="E257" s="6" t="s">
        <v>3156</v>
      </c>
      <c r="F257" s="6" t="s">
        <v>3157</v>
      </c>
      <c r="G257" s="6" t="s">
        <v>3158</v>
      </c>
      <c r="H257" s="6" t="s">
        <v>3159</v>
      </c>
      <c r="I257" s="6" t="s">
        <v>3160</v>
      </c>
      <c r="J257" s="6" t="s">
        <v>3161</v>
      </c>
      <c r="K257" s="6" t="s">
        <v>3162</v>
      </c>
      <c r="L257" s="6" t="s">
        <v>3151</v>
      </c>
      <c r="M257" s="6" t="s">
        <v>3163</v>
      </c>
      <c r="N257" s="6" t="s">
        <v>182</v>
      </c>
      <c r="O257" s="6" t="n">
        <v>3</v>
      </c>
    </row>
    <row r="258" customFormat="false" ht="15" hidden="false" customHeight="false" outlineLevel="0" collapsed="false">
      <c r="A258" s="23" t="n">
        <v>46575</v>
      </c>
      <c r="B258" s="6" t="s">
        <v>3164</v>
      </c>
      <c r="C258" s="6" t="s">
        <v>3165</v>
      </c>
      <c r="D258" s="6" t="s">
        <v>3166</v>
      </c>
      <c r="E258" s="6" t="s">
        <v>3167</v>
      </c>
      <c r="F258" s="6" t="s">
        <v>817</v>
      </c>
      <c r="G258" s="6" t="s">
        <v>3168</v>
      </c>
      <c r="H258" s="6" t="s">
        <v>3169</v>
      </c>
      <c r="I258" s="6" t="s">
        <v>3148</v>
      </c>
      <c r="J258" s="6" t="s">
        <v>3149</v>
      </c>
      <c r="K258" s="6" t="s">
        <v>3170</v>
      </c>
      <c r="L258" s="6" t="s">
        <v>3151</v>
      </c>
      <c r="M258" s="6" t="s">
        <v>3171</v>
      </c>
      <c r="N258" s="6" t="s">
        <v>184</v>
      </c>
      <c r="O258" s="6" t="n">
        <v>4</v>
      </c>
    </row>
    <row r="259" customFormat="false" ht="15" hidden="false" customHeight="false" outlineLevel="0" collapsed="false">
      <c r="A259" s="23" t="n">
        <v>46576</v>
      </c>
      <c r="B259" s="6" t="s">
        <v>3172</v>
      </c>
      <c r="C259" s="6" t="s">
        <v>3173</v>
      </c>
      <c r="D259" s="6" t="s">
        <v>3174</v>
      </c>
      <c r="E259" s="6" t="s">
        <v>3175</v>
      </c>
      <c r="F259" s="6" t="s">
        <v>3176</v>
      </c>
      <c r="G259" s="6" t="s">
        <v>3177</v>
      </c>
      <c r="H259" s="6" t="s">
        <v>3178</v>
      </c>
      <c r="I259" s="6" t="s">
        <v>3179</v>
      </c>
      <c r="J259" s="6" t="s">
        <v>3180</v>
      </c>
      <c r="K259" s="6" t="s">
        <v>3181</v>
      </c>
      <c r="L259" s="6" t="s">
        <v>3151</v>
      </c>
      <c r="M259" s="6" t="s">
        <v>3182</v>
      </c>
      <c r="N259" s="6" t="s">
        <v>185</v>
      </c>
      <c r="O259" s="6" t="n">
        <v>5</v>
      </c>
    </row>
    <row r="260" customFormat="false" ht="15" hidden="false" customHeight="false" outlineLevel="0" collapsed="false">
      <c r="A260" s="23" t="n">
        <v>46577</v>
      </c>
      <c r="B260" s="6" t="s">
        <v>3183</v>
      </c>
      <c r="C260" s="6" t="s">
        <v>3184</v>
      </c>
      <c r="D260" s="6" t="s">
        <v>3185</v>
      </c>
      <c r="E260" s="6" t="s">
        <v>3186</v>
      </c>
      <c r="F260" s="6" t="s">
        <v>3187</v>
      </c>
      <c r="G260" s="6" t="s">
        <v>3188</v>
      </c>
      <c r="H260" s="6" t="s">
        <v>3189</v>
      </c>
      <c r="I260" s="6" t="s">
        <v>3138</v>
      </c>
      <c r="J260" s="6" t="s">
        <v>3139</v>
      </c>
      <c r="K260" s="6" t="s">
        <v>3190</v>
      </c>
      <c r="L260" s="6" t="s">
        <v>3151</v>
      </c>
      <c r="M260" s="6" t="s">
        <v>3191</v>
      </c>
      <c r="N260" s="6" t="s">
        <v>187</v>
      </c>
      <c r="O260" s="6" t="n">
        <v>6</v>
      </c>
    </row>
    <row r="261" customFormat="false" ht="15" hidden="false" customHeight="false" outlineLevel="0" collapsed="false">
      <c r="A261" s="23" t="n">
        <v>46578</v>
      </c>
      <c r="B261" s="6" t="s">
        <v>3192</v>
      </c>
      <c r="C261" s="6" t="s">
        <v>3193</v>
      </c>
      <c r="D261" s="6" t="s">
        <v>3194</v>
      </c>
      <c r="E261" s="6" t="s">
        <v>3195</v>
      </c>
      <c r="F261" s="6" t="s">
        <v>934</v>
      </c>
      <c r="G261" s="6" t="s">
        <v>3196</v>
      </c>
      <c r="H261" s="6" t="s">
        <v>3197</v>
      </c>
      <c r="I261" s="6" t="s">
        <v>3198</v>
      </c>
      <c r="J261" s="6" t="s">
        <v>903</v>
      </c>
      <c r="K261" s="6" t="s">
        <v>3199</v>
      </c>
      <c r="L261" s="6" t="s">
        <v>3200</v>
      </c>
      <c r="M261" s="6" t="s">
        <v>3201</v>
      </c>
      <c r="N261" s="6" t="s">
        <v>188</v>
      </c>
      <c r="O261" s="6" t="n">
        <v>7</v>
      </c>
    </row>
    <row r="262" customFormat="false" ht="15" hidden="false" customHeight="false" outlineLevel="0" collapsed="false">
      <c r="A262" s="23" t="n">
        <v>46579</v>
      </c>
      <c r="B262" s="6" t="s">
        <v>3202</v>
      </c>
      <c r="C262" s="6" t="s">
        <v>3203</v>
      </c>
      <c r="D262" s="6" t="s">
        <v>3204</v>
      </c>
      <c r="E262" s="6" t="s">
        <v>3205</v>
      </c>
      <c r="F262" s="6" t="s">
        <v>577</v>
      </c>
      <c r="G262" s="6" t="s">
        <v>3206</v>
      </c>
      <c r="H262" s="6" t="s">
        <v>3207</v>
      </c>
      <c r="I262" s="6" t="s">
        <v>3198</v>
      </c>
      <c r="J262" s="6" t="s">
        <v>903</v>
      </c>
      <c r="K262" s="6" t="s">
        <v>3208</v>
      </c>
      <c r="L262" s="6" t="s">
        <v>3200</v>
      </c>
      <c r="M262" s="6" t="s">
        <v>3209</v>
      </c>
      <c r="N262" s="6" t="s">
        <v>189</v>
      </c>
      <c r="O262" s="6" t="n">
        <v>9</v>
      </c>
    </row>
    <row r="263" customFormat="false" ht="15" hidden="false" customHeight="false" outlineLevel="0" collapsed="false">
      <c r="A263" s="23" t="n">
        <v>46580</v>
      </c>
      <c r="B263" s="6" t="s">
        <v>3210</v>
      </c>
      <c r="C263" s="6" t="s">
        <v>3211</v>
      </c>
      <c r="D263" s="6" t="s">
        <v>3212</v>
      </c>
      <c r="E263" s="6" t="s">
        <v>3213</v>
      </c>
      <c r="F263" s="6" t="s">
        <v>793</v>
      </c>
      <c r="G263" s="6" t="s">
        <v>3214</v>
      </c>
      <c r="H263" s="6" t="s">
        <v>3215</v>
      </c>
      <c r="I263" s="6" t="s">
        <v>3216</v>
      </c>
      <c r="J263" s="6" t="s">
        <v>3217</v>
      </c>
      <c r="K263" s="6" t="s">
        <v>3218</v>
      </c>
      <c r="L263" s="6" t="s">
        <v>3200</v>
      </c>
      <c r="M263" s="6" t="s">
        <v>3219</v>
      </c>
      <c r="N263" s="6" t="s">
        <v>191</v>
      </c>
      <c r="O263" s="6" t="n">
        <v>10</v>
      </c>
    </row>
    <row r="264" customFormat="false" ht="15" hidden="false" customHeight="false" outlineLevel="0" collapsed="false">
      <c r="A264" s="23" t="n">
        <v>46581</v>
      </c>
      <c r="B264" s="6" t="s">
        <v>3220</v>
      </c>
      <c r="C264" s="6" t="s">
        <v>3221</v>
      </c>
      <c r="D264" s="6" t="s">
        <v>3222</v>
      </c>
      <c r="E264" s="6" t="s">
        <v>3223</v>
      </c>
      <c r="F264" s="6" t="s">
        <v>3224</v>
      </c>
      <c r="G264" s="6" t="s">
        <v>3225</v>
      </c>
      <c r="H264" s="6" t="s">
        <v>3226</v>
      </c>
      <c r="I264" s="6" t="s">
        <v>3148</v>
      </c>
      <c r="J264" s="6" t="s">
        <v>3149</v>
      </c>
      <c r="K264" s="6" t="s">
        <v>3227</v>
      </c>
      <c r="L264" s="6" t="s">
        <v>3200</v>
      </c>
      <c r="M264" s="6" t="s">
        <v>3228</v>
      </c>
      <c r="N264" s="6" t="s">
        <v>192</v>
      </c>
      <c r="O264" s="6" t="n">
        <v>11</v>
      </c>
    </row>
    <row r="265" customFormat="false" ht="15" hidden="false" customHeight="false" outlineLevel="0" collapsed="false">
      <c r="A265" s="23" t="n">
        <v>46582</v>
      </c>
      <c r="B265" s="6" t="s">
        <v>3229</v>
      </c>
      <c r="C265" s="6" t="s">
        <v>3230</v>
      </c>
      <c r="D265" s="6" t="s">
        <v>3231</v>
      </c>
      <c r="E265" s="6" t="s">
        <v>3232</v>
      </c>
      <c r="F265" s="6" t="s">
        <v>3233</v>
      </c>
      <c r="G265" s="6" t="s">
        <v>3234</v>
      </c>
      <c r="H265" s="6" t="s">
        <v>3235</v>
      </c>
      <c r="I265" s="6" t="s">
        <v>3236</v>
      </c>
      <c r="J265" s="6" t="s">
        <v>3237</v>
      </c>
      <c r="K265" s="6" t="s">
        <v>3238</v>
      </c>
      <c r="L265" s="6" t="s">
        <v>3200</v>
      </c>
      <c r="M265" s="6" t="s">
        <v>3239</v>
      </c>
      <c r="N265" s="6" t="s">
        <v>193</v>
      </c>
      <c r="O265" s="6" t="n">
        <v>11</v>
      </c>
    </row>
    <row r="266" customFormat="false" ht="15" hidden="false" customHeight="false" outlineLevel="0" collapsed="false">
      <c r="A266" s="23" t="n">
        <v>46583</v>
      </c>
      <c r="B266" s="6" t="s">
        <v>3240</v>
      </c>
      <c r="C266" s="6" t="s">
        <v>3241</v>
      </c>
      <c r="D266" s="6" t="s">
        <v>3242</v>
      </c>
      <c r="E266" s="6" t="s">
        <v>3243</v>
      </c>
      <c r="F266" s="6" t="s">
        <v>3244</v>
      </c>
      <c r="G266" s="6" t="s">
        <v>3245</v>
      </c>
      <c r="H266" s="6" t="s">
        <v>3246</v>
      </c>
      <c r="I266" s="6" t="s">
        <v>3247</v>
      </c>
      <c r="J266" s="6" t="s">
        <v>3248</v>
      </c>
      <c r="K266" s="6" t="s">
        <v>3249</v>
      </c>
      <c r="L266" s="6" t="s">
        <v>3250</v>
      </c>
      <c r="M266" s="6" t="s">
        <v>3251</v>
      </c>
      <c r="N266" s="6" t="s">
        <v>194</v>
      </c>
      <c r="O266" s="6" t="n">
        <v>12</v>
      </c>
    </row>
    <row r="267" customFormat="false" ht="15" hidden="false" customHeight="false" outlineLevel="0" collapsed="false">
      <c r="A267" s="23" t="n">
        <v>46584</v>
      </c>
      <c r="B267" s="6" t="s">
        <v>3252</v>
      </c>
      <c r="C267" s="6" t="s">
        <v>3253</v>
      </c>
      <c r="D267" s="6" t="s">
        <v>3254</v>
      </c>
      <c r="E267" s="6" t="s">
        <v>3255</v>
      </c>
      <c r="F267" s="6" t="s">
        <v>3256</v>
      </c>
      <c r="G267" s="6" t="s">
        <v>3257</v>
      </c>
      <c r="H267" s="6" t="s">
        <v>3258</v>
      </c>
      <c r="I267" s="6" t="s">
        <v>3259</v>
      </c>
      <c r="J267" s="6" t="s">
        <v>3260</v>
      </c>
      <c r="K267" s="6" t="s">
        <v>3261</v>
      </c>
      <c r="L267" s="6" t="s">
        <v>3250</v>
      </c>
      <c r="M267" s="6" t="s">
        <v>3262</v>
      </c>
      <c r="N267" s="6" t="s">
        <v>196</v>
      </c>
      <c r="O267" s="6" t="n">
        <v>13</v>
      </c>
    </row>
    <row r="268" customFormat="false" ht="15" hidden="false" customHeight="false" outlineLevel="0" collapsed="false">
      <c r="A268" s="23" t="n">
        <v>46585</v>
      </c>
      <c r="B268" s="6" t="s">
        <v>3263</v>
      </c>
      <c r="C268" s="6" t="s">
        <v>3264</v>
      </c>
      <c r="D268" s="6" t="s">
        <v>3265</v>
      </c>
      <c r="E268" s="6" t="s">
        <v>3266</v>
      </c>
      <c r="F268" s="6" t="s">
        <v>3267</v>
      </c>
      <c r="G268" s="6" t="s">
        <v>3268</v>
      </c>
      <c r="H268" s="6" t="s">
        <v>3269</v>
      </c>
      <c r="I268" s="6" t="s">
        <v>3270</v>
      </c>
      <c r="J268" s="6" t="s">
        <v>3271</v>
      </c>
      <c r="K268" s="6" t="s">
        <v>3272</v>
      </c>
      <c r="L268" s="6" t="s">
        <v>3250</v>
      </c>
      <c r="M268" s="6" t="s">
        <v>3273</v>
      </c>
      <c r="N268" s="6" t="s">
        <v>197</v>
      </c>
      <c r="O268" s="6" t="n">
        <v>14</v>
      </c>
    </row>
    <row r="269" customFormat="false" ht="15" hidden="false" customHeight="false" outlineLevel="0" collapsed="false">
      <c r="A269" s="23" t="n">
        <v>46586</v>
      </c>
      <c r="B269" s="6" t="s">
        <v>3274</v>
      </c>
      <c r="C269" s="6" t="s">
        <v>3275</v>
      </c>
      <c r="D269" s="6" t="s">
        <v>3276</v>
      </c>
      <c r="E269" s="6" t="s">
        <v>3277</v>
      </c>
      <c r="F269" s="6" t="s">
        <v>3278</v>
      </c>
      <c r="G269" s="6" t="s">
        <v>3279</v>
      </c>
      <c r="H269" s="6" t="s">
        <v>3280</v>
      </c>
      <c r="I269" s="6" t="s">
        <v>3281</v>
      </c>
      <c r="J269" s="6" t="s">
        <v>3282</v>
      </c>
      <c r="K269" s="6" t="s">
        <v>3283</v>
      </c>
      <c r="L269" s="6" t="s">
        <v>3250</v>
      </c>
      <c r="M269" s="6" t="s">
        <v>3284</v>
      </c>
      <c r="N269" s="6" t="s">
        <v>199</v>
      </c>
      <c r="O269" s="6" t="n">
        <v>15</v>
      </c>
    </row>
    <row r="270" customFormat="false" ht="15" hidden="false" customHeight="false" outlineLevel="0" collapsed="false">
      <c r="A270" s="23" t="n">
        <v>46587</v>
      </c>
      <c r="B270" s="6" t="s">
        <v>3285</v>
      </c>
      <c r="C270" s="6" t="s">
        <v>3286</v>
      </c>
      <c r="D270" s="6" t="s">
        <v>3287</v>
      </c>
      <c r="E270" s="6" t="s">
        <v>3288</v>
      </c>
      <c r="F270" s="6" t="s">
        <v>3289</v>
      </c>
      <c r="G270" s="6" t="s">
        <v>3290</v>
      </c>
      <c r="H270" s="6" t="s">
        <v>3291</v>
      </c>
      <c r="I270" s="6" t="s">
        <v>3292</v>
      </c>
      <c r="J270" s="6" t="s">
        <v>3293</v>
      </c>
      <c r="K270" s="6" t="s">
        <v>3294</v>
      </c>
      <c r="L270" s="6" t="s">
        <v>3295</v>
      </c>
      <c r="M270" s="6" t="s">
        <v>3296</v>
      </c>
      <c r="N270" s="6" t="s">
        <v>199</v>
      </c>
      <c r="O270" s="6" t="n">
        <v>16</v>
      </c>
    </row>
    <row r="271" customFormat="false" ht="15" hidden="false" customHeight="false" outlineLevel="0" collapsed="false">
      <c r="A271" s="23" t="n">
        <v>46588</v>
      </c>
      <c r="B271" s="6" t="s">
        <v>3297</v>
      </c>
      <c r="C271" s="6" t="s">
        <v>3298</v>
      </c>
      <c r="D271" s="6" t="s">
        <v>3299</v>
      </c>
      <c r="E271" s="6" t="s">
        <v>3300</v>
      </c>
      <c r="F271" s="6" t="s">
        <v>2589</v>
      </c>
      <c r="G271" s="6" t="s">
        <v>3301</v>
      </c>
      <c r="H271" s="6" t="s">
        <v>3302</v>
      </c>
      <c r="I271" s="6" t="s">
        <v>3292</v>
      </c>
      <c r="J271" s="6" t="s">
        <v>3293</v>
      </c>
      <c r="K271" s="6" t="s">
        <v>3303</v>
      </c>
      <c r="L271" s="6" t="s">
        <v>3295</v>
      </c>
      <c r="M271" s="6" t="s">
        <v>3304</v>
      </c>
      <c r="N271" s="6" t="s">
        <v>200</v>
      </c>
      <c r="O271" s="6" t="n">
        <v>17</v>
      </c>
    </row>
    <row r="272" customFormat="false" ht="15" hidden="false" customHeight="false" outlineLevel="0" collapsed="false">
      <c r="A272" s="23" t="n">
        <v>46589</v>
      </c>
      <c r="B272" s="6" t="s">
        <v>3305</v>
      </c>
      <c r="C272" s="6" t="s">
        <v>3306</v>
      </c>
      <c r="D272" s="6" t="s">
        <v>3307</v>
      </c>
      <c r="E272" s="6" t="s">
        <v>3196</v>
      </c>
      <c r="F272" s="6" t="s">
        <v>3308</v>
      </c>
      <c r="G272" s="6" t="s">
        <v>3309</v>
      </c>
      <c r="H272" s="6" t="s">
        <v>3310</v>
      </c>
      <c r="I272" s="6" t="s">
        <v>3292</v>
      </c>
      <c r="J272" s="6" t="s">
        <v>3293</v>
      </c>
      <c r="K272" s="6" t="s">
        <v>1698</v>
      </c>
      <c r="L272" s="6" t="s">
        <v>3295</v>
      </c>
      <c r="M272" s="6" t="s">
        <v>3311</v>
      </c>
      <c r="N272" s="6" t="s">
        <v>201</v>
      </c>
      <c r="O272" s="6" t="n">
        <v>18</v>
      </c>
    </row>
    <row r="273" customFormat="false" ht="15" hidden="false" customHeight="false" outlineLevel="0" collapsed="false">
      <c r="A273" s="23" t="n">
        <v>46590</v>
      </c>
      <c r="B273" s="6" t="s">
        <v>3312</v>
      </c>
      <c r="C273" s="6" t="s">
        <v>3313</v>
      </c>
      <c r="D273" s="6" t="s">
        <v>3314</v>
      </c>
      <c r="E273" s="6" t="s">
        <v>3315</v>
      </c>
      <c r="F273" s="6" t="s">
        <v>3316</v>
      </c>
      <c r="G273" s="6" t="s">
        <v>3317</v>
      </c>
      <c r="H273" s="6" t="s">
        <v>3318</v>
      </c>
      <c r="I273" s="6" t="s">
        <v>3281</v>
      </c>
      <c r="J273" s="6" t="s">
        <v>3282</v>
      </c>
      <c r="K273" s="6" t="s">
        <v>3319</v>
      </c>
      <c r="L273" s="6" t="s">
        <v>3320</v>
      </c>
      <c r="M273" s="6" t="s">
        <v>3321</v>
      </c>
      <c r="N273" s="6" t="s">
        <v>203</v>
      </c>
      <c r="O273" s="6" t="n">
        <v>19</v>
      </c>
    </row>
    <row r="274" customFormat="false" ht="15" hidden="false" customHeight="false" outlineLevel="0" collapsed="false">
      <c r="A274" s="23" t="n">
        <v>46591</v>
      </c>
      <c r="B274" s="6" t="s">
        <v>3322</v>
      </c>
      <c r="C274" s="6" t="s">
        <v>3323</v>
      </c>
      <c r="D274" s="6" t="s">
        <v>3324</v>
      </c>
      <c r="E274" s="6" t="s">
        <v>3325</v>
      </c>
      <c r="F274" s="6" t="s">
        <v>3326</v>
      </c>
      <c r="G274" s="6" t="s">
        <v>3327</v>
      </c>
      <c r="H274" s="6" t="s">
        <v>3328</v>
      </c>
      <c r="I274" s="6" t="s">
        <v>3329</v>
      </c>
      <c r="J274" s="6" t="s">
        <v>3330</v>
      </c>
      <c r="K274" s="6" t="s">
        <v>3331</v>
      </c>
      <c r="L274" s="6" t="s">
        <v>3320</v>
      </c>
      <c r="M274" s="6" t="s">
        <v>3332</v>
      </c>
      <c r="N274" s="6" t="s">
        <v>204</v>
      </c>
      <c r="O274" s="6" t="n">
        <v>20</v>
      </c>
    </row>
    <row r="275" customFormat="false" ht="15" hidden="false" customHeight="false" outlineLevel="0" collapsed="false">
      <c r="A275" s="23" t="n">
        <v>46592</v>
      </c>
      <c r="B275" s="6" t="s">
        <v>3333</v>
      </c>
      <c r="C275" s="6" t="s">
        <v>1761</v>
      </c>
      <c r="D275" s="6" t="s">
        <v>3334</v>
      </c>
      <c r="E275" s="6" t="s">
        <v>3335</v>
      </c>
      <c r="F275" s="6" t="s">
        <v>3336</v>
      </c>
      <c r="G275" s="6" t="s">
        <v>3337</v>
      </c>
      <c r="H275" s="6" t="s">
        <v>3338</v>
      </c>
      <c r="I275" s="6" t="s">
        <v>3339</v>
      </c>
      <c r="J275" s="6" t="s">
        <v>3340</v>
      </c>
      <c r="K275" s="6" t="s">
        <v>3341</v>
      </c>
      <c r="L275" s="6" t="s">
        <v>3320</v>
      </c>
      <c r="M275" s="6" t="s">
        <v>3342</v>
      </c>
      <c r="N275" s="6" t="s">
        <v>206</v>
      </c>
      <c r="O275" s="6" t="n">
        <v>21</v>
      </c>
    </row>
    <row r="276" customFormat="false" ht="15" hidden="false" customHeight="false" outlineLevel="0" collapsed="false">
      <c r="A276" s="23" t="n">
        <v>46593</v>
      </c>
      <c r="B276" s="6" t="s">
        <v>3343</v>
      </c>
      <c r="C276" s="6" t="s">
        <v>3344</v>
      </c>
      <c r="D276" s="6" t="s">
        <v>3345</v>
      </c>
      <c r="E276" s="6" t="s">
        <v>3346</v>
      </c>
      <c r="F276" s="6" t="s">
        <v>3347</v>
      </c>
      <c r="G276" s="6" t="s">
        <v>3348</v>
      </c>
      <c r="H276" s="6" t="s">
        <v>3349</v>
      </c>
      <c r="I276" s="6" t="s">
        <v>3350</v>
      </c>
      <c r="J276" s="6" t="s">
        <v>3351</v>
      </c>
      <c r="K276" s="6" t="s">
        <v>3352</v>
      </c>
      <c r="L276" s="6" t="s">
        <v>3353</v>
      </c>
      <c r="M276" s="6" t="s">
        <v>3354</v>
      </c>
      <c r="N276" s="6" t="s">
        <v>207</v>
      </c>
      <c r="O276" s="6" t="n">
        <v>22</v>
      </c>
    </row>
    <row r="277" customFormat="false" ht="15" hidden="false" customHeight="false" outlineLevel="0" collapsed="false">
      <c r="A277" s="23" t="n">
        <v>46594</v>
      </c>
      <c r="B277" s="6" t="s">
        <v>3355</v>
      </c>
      <c r="C277" s="6" t="s">
        <v>825</v>
      </c>
      <c r="D277" s="6" t="s">
        <v>3356</v>
      </c>
      <c r="E277" s="6" t="s">
        <v>3357</v>
      </c>
      <c r="F277" s="6" t="s">
        <v>3358</v>
      </c>
      <c r="G277" s="6" t="s">
        <v>3359</v>
      </c>
      <c r="H277" s="6" t="s">
        <v>3360</v>
      </c>
      <c r="I277" s="6" t="s">
        <v>3350</v>
      </c>
      <c r="J277" s="6" t="s">
        <v>3351</v>
      </c>
      <c r="K277" s="6" t="s">
        <v>3361</v>
      </c>
      <c r="L277" s="6" t="s">
        <v>3353</v>
      </c>
      <c r="M277" s="6" t="s">
        <v>3362</v>
      </c>
      <c r="N277" s="6" t="s">
        <v>208</v>
      </c>
      <c r="O277" s="6" t="n">
        <v>23</v>
      </c>
    </row>
    <row r="278" customFormat="false" ht="15" hidden="false" customHeight="false" outlineLevel="0" collapsed="false">
      <c r="A278" s="23" t="n">
        <v>46595</v>
      </c>
      <c r="B278" s="6" t="s">
        <v>3363</v>
      </c>
      <c r="C278" s="6" t="s">
        <v>3364</v>
      </c>
      <c r="D278" s="6" t="s">
        <v>3365</v>
      </c>
      <c r="E278" s="6" t="s">
        <v>3366</v>
      </c>
      <c r="F278" s="6" t="s">
        <v>3367</v>
      </c>
      <c r="G278" s="6" t="s">
        <v>3368</v>
      </c>
      <c r="H278" s="6" t="s">
        <v>3369</v>
      </c>
      <c r="I278" s="6" t="s">
        <v>3339</v>
      </c>
      <c r="J278" s="6" t="s">
        <v>3340</v>
      </c>
      <c r="K278" s="6" t="s">
        <v>3370</v>
      </c>
      <c r="L278" s="6" t="s">
        <v>3371</v>
      </c>
      <c r="M278" s="6" t="s">
        <v>3372</v>
      </c>
      <c r="N278" s="6" t="s">
        <v>170</v>
      </c>
      <c r="O278" s="6" t="n">
        <v>24</v>
      </c>
    </row>
    <row r="279" customFormat="false" ht="15" hidden="false" customHeight="false" outlineLevel="0" collapsed="false">
      <c r="A279" s="23" t="n">
        <v>46596</v>
      </c>
      <c r="B279" s="6" t="s">
        <v>3373</v>
      </c>
      <c r="C279" s="6" t="s">
        <v>3374</v>
      </c>
      <c r="D279" s="6" t="s">
        <v>3375</v>
      </c>
      <c r="E279" s="6" t="s">
        <v>3376</v>
      </c>
      <c r="F279" s="6" t="s">
        <v>3377</v>
      </c>
      <c r="G279" s="6" t="s">
        <v>3378</v>
      </c>
      <c r="H279" s="6" t="s">
        <v>3379</v>
      </c>
      <c r="I279" s="6" t="s">
        <v>3339</v>
      </c>
      <c r="J279" s="6" t="s">
        <v>3340</v>
      </c>
      <c r="K279" s="6" t="s">
        <v>3380</v>
      </c>
      <c r="L279" s="6" t="s">
        <v>3381</v>
      </c>
      <c r="M279" s="6" t="s">
        <v>3382</v>
      </c>
      <c r="N279" s="6" t="s">
        <v>174</v>
      </c>
      <c r="O279" s="6" t="n">
        <v>25</v>
      </c>
    </row>
    <row r="280" customFormat="false" ht="15" hidden="false" customHeight="false" outlineLevel="0" collapsed="false">
      <c r="A280" s="23" t="n">
        <v>46597</v>
      </c>
      <c r="B280" s="6" t="s">
        <v>3383</v>
      </c>
      <c r="C280" s="6" t="s">
        <v>3294</v>
      </c>
      <c r="D280" s="6" t="s">
        <v>3384</v>
      </c>
      <c r="E280" s="6" t="s">
        <v>3385</v>
      </c>
      <c r="F280" s="6" t="s">
        <v>2638</v>
      </c>
      <c r="G280" s="6" t="s">
        <v>3386</v>
      </c>
      <c r="H280" s="6" t="s">
        <v>3387</v>
      </c>
      <c r="I280" s="6" t="s">
        <v>3339</v>
      </c>
      <c r="J280" s="6" t="s">
        <v>3340</v>
      </c>
      <c r="K280" s="6" t="s">
        <v>3388</v>
      </c>
      <c r="L280" s="6" t="s">
        <v>3381</v>
      </c>
      <c r="M280" s="6" t="s">
        <v>3389</v>
      </c>
      <c r="N280" s="6" t="s">
        <v>209</v>
      </c>
      <c r="O280" s="6" t="n">
        <v>26</v>
      </c>
    </row>
    <row r="281" customFormat="false" ht="15" hidden="false" customHeight="false" outlineLevel="0" collapsed="false">
      <c r="A281" s="23" t="n">
        <v>46598</v>
      </c>
      <c r="B281" s="6" t="s">
        <v>3390</v>
      </c>
      <c r="C281" s="6" t="s">
        <v>3391</v>
      </c>
      <c r="D281" s="6" t="s">
        <v>646</v>
      </c>
      <c r="E281" s="6" t="s">
        <v>3392</v>
      </c>
      <c r="F281" s="6" t="s">
        <v>3393</v>
      </c>
      <c r="G281" s="6" t="s">
        <v>3394</v>
      </c>
      <c r="H281" s="6" t="s">
        <v>3395</v>
      </c>
      <c r="I281" s="6" t="s">
        <v>3270</v>
      </c>
      <c r="J281" s="6" t="s">
        <v>3271</v>
      </c>
      <c r="K281" s="6" t="s">
        <v>3396</v>
      </c>
      <c r="L281" s="6" t="s">
        <v>3397</v>
      </c>
      <c r="M281" s="6" t="s">
        <v>3398</v>
      </c>
      <c r="N281" s="6" t="s">
        <v>175</v>
      </c>
      <c r="O281" s="6" t="n">
        <v>27</v>
      </c>
    </row>
    <row r="282" customFormat="false" ht="15" hidden="false" customHeight="false" outlineLevel="0" collapsed="false">
      <c r="A282" s="23" t="n">
        <v>46599</v>
      </c>
      <c r="B282" s="6" t="s">
        <v>3399</v>
      </c>
      <c r="C282" s="6" t="s">
        <v>3400</v>
      </c>
      <c r="D282" s="6" t="s">
        <v>3401</v>
      </c>
      <c r="E282" s="6" t="s">
        <v>3402</v>
      </c>
      <c r="F282" s="6" t="s">
        <v>3403</v>
      </c>
      <c r="G282" s="6" t="s">
        <v>3404</v>
      </c>
      <c r="H282" s="6" t="s">
        <v>3405</v>
      </c>
      <c r="I282" s="6" t="s">
        <v>3270</v>
      </c>
      <c r="J282" s="6" t="s">
        <v>3271</v>
      </c>
      <c r="K282" s="6" t="s">
        <v>3406</v>
      </c>
      <c r="L282" s="6" t="s">
        <v>3397</v>
      </c>
      <c r="M282" s="6" t="s">
        <v>3407</v>
      </c>
      <c r="N282" s="6" t="s">
        <v>177</v>
      </c>
      <c r="O282" s="6" t="n">
        <v>28</v>
      </c>
    </row>
    <row r="283" customFormat="false" ht="15" hidden="false" customHeight="false" outlineLevel="0" collapsed="false">
      <c r="A283" s="23" t="n">
        <v>46600</v>
      </c>
      <c r="B283" s="6" t="s">
        <v>3408</v>
      </c>
      <c r="C283" s="6" t="s">
        <v>3409</v>
      </c>
      <c r="D283" s="6" t="s">
        <v>3410</v>
      </c>
      <c r="E283" s="6" t="s">
        <v>3411</v>
      </c>
      <c r="F283" s="6" t="s">
        <v>3412</v>
      </c>
      <c r="G283" s="6" t="s">
        <v>3413</v>
      </c>
      <c r="H283" s="6" t="s">
        <v>3414</v>
      </c>
      <c r="I283" s="6" t="s">
        <v>3270</v>
      </c>
      <c r="J283" s="6" t="s">
        <v>3271</v>
      </c>
      <c r="K283" s="6" t="s">
        <v>3415</v>
      </c>
      <c r="L283" s="6" t="s">
        <v>3416</v>
      </c>
      <c r="M283" s="6" t="s">
        <v>3417</v>
      </c>
      <c r="N283" s="6" t="s">
        <v>178</v>
      </c>
      <c r="O283" s="6" t="n">
        <v>29</v>
      </c>
    </row>
    <row r="284" customFormat="false" ht="15" hidden="false" customHeight="false" outlineLevel="0" collapsed="false">
      <c r="A284" s="23" t="n">
        <v>46601</v>
      </c>
      <c r="B284" s="6" t="s">
        <v>3418</v>
      </c>
      <c r="C284" s="6" t="s">
        <v>3399</v>
      </c>
      <c r="D284" s="6" t="s">
        <v>3419</v>
      </c>
      <c r="E284" s="6" t="s">
        <v>3420</v>
      </c>
      <c r="F284" s="6" t="s">
        <v>3421</v>
      </c>
      <c r="G284" s="6" t="s">
        <v>3422</v>
      </c>
      <c r="H284" s="6" t="s">
        <v>3423</v>
      </c>
      <c r="I284" s="6" t="s">
        <v>3270</v>
      </c>
      <c r="J284" s="6" t="s">
        <v>3271</v>
      </c>
      <c r="K284" s="6" t="s">
        <v>3424</v>
      </c>
      <c r="L284" s="6" t="s">
        <v>3425</v>
      </c>
      <c r="M284" s="6" t="s">
        <v>3426</v>
      </c>
      <c r="N284" s="6" t="s">
        <v>181</v>
      </c>
      <c r="O284" s="6" t="n">
        <v>30</v>
      </c>
    </row>
    <row r="285" customFormat="false" ht="15" hidden="false" customHeight="false" outlineLevel="0" collapsed="false">
      <c r="A285" s="23" t="n">
        <v>46602</v>
      </c>
      <c r="B285" s="6" t="s">
        <v>3427</v>
      </c>
      <c r="C285" s="6" t="s">
        <v>3428</v>
      </c>
      <c r="D285" s="6" t="s">
        <v>3429</v>
      </c>
      <c r="E285" s="6" t="s">
        <v>3430</v>
      </c>
      <c r="F285" s="6" t="s">
        <v>914</v>
      </c>
      <c r="G285" s="6" t="s">
        <v>3431</v>
      </c>
      <c r="H285" s="6" t="s">
        <v>3432</v>
      </c>
      <c r="I285" s="6" t="s">
        <v>3270</v>
      </c>
      <c r="J285" s="6" t="s">
        <v>3271</v>
      </c>
      <c r="K285" s="6" t="s">
        <v>3433</v>
      </c>
      <c r="L285" s="6" t="s">
        <v>3434</v>
      </c>
      <c r="M285" s="6" t="s">
        <v>3435</v>
      </c>
      <c r="N285" s="6" t="s">
        <v>182</v>
      </c>
      <c r="O285" s="6" t="n">
        <v>2</v>
      </c>
    </row>
    <row r="286" customFormat="false" ht="15" hidden="false" customHeight="false" outlineLevel="0" collapsed="false">
      <c r="A286" s="23" t="n">
        <v>46603</v>
      </c>
      <c r="B286" s="6" t="s">
        <v>3139</v>
      </c>
      <c r="C286" s="6" t="s">
        <v>3436</v>
      </c>
      <c r="D286" s="6" t="s">
        <v>3437</v>
      </c>
      <c r="E286" s="6" t="s">
        <v>3438</v>
      </c>
      <c r="F286" s="6" t="s">
        <v>3439</v>
      </c>
      <c r="G286" s="6" t="s">
        <v>3440</v>
      </c>
      <c r="H286" s="6" t="s">
        <v>3432</v>
      </c>
      <c r="I286" s="6" t="s">
        <v>3270</v>
      </c>
      <c r="J286" s="6" t="s">
        <v>3271</v>
      </c>
      <c r="K286" s="6" t="s">
        <v>3441</v>
      </c>
      <c r="L286" s="6" t="s">
        <v>3434</v>
      </c>
      <c r="M286" s="6" t="s">
        <v>3442</v>
      </c>
      <c r="N286" s="6" t="s">
        <v>185</v>
      </c>
      <c r="O286" s="6" t="n">
        <v>3</v>
      </c>
    </row>
    <row r="287" customFormat="false" ht="15" hidden="false" customHeight="false" outlineLevel="0" collapsed="false">
      <c r="A287" s="23" t="n">
        <v>46604</v>
      </c>
      <c r="B287" s="6" t="s">
        <v>3443</v>
      </c>
      <c r="C287" s="6" t="s">
        <v>3444</v>
      </c>
      <c r="D287" s="6" t="s">
        <v>3445</v>
      </c>
      <c r="E287" s="6" t="s">
        <v>3446</v>
      </c>
      <c r="F287" s="6" t="s">
        <v>3447</v>
      </c>
      <c r="G287" s="6" t="s">
        <v>3448</v>
      </c>
      <c r="H287" s="6" t="s">
        <v>3449</v>
      </c>
      <c r="I287" s="6" t="s">
        <v>3329</v>
      </c>
      <c r="J287" s="6" t="s">
        <v>3330</v>
      </c>
      <c r="K287" s="6" t="s">
        <v>3450</v>
      </c>
      <c r="L287" s="6" t="s">
        <v>3451</v>
      </c>
      <c r="M287" s="6" t="s">
        <v>3452</v>
      </c>
      <c r="N287" s="6" t="s">
        <v>187</v>
      </c>
      <c r="O287" s="6" t="n">
        <v>4</v>
      </c>
    </row>
    <row r="288" customFormat="false" ht="15" hidden="false" customHeight="false" outlineLevel="0" collapsed="false">
      <c r="A288" s="23" t="n">
        <v>46605</v>
      </c>
      <c r="B288" s="6" t="s">
        <v>3453</v>
      </c>
      <c r="C288" s="6" t="s">
        <v>3454</v>
      </c>
      <c r="D288" s="6" t="s">
        <v>3455</v>
      </c>
      <c r="E288" s="6" t="s">
        <v>3399</v>
      </c>
      <c r="F288" s="6" t="s">
        <v>3456</v>
      </c>
      <c r="G288" s="6" t="s">
        <v>3057</v>
      </c>
      <c r="H288" s="6" t="s">
        <v>3449</v>
      </c>
      <c r="I288" s="6" t="s">
        <v>3329</v>
      </c>
      <c r="J288" s="6" t="s">
        <v>3330</v>
      </c>
      <c r="K288" s="6" t="s">
        <v>3457</v>
      </c>
      <c r="L288" s="6" t="s">
        <v>3458</v>
      </c>
      <c r="M288" s="6" t="s">
        <v>3459</v>
      </c>
      <c r="N288" s="6" t="s">
        <v>188</v>
      </c>
      <c r="O288" s="6" t="n">
        <v>5</v>
      </c>
    </row>
    <row r="289" customFormat="false" ht="15" hidden="false" customHeight="false" outlineLevel="0" collapsed="false">
      <c r="A289" s="23" t="n">
        <v>46606</v>
      </c>
      <c r="B289" s="6" t="s">
        <v>2685</v>
      </c>
      <c r="C289" s="6" t="s">
        <v>3460</v>
      </c>
      <c r="D289" s="6" t="s">
        <v>3461</v>
      </c>
      <c r="E289" s="6" t="s">
        <v>3462</v>
      </c>
      <c r="F289" s="6" t="s">
        <v>3463</v>
      </c>
      <c r="G289" s="6" t="s">
        <v>3464</v>
      </c>
      <c r="H289" s="6" t="s">
        <v>1671</v>
      </c>
      <c r="I289" s="6" t="s">
        <v>3329</v>
      </c>
      <c r="J289" s="6" t="s">
        <v>3330</v>
      </c>
      <c r="K289" s="6" t="s">
        <v>3465</v>
      </c>
      <c r="L289" s="6" t="s">
        <v>3466</v>
      </c>
      <c r="M289" s="6" t="s">
        <v>3467</v>
      </c>
      <c r="N289" s="6" t="s">
        <v>189</v>
      </c>
      <c r="O289" s="6" t="n">
        <v>6</v>
      </c>
    </row>
    <row r="290" customFormat="false" ht="15" hidden="false" customHeight="false" outlineLevel="0" collapsed="false">
      <c r="A290" s="23" t="n">
        <v>46607</v>
      </c>
      <c r="B290" s="6" t="s">
        <v>3468</v>
      </c>
      <c r="C290" s="6" t="s">
        <v>3469</v>
      </c>
      <c r="D290" s="6" t="s">
        <v>3470</v>
      </c>
      <c r="E290" s="6" t="s">
        <v>3018</v>
      </c>
      <c r="F290" s="6" t="s">
        <v>3471</v>
      </c>
      <c r="G290" s="6" t="s">
        <v>3472</v>
      </c>
      <c r="H290" s="6" t="s">
        <v>1671</v>
      </c>
      <c r="I290" s="6" t="s">
        <v>3329</v>
      </c>
      <c r="J290" s="6" t="s">
        <v>3330</v>
      </c>
      <c r="K290" s="6" t="s">
        <v>3473</v>
      </c>
      <c r="L290" s="6" t="s">
        <v>3474</v>
      </c>
      <c r="M290" s="6" t="s">
        <v>3475</v>
      </c>
      <c r="N290" s="6" t="s">
        <v>191</v>
      </c>
      <c r="O290" s="6" t="n">
        <v>7</v>
      </c>
    </row>
    <row r="291" customFormat="false" ht="15" hidden="false" customHeight="false" outlineLevel="0" collapsed="false">
      <c r="A291" s="23" t="n">
        <v>46608</v>
      </c>
      <c r="B291" s="6" t="s">
        <v>3476</v>
      </c>
      <c r="C291" s="6" t="s">
        <v>3477</v>
      </c>
      <c r="D291" s="6" t="s">
        <v>3478</v>
      </c>
      <c r="E291" s="6" t="s">
        <v>3479</v>
      </c>
      <c r="F291" s="6" t="s">
        <v>3480</v>
      </c>
      <c r="G291" s="6" t="s">
        <v>3481</v>
      </c>
      <c r="H291" s="6" t="s">
        <v>1671</v>
      </c>
      <c r="I291" s="6" t="s">
        <v>3329</v>
      </c>
      <c r="J291" s="6" t="s">
        <v>3330</v>
      </c>
      <c r="K291" s="6" t="s">
        <v>3482</v>
      </c>
      <c r="L291" s="6" t="s">
        <v>3483</v>
      </c>
      <c r="M291" s="6" t="s">
        <v>3484</v>
      </c>
      <c r="N291" s="6" t="s">
        <v>192</v>
      </c>
      <c r="O291" s="6" t="n">
        <v>8</v>
      </c>
    </row>
    <row r="292" customFormat="false" ht="15" hidden="false" customHeight="false" outlineLevel="0" collapsed="false">
      <c r="A292" s="23" t="n">
        <v>46609</v>
      </c>
      <c r="B292" s="6" t="s">
        <v>2476</v>
      </c>
      <c r="C292" s="6" t="s">
        <v>3485</v>
      </c>
      <c r="D292" s="6" t="s">
        <v>1230</v>
      </c>
      <c r="E292" s="6" t="s">
        <v>3486</v>
      </c>
      <c r="F292" s="6" t="s">
        <v>3487</v>
      </c>
      <c r="G292" s="6" t="s">
        <v>3488</v>
      </c>
      <c r="H292" s="6" t="s">
        <v>3489</v>
      </c>
      <c r="I292" s="6" t="s">
        <v>3329</v>
      </c>
      <c r="J292" s="6" t="s">
        <v>3330</v>
      </c>
      <c r="K292" s="6" t="s">
        <v>3490</v>
      </c>
      <c r="L292" s="6" t="s">
        <v>3491</v>
      </c>
      <c r="M292" s="6" t="s">
        <v>3492</v>
      </c>
      <c r="N292" s="6" t="s">
        <v>193</v>
      </c>
      <c r="O292" s="6" t="n">
        <v>9</v>
      </c>
    </row>
    <row r="293" customFormat="false" ht="15" hidden="false" customHeight="false" outlineLevel="0" collapsed="false">
      <c r="A293" s="23" t="n">
        <v>46610</v>
      </c>
      <c r="B293" s="6" t="s">
        <v>3493</v>
      </c>
      <c r="C293" s="6" t="s">
        <v>3494</v>
      </c>
      <c r="D293" s="6" t="s">
        <v>3495</v>
      </c>
      <c r="E293" s="6" t="s">
        <v>3496</v>
      </c>
      <c r="F293" s="6" t="s">
        <v>3497</v>
      </c>
      <c r="G293" s="6" t="s">
        <v>2311</v>
      </c>
      <c r="H293" s="6" t="s">
        <v>3489</v>
      </c>
      <c r="I293" s="6" t="s">
        <v>3329</v>
      </c>
      <c r="J293" s="6" t="s">
        <v>3330</v>
      </c>
      <c r="K293" s="6" t="s">
        <v>3498</v>
      </c>
      <c r="L293" s="6" t="s">
        <v>3499</v>
      </c>
      <c r="M293" s="6" t="s">
        <v>3500</v>
      </c>
      <c r="N293" s="6" t="s">
        <v>194</v>
      </c>
      <c r="O293" s="6" t="n">
        <v>10</v>
      </c>
    </row>
    <row r="294" customFormat="false" ht="15" hidden="false" customHeight="false" outlineLevel="0" collapsed="false">
      <c r="A294" s="23" t="n">
        <v>46611</v>
      </c>
      <c r="B294" s="6" t="s">
        <v>3501</v>
      </c>
      <c r="C294" s="6" t="s">
        <v>3502</v>
      </c>
      <c r="D294" s="6" t="s">
        <v>3503</v>
      </c>
      <c r="E294" s="6" t="s">
        <v>624</v>
      </c>
      <c r="F294" s="6" t="s">
        <v>3504</v>
      </c>
      <c r="G294" s="6" t="s">
        <v>3505</v>
      </c>
      <c r="H294" s="6" t="s">
        <v>3489</v>
      </c>
      <c r="I294" s="6" t="s">
        <v>3270</v>
      </c>
      <c r="J294" s="6" t="s">
        <v>3271</v>
      </c>
      <c r="K294" s="6" t="s">
        <v>2961</v>
      </c>
      <c r="L294" s="6" t="s">
        <v>3506</v>
      </c>
      <c r="M294" s="6" t="s">
        <v>3507</v>
      </c>
      <c r="N294" s="6" t="s">
        <v>196</v>
      </c>
      <c r="O294" s="6" t="n">
        <v>11</v>
      </c>
    </row>
    <row r="295" customFormat="false" ht="15" hidden="false" customHeight="false" outlineLevel="0" collapsed="false">
      <c r="A295" s="23" t="n">
        <v>46612</v>
      </c>
      <c r="B295" s="6" t="s">
        <v>1944</v>
      </c>
      <c r="C295" s="6" t="s">
        <v>3508</v>
      </c>
      <c r="D295" s="6" t="s">
        <v>3509</v>
      </c>
      <c r="E295" s="6" t="s">
        <v>3510</v>
      </c>
      <c r="F295" s="6" t="s">
        <v>3511</v>
      </c>
      <c r="G295" s="6" t="s">
        <v>1442</v>
      </c>
      <c r="H295" s="6" t="s">
        <v>3512</v>
      </c>
      <c r="I295" s="6" t="s">
        <v>3339</v>
      </c>
      <c r="J295" s="6" t="s">
        <v>3340</v>
      </c>
      <c r="K295" s="6" t="s">
        <v>3513</v>
      </c>
      <c r="L295" s="6" t="s">
        <v>3514</v>
      </c>
      <c r="M295" s="6" t="s">
        <v>3515</v>
      </c>
      <c r="N295" s="6" t="s">
        <v>196</v>
      </c>
      <c r="O295" s="6" t="n">
        <v>12</v>
      </c>
    </row>
    <row r="296" customFormat="false" ht="15" hidden="false" customHeight="false" outlineLevel="0" collapsed="false">
      <c r="A296" s="23" t="n">
        <v>46613</v>
      </c>
      <c r="B296" s="6" t="s">
        <v>1268</v>
      </c>
      <c r="C296" s="6" t="s">
        <v>1297</v>
      </c>
      <c r="D296" s="6" t="s">
        <v>3516</v>
      </c>
      <c r="E296" s="6" t="s">
        <v>3517</v>
      </c>
      <c r="F296" s="6" t="s">
        <v>3518</v>
      </c>
      <c r="G296" s="6" t="s">
        <v>3519</v>
      </c>
      <c r="H296" s="6" t="s">
        <v>3512</v>
      </c>
      <c r="I296" s="6" t="s">
        <v>3350</v>
      </c>
      <c r="J296" s="6" t="s">
        <v>3351</v>
      </c>
      <c r="K296" s="6" t="s">
        <v>3520</v>
      </c>
      <c r="L296" s="6" t="s">
        <v>3521</v>
      </c>
      <c r="M296" s="6" t="s">
        <v>3522</v>
      </c>
      <c r="N296" s="6" t="s">
        <v>197</v>
      </c>
      <c r="O296" s="6" t="n">
        <v>13</v>
      </c>
    </row>
    <row r="297" customFormat="false" ht="15" hidden="false" customHeight="false" outlineLevel="0" collapsed="false">
      <c r="A297" s="23" t="n">
        <v>46614</v>
      </c>
      <c r="B297" s="6" t="s">
        <v>1084</v>
      </c>
      <c r="C297" s="6" t="s">
        <v>3523</v>
      </c>
      <c r="D297" s="6" t="s">
        <v>3524</v>
      </c>
      <c r="E297" s="6" t="s">
        <v>3525</v>
      </c>
      <c r="F297" s="6" t="s">
        <v>2732</v>
      </c>
      <c r="G297" s="6" t="s">
        <v>3526</v>
      </c>
      <c r="H297" s="6" t="s">
        <v>3527</v>
      </c>
      <c r="I297" s="6" t="s">
        <v>3350</v>
      </c>
      <c r="J297" s="6" t="s">
        <v>3351</v>
      </c>
      <c r="K297" s="6" t="s">
        <v>3528</v>
      </c>
      <c r="L297" s="6" t="s">
        <v>3529</v>
      </c>
      <c r="M297" s="6" t="s">
        <v>3530</v>
      </c>
      <c r="N297" s="6" t="s">
        <v>199</v>
      </c>
      <c r="O297" s="6" t="n">
        <v>14</v>
      </c>
    </row>
    <row r="298" customFormat="false" ht="15" hidden="false" customHeight="false" outlineLevel="0" collapsed="false">
      <c r="A298" s="23" t="n">
        <v>46615</v>
      </c>
      <c r="B298" s="6" t="s">
        <v>3531</v>
      </c>
      <c r="C298" s="6" t="s">
        <v>3065</v>
      </c>
      <c r="D298" s="6" t="s">
        <v>3532</v>
      </c>
      <c r="E298" s="6" t="s">
        <v>3533</v>
      </c>
      <c r="F298" s="6" t="s">
        <v>3534</v>
      </c>
      <c r="G298" s="6" t="s">
        <v>3535</v>
      </c>
      <c r="H298" s="6" t="s">
        <v>3527</v>
      </c>
      <c r="I298" s="6" t="s">
        <v>3259</v>
      </c>
      <c r="J298" s="6" t="s">
        <v>3260</v>
      </c>
      <c r="K298" s="6" t="s">
        <v>3536</v>
      </c>
      <c r="L298" s="6" t="s">
        <v>3537</v>
      </c>
      <c r="M298" s="6" t="s">
        <v>3538</v>
      </c>
      <c r="N298" s="6" t="s">
        <v>200</v>
      </c>
      <c r="O298" s="6" t="n">
        <v>15</v>
      </c>
    </row>
    <row r="299" customFormat="false" ht="15" hidden="false" customHeight="false" outlineLevel="0" collapsed="false">
      <c r="A299" s="23" t="n">
        <v>46616</v>
      </c>
      <c r="B299" s="6" t="s">
        <v>3539</v>
      </c>
      <c r="C299" s="6" t="s">
        <v>897</v>
      </c>
      <c r="D299" s="6" t="s">
        <v>3540</v>
      </c>
      <c r="E299" s="6" t="s">
        <v>3541</v>
      </c>
      <c r="F299" s="6" t="s">
        <v>3542</v>
      </c>
      <c r="G299" s="6" t="s">
        <v>3543</v>
      </c>
      <c r="H299" s="6" t="s">
        <v>3544</v>
      </c>
      <c r="I299" s="6" t="s">
        <v>3350</v>
      </c>
      <c r="J299" s="6" t="s">
        <v>3351</v>
      </c>
      <c r="K299" s="6" t="s">
        <v>3545</v>
      </c>
      <c r="L299" s="6" t="s">
        <v>3546</v>
      </c>
      <c r="M299" s="6" t="s">
        <v>3547</v>
      </c>
      <c r="N299" s="6" t="s">
        <v>201</v>
      </c>
      <c r="O299" s="6" t="n">
        <v>15</v>
      </c>
    </row>
    <row r="300" customFormat="false" ht="15" hidden="false" customHeight="false" outlineLevel="0" collapsed="false">
      <c r="A300" s="23" t="n">
        <v>46617</v>
      </c>
      <c r="B300" s="6" t="s">
        <v>799</v>
      </c>
      <c r="C300" s="6" t="s">
        <v>3548</v>
      </c>
      <c r="D300" s="6" t="s">
        <v>3549</v>
      </c>
      <c r="E300" s="6" t="s">
        <v>3447</v>
      </c>
      <c r="F300" s="6" t="s">
        <v>3550</v>
      </c>
      <c r="G300" s="6" t="s">
        <v>3551</v>
      </c>
      <c r="H300" s="6" t="s">
        <v>3552</v>
      </c>
      <c r="I300" s="6" t="s">
        <v>3339</v>
      </c>
      <c r="J300" s="6" t="s">
        <v>3340</v>
      </c>
      <c r="K300" s="6" t="s">
        <v>3553</v>
      </c>
      <c r="L300" s="6" t="s">
        <v>3554</v>
      </c>
      <c r="M300" s="6" t="s">
        <v>3555</v>
      </c>
      <c r="N300" s="6" t="s">
        <v>203</v>
      </c>
      <c r="O300" s="6" t="n">
        <v>16</v>
      </c>
    </row>
    <row r="301" customFormat="false" ht="15" hidden="false" customHeight="false" outlineLevel="0" collapsed="false">
      <c r="A301" s="23" t="n">
        <v>46618</v>
      </c>
      <c r="B301" s="6" t="s">
        <v>3157</v>
      </c>
      <c r="C301" s="6" t="s">
        <v>3556</v>
      </c>
      <c r="D301" s="6" t="s">
        <v>3557</v>
      </c>
      <c r="E301" s="6" t="s">
        <v>3558</v>
      </c>
      <c r="F301" s="6" t="s">
        <v>3559</v>
      </c>
      <c r="G301" s="6" t="s">
        <v>3560</v>
      </c>
      <c r="H301" s="6" t="s">
        <v>3561</v>
      </c>
      <c r="I301" s="6" t="s">
        <v>3329</v>
      </c>
      <c r="J301" s="6" t="s">
        <v>3330</v>
      </c>
      <c r="K301" s="6" t="s">
        <v>3562</v>
      </c>
      <c r="L301" s="6" t="s">
        <v>3563</v>
      </c>
      <c r="M301" s="6" t="s">
        <v>3564</v>
      </c>
      <c r="N301" s="6" t="s">
        <v>204</v>
      </c>
      <c r="O301" s="6" t="n">
        <v>17</v>
      </c>
    </row>
    <row r="302" customFormat="false" ht="15" hidden="false" customHeight="false" outlineLevel="0" collapsed="false">
      <c r="A302" s="23" t="n">
        <v>46619</v>
      </c>
      <c r="B302" s="6" t="s">
        <v>3565</v>
      </c>
      <c r="C302" s="6" t="s">
        <v>3566</v>
      </c>
      <c r="D302" s="6" t="s">
        <v>3567</v>
      </c>
      <c r="E302" s="6" t="s">
        <v>3568</v>
      </c>
      <c r="F302" s="6" t="s">
        <v>3569</v>
      </c>
      <c r="G302" s="6" t="s">
        <v>849</v>
      </c>
      <c r="H302" s="6" t="s">
        <v>3570</v>
      </c>
      <c r="I302" s="6" t="s">
        <v>3292</v>
      </c>
      <c r="J302" s="6" t="s">
        <v>3293</v>
      </c>
      <c r="K302" s="6" t="s">
        <v>3571</v>
      </c>
      <c r="L302" s="6" t="s">
        <v>3572</v>
      </c>
      <c r="M302" s="6" t="s">
        <v>3573</v>
      </c>
      <c r="N302" s="6" t="s">
        <v>206</v>
      </c>
      <c r="O302" s="6" t="n">
        <v>18</v>
      </c>
    </row>
    <row r="303" customFormat="false" ht="15" hidden="false" customHeight="false" outlineLevel="0" collapsed="false">
      <c r="A303" s="23" t="n">
        <v>46620</v>
      </c>
      <c r="B303" s="6" t="s">
        <v>3256</v>
      </c>
      <c r="C303" s="6" t="s">
        <v>2186</v>
      </c>
      <c r="D303" s="6" t="s">
        <v>3574</v>
      </c>
      <c r="E303" s="6" t="s">
        <v>3575</v>
      </c>
      <c r="F303" s="6" t="s">
        <v>2763</v>
      </c>
      <c r="G303" s="6" t="s">
        <v>3576</v>
      </c>
      <c r="H303" s="6" t="s">
        <v>3577</v>
      </c>
      <c r="I303" s="6" t="s">
        <v>3578</v>
      </c>
      <c r="J303" s="6" t="s">
        <v>3579</v>
      </c>
      <c r="K303" s="6" t="s">
        <v>3580</v>
      </c>
      <c r="L303" s="6" t="s">
        <v>3581</v>
      </c>
      <c r="M303" s="6" t="s">
        <v>3582</v>
      </c>
      <c r="N303" s="6" t="s">
        <v>207</v>
      </c>
      <c r="O303" s="6" t="n">
        <v>19</v>
      </c>
    </row>
    <row r="304" customFormat="false" ht="15" hidden="false" customHeight="false" outlineLevel="0" collapsed="false">
      <c r="A304" s="23" t="n">
        <v>46621</v>
      </c>
      <c r="B304" s="6" t="s">
        <v>3583</v>
      </c>
      <c r="C304" s="6" t="s">
        <v>3584</v>
      </c>
      <c r="D304" s="6" t="s">
        <v>3585</v>
      </c>
      <c r="E304" s="6" t="s">
        <v>1208</v>
      </c>
      <c r="F304" s="6" t="s">
        <v>1035</v>
      </c>
      <c r="G304" s="6" t="s">
        <v>3586</v>
      </c>
      <c r="H304" s="6" t="s">
        <v>3587</v>
      </c>
      <c r="I304" s="6" t="s">
        <v>3588</v>
      </c>
      <c r="J304" s="6" t="s">
        <v>3589</v>
      </c>
      <c r="K304" s="6" t="s">
        <v>3590</v>
      </c>
      <c r="L304" s="6" t="s">
        <v>3591</v>
      </c>
      <c r="M304" s="6" t="s">
        <v>3592</v>
      </c>
      <c r="N304" s="6" t="s">
        <v>208</v>
      </c>
      <c r="O304" s="6" t="n">
        <v>20</v>
      </c>
    </row>
    <row r="305" customFormat="false" ht="15" hidden="false" customHeight="false" outlineLevel="0" collapsed="false">
      <c r="A305" s="23" t="n">
        <v>46622</v>
      </c>
      <c r="B305" s="6" t="s">
        <v>3593</v>
      </c>
      <c r="C305" s="6" t="s">
        <v>3594</v>
      </c>
      <c r="D305" s="6" t="s">
        <v>3595</v>
      </c>
      <c r="E305" s="6" t="s">
        <v>3596</v>
      </c>
      <c r="F305" s="6" t="s">
        <v>3597</v>
      </c>
      <c r="G305" s="6" t="s">
        <v>3598</v>
      </c>
      <c r="H305" s="6" t="s">
        <v>3599</v>
      </c>
      <c r="I305" s="6" t="s">
        <v>3600</v>
      </c>
      <c r="J305" s="6" t="s">
        <v>3601</v>
      </c>
      <c r="K305" s="6" t="s">
        <v>3602</v>
      </c>
      <c r="L305" s="6" t="s">
        <v>3603</v>
      </c>
      <c r="M305" s="6" t="s">
        <v>3604</v>
      </c>
      <c r="N305" s="6" t="s">
        <v>170</v>
      </c>
      <c r="O305" s="6" t="n">
        <v>21</v>
      </c>
    </row>
    <row r="306" customFormat="false" ht="15" hidden="false" customHeight="false" outlineLevel="0" collapsed="false">
      <c r="A306" s="23" t="n">
        <v>46623</v>
      </c>
      <c r="B306" s="6" t="s">
        <v>892</v>
      </c>
      <c r="C306" s="6" t="s">
        <v>3605</v>
      </c>
      <c r="D306" s="6" t="s">
        <v>3606</v>
      </c>
      <c r="E306" s="6" t="s">
        <v>3607</v>
      </c>
      <c r="F306" s="6" t="s">
        <v>3608</v>
      </c>
      <c r="G306" s="6" t="s">
        <v>3609</v>
      </c>
      <c r="H306" s="6" t="s">
        <v>3610</v>
      </c>
      <c r="I306" s="6" t="s">
        <v>3611</v>
      </c>
      <c r="J306" s="6" t="s">
        <v>3612</v>
      </c>
      <c r="K306" s="6" t="s">
        <v>3613</v>
      </c>
      <c r="L306" s="6" t="s">
        <v>3614</v>
      </c>
      <c r="M306" s="6" t="s">
        <v>3615</v>
      </c>
      <c r="N306" s="6" t="s">
        <v>170</v>
      </c>
      <c r="O306" s="6" t="n">
        <v>22</v>
      </c>
    </row>
    <row r="307" customFormat="false" ht="15" hidden="false" customHeight="false" outlineLevel="0" collapsed="false">
      <c r="A307" s="23" t="n">
        <v>46624</v>
      </c>
      <c r="B307" s="6" t="s">
        <v>3439</v>
      </c>
      <c r="C307" s="6" t="s">
        <v>3616</v>
      </c>
      <c r="D307" s="6" t="s">
        <v>3617</v>
      </c>
      <c r="E307" s="6" t="s">
        <v>3618</v>
      </c>
      <c r="F307" s="6" t="s">
        <v>3619</v>
      </c>
      <c r="G307" s="6" t="s">
        <v>3620</v>
      </c>
      <c r="H307" s="6" t="s">
        <v>3621</v>
      </c>
      <c r="I307" s="6" t="s">
        <v>3622</v>
      </c>
      <c r="J307" s="6" t="s">
        <v>3623</v>
      </c>
      <c r="K307" s="6" t="s">
        <v>3624</v>
      </c>
      <c r="L307" s="6" t="s">
        <v>3625</v>
      </c>
      <c r="M307" s="6" t="s">
        <v>3626</v>
      </c>
      <c r="N307" s="6" t="s">
        <v>174</v>
      </c>
      <c r="O307" s="6" t="n">
        <v>23</v>
      </c>
    </row>
    <row r="308" customFormat="false" ht="15" hidden="false" customHeight="false" outlineLevel="0" collapsed="false">
      <c r="A308" s="23" t="n">
        <v>46625</v>
      </c>
      <c r="B308" s="6" t="s">
        <v>3627</v>
      </c>
      <c r="C308" s="6" t="s">
        <v>3628</v>
      </c>
      <c r="D308" s="6" t="s">
        <v>3629</v>
      </c>
      <c r="E308" s="6" t="s">
        <v>3630</v>
      </c>
      <c r="F308" s="6" t="s">
        <v>3631</v>
      </c>
      <c r="G308" s="6" t="s">
        <v>3632</v>
      </c>
      <c r="H308" s="6" t="s">
        <v>3633</v>
      </c>
      <c r="I308" s="6" t="s">
        <v>3611</v>
      </c>
      <c r="J308" s="6" t="s">
        <v>3612</v>
      </c>
      <c r="K308" s="6" t="s">
        <v>3634</v>
      </c>
      <c r="L308" s="6" t="s">
        <v>3635</v>
      </c>
      <c r="M308" s="6" t="s">
        <v>3636</v>
      </c>
      <c r="N308" s="6" t="s">
        <v>175</v>
      </c>
      <c r="O308" s="6" t="n">
        <v>24</v>
      </c>
    </row>
    <row r="309" customFormat="false" ht="15" hidden="false" customHeight="false" outlineLevel="0" collapsed="false">
      <c r="A309" s="23" t="n">
        <v>46626</v>
      </c>
      <c r="B309" s="6" t="s">
        <v>3511</v>
      </c>
      <c r="C309" s="6" t="s">
        <v>3243</v>
      </c>
      <c r="D309" s="6" t="s">
        <v>863</v>
      </c>
      <c r="E309" s="6" t="s">
        <v>3637</v>
      </c>
      <c r="F309" s="6" t="s">
        <v>3638</v>
      </c>
      <c r="G309" s="6" t="s">
        <v>3639</v>
      </c>
      <c r="H309" s="6" t="s">
        <v>3640</v>
      </c>
      <c r="I309" s="6" t="s">
        <v>3600</v>
      </c>
      <c r="J309" s="6" t="s">
        <v>3601</v>
      </c>
      <c r="K309" s="6" t="s">
        <v>3641</v>
      </c>
      <c r="L309" s="6" t="s">
        <v>3642</v>
      </c>
      <c r="M309" s="6" t="s">
        <v>3643</v>
      </c>
      <c r="N309" s="6" t="s">
        <v>177</v>
      </c>
      <c r="O309" s="6" t="n">
        <v>25</v>
      </c>
    </row>
    <row r="310" customFormat="false" ht="15" hidden="false" customHeight="false" outlineLevel="0" collapsed="false">
      <c r="A310" s="23" t="n">
        <v>46627</v>
      </c>
      <c r="B310" s="6" t="s">
        <v>3644</v>
      </c>
      <c r="C310" s="6" t="s">
        <v>3645</v>
      </c>
      <c r="D310" s="6" t="s">
        <v>3646</v>
      </c>
      <c r="E310" s="6" t="s">
        <v>3647</v>
      </c>
      <c r="F310" s="6" t="s">
        <v>3648</v>
      </c>
      <c r="G310" s="6" t="s">
        <v>3649</v>
      </c>
      <c r="H310" s="6" t="s">
        <v>3650</v>
      </c>
      <c r="I310" s="6" t="s">
        <v>3588</v>
      </c>
      <c r="J310" s="6" t="s">
        <v>3589</v>
      </c>
      <c r="K310" s="6" t="s">
        <v>3651</v>
      </c>
      <c r="L310" s="6" t="s">
        <v>3652</v>
      </c>
      <c r="M310" s="6" t="s">
        <v>3653</v>
      </c>
      <c r="N310" s="6" t="s">
        <v>178</v>
      </c>
      <c r="O310" s="6" t="n">
        <v>26</v>
      </c>
    </row>
    <row r="311" customFormat="false" ht="15" hidden="false" customHeight="false" outlineLevel="0" collapsed="false">
      <c r="A311" s="23" t="n">
        <v>46628</v>
      </c>
      <c r="B311" s="6" t="s">
        <v>1035</v>
      </c>
      <c r="C311" s="6" t="s">
        <v>3654</v>
      </c>
      <c r="D311" s="6" t="s">
        <v>3655</v>
      </c>
      <c r="E311" s="6" t="s">
        <v>3656</v>
      </c>
      <c r="F311" s="6" t="s">
        <v>3657</v>
      </c>
      <c r="G311" s="6" t="s">
        <v>3658</v>
      </c>
      <c r="H311" s="6" t="s">
        <v>3659</v>
      </c>
      <c r="I311" s="6" t="s">
        <v>3588</v>
      </c>
      <c r="J311" s="6" t="s">
        <v>3589</v>
      </c>
      <c r="K311" s="6" t="s">
        <v>3660</v>
      </c>
      <c r="L311" s="6" t="s">
        <v>3661</v>
      </c>
      <c r="M311" s="6" t="s">
        <v>3662</v>
      </c>
      <c r="N311" s="6" t="s">
        <v>181</v>
      </c>
      <c r="O311" s="6" t="n">
        <v>28</v>
      </c>
    </row>
    <row r="312" customFormat="false" ht="15" hidden="false" customHeight="false" outlineLevel="0" collapsed="false">
      <c r="A312" s="23" t="n">
        <v>46629</v>
      </c>
      <c r="B312" s="6" t="s">
        <v>3663</v>
      </c>
      <c r="C312" s="6" t="s">
        <v>3664</v>
      </c>
      <c r="D312" s="6" t="s">
        <v>3665</v>
      </c>
      <c r="E312" s="6" t="s">
        <v>3666</v>
      </c>
      <c r="F312" s="6" t="s">
        <v>3667</v>
      </c>
      <c r="G312" s="6" t="s">
        <v>3668</v>
      </c>
      <c r="H312" s="6" t="s">
        <v>3669</v>
      </c>
      <c r="I312" s="6" t="s">
        <v>3670</v>
      </c>
      <c r="J312" s="6" t="s">
        <v>3671</v>
      </c>
      <c r="K312" s="6" t="s">
        <v>3672</v>
      </c>
      <c r="L312" s="6" t="s">
        <v>3673</v>
      </c>
      <c r="M312" s="6" t="s">
        <v>3674</v>
      </c>
      <c r="N312" s="6" t="s">
        <v>182</v>
      </c>
      <c r="O312" s="6" t="n">
        <v>29</v>
      </c>
    </row>
    <row r="313" customFormat="false" ht="15" hidden="false" customHeight="false" outlineLevel="0" collapsed="false">
      <c r="A313" s="23" t="n">
        <v>46630</v>
      </c>
      <c r="B313" s="6" t="s">
        <v>3675</v>
      </c>
      <c r="C313" s="6" t="s">
        <v>3676</v>
      </c>
      <c r="D313" s="6" t="s">
        <v>3677</v>
      </c>
      <c r="E313" s="6" t="s">
        <v>3678</v>
      </c>
      <c r="F313" s="6" t="s">
        <v>3679</v>
      </c>
      <c r="G313" s="6" t="s">
        <v>3680</v>
      </c>
      <c r="H313" s="6" t="s">
        <v>3681</v>
      </c>
      <c r="I313" s="6" t="s">
        <v>3588</v>
      </c>
      <c r="J313" s="6" t="s">
        <v>3589</v>
      </c>
      <c r="K313" s="6" t="s">
        <v>3682</v>
      </c>
      <c r="L313" s="6" t="s">
        <v>3683</v>
      </c>
      <c r="M313" s="6" t="s">
        <v>3684</v>
      </c>
      <c r="N313" s="6" t="s">
        <v>184</v>
      </c>
      <c r="O313" s="6" t="n">
        <v>30</v>
      </c>
    </row>
    <row r="314" customFormat="false" ht="15" hidden="false" customHeight="false" outlineLevel="0" collapsed="false">
      <c r="A314" s="23" t="n">
        <v>46631</v>
      </c>
      <c r="B314" s="6" t="s">
        <v>3685</v>
      </c>
      <c r="C314" s="6" t="s">
        <v>3686</v>
      </c>
      <c r="D314" s="6" t="s">
        <v>3687</v>
      </c>
      <c r="E314" s="6" t="s">
        <v>3688</v>
      </c>
      <c r="F314" s="6" t="s">
        <v>3689</v>
      </c>
      <c r="G314" s="6" t="s">
        <v>3690</v>
      </c>
      <c r="H314" s="6" t="s">
        <v>3691</v>
      </c>
      <c r="I314" s="6" t="s">
        <v>3611</v>
      </c>
      <c r="J314" s="6" t="s">
        <v>3612</v>
      </c>
      <c r="K314" s="6" t="s">
        <v>3682</v>
      </c>
      <c r="L314" s="6" t="s">
        <v>3692</v>
      </c>
      <c r="M314" s="6" t="s">
        <v>3693</v>
      </c>
      <c r="N314" s="6" t="s">
        <v>185</v>
      </c>
      <c r="O314" s="6" t="n">
        <v>1</v>
      </c>
    </row>
    <row r="315" customFormat="false" ht="15" hidden="false" customHeight="false" outlineLevel="0" collapsed="false">
      <c r="A315" s="23" t="n">
        <v>46632</v>
      </c>
      <c r="B315" s="6" t="s">
        <v>3694</v>
      </c>
      <c r="C315" s="6" t="s">
        <v>3695</v>
      </c>
      <c r="D315" s="6" t="s">
        <v>3696</v>
      </c>
      <c r="E315" s="6" t="s">
        <v>3697</v>
      </c>
      <c r="F315" s="6" t="s">
        <v>3698</v>
      </c>
      <c r="G315" s="6" t="s">
        <v>2979</v>
      </c>
      <c r="H315" s="6" t="s">
        <v>3699</v>
      </c>
      <c r="I315" s="6" t="s">
        <v>3700</v>
      </c>
      <c r="J315" s="6" t="s">
        <v>3701</v>
      </c>
      <c r="K315" s="6" t="s">
        <v>3702</v>
      </c>
      <c r="L315" s="6" t="s">
        <v>3703</v>
      </c>
      <c r="M315" s="6" t="s">
        <v>3704</v>
      </c>
      <c r="N315" s="6" t="s">
        <v>187</v>
      </c>
      <c r="O315" s="6" t="n">
        <v>2</v>
      </c>
    </row>
    <row r="316" customFormat="false" ht="15" hidden="false" customHeight="false" outlineLevel="0" collapsed="false">
      <c r="A316" s="23" t="n">
        <v>46633</v>
      </c>
      <c r="B316" s="6" t="s">
        <v>3705</v>
      </c>
      <c r="C316" s="6" t="s">
        <v>3706</v>
      </c>
      <c r="D316" s="6" t="s">
        <v>3707</v>
      </c>
      <c r="E316" s="6" t="s">
        <v>3708</v>
      </c>
      <c r="F316" s="6" t="s">
        <v>3709</v>
      </c>
      <c r="G316" s="6" t="s">
        <v>3710</v>
      </c>
      <c r="H316" s="6" t="s">
        <v>3711</v>
      </c>
      <c r="I316" s="6" t="s">
        <v>3712</v>
      </c>
      <c r="J316" s="6" t="s">
        <v>3713</v>
      </c>
      <c r="K316" s="6" t="s">
        <v>3714</v>
      </c>
      <c r="L316" s="6" t="s">
        <v>3715</v>
      </c>
      <c r="M316" s="6" t="s">
        <v>3716</v>
      </c>
      <c r="N316" s="6" t="s">
        <v>188</v>
      </c>
      <c r="O316" s="6" t="n">
        <v>3</v>
      </c>
    </row>
    <row r="317" customFormat="false" ht="15" hidden="false" customHeight="false" outlineLevel="0" collapsed="false">
      <c r="A317" s="23" t="n">
        <v>46634</v>
      </c>
      <c r="B317" s="6" t="s">
        <v>3717</v>
      </c>
      <c r="C317" s="6" t="s">
        <v>3718</v>
      </c>
      <c r="D317" s="6" t="s">
        <v>3719</v>
      </c>
      <c r="E317" s="6" t="s">
        <v>3720</v>
      </c>
      <c r="F317" s="6" t="s">
        <v>3721</v>
      </c>
      <c r="G317" s="6" t="s">
        <v>3722</v>
      </c>
      <c r="H317" s="6" t="s">
        <v>3723</v>
      </c>
      <c r="I317" s="6" t="s">
        <v>3724</v>
      </c>
      <c r="J317" s="6" t="s">
        <v>3725</v>
      </c>
      <c r="K317" s="6" t="s">
        <v>3714</v>
      </c>
      <c r="L317" s="6" t="s">
        <v>3726</v>
      </c>
      <c r="M317" s="6" t="s">
        <v>3727</v>
      </c>
      <c r="N317" s="6" t="s">
        <v>189</v>
      </c>
      <c r="O317" s="6" t="n">
        <v>4</v>
      </c>
    </row>
    <row r="318" customFormat="false" ht="15" hidden="false" customHeight="false" outlineLevel="0" collapsed="false">
      <c r="A318" s="23" t="n">
        <v>46635</v>
      </c>
      <c r="B318" s="6" t="s">
        <v>3728</v>
      </c>
      <c r="C318" s="6" t="s">
        <v>3729</v>
      </c>
      <c r="D318" s="6" t="s">
        <v>3730</v>
      </c>
      <c r="E318" s="6" t="s">
        <v>3731</v>
      </c>
      <c r="F318" s="6" t="s">
        <v>3732</v>
      </c>
      <c r="G318" s="6" t="s">
        <v>3733</v>
      </c>
      <c r="H318" s="6" t="s">
        <v>3734</v>
      </c>
      <c r="I318" s="6" t="s">
        <v>3735</v>
      </c>
      <c r="J318" s="6" t="s">
        <v>3736</v>
      </c>
      <c r="K318" s="6" t="s">
        <v>3737</v>
      </c>
      <c r="L318" s="6" t="s">
        <v>3738</v>
      </c>
      <c r="M318" s="6" t="s">
        <v>3739</v>
      </c>
      <c r="N318" s="6" t="s">
        <v>191</v>
      </c>
      <c r="O318" s="6" t="n">
        <v>6</v>
      </c>
    </row>
    <row r="319" customFormat="false" ht="15" hidden="false" customHeight="false" outlineLevel="0" collapsed="false">
      <c r="A319" s="23" t="n">
        <v>46636</v>
      </c>
      <c r="B319" s="6" t="s">
        <v>3740</v>
      </c>
      <c r="C319" s="6" t="s">
        <v>3741</v>
      </c>
      <c r="D319" s="6" t="s">
        <v>3742</v>
      </c>
      <c r="E319" s="6" t="s">
        <v>3334</v>
      </c>
      <c r="F319" s="6" t="s">
        <v>3743</v>
      </c>
      <c r="G319" s="6" t="s">
        <v>3744</v>
      </c>
      <c r="H319" s="6" t="s">
        <v>3745</v>
      </c>
      <c r="I319" s="6" t="s">
        <v>3746</v>
      </c>
      <c r="J319" s="6" t="s">
        <v>3747</v>
      </c>
      <c r="K319" s="6" t="s">
        <v>3737</v>
      </c>
      <c r="L319" s="6" t="s">
        <v>3748</v>
      </c>
      <c r="M319" s="6" t="s">
        <v>3749</v>
      </c>
      <c r="N319" s="6" t="s">
        <v>192</v>
      </c>
      <c r="O319" s="6" t="n">
        <v>7</v>
      </c>
    </row>
    <row r="320" customFormat="false" ht="15" hidden="false" customHeight="false" outlineLevel="0" collapsed="false">
      <c r="A320" s="23" t="n">
        <v>46637</v>
      </c>
      <c r="B320" s="6" t="s">
        <v>3750</v>
      </c>
      <c r="C320" s="6" t="s">
        <v>3751</v>
      </c>
      <c r="D320" s="6" t="s">
        <v>3752</v>
      </c>
      <c r="E320" s="6" t="s">
        <v>3753</v>
      </c>
      <c r="F320" s="6" t="s">
        <v>3754</v>
      </c>
      <c r="G320" s="6" t="s">
        <v>3755</v>
      </c>
      <c r="H320" s="6" t="s">
        <v>3756</v>
      </c>
      <c r="I320" s="6" t="s">
        <v>3757</v>
      </c>
      <c r="J320" s="6" t="s">
        <v>3758</v>
      </c>
      <c r="K320" s="6" t="s">
        <v>3759</v>
      </c>
      <c r="L320" s="6" t="s">
        <v>3760</v>
      </c>
      <c r="M320" s="6" t="s">
        <v>3761</v>
      </c>
      <c r="N320" s="6" t="s">
        <v>193</v>
      </c>
      <c r="O320" s="6" t="n">
        <v>8</v>
      </c>
    </row>
    <row r="321" customFormat="false" ht="15" hidden="false" customHeight="false" outlineLevel="0" collapsed="false">
      <c r="A321" s="23" t="n">
        <v>46638</v>
      </c>
      <c r="B321" s="6" t="s">
        <v>3762</v>
      </c>
      <c r="C321" s="6" t="s">
        <v>3763</v>
      </c>
      <c r="D321" s="6" t="s">
        <v>3764</v>
      </c>
      <c r="E321" s="6" t="s">
        <v>3765</v>
      </c>
      <c r="F321" s="6" t="s">
        <v>3766</v>
      </c>
      <c r="G321" s="6" t="s">
        <v>3767</v>
      </c>
      <c r="H321" s="6" t="s">
        <v>3768</v>
      </c>
      <c r="I321" s="6" t="s">
        <v>3757</v>
      </c>
      <c r="J321" s="6" t="s">
        <v>3758</v>
      </c>
      <c r="K321" s="6" t="s">
        <v>3759</v>
      </c>
      <c r="L321" s="6" t="s">
        <v>3769</v>
      </c>
      <c r="M321" s="6" t="s">
        <v>3770</v>
      </c>
      <c r="N321" s="6" t="s">
        <v>194</v>
      </c>
      <c r="O321" s="6" t="n">
        <v>8</v>
      </c>
    </row>
    <row r="322" customFormat="false" ht="15" hidden="false" customHeight="false" outlineLevel="0" collapsed="false">
      <c r="A322" s="23" t="n">
        <v>46639</v>
      </c>
      <c r="B322" s="6" t="s">
        <v>3771</v>
      </c>
      <c r="C322" s="6" t="s">
        <v>3772</v>
      </c>
      <c r="D322" s="6" t="s">
        <v>3773</v>
      </c>
      <c r="E322" s="6" t="s">
        <v>3774</v>
      </c>
      <c r="F322" s="6" t="s">
        <v>3775</v>
      </c>
      <c r="G322" s="6" t="s">
        <v>3776</v>
      </c>
      <c r="H322" s="6" t="s">
        <v>3777</v>
      </c>
      <c r="I322" s="6" t="s">
        <v>3778</v>
      </c>
      <c r="J322" s="6" t="s">
        <v>3779</v>
      </c>
      <c r="K322" s="6" t="s">
        <v>3780</v>
      </c>
      <c r="L322" s="6" t="s">
        <v>3781</v>
      </c>
      <c r="M322" s="6" t="s">
        <v>3782</v>
      </c>
      <c r="N322" s="6" t="s">
        <v>196</v>
      </c>
      <c r="O322" s="6" t="n">
        <v>9</v>
      </c>
    </row>
    <row r="323" customFormat="false" ht="15" hidden="false" customHeight="false" outlineLevel="0" collapsed="false">
      <c r="A323" s="23" t="n">
        <v>46640</v>
      </c>
      <c r="B323" s="6" t="s">
        <v>3783</v>
      </c>
      <c r="C323" s="6" t="s">
        <v>3784</v>
      </c>
      <c r="D323" s="6" t="s">
        <v>3785</v>
      </c>
      <c r="E323" s="6" t="s">
        <v>3786</v>
      </c>
      <c r="F323" s="6" t="s">
        <v>3787</v>
      </c>
      <c r="G323" s="6" t="s">
        <v>3788</v>
      </c>
      <c r="H323" s="6" t="s">
        <v>3789</v>
      </c>
      <c r="I323" s="6" t="s">
        <v>3790</v>
      </c>
      <c r="J323" s="6" t="s">
        <v>3791</v>
      </c>
      <c r="K323" s="6" t="s">
        <v>3780</v>
      </c>
      <c r="L323" s="6" t="s">
        <v>3792</v>
      </c>
      <c r="M323" s="6" t="s">
        <v>3793</v>
      </c>
      <c r="N323" s="6" t="s">
        <v>197</v>
      </c>
      <c r="O323" s="6" t="n">
        <v>10</v>
      </c>
    </row>
    <row r="324" customFormat="false" ht="15" hidden="false" customHeight="false" outlineLevel="0" collapsed="false">
      <c r="A324" s="23" t="n">
        <v>46641</v>
      </c>
      <c r="B324" s="6" t="s">
        <v>3794</v>
      </c>
      <c r="C324" s="6" t="s">
        <v>3795</v>
      </c>
      <c r="D324" s="6" t="s">
        <v>3796</v>
      </c>
      <c r="E324" s="6" t="s">
        <v>3797</v>
      </c>
      <c r="F324" s="6" t="s">
        <v>3798</v>
      </c>
      <c r="G324" s="6" t="s">
        <v>3799</v>
      </c>
      <c r="H324" s="6" t="s">
        <v>3800</v>
      </c>
      <c r="I324" s="6" t="s">
        <v>3735</v>
      </c>
      <c r="J324" s="6" t="s">
        <v>3736</v>
      </c>
      <c r="K324" s="6" t="s">
        <v>3780</v>
      </c>
      <c r="L324" s="6" t="s">
        <v>3801</v>
      </c>
      <c r="M324" s="6" t="s">
        <v>3802</v>
      </c>
      <c r="N324" s="6" t="s">
        <v>199</v>
      </c>
      <c r="O324" s="6" t="n">
        <v>11</v>
      </c>
    </row>
    <row r="325" customFormat="false" ht="15" hidden="false" customHeight="false" outlineLevel="0" collapsed="false">
      <c r="A325" s="23" t="n">
        <v>46642</v>
      </c>
      <c r="B325" s="6" t="s">
        <v>3803</v>
      </c>
      <c r="C325" s="6" t="s">
        <v>3804</v>
      </c>
      <c r="D325" s="6" t="s">
        <v>3805</v>
      </c>
      <c r="E325" s="6" t="s">
        <v>3806</v>
      </c>
      <c r="F325" s="6" t="s">
        <v>3807</v>
      </c>
      <c r="G325" s="6" t="s">
        <v>3808</v>
      </c>
      <c r="H325" s="6" t="s">
        <v>3809</v>
      </c>
      <c r="I325" s="6" t="s">
        <v>3810</v>
      </c>
      <c r="J325" s="6" t="s">
        <v>3811</v>
      </c>
      <c r="K325" s="6" t="s">
        <v>3780</v>
      </c>
      <c r="L325" s="6" t="s">
        <v>3812</v>
      </c>
      <c r="M325" s="6" t="s">
        <v>3813</v>
      </c>
      <c r="N325" s="6" t="s">
        <v>200</v>
      </c>
      <c r="O325" s="6" t="n">
        <v>12</v>
      </c>
    </row>
    <row r="326" customFormat="false" ht="15" hidden="false" customHeight="false" outlineLevel="0" collapsed="false">
      <c r="A326" s="23" t="n">
        <v>46643</v>
      </c>
      <c r="B326" s="6" t="s">
        <v>3814</v>
      </c>
      <c r="C326" s="6" t="s">
        <v>1441</v>
      </c>
      <c r="D326" s="6" t="s">
        <v>3815</v>
      </c>
      <c r="E326" s="6" t="s">
        <v>3816</v>
      </c>
      <c r="F326" s="6" t="s">
        <v>3817</v>
      </c>
      <c r="G326" s="6" t="s">
        <v>3818</v>
      </c>
      <c r="H326" s="6" t="s">
        <v>3819</v>
      </c>
      <c r="I326" s="6" t="s">
        <v>3735</v>
      </c>
      <c r="J326" s="6" t="s">
        <v>3736</v>
      </c>
      <c r="K326" s="6" t="s">
        <v>3780</v>
      </c>
      <c r="L326" s="6" t="s">
        <v>3820</v>
      </c>
      <c r="M326" s="6" t="s">
        <v>3821</v>
      </c>
      <c r="N326" s="6" t="s">
        <v>201</v>
      </c>
      <c r="O326" s="6" t="n">
        <v>13</v>
      </c>
    </row>
    <row r="327" customFormat="false" ht="15" hidden="false" customHeight="false" outlineLevel="0" collapsed="false">
      <c r="A327" s="23" t="n">
        <v>46644</v>
      </c>
      <c r="B327" s="6" t="s">
        <v>3105</v>
      </c>
      <c r="C327" s="6" t="s">
        <v>3822</v>
      </c>
      <c r="D327" s="6" t="s">
        <v>3211</v>
      </c>
      <c r="E327" s="6" t="s">
        <v>3823</v>
      </c>
      <c r="F327" s="6" t="s">
        <v>3824</v>
      </c>
      <c r="G327" s="6" t="s">
        <v>3825</v>
      </c>
      <c r="H327" s="6" t="s">
        <v>3826</v>
      </c>
      <c r="I327" s="6" t="s">
        <v>3790</v>
      </c>
      <c r="J327" s="6" t="s">
        <v>3791</v>
      </c>
      <c r="K327" s="6" t="s">
        <v>3780</v>
      </c>
      <c r="L327" s="6" t="s">
        <v>3827</v>
      </c>
      <c r="M327" s="6" t="s">
        <v>3828</v>
      </c>
      <c r="N327" s="6" t="s">
        <v>203</v>
      </c>
      <c r="O327" s="6" t="n">
        <v>14</v>
      </c>
    </row>
    <row r="328" customFormat="false" ht="15" hidden="false" customHeight="false" outlineLevel="0" collapsed="false">
      <c r="A328" s="23" t="n">
        <v>46645</v>
      </c>
      <c r="B328" s="6" t="s">
        <v>3829</v>
      </c>
      <c r="C328" s="6" t="s">
        <v>3830</v>
      </c>
      <c r="D328" s="6" t="s">
        <v>3831</v>
      </c>
      <c r="E328" s="6" t="s">
        <v>3832</v>
      </c>
      <c r="F328" s="6" t="s">
        <v>3833</v>
      </c>
      <c r="G328" s="6" t="s">
        <v>3834</v>
      </c>
      <c r="H328" s="6" t="s">
        <v>3835</v>
      </c>
      <c r="I328" s="6" t="s">
        <v>3836</v>
      </c>
      <c r="J328" s="6" t="s">
        <v>3837</v>
      </c>
      <c r="K328" s="6" t="s">
        <v>3780</v>
      </c>
      <c r="L328" s="6" t="s">
        <v>3838</v>
      </c>
      <c r="M328" s="6" t="s">
        <v>3828</v>
      </c>
      <c r="N328" s="6" t="s">
        <v>204</v>
      </c>
      <c r="O328" s="6" t="n">
        <v>15</v>
      </c>
    </row>
    <row r="329" customFormat="false" ht="15" hidden="false" customHeight="false" outlineLevel="0" collapsed="false">
      <c r="A329" s="23" t="n">
        <v>46646</v>
      </c>
      <c r="B329" s="6" t="s">
        <v>3839</v>
      </c>
      <c r="C329" s="6" t="s">
        <v>3840</v>
      </c>
      <c r="D329" s="6" t="s">
        <v>3841</v>
      </c>
      <c r="E329" s="6" t="s">
        <v>3842</v>
      </c>
      <c r="F329" s="6" t="s">
        <v>3843</v>
      </c>
      <c r="G329" s="6" t="s">
        <v>3844</v>
      </c>
      <c r="H329" s="6" t="s">
        <v>3845</v>
      </c>
      <c r="I329" s="6" t="s">
        <v>3846</v>
      </c>
      <c r="J329" s="6" t="s">
        <v>3847</v>
      </c>
      <c r="K329" s="6" t="s">
        <v>3848</v>
      </c>
      <c r="L329" s="6" t="s">
        <v>3849</v>
      </c>
      <c r="M329" s="6" t="s">
        <v>3850</v>
      </c>
      <c r="N329" s="6" t="s">
        <v>204</v>
      </c>
      <c r="O329" s="6" t="n">
        <v>16</v>
      </c>
    </row>
    <row r="330" customFormat="false" ht="15" hidden="false" customHeight="false" outlineLevel="0" collapsed="false">
      <c r="A330" s="23" t="n">
        <v>46647</v>
      </c>
      <c r="B330" s="6" t="s">
        <v>3851</v>
      </c>
      <c r="C330" s="6" t="s">
        <v>3852</v>
      </c>
      <c r="D330" s="6" t="s">
        <v>3853</v>
      </c>
      <c r="E330" s="6" t="s">
        <v>3854</v>
      </c>
      <c r="F330" s="6" t="s">
        <v>3855</v>
      </c>
      <c r="G330" s="6" t="s">
        <v>3856</v>
      </c>
      <c r="H330" s="6" t="s">
        <v>3857</v>
      </c>
      <c r="I330" s="6" t="s">
        <v>3858</v>
      </c>
      <c r="J330" s="6" t="s">
        <v>3859</v>
      </c>
      <c r="K330" s="6" t="s">
        <v>3848</v>
      </c>
      <c r="L330" s="6" t="s">
        <v>3860</v>
      </c>
      <c r="M330" s="6" t="s">
        <v>3861</v>
      </c>
      <c r="N330" s="6" t="s">
        <v>206</v>
      </c>
      <c r="O330" s="6" t="n">
        <v>17</v>
      </c>
    </row>
    <row r="331" customFormat="false" ht="15" hidden="false" customHeight="false" outlineLevel="0" collapsed="false">
      <c r="A331" s="23" t="n">
        <v>46648</v>
      </c>
      <c r="B331" s="6" t="s">
        <v>3862</v>
      </c>
      <c r="C331" s="6" t="s">
        <v>3863</v>
      </c>
      <c r="D331" s="6" t="s">
        <v>3864</v>
      </c>
      <c r="E331" s="6" t="s">
        <v>3549</v>
      </c>
      <c r="F331" s="6" t="s">
        <v>3865</v>
      </c>
      <c r="G331" s="6" t="s">
        <v>3866</v>
      </c>
      <c r="H331" s="6" t="s">
        <v>3867</v>
      </c>
      <c r="I331" s="6" t="s">
        <v>761</v>
      </c>
      <c r="J331" s="6" t="s">
        <v>3868</v>
      </c>
      <c r="K331" s="6" t="s">
        <v>3848</v>
      </c>
      <c r="L331" s="6" t="s">
        <v>3869</v>
      </c>
      <c r="M331" s="6" t="s">
        <v>3870</v>
      </c>
      <c r="N331" s="6" t="s">
        <v>207</v>
      </c>
      <c r="O331" s="6" t="n">
        <v>18</v>
      </c>
    </row>
    <row r="332" customFormat="false" ht="15" hidden="false" customHeight="false" outlineLevel="0" collapsed="false">
      <c r="A332" s="23" t="n">
        <v>46649</v>
      </c>
      <c r="B332" s="6" t="s">
        <v>3871</v>
      </c>
      <c r="C332" s="6" t="s">
        <v>3872</v>
      </c>
      <c r="D332" s="6" t="s">
        <v>3873</v>
      </c>
      <c r="E332" s="6" t="s">
        <v>3874</v>
      </c>
      <c r="F332" s="6" t="s">
        <v>3875</v>
      </c>
      <c r="G332" s="6" t="s">
        <v>3876</v>
      </c>
      <c r="H332" s="6" t="s">
        <v>3877</v>
      </c>
      <c r="I332" s="6" t="s">
        <v>3878</v>
      </c>
      <c r="J332" s="6" t="s">
        <v>3879</v>
      </c>
      <c r="K332" s="6" t="s">
        <v>3848</v>
      </c>
      <c r="L332" s="6" t="s">
        <v>3880</v>
      </c>
      <c r="M332" s="6" t="s">
        <v>3881</v>
      </c>
      <c r="N332" s="6" t="s">
        <v>208</v>
      </c>
      <c r="O332" s="6" t="n">
        <v>19</v>
      </c>
    </row>
    <row r="333" customFormat="false" ht="15" hidden="false" customHeight="false" outlineLevel="0" collapsed="false">
      <c r="A333" s="23" t="n">
        <v>46650</v>
      </c>
      <c r="B333" s="6" t="s">
        <v>3882</v>
      </c>
      <c r="C333" s="6" t="s">
        <v>3883</v>
      </c>
      <c r="D333" s="6" t="s">
        <v>3884</v>
      </c>
      <c r="E333" s="6" t="s">
        <v>3885</v>
      </c>
      <c r="F333" s="6" t="s">
        <v>3886</v>
      </c>
      <c r="G333" s="6" t="s">
        <v>3887</v>
      </c>
      <c r="H333" s="6" t="s">
        <v>3888</v>
      </c>
      <c r="I333" s="6" t="s">
        <v>3889</v>
      </c>
      <c r="J333" s="6" t="s">
        <v>3890</v>
      </c>
      <c r="K333" s="6" t="s">
        <v>3848</v>
      </c>
      <c r="L333" s="6" t="s">
        <v>3891</v>
      </c>
      <c r="M333" s="6" t="s">
        <v>3881</v>
      </c>
      <c r="N333" s="6" t="s">
        <v>170</v>
      </c>
      <c r="O333" s="6" t="n">
        <v>20</v>
      </c>
    </row>
    <row r="334" customFormat="false" ht="15" hidden="false" customHeight="false" outlineLevel="0" collapsed="false">
      <c r="A334" s="23" t="n">
        <v>46651</v>
      </c>
      <c r="B334" s="6" t="s">
        <v>3892</v>
      </c>
      <c r="C334" s="6" t="s">
        <v>3893</v>
      </c>
      <c r="D334" s="6" t="s">
        <v>3894</v>
      </c>
      <c r="E334" s="6" t="s">
        <v>3895</v>
      </c>
      <c r="F334" s="6" t="s">
        <v>3896</v>
      </c>
      <c r="G334" s="6" t="s">
        <v>3897</v>
      </c>
      <c r="H334" s="6" t="s">
        <v>3898</v>
      </c>
      <c r="I334" s="6" t="s">
        <v>3899</v>
      </c>
      <c r="J334" s="6" t="s">
        <v>3900</v>
      </c>
      <c r="K334" s="6" t="s">
        <v>3848</v>
      </c>
      <c r="L334" s="6" t="s">
        <v>3901</v>
      </c>
      <c r="M334" s="6" t="s">
        <v>3902</v>
      </c>
      <c r="N334" s="6" t="s">
        <v>174</v>
      </c>
      <c r="O334" s="6" t="n">
        <v>21</v>
      </c>
    </row>
    <row r="335" customFormat="false" ht="15" hidden="false" customHeight="false" outlineLevel="0" collapsed="false">
      <c r="A335" s="23" t="n">
        <v>46652</v>
      </c>
      <c r="B335" s="6" t="s">
        <v>3903</v>
      </c>
      <c r="C335" s="6" t="s">
        <v>3114</v>
      </c>
      <c r="D335" s="6" t="s">
        <v>3904</v>
      </c>
      <c r="E335" s="6" t="s">
        <v>3203</v>
      </c>
      <c r="F335" s="6" t="s">
        <v>3905</v>
      </c>
      <c r="G335" s="6" t="s">
        <v>3906</v>
      </c>
      <c r="H335" s="6" t="s">
        <v>3907</v>
      </c>
      <c r="I335" s="6" t="s">
        <v>3908</v>
      </c>
      <c r="J335" s="6" t="s">
        <v>3909</v>
      </c>
      <c r="K335" s="6" t="s">
        <v>3910</v>
      </c>
      <c r="L335" s="6" t="s">
        <v>3911</v>
      </c>
      <c r="M335" s="6" t="s">
        <v>3912</v>
      </c>
      <c r="N335" s="6" t="s">
        <v>209</v>
      </c>
      <c r="O335" s="6" t="n">
        <v>22</v>
      </c>
    </row>
    <row r="336" customFormat="false" ht="15" hidden="false" customHeight="false" outlineLevel="0" collapsed="false">
      <c r="A336" s="23" t="n">
        <v>46653</v>
      </c>
      <c r="B336" s="6" t="s">
        <v>3242</v>
      </c>
      <c r="C336" s="6" t="s">
        <v>3913</v>
      </c>
      <c r="D336" s="6" t="s">
        <v>861</v>
      </c>
      <c r="E336" s="6" t="s">
        <v>885</v>
      </c>
      <c r="F336" s="6" t="s">
        <v>3914</v>
      </c>
      <c r="G336" s="6" t="s">
        <v>3915</v>
      </c>
      <c r="H336" s="6" t="s">
        <v>3916</v>
      </c>
      <c r="I336" s="6" t="s">
        <v>3917</v>
      </c>
      <c r="J336" s="6" t="s">
        <v>3918</v>
      </c>
      <c r="K336" s="6" t="s">
        <v>3910</v>
      </c>
      <c r="L336" s="6" t="s">
        <v>3919</v>
      </c>
      <c r="M336" s="6" t="s">
        <v>3920</v>
      </c>
      <c r="N336" s="6" t="s">
        <v>175</v>
      </c>
      <c r="O336" s="6" t="n">
        <v>23</v>
      </c>
    </row>
    <row r="337" customFormat="false" ht="15" hidden="false" customHeight="false" outlineLevel="0" collapsed="false">
      <c r="A337" s="23" t="n">
        <v>46654</v>
      </c>
      <c r="B337" s="6" t="s">
        <v>3921</v>
      </c>
      <c r="C337" s="6" t="s">
        <v>3922</v>
      </c>
      <c r="D337" s="6" t="s">
        <v>3923</v>
      </c>
      <c r="E337" s="6" t="s">
        <v>3924</v>
      </c>
      <c r="F337" s="6" t="s">
        <v>3925</v>
      </c>
      <c r="G337" s="6" t="s">
        <v>3926</v>
      </c>
      <c r="H337" s="6" t="s">
        <v>3927</v>
      </c>
      <c r="I337" s="6" t="s">
        <v>3917</v>
      </c>
      <c r="J337" s="6" t="s">
        <v>3918</v>
      </c>
      <c r="K337" s="6" t="s">
        <v>3928</v>
      </c>
      <c r="L337" s="6" t="s">
        <v>3929</v>
      </c>
      <c r="M337" s="6" t="s">
        <v>3920</v>
      </c>
      <c r="N337" s="6" t="s">
        <v>177</v>
      </c>
      <c r="O337" s="6" t="n">
        <v>24</v>
      </c>
    </row>
    <row r="338" customFormat="false" ht="15" hidden="false" customHeight="false" outlineLevel="0" collapsed="false">
      <c r="A338" s="23" t="n">
        <v>46655</v>
      </c>
      <c r="B338" s="6" t="s">
        <v>3930</v>
      </c>
      <c r="C338" s="6" t="s">
        <v>3931</v>
      </c>
      <c r="D338" s="6" t="s">
        <v>3932</v>
      </c>
      <c r="E338" s="6" t="s">
        <v>3933</v>
      </c>
      <c r="F338" s="6" t="s">
        <v>3934</v>
      </c>
      <c r="G338" s="6" t="s">
        <v>3935</v>
      </c>
      <c r="H338" s="6" t="s">
        <v>3936</v>
      </c>
      <c r="I338" s="6" t="s">
        <v>3937</v>
      </c>
      <c r="J338" s="6" t="s">
        <v>3938</v>
      </c>
      <c r="K338" s="6" t="s">
        <v>3928</v>
      </c>
      <c r="L338" s="6" t="s">
        <v>3939</v>
      </c>
      <c r="M338" s="6" t="s">
        <v>3940</v>
      </c>
      <c r="N338" s="6" t="s">
        <v>178</v>
      </c>
      <c r="O338" s="6" t="n">
        <v>25</v>
      </c>
    </row>
    <row r="339" customFormat="false" ht="15" hidden="false" customHeight="false" outlineLevel="0" collapsed="false">
      <c r="A339" s="23" t="n">
        <v>46656</v>
      </c>
      <c r="B339" s="6" t="s">
        <v>3941</v>
      </c>
      <c r="C339" s="6" t="s">
        <v>3859</v>
      </c>
      <c r="D339" s="6" t="s">
        <v>3942</v>
      </c>
      <c r="E339" s="6" t="s">
        <v>3943</v>
      </c>
      <c r="F339" s="6" t="s">
        <v>3944</v>
      </c>
      <c r="G339" s="6" t="s">
        <v>3945</v>
      </c>
      <c r="H339" s="6" t="s">
        <v>3946</v>
      </c>
      <c r="I339" s="6" t="s">
        <v>3947</v>
      </c>
      <c r="J339" s="6" t="s">
        <v>3948</v>
      </c>
      <c r="K339" s="6" t="s">
        <v>3949</v>
      </c>
      <c r="L339" s="6" t="s">
        <v>3950</v>
      </c>
      <c r="M339" s="6" t="s">
        <v>3940</v>
      </c>
      <c r="N339" s="6" t="s">
        <v>181</v>
      </c>
      <c r="O339" s="6" t="n">
        <v>26</v>
      </c>
    </row>
    <row r="340" customFormat="false" ht="15" hidden="false" customHeight="false" outlineLevel="0" collapsed="false">
      <c r="A340" s="23" t="n">
        <v>46657</v>
      </c>
      <c r="B340" s="6" t="s">
        <v>3951</v>
      </c>
      <c r="C340" s="6" t="s">
        <v>3952</v>
      </c>
      <c r="D340" s="6" t="s">
        <v>3953</v>
      </c>
      <c r="E340" s="6" t="s">
        <v>3954</v>
      </c>
      <c r="F340" s="6" t="s">
        <v>3955</v>
      </c>
      <c r="G340" s="6" t="s">
        <v>3956</v>
      </c>
      <c r="H340" s="6" t="s">
        <v>3957</v>
      </c>
      <c r="I340" s="6" t="s">
        <v>3908</v>
      </c>
      <c r="J340" s="6" t="s">
        <v>3909</v>
      </c>
      <c r="K340" s="6" t="s">
        <v>3949</v>
      </c>
      <c r="L340" s="6" t="s">
        <v>3958</v>
      </c>
      <c r="M340" s="6" t="s">
        <v>3959</v>
      </c>
      <c r="N340" s="6" t="s">
        <v>184</v>
      </c>
      <c r="O340" s="6" t="n">
        <v>27</v>
      </c>
    </row>
    <row r="341" customFormat="false" ht="15" hidden="false" customHeight="false" outlineLevel="0" collapsed="false">
      <c r="A341" s="23" t="n">
        <v>46658</v>
      </c>
      <c r="B341" s="6" t="s">
        <v>3960</v>
      </c>
      <c r="C341" s="6" t="s">
        <v>3961</v>
      </c>
      <c r="D341" s="6" t="s">
        <v>3962</v>
      </c>
      <c r="E341" s="6" t="s">
        <v>3963</v>
      </c>
      <c r="F341" s="6" t="s">
        <v>3964</v>
      </c>
      <c r="G341" s="6" t="s">
        <v>3965</v>
      </c>
      <c r="H341" s="6" t="s">
        <v>3966</v>
      </c>
      <c r="I341" s="6" t="s">
        <v>3967</v>
      </c>
      <c r="J341" s="6" t="s">
        <v>3968</v>
      </c>
      <c r="K341" s="6" t="s">
        <v>3969</v>
      </c>
      <c r="L341" s="6" t="s">
        <v>3970</v>
      </c>
      <c r="M341" s="6" t="s">
        <v>3971</v>
      </c>
      <c r="N341" s="6" t="s">
        <v>185</v>
      </c>
      <c r="O341" s="6" t="n">
        <v>28</v>
      </c>
    </row>
    <row r="342" customFormat="false" ht="15" hidden="false" customHeight="false" outlineLevel="0" collapsed="false">
      <c r="A342" s="23" t="n">
        <v>46659</v>
      </c>
      <c r="B342" s="6" t="s">
        <v>3972</v>
      </c>
      <c r="C342" s="6" t="s">
        <v>3973</v>
      </c>
      <c r="D342" s="6" t="s">
        <v>3974</v>
      </c>
      <c r="E342" s="6" t="s">
        <v>3975</v>
      </c>
      <c r="F342" s="6" t="s">
        <v>3976</v>
      </c>
      <c r="G342" s="6" t="s">
        <v>3977</v>
      </c>
      <c r="H342" s="6" t="s">
        <v>3978</v>
      </c>
      <c r="I342" s="6" t="s">
        <v>3979</v>
      </c>
      <c r="J342" s="6" t="s">
        <v>3980</v>
      </c>
      <c r="K342" s="6" t="s">
        <v>3969</v>
      </c>
      <c r="L342" s="6" t="s">
        <v>3981</v>
      </c>
      <c r="M342" s="6" t="s">
        <v>3971</v>
      </c>
      <c r="N342" s="6" t="s">
        <v>187</v>
      </c>
      <c r="O342" s="6" t="n">
        <v>30</v>
      </c>
    </row>
    <row r="343" customFormat="false" ht="15" hidden="false" customHeight="false" outlineLevel="0" collapsed="false">
      <c r="A343" s="23" t="n">
        <v>46660</v>
      </c>
      <c r="B343" s="6" t="s">
        <v>3982</v>
      </c>
      <c r="C343" s="6" t="s">
        <v>3983</v>
      </c>
      <c r="D343" s="6" t="s">
        <v>3984</v>
      </c>
      <c r="E343" s="6" t="s">
        <v>3985</v>
      </c>
      <c r="F343" s="6" t="s">
        <v>3986</v>
      </c>
      <c r="G343" s="6" t="s">
        <v>3987</v>
      </c>
      <c r="H343" s="6" t="s">
        <v>3988</v>
      </c>
      <c r="I343" s="6" t="s">
        <v>3989</v>
      </c>
      <c r="J343" s="6" t="s">
        <v>3990</v>
      </c>
      <c r="K343" s="6" t="s">
        <v>3991</v>
      </c>
      <c r="L343" s="6" t="s">
        <v>3992</v>
      </c>
      <c r="M343" s="6" t="s">
        <v>3993</v>
      </c>
      <c r="N343" s="6" t="s">
        <v>188</v>
      </c>
      <c r="O343" s="6" t="n">
        <v>1</v>
      </c>
    </row>
    <row r="344" customFormat="false" ht="15" hidden="false" customHeight="false" outlineLevel="0" collapsed="false">
      <c r="A344" s="23" t="n">
        <v>46661</v>
      </c>
      <c r="B344" s="6" t="s">
        <v>3994</v>
      </c>
      <c r="C344" s="6" t="s">
        <v>3995</v>
      </c>
      <c r="D344" s="6" t="s">
        <v>3996</v>
      </c>
      <c r="E344" s="6" t="s">
        <v>3997</v>
      </c>
      <c r="F344" s="6" t="s">
        <v>3998</v>
      </c>
      <c r="G344" s="6" t="s">
        <v>3999</v>
      </c>
      <c r="H344" s="6" t="s">
        <v>4000</v>
      </c>
      <c r="I344" s="6" t="s">
        <v>4001</v>
      </c>
      <c r="J344" s="6" t="s">
        <v>4002</v>
      </c>
      <c r="K344" s="6" t="s">
        <v>4003</v>
      </c>
      <c r="L344" s="6" t="s">
        <v>4004</v>
      </c>
      <c r="M344" s="6" t="s">
        <v>3993</v>
      </c>
      <c r="N344" s="6" t="s">
        <v>189</v>
      </c>
      <c r="O344" s="6" t="n">
        <v>2</v>
      </c>
    </row>
    <row r="345" customFormat="false" ht="15" hidden="false" customHeight="false" outlineLevel="0" collapsed="false">
      <c r="A345" s="23" t="n">
        <v>46662</v>
      </c>
      <c r="B345" s="6" t="s">
        <v>4005</v>
      </c>
      <c r="C345" s="6" t="s">
        <v>4006</v>
      </c>
      <c r="D345" s="6" t="s">
        <v>4007</v>
      </c>
      <c r="E345" s="6" t="s">
        <v>3752</v>
      </c>
      <c r="F345" s="6" t="s">
        <v>4008</v>
      </c>
      <c r="G345" s="6" t="s">
        <v>4009</v>
      </c>
      <c r="H345" s="6" t="s">
        <v>4010</v>
      </c>
      <c r="I345" s="6" t="s">
        <v>4011</v>
      </c>
      <c r="J345" s="6" t="s">
        <v>4012</v>
      </c>
      <c r="K345" s="6" t="s">
        <v>4013</v>
      </c>
      <c r="L345" s="6" t="s">
        <v>4014</v>
      </c>
      <c r="M345" s="6" t="s">
        <v>3993</v>
      </c>
      <c r="N345" s="6" t="s">
        <v>191</v>
      </c>
      <c r="O345" s="6" t="n">
        <v>3</v>
      </c>
    </row>
    <row r="346" customFormat="false" ht="15" hidden="false" customHeight="false" outlineLevel="0" collapsed="false">
      <c r="A346" s="23" t="n">
        <v>46663</v>
      </c>
      <c r="B346" s="6" t="s">
        <v>4015</v>
      </c>
      <c r="C346" s="6" t="s">
        <v>4016</v>
      </c>
      <c r="D346" s="6" t="s">
        <v>4017</v>
      </c>
      <c r="E346" s="6" t="s">
        <v>4018</v>
      </c>
      <c r="F346" s="6" t="s">
        <v>4019</v>
      </c>
      <c r="G346" s="6" t="s">
        <v>4020</v>
      </c>
      <c r="H346" s="6" t="s">
        <v>4021</v>
      </c>
      <c r="I346" s="6" t="s">
        <v>4022</v>
      </c>
      <c r="J346" s="6" t="s">
        <v>4023</v>
      </c>
      <c r="K346" s="6" t="s">
        <v>4024</v>
      </c>
      <c r="L346" s="6" t="s">
        <v>4025</v>
      </c>
      <c r="M346" s="6" t="s">
        <v>4026</v>
      </c>
      <c r="N346" s="6" t="s">
        <v>192</v>
      </c>
      <c r="O346" s="6" t="n">
        <v>4</v>
      </c>
    </row>
    <row r="347" customFormat="false" ht="15" hidden="false" customHeight="false" outlineLevel="0" collapsed="false">
      <c r="A347" s="23" t="n">
        <v>46664</v>
      </c>
      <c r="B347" s="6" t="s">
        <v>4027</v>
      </c>
      <c r="C347" s="6" t="s">
        <v>4028</v>
      </c>
      <c r="D347" s="6" t="s">
        <v>4029</v>
      </c>
      <c r="E347" s="6" t="s">
        <v>4030</v>
      </c>
      <c r="F347" s="6" t="s">
        <v>4031</v>
      </c>
      <c r="G347" s="6" t="s">
        <v>4032</v>
      </c>
      <c r="H347" s="6" t="s">
        <v>4033</v>
      </c>
      <c r="I347" s="6" t="s">
        <v>4034</v>
      </c>
      <c r="J347" s="6" t="s">
        <v>4035</v>
      </c>
      <c r="K347" s="6" t="s">
        <v>4036</v>
      </c>
      <c r="L347" s="6" t="s">
        <v>4037</v>
      </c>
      <c r="M347" s="6" t="s">
        <v>4026</v>
      </c>
      <c r="N347" s="6" t="s">
        <v>193</v>
      </c>
      <c r="O347" s="6" t="n">
        <v>5</v>
      </c>
    </row>
    <row r="348" customFormat="false" ht="15" hidden="false" customHeight="false" outlineLevel="0" collapsed="false">
      <c r="A348" s="23" t="n">
        <v>46665</v>
      </c>
      <c r="B348" s="6" t="s">
        <v>4038</v>
      </c>
      <c r="C348" s="6" t="s">
        <v>4039</v>
      </c>
      <c r="D348" s="6" t="s">
        <v>4040</v>
      </c>
      <c r="E348" s="6" t="s">
        <v>4041</v>
      </c>
      <c r="F348" s="6" t="s">
        <v>4042</v>
      </c>
      <c r="G348" s="6" t="s">
        <v>4043</v>
      </c>
      <c r="H348" s="6" t="s">
        <v>4044</v>
      </c>
      <c r="I348" s="6" t="s">
        <v>4045</v>
      </c>
      <c r="J348" s="6" t="s">
        <v>4046</v>
      </c>
      <c r="K348" s="6" t="s">
        <v>4047</v>
      </c>
      <c r="L348" s="6" t="s">
        <v>4048</v>
      </c>
      <c r="M348" s="6" t="s">
        <v>4049</v>
      </c>
      <c r="N348" s="6" t="s">
        <v>194</v>
      </c>
      <c r="O348" s="6" t="n">
        <v>6</v>
      </c>
    </row>
    <row r="349" customFormat="false" ht="15" hidden="false" customHeight="false" outlineLevel="0" collapsed="false">
      <c r="A349" s="23" t="n">
        <v>46666</v>
      </c>
      <c r="B349" s="6" t="s">
        <v>3806</v>
      </c>
      <c r="C349" s="6" t="s">
        <v>4050</v>
      </c>
      <c r="D349" s="6" t="s">
        <v>4051</v>
      </c>
      <c r="E349" s="6" t="s">
        <v>4052</v>
      </c>
      <c r="F349" s="6" t="s">
        <v>4053</v>
      </c>
      <c r="G349" s="6" t="s">
        <v>4054</v>
      </c>
      <c r="H349" s="6" t="s">
        <v>4055</v>
      </c>
      <c r="I349" s="6" t="s">
        <v>4056</v>
      </c>
      <c r="J349" s="6" t="s">
        <v>4057</v>
      </c>
      <c r="K349" s="6" t="s">
        <v>4058</v>
      </c>
      <c r="L349" s="6" t="s">
        <v>4059</v>
      </c>
      <c r="M349" s="6" t="s">
        <v>4049</v>
      </c>
      <c r="N349" s="6" t="s">
        <v>196</v>
      </c>
      <c r="O349" s="6" t="n">
        <v>7</v>
      </c>
    </row>
    <row r="350" customFormat="false" ht="15" hidden="false" customHeight="false" outlineLevel="0" collapsed="false">
      <c r="A350" s="23" t="n">
        <v>46667</v>
      </c>
      <c r="B350" s="6" t="s">
        <v>4060</v>
      </c>
      <c r="C350" s="6" t="s">
        <v>4061</v>
      </c>
      <c r="D350" s="6" t="s">
        <v>4062</v>
      </c>
      <c r="E350" s="6" t="s">
        <v>4063</v>
      </c>
      <c r="F350" s="6" t="s">
        <v>4064</v>
      </c>
      <c r="G350" s="6" t="s">
        <v>4065</v>
      </c>
      <c r="H350" s="6" t="s">
        <v>4066</v>
      </c>
      <c r="I350" s="6" t="s">
        <v>4067</v>
      </c>
      <c r="J350" s="6" t="s">
        <v>4068</v>
      </c>
      <c r="K350" s="6" t="s">
        <v>4069</v>
      </c>
      <c r="L350" s="6" t="s">
        <v>4070</v>
      </c>
      <c r="M350" s="6" t="s">
        <v>4049</v>
      </c>
      <c r="N350" s="6" t="s">
        <v>197</v>
      </c>
      <c r="O350" s="6" t="n">
        <v>8</v>
      </c>
    </row>
    <row r="351" customFormat="false" ht="15" hidden="false" customHeight="false" outlineLevel="0" collapsed="false">
      <c r="A351" s="23" t="n">
        <v>46668</v>
      </c>
      <c r="B351" s="6" t="s">
        <v>4071</v>
      </c>
      <c r="C351" s="6" t="s">
        <v>4072</v>
      </c>
      <c r="D351" s="6" t="s">
        <v>4073</v>
      </c>
      <c r="E351" s="6" t="s">
        <v>4074</v>
      </c>
      <c r="F351" s="6" t="s">
        <v>4075</v>
      </c>
      <c r="G351" s="6" t="s">
        <v>4076</v>
      </c>
      <c r="H351" s="6" t="s">
        <v>4077</v>
      </c>
      <c r="I351" s="6" t="s">
        <v>4056</v>
      </c>
      <c r="J351" s="6" t="s">
        <v>4057</v>
      </c>
      <c r="K351" s="6" t="s">
        <v>4078</v>
      </c>
      <c r="L351" s="6" t="s">
        <v>4079</v>
      </c>
      <c r="M351" s="6" t="s">
        <v>4080</v>
      </c>
      <c r="N351" s="6" t="s">
        <v>199</v>
      </c>
      <c r="O351" s="6" t="n">
        <v>9</v>
      </c>
    </row>
    <row r="352" customFormat="false" ht="15" hidden="false" customHeight="false" outlineLevel="0" collapsed="false">
      <c r="A352" s="23" t="n">
        <v>46669</v>
      </c>
      <c r="B352" s="6" t="s">
        <v>4081</v>
      </c>
      <c r="C352" s="6" t="s">
        <v>4082</v>
      </c>
      <c r="D352" s="6" t="s">
        <v>4083</v>
      </c>
      <c r="E352" s="6" t="s">
        <v>4084</v>
      </c>
      <c r="F352" s="6" t="s">
        <v>4085</v>
      </c>
      <c r="G352" s="6" t="s">
        <v>4086</v>
      </c>
      <c r="H352" s="6" t="s">
        <v>4087</v>
      </c>
      <c r="I352" s="6" t="s">
        <v>4056</v>
      </c>
      <c r="J352" s="6" t="s">
        <v>4057</v>
      </c>
      <c r="K352" s="6" t="s">
        <v>4088</v>
      </c>
      <c r="L352" s="6" t="s">
        <v>4089</v>
      </c>
      <c r="M352" s="6" t="s">
        <v>4080</v>
      </c>
      <c r="N352" s="6" t="s">
        <v>200</v>
      </c>
      <c r="O352" s="6" t="n">
        <v>10</v>
      </c>
    </row>
    <row r="353" customFormat="false" ht="15" hidden="false" customHeight="false" outlineLevel="0" collapsed="false">
      <c r="A353" s="23" t="n">
        <v>46670</v>
      </c>
      <c r="B353" s="6" t="s">
        <v>3503</v>
      </c>
      <c r="C353" s="6" t="s">
        <v>2419</v>
      </c>
      <c r="D353" s="6" t="s">
        <v>4090</v>
      </c>
      <c r="E353" s="6" t="s">
        <v>4091</v>
      </c>
      <c r="F353" s="6" t="s">
        <v>4092</v>
      </c>
      <c r="G353" s="6" t="s">
        <v>4093</v>
      </c>
      <c r="H353" s="6" t="s">
        <v>4094</v>
      </c>
      <c r="I353" s="6" t="s">
        <v>4056</v>
      </c>
      <c r="J353" s="6" t="s">
        <v>4057</v>
      </c>
      <c r="K353" s="6" t="s">
        <v>4095</v>
      </c>
      <c r="L353" s="6" t="s">
        <v>4096</v>
      </c>
      <c r="M353" s="6" t="s">
        <v>4080</v>
      </c>
      <c r="N353" s="6" t="s">
        <v>200</v>
      </c>
      <c r="O353" s="6" t="n">
        <v>11</v>
      </c>
    </row>
    <row r="354" customFormat="false" ht="15" hidden="false" customHeight="false" outlineLevel="0" collapsed="false">
      <c r="A354" s="23" t="n">
        <v>46671</v>
      </c>
      <c r="B354" s="6" t="s">
        <v>4097</v>
      </c>
      <c r="C354" s="6" t="s">
        <v>4098</v>
      </c>
      <c r="D354" s="6" t="s">
        <v>4099</v>
      </c>
      <c r="E354" s="6" t="s">
        <v>4100</v>
      </c>
      <c r="F354" s="6" t="s">
        <v>4101</v>
      </c>
      <c r="G354" s="6" t="s">
        <v>534</v>
      </c>
      <c r="H354" s="6" t="s">
        <v>4102</v>
      </c>
      <c r="I354" s="6" t="s">
        <v>4103</v>
      </c>
      <c r="J354" s="6" t="s">
        <v>4104</v>
      </c>
      <c r="K354" s="6" t="s">
        <v>4105</v>
      </c>
      <c r="L354" s="6" t="s">
        <v>4106</v>
      </c>
      <c r="M354" s="6" t="s">
        <v>4080</v>
      </c>
      <c r="N354" s="6" t="s">
        <v>201</v>
      </c>
      <c r="O354" s="6" t="n">
        <v>11</v>
      </c>
    </row>
    <row r="355" customFormat="false" ht="15" hidden="false" customHeight="false" outlineLevel="0" collapsed="false">
      <c r="A355" s="23" t="n">
        <v>46672</v>
      </c>
      <c r="B355" s="6" t="s">
        <v>4107</v>
      </c>
      <c r="C355" s="6" t="s">
        <v>4108</v>
      </c>
      <c r="D355" s="6" t="s">
        <v>4109</v>
      </c>
      <c r="E355" s="6" t="s">
        <v>4110</v>
      </c>
      <c r="F355" s="6" t="s">
        <v>4111</v>
      </c>
      <c r="G355" s="6" t="s">
        <v>4112</v>
      </c>
      <c r="H355" s="6" t="s">
        <v>4113</v>
      </c>
      <c r="I355" s="6" t="s">
        <v>1543</v>
      </c>
      <c r="J355" s="6" t="s">
        <v>4114</v>
      </c>
      <c r="K355" s="6" t="s">
        <v>4115</v>
      </c>
      <c r="L355" s="6" t="s">
        <v>4116</v>
      </c>
      <c r="M355" s="6" t="s">
        <v>4117</v>
      </c>
      <c r="N355" s="6" t="s">
        <v>203</v>
      </c>
      <c r="O355" s="6" t="n">
        <v>12</v>
      </c>
    </row>
    <row r="356" customFormat="false" ht="15" hidden="false" customHeight="false" outlineLevel="0" collapsed="false">
      <c r="A356" s="23" t="n">
        <v>46673</v>
      </c>
      <c r="B356" s="6" t="s">
        <v>4118</v>
      </c>
      <c r="C356" s="6" t="s">
        <v>4119</v>
      </c>
      <c r="D356" s="6" t="s">
        <v>4120</v>
      </c>
      <c r="E356" s="6" t="s">
        <v>4121</v>
      </c>
      <c r="F356" s="6" t="s">
        <v>4122</v>
      </c>
      <c r="G356" s="6" t="s">
        <v>4123</v>
      </c>
      <c r="H356" s="6" t="s">
        <v>4124</v>
      </c>
      <c r="I356" s="6" t="s">
        <v>4125</v>
      </c>
      <c r="J356" s="6" t="s">
        <v>4126</v>
      </c>
      <c r="K356" s="6" t="s">
        <v>4127</v>
      </c>
      <c r="L356" s="6" t="s">
        <v>4128</v>
      </c>
      <c r="M356" s="6" t="s">
        <v>4117</v>
      </c>
      <c r="N356" s="6" t="s">
        <v>204</v>
      </c>
      <c r="O356" s="6" t="n">
        <v>13</v>
      </c>
    </row>
    <row r="357" customFormat="false" ht="15" hidden="false" customHeight="false" outlineLevel="0" collapsed="false">
      <c r="A357" s="23" t="n">
        <v>46674</v>
      </c>
      <c r="B357" s="6" t="s">
        <v>4129</v>
      </c>
      <c r="C357" s="6" t="s">
        <v>4130</v>
      </c>
      <c r="D357" s="6" t="s">
        <v>4131</v>
      </c>
      <c r="E357" s="6" t="s">
        <v>4132</v>
      </c>
      <c r="F357" s="6" t="s">
        <v>4133</v>
      </c>
      <c r="G357" s="6" t="s">
        <v>4006</v>
      </c>
      <c r="H357" s="6" t="s">
        <v>4134</v>
      </c>
      <c r="I357" s="6" t="s">
        <v>4135</v>
      </c>
      <c r="J357" s="6" t="s">
        <v>4136</v>
      </c>
      <c r="K357" s="6" t="s">
        <v>4137</v>
      </c>
      <c r="L357" s="6" t="s">
        <v>4138</v>
      </c>
      <c r="M357" s="6" t="s">
        <v>4117</v>
      </c>
      <c r="N357" s="6" t="s">
        <v>206</v>
      </c>
      <c r="O357" s="6" t="n">
        <v>14</v>
      </c>
    </row>
    <row r="358" customFormat="false" ht="15" hidden="false" customHeight="false" outlineLevel="0" collapsed="false">
      <c r="A358" s="23" t="n">
        <v>46675</v>
      </c>
      <c r="B358" s="6" t="s">
        <v>4139</v>
      </c>
      <c r="C358" s="6" t="s">
        <v>4140</v>
      </c>
      <c r="D358" s="6" t="s">
        <v>4141</v>
      </c>
      <c r="E358" s="6" t="s">
        <v>4142</v>
      </c>
      <c r="F358" s="6" t="s">
        <v>4143</v>
      </c>
      <c r="G358" s="6" t="s">
        <v>4144</v>
      </c>
      <c r="H358" s="6" t="s">
        <v>4145</v>
      </c>
      <c r="I358" s="6" t="s">
        <v>4146</v>
      </c>
      <c r="J358" s="6" t="s">
        <v>4147</v>
      </c>
      <c r="K358" s="6" t="s">
        <v>4148</v>
      </c>
      <c r="L358" s="6" t="s">
        <v>4149</v>
      </c>
      <c r="M358" s="6" t="s">
        <v>4117</v>
      </c>
      <c r="N358" s="6" t="s">
        <v>207</v>
      </c>
      <c r="O358" s="6" t="n">
        <v>15</v>
      </c>
    </row>
    <row r="359" customFormat="false" ht="15" hidden="false" customHeight="false" outlineLevel="0" collapsed="false">
      <c r="A359" s="23" t="n">
        <v>46676</v>
      </c>
      <c r="B359" s="6" t="s">
        <v>4150</v>
      </c>
      <c r="C359" s="6" t="s">
        <v>4151</v>
      </c>
      <c r="D359" s="6" t="s">
        <v>4152</v>
      </c>
      <c r="E359" s="6" t="s">
        <v>4153</v>
      </c>
      <c r="F359" s="6" t="s">
        <v>4154</v>
      </c>
      <c r="G359" s="6" t="s">
        <v>4155</v>
      </c>
      <c r="H359" s="6" t="s">
        <v>4156</v>
      </c>
      <c r="I359" s="6" t="s">
        <v>4157</v>
      </c>
      <c r="J359" s="6" t="s">
        <v>4158</v>
      </c>
      <c r="K359" s="6" t="s">
        <v>4159</v>
      </c>
      <c r="L359" s="6" t="s">
        <v>4160</v>
      </c>
      <c r="M359" s="6" t="s">
        <v>4117</v>
      </c>
      <c r="N359" s="6" t="s">
        <v>208</v>
      </c>
      <c r="O359" s="6" t="n">
        <v>16</v>
      </c>
    </row>
    <row r="360" customFormat="false" ht="15" hidden="false" customHeight="false" outlineLevel="0" collapsed="false">
      <c r="A360" s="23" t="n">
        <v>46677</v>
      </c>
      <c r="B360" s="6" t="s">
        <v>3595</v>
      </c>
      <c r="C360" s="6" t="s">
        <v>4161</v>
      </c>
      <c r="D360" s="6" t="s">
        <v>4162</v>
      </c>
      <c r="E360" s="6" t="s">
        <v>4163</v>
      </c>
      <c r="F360" s="6" t="s">
        <v>4164</v>
      </c>
      <c r="G360" s="6" t="s">
        <v>4165</v>
      </c>
      <c r="H360" s="6" t="s">
        <v>4166</v>
      </c>
      <c r="I360" s="6" t="s">
        <v>4167</v>
      </c>
      <c r="J360" s="6" t="s">
        <v>4168</v>
      </c>
      <c r="K360" s="6" t="s">
        <v>4169</v>
      </c>
      <c r="L360" s="6" t="s">
        <v>4170</v>
      </c>
      <c r="M360" s="6" t="s">
        <v>4117</v>
      </c>
      <c r="N360" s="6" t="s">
        <v>170</v>
      </c>
      <c r="O360" s="6" t="n">
        <v>17</v>
      </c>
    </row>
    <row r="361" customFormat="false" ht="15" hidden="false" customHeight="false" outlineLevel="0" collapsed="false">
      <c r="A361" s="23" t="n">
        <v>46678</v>
      </c>
      <c r="B361" s="6" t="s">
        <v>4171</v>
      </c>
      <c r="C361" s="6" t="s">
        <v>4172</v>
      </c>
      <c r="D361" s="6" t="s">
        <v>4173</v>
      </c>
      <c r="E361" s="6" t="s">
        <v>562</v>
      </c>
      <c r="F361" s="6" t="s">
        <v>4174</v>
      </c>
      <c r="G361" s="6" t="s">
        <v>4175</v>
      </c>
      <c r="H361" s="6" t="s">
        <v>4176</v>
      </c>
      <c r="I361" s="6" t="s">
        <v>4177</v>
      </c>
      <c r="J361" s="6" t="s">
        <v>4178</v>
      </c>
      <c r="K361" s="6" t="s">
        <v>4179</v>
      </c>
      <c r="L361" s="6" t="s">
        <v>4180</v>
      </c>
      <c r="M361" s="6" t="s">
        <v>4181</v>
      </c>
      <c r="N361" s="6" t="s">
        <v>174</v>
      </c>
      <c r="O361" s="6" t="n">
        <v>18</v>
      </c>
    </row>
    <row r="362" customFormat="false" ht="15" hidden="false" customHeight="false" outlineLevel="0" collapsed="false">
      <c r="A362" s="23" t="n">
        <v>46679</v>
      </c>
      <c r="B362" s="6" t="s">
        <v>875</v>
      </c>
      <c r="C362" s="6" t="s">
        <v>4182</v>
      </c>
      <c r="D362" s="6" t="s">
        <v>4183</v>
      </c>
      <c r="E362" s="6" t="s">
        <v>4184</v>
      </c>
      <c r="F362" s="6" t="s">
        <v>3722</v>
      </c>
      <c r="G362" s="6" t="s">
        <v>4185</v>
      </c>
      <c r="H362" s="6" t="s">
        <v>4186</v>
      </c>
      <c r="I362" s="6" t="s">
        <v>4187</v>
      </c>
      <c r="J362" s="6" t="s">
        <v>4188</v>
      </c>
      <c r="K362" s="6" t="s">
        <v>4189</v>
      </c>
      <c r="L362" s="6" t="s">
        <v>4190</v>
      </c>
      <c r="M362" s="6" t="s">
        <v>4181</v>
      </c>
      <c r="N362" s="6" t="s">
        <v>209</v>
      </c>
      <c r="O362" s="6" t="n">
        <v>19</v>
      </c>
    </row>
    <row r="363" customFormat="false" ht="15" hidden="false" customHeight="false" outlineLevel="0" collapsed="false">
      <c r="A363" s="23" t="n">
        <v>46680</v>
      </c>
      <c r="B363" s="6" t="s">
        <v>4191</v>
      </c>
      <c r="C363" s="6" t="s">
        <v>4192</v>
      </c>
      <c r="D363" s="6" t="s">
        <v>4193</v>
      </c>
      <c r="E363" s="6" t="s">
        <v>4194</v>
      </c>
      <c r="F363" s="6" t="s">
        <v>4195</v>
      </c>
      <c r="G363" s="6" t="s">
        <v>4196</v>
      </c>
      <c r="H363" s="6" t="s">
        <v>4197</v>
      </c>
      <c r="I363" s="6" t="s">
        <v>4198</v>
      </c>
      <c r="J363" s="6" t="s">
        <v>4199</v>
      </c>
      <c r="K363" s="6" t="s">
        <v>4200</v>
      </c>
      <c r="L363" s="6" t="s">
        <v>4201</v>
      </c>
      <c r="M363" s="6" t="s">
        <v>4181</v>
      </c>
      <c r="N363" s="6" t="s">
        <v>175</v>
      </c>
      <c r="O363" s="6" t="n">
        <v>20</v>
      </c>
    </row>
    <row r="364" customFormat="false" ht="15" hidden="false" customHeight="false" outlineLevel="0" collapsed="false">
      <c r="A364" s="23" t="n">
        <v>46681</v>
      </c>
      <c r="B364" s="6" t="s">
        <v>4202</v>
      </c>
      <c r="C364" s="6" t="s">
        <v>4203</v>
      </c>
      <c r="D364" s="6" t="s">
        <v>4204</v>
      </c>
      <c r="E364" s="6" t="s">
        <v>4205</v>
      </c>
      <c r="F364" s="6" t="s">
        <v>3637</v>
      </c>
      <c r="G364" s="6" t="s">
        <v>4206</v>
      </c>
      <c r="H364" s="6" t="s">
        <v>4207</v>
      </c>
      <c r="I364" s="6" t="s">
        <v>4208</v>
      </c>
      <c r="J364" s="6" t="s">
        <v>4209</v>
      </c>
      <c r="K364" s="6" t="s">
        <v>4210</v>
      </c>
      <c r="L364" s="6" t="s">
        <v>4211</v>
      </c>
      <c r="M364" s="6" t="s">
        <v>4181</v>
      </c>
      <c r="N364" s="6" t="s">
        <v>177</v>
      </c>
      <c r="O364" s="6" t="n">
        <v>21</v>
      </c>
    </row>
    <row r="365" customFormat="false" ht="15" hidden="false" customHeight="false" outlineLevel="0" collapsed="false">
      <c r="A365" s="23" t="n">
        <v>46682</v>
      </c>
      <c r="B365" s="6" t="s">
        <v>4212</v>
      </c>
      <c r="C365" s="6" t="s">
        <v>4213</v>
      </c>
      <c r="D365" s="6" t="s">
        <v>4214</v>
      </c>
      <c r="E365" s="6" t="s">
        <v>720</v>
      </c>
      <c r="F365" s="6" t="s">
        <v>4215</v>
      </c>
      <c r="G365" s="6" t="s">
        <v>4216</v>
      </c>
      <c r="H365" s="6" t="s">
        <v>4217</v>
      </c>
      <c r="I365" s="6" t="s">
        <v>4218</v>
      </c>
      <c r="J365" s="6" t="s">
        <v>4219</v>
      </c>
      <c r="K365" s="6" t="s">
        <v>4220</v>
      </c>
      <c r="L365" s="6" t="s">
        <v>4221</v>
      </c>
      <c r="M365" s="6" t="s">
        <v>4181</v>
      </c>
      <c r="N365" s="6" t="s">
        <v>178</v>
      </c>
      <c r="O365" s="6" t="n">
        <v>23</v>
      </c>
    </row>
    <row r="366" customFormat="false" ht="15" hidden="false" customHeight="false" outlineLevel="0" collapsed="false">
      <c r="A366" s="23" t="n">
        <v>46683</v>
      </c>
      <c r="B366" s="6" t="s">
        <v>4222</v>
      </c>
      <c r="C366" s="6" t="s">
        <v>4223</v>
      </c>
      <c r="D366" s="6" t="s">
        <v>4224</v>
      </c>
      <c r="E366" s="6" t="s">
        <v>4225</v>
      </c>
      <c r="F366" s="6" t="s">
        <v>4226</v>
      </c>
      <c r="G366" s="6" t="s">
        <v>4227</v>
      </c>
      <c r="H366" s="6" t="s">
        <v>4228</v>
      </c>
      <c r="I366" s="6" t="s">
        <v>4218</v>
      </c>
      <c r="J366" s="6" t="s">
        <v>4219</v>
      </c>
      <c r="K366" s="6" t="s">
        <v>4229</v>
      </c>
      <c r="L366" s="6" t="s">
        <v>4230</v>
      </c>
      <c r="M366" s="6" t="s">
        <v>4181</v>
      </c>
      <c r="N366" s="6" t="s">
        <v>181</v>
      </c>
      <c r="O366" s="6" t="n">
        <v>24</v>
      </c>
    </row>
    <row r="367" customFormat="false" ht="15" hidden="false" customHeight="false" outlineLevel="0" collapsed="false">
      <c r="A367" s="23" t="n">
        <v>46684</v>
      </c>
      <c r="B367" s="6" t="s">
        <v>4231</v>
      </c>
      <c r="C367" s="6" t="s">
        <v>4232</v>
      </c>
      <c r="D367" s="6" t="s">
        <v>4233</v>
      </c>
      <c r="E367" s="6" t="s">
        <v>4234</v>
      </c>
      <c r="F367" s="6" t="s">
        <v>4235</v>
      </c>
      <c r="G367" s="6" t="s">
        <v>4236</v>
      </c>
      <c r="H367" s="6" t="s">
        <v>4237</v>
      </c>
      <c r="I367" s="6" t="s">
        <v>4218</v>
      </c>
      <c r="J367" s="6" t="s">
        <v>4219</v>
      </c>
      <c r="K367" s="6" t="s">
        <v>4238</v>
      </c>
      <c r="L367" s="6" t="s">
        <v>4239</v>
      </c>
      <c r="M367" s="6" t="s">
        <v>4181</v>
      </c>
      <c r="N367" s="6" t="s">
        <v>182</v>
      </c>
      <c r="O367" s="6" t="n">
        <v>25</v>
      </c>
    </row>
    <row r="368" customFormat="false" ht="15" hidden="false" customHeight="false" outlineLevel="0" collapsed="false">
      <c r="A368" s="23" t="n">
        <v>46685</v>
      </c>
      <c r="B368" s="6" t="s">
        <v>4240</v>
      </c>
      <c r="C368" s="6" t="s">
        <v>4241</v>
      </c>
      <c r="D368" s="6" t="s">
        <v>4242</v>
      </c>
      <c r="E368" s="6" t="s">
        <v>4243</v>
      </c>
      <c r="F368" s="6" t="s">
        <v>4244</v>
      </c>
      <c r="G368" s="6" t="s">
        <v>4245</v>
      </c>
      <c r="H368" s="6" t="s">
        <v>4246</v>
      </c>
      <c r="I368" s="6" t="s">
        <v>4247</v>
      </c>
      <c r="J368" s="6" t="s">
        <v>4248</v>
      </c>
      <c r="K368" s="6" t="s">
        <v>4249</v>
      </c>
      <c r="L368" s="6" t="s">
        <v>4250</v>
      </c>
      <c r="M368" s="6" t="s">
        <v>1392</v>
      </c>
      <c r="N368" s="6" t="s">
        <v>184</v>
      </c>
      <c r="O368" s="6" t="n">
        <v>26</v>
      </c>
    </row>
    <row r="369" customFormat="false" ht="15" hidden="false" customHeight="false" outlineLevel="0" collapsed="false">
      <c r="A369" s="23" t="n">
        <v>46686</v>
      </c>
      <c r="B369" s="6" t="s">
        <v>4093</v>
      </c>
      <c r="C369" s="6" t="s">
        <v>4251</v>
      </c>
      <c r="D369" s="6" t="s">
        <v>4252</v>
      </c>
      <c r="E369" s="6" t="s">
        <v>4253</v>
      </c>
      <c r="F369" s="6" t="s">
        <v>4254</v>
      </c>
      <c r="G369" s="6" t="s">
        <v>4255</v>
      </c>
      <c r="H369" s="6" t="s">
        <v>4256</v>
      </c>
      <c r="I369" s="6" t="s">
        <v>4257</v>
      </c>
      <c r="J369" s="6" t="s">
        <v>4258</v>
      </c>
      <c r="K369" s="6" t="s">
        <v>4259</v>
      </c>
      <c r="L369" s="6" t="s">
        <v>4260</v>
      </c>
      <c r="M369" s="6" t="s">
        <v>1392</v>
      </c>
      <c r="N369" s="6" t="s">
        <v>185</v>
      </c>
      <c r="O369" s="6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70"/>
    <col collapsed="false" customWidth="true" hidden="false" outlineLevel="0" max="8" min="8" style="0" width="50"/>
    <col collapsed="false" customWidth="true" hidden="false" outlineLevel="0" max="9" min="9" style="0" width="16"/>
    <col collapsed="false" customWidth="true" hidden="false" outlineLevel="0" max="10" min="10" style="0" width="6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4261</v>
      </c>
    </row>
    <row r="4" customFormat="false" ht="26.85" hidden="false" customHeight="false" outlineLevel="0" collapsed="false">
      <c r="A4" s="5" t="s">
        <v>4262</v>
      </c>
      <c r="B4" s="5" t="s">
        <v>140</v>
      </c>
      <c r="C4" s="5" t="s">
        <v>4263</v>
      </c>
      <c r="D4" s="5" t="s">
        <v>4264</v>
      </c>
      <c r="E4" s="5" t="s">
        <v>4265</v>
      </c>
      <c r="F4" s="5" t="s">
        <v>4266</v>
      </c>
      <c r="G4" s="5" t="s">
        <v>4267</v>
      </c>
      <c r="H4" s="5" t="s">
        <v>4268</v>
      </c>
      <c r="I4" s="5" t="s">
        <v>4269</v>
      </c>
      <c r="J4" s="5" t="s">
        <v>4270</v>
      </c>
      <c r="K4" s="5" t="s">
        <v>4271</v>
      </c>
    </row>
    <row r="5" customFormat="false" ht="15" hidden="false" customHeight="false" outlineLevel="0" collapsed="false">
      <c r="A5" s="6" t="s">
        <v>19</v>
      </c>
      <c r="B5" s="6" t="s">
        <v>154</v>
      </c>
      <c r="C5" s="6" t="s">
        <v>4272</v>
      </c>
      <c r="D5" s="6" t="s">
        <v>4273</v>
      </c>
      <c r="E5" s="6" t="s">
        <v>237</v>
      </c>
      <c r="F5" s="6" t="s">
        <v>4274</v>
      </c>
      <c r="G5" s="6" t="s">
        <v>4275</v>
      </c>
      <c r="H5" s="6" t="s">
        <v>4276</v>
      </c>
      <c r="I5" s="6" t="s">
        <v>4277</v>
      </c>
      <c r="J5" s="6" t="n">
        <v>12</v>
      </c>
      <c r="K5" s="6"/>
    </row>
    <row r="6" customFormat="false" ht="15" hidden="false" customHeight="false" outlineLevel="0" collapsed="false">
      <c r="A6" s="6" t="s">
        <v>19</v>
      </c>
      <c r="B6" s="6" t="s">
        <v>154</v>
      </c>
      <c r="C6" s="6" t="s">
        <v>4278</v>
      </c>
      <c r="D6" s="6" t="s">
        <v>4273</v>
      </c>
      <c r="E6" s="6" t="s">
        <v>237</v>
      </c>
      <c r="F6" s="6" t="s">
        <v>4274</v>
      </c>
      <c r="G6" s="6" t="s">
        <v>4275</v>
      </c>
      <c r="H6" s="6" t="s">
        <v>4279</v>
      </c>
      <c r="I6" s="6" t="s">
        <v>4280</v>
      </c>
      <c r="J6" s="6" t="n">
        <v>13</v>
      </c>
      <c r="K6" s="6"/>
    </row>
    <row r="7" customFormat="false" ht="15" hidden="false" customHeight="false" outlineLevel="0" collapsed="false">
      <c r="A7" s="6" t="s">
        <v>19</v>
      </c>
      <c r="B7" s="6" t="s">
        <v>149</v>
      </c>
      <c r="C7" s="6" t="s">
        <v>4272</v>
      </c>
      <c r="D7" s="6" t="s">
        <v>4273</v>
      </c>
      <c r="E7" s="6" t="s">
        <v>250</v>
      </c>
      <c r="F7" s="6" t="s">
        <v>4274</v>
      </c>
      <c r="G7" s="6" t="s">
        <v>4275</v>
      </c>
      <c r="H7" s="6" t="s">
        <v>4276</v>
      </c>
      <c r="I7" s="6" t="s">
        <v>4277</v>
      </c>
      <c r="J7" s="6" t="n">
        <v>13</v>
      </c>
      <c r="K7" s="6"/>
    </row>
    <row r="8" customFormat="false" ht="15" hidden="false" customHeight="false" outlineLevel="0" collapsed="false">
      <c r="A8" s="6" t="s">
        <v>19</v>
      </c>
      <c r="B8" s="6" t="s">
        <v>149</v>
      </c>
      <c r="C8" s="6" t="s">
        <v>4278</v>
      </c>
      <c r="D8" s="6" t="s">
        <v>4273</v>
      </c>
      <c r="E8" s="6" t="s">
        <v>250</v>
      </c>
      <c r="F8" s="6" t="s">
        <v>4274</v>
      </c>
      <c r="G8" s="6" t="s">
        <v>4275</v>
      </c>
      <c r="H8" s="6" t="s">
        <v>4279</v>
      </c>
      <c r="I8" s="6" t="s">
        <v>4280</v>
      </c>
      <c r="J8" s="6" t="n">
        <v>13</v>
      </c>
      <c r="K8" s="6"/>
    </row>
    <row r="9" customFormat="false" ht="15" hidden="false" customHeight="false" outlineLevel="0" collapsed="false">
      <c r="A9" s="6" t="s">
        <v>19</v>
      </c>
      <c r="B9" s="6" t="s">
        <v>4281</v>
      </c>
      <c r="C9" s="6" t="s">
        <v>4272</v>
      </c>
      <c r="D9" s="6" t="s">
        <v>4273</v>
      </c>
      <c r="E9" s="6" t="s">
        <v>244</v>
      </c>
      <c r="F9" s="6" t="s">
        <v>4274</v>
      </c>
      <c r="G9" s="6" t="s">
        <v>4275</v>
      </c>
      <c r="H9" s="6" t="s">
        <v>4276</v>
      </c>
      <c r="I9" s="6" t="s">
        <v>4277</v>
      </c>
      <c r="J9" s="6" t="n">
        <v>13</v>
      </c>
      <c r="K9" s="6"/>
    </row>
    <row r="10" customFormat="false" ht="15" hidden="false" customHeight="false" outlineLevel="0" collapsed="false">
      <c r="A10" s="6" t="s">
        <v>19</v>
      </c>
      <c r="B10" s="6" t="s">
        <v>4281</v>
      </c>
      <c r="C10" s="6" t="s">
        <v>4278</v>
      </c>
      <c r="D10" s="6" t="s">
        <v>4273</v>
      </c>
      <c r="E10" s="6" t="s">
        <v>244</v>
      </c>
      <c r="F10" s="6" t="s">
        <v>4274</v>
      </c>
      <c r="G10" s="6" t="s">
        <v>4275</v>
      </c>
      <c r="H10" s="6" t="s">
        <v>4279</v>
      </c>
      <c r="I10" s="6" t="s">
        <v>4280</v>
      </c>
      <c r="J10" s="6" t="n">
        <v>13</v>
      </c>
      <c r="K10" s="6"/>
    </row>
    <row r="11" customFormat="false" ht="15" hidden="false" customHeight="false" outlineLevel="0" collapsed="false">
      <c r="A11" s="6" t="s">
        <v>20</v>
      </c>
      <c r="B11" s="6" t="s">
        <v>154</v>
      </c>
      <c r="C11" s="6" t="s">
        <v>4272</v>
      </c>
      <c r="D11" s="6" t="s">
        <v>4282</v>
      </c>
      <c r="E11" s="6" t="s">
        <v>237</v>
      </c>
      <c r="F11" s="6" t="s">
        <v>4283</v>
      </c>
      <c r="G11" s="6" t="s">
        <v>4284</v>
      </c>
      <c r="H11" s="6" t="s">
        <v>4276</v>
      </c>
      <c r="I11" s="6" t="s">
        <v>4277</v>
      </c>
      <c r="J11" s="6" t="n">
        <v>13</v>
      </c>
      <c r="K11" s="6"/>
    </row>
    <row r="12" customFormat="false" ht="15" hidden="false" customHeight="false" outlineLevel="0" collapsed="false">
      <c r="A12" s="6" t="s">
        <v>20</v>
      </c>
      <c r="B12" s="6" t="s">
        <v>154</v>
      </c>
      <c r="C12" s="6" t="s">
        <v>4278</v>
      </c>
      <c r="D12" s="6" t="s">
        <v>4282</v>
      </c>
      <c r="E12" s="6" t="s">
        <v>237</v>
      </c>
      <c r="F12" s="6" t="s">
        <v>4283</v>
      </c>
      <c r="G12" s="6" t="s">
        <v>4284</v>
      </c>
      <c r="H12" s="6" t="s">
        <v>4279</v>
      </c>
      <c r="I12" s="6" t="s">
        <v>4280</v>
      </c>
      <c r="J12" s="6" t="n">
        <v>13</v>
      </c>
      <c r="K12" s="6"/>
    </row>
    <row r="13" customFormat="false" ht="15" hidden="false" customHeight="false" outlineLevel="0" collapsed="false">
      <c r="A13" s="6" t="s">
        <v>20</v>
      </c>
      <c r="B13" s="6" t="s">
        <v>149</v>
      </c>
      <c r="C13" s="6" t="s">
        <v>4272</v>
      </c>
      <c r="D13" s="6" t="s">
        <v>4282</v>
      </c>
      <c r="E13" s="6" t="s">
        <v>250</v>
      </c>
      <c r="F13" s="6" t="s">
        <v>4283</v>
      </c>
      <c r="G13" s="6" t="s">
        <v>4284</v>
      </c>
      <c r="H13" s="6" t="s">
        <v>4276</v>
      </c>
      <c r="I13" s="6" t="s">
        <v>4277</v>
      </c>
      <c r="J13" s="6" t="n">
        <v>13</v>
      </c>
      <c r="K13" s="6"/>
    </row>
    <row r="14" customFormat="false" ht="15" hidden="false" customHeight="false" outlineLevel="0" collapsed="false">
      <c r="A14" s="6" t="s">
        <v>20</v>
      </c>
      <c r="B14" s="6" t="s">
        <v>149</v>
      </c>
      <c r="C14" s="6" t="s">
        <v>4278</v>
      </c>
      <c r="D14" s="6" t="s">
        <v>4282</v>
      </c>
      <c r="E14" s="6" t="s">
        <v>250</v>
      </c>
      <c r="F14" s="6" t="s">
        <v>4283</v>
      </c>
      <c r="G14" s="6" t="s">
        <v>4284</v>
      </c>
      <c r="H14" s="6" t="s">
        <v>4279</v>
      </c>
      <c r="I14" s="6" t="s">
        <v>4280</v>
      </c>
      <c r="J14" s="6" t="n">
        <v>13</v>
      </c>
      <c r="K14" s="6"/>
    </row>
    <row r="15" customFormat="false" ht="15" hidden="false" customHeight="false" outlineLevel="0" collapsed="false">
      <c r="A15" s="6" t="s">
        <v>20</v>
      </c>
      <c r="B15" s="6" t="s">
        <v>4281</v>
      </c>
      <c r="C15" s="6" t="s">
        <v>4272</v>
      </c>
      <c r="D15" s="6" t="s">
        <v>4282</v>
      </c>
      <c r="E15" s="6" t="s">
        <v>244</v>
      </c>
      <c r="F15" s="6" t="s">
        <v>4283</v>
      </c>
      <c r="G15" s="6" t="s">
        <v>4284</v>
      </c>
      <c r="H15" s="6" t="s">
        <v>4276</v>
      </c>
      <c r="I15" s="6" t="s">
        <v>4277</v>
      </c>
      <c r="J15" s="6" t="n">
        <v>13</v>
      </c>
      <c r="K15" s="6"/>
    </row>
    <row r="16" customFormat="false" ht="15" hidden="false" customHeight="false" outlineLevel="0" collapsed="false">
      <c r="A16" s="6" t="s">
        <v>20</v>
      </c>
      <c r="B16" s="6" t="s">
        <v>4281</v>
      </c>
      <c r="C16" s="6" t="s">
        <v>4278</v>
      </c>
      <c r="D16" s="6" t="s">
        <v>4282</v>
      </c>
      <c r="E16" s="6" t="s">
        <v>244</v>
      </c>
      <c r="F16" s="6" t="s">
        <v>4283</v>
      </c>
      <c r="G16" s="6" t="s">
        <v>4284</v>
      </c>
      <c r="H16" s="6" t="s">
        <v>4279</v>
      </c>
      <c r="I16" s="6" t="s">
        <v>4280</v>
      </c>
      <c r="J16" s="6" t="n">
        <v>13</v>
      </c>
      <c r="K16" s="6"/>
    </row>
    <row r="17" customFormat="false" ht="15" hidden="false" customHeight="false" outlineLevel="0" collapsed="false">
      <c r="A17" s="6" t="s">
        <v>21</v>
      </c>
      <c r="B17" s="6" t="s">
        <v>154</v>
      </c>
      <c r="C17" s="6" t="s">
        <v>4272</v>
      </c>
      <c r="D17" s="6" t="s">
        <v>4285</v>
      </c>
      <c r="E17" s="6" t="s">
        <v>237</v>
      </c>
      <c r="F17" s="6" t="s">
        <v>4286</v>
      </c>
      <c r="G17" s="6" t="s">
        <v>4287</v>
      </c>
      <c r="H17" s="6" t="s">
        <v>4276</v>
      </c>
      <c r="I17" s="6" t="s">
        <v>4277</v>
      </c>
      <c r="J17" s="6" t="n">
        <v>13</v>
      </c>
      <c r="K17" s="6"/>
    </row>
    <row r="18" customFormat="false" ht="15" hidden="false" customHeight="false" outlineLevel="0" collapsed="false">
      <c r="A18" s="6" t="s">
        <v>21</v>
      </c>
      <c r="B18" s="6" t="s">
        <v>154</v>
      </c>
      <c r="C18" s="6" t="s">
        <v>4278</v>
      </c>
      <c r="D18" s="6" t="s">
        <v>4285</v>
      </c>
      <c r="E18" s="6" t="s">
        <v>237</v>
      </c>
      <c r="F18" s="6" t="s">
        <v>4286</v>
      </c>
      <c r="G18" s="6" t="s">
        <v>4287</v>
      </c>
      <c r="H18" s="6" t="s">
        <v>4279</v>
      </c>
      <c r="I18" s="6" t="s">
        <v>4280</v>
      </c>
      <c r="J18" s="6" t="n">
        <v>13</v>
      </c>
      <c r="K18" s="6"/>
    </row>
    <row r="19" customFormat="false" ht="15" hidden="false" customHeight="false" outlineLevel="0" collapsed="false">
      <c r="A19" s="6" t="s">
        <v>21</v>
      </c>
      <c r="B19" s="6" t="s">
        <v>149</v>
      </c>
      <c r="C19" s="6" t="s">
        <v>4272</v>
      </c>
      <c r="D19" s="6" t="s">
        <v>4285</v>
      </c>
      <c r="E19" s="6" t="s">
        <v>250</v>
      </c>
      <c r="F19" s="6" t="s">
        <v>4286</v>
      </c>
      <c r="G19" s="6" t="s">
        <v>4287</v>
      </c>
      <c r="H19" s="6" t="s">
        <v>4276</v>
      </c>
      <c r="I19" s="6" t="s">
        <v>4277</v>
      </c>
      <c r="J19" s="6" t="n">
        <v>13</v>
      </c>
      <c r="K19" s="6"/>
    </row>
    <row r="20" customFormat="false" ht="15" hidden="false" customHeight="false" outlineLevel="0" collapsed="false">
      <c r="A20" s="6" t="s">
        <v>21</v>
      </c>
      <c r="B20" s="6" t="s">
        <v>149</v>
      </c>
      <c r="C20" s="6" t="s">
        <v>4278</v>
      </c>
      <c r="D20" s="6" t="s">
        <v>4285</v>
      </c>
      <c r="E20" s="6" t="s">
        <v>250</v>
      </c>
      <c r="F20" s="6" t="s">
        <v>4286</v>
      </c>
      <c r="G20" s="6" t="s">
        <v>4287</v>
      </c>
      <c r="H20" s="6" t="s">
        <v>4279</v>
      </c>
      <c r="I20" s="6" t="s">
        <v>4280</v>
      </c>
      <c r="J20" s="6" t="n">
        <v>13</v>
      </c>
      <c r="K20" s="6"/>
    </row>
    <row r="21" customFormat="false" ht="15" hidden="false" customHeight="false" outlineLevel="0" collapsed="false">
      <c r="A21" s="6" t="s">
        <v>21</v>
      </c>
      <c r="B21" s="6" t="s">
        <v>4281</v>
      </c>
      <c r="C21" s="6" t="s">
        <v>4272</v>
      </c>
      <c r="D21" s="6" t="s">
        <v>4285</v>
      </c>
      <c r="E21" s="6" t="s">
        <v>244</v>
      </c>
      <c r="F21" s="6" t="s">
        <v>4286</v>
      </c>
      <c r="G21" s="6" t="s">
        <v>4287</v>
      </c>
      <c r="H21" s="6" t="s">
        <v>4276</v>
      </c>
      <c r="I21" s="6" t="s">
        <v>4277</v>
      </c>
      <c r="J21" s="6" t="n">
        <v>13</v>
      </c>
      <c r="K21" s="6"/>
    </row>
    <row r="22" customFormat="false" ht="15" hidden="false" customHeight="false" outlineLevel="0" collapsed="false">
      <c r="A22" s="6" t="s">
        <v>21</v>
      </c>
      <c r="B22" s="6" t="s">
        <v>4281</v>
      </c>
      <c r="C22" s="6" t="s">
        <v>4278</v>
      </c>
      <c r="D22" s="6" t="s">
        <v>4285</v>
      </c>
      <c r="E22" s="6" t="s">
        <v>244</v>
      </c>
      <c r="F22" s="6" t="s">
        <v>4286</v>
      </c>
      <c r="G22" s="6" t="s">
        <v>4287</v>
      </c>
      <c r="H22" s="6" t="s">
        <v>4279</v>
      </c>
      <c r="I22" s="6" t="s">
        <v>4280</v>
      </c>
      <c r="J22" s="6" t="n">
        <v>13</v>
      </c>
      <c r="K22" s="6"/>
    </row>
    <row r="23" customFormat="false" ht="15" hidden="false" customHeight="false" outlineLevel="0" collapsed="false">
      <c r="A23" s="6" t="s">
        <v>22</v>
      </c>
      <c r="B23" s="6" t="s">
        <v>154</v>
      </c>
      <c r="C23" s="6" t="s">
        <v>4272</v>
      </c>
      <c r="D23" s="6" t="s">
        <v>4288</v>
      </c>
      <c r="E23" s="6" t="s">
        <v>237</v>
      </c>
      <c r="F23" s="6" t="s">
        <v>4289</v>
      </c>
      <c r="G23" s="6" t="s">
        <v>4290</v>
      </c>
      <c r="H23" s="6" t="s">
        <v>4276</v>
      </c>
      <c r="I23" s="6" t="s">
        <v>4277</v>
      </c>
      <c r="J23" s="6" t="n">
        <v>14</v>
      </c>
      <c r="K23" s="6"/>
    </row>
    <row r="24" customFormat="false" ht="15" hidden="false" customHeight="false" outlineLevel="0" collapsed="false">
      <c r="A24" s="6" t="s">
        <v>22</v>
      </c>
      <c r="B24" s="6" t="s">
        <v>154</v>
      </c>
      <c r="C24" s="6" t="s">
        <v>4278</v>
      </c>
      <c r="D24" s="6" t="s">
        <v>4288</v>
      </c>
      <c r="E24" s="6" t="s">
        <v>237</v>
      </c>
      <c r="F24" s="6" t="s">
        <v>4289</v>
      </c>
      <c r="G24" s="6" t="s">
        <v>4290</v>
      </c>
      <c r="H24" s="6" t="s">
        <v>4279</v>
      </c>
      <c r="I24" s="6" t="s">
        <v>4280</v>
      </c>
      <c r="J24" s="6" t="n">
        <v>13</v>
      </c>
      <c r="K24" s="6"/>
    </row>
    <row r="25" customFormat="false" ht="15" hidden="false" customHeight="false" outlineLevel="0" collapsed="false">
      <c r="A25" s="6" t="s">
        <v>22</v>
      </c>
      <c r="B25" s="6" t="s">
        <v>149</v>
      </c>
      <c r="C25" s="6" t="s">
        <v>4272</v>
      </c>
      <c r="D25" s="6" t="s">
        <v>4288</v>
      </c>
      <c r="E25" s="6" t="s">
        <v>250</v>
      </c>
      <c r="F25" s="6" t="s">
        <v>4289</v>
      </c>
      <c r="G25" s="6" t="s">
        <v>4290</v>
      </c>
      <c r="H25" s="6" t="s">
        <v>4276</v>
      </c>
      <c r="I25" s="6" t="s">
        <v>4277</v>
      </c>
      <c r="J25" s="6" t="n">
        <v>14</v>
      </c>
      <c r="K25" s="6"/>
    </row>
    <row r="26" customFormat="false" ht="15" hidden="false" customHeight="false" outlineLevel="0" collapsed="false">
      <c r="A26" s="6" t="s">
        <v>22</v>
      </c>
      <c r="B26" s="6" t="s">
        <v>149</v>
      </c>
      <c r="C26" s="6" t="s">
        <v>4278</v>
      </c>
      <c r="D26" s="6" t="s">
        <v>4288</v>
      </c>
      <c r="E26" s="6" t="s">
        <v>250</v>
      </c>
      <c r="F26" s="6" t="s">
        <v>4289</v>
      </c>
      <c r="G26" s="6" t="s">
        <v>4290</v>
      </c>
      <c r="H26" s="6" t="s">
        <v>4279</v>
      </c>
      <c r="I26" s="6" t="s">
        <v>4280</v>
      </c>
      <c r="J26" s="6" t="n">
        <v>13</v>
      </c>
      <c r="K26" s="6"/>
    </row>
    <row r="27" customFormat="false" ht="15" hidden="false" customHeight="false" outlineLevel="0" collapsed="false">
      <c r="A27" s="6" t="s">
        <v>22</v>
      </c>
      <c r="B27" s="6" t="s">
        <v>4281</v>
      </c>
      <c r="C27" s="6" t="s">
        <v>4272</v>
      </c>
      <c r="D27" s="6" t="s">
        <v>4288</v>
      </c>
      <c r="E27" s="6" t="s">
        <v>244</v>
      </c>
      <c r="F27" s="6" t="s">
        <v>4289</v>
      </c>
      <c r="G27" s="6" t="s">
        <v>4290</v>
      </c>
      <c r="H27" s="6" t="s">
        <v>4276</v>
      </c>
      <c r="I27" s="6" t="s">
        <v>4277</v>
      </c>
      <c r="J27" s="6" t="n">
        <v>14</v>
      </c>
      <c r="K27" s="6"/>
    </row>
    <row r="28" customFormat="false" ht="15" hidden="false" customHeight="false" outlineLevel="0" collapsed="false">
      <c r="A28" s="6" t="s">
        <v>22</v>
      </c>
      <c r="B28" s="6" t="s">
        <v>4281</v>
      </c>
      <c r="C28" s="6" t="s">
        <v>4278</v>
      </c>
      <c r="D28" s="6" t="s">
        <v>4288</v>
      </c>
      <c r="E28" s="6" t="s">
        <v>244</v>
      </c>
      <c r="F28" s="6" t="s">
        <v>4289</v>
      </c>
      <c r="G28" s="6" t="s">
        <v>4290</v>
      </c>
      <c r="H28" s="6" t="s">
        <v>4279</v>
      </c>
      <c r="I28" s="6" t="s">
        <v>4280</v>
      </c>
      <c r="J28" s="6" t="n">
        <v>13</v>
      </c>
      <c r="K28" s="6"/>
    </row>
    <row r="29" customFormat="false" ht="15" hidden="false" customHeight="false" outlineLevel="0" collapsed="false">
      <c r="A29" s="6" t="s">
        <v>23</v>
      </c>
      <c r="B29" s="6" t="s">
        <v>154</v>
      </c>
      <c r="C29" s="6" t="s">
        <v>4272</v>
      </c>
      <c r="D29" s="6" t="s">
        <v>247</v>
      </c>
      <c r="E29" s="6" t="s">
        <v>237</v>
      </c>
      <c r="F29" s="6" t="s">
        <v>4283</v>
      </c>
      <c r="G29" s="6" t="s">
        <v>4291</v>
      </c>
      <c r="H29" s="6" t="s">
        <v>4276</v>
      </c>
      <c r="I29" s="6" t="s">
        <v>4277</v>
      </c>
      <c r="J29" s="6" t="n">
        <v>14</v>
      </c>
      <c r="K29" s="6"/>
    </row>
    <row r="30" customFormat="false" ht="15" hidden="false" customHeight="false" outlineLevel="0" collapsed="false">
      <c r="A30" s="6" t="s">
        <v>23</v>
      </c>
      <c r="B30" s="6" t="s">
        <v>154</v>
      </c>
      <c r="C30" s="6" t="s">
        <v>4278</v>
      </c>
      <c r="D30" s="6" t="s">
        <v>247</v>
      </c>
      <c r="E30" s="6" t="s">
        <v>237</v>
      </c>
      <c r="F30" s="6" t="s">
        <v>4283</v>
      </c>
      <c r="G30" s="6" t="s">
        <v>4291</v>
      </c>
      <c r="H30" s="6" t="s">
        <v>4279</v>
      </c>
      <c r="I30" s="6" t="s">
        <v>4280</v>
      </c>
      <c r="J30" s="6" t="n">
        <v>13</v>
      </c>
      <c r="K30" s="6"/>
    </row>
    <row r="31" customFormat="false" ht="15" hidden="false" customHeight="false" outlineLevel="0" collapsed="false">
      <c r="A31" s="6" t="s">
        <v>23</v>
      </c>
      <c r="B31" s="6" t="s">
        <v>149</v>
      </c>
      <c r="C31" s="6" t="s">
        <v>4272</v>
      </c>
      <c r="D31" s="6" t="s">
        <v>247</v>
      </c>
      <c r="E31" s="6" t="s">
        <v>250</v>
      </c>
      <c r="F31" s="6" t="s">
        <v>4283</v>
      </c>
      <c r="G31" s="6" t="s">
        <v>4291</v>
      </c>
      <c r="H31" s="6" t="s">
        <v>4276</v>
      </c>
      <c r="I31" s="6" t="s">
        <v>4277</v>
      </c>
      <c r="J31" s="6" t="n">
        <v>14</v>
      </c>
      <c r="K31" s="6"/>
    </row>
    <row r="32" customFormat="false" ht="15" hidden="false" customHeight="false" outlineLevel="0" collapsed="false">
      <c r="A32" s="6" t="s">
        <v>23</v>
      </c>
      <c r="B32" s="6" t="s">
        <v>149</v>
      </c>
      <c r="C32" s="6" t="s">
        <v>4278</v>
      </c>
      <c r="D32" s="6" t="s">
        <v>247</v>
      </c>
      <c r="E32" s="6" t="s">
        <v>250</v>
      </c>
      <c r="F32" s="6" t="s">
        <v>4283</v>
      </c>
      <c r="G32" s="6" t="s">
        <v>4291</v>
      </c>
      <c r="H32" s="6" t="s">
        <v>4279</v>
      </c>
      <c r="I32" s="6" t="s">
        <v>4280</v>
      </c>
      <c r="J32" s="6" t="n">
        <v>13</v>
      </c>
      <c r="K32" s="6"/>
    </row>
    <row r="33" customFormat="false" ht="15" hidden="false" customHeight="false" outlineLevel="0" collapsed="false">
      <c r="A33" s="6" t="s">
        <v>23</v>
      </c>
      <c r="B33" s="6" t="s">
        <v>4281</v>
      </c>
      <c r="C33" s="6" t="s">
        <v>4272</v>
      </c>
      <c r="D33" s="6" t="s">
        <v>247</v>
      </c>
      <c r="E33" s="6" t="s">
        <v>244</v>
      </c>
      <c r="F33" s="6" t="s">
        <v>4283</v>
      </c>
      <c r="G33" s="6" t="s">
        <v>4291</v>
      </c>
      <c r="H33" s="6" t="s">
        <v>4276</v>
      </c>
      <c r="I33" s="6" t="s">
        <v>4277</v>
      </c>
      <c r="J33" s="6" t="n">
        <v>14</v>
      </c>
      <c r="K33" s="6"/>
    </row>
    <row r="34" customFormat="false" ht="15" hidden="false" customHeight="false" outlineLevel="0" collapsed="false">
      <c r="A34" s="6" t="s">
        <v>23</v>
      </c>
      <c r="B34" s="6" t="s">
        <v>4281</v>
      </c>
      <c r="C34" s="6" t="s">
        <v>4278</v>
      </c>
      <c r="D34" s="6" t="s">
        <v>247</v>
      </c>
      <c r="E34" s="6" t="s">
        <v>244</v>
      </c>
      <c r="F34" s="6" t="s">
        <v>4283</v>
      </c>
      <c r="G34" s="6" t="s">
        <v>4291</v>
      </c>
      <c r="H34" s="6" t="s">
        <v>4279</v>
      </c>
      <c r="I34" s="6" t="s">
        <v>4280</v>
      </c>
      <c r="J34" s="6" t="n">
        <v>13</v>
      </c>
      <c r="K34" s="6"/>
    </row>
    <row r="35" customFormat="false" ht="15" hidden="false" customHeight="false" outlineLevel="0" collapsed="false">
      <c r="A35" s="6" t="s">
        <v>24</v>
      </c>
      <c r="B35" s="6" t="s">
        <v>154</v>
      </c>
      <c r="C35" s="6" t="s">
        <v>4272</v>
      </c>
      <c r="D35" s="6" t="s">
        <v>4292</v>
      </c>
      <c r="E35" s="6" t="s">
        <v>237</v>
      </c>
      <c r="F35" s="6" t="s">
        <v>4293</v>
      </c>
      <c r="G35" s="6" t="s">
        <v>4294</v>
      </c>
      <c r="H35" s="6" t="s">
        <v>4276</v>
      </c>
      <c r="I35" s="6" t="s">
        <v>4277</v>
      </c>
      <c r="J35" s="6" t="n">
        <v>14</v>
      </c>
      <c r="K35" s="6"/>
    </row>
    <row r="36" customFormat="false" ht="15" hidden="false" customHeight="false" outlineLevel="0" collapsed="false">
      <c r="A36" s="6" t="s">
        <v>24</v>
      </c>
      <c r="B36" s="6" t="s">
        <v>154</v>
      </c>
      <c r="C36" s="6" t="s">
        <v>4278</v>
      </c>
      <c r="D36" s="6" t="s">
        <v>4292</v>
      </c>
      <c r="E36" s="6" t="s">
        <v>237</v>
      </c>
      <c r="F36" s="6" t="s">
        <v>4293</v>
      </c>
      <c r="G36" s="6" t="s">
        <v>4294</v>
      </c>
      <c r="H36" s="6" t="s">
        <v>4279</v>
      </c>
      <c r="I36" s="6" t="s">
        <v>4280</v>
      </c>
      <c r="J36" s="6" t="n">
        <v>13</v>
      </c>
      <c r="K36" s="6"/>
    </row>
    <row r="37" customFormat="false" ht="15" hidden="false" customHeight="false" outlineLevel="0" collapsed="false">
      <c r="A37" s="6" t="s">
        <v>24</v>
      </c>
      <c r="B37" s="6" t="s">
        <v>149</v>
      </c>
      <c r="C37" s="6" t="s">
        <v>4272</v>
      </c>
      <c r="D37" s="6" t="s">
        <v>4292</v>
      </c>
      <c r="E37" s="6" t="s">
        <v>250</v>
      </c>
      <c r="F37" s="6" t="s">
        <v>4293</v>
      </c>
      <c r="G37" s="6" t="s">
        <v>4294</v>
      </c>
      <c r="H37" s="6" t="s">
        <v>4276</v>
      </c>
      <c r="I37" s="6" t="s">
        <v>4277</v>
      </c>
      <c r="J37" s="6" t="n">
        <v>15</v>
      </c>
      <c r="K37" s="6"/>
    </row>
    <row r="38" customFormat="false" ht="15" hidden="false" customHeight="false" outlineLevel="0" collapsed="false">
      <c r="A38" s="6" t="s">
        <v>24</v>
      </c>
      <c r="B38" s="6" t="s">
        <v>149</v>
      </c>
      <c r="C38" s="6" t="s">
        <v>4278</v>
      </c>
      <c r="D38" s="6" t="s">
        <v>4292</v>
      </c>
      <c r="E38" s="6" t="s">
        <v>250</v>
      </c>
      <c r="F38" s="6" t="s">
        <v>4293</v>
      </c>
      <c r="G38" s="6" t="s">
        <v>4294</v>
      </c>
      <c r="H38" s="6" t="s">
        <v>4279</v>
      </c>
      <c r="I38" s="6" t="s">
        <v>4280</v>
      </c>
      <c r="J38" s="6" t="n">
        <v>13</v>
      </c>
      <c r="K38" s="6"/>
    </row>
    <row r="39" customFormat="false" ht="15" hidden="false" customHeight="false" outlineLevel="0" collapsed="false">
      <c r="A39" s="6" t="s">
        <v>24</v>
      </c>
      <c r="B39" s="6" t="s">
        <v>4281</v>
      </c>
      <c r="C39" s="6" t="s">
        <v>4272</v>
      </c>
      <c r="D39" s="6" t="s">
        <v>4292</v>
      </c>
      <c r="E39" s="6" t="s">
        <v>244</v>
      </c>
      <c r="F39" s="6" t="s">
        <v>4293</v>
      </c>
      <c r="G39" s="6" t="s">
        <v>4294</v>
      </c>
      <c r="H39" s="6" t="s">
        <v>4276</v>
      </c>
      <c r="I39" s="6" t="s">
        <v>4277</v>
      </c>
      <c r="J39" s="6" t="n">
        <v>15</v>
      </c>
      <c r="K39" s="6"/>
    </row>
    <row r="40" customFormat="false" ht="15" hidden="false" customHeight="false" outlineLevel="0" collapsed="false">
      <c r="A40" s="6" t="s">
        <v>24</v>
      </c>
      <c r="B40" s="6" t="s">
        <v>4281</v>
      </c>
      <c r="C40" s="6" t="s">
        <v>4278</v>
      </c>
      <c r="D40" s="6" t="s">
        <v>4292</v>
      </c>
      <c r="E40" s="6" t="s">
        <v>244</v>
      </c>
      <c r="F40" s="6" t="s">
        <v>4293</v>
      </c>
      <c r="G40" s="6" t="s">
        <v>4294</v>
      </c>
      <c r="H40" s="6" t="s">
        <v>4279</v>
      </c>
      <c r="I40" s="6" t="s">
        <v>4280</v>
      </c>
      <c r="J40" s="6" t="n">
        <v>13</v>
      </c>
      <c r="K40" s="6"/>
    </row>
    <row r="41" customFormat="false" ht="15" hidden="false" customHeight="false" outlineLevel="0" collapsed="false">
      <c r="A41" s="6" t="s">
        <v>25</v>
      </c>
      <c r="B41" s="6" t="s">
        <v>154</v>
      </c>
      <c r="C41" s="6" t="s">
        <v>4272</v>
      </c>
      <c r="D41" s="6" t="s">
        <v>4295</v>
      </c>
      <c r="E41" s="6" t="s">
        <v>237</v>
      </c>
      <c r="F41" s="6" t="s">
        <v>4296</v>
      </c>
      <c r="G41" s="6" t="s">
        <v>4297</v>
      </c>
      <c r="H41" s="6" t="s">
        <v>4276</v>
      </c>
      <c r="I41" s="6" t="s">
        <v>4277</v>
      </c>
      <c r="J41" s="6" t="n">
        <v>15</v>
      </c>
      <c r="K41" s="6"/>
    </row>
    <row r="42" customFormat="false" ht="15" hidden="false" customHeight="false" outlineLevel="0" collapsed="false">
      <c r="A42" s="6" t="s">
        <v>25</v>
      </c>
      <c r="B42" s="6" t="s">
        <v>154</v>
      </c>
      <c r="C42" s="6" t="s">
        <v>4278</v>
      </c>
      <c r="D42" s="6" t="s">
        <v>4295</v>
      </c>
      <c r="E42" s="6" t="s">
        <v>237</v>
      </c>
      <c r="F42" s="6" t="s">
        <v>4298</v>
      </c>
      <c r="G42" s="6" t="s">
        <v>4299</v>
      </c>
      <c r="H42" s="6" t="s">
        <v>4279</v>
      </c>
      <c r="I42" s="6" t="s">
        <v>4280</v>
      </c>
      <c r="J42" s="6" t="n">
        <v>13</v>
      </c>
      <c r="K42" s="6"/>
    </row>
    <row r="43" customFormat="false" ht="15" hidden="false" customHeight="false" outlineLevel="0" collapsed="false">
      <c r="A43" s="6" t="s">
        <v>25</v>
      </c>
      <c r="B43" s="6" t="s">
        <v>149</v>
      </c>
      <c r="C43" s="6" t="s">
        <v>4272</v>
      </c>
      <c r="D43" s="6" t="s">
        <v>4300</v>
      </c>
      <c r="E43" s="6" t="s">
        <v>250</v>
      </c>
      <c r="F43" s="6" t="s">
        <v>4298</v>
      </c>
      <c r="G43" s="6" t="s">
        <v>4299</v>
      </c>
      <c r="H43" s="6" t="s">
        <v>4276</v>
      </c>
      <c r="I43" s="6" t="s">
        <v>4277</v>
      </c>
      <c r="J43" s="6" t="n">
        <v>15</v>
      </c>
      <c r="K43" s="6" t="s">
        <v>4301</v>
      </c>
    </row>
    <row r="44" customFormat="false" ht="15" hidden="false" customHeight="false" outlineLevel="0" collapsed="false">
      <c r="A44" s="6" t="s">
        <v>25</v>
      </c>
      <c r="B44" s="6" t="s">
        <v>149</v>
      </c>
      <c r="C44" s="6" t="s">
        <v>4278</v>
      </c>
      <c r="D44" s="6" t="s">
        <v>4300</v>
      </c>
      <c r="E44" s="6" t="s">
        <v>250</v>
      </c>
      <c r="F44" s="6" t="s">
        <v>4298</v>
      </c>
      <c r="G44" s="6" t="s">
        <v>4299</v>
      </c>
      <c r="H44" s="6" t="s">
        <v>4279</v>
      </c>
      <c r="I44" s="6" t="s">
        <v>4280</v>
      </c>
      <c r="J44" s="6" t="n">
        <v>13</v>
      </c>
      <c r="K44" s="6" t="s">
        <v>4302</v>
      </c>
    </row>
    <row r="45" customFormat="false" ht="15" hidden="false" customHeight="false" outlineLevel="0" collapsed="false">
      <c r="A45" s="6" t="s">
        <v>25</v>
      </c>
      <c r="B45" s="6" t="s">
        <v>4281</v>
      </c>
      <c r="C45" s="6" t="s">
        <v>4272</v>
      </c>
      <c r="D45" s="6" t="s">
        <v>4300</v>
      </c>
      <c r="E45" s="6" t="s">
        <v>244</v>
      </c>
      <c r="F45" s="6" t="s">
        <v>4298</v>
      </c>
      <c r="G45" s="6" t="s">
        <v>4299</v>
      </c>
      <c r="H45" s="6" t="s">
        <v>4276</v>
      </c>
      <c r="I45" s="6" t="s">
        <v>4277</v>
      </c>
      <c r="J45" s="6" t="n">
        <v>15</v>
      </c>
      <c r="K45" s="6" t="s">
        <v>4301</v>
      </c>
    </row>
    <row r="46" customFormat="false" ht="15" hidden="false" customHeight="false" outlineLevel="0" collapsed="false">
      <c r="A46" s="6" t="s">
        <v>25</v>
      </c>
      <c r="B46" s="6" t="s">
        <v>4281</v>
      </c>
      <c r="C46" s="6" t="s">
        <v>4278</v>
      </c>
      <c r="D46" s="6" t="s">
        <v>4300</v>
      </c>
      <c r="E46" s="6" t="s">
        <v>244</v>
      </c>
      <c r="F46" s="6" t="s">
        <v>4298</v>
      </c>
      <c r="G46" s="6" t="s">
        <v>4299</v>
      </c>
      <c r="H46" s="6" t="s">
        <v>4279</v>
      </c>
      <c r="I46" s="6" t="s">
        <v>4280</v>
      </c>
      <c r="J46" s="6" t="n">
        <v>13</v>
      </c>
      <c r="K46" s="6" t="s">
        <v>4302</v>
      </c>
    </row>
    <row r="47" customFormat="false" ht="15" hidden="false" customHeight="false" outlineLevel="0" collapsed="false">
      <c r="A47" s="6" t="s">
        <v>26</v>
      </c>
      <c r="B47" s="6" t="s">
        <v>154</v>
      </c>
      <c r="C47" s="6" t="s">
        <v>4272</v>
      </c>
      <c r="D47" s="6" t="s">
        <v>4303</v>
      </c>
      <c r="E47" s="6" t="s">
        <v>237</v>
      </c>
      <c r="F47" s="6" t="s">
        <v>4304</v>
      </c>
      <c r="G47" s="6" t="s">
        <v>4305</v>
      </c>
      <c r="H47" s="6" t="s">
        <v>4276</v>
      </c>
      <c r="I47" s="6" t="s">
        <v>4277</v>
      </c>
      <c r="J47" s="6" t="n">
        <v>15</v>
      </c>
      <c r="K47" s="6"/>
    </row>
    <row r="48" customFormat="false" ht="15" hidden="false" customHeight="false" outlineLevel="0" collapsed="false">
      <c r="A48" s="6" t="s">
        <v>26</v>
      </c>
      <c r="B48" s="6" t="s">
        <v>154</v>
      </c>
      <c r="C48" s="6" t="s">
        <v>4278</v>
      </c>
      <c r="D48" s="6" t="s">
        <v>4303</v>
      </c>
      <c r="E48" s="6" t="s">
        <v>237</v>
      </c>
      <c r="F48" s="6" t="s">
        <v>4304</v>
      </c>
      <c r="G48" s="6" t="s">
        <v>4305</v>
      </c>
      <c r="H48" s="6" t="s">
        <v>4279</v>
      </c>
      <c r="I48" s="6" t="s">
        <v>4280</v>
      </c>
      <c r="J48" s="6" t="n">
        <v>13</v>
      </c>
      <c r="K48" s="6"/>
    </row>
    <row r="49" customFormat="false" ht="15" hidden="false" customHeight="false" outlineLevel="0" collapsed="false">
      <c r="A49" s="6" t="s">
        <v>26</v>
      </c>
      <c r="B49" s="6" t="s">
        <v>149</v>
      </c>
      <c r="C49" s="6" t="s">
        <v>4272</v>
      </c>
      <c r="D49" s="6" t="s">
        <v>4306</v>
      </c>
      <c r="E49" s="6" t="s">
        <v>250</v>
      </c>
      <c r="F49" s="6" t="s">
        <v>4304</v>
      </c>
      <c r="G49" s="6" t="s">
        <v>4305</v>
      </c>
      <c r="H49" s="6" t="s">
        <v>4276</v>
      </c>
      <c r="I49" s="6" t="s">
        <v>4277</v>
      </c>
      <c r="J49" s="6" t="n">
        <v>16</v>
      </c>
      <c r="K49" s="6"/>
    </row>
    <row r="50" customFormat="false" ht="15" hidden="false" customHeight="false" outlineLevel="0" collapsed="false">
      <c r="A50" s="6" t="s">
        <v>26</v>
      </c>
      <c r="B50" s="6" t="s">
        <v>149</v>
      </c>
      <c r="C50" s="6" t="s">
        <v>4278</v>
      </c>
      <c r="D50" s="6" t="s">
        <v>4306</v>
      </c>
      <c r="E50" s="6" t="s">
        <v>250</v>
      </c>
      <c r="F50" s="6" t="s">
        <v>4304</v>
      </c>
      <c r="G50" s="6" t="s">
        <v>4305</v>
      </c>
      <c r="H50" s="6" t="s">
        <v>4279</v>
      </c>
      <c r="I50" s="6" t="s">
        <v>4280</v>
      </c>
      <c r="J50" s="6" t="n">
        <v>13</v>
      </c>
      <c r="K50" s="6"/>
    </row>
    <row r="51" customFormat="false" ht="15" hidden="false" customHeight="false" outlineLevel="0" collapsed="false">
      <c r="A51" s="6" t="s">
        <v>26</v>
      </c>
      <c r="B51" s="6" t="s">
        <v>4281</v>
      </c>
      <c r="C51" s="6" t="s">
        <v>4272</v>
      </c>
      <c r="D51" s="6" t="s">
        <v>4306</v>
      </c>
      <c r="E51" s="6" t="s">
        <v>244</v>
      </c>
      <c r="F51" s="6" t="s">
        <v>4304</v>
      </c>
      <c r="G51" s="6" t="s">
        <v>4305</v>
      </c>
      <c r="H51" s="6" t="s">
        <v>4276</v>
      </c>
      <c r="I51" s="6" t="s">
        <v>4277</v>
      </c>
      <c r="J51" s="6" t="n">
        <v>16</v>
      </c>
      <c r="K51" s="6"/>
    </row>
    <row r="52" customFormat="false" ht="15" hidden="false" customHeight="false" outlineLevel="0" collapsed="false">
      <c r="A52" s="6" t="s">
        <v>26</v>
      </c>
      <c r="B52" s="6" t="s">
        <v>4281</v>
      </c>
      <c r="C52" s="6" t="s">
        <v>4278</v>
      </c>
      <c r="D52" s="6" t="s">
        <v>4306</v>
      </c>
      <c r="E52" s="6" t="s">
        <v>244</v>
      </c>
      <c r="F52" s="6" t="s">
        <v>4304</v>
      </c>
      <c r="G52" s="6" t="s">
        <v>4305</v>
      </c>
      <c r="H52" s="6" t="s">
        <v>4279</v>
      </c>
      <c r="I52" s="6" t="s">
        <v>4280</v>
      </c>
      <c r="J52" s="6" t="n">
        <v>13</v>
      </c>
      <c r="K52" s="6"/>
    </row>
    <row r="53" customFormat="false" ht="15" hidden="false" customHeight="false" outlineLevel="0" collapsed="false">
      <c r="A53" s="6" t="s">
        <v>27</v>
      </c>
      <c r="B53" s="6" t="s">
        <v>154</v>
      </c>
      <c r="C53" s="6" t="s">
        <v>4272</v>
      </c>
      <c r="D53" s="6" t="s">
        <v>234</v>
      </c>
      <c r="E53" s="6" t="s">
        <v>237</v>
      </c>
      <c r="F53" s="6" t="s">
        <v>4307</v>
      </c>
      <c r="G53" s="6" t="s">
        <v>4287</v>
      </c>
      <c r="H53" s="6" t="s">
        <v>4276</v>
      </c>
      <c r="I53" s="6" t="s">
        <v>4277</v>
      </c>
      <c r="J53" s="6" t="n">
        <v>16</v>
      </c>
      <c r="K53" s="6"/>
    </row>
    <row r="54" customFormat="false" ht="15" hidden="false" customHeight="false" outlineLevel="0" collapsed="false">
      <c r="A54" s="6" t="s">
        <v>27</v>
      </c>
      <c r="B54" s="6" t="s">
        <v>154</v>
      </c>
      <c r="C54" s="6" t="s">
        <v>4278</v>
      </c>
      <c r="D54" s="6" t="s">
        <v>234</v>
      </c>
      <c r="E54" s="6" t="s">
        <v>237</v>
      </c>
      <c r="F54" s="6" t="s">
        <v>4307</v>
      </c>
      <c r="G54" s="6" t="s">
        <v>4287</v>
      </c>
      <c r="H54" s="6" t="s">
        <v>4279</v>
      </c>
      <c r="I54" s="6" t="s">
        <v>4280</v>
      </c>
      <c r="J54" s="6" t="n">
        <v>13</v>
      </c>
      <c r="K54" s="6"/>
    </row>
    <row r="55" customFormat="false" ht="15" hidden="false" customHeight="false" outlineLevel="0" collapsed="false">
      <c r="A55" s="6" t="s">
        <v>27</v>
      </c>
      <c r="B55" s="6" t="s">
        <v>149</v>
      </c>
      <c r="C55" s="6" t="s">
        <v>4272</v>
      </c>
      <c r="D55" s="6" t="s">
        <v>234</v>
      </c>
      <c r="E55" s="6" t="s">
        <v>250</v>
      </c>
      <c r="F55" s="6" t="s">
        <v>4307</v>
      </c>
      <c r="G55" s="6" t="s">
        <v>4287</v>
      </c>
      <c r="H55" s="6" t="s">
        <v>4276</v>
      </c>
      <c r="I55" s="6" t="s">
        <v>4277</v>
      </c>
      <c r="J55" s="6" t="n">
        <v>16</v>
      </c>
      <c r="K55" s="6"/>
    </row>
    <row r="56" customFormat="false" ht="15" hidden="false" customHeight="false" outlineLevel="0" collapsed="false">
      <c r="A56" s="6" t="s">
        <v>27</v>
      </c>
      <c r="B56" s="6" t="s">
        <v>149</v>
      </c>
      <c r="C56" s="6" t="s">
        <v>4278</v>
      </c>
      <c r="D56" s="6" t="s">
        <v>234</v>
      </c>
      <c r="E56" s="6" t="s">
        <v>250</v>
      </c>
      <c r="F56" s="6" t="s">
        <v>4307</v>
      </c>
      <c r="G56" s="6" t="s">
        <v>4287</v>
      </c>
      <c r="H56" s="6" t="s">
        <v>4279</v>
      </c>
      <c r="I56" s="6" t="s">
        <v>4280</v>
      </c>
      <c r="J56" s="6" t="n">
        <v>13</v>
      </c>
      <c r="K56" s="6"/>
    </row>
    <row r="57" customFormat="false" ht="15" hidden="false" customHeight="false" outlineLevel="0" collapsed="false">
      <c r="A57" s="6" t="s">
        <v>27</v>
      </c>
      <c r="B57" s="6" t="s">
        <v>4281</v>
      </c>
      <c r="C57" s="6" t="s">
        <v>4272</v>
      </c>
      <c r="D57" s="6" t="s">
        <v>234</v>
      </c>
      <c r="E57" s="6" t="s">
        <v>244</v>
      </c>
      <c r="F57" s="6" t="s">
        <v>4307</v>
      </c>
      <c r="G57" s="6" t="s">
        <v>4287</v>
      </c>
      <c r="H57" s="6" t="s">
        <v>4276</v>
      </c>
      <c r="I57" s="6" t="s">
        <v>4277</v>
      </c>
      <c r="J57" s="6" t="n">
        <v>16</v>
      </c>
      <c r="K57" s="6"/>
    </row>
    <row r="58" customFormat="false" ht="15" hidden="false" customHeight="false" outlineLevel="0" collapsed="false">
      <c r="A58" s="6" t="s">
        <v>27</v>
      </c>
      <c r="B58" s="6" t="s">
        <v>4281</v>
      </c>
      <c r="C58" s="6" t="s">
        <v>4278</v>
      </c>
      <c r="D58" s="6" t="s">
        <v>234</v>
      </c>
      <c r="E58" s="6" t="s">
        <v>244</v>
      </c>
      <c r="F58" s="6" t="s">
        <v>4307</v>
      </c>
      <c r="G58" s="6" t="s">
        <v>4287</v>
      </c>
      <c r="H58" s="6" t="s">
        <v>4279</v>
      </c>
      <c r="I58" s="6" t="s">
        <v>4280</v>
      </c>
      <c r="J58" s="6" t="n">
        <v>13</v>
      </c>
      <c r="K58" s="6"/>
    </row>
    <row r="59" customFormat="false" ht="15" hidden="false" customHeight="false" outlineLevel="0" collapsed="false">
      <c r="A59" s="6" t="s">
        <v>28</v>
      </c>
      <c r="B59" s="6" t="s">
        <v>154</v>
      </c>
      <c r="C59" s="6" t="s">
        <v>4272</v>
      </c>
      <c r="D59" s="6" t="s">
        <v>230</v>
      </c>
      <c r="E59" s="6" t="s">
        <v>237</v>
      </c>
      <c r="F59" s="6" t="s">
        <v>4308</v>
      </c>
      <c r="G59" s="6" t="s">
        <v>4309</v>
      </c>
      <c r="H59" s="6" t="s">
        <v>4276</v>
      </c>
      <c r="I59" s="6" t="s">
        <v>4277</v>
      </c>
      <c r="J59" s="6" t="n">
        <v>16</v>
      </c>
      <c r="K59" s="6"/>
    </row>
    <row r="60" customFormat="false" ht="15" hidden="false" customHeight="false" outlineLevel="0" collapsed="false">
      <c r="A60" s="6" t="s">
        <v>28</v>
      </c>
      <c r="B60" s="6" t="s">
        <v>154</v>
      </c>
      <c r="C60" s="6" t="s">
        <v>4278</v>
      </c>
      <c r="D60" s="6" t="s">
        <v>230</v>
      </c>
      <c r="E60" s="6" t="s">
        <v>237</v>
      </c>
      <c r="F60" s="6" t="s">
        <v>4308</v>
      </c>
      <c r="G60" s="6" t="s">
        <v>4309</v>
      </c>
      <c r="H60" s="6" t="s">
        <v>4279</v>
      </c>
      <c r="I60" s="6" t="s">
        <v>4280</v>
      </c>
      <c r="J60" s="6" t="n">
        <v>13</v>
      </c>
      <c r="K60" s="6"/>
    </row>
    <row r="61" customFormat="false" ht="15" hidden="false" customHeight="false" outlineLevel="0" collapsed="false">
      <c r="A61" s="6" t="s">
        <v>28</v>
      </c>
      <c r="B61" s="6" t="s">
        <v>149</v>
      </c>
      <c r="C61" s="6" t="s">
        <v>4272</v>
      </c>
      <c r="D61" s="6" t="s">
        <v>230</v>
      </c>
      <c r="E61" s="6" t="s">
        <v>250</v>
      </c>
      <c r="F61" s="6" t="s">
        <v>4308</v>
      </c>
      <c r="G61" s="6" t="s">
        <v>4309</v>
      </c>
      <c r="H61" s="6" t="s">
        <v>4276</v>
      </c>
      <c r="I61" s="6" t="s">
        <v>4277</v>
      </c>
      <c r="J61" s="6" t="n">
        <v>16</v>
      </c>
      <c r="K61" s="6"/>
    </row>
    <row r="62" customFormat="false" ht="15" hidden="false" customHeight="false" outlineLevel="0" collapsed="false">
      <c r="A62" s="6" t="s">
        <v>28</v>
      </c>
      <c r="B62" s="6" t="s">
        <v>149</v>
      </c>
      <c r="C62" s="6" t="s">
        <v>4278</v>
      </c>
      <c r="D62" s="6" t="s">
        <v>230</v>
      </c>
      <c r="E62" s="6" t="s">
        <v>250</v>
      </c>
      <c r="F62" s="6" t="s">
        <v>4308</v>
      </c>
      <c r="G62" s="6" t="s">
        <v>4309</v>
      </c>
      <c r="H62" s="6" t="s">
        <v>4279</v>
      </c>
      <c r="I62" s="6" t="s">
        <v>4280</v>
      </c>
      <c r="J62" s="6" t="n">
        <v>13</v>
      </c>
      <c r="K62" s="6"/>
    </row>
    <row r="63" customFormat="false" ht="15" hidden="false" customHeight="false" outlineLevel="0" collapsed="false">
      <c r="A63" s="6" t="s">
        <v>28</v>
      </c>
      <c r="B63" s="6" t="s">
        <v>4281</v>
      </c>
      <c r="C63" s="6" t="s">
        <v>4272</v>
      </c>
      <c r="D63" s="6" t="s">
        <v>230</v>
      </c>
      <c r="E63" s="6" t="s">
        <v>244</v>
      </c>
      <c r="F63" s="6" t="s">
        <v>4308</v>
      </c>
      <c r="G63" s="6" t="s">
        <v>4309</v>
      </c>
      <c r="H63" s="6" t="s">
        <v>4276</v>
      </c>
      <c r="I63" s="6" t="s">
        <v>4277</v>
      </c>
      <c r="J63" s="6" t="n">
        <v>16</v>
      </c>
      <c r="K63" s="6"/>
    </row>
    <row r="64" customFormat="false" ht="15" hidden="false" customHeight="false" outlineLevel="0" collapsed="false">
      <c r="A64" s="6" t="s">
        <v>28</v>
      </c>
      <c r="B64" s="6" t="s">
        <v>4281</v>
      </c>
      <c r="C64" s="6" t="s">
        <v>4278</v>
      </c>
      <c r="D64" s="6" t="s">
        <v>230</v>
      </c>
      <c r="E64" s="6" t="s">
        <v>244</v>
      </c>
      <c r="F64" s="6" t="s">
        <v>4308</v>
      </c>
      <c r="G64" s="6" t="s">
        <v>4309</v>
      </c>
      <c r="H64" s="6" t="s">
        <v>4279</v>
      </c>
      <c r="I64" s="6" t="s">
        <v>4280</v>
      </c>
      <c r="J64" s="6" t="n">
        <v>13</v>
      </c>
      <c r="K64" s="6"/>
    </row>
    <row r="65" customFormat="false" ht="15" hidden="false" customHeight="false" outlineLevel="0" collapsed="false">
      <c r="A65" s="6" t="s">
        <v>29</v>
      </c>
      <c r="B65" s="6" t="s">
        <v>154</v>
      </c>
      <c r="C65" s="6" t="s">
        <v>4272</v>
      </c>
      <c r="D65" s="6" t="s">
        <v>4306</v>
      </c>
      <c r="E65" s="6" t="s">
        <v>237</v>
      </c>
      <c r="F65" s="6" t="s">
        <v>4310</v>
      </c>
      <c r="G65" s="6" t="s">
        <v>4311</v>
      </c>
      <c r="H65" s="6" t="s">
        <v>4276</v>
      </c>
      <c r="I65" s="6" t="s">
        <v>4277</v>
      </c>
      <c r="J65" s="6" t="n">
        <v>17</v>
      </c>
      <c r="K65" s="6"/>
    </row>
    <row r="66" customFormat="false" ht="15" hidden="false" customHeight="false" outlineLevel="0" collapsed="false">
      <c r="A66" s="6" t="s">
        <v>29</v>
      </c>
      <c r="B66" s="6" t="s">
        <v>154</v>
      </c>
      <c r="C66" s="6" t="s">
        <v>4278</v>
      </c>
      <c r="D66" s="6" t="s">
        <v>4306</v>
      </c>
      <c r="E66" s="6" t="s">
        <v>237</v>
      </c>
      <c r="F66" s="6" t="s">
        <v>4310</v>
      </c>
      <c r="G66" s="6" t="s">
        <v>4311</v>
      </c>
      <c r="H66" s="6" t="s">
        <v>4279</v>
      </c>
      <c r="I66" s="6" t="s">
        <v>4280</v>
      </c>
      <c r="J66" s="6" t="n">
        <v>13</v>
      </c>
      <c r="K66" s="6"/>
    </row>
    <row r="67" customFormat="false" ht="15" hidden="false" customHeight="false" outlineLevel="0" collapsed="false">
      <c r="A67" s="6" t="s">
        <v>29</v>
      </c>
      <c r="B67" s="6" t="s">
        <v>149</v>
      </c>
      <c r="C67" s="6" t="s">
        <v>4272</v>
      </c>
      <c r="D67" s="6" t="s">
        <v>4306</v>
      </c>
      <c r="E67" s="6" t="s">
        <v>250</v>
      </c>
      <c r="F67" s="6" t="s">
        <v>4310</v>
      </c>
      <c r="G67" s="6" t="s">
        <v>4311</v>
      </c>
      <c r="H67" s="6" t="s">
        <v>4276</v>
      </c>
      <c r="I67" s="6" t="s">
        <v>4277</v>
      </c>
      <c r="J67" s="6" t="n">
        <v>16</v>
      </c>
      <c r="K67" s="6"/>
    </row>
    <row r="68" customFormat="false" ht="15" hidden="false" customHeight="false" outlineLevel="0" collapsed="false">
      <c r="A68" s="6" t="s">
        <v>29</v>
      </c>
      <c r="B68" s="6" t="s">
        <v>149</v>
      </c>
      <c r="C68" s="6" t="s">
        <v>4278</v>
      </c>
      <c r="D68" s="6" t="s">
        <v>4306</v>
      </c>
      <c r="E68" s="6" t="s">
        <v>250</v>
      </c>
      <c r="F68" s="6" t="s">
        <v>4310</v>
      </c>
      <c r="G68" s="6" t="s">
        <v>4311</v>
      </c>
      <c r="H68" s="6" t="s">
        <v>4279</v>
      </c>
      <c r="I68" s="6" t="s">
        <v>4280</v>
      </c>
      <c r="J68" s="6" t="n">
        <v>13</v>
      </c>
      <c r="K68" s="6"/>
    </row>
    <row r="69" customFormat="false" ht="15" hidden="false" customHeight="false" outlineLevel="0" collapsed="false">
      <c r="A69" s="6" t="s">
        <v>29</v>
      </c>
      <c r="B69" s="6" t="s">
        <v>4281</v>
      </c>
      <c r="C69" s="6" t="s">
        <v>4272</v>
      </c>
      <c r="D69" s="6" t="s">
        <v>4306</v>
      </c>
      <c r="E69" s="6" t="s">
        <v>244</v>
      </c>
      <c r="F69" s="6" t="s">
        <v>4310</v>
      </c>
      <c r="G69" s="6" t="s">
        <v>4311</v>
      </c>
      <c r="H69" s="6" t="s">
        <v>4276</v>
      </c>
      <c r="I69" s="6" t="s">
        <v>4277</v>
      </c>
      <c r="J69" s="6" t="n">
        <v>16</v>
      </c>
      <c r="K69" s="6"/>
    </row>
    <row r="70" customFormat="false" ht="15" hidden="false" customHeight="false" outlineLevel="0" collapsed="false">
      <c r="A70" s="6" t="s">
        <v>29</v>
      </c>
      <c r="B70" s="6" t="s">
        <v>4281</v>
      </c>
      <c r="C70" s="6" t="s">
        <v>4278</v>
      </c>
      <c r="D70" s="6" t="s">
        <v>4306</v>
      </c>
      <c r="E70" s="6" t="s">
        <v>244</v>
      </c>
      <c r="F70" s="6" t="s">
        <v>4310</v>
      </c>
      <c r="G70" s="6" t="s">
        <v>4311</v>
      </c>
      <c r="H70" s="6" t="s">
        <v>4279</v>
      </c>
      <c r="I70" s="6" t="s">
        <v>4280</v>
      </c>
      <c r="J70" s="6" t="n">
        <v>13</v>
      </c>
      <c r="K70" s="6"/>
    </row>
    <row r="71" customFormat="false" ht="15" hidden="false" customHeight="false" outlineLevel="0" collapsed="false">
      <c r="A71" s="6" t="s">
        <v>30</v>
      </c>
      <c r="B71" s="6" t="s">
        <v>154</v>
      </c>
      <c r="C71" s="6" t="s">
        <v>4272</v>
      </c>
      <c r="D71" s="6" t="s">
        <v>4288</v>
      </c>
      <c r="E71" s="6" t="s">
        <v>237</v>
      </c>
      <c r="F71" s="6" t="s">
        <v>4289</v>
      </c>
      <c r="G71" s="6" t="s">
        <v>4290</v>
      </c>
      <c r="H71" s="6" t="s">
        <v>4276</v>
      </c>
      <c r="I71" s="6" t="s">
        <v>4277</v>
      </c>
      <c r="J71" s="6" t="n">
        <v>14</v>
      </c>
      <c r="K71" s="6"/>
    </row>
    <row r="72" customFormat="false" ht="15" hidden="false" customHeight="false" outlineLevel="0" collapsed="false">
      <c r="A72" s="6" t="s">
        <v>30</v>
      </c>
      <c r="B72" s="6" t="s">
        <v>154</v>
      </c>
      <c r="C72" s="6" t="s">
        <v>4278</v>
      </c>
      <c r="D72" s="6" t="s">
        <v>4288</v>
      </c>
      <c r="E72" s="6" t="s">
        <v>237</v>
      </c>
      <c r="F72" s="6" t="s">
        <v>4289</v>
      </c>
      <c r="G72" s="6" t="s">
        <v>4290</v>
      </c>
      <c r="H72" s="6" t="s">
        <v>4279</v>
      </c>
      <c r="I72" s="6" t="s">
        <v>4280</v>
      </c>
      <c r="J72" s="6" t="n">
        <v>13</v>
      </c>
      <c r="K72" s="6"/>
    </row>
    <row r="73" customFormat="false" ht="15" hidden="false" customHeight="false" outlineLevel="0" collapsed="false">
      <c r="A73" s="6" t="s">
        <v>30</v>
      </c>
      <c r="B73" s="6" t="s">
        <v>149</v>
      </c>
      <c r="C73" s="6" t="s">
        <v>4272</v>
      </c>
      <c r="D73" s="6" t="s">
        <v>4288</v>
      </c>
      <c r="E73" s="6" t="s">
        <v>250</v>
      </c>
      <c r="F73" s="6" t="s">
        <v>4289</v>
      </c>
      <c r="G73" s="6" t="s">
        <v>4290</v>
      </c>
      <c r="H73" s="6" t="s">
        <v>4276</v>
      </c>
      <c r="I73" s="6" t="s">
        <v>4277</v>
      </c>
      <c r="J73" s="6" t="n">
        <v>14</v>
      </c>
      <c r="K73" s="6"/>
    </row>
    <row r="74" customFormat="false" ht="15" hidden="false" customHeight="false" outlineLevel="0" collapsed="false">
      <c r="A74" s="6" t="s">
        <v>30</v>
      </c>
      <c r="B74" s="6" t="s">
        <v>149</v>
      </c>
      <c r="C74" s="6" t="s">
        <v>4278</v>
      </c>
      <c r="D74" s="6" t="s">
        <v>4288</v>
      </c>
      <c r="E74" s="6" t="s">
        <v>250</v>
      </c>
      <c r="F74" s="6" t="s">
        <v>4289</v>
      </c>
      <c r="G74" s="6" t="s">
        <v>4290</v>
      </c>
      <c r="H74" s="6" t="s">
        <v>4279</v>
      </c>
      <c r="I74" s="6" t="s">
        <v>4280</v>
      </c>
      <c r="J74" s="6" t="n">
        <v>13</v>
      </c>
      <c r="K74" s="6"/>
    </row>
    <row r="75" customFormat="false" ht="15" hidden="false" customHeight="false" outlineLevel="0" collapsed="false">
      <c r="A75" s="6" t="s">
        <v>30</v>
      </c>
      <c r="B75" s="6" t="s">
        <v>4281</v>
      </c>
      <c r="C75" s="6" t="s">
        <v>4272</v>
      </c>
      <c r="D75" s="6" t="s">
        <v>4288</v>
      </c>
      <c r="E75" s="6" t="s">
        <v>244</v>
      </c>
      <c r="F75" s="6" t="s">
        <v>4289</v>
      </c>
      <c r="G75" s="6" t="s">
        <v>4290</v>
      </c>
      <c r="H75" s="6" t="s">
        <v>4276</v>
      </c>
      <c r="I75" s="6" t="s">
        <v>4277</v>
      </c>
      <c r="J75" s="6" t="n">
        <v>14</v>
      </c>
      <c r="K75" s="6"/>
    </row>
    <row r="76" customFormat="false" ht="15" hidden="false" customHeight="false" outlineLevel="0" collapsed="false">
      <c r="A76" s="6" t="s">
        <v>30</v>
      </c>
      <c r="B76" s="6" t="s">
        <v>4281</v>
      </c>
      <c r="C76" s="6" t="s">
        <v>4278</v>
      </c>
      <c r="D76" s="6" t="s">
        <v>4288</v>
      </c>
      <c r="E76" s="6" t="s">
        <v>244</v>
      </c>
      <c r="F76" s="6" t="s">
        <v>4289</v>
      </c>
      <c r="G76" s="6" t="s">
        <v>4290</v>
      </c>
      <c r="H76" s="6" t="s">
        <v>4279</v>
      </c>
      <c r="I76" s="6" t="s">
        <v>4280</v>
      </c>
      <c r="J76" s="6" t="n">
        <v>13</v>
      </c>
      <c r="K76" s="6"/>
    </row>
    <row r="77" customFormat="false" ht="15" hidden="false" customHeight="false" outlineLevel="0" collapsed="false">
      <c r="A77" s="6" t="s">
        <v>31</v>
      </c>
      <c r="B77" s="6" t="s">
        <v>154</v>
      </c>
      <c r="C77" s="6" t="s">
        <v>4272</v>
      </c>
      <c r="D77" s="6" t="s">
        <v>4312</v>
      </c>
      <c r="E77" s="6" t="s">
        <v>237</v>
      </c>
      <c r="F77" s="6" t="s">
        <v>4313</v>
      </c>
      <c r="G77" s="6" t="s">
        <v>4314</v>
      </c>
      <c r="H77" s="6" t="s">
        <v>4276</v>
      </c>
      <c r="I77" s="6" t="s">
        <v>4277</v>
      </c>
      <c r="J77" s="6" t="n">
        <v>17</v>
      </c>
      <c r="K77" s="6"/>
    </row>
    <row r="78" customFormat="false" ht="15" hidden="false" customHeight="false" outlineLevel="0" collapsed="false">
      <c r="A78" s="6" t="s">
        <v>31</v>
      </c>
      <c r="B78" s="6" t="s">
        <v>154</v>
      </c>
      <c r="C78" s="6" t="s">
        <v>4278</v>
      </c>
      <c r="D78" s="6" t="s">
        <v>4312</v>
      </c>
      <c r="E78" s="6" t="s">
        <v>237</v>
      </c>
      <c r="F78" s="6" t="s">
        <v>4313</v>
      </c>
      <c r="G78" s="6" t="s">
        <v>4314</v>
      </c>
      <c r="H78" s="6" t="s">
        <v>4279</v>
      </c>
      <c r="I78" s="6" t="s">
        <v>4280</v>
      </c>
      <c r="J78" s="6" t="n">
        <v>13</v>
      </c>
      <c r="K78" s="6"/>
    </row>
    <row r="79" customFormat="false" ht="15" hidden="false" customHeight="false" outlineLevel="0" collapsed="false">
      <c r="A79" s="6" t="s">
        <v>31</v>
      </c>
      <c r="B79" s="6" t="s">
        <v>149</v>
      </c>
      <c r="C79" s="6" t="s">
        <v>4272</v>
      </c>
      <c r="D79" s="6" t="s">
        <v>4312</v>
      </c>
      <c r="E79" s="6" t="s">
        <v>250</v>
      </c>
      <c r="F79" s="6" t="s">
        <v>4313</v>
      </c>
      <c r="G79" s="6" t="s">
        <v>4314</v>
      </c>
      <c r="H79" s="6" t="s">
        <v>4276</v>
      </c>
      <c r="I79" s="6" t="s">
        <v>4277</v>
      </c>
      <c r="J79" s="6" t="n">
        <v>18</v>
      </c>
      <c r="K79" s="6"/>
    </row>
    <row r="80" customFormat="false" ht="15" hidden="false" customHeight="false" outlineLevel="0" collapsed="false">
      <c r="A80" s="6" t="s">
        <v>31</v>
      </c>
      <c r="B80" s="6" t="s">
        <v>149</v>
      </c>
      <c r="C80" s="6" t="s">
        <v>4278</v>
      </c>
      <c r="D80" s="6" t="s">
        <v>4312</v>
      </c>
      <c r="E80" s="6" t="s">
        <v>250</v>
      </c>
      <c r="F80" s="6" t="s">
        <v>4313</v>
      </c>
      <c r="G80" s="6" t="s">
        <v>4314</v>
      </c>
      <c r="H80" s="6" t="s">
        <v>4279</v>
      </c>
      <c r="I80" s="6" t="s">
        <v>4280</v>
      </c>
      <c r="J80" s="6" t="n">
        <v>13</v>
      </c>
      <c r="K80" s="6"/>
    </row>
    <row r="81" customFormat="false" ht="15" hidden="false" customHeight="false" outlineLevel="0" collapsed="false">
      <c r="A81" s="6" t="s">
        <v>31</v>
      </c>
      <c r="B81" s="6" t="s">
        <v>4281</v>
      </c>
      <c r="C81" s="6" t="s">
        <v>4272</v>
      </c>
      <c r="D81" s="6" t="s">
        <v>4312</v>
      </c>
      <c r="E81" s="6" t="s">
        <v>244</v>
      </c>
      <c r="F81" s="6" t="s">
        <v>4313</v>
      </c>
      <c r="G81" s="6" t="s">
        <v>4314</v>
      </c>
      <c r="H81" s="6" t="s">
        <v>4276</v>
      </c>
      <c r="I81" s="6" t="s">
        <v>4277</v>
      </c>
      <c r="J81" s="6" t="n">
        <v>18</v>
      </c>
      <c r="K81" s="6"/>
    </row>
    <row r="82" customFormat="false" ht="15" hidden="false" customHeight="false" outlineLevel="0" collapsed="false">
      <c r="A82" s="6" t="s">
        <v>31</v>
      </c>
      <c r="B82" s="6" t="s">
        <v>4281</v>
      </c>
      <c r="C82" s="6" t="s">
        <v>4278</v>
      </c>
      <c r="D82" s="6" t="s">
        <v>4312</v>
      </c>
      <c r="E82" s="6" t="s">
        <v>244</v>
      </c>
      <c r="F82" s="6" t="s">
        <v>4313</v>
      </c>
      <c r="G82" s="6" t="s">
        <v>4314</v>
      </c>
      <c r="H82" s="6" t="s">
        <v>4279</v>
      </c>
      <c r="I82" s="6" t="s">
        <v>4280</v>
      </c>
      <c r="J82" s="6" t="n">
        <v>13</v>
      </c>
      <c r="K82" s="6"/>
    </row>
    <row r="83" customFormat="false" ht="15" hidden="false" customHeight="false" outlineLevel="0" collapsed="false">
      <c r="A83" s="6" t="s">
        <v>32</v>
      </c>
      <c r="B83" s="6" t="s">
        <v>154</v>
      </c>
      <c r="C83" s="6" t="s">
        <v>4272</v>
      </c>
      <c r="D83" s="6" t="s">
        <v>4315</v>
      </c>
      <c r="E83" s="6" t="s">
        <v>237</v>
      </c>
      <c r="F83" s="6" t="s">
        <v>4316</v>
      </c>
      <c r="G83" s="6" t="s">
        <v>4284</v>
      </c>
      <c r="H83" s="6" t="s">
        <v>4276</v>
      </c>
      <c r="I83" s="6" t="s">
        <v>4277</v>
      </c>
      <c r="J83" s="6" t="n">
        <v>18</v>
      </c>
      <c r="K83" s="6"/>
    </row>
    <row r="84" customFormat="false" ht="15" hidden="false" customHeight="false" outlineLevel="0" collapsed="false">
      <c r="A84" s="6" t="s">
        <v>32</v>
      </c>
      <c r="B84" s="6" t="s">
        <v>154</v>
      </c>
      <c r="C84" s="6" t="s">
        <v>4278</v>
      </c>
      <c r="D84" s="6" t="s">
        <v>4315</v>
      </c>
      <c r="E84" s="6" t="s">
        <v>237</v>
      </c>
      <c r="F84" s="6" t="s">
        <v>4316</v>
      </c>
      <c r="G84" s="6" t="s">
        <v>4284</v>
      </c>
      <c r="H84" s="6" t="s">
        <v>4279</v>
      </c>
      <c r="I84" s="6" t="s">
        <v>4280</v>
      </c>
      <c r="J84" s="6" t="n">
        <v>13</v>
      </c>
      <c r="K84" s="6"/>
    </row>
    <row r="85" customFormat="false" ht="15" hidden="false" customHeight="false" outlineLevel="0" collapsed="false">
      <c r="A85" s="6" t="s">
        <v>32</v>
      </c>
      <c r="B85" s="6" t="s">
        <v>149</v>
      </c>
      <c r="C85" s="6" t="s">
        <v>4272</v>
      </c>
      <c r="D85" s="6" t="s">
        <v>4315</v>
      </c>
      <c r="E85" s="6" t="s">
        <v>250</v>
      </c>
      <c r="F85" s="6" t="s">
        <v>4316</v>
      </c>
      <c r="G85" s="6" t="s">
        <v>4284</v>
      </c>
      <c r="H85" s="6" t="s">
        <v>4276</v>
      </c>
      <c r="I85" s="6" t="s">
        <v>4277</v>
      </c>
      <c r="J85" s="6" t="n">
        <v>18</v>
      </c>
      <c r="K85" s="6"/>
    </row>
    <row r="86" customFormat="false" ht="15" hidden="false" customHeight="false" outlineLevel="0" collapsed="false">
      <c r="A86" s="6" t="s">
        <v>32</v>
      </c>
      <c r="B86" s="6" t="s">
        <v>149</v>
      </c>
      <c r="C86" s="6" t="s">
        <v>4278</v>
      </c>
      <c r="D86" s="6" t="s">
        <v>4315</v>
      </c>
      <c r="E86" s="6" t="s">
        <v>250</v>
      </c>
      <c r="F86" s="6" t="s">
        <v>4316</v>
      </c>
      <c r="G86" s="6" t="s">
        <v>4284</v>
      </c>
      <c r="H86" s="6" t="s">
        <v>4279</v>
      </c>
      <c r="I86" s="6" t="s">
        <v>4280</v>
      </c>
      <c r="J86" s="6" t="n">
        <v>13</v>
      </c>
      <c r="K86" s="6"/>
    </row>
    <row r="87" customFormat="false" ht="15" hidden="false" customHeight="false" outlineLevel="0" collapsed="false">
      <c r="A87" s="6" t="s">
        <v>32</v>
      </c>
      <c r="B87" s="6" t="s">
        <v>4281</v>
      </c>
      <c r="C87" s="6" t="s">
        <v>4272</v>
      </c>
      <c r="D87" s="6" t="s">
        <v>4315</v>
      </c>
      <c r="E87" s="6" t="s">
        <v>244</v>
      </c>
      <c r="F87" s="6" t="s">
        <v>4316</v>
      </c>
      <c r="G87" s="6" t="s">
        <v>4284</v>
      </c>
      <c r="H87" s="6" t="s">
        <v>4276</v>
      </c>
      <c r="I87" s="6" t="s">
        <v>4277</v>
      </c>
      <c r="J87" s="6" t="n">
        <v>18</v>
      </c>
      <c r="K87" s="6"/>
    </row>
    <row r="88" customFormat="false" ht="15" hidden="false" customHeight="false" outlineLevel="0" collapsed="false">
      <c r="A88" s="6" t="s">
        <v>32</v>
      </c>
      <c r="B88" s="6" t="s">
        <v>4281</v>
      </c>
      <c r="C88" s="6" t="s">
        <v>4278</v>
      </c>
      <c r="D88" s="6" t="s">
        <v>4315</v>
      </c>
      <c r="E88" s="6" t="s">
        <v>244</v>
      </c>
      <c r="F88" s="6" t="s">
        <v>4316</v>
      </c>
      <c r="G88" s="6" t="s">
        <v>4284</v>
      </c>
      <c r="H88" s="6" t="s">
        <v>4279</v>
      </c>
      <c r="I88" s="6" t="s">
        <v>4280</v>
      </c>
      <c r="J88" s="6" t="n">
        <v>13</v>
      </c>
      <c r="K88" s="6"/>
    </row>
    <row r="89" customFormat="false" ht="15" hidden="false" customHeight="false" outlineLevel="0" collapsed="false">
      <c r="A89" s="6" t="s">
        <v>33</v>
      </c>
      <c r="B89" s="6" t="s">
        <v>154</v>
      </c>
      <c r="C89" s="6" t="s">
        <v>4272</v>
      </c>
      <c r="D89" s="6" t="s">
        <v>230</v>
      </c>
      <c r="E89" s="6" t="s">
        <v>237</v>
      </c>
      <c r="F89" s="6" t="s">
        <v>4308</v>
      </c>
      <c r="G89" s="6" t="s">
        <v>4309</v>
      </c>
      <c r="H89" s="6" t="s">
        <v>4276</v>
      </c>
      <c r="I89" s="6" t="s">
        <v>4277</v>
      </c>
      <c r="J89" s="6" t="n">
        <v>16</v>
      </c>
      <c r="K89" s="6"/>
    </row>
    <row r="90" customFormat="false" ht="15" hidden="false" customHeight="false" outlineLevel="0" collapsed="false">
      <c r="A90" s="6" t="s">
        <v>33</v>
      </c>
      <c r="B90" s="6" t="s">
        <v>154</v>
      </c>
      <c r="C90" s="6" t="s">
        <v>4278</v>
      </c>
      <c r="D90" s="6" t="s">
        <v>230</v>
      </c>
      <c r="E90" s="6" t="s">
        <v>237</v>
      </c>
      <c r="F90" s="6" t="s">
        <v>4308</v>
      </c>
      <c r="G90" s="6" t="s">
        <v>4309</v>
      </c>
      <c r="H90" s="6" t="s">
        <v>4279</v>
      </c>
      <c r="I90" s="6" t="s">
        <v>4280</v>
      </c>
      <c r="J90" s="6" t="n">
        <v>13</v>
      </c>
      <c r="K90" s="6"/>
    </row>
    <row r="91" customFormat="false" ht="15" hidden="false" customHeight="false" outlineLevel="0" collapsed="false">
      <c r="A91" s="6" t="s">
        <v>33</v>
      </c>
      <c r="B91" s="6" t="s">
        <v>149</v>
      </c>
      <c r="C91" s="6" t="s">
        <v>4272</v>
      </c>
      <c r="D91" s="6" t="s">
        <v>230</v>
      </c>
      <c r="E91" s="6" t="s">
        <v>250</v>
      </c>
      <c r="F91" s="6" t="s">
        <v>4308</v>
      </c>
      <c r="G91" s="6" t="s">
        <v>4309</v>
      </c>
      <c r="H91" s="6" t="s">
        <v>4276</v>
      </c>
      <c r="I91" s="6" t="s">
        <v>4277</v>
      </c>
      <c r="J91" s="6" t="n">
        <v>16</v>
      </c>
      <c r="K91" s="6"/>
    </row>
    <row r="92" customFormat="false" ht="15" hidden="false" customHeight="false" outlineLevel="0" collapsed="false">
      <c r="A92" s="6" t="s">
        <v>33</v>
      </c>
      <c r="B92" s="6" t="s">
        <v>149</v>
      </c>
      <c r="C92" s="6" t="s">
        <v>4278</v>
      </c>
      <c r="D92" s="6" t="s">
        <v>230</v>
      </c>
      <c r="E92" s="6" t="s">
        <v>250</v>
      </c>
      <c r="F92" s="6" t="s">
        <v>4308</v>
      </c>
      <c r="G92" s="6" t="s">
        <v>4309</v>
      </c>
      <c r="H92" s="6" t="s">
        <v>4279</v>
      </c>
      <c r="I92" s="6" t="s">
        <v>4280</v>
      </c>
      <c r="J92" s="6" t="n">
        <v>13</v>
      </c>
      <c r="K92" s="6"/>
    </row>
    <row r="93" customFormat="false" ht="15" hidden="false" customHeight="false" outlineLevel="0" collapsed="false">
      <c r="A93" s="6" t="s">
        <v>33</v>
      </c>
      <c r="B93" s="6" t="s">
        <v>4281</v>
      </c>
      <c r="C93" s="6" t="s">
        <v>4272</v>
      </c>
      <c r="D93" s="6" t="s">
        <v>230</v>
      </c>
      <c r="E93" s="6" t="s">
        <v>244</v>
      </c>
      <c r="F93" s="6" t="s">
        <v>4308</v>
      </c>
      <c r="G93" s="6" t="s">
        <v>4309</v>
      </c>
      <c r="H93" s="6" t="s">
        <v>4276</v>
      </c>
      <c r="I93" s="6" t="s">
        <v>4277</v>
      </c>
      <c r="J93" s="6" t="n">
        <v>16</v>
      </c>
      <c r="K93" s="6"/>
    </row>
    <row r="94" customFormat="false" ht="15" hidden="false" customHeight="false" outlineLevel="0" collapsed="false">
      <c r="A94" s="6" t="s">
        <v>33</v>
      </c>
      <c r="B94" s="6" t="s">
        <v>4281</v>
      </c>
      <c r="C94" s="6" t="s">
        <v>4278</v>
      </c>
      <c r="D94" s="6" t="s">
        <v>230</v>
      </c>
      <c r="E94" s="6" t="s">
        <v>244</v>
      </c>
      <c r="F94" s="6" t="s">
        <v>4308</v>
      </c>
      <c r="G94" s="6" t="s">
        <v>4309</v>
      </c>
      <c r="H94" s="6" t="s">
        <v>4279</v>
      </c>
      <c r="I94" s="6" t="s">
        <v>4280</v>
      </c>
      <c r="J94" s="6" t="n">
        <v>13</v>
      </c>
      <c r="K94" s="6"/>
    </row>
    <row r="95" customFormat="false" ht="15" hidden="false" customHeight="false" outlineLevel="0" collapsed="false">
      <c r="A95" s="6" t="s">
        <v>34</v>
      </c>
      <c r="B95" s="6" t="s">
        <v>154</v>
      </c>
      <c r="C95" s="6" t="s">
        <v>4272</v>
      </c>
      <c r="D95" s="6" t="s">
        <v>4317</v>
      </c>
      <c r="E95" s="6" t="s">
        <v>237</v>
      </c>
      <c r="F95" s="6" t="s">
        <v>4293</v>
      </c>
      <c r="G95" s="6" t="s">
        <v>4318</v>
      </c>
      <c r="H95" s="6" t="s">
        <v>4276</v>
      </c>
      <c r="I95" s="6" t="s">
        <v>4277</v>
      </c>
      <c r="J95" s="6" t="n">
        <v>19</v>
      </c>
      <c r="K95" s="6"/>
    </row>
    <row r="96" customFormat="false" ht="15" hidden="false" customHeight="false" outlineLevel="0" collapsed="false">
      <c r="A96" s="6" t="s">
        <v>34</v>
      </c>
      <c r="B96" s="6" t="s">
        <v>154</v>
      </c>
      <c r="C96" s="6" t="s">
        <v>4278</v>
      </c>
      <c r="D96" s="6" t="s">
        <v>4317</v>
      </c>
      <c r="E96" s="6" t="s">
        <v>237</v>
      </c>
      <c r="F96" s="6" t="s">
        <v>4293</v>
      </c>
      <c r="G96" s="6" t="s">
        <v>4318</v>
      </c>
      <c r="H96" s="6" t="s">
        <v>4279</v>
      </c>
      <c r="I96" s="6" t="s">
        <v>4280</v>
      </c>
      <c r="J96" s="6" t="n">
        <v>13</v>
      </c>
      <c r="K96" s="6"/>
    </row>
    <row r="97" customFormat="false" ht="15" hidden="false" customHeight="false" outlineLevel="0" collapsed="false">
      <c r="A97" s="6" t="s">
        <v>34</v>
      </c>
      <c r="B97" s="6" t="s">
        <v>149</v>
      </c>
      <c r="C97" s="6" t="s">
        <v>4272</v>
      </c>
      <c r="D97" s="6" t="s">
        <v>4317</v>
      </c>
      <c r="E97" s="6" t="s">
        <v>250</v>
      </c>
      <c r="F97" s="6" t="s">
        <v>4293</v>
      </c>
      <c r="G97" s="6" t="s">
        <v>4318</v>
      </c>
      <c r="H97" s="6" t="s">
        <v>4276</v>
      </c>
      <c r="I97" s="6" t="s">
        <v>4277</v>
      </c>
      <c r="J97" s="6" t="n">
        <v>19</v>
      </c>
      <c r="K97" s="6"/>
    </row>
    <row r="98" customFormat="false" ht="15" hidden="false" customHeight="false" outlineLevel="0" collapsed="false">
      <c r="A98" s="6" t="s">
        <v>34</v>
      </c>
      <c r="B98" s="6" t="s">
        <v>149</v>
      </c>
      <c r="C98" s="6" t="s">
        <v>4278</v>
      </c>
      <c r="D98" s="6" t="s">
        <v>4317</v>
      </c>
      <c r="E98" s="6" t="s">
        <v>250</v>
      </c>
      <c r="F98" s="6" t="s">
        <v>4293</v>
      </c>
      <c r="G98" s="6" t="s">
        <v>4318</v>
      </c>
      <c r="H98" s="6" t="s">
        <v>4279</v>
      </c>
      <c r="I98" s="6" t="s">
        <v>4280</v>
      </c>
      <c r="J98" s="6" t="n">
        <v>13</v>
      </c>
      <c r="K98" s="6"/>
    </row>
    <row r="99" customFormat="false" ht="15" hidden="false" customHeight="false" outlineLevel="0" collapsed="false">
      <c r="A99" s="6" t="s">
        <v>34</v>
      </c>
      <c r="B99" s="6" t="s">
        <v>4281</v>
      </c>
      <c r="C99" s="6" t="s">
        <v>4272</v>
      </c>
      <c r="D99" s="6" t="s">
        <v>4317</v>
      </c>
      <c r="E99" s="6" t="s">
        <v>244</v>
      </c>
      <c r="F99" s="6" t="s">
        <v>4293</v>
      </c>
      <c r="G99" s="6" t="s">
        <v>4318</v>
      </c>
      <c r="H99" s="6" t="s">
        <v>4276</v>
      </c>
      <c r="I99" s="6" t="s">
        <v>4277</v>
      </c>
      <c r="J99" s="6" t="n">
        <v>19</v>
      </c>
      <c r="K99" s="6"/>
    </row>
    <row r="100" customFormat="false" ht="15" hidden="false" customHeight="false" outlineLevel="0" collapsed="false">
      <c r="A100" s="6" t="s">
        <v>34</v>
      </c>
      <c r="B100" s="6" t="s">
        <v>4281</v>
      </c>
      <c r="C100" s="6" t="s">
        <v>4278</v>
      </c>
      <c r="D100" s="6" t="s">
        <v>4317</v>
      </c>
      <c r="E100" s="6" t="s">
        <v>244</v>
      </c>
      <c r="F100" s="6" t="s">
        <v>4293</v>
      </c>
      <c r="G100" s="6" t="s">
        <v>4318</v>
      </c>
      <c r="H100" s="6" t="s">
        <v>4279</v>
      </c>
      <c r="I100" s="6" t="s">
        <v>4280</v>
      </c>
      <c r="J100" s="6" t="n">
        <v>13</v>
      </c>
      <c r="K100" s="6"/>
    </row>
    <row r="101" customFormat="false" ht="15" hidden="false" customHeight="false" outlineLevel="0" collapsed="false">
      <c r="A101" s="6" t="s">
        <v>35</v>
      </c>
      <c r="B101" s="6" t="s">
        <v>154</v>
      </c>
      <c r="C101" s="6" t="s">
        <v>4272</v>
      </c>
      <c r="D101" s="6" t="s">
        <v>4319</v>
      </c>
      <c r="E101" s="6" t="s">
        <v>237</v>
      </c>
      <c r="F101" s="6" t="s">
        <v>4320</v>
      </c>
      <c r="G101" s="6" t="s">
        <v>4321</v>
      </c>
      <c r="H101" s="6" t="s">
        <v>4276</v>
      </c>
      <c r="I101" s="6" t="s">
        <v>4277</v>
      </c>
      <c r="J101" s="6" t="n">
        <v>19</v>
      </c>
      <c r="K101" s="6"/>
    </row>
    <row r="102" customFormat="false" ht="15" hidden="false" customHeight="false" outlineLevel="0" collapsed="false">
      <c r="A102" s="6" t="s">
        <v>35</v>
      </c>
      <c r="B102" s="6" t="s">
        <v>154</v>
      </c>
      <c r="C102" s="6" t="s">
        <v>4278</v>
      </c>
      <c r="D102" s="6" t="s">
        <v>4319</v>
      </c>
      <c r="E102" s="6" t="s">
        <v>237</v>
      </c>
      <c r="F102" s="6" t="s">
        <v>4320</v>
      </c>
      <c r="G102" s="6" t="s">
        <v>4321</v>
      </c>
      <c r="H102" s="6" t="s">
        <v>4279</v>
      </c>
      <c r="I102" s="6" t="s">
        <v>4280</v>
      </c>
      <c r="J102" s="6" t="n">
        <v>13</v>
      </c>
      <c r="K102" s="6"/>
    </row>
    <row r="103" customFormat="false" ht="15" hidden="false" customHeight="false" outlineLevel="0" collapsed="false">
      <c r="A103" s="6" t="s">
        <v>35</v>
      </c>
      <c r="B103" s="6" t="s">
        <v>149</v>
      </c>
      <c r="C103" s="6" t="s">
        <v>4272</v>
      </c>
      <c r="D103" s="6" t="s">
        <v>4319</v>
      </c>
      <c r="E103" s="6" t="s">
        <v>250</v>
      </c>
      <c r="F103" s="6" t="s">
        <v>4320</v>
      </c>
      <c r="G103" s="6" t="s">
        <v>4321</v>
      </c>
      <c r="H103" s="6" t="s">
        <v>4276</v>
      </c>
      <c r="I103" s="6" t="s">
        <v>4277</v>
      </c>
      <c r="J103" s="6" t="n">
        <v>19</v>
      </c>
      <c r="K103" s="6"/>
    </row>
    <row r="104" customFormat="false" ht="15" hidden="false" customHeight="false" outlineLevel="0" collapsed="false">
      <c r="A104" s="6" t="s">
        <v>35</v>
      </c>
      <c r="B104" s="6" t="s">
        <v>149</v>
      </c>
      <c r="C104" s="6" t="s">
        <v>4278</v>
      </c>
      <c r="D104" s="6" t="s">
        <v>4319</v>
      </c>
      <c r="E104" s="6" t="s">
        <v>250</v>
      </c>
      <c r="F104" s="6" t="s">
        <v>4320</v>
      </c>
      <c r="G104" s="6" t="s">
        <v>4321</v>
      </c>
      <c r="H104" s="6" t="s">
        <v>4279</v>
      </c>
      <c r="I104" s="6" t="s">
        <v>4280</v>
      </c>
      <c r="J104" s="6" t="n">
        <v>13</v>
      </c>
      <c r="K104" s="6"/>
    </row>
    <row r="105" customFormat="false" ht="15" hidden="false" customHeight="false" outlineLevel="0" collapsed="false">
      <c r="A105" s="6" t="s">
        <v>35</v>
      </c>
      <c r="B105" s="6" t="s">
        <v>4281</v>
      </c>
      <c r="C105" s="6" t="s">
        <v>4272</v>
      </c>
      <c r="D105" s="6" t="s">
        <v>4319</v>
      </c>
      <c r="E105" s="6" t="s">
        <v>244</v>
      </c>
      <c r="F105" s="6" t="s">
        <v>4320</v>
      </c>
      <c r="G105" s="6" t="s">
        <v>4321</v>
      </c>
      <c r="H105" s="6" t="s">
        <v>4276</v>
      </c>
      <c r="I105" s="6" t="s">
        <v>4277</v>
      </c>
      <c r="J105" s="6" t="n">
        <v>19</v>
      </c>
      <c r="K105" s="6"/>
    </row>
    <row r="106" customFormat="false" ht="15" hidden="false" customHeight="false" outlineLevel="0" collapsed="false">
      <c r="A106" s="6" t="s">
        <v>35</v>
      </c>
      <c r="B106" s="6" t="s">
        <v>4281</v>
      </c>
      <c r="C106" s="6" t="s">
        <v>4278</v>
      </c>
      <c r="D106" s="6" t="s">
        <v>4319</v>
      </c>
      <c r="E106" s="6" t="s">
        <v>244</v>
      </c>
      <c r="F106" s="6" t="s">
        <v>4320</v>
      </c>
      <c r="G106" s="6" t="s">
        <v>4321</v>
      </c>
      <c r="H106" s="6" t="s">
        <v>4279</v>
      </c>
      <c r="I106" s="6" t="s">
        <v>4280</v>
      </c>
      <c r="J106" s="6" t="n">
        <v>13</v>
      </c>
      <c r="K106" s="6"/>
    </row>
    <row r="107" customFormat="false" ht="15" hidden="false" customHeight="false" outlineLevel="0" collapsed="false">
      <c r="A107" s="6" t="s">
        <v>36</v>
      </c>
      <c r="B107" s="6" t="s">
        <v>154</v>
      </c>
      <c r="C107" s="6" t="s">
        <v>4272</v>
      </c>
      <c r="D107" s="6" t="s">
        <v>4322</v>
      </c>
      <c r="E107" s="6" t="s">
        <v>237</v>
      </c>
      <c r="F107" s="6" t="s">
        <v>4323</v>
      </c>
      <c r="G107" s="6" t="s">
        <v>4324</v>
      </c>
      <c r="H107" s="6" t="s">
        <v>4276</v>
      </c>
      <c r="I107" s="6" t="s">
        <v>4277</v>
      </c>
      <c r="J107" s="6" t="n">
        <v>19</v>
      </c>
      <c r="K107" s="6"/>
    </row>
    <row r="108" customFormat="false" ht="15" hidden="false" customHeight="false" outlineLevel="0" collapsed="false">
      <c r="A108" s="6" t="s">
        <v>36</v>
      </c>
      <c r="B108" s="6" t="s">
        <v>154</v>
      </c>
      <c r="C108" s="6" t="s">
        <v>4278</v>
      </c>
      <c r="D108" s="6" t="s">
        <v>4322</v>
      </c>
      <c r="E108" s="6" t="s">
        <v>237</v>
      </c>
      <c r="F108" s="6" t="s">
        <v>4323</v>
      </c>
      <c r="G108" s="6" t="s">
        <v>4324</v>
      </c>
      <c r="H108" s="6" t="s">
        <v>4279</v>
      </c>
      <c r="I108" s="6" t="s">
        <v>4280</v>
      </c>
      <c r="J108" s="6" t="n">
        <v>13</v>
      </c>
      <c r="K108" s="6"/>
    </row>
    <row r="109" customFormat="false" ht="15" hidden="false" customHeight="false" outlineLevel="0" collapsed="false">
      <c r="A109" s="6" t="s">
        <v>36</v>
      </c>
      <c r="B109" s="6" t="s">
        <v>149</v>
      </c>
      <c r="C109" s="6" t="s">
        <v>4272</v>
      </c>
      <c r="D109" s="6" t="s">
        <v>4322</v>
      </c>
      <c r="E109" s="6" t="s">
        <v>250</v>
      </c>
      <c r="F109" s="6" t="s">
        <v>4323</v>
      </c>
      <c r="G109" s="6" t="s">
        <v>4324</v>
      </c>
      <c r="H109" s="6" t="s">
        <v>4276</v>
      </c>
      <c r="I109" s="6" t="s">
        <v>4277</v>
      </c>
      <c r="J109" s="6" t="n">
        <v>20</v>
      </c>
      <c r="K109" s="6"/>
    </row>
    <row r="110" customFormat="false" ht="15" hidden="false" customHeight="false" outlineLevel="0" collapsed="false">
      <c r="A110" s="6" t="s">
        <v>36</v>
      </c>
      <c r="B110" s="6" t="s">
        <v>149</v>
      </c>
      <c r="C110" s="6" t="s">
        <v>4278</v>
      </c>
      <c r="D110" s="6" t="s">
        <v>4322</v>
      </c>
      <c r="E110" s="6" t="s">
        <v>250</v>
      </c>
      <c r="F110" s="6" t="s">
        <v>4323</v>
      </c>
      <c r="G110" s="6" t="s">
        <v>4324</v>
      </c>
      <c r="H110" s="6" t="s">
        <v>4279</v>
      </c>
      <c r="I110" s="6" t="s">
        <v>4280</v>
      </c>
      <c r="J110" s="6" t="n">
        <v>13</v>
      </c>
      <c r="K110" s="6"/>
    </row>
    <row r="111" customFormat="false" ht="15" hidden="false" customHeight="false" outlineLevel="0" collapsed="false">
      <c r="A111" s="6" t="s">
        <v>36</v>
      </c>
      <c r="B111" s="6" t="s">
        <v>4281</v>
      </c>
      <c r="C111" s="6" t="s">
        <v>4272</v>
      </c>
      <c r="D111" s="6" t="s">
        <v>4322</v>
      </c>
      <c r="E111" s="6" t="s">
        <v>244</v>
      </c>
      <c r="F111" s="6" t="s">
        <v>4323</v>
      </c>
      <c r="G111" s="6" t="s">
        <v>4324</v>
      </c>
      <c r="H111" s="6" t="s">
        <v>4276</v>
      </c>
      <c r="I111" s="6" t="s">
        <v>4277</v>
      </c>
      <c r="J111" s="6" t="n">
        <v>20</v>
      </c>
      <c r="K111" s="6"/>
    </row>
    <row r="112" customFormat="false" ht="15" hidden="false" customHeight="false" outlineLevel="0" collapsed="false">
      <c r="A112" s="6" t="s">
        <v>36</v>
      </c>
      <c r="B112" s="6" t="s">
        <v>4281</v>
      </c>
      <c r="C112" s="6" t="s">
        <v>4278</v>
      </c>
      <c r="D112" s="6" t="s">
        <v>4322</v>
      </c>
      <c r="E112" s="6" t="s">
        <v>244</v>
      </c>
      <c r="F112" s="6" t="s">
        <v>4323</v>
      </c>
      <c r="G112" s="6" t="s">
        <v>4324</v>
      </c>
      <c r="H112" s="6" t="s">
        <v>4279</v>
      </c>
      <c r="I112" s="6" t="s">
        <v>4280</v>
      </c>
      <c r="J112" s="6" t="n">
        <v>13</v>
      </c>
      <c r="K112" s="6"/>
    </row>
    <row r="113" customFormat="false" ht="15" hidden="false" customHeight="false" outlineLevel="0" collapsed="false">
      <c r="A113" s="6" t="s">
        <v>37</v>
      </c>
      <c r="B113" s="6" t="s">
        <v>154</v>
      </c>
      <c r="C113" s="6" t="s">
        <v>4272</v>
      </c>
      <c r="D113" s="6" t="s">
        <v>4325</v>
      </c>
      <c r="E113" s="6" t="s">
        <v>237</v>
      </c>
      <c r="F113" s="6" t="s">
        <v>4326</v>
      </c>
      <c r="G113" s="6" t="s">
        <v>4327</v>
      </c>
      <c r="H113" s="6" t="s">
        <v>4276</v>
      </c>
      <c r="I113" s="6" t="s">
        <v>4277</v>
      </c>
      <c r="J113" s="6" t="n">
        <v>20</v>
      </c>
      <c r="K113" s="6"/>
    </row>
    <row r="114" customFormat="false" ht="15" hidden="false" customHeight="false" outlineLevel="0" collapsed="false">
      <c r="A114" s="6" t="s">
        <v>37</v>
      </c>
      <c r="B114" s="6" t="s">
        <v>154</v>
      </c>
      <c r="C114" s="6" t="s">
        <v>4278</v>
      </c>
      <c r="D114" s="6" t="s">
        <v>4325</v>
      </c>
      <c r="E114" s="6" t="s">
        <v>237</v>
      </c>
      <c r="F114" s="6" t="s">
        <v>4326</v>
      </c>
      <c r="G114" s="6" t="s">
        <v>4327</v>
      </c>
      <c r="H114" s="6" t="s">
        <v>4279</v>
      </c>
      <c r="I114" s="6" t="s">
        <v>4280</v>
      </c>
      <c r="J114" s="6" t="n">
        <v>13</v>
      </c>
      <c r="K114" s="6"/>
    </row>
    <row r="115" customFormat="false" ht="15" hidden="false" customHeight="false" outlineLevel="0" collapsed="false">
      <c r="A115" s="6" t="s">
        <v>37</v>
      </c>
      <c r="B115" s="6" t="s">
        <v>149</v>
      </c>
      <c r="C115" s="6" t="s">
        <v>4272</v>
      </c>
      <c r="D115" s="6" t="s">
        <v>4325</v>
      </c>
      <c r="E115" s="6" t="s">
        <v>250</v>
      </c>
      <c r="F115" s="6" t="s">
        <v>4326</v>
      </c>
      <c r="G115" s="6" t="s">
        <v>4327</v>
      </c>
      <c r="H115" s="6" t="s">
        <v>4276</v>
      </c>
      <c r="I115" s="6" t="s">
        <v>4277</v>
      </c>
      <c r="J115" s="6" t="n">
        <v>20</v>
      </c>
      <c r="K115" s="6"/>
    </row>
    <row r="116" customFormat="false" ht="15" hidden="false" customHeight="false" outlineLevel="0" collapsed="false">
      <c r="A116" s="6" t="s">
        <v>37</v>
      </c>
      <c r="B116" s="6" t="s">
        <v>149</v>
      </c>
      <c r="C116" s="6" t="s">
        <v>4278</v>
      </c>
      <c r="D116" s="6" t="s">
        <v>4325</v>
      </c>
      <c r="E116" s="6" t="s">
        <v>250</v>
      </c>
      <c r="F116" s="6" t="s">
        <v>4326</v>
      </c>
      <c r="G116" s="6" t="s">
        <v>4327</v>
      </c>
      <c r="H116" s="6" t="s">
        <v>4279</v>
      </c>
      <c r="I116" s="6" t="s">
        <v>4280</v>
      </c>
      <c r="J116" s="6" t="n">
        <v>13</v>
      </c>
      <c r="K116" s="6"/>
    </row>
    <row r="117" customFormat="false" ht="15" hidden="false" customHeight="false" outlineLevel="0" collapsed="false">
      <c r="A117" s="6" t="s">
        <v>37</v>
      </c>
      <c r="B117" s="6" t="s">
        <v>4281</v>
      </c>
      <c r="C117" s="6" t="s">
        <v>4272</v>
      </c>
      <c r="D117" s="6" t="s">
        <v>4325</v>
      </c>
      <c r="E117" s="6" t="s">
        <v>244</v>
      </c>
      <c r="F117" s="6" t="s">
        <v>4326</v>
      </c>
      <c r="G117" s="6" t="s">
        <v>4327</v>
      </c>
      <c r="H117" s="6" t="s">
        <v>4276</v>
      </c>
      <c r="I117" s="6" t="s">
        <v>4277</v>
      </c>
      <c r="J117" s="6" t="n">
        <v>20</v>
      </c>
      <c r="K117" s="6"/>
    </row>
    <row r="118" customFormat="false" ht="15" hidden="false" customHeight="false" outlineLevel="0" collapsed="false">
      <c r="A118" s="6" t="s">
        <v>37</v>
      </c>
      <c r="B118" s="6" t="s">
        <v>4281</v>
      </c>
      <c r="C118" s="6" t="s">
        <v>4278</v>
      </c>
      <c r="D118" s="6" t="s">
        <v>4325</v>
      </c>
      <c r="E118" s="6" t="s">
        <v>244</v>
      </c>
      <c r="F118" s="6" t="s">
        <v>4326</v>
      </c>
      <c r="G118" s="6" t="s">
        <v>4327</v>
      </c>
      <c r="H118" s="6" t="s">
        <v>4279</v>
      </c>
      <c r="I118" s="6" t="s">
        <v>4280</v>
      </c>
      <c r="J118" s="6" t="n">
        <v>13</v>
      </c>
      <c r="K118" s="6"/>
    </row>
    <row r="119" customFormat="false" ht="15" hidden="false" customHeight="false" outlineLevel="0" collapsed="false">
      <c r="A119" s="6" t="s">
        <v>38</v>
      </c>
      <c r="B119" s="6" t="s">
        <v>154</v>
      </c>
      <c r="C119" s="6" t="s">
        <v>4272</v>
      </c>
      <c r="D119" s="6" t="s">
        <v>4300</v>
      </c>
      <c r="E119" s="6" t="s">
        <v>237</v>
      </c>
      <c r="F119" s="6" t="s">
        <v>4298</v>
      </c>
      <c r="G119" s="6" t="s">
        <v>4299</v>
      </c>
      <c r="H119" s="6" t="s">
        <v>4276</v>
      </c>
      <c r="I119" s="6" t="s">
        <v>4277</v>
      </c>
      <c r="J119" s="6" t="n">
        <v>20</v>
      </c>
      <c r="K119" s="6"/>
    </row>
    <row r="120" customFormat="false" ht="15" hidden="false" customHeight="false" outlineLevel="0" collapsed="false">
      <c r="A120" s="6" t="s">
        <v>38</v>
      </c>
      <c r="B120" s="6" t="s">
        <v>154</v>
      </c>
      <c r="C120" s="6" t="s">
        <v>4278</v>
      </c>
      <c r="D120" s="6" t="s">
        <v>4300</v>
      </c>
      <c r="E120" s="6" t="s">
        <v>237</v>
      </c>
      <c r="F120" s="6" t="s">
        <v>4298</v>
      </c>
      <c r="G120" s="6" t="s">
        <v>4299</v>
      </c>
      <c r="H120" s="6" t="s">
        <v>4279</v>
      </c>
      <c r="I120" s="6" t="s">
        <v>4280</v>
      </c>
      <c r="J120" s="6" t="n">
        <v>13</v>
      </c>
      <c r="K120" s="6"/>
    </row>
    <row r="121" customFormat="false" ht="15" hidden="false" customHeight="false" outlineLevel="0" collapsed="false">
      <c r="A121" s="6" t="s">
        <v>38</v>
      </c>
      <c r="B121" s="6" t="s">
        <v>149</v>
      </c>
      <c r="C121" s="6" t="s">
        <v>4272</v>
      </c>
      <c r="D121" s="6" t="s">
        <v>4300</v>
      </c>
      <c r="E121" s="6" t="s">
        <v>250</v>
      </c>
      <c r="F121" s="6" t="s">
        <v>4298</v>
      </c>
      <c r="G121" s="6" t="s">
        <v>4299</v>
      </c>
      <c r="H121" s="6" t="s">
        <v>4276</v>
      </c>
      <c r="I121" s="6" t="s">
        <v>4277</v>
      </c>
      <c r="J121" s="6" t="n">
        <v>20</v>
      </c>
      <c r="K121" s="6"/>
    </row>
    <row r="122" customFormat="false" ht="15" hidden="false" customHeight="false" outlineLevel="0" collapsed="false">
      <c r="A122" s="6" t="s">
        <v>38</v>
      </c>
      <c r="B122" s="6" t="s">
        <v>149</v>
      </c>
      <c r="C122" s="6" t="s">
        <v>4278</v>
      </c>
      <c r="D122" s="6" t="s">
        <v>4300</v>
      </c>
      <c r="E122" s="6" t="s">
        <v>250</v>
      </c>
      <c r="F122" s="6" t="s">
        <v>4298</v>
      </c>
      <c r="G122" s="6" t="s">
        <v>4299</v>
      </c>
      <c r="H122" s="6" t="s">
        <v>4279</v>
      </c>
      <c r="I122" s="6" t="s">
        <v>4280</v>
      </c>
      <c r="J122" s="6" t="n">
        <v>13</v>
      </c>
      <c r="K122" s="6"/>
    </row>
    <row r="123" customFormat="false" ht="15" hidden="false" customHeight="false" outlineLevel="0" collapsed="false">
      <c r="A123" s="6" t="s">
        <v>38</v>
      </c>
      <c r="B123" s="6" t="s">
        <v>4281</v>
      </c>
      <c r="C123" s="6" t="s">
        <v>4272</v>
      </c>
      <c r="D123" s="6" t="s">
        <v>4300</v>
      </c>
      <c r="E123" s="6" t="s">
        <v>244</v>
      </c>
      <c r="F123" s="6" t="s">
        <v>4298</v>
      </c>
      <c r="G123" s="6" t="s">
        <v>4299</v>
      </c>
      <c r="H123" s="6" t="s">
        <v>4276</v>
      </c>
      <c r="I123" s="6" t="s">
        <v>4277</v>
      </c>
      <c r="J123" s="6" t="n">
        <v>15</v>
      </c>
      <c r="K123" s="6"/>
    </row>
    <row r="124" customFormat="false" ht="15" hidden="false" customHeight="false" outlineLevel="0" collapsed="false">
      <c r="A124" s="6" t="s">
        <v>38</v>
      </c>
      <c r="B124" s="6" t="s">
        <v>4281</v>
      </c>
      <c r="C124" s="6" t="s">
        <v>4278</v>
      </c>
      <c r="D124" s="6" t="s">
        <v>4300</v>
      </c>
      <c r="E124" s="6" t="s">
        <v>244</v>
      </c>
      <c r="F124" s="6" t="s">
        <v>4298</v>
      </c>
      <c r="G124" s="6" t="s">
        <v>4299</v>
      </c>
      <c r="H124" s="6" t="s">
        <v>4279</v>
      </c>
      <c r="I124" s="6" t="s">
        <v>4280</v>
      </c>
      <c r="J124" s="6" t="n">
        <v>13</v>
      </c>
      <c r="K124" s="6"/>
    </row>
    <row r="125" customFormat="false" ht="15" hidden="false" customHeight="false" outlineLevel="0" collapsed="false">
      <c r="A125" s="6" t="s">
        <v>39</v>
      </c>
      <c r="B125" s="6" t="s">
        <v>154</v>
      </c>
      <c r="C125" s="6" t="s">
        <v>4272</v>
      </c>
      <c r="D125" s="6" t="s">
        <v>230</v>
      </c>
      <c r="E125" s="6" t="s">
        <v>237</v>
      </c>
      <c r="F125" s="6" t="s">
        <v>4308</v>
      </c>
      <c r="G125" s="6" t="s">
        <v>4309</v>
      </c>
      <c r="H125" s="6" t="s">
        <v>4276</v>
      </c>
      <c r="I125" s="6" t="s">
        <v>4277</v>
      </c>
      <c r="J125" s="6" t="n">
        <v>16</v>
      </c>
      <c r="K125" s="6"/>
    </row>
    <row r="126" customFormat="false" ht="15" hidden="false" customHeight="false" outlineLevel="0" collapsed="false">
      <c r="A126" s="6" t="s">
        <v>39</v>
      </c>
      <c r="B126" s="6" t="s">
        <v>154</v>
      </c>
      <c r="C126" s="6" t="s">
        <v>4278</v>
      </c>
      <c r="D126" s="6" t="s">
        <v>230</v>
      </c>
      <c r="E126" s="6" t="s">
        <v>237</v>
      </c>
      <c r="F126" s="6" t="s">
        <v>4308</v>
      </c>
      <c r="G126" s="6" t="s">
        <v>4309</v>
      </c>
      <c r="H126" s="6" t="s">
        <v>4279</v>
      </c>
      <c r="I126" s="6" t="s">
        <v>4280</v>
      </c>
      <c r="J126" s="6" t="n">
        <v>13</v>
      </c>
      <c r="K126" s="6"/>
    </row>
    <row r="127" customFormat="false" ht="15" hidden="false" customHeight="false" outlineLevel="0" collapsed="false">
      <c r="A127" s="6" t="s">
        <v>39</v>
      </c>
      <c r="B127" s="6" t="s">
        <v>149</v>
      </c>
      <c r="C127" s="6" t="s">
        <v>4272</v>
      </c>
      <c r="D127" s="6" t="s">
        <v>230</v>
      </c>
      <c r="E127" s="6" t="s">
        <v>250</v>
      </c>
      <c r="F127" s="6" t="s">
        <v>4308</v>
      </c>
      <c r="G127" s="6" t="s">
        <v>4309</v>
      </c>
      <c r="H127" s="6" t="s">
        <v>4276</v>
      </c>
      <c r="I127" s="6" t="s">
        <v>4277</v>
      </c>
      <c r="J127" s="6" t="n">
        <v>16</v>
      </c>
      <c r="K127" s="6"/>
    </row>
    <row r="128" customFormat="false" ht="15" hidden="false" customHeight="false" outlineLevel="0" collapsed="false">
      <c r="A128" s="6" t="s">
        <v>39</v>
      </c>
      <c r="B128" s="6" t="s">
        <v>149</v>
      </c>
      <c r="C128" s="6" t="s">
        <v>4278</v>
      </c>
      <c r="D128" s="6" t="s">
        <v>230</v>
      </c>
      <c r="E128" s="6" t="s">
        <v>250</v>
      </c>
      <c r="F128" s="6" t="s">
        <v>4308</v>
      </c>
      <c r="G128" s="6" t="s">
        <v>4309</v>
      </c>
      <c r="H128" s="6" t="s">
        <v>4279</v>
      </c>
      <c r="I128" s="6" t="s">
        <v>4280</v>
      </c>
      <c r="J128" s="6" t="n">
        <v>13</v>
      </c>
      <c r="K128" s="6"/>
    </row>
    <row r="129" customFormat="false" ht="15" hidden="false" customHeight="false" outlineLevel="0" collapsed="false">
      <c r="A129" s="6" t="s">
        <v>39</v>
      </c>
      <c r="B129" s="6" t="s">
        <v>4281</v>
      </c>
      <c r="C129" s="6" t="s">
        <v>4272</v>
      </c>
      <c r="D129" s="6" t="s">
        <v>230</v>
      </c>
      <c r="E129" s="6" t="s">
        <v>244</v>
      </c>
      <c r="F129" s="6" t="s">
        <v>4308</v>
      </c>
      <c r="G129" s="6" t="s">
        <v>4309</v>
      </c>
      <c r="H129" s="6" t="s">
        <v>4276</v>
      </c>
      <c r="I129" s="6" t="s">
        <v>4277</v>
      </c>
      <c r="J129" s="6" t="n">
        <v>16</v>
      </c>
      <c r="K129" s="6"/>
    </row>
    <row r="130" customFormat="false" ht="15" hidden="false" customHeight="false" outlineLevel="0" collapsed="false">
      <c r="A130" s="6" t="s">
        <v>39</v>
      </c>
      <c r="B130" s="6" t="s">
        <v>4281</v>
      </c>
      <c r="C130" s="6" t="s">
        <v>4278</v>
      </c>
      <c r="D130" s="6" t="s">
        <v>230</v>
      </c>
      <c r="E130" s="6" t="s">
        <v>244</v>
      </c>
      <c r="F130" s="6" t="s">
        <v>4308</v>
      </c>
      <c r="G130" s="6" t="s">
        <v>4309</v>
      </c>
      <c r="H130" s="6" t="s">
        <v>4279</v>
      </c>
      <c r="I130" s="6" t="s">
        <v>4280</v>
      </c>
      <c r="J130" s="6" t="n">
        <v>13</v>
      </c>
      <c r="K130" s="6"/>
    </row>
    <row r="131" customFormat="false" ht="15" hidden="false" customHeight="false" outlineLevel="0" collapsed="false">
      <c r="A131" s="6" t="s">
        <v>40</v>
      </c>
      <c r="B131" s="6" t="s">
        <v>154</v>
      </c>
      <c r="C131" s="6" t="s">
        <v>4272</v>
      </c>
      <c r="D131" s="6" t="s">
        <v>4315</v>
      </c>
      <c r="E131" s="6" t="s">
        <v>237</v>
      </c>
      <c r="F131" s="6" t="s">
        <v>4316</v>
      </c>
      <c r="G131" s="6" t="s">
        <v>4284</v>
      </c>
      <c r="H131" s="6" t="s">
        <v>4276</v>
      </c>
      <c r="I131" s="6" t="s">
        <v>4277</v>
      </c>
      <c r="J131" s="6" t="n">
        <v>18</v>
      </c>
      <c r="K131" s="6"/>
    </row>
    <row r="132" customFormat="false" ht="15" hidden="false" customHeight="false" outlineLevel="0" collapsed="false">
      <c r="A132" s="6" t="s">
        <v>40</v>
      </c>
      <c r="B132" s="6" t="s">
        <v>154</v>
      </c>
      <c r="C132" s="6" t="s">
        <v>4278</v>
      </c>
      <c r="D132" s="6" t="s">
        <v>4315</v>
      </c>
      <c r="E132" s="6" t="s">
        <v>237</v>
      </c>
      <c r="F132" s="6" t="s">
        <v>4316</v>
      </c>
      <c r="G132" s="6" t="s">
        <v>4284</v>
      </c>
      <c r="H132" s="6" t="s">
        <v>4279</v>
      </c>
      <c r="I132" s="6" t="s">
        <v>4280</v>
      </c>
      <c r="J132" s="6" t="n">
        <v>13</v>
      </c>
      <c r="K132" s="6"/>
    </row>
    <row r="133" customFormat="false" ht="15" hidden="false" customHeight="false" outlineLevel="0" collapsed="false">
      <c r="A133" s="6" t="s">
        <v>40</v>
      </c>
      <c r="B133" s="6" t="s">
        <v>149</v>
      </c>
      <c r="C133" s="6" t="s">
        <v>4272</v>
      </c>
      <c r="D133" s="6" t="s">
        <v>4315</v>
      </c>
      <c r="E133" s="6" t="s">
        <v>250</v>
      </c>
      <c r="F133" s="6" t="s">
        <v>4316</v>
      </c>
      <c r="G133" s="6" t="s">
        <v>4284</v>
      </c>
      <c r="H133" s="6" t="s">
        <v>4276</v>
      </c>
      <c r="I133" s="6" t="s">
        <v>4277</v>
      </c>
      <c r="J133" s="6" t="n">
        <v>18</v>
      </c>
      <c r="K133" s="6"/>
    </row>
    <row r="134" customFormat="false" ht="15" hidden="false" customHeight="false" outlineLevel="0" collapsed="false">
      <c r="A134" s="6" t="s">
        <v>40</v>
      </c>
      <c r="B134" s="6" t="s">
        <v>149</v>
      </c>
      <c r="C134" s="6" t="s">
        <v>4278</v>
      </c>
      <c r="D134" s="6" t="s">
        <v>4315</v>
      </c>
      <c r="E134" s="6" t="s">
        <v>250</v>
      </c>
      <c r="F134" s="6" t="s">
        <v>4316</v>
      </c>
      <c r="G134" s="6" t="s">
        <v>4284</v>
      </c>
      <c r="H134" s="6" t="s">
        <v>4279</v>
      </c>
      <c r="I134" s="6" t="s">
        <v>4280</v>
      </c>
      <c r="J134" s="6" t="n">
        <v>13</v>
      </c>
      <c r="K134" s="6"/>
    </row>
    <row r="135" customFormat="false" ht="15" hidden="false" customHeight="false" outlineLevel="0" collapsed="false">
      <c r="A135" s="6" t="s">
        <v>40</v>
      </c>
      <c r="B135" s="6" t="s">
        <v>4281</v>
      </c>
      <c r="C135" s="6" t="s">
        <v>4272</v>
      </c>
      <c r="D135" s="6" t="s">
        <v>4315</v>
      </c>
      <c r="E135" s="6" t="s">
        <v>244</v>
      </c>
      <c r="F135" s="6" t="s">
        <v>4316</v>
      </c>
      <c r="G135" s="6" t="s">
        <v>4284</v>
      </c>
      <c r="H135" s="6" t="s">
        <v>4276</v>
      </c>
      <c r="I135" s="6" t="s">
        <v>4277</v>
      </c>
      <c r="J135" s="6" t="n">
        <v>18</v>
      </c>
      <c r="K135" s="6"/>
    </row>
    <row r="136" customFormat="false" ht="15" hidden="false" customHeight="false" outlineLevel="0" collapsed="false">
      <c r="A136" s="6" t="s">
        <v>40</v>
      </c>
      <c r="B136" s="6" t="s">
        <v>4281</v>
      </c>
      <c r="C136" s="6" t="s">
        <v>4278</v>
      </c>
      <c r="D136" s="6" t="s">
        <v>4315</v>
      </c>
      <c r="E136" s="6" t="s">
        <v>244</v>
      </c>
      <c r="F136" s="6" t="s">
        <v>4316</v>
      </c>
      <c r="G136" s="6" t="s">
        <v>4284</v>
      </c>
      <c r="H136" s="6" t="s">
        <v>4279</v>
      </c>
      <c r="I136" s="6" t="s">
        <v>4280</v>
      </c>
      <c r="J136" s="6" t="n">
        <v>13</v>
      </c>
      <c r="K136" s="6"/>
    </row>
    <row r="137" customFormat="false" ht="15" hidden="false" customHeight="false" outlineLevel="0" collapsed="false">
      <c r="A137" s="6" t="s">
        <v>41</v>
      </c>
      <c r="B137" s="6" t="s">
        <v>154</v>
      </c>
      <c r="C137" s="6" t="s">
        <v>4272</v>
      </c>
      <c r="D137" s="6" t="s">
        <v>4328</v>
      </c>
      <c r="E137" s="6" t="s">
        <v>237</v>
      </c>
      <c r="F137" s="6" t="s">
        <v>4329</v>
      </c>
      <c r="G137" s="6" t="s">
        <v>4330</v>
      </c>
      <c r="H137" s="6" t="s">
        <v>4276</v>
      </c>
      <c r="I137" s="6" t="s">
        <v>4277</v>
      </c>
      <c r="J137" s="6" t="n">
        <v>21</v>
      </c>
      <c r="K137" s="6"/>
    </row>
    <row r="138" customFormat="false" ht="15" hidden="false" customHeight="false" outlineLevel="0" collapsed="false">
      <c r="A138" s="6" t="s">
        <v>41</v>
      </c>
      <c r="B138" s="6" t="s">
        <v>154</v>
      </c>
      <c r="C138" s="6" t="s">
        <v>4278</v>
      </c>
      <c r="D138" s="6" t="s">
        <v>4328</v>
      </c>
      <c r="E138" s="6" t="s">
        <v>237</v>
      </c>
      <c r="F138" s="6" t="s">
        <v>4329</v>
      </c>
      <c r="G138" s="6" t="s">
        <v>4330</v>
      </c>
      <c r="H138" s="6" t="s">
        <v>4279</v>
      </c>
      <c r="I138" s="6" t="s">
        <v>4280</v>
      </c>
      <c r="J138" s="6" t="n">
        <v>13</v>
      </c>
      <c r="K138" s="6"/>
    </row>
    <row r="139" customFormat="false" ht="15" hidden="false" customHeight="false" outlineLevel="0" collapsed="false">
      <c r="A139" s="6" t="s">
        <v>41</v>
      </c>
      <c r="B139" s="6" t="s">
        <v>149</v>
      </c>
      <c r="C139" s="6" t="s">
        <v>4272</v>
      </c>
      <c r="D139" s="6" t="s">
        <v>4328</v>
      </c>
      <c r="E139" s="6" t="s">
        <v>250</v>
      </c>
      <c r="F139" s="6" t="s">
        <v>4329</v>
      </c>
      <c r="G139" s="6" t="s">
        <v>4330</v>
      </c>
      <c r="H139" s="6" t="s">
        <v>4276</v>
      </c>
      <c r="I139" s="6" t="s">
        <v>4277</v>
      </c>
      <c r="J139" s="6" t="n">
        <v>22</v>
      </c>
      <c r="K139" s="6"/>
    </row>
    <row r="140" customFormat="false" ht="15" hidden="false" customHeight="false" outlineLevel="0" collapsed="false">
      <c r="A140" s="6" t="s">
        <v>41</v>
      </c>
      <c r="B140" s="6" t="s">
        <v>149</v>
      </c>
      <c r="C140" s="6" t="s">
        <v>4278</v>
      </c>
      <c r="D140" s="6" t="s">
        <v>4328</v>
      </c>
      <c r="E140" s="6" t="s">
        <v>250</v>
      </c>
      <c r="F140" s="6" t="s">
        <v>4329</v>
      </c>
      <c r="G140" s="6" t="s">
        <v>4330</v>
      </c>
      <c r="H140" s="6" t="s">
        <v>4279</v>
      </c>
      <c r="I140" s="6" t="s">
        <v>4280</v>
      </c>
      <c r="J140" s="6" t="n">
        <v>13</v>
      </c>
      <c r="K140" s="6"/>
    </row>
    <row r="141" customFormat="false" ht="15" hidden="false" customHeight="false" outlineLevel="0" collapsed="false">
      <c r="A141" s="6" t="s">
        <v>41</v>
      </c>
      <c r="B141" s="6" t="s">
        <v>4281</v>
      </c>
      <c r="C141" s="6" t="s">
        <v>4272</v>
      </c>
      <c r="D141" s="6" t="s">
        <v>4328</v>
      </c>
      <c r="E141" s="6" t="s">
        <v>244</v>
      </c>
      <c r="F141" s="6" t="s">
        <v>4329</v>
      </c>
      <c r="G141" s="6" t="s">
        <v>4330</v>
      </c>
      <c r="H141" s="6" t="s">
        <v>4276</v>
      </c>
      <c r="I141" s="6" t="s">
        <v>4277</v>
      </c>
      <c r="J141" s="6" t="n">
        <v>22</v>
      </c>
      <c r="K141" s="6"/>
    </row>
    <row r="142" customFormat="false" ht="15" hidden="false" customHeight="false" outlineLevel="0" collapsed="false">
      <c r="A142" s="6" t="s">
        <v>41</v>
      </c>
      <c r="B142" s="6" t="s">
        <v>4281</v>
      </c>
      <c r="C142" s="6" t="s">
        <v>4278</v>
      </c>
      <c r="D142" s="6" t="s">
        <v>4328</v>
      </c>
      <c r="E142" s="6" t="s">
        <v>244</v>
      </c>
      <c r="F142" s="6" t="s">
        <v>4329</v>
      </c>
      <c r="G142" s="6" t="s">
        <v>4330</v>
      </c>
      <c r="H142" s="6" t="s">
        <v>4279</v>
      </c>
      <c r="I142" s="6" t="s">
        <v>4280</v>
      </c>
      <c r="J142" s="6" t="n">
        <v>13</v>
      </c>
      <c r="K142" s="6"/>
    </row>
    <row r="143" customFormat="false" ht="15" hidden="false" customHeight="false" outlineLevel="0" collapsed="false">
      <c r="A143" s="6" t="s">
        <v>42</v>
      </c>
      <c r="B143" s="6" t="s">
        <v>154</v>
      </c>
      <c r="C143" s="6" t="s">
        <v>4272</v>
      </c>
      <c r="D143" s="6" t="s">
        <v>234</v>
      </c>
      <c r="E143" s="6" t="s">
        <v>237</v>
      </c>
      <c r="F143" s="6" t="s">
        <v>4307</v>
      </c>
      <c r="G143" s="6" t="s">
        <v>4287</v>
      </c>
      <c r="H143" s="6" t="s">
        <v>4276</v>
      </c>
      <c r="I143" s="6" t="s">
        <v>4277</v>
      </c>
      <c r="J143" s="6" t="n">
        <v>16</v>
      </c>
      <c r="K143" s="6"/>
    </row>
    <row r="144" customFormat="false" ht="15" hidden="false" customHeight="false" outlineLevel="0" collapsed="false">
      <c r="A144" s="6" t="s">
        <v>42</v>
      </c>
      <c r="B144" s="6" t="s">
        <v>154</v>
      </c>
      <c r="C144" s="6" t="s">
        <v>4278</v>
      </c>
      <c r="D144" s="6" t="s">
        <v>234</v>
      </c>
      <c r="E144" s="6" t="s">
        <v>237</v>
      </c>
      <c r="F144" s="6" t="s">
        <v>4307</v>
      </c>
      <c r="G144" s="6" t="s">
        <v>4287</v>
      </c>
      <c r="H144" s="6" t="s">
        <v>4279</v>
      </c>
      <c r="I144" s="6" t="s">
        <v>4280</v>
      </c>
      <c r="J144" s="6" t="n">
        <v>13</v>
      </c>
      <c r="K144" s="6"/>
    </row>
    <row r="145" customFormat="false" ht="15" hidden="false" customHeight="false" outlineLevel="0" collapsed="false">
      <c r="A145" s="6" t="s">
        <v>42</v>
      </c>
      <c r="B145" s="6" t="s">
        <v>149</v>
      </c>
      <c r="C145" s="6" t="s">
        <v>4272</v>
      </c>
      <c r="D145" s="6" t="s">
        <v>234</v>
      </c>
      <c r="E145" s="6" t="s">
        <v>250</v>
      </c>
      <c r="F145" s="6" t="s">
        <v>4307</v>
      </c>
      <c r="G145" s="6" t="s">
        <v>4287</v>
      </c>
      <c r="H145" s="6" t="s">
        <v>4276</v>
      </c>
      <c r="I145" s="6" t="s">
        <v>4277</v>
      </c>
      <c r="J145" s="6" t="n">
        <v>16</v>
      </c>
      <c r="K145" s="6"/>
    </row>
    <row r="146" customFormat="false" ht="15" hidden="false" customHeight="false" outlineLevel="0" collapsed="false">
      <c r="A146" s="6" t="s">
        <v>42</v>
      </c>
      <c r="B146" s="6" t="s">
        <v>149</v>
      </c>
      <c r="C146" s="6" t="s">
        <v>4278</v>
      </c>
      <c r="D146" s="6" t="s">
        <v>234</v>
      </c>
      <c r="E146" s="6" t="s">
        <v>250</v>
      </c>
      <c r="F146" s="6" t="s">
        <v>4307</v>
      </c>
      <c r="G146" s="6" t="s">
        <v>4287</v>
      </c>
      <c r="H146" s="6" t="s">
        <v>4279</v>
      </c>
      <c r="I146" s="6" t="s">
        <v>4280</v>
      </c>
      <c r="J146" s="6" t="n">
        <v>13</v>
      </c>
      <c r="K146" s="6"/>
    </row>
    <row r="147" customFormat="false" ht="15" hidden="false" customHeight="false" outlineLevel="0" collapsed="false">
      <c r="A147" s="6" t="s">
        <v>42</v>
      </c>
      <c r="B147" s="6" t="s">
        <v>4281</v>
      </c>
      <c r="C147" s="6" t="s">
        <v>4272</v>
      </c>
      <c r="D147" s="6" t="s">
        <v>234</v>
      </c>
      <c r="E147" s="6" t="s">
        <v>244</v>
      </c>
      <c r="F147" s="6" t="s">
        <v>4307</v>
      </c>
      <c r="G147" s="6" t="s">
        <v>4287</v>
      </c>
      <c r="H147" s="6" t="s">
        <v>4276</v>
      </c>
      <c r="I147" s="6" t="s">
        <v>4277</v>
      </c>
      <c r="J147" s="6" t="n">
        <v>16</v>
      </c>
      <c r="K147" s="6"/>
    </row>
    <row r="148" customFormat="false" ht="15" hidden="false" customHeight="false" outlineLevel="0" collapsed="false">
      <c r="A148" s="6" t="s">
        <v>42</v>
      </c>
      <c r="B148" s="6" t="s">
        <v>4281</v>
      </c>
      <c r="C148" s="6" t="s">
        <v>4278</v>
      </c>
      <c r="D148" s="6" t="s">
        <v>234</v>
      </c>
      <c r="E148" s="6" t="s">
        <v>244</v>
      </c>
      <c r="F148" s="6" t="s">
        <v>4307</v>
      </c>
      <c r="G148" s="6" t="s">
        <v>4287</v>
      </c>
      <c r="H148" s="6" t="s">
        <v>4279</v>
      </c>
      <c r="I148" s="6" t="s">
        <v>4280</v>
      </c>
      <c r="J148" s="6" t="n">
        <v>13</v>
      </c>
      <c r="K148" s="6"/>
    </row>
    <row r="149" customFormat="false" ht="15" hidden="false" customHeight="false" outlineLevel="0" collapsed="false">
      <c r="A149" s="6" t="s">
        <v>43</v>
      </c>
      <c r="B149" s="6" t="s">
        <v>154</v>
      </c>
      <c r="C149" s="6" t="s">
        <v>4272</v>
      </c>
      <c r="D149" s="6" t="s">
        <v>4317</v>
      </c>
      <c r="E149" s="6" t="s">
        <v>237</v>
      </c>
      <c r="F149" s="6" t="s">
        <v>4293</v>
      </c>
      <c r="G149" s="6" t="s">
        <v>4318</v>
      </c>
      <c r="H149" s="6" t="s">
        <v>4276</v>
      </c>
      <c r="I149" s="6" t="s">
        <v>4277</v>
      </c>
      <c r="J149" s="6" t="n">
        <v>19</v>
      </c>
      <c r="K149" s="6"/>
    </row>
    <row r="150" customFormat="false" ht="15" hidden="false" customHeight="false" outlineLevel="0" collapsed="false">
      <c r="A150" s="6" t="s">
        <v>43</v>
      </c>
      <c r="B150" s="6" t="s">
        <v>154</v>
      </c>
      <c r="C150" s="6" t="s">
        <v>4278</v>
      </c>
      <c r="D150" s="6" t="s">
        <v>4317</v>
      </c>
      <c r="E150" s="6" t="s">
        <v>237</v>
      </c>
      <c r="F150" s="6" t="s">
        <v>4293</v>
      </c>
      <c r="G150" s="6" t="s">
        <v>4318</v>
      </c>
      <c r="H150" s="6" t="s">
        <v>4279</v>
      </c>
      <c r="I150" s="6" t="s">
        <v>4280</v>
      </c>
      <c r="J150" s="6" t="n">
        <v>13</v>
      </c>
      <c r="K150" s="6"/>
    </row>
    <row r="151" customFormat="false" ht="15" hidden="false" customHeight="false" outlineLevel="0" collapsed="false">
      <c r="A151" s="6" t="s">
        <v>43</v>
      </c>
      <c r="B151" s="6" t="s">
        <v>149</v>
      </c>
      <c r="C151" s="6" t="s">
        <v>4272</v>
      </c>
      <c r="D151" s="6" t="s">
        <v>4317</v>
      </c>
      <c r="E151" s="6" t="s">
        <v>250</v>
      </c>
      <c r="F151" s="6" t="s">
        <v>4293</v>
      </c>
      <c r="G151" s="6" t="s">
        <v>4318</v>
      </c>
      <c r="H151" s="6" t="s">
        <v>4276</v>
      </c>
      <c r="I151" s="6" t="s">
        <v>4277</v>
      </c>
      <c r="J151" s="6" t="n">
        <v>19</v>
      </c>
      <c r="K151" s="6"/>
    </row>
    <row r="152" customFormat="false" ht="15" hidden="false" customHeight="false" outlineLevel="0" collapsed="false">
      <c r="A152" s="6" t="s">
        <v>43</v>
      </c>
      <c r="B152" s="6" t="s">
        <v>149</v>
      </c>
      <c r="C152" s="6" t="s">
        <v>4278</v>
      </c>
      <c r="D152" s="6" t="s">
        <v>4317</v>
      </c>
      <c r="E152" s="6" t="s">
        <v>250</v>
      </c>
      <c r="F152" s="6" t="s">
        <v>4293</v>
      </c>
      <c r="G152" s="6" t="s">
        <v>4318</v>
      </c>
      <c r="H152" s="6" t="s">
        <v>4279</v>
      </c>
      <c r="I152" s="6" t="s">
        <v>4280</v>
      </c>
      <c r="J152" s="6" t="n">
        <v>13</v>
      </c>
      <c r="K152" s="6"/>
    </row>
    <row r="153" customFormat="false" ht="15" hidden="false" customHeight="false" outlineLevel="0" collapsed="false">
      <c r="A153" s="6" t="s">
        <v>43</v>
      </c>
      <c r="B153" s="6" t="s">
        <v>4281</v>
      </c>
      <c r="C153" s="6" t="s">
        <v>4272</v>
      </c>
      <c r="D153" s="6" t="s">
        <v>4317</v>
      </c>
      <c r="E153" s="6" t="s">
        <v>244</v>
      </c>
      <c r="F153" s="6" t="s">
        <v>4293</v>
      </c>
      <c r="G153" s="6" t="s">
        <v>4318</v>
      </c>
      <c r="H153" s="6" t="s">
        <v>4276</v>
      </c>
      <c r="I153" s="6" t="s">
        <v>4277</v>
      </c>
      <c r="J153" s="6" t="n">
        <v>19</v>
      </c>
      <c r="K153" s="6"/>
    </row>
    <row r="154" customFormat="false" ht="15" hidden="false" customHeight="false" outlineLevel="0" collapsed="false">
      <c r="A154" s="6" t="s">
        <v>43</v>
      </c>
      <c r="B154" s="6" t="s">
        <v>4281</v>
      </c>
      <c r="C154" s="6" t="s">
        <v>4278</v>
      </c>
      <c r="D154" s="6" t="s">
        <v>4317</v>
      </c>
      <c r="E154" s="6" t="s">
        <v>244</v>
      </c>
      <c r="F154" s="6" t="s">
        <v>4293</v>
      </c>
      <c r="G154" s="6" t="s">
        <v>4318</v>
      </c>
      <c r="H154" s="6" t="s">
        <v>4279</v>
      </c>
      <c r="I154" s="6" t="s">
        <v>4280</v>
      </c>
      <c r="J154" s="6" t="n">
        <v>13</v>
      </c>
      <c r="K154" s="6"/>
    </row>
    <row r="155" customFormat="false" ht="15" hidden="false" customHeight="false" outlineLevel="0" collapsed="false">
      <c r="A155" s="6" t="s">
        <v>44</v>
      </c>
      <c r="B155" s="6" t="s">
        <v>154</v>
      </c>
      <c r="C155" s="6" t="s">
        <v>4272</v>
      </c>
      <c r="D155" s="6" t="s">
        <v>4331</v>
      </c>
      <c r="E155" s="6" t="s">
        <v>237</v>
      </c>
      <c r="F155" s="6" t="s">
        <v>4304</v>
      </c>
      <c r="G155" s="6" t="s">
        <v>4305</v>
      </c>
      <c r="H155" s="6" t="s">
        <v>4276</v>
      </c>
      <c r="I155" s="6" t="s">
        <v>4277</v>
      </c>
      <c r="J155" s="6" t="n">
        <v>23</v>
      </c>
      <c r="K155" s="6"/>
    </row>
    <row r="156" customFormat="false" ht="15" hidden="false" customHeight="false" outlineLevel="0" collapsed="false">
      <c r="A156" s="6" t="s">
        <v>44</v>
      </c>
      <c r="B156" s="6" t="s">
        <v>154</v>
      </c>
      <c r="C156" s="6" t="s">
        <v>4278</v>
      </c>
      <c r="D156" s="6" t="s">
        <v>4331</v>
      </c>
      <c r="E156" s="6" t="s">
        <v>237</v>
      </c>
      <c r="F156" s="6" t="s">
        <v>4304</v>
      </c>
      <c r="G156" s="6" t="s">
        <v>4305</v>
      </c>
      <c r="H156" s="6" t="s">
        <v>4279</v>
      </c>
      <c r="I156" s="6" t="s">
        <v>4280</v>
      </c>
      <c r="J156" s="6" t="n">
        <v>13</v>
      </c>
      <c r="K156" s="6"/>
    </row>
    <row r="157" customFormat="false" ht="15" hidden="false" customHeight="false" outlineLevel="0" collapsed="false">
      <c r="A157" s="6" t="s">
        <v>44</v>
      </c>
      <c r="B157" s="6" t="s">
        <v>149</v>
      </c>
      <c r="C157" s="6" t="s">
        <v>4272</v>
      </c>
      <c r="D157" s="6" t="s">
        <v>4331</v>
      </c>
      <c r="E157" s="6" t="s">
        <v>250</v>
      </c>
      <c r="F157" s="6" t="s">
        <v>4304</v>
      </c>
      <c r="G157" s="6" t="s">
        <v>4305</v>
      </c>
      <c r="H157" s="6" t="s">
        <v>4276</v>
      </c>
      <c r="I157" s="6" t="s">
        <v>4277</v>
      </c>
      <c r="J157" s="6" t="n">
        <v>23</v>
      </c>
      <c r="K157" s="6"/>
    </row>
    <row r="158" customFormat="false" ht="15" hidden="false" customHeight="false" outlineLevel="0" collapsed="false">
      <c r="A158" s="6" t="s">
        <v>44</v>
      </c>
      <c r="B158" s="6" t="s">
        <v>149</v>
      </c>
      <c r="C158" s="6" t="s">
        <v>4278</v>
      </c>
      <c r="D158" s="6" t="s">
        <v>4331</v>
      </c>
      <c r="E158" s="6" t="s">
        <v>250</v>
      </c>
      <c r="F158" s="6" t="s">
        <v>4304</v>
      </c>
      <c r="G158" s="6" t="s">
        <v>4305</v>
      </c>
      <c r="H158" s="6" t="s">
        <v>4279</v>
      </c>
      <c r="I158" s="6" t="s">
        <v>4280</v>
      </c>
      <c r="J158" s="6" t="n">
        <v>13</v>
      </c>
      <c r="K158" s="6"/>
    </row>
    <row r="159" customFormat="false" ht="15" hidden="false" customHeight="false" outlineLevel="0" collapsed="false">
      <c r="A159" s="6" t="s">
        <v>44</v>
      </c>
      <c r="B159" s="6" t="s">
        <v>4281</v>
      </c>
      <c r="C159" s="6" t="s">
        <v>4272</v>
      </c>
      <c r="D159" s="6" t="s">
        <v>4331</v>
      </c>
      <c r="E159" s="6" t="s">
        <v>244</v>
      </c>
      <c r="F159" s="6" t="s">
        <v>4304</v>
      </c>
      <c r="G159" s="6" t="s">
        <v>4305</v>
      </c>
      <c r="H159" s="6" t="s">
        <v>4276</v>
      </c>
      <c r="I159" s="6" t="s">
        <v>4277</v>
      </c>
      <c r="J159" s="6" t="n">
        <v>23</v>
      </c>
      <c r="K159" s="6"/>
    </row>
    <row r="160" customFormat="false" ht="15" hidden="false" customHeight="false" outlineLevel="0" collapsed="false">
      <c r="A160" s="6" t="s">
        <v>44</v>
      </c>
      <c r="B160" s="6" t="s">
        <v>4281</v>
      </c>
      <c r="C160" s="6" t="s">
        <v>4278</v>
      </c>
      <c r="D160" s="6" t="s">
        <v>4331</v>
      </c>
      <c r="E160" s="6" t="s">
        <v>244</v>
      </c>
      <c r="F160" s="6" t="s">
        <v>4304</v>
      </c>
      <c r="G160" s="6" t="s">
        <v>4305</v>
      </c>
      <c r="H160" s="6" t="s">
        <v>4279</v>
      </c>
      <c r="I160" s="6" t="s">
        <v>4280</v>
      </c>
      <c r="J160" s="6" t="n">
        <v>13</v>
      </c>
      <c r="K160" s="6"/>
    </row>
    <row r="161" customFormat="false" ht="15" hidden="false" customHeight="false" outlineLevel="0" collapsed="false">
      <c r="A161" s="6" t="s">
        <v>45</v>
      </c>
      <c r="B161" s="6" t="s">
        <v>154</v>
      </c>
      <c r="C161" s="6" t="s">
        <v>4272</v>
      </c>
      <c r="D161" s="6" t="s">
        <v>230</v>
      </c>
      <c r="E161" s="6" t="s">
        <v>237</v>
      </c>
      <c r="F161" s="6" t="s">
        <v>4308</v>
      </c>
      <c r="G161" s="6" t="s">
        <v>4309</v>
      </c>
      <c r="H161" s="6" t="s">
        <v>4276</v>
      </c>
      <c r="I161" s="6" t="s">
        <v>4277</v>
      </c>
      <c r="J161" s="6" t="n">
        <v>16</v>
      </c>
      <c r="K161" s="6"/>
    </row>
    <row r="162" customFormat="false" ht="15" hidden="false" customHeight="false" outlineLevel="0" collapsed="false">
      <c r="A162" s="6" t="s">
        <v>45</v>
      </c>
      <c r="B162" s="6" t="s">
        <v>154</v>
      </c>
      <c r="C162" s="6" t="s">
        <v>4278</v>
      </c>
      <c r="D162" s="6" t="s">
        <v>230</v>
      </c>
      <c r="E162" s="6" t="s">
        <v>237</v>
      </c>
      <c r="F162" s="6" t="s">
        <v>4308</v>
      </c>
      <c r="G162" s="6" t="s">
        <v>4309</v>
      </c>
      <c r="H162" s="6" t="s">
        <v>4279</v>
      </c>
      <c r="I162" s="6" t="s">
        <v>4280</v>
      </c>
      <c r="J162" s="6" t="n">
        <v>13</v>
      </c>
      <c r="K162" s="6"/>
    </row>
    <row r="163" customFormat="false" ht="15" hidden="false" customHeight="false" outlineLevel="0" collapsed="false">
      <c r="A163" s="6" t="s">
        <v>45</v>
      </c>
      <c r="B163" s="6" t="s">
        <v>149</v>
      </c>
      <c r="C163" s="6" t="s">
        <v>4272</v>
      </c>
      <c r="D163" s="6" t="s">
        <v>230</v>
      </c>
      <c r="E163" s="6" t="s">
        <v>250</v>
      </c>
      <c r="F163" s="6" t="s">
        <v>4308</v>
      </c>
      <c r="G163" s="6" t="s">
        <v>4309</v>
      </c>
      <c r="H163" s="6" t="s">
        <v>4276</v>
      </c>
      <c r="I163" s="6" t="s">
        <v>4277</v>
      </c>
      <c r="J163" s="6" t="n">
        <v>16</v>
      </c>
      <c r="K163" s="6"/>
    </row>
    <row r="164" customFormat="false" ht="15" hidden="false" customHeight="false" outlineLevel="0" collapsed="false">
      <c r="A164" s="6" t="s">
        <v>45</v>
      </c>
      <c r="B164" s="6" t="s">
        <v>149</v>
      </c>
      <c r="C164" s="6" t="s">
        <v>4278</v>
      </c>
      <c r="D164" s="6" t="s">
        <v>230</v>
      </c>
      <c r="E164" s="6" t="s">
        <v>250</v>
      </c>
      <c r="F164" s="6" t="s">
        <v>4308</v>
      </c>
      <c r="G164" s="6" t="s">
        <v>4309</v>
      </c>
      <c r="H164" s="6" t="s">
        <v>4279</v>
      </c>
      <c r="I164" s="6" t="s">
        <v>4280</v>
      </c>
      <c r="J164" s="6" t="n">
        <v>13</v>
      </c>
      <c r="K164" s="6"/>
    </row>
    <row r="165" customFormat="false" ht="15" hidden="false" customHeight="false" outlineLevel="0" collapsed="false">
      <c r="A165" s="6" t="s">
        <v>45</v>
      </c>
      <c r="B165" s="6" t="s">
        <v>4281</v>
      </c>
      <c r="C165" s="6" t="s">
        <v>4272</v>
      </c>
      <c r="D165" s="6" t="s">
        <v>230</v>
      </c>
      <c r="E165" s="6" t="s">
        <v>244</v>
      </c>
      <c r="F165" s="6" t="s">
        <v>4308</v>
      </c>
      <c r="G165" s="6" t="s">
        <v>4309</v>
      </c>
      <c r="H165" s="6" t="s">
        <v>4276</v>
      </c>
      <c r="I165" s="6" t="s">
        <v>4277</v>
      </c>
      <c r="J165" s="6" t="n">
        <v>16</v>
      </c>
      <c r="K165" s="6"/>
    </row>
    <row r="166" customFormat="false" ht="15" hidden="false" customHeight="false" outlineLevel="0" collapsed="false">
      <c r="A166" s="6" t="s">
        <v>45</v>
      </c>
      <c r="B166" s="6" t="s">
        <v>4281</v>
      </c>
      <c r="C166" s="6" t="s">
        <v>4278</v>
      </c>
      <c r="D166" s="6" t="s">
        <v>230</v>
      </c>
      <c r="E166" s="6" t="s">
        <v>244</v>
      </c>
      <c r="F166" s="6" t="s">
        <v>4308</v>
      </c>
      <c r="G166" s="6" t="s">
        <v>4309</v>
      </c>
      <c r="H166" s="6" t="s">
        <v>4279</v>
      </c>
      <c r="I166" s="6" t="s">
        <v>4280</v>
      </c>
      <c r="J166" s="6" t="n">
        <v>13</v>
      </c>
      <c r="K166" s="6"/>
    </row>
    <row r="167" customFormat="false" ht="15" hidden="false" customHeight="false" outlineLevel="0" collapsed="false">
      <c r="A167" s="6" t="s">
        <v>46</v>
      </c>
      <c r="B167" s="6" t="s">
        <v>154</v>
      </c>
      <c r="C167" s="6" t="s">
        <v>4272</v>
      </c>
      <c r="D167" s="6" t="s">
        <v>4332</v>
      </c>
      <c r="E167" s="6" t="s">
        <v>237</v>
      </c>
      <c r="F167" s="6" t="s">
        <v>4333</v>
      </c>
      <c r="G167" s="6" t="s">
        <v>4334</v>
      </c>
      <c r="H167" s="6" t="s">
        <v>4276</v>
      </c>
      <c r="I167" s="6" t="s">
        <v>4277</v>
      </c>
      <c r="J167" s="6" t="n">
        <v>23</v>
      </c>
      <c r="K167" s="6"/>
    </row>
    <row r="168" customFormat="false" ht="15" hidden="false" customHeight="false" outlineLevel="0" collapsed="false">
      <c r="A168" s="6" t="s">
        <v>46</v>
      </c>
      <c r="B168" s="6" t="s">
        <v>154</v>
      </c>
      <c r="C168" s="6" t="s">
        <v>4278</v>
      </c>
      <c r="D168" s="6" t="s">
        <v>4332</v>
      </c>
      <c r="E168" s="6" t="s">
        <v>237</v>
      </c>
      <c r="F168" s="6" t="s">
        <v>4333</v>
      </c>
      <c r="G168" s="6" t="s">
        <v>4334</v>
      </c>
      <c r="H168" s="6" t="s">
        <v>4279</v>
      </c>
      <c r="I168" s="6" t="s">
        <v>4280</v>
      </c>
      <c r="J168" s="6" t="n">
        <v>13</v>
      </c>
      <c r="K168" s="6"/>
    </row>
    <row r="169" customFormat="false" ht="15" hidden="false" customHeight="false" outlineLevel="0" collapsed="false">
      <c r="A169" s="6" t="s">
        <v>46</v>
      </c>
      <c r="B169" s="6" t="s">
        <v>149</v>
      </c>
      <c r="C169" s="6" t="s">
        <v>4272</v>
      </c>
      <c r="D169" s="6" t="s">
        <v>4332</v>
      </c>
      <c r="E169" s="6" t="s">
        <v>250</v>
      </c>
      <c r="F169" s="6" t="s">
        <v>4333</v>
      </c>
      <c r="G169" s="6" t="s">
        <v>4334</v>
      </c>
      <c r="H169" s="6" t="s">
        <v>4276</v>
      </c>
      <c r="I169" s="6" t="s">
        <v>4277</v>
      </c>
      <c r="J169" s="6" t="n">
        <v>24</v>
      </c>
      <c r="K169" s="6"/>
    </row>
    <row r="170" customFormat="false" ht="15" hidden="false" customHeight="false" outlineLevel="0" collapsed="false">
      <c r="A170" s="6" t="s">
        <v>46</v>
      </c>
      <c r="B170" s="6" t="s">
        <v>149</v>
      </c>
      <c r="C170" s="6" t="s">
        <v>4278</v>
      </c>
      <c r="D170" s="6" t="s">
        <v>4332</v>
      </c>
      <c r="E170" s="6" t="s">
        <v>250</v>
      </c>
      <c r="F170" s="6" t="s">
        <v>4333</v>
      </c>
      <c r="G170" s="6" t="s">
        <v>4334</v>
      </c>
      <c r="H170" s="6" t="s">
        <v>4279</v>
      </c>
      <c r="I170" s="6" t="s">
        <v>4280</v>
      </c>
      <c r="J170" s="6" t="n">
        <v>13</v>
      </c>
      <c r="K170" s="6"/>
    </row>
    <row r="171" customFormat="false" ht="15" hidden="false" customHeight="false" outlineLevel="0" collapsed="false">
      <c r="A171" s="6" t="s">
        <v>46</v>
      </c>
      <c r="B171" s="6" t="s">
        <v>4281</v>
      </c>
      <c r="C171" s="6" t="s">
        <v>4272</v>
      </c>
      <c r="D171" s="6" t="s">
        <v>4332</v>
      </c>
      <c r="E171" s="6" t="s">
        <v>244</v>
      </c>
      <c r="F171" s="6" t="s">
        <v>4333</v>
      </c>
      <c r="G171" s="6" t="s">
        <v>4334</v>
      </c>
      <c r="H171" s="6" t="s">
        <v>4276</v>
      </c>
      <c r="I171" s="6" t="s">
        <v>4277</v>
      </c>
      <c r="J171" s="6" t="n">
        <v>24</v>
      </c>
      <c r="K171" s="6"/>
    </row>
    <row r="172" customFormat="false" ht="15" hidden="false" customHeight="false" outlineLevel="0" collapsed="false">
      <c r="A172" s="6" t="s">
        <v>46</v>
      </c>
      <c r="B172" s="6" t="s">
        <v>4281</v>
      </c>
      <c r="C172" s="6" t="s">
        <v>4278</v>
      </c>
      <c r="D172" s="6" t="s">
        <v>4332</v>
      </c>
      <c r="E172" s="6" t="s">
        <v>244</v>
      </c>
      <c r="F172" s="6" t="s">
        <v>4333</v>
      </c>
      <c r="G172" s="6" t="s">
        <v>4334</v>
      </c>
      <c r="H172" s="6" t="s">
        <v>4279</v>
      </c>
      <c r="I172" s="6" t="s">
        <v>4280</v>
      </c>
      <c r="J172" s="6" t="n">
        <v>13</v>
      </c>
      <c r="K172" s="6"/>
    </row>
    <row r="173" customFormat="false" ht="15" hidden="false" customHeight="false" outlineLevel="0" collapsed="false">
      <c r="A173" s="6" t="s">
        <v>47</v>
      </c>
      <c r="B173" s="6" t="s">
        <v>154</v>
      </c>
      <c r="C173" s="6" t="s">
        <v>4272</v>
      </c>
      <c r="D173" s="6" t="s">
        <v>4288</v>
      </c>
      <c r="E173" s="6" t="s">
        <v>237</v>
      </c>
      <c r="F173" s="6" t="s">
        <v>4289</v>
      </c>
      <c r="G173" s="6" t="s">
        <v>4290</v>
      </c>
      <c r="H173" s="6" t="s">
        <v>4276</v>
      </c>
      <c r="I173" s="6" t="s">
        <v>4277</v>
      </c>
      <c r="J173" s="6" t="n">
        <v>14</v>
      </c>
      <c r="K173" s="6"/>
    </row>
    <row r="174" customFormat="false" ht="15" hidden="false" customHeight="false" outlineLevel="0" collapsed="false">
      <c r="A174" s="6" t="s">
        <v>47</v>
      </c>
      <c r="B174" s="6" t="s">
        <v>154</v>
      </c>
      <c r="C174" s="6" t="s">
        <v>4278</v>
      </c>
      <c r="D174" s="6" t="s">
        <v>4288</v>
      </c>
      <c r="E174" s="6" t="s">
        <v>237</v>
      </c>
      <c r="F174" s="6" t="s">
        <v>4289</v>
      </c>
      <c r="G174" s="6" t="s">
        <v>4290</v>
      </c>
      <c r="H174" s="6" t="s">
        <v>4279</v>
      </c>
      <c r="I174" s="6" t="s">
        <v>4280</v>
      </c>
      <c r="J174" s="6" t="n">
        <v>13</v>
      </c>
      <c r="K174" s="6"/>
    </row>
    <row r="175" customFormat="false" ht="15" hidden="false" customHeight="false" outlineLevel="0" collapsed="false">
      <c r="A175" s="6" t="s">
        <v>47</v>
      </c>
      <c r="B175" s="6" t="s">
        <v>149</v>
      </c>
      <c r="C175" s="6" t="s">
        <v>4272</v>
      </c>
      <c r="D175" s="6" t="s">
        <v>4288</v>
      </c>
      <c r="E175" s="6" t="s">
        <v>250</v>
      </c>
      <c r="F175" s="6" t="s">
        <v>4289</v>
      </c>
      <c r="G175" s="6" t="s">
        <v>4290</v>
      </c>
      <c r="H175" s="6" t="s">
        <v>4276</v>
      </c>
      <c r="I175" s="6" t="s">
        <v>4277</v>
      </c>
      <c r="J175" s="6" t="n">
        <v>14</v>
      </c>
      <c r="K175" s="6"/>
    </row>
    <row r="176" customFormat="false" ht="15" hidden="false" customHeight="false" outlineLevel="0" collapsed="false">
      <c r="A176" s="6" t="s">
        <v>47</v>
      </c>
      <c r="B176" s="6" t="s">
        <v>149</v>
      </c>
      <c r="C176" s="6" t="s">
        <v>4278</v>
      </c>
      <c r="D176" s="6" t="s">
        <v>4288</v>
      </c>
      <c r="E176" s="6" t="s">
        <v>250</v>
      </c>
      <c r="F176" s="6" t="s">
        <v>4289</v>
      </c>
      <c r="G176" s="6" t="s">
        <v>4290</v>
      </c>
      <c r="H176" s="6" t="s">
        <v>4279</v>
      </c>
      <c r="I176" s="6" t="s">
        <v>4280</v>
      </c>
      <c r="J176" s="6" t="n">
        <v>13</v>
      </c>
      <c r="K176" s="6"/>
    </row>
    <row r="177" customFormat="false" ht="15" hidden="false" customHeight="false" outlineLevel="0" collapsed="false">
      <c r="A177" s="6" t="s">
        <v>47</v>
      </c>
      <c r="B177" s="6" t="s">
        <v>4281</v>
      </c>
      <c r="C177" s="6" t="s">
        <v>4272</v>
      </c>
      <c r="D177" s="6" t="s">
        <v>4288</v>
      </c>
      <c r="E177" s="6" t="s">
        <v>244</v>
      </c>
      <c r="F177" s="6" t="s">
        <v>4289</v>
      </c>
      <c r="G177" s="6" t="s">
        <v>4290</v>
      </c>
      <c r="H177" s="6" t="s">
        <v>4276</v>
      </c>
      <c r="I177" s="6" t="s">
        <v>4277</v>
      </c>
      <c r="J177" s="6" t="n">
        <v>14</v>
      </c>
      <c r="K177" s="6"/>
    </row>
    <row r="178" customFormat="false" ht="15" hidden="false" customHeight="false" outlineLevel="0" collapsed="false">
      <c r="A178" s="6" t="s">
        <v>47</v>
      </c>
      <c r="B178" s="6" t="s">
        <v>4281</v>
      </c>
      <c r="C178" s="6" t="s">
        <v>4278</v>
      </c>
      <c r="D178" s="6" t="s">
        <v>4288</v>
      </c>
      <c r="E178" s="6" t="s">
        <v>244</v>
      </c>
      <c r="F178" s="6" t="s">
        <v>4289</v>
      </c>
      <c r="G178" s="6" t="s">
        <v>4290</v>
      </c>
      <c r="H178" s="6" t="s">
        <v>4279</v>
      </c>
      <c r="I178" s="6" t="s">
        <v>4280</v>
      </c>
      <c r="J178" s="6" t="n">
        <v>13</v>
      </c>
      <c r="K178" s="6"/>
    </row>
    <row r="179" customFormat="false" ht="15" hidden="false" customHeight="false" outlineLevel="0" collapsed="false">
      <c r="A179" s="6" t="s">
        <v>48</v>
      </c>
      <c r="B179" s="6" t="s">
        <v>154</v>
      </c>
      <c r="C179" s="6" t="s">
        <v>4272</v>
      </c>
      <c r="D179" s="6" t="s">
        <v>4335</v>
      </c>
      <c r="E179" s="6" t="s">
        <v>237</v>
      </c>
      <c r="F179" s="6" t="s">
        <v>4336</v>
      </c>
      <c r="G179" s="6" t="s">
        <v>4337</v>
      </c>
      <c r="H179" s="6" t="s">
        <v>4276</v>
      </c>
      <c r="I179" s="6" t="s">
        <v>4277</v>
      </c>
      <c r="J179" s="6" t="n">
        <v>24</v>
      </c>
      <c r="K179" s="6"/>
    </row>
    <row r="180" customFormat="false" ht="15" hidden="false" customHeight="false" outlineLevel="0" collapsed="false">
      <c r="A180" s="6" t="s">
        <v>48</v>
      </c>
      <c r="B180" s="6" t="s">
        <v>154</v>
      </c>
      <c r="C180" s="6" t="s">
        <v>4278</v>
      </c>
      <c r="D180" s="6" t="s">
        <v>4335</v>
      </c>
      <c r="E180" s="6" t="s">
        <v>237</v>
      </c>
      <c r="F180" s="6" t="s">
        <v>4336</v>
      </c>
      <c r="G180" s="6" t="s">
        <v>4337</v>
      </c>
      <c r="H180" s="6" t="s">
        <v>4279</v>
      </c>
      <c r="I180" s="6" t="s">
        <v>4280</v>
      </c>
      <c r="J180" s="6" t="n">
        <v>13</v>
      </c>
      <c r="K180" s="6"/>
    </row>
    <row r="181" customFormat="false" ht="15" hidden="false" customHeight="false" outlineLevel="0" collapsed="false">
      <c r="A181" s="6" t="s">
        <v>48</v>
      </c>
      <c r="B181" s="6" t="s">
        <v>149</v>
      </c>
      <c r="C181" s="6" t="s">
        <v>4272</v>
      </c>
      <c r="D181" s="6" t="s">
        <v>4335</v>
      </c>
      <c r="E181" s="6" t="s">
        <v>250</v>
      </c>
      <c r="F181" s="6" t="s">
        <v>4336</v>
      </c>
      <c r="G181" s="6" t="s">
        <v>4337</v>
      </c>
      <c r="H181" s="6" t="s">
        <v>4276</v>
      </c>
      <c r="I181" s="6" t="s">
        <v>4277</v>
      </c>
      <c r="J181" s="6" t="n">
        <v>24</v>
      </c>
      <c r="K181" s="6"/>
    </row>
    <row r="182" customFormat="false" ht="15" hidden="false" customHeight="false" outlineLevel="0" collapsed="false">
      <c r="A182" s="6" t="s">
        <v>48</v>
      </c>
      <c r="B182" s="6" t="s">
        <v>149</v>
      </c>
      <c r="C182" s="6" t="s">
        <v>4278</v>
      </c>
      <c r="D182" s="6" t="s">
        <v>4335</v>
      </c>
      <c r="E182" s="6" t="s">
        <v>250</v>
      </c>
      <c r="F182" s="6" t="s">
        <v>4336</v>
      </c>
      <c r="G182" s="6" t="s">
        <v>4337</v>
      </c>
      <c r="H182" s="6" t="s">
        <v>4279</v>
      </c>
      <c r="I182" s="6" t="s">
        <v>4280</v>
      </c>
      <c r="J182" s="6" t="n">
        <v>13</v>
      </c>
      <c r="K182" s="6"/>
    </row>
    <row r="183" customFormat="false" ht="15" hidden="false" customHeight="false" outlineLevel="0" collapsed="false">
      <c r="A183" s="6" t="s">
        <v>48</v>
      </c>
      <c r="B183" s="6" t="s">
        <v>4281</v>
      </c>
      <c r="C183" s="6" t="s">
        <v>4272</v>
      </c>
      <c r="D183" s="6" t="s">
        <v>4335</v>
      </c>
      <c r="E183" s="6" t="s">
        <v>244</v>
      </c>
      <c r="F183" s="6" t="s">
        <v>4336</v>
      </c>
      <c r="G183" s="6" t="s">
        <v>4337</v>
      </c>
      <c r="H183" s="6" t="s">
        <v>4276</v>
      </c>
      <c r="I183" s="6" t="s">
        <v>4277</v>
      </c>
      <c r="J183" s="6" t="n">
        <v>24</v>
      </c>
      <c r="K183" s="6"/>
    </row>
    <row r="184" customFormat="false" ht="15" hidden="false" customHeight="false" outlineLevel="0" collapsed="false">
      <c r="A184" s="6" t="s">
        <v>48</v>
      </c>
      <c r="B184" s="6" t="s">
        <v>4281</v>
      </c>
      <c r="C184" s="6" t="s">
        <v>4278</v>
      </c>
      <c r="D184" s="6" t="s">
        <v>4335</v>
      </c>
      <c r="E184" s="6" t="s">
        <v>244</v>
      </c>
      <c r="F184" s="6" t="s">
        <v>4336</v>
      </c>
      <c r="G184" s="6" t="s">
        <v>4337</v>
      </c>
      <c r="H184" s="6" t="s">
        <v>4279</v>
      </c>
      <c r="I184" s="6" t="s">
        <v>4280</v>
      </c>
      <c r="J184" s="6" t="n">
        <v>13</v>
      </c>
      <c r="K18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30"/>
    <col collapsed="false" customWidth="true" hidden="false" outlineLevel="0" max="12" min="12" style="0" width="100"/>
  </cols>
  <sheetData>
    <row r="1" customFormat="false" ht="17.35" hidden="false" customHeight="false" outlineLevel="0" collapsed="false">
      <c r="A1" s="1" t="s">
        <v>4338</v>
      </c>
    </row>
    <row r="4" customFormat="false" ht="39.55" hidden="false" customHeight="false" outlineLevel="0" collapsed="false">
      <c r="A4" s="5" t="s">
        <v>4339</v>
      </c>
      <c r="B4" s="5" t="s">
        <v>4340</v>
      </c>
      <c r="C4" s="5" t="s">
        <v>4341</v>
      </c>
      <c r="D4" s="5" t="s">
        <v>4342</v>
      </c>
      <c r="E4" s="5" t="s">
        <v>4343</v>
      </c>
      <c r="F4" s="5" t="s">
        <v>4344</v>
      </c>
      <c r="G4" s="5" t="s">
        <v>4345</v>
      </c>
      <c r="H4" s="5" t="s">
        <v>4346</v>
      </c>
      <c r="I4" s="5" t="s">
        <v>140</v>
      </c>
      <c r="J4" s="5" t="s">
        <v>4270</v>
      </c>
      <c r="K4" s="5" t="s">
        <v>4347</v>
      </c>
      <c r="L4" s="5" t="s">
        <v>4348</v>
      </c>
    </row>
    <row r="5" customFormat="false" ht="15" hidden="false" customHeight="false" outlineLevel="0" collapsed="false">
      <c r="A5" s="6" t="s">
        <v>250</v>
      </c>
      <c r="B5" s="6" t="s">
        <v>169</v>
      </c>
      <c r="C5" s="6" t="s">
        <v>4349</v>
      </c>
      <c r="D5" s="6" t="n">
        <v>0.8</v>
      </c>
      <c r="E5" s="6" t="s">
        <v>4350</v>
      </c>
      <c r="F5" s="6" t="n">
        <v>-0.75</v>
      </c>
      <c r="G5" s="6" t="s">
        <v>4351</v>
      </c>
      <c r="H5" s="6" t="s">
        <v>4352</v>
      </c>
      <c r="I5" s="6" t="s">
        <v>149</v>
      </c>
      <c r="J5" s="6" t="n">
        <v>26</v>
      </c>
      <c r="K5" s="6"/>
      <c r="L5" s="6"/>
    </row>
    <row r="6" customFormat="false" ht="15" hidden="false" customHeight="false" outlineLevel="0" collapsed="false">
      <c r="A6" s="6" t="s">
        <v>250</v>
      </c>
      <c r="B6" s="6" t="s">
        <v>173</v>
      </c>
      <c r="C6" s="6" t="s">
        <v>4349</v>
      </c>
      <c r="D6" s="6" t="n">
        <v>1</v>
      </c>
      <c r="E6" s="6" t="s">
        <v>4353</v>
      </c>
      <c r="F6" s="6" t="n">
        <v>-0.75</v>
      </c>
      <c r="G6" s="6" t="s">
        <v>4351</v>
      </c>
      <c r="H6" s="6" t="s">
        <v>4354</v>
      </c>
      <c r="I6" s="6" t="s">
        <v>149</v>
      </c>
      <c r="J6" s="6" t="n">
        <v>26</v>
      </c>
      <c r="K6" s="6"/>
      <c r="L6" s="6"/>
    </row>
    <row r="7" customFormat="false" ht="15" hidden="false" customHeight="false" outlineLevel="0" collapsed="false">
      <c r="A7" s="6" t="s">
        <v>250</v>
      </c>
      <c r="B7" s="6" t="s">
        <v>176</v>
      </c>
      <c r="C7" s="6" t="s">
        <v>4349</v>
      </c>
      <c r="D7" s="6" t="n">
        <v>-0.75</v>
      </c>
      <c r="E7" s="6" t="s">
        <v>4350</v>
      </c>
      <c r="F7" s="6" t="n">
        <v>-0.2</v>
      </c>
      <c r="G7" s="6" t="s">
        <v>4351</v>
      </c>
      <c r="H7" s="6" t="s">
        <v>4355</v>
      </c>
      <c r="I7" s="6" t="s">
        <v>149</v>
      </c>
      <c r="J7" s="6" t="n">
        <v>26</v>
      </c>
      <c r="K7" s="6"/>
      <c r="L7" s="6"/>
    </row>
    <row r="8" customFormat="false" ht="15" hidden="false" customHeight="false" outlineLevel="0" collapsed="false">
      <c r="A8" s="6" t="s">
        <v>250</v>
      </c>
      <c r="B8" s="6" t="s">
        <v>180</v>
      </c>
      <c r="C8" s="6" t="s">
        <v>4349</v>
      </c>
      <c r="D8" s="6" t="n">
        <v>0.5</v>
      </c>
      <c r="E8" s="6" t="s">
        <v>4356</v>
      </c>
      <c r="F8" s="6" t="n">
        <v>-0.75</v>
      </c>
      <c r="G8" s="6" t="s">
        <v>4351</v>
      </c>
      <c r="H8" s="6" t="s">
        <v>4357</v>
      </c>
      <c r="I8" s="6" t="s">
        <v>149</v>
      </c>
      <c r="J8" s="6" t="n">
        <v>26</v>
      </c>
      <c r="K8" s="6"/>
      <c r="L8" s="6"/>
    </row>
    <row r="9" customFormat="false" ht="15" hidden="false" customHeight="false" outlineLevel="0" collapsed="false">
      <c r="A9" s="6" t="s">
        <v>250</v>
      </c>
      <c r="B9" s="6" t="s">
        <v>183</v>
      </c>
      <c r="C9" s="6" t="s">
        <v>4349</v>
      </c>
      <c r="D9" s="6" t="n">
        <v>0.8</v>
      </c>
      <c r="E9" s="6" t="s">
        <v>4358</v>
      </c>
      <c r="F9" s="6" t="n">
        <v>-0.75</v>
      </c>
      <c r="G9" s="6" t="s">
        <v>4351</v>
      </c>
      <c r="H9" s="6" t="s">
        <v>4359</v>
      </c>
      <c r="I9" s="6" t="s">
        <v>149</v>
      </c>
      <c r="J9" s="6" t="n">
        <v>26</v>
      </c>
      <c r="K9" s="6"/>
      <c r="L9" s="6"/>
    </row>
    <row r="10" customFormat="false" ht="15" hidden="false" customHeight="false" outlineLevel="0" collapsed="false">
      <c r="A10" s="6" t="s">
        <v>250</v>
      </c>
      <c r="B10" s="6" t="s">
        <v>186</v>
      </c>
      <c r="C10" s="6" t="s">
        <v>4349</v>
      </c>
      <c r="D10" s="6" t="n">
        <v>-0.75</v>
      </c>
      <c r="E10" s="6" t="s">
        <v>4350</v>
      </c>
      <c r="F10" s="6" t="n">
        <v>-0.2</v>
      </c>
      <c r="G10" s="6" t="s">
        <v>4351</v>
      </c>
      <c r="H10" s="6" t="s">
        <v>4360</v>
      </c>
      <c r="I10" s="6" t="s">
        <v>149</v>
      </c>
      <c r="J10" s="6" t="n">
        <v>26</v>
      </c>
      <c r="K10" s="6"/>
      <c r="L10" s="6"/>
    </row>
    <row r="11" customFormat="false" ht="15" hidden="false" customHeight="false" outlineLevel="0" collapsed="false">
      <c r="A11" s="6" t="s">
        <v>250</v>
      </c>
      <c r="B11" s="6" t="s">
        <v>190</v>
      </c>
      <c r="C11" s="6" t="s">
        <v>4349</v>
      </c>
      <c r="D11" s="6" t="n">
        <v>1</v>
      </c>
      <c r="E11" s="6" t="s">
        <v>4353</v>
      </c>
      <c r="F11" s="6" t="n">
        <v>-0.75</v>
      </c>
      <c r="G11" s="6" t="s">
        <v>4351</v>
      </c>
      <c r="H11" s="6" t="s">
        <v>4354</v>
      </c>
      <c r="I11" s="6" t="s">
        <v>149</v>
      </c>
      <c r="J11" s="6" t="n">
        <v>26</v>
      </c>
      <c r="K11" s="6"/>
      <c r="L11" s="6"/>
    </row>
    <row r="12" customFormat="false" ht="15" hidden="false" customHeight="false" outlineLevel="0" collapsed="false">
      <c r="A12" s="6" t="s">
        <v>250</v>
      </c>
      <c r="B12" s="6" t="s">
        <v>171</v>
      </c>
      <c r="C12" s="6" t="s">
        <v>4349</v>
      </c>
      <c r="D12" s="6" t="n">
        <v>0.8</v>
      </c>
      <c r="E12" s="6" t="s">
        <v>4350</v>
      </c>
      <c r="F12" s="6" t="n">
        <v>-0.75</v>
      </c>
      <c r="G12" s="6" t="s">
        <v>4351</v>
      </c>
      <c r="H12" s="6" t="s">
        <v>4361</v>
      </c>
      <c r="I12" s="6" t="s">
        <v>149</v>
      </c>
      <c r="J12" s="6" t="n">
        <v>26</v>
      </c>
      <c r="K12" s="6" t="s">
        <v>4362</v>
      </c>
      <c r="L12" s="6"/>
    </row>
    <row r="13" customFormat="false" ht="15" hidden="false" customHeight="false" outlineLevel="0" collapsed="false">
      <c r="A13" s="6" t="s">
        <v>250</v>
      </c>
      <c r="B13" s="6" t="s">
        <v>195</v>
      </c>
      <c r="C13" s="6" t="s">
        <v>4349</v>
      </c>
      <c r="D13" s="6" t="n">
        <v>0.8</v>
      </c>
      <c r="E13" s="6" t="s">
        <v>4363</v>
      </c>
      <c r="F13" s="6" t="n">
        <v>-0.75</v>
      </c>
      <c r="G13" s="6" t="s">
        <v>4351</v>
      </c>
      <c r="H13" s="6" t="s">
        <v>4364</v>
      </c>
      <c r="I13" s="6" t="s">
        <v>149</v>
      </c>
      <c r="J13" s="6" t="n">
        <v>27</v>
      </c>
      <c r="K13" s="6"/>
      <c r="L13" s="6"/>
    </row>
    <row r="14" customFormat="false" ht="15" hidden="false" customHeight="false" outlineLevel="0" collapsed="false">
      <c r="A14" s="6" t="s">
        <v>250</v>
      </c>
      <c r="B14" s="6" t="s">
        <v>198</v>
      </c>
      <c r="C14" s="6" t="s">
        <v>4349</v>
      </c>
      <c r="D14" s="6" t="n">
        <v>-0.75</v>
      </c>
      <c r="E14" s="6" t="s">
        <v>4356</v>
      </c>
      <c r="F14" s="6" t="n">
        <v>-0.2</v>
      </c>
      <c r="G14" s="6" t="s">
        <v>4351</v>
      </c>
      <c r="H14" s="6" t="s">
        <v>4365</v>
      </c>
      <c r="I14" s="6" t="s">
        <v>149</v>
      </c>
      <c r="J14" s="6" t="n">
        <v>27</v>
      </c>
      <c r="K14" s="6"/>
      <c r="L14" s="6"/>
    </row>
    <row r="15" customFormat="false" ht="15" hidden="false" customHeight="false" outlineLevel="0" collapsed="false">
      <c r="A15" s="6" t="s">
        <v>250</v>
      </c>
      <c r="B15" s="6" t="s">
        <v>202</v>
      </c>
      <c r="C15" s="6" t="s">
        <v>4349</v>
      </c>
      <c r="D15" s="6" t="n">
        <v>-1</v>
      </c>
      <c r="E15" s="6" t="s">
        <v>4356</v>
      </c>
      <c r="F15" s="6" t="n">
        <v>-0.2</v>
      </c>
      <c r="G15" s="6" t="s">
        <v>4351</v>
      </c>
      <c r="H15" s="6" t="s">
        <v>4366</v>
      </c>
      <c r="I15" s="6" t="s">
        <v>149</v>
      </c>
      <c r="J15" s="6" t="n">
        <v>27</v>
      </c>
      <c r="K15" s="6"/>
      <c r="L15" s="6"/>
    </row>
    <row r="16" customFormat="false" ht="15" hidden="false" customHeight="false" outlineLevel="0" collapsed="false">
      <c r="A16" s="6" t="s">
        <v>250</v>
      </c>
      <c r="B16" s="6" t="s">
        <v>205</v>
      </c>
      <c r="C16" s="6" t="s">
        <v>4349</v>
      </c>
      <c r="D16" s="6" t="n">
        <v>0.8</v>
      </c>
      <c r="E16" s="6" t="s">
        <v>4363</v>
      </c>
      <c r="F16" s="6" t="n">
        <v>-0.75</v>
      </c>
      <c r="G16" s="6" t="s">
        <v>4351</v>
      </c>
      <c r="H16" s="6" t="s">
        <v>4367</v>
      </c>
      <c r="I16" s="6" t="s">
        <v>149</v>
      </c>
      <c r="J16" s="6" t="n">
        <v>27</v>
      </c>
      <c r="K16" s="6"/>
      <c r="L16" s="6"/>
    </row>
    <row r="17" customFormat="false" ht="15" hidden="false" customHeight="false" outlineLevel="0" collapsed="false">
      <c r="A17" s="6" t="s">
        <v>237</v>
      </c>
      <c r="B17" s="6" t="s">
        <v>169</v>
      </c>
      <c r="C17" s="6" t="s">
        <v>4368</v>
      </c>
      <c r="D17" s="6" t="n">
        <v>0.8</v>
      </c>
      <c r="E17" s="6" t="s">
        <v>4350</v>
      </c>
      <c r="F17" s="6" t="n">
        <v>-0.75</v>
      </c>
      <c r="G17" s="6" t="s">
        <v>4351</v>
      </c>
      <c r="H17" s="6" t="s">
        <v>4352</v>
      </c>
      <c r="I17" s="6" t="s">
        <v>154</v>
      </c>
      <c r="J17" s="6" t="n">
        <v>27</v>
      </c>
      <c r="K17" s="6"/>
      <c r="L17" s="6"/>
    </row>
    <row r="18" customFormat="false" ht="15" hidden="false" customHeight="false" outlineLevel="0" collapsed="false">
      <c r="A18" s="6" t="s">
        <v>237</v>
      </c>
      <c r="B18" s="6" t="s">
        <v>173</v>
      </c>
      <c r="C18" s="6" t="s">
        <v>4368</v>
      </c>
      <c r="D18" s="6" t="n">
        <v>-0.75</v>
      </c>
      <c r="E18" s="6" t="s">
        <v>4350</v>
      </c>
      <c r="F18" s="6" t="n">
        <v>-0.2</v>
      </c>
      <c r="G18" s="6" t="s">
        <v>4351</v>
      </c>
      <c r="H18" s="6" t="s">
        <v>4354</v>
      </c>
      <c r="I18" s="6" t="s">
        <v>154</v>
      </c>
      <c r="J18" s="6" t="n">
        <v>27</v>
      </c>
      <c r="K18" s="6"/>
      <c r="L18" s="6"/>
    </row>
    <row r="19" customFormat="false" ht="15" hidden="false" customHeight="false" outlineLevel="0" collapsed="false">
      <c r="A19" s="6" t="s">
        <v>237</v>
      </c>
      <c r="B19" s="6" t="s">
        <v>176</v>
      </c>
      <c r="C19" s="6" t="s">
        <v>4368</v>
      </c>
      <c r="D19" s="6" t="n">
        <v>-0.5</v>
      </c>
      <c r="E19" s="6" t="s">
        <v>4358</v>
      </c>
      <c r="F19" s="6" t="n">
        <v>-0.2</v>
      </c>
      <c r="G19" s="6" t="s">
        <v>4351</v>
      </c>
      <c r="H19" s="6" t="s">
        <v>4355</v>
      </c>
      <c r="I19" s="6" t="s">
        <v>154</v>
      </c>
      <c r="J19" s="6" t="n">
        <v>28</v>
      </c>
      <c r="K19" s="6"/>
      <c r="L19" s="6"/>
    </row>
    <row r="20" customFormat="false" ht="15" hidden="false" customHeight="false" outlineLevel="0" collapsed="false">
      <c r="A20" s="6" t="s">
        <v>237</v>
      </c>
      <c r="B20" s="6" t="s">
        <v>180</v>
      </c>
      <c r="C20" s="6" t="s">
        <v>4368</v>
      </c>
      <c r="D20" s="6" t="n">
        <v>0.8</v>
      </c>
      <c r="E20" s="6" t="s">
        <v>4356</v>
      </c>
      <c r="F20" s="6" t="n">
        <v>-0.75</v>
      </c>
      <c r="G20" s="6" t="s">
        <v>4351</v>
      </c>
      <c r="H20" s="6" t="s">
        <v>4357</v>
      </c>
      <c r="I20" s="6" t="s">
        <v>154</v>
      </c>
      <c r="J20" s="6" t="n">
        <v>28</v>
      </c>
      <c r="K20" s="6"/>
      <c r="L20" s="6"/>
    </row>
    <row r="21" customFormat="false" ht="15" hidden="false" customHeight="false" outlineLevel="0" collapsed="false">
      <c r="A21" s="6" t="s">
        <v>237</v>
      </c>
      <c r="B21" s="6" t="s">
        <v>183</v>
      </c>
      <c r="C21" s="6" t="s">
        <v>4368</v>
      </c>
      <c r="D21" s="6" t="n">
        <v>0.8</v>
      </c>
      <c r="E21" s="6" t="s">
        <v>4358</v>
      </c>
      <c r="F21" s="6" t="n">
        <v>-0.75</v>
      </c>
      <c r="G21" s="6" t="s">
        <v>4351</v>
      </c>
      <c r="H21" s="6" t="s">
        <v>4359</v>
      </c>
      <c r="I21" s="6" t="s">
        <v>154</v>
      </c>
      <c r="J21" s="6" t="n">
        <v>28</v>
      </c>
      <c r="K21" s="6"/>
      <c r="L21" s="6"/>
    </row>
    <row r="22" customFormat="false" ht="15" hidden="false" customHeight="false" outlineLevel="0" collapsed="false">
      <c r="A22" s="6" t="s">
        <v>237</v>
      </c>
      <c r="B22" s="6" t="s">
        <v>186</v>
      </c>
      <c r="C22" s="6" t="s">
        <v>4368</v>
      </c>
      <c r="D22" s="6" t="n">
        <v>-0.5</v>
      </c>
      <c r="E22" s="6" t="s">
        <v>4358</v>
      </c>
      <c r="F22" s="6" t="n">
        <v>-0.2</v>
      </c>
      <c r="G22" s="6" t="s">
        <v>4351</v>
      </c>
      <c r="H22" s="6" t="s">
        <v>4360</v>
      </c>
      <c r="I22" s="6" t="s">
        <v>154</v>
      </c>
      <c r="J22" s="6" t="n">
        <v>28</v>
      </c>
      <c r="K22" s="6"/>
      <c r="L22" s="6"/>
    </row>
    <row r="23" customFormat="false" ht="15" hidden="false" customHeight="false" outlineLevel="0" collapsed="false">
      <c r="A23" s="6" t="s">
        <v>237</v>
      </c>
      <c r="B23" s="6" t="s">
        <v>190</v>
      </c>
      <c r="C23" s="6" t="s">
        <v>4368</v>
      </c>
      <c r="D23" s="6" t="n">
        <v>-0.75</v>
      </c>
      <c r="E23" s="6" t="s">
        <v>4350</v>
      </c>
      <c r="F23" s="6" t="n">
        <v>-0.2</v>
      </c>
      <c r="G23" s="6" t="s">
        <v>4351</v>
      </c>
      <c r="H23" s="6" t="s">
        <v>4354</v>
      </c>
      <c r="I23" s="6" t="s">
        <v>154</v>
      </c>
      <c r="J23" s="6" t="n">
        <v>28</v>
      </c>
      <c r="K23" s="6"/>
      <c r="L23" s="6"/>
    </row>
    <row r="24" customFormat="false" ht="15" hidden="false" customHeight="false" outlineLevel="0" collapsed="false">
      <c r="A24" s="6" t="s">
        <v>237</v>
      </c>
      <c r="B24" s="6" t="s">
        <v>171</v>
      </c>
      <c r="C24" s="6" t="s">
        <v>4368</v>
      </c>
      <c r="D24" s="6" t="n">
        <v>0.8</v>
      </c>
      <c r="E24" s="6" t="s">
        <v>4350</v>
      </c>
      <c r="F24" s="6" t="n">
        <v>-0.75</v>
      </c>
      <c r="G24" s="6" t="s">
        <v>4351</v>
      </c>
      <c r="H24" s="6" t="s">
        <v>4361</v>
      </c>
      <c r="I24" s="6" t="s">
        <v>154</v>
      </c>
      <c r="J24" s="6" t="n">
        <v>28</v>
      </c>
      <c r="K24" s="6"/>
      <c r="L24" s="6"/>
    </row>
    <row r="25" customFormat="false" ht="15" hidden="false" customHeight="false" outlineLevel="0" collapsed="false">
      <c r="A25" s="6" t="s">
        <v>237</v>
      </c>
      <c r="B25" s="6" t="s">
        <v>195</v>
      </c>
      <c r="C25" s="6" t="s">
        <v>4368</v>
      </c>
      <c r="D25" s="6" t="n">
        <v>0.8</v>
      </c>
      <c r="E25" s="6" t="s">
        <v>4358</v>
      </c>
      <c r="F25" s="6" t="n">
        <v>-0.75</v>
      </c>
      <c r="G25" s="6" t="s">
        <v>4351</v>
      </c>
      <c r="H25" s="6" t="s">
        <v>4364</v>
      </c>
      <c r="I25" s="6" t="s">
        <v>154</v>
      </c>
      <c r="J25" s="6" t="n">
        <v>28</v>
      </c>
      <c r="K25" s="6"/>
      <c r="L25" s="6"/>
    </row>
    <row r="26" customFormat="false" ht="15" hidden="false" customHeight="false" outlineLevel="0" collapsed="false">
      <c r="A26" s="6" t="s">
        <v>237</v>
      </c>
      <c r="B26" s="6" t="s">
        <v>198</v>
      </c>
      <c r="C26" s="6" t="s">
        <v>4368</v>
      </c>
      <c r="D26" s="6" t="n">
        <v>-0.75</v>
      </c>
      <c r="E26" s="6" t="s">
        <v>4356</v>
      </c>
      <c r="F26" s="6" t="n">
        <v>-0.2</v>
      </c>
      <c r="G26" s="6" t="s">
        <v>4351</v>
      </c>
      <c r="H26" s="6" t="s">
        <v>4365</v>
      </c>
      <c r="I26" s="6" t="s">
        <v>154</v>
      </c>
      <c r="J26" s="6" t="n">
        <v>28</v>
      </c>
      <c r="K26" s="6"/>
      <c r="L26" s="6"/>
    </row>
    <row r="27" customFormat="false" ht="15" hidden="false" customHeight="false" outlineLevel="0" collapsed="false">
      <c r="A27" s="6" t="s">
        <v>237</v>
      </c>
      <c r="B27" s="6" t="s">
        <v>202</v>
      </c>
      <c r="C27" s="6" t="s">
        <v>4368</v>
      </c>
      <c r="D27" s="6" t="n">
        <v>-0.75</v>
      </c>
      <c r="E27" s="6" t="s">
        <v>4356</v>
      </c>
      <c r="F27" s="6" t="n">
        <v>-0.2</v>
      </c>
      <c r="G27" s="6" t="s">
        <v>4351</v>
      </c>
      <c r="H27" s="6" t="s">
        <v>4366</v>
      </c>
      <c r="I27" s="6" t="s">
        <v>154</v>
      </c>
      <c r="J27" s="6" t="n">
        <v>29</v>
      </c>
      <c r="K27" s="6"/>
      <c r="L27" s="6"/>
    </row>
    <row r="28" customFormat="false" ht="15" hidden="false" customHeight="false" outlineLevel="0" collapsed="false">
      <c r="A28" s="6" t="s">
        <v>237</v>
      </c>
      <c r="B28" s="6" t="s">
        <v>205</v>
      </c>
      <c r="C28" s="6" t="s">
        <v>4368</v>
      </c>
      <c r="D28" s="6" t="n">
        <v>0.8</v>
      </c>
      <c r="E28" s="6" t="s">
        <v>4358</v>
      </c>
      <c r="F28" s="6" t="n">
        <v>-0.75</v>
      </c>
      <c r="G28" s="6" t="s">
        <v>4351</v>
      </c>
      <c r="H28" s="6" t="s">
        <v>4367</v>
      </c>
      <c r="I28" s="6" t="s">
        <v>154</v>
      </c>
      <c r="J28" s="6" t="n">
        <v>29</v>
      </c>
      <c r="K28" s="6"/>
      <c r="L28" s="6"/>
    </row>
    <row r="29" customFormat="false" ht="15" hidden="false" customHeight="false" outlineLevel="0" collapsed="false">
      <c r="A29" s="6" t="s">
        <v>247</v>
      </c>
      <c r="B29" s="6" t="s">
        <v>169</v>
      </c>
      <c r="C29" s="6" t="s">
        <v>4369</v>
      </c>
      <c r="D29" s="6" t="n">
        <v>0.8</v>
      </c>
      <c r="E29" s="6" t="s">
        <v>4350</v>
      </c>
      <c r="F29" s="6" t="n">
        <v>-0.75</v>
      </c>
      <c r="G29" s="6" t="s">
        <v>4351</v>
      </c>
      <c r="H29" s="6" t="s">
        <v>4352</v>
      </c>
      <c r="I29" s="6" t="s">
        <v>149</v>
      </c>
      <c r="J29" s="6" t="n">
        <v>29</v>
      </c>
      <c r="K29" s="6"/>
      <c r="L29" s="6"/>
    </row>
    <row r="30" customFormat="false" ht="15" hidden="false" customHeight="false" outlineLevel="0" collapsed="false">
      <c r="A30" s="6" t="s">
        <v>247</v>
      </c>
      <c r="B30" s="6" t="s">
        <v>173</v>
      </c>
      <c r="C30" s="6" t="s">
        <v>4369</v>
      </c>
      <c r="D30" s="6" t="n">
        <v>0.5</v>
      </c>
      <c r="E30" s="6" t="s">
        <v>4370</v>
      </c>
      <c r="F30" s="6" t="n">
        <v>-0.75</v>
      </c>
      <c r="G30" s="6" t="s">
        <v>4351</v>
      </c>
      <c r="H30" s="6" t="s">
        <v>4354</v>
      </c>
      <c r="I30" s="6" t="s">
        <v>149</v>
      </c>
      <c r="J30" s="6" t="n">
        <v>29</v>
      </c>
      <c r="K30" s="6"/>
      <c r="L30" s="6"/>
    </row>
    <row r="31" customFormat="false" ht="15" hidden="false" customHeight="false" outlineLevel="0" collapsed="false">
      <c r="A31" s="6" t="s">
        <v>247</v>
      </c>
      <c r="B31" s="6" t="s">
        <v>176</v>
      </c>
      <c r="C31" s="6" t="s">
        <v>4369</v>
      </c>
      <c r="D31" s="6" t="n">
        <v>-0.75</v>
      </c>
      <c r="E31" s="6" t="s">
        <v>4358</v>
      </c>
      <c r="F31" s="6" t="n">
        <v>-0.2</v>
      </c>
      <c r="G31" s="6" t="s">
        <v>4351</v>
      </c>
      <c r="H31" s="6" t="s">
        <v>4355</v>
      </c>
      <c r="I31" s="6" t="s">
        <v>149</v>
      </c>
      <c r="J31" s="6" t="n">
        <v>29</v>
      </c>
      <c r="K31" s="6"/>
      <c r="L31" s="6"/>
    </row>
    <row r="32" customFormat="false" ht="15" hidden="false" customHeight="false" outlineLevel="0" collapsed="false">
      <c r="A32" s="6" t="s">
        <v>247</v>
      </c>
      <c r="B32" s="6" t="s">
        <v>180</v>
      </c>
      <c r="C32" s="6" t="s">
        <v>4369</v>
      </c>
      <c r="D32" s="6" t="n">
        <v>0.8</v>
      </c>
      <c r="E32" s="6" t="s">
        <v>4356</v>
      </c>
      <c r="F32" s="6" t="n">
        <v>-0.75</v>
      </c>
      <c r="G32" s="6" t="s">
        <v>4351</v>
      </c>
      <c r="H32" s="6" t="s">
        <v>4357</v>
      </c>
      <c r="I32" s="6" t="s">
        <v>149</v>
      </c>
      <c r="J32" s="6" t="n">
        <v>29</v>
      </c>
      <c r="K32" s="6"/>
      <c r="L32" s="6"/>
    </row>
    <row r="33" customFormat="false" ht="15" hidden="false" customHeight="false" outlineLevel="0" collapsed="false">
      <c r="A33" s="6" t="s">
        <v>247</v>
      </c>
      <c r="B33" s="6" t="s">
        <v>183</v>
      </c>
      <c r="C33" s="6" t="s">
        <v>4369</v>
      </c>
      <c r="D33" s="6" t="n">
        <v>0.8</v>
      </c>
      <c r="E33" s="6" t="s">
        <v>4358</v>
      </c>
      <c r="F33" s="6" t="n">
        <v>-0.75</v>
      </c>
      <c r="G33" s="6" t="s">
        <v>4351</v>
      </c>
      <c r="H33" s="6" t="s">
        <v>4359</v>
      </c>
      <c r="I33" s="6" t="s">
        <v>149</v>
      </c>
      <c r="J33" s="6" t="n">
        <v>29</v>
      </c>
      <c r="K33" s="6"/>
      <c r="L33" s="6"/>
    </row>
    <row r="34" customFormat="false" ht="15" hidden="false" customHeight="false" outlineLevel="0" collapsed="false">
      <c r="A34" s="6" t="s">
        <v>247</v>
      </c>
      <c r="B34" s="6" t="s">
        <v>186</v>
      </c>
      <c r="C34" s="6" t="s">
        <v>4369</v>
      </c>
      <c r="D34" s="6" t="n">
        <v>-1</v>
      </c>
      <c r="E34" s="6" t="s">
        <v>4358</v>
      </c>
      <c r="F34" s="6" t="n">
        <v>-0.2</v>
      </c>
      <c r="G34" s="6" t="s">
        <v>4351</v>
      </c>
      <c r="H34" s="6" t="s">
        <v>4360</v>
      </c>
      <c r="I34" s="6" t="s">
        <v>149</v>
      </c>
      <c r="J34" s="6" t="n">
        <v>30</v>
      </c>
      <c r="K34" s="6"/>
      <c r="L34" s="6"/>
    </row>
    <row r="35" customFormat="false" ht="15" hidden="false" customHeight="false" outlineLevel="0" collapsed="false">
      <c r="A35" s="6" t="s">
        <v>247</v>
      </c>
      <c r="B35" s="6" t="s">
        <v>190</v>
      </c>
      <c r="C35" s="6" t="s">
        <v>4369</v>
      </c>
      <c r="D35" s="6" t="n">
        <v>0.5</v>
      </c>
      <c r="E35" s="6" t="s">
        <v>4370</v>
      </c>
      <c r="F35" s="6" t="n">
        <v>-0.75</v>
      </c>
      <c r="G35" s="6" t="s">
        <v>4351</v>
      </c>
      <c r="H35" s="6" t="s">
        <v>4354</v>
      </c>
      <c r="I35" s="6" t="s">
        <v>149</v>
      </c>
      <c r="J35" s="6" t="n">
        <v>30</v>
      </c>
      <c r="K35" s="6"/>
      <c r="L35" s="6"/>
    </row>
    <row r="36" customFormat="false" ht="15" hidden="false" customHeight="false" outlineLevel="0" collapsed="false">
      <c r="A36" s="6" t="s">
        <v>247</v>
      </c>
      <c r="B36" s="6" t="s">
        <v>171</v>
      </c>
      <c r="C36" s="6" t="s">
        <v>4369</v>
      </c>
      <c r="D36" s="6" t="n">
        <v>0.8</v>
      </c>
      <c r="E36" s="6" t="s">
        <v>4350</v>
      </c>
      <c r="F36" s="6" t="n">
        <v>-0.75</v>
      </c>
      <c r="G36" s="6" t="s">
        <v>4351</v>
      </c>
      <c r="H36" s="6" t="s">
        <v>4361</v>
      </c>
      <c r="I36" s="6" t="s">
        <v>149</v>
      </c>
      <c r="J36" s="6" t="n">
        <v>30</v>
      </c>
      <c r="K36" s="6"/>
      <c r="L36" s="6"/>
    </row>
    <row r="37" customFormat="false" ht="15" hidden="false" customHeight="false" outlineLevel="0" collapsed="false">
      <c r="A37" s="6" t="s">
        <v>247</v>
      </c>
      <c r="B37" s="6" t="s">
        <v>195</v>
      </c>
      <c r="C37" s="6" t="s">
        <v>4369</v>
      </c>
      <c r="D37" s="6" t="n">
        <v>0.8</v>
      </c>
      <c r="E37" s="6" t="s">
        <v>4358</v>
      </c>
      <c r="F37" s="6" t="n">
        <v>-0.75</v>
      </c>
      <c r="G37" s="6" t="s">
        <v>4351</v>
      </c>
      <c r="H37" s="6" t="s">
        <v>4364</v>
      </c>
      <c r="I37" s="6" t="s">
        <v>149</v>
      </c>
      <c r="J37" s="6" t="n">
        <v>30</v>
      </c>
      <c r="K37" s="6"/>
      <c r="L37" s="6"/>
    </row>
    <row r="38" customFormat="false" ht="15" hidden="false" customHeight="false" outlineLevel="0" collapsed="false">
      <c r="A38" s="6" t="s">
        <v>247</v>
      </c>
      <c r="B38" s="6" t="s">
        <v>198</v>
      </c>
      <c r="C38" s="6" t="s">
        <v>4369</v>
      </c>
      <c r="D38" s="6" t="n">
        <v>-0.75</v>
      </c>
      <c r="E38" s="6" t="s">
        <v>4356</v>
      </c>
      <c r="F38" s="6" t="n">
        <v>-0.2</v>
      </c>
      <c r="G38" s="6" t="s">
        <v>4351</v>
      </c>
      <c r="H38" s="6" t="s">
        <v>4365</v>
      </c>
      <c r="I38" s="6" t="s">
        <v>149</v>
      </c>
      <c r="J38" s="6" t="n">
        <v>30</v>
      </c>
      <c r="K38" s="6"/>
      <c r="L38" s="6"/>
    </row>
    <row r="39" customFormat="false" ht="15" hidden="false" customHeight="false" outlineLevel="0" collapsed="false">
      <c r="A39" s="6" t="s">
        <v>247</v>
      </c>
      <c r="B39" s="6" t="s">
        <v>202</v>
      </c>
      <c r="C39" s="6" t="s">
        <v>4369</v>
      </c>
      <c r="D39" s="6" t="n">
        <v>-0.75</v>
      </c>
      <c r="E39" s="6" t="s">
        <v>4356</v>
      </c>
      <c r="F39" s="6" t="n">
        <v>-0.2</v>
      </c>
      <c r="G39" s="6" t="s">
        <v>4351</v>
      </c>
      <c r="H39" s="6" t="s">
        <v>4366</v>
      </c>
      <c r="I39" s="6" t="s">
        <v>149</v>
      </c>
      <c r="J39" s="6" t="n">
        <v>30</v>
      </c>
      <c r="K39" s="6"/>
      <c r="L39" s="6"/>
    </row>
    <row r="40" customFormat="false" ht="15" hidden="false" customHeight="false" outlineLevel="0" collapsed="false">
      <c r="A40" s="6" t="s">
        <v>247</v>
      </c>
      <c r="B40" s="6" t="s">
        <v>205</v>
      </c>
      <c r="C40" s="6" t="s">
        <v>4369</v>
      </c>
      <c r="D40" s="6" t="n">
        <v>0.8</v>
      </c>
      <c r="E40" s="6" t="s">
        <v>4358</v>
      </c>
      <c r="F40" s="6" t="n">
        <v>-0.75</v>
      </c>
      <c r="G40" s="6" t="s">
        <v>4351</v>
      </c>
      <c r="H40" s="6" t="s">
        <v>4367</v>
      </c>
      <c r="I40" s="6" t="s">
        <v>149</v>
      </c>
      <c r="J40" s="6" t="n">
        <v>30</v>
      </c>
      <c r="K40" s="6"/>
      <c r="L40" s="6"/>
    </row>
    <row r="41" customFormat="false" ht="15" hidden="false" customHeight="false" outlineLevel="0" collapsed="false">
      <c r="A41" s="6" t="s">
        <v>234</v>
      </c>
      <c r="B41" s="6" t="s">
        <v>169</v>
      </c>
      <c r="C41" s="6" t="s">
        <v>4358</v>
      </c>
      <c r="D41" s="6" t="n">
        <v>-0.75</v>
      </c>
      <c r="E41" s="6" t="s">
        <v>4349</v>
      </c>
      <c r="F41" s="6" t="n">
        <v>-0.15</v>
      </c>
      <c r="G41" s="6" t="s">
        <v>4351</v>
      </c>
      <c r="H41" s="6" t="s">
        <v>4352</v>
      </c>
      <c r="I41" s="6" t="s">
        <v>149</v>
      </c>
      <c r="J41" s="6" t="n">
        <v>31</v>
      </c>
      <c r="K41" s="6"/>
      <c r="L41" s="6"/>
    </row>
    <row r="42" customFormat="false" ht="15" hidden="false" customHeight="false" outlineLevel="0" collapsed="false">
      <c r="A42" s="6" t="s">
        <v>234</v>
      </c>
      <c r="B42" s="6" t="s">
        <v>173</v>
      </c>
      <c r="C42" s="6" t="s">
        <v>4371</v>
      </c>
      <c r="D42" s="6" t="n">
        <v>1</v>
      </c>
      <c r="E42" s="6" t="s">
        <v>4372</v>
      </c>
      <c r="F42" s="6" t="n">
        <v>-0.75</v>
      </c>
      <c r="G42" s="6" t="s">
        <v>4351</v>
      </c>
      <c r="H42" s="6" t="s">
        <v>4354</v>
      </c>
      <c r="I42" s="6" t="s">
        <v>149</v>
      </c>
      <c r="J42" s="6" t="n">
        <v>31</v>
      </c>
      <c r="K42" s="6"/>
      <c r="L42" s="6"/>
    </row>
    <row r="43" customFormat="false" ht="15" hidden="false" customHeight="false" outlineLevel="0" collapsed="false">
      <c r="A43" s="6" t="s">
        <v>234</v>
      </c>
      <c r="B43" s="6" t="s">
        <v>176</v>
      </c>
      <c r="C43" s="6" t="s">
        <v>4373</v>
      </c>
      <c r="D43" s="6" t="n">
        <v>0.8</v>
      </c>
      <c r="E43" s="6" t="s">
        <v>4372</v>
      </c>
      <c r="F43" s="6" t="n">
        <v>-0.75</v>
      </c>
      <c r="G43" s="6" t="s">
        <v>4351</v>
      </c>
      <c r="H43" s="6" t="s">
        <v>4355</v>
      </c>
      <c r="I43" s="6" t="s">
        <v>149</v>
      </c>
      <c r="J43" s="6" t="n">
        <v>31</v>
      </c>
      <c r="K43" s="6"/>
      <c r="L43" s="6"/>
    </row>
    <row r="44" customFormat="false" ht="15" hidden="false" customHeight="false" outlineLevel="0" collapsed="false">
      <c r="A44" s="6" t="s">
        <v>234</v>
      </c>
      <c r="B44" s="6" t="s">
        <v>180</v>
      </c>
      <c r="C44" s="6" t="s">
        <v>4358</v>
      </c>
      <c r="D44" s="6" t="n">
        <v>-0.75</v>
      </c>
      <c r="E44" s="6" t="s">
        <v>4374</v>
      </c>
      <c r="F44" s="6" t="n">
        <v>-0.3</v>
      </c>
      <c r="G44" s="6" t="s">
        <v>4351</v>
      </c>
      <c r="H44" s="6" t="s">
        <v>4357</v>
      </c>
      <c r="I44" s="6" t="s">
        <v>149</v>
      </c>
      <c r="J44" s="6" t="n">
        <v>31</v>
      </c>
      <c r="K44" s="6"/>
      <c r="L44" s="6"/>
    </row>
    <row r="45" customFormat="false" ht="15" hidden="false" customHeight="false" outlineLevel="0" collapsed="false">
      <c r="A45" s="6" t="s">
        <v>234</v>
      </c>
      <c r="B45" s="6" t="s">
        <v>183</v>
      </c>
      <c r="C45" s="6" t="s">
        <v>4358</v>
      </c>
      <c r="D45" s="6" t="n">
        <v>-0.75</v>
      </c>
      <c r="E45" s="6" t="s">
        <v>4375</v>
      </c>
      <c r="F45" s="6" t="n">
        <v>-0.3</v>
      </c>
      <c r="G45" s="6" t="s">
        <v>4351</v>
      </c>
      <c r="H45" s="6" t="s">
        <v>4359</v>
      </c>
      <c r="I45" s="6" t="s">
        <v>149</v>
      </c>
      <c r="J45" s="6" t="n">
        <v>31</v>
      </c>
      <c r="K45" s="6"/>
      <c r="L45" s="6"/>
    </row>
    <row r="46" customFormat="false" ht="15" hidden="false" customHeight="false" outlineLevel="0" collapsed="false">
      <c r="A46" s="6" t="s">
        <v>234</v>
      </c>
      <c r="B46" s="6" t="s">
        <v>186</v>
      </c>
      <c r="C46" s="6" t="s">
        <v>4373</v>
      </c>
      <c r="D46" s="6" t="n">
        <v>0.8</v>
      </c>
      <c r="E46" s="6" t="s">
        <v>4372</v>
      </c>
      <c r="F46" s="6" t="n">
        <v>-0.75</v>
      </c>
      <c r="G46" s="6" t="s">
        <v>4351</v>
      </c>
      <c r="H46" s="6" t="s">
        <v>4360</v>
      </c>
      <c r="I46" s="6" t="s">
        <v>149</v>
      </c>
      <c r="J46" s="6" t="n">
        <v>31</v>
      </c>
      <c r="K46" s="6"/>
      <c r="L46" s="6"/>
    </row>
    <row r="47" customFormat="false" ht="15" hidden="false" customHeight="false" outlineLevel="0" collapsed="false">
      <c r="A47" s="6" t="s">
        <v>234</v>
      </c>
      <c r="B47" s="6" t="s">
        <v>190</v>
      </c>
      <c r="C47" s="6" t="s">
        <v>4371</v>
      </c>
      <c r="D47" s="6" t="n">
        <v>0.8</v>
      </c>
      <c r="E47" s="6" t="s">
        <v>4372</v>
      </c>
      <c r="F47" s="6" t="n">
        <v>-1</v>
      </c>
      <c r="G47" s="6" t="s">
        <v>4351</v>
      </c>
      <c r="H47" s="6" t="s">
        <v>4354</v>
      </c>
      <c r="I47" s="6" t="s">
        <v>149</v>
      </c>
      <c r="J47" s="6" t="n">
        <v>31</v>
      </c>
      <c r="K47" s="6"/>
      <c r="L47" s="6"/>
    </row>
    <row r="48" customFormat="false" ht="15" hidden="false" customHeight="false" outlineLevel="0" collapsed="false">
      <c r="A48" s="6" t="s">
        <v>234</v>
      </c>
      <c r="B48" s="6" t="s">
        <v>171</v>
      </c>
      <c r="C48" s="6" t="s">
        <v>4358</v>
      </c>
      <c r="D48" s="6" t="n">
        <v>-0.75</v>
      </c>
      <c r="E48" s="6" t="s">
        <v>4349</v>
      </c>
      <c r="F48" s="6" t="n">
        <v>-0.15</v>
      </c>
      <c r="G48" s="6" t="s">
        <v>4351</v>
      </c>
      <c r="H48" s="6" t="s">
        <v>4361</v>
      </c>
      <c r="I48" s="6" t="s">
        <v>149</v>
      </c>
      <c r="J48" s="6" t="n">
        <v>31</v>
      </c>
      <c r="K48" s="6"/>
      <c r="L48" s="6"/>
    </row>
    <row r="49" customFormat="false" ht="15" hidden="false" customHeight="false" outlineLevel="0" collapsed="false">
      <c r="A49" s="6" t="s">
        <v>234</v>
      </c>
      <c r="B49" s="6" t="s">
        <v>195</v>
      </c>
      <c r="C49" s="6" t="s">
        <v>4358</v>
      </c>
      <c r="D49" s="6" t="n">
        <v>-0.75</v>
      </c>
      <c r="E49" s="6" t="s">
        <v>4375</v>
      </c>
      <c r="F49" s="6" t="n">
        <v>-0.3</v>
      </c>
      <c r="G49" s="6" t="s">
        <v>4351</v>
      </c>
      <c r="H49" s="6" t="s">
        <v>4364</v>
      </c>
      <c r="I49" s="6" t="s">
        <v>149</v>
      </c>
      <c r="J49" s="6" t="n">
        <v>32</v>
      </c>
      <c r="K49" s="6"/>
      <c r="L49" s="6"/>
    </row>
    <row r="50" customFormat="false" ht="15" hidden="false" customHeight="false" outlineLevel="0" collapsed="false">
      <c r="A50" s="6" t="s">
        <v>234</v>
      </c>
      <c r="B50" s="6" t="s">
        <v>198</v>
      </c>
      <c r="C50" s="6" t="s">
        <v>4358</v>
      </c>
      <c r="D50" s="6" t="n">
        <v>0.8</v>
      </c>
      <c r="E50" s="6" t="s">
        <v>4375</v>
      </c>
      <c r="F50" s="6" t="n">
        <v>-1</v>
      </c>
      <c r="G50" s="6" t="s">
        <v>4351</v>
      </c>
      <c r="H50" s="6" t="s">
        <v>4365</v>
      </c>
      <c r="I50" s="6" t="s">
        <v>149</v>
      </c>
      <c r="J50" s="6" t="n">
        <v>32</v>
      </c>
      <c r="K50" s="6"/>
      <c r="L50" s="6"/>
    </row>
    <row r="51" customFormat="false" ht="15" hidden="false" customHeight="false" outlineLevel="0" collapsed="false">
      <c r="A51" s="6" t="s">
        <v>234</v>
      </c>
      <c r="B51" s="6" t="s">
        <v>202</v>
      </c>
      <c r="C51" s="6" t="s">
        <v>4358</v>
      </c>
      <c r="D51" s="6" t="n">
        <v>0.8</v>
      </c>
      <c r="E51" s="6" t="s">
        <v>4375</v>
      </c>
      <c r="F51" s="6" t="n">
        <v>-1</v>
      </c>
      <c r="G51" s="6" t="s">
        <v>4351</v>
      </c>
      <c r="H51" s="6" t="s">
        <v>4366</v>
      </c>
      <c r="I51" s="6" t="s">
        <v>149</v>
      </c>
      <c r="J51" s="6" t="n">
        <v>32</v>
      </c>
      <c r="K51" s="6"/>
      <c r="L51" s="6"/>
    </row>
    <row r="52" customFormat="false" ht="15" hidden="false" customHeight="false" outlineLevel="0" collapsed="false">
      <c r="A52" s="6" t="s">
        <v>234</v>
      </c>
      <c r="B52" s="6" t="s">
        <v>205</v>
      </c>
      <c r="C52" s="6" t="s">
        <v>4358</v>
      </c>
      <c r="D52" s="6" t="n">
        <v>-0.75</v>
      </c>
      <c r="E52" s="6" t="s">
        <v>4375</v>
      </c>
      <c r="F52" s="6" t="n">
        <v>-0.3</v>
      </c>
      <c r="G52" s="6" t="s">
        <v>4351</v>
      </c>
      <c r="H52" s="6" t="s">
        <v>4367</v>
      </c>
      <c r="I52" s="6" t="s">
        <v>149</v>
      </c>
      <c r="J52" s="6" t="n">
        <v>32</v>
      </c>
      <c r="K52" s="6"/>
      <c r="L52" s="6"/>
    </row>
    <row r="53" customFormat="false" ht="15" hidden="false" customHeight="false" outlineLevel="0" collapsed="false">
      <c r="A53" s="6" t="s">
        <v>244</v>
      </c>
      <c r="B53" s="6" t="s">
        <v>169</v>
      </c>
      <c r="C53" s="6" t="s">
        <v>4375</v>
      </c>
      <c r="D53" s="6" t="n">
        <v>0.8</v>
      </c>
      <c r="E53" s="6" t="s">
        <v>4350</v>
      </c>
      <c r="F53" s="6" t="n">
        <v>-0.75</v>
      </c>
      <c r="G53" s="6" t="s">
        <v>4351</v>
      </c>
      <c r="H53" s="6" t="s">
        <v>4352</v>
      </c>
      <c r="I53" s="6" t="s">
        <v>4281</v>
      </c>
      <c r="J53" s="6" t="n">
        <v>32</v>
      </c>
      <c r="K53" s="6"/>
      <c r="L53" s="6"/>
    </row>
    <row r="54" customFormat="false" ht="15" hidden="false" customHeight="false" outlineLevel="0" collapsed="false">
      <c r="A54" s="6" t="s">
        <v>244</v>
      </c>
      <c r="B54" s="6" t="s">
        <v>173</v>
      </c>
      <c r="C54" s="6" t="s">
        <v>4375</v>
      </c>
      <c r="D54" s="6" t="n">
        <v>-0.75</v>
      </c>
      <c r="E54" s="6" t="s">
        <v>4350</v>
      </c>
      <c r="F54" s="6" t="n">
        <v>-0.2</v>
      </c>
      <c r="G54" s="6" t="s">
        <v>4351</v>
      </c>
      <c r="H54" s="6" t="s">
        <v>4354</v>
      </c>
      <c r="I54" s="6" t="s">
        <v>4281</v>
      </c>
      <c r="J54" s="6" t="n">
        <v>32</v>
      </c>
      <c r="K54" s="6"/>
      <c r="L54" s="6"/>
    </row>
    <row r="55" customFormat="false" ht="15" hidden="false" customHeight="false" outlineLevel="0" collapsed="false">
      <c r="A55" s="6" t="s">
        <v>244</v>
      </c>
      <c r="B55" s="6" t="s">
        <v>176</v>
      </c>
      <c r="C55" s="6" t="s">
        <v>4375</v>
      </c>
      <c r="D55" s="6" t="n">
        <v>-0.75</v>
      </c>
      <c r="E55" s="6" t="s">
        <v>4376</v>
      </c>
      <c r="F55" s="6" t="n">
        <v>-0.2</v>
      </c>
      <c r="G55" s="6" t="s">
        <v>4351</v>
      </c>
      <c r="H55" s="6" t="s">
        <v>4355</v>
      </c>
      <c r="I55" s="6" t="s">
        <v>4281</v>
      </c>
      <c r="J55" s="6" t="n">
        <v>32</v>
      </c>
      <c r="K55" s="6"/>
      <c r="L55" s="6"/>
    </row>
    <row r="56" customFormat="false" ht="15" hidden="false" customHeight="false" outlineLevel="0" collapsed="false">
      <c r="A56" s="6" t="s">
        <v>244</v>
      </c>
      <c r="B56" s="6" t="s">
        <v>180</v>
      </c>
      <c r="C56" s="6" t="s">
        <v>4375</v>
      </c>
      <c r="D56" s="6" t="n">
        <v>0.8</v>
      </c>
      <c r="E56" s="6" t="s">
        <v>4350</v>
      </c>
      <c r="F56" s="6" t="n">
        <v>-0.75</v>
      </c>
      <c r="G56" s="6" t="s">
        <v>4351</v>
      </c>
      <c r="H56" s="6" t="s">
        <v>4357</v>
      </c>
      <c r="I56" s="6" t="s">
        <v>4281</v>
      </c>
      <c r="J56" s="6" t="n">
        <v>33</v>
      </c>
      <c r="K56" s="6"/>
      <c r="L56" s="6"/>
    </row>
    <row r="57" customFormat="false" ht="15" hidden="false" customHeight="false" outlineLevel="0" collapsed="false">
      <c r="A57" s="6" t="s">
        <v>244</v>
      </c>
      <c r="B57" s="6" t="s">
        <v>183</v>
      </c>
      <c r="C57" s="6" t="s">
        <v>4375</v>
      </c>
      <c r="D57" s="6" t="n">
        <v>0.8</v>
      </c>
      <c r="E57" s="6" t="s">
        <v>4358</v>
      </c>
      <c r="F57" s="6" t="n">
        <v>-0.75</v>
      </c>
      <c r="G57" s="6" t="s">
        <v>4351</v>
      </c>
      <c r="H57" s="6" t="s">
        <v>4359</v>
      </c>
      <c r="I57" s="6" t="s">
        <v>4281</v>
      </c>
      <c r="J57" s="6" t="n">
        <v>33</v>
      </c>
      <c r="K57" s="6"/>
      <c r="L57" s="6"/>
    </row>
    <row r="58" customFormat="false" ht="15" hidden="false" customHeight="false" outlineLevel="0" collapsed="false">
      <c r="A58" s="6" t="s">
        <v>244</v>
      </c>
      <c r="B58" s="6" t="s">
        <v>186</v>
      </c>
      <c r="C58" s="6" t="s">
        <v>4375</v>
      </c>
      <c r="D58" s="6" t="n">
        <v>-0.75</v>
      </c>
      <c r="E58" s="6" t="s">
        <v>4376</v>
      </c>
      <c r="F58" s="6" t="n">
        <v>-0.2</v>
      </c>
      <c r="G58" s="6" t="s">
        <v>4351</v>
      </c>
      <c r="H58" s="6" t="s">
        <v>4360</v>
      </c>
      <c r="I58" s="6" t="s">
        <v>4281</v>
      </c>
      <c r="J58" s="6" t="n">
        <v>33</v>
      </c>
      <c r="K58" s="6"/>
      <c r="L58" s="6"/>
    </row>
    <row r="59" customFormat="false" ht="15" hidden="false" customHeight="false" outlineLevel="0" collapsed="false">
      <c r="A59" s="6" t="s">
        <v>244</v>
      </c>
      <c r="B59" s="6" t="s">
        <v>190</v>
      </c>
      <c r="C59" s="6" t="s">
        <v>4377</v>
      </c>
      <c r="D59" s="6" t="n">
        <v>-1</v>
      </c>
      <c r="E59" s="6" t="s">
        <v>4350</v>
      </c>
      <c r="F59" s="6" t="n">
        <v>-0.2</v>
      </c>
      <c r="G59" s="6" t="s">
        <v>4351</v>
      </c>
      <c r="H59" s="6" t="s">
        <v>4354</v>
      </c>
      <c r="I59" s="6" t="s">
        <v>4281</v>
      </c>
      <c r="J59" s="6" t="n">
        <v>33</v>
      </c>
      <c r="K59" s="6" t="s">
        <v>4378</v>
      </c>
      <c r="L59" s="6"/>
    </row>
    <row r="60" customFormat="false" ht="15" hidden="false" customHeight="false" outlineLevel="0" collapsed="false">
      <c r="A60" s="6" t="s">
        <v>244</v>
      </c>
      <c r="B60" s="6" t="s">
        <v>171</v>
      </c>
      <c r="C60" s="6" t="s">
        <v>4375</v>
      </c>
      <c r="D60" s="6" t="n">
        <v>0.8</v>
      </c>
      <c r="E60" s="6" t="s">
        <v>4350</v>
      </c>
      <c r="F60" s="6" t="n">
        <v>-1</v>
      </c>
      <c r="G60" s="6" t="s">
        <v>4351</v>
      </c>
      <c r="H60" s="6" t="s">
        <v>4361</v>
      </c>
      <c r="I60" s="6" t="s">
        <v>4281</v>
      </c>
      <c r="J60" s="6" t="n">
        <v>33</v>
      </c>
      <c r="K60" s="6"/>
      <c r="L60" s="6"/>
    </row>
    <row r="61" customFormat="false" ht="15" hidden="false" customHeight="false" outlineLevel="0" collapsed="false">
      <c r="A61" s="6" t="s">
        <v>244</v>
      </c>
      <c r="B61" s="6" t="s">
        <v>195</v>
      </c>
      <c r="C61" s="6" t="s">
        <v>4375</v>
      </c>
      <c r="D61" s="6" t="n">
        <v>0.8</v>
      </c>
      <c r="E61" s="6" t="s">
        <v>4358</v>
      </c>
      <c r="F61" s="6" t="n">
        <v>-1</v>
      </c>
      <c r="G61" s="6" t="s">
        <v>4351</v>
      </c>
      <c r="H61" s="6" t="s">
        <v>4364</v>
      </c>
      <c r="I61" s="6" t="s">
        <v>4281</v>
      </c>
      <c r="J61" s="6" t="n">
        <v>33</v>
      </c>
      <c r="K61" s="6"/>
      <c r="L61" s="6"/>
    </row>
    <row r="62" customFormat="false" ht="15" hidden="false" customHeight="false" outlineLevel="0" collapsed="false">
      <c r="A62" s="6" t="s">
        <v>244</v>
      </c>
      <c r="B62" s="6" t="s">
        <v>198</v>
      </c>
      <c r="C62" s="6" t="s">
        <v>4379</v>
      </c>
      <c r="D62" s="6" t="n">
        <v>0.3</v>
      </c>
      <c r="E62" s="6" t="s">
        <v>4350</v>
      </c>
      <c r="F62" s="6" t="n">
        <v>-0.2</v>
      </c>
      <c r="G62" s="6" t="s">
        <v>4380</v>
      </c>
      <c r="H62" s="6" t="s">
        <v>4365</v>
      </c>
      <c r="I62" s="6" t="s">
        <v>4281</v>
      </c>
      <c r="J62" s="6" t="n">
        <v>33</v>
      </c>
      <c r="K62" s="6"/>
      <c r="L62" s="6"/>
    </row>
    <row r="63" customFormat="false" ht="15" hidden="false" customHeight="false" outlineLevel="0" collapsed="false">
      <c r="A63" s="6" t="s">
        <v>244</v>
      </c>
      <c r="B63" s="6" t="s">
        <v>202</v>
      </c>
      <c r="C63" s="6" t="s">
        <v>4379</v>
      </c>
      <c r="D63" s="6" t="n">
        <v>0.3</v>
      </c>
      <c r="E63" s="6" t="s">
        <v>4350</v>
      </c>
      <c r="F63" s="6" t="n">
        <v>-0.2</v>
      </c>
      <c r="G63" s="6" t="s">
        <v>4380</v>
      </c>
      <c r="H63" s="6" t="s">
        <v>4366</v>
      </c>
      <c r="I63" s="6" t="s">
        <v>4281</v>
      </c>
      <c r="J63" s="6" t="n">
        <v>34</v>
      </c>
      <c r="K63" s="6"/>
      <c r="L63" s="6"/>
    </row>
    <row r="64" customFormat="false" ht="15" hidden="false" customHeight="false" outlineLevel="0" collapsed="false">
      <c r="A64" s="6" t="s">
        <v>244</v>
      </c>
      <c r="B64" s="6" t="s">
        <v>205</v>
      </c>
      <c r="C64" s="6" t="s">
        <v>4375</v>
      </c>
      <c r="D64" s="6" t="n">
        <v>0.8</v>
      </c>
      <c r="E64" s="6" t="s">
        <v>4358</v>
      </c>
      <c r="F64" s="6" t="n">
        <v>-1</v>
      </c>
      <c r="G64" s="6" t="s">
        <v>4351</v>
      </c>
      <c r="H64" s="6" t="s">
        <v>4367</v>
      </c>
      <c r="I64" s="6" t="s">
        <v>4281</v>
      </c>
      <c r="J64" s="6" t="n">
        <v>34</v>
      </c>
      <c r="K64" s="6"/>
      <c r="L64" s="6"/>
    </row>
    <row r="65" customFormat="false" ht="15" hidden="false" customHeight="false" outlineLevel="0" collapsed="false">
      <c r="A65" s="6" t="s">
        <v>230</v>
      </c>
      <c r="B65" s="6" t="s">
        <v>169</v>
      </c>
      <c r="C65" s="6" t="s">
        <v>4353</v>
      </c>
      <c r="D65" s="6" t="n">
        <v>-1</v>
      </c>
      <c r="E65" s="6" t="s">
        <v>4349</v>
      </c>
      <c r="F65" s="6" t="n">
        <v>-0.2</v>
      </c>
      <c r="G65" s="6" t="s">
        <v>4351</v>
      </c>
      <c r="H65" s="6" t="s">
        <v>4352</v>
      </c>
      <c r="I65" s="6" t="s">
        <v>149</v>
      </c>
      <c r="J65" s="6" t="n">
        <v>34</v>
      </c>
      <c r="K65" s="6"/>
      <c r="L65" s="6"/>
    </row>
    <row r="66" customFormat="false" ht="15" hidden="false" customHeight="false" outlineLevel="0" collapsed="false">
      <c r="A66" s="6" t="s">
        <v>230</v>
      </c>
      <c r="B66" s="6" t="s">
        <v>173</v>
      </c>
      <c r="C66" s="6" t="s">
        <v>4381</v>
      </c>
      <c r="D66" s="6" t="n">
        <v>0.8</v>
      </c>
      <c r="E66" s="6" t="s">
        <v>4375</v>
      </c>
      <c r="F66" s="6" t="n">
        <v>-0.75</v>
      </c>
      <c r="G66" s="6" t="s">
        <v>4351</v>
      </c>
      <c r="H66" s="6" t="s">
        <v>4354</v>
      </c>
      <c r="I66" s="6" t="s">
        <v>149</v>
      </c>
      <c r="J66" s="6" t="n">
        <v>34</v>
      </c>
      <c r="K66" s="6"/>
      <c r="L66" s="6"/>
    </row>
    <row r="67" customFormat="false" ht="15" hidden="false" customHeight="false" outlineLevel="0" collapsed="false">
      <c r="A67" s="6" t="s">
        <v>230</v>
      </c>
      <c r="B67" s="6" t="s">
        <v>176</v>
      </c>
      <c r="C67" s="6" t="s">
        <v>4381</v>
      </c>
      <c r="D67" s="6" t="n">
        <v>0.8</v>
      </c>
      <c r="E67" s="6" t="s">
        <v>4374</v>
      </c>
      <c r="F67" s="6" t="n">
        <v>-0.75</v>
      </c>
      <c r="G67" s="6" t="s">
        <v>4351</v>
      </c>
      <c r="H67" s="6" t="s">
        <v>4355</v>
      </c>
      <c r="I67" s="6" t="s">
        <v>149</v>
      </c>
      <c r="J67" s="6" t="n">
        <v>34</v>
      </c>
      <c r="K67" s="6"/>
      <c r="L67" s="6"/>
    </row>
    <row r="68" customFormat="false" ht="15" hidden="false" customHeight="false" outlineLevel="0" collapsed="false">
      <c r="A68" s="6" t="s">
        <v>230</v>
      </c>
      <c r="B68" s="6" t="s">
        <v>180</v>
      </c>
      <c r="C68" s="6" t="s">
        <v>4353</v>
      </c>
      <c r="D68" s="6" t="n">
        <v>-0.75</v>
      </c>
      <c r="E68" s="6" t="s">
        <v>4374</v>
      </c>
      <c r="F68" s="6" t="n">
        <v>-0.3</v>
      </c>
      <c r="G68" s="6" t="s">
        <v>4351</v>
      </c>
      <c r="H68" s="6" t="s">
        <v>4357</v>
      </c>
      <c r="I68" s="6" t="s">
        <v>149</v>
      </c>
      <c r="J68" s="6" t="n">
        <v>34</v>
      </c>
      <c r="K68" s="6"/>
      <c r="L68" s="6"/>
    </row>
    <row r="69" customFormat="false" ht="15" hidden="false" customHeight="false" outlineLevel="0" collapsed="false">
      <c r="A69" s="6" t="s">
        <v>230</v>
      </c>
      <c r="B69" s="6" t="s">
        <v>183</v>
      </c>
      <c r="C69" s="6" t="s">
        <v>4353</v>
      </c>
      <c r="D69" s="6" t="n">
        <v>-0.75</v>
      </c>
      <c r="E69" s="6" t="s">
        <v>4375</v>
      </c>
      <c r="F69" s="6" t="n">
        <v>-0.2</v>
      </c>
      <c r="G69" s="6" t="s">
        <v>4351</v>
      </c>
      <c r="H69" s="6" t="s">
        <v>4359</v>
      </c>
      <c r="I69" s="6" t="s">
        <v>149</v>
      </c>
      <c r="J69" s="6" t="n">
        <v>34</v>
      </c>
      <c r="K69" s="6"/>
      <c r="L69" s="6"/>
    </row>
    <row r="70" customFormat="false" ht="15" hidden="false" customHeight="false" outlineLevel="0" collapsed="false">
      <c r="A70" s="6" t="s">
        <v>230</v>
      </c>
      <c r="B70" s="6" t="s">
        <v>186</v>
      </c>
      <c r="C70" s="6" t="s">
        <v>4381</v>
      </c>
      <c r="D70" s="6" t="n">
        <v>0.8</v>
      </c>
      <c r="E70" s="6" t="s">
        <v>4374</v>
      </c>
      <c r="F70" s="6" t="n">
        <v>-0.75</v>
      </c>
      <c r="G70" s="6" t="s">
        <v>4351</v>
      </c>
      <c r="H70" s="6" t="s">
        <v>4360</v>
      </c>
      <c r="I70" s="6" t="s">
        <v>149</v>
      </c>
      <c r="J70" s="6" t="n">
        <v>35</v>
      </c>
      <c r="K70" s="6"/>
      <c r="L70" s="6"/>
    </row>
    <row r="71" customFormat="false" ht="15" hidden="false" customHeight="false" outlineLevel="0" collapsed="false">
      <c r="A71" s="6" t="s">
        <v>230</v>
      </c>
      <c r="B71" s="6" t="s">
        <v>190</v>
      </c>
      <c r="C71" s="6" t="s">
        <v>4381</v>
      </c>
      <c r="D71" s="6" t="n">
        <v>0.8</v>
      </c>
      <c r="E71" s="6" t="s">
        <v>4375</v>
      </c>
      <c r="F71" s="6" t="n">
        <v>-1</v>
      </c>
      <c r="G71" s="6" t="s">
        <v>4351</v>
      </c>
      <c r="H71" s="6" t="s">
        <v>4354</v>
      </c>
      <c r="I71" s="6" t="s">
        <v>149</v>
      </c>
      <c r="J71" s="6" t="n">
        <v>35</v>
      </c>
      <c r="K71" s="6"/>
      <c r="L71" s="6"/>
    </row>
    <row r="72" customFormat="false" ht="15" hidden="false" customHeight="false" outlineLevel="0" collapsed="false">
      <c r="A72" s="6" t="s">
        <v>230</v>
      </c>
      <c r="B72" s="6" t="s">
        <v>171</v>
      </c>
      <c r="C72" s="6" t="s">
        <v>4353</v>
      </c>
      <c r="D72" s="6" t="n">
        <v>-1</v>
      </c>
      <c r="E72" s="6" t="s">
        <v>4349</v>
      </c>
      <c r="F72" s="6" t="n">
        <v>-0.2</v>
      </c>
      <c r="G72" s="6" t="s">
        <v>4351</v>
      </c>
      <c r="H72" s="6" t="s">
        <v>4361</v>
      </c>
      <c r="I72" s="6" t="s">
        <v>149</v>
      </c>
      <c r="J72" s="6" t="n">
        <v>35</v>
      </c>
      <c r="K72" s="6"/>
      <c r="L72" s="6"/>
    </row>
    <row r="73" customFormat="false" ht="15" hidden="false" customHeight="false" outlineLevel="0" collapsed="false">
      <c r="A73" s="6" t="s">
        <v>230</v>
      </c>
      <c r="B73" s="6" t="s">
        <v>195</v>
      </c>
      <c r="C73" s="6" t="s">
        <v>4353</v>
      </c>
      <c r="D73" s="6" t="n">
        <v>-0.75</v>
      </c>
      <c r="E73" s="6" t="s">
        <v>4375</v>
      </c>
      <c r="F73" s="6" t="n">
        <v>-0.2</v>
      </c>
      <c r="G73" s="6" t="s">
        <v>4351</v>
      </c>
      <c r="H73" s="6" t="s">
        <v>4364</v>
      </c>
      <c r="I73" s="6" t="s">
        <v>149</v>
      </c>
      <c r="J73" s="6" t="n">
        <v>35</v>
      </c>
      <c r="K73" s="6"/>
      <c r="L73" s="6"/>
    </row>
    <row r="74" customFormat="false" ht="15" hidden="false" customHeight="false" outlineLevel="0" collapsed="false">
      <c r="A74" s="6" t="s">
        <v>230</v>
      </c>
      <c r="B74" s="6" t="s">
        <v>198</v>
      </c>
      <c r="C74" s="6" t="s">
        <v>4353</v>
      </c>
      <c r="D74" s="6" t="n">
        <v>0.8</v>
      </c>
      <c r="E74" s="6" t="s">
        <v>4375</v>
      </c>
      <c r="F74" s="6" t="n">
        <v>-0.75</v>
      </c>
      <c r="G74" s="6" t="s">
        <v>4351</v>
      </c>
      <c r="H74" s="6" t="s">
        <v>4365</v>
      </c>
      <c r="I74" s="6" t="s">
        <v>149</v>
      </c>
      <c r="J74" s="6" t="n">
        <v>35</v>
      </c>
      <c r="K74" s="6"/>
      <c r="L74" s="6"/>
    </row>
    <row r="75" customFormat="false" ht="15" hidden="false" customHeight="false" outlineLevel="0" collapsed="false">
      <c r="A75" s="6" t="s">
        <v>230</v>
      </c>
      <c r="B75" s="6" t="s">
        <v>202</v>
      </c>
      <c r="C75" s="6" t="s">
        <v>4353</v>
      </c>
      <c r="D75" s="6" t="n">
        <v>0.8</v>
      </c>
      <c r="E75" s="6" t="s">
        <v>4375</v>
      </c>
      <c r="F75" s="6" t="n">
        <v>-0.75</v>
      </c>
      <c r="G75" s="6" t="s">
        <v>4351</v>
      </c>
      <c r="H75" s="6" t="s">
        <v>4366</v>
      </c>
      <c r="I75" s="6" t="s">
        <v>149</v>
      </c>
      <c r="J75" s="6" t="n">
        <v>35</v>
      </c>
      <c r="K75" s="6"/>
      <c r="L75" s="6"/>
    </row>
    <row r="76" customFormat="false" ht="15" hidden="false" customHeight="false" outlineLevel="0" collapsed="false">
      <c r="A76" s="6" t="s">
        <v>230</v>
      </c>
      <c r="B76" s="6" t="s">
        <v>205</v>
      </c>
      <c r="C76" s="6" t="s">
        <v>4353</v>
      </c>
      <c r="D76" s="6" t="n">
        <v>-0.75</v>
      </c>
      <c r="E76" s="6" t="s">
        <v>4375</v>
      </c>
      <c r="F76" s="6" t="n">
        <v>-0.2</v>
      </c>
      <c r="G76" s="6" t="s">
        <v>4351</v>
      </c>
      <c r="H76" s="6" t="s">
        <v>4367</v>
      </c>
      <c r="I76" s="6" t="s">
        <v>149</v>
      </c>
      <c r="J76" s="6" t="n">
        <v>35</v>
      </c>
      <c r="K76" s="6"/>
      <c r="L76" s="6"/>
    </row>
    <row r="77" customFormat="false" ht="15" hidden="false" customHeight="false" outlineLevel="0" collapsed="false">
      <c r="A77" s="6" t="s">
        <v>241</v>
      </c>
      <c r="B77" s="6" t="s">
        <v>169</v>
      </c>
      <c r="C77" s="6" t="s">
        <v>4382</v>
      </c>
      <c r="D77" s="6" t="n">
        <v>-0.75</v>
      </c>
      <c r="E77" s="6" t="s">
        <v>4349</v>
      </c>
      <c r="F77" s="6" t="n">
        <v>-0.2</v>
      </c>
      <c r="G77" s="6" t="s">
        <v>4351</v>
      </c>
      <c r="H77" s="6" t="s">
        <v>4352</v>
      </c>
      <c r="I77" s="6" t="s">
        <v>4281</v>
      </c>
      <c r="J77" s="6" t="n">
        <v>36</v>
      </c>
      <c r="K77" s="6"/>
      <c r="L77" s="6"/>
    </row>
    <row r="78" customFormat="false" ht="15" hidden="false" customHeight="false" outlineLevel="0" collapsed="false">
      <c r="A78" s="6" t="s">
        <v>241</v>
      </c>
      <c r="B78" s="6" t="s">
        <v>173</v>
      </c>
      <c r="C78" s="6" t="s">
        <v>4335</v>
      </c>
      <c r="D78" s="6" t="n">
        <v>0.8</v>
      </c>
      <c r="E78" s="6" t="s">
        <v>4375</v>
      </c>
      <c r="F78" s="6" t="n">
        <v>-1</v>
      </c>
      <c r="G78" s="6" t="s">
        <v>4351</v>
      </c>
      <c r="H78" s="6" t="s">
        <v>4354</v>
      </c>
      <c r="I78" s="6" t="s">
        <v>4281</v>
      </c>
      <c r="J78" s="6" t="n">
        <v>36</v>
      </c>
      <c r="K78" s="6"/>
      <c r="L78" s="6"/>
    </row>
    <row r="79" customFormat="false" ht="15" hidden="false" customHeight="false" outlineLevel="0" collapsed="false">
      <c r="A79" s="6" t="s">
        <v>241</v>
      </c>
      <c r="B79" s="6" t="s">
        <v>176</v>
      </c>
      <c r="C79" s="6" t="s">
        <v>4335</v>
      </c>
      <c r="D79" s="6" t="n">
        <v>0.8</v>
      </c>
      <c r="E79" s="6" t="s">
        <v>4375</v>
      </c>
      <c r="F79" s="6" t="n">
        <v>-0.75</v>
      </c>
      <c r="G79" s="6" t="s">
        <v>4351</v>
      </c>
      <c r="H79" s="6" t="s">
        <v>4355</v>
      </c>
      <c r="I79" s="6" t="s">
        <v>4281</v>
      </c>
      <c r="J79" s="6" t="n">
        <v>36</v>
      </c>
      <c r="K79" s="6"/>
      <c r="L79" s="6"/>
    </row>
    <row r="80" customFormat="false" ht="15" hidden="false" customHeight="false" outlineLevel="0" collapsed="false">
      <c r="A80" s="6" t="s">
        <v>241</v>
      </c>
      <c r="B80" s="6" t="s">
        <v>180</v>
      </c>
      <c r="C80" s="6" t="s">
        <v>4350</v>
      </c>
      <c r="D80" s="6" t="n">
        <v>-0.4</v>
      </c>
      <c r="E80" s="6" t="s">
        <v>4375</v>
      </c>
      <c r="F80" s="6" t="n">
        <v>0</v>
      </c>
      <c r="G80" s="6" t="s">
        <v>4351</v>
      </c>
      <c r="H80" s="6" t="s">
        <v>4357</v>
      </c>
      <c r="I80" s="6" t="s">
        <v>4281</v>
      </c>
      <c r="J80" s="6" t="n">
        <v>36</v>
      </c>
      <c r="K80" s="6"/>
      <c r="L80" s="6"/>
    </row>
    <row r="81" customFormat="false" ht="15" hidden="false" customHeight="false" outlineLevel="0" collapsed="false">
      <c r="A81" s="6" t="s">
        <v>241</v>
      </c>
      <c r="B81" s="6" t="s">
        <v>183</v>
      </c>
      <c r="C81" s="6" t="s">
        <v>4382</v>
      </c>
      <c r="D81" s="6" t="n">
        <v>-0.75</v>
      </c>
      <c r="E81" s="6" t="s">
        <v>4375</v>
      </c>
      <c r="F81" s="6" t="n">
        <v>-0.2</v>
      </c>
      <c r="G81" s="6" t="s">
        <v>4351</v>
      </c>
      <c r="H81" s="6" t="s">
        <v>4359</v>
      </c>
      <c r="I81" s="6" t="s">
        <v>4281</v>
      </c>
      <c r="J81" s="6" t="n">
        <v>36</v>
      </c>
      <c r="K81" s="6"/>
      <c r="L81" s="6"/>
    </row>
    <row r="82" customFormat="false" ht="15" hidden="false" customHeight="false" outlineLevel="0" collapsed="false">
      <c r="A82" s="6" t="s">
        <v>241</v>
      </c>
      <c r="B82" s="6" t="s">
        <v>186</v>
      </c>
      <c r="C82" s="6" t="s">
        <v>4335</v>
      </c>
      <c r="D82" s="6" t="n">
        <v>0.8</v>
      </c>
      <c r="E82" s="6" t="s">
        <v>4375</v>
      </c>
      <c r="F82" s="6" t="n">
        <v>-0.75</v>
      </c>
      <c r="G82" s="6" t="s">
        <v>4351</v>
      </c>
      <c r="H82" s="6" t="s">
        <v>4360</v>
      </c>
      <c r="I82" s="6" t="s">
        <v>4281</v>
      </c>
      <c r="J82" s="6" t="n">
        <v>36</v>
      </c>
      <c r="K82" s="6"/>
      <c r="L82" s="6"/>
    </row>
    <row r="83" customFormat="false" ht="15" hidden="false" customHeight="false" outlineLevel="0" collapsed="false">
      <c r="A83" s="6" t="s">
        <v>241</v>
      </c>
      <c r="B83" s="6" t="s">
        <v>190</v>
      </c>
      <c r="C83" s="6" t="s">
        <v>4335</v>
      </c>
      <c r="D83" s="6" t="n">
        <v>0.8</v>
      </c>
      <c r="E83" s="6" t="s">
        <v>4375</v>
      </c>
      <c r="F83" s="6" t="n">
        <v>-1</v>
      </c>
      <c r="G83" s="6" t="s">
        <v>4351</v>
      </c>
      <c r="H83" s="6" t="s">
        <v>4354</v>
      </c>
      <c r="I83" s="6" t="s">
        <v>4281</v>
      </c>
      <c r="J83" s="6" t="n">
        <v>36</v>
      </c>
      <c r="K83" s="6"/>
      <c r="L83" s="6"/>
    </row>
    <row r="84" customFormat="false" ht="15" hidden="false" customHeight="false" outlineLevel="0" collapsed="false">
      <c r="A84" s="6" t="s">
        <v>241</v>
      </c>
      <c r="B84" s="6" t="s">
        <v>171</v>
      </c>
      <c r="C84" s="6" t="s">
        <v>4350</v>
      </c>
      <c r="D84" s="6" t="n">
        <v>-0.75</v>
      </c>
      <c r="E84" s="6" t="s">
        <v>4349</v>
      </c>
      <c r="F84" s="6" t="n">
        <v>-0.2</v>
      </c>
      <c r="G84" s="6" t="s">
        <v>4351</v>
      </c>
      <c r="H84" s="6" t="s">
        <v>4361</v>
      </c>
      <c r="I84" s="6" t="s">
        <v>4281</v>
      </c>
      <c r="J84" s="6" t="n">
        <v>36</v>
      </c>
      <c r="K84" s="6"/>
      <c r="L84" s="6"/>
    </row>
    <row r="85" customFormat="false" ht="15" hidden="false" customHeight="false" outlineLevel="0" collapsed="false">
      <c r="A85" s="6" t="s">
        <v>241</v>
      </c>
      <c r="B85" s="6" t="s">
        <v>195</v>
      </c>
      <c r="C85" s="6" t="s">
        <v>4382</v>
      </c>
      <c r="D85" s="6" t="n">
        <v>-0.75</v>
      </c>
      <c r="E85" s="6"/>
      <c r="F85" s="6"/>
      <c r="G85" s="6" t="s">
        <v>4351</v>
      </c>
      <c r="H85" s="6" t="s">
        <v>4364</v>
      </c>
      <c r="I85" s="6" t="s">
        <v>4281</v>
      </c>
      <c r="J85" s="6" t="n">
        <v>37</v>
      </c>
      <c r="K85" s="6"/>
      <c r="L85" s="6"/>
    </row>
    <row r="86" customFormat="false" ht="15" hidden="false" customHeight="false" outlineLevel="0" collapsed="false">
      <c r="A86" s="6" t="s">
        <v>241</v>
      </c>
      <c r="B86" s="6" t="s">
        <v>198</v>
      </c>
      <c r="C86" s="6" t="s">
        <v>4350</v>
      </c>
      <c r="D86" s="6" t="n">
        <v>0.8</v>
      </c>
      <c r="E86" s="6" t="s">
        <v>4375</v>
      </c>
      <c r="F86" s="6" t="n">
        <v>-1</v>
      </c>
      <c r="G86" s="6" t="s">
        <v>4351</v>
      </c>
      <c r="H86" s="6" t="s">
        <v>4365</v>
      </c>
      <c r="I86" s="6" t="s">
        <v>4281</v>
      </c>
      <c r="J86" s="6" t="n">
        <v>37</v>
      </c>
      <c r="K86" s="6"/>
      <c r="L86" s="6"/>
    </row>
    <row r="87" customFormat="false" ht="15" hidden="false" customHeight="false" outlineLevel="0" collapsed="false">
      <c r="A87" s="6" t="s">
        <v>241</v>
      </c>
      <c r="B87" s="6" t="s">
        <v>202</v>
      </c>
      <c r="C87" s="6" t="s">
        <v>4350</v>
      </c>
      <c r="D87" s="6" t="n">
        <v>0.8</v>
      </c>
      <c r="E87" s="6" t="s">
        <v>4375</v>
      </c>
      <c r="F87" s="6" t="n">
        <v>-1</v>
      </c>
      <c r="G87" s="6" t="s">
        <v>4351</v>
      </c>
      <c r="H87" s="6" t="s">
        <v>4366</v>
      </c>
      <c r="I87" s="6" t="s">
        <v>4281</v>
      </c>
      <c r="J87" s="6" t="n">
        <v>37</v>
      </c>
      <c r="K87" s="6"/>
      <c r="L87" s="6"/>
    </row>
    <row r="88" customFormat="false" ht="15" hidden="false" customHeight="false" outlineLevel="0" collapsed="false">
      <c r="A88" s="6" t="s">
        <v>241</v>
      </c>
      <c r="B88" s="6" t="s">
        <v>205</v>
      </c>
      <c r="C88" s="6" t="s">
        <v>4350</v>
      </c>
      <c r="D88" s="6" t="n">
        <v>0</v>
      </c>
      <c r="E88" s="6"/>
      <c r="F88" s="6"/>
      <c r="G88" s="6" t="s">
        <v>4351</v>
      </c>
      <c r="H88" s="6" t="s">
        <v>4367</v>
      </c>
      <c r="I88" s="6" t="s">
        <v>4281</v>
      </c>
      <c r="J88" s="6" t="n">
        <v>37</v>
      </c>
      <c r="K88" s="6"/>
      <c r="L88" s="6"/>
    </row>
    <row r="89" customFormat="false" ht="15" hidden="false" customHeight="false" outlineLevel="0" collapsed="false">
      <c r="A89" s="6" t="s">
        <v>264</v>
      </c>
      <c r="B89" s="6" t="s">
        <v>169</v>
      </c>
      <c r="C89" s="6" t="s">
        <v>4273</v>
      </c>
      <c r="D89" s="6" t="n">
        <v>-0.75</v>
      </c>
      <c r="E89" s="6" t="s">
        <v>4349</v>
      </c>
      <c r="F89" s="6" t="n">
        <v>-0.2</v>
      </c>
      <c r="G89" s="6" t="s">
        <v>4351</v>
      </c>
      <c r="H89" s="6" t="s">
        <v>4352</v>
      </c>
      <c r="I89" s="6" t="s">
        <v>4281</v>
      </c>
      <c r="J89" s="6" t="n">
        <v>37</v>
      </c>
      <c r="K89" s="6"/>
      <c r="L89" s="6"/>
    </row>
    <row r="90" customFormat="false" ht="15" hidden="false" customHeight="false" outlineLevel="0" collapsed="false">
      <c r="A90" s="6" t="s">
        <v>264</v>
      </c>
      <c r="B90" s="6" t="s">
        <v>173</v>
      </c>
      <c r="C90" s="6" t="s">
        <v>4273</v>
      </c>
      <c r="D90" s="6" t="n">
        <v>0.6</v>
      </c>
      <c r="E90" s="6" t="s">
        <v>4375</v>
      </c>
      <c r="F90" s="6" t="n">
        <v>-1</v>
      </c>
      <c r="G90" s="6" t="s">
        <v>4351</v>
      </c>
      <c r="H90" s="6" t="s">
        <v>4354</v>
      </c>
      <c r="I90" s="6" t="s">
        <v>4281</v>
      </c>
      <c r="J90" s="6" t="n">
        <v>37</v>
      </c>
      <c r="K90" s="6"/>
      <c r="L90" s="6"/>
    </row>
    <row r="91" customFormat="false" ht="15" hidden="false" customHeight="false" outlineLevel="0" collapsed="false">
      <c r="A91" s="6" t="s">
        <v>264</v>
      </c>
      <c r="B91" s="6" t="s">
        <v>176</v>
      </c>
      <c r="C91" s="6" t="s">
        <v>4273</v>
      </c>
      <c r="D91" s="6" t="n">
        <v>0.8</v>
      </c>
      <c r="E91" s="6" t="s">
        <v>4375</v>
      </c>
      <c r="F91" s="6" t="n">
        <v>-0.75</v>
      </c>
      <c r="G91" s="6" t="s">
        <v>4351</v>
      </c>
      <c r="H91" s="6" t="s">
        <v>4355</v>
      </c>
      <c r="I91" s="6" t="s">
        <v>4281</v>
      </c>
      <c r="J91" s="6" t="n">
        <v>37</v>
      </c>
      <c r="K91" s="6"/>
      <c r="L91" s="6"/>
    </row>
    <row r="92" customFormat="false" ht="15" hidden="false" customHeight="false" outlineLevel="0" collapsed="false">
      <c r="A92" s="6" t="s">
        <v>264</v>
      </c>
      <c r="B92" s="6" t="s">
        <v>180</v>
      </c>
      <c r="C92" s="6" t="s">
        <v>4273</v>
      </c>
      <c r="D92" s="6" t="n">
        <v>-0.4</v>
      </c>
      <c r="E92" s="6" t="s">
        <v>4375</v>
      </c>
      <c r="F92" s="6" t="n">
        <v>-0.15</v>
      </c>
      <c r="G92" s="6" t="s">
        <v>4351</v>
      </c>
      <c r="H92" s="6" t="s">
        <v>4357</v>
      </c>
      <c r="I92" s="6" t="s">
        <v>4281</v>
      </c>
      <c r="J92" s="6" t="n">
        <v>38</v>
      </c>
      <c r="K92" s="6"/>
      <c r="L92" s="6"/>
    </row>
    <row r="93" customFormat="false" ht="15" hidden="false" customHeight="false" outlineLevel="0" collapsed="false">
      <c r="A93" s="6" t="s">
        <v>264</v>
      </c>
      <c r="B93" s="6" t="s">
        <v>183</v>
      </c>
      <c r="C93" s="6" t="s">
        <v>4273</v>
      </c>
      <c r="D93" s="6" t="n">
        <v>-0.75</v>
      </c>
      <c r="E93" s="6" t="s">
        <v>4374</v>
      </c>
      <c r="F93" s="6" t="n">
        <v>-0.3</v>
      </c>
      <c r="G93" s="6" t="s">
        <v>4351</v>
      </c>
      <c r="H93" s="6" t="s">
        <v>4359</v>
      </c>
      <c r="I93" s="6" t="s">
        <v>4281</v>
      </c>
      <c r="J93" s="6" t="n">
        <v>38</v>
      </c>
      <c r="K93" s="6"/>
      <c r="L93" s="6"/>
    </row>
    <row r="94" customFormat="false" ht="15" hidden="false" customHeight="false" outlineLevel="0" collapsed="false">
      <c r="A94" s="6" t="s">
        <v>264</v>
      </c>
      <c r="B94" s="6" t="s">
        <v>186</v>
      </c>
      <c r="C94" s="6" t="s">
        <v>4273</v>
      </c>
      <c r="D94" s="6" t="n">
        <v>0.8</v>
      </c>
      <c r="E94" s="6" t="s">
        <v>4375</v>
      </c>
      <c r="F94" s="6" t="n">
        <v>-0.75</v>
      </c>
      <c r="G94" s="6" t="s">
        <v>4351</v>
      </c>
      <c r="H94" s="6" t="s">
        <v>4360</v>
      </c>
      <c r="I94" s="6" t="s">
        <v>4281</v>
      </c>
      <c r="J94" s="6" t="n">
        <v>38</v>
      </c>
      <c r="K94" s="6"/>
      <c r="L94" s="6"/>
    </row>
    <row r="95" customFormat="false" ht="15" hidden="false" customHeight="false" outlineLevel="0" collapsed="false">
      <c r="A95" s="6" t="s">
        <v>264</v>
      </c>
      <c r="B95" s="6" t="s">
        <v>190</v>
      </c>
      <c r="C95" s="6" t="s">
        <v>4273</v>
      </c>
      <c r="D95" s="6" t="n">
        <v>0</v>
      </c>
      <c r="E95" s="6" t="s">
        <v>4375</v>
      </c>
      <c r="F95" s="6" t="n">
        <v>-1</v>
      </c>
      <c r="G95" s="6" t="s">
        <v>4351</v>
      </c>
      <c r="H95" s="6" t="s">
        <v>4354</v>
      </c>
      <c r="I95" s="6" t="s">
        <v>4281</v>
      </c>
      <c r="J95" s="6" t="n">
        <v>38</v>
      </c>
      <c r="K95" s="6"/>
      <c r="L95" s="6"/>
    </row>
    <row r="96" customFormat="false" ht="15" hidden="false" customHeight="false" outlineLevel="0" collapsed="false">
      <c r="A96" s="6" t="s">
        <v>264</v>
      </c>
      <c r="B96" s="6" t="s">
        <v>171</v>
      </c>
      <c r="C96" s="6" t="s">
        <v>4273</v>
      </c>
      <c r="D96" s="6" t="n">
        <v>-0.75</v>
      </c>
      <c r="E96" s="6" t="s">
        <v>4349</v>
      </c>
      <c r="F96" s="6" t="n">
        <v>-0.2</v>
      </c>
      <c r="G96" s="6" t="s">
        <v>4351</v>
      </c>
      <c r="H96" s="6" t="s">
        <v>4361</v>
      </c>
      <c r="I96" s="6" t="s">
        <v>4281</v>
      </c>
      <c r="J96" s="6" t="n">
        <v>38</v>
      </c>
      <c r="K96" s="6"/>
      <c r="L96" s="6"/>
    </row>
    <row r="97" customFormat="false" ht="15" hidden="false" customHeight="false" outlineLevel="0" collapsed="false">
      <c r="A97" s="6" t="s">
        <v>264</v>
      </c>
      <c r="B97" s="6" t="s">
        <v>195</v>
      </c>
      <c r="C97" s="6" t="s">
        <v>4273</v>
      </c>
      <c r="D97" s="6" t="n">
        <v>-0.75</v>
      </c>
      <c r="E97" s="6" t="s">
        <v>4374</v>
      </c>
      <c r="F97" s="6" t="n">
        <v>-0.3</v>
      </c>
      <c r="G97" s="6" t="s">
        <v>4351</v>
      </c>
      <c r="H97" s="6" t="s">
        <v>4364</v>
      </c>
      <c r="I97" s="6" t="s">
        <v>4281</v>
      </c>
      <c r="J97" s="6" t="n">
        <v>38</v>
      </c>
      <c r="K97" s="6"/>
      <c r="L97" s="6"/>
    </row>
    <row r="98" customFormat="false" ht="15" hidden="false" customHeight="false" outlineLevel="0" collapsed="false">
      <c r="A98" s="6" t="s">
        <v>264</v>
      </c>
      <c r="B98" s="6" t="s">
        <v>198</v>
      </c>
      <c r="C98" s="6" t="s">
        <v>4273</v>
      </c>
      <c r="D98" s="6" t="n">
        <v>0.8</v>
      </c>
      <c r="E98" s="6" t="s">
        <v>4375</v>
      </c>
      <c r="F98" s="6" t="n">
        <v>-0.75</v>
      </c>
      <c r="G98" s="6" t="s">
        <v>4351</v>
      </c>
      <c r="H98" s="6" t="s">
        <v>4365</v>
      </c>
      <c r="I98" s="6" t="s">
        <v>4281</v>
      </c>
      <c r="J98" s="6" t="n">
        <v>38</v>
      </c>
      <c r="K98" s="6"/>
      <c r="L98" s="6"/>
    </row>
    <row r="99" customFormat="false" ht="15" hidden="false" customHeight="false" outlineLevel="0" collapsed="false">
      <c r="A99" s="6" t="s">
        <v>264</v>
      </c>
      <c r="B99" s="6" t="s">
        <v>202</v>
      </c>
      <c r="C99" s="6" t="s">
        <v>4273</v>
      </c>
      <c r="D99" s="6" t="n">
        <v>0.8</v>
      </c>
      <c r="E99" s="6" t="s">
        <v>4375</v>
      </c>
      <c r="F99" s="6" t="n">
        <v>-0.75</v>
      </c>
      <c r="G99" s="6" t="s">
        <v>4351</v>
      </c>
      <c r="H99" s="6" t="s">
        <v>4366</v>
      </c>
      <c r="I99" s="6" t="s">
        <v>4281</v>
      </c>
      <c r="J99" s="6" t="n">
        <v>38</v>
      </c>
      <c r="K99" s="6"/>
      <c r="L99" s="6"/>
    </row>
    <row r="100" customFormat="false" ht="15" hidden="false" customHeight="false" outlineLevel="0" collapsed="false">
      <c r="A100" s="6" t="s">
        <v>264</v>
      </c>
      <c r="B100" s="6" t="s">
        <v>205</v>
      </c>
      <c r="C100" s="6" t="s">
        <v>4273</v>
      </c>
      <c r="D100" s="6" t="n">
        <v>-0.75</v>
      </c>
      <c r="E100" s="6" t="s">
        <v>4374</v>
      </c>
      <c r="F100" s="6" t="n">
        <v>-0.3</v>
      </c>
      <c r="G100" s="6" t="s">
        <v>4351</v>
      </c>
      <c r="H100" s="6" t="s">
        <v>4367</v>
      </c>
      <c r="I100" s="6" t="s">
        <v>4281</v>
      </c>
      <c r="J100" s="6" t="n">
        <v>39</v>
      </c>
      <c r="K100" s="6"/>
      <c r="L100" s="6"/>
    </row>
    <row r="101" customFormat="false" ht="15" hidden="false" customHeight="false" outlineLevel="0" collapsed="false">
      <c r="A101" s="6" t="s">
        <v>283</v>
      </c>
      <c r="B101" s="6" t="s">
        <v>169</v>
      </c>
      <c r="C101" s="6" t="s">
        <v>4273</v>
      </c>
      <c r="D101" s="6" t="n">
        <v>-0.75</v>
      </c>
      <c r="E101" s="6" t="s">
        <v>4349</v>
      </c>
      <c r="F101" s="6" t="n">
        <v>-0.2</v>
      </c>
      <c r="G101" s="6" t="s">
        <v>4351</v>
      </c>
      <c r="H101" s="6" t="s">
        <v>4352</v>
      </c>
      <c r="I101" s="6" t="s">
        <v>4281</v>
      </c>
      <c r="J101" s="6" t="n">
        <v>39</v>
      </c>
      <c r="K101" s="6"/>
      <c r="L101" s="6"/>
    </row>
    <row r="102" customFormat="false" ht="15" hidden="false" customHeight="false" outlineLevel="0" collapsed="false">
      <c r="A102" s="6" t="s">
        <v>283</v>
      </c>
      <c r="B102" s="6" t="s">
        <v>173</v>
      </c>
      <c r="C102" s="6" t="s">
        <v>4273</v>
      </c>
      <c r="D102" s="6" t="n">
        <v>0.6</v>
      </c>
      <c r="E102" s="6" t="s">
        <v>4375</v>
      </c>
      <c r="F102" s="6" t="n">
        <v>-1</v>
      </c>
      <c r="G102" s="6" t="s">
        <v>4351</v>
      </c>
      <c r="H102" s="6" t="s">
        <v>4354</v>
      </c>
      <c r="I102" s="6" t="s">
        <v>4281</v>
      </c>
      <c r="J102" s="6" t="n">
        <v>39</v>
      </c>
      <c r="K102" s="6"/>
      <c r="L102" s="6"/>
    </row>
    <row r="103" customFormat="false" ht="15" hidden="false" customHeight="false" outlineLevel="0" collapsed="false">
      <c r="A103" s="6" t="s">
        <v>283</v>
      </c>
      <c r="B103" s="6" t="s">
        <v>176</v>
      </c>
      <c r="C103" s="6" t="s">
        <v>4273</v>
      </c>
      <c r="D103" s="6" t="n">
        <v>0.8</v>
      </c>
      <c r="E103" s="6" t="s">
        <v>4375</v>
      </c>
      <c r="F103" s="6" t="n">
        <v>-1</v>
      </c>
      <c r="G103" s="6" t="s">
        <v>4351</v>
      </c>
      <c r="H103" s="6" t="s">
        <v>4355</v>
      </c>
      <c r="I103" s="6" t="s">
        <v>4281</v>
      </c>
      <c r="J103" s="6" t="n">
        <v>39</v>
      </c>
      <c r="K103" s="6"/>
      <c r="L103" s="6"/>
    </row>
    <row r="104" customFormat="false" ht="15" hidden="false" customHeight="false" outlineLevel="0" collapsed="false">
      <c r="A104" s="6" t="s">
        <v>283</v>
      </c>
      <c r="B104" s="6" t="s">
        <v>180</v>
      </c>
      <c r="C104" s="6" t="s">
        <v>4356</v>
      </c>
      <c r="D104" s="6" t="n">
        <v>-0.75</v>
      </c>
      <c r="E104" s="6" t="s">
        <v>4375</v>
      </c>
      <c r="F104" s="6" t="n">
        <v>-0.15</v>
      </c>
      <c r="G104" s="6" t="s">
        <v>4351</v>
      </c>
      <c r="H104" s="6" t="s">
        <v>4357</v>
      </c>
      <c r="I104" s="6" t="s">
        <v>4281</v>
      </c>
      <c r="J104" s="6" t="n">
        <v>39</v>
      </c>
      <c r="K104" s="6"/>
      <c r="L104" s="6"/>
    </row>
    <row r="105" customFormat="false" ht="15" hidden="false" customHeight="false" outlineLevel="0" collapsed="false">
      <c r="A105" s="6" t="s">
        <v>283</v>
      </c>
      <c r="B105" s="6" t="s">
        <v>183</v>
      </c>
      <c r="C105" s="6" t="s">
        <v>4273</v>
      </c>
      <c r="D105" s="6" t="n">
        <v>-0.75</v>
      </c>
      <c r="E105" s="6" t="s">
        <v>4374</v>
      </c>
      <c r="F105" s="6" t="n">
        <v>-0.2</v>
      </c>
      <c r="G105" s="6" t="s">
        <v>4351</v>
      </c>
      <c r="H105" s="6" t="s">
        <v>4359</v>
      </c>
      <c r="I105" s="6" t="s">
        <v>4281</v>
      </c>
      <c r="J105" s="6" t="n">
        <v>39</v>
      </c>
      <c r="K105" s="6"/>
      <c r="L105" s="6"/>
    </row>
    <row r="106" customFormat="false" ht="15" hidden="false" customHeight="false" outlineLevel="0" collapsed="false">
      <c r="A106" s="6" t="s">
        <v>283</v>
      </c>
      <c r="B106" s="6" t="s">
        <v>186</v>
      </c>
      <c r="C106" s="6" t="s">
        <v>4273</v>
      </c>
      <c r="D106" s="6" t="n">
        <v>0.8</v>
      </c>
      <c r="E106" s="6" t="s">
        <v>4375</v>
      </c>
      <c r="F106" s="6" t="n">
        <v>-1</v>
      </c>
      <c r="G106" s="6" t="s">
        <v>4351</v>
      </c>
      <c r="H106" s="6" t="s">
        <v>4360</v>
      </c>
      <c r="I106" s="6" t="s">
        <v>4281</v>
      </c>
      <c r="J106" s="6" t="n">
        <v>39</v>
      </c>
      <c r="K106" s="6"/>
      <c r="L106" s="6"/>
    </row>
    <row r="107" customFormat="false" ht="15" hidden="false" customHeight="false" outlineLevel="0" collapsed="false">
      <c r="A107" s="6" t="s">
        <v>283</v>
      </c>
      <c r="B107" s="6" t="s">
        <v>190</v>
      </c>
      <c r="C107" s="6" t="s">
        <v>4273</v>
      </c>
      <c r="D107" s="6" t="n">
        <v>0</v>
      </c>
      <c r="E107" s="6" t="s">
        <v>4375</v>
      </c>
      <c r="F107" s="6" t="n">
        <v>-1</v>
      </c>
      <c r="G107" s="6" t="s">
        <v>4351</v>
      </c>
      <c r="H107" s="6" t="s">
        <v>4354</v>
      </c>
      <c r="I107" s="6" t="s">
        <v>4281</v>
      </c>
      <c r="J107" s="6" t="n">
        <v>40</v>
      </c>
      <c r="K107" s="6"/>
      <c r="L107" s="6"/>
    </row>
    <row r="108" customFormat="false" ht="15" hidden="false" customHeight="false" outlineLevel="0" collapsed="false">
      <c r="A108" s="6" t="s">
        <v>283</v>
      </c>
      <c r="B108" s="6" t="s">
        <v>171</v>
      </c>
      <c r="C108" s="6" t="s">
        <v>4273</v>
      </c>
      <c r="D108" s="6" t="n">
        <v>-0.75</v>
      </c>
      <c r="E108" s="6" t="s">
        <v>4349</v>
      </c>
      <c r="F108" s="6" t="n">
        <v>-0.2</v>
      </c>
      <c r="G108" s="6" t="s">
        <v>4351</v>
      </c>
      <c r="H108" s="6" t="s">
        <v>4361</v>
      </c>
      <c r="I108" s="6" t="s">
        <v>4281</v>
      </c>
      <c r="J108" s="6" t="n">
        <v>40</v>
      </c>
      <c r="K108" s="6"/>
      <c r="L108" s="6"/>
    </row>
    <row r="109" customFormat="false" ht="15" hidden="false" customHeight="false" outlineLevel="0" collapsed="false">
      <c r="A109" s="6" t="s">
        <v>283</v>
      </c>
      <c r="B109" s="6" t="s">
        <v>195</v>
      </c>
      <c r="C109" s="6" t="s">
        <v>4273</v>
      </c>
      <c r="D109" s="6" t="n">
        <v>-0.75</v>
      </c>
      <c r="E109" s="6" t="s">
        <v>4374</v>
      </c>
      <c r="F109" s="6" t="n">
        <v>-0.2</v>
      </c>
      <c r="G109" s="6" t="s">
        <v>4351</v>
      </c>
      <c r="H109" s="6" t="s">
        <v>4364</v>
      </c>
      <c r="I109" s="6" t="s">
        <v>4281</v>
      </c>
      <c r="J109" s="6" t="n">
        <v>40</v>
      </c>
      <c r="K109" s="6"/>
      <c r="L109" s="6"/>
    </row>
    <row r="110" customFormat="false" ht="15" hidden="false" customHeight="false" outlineLevel="0" collapsed="false">
      <c r="A110" s="6" t="s">
        <v>283</v>
      </c>
      <c r="B110" s="6" t="s">
        <v>198</v>
      </c>
      <c r="C110" s="6" t="s">
        <v>4356</v>
      </c>
      <c r="D110" s="6" t="n">
        <v>0.8</v>
      </c>
      <c r="E110" s="6" t="s">
        <v>4375</v>
      </c>
      <c r="F110" s="6" t="n">
        <v>-0.75</v>
      </c>
      <c r="G110" s="6" t="s">
        <v>4351</v>
      </c>
      <c r="H110" s="6" t="s">
        <v>4365</v>
      </c>
      <c r="I110" s="6" t="s">
        <v>4281</v>
      </c>
      <c r="J110" s="6" t="n">
        <v>40</v>
      </c>
      <c r="K110" s="6"/>
      <c r="L110" s="6"/>
    </row>
    <row r="111" customFormat="false" ht="15" hidden="false" customHeight="false" outlineLevel="0" collapsed="false">
      <c r="A111" s="6" t="s">
        <v>283</v>
      </c>
      <c r="B111" s="6" t="s">
        <v>202</v>
      </c>
      <c r="C111" s="6" t="s">
        <v>4356</v>
      </c>
      <c r="D111" s="6" t="n">
        <v>0.8</v>
      </c>
      <c r="E111" s="6" t="s">
        <v>4375</v>
      </c>
      <c r="F111" s="6" t="n">
        <v>-0.75</v>
      </c>
      <c r="G111" s="6" t="s">
        <v>4351</v>
      </c>
      <c r="H111" s="6" t="s">
        <v>4366</v>
      </c>
      <c r="I111" s="6" t="s">
        <v>4281</v>
      </c>
      <c r="J111" s="6" t="n">
        <v>40</v>
      </c>
      <c r="K111" s="6"/>
      <c r="L111" s="6"/>
    </row>
    <row r="112" customFormat="false" ht="15" hidden="false" customHeight="false" outlineLevel="0" collapsed="false">
      <c r="A112" s="6" t="s">
        <v>283</v>
      </c>
      <c r="B112" s="6" t="s">
        <v>205</v>
      </c>
      <c r="C112" s="6" t="s">
        <v>4273</v>
      </c>
      <c r="D112" s="6" t="n">
        <v>-0.75</v>
      </c>
      <c r="E112" s="6" t="s">
        <v>4374</v>
      </c>
      <c r="F112" s="6" t="n">
        <v>-0.2</v>
      </c>
      <c r="G112" s="6" t="s">
        <v>4351</v>
      </c>
      <c r="H112" s="6" t="s">
        <v>4367</v>
      </c>
      <c r="I112" s="6" t="s">
        <v>4281</v>
      </c>
      <c r="J112" s="6" t="n">
        <v>40</v>
      </c>
      <c r="K112" s="6"/>
      <c r="L112" s="6"/>
    </row>
    <row r="113" customFormat="false" ht="15" hidden="false" customHeight="false" outlineLevel="0" collapsed="false">
      <c r="A113" s="6" t="s">
        <v>529</v>
      </c>
      <c r="B113" s="6" t="s">
        <v>169</v>
      </c>
      <c r="C113" s="6" t="s">
        <v>4350</v>
      </c>
      <c r="D113" s="6" t="n">
        <v>-0.75</v>
      </c>
      <c r="E113" s="6" t="s">
        <v>4349</v>
      </c>
      <c r="F113" s="6" t="n">
        <v>-0.2</v>
      </c>
      <c r="G113" s="6" t="s">
        <v>4351</v>
      </c>
      <c r="H113" s="6" t="s">
        <v>4352</v>
      </c>
      <c r="I113" s="6" t="s">
        <v>4281</v>
      </c>
      <c r="J113" s="6" t="n">
        <v>40</v>
      </c>
      <c r="K113" s="6"/>
      <c r="L113" s="6"/>
    </row>
    <row r="114" customFormat="false" ht="15" hidden="false" customHeight="false" outlineLevel="0" collapsed="false">
      <c r="A114" s="6" t="s">
        <v>529</v>
      </c>
      <c r="B114" s="6" t="s">
        <v>173</v>
      </c>
      <c r="C114" s="6" t="s">
        <v>4273</v>
      </c>
      <c r="D114" s="6" t="n">
        <v>0.8</v>
      </c>
      <c r="E114" s="6" t="s">
        <v>4375</v>
      </c>
      <c r="F114" s="6" t="n">
        <v>-0.75</v>
      </c>
      <c r="G114" s="6" t="s">
        <v>4351</v>
      </c>
      <c r="H114" s="6" t="s">
        <v>4354</v>
      </c>
      <c r="I114" s="6" t="s">
        <v>4281</v>
      </c>
      <c r="J114" s="6" t="n">
        <v>41</v>
      </c>
      <c r="K114" s="6"/>
      <c r="L114" s="6"/>
    </row>
    <row r="115" customFormat="false" ht="15" hidden="false" customHeight="false" outlineLevel="0" collapsed="false">
      <c r="A115" s="6" t="s">
        <v>529</v>
      </c>
      <c r="B115" s="6" t="s">
        <v>176</v>
      </c>
      <c r="C115" s="6" t="s">
        <v>4335</v>
      </c>
      <c r="D115" s="6" t="n">
        <v>0.8</v>
      </c>
      <c r="E115" s="6" t="s">
        <v>4375</v>
      </c>
      <c r="F115" s="6" t="n">
        <v>-0.75</v>
      </c>
      <c r="G115" s="6" t="s">
        <v>4351</v>
      </c>
      <c r="H115" s="6" t="s">
        <v>4355</v>
      </c>
      <c r="I115" s="6" t="s">
        <v>4281</v>
      </c>
      <c r="J115" s="6" t="n">
        <v>41</v>
      </c>
      <c r="K115" s="6"/>
      <c r="L115" s="6"/>
    </row>
    <row r="116" customFormat="false" ht="15" hidden="false" customHeight="false" outlineLevel="0" collapsed="false">
      <c r="A116" s="6" t="s">
        <v>529</v>
      </c>
      <c r="B116" s="6" t="s">
        <v>180</v>
      </c>
      <c r="C116" s="6" t="s">
        <v>4356</v>
      </c>
      <c r="D116" s="6" t="n">
        <v>-0.4</v>
      </c>
      <c r="E116" s="6" t="s">
        <v>4375</v>
      </c>
      <c r="F116" s="6" t="n">
        <v>0</v>
      </c>
      <c r="G116" s="6" t="s">
        <v>4351</v>
      </c>
      <c r="H116" s="6" t="s">
        <v>4357</v>
      </c>
      <c r="I116" s="6" t="s">
        <v>4281</v>
      </c>
      <c r="J116" s="6" t="n">
        <v>41</v>
      </c>
      <c r="K116" s="6"/>
      <c r="L116" s="6"/>
    </row>
    <row r="117" customFormat="false" ht="15" hidden="false" customHeight="false" outlineLevel="0" collapsed="false">
      <c r="A117" s="6" t="s">
        <v>529</v>
      </c>
      <c r="B117" s="6" t="s">
        <v>183</v>
      </c>
      <c r="C117" s="6" t="s">
        <v>4350</v>
      </c>
      <c r="D117" s="6" t="n">
        <v>-0.75</v>
      </c>
      <c r="E117" s="6" t="s">
        <v>4375</v>
      </c>
      <c r="F117" s="6" t="n">
        <v>-0.2</v>
      </c>
      <c r="G117" s="6" t="s">
        <v>4351</v>
      </c>
      <c r="H117" s="6" t="s">
        <v>4359</v>
      </c>
      <c r="I117" s="6" t="s">
        <v>4281</v>
      </c>
      <c r="J117" s="6" t="n">
        <v>41</v>
      </c>
      <c r="K117" s="6"/>
      <c r="L117" s="6"/>
    </row>
    <row r="118" customFormat="false" ht="15" hidden="false" customHeight="false" outlineLevel="0" collapsed="false">
      <c r="A118" s="6" t="s">
        <v>529</v>
      </c>
      <c r="B118" s="6" t="s">
        <v>186</v>
      </c>
      <c r="C118" s="6" t="s">
        <v>4335</v>
      </c>
      <c r="D118" s="6" t="n">
        <v>0.8</v>
      </c>
      <c r="E118" s="6" t="s">
        <v>4375</v>
      </c>
      <c r="F118" s="6" t="n">
        <v>-0.75</v>
      </c>
      <c r="G118" s="6" t="s">
        <v>4351</v>
      </c>
      <c r="H118" s="6" t="s">
        <v>4360</v>
      </c>
      <c r="I118" s="6" t="s">
        <v>4281</v>
      </c>
      <c r="J118" s="6" t="n">
        <v>41</v>
      </c>
      <c r="K118" s="6"/>
      <c r="L118" s="6"/>
    </row>
    <row r="119" customFormat="false" ht="15" hidden="false" customHeight="false" outlineLevel="0" collapsed="false">
      <c r="A119" s="6" t="s">
        <v>529</v>
      </c>
      <c r="B119" s="6" t="s">
        <v>190</v>
      </c>
      <c r="C119" s="6" t="s">
        <v>4273</v>
      </c>
      <c r="D119" s="6" t="n">
        <v>0.8</v>
      </c>
      <c r="E119" s="6" t="s">
        <v>4375</v>
      </c>
      <c r="F119" s="6" t="n">
        <v>-0.75</v>
      </c>
      <c r="G119" s="6" t="s">
        <v>4351</v>
      </c>
      <c r="H119" s="6" t="s">
        <v>4354</v>
      </c>
      <c r="I119" s="6" t="s">
        <v>4281</v>
      </c>
      <c r="J119" s="6" t="n">
        <v>41</v>
      </c>
      <c r="K119" s="6"/>
      <c r="L119" s="6"/>
    </row>
    <row r="120" customFormat="false" ht="15" hidden="false" customHeight="false" outlineLevel="0" collapsed="false">
      <c r="A120" s="6" t="s">
        <v>529</v>
      </c>
      <c r="B120" s="6" t="s">
        <v>171</v>
      </c>
      <c r="C120" s="6" t="s">
        <v>4350</v>
      </c>
      <c r="D120" s="6" t="n">
        <v>-0.75</v>
      </c>
      <c r="E120" s="6" t="s">
        <v>4349</v>
      </c>
      <c r="F120" s="6" t="n">
        <v>-0.2</v>
      </c>
      <c r="G120" s="6" t="s">
        <v>4351</v>
      </c>
      <c r="H120" s="6" t="s">
        <v>4361</v>
      </c>
      <c r="I120" s="6" t="s">
        <v>4281</v>
      </c>
      <c r="J120" s="6" t="n">
        <v>41</v>
      </c>
      <c r="K120" s="6"/>
      <c r="L120" s="6"/>
    </row>
    <row r="121" customFormat="false" ht="15" hidden="false" customHeight="false" outlineLevel="0" collapsed="false">
      <c r="A121" s="6" t="s">
        <v>529</v>
      </c>
      <c r="B121" s="6" t="s">
        <v>195</v>
      </c>
      <c r="C121" s="6" t="s">
        <v>4350</v>
      </c>
      <c r="D121" s="6" t="n">
        <v>0</v>
      </c>
      <c r="E121" s="6"/>
      <c r="F121" s="6"/>
      <c r="G121" s="6" t="s">
        <v>4351</v>
      </c>
      <c r="H121" s="6" t="s">
        <v>4364</v>
      </c>
      <c r="I121" s="6" t="s">
        <v>4281</v>
      </c>
      <c r="J121" s="6" t="n">
        <v>41</v>
      </c>
      <c r="K121" s="6"/>
      <c r="L121" s="6"/>
    </row>
    <row r="122" customFormat="false" ht="15" hidden="false" customHeight="false" outlineLevel="0" collapsed="false">
      <c r="A122" s="6" t="s">
        <v>529</v>
      </c>
      <c r="B122" s="6" t="s">
        <v>198</v>
      </c>
      <c r="C122" s="6" t="s">
        <v>4356</v>
      </c>
      <c r="D122" s="6" t="n">
        <v>0.8</v>
      </c>
      <c r="E122" s="6" t="s">
        <v>4375</v>
      </c>
      <c r="F122" s="6" t="n">
        <v>-0.75</v>
      </c>
      <c r="G122" s="6" t="s">
        <v>4351</v>
      </c>
      <c r="H122" s="6" t="s">
        <v>4365</v>
      </c>
      <c r="I122" s="6" t="s">
        <v>4281</v>
      </c>
      <c r="J122" s="6" t="n">
        <v>42</v>
      </c>
      <c r="K122" s="6"/>
      <c r="L122" s="6"/>
    </row>
    <row r="123" customFormat="false" ht="15" hidden="false" customHeight="false" outlineLevel="0" collapsed="false">
      <c r="A123" s="6" t="s">
        <v>529</v>
      </c>
      <c r="B123" s="6" t="s">
        <v>202</v>
      </c>
      <c r="C123" s="6" t="s">
        <v>4356</v>
      </c>
      <c r="D123" s="6" t="n">
        <v>0.8</v>
      </c>
      <c r="E123" s="6" t="s">
        <v>4375</v>
      </c>
      <c r="F123" s="6" t="n">
        <v>-0.75</v>
      </c>
      <c r="G123" s="6" t="s">
        <v>4351</v>
      </c>
      <c r="H123" s="6" t="s">
        <v>4366</v>
      </c>
      <c r="I123" s="6" t="s">
        <v>4281</v>
      </c>
      <c r="J123" s="6" t="n">
        <v>42</v>
      </c>
      <c r="K123" s="6"/>
      <c r="L123" s="6"/>
    </row>
    <row r="124" customFormat="false" ht="15" hidden="false" customHeight="false" outlineLevel="0" collapsed="false">
      <c r="A124" s="6" t="s">
        <v>529</v>
      </c>
      <c r="B124" s="6" t="s">
        <v>205</v>
      </c>
      <c r="C124" s="6" t="s">
        <v>4350</v>
      </c>
      <c r="D124" s="6" t="n">
        <v>0</v>
      </c>
      <c r="E124" s="6"/>
      <c r="F124" s="6"/>
      <c r="G124" s="6" t="s">
        <v>4351</v>
      </c>
      <c r="H124" s="6" t="s">
        <v>4367</v>
      </c>
      <c r="I124" s="6" t="s">
        <v>4281</v>
      </c>
      <c r="J124" s="6" t="n">
        <v>42</v>
      </c>
      <c r="K124" s="6"/>
      <c r="L124" s="6"/>
    </row>
    <row r="125" customFormat="false" ht="15" hidden="false" customHeight="false" outlineLevel="0" collapsed="false">
      <c r="A125" s="6" t="s">
        <v>530</v>
      </c>
      <c r="B125" s="6" t="s">
        <v>169</v>
      </c>
      <c r="C125" s="6" t="s">
        <v>4383</v>
      </c>
      <c r="D125" s="6" t="n">
        <v>1</v>
      </c>
      <c r="E125" s="6" t="s">
        <v>4358</v>
      </c>
      <c r="F125" s="6" t="n">
        <v>0</v>
      </c>
      <c r="G125" s="6" t="s">
        <v>4351</v>
      </c>
      <c r="H125" s="6" t="s">
        <v>4352</v>
      </c>
      <c r="I125" s="6" t="s">
        <v>4281</v>
      </c>
      <c r="J125" s="6" t="n">
        <v>42</v>
      </c>
      <c r="K125" s="6"/>
      <c r="L125" s="6"/>
    </row>
    <row r="126" customFormat="false" ht="15" hidden="false" customHeight="false" outlineLevel="0" collapsed="false">
      <c r="A126" s="6" t="s">
        <v>530</v>
      </c>
      <c r="B126" s="6" t="s">
        <v>173</v>
      </c>
      <c r="C126" s="6" t="s">
        <v>4368</v>
      </c>
      <c r="D126" s="6" t="n">
        <v>-0.75</v>
      </c>
      <c r="E126" s="6" t="s">
        <v>4350</v>
      </c>
      <c r="F126" s="6" t="n">
        <v>-0.2</v>
      </c>
      <c r="G126" s="6" t="s">
        <v>4351</v>
      </c>
      <c r="H126" s="6" t="s">
        <v>4354</v>
      </c>
      <c r="I126" s="6" t="s">
        <v>4281</v>
      </c>
      <c r="J126" s="6" t="n">
        <v>42</v>
      </c>
      <c r="K126" s="6"/>
      <c r="L126" s="6"/>
    </row>
    <row r="127" customFormat="false" ht="15" hidden="false" customHeight="false" outlineLevel="0" collapsed="false">
      <c r="A127" s="6" t="s">
        <v>530</v>
      </c>
      <c r="B127" s="6" t="s">
        <v>176</v>
      </c>
      <c r="C127" s="6" t="s">
        <v>4374</v>
      </c>
      <c r="D127" s="6" t="n">
        <v>-0.5</v>
      </c>
      <c r="E127" s="6" t="s">
        <v>4358</v>
      </c>
      <c r="F127" s="6" t="n">
        <v>-0.2</v>
      </c>
      <c r="G127" s="6" t="s">
        <v>4351</v>
      </c>
      <c r="H127" s="6" t="s">
        <v>4355</v>
      </c>
      <c r="I127" s="6" t="s">
        <v>4281</v>
      </c>
      <c r="J127" s="6" t="n">
        <v>42</v>
      </c>
      <c r="K127" s="6"/>
      <c r="L127" s="6"/>
    </row>
    <row r="128" customFormat="false" ht="15" hidden="false" customHeight="false" outlineLevel="0" collapsed="false">
      <c r="A128" s="6" t="s">
        <v>530</v>
      </c>
      <c r="B128" s="6" t="s">
        <v>180</v>
      </c>
      <c r="C128" s="6" t="s">
        <v>4374</v>
      </c>
      <c r="D128" s="6" t="n">
        <v>0.8</v>
      </c>
      <c r="E128" s="6" t="s">
        <v>4356</v>
      </c>
      <c r="F128" s="6" t="n">
        <v>-1</v>
      </c>
      <c r="G128" s="6" t="s">
        <v>4351</v>
      </c>
      <c r="H128" s="6" t="s">
        <v>4357</v>
      </c>
      <c r="I128" s="6" t="s">
        <v>4281</v>
      </c>
      <c r="J128" s="6" t="n">
        <v>42</v>
      </c>
      <c r="K128" s="6"/>
      <c r="L128" s="6"/>
    </row>
    <row r="129" customFormat="false" ht="15" hidden="false" customHeight="false" outlineLevel="0" collapsed="false">
      <c r="A129" s="6" t="s">
        <v>530</v>
      </c>
      <c r="B129" s="6" t="s">
        <v>183</v>
      </c>
      <c r="C129" s="6" t="s">
        <v>4374</v>
      </c>
      <c r="D129" s="6" t="n">
        <v>0.8</v>
      </c>
      <c r="E129" s="6" t="s">
        <v>4358</v>
      </c>
      <c r="F129" s="6" t="n">
        <v>-1</v>
      </c>
      <c r="G129" s="6" t="s">
        <v>4351</v>
      </c>
      <c r="H129" s="6" t="s">
        <v>4359</v>
      </c>
      <c r="I129" s="6" t="s">
        <v>4281</v>
      </c>
      <c r="J129" s="6" t="n">
        <v>42</v>
      </c>
      <c r="K129" s="6"/>
      <c r="L129" s="6"/>
    </row>
    <row r="130" customFormat="false" ht="15" hidden="false" customHeight="false" outlineLevel="0" collapsed="false">
      <c r="A130" s="6" t="s">
        <v>530</v>
      </c>
      <c r="B130" s="6" t="s">
        <v>186</v>
      </c>
      <c r="C130" s="6" t="s">
        <v>4374</v>
      </c>
      <c r="D130" s="6" t="n">
        <v>-0.5</v>
      </c>
      <c r="E130" s="6" t="s">
        <v>4358</v>
      </c>
      <c r="F130" s="6" t="n">
        <v>-0.2</v>
      </c>
      <c r="G130" s="6" t="s">
        <v>4351</v>
      </c>
      <c r="H130" s="6" t="s">
        <v>4360</v>
      </c>
      <c r="I130" s="6" t="s">
        <v>4281</v>
      </c>
      <c r="J130" s="6" t="n">
        <v>43</v>
      </c>
      <c r="K130" s="6"/>
      <c r="L130" s="6"/>
    </row>
    <row r="131" customFormat="false" ht="15" hidden="false" customHeight="false" outlineLevel="0" collapsed="false">
      <c r="A131" s="6" t="s">
        <v>530</v>
      </c>
      <c r="B131" s="6" t="s">
        <v>190</v>
      </c>
      <c r="C131" s="6" t="s">
        <v>4368</v>
      </c>
      <c r="D131" s="6" t="n">
        <v>-0.75</v>
      </c>
      <c r="E131" s="6" t="s">
        <v>4350</v>
      </c>
      <c r="F131" s="6" t="n">
        <v>-0.2</v>
      </c>
      <c r="G131" s="6" t="s">
        <v>4351</v>
      </c>
      <c r="H131" s="6" t="s">
        <v>4354</v>
      </c>
      <c r="I131" s="6" t="s">
        <v>4281</v>
      </c>
      <c r="J131" s="6" t="n">
        <v>43</v>
      </c>
      <c r="K131" s="6"/>
      <c r="L131" s="6"/>
    </row>
    <row r="132" customFormat="false" ht="15" hidden="false" customHeight="false" outlineLevel="0" collapsed="false">
      <c r="A132" s="6" t="s">
        <v>530</v>
      </c>
      <c r="B132" s="6" t="s">
        <v>171</v>
      </c>
      <c r="C132" s="6" t="s">
        <v>4383</v>
      </c>
      <c r="D132" s="6" t="n">
        <v>1</v>
      </c>
      <c r="E132" s="6" t="s">
        <v>4358</v>
      </c>
      <c r="F132" s="6" t="n">
        <v>0</v>
      </c>
      <c r="G132" s="6" t="s">
        <v>4351</v>
      </c>
      <c r="H132" s="6" t="s">
        <v>4361</v>
      </c>
      <c r="I132" s="6" t="s">
        <v>4281</v>
      </c>
      <c r="J132" s="6" t="n">
        <v>43</v>
      </c>
      <c r="K132" s="6"/>
      <c r="L132" s="6"/>
    </row>
    <row r="133" customFormat="false" ht="15" hidden="false" customHeight="false" outlineLevel="0" collapsed="false">
      <c r="A133" s="6" t="s">
        <v>530</v>
      </c>
      <c r="B133" s="6" t="s">
        <v>195</v>
      </c>
      <c r="C133" s="6" t="s">
        <v>4374</v>
      </c>
      <c r="D133" s="6" t="n">
        <v>0.8</v>
      </c>
      <c r="E133" s="6" t="s">
        <v>4358</v>
      </c>
      <c r="F133" s="6" t="n">
        <v>-1</v>
      </c>
      <c r="G133" s="6" t="s">
        <v>4351</v>
      </c>
      <c r="H133" s="6" t="s">
        <v>4364</v>
      </c>
      <c r="I133" s="6" t="s">
        <v>4281</v>
      </c>
      <c r="J133" s="6" t="n">
        <v>43</v>
      </c>
      <c r="K133" s="6"/>
      <c r="L133" s="6"/>
    </row>
    <row r="134" customFormat="false" ht="15" hidden="false" customHeight="false" outlineLevel="0" collapsed="false">
      <c r="A134" s="6" t="s">
        <v>530</v>
      </c>
      <c r="B134" s="6" t="s">
        <v>198</v>
      </c>
      <c r="C134" s="6" t="s">
        <v>4374</v>
      </c>
      <c r="D134" s="6" t="n">
        <v>-0.75</v>
      </c>
      <c r="E134" s="6" t="s">
        <v>4356</v>
      </c>
      <c r="F134" s="6" t="n">
        <v>-0.2</v>
      </c>
      <c r="G134" s="6" t="s">
        <v>4351</v>
      </c>
      <c r="H134" s="6" t="s">
        <v>4365</v>
      </c>
      <c r="I134" s="6" t="s">
        <v>4281</v>
      </c>
      <c r="J134" s="6" t="n">
        <v>43</v>
      </c>
      <c r="K134" s="6"/>
      <c r="L134" s="6"/>
    </row>
    <row r="135" customFormat="false" ht="15" hidden="false" customHeight="false" outlineLevel="0" collapsed="false">
      <c r="A135" s="6" t="s">
        <v>530</v>
      </c>
      <c r="B135" s="6" t="s">
        <v>202</v>
      </c>
      <c r="C135" s="6" t="s">
        <v>4374</v>
      </c>
      <c r="D135" s="6" t="n">
        <v>-0.75</v>
      </c>
      <c r="E135" s="6" t="s">
        <v>4356</v>
      </c>
      <c r="F135" s="6" t="n">
        <v>-0.2</v>
      </c>
      <c r="G135" s="6" t="s">
        <v>4351</v>
      </c>
      <c r="H135" s="6" t="s">
        <v>4366</v>
      </c>
      <c r="I135" s="6" t="s">
        <v>4281</v>
      </c>
      <c r="J135" s="6" t="n">
        <v>43</v>
      </c>
      <c r="K135" s="6"/>
      <c r="L135" s="6"/>
    </row>
    <row r="136" customFormat="false" ht="15" hidden="false" customHeight="false" outlineLevel="0" collapsed="false">
      <c r="A136" s="6" t="s">
        <v>530</v>
      </c>
      <c r="B136" s="6" t="s">
        <v>205</v>
      </c>
      <c r="C136" s="6" t="s">
        <v>4374</v>
      </c>
      <c r="D136" s="6" t="n">
        <v>0.8</v>
      </c>
      <c r="E136" s="6" t="s">
        <v>4358</v>
      </c>
      <c r="F136" s="6" t="n">
        <v>-0.75</v>
      </c>
      <c r="G136" s="6" t="s">
        <v>4351</v>
      </c>
      <c r="H136" s="6" t="s">
        <v>4367</v>
      </c>
      <c r="I136" s="6" t="s">
        <v>4281</v>
      </c>
      <c r="J136" s="6" t="n">
        <v>43</v>
      </c>
      <c r="K136" s="6"/>
      <c r="L136" s="6"/>
    </row>
    <row r="137" customFormat="false" ht="15" hidden="false" customHeight="false" outlineLevel="0" collapsed="false">
      <c r="A137" s="6" t="s">
        <v>531</v>
      </c>
      <c r="B137" s="6" t="s">
        <v>169</v>
      </c>
      <c r="C137" s="6" t="s">
        <v>4379</v>
      </c>
      <c r="D137" s="6" t="n">
        <v>0.8</v>
      </c>
      <c r="E137" s="6"/>
      <c r="F137" s="6"/>
      <c r="G137" s="6" t="s">
        <v>4380</v>
      </c>
      <c r="H137" s="6" t="s">
        <v>4352</v>
      </c>
      <c r="I137" s="6" t="s">
        <v>4281</v>
      </c>
      <c r="J137" s="6" t="n">
        <v>44</v>
      </c>
      <c r="K137" s="6"/>
      <c r="L137" s="6"/>
    </row>
    <row r="138" customFormat="false" ht="15" hidden="false" customHeight="false" outlineLevel="0" collapsed="false">
      <c r="A138" s="6" t="s">
        <v>531</v>
      </c>
      <c r="B138" s="6" t="s">
        <v>173</v>
      </c>
      <c r="C138" s="6" t="s">
        <v>4379</v>
      </c>
      <c r="D138" s="6" t="n">
        <v>0.5</v>
      </c>
      <c r="E138" s="6"/>
      <c r="F138" s="6"/>
      <c r="G138" s="6" t="s">
        <v>4380</v>
      </c>
      <c r="H138" s="6" t="s">
        <v>4354</v>
      </c>
      <c r="I138" s="6" t="s">
        <v>4281</v>
      </c>
      <c r="J138" s="6" t="n">
        <v>44</v>
      </c>
      <c r="K138" s="6"/>
      <c r="L138" s="6"/>
    </row>
    <row r="139" customFormat="false" ht="15" hidden="false" customHeight="false" outlineLevel="0" collapsed="false">
      <c r="A139" s="6" t="s">
        <v>531</v>
      </c>
      <c r="B139" s="6" t="s">
        <v>176</v>
      </c>
      <c r="C139" s="6" t="s">
        <v>4379</v>
      </c>
      <c r="D139" s="6" t="n">
        <v>-0.75</v>
      </c>
      <c r="E139" s="6"/>
      <c r="F139" s="6"/>
      <c r="G139" s="6" t="s">
        <v>4380</v>
      </c>
      <c r="H139" s="6" t="s">
        <v>4355</v>
      </c>
      <c r="I139" s="6" t="s">
        <v>4281</v>
      </c>
      <c r="J139" s="6" t="n">
        <v>44</v>
      </c>
      <c r="K139" s="6"/>
      <c r="L139" s="6"/>
    </row>
    <row r="140" customFormat="false" ht="15" hidden="false" customHeight="false" outlineLevel="0" collapsed="false">
      <c r="A140" s="6" t="s">
        <v>531</v>
      </c>
      <c r="B140" s="6" t="s">
        <v>180</v>
      </c>
      <c r="C140" s="6" t="s">
        <v>4379</v>
      </c>
      <c r="D140" s="6" t="n">
        <v>0.8</v>
      </c>
      <c r="E140" s="6"/>
      <c r="F140" s="6"/>
      <c r="G140" s="6" t="s">
        <v>4380</v>
      </c>
      <c r="H140" s="6" t="s">
        <v>4357</v>
      </c>
      <c r="I140" s="6" t="s">
        <v>4281</v>
      </c>
      <c r="J140" s="6" t="n">
        <v>44</v>
      </c>
      <c r="K140" s="6"/>
      <c r="L140" s="6"/>
    </row>
    <row r="141" customFormat="false" ht="15" hidden="false" customHeight="false" outlineLevel="0" collapsed="false">
      <c r="A141" s="6" t="s">
        <v>531</v>
      </c>
      <c r="B141" s="6" t="s">
        <v>183</v>
      </c>
      <c r="C141" s="6" t="s">
        <v>4379</v>
      </c>
      <c r="D141" s="6" t="n">
        <v>0.8</v>
      </c>
      <c r="E141" s="6"/>
      <c r="F141" s="6"/>
      <c r="G141" s="6" t="s">
        <v>4380</v>
      </c>
      <c r="H141" s="6" t="s">
        <v>4359</v>
      </c>
      <c r="I141" s="6" t="s">
        <v>4281</v>
      </c>
      <c r="J141" s="6" t="n">
        <v>44</v>
      </c>
      <c r="K141" s="6"/>
      <c r="L141" s="6"/>
    </row>
    <row r="142" customFormat="false" ht="15" hidden="false" customHeight="false" outlineLevel="0" collapsed="false">
      <c r="A142" s="6" t="s">
        <v>531</v>
      </c>
      <c r="B142" s="6" t="s">
        <v>186</v>
      </c>
      <c r="C142" s="6" t="s">
        <v>4379</v>
      </c>
      <c r="D142" s="6" t="n">
        <v>-1</v>
      </c>
      <c r="E142" s="6"/>
      <c r="F142" s="6"/>
      <c r="G142" s="6" t="s">
        <v>4380</v>
      </c>
      <c r="H142" s="6" t="s">
        <v>4360</v>
      </c>
      <c r="I142" s="6" t="s">
        <v>4281</v>
      </c>
      <c r="J142" s="6" t="n">
        <v>44</v>
      </c>
      <c r="K142" s="6"/>
      <c r="L142" s="6"/>
    </row>
    <row r="143" customFormat="false" ht="15" hidden="false" customHeight="false" outlineLevel="0" collapsed="false">
      <c r="A143" s="6" t="s">
        <v>531</v>
      </c>
      <c r="B143" s="6" t="s">
        <v>190</v>
      </c>
      <c r="C143" s="6" t="s">
        <v>4379</v>
      </c>
      <c r="D143" s="6" t="n">
        <v>0.5</v>
      </c>
      <c r="E143" s="6"/>
      <c r="F143" s="6"/>
      <c r="G143" s="6" t="s">
        <v>4380</v>
      </c>
      <c r="H143" s="6" t="s">
        <v>4354</v>
      </c>
      <c r="I143" s="6" t="s">
        <v>4281</v>
      </c>
      <c r="J143" s="6" t="n">
        <v>44</v>
      </c>
      <c r="K143" s="6"/>
      <c r="L143" s="6"/>
    </row>
    <row r="144" customFormat="false" ht="15" hidden="false" customHeight="false" outlineLevel="0" collapsed="false">
      <c r="A144" s="6" t="s">
        <v>531</v>
      </c>
      <c r="B144" s="6" t="s">
        <v>171</v>
      </c>
      <c r="C144" s="6" t="s">
        <v>4379</v>
      </c>
      <c r="D144" s="6" t="n">
        <v>0.8</v>
      </c>
      <c r="E144" s="6"/>
      <c r="F144" s="6"/>
      <c r="G144" s="6" t="s">
        <v>4380</v>
      </c>
      <c r="H144" s="6" t="s">
        <v>4361</v>
      </c>
      <c r="I144" s="6" t="s">
        <v>4281</v>
      </c>
      <c r="J144" s="6" t="n">
        <v>44</v>
      </c>
      <c r="K144" s="6"/>
      <c r="L144" s="6"/>
    </row>
    <row r="145" customFormat="false" ht="15" hidden="false" customHeight="false" outlineLevel="0" collapsed="false">
      <c r="A145" s="6" t="s">
        <v>531</v>
      </c>
      <c r="B145" s="6" t="s">
        <v>195</v>
      </c>
      <c r="C145" s="6" t="s">
        <v>4379</v>
      </c>
      <c r="D145" s="6" t="n">
        <v>0.8</v>
      </c>
      <c r="E145" s="6"/>
      <c r="F145" s="6"/>
      <c r="G145" s="6" t="s">
        <v>4380</v>
      </c>
      <c r="H145" s="6" t="s">
        <v>4364</v>
      </c>
      <c r="I145" s="6" t="s">
        <v>4281</v>
      </c>
      <c r="J145" s="6" t="n">
        <v>44</v>
      </c>
      <c r="K145" s="6"/>
      <c r="L145" s="6"/>
    </row>
    <row r="146" customFormat="false" ht="15" hidden="false" customHeight="false" outlineLevel="0" collapsed="false">
      <c r="A146" s="6" t="s">
        <v>531</v>
      </c>
      <c r="B146" s="6" t="s">
        <v>198</v>
      </c>
      <c r="C146" s="6" t="s">
        <v>4379</v>
      </c>
      <c r="D146" s="6" t="n">
        <v>-0.75</v>
      </c>
      <c r="E146" s="6"/>
      <c r="F146" s="6"/>
      <c r="G146" s="6" t="s">
        <v>4380</v>
      </c>
      <c r="H146" s="6" t="s">
        <v>4365</v>
      </c>
      <c r="I146" s="6" t="s">
        <v>4281</v>
      </c>
      <c r="J146" s="6" t="n">
        <v>44</v>
      </c>
      <c r="K146" s="6"/>
      <c r="L146" s="6"/>
    </row>
    <row r="147" customFormat="false" ht="15" hidden="false" customHeight="false" outlineLevel="0" collapsed="false">
      <c r="A147" s="6" t="s">
        <v>531</v>
      </c>
      <c r="B147" s="6" t="s">
        <v>202</v>
      </c>
      <c r="C147" s="6" t="s">
        <v>4379</v>
      </c>
      <c r="D147" s="6" t="n">
        <v>-0.75</v>
      </c>
      <c r="E147" s="6"/>
      <c r="F147" s="6"/>
      <c r="G147" s="6" t="s">
        <v>4380</v>
      </c>
      <c r="H147" s="6" t="s">
        <v>4366</v>
      </c>
      <c r="I147" s="6" t="s">
        <v>4281</v>
      </c>
      <c r="J147" s="6" t="n">
        <v>44</v>
      </c>
      <c r="K147" s="6"/>
      <c r="L147" s="6"/>
    </row>
    <row r="148" customFormat="false" ht="15" hidden="false" customHeight="false" outlineLevel="0" collapsed="false">
      <c r="A148" s="6" t="s">
        <v>531</v>
      </c>
      <c r="B148" s="6" t="s">
        <v>205</v>
      </c>
      <c r="C148" s="6" t="s">
        <v>4379</v>
      </c>
      <c r="D148" s="6" t="n">
        <v>0.8</v>
      </c>
      <c r="E148" s="6"/>
      <c r="F148" s="6"/>
      <c r="G148" s="6" t="s">
        <v>4380</v>
      </c>
      <c r="H148" s="6" t="s">
        <v>4367</v>
      </c>
      <c r="I148" s="6" t="s">
        <v>4281</v>
      </c>
      <c r="J148" s="6" t="n">
        <v>45</v>
      </c>
      <c r="K148" s="6"/>
      <c r="L148" s="6"/>
    </row>
  </sheetData>
  <conditionalFormatting sqref="D5:D148">
    <cfRule type="expression" priority="2" aboveAverage="0" equalAverage="0" bottom="0" percent="0" rank="0" text="" dxfId="0">
      <formula>AND(ISNUMBER(D5),D5&gt;Settings!$C$4)</formula>
    </cfRule>
    <cfRule type="expression" priority="3" aboveAverage="0" equalAverage="0" bottom="0" percent="0" rank="0" text="" dxfId="1">
      <formula>AND(ISNUMBER(D5),D5&lt;-Settings!$C$4)</formula>
    </cfRule>
    <cfRule type="expression" priority="4" aboveAverage="0" equalAverage="0" bottom="0" percent="0" rank="0" text="" dxfId="2">
      <formula>AND(ISNUMBER(D5),ABS(D5)&lt;=Settings!$C$4)</formula>
    </cfRule>
  </conditionalFormatting>
  <conditionalFormatting sqref="F5:F148">
    <cfRule type="expression" priority="5" aboveAverage="0" equalAverage="0" bottom="0" percent="0" rank="0" text="" dxfId="0">
      <formula>AND(ISNUMBER(F5),F5&gt;Settings!$C$4)</formula>
    </cfRule>
    <cfRule type="expression" priority="6" aboveAverage="0" equalAverage="0" bottom="0" percent="0" rank="0" text="" dxfId="1">
      <formula>AND(ISNUMBER(F5),F5&lt;-Settings!$C$4)</formula>
    </cfRule>
    <cfRule type="expression" priority="7" aboveAverage="0" equalAverage="0" bottom="0" percent="0" rank="0" text="" dxfId="2">
      <formula>AND(ISNUMBER(F5),ABS(F5)&lt;=Settings!$C$4)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6" min="3" style="0" width="24"/>
    <col collapsed="false" customWidth="true" hidden="false" outlineLevel="0" max="7" min="7" style="0" width="16"/>
    <col collapsed="false" customWidth="true" hidden="false" outlineLevel="0" max="8" min="8" style="0" width="110"/>
  </cols>
  <sheetData>
    <row r="1" customFormat="false" ht="17.35" hidden="false" customHeight="false" outlineLevel="0" collapsed="false">
      <c r="A1" s="1" t="s">
        <v>4384</v>
      </c>
    </row>
    <row r="4" customFormat="false" ht="26.85" hidden="false" customHeight="false" outlineLevel="0" collapsed="false">
      <c r="A4" s="5" t="s">
        <v>166</v>
      </c>
      <c r="B4" s="5" t="s">
        <v>223</v>
      </c>
      <c r="C4" s="5" t="s">
        <v>4385</v>
      </c>
      <c r="D4" s="5" t="s">
        <v>4386</v>
      </c>
      <c r="E4" s="5" t="s">
        <v>4387</v>
      </c>
      <c r="F4" s="5" t="s">
        <v>4386</v>
      </c>
      <c r="G4" s="5" t="s">
        <v>4388</v>
      </c>
      <c r="H4" s="5" t="s">
        <v>226</v>
      </c>
    </row>
    <row r="5" customFormat="false" ht="15" hidden="false" customHeight="false" outlineLevel="0" collapsed="false">
      <c r="A5" s="6" t="s">
        <v>208</v>
      </c>
      <c r="B5" s="6" t="s">
        <v>283</v>
      </c>
      <c r="C5" s="6" t="s">
        <v>4273</v>
      </c>
      <c r="D5" s="6" t="s">
        <v>4368</v>
      </c>
      <c r="E5" s="6" t="s">
        <v>4369</v>
      </c>
      <c r="F5" s="6" t="s">
        <v>4358</v>
      </c>
      <c r="G5" s="6" t="s">
        <v>4389</v>
      </c>
      <c r="H5" s="6" t="s">
        <v>4390</v>
      </c>
    </row>
    <row r="6" customFormat="false" ht="15" hidden="false" customHeight="false" outlineLevel="0" collapsed="false">
      <c r="A6" s="6" t="s">
        <v>170</v>
      </c>
      <c r="B6" s="6" t="s">
        <v>230</v>
      </c>
      <c r="C6" s="6" t="s">
        <v>4381</v>
      </c>
      <c r="D6" s="6" t="s">
        <v>4368</v>
      </c>
      <c r="E6" s="6" t="s">
        <v>4383</v>
      </c>
      <c r="F6" s="6" t="s">
        <v>4363</v>
      </c>
      <c r="G6" s="6" t="s">
        <v>4391</v>
      </c>
      <c r="H6" s="6" t="s">
        <v>4392</v>
      </c>
    </row>
    <row r="7" customFormat="false" ht="15" hidden="false" customHeight="false" outlineLevel="0" collapsed="false">
      <c r="A7" s="6" t="s">
        <v>174</v>
      </c>
      <c r="B7" s="6" t="s">
        <v>250</v>
      </c>
      <c r="C7" s="6" t="s">
        <v>4349</v>
      </c>
      <c r="D7" s="6" t="s">
        <v>4368</v>
      </c>
      <c r="E7" s="6" t="s">
        <v>4358</v>
      </c>
      <c r="F7" s="6" t="s">
        <v>4358</v>
      </c>
      <c r="G7" s="6" t="s">
        <v>4393</v>
      </c>
      <c r="H7" s="6" t="s">
        <v>4394</v>
      </c>
    </row>
    <row r="8" customFormat="false" ht="15" hidden="false" customHeight="false" outlineLevel="0" collapsed="false">
      <c r="A8" s="6" t="s">
        <v>209</v>
      </c>
      <c r="B8" s="6" t="s">
        <v>237</v>
      </c>
      <c r="C8" s="6" t="s">
        <v>4368</v>
      </c>
      <c r="D8" s="6"/>
      <c r="E8" s="6" t="s">
        <v>4358</v>
      </c>
      <c r="F8" s="6"/>
      <c r="G8" s="6" t="s">
        <v>237</v>
      </c>
      <c r="H8" s="6" t="s">
        <v>4395</v>
      </c>
    </row>
    <row r="9" customFormat="false" ht="15" hidden="false" customHeight="false" outlineLevel="0" collapsed="false">
      <c r="A9" s="6" t="s">
        <v>175</v>
      </c>
      <c r="B9" s="6" t="s">
        <v>247</v>
      </c>
      <c r="C9" s="6" t="s">
        <v>4369</v>
      </c>
      <c r="D9" s="6" t="s">
        <v>4368</v>
      </c>
      <c r="E9" s="6" t="s">
        <v>4353</v>
      </c>
      <c r="F9" s="6" t="s">
        <v>4358</v>
      </c>
      <c r="G9" s="6" t="s">
        <v>4396</v>
      </c>
      <c r="H9" s="6" t="s">
        <v>4397</v>
      </c>
    </row>
    <row r="10" customFormat="false" ht="15" hidden="false" customHeight="false" outlineLevel="0" collapsed="false">
      <c r="A10" s="6" t="s">
        <v>177</v>
      </c>
      <c r="B10" s="6" t="s">
        <v>264</v>
      </c>
      <c r="C10" s="6" t="s">
        <v>4273</v>
      </c>
      <c r="D10" s="6" t="s">
        <v>4368</v>
      </c>
      <c r="E10" s="6" t="s">
        <v>4369</v>
      </c>
      <c r="F10" s="6" t="s">
        <v>4358</v>
      </c>
      <c r="G10" s="6" t="s">
        <v>4398</v>
      </c>
      <c r="H10" s="6" t="s">
        <v>4399</v>
      </c>
    </row>
    <row r="11" customFormat="false" ht="15" hidden="false" customHeight="false" outlineLevel="0" collapsed="false">
      <c r="A11" s="6" t="s">
        <v>178</v>
      </c>
      <c r="B11" s="6" t="s">
        <v>244</v>
      </c>
      <c r="C11" s="6" t="s">
        <v>4375</v>
      </c>
      <c r="D11" s="6" t="s">
        <v>4368</v>
      </c>
      <c r="E11" s="6" t="s">
        <v>4350</v>
      </c>
      <c r="F11" s="6" t="s">
        <v>4358</v>
      </c>
      <c r="G11" s="6" t="s">
        <v>4400</v>
      </c>
      <c r="H11" s="6" t="s">
        <v>4401</v>
      </c>
    </row>
    <row r="12" customFormat="false" ht="15" hidden="false" customHeight="false" outlineLevel="0" collapsed="false">
      <c r="A12" s="6" t="s">
        <v>181</v>
      </c>
      <c r="B12" s="6" t="s">
        <v>241</v>
      </c>
      <c r="C12" s="6" t="s">
        <v>4350</v>
      </c>
      <c r="D12" s="6" t="s">
        <v>4368</v>
      </c>
      <c r="E12" s="6" t="s">
        <v>4375</v>
      </c>
      <c r="F12" s="6" t="s">
        <v>4358</v>
      </c>
      <c r="G12" s="6" t="s">
        <v>4402</v>
      </c>
      <c r="H12" s="6" t="s">
        <v>4403</v>
      </c>
    </row>
    <row r="13" customFormat="false" ht="15" hidden="false" customHeight="false" outlineLevel="0" collapsed="false">
      <c r="A13" s="6" t="s">
        <v>182</v>
      </c>
      <c r="B13" s="6" t="s">
        <v>234</v>
      </c>
      <c r="C13" s="6" t="s">
        <v>4358</v>
      </c>
      <c r="D13" s="6" t="s">
        <v>4368</v>
      </c>
      <c r="E13" s="6" t="s">
        <v>4372</v>
      </c>
      <c r="F13" s="6" t="s">
        <v>4358</v>
      </c>
      <c r="G13" s="6" t="s">
        <v>4404</v>
      </c>
      <c r="H13" s="6" t="s">
        <v>4405</v>
      </c>
    </row>
    <row r="14" customFormat="false" ht="15" hidden="false" customHeight="false" outlineLevel="0" collapsed="false">
      <c r="A14" s="6" t="s">
        <v>184</v>
      </c>
      <c r="B14" s="6" t="s">
        <v>283</v>
      </c>
      <c r="C14" s="6" t="s">
        <v>4273</v>
      </c>
      <c r="D14" s="6" t="s">
        <v>4368</v>
      </c>
      <c r="E14" s="6" t="s">
        <v>4369</v>
      </c>
      <c r="F14" s="6" t="s">
        <v>4358</v>
      </c>
      <c r="G14" s="6" t="s">
        <v>4389</v>
      </c>
      <c r="H14" s="6" t="s">
        <v>4406</v>
      </c>
    </row>
    <row r="15" customFormat="false" ht="15" hidden="false" customHeight="false" outlineLevel="0" collapsed="false">
      <c r="A15" s="6" t="s">
        <v>185</v>
      </c>
      <c r="B15" s="6" t="s">
        <v>230</v>
      </c>
      <c r="C15" s="6" t="s">
        <v>4381</v>
      </c>
      <c r="D15" s="6" t="s">
        <v>4368</v>
      </c>
      <c r="E15" s="6" t="s">
        <v>4383</v>
      </c>
      <c r="F15" s="6" t="s">
        <v>4363</v>
      </c>
      <c r="G15" s="6" t="s">
        <v>4391</v>
      </c>
      <c r="H15" s="6" t="s">
        <v>4407</v>
      </c>
    </row>
    <row r="16" customFormat="false" ht="15" hidden="false" customHeight="false" outlineLevel="0" collapsed="false">
      <c r="A16" s="6" t="s">
        <v>187</v>
      </c>
      <c r="B16" s="6" t="s">
        <v>250</v>
      </c>
      <c r="C16" s="6" t="s">
        <v>4349</v>
      </c>
      <c r="D16" s="6" t="s">
        <v>4368</v>
      </c>
      <c r="E16" s="6" t="s">
        <v>4358</v>
      </c>
      <c r="F16" s="6" t="s">
        <v>4358</v>
      </c>
      <c r="G16" s="6" t="s">
        <v>4393</v>
      </c>
      <c r="H16" s="6" t="s">
        <v>4408</v>
      </c>
    </row>
    <row r="17" customFormat="false" ht="15" hidden="false" customHeight="false" outlineLevel="0" collapsed="false">
      <c r="A17" s="6" t="s">
        <v>188</v>
      </c>
      <c r="B17" s="6" t="s">
        <v>237</v>
      </c>
      <c r="C17" s="6" t="s">
        <v>4368</v>
      </c>
      <c r="D17" s="6"/>
      <c r="E17" s="6" t="s">
        <v>4358</v>
      </c>
      <c r="F17" s="6"/>
      <c r="G17" s="6" t="s">
        <v>237</v>
      </c>
      <c r="H17" s="6" t="s">
        <v>4409</v>
      </c>
    </row>
    <row r="18" customFormat="false" ht="15" hidden="false" customHeight="false" outlineLevel="0" collapsed="false">
      <c r="A18" s="6" t="s">
        <v>189</v>
      </c>
      <c r="B18" s="6" t="s">
        <v>247</v>
      </c>
      <c r="C18" s="6" t="s">
        <v>4369</v>
      </c>
      <c r="D18" s="6" t="s">
        <v>4368</v>
      </c>
      <c r="E18" s="6" t="s">
        <v>4353</v>
      </c>
      <c r="F18" s="6" t="s">
        <v>4358</v>
      </c>
      <c r="G18" s="6" t="s">
        <v>4396</v>
      </c>
      <c r="H18" s="6" t="s">
        <v>4397</v>
      </c>
    </row>
    <row r="19" customFormat="false" ht="15" hidden="false" customHeight="false" outlineLevel="0" collapsed="false">
      <c r="A19" s="6" t="s">
        <v>191</v>
      </c>
      <c r="B19" s="6" t="s">
        <v>264</v>
      </c>
      <c r="C19" s="6" t="s">
        <v>4273</v>
      </c>
      <c r="D19" s="6" t="s">
        <v>4368</v>
      </c>
      <c r="E19" s="6" t="s">
        <v>4369</v>
      </c>
      <c r="F19" s="6" t="s">
        <v>4358</v>
      </c>
      <c r="G19" s="6" t="s">
        <v>4398</v>
      </c>
      <c r="H19" s="6" t="s">
        <v>4410</v>
      </c>
    </row>
    <row r="20" customFormat="false" ht="15" hidden="false" customHeight="false" outlineLevel="0" collapsed="false">
      <c r="A20" s="6" t="s">
        <v>192</v>
      </c>
      <c r="B20" s="6" t="s">
        <v>244</v>
      </c>
      <c r="C20" s="6" t="s">
        <v>4375</v>
      </c>
      <c r="D20" s="6" t="s">
        <v>4368</v>
      </c>
      <c r="E20" s="6" t="s">
        <v>4350</v>
      </c>
      <c r="F20" s="6" t="s">
        <v>4358</v>
      </c>
      <c r="G20" s="6" t="s">
        <v>4400</v>
      </c>
      <c r="H20" s="6" t="s">
        <v>4411</v>
      </c>
    </row>
    <row r="21" customFormat="false" ht="15" hidden="false" customHeight="false" outlineLevel="0" collapsed="false">
      <c r="A21" s="6" t="s">
        <v>193</v>
      </c>
      <c r="B21" s="6" t="s">
        <v>241</v>
      </c>
      <c r="C21" s="6" t="s">
        <v>4350</v>
      </c>
      <c r="D21" s="6" t="s">
        <v>4368</v>
      </c>
      <c r="E21" s="6" t="s">
        <v>4375</v>
      </c>
      <c r="F21" s="6" t="s">
        <v>4358</v>
      </c>
      <c r="G21" s="6" t="s">
        <v>4402</v>
      </c>
      <c r="H21" s="6" t="s">
        <v>4403</v>
      </c>
    </row>
    <row r="22" customFormat="false" ht="15" hidden="false" customHeight="false" outlineLevel="0" collapsed="false">
      <c r="A22" s="6" t="s">
        <v>194</v>
      </c>
      <c r="B22" s="6" t="s">
        <v>234</v>
      </c>
      <c r="C22" s="6" t="s">
        <v>4358</v>
      </c>
      <c r="D22" s="6" t="s">
        <v>4368</v>
      </c>
      <c r="E22" s="6" t="s">
        <v>4372</v>
      </c>
      <c r="F22" s="6" t="s">
        <v>4358</v>
      </c>
      <c r="G22" s="6" t="s">
        <v>4404</v>
      </c>
      <c r="H22" s="6" t="s">
        <v>4412</v>
      </c>
    </row>
    <row r="23" customFormat="false" ht="15" hidden="false" customHeight="false" outlineLevel="0" collapsed="false">
      <c r="A23" s="6" t="s">
        <v>196</v>
      </c>
      <c r="B23" s="6" t="s">
        <v>283</v>
      </c>
      <c r="C23" s="6" t="s">
        <v>4273</v>
      </c>
      <c r="D23" s="6" t="s">
        <v>4368</v>
      </c>
      <c r="E23" s="6" t="s">
        <v>4369</v>
      </c>
      <c r="F23" s="6" t="s">
        <v>4358</v>
      </c>
      <c r="G23" s="6" t="s">
        <v>4389</v>
      </c>
      <c r="H23" s="6" t="s">
        <v>4406</v>
      </c>
    </row>
    <row r="24" customFormat="false" ht="15" hidden="false" customHeight="false" outlineLevel="0" collapsed="false">
      <c r="A24" s="6" t="s">
        <v>197</v>
      </c>
      <c r="B24" s="6" t="s">
        <v>230</v>
      </c>
      <c r="C24" s="6" t="s">
        <v>4381</v>
      </c>
      <c r="D24" s="6" t="s">
        <v>4368</v>
      </c>
      <c r="E24" s="6" t="s">
        <v>4383</v>
      </c>
      <c r="F24" s="6" t="s">
        <v>4363</v>
      </c>
      <c r="G24" s="6" t="s">
        <v>4391</v>
      </c>
      <c r="H24" s="6" t="s">
        <v>4407</v>
      </c>
    </row>
    <row r="25" customFormat="false" ht="15" hidden="false" customHeight="false" outlineLevel="0" collapsed="false">
      <c r="A25" s="6" t="s">
        <v>199</v>
      </c>
      <c r="B25" s="6" t="s">
        <v>250</v>
      </c>
      <c r="C25" s="6" t="s">
        <v>4349</v>
      </c>
      <c r="D25" s="6" t="s">
        <v>4368</v>
      </c>
      <c r="E25" s="6" t="s">
        <v>4358</v>
      </c>
      <c r="F25" s="6" t="s">
        <v>4358</v>
      </c>
      <c r="G25" s="6" t="s">
        <v>4393</v>
      </c>
      <c r="H25" s="6" t="s">
        <v>4408</v>
      </c>
    </row>
    <row r="26" customFormat="false" ht="15" hidden="false" customHeight="false" outlineLevel="0" collapsed="false">
      <c r="A26" s="6" t="s">
        <v>200</v>
      </c>
      <c r="B26" s="6" t="s">
        <v>237</v>
      </c>
      <c r="C26" s="6" t="s">
        <v>4368</v>
      </c>
      <c r="D26" s="6"/>
      <c r="E26" s="6" t="s">
        <v>4358</v>
      </c>
      <c r="F26" s="6"/>
      <c r="G26" s="6" t="s">
        <v>237</v>
      </c>
      <c r="H26" s="6" t="s">
        <v>4409</v>
      </c>
    </row>
    <row r="27" customFormat="false" ht="15" hidden="false" customHeight="false" outlineLevel="0" collapsed="false">
      <c r="A27" s="6" t="s">
        <v>201</v>
      </c>
      <c r="B27" s="6" t="s">
        <v>247</v>
      </c>
      <c r="C27" s="6" t="s">
        <v>4369</v>
      </c>
      <c r="D27" s="6" t="s">
        <v>4368</v>
      </c>
      <c r="E27" s="6" t="s">
        <v>4353</v>
      </c>
      <c r="F27" s="6" t="s">
        <v>4358</v>
      </c>
      <c r="G27" s="6" t="s">
        <v>4396</v>
      </c>
      <c r="H27" s="6" t="s">
        <v>4397</v>
      </c>
    </row>
    <row r="28" customFormat="false" ht="15" hidden="false" customHeight="false" outlineLevel="0" collapsed="false">
      <c r="A28" s="6" t="s">
        <v>203</v>
      </c>
      <c r="B28" s="6" t="s">
        <v>264</v>
      </c>
      <c r="C28" s="6" t="s">
        <v>4273</v>
      </c>
      <c r="D28" s="6" t="s">
        <v>4368</v>
      </c>
      <c r="E28" s="6" t="s">
        <v>4369</v>
      </c>
      <c r="F28" s="6" t="s">
        <v>4358</v>
      </c>
      <c r="G28" s="6" t="s">
        <v>4398</v>
      </c>
      <c r="H28" s="6" t="s">
        <v>4413</v>
      </c>
    </row>
    <row r="29" customFormat="false" ht="15" hidden="false" customHeight="false" outlineLevel="0" collapsed="false">
      <c r="A29" s="6" t="s">
        <v>204</v>
      </c>
      <c r="B29" s="6" t="s">
        <v>244</v>
      </c>
      <c r="C29" s="6" t="s">
        <v>4375</v>
      </c>
      <c r="D29" s="6" t="s">
        <v>4368</v>
      </c>
      <c r="E29" s="6" t="s">
        <v>4350</v>
      </c>
      <c r="F29" s="6" t="s">
        <v>4358</v>
      </c>
      <c r="G29" s="6" t="s">
        <v>4400</v>
      </c>
      <c r="H29" s="6" t="s">
        <v>4414</v>
      </c>
    </row>
    <row r="30" customFormat="false" ht="15" hidden="false" customHeight="false" outlineLevel="0" collapsed="false">
      <c r="A30" s="6" t="s">
        <v>206</v>
      </c>
      <c r="B30" s="6" t="s">
        <v>241</v>
      </c>
      <c r="C30" s="6" t="s">
        <v>4350</v>
      </c>
      <c r="D30" s="6" t="s">
        <v>4368</v>
      </c>
      <c r="E30" s="6" t="s">
        <v>4375</v>
      </c>
      <c r="F30" s="6" t="s">
        <v>4358</v>
      </c>
      <c r="G30" s="6" t="s">
        <v>4402</v>
      </c>
      <c r="H30" s="6" t="s">
        <v>4403</v>
      </c>
    </row>
    <row r="31" customFormat="false" ht="15" hidden="false" customHeight="false" outlineLevel="0" collapsed="false">
      <c r="A31" s="6" t="s">
        <v>207</v>
      </c>
      <c r="B31" s="6" t="s">
        <v>234</v>
      </c>
      <c r="C31" s="6" t="s">
        <v>4358</v>
      </c>
      <c r="D31" s="6" t="s">
        <v>4368</v>
      </c>
      <c r="E31" s="6" t="s">
        <v>4372</v>
      </c>
      <c r="F31" s="6" t="s">
        <v>4358</v>
      </c>
      <c r="G31" s="6" t="s">
        <v>4404</v>
      </c>
      <c r="H31" s="6" t="s">
        <v>4412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8"/>
    <col collapsed="false" customWidth="true" hidden="false" outlineLevel="0" max="4" min="4" style="0" width="110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4415</v>
      </c>
    </row>
    <row r="4" customFormat="false" ht="26.85" hidden="false" customHeight="false" outlineLevel="0" collapsed="false">
      <c r="A4" s="5" t="s">
        <v>4416</v>
      </c>
      <c r="B4" s="5" t="s">
        <v>4417</v>
      </c>
      <c r="C4" s="5" t="s">
        <v>4418</v>
      </c>
      <c r="D4" s="5" t="s">
        <v>4419</v>
      </c>
      <c r="E4" s="5" t="s">
        <v>4270</v>
      </c>
    </row>
    <row r="5" customFormat="false" ht="15" hidden="false" customHeight="false" outlineLevel="0" collapsed="false">
      <c r="A5" s="6" t="s">
        <v>250</v>
      </c>
      <c r="B5" s="6" t="s">
        <v>4349</v>
      </c>
      <c r="C5" s="6" t="s">
        <v>4420</v>
      </c>
      <c r="D5" s="6" t="s">
        <v>251</v>
      </c>
      <c r="E5" s="6" t="n">
        <v>54</v>
      </c>
    </row>
    <row r="6" customFormat="false" ht="15" hidden="false" customHeight="false" outlineLevel="0" collapsed="false">
      <c r="A6" s="6" t="s">
        <v>237</v>
      </c>
      <c r="B6" s="6" t="s">
        <v>4421</v>
      </c>
      <c r="C6" s="6" t="s">
        <v>4422</v>
      </c>
      <c r="D6" s="6" t="s">
        <v>239</v>
      </c>
      <c r="E6" s="6" t="n">
        <v>55</v>
      </c>
    </row>
    <row r="7" customFormat="false" ht="15" hidden="false" customHeight="false" outlineLevel="0" collapsed="false">
      <c r="A7" s="6" t="s">
        <v>247</v>
      </c>
      <c r="B7" s="6" t="s">
        <v>4369</v>
      </c>
      <c r="C7" s="6" t="s">
        <v>4423</v>
      </c>
      <c r="D7" s="6" t="s">
        <v>248</v>
      </c>
      <c r="E7" s="6" t="n">
        <v>56</v>
      </c>
    </row>
    <row r="8" customFormat="false" ht="15" hidden="false" customHeight="false" outlineLevel="0" collapsed="false">
      <c r="A8" s="6" t="s">
        <v>234</v>
      </c>
      <c r="B8" s="6" t="s">
        <v>4424</v>
      </c>
      <c r="C8" s="6" t="s">
        <v>4372</v>
      </c>
      <c r="D8" s="6" t="s">
        <v>235</v>
      </c>
      <c r="E8" s="6" t="n">
        <v>57</v>
      </c>
    </row>
    <row r="9" customFormat="false" ht="15" hidden="false" customHeight="false" outlineLevel="0" collapsed="false">
      <c r="A9" s="6" t="s">
        <v>244</v>
      </c>
      <c r="B9" s="6" t="s">
        <v>4375</v>
      </c>
      <c r="C9" s="6" t="s">
        <v>4350</v>
      </c>
      <c r="D9" s="6" t="s">
        <v>245</v>
      </c>
      <c r="E9" s="6" t="n">
        <v>58</v>
      </c>
    </row>
    <row r="10" customFormat="false" ht="15" hidden="false" customHeight="false" outlineLevel="0" collapsed="false">
      <c r="A10" s="6" t="s">
        <v>230</v>
      </c>
      <c r="B10" s="6" t="s">
        <v>4381</v>
      </c>
      <c r="C10" s="6" t="s">
        <v>4375</v>
      </c>
      <c r="D10" s="6" t="s">
        <v>232</v>
      </c>
      <c r="E10" s="6" t="n">
        <v>59</v>
      </c>
    </row>
    <row r="11" customFormat="false" ht="15" hidden="false" customHeight="false" outlineLevel="0" collapsed="false">
      <c r="A11" s="6" t="s">
        <v>241</v>
      </c>
      <c r="B11" s="6" t="s">
        <v>4350</v>
      </c>
      <c r="C11" s="6" t="s">
        <v>4375</v>
      </c>
      <c r="D11" s="6" t="s">
        <v>242</v>
      </c>
      <c r="E11" s="6" t="n">
        <v>59</v>
      </c>
    </row>
    <row r="14" customFormat="false" ht="15" hidden="false" customHeight="false" outlineLevel="0" collapsed="false">
      <c r="A14" s="5" t="s">
        <v>4425</v>
      </c>
      <c r="B14" s="5" t="s">
        <v>4426</v>
      </c>
      <c r="C14" s="5" t="s">
        <v>4427</v>
      </c>
      <c r="D14" s="5" t="s">
        <v>4428</v>
      </c>
      <c r="E14" s="5" t="s">
        <v>4429</v>
      </c>
      <c r="F14" s="5" t="s">
        <v>4430</v>
      </c>
      <c r="G14" s="5" t="s">
        <v>4431</v>
      </c>
      <c r="H14" s="5" t="s">
        <v>4432</v>
      </c>
    </row>
    <row r="15" customFormat="false" ht="15" hidden="false" customHeight="false" outlineLevel="0" collapsed="false">
      <c r="A15" s="6" t="n">
        <v>1</v>
      </c>
      <c r="B15" s="6" t="s">
        <v>250</v>
      </c>
      <c r="C15" s="6" t="s">
        <v>237</v>
      </c>
      <c r="D15" s="6" t="s">
        <v>247</v>
      </c>
      <c r="E15" s="6" t="s">
        <v>234</v>
      </c>
      <c r="F15" s="6" t="s">
        <v>244</v>
      </c>
      <c r="G15" s="6" t="s">
        <v>230</v>
      </c>
      <c r="H15" s="6" t="s">
        <v>241</v>
      </c>
    </row>
    <row r="16" customFormat="false" ht="15" hidden="false" customHeight="false" outlineLevel="0" collapsed="false">
      <c r="A16" s="6" t="n">
        <v>2</v>
      </c>
      <c r="B16" s="6" t="s">
        <v>230</v>
      </c>
      <c r="C16" s="6" t="s">
        <v>241</v>
      </c>
      <c r="D16" s="6" t="s">
        <v>250</v>
      </c>
      <c r="E16" s="6" t="s">
        <v>237</v>
      </c>
      <c r="F16" s="6" t="s">
        <v>247</v>
      </c>
      <c r="G16" s="6" t="s">
        <v>234</v>
      </c>
      <c r="H16" s="6" t="s">
        <v>244</v>
      </c>
    </row>
    <row r="17" customFormat="false" ht="15" hidden="false" customHeight="false" outlineLevel="0" collapsed="false">
      <c r="A17" s="6" t="n">
        <v>3</v>
      </c>
      <c r="B17" s="6" t="s">
        <v>234</v>
      </c>
      <c r="C17" s="6" t="s">
        <v>244</v>
      </c>
      <c r="D17" s="6" t="s">
        <v>230</v>
      </c>
      <c r="E17" s="6" t="s">
        <v>241</v>
      </c>
      <c r="F17" s="6" t="s">
        <v>250</v>
      </c>
      <c r="G17" s="6" t="s">
        <v>237</v>
      </c>
      <c r="H17" s="6" t="s">
        <v>247</v>
      </c>
    </row>
    <row r="18" customFormat="false" ht="15" hidden="false" customHeight="false" outlineLevel="0" collapsed="false">
      <c r="A18" s="6" t="n">
        <v>4</v>
      </c>
      <c r="B18" s="6" t="s">
        <v>237</v>
      </c>
      <c r="C18" s="6" t="s">
        <v>247</v>
      </c>
      <c r="D18" s="6" t="s">
        <v>234</v>
      </c>
      <c r="E18" s="6" t="s">
        <v>244</v>
      </c>
      <c r="F18" s="6" t="s">
        <v>230</v>
      </c>
      <c r="G18" s="6" t="s">
        <v>241</v>
      </c>
      <c r="H18" s="6" t="s">
        <v>250</v>
      </c>
    </row>
    <row r="19" customFormat="false" ht="15" hidden="false" customHeight="false" outlineLevel="0" collapsed="false">
      <c r="A19" s="6" t="n">
        <v>5</v>
      </c>
      <c r="B19" s="6" t="s">
        <v>241</v>
      </c>
      <c r="C19" s="6" t="s">
        <v>250</v>
      </c>
      <c r="D19" s="6" t="s">
        <v>237</v>
      </c>
      <c r="E19" s="6" t="s">
        <v>247</v>
      </c>
      <c r="F19" s="6" t="s">
        <v>234</v>
      </c>
      <c r="G19" s="6" t="s">
        <v>244</v>
      </c>
      <c r="H19" s="6" t="s">
        <v>230</v>
      </c>
    </row>
    <row r="20" customFormat="false" ht="15" hidden="false" customHeight="false" outlineLevel="0" collapsed="false">
      <c r="A20" s="6" t="n">
        <v>6</v>
      </c>
      <c r="B20" s="6" t="s">
        <v>244</v>
      </c>
      <c r="C20" s="6" t="s">
        <v>230</v>
      </c>
      <c r="D20" s="6" t="s">
        <v>241</v>
      </c>
      <c r="E20" s="6" t="s">
        <v>250</v>
      </c>
      <c r="F20" s="6" t="s">
        <v>237</v>
      </c>
      <c r="G20" s="6" t="s">
        <v>247</v>
      </c>
      <c r="H20" s="6" t="s">
        <v>234</v>
      </c>
    </row>
    <row r="21" customFormat="false" ht="15" hidden="false" customHeight="false" outlineLevel="0" collapsed="false">
      <c r="A21" s="6" t="n">
        <v>7</v>
      </c>
      <c r="B21" s="6" t="s">
        <v>247</v>
      </c>
      <c r="C21" s="6" t="s">
        <v>234</v>
      </c>
      <c r="D21" s="6" t="s">
        <v>244</v>
      </c>
      <c r="E21" s="6" t="s">
        <v>230</v>
      </c>
      <c r="F21" s="6" t="s">
        <v>241</v>
      </c>
      <c r="G21" s="6" t="s">
        <v>250</v>
      </c>
      <c r="H21" s="6" t="s">
        <v>237</v>
      </c>
    </row>
    <row r="22" customFormat="false" ht="15" hidden="false" customHeight="false" outlineLevel="0" collapsed="false">
      <c r="A22" s="6" t="n">
        <v>8</v>
      </c>
      <c r="B22" s="6" t="s">
        <v>250</v>
      </c>
      <c r="C22" s="6" t="s">
        <v>237</v>
      </c>
      <c r="D22" s="6" t="s">
        <v>247</v>
      </c>
      <c r="E22" s="6" t="s">
        <v>234</v>
      </c>
      <c r="F22" s="6" t="s">
        <v>244</v>
      </c>
      <c r="G22" s="6" t="s">
        <v>230</v>
      </c>
      <c r="H22" s="6" t="s">
        <v>241</v>
      </c>
    </row>
    <row r="23" customFormat="false" ht="15" hidden="false" customHeight="false" outlineLevel="0" collapsed="false">
      <c r="A23" s="6" t="n">
        <v>9</v>
      </c>
      <c r="B23" s="6" t="s">
        <v>230</v>
      </c>
      <c r="C23" s="6" t="s">
        <v>241</v>
      </c>
      <c r="D23" s="6" t="s">
        <v>250</v>
      </c>
      <c r="E23" s="6" t="s">
        <v>237</v>
      </c>
      <c r="F23" s="6" t="s">
        <v>247</v>
      </c>
      <c r="G23" s="6" t="s">
        <v>234</v>
      </c>
      <c r="H23" s="6" t="s">
        <v>244</v>
      </c>
    </row>
    <row r="24" customFormat="false" ht="15" hidden="false" customHeight="false" outlineLevel="0" collapsed="false">
      <c r="A24" s="6" t="n">
        <v>10</v>
      </c>
      <c r="B24" s="6" t="s">
        <v>234</v>
      </c>
      <c r="C24" s="6" t="s">
        <v>244</v>
      </c>
      <c r="D24" s="6" t="s">
        <v>230</v>
      </c>
      <c r="E24" s="6" t="s">
        <v>241</v>
      </c>
      <c r="F24" s="6" t="s">
        <v>250</v>
      </c>
      <c r="G24" s="6" t="s">
        <v>237</v>
      </c>
      <c r="H24" s="6" t="s">
        <v>247</v>
      </c>
    </row>
    <row r="25" customFormat="false" ht="15" hidden="false" customHeight="false" outlineLevel="0" collapsed="false">
      <c r="A25" s="6" t="n">
        <v>11</v>
      </c>
      <c r="B25" s="6" t="s">
        <v>237</v>
      </c>
      <c r="C25" s="6" t="s">
        <v>247</v>
      </c>
      <c r="D25" s="6" t="s">
        <v>234</v>
      </c>
      <c r="E25" s="6" t="s">
        <v>244</v>
      </c>
      <c r="F25" s="6" t="s">
        <v>230</v>
      </c>
      <c r="G25" s="6" t="s">
        <v>241</v>
      </c>
      <c r="H25" s="6" t="s">
        <v>250</v>
      </c>
    </row>
    <row r="26" customFormat="false" ht="15" hidden="false" customHeight="false" outlineLevel="0" collapsed="false">
      <c r="A26" s="6" t="n">
        <v>12</v>
      </c>
      <c r="B26" s="6" t="s">
        <v>241</v>
      </c>
      <c r="C26" s="6" t="s">
        <v>250</v>
      </c>
      <c r="D26" s="6" t="s">
        <v>237</v>
      </c>
      <c r="E26" s="6" t="s">
        <v>247</v>
      </c>
      <c r="F26" s="6" t="s">
        <v>234</v>
      </c>
      <c r="G26" s="6" t="s">
        <v>244</v>
      </c>
      <c r="H26" s="6" t="s">
        <v>230</v>
      </c>
    </row>
    <row r="27" customFormat="false" ht="15" hidden="false" customHeight="false" outlineLevel="0" collapsed="false">
      <c r="A27" s="6" t="n">
        <v>13</v>
      </c>
      <c r="B27" s="6" t="s">
        <v>244</v>
      </c>
      <c r="C27" s="6" t="s">
        <v>230</v>
      </c>
      <c r="D27" s="6" t="s">
        <v>241</v>
      </c>
      <c r="E27" s="6" t="s">
        <v>250</v>
      </c>
      <c r="F27" s="6" t="s">
        <v>237</v>
      </c>
      <c r="G27" s="6" t="s">
        <v>247</v>
      </c>
      <c r="H27" s="6" t="s">
        <v>234</v>
      </c>
    </row>
    <row r="28" customFormat="false" ht="15" hidden="false" customHeight="false" outlineLevel="0" collapsed="false">
      <c r="A28" s="6" t="n">
        <v>14</v>
      </c>
      <c r="B28" s="6" t="s">
        <v>247</v>
      </c>
      <c r="C28" s="6" t="s">
        <v>234</v>
      </c>
      <c r="D28" s="6" t="s">
        <v>244</v>
      </c>
      <c r="E28" s="6" t="s">
        <v>230</v>
      </c>
      <c r="F28" s="6" t="s">
        <v>241</v>
      </c>
      <c r="G28" s="6" t="s">
        <v>250</v>
      </c>
      <c r="H28" s="6" t="s">
        <v>237</v>
      </c>
    </row>
    <row r="29" customFormat="false" ht="15" hidden="false" customHeight="false" outlineLevel="0" collapsed="false">
      <c r="A29" s="6" t="n">
        <v>15</v>
      </c>
      <c r="B29" s="6" t="s">
        <v>250</v>
      </c>
      <c r="C29" s="6" t="s">
        <v>237</v>
      </c>
      <c r="D29" s="6" t="s">
        <v>247</v>
      </c>
      <c r="E29" s="6" t="s">
        <v>234</v>
      </c>
      <c r="F29" s="6" t="s">
        <v>244</v>
      </c>
      <c r="G29" s="6" t="s">
        <v>230</v>
      </c>
      <c r="H29" s="6" t="s">
        <v>241</v>
      </c>
    </row>
    <row r="30" customFormat="false" ht="15" hidden="false" customHeight="false" outlineLevel="0" collapsed="false">
      <c r="A30" s="6" t="n">
        <v>16</v>
      </c>
      <c r="B30" s="6" t="s">
        <v>230</v>
      </c>
      <c r="C30" s="6" t="s">
        <v>241</v>
      </c>
      <c r="D30" s="6" t="s">
        <v>250</v>
      </c>
      <c r="E30" s="6" t="s">
        <v>237</v>
      </c>
      <c r="F30" s="6" t="s">
        <v>247</v>
      </c>
      <c r="G30" s="6" t="s">
        <v>234</v>
      </c>
      <c r="H30" s="6" t="s">
        <v>244</v>
      </c>
    </row>
    <row r="31" customFormat="false" ht="15" hidden="false" customHeight="false" outlineLevel="0" collapsed="false">
      <c r="A31" s="6" t="n">
        <v>17</v>
      </c>
      <c r="B31" s="6" t="s">
        <v>234</v>
      </c>
      <c r="C31" s="6" t="s">
        <v>244</v>
      </c>
      <c r="D31" s="6" t="s">
        <v>230</v>
      </c>
      <c r="E31" s="6" t="s">
        <v>241</v>
      </c>
      <c r="F31" s="6" t="s">
        <v>250</v>
      </c>
      <c r="G31" s="6" t="s">
        <v>237</v>
      </c>
      <c r="H31" s="6" t="s">
        <v>247</v>
      </c>
    </row>
    <row r="32" customFormat="false" ht="15" hidden="false" customHeight="false" outlineLevel="0" collapsed="false">
      <c r="A32" s="6" t="n">
        <v>18</v>
      </c>
      <c r="B32" s="6" t="s">
        <v>237</v>
      </c>
      <c r="C32" s="6" t="s">
        <v>247</v>
      </c>
      <c r="D32" s="6" t="s">
        <v>234</v>
      </c>
      <c r="E32" s="6" t="s">
        <v>244</v>
      </c>
      <c r="F32" s="6" t="s">
        <v>230</v>
      </c>
      <c r="G32" s="6" t="s">
        <v>241</v>
      </c>
      <c r="H32" s="6" t="s">
        <v>250</v>
      </c>
    </row>
    <row r="33" customFormat="false" ht="15" hidden="false" customHeight="false" outlineLevel="0" collapsed="false">
      <c r="A33" s="6" t="n">
        <v>19</v>
      </c>
      <c r="B33" s="6" t="s">
        <v>241</v>
      </c>
      <c r="C33" s="6" t="s">
        <v>250</v>
      </c>
      <c r="D33" s="6" t="s">
        <v>237</v>
      </c>
      <c r="E33" s="6" t="s">
        <v>247</v>
      </c>
      <c r="F33" s="6" t="s">
        <v>234</v>
      </c>
      <c r="G33" s="6" t="s">
        <v>244</v>
      </c>
      <c r="H33" s="6" t="s">
        <v>230</v>
      </c>
    </row>
    <row r="34" customFormat="false" ht="15" hidden="false" customHeight="false" outlineLevel="0" collapsed="false">
      <c r="A34" s="6" t="n">
        <v>20</v>
      </c>
      <c r="B34" s="6" t="s">
        <v>244</v>
      </c>
      <c r="C34" s="6" t="s">
        <v>230</v>
      </c>
      <c r="D34" s="6" t="s">
        <v>241</v>
      </c>
      <c r="E34" s="6" t="s">
        <v>250</v>
      </c>
      <c r="F34" s="6" t="s">
        <v>237</v>
      </c>
      <c r="G34" s="6" t="s">
        <v>247</v>
      </c>
      <c r="H34" s="6" t="s">
        <v>234</v>
      </c>
    </row>
    <row r="35" customFormat="false" ht="15" hidden="false" customHeight="false" outlineLevel="0" collapsed="false">
      <c r="A35" s="6" t="n">
        <v>21</v>
      </c>
      <c r="B35" s="6" t="s">
        <v>247</v>
      </c>
      <c r="C35" s="6" t="s">
        <v>234</v>
      </c>
      <c r="D35" s="6" t="s">
        <v>244</v>
      </c>
      <c r="E35" s="6" t="s">
        <v>230</v>
      </c>
      <c r="F35" s="6" t="s">
        <v>241</v>
      </c>
      <c r="G35" s="6" t="s">
        <v>250</v>
      </c>
      <c r="H35" s="6" t="s">
        <v>237</v>
      </c>
    </row>
    <row r="36" customFormat="false" ht="15" hidden="false" customHeight="false" outlineLevel="0" collapsed="false">
      <c r="A36" s="6" t="n">
        <v>22</v>
      </c>
      <c r="B36" s="6" t="s">
        <v>250</v>
      </c>
      <c r="C36" s="6" t="s">
        <v>237</v>
      </c>
      <c r="D36" s="6" t="s">
        <v>247</v>
      </c>
      <c r="E36" s="6" t="s">
        <v>234</v>
      </c>
      <c r="F36" s="6" t="s">
        <v>244</v>
      </c>
      <c r="G36" s="6" t="s">
        <v>230</v>
      </c>
      <c r="H36" s="6" t="s">
        <v>241</v>
      </c>
    </row>
    <row r="37" customFormat="false" ht="15" hidden="false" customHeight="false" outlineLevel="0" collapsed="false">
      <c r="A37" s="6" t="n">
        <v>23</v>
      </c>
      <c r="B37" s="6" t="s">
        <v>230</v>
      </c>
      <c r="C37" s="6" t="s">
        <v>241</v>
      </c>
      <c r="D37" s="6" t="s">
        <v>250</v>
      </c>
      <c r="E37" s="6" t="s">
        <v>237</v>
      </c>
      <c r="F37" s="6" t="s">
        <v>247</v>
      </c>
      <c r="G37" s="6" t="s">
        <v>234</v>
      </c>
      <c r="H37" s="6" t="s">
        <v>244</v>
      </c>
    </row>
    <row r="38" customFormat="false" ht="15" hidden="false" customHeight="false" outlineLevel="0" collapsed="false">
      <c r="A38" s="6" t="n">
        <v>24</v>
      </c>
      <c r="B38" s="6" t="s">
        <v>234</v>
      </c>
      <c r="C38" s="6" t="s">
        <v>244</v>
      </c>
      <c r="D38" s="6" t="s">
        <v>230</v>
      </c>
      <c r="E38" s="6" t="s">
        <v>241</v>
      </c>
      <c r="F38" s="6" t="s">
        <v>250</v>
      </c>
      <c r="G38" s="6" t="s">
        <v>237</v>
      </c>
      <c r="H38" s="6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70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4433</v>
      </c>
    </row>
    <row r="4" customFormat="false" ht="26.85" hidden="false" customHeight="false" outlineLevel="0" collapsed="false">
      <c r="A4" s="5" t="s">
        <v>4339</v>
      </c>
      <c r="B4" s="5" t="s">
        <v>4434</v>
      </c>
      <c r="C4" s="5" t="s">
        <v>4435</v>
      </c>
      <c r="D4" s="5" t="s">
        <v>4436</v>
      </c>
      <c r="E4" s="5" t="s">
        <v>4269</v>
      </c>
      <c r="F4" s="5" t="s">
        <v>4437</v>
      </c>
      <c r="G4" s="5" t="s">
        <v>4269</v>
      </c>
      <c r="H4" s="5" t="s">
        <v>4438</v>
      </c>
      <c r="I4" s="5" t="s">
        <v>4439</v>
      </c>
      <c r="J4" s="5" t="s">
        <v>4440</v>
      </c>
      <c r="K4" s="5" t="s">
        <v>4441</v>
      </c>
    </row>
    <row r="5" customFormat="false" ht="15" hidden="false" customHeight="false" outlineLevel="0" collapsed="false">
      <c r="A5" s="6" t="s">
        <v>250</v>
      </c>
      <c r="B5" s="6" t="n">
        <v>1</v>
      </c>
      <c r="C5" s="6" t="s">
        <v>4442</v>
      </c>
      <c r="D5" s="6" t="s">
        <v>4349</v>
      </c>
      <c r="E5" s="6" t="n">
        <v>0.8</v>
      </c>
      <c r="F5" s="6" t="s">
        <v>4443</v>
      </c>
      <c r="G5" s="6" t="n">
        <v>-0.75</v>
      </c>
      <c r="H5" s="6"/>
      <c r="I5" s="6"/>
      <c r="J5" s="6" t="s">
        <v>4444</v>
      </c>
      <c r="K5" s="6" t="n">
        <v>1</v>
      </c>
    </row>
    <row r="6" customFormat="false" ht="15" hidden="false" customHeight="false" outlineLevel="0" collapsed="false">
      <c r="A6" s="6" t="s">
        <v>237</v>
      </c>
      <c r="B6" s="6" t="n">
        <v>1</v>
      </c>
      <c r="C6" s="6" t="s">
        <v>4442</v>
      </c>
      <c r="D6" s="6" t="s">
        <v>4445</v>
      </c>
      <c r="E6" s="6" t="n">
        <v>0.4</v>
      </c>
      <c r="F6" s="6" t="s">
        <v>4446</v>
      </c>
      <c r="G6" s="6" t="n">
        <v>-0.4</v>
      </c>
      <c r="H6" s="6"/>
      <c r="I6" s="6"/>
      <c r="J6" s="6" t="s">
        <v>4444</v>
      </c>
      <c r="K6" s="6" t="n">
        <v>1</v>
      </c>
    </row>
    <row r="7" customFormat="false" ht="15" hidden="false" customHeight="false" outlineLevel="0" collapsed="false">
      <c r="A7" s="6" t="s">
        <v>247</v>
      </c>
      <c r="B7" s="6" t="n">
        <v>1</v>
      </c>
      <c r="C7" s="6" t="s">
        <v>4442</v>
      </c>
      <c r="D7" s="6" t="s">
        <v>4369</v>
      </c>
      <c r="E7" s="6" t="n">
        <v>1</v>
      </c>
      <c r="F7" s="6" t="s">
        <v>4370</v>
      </c>
      <c r="G7" s="6" t="n">
        <v>-1</v>
      </c>
      <c r="H7" s="6"/>
      <c r="I7" s="6"/>
      <c r="J7" s="6" t="s">
        <v>4447</v>
      </c>
      <c r="K7" s="6" t="n">
        <v>1</v>
      </c>
    </row>
    <row r="8" customFormat="false" ht="15" hidden="false" customHeight="false" outlineLevel="0" collapsed="false">
      <c r="A8" s="6" t="s">
        <v>234</v>
      </c>
      <c r="B8" s="6" t="n">
        <v>1</v>
      </c>
      <c r="C8" s="6" t="s">
        <v>4442</v>
      </c>
      <c r="D8" s="6" t="s">
        <v>4448</v>
      </c>
      <c r="E8" s="6" t="n">
        <v>0.8</v>
      </c>
      <c r="F8" s="6" t="s">
        <v>4372</v>
      </c>
      <c r="G8" s="6" t="n">
        <v>-0.8</v>
      </c>
      <c r="H8" s="6"/>
      <c r="I8" s="6"/>
      <c r="J8" s="6" t="s">
        <v>4449</v>
      </c>
      <c r="K8" s="6" t="n">
        <v>1</v>
      </c>
    </row>
    <row r="9" customFormat="false" ht="15" hidden="false" customHeight="false" outlineLevel="0" collapsed="false">
      <c r="A9" s="6" t="s">
        <v>244</v>
      </c>
      <c r="B9" s="6" t="n">
        <v>1</v>
      </c>
      <c r="C9" s="6" t="s">
        <v>4442</v>
      </c>
      <c r="D9" s="6" t="s">
        <v>4375</v>
      </c>
      <c r="E9" s="6" t="n">
        <v>0.8</v>
      </c>
      <c r="F9" s="6" t="s">
        <v>4335</v>
      </c>
      <c r="G9" s="6" t="n">
        <v>-0.75</v>
      </c>
      <c r="H9" s="6"/>
      <c r="I9" s="6"/>
      <c r="J9" s="6" t="s">
        <v>4450</v>
      </c>
      <c r="K9" s="6" t="n">
        <v>1</v>
      </c>
    </row>
    <row r="10" customFormat="false" ht="15" hidden="false" customHeight="false" outlineLevel="0" collapsed="false">
      <c r="A10" s="6" t="s">
        <v>230</v>
      </c>
      <c r="B10" s="6" t="n">
        <v>1</v>
      </c>
      <c r="C10" s="6" t="s">
        <v>4442</v>
      </c>
      <c r="D10" s="6" t="s">
        <v>4451</v>
      </c>
      <c r="E10" s="6" t="n">
        <v>0.8</v>
      </c>
      <c r="F10" s="6" t="s">
        <v>4383</v>
      </c>
      <c r="G10" s="6" t="n">
        <v>-0.75</v>
      </c>
      <c r="H10" s="6"/>
      <c r="I10" s="6"/>
      <c r="J10" s="6" t="s">
        <v>4452</v>
      </c>
      <c r="K10" s="6" t="n">
        <v>1</v>
      </c>
    </row>
    <row r="11" customFormat="false" ht="15" hidden="false" customHeight="false" outlineLevel="0" collapsed="false">
      <c r="A11" s="6" t="s">
        <v>241</v>
      </c>
      <c r="B11" s="6" t="n">
        <v>1</v>
      </c>
      <c r="C11" s="6" t="s">
        <v>4442</v>
      </c>
      <c r="D11" s="6" t="s">
        <v>4350</v>
      </c>
      <c r="E11" s="6" t="n">
        <v>0.8</v>
      </c>
      <c r="F11" s="6" t="s">
        <v>4375</v>
      </c>
      <c r="G11" s="6" t="n">
        <v>-0.75</v>
      </c>
      <c r="H11" s="6"/>
      <c r="I11" s="6"/>
      <c r="J11" s="6" t="s">
        <v>4453</v>
      </c>
      <c r="K11" s="6" t="n">
        <v>1</v>
      </c>
    </row>
    <row r="12" customFormat="false" ht="15" hidden="false" customHeight="false" outlineLevel="0" collapsed="false">
      <c r="A12" s="6" t="s">
        <v>264</v>
      </c>
      <c r="B12" s="6" t="n">
        <v>1</v>
      </c>
      <c r="C12" s="6" t="s">
        <v>4442</v>
      </c>
      <c r="D12" s="6" t="s">
        <v>4273</v>
      </c>
      <c r="E12" s="6" t="n">
        <v>0.4</v>
      </c>
      <c r="F12" s="6" t="s">
        <v>4369</v>
      </c>
      <c r="G12" s="6" t="n">
        <v>-0.9</v>
      </c>
      <c r="H12" s="6"/>
      <c r="I12" s="6"/>
      <c r="J12" s="6" t="s">
        <v>4454</v>
      </c>
      <c r="K12" s="6" t="n">
        <v>1</v>
      </c>
    </row>
    <row r="13" customFormat="false" ht="15" hidden="false" customHeight="false" outlineLevel="0" collapsed="false">
      <c r="A13" s="6" t="s">
        <v>283</v>
      </c>
      <c r="B13" s="6" t="n">
        <v>1</v>
      </c>
      <c r="C13" s="6" t="s">
        <v>4442</v>
      </c>
      <c r="D13" s="6" t="s">
        <v>4273</v>
      </c>
      <c r="E13" s="6" t="n">
        <v>0</v>
      </c>
      <c r="F13" s="6" t="s">
        <v>4369</v>
      </c>
      <c r="G13" s="6" t="n">
        <v>-1</v>
      </c>
      <c r="H13" s="6"/>
      <c r="I13" s="6"/>
      <c r="J13" s="6" t="s">
        <v>4455</v>
      </c>
      <c r="K13" s="6" t="n">
        <v>1</v>
      </c>
    </row>
    <row r="14" customFormat="false" ht="15" hidden="false" customHeight="false" outlineLevel="0" collapsed="false">
      <c r="A14" s="6" t="s">
        <v>529</v>
      </c>
      <c r="B14" s="6" t="n">
        <v>1</v>
      </c>
      <c r="C14" s="6" t="s">
        <v>4442</v>
      </c>
      <c r="D14" s="6" t="s">
        <v>4273</v>
      </c>
      <c r="E14" s="6" t="n">
        <v>0.8</v>
      </c>
      <c r="F14" s="6" t="s">
        <v>4375</v>
      </c>
      <c r="G14" s="6" t="n">
        <v>-0.75</v>
      </c>
      <c r="H14" s="6"/>
      <c r="I14" s="6"/>
      <c r="J14" s="6" t="s">
        <v>4456</v>
      </c>
      <c r="K14" s="6" t="n">
        <v>1</v>
      </c>
    </row>
    <row r="15" customFormat="false" ht="15" hidden="false" customHeight="false" outlineLevel="0" collapsed="false">
      <c r="A15" s="6" t="s">
        <v>530</v>
      </c>
      <c r="B15" s="6" t="n">
        <v>1</v>
      </c>
      <c r="C15" s="6" t="s">
        <v>4442</v>
      </c>
      <c r="D15" s="6" t="s">
        <v>4457</v>
      </c>
      <c r="E15" s="6" t="n">
        <v>0.8</v>
      </c>
      <c r="F15" s="6"/>
      <c r="G15" s="6"/>
      <c r="H15" s="6"/>
      <c r="I15" s="6"/>
      <c r="J15" s="6" t="s">
        <v>4458</v>
      </c>
      <c r="K15" s="6" t="n">
        <v>1</v>
      </c>
    </row>
    <row r="16" customFormat="false" ht="15" hidden="false" customHeight="false" outlineLevel="0" collapsed="false">
      <c r="A16" s="6" t="s">
        <v>531</v>
      </c>
      <c r="B16" s="6" t="n">
        <v>1</v>
      </c>
      <c r="C16" s="6" t="s">
        <v>4442</v>
      </c>
      <c r="D16" s="6"/>
      <c r="E16" s="6"/>
      <c r="F16" s="6"/>
      <c r="G16" s="6"/>
      <c r="H16" s="6" t="n">
        <v>0.5</v>
      </c>
      <c r="I16" s="6"/>
      <c r="J16" s="6" t="s">
        <v>4459</v>
      </c>
      <c r="K16" s="6" t="n">
        <v>1</v>
      </c>
    </row>
    <row r="17" customFormat="false" ht="15" hidden="false" customHeight="false" outlineLevel="0" collapsed="false">
      <c r="A17" s="6" t="s">
        <v>250</v>
      </c>
      <c r="B17" s="6" t="n">
        <v>2</v>
      </c>
      <c r="C17" s="6" t="s">
        <v>4460</v>
      </c>
      <c r="D17" s="6" t="s">
        <v>4349</v>
      </c>
      <c r="E17" s="6" t="n">
        <v>0.8</v>
      </c>
      <c r="F17" s="6" t="s">
        <v>4373</v>
      </c>
      <c r="G17" s="6" t="n">
        <v>-0.75</v>
      </c>
      <c r="H17" s="6"/>
      <c r="I17" s="6"/>
      <c r="J17" s="6" t="s">
        <v>4461</v>
      </c>
      <c r="K17" s="6" t="n">
        <v>0.6</v>
      </c>
    </row>
    <row r="18" customFormat="false" ht="15" hidden="false" customHeight="false" outlineLevel="0" collapsed="false">
      <c r="A18" s="6" t="s">
        <v>237</v>
      </c>
      <c r="B18" s="6" t="n">
        <v>2</v>
      </c>
      <c r="C18" s="6" t="s">
        <v>4460</v>
      </c>
      <c r="D18" s="6" t="s">
        <v>4445</v>
      </c>
      <c r="E18" s="6" t="n">
        <v>0.4</v>
      </c>
      <c r="F18" s="6" t="s">
        <v>4446</v>
      </c>
      <c r="G18" s="6" t="n">
        <v>-0.5</v>
      </c>
      <c r="H18" s="6"/>
      <c r="I18" s="6"/>
      <c r="J18" s="6" t="s">
        <v>4462</v>
      </c>
      <c r="K18" s="6" t="n">
        <v>0.6</v>
      </c>
    </row>
    <row r="19" customFormat="false" ht="15" hidden="false" customHeight="false" outlineLevel="0" collapsed="false">
      <c r="A19" s="6" t="s">
        <v>247</v>
      </c>
      <c r="B19" s="6" t="n">
        <v>2</v>
      </c>
      <c r="C19" s="6" t="s">
        <v>4460</v>
      </c>
      <c r="D19" s="6" t="s">
        <v>4369</v>
      </c>
      <c r="E19" s="6"/>
      <c r="F19" s="6" t="s">
        <v>234</v>
      </c>
      <c r="G19" s="6" t="n">
        <v>0</v>
      </c>
      <c r="H19" s="6"/>
      <c r="I19" s="6" t="s">
        <v>4463</v>
      </c>
      <c r="J19" s="6" t="s">
        <v>4464</v>
      </c>
      <c r="K19" s="6" t="n">
        <v>0.6</v>
      </c>
    </row>
    <row r="20" customFormat="false" ht="15" hidden="false" customHeight="false" outlineLevel="0" collapsed="false">
      <c r="A20" s="6" t="s">
        <v>234</v>
      </c>
      <c r="B20" s="6" t="n">
        <v>2</v>
      </c>
      <c r="C20" s="6" t="s">
        <v>4460</v>
      </c>
      <c r="D20" s="6" t="s">
        <v>4465</v>
      </c>
      <c r="E20" s="6" t="n">
        <v>1</v>
      </c>
      <c r="F20" s="6" t="s">
        <v>4372</v>
      </c>
      <c r="G20" s="6" t="n">
        <v>-0.8</v>
      </c>
      <c r="H20" s="6"/>
      <c r="I20" s="6"/>
      <c r="J20" s="6" t="s">
        <v>4466</v>
      </c>
      <c r="K20" s="6" t="n">
        <v>0.6</v>
      </c>
    </row>
    <row r="21" customFormat="false" ht="15" hidden="false" customHeight="false" outlineLevel="0" collapsed="false">
      <c r="A21" s="6" t="s">
        <v>244</v>
      </c>
      <c r="B21" s="6" t="n">
        <v>2</v>
      </c>
      <c r="C21" s="6" t="s">
        <v>4460</v>
      </c>
      <c r="D21" s="6" t="s">
        <v>4375</v>
      </c>
      <c r="E21" s="6" t="n">
        <v>0.8</v>
      </c>
      <c r="F21" s="6" t="s">
        <v>264</v>
      </c>
      <c r="G21" s="6" t="n">
        <v>-0.75</v>
      </c>
      <c r="H21" s="6"/>
      <c r="I21" s="6"/>
      <c r="J21" s="6" t="s">
        <v>4467</v>
      </c>
      <c r="K21" s="6" t="n">
        <v>0.6</v>
      </c>
    </row>
    <row r="22" customFormat="false" ht="15" hidden="false" customHeight="false" outlineLevel="0" collapsed="false">
      <c r="A22" s="6" t="s">
        <v>230</v>
      </c>
      <c r="B22" s="6" t="n">
        <v>2</v>
      </c>
      <c r="C22" s="6" t="s">
        <v>4460</v>
      </c>
      <c r="D22" s="6" t="s">
        <v>234</v>
      </c>
      <c r="E22" s="6" t="n">
        <v>0.8</v>
      </c>
      <c r="F22" s="6" t="s">
        <v>4375</v>
      </c>
      <c r="G22" s="6" t="n">
        <v>-0.75</v>
      </c>
      <c r="H22" s="6"/>
      <c r="I22" s="6"/>
      <c r="J22" s="6" t="s">
        <v>4468</v>
      </c>
      <c r="K22" s="6" t="n">
        <v>0.6</v>
      </c>
    </row>
    <row r="23" customFormat="false" ht="15" hidden="false" customHeight="false" outlineLevel="0" collapsed="false">
      <c r="A23" s="6" t="s">
        <v>241</v>
      </c>
      <c r="B23" s="6" t="n">
        <v>2</v>
      </c>
      <c r="C23" s="6" t="s">
        <v>4460</v>
      </c>
      <c r="D23" s="6"/>
      <c r="E23" s="6"/>
      <c r="F23" s="6" t="s">
        <v>4469</v>
      </c>
      <c r="G23" s="6" t="n">
        <v>-0.9</v>
      </c>
      <c r="H23" s="6" t="n">
        <v>-0.6</v>
      </c>
      <c r="I23" s="6"/>
      <c r="J23" s="6" t="s">
        <v>4470</v>
      </c>
      <c r="K23" s="6" t="n">
        <v>0.6</v>
      </c>
    </row>
    <row r="24" customFormat="false" ht="15" hidden="false" customHeight="false" outlineLevel="0" collapsed="false">
      <c r="A24" s="6" t="s">
        <v>264</v>
      </c>
      <c r="B24" s="6" t="n">
        <v>2</v>
      </c>
      <c r="C24" s="6" t="s">
        <v>4460</v>
      </c>
      <c r="D24" s="6" t="s">
        <v>4273</v>
      </c>
      <c r="E24" s="6" t="n">
        <v>0</v>
      </c>
      <c r="F24" s="6" t="s">
        <v>4369</v>
      </c>
      <c r="G24" s="6" t="n">
        <v>-0.4</v>
      </c>
      <c r="H24" s="6"/>
      <c r="I24" s="6"/>
      <c r="J24" s="6" t="s">
        <v>4471</v>
      </c>
      <c r="K24" s="6" t="n">
        <v>0.6</v>
      </c>
    </row>
    <row r="25" customFormat="false" ht="15" hidden="false" customHeight="false" outlineLevel="0" collapsed="false">
      <c r="A25" s="6" t="s">
        <v>283</v>
      </c>
      <c r="B25" s="6" t="n">
        <v>2</v>
      </c>
      <c r="C25" s="6" t="s">
        <v>4460</v>
      </c>
      <c r="D25" s="6" t="s">
        <v>4273</v>
      </c>
      <c r="E25" s="6" t="n">
        <v>-0.8</v>
      </c>
      <c r="F25" s="6" t="s">
        <v>4369</v>
      </c>
      <c r="G25" s="6" t="n">
        <v>-0.1</v>
      </c>
      <c r="H25" s="6"/>
      <c r="I25" s="6"/>
      <c r="J25" s="6" t="s">
        <v>4472</v>
      </c>
      <c r="K25" s="6" t="n">
        <v>0.6</v>
      </c>
    </row>
    <row r="26" customFormat="false" ht="15" hidden="false" customHeight="false" outlineLevel="0" collapsed="false">
      <c r="A26" s="6" t="s">
        <v>529</v>
      </c>
      <c r="B26" s="6" t="n">
        <v>2</v>
      </c>
      <c r="C26" s="6" t="s">
        <v>4460</v>
      </c>
      <c r="D26" s="6"/>
      <c r="E26" s="6"/>
      <c r="F26" s="6" t="s">
        <v>4375</v>
      </c>
      <c r="G26" s="6" t="n">
        <v>-0.9</v>
      </c>
      <c r="H26" s="6" t="n">
        <v>-0.6</v>
      </c>
      <c r="I26" s="6"/>
      <c r="J26" s="6" t="s">
        <v>4470</v>
      </c>
      <c r="K26" s="6" t="n">
        <v>0.6</v>
      </c>
    </row>
    <row r="27" customFormat="false" ht="15" hidden="false" customHeight="false" outlineLevel="0" collapsed="false">
      <c r="A27" s="6" t="s">
        <v>530</v>
      </c>
      <c r="B27" s="6" t="n">
        <v>2</v>
      </c>
      <c r="C27" s="6" t="s">
        <v>4460</v>
      </c>
      <c r="D27" s="6" t="s">
        <v>4457</v>
      </c>
      <c r="E27" s="6" t="n">
        <v>0.8</v>
      </c>
      <c r="F27" s="6"/>
      <c r="G27" s="6"/>
      <c r="H27" s="6"/>
      <c r="I27" s="6"/>
      <c r="J27" s="6" t="s">
        <v>4473</v>
      </c>
      <c r="K27" s="6" t="n">
        <v>0.6</v>
      </c>
    </row>
    <row r="28" customFormat="false" ht="15" hidden="false" customHeight="false" outlineLevel="0" collapsed="false">
      <c r="A28" s="6" t="s">
        <v>531</v>
      </c>
      <c r="B28" s="6" t="n">
        <v>2</v>
      </c>
      <c r="C28" s="6" t="s">
        <v>4460</v>
      </c>
      <c r="D28" s="6"/>
      <c r="E28" s="6"/>
      <c r="F28" s="6"/>
      <c r="G28" s="6"/>
      <c r="H28" s="6" t="n">
        <v>0.6</v>
      </c>
      <c r="I28" s="6"/>
      <c r="J28" s="6" t="s">
        <v>4474</v>
      </c>
      <c r="K28" s="6" t="n">
        <v>0.6</v>
      </c>
    </row>
    <row r="29" customFormat="false" ht="15" hidden="false" customHeight="false" outlineLevel="0" collapsed="false">
      <c r="A29" s="6" t="s">
        <v>250</v>
      </c>
      <c r="B29" s="6" t="n">
        <v>3</v>
      </c>
      <c r="C29" s="6" t="s">
        <v>4475</v>
      </c>
      <c r="D29" s="6" t="s">
        <v>4303</v>
      </c>
      <c r="E29" s="6" t="n">
        <v>0.8</v>
      </c>
      <c r="F29" s="6" t="s">
        <v>4373</v>
      </c>
      <c r="G29" s="6" t="n">
        <v>-0.75</v>
      </c>
      <c r="H29" s="6"/>
      <c r="I29" s="6"/>
      <c r="J29" s="6" t="s">
        <v>4476</v>
      </c>
      <c r="K29" s="6" t="n">
        <v>0.4</v>
      </c>
    </row>
    <row r="30" customFormat="false" ht="15" hidden="false" customHeight="false" outlineLevel="0" collapsed="false">
      <c r="A30" s="6" t="s">
        <v>237</v>
      </c>
      <c r="B30" s="6" t="n">
        <v>3</v>
      </c>
      <c r="C30" s="6" t="s">
        <v>4475</v>
      </c>
      <c r="D30" s="6" t="s">
        <v>4445</v>
      </c>
      <c r="E30" s="6" t="n">
        <v>0.5</v>
      </c>
      <c r="F30" s="6" t="s">
        <v>4446</v>
      </c>
      <c r="G30" s="6" t="n">
        <v>-0.4</v>
      </c>
      <c r="H30" s="6"/>
      <c r="I30" s="6"/>
      <c r="J30" s="6" t="s">
        <v>4476</v>
      </c>
      <c r="K30" s="6" t="n">
        <v>0.4</v>
      </c>
    </row>
    <row r="31" customFormat="false" ht="15" hidden="false" customHeight="false" outlineLevel="0" collapsed="false">
      <c r="A31" s="6" t="s">
        <v>247</v>
      </c>
      <c r="B31" s="6" t="n">
        <v>3</v>
      </c>
      <c r="C31" s="6" t="s">
        <v>4475</v>
      </c>
      <c r="D31" s="6" t="s">
        <v>4369</v>
      </c>
      <c r="E31" s="6"/>
      <c r="F31" s="6" t="s">
        <v>4370</v>
      </c>
      <c r="G31" s="6" t="n">
        <v>-1</v>
      </c>
      <c r="H31" s="6"/>
      <c r="I31" s="6" t="s">
        <v>4477</v>
      </c>
      <c r="J31" s="6" t="s">
        <v>4478</v>
      </c>
      <c r="K31" s="6" t="n">
        <v>0.4</v>
      </c>
    </row>
    <row r="32" customFormat="false" ht="15" hidden="false" customHeight="false" outlineLevel="0" collapsed="false">
      <c r="A32" s="6" t="s">
        <v>234</v>
      </c>
      <c r="B32" s="6" t="n">
        <v>3</v>
      </c>
      <c r="C32" s="6" t="s">
        <v>4475</v>
      </c>
      <c r="D32" s="6" t="s">
        <v>4465</v>
      </c>
      <c r="E32" s="6" t="n">
        <v>0.8</v>
      </c>
      <c r="F32" s="6" t="s">
        <v>4372</v>
      </c>
      <c r="G32" s="6" t="n">
        <v>-0.8</v>
      </c>
      <c r="H32" s="6"/>
      <c r="I32" s="6"/>
      <c r="J32" s="6" t="s">
        <v>4476</v>
      </c>
      <c r="K32" s="6" t="n">
        <v>0.4</v>
      </c>
    </row>
    <row r="33" customFormat="false" ht="15" hidden="false" customHeight="false" outlineLevel="0" collapsed="false">
      <c r="A33" s="6" t="s">
        <v>244</v>
      </c>
      <c r="B33" s="6" t="n">
        <v>3</v>
      </c>
      <c r="C33" s="6" t="s">
        <v>4475</v>
      </c>
      <c r="D33" s="6" t="s">
        <v>4375</v>
      </c>
      <c r="E33" s="6" t="n">
        <v>0.8</v>
      </c>
      <c r="F33" s="6" t="s">
        <v>4479</v>
      </c>
      <c r="G33" s="6" t="n">
        <v>-0.75</v>
      </c>
      <c r="H33" s="6"/>
      <c r="I33" s="6"/>
      <c r="J33" s="6" t="s">
        <v>4476</v>
      </c>
      <c r="K33" s="6" t="n">
        <v>0.4</v>
      </c>
    </row>
    <row r="34" customFormat="false" ht="15" hidden="false" customHeight="false" outlineLevel="0" collapsed="false">
      <c r="A34" s="6" t="s">
        <v>230</v>
      </c>
      <c r="B34" s="6" t="n">
        <v>3</v>
      </c>
      <c r="C34" s="6" t="s">
        <v>4475</v>
      </c>
      <c r="D34" s="6" t="s">
        <v>4451</v>
      </c>
      <c r="E34" s="6" t="n">
        <v>0.8</v>
      </c>
      <c r="F34" s="6" t="s">
        <v>4383</v>
      </c>
      <c r="G34" s="6" t="n">
        <v>-0.75</v>
      </c>
      <c r="H34" s="6"/>
      <c r="I34" s="6"/>
      <c r="J34" s="6" t="s">
        <v>4480</v>
      </c>
      <c r="K34" s="6" t="n">
        <v>0.4</v>
      </c>
    </row>
    <row r="35" customFormat="false" ht="15" hidden="false" customHeight="false" outlineLevel="0" collapsed="false">
      <c r="A35" s="6" t="s">
        <v>241</v>
      </c>
      <c r="B35" s="6" t="n">
        <v>3</v>
      </c>
      <c r="C35" s="6" t="s">
        <v>4475</v>
      </c>
      <c r="D35" s="6"/>
      <c r="E35" s="6"/>
      <c r="F35" s="6" t="s">
        <v>4469</v>
      </c>
      <c r="G35" s="6" t="n">
        <v>-0.9</v>
      </c>
      <c r="H35" s="6" t="n">
        <v>-0.6</v>
      </c>
      <c r="I35" s="6"/>
      <c r="J35" s="6" t="s">
        <v>4476</v>
      </c>
      <c r="K35" s="6" t="n">
        <v>0.4</v>
      </c>
    </row>
    <row r="36" customFormat="false" ht="15" hidden="false" customHeight="false" outlineLevel="0" collapsed="false">
      <c r="A36" s="6" t="s">
        <v>264</v>
      </c>
      <c r="B36" s="6" t="n">
        <v>3</v>
      </c>
      <c r="C36" s="6" t="s">
        <v>4475</v>
      </c>
      <c r="D36" s="6" t="s">
        <v>4273</v>
      </c>
      <c r="E36" s="6" t="n">
        <v>0.4</v>
      </c>
      <c r="F36" s="6" t="s">
        <v>4369</v>
      </c>
      <c r="G36" s="6" t="n">
        <v>-0.9</v>
      </c>
      <c r="H36" s="6"/>
      <c r="I36" s="6"/>
      <c r="J36" s="6" t="s">
        <v>4476</v>
      </c>
      <c r="K36" s="6" t="n">
        <v>0.4</v>
      </c>
    </row>
    <row r="37" customFormat="false" ht="15" hidden="false" customHeight="false" outlineLevel="0" collapsed="false">
      <c r="A37" s="6" t="s">
        <v>283</v>
      </c>
      <c r="B37" s="6" t="n">
        <v>3</v>
      </c>
      <c r="C37" s="6" t="s">
        <v>4475</v>
      </c>
      <c r="D37" s="6" t="s">
        <v>4273</v>
      </c>
      <c r="E37" s="6" t="n">
        <v>0</v>
      </c>
      <c r="F37" s="6" t="s">
        <v>4369</v>
      </c>
      <c r="G37" s="6" t="n">
        <v>-1</v>
      </c>
      <c r="H37" s="6"/>
      <c r="I37" s="6"/>
      <c r="J37" s="6" t="s">
        <v>4476</v>
      </c>
      <c r="K37" s="6" t="n">
        <v>0.4</v>
      </c>
    </row>
    <row r="38" customFormat="false" ht="15" hidden="false" customHeight="false" outlineLevel="0" collapsed="false">
      <c r="A38" s="6" t="s">
        <v>529</v>
      </c>
      <c r="B38" s="6" t="n">
        <v>3</v>
      </c>
      <c r="C38" s="6" t="s">
        <v>4475</v>
      </c>
      <c r="D38" s="6"/>
      <c r="E38" s="6"/>
      <c r="F38" s="6" t="s">
        <v>4375</v>
      </c>
      <c r="G38" s="6" t="n">
        <v>-0.5</v>
      </c>
      <c r="H38" s="6" t="n">
        <v>0.5</v>
      </c>
      <c r="I38" s="6"/>
      <c r="J38" s="6" t="s">
        <v>4476</v>
      </c>
      <c r="K38" s="6" t="n">
        <v>0.4</v>
      </c>
    </row>
    <row r="39" customFormat="false" ht="15" hidden="false" customHeight="false" outlineLevel="0" collapsed="false">
      <c r="A39" s="6" t="s">
        <v>530</v>
      </c>
      <c r="B39" s="6" t="n">
        <v>3</v>
      </c>
      <c r="C39" s="6" t="s">
        <v>4475</v>
      </c>
      <c r="D39" s="6" t="s">
        <v>4457</v>
      </c>
      <c r="E39" s="6" t="n">
        <v>0.8</v>
      </c>
      <c r="F39" s="6"/>
      <c r="G39" s="6"/>
      <c r="H39" s="6"/>
      <c r="I39" s="6"/>
      <c r="J39" s="6" t="s">
        <v>4476</v>
      </c>
      <c r="K39" s="6" t="n">
        <v>0.4</v>
      </c>
    </row>
    <row r="40" customFormat="false" ht="15" hidden="false" customHeight="false" outlineLevel="0" collapsed="false">
      <c r="A40" s="6" t="s">
        <v>531</v>
      </c>
      <c r="B40" s="6" t="n">
        <v>3</v>
      </c>
      <c r="C40" s="6" t="s">
        <v>4475</v>
      </c>
      <c r="D40" s="6"/>
      <c r="E40" s="6"/>
      <c r="F40" s="6"/>
      <c r="G40" s="6"/>
      <c r="H40" s="6" t="n">
        <v>0.4</v>
      </c>
      <c r="I40" s="6"/>
      <c r="J40" s="6" t="s">
        <v>4476</v>
      </c>
      <c r="K40" s="6" t="n">
        <v>0.4</v>
      </c>
    </row>
    <row r="41" customFormat="false" ht="15" hidden="false" customHeight="false" outlineLevel="0" collapsed="false">
      <c r="A41" s="6" t="s">
        <v>250</v>
      </c>
      <c r="B41" s="6" t="n">
        <v>4</v>
      </c>
      <c r="C41" s="6" t="s">
        <v>4481</v>
      </c>
      <c r="D41" s="6" t="s">
        <v>4349</v>
      </c>
      <c r="E41" s="6" t="n">
        <v>1</v>
      </c>
      <c r="F41" s="6" t="s">
        <v>4373</v>
      </c>
      <c r="G41" s="6" t="n">
        <v>0</v>
      </c>
      <c r="H41" s="6"/>
      <c r="I41" s="6"/>
      <c r="J41" s="6" t="s">
        <v>4482</v>
      </c>
      <c r="K41" s="6" t="n">
        <v>1</v>
      </c>
    </row>
    <row r="42" customFormat="false" ht="15" hidden="false" customHeight="false" outlineLevel="0" collapsed="false">
      <c r="A42" s="6" t="s">
        <v>237</v>
      </c>
      <c r="B42" s="6" t="n">
        <v>4</v>
      </c>
      <c r="C42" s="6" t="s">
        <v>4481</v>
      </c>
      <c r="D42" s="6" t="s">
        <v>4483</v>
      </c>
      <c r="E42" s="6" t="n">
        <v>0.8</v>
      </c>
      <c r="F42" s="6" t="s">
        <v>4446</v>
      </c>
      <c r="G42" s="6" t="n">
        <v>-0.75</v>
      </c>
      <c r="H42" s="6"/>
      <c r="I42" s="6"/>
      <c r="J42" s="6" t="s">
        <v>4482</v>
      </c>
      <c r="K42" s="6" t="n">
        <v>1</v>
      </c>
    </row>
    <row r="43" customFormat="false" ht="15" hidden="false" customHeight="false" outlineLevel="0" collapsed="false">
      <c r="A43" s="6" t="s">
        <v>247</v>
      </c>
      <c r="B43" s="6" t="n">
        <v>4</v>
      </c>
      <c r="C43" s="6" t="s">
        <v>4481</v>
      </c>
      <c r="D43" s="6" t="s">
        <v>4369</v>
      </c>
      <c r="E43" s="6" t="n">
        <v>-0.9</v>
      </c>
      <c r="F43" s="6" t="s">
        <v>4446</v>
      </c>
      <c r="G43" s="6" t="n">
        <v>-0.1</v>
      </c>
      <c r="H43" s="6"/>
      <c r="I43" s="6"/>
      <c r="J43" s="6" t="s">
        <v>4482</v>
      </c>
      <c r="K43" s="6" t="n">
        <v>1</v>
      </c>
    </row>
    <row r="44" customFormat="false" ht="15" hidden="false" customHeight="false" outlineLevel="0" collapsed="false">
      <c r="A44" s="6" t="s">
        <v>234</v>
      </c>
      <c r="B44" s="6" t="n">
        <v>4</v>
      </c>
      <c r="C44" s="6" t="s">
        <v>4481</v>
      </c>
      <c r="D44" s="6" t="s">
        <v>4424</v>
      </c>
      <c r="E44" s="6" t="n">
        <v>0.8</v>
      </c>
      <c r="F44" s="6" t="s">
        <v>4372</v>
      </c>
      <c r="G44" s="6" t="n">
        <v>-0.6</v>
      </c>
      <c r="H44" s="6"/>
      <c r="I44" s="6"/>
      <c r="J44" s="6" t="s">
        <v>4482</v>
      </c>
      <c r="K44" s="6" t="n">
        <v>1</v>
      </c>
    </row>
    <row r="45" customFormat="false" ht="15" hidden="false" customHeight="false" outlineLevel="0" collapsed="false">
      <c r="A45" s="6" t="s">
        <v>244</v>
      </c>
      <c r="B45" s="6" t="n">
        <v>4</v>
      </c>
      <c r="C45" s="6" t="s">
        <v>4481</v>
      </c>
      <c r="D45" s="6" t="s">
        <v>4375</v>
      </c>
      <c r="E45" s="6" t="n">
        <v>0.8</v>
      </c>
      <c r="F45" s="6" t="s">
        <v>4484</v>
      </c>
      <c r="G45" s="6" t="n">
        <v>-0.75</v>
      </c>
      <c r="H45" s="6"/>
      <c r="I45" s="6"/>
      <c r="J45" s="6" t="s">
        <v>4482</v>
      </c>
      <c r="K45" s="6" t="n">
        <v>1</v>
      </c>
    </row>
    <row r="46" customFormat="false" ht="15" hidden="false" customHeight="false" outlineLevel="0" collapsed="false">
      <c r="A46" s="6" t="s">
        <v>230</v>
      </c>
      <c r="B46" s="6" t="n">
        <v>4</v>
      </c>
      <c r="C46" s="6" t="s">
        <v>4481</v>
      </c>
      <c r="D46" s="6" t="s">
        <v>4381</v>
      </c>
      <c r="E46" s="6" t="n">
        <v>1</v>
      </c>
      <c r="F46" s="6" t="s">
        <v>4375</v>
      </c>
      <c r="G46" s="6" t="n">
        <v>-0.75</v>
      </c>
      <c r="H46" s="6"/>
      <c r="I46" s="6"/>
      <c r="J46" s="6" t="s">
        <v>4482</v>
      </c>
      <c r="K46" s="6" t="n">
        <v>1</v>
      </c>
    </row>
    <row r="47" customFormat="false" ht="15" hidden="false" customHeight="false" outlineLevel="0" collapsed="false">
      <c r="A47" s="6" t="s">
        <v>241</v>
      </c>
      <c r="B47" s="6" t="n">
        <v>4</v>
      </c>
      <c r="C47" s="6" t="s">
        <v>4481</v>
      </c>
      <c r="D47" s="6"/>
      <c r="E47" s="6"/>
      <c r="F47" s="6"/>
      <c r="G47" s="6"/>
      <c r="H47" s="6" t="n">
        <v>-0.6</v>
      </c>
      <c r="I47" s="6"/>
      <c r="J47" s="6" t="s">
        <v>4482</v>
      </c>
      <c r="K47" s="6" t="n">
        <v>1</v>
      </c>
    </row>
    <row r="48" customFormat="false" ht="15" hidden="false" customHeight="false" outlineLevel="0" collapsed="false">
      <c r="A48" s="6" t="s">
        <v>264</v>
      </c>
      <c r="B48" s="6" t="n">
        <v>4</v>
      </c>
      <c r="C48" s="6" t="s">
        <v>4481</v>
      </c>
      <c r="D48" s="6" t="s">
        <v>4273</v>
      </c>
      <c r="E48" s="6" t="n">
        <v>0.8</v>
      </c>
      <c r="F48" s="6" t="s">
        <v>4369</v>
      </c>
      <c r="G48" s="6" t="n">
        <v>0</v>
      </c>
      <c r="H48" s="6"/>
      <c r="I48" s="6"/>
      <c r="J48" s="6" t="s">
        <v>4482</v>
      </c>
      <c r="K48" s="6" t="n">
        <v>1</v>
      </c>
    </row>
    <row r="49" customFormat="false" ht="15" hidden="false" customHeight="false" outlineLevel="0" collapsed="false">
      <c r="A49" s="6" t="s">
        <v>283</v>
      </c>
      <c r="B49" s="6" t="n">
        <v>4</v>
      </c>
      <c r="C49" s="6" t="s">
        <v>4481</v>
      </c>
      <c r="D49" s="6" t="s">
        <v>4273</v>
      </c>
      <c r="E49" s="6" t="n">
        <v>0.8</v>
      </c>
      <c r="F49" s="6" t="s">
        <v>4369</v>
      </c>
      <c r="G49" s="6" t="n">
        <v>0</v>
      </c>
      <c r="H49" s="6"/>
      <c r="I49" s="6"/>
      <c r="J49" s="6" t="s">
        <v>4482</v>
      </c>
      <c r="K49" s="6" t="n">
        <v>1</v>
      </c>
    </row>
    <row r="50" customFormat="false" ht="15" hidden="false" customHeight="false" outlineLevel="0" collapsed="false">
      <c r="A50" s="6" t="s">
        <v>529</v>
      </c>
      <c r="B50" s="6" t="n">
        <v>4</v>
      </c>
      <c r="C50" s="6" t="s">
        <v>4481</v>
      </c>
      <c r="D50" s="6"/>
      <c r="E50" s="6"/>
      <c r="F50" s="6"/>
      <c r="G50" s="6"/>
      <c r="H50" s="6" t="n">
        <v>-0.75</v>
      </c>
      <c r="I50" s="6"/>
      <c r="J50" s="6" t="s">
        <v>4482</v>
      </c>
      <c r="K50" s="6" t="n">
        <v>1</v>
      </c>
    </row>
    <row r="51" customFormat="false" ht="15" hidden="false" customHeight="false" outlineLevel="0" collapsed="false">
      <c r="A51" s="6" t="s">
        <v>530</v>
      </c>
      <c r="B51" s="6" t="n">
        <v>4</v>
      </c>
      <c r="C51" s="6" t="s">
        <v>4481</v>
      </c>
      <c r="D51" s="6" t="s">
        <v>4457</v>
      </c>
      <c r="E51" s="6" t="n">
        <v>0.8</v>
      </c>
      <c r="F51" s="6"/>
      <c r="G51" s="6"/>
      <c r="H51" s="6"/>
      <c r="I51" s="6"/>
      <c r="J51" s="6" t="s">
        <v>4482</v>
      </c>
      <c r="K51" s="6" t="n">
        <v>1</v>
      </c>
    </row>
    <row r="52" customFormat="false" ht="15" hidden="false" customHeight="false" outlineLevel="0" collapsed="false">
      <c r="A52" s="6" t="s">
        <v>531</v>
      </c>
      <c r="B52" s="6" t="n">
        <v>4</v>
      </c>
      <c r="C52" s="6" t="s">
        <v>4481</v>
      </c>
      <c r="D52" s="6"/>
      <c r="E52" s="6"/>
      <c r="F52" s="6"/>
      <c r="G52" s="6"/>
      <c r="H52" s="6" t="n">
        <v>0.6</v>
      </c>
      <c r="I52" s="6"/>
      <c r="J52" s="6" t="s">
        <v>4482</v>
      </c>
      <c r="K52" s="6" t="n">
        <v>1</v>
      </c>
    </row>
    <row r="53" customFormat="false" ht="15" hidden="false" customHeight="false" outlineLevel="0" collapsed="false">
      <c r="A53" s="6" t="s">
        <v>250</v>
      </c>
      <c r="B53" s="6" t="n">
        <v>5</v>
      </c>
      <c r="C53" s="6" t="s">
        <v>4485</v>
      </c>
      <c r="D53" s="6" t="s">
        <v>4349</v>
      </c>
      <c r="E53" s="6"/>
      <c r="F53" s="6" t="s">
        <v>4373</v>
      </c>
      <c r="G53" s="6" t="n">
        <v>-0.75</v>
      </c>
      <c r="H53" s="6"/>
      <c r="I53" s="6" t="s">
        <v>4486</v>
      </c>
      <c r="J53" s="6" t="s">
        <v>4487</v>
      </c>
      <c r="K53" s="6" t="n">
        <v>0.9</v>
      </c>
    </row>
    <row r="54" customFormat="false" ht="15" hidden="false" customHeight="false" outlineLevel="0" collapsed="false">
      <c r="A54" s="6" t="s">
        <v>237</v>
      </c>
      <c r="B54" s="6" t="n">
        <v>5</v>
      </c>
      <c r="C54" s="6" t="s">
        <v>4485</v>
      </c>
      <c r="D54" s="6" t="s">
        <v>4488</v>
      </c>
      <c r="E54" s="6" t="n">
        <v>0.5</v>
      </c>
      <c r="F54" s="6" t="s">
        <v>4446</v>
      </c>
      <c r="G54" s="6" t="n">
        <v>-0.75</v>
      </c>
      <c r="H54" s="6"/>
      <c r="I54" s="6"/>
      <c r="J54" s="6" t="s">
        <v>4487</v>
      </c>
      <c r="K54" s="6" t="n">
        <v>0.9</v>
      </c>
    </row>
    <row r="55" customFormat="false" ht="15" hidden="false" customHeight="false" outlineLevel="0" collapsed="false">
      <c r="A55" s="6" t="s">
        <v>247</v>
      </c>
      <c r="B55" s="6" t="n">
        <v>5</v>
      </c>
      <c r="C55" s="6" t="s">
        <v>4485</v>
      </c>
      <c r="D55" s="6" t="s">
        <v>4369</v>
      </c>
      <c r="E55" s="6" t="n">
        <v>-0.75</v>
      </c>
      <c r="F55" s="6" t="s">
        <v>4489</v>
      </c>
      <c r="G55" s="6" t="n">
        <v>-0.3</v>
      </c>
      <c r="H55" s="6"/>
      <c r="I55" s="6"/>
      <c r="J55" s="6" t="s">
        <v>4487</v>
      </c>
      <c r="K55" s="6" t="n">
        <v>0.9</v>
      </c>
    </row>
    <row r="56" customFormat="false" ht="15" hidden="false" customHeight="false" outlineLevel="0" collapsed="false">
      <c r="A56" s="6" t="s">
        <v>234</v>
      </c>
      <c r="B56" s="6" t="n">
        <v>5</v>
      </c>
      <c r="C56" s="6" t="s">
        <v>4485</v>
      </c>
      <c r="D56" s="6" t="s">
        <v>4424</v>
      </c>
      <c r="E56" s="6" t="n">
        <v>0.8</v>
      </c>
      <c r="F56" s="6" t="s">
        <v>4372</v>
      </c>
      <c r="G56" s="6" t="n">
        <v>-0.75</v>
      </c>
      <c r="H56" s="6"/>
      <c r="I56" s="6"/>
      <c r="J56" s="6" t="s">
        <v>4487</v>
      </c>
      <c r="K56" s="6" t="n">
        <v>0.9</v>
      </c>
    </row>
    <row r="57" customFormat="false" ht="15" hidden="false" customHeight="false" outlineLevel="0" collapsed="false">
      <c r="A57" s="6" t="s">
        <v>244</v>
      </c>
      <c r="B57" s="6" t="n">
        <v>5</v>
      </c>
      <c r="C57" s="6" t="s">
        <v>4485</v>
      </c>
      <c r="D57" s="6" t="s">
        <v>4383</v>
      </c>
      <c r="E57" s="6" t="n">
        <v>1</v>
      </c>
      <c r="F57" s="6" t="s">
        <v>4484</v>
      </c>
      <c r="G57" s="6" t="n">
        <v>-0.75</v>
      </c>
      <c r="H57" s="6"/>
      <c r="I57" s="6"/>
      <c r="J57" s="6" t="s">
        <v>4487</v>
      </c>
      <c r="K57" s="6" t="n">
        <v>0.9</v>
      </c>
    </row>
    <row r="58" customFormat="false" ht="15" hidden="false" customHeight="false" outlineLevel="0" collapsed="false">
      <c r="A58" s="6" t="s">
        <v>230</v>
      </c>
      <c r="B58" s="6" t="n">
        <v>5</v>
      </c>
      <c r="C58" s="6" t="s">
        <v>4485</v>
      </c>
      <c r="D58" s="6" t="s">
        <v>234</v>
      </c>
      <c r="E58" s="6" t="n">
        <v>0.8</v>
      </c>
      <c r="F58" s="6" t="s">
        <v>4375</v>
      </c>
      <c r="G58" s="6" t="n">
        <v>-0.75</v>
      </c>
      <c r="H58" s="6"/>
      <c r="I58" s="6"/>
      <c r="J58" s="6" t="s">
        <v>4487</v>
      </c>
      <c r="K58" s="6" t="n">
        <v>0.9</v>
      </c>
    </row>
    <row r="59" customFormat="false" ht="15" hidden="false" customHeight="false" outlineLevel="0" collapsed="false">
      <c r="A59" s="6" t="s">
        <v>241</v>
      </c>
      <c r="B59" s="6" t="n">
        <v>5</v>
      </c>
      <c r="C59" s="6" t="s">
        <v>4485</v>
      </c>
      <c r="D59" s="6"/>
      <c r="E59" s="6"/>
      <c r="F59" s="6" t="s">
        <v>4375</v>
      </c>
      <c r="G59" s="6" t="n">
        <v>-1</v>
      </c>
      <c r="H59" s="6" t="n">
        <v>-0.75</v>
      </c>
      <c r="I59" s="6"/>
      <c r="J59" s="6" t="s">
        <v>4487</v>
      </c>
      <c r="K59" s="6" t="n">
        <v>0.9</v>
      </c>
    </row>
    <row r="60" customFormat="false" ht="15" hidden="false" customHeight="false" outlineLevel="0" collapsed="false">
      <c r="A60" s="6" t="s">
        <v>264</v>
      </c>
      <c r="B60" s="6" t="n">
        <v>5</v>
      </c>
      <c r="C60" s="6" t="s">
        <v>4485</v>
      </c>
      <c r="D60" s="6" t="s">
        <v>4273</v>
      </c>
      <c r="E60" s="6" t="n">
        <v>0</v>
      </c>
      <c r="F60" s="6" t="s">
        <v>4369</v>
      </c>
      <c r="G60" s="6" t="n">
        <v>-0.4</v>
      </c>
      <c r="H60" s="6"/>
      <c r="I60" s="6"/>
      <c r="J60" s="6" t="s">
        <v>4487</v>
      </c>
      <c r="K60" s="6" t="n">
        <v>0.9</v>
      </c>
    </row>
    <row r="61" customFormat="false" ht="15" hidden="false" customHeight="false" outlineLevel="0" collapsed="false">
      <c r="A61" s="6" t="s">
        <v>283</v>
      </c>
      <c r="B61" s="6" t="n">
        <v>5</v>
      </c>
      <c r="C61" s="6" t="s">
        <v>4485</v>
      </c>
      <c r="D61" s="6" t="s">
        <v>4273</v>
      </c>
      <c r="E61" s="6" t="n">
        <v>-0.3</v>
      </c>
      <c r="F61" s="6" t="s">
        <v>4369</v>
      </c>
      <c r="G61" s="6" t="n">
        <v>-0.3</v>
      </c>
      <c r="H61" s="6"/>
      <c r="I61" s="6"/>
      <c r="J61" s="6" t="s">
        <v>4487</v>
      </c>
      <c r="K61" s="6" t="n">
        <v>0.9</v>
      </c>
    </row>
    <row r="62" customFormat="false" ht="15" hidden="false" customHeight="false" outlineLevel="0" collapsed="false">
      <c r="A62" s="6" t="s">
        <v>529</v>
      </c>
      <c r="B62" s="6" t="n">
        <v>5</v>
      </c>
      <c r="C62" s="6" t="s">
        <v>4485</v>
      </c>
      <c r="D62" s="6"/>
      <c r="E62" s="6"/>
      <c r="F62" s="6" t="s">
        <v>4375</v>
      </c>
      <c r="G62" s="6" t="n">
        <v>-1</v>
      </c>
      <c r="H62" s="6" t="n">
        <v>-1</v>
      </c>
      <c r="I62" s="6"/>
      <c r="J62" s="6" t="s">
        <v>4487</v>
      </c>
      <c r="K62" s="6" t="n">
        <v>0.9</v>
      </c>
    </row>
    <row r="63" customFormat="false" ht="15" hidden="false" customHeight="false" outlineLevel="0" collapsed="false">
      <c r="A63" s="6" t="s">
        <v>530</v>
      </c>
      <c r="B63" s="6" t="n">
        <v>5</v>
      </c>
      <c r="C63" s="6" t="s">
        <v>4485</v>
      </c>
      <c r="D63" s="6" t="s">
        <v>4457</v>
      </c>
      <c r="E63" s="6" t="n">
        <v>0.5</v>
      </c>
      <c r="F63" s="6"/>
      <c r="G63" s="6"/>
      <c r="H63" s="6"/>
      <c r="I63" s="6"/>
      <c r="J63" s="6" t="s">
        <v>4487</v>
      </c>
      <c r="K63" s="6" t="n">
        <v>0.9</v>
      </c>
    </row>
    <row r="64" customFormat="false" ht="15" hidden="false" customHeight="false" outlineLevel="0" collapsed="false">
      <c r="A64" s="6" t="s">
        <v>531</v>
      </c>
      <c r="B64" s="6" t="n">
        <v>5</v>
      </c>
      <c r="C64" s="6" t="s">
        <v>4485</v>
      </c>
      <c r="D64" s="6"/>
      <c r="E64" s="6"/>
      <c r="F64" s="6"/>
      <c r="G64" s="6"/>
      <c r="H64" s="6" t="n">
        <v>0.5</v>
      </c>
      <c r="I64" s="6"/>
      <c r="J64" s="6" t="s">
        <v>4487</v>
      </c>
      <c r="K64" s="6" t="n">
        <v>0.9</v>
      </c>
    </row>
    <row r="65" customFormat="false" ht="15" hidden="false" customHeight="false" outlineLevel="0" collapsed="false">
      <c r="A65" s="6" t="s">
        <v>250</v>
      </c>
      <c r="B65" s="6" t="n">
        <v>6</v>
      </c>
      <c r="C65" s="6" t="s">
        <v>4490</v>
      </c>
      <c r="D65" s="6" t="s">
        <v>4349</v>
      </c>
      <c r="E65" s="6" t="n">
        <v>0.8</v>
      </c>
      <c r="F65" s="6" t="s">
        <v>4443</v>
      </c>
      <c r="G65" s="6" t="n">
        <v>-0.75</v>
      </c>
      <c r="H65" s="6"/>
      <c r="I65" s="6"/>
      <c r="J65" s="6" t="s">
        <v>4491</v>
      </c>
      <c r="K65" s="6" t="n">
        <v>0.4</v>
      </c>
    </row>
    <row r="66" customFormat="false" ht="15" hidden="false" customHeight="false" outlineLevel="0" collapsed="false">
      <c r="A66" s="6" t="s">
        <v>237</v>
      </c>
      <c r="B66" s="6" t="n">
        <v>6</v>
      </c>
      <c r="C66" s="6" t="s">
        <v>4490</v>
      </c>
      <c r="D66" s="6" t="s">
        <v>4488</v>
      </c>
      <c r="E66" s="6" t="n">
        <v>0.4</v>
      </c>
      <c r="F66" s="6" t="s">
        <v>4446</v>
      </c>
      <c r="G66" s="6" t="n">
        <v>-0.75</v>
      </c>
      <c r="H66" s="6"/>
      <c r="I66" s="6"/>
      <c r="J66" s="6" t="s">
        <v>4491</v>
      </c>
      <c r="K66" s="6" t="n">
        <v>0.4</v>
      </c>
    </row>
    <row r="67" customFormat="false" ht="15" hidden="false" customHeight="false" outlineLevel="0" collapsed="false">
      <c r="A67" s="6" t="s">
        <v>247</v>
      </c>
      <c r="B67" s="6" t="n">
        <v>6</v>
      </c>
      <c r="C67" s="6" t="s">
        <v>4490</v>
      </c>
      <c r="D67" s="6" t="s">
        <v>4369</v>
      </c>
      <c r="E67" s="6" t="n">
        <v>1</v>
      </c>
      <c r="F67" s="6" t="s">
        <v>4381</v>
      </c>
      <c r="G67" s="6" t="n">
        <v>-0.75</v>
      </c>
      <c r="H67" s="6"/>
      <c r="I67" s="6"/>
      <c r="J67" s="6" t="s">
        <v>4491</v>
      </c>
      <c r="K67" s="6" t="n">
        <v>0.4</v>
      </c>
    </row>
    <row r="68" customFormat="false" ht="15" hidden="false" customHeight="false" outlineLevel="0" collapsed="false">
      <c r="A68" s="6" t="s">
        <v>234</v>
      </c>
      <c r="B68" s="6" t="n">
        <v>6</v>
      </c>
      <c r="C68" s="6" t="s">
        <v>4490</v>
      </c>
      <c r="D68" s="6" t="s">
        <v>4424</v>
      </c>
      <c r="E68" s="6" t="n">
        <v>0.8</v>
      </c>
      <c r="F68" s="6" t="s">
        <v>237</v>
      </c>
      <c r="G68" s="6" t="n">
        <v>0</v>
      </c>
      <c r="H68" s="6"/>
      <c r="I68" s="6"/>
      <c r="J68" s="6" t="s">
        <v>4491</v>
      </c>
      <c r="K68" s="6" t="n">
        <v>0.4</v>
      </c>
    </row>
    <row r="69" customFormat="false" ht="15" hidden="false" customHeight="false" outlineLevel="0" collapsed="false">
      <c r="A69" s="6" t="s">
        <v>244</v>
      </c>
      <c r="B69" s="6" t="n">
        <v>6</v>
      </c>
      <c r="C69" s="6" t="s">
        <v>4490</v>
      </c>
      <c r="D69" s="6" t="s">
        <v>4375</v>
      </c>
      <c r="E69" s="6" t="n">
        <v>0.8</v>
      </c>
      <c r="F69" s="6" t="s">
        <v>4350</v>
      </c>
      <c r="G69" s="6" t="n">
        <v>-0.75</v>
      </c>
      <c r="H69" s="6"/>
      <c r="I69" s="6"/>
      <c r="J69" s="6" t="s">
        <v>4491</v>
      </c>
      <c r="K69" s="6" t="n">
        <v>0.4</v>
      </c>
    </row>
    <row r="70" customFormat="false" ht="15" hidden="false" customHeight="false" outlineLevel="0" collapsed="false">
      <c r="A70" s="6" t="s">
        <v>230</v>
      </c>
      <c r="B70" s="6" t="n">
        <v>6</v>
      </c>
      <c r="C70" s="6" t="s">
        <v>4490</v>
      </c>
      <c r="D70" s="6" t="s">
        <v>4353</v>
      </c>
      <c r="E70" s="6" t="n">
        <v>0.8</v>
      </c>
      <c r="F70" s="6" t="s">
        <v>4383</v>
      </c>
      <c r="G70" s="6" t="n">
        <v>-0.4</v>
      </c>
      <c r="H70" s="6"/>
      <c r="I70" s="6"/>
      <c r="J70" s="6" t="s">
        <v>4491</v>
      </c>
      <c r="K70" s="6" t="n">
        <v>0.4</v>
      </c>
    </row>
    <row r="71" customFormat="false" ht="15" hidden="false" customHeight="false" outlineLevel="0" collapsed="false">
      <c r="A71" s="6" t="s">
        <v>241</v>
      </c>
      <c r="B71" s="6" t="n">
        <v>6</v>
      </c>
      <c r="C71" s="6" t="s">
        <v>4490</v>
      </c>
      <c r="D71" s="6"/>
      <c r="E71" s="6"/>
      <c r="F71" s="6"/>
      <c r="G71" s="6"/>
      <c r="H71" s="6" t="n">
        <v>-0.75</v>
      </c>
      <c r="I71" s="6"/>
      <c r="J71" s="6" t="s">
        <v>4491</v>
      </c>
      <c r="K71" s="6" t="n">
        <v>0.4</v>
      </c>
    </row>
    <row r="72" customFormat="false" ht="15" hidden="false" customHeight="false" outlineLevel="0" collapsed="false">
      <c r="A72" s="6" t="s">
        <v>264</v>
      </c>
      <c r="B72" s="6" t="n">
        <v>6</v>
      </c>
      <c r="C72" s="6" t="s">
        <v>4490</v>
      </c>
      <c r="D72" s="6" t="s">
        <v>4273</v>
      </c>
      <c r="E72" s="6" t="n">
        <v>0.4</v>
      </c>
      <c r="F72" s="6" t="s">
        <v>4369</v>
      </c>
      <c r="G72" s="6" t="n">
        <v>-0.4</v>
      </c>
      <c r="H72" s="6"/>
      <c r="I72" s="6"/>
      <c r="J72" s="6" t="s">
        <v>4491</v>
      </c>
      <c r="K72" s="6" t="n">
        <v>0.4</v>
      </c>
    </row>
    <row r="73" customFormat="false" ht="15" hidden="false" customHeight="false" outlineLevel="0" collapsed="false">
      <c r="A73" s="6" t="s">
        <v>283</v>
      </c>
      <c r="B73" s="6" t="n">
        <v>6</v>
      </c>
      <c r="C73" s="6" t="s">
        <v>4490</v>
      </c>
      <c r="D73" s="6" t="s">
        <v>4273</v>
      </c>
      <c r="E73" s="6" t="n">
        <v>0.8</v>
      </c>
      <c r="F73" s="6" t="s">
        <v>4369</v>
      </c>
      <c r="G73" s="6" t="n">
        <v>-0.75</v>
      </c>
      <c r="H73" s="6"/>
      <c r="I73" s="6"/>
      <c r="J73" s="6" t="s">
        <v>4491</v>
      </c>
      <c r="K73" s="6" t="n">
        <v>0.4</v>
      </c>
    </row>
    <row r="74" customFormat="false" ht="15" hidden="false" customHeight="false" outlineLevel="0" collapsed="false">
      <c r="A74" s="6" t="s">
        <v>529</v>
      </c>
      <c r="B74" s="6" t="n">
        <v>6</v>
      </c>
      <c r="C74" s="6" t="s">
        <v>4490</v>
      </c>
      <c r="D74" s="6"/>
      <c r="E74" s="6"/>
      <c r="F74" s="6"/>
      <c r="G74" s="6"/>
      <c r="H74" s="6" t="n">
        <v>-0.75</v>
      </c>
      <c r="I74" s="6"/>
      <c r="J74" s="6" t="s">
        <v>4491</v>
      </c>
      <c r="K74" s="6" t="n">
        <v>0.4</v>
      </c>
    </row>
    <row r="75" customFormat="false" ht="15" hidden="false" customHeight="false" outlineLevel="0" collapsed="false">
      <c r="A75" s="6" t="s">
        <v>530</v>
      </c>
      <c r="B75" s="6" t="n">
        <v>6</v>
      </c>
      <c r="C75" s="6" t="s">
        <v>4490</v>
      </c>
      <c r="D75" s="6" t="s">
        <v>4457</v>
      </c>
      <c r="E75" s="6" t="n">
        <v>0.5</v>
      </c>
      <c r="F75" s="6"/>
      <c r="G75" s="6"/>
      <c r="H75" s="6"/>
      <c r="I75" s="6"/>
      <c r="J75" s="6" t="s">
        <v>4491</v>
      </c>
      <c r="K75" s="6" t="n">
        <v>0.4</v>
      </c>
    </row>
    <row r="76" customFormat="false" ht="15" hidden="false" customHeight="false" outlineLevel="0" collapsed="false">
      <c r="A76" s="6" t="s">
        <v>531</v>
      </c>
      <c r="B76" s="6" t="n">
        <v>6</v>
      </c>
      <c r="C76" s="6" t="s">
        <v>4490</v>
      </c>
      <c r="D76" s="6"/>
      <c r="E76" s="6"/>
      <c r="F76" s="6"/>
      <c r="G76" s="6"/>
      <c r="H76" s="6" t="n">
        <v>0.5</v>
      </c>
      <c r="I76" s="6"/>
      <c r="J76" s="6" t="s">
        <v>4491</v>
      </c>
      <c r="K76" s="6" t="n">
        <v>0.4</v>
      </c>
    </row>
    <row r="77" customFormat="false" ht="15" hidden="false" customHeight="false" outlineLevel="0" collapsed="false">
      <c r="A77" s="6" t="s">
        <v>250</v>
      </c>
      <c r="B77" s="6" t="n">
        <v>7</v>
      </c>
      <c r="C77" s="6" t="s">
        <v>4492</v>
      </c>
      <c r="D77" s="6" t="s">
        <v>4303</v>
      </c>
      <c r="E77" s="6" t="n">
        <v>0.8</v>
      </c>
      <c r="F77" s="6" t="s">
        <v>4373</v>
      </c>
      <c r="G77" s="6" t="n">
        <v>-0.75</v>
      </c>
      <c r="H77" s="6"/>
      <c r="I77" s="6"/>
      <c r="J77" s="6" t="s">
        <v>29</v>
      </c>
      <c r="K77" s="6" t="n">
        <v>1</v>
      </c>
    </row>
    <row r="78" customFormat="false" ht="15" hidden="false" customHeight="false" outlineLevel="0" collapsed="false">
      <c r="A78" s="6" t="s">
        <v>237</v>
      </c>
      <c r="B78" s="6" t="n">
        <v>7</v>
      </c>
      <c r="C78" s="6" t="s">
        <v>4492</v>
      </c>
      <c r="D78" s="6" t="s">
        <v>4488</v>
      </c>
      <c r="E78" s="6" t="n">
        <v>0.4</v>
      </c>
      <c r="F78" s="6" t="s">
        <v>4446</v>
      </c>
      <c r="G78" s="6" t="n">
        <v>-0.75</v>
      </c>
      <c r="H78" s="6"/>
      <c r="I78" s="6"/>
      <c r="J78" s="6" t="s">
        <v>29</v>
      </c>
      <c r="K78" s="6" t="n">
        <v>1</v>
      </c>
    </row>
    <row r="79" customFormat="false" ht="15" hidden="false" customHeight="false" outlineLevel="0" collapsed="false">
      <c r="A79" s="6" t="s">
        <v>247</v>
      </c>
      <c r="B79" s="6" t="n">
        <v>7</v>
      </c>
      <c r="C79" s="6" t="s">
        <v>4492</v>
      </c>
      <c r="D79" s="6" t="s">
        <v>4369</v>
      </c>
      <c r="E79" s="6" t="n">
        <v>-0.75</v>
      </c>
      <c r="F79" s="6" t="s">
        <v>4489</v>
      </c>
      <c r="G79" s="6" t="n">
        <v>-0.3</v>
      </c>
      <c r="H79" s="6"/>
      <c r="I79" s="6"/>
      <c r="J79" s="6" t="s">
        <v>29</v>
      </c>
      <c r="K79" s="6" t="n">
        <v>1</v>
      </c>
    </row>
    <row r="80" customFormat="false" ht="15" hidden="false" customHeight="false" outlineLevel="0" collapsed="false">
      <c r="A80" s="6" t="s">
        <v>234</v>
      </c>
      <c r="B80" s="6" t="n">
        <v>7</v>
      </c>
      <c r="C80" s="6" t="s">
        <v>4492</v>
      </c>
      <c r="D80" s="6" t="s">
        <v>4424</v>
      </c>
      <c r="E80" s="6" t="n">
        <v>0.8</v>
      </c>
      <c r="F80" s="6" t="s">
        <v>4372</v>
      </c>
      <c r="G80" s="6" t="n">
        <v>-0.75</v>
      </c>
      <c r="H80" s="6"/>
      <c r="I80" s="6"/>
      <c r="J80" s="6" t="s">
        <v>29</v>
      </c>
      <c r="K80" s="6" t="n">
        <v>1</v>
      </c>
    </row>
    <row r="81" customFormat="false" ht="15" hidden="false" customHeight="false" outlineLevel="0" collapsed="false">
      <c r="A81" s="6" t="s">
        <v>244</v>
      </c>
      <c r="B81" s="6" t="n">
        <v>7</v>
      </c>
      <c r="C81" s="6" t="s">
        <v>4492</v>
      </c>
      <c r="D81" s="6" t="s">
        <v>4375</v>
      </c>
      <c r="E81" s="6" t="n">
        <v>1</v>
      </c>
      <c r="F81" s="6" t="s">
        <v>4350</v>
      </c>
      <c r="G81" s="6" t="n">
        <v>-0.75</v>
      </c>
      <c r="H81" s="6"/>
      <c r="I81" s="6"/>
      <c r="J81" s="6" t="s">
        <v>29</v>
      </c>
      <c r="K81" s="6" t="n">
        <v>1</v>
      </c>
    </row>
    <row r="82" customFormat="false" ht="15" hidden="false" customHeight="false" outlineLevel="0" collapsed="false">
      <c r="A82" s="6" t="s">
        <v>230</v>
      </c>
      <c r="B82" s="6" t="n">
        <v>7</v>
      </c>
      <c r="C82" s="6" t="s">
        <v>4492</v>
      </c>
      <c r="D82" s="6" t="s">
        <v>234</v>
      </c>
      <c r="E82" s="6" t="n">
        <v>0.8</v>
      </c>
      <c r="F82" s="6" t="s">
        <v>4375</v>
      </c>
      <c r="G82" s="6" t="n">
        <v>-0.75</v>
      </c>
      <c r="H82" s="6"/>
      <c r="I82" s="6"/>
      <c r="J82" s="6" t="s">
        <v>29</v>
      </c>
      <c r="K82" s="6" t="n">
        <v>1</v>
      </c>
    </row>
    <row r="83" customFormat="false" ht="15" hidden="false" customHeight="false" outlineLevel="0" collapsed="false">
      <c r="A83" s="6" t="s">
        <v>241</v>
      </c>
      <c r="B83" s="6" t="n">
        <v>7</v>
      </c>
      <c r="C83" s="6" t="s">
        <v>4492</v>
      </c>
      <c r="D83" s="6"/>
      <c r="E83" s="6"/>
      <c r="F83" s="6"/>
      <c r="G83" s="6"/>
      <c r="H83" s="6" t="n">
        <v>-0.75</v>
      </c>
      <c r="I83" s="6"/>
      <c r="J83" s="6" t="s">
        <v>29</v>
      </c>
      <c r="K83" s="6" t="n">
        <v>1</v>
      </c>
    </row>
    <row r="84" customFormat="false" ht="15" hidden="false" customHeight="false" outlineLevel="0" collapsed="false">
      <c r="A84" s="6" t="s">
        <v>264</v>
      </c>
      <c r="B84" s="6" t="n">
        <v>7</v>
      </c>
      <c r="C84" s="6" t="s">
        <v>4492</v>
      </c>
      <c r="D84" s="6" t="s">
        <v>4273</v>
      </c>
      <c r="E84" s="6" t="n">
        <v>0</v>
      </c>
      <c r="F84" s="6" t="s">
        <v>4369</v>
      </c>
      <c r="G84" s="6" t="n">
        <v>-0.3</v>
      </c>
      <c r="H84" s="6"/>
      <c r="I84" s="6"/>
      <c r="J84" s="6" t="s">
        <v>29</v>
      </c>
      <c r="K84" s="6" t="n">
        <v>1</v>
      </c>
    </row>
    <row r="85" customFormat="false" ht="15" hidden="false" customHeight="false" outlineLevel="0" collapsed="false">
      <c r="A85" s="6" t="s">
        <v>283</v>
      </c>
      <c r="B85" s="6" t="n">
        <v>7</v>
      </c>
      <c r="C85" s="6" t="s">
        <v>4492</v>
      </c>
      <c r="D85" s="6" t="s">
        <v>4273</v>
      </c>
      <c r="E85" s="6" t="n">
        <v>-0.75</v>
      </c>
      <c r="F85" s="6" t="s">
        <v>4369</v>
      </c>
      <c r="G85" s="6" t="n">
        <v>0</v>
      </c>
      <c r="H85" s="6"/>
      <c r="I85" s="6"/>
      <c r="J85" s="6" t="s">
        <v>29</v>
      </c>
      <c r="K85" s="6" t="n">
        <v>1</v>
      </c>
    </row>
    <row r="86" customFormat="false" ht="15" hidden="false" customHeight="false" outlineLevel="0" collapsed="false">
      <c r="A86" s="6" t="s">
        <v>529</v>
      </c>
      <c r="B86" s="6" t="n">
        <v>7</v>
      </c>
      <c r="C86" s="6" t="s">
        <v>4492</v>
      </c>
      <c r="D86" s="6"/>
      <c r="E86" s="6"/>
      <c r="F86" s="6"/>
      <c r="G86" s="6"/>
      <c r="H86" s="6" t="n">
        <v>-0.75</v>
      </c>
      <c r="I86" s="6"/>
      <c r="J86" s="6" t="s">
        <v>29</v>
      </c>
      <c r="K86" s="6" t="n">
        <v>1</v>
      </c>
    </row>
    <row r="87" customFormat="false" ht="15" hidden="false" customHeight="false" outlineLevel="0" collapsed="false">
      <c r="A87" s="6" t="s">
        <v>530</v>
      </c>
      <c r="B87" s="6" t="n">
        <v>7</v>
      </c>
      <c r="C87" s="6" t="s">
        <v>4492</v>
      </c>
      <c r="D87" s="6" t="s">
        <v>4457</v>
      </c>
      <c r="E87" s="6" t="n">
        <v>1</v>
      </c>
      <c r="F87" s="6"/>
      <c r="G87" s="6"/>
      <c r="H87" s="6"/>
      <c r="I87" s="6"/>
      <c r="J87" s="6" t="s">
        <v>29</v>
      </c>
      <c r="K87" s="6" t="n">
        <v>1</v>
      </c>
    </row>
    <row r="88" customFormat="false" ht="15" hidden="false" customHeight="false" outlineLevel="0" collapsed="false">
      <c r="A88" s="6" t="s">
        <v>531</v>
      </c>
      <c r="B88" s="6" t="n">
        <v>7</v>
      </c>
      <c r="C88" s="6" t="s">
        <v>4492</v>
      </c>
      <c r="D88" s="6"/>
      <c r="E88" s="6"/>
      <c r="F88" s="6"/>
      <c r="G88" s="6"/>
      <c r="H88" s="6" t="n">
        <v>0.6</v>
      </c>
      <c r="I88" s="6"/>
      <c r="J88" s="6" t="s">
        <v>29</v>
      </c>
      <c r="K88" s="6" t="n">
        <v>1</v>
      </c>
    </row>
    <row r="89" customFormat="false" ht="15" hidden="false" customHeight="false" outlineLevel="0" collapsed="false">
      <c r="A89" s="6" t="s">
        <v>250</v>
      </c>
      <c r="B89" s="6" t="n">
        <v>8</v>
      </c>
      <c r="C89" s="6" t="s">
        <v>4493</v>
      </c>
      <c r="D89" s="6" t="s">
        <v>4349</v>
      </c>
      <c r="E89" s="6" t="n">
        <v>1</v>
      </c>
      <c r="F89" s="6" t="s">
        <v>4443</v>
      </c>
      <c r="G89" s="6" t="n">
        <v>-0.75</v>
      </c>
      <c r="H89" s="6"/>
      <c r="I89" s="6"/>
      <c r="J89" s="6" t="s">
        <v>4494</v>
      </c>
      <c r="K89" s="6" t="n">
        <v>0.4</v>
      </c>
    </row>
    <row r="90" customFormat="false" ht="15" hidden="false" customHeight="false" outlineLevel="0" collapsed="false">
      <c r="A90" s="6" t="s">
        <v>237</v>
      </c>
      <c r="B90" s="6" t="n">
        <v>8</v>
      </c>
      <c r="C90" s="6" t="s">
        <v>4493</v>
      </c>
      <c r="D90" s="6" t="s">
        <v>4488</v>
      </c>
      <c r="E90" s="6" t="n">
        <v>0.4</v>
      </c>
      <c r="F90" s="6" t="s">
        <v>4446</v>
      </c>
      <c r="G90" s="6" t="n">
        <v>-0.75</v>
      </c>
      <c r="H90" s="6"/>
      <c r="I90" s="6"/>
      <c r="J90" s="6" t="s">
        <v>4494</v>
      </c>
      <c r="K90" s="6" t="n">
        <v>0.4</v>
      </c>
    </row>
    <row r="91" customFormat="false" ht="15" hidden="false" customHeight="false" outlineLevel="0" collapsed="false">
      <c r="A91" s="6" t="s">
        <v>247</v>
      </c>
      <c r="B91" s="6" t="n">
        <v>8</v>
      </c>
      <c r="C91" s="6" t="s">
        <v>4493</v>
      </c>
      <c r="D91" s="6" t="s">
        <v>4369</v>
      </c>
      <c r="E91" s="6" t="n">
        <v>1</v>
      </c>
      <c r="F91" s="6" t="s">
        <v>4381</v>
      </c>
      <c r="G91" s="6" t="n">
        <v>-0.75</v>
      </c>
      <c r="H91" s="6"/>
      <c r="I91" s="6"/>
      <c r="J91" s="6" t="s">
        <v>4494</v>
      </c>
      <c r="K91" s="6" t="n">
        <v>0.4</v>
      </c>
    </row>
    <row r="92" customFormat="false" ht="15" hidden="false" customHeight="false" outlineLevel="0" collapsed="false">
      <c r="A92" s="6" t="s">
        <v>234</v>
      </c>
      <c r="B92" s="6" t="n">
        <v>8</v>
      </c>
      <c r="C92" s="6" t="s">
        <v>4493</v>
      </c>
      <c r="D92" s="6" t="s">
        <v>4424</v>
      </c>
      <c r="E92" s="6" t="n">
        <v>0.8</v>
      </c>
      <c r="F92" s="6" t="s">
        <v>237</v>
      </c>
      <c r="G92" s="6" t="n">
        <v>0</v>
      </c>
      <c r="H92" s="6"/>
      <c r="I92" s="6"/>
      <c r="J92" s="6" t="s">
        <v>4494</v>
      </c>
      <c r="K92" s="6" t="n">
        <v>0.4</v>
      </c>
    </row>
    <row r="93" customFormat="false" ht="15" hidden="false" customHeight="false" outlineLevel="0" collapsed="false">
      <c r="A93" s="6" t="s">
        <v>244</v>
      </c>
      <c r="B93" s="6" t="n">
        <v>8</v>
      </c>
      <c r="C93" s="6" t="s">
        <v>4493</v>
      </c>
      <c r="D93" s="6" t="s">
        <v>4375</v>
      </c>
      <c r="E93" s="6" t="n">
        <v>0.8</v>
      </c>
      <c r="F93" s="6" t="s">
        <v>4350</v>
      </c>
      <c r="G93" s="6" t="n">
        <v>-0.75</v>
      </c>
      <c r="H93" s="6"/>
      <c r="I93" s="6"/>
      <c r="J93" s="6" t="s">
        <v>4494</v>
      </c>
      <c r="K93" s="6" t="n">
        <v>0.4</v>
      </c>
    </row>
    <row r="94" customFormat="false" ht="15" hidden="false" customHeight="false" outlineLevel="0" collapsed="false">
      <c r="A94" s="6" t="s">
        <v>230</v>
      </c>
      <c r="B94" s="6" t="n">
        <v>8</v>
      </c>
      <c r="C94" s="6" t="s">
        <v>4493</v>
      </c>
      <c r="D94" s="6" t="s">
        <v>4353</v>
      </c>
      <c r="E94" s="6" t="n">
        <v>0.8</v>
      </c>
      <c r="F94" s="6" t="s">
        <v>4383</v>
      </c>
      <c r="G94" s="6" t="n">
        <v>-0.4</v>
      </c>
      <c r="H94" s="6"/>
      <c r="I94" s="6"/>
      <c r="J94" s="6" t="s">
        <v>4494</v>
      </c>
      <c r="K94" s="6" t="n">
        <v>0.4</v>
      </c>
    </row>
    <row r="95" customFormat="false" ht="15" hidden="false" customHeight="false" outlineLevel="0" collapsed="false">
      <c r="A95" s="6" t="s">
        <v>241</v>
      </c>
      <c r="B95" s="6" t="n">
        <v>8</v>
      </c>
      <c r="C95" s="6" t="s">
        <v>4493</v>
      </c>
      <c r="D95" s="6"/>
      <c r="E95" s="6"/>
      <c r="F95" s="6"/>
      <c r="G95" s="6"/>
      <c r="H95" s="6" t="n">
        <v>-0.75</v>
      </c>
      <c r="I95" s="6"/>
      <c r="J95" s="6" t="s">
        <v>4494</v>
      </c>
      <c r="K95" s="6" t="n">
        <v>0.4</v>
      </c>
    </row>
    <row r="96" customFormat="false" ht="15" hidden="false" customHeight="false" outlineLevel="0" collapsed="false">
      <c r="A96" s="6" t="s">
        <v>264</v>
      </c>
      <c r="B96" s="6" t="n">
        <v>8</v>
      </c>
      <c r="C96" s="6" t="s">
        <v>4493</v>
      </c>
      <c r="D96" s="6" t="s">
        <v>4273</v>
      </c>
      <c r="E96" s="6" t="n">
        <v>0.4</v>
      </c>
      <c r="F96" s="6" t="s">
        <v>4369</v>
      </c>
      <c r="G96" s="6" t="n">
        <v>-0.6</v>
      </c>
      <c r="H96" s="6"/>
      <c r="I96" s="6"/>
      <c r="J96" s="6" t="s">
        <v>4494</v>
      </c>
      <c r="K96" s="6" t="n">
        <v>0.4</v>
      </c>
    </row>
    <row r="97" customFormat="false" ht="15" hidden="false" customHeight="false" outlineLevel="0" collapsed="false">
      <c r="A97" s="6" t="s">
        <v>283</v>
      </c>
      <c r="B97" s="6" t="n">
        <v>8</v>
      </c>
      <c r="C97" s="6" t="s">
        <v>4493</v>
      </c>
      <c r="D97" s="6" t="s">
        <v>4273</v>
      </c>
      <c r="E97" s="6" t="n">
        <v>0.8</v>
      </c>
      <c r="F97" s="6" t="s">
        <v>4369</v>
      </c>
      <c r="G97" s="6" t="n">
        <v>-0.75</v>
      </c>
      <c r="H97" s="6"/>
      <c r="I97" s="6"/>
      <c r="J97" s="6" t="s">
        <v>4494</v>
      </c>
      <c r="K97" s="6" t="n">
        <v>0.4</v>
      </c>
    </row>
    <row r="98" customFormat="false" ht="15" hidden="false" customHeight="false" outlineLevel="0" collapsed="false">
      <c r="A98" s="6" t="s">
        <v>529</v>
      </c>
      <c r="B98" s="6" t="n">
        <v>8</v>
      </c>
      <c r="C98" s="6" t="s">
        <v>4493</v>
      </c>
      <c r="D98" s="6"/>
      <c r="E98" s="6"/>
      <c r="F98" s="6"/>
      <c r="G98" s="6"/>
      <c r="H98" s="6" t="n">
        <v>-0.75</v>
      </c>
      <c r="I98" s="6"/>
      <c r="J98" s="6" t="s">
        <v>4494</v>
      </c>
      <c r="K98" s="6" t="n">
        <v>0.4</v>
      </c>
    </row>
    <row r="99" customFormat="false" ht="15" hidden="false" customHeight="false" outlineLevel="0" collapsed="false">
      <c r="A99" s="6" t="s">
        <v>530</v>
      </c>
      <c r="B99" s="6" t="n">
        <v>8</v>
      </c>
      <c r="C99" s="6" t="s">
        <v>4493</v>
      </c>
      <c r="D99" s="6" t="s">
        <v>4457</v>
      </c>
      <c r="E99" s="6" t="n">
        <v>0.5</v>
      </c>
      <c r="F99" s="6"/>
      <c r="G99" s="6"/>
      <c r="H99" s="6"/>
      <c r="I99" s="6"/>
      <c r="J99" s="6" t="s">
        <v>4494</v>
      </c>
      <c r="K99" s="6" t="n">
        <v>0.4</v>
      </c>
    </row>
    <row r="100" customFormat="false" ht="15" hidden="false" customHeight="false" outlineLevel="0" collapsed="false">
      <c r="A100" s="6" t="s">
        <v>531</v>
      </c>
      <c r="B100" s="6" t="n">
        <v>8</v>
      </c>
      <c r="C100" s="6" t="s">
        <v>4493</v>
      </c>
      <c r="D100" s="6"/>
      <c r="E100" s="6"/>
      <c r="F100" s="6"/>
      <c r="G100" s="6"/>
      <c r="H100" s="6" t="n">
        <v>0.5</v>
      </c>
      <c r="I100" s="6"/>
      <c r="J100" s="6" t="s">
        <v>4494</v>
      </c>
      <c r="K100" s="6" t="n">
        <v>0.4</v>
      </c>
    </row>
    <row r="101" customFormat="false" ht="15" hidden="false" customHeight="false" outlineLevel="0" collapsed="false">
      <c r="A101" s="6" t="s">
        <v>250</v>
      </c>
      <c r="B101" s="6" t="n">
        <v>9</v>
      </c>
      <c r="C101" s="6" t="s">
        <v>4495</v>
      </c>
      <c r="D101" s="6" t="s">
        <v>4349</v>
      </c>
      <c r="E101" s="6" t="n">
        <v>0.8</v>
      </c>
      <c r="F101" s="6" t="s">
        <v>4363</v>
      </c>
      <c r="G101" s="6" t="n">
        <v>-0.75</v>
      </c>
      <c r="H101" s="6"/>
      <c r="I101" s="6"/>
      <c r="J101" s="6" t="s">
        <v>4496</v>
      </c>
      <c r="K101" s="6" t="n">
        <v>0.9</v>
      </c>
    </row>
    <row r="102" customFormat="false" ht="15" hidden="false" customHeight="false" outlineLevel="0" collapsed="false">
      <c r="A102" s="6" t="s">
        <v>237</v>
      </c>
      <c r="B102" s="6" t="n">
        <v>9</v>
      </c>
      <c r="C102" s="6" t="s">
        <v>4495</v>
      </c>
      <c r="D102" s="6" t="s">
        <v>4488</v>
      </c>
      <c r="E102" s="6" t="n">
        <v>0.4</v>
      </c>
      <c r="F102" s="6" t="s">
        <v>4446</v>
      </c>
      <c r="G102" s="6" t="n">
        <v>-0.75</v>
      </c>
      <c r="H102" s="6"/>
      <c r="I102" s="6"/>
      <c r="J102" s="6" t="s">
        <v>4496</v>
      </c>
      <c r="K102" s="6" t="n">
        <v>0.9</v>
      </c>
    </row>
    <row r="103" customFormat="false" ht="15" hidden="false" customHeight="false" outlineLevel="0" collapsed="false">
      <c r="A103" s="6" t="s">
        <v>247</v>
      </c>
      <c r="B103" s="6" t="n">
        <v>9</v>
      </c>
      <c r="C103" s="6" t="s">
        <v>4495</v>
      </c>
      <c r="D103" s="6" t="s">
        <v>4369</v>
      </c>
      <c r="E103" s="6" t="n">
        <v>-0.75</v>
      </c>
      <c r="F103" s="6" t="s">
        <v>4489</v>
      </c>
      <c r="G103" s="6" t="n">
        <v>-0.3</v>
      </c>
      <c r="H103" s="6"/>
      <c r="I103" s="6"/>
      <c r="J103" s="6" t="s">
        <v>4496</v>
      </c>
      <c r="K103" s="6" t="n">
        <v>0.9</v>
      </c>
    </row>
    <row r="104" customFormat="false" ht="15" hidden="false" customHeight="false" outlineLevel="0" collapsed="false">
      <c r="A104" s="6" t="s">
        <v>234</v>
      </c>
      <c r="B104" s="6" t="n">
        <v>9</v>
      </c>
      <c r="C104" s="6" t="s">
        <v>4495</v>
      </c>
      <c r="D104" s="6" t="s">
        <v>4424</v>
      </c>
      <c r="E104" s="6" t="n">
        <v>0.8</v>
      </c>
      <c r="F104" s="6" t="s">
        <v>4372</v>
      </c>
      <c r="G104" s="6" t="n">
        <v>-0.75</v>
      </c>
      <c r="H104" s="6"/>
      <c r="I104" s="6"/>
      <c r="J104" s="6" t="s">
        <v>4496</v>
      </c>
      <c r="K104" s="6" t="n">
        <v>0.9</v>
      </c>
    </row>
    <row r="105" customFormat="false" ht="15" hidden="false" customHeight="false" outlineLevel="0" collapsed="false">
      <c r="A105" s="6" t="s">
        <v>244</v>
      </c>
      <c r="B105" s="6" t="n">
        <v>9</v>
      </c>
      <c r="C105" s="6" t="s">
        <v>4495</v>
      </c>
      <c r="D105" s="6" t="s">
        <v>4375</v>
      </c>
      <c r="E105" s="6" t="n">
        <v>1</v>
      </c>
      <c r="F105" s="6" t="s">
        <v>4350</v>
      </c>
      <c r="G105" s="6" t="n">
        <v>-0.75</v>
      </c>
      <c r="H105" s="6"/>
      <c r="I105" s="6"/>
      <c r="J105" s="6" t="s">
        <v>4496</v>
      </c>
      <c r="K105" s="6" t="n">
        <v>0.9</v>
      </c>
    </row>
    <row r="106" customFormat="false" ht="15" hidden="false" customHeight="false" outlineLevel="0" collapsed="false">
      <c r="A106" s="6" t="s">
        <v>230</v>
      </c>
      <c r="B106" s="6" t="n">
        <v>9</v>
      </c>
      <c r="C106" s="6" t="s">
        <v>4495</v>
      </c>
      <c r="D106" s="6" t="s">
        <v>234</v>
      </c>
      <c r="E106" s="6" t="n">
        <v>0.8</v>
      </c>
      <c r="F106" s="6" t="s">
        <v>4375</v>
      </c>
      <c r="G106" s="6" t="n">
        <v>-0.75</v>
      </c>
      <c r="H106" s="6"/>
      <c r="I106" s="6"/>
      <c r="J106" s="6" t="s">
        <v>4496</v>
      </c>
      <c r="K106" s="6" t="n">
        <v>0.9</v>
      </c>
    </row>
    <row r="107" customFormat="false" ht="15" hidden="false" customHeight="false" outlineLevel="0" collapsed="false">
      <c r="A107" s="6" t="s">
        <v>241</v>
      </c>
      <c r="B107" s="6" t="n">
        <v>9</v>
      </c>
      <c r="C107" s="6" t="s">
        <v>4495</v>
      </c>
      <c r="D107" s="6"/>
      <c r="E107" s="6"/>
      <c r="F107" s="6"/>
      <c r="G107" s="6"/>
      <c r="H107" s="6" t="n">
        <v>-0.75</v>
      </c>
      <c r="I107" s="6"/>
      <c r="J107" s="6" t="s">
        <v>4496</v>
      </c>
      <c r="K107" s="6" t="n">
        <v>0.9</v>
      </c>
    </row>
    <row r="108" customFormat="false" ht="15" hidden="false" customHeight="false" outlineLevel="0" collapsed="false">
      <c r="A108" s="6" t="s">
        <v>264</v>
      </c>
      <c r="B108" s="6" t="n">
        <v>9</v>
      </c>
      <c r="C108" s="6" t="s">
        <v>4495</v>
      </c>
      <c r="D108" s="6" t="s">
        <v>4273</v>
      </c>
      <c r="E108" s="6" t="n">
        <v>0</v>
      </c>
      <c r="F108" s="6" t="s">
        <v>4369</v>
      </c>
      <c r="G108" s="6" t="n">
        <v>-0.3</v>
      </c>
      <c r="H108" s="6"/>
      <c r="I108" s="6"/>
      <c r="J108" s="6" t="s">
        <v>4496</v>
      </c>
      <c r="K108" s="6" t="n">
        <v>0.9</v>
      </c>
    </row>
    <row r="109" customFormat="false" ht="15" hidden="false" customHeight="false" outlineLevel="0" collapsed="false">
      <c r="A109" s="6" t="s">
        <v>283</v>
      </c>
      <c r="B109" s="6" t="n">
        <v>9</v>
      </c>
      <c r="C109" s="6" t="s">
        <v>4495</v>
      </c>
      <c r="D109" s="6" t="s">
        <v>4273</v>
      </c>
      <c r="E109" s="6" t="n">
        <v>-0.75</v>
      </c>
      <c r="F109" s="6" t="s">
        <v>4369</v>
      </c>
      <c r="G109" s="6" t="n">
        <v>0</v>
      </c>
      <c r="H109" s="6"/>
      <c r="I109" s="6"/>
      <c r="J109" s="6" t="s">
        <v>4496</v>
      </c>
      <c r="K109" s="6" t="n">
        <v>0.9</v>
      </c>
    </row>
    <row r="110" customFormat="false" ht="15" hidden="false" customHeight="false" outlineLevel="0" collapsed="false">
      <c r="A110" s="6" t="s">
        <v>529</v>
      </c>
      <c r="B110" s="6" t="n">
        <v>9</v>
      </c>
      <c r="C110" s="6" t="s">
        <v>4495</v>
      </c>
      <c r="D110" s="6"/>
      <c r="E110" s="6"/>
      <c r="F110" s="6"/>
      <c r="G110" s="6"/>
      <c r="H110" s="6" t="n">
        <v>-0.75</v>
      </c>
      <c r="I110" s="6"/>
      <c r="J110" s="6" t="s">
        <v>4496</v>
      </c>
      <c r="K110" s="6" t="n">
        <v>0.9</v>
      </c>
    </row>
    <row r="111" customFormat="false" ht="15" hidden="false" customHeight="false" outlineLevel="0" collapsed="false">
      <c r="A111" s="6" t="s">
        <v>530</v>
      </c>
      <c r="B111" s="6" t="n">
        <v>9</v>
      </c>
      <c r="C111" s="6" t="s">
        <v>4495</v>
      </c>
      <c r="D111" s="6" t="s">
        <v>4457</v>
      </c>
      <c r="E111" s="6" t="n">
        <v>1</v>
      </c>
      <c r="F111" s="6"/>
      <c r="G111" s="6"/>
      <c r="H111" s="6"/>
      <c r="I111" s="6"/>
      <c r="J111" s="6" t="s">
        <v>4496</v>
      </c>
      <c r="K111" s="6" t="n">
        <v>0.9</v>
      </c>
    </row>
    <row r="112" customFormat="false" ht="15" hidden="false" customHeight="false" outlineLevel="0" collapsed="false">
      <c r="A112" s="6" t="s">
        <v>531</v>
      </c>
      <c r="B112" s="6" t="n">
        <v>9</v>
      </c>
      <c r="C112" s="6" t="s">
        <v>4495</v>
      </c>
      <c r="D112" s="6"/>
      <c r="E112" s="6"/>
      <c r="F112" s="6"/>
      <c r="G112" s="6"/>
      <c r="H112" s="6" t="n">
        <v>0.6</v>
      </c>
      <c r="I112" s="6"/>
      <c r="J112" s="6" t="s">
        <v>4496</v>
      </c>
      <c r="K112" s="6" t="n">
        <v>0.9</v>
      </c>
    </row>
    <row r="113" customFormat="false" ht="15" hidden="false" customHeight="false" outlineLevel="0" collapsed="false">
      <c r="A113" s="6" t="s">
        <v>250</v>
      </c>
      <c r="B113" s="6" t="n">
        <v>10</v>
      </c>
      <c r="C113" s="6" t="s">
        <v>4497</v>
      </c>
      <c r="D113" s="6" t="s">
        <v>4349</v>
      </c>
      <c r="E113" s="6" t="n">
        <v>0.8</v>
      </c>
      <c r="F113" s="6" t="s">
        <v>4373</v>
      </c>
      <c r="G113" s="6" t="n">
        <v>-0.75</v>
      </c>
      <c r="H113" s="6"/>
      <c r="I113" s="6"/>
      <c r="J113" s="6" t="s">
        <v>4498</v>
      </c>
      <c r="K113" s="6" t="n">
        <v>1</v>
      </c>
    </row>
    <row r="114" customFormat="false" ht="15" hidden="false" customHeight="false" outlineLevel="0" collapsed="false">
      <c r="A114" s="6" t="s">
        <v>237</v>
      </c>
      <c r="B114" s="6" t="n">
        <v>10</v>
      </c>
      <c r="C114" s="6" t="s">
        <v>4497</v>
      </c>
      <c r="D114" s="6" t="s">
        <v>4488</v>
      </c>
      <c r="E114" s="6" t="n">
        <v>0.4</v>
      </c>
      <c r="F114" s="6" t="s">
        <v>4446</v>
      </c>
      <c r="G114" s="6" t="n">
        <v>-0.75</v>
      </c>
      <c r="H114" s="6"/>
      <c r="I114" s="6"/>
      <c r="J114" s="6" t="s">
        <v>4498</v>
      </c>
      <c r="K114" s="6" t="n">
        <v>1</v>
      </c>
    </row>
    <row r="115" customFormat="false" ht="15" hidden="false" customHeight="false" outlineLevel="0" collapsed="false">
      <c r="A115" s="6" t="s">
        <v>247</v>
      </c>
      <c r="B115" s="6" t="n">
        <v>10</v>
      </c>
      <c r="C115" s="6" t="s">
        <v>4497</v>
      </c>
      <c r="D115" s="6" t="s">
        <v>4369</v>
      </c>
      <c r="E115" s="6" t="n">
        <v>0.8</v>
      </c>
      <c r="F115" s="6" t="s">
        <v>4373</v>
      </c>
      <c r="G115" s="6" t="n">
        <v>-0.75</v>
      </c>
      <c r="H115" s="6"/>
      <c r="I115" s="6"/>
      <c r="J115" s="6" t="s">
        <v>4498</v>
      </c>
      <c r="K115" s="6" t="n">
        <v>1</v>
      </c>
    </row>
    <row r="116" customFormat="false" ht="15" hidden="false" customHeight="false" outlineLevel="0" collapsed="false">
      <c r="A116" s="6" t="s">
        <v>234</v>
      </c>
      <c r="B116" s="6" t="n">
        <v>10</v>
      </c>
      <c r="C116" s="6" t="s">
        <v>4497</v>
      </c>
      <c r="D116" s="6" t="s">
        <v>4499</v>
      </c>
      <c r="E116" s="6" t="n">
        <v>0.8</v>
      </c>
      <c r="F116" s="6" t="s">
        <v>237</v>
      </c>
      <c r="G116" s="6" t="n">
        <v>-0.2</v>
      </c>
      <c r="H116" s="6"/>
      <c r="I116" s="6"/>
      <c r="J116" s="6" t="s">
        <v>4498</v>
      </c>
      <c r="K116" s="6" t="n">
        <v>1</v>
      </c>
    </row>
    <row r="117" customFormat="false" ht="15" hidden="false" customHeight="false" outlineLevel="0" collapsed="false">
      <c r="A117" s="6" t="s">
        <v>244</v>
      </c>
      <c r="B117" s="6" t="n">
        <v>10</v>
      </c>
      <c r="C117" s="6" t="s">
        <v>4497</v>
      </c>
      <c r="D117" s="6" t="s">
        <v>4375</v>
      </c>
      <c r="E117" s="6" t="n">
        <v>1</v>
      </c>
      <c r="F117" s="6" t="s">
        <v>4335</v>
      </c>
      <c r="G117" s="6" t="n">
        <v>-0.4</v>
      </c>
      <c r="H117" s="6"/>
      <c r="I117" s="6"/>
      <c r="J117" s="6" t="s">
        <v>4498</v>
      </c>
      <c r="K117" s="6" t="n">
        <v>1</v>
      </c>
    </row>
    <row r="118" customFormat="false" ht="15" hidden="false" customHeight="false" outlineLevel="0" collapsed="false">
      <c r="A118" s="6" t="s">
        <v>230</v>
      </c>
      <c r="B118" s="6" t="n">
        <v>10</v>
      </c>
      <c r="C118" s="6" t="s">
        <v>4497</v>
      </c>
      <c r="D118" s="6" t="s">
        <v>4381</v>
      </c>
      <c r="E118" s="6" t="n">
        <v>1</v>
      </c>
      <c r="F118" s="6" t="s">
        <v>4383</v>
      </c>
      <c r="G118" s="6" t="n">
        <v>-0.75</v>
      </c>
      <c r="H118" s="6"/>
      <c r="I118" s="6"/>
      <c r="J118" s="6" t="s">
        <v>4498</v>
      </c>
      <c r="K118" s="6" t="n">
        <v>1</v>
      </c>
    </row>
    <row r="119" customFormat="false" ht="15" hidden="false" customHeight="false" outlineLevel="0" collapsed="false">
      <c r="A119" s="6" t="s">
        <v>241</v>
      </c>
      <c r="B119" s="6" t="n">
        <v>10</v>
      </c>
      <c r="C119" s="6" t="s">
        <v>4497</v>
      </c>
      <c r="D119" s="6" t="s">
        <v>4500</v>
      </c>
      <c r="E119" s="6" t="n">
        <v>0.8</v>
      </c>
      <c r="F119" s="6" t="s">
        <v>4375</v>
      </c>
      <c r="G119" s="6" t="n">
        <v>-0.4</v>
      </c>
      <c r="H119" s="6"/>
      <c r="I119" s="6"/>
      <c r="J119" s="6" t="s">
        <v>4498</v>
      </c>
      <c r="K119" s="6" t="n">
        <v>1</v>
      </c>
    </row>
    <row r="120" customFormat="false" ht="15" hidden="false" customHeight="false" outlineLevel="0" collapsed="false">
      <c r="A120" s="6" t="s">
        <v>264</v>
      </c>
      <c r="B120" s="6" t="n">
        <v>10</v>
      </c>
      <c r="C120" s="6" t="s">
        <v>4497</v>
      </c>
      <c r="D120" s="6" t="s">
        <v>4273</v>
      </c>
      <c r="E120" s="6" t="n">
        <v>0</v>
      </c>
      <c r="F120" s="6" t="s">
        <v>4369</v>
      </c>
      <c r="G120" s="6" t="n">
        <v>-0.6</v>
      </c>
      <c r="H120" s="6"/>
      <c r="I120" s="6"/>
      <c r="J120" s="6" t="s">
        <v>4498</v>
      </c>
      <c r="K120" s="6" t="n">
        <v>1</v>
      </c>
    </row>
    <row r="121" customFormat="false" ht="15" hidden="false" customHeight="false" outlineLevel="0" collapsed="false">
      <c r="A121" s="6" t="s">
        <v>283</v>
      </c>
      <c r="B121" s="6" t="n">
        <v>10</v>
      </c>
      <c r="C121" s="6" t="s">
        <v>4497</v>
      </c>
      <c r="D121" s="6" t="s">
        <v>4273</v>
      </c>
      <c r="E121" s="6" t="n">
        <v>0</v>
      </c>
      <c r="F121" s="6" t="s">
        <v>4369</v>
      </c>
      <c r="G121" s="6" t="n">
        <v>-0.4</v>
      </c>
      <c r="H121" s="6"/>
      <c r="I121" s="6"/>
      <c r="J121" s="6" t="s">
        <v>4498</v>
      </c>
      <c r="K121" s="6" t="n">
        <v>1</v>
      </c>
    </row>
    <row r="122" customFormat="false" ht="15" hidden="false" customHeight="false" outlineLevel="0" collapsed="false">
      <c r="A122" s="6" t="s">
        <v>529</v>
      </c>
      <c r="B122" s="6" t="n">
        <v>10</v>
      </c>
      <c r="C122" s="6" t="s">
        <v>4497</v>
      </c>
      <c r="D122" s="6" t="s">
        <v>4501</v>
      </c>
      <c r="E122" s="6" t="n">
        <v>0.8</v>
      </c>
      <c r="F122" s="6" t="s">
        <v>4375</v>
      </c>
      <c r="G122" s="6" t="n">
        <v>-0.75</v>
      </c>
      <c r="H122" s="6"/>
      <c r="I122" s="6"/>
      <c r="J122" s="6" t="s">
        <v>4498</v>
      </c>
      <c r="K122" s="6" t="n">
        <v>1</v>
      </c>
    </row>
    <row r="123" customFormat="false" ht="15" hidden="false" customHeight="false" outlineLevel="0" collapsed="false">
      <c r="A123" s="6" t="s">
        <v>530</v>
      </c>
      <c r="B123" s="6" t="n">
        <v>10</v>
      </c>
      <c r="C123" s="6" t="s">
        <v>4497</v>
      </c>
      <c r="D123" s="6" t="s">
        <v>4457</v>
      </c>
      <c r="E123" s="6" t="n">
        <v>-0.9</v>
      </c>
      <c r="F123" s="6"/>
      <c r="G123" s="6"/>
      <c r="H123" s="6"/>
      <c r="I123" s="6"/>
      <c r="J123" s="6" t="s">
        <v>4498</v>
      </c>
      <c r="K123" s="6" t="n">
        <v>1</v>
      </c>
    </row>
    <row r="124" customFormat="false" ht="15" hidden="false" customHeight="false" outlineLevel="0" collapsed="false">
      <c r="A124" s="6" t="s">
        <v>531</v>
      </c>
      <c r="B124" s="6" t="n">
        <v>10</v>
      </c>
      <c r="C124" s="6" t="s">
        <v>4497</v>
      </c>
      <c r="D124" s="6"/>
      <c r="E124" s="6"/>
      <c r="F124" s="6"/>
      <c r="G124" s="6"/>
      <c r="H124" s="6" t="n">
        <v>0.6</v>
      </c>
      <c r="I124" s="6"/>
      <c r="J124" s="6" t="s">
        <v>4498</v>
      </c>
      <c r="K124" s="6" t="n">
        <v>1</v>
      </c>
    </row>
    <row r="125" customFormat="false" ht="15" hidden="false" customHeight="false" outlineLevel="0" collapsed="false">
      <c r="A125" s="6" t="s">
        <v>250</v>
      </c>
      <c r="B125" s="6" t="n">
        <v>11</v>
      </c>
      <c r="C125" s="6" t="s">
        <v>4502</v>
      </c>
      <c r="D125" s="6" t="s">
        <v>4349</v>
      </c>
      <c r="E125" s="6" t="n">
        <v>0.8</v>
      </c>
      <c r="F125" s="6" t="s">
        <v>4373</v>
      </c>
      <c r="G125" s="6" t="n">
        <v>-0.75</v>
      </c>
      <c r="H125" s="6"/>
      <c r="I125" s="6"/>
      <c r="J125" s="6" t="s">
        <v>22</v>
      </c>
      <c r="K125" s="6" t="n">
        <v>0.6</v>
      </c>
    </row>
    <row r="126" customFormat="false" ht="15" hidden="false" customHeight="false" outlineLevel="0" collapsed="false">
      <c r="A126" s="6" t="s">
        <v>237</v>
      </c>
      <c r="B126" s="6" t="n">
        <v>11</v>
      </c>
      <c r="C126" s="6" t="s">
        <v>4502</v>
      </c>
      <c r="D126" s="6" t="s">
        <v>4445</v>
      </c>
      <c r="E126" s="6" t="n">
        <v>0.4</v>
      </c>
      <c r="F126" s="6" t="s">
        <v>4446</v>
      </c>
      <c r="G126" s="6" t="n">
        <v>-0.5</v>
      </c>
      <c r="H126" s="6"/>
      <c r="I126" s="6"/>
      <c r="J126" s="6" t="s">
        <v>22</v>
      </c>
      <c r="K126" s="6" t="n">
        <v>0.6</v>
      </c>
    </row>
    <row r="127" customFormat="false" ht="15" hidden="false" customHeight="false" outlineLevel="0" collapsed="false">
      <c r="A127" s="6" t="s">
        <v>247</v>
      </c>
      <c r="B127" s="6" t="n">
        <v>11</v>
      </c>
      <c r="C127" s="6" t="s">
        <v>4502</v>
      </c>
      <c r="D127" s="6" t="s">
        <v>4369</v>
      </c>
      <c r="E127" s="6" t="n">
        <v>-0.75</v>
      </c>
      <c r="F127" s="6" t="s">
        <v>234</v>
      </c>
      <c r="G127" s="6" t="n">
        <v>0</v>
      </c>
      <c r="H127" s="6"/>
      <c r="I127" s="6"/>
      <c r="J127" s="6" t="s">
        <v>22</v>
      </c>
      <c r="K127" s="6" t="n">
        <v>0.6</v>
      </c>
    </row>
    <row r="128" customFormat="false" ht="15" hidden="false" customHeight="false" outlineLevel="0" collapsed="false">
      <c r="A128" s="6" t="s">
        <v>234</v>
      </c>
      <c r="B128" s="6" t="n">
        <v>11</v>
      </c>
      <c r="C128" s="6" t="s">
        <v>4502</v>
      </c>
      <c r="D128" s="6" t="s">
        <v>4465</v>
      </c>
      <c r="E128" s="6" t="n">
        <v>1</v>
      </c>
      <c r="F128" s="6" t="s">
        <v>4372</v>
      </c>
      <c r="G128" s="6" t="n">
        <v>-0.8</v>
      </c>
      <c r="H128" s="6"/>
      <c r="I128" s="6"/>
      <c r="J128" s="6" t="s">
        <v>22</v>
      </c>
      <c r="K128" s="6" t="n">
        <v>0.6</v>
      </c>
    </row>
    <row r="129" customFormat="false" ht="15" hidden="false" customHeight="false" outlineLevel="0" collapsed="false">
      <c r="A129" s="6" t="s">
        <v>244</v>
      </c>
      <c r="B129" s="6" t="n">
        <v>11</v>
      </c>
      <c r="C129" s="6" t="s">
        <v>4502</v>
      </c>
      <c r="D129" s="6" t="s">
        <v>4375</v>
      </c>
      <c r="E129" s="6" t="n">
        <v>0.8</v>
      </c>
      <c r="F129" s="6" t="s">
        <v>264</v>
      </c>
      <c r="G129" s="6" t="n">
        <v>-0.75</v>
      </c>
      <c r="H129" s="6"/>
      <c r="I129" s="6"/>
      <c r="J129" s="6" t="s">
        <v>22</v>
      </c>
      <c r="K129" s="6" t="n">
        <v>0.6</v>
      </c>
    </row>
    <row r="130" customFormat="false" ht="15" hidden="false" customHeight="false" outlineLevel="0" collapsed="false">
      <c r="A130" s="6" t="s">
        <v>230</v>
      </c>
      <c r="B130" s="6" t="n">
        <v>11</v>
      </c>
      <c r="C130" s="6" t="s">
        <v>4502</v>
      </c>
      <c r="D130" s="6" t="s">
        <v>234</v>
      </c>
      <c r="E130" s="6" t="n">
        <v>0.8</v>
      </c>
      <c r="F130" s="6" t="s">
        <v>4375</v>
      </c>
      <c r="G130" s="6" t="n">
        <v>-0.75</v>
      </c>
      <c r="H130" s="6"/>
      <c r="I130" s="6"/>
      <c r="J130" s="6" t="s">
        <v>22</v>
      </c>
      <c r="K130" s="6" t="n">
        <v>0.6</v>
      </c>
    </row>
    <row r="131" customFormat="false" ht="15" hidden="false" customHeight="false" outlineLevel="0" collapsed="false">
      <c r="A131" s="6" t="s">
        <v>241</v>
      </c>
      <c r="B131" s="6" t="n">
        <v>11</v>
      </c>
      <c r="C131" s="6" t="s">
        <v>4502</v>
      </c>
      <c r="D131" s="6"/>
      <c r="E131" s="6"/>
      <c r="F131" s="6" t="s">
        <v>4469</v>
      </c>
      <c r="G131" s="6" t="n">
        <v>-0.9</v>
      </c>
      <c r="H131" s="6" t="n">
        <v>-0.6</v>
      </c>
      <c r="I131" s="6"/>
      <c r="J131" s="6" t="s">
        <v>22</v>
      </c>
      <c r="K131" s="6" t="n">
        <v>0.6</v>
      </c>
    </row>
    <row r="132" customFormat="false" ht="15" hidden="false" customHeight="false" outlineLevel="0" collapsed="false">
      <c r="A132" s="6" t="s">
        <v>264</v>
      </c>
      <c r="B132" s="6" t="n">
        <v>11</v>
      </c>
      <c r="C132" s="6" t="s">
        <v>4502</v>
      </c>
      <c r="D132" s="6" t="s">
        <v>4273</v>
      </c>
      <c r="E132" s="6" t="n">
        <v>0</v>
      </c>
      <c r="F132" s="6" t="s">
        <v>4369</v>
      </c>
      <c r="G132" s="6" t="n">
        <v>-0.4</v>
      </c>
      <c r="H132" s="6"/>
      <c r="I132" s="6"/>
      <c r="J132" s="6" t="s">
        <v>22</v>
      </c>
      <c r="K132" s="6" t="n">
        <v>0.6</v>
      </c>
    </row>
    <row r="133" customFormat="false" ht="15" hidden="false" customHeight="false" outlineLevel="0" collapsed="false">
      <c r="A133" s="6" t="s">
        <v>283</v>
      </c>
      <c r="B133" s="6" t="n">
        <v>11</v>
      </c>
      <c r="C133" s="6" t="s">
        <v>4502</v>
      </c>
      <c r="D133" s="6" t="s">
        <v>4273</v>
      </c>
      <c r="E133" s="6" t="n">
        <v>-0.8</v>
      </c>
      <c r="F133" s="6" t="s">
        <v>4369</v>
      </c>
      <c r="G133" s="6" t="n">
        <v>0</v>
      </c>
      <c r="H133" s="6"/>
      <c r="I133" s="6"/>
      <c r="J133" s="6" t="s">
        <v>22</v>
      </c>
      <c r="K133" s="6" t="n">
        <v>0.6</v>
      </c>
    </row>
    <row r="134" customFormat="false" ht="15" hidden="false" customHeight="false" outlineLevel="0" collapsed="false">
      <c r="A134" s="6" t="s">
        <v>529</v>
      </c>
      <c r="B134" s="6" t="n">
        <v>11</v>
      </c>
      <c r="C134" s="6" t="s">
        <v>4502</v>
      </c>
      <c r="D134" s="6"/>
      <c r="E134" s="6"/>
      <c r="F134" s="6" t="s">
        <v>4375</v>
      </c>
      <c r="G134" s="6" t="n">
        <v>-0.9</v>
      </c>
      <c r="H134" s="6" t="n">
        <v>-0.6</v>
      </c>
      <c r="I134" s="6"/>
      <c r="J134" s="6" t="s">
        <v>22</v>
      </c>
      <c r="K134" s="6" t="n">
        <v>0.6</v>
      </c>
    </row>
    <row r="135" customFormat="false" ht="15" hidden="false" customHeight="false" outlineLevel="0" collapsed="false">
      <c r="A135" s="6" t="s">
        <v>530</v>
      </c>
      <c r="B135" s="6" t="n">
        <v>11</v>
      </c>
      <c r="C135" s="6" t="s">
        <v>4502</v>
      </c>
      <c r="D135" s="6" t="s">
        <v>4457</v>
      </c>
      <c r="E135" s="6" t="n">
        <v>0.8</v>
      </c>
      <c r="F135" s="6"/>
      <c r="G135" s="6"/>
      <c r="H135" s="6"/>
      <c r="I135" s="6"/>
      <c r="J135" s="6" t="s">
        <v>22</v>
      </c>
      <c r="K135" s="6" t="n">
        <v>0.6</v>
      </c>
    </row>
    <row r="136" customFormat="false" ht="15" hidden="false" customHeight="false" outlineLevel="0" collapsed="false">
      <c r="A136" s="6" t="s">
        <v>531</v>
      </c>
      <c r="B136" s="6" t="n">
        <v>11</v>
      </c>
      <c r="C136" s="6" t="s">
        <v>4502</v>
      </c>
      <c r="D136" s="6"/>
      <c r="E136" s="6"/>
      <c r="F136" s="6"/>
      <c r="G136" s="6"/>
      <c r="H136" s="6" t="n">
        <v>0.6</v>
      </c>
      <c r="I136" s="6"/>
      <c r="J136" s="6" t="s">
        <v>22</v>
      </c>
      <c r="K136" s="6" t="n">
        <v>0.6</v>
      </c>
    </row>
    <row r="137" customFormat="false" ht="15" hidden="false" customHeight="false" outlineLevel="0" collapsed="false">
      <c r="A137" s="6" t="s">
        <v>250</v>
      </c>
      <c r="B137" s="6" t="n">
        <v>12</v>
      </c>
      <c r="C137" s="6" t="s">
        <v>4503</v>
      </c>
      <c r="D137" s="6" t="s">
        <v>4349</v>
      </c>
      <c r="E137" s="6" t="n">
        <v>0.8</v>
      </c>
      <c r="F137" s="6" t="s">
        <v>4443</v>
      </c>
      <c r="G137" s="6" t="n">
        <v>-0.75</v>
      </c>
      <c r="H137" s="6"/>
      <c r="I137" s="6"/>
      <c r="J137" s="6" t="s">
        <v>4504</v>
      </c>
      <c r="K137" s="6" t="n">
        <v>0.4</v>
      </c>
    </row>
    <row r="138" customFormat="false" ht="15" hidden="false" customHeight="false" outlineLevel="0" collapsed="false">
      <c r="A138" s="6" t="s">
        <v>237</v>
      </c>
      <c r="B138" s="6" t="n">
        <v>12</v>
      </c>
      <c r="C138" s="6" t="s">
        <v>4503</v>
      </c>
      <c r="D138" s="6" t="s">
        <v>4488</v>
      </c>
      <c r="E138" s="6" t="n">
        <v>0.4</v>
      </c>
      <c r="F138" s="6" t="s">
        <v>4446</v>
      </c>
      <c r="G138" s="6" t="n">
        <v>-0.75</v>
      </c>
      <c r="H138" s="6"/>
      <c r="I138" s="6"/>
      <c r="J138" s="6" t="s">
        <v>4504</v>
      </c>
      <c r="K138" s="6" t="n">
        <v>0.4</v>
      </c>
    </row>
    <row r="139" customFormat="false" ht="15" hidden="false" customHeight="false" outlineLevel="0" collapsed="false">
      <c r="A139" s="6" t="s">
        <v>247</v>
      </c>
      <c r="B139" s="6" t="n">
        <v>12</v>
      </c>
      <c r="C139" s="6" t="s">
        <v>4503</v>
      </c>
      <c r="D139" s="6" t="s">
        <v>4369</v>
      </c>
      <c r="E139" s="6" t="n">
        <v>1</v>
      </c>
      <c r="F139" s="6" t="s">
        <v>4381</v>
      </c>
      <c r="G139" s="6" t="n">
        <v>-0.75</v>
      </c>
      <c r="H139" s="6"/>
      <c r="I139" s="6"/>
      <c r="J139" s="6" t="s">
        <v>4504</v>
      </c>
      <c r="K139" s="6" t="n">
        <v>0.4</v>
      </c>
    </row>
    <row r="140" customFormat="false" ht="15" hidden="false" customHeight="false" outlineLevel="0" collapsed="false">
      <c r="A140" s="6" t="s">
        <v>234</v>
      </c>
      <c r="B140" s="6" t="n">
        <v>12</v>
      </c>
      <c r="C140" s="6" t="s">
        <v>4503</v>
      </c>
      <c r="D140" s="6" t="s">
        <v>4424</v>
      </c>
      <c r="E140" s="6" t="n">
        <v>0.8</v>
      </c>
      <c r="F140" s="6" t="s">
        <v>237</v>
      </c>
      <c r="G140" s="6" t="n">
        <v>0</v>
      </c>
      <c r="H140" s="6"/>
      <c r="I140" s="6"/>
      <c r="J140" s="6" t="s">
        <v>4504</v>
      </c>
      <c r="K140" s="6" t="n">
        <v>0.4</v>
      </c>
    </row>
    <row r="141" customFormat="false" ht="15" hidden="false" customHeight="false" outlineLevel="0" collapsed="false">
      <c r="A141" s="6" t="s">
        <v>244</v>
      </c>
      <c r="B141" s="6" t="n">
        <v>12</v>
      </c>
      <c r="C141" s="6" t="s">
        <v>4503</v>
      </c>
      <c r="D141" s="6" t="s">
        <v>4375</v>
      </c>
      <c r="E141" s="6" t="n">
        <v>0.8</v>
      </c>
      <c r="F141" s="6" t="s">
        <v>4350</v>
      </c>
      <c r="G141" s="6" t="n">
        <v>-0.75</v>
      </c>
      <c r="H141" s="6"/>
      <c r="I141" s="6"/>
      <c r="J141" s="6" t="s">
        <v>4504</v>
      </c>
      <c r="K141" s="6" t="n">
        <v>0.4</v>
      </c>
    </row>
    <row r="142" customFormat="false" ht="15" hidden="false" customHeight="false" outlineLevel="0" collapsed="false">
      <c r="A142" s="6" t="s">
        <v>230</v>
      </c>
      <c r="B142" s="6" t="n">
        <v>12</v>
      </c>
      <c r="C142" s="6" t="s">
        <v>4503</v>
      </c>
      <c r="D142" s="6" t="s">
        <v>4353</v>
      </c>
      <c r="E142" s="6" t="n">
        <v>0.8</v>
      </c>
      <c r="F142" s="6" t="s">
        <v>4383</v>
      </c>
      <c r="G142" s="6" t="n">
        <v>-0.4</v>
      </c>
      <c r="H142" s="6"/>
      <c r="I142" s="6"/>
      <c r="J142" s="6" t="s">
        <v>4504</v>
      </c>
      <c r="K142" s="6" t="n">
        <v>0.4</v>
      </c>
    </row>
    <row r="143" customFormat="false" ht="15" hidden="false" customHeight="false" outlineLevel="0" collapsed="false">
      <c r="A143" s="6" t="s">
        <v>241</v>
      </c>
      <c r="B143" s="6" t="n">
        <v>12</v>
      </c>
      <c r="C143" s="6" t="s">
        <v>4503</v>
      </c>
      <c r="D143" s="6"/>
      <c r="E143" s="6"/>
      <c r="F143" s="6"/>
      <c r="G143" s="6"/>
      <c r="H143" s="6" t="n">
        <v>-0.75</v>
      </c>
      <c r="I143" s="6"/>
      <c r="J143" s="6" t="s">
        <v>4504</v>
      </c>
      <c r="K143" s="6" t="n">
        <v>0.4</v>
      </c>
    </row>
    <row r="144" customFormat="false" ht="15" hidden="false" customHeight="false" outlineLevel="0" collapsed="false">
      <c r="A144" s="6" t="s">
        <v>264</v>
      </c>
      <c r="B144" s="6" t="n">
        <v>12</v>
      </c>
      <c r="C144" s="6" t="s">
        <v>4503</v>
      </c>
      <c r="D144" s="6" t="s">
        <v>4273</v>
      </c>
      <c r="E144" s="6" t="n">
        <v>0.4</v>
      </c>
      <c r="F144" s="6" t="s">
        <v>4369</v>
      </c>
      <c r="G144" s="6" t="n">
        <v>-0.4</v>
      </c>
      <c r="H144" s="6"/>
      <c r="I144" s="6"/>
      <c r="J144" s="6" t="s">
        <v>4504</v>
      </c>
      <c r="K144" s="6" t="n">
        <v>0.4</v>
      </c>
    </row>
    <row r="145" customFormat="false" ht="15" hidden="false" customHeight="false" outlineLevel="0" collapsed="false">
      <c r="A145" s="6" t="s">
        <v>283</v>
      </c>
      <c r="B145" s="6" t="n">
        <v>12</v>
      </c>
      <c r="C145" s="6" t="s">
        <v>4503</v>
      </c>
      <c r="D145" s="6" t="s">
        <v>4273</v>
      </c>
      <c r="E145" s="6" t="n">
        <v>0.8</v>
      </c>
      <c r="F145" s="6" t="s">
        <v>4369</v>
      </c>
      <c r="G145" s="6" t="n">
        <v>-0.75</v>
      </c>
      <c r="H145" s="6"/>
      <c r="I145" s="6"/>
      <c r="J145" s="6" t="s">
        <v>4504</v>
      </c>
      <c r="K145" s="6" t="n">
        <v>0.4</v>
      </c>
    </row>
    <row r="146" customFormat="false" ht="15" hidden="false" customHeight="false" outlineLevel="0" collapsed="false">
      <c r="A146" s="6" t="s">
        <v>529</v>
      </c>
      <c r="B146" s="6" t="n">
        <v>12</v>
      </c>
      <c r="C146" s="6" t="s">
        <v>4503</v>
      </c>
      <c r="D146" s="6"/>
      <c r="E146" s="6"/>
      <c r="F146" s="6"/>
      <c r="G146" s="6"/>
      <c r="H146" s="6" t="n">
        <v>-0.75</v>
      </c>
      <c r="I146" s="6"/>
      <c r="J146" s="6" t="s">
        <v>4504</v>
      </c>
      <c r="K146" s="6" t="n">
        <v>0.4</v>
      </c>
    </row>
    <row r="147" customFormat="false" ht="15" hidden="false" customHeight="false" outlineLevel="0" collapsed="false">
      <c r="A147" s="6" t="s">
        <v>530</v>
      </c>
      <c r="B147" s="6" t="n">
        <v>12</v>
      </c>
      <c r="C147" s="6" t="s">
        <v>4503</v>
      </c>
      <c r="D147" s="6" t="s">
        <v>4457</v>
      </c>
      <c r="E147" s="6" t="n">
        <v>0.5</v>
      </c>
      <c r="F147" s="6"/>
      <c r="G147" s="6"/>
      <c r="H147" s="6"/>
      <c r="I147" s="6"/>
      <c r="J147" s="6" t="s">
        <v>4504</v>
      </c>
      <c r="K147" s="6" t="n">
        <v>0.4</v>
      </c>
    </row>
    <row r="148" customFormat="false" ht="15" hidden="false" customHeight="false" outlineLevel="0" collapsed="false">
      <c r="A148" s="6" t="s">
        <v>531</v>
      </c>
      <c r="B148" s="6" t="n">
        <v>12</v>
      </c>
      <c r="C148" s="6" t="s">
        <v>4503</v>
      </c>
      <c r="D148" s="6"/>
      <c r="E148" s="6"/>
      <c r="F148" s="6"/>
      <c r="G148" s="6"/>
      <c r="H148" s="6" t="n">
        <v>0.5</v>
      </c>
      <c r="I148" s="6"/>
      <c r="J148" s="6" t="s">
        <v>4504</v>
      </c>
      <c r="K148" s="6" t="n">
        <v>0.4</v>
      </c>
    </row>
  </sheetData>
  <conditionalFormatting sqref="E5:E148">
    <cfRule type="expression" priority="2" aboveAverage="0" equalAverage="0" bottom="0" percent="0" rank="0" text="" dxfId="0">
      <formula>AND(ISNUMBER(E5),E5&gt;Settings!$C$4)</formula>
    </cfRule>
    <cfRule type="expression" priority="3" aboveAverage="0" equalAverage="0" bottom="0" percent="0" rank="0" text="" dxfId="1">
      <formula>AND(ISNUMBER(E5),E5&lt;-Settings!$C$4)</formula>
    </cfRule>
    <cfRule type="expression" priority="4" aboveAverage="0" equalAverage="0" bottom="0" percent="0" rank="0" text="" dxfId="2">
      <formula>AND(ISNUMBER(E5),ABS(E5)&lt;=Settings!$C$4)</formula>
    </cfRule>
  </conditionalFormatting>
  <conditionalFormatting sqref="G5:G148">
    <cfRule type="expression" priority="5" aboveAverage="0" equalAverage="0" bottom="0" percent="0" rank="0" text="" dxfId="0">
      <formula>AND(ISNUMBER(G5),G5&gt;Settings!$C$4)</formula>
    </cfRule>
    <cfRule type="expression" priority="6" aboveAverage="0" equalAverage="0" bottom="0" percent="0" rank="0" text="" dxfId="1">
      <formula>AND(ISNUMBER(G5),G5&lt;-Settings!$C$4)</formula>
    </cfRule>
    <cfRule type="expression" priority="7" aboveAverage="0" equalAverage="0" bottom="0" percent="0" rank="0" text="" dxfId="2">
      <formula>AND(ISNUMBER(G5),ABS(G5)&lt;=Settings!$C$4)</formula>
    </cfRule>
  </conditionalFormatting>
  <conditionalFormatting sqref="H5:H148">
    <cfRule type="expression" priority="8" aboveAverage="0" equalAverage="0" bottom="0" percent="0" rank="0" text="" dxfId="0">
      <formula>AND(ISNUMBER(H5),H5&gt;Settings!$C$4)</formula>
    </cfRule>
    <cfRule type="expression" priority="9" aboveAverage="0" equalAverage="0" bottom="0" percent="0" rank="0" text="" dxfId="1">
      <formula>AND(ISNUMBER(H5),H5&lt;-Settings!$C$4)</formula>
    </cfRule>
    <cfRule type="expression" priority="10" aboveAverage="0" equalAverage="0" bottom="0" percent="0" rank="0" text="" dxfId="2">
      <formula>AND(ISNUMBER(H5),ABS(H5)&lt;=Settings!$C$4)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22"/>
    <col collapsed="false" customWidth="true" hidden="false" outlineLevel="0" max="7" min="7" style="0" width="10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4505</v>
      </c>
    </row>
    <row r="4" customFormat="false" ht="15" hidden="false" customHeight="false" outlineLevel="0" collapsed="false">
      <c r="A4" s="5" t="s">
        <v>4339</v>
      </c>
      <c r="B4" s="5" t="s">
        <v>4506</v>
      </c>
      <c r="C4" s="5" t="s">
        <v>4507</v>
      </c>
      <c r="D4" s="5" t="s">
        <v>4508</v>
      </c>
      <c r="E4" s="5" t="s">
        <v>4509</v>
      </c>
      <c r="F4" s="5" t="s">
        <v>4510</v>
      </c>
      <c r="G4" s="5" t="s">
        <v>4440</v>
      </c>
      <c r="H4" s="5" t="s">
        <v>4511</v>
      </c>
    </row>
    <row r="5" customFormat="false" ht="15" hidden="false" customHeight="false" outlineLevel="0" collapsed="false">
      <c r="A5" s="6" t="s">
        <v>250</v>
      </c>
      <c r="B5" s="6" t="s">
        <v>183</v>
      </c>
      <c r="C5" s="6" t="s">
        <v>169</v>
      </c>
      <c r="D5" s="6" t="s">
        <v>190</v>
      </c>
      <c r="E5" s="6" t="s">
        <v>4349</v>
      </c>
      <c r="F5" s="6" t="s">
        <v>4373</v>
      </c>
      <c r="G5" s="6" t="s">
        <v>4512</v>
      </c>
      <c r="H5" s="6" t="s">
        <v>4513</v>
      </c>
    </row>
    <row r="6" customFormat="false" ht="15" hidden="false" customHeight="false" outlineLevel="0" collapsed="false">
      <c r="A6" s="6" t="s">
        <v>237</v>
      </c>
      <c r="B6" s="6" t="s">
        <v>180</v>
      </c>
      <c r="C6" s="6" t="s">
        <v>173</v>
      </c>
      <c r="D6" s="6" t="s">
        <v>171</v>
      </c>
      <c r="E6" s="6" t="s">
        <v>4488</v>
      </c>
      <c r="F6" s="6"/>
      <c r="G6" s="6" t="s">
        <v>4514</v>
      </c>
      <c r="H6" s="6" t="s">
        <v>4515</v>
      </c>
    </row>
    <row r="7" customFormat="false" ht="15" hidden="false" customHeight="false" outlineLevel="0" collapsed="false">
      <c r="A7" s="6" t="s">
        <v>247</v>
      </c>
      <c r="B7" s="6" t="s">
        <v>4283</v>
      </c>
      <c r="C7" s="6" t="s">
        <v>198</v>
      </c>
      <c r="D7" s="6" t="s">
        <v>180</v>
      </c>
      <c r="E7" s="6" t="s">
        <v>4369</v>
      </c>
      <c r="F7" s="6" t="s">
        <v>234</v>
      </c>
      <c r="G7" s="6" t="s">
        <v>4516</v>
      </c>
      <c r="H7" s="6" t="s">
        <v>4517</v>
      </c>
    </row>
    <row r="8" customFormat="false" ht="15" hidden="false" customHeight="false" outlineLevel="0" collapsed="false">
      <c r="A8" s="6" t="s">
        <v>234</v>
      </c>
      <c r="B8" s="6" t="s">
        <v>4307</v>
      </c>
      <c r="C8" s="6" t="s">
        <v>186</v>
      </c>
      <c r="D8" s="6" t="s">
        <v>205</v>
      </c>
      <c r="E8" s="6" t="s">
        <v>4424</v>
      </c>
      <c r="F8" s="6" t="s">
        <v>237</v>
      </c>
      <c r="G8" s="6" t="s">
        <v>4518</v>
      </c>
      <c r="H8" s="6" t="s">
        <v>4519</v>
      </c>
    </row>
    <row r="9" customFormat="false" ht="15" hidden="false" customHeight="false" outlineLevel="0" collapsed="false">
      <c r="A9" s="6" t="s">
        <v>244</v>
      </c>
      <c r="B9" s="6" t="s">
        <v>4310</v>
      </c>
      <c r="C9" s="6" t="s">
        <v>180</v>
      </c>
      <c r="D9" s="6" t="s">
        <v>198</v>
      </c>
      <c r="E9" s="6" t="s">
        <v>4375</v>
      </c>
      <c r="F9" s="6" t="s">
        <v>4335</v>
      </c>
      <c r="G9" s="6" t="s">
        <v>4520</v>
      </c>
      <c r="H9" s="6" t="s">
        <v>4521</v>
      </c>
    </row>
    <row r="10" customFormat="false" ht="15" hidden="false" customHeight="false" outlineLevel="0" collapsed="false">
      <c r="A10" s="6" t="s">
        <v>230</v>
      </c>
      <c r="B10" s="6" t="s">
        <v>4308</v>
      </c>
      <c r="C10" s="6" t="s">
        <v>205</v>
      </c>
      <c r="D10" s="6" t="s">
        <v>186</v>
      </c>
      <c r="E10" s="6" t="s">
        <v>4381</v>
      </c>
      <c r="F10" s="6" t="s">
        <v>4383</v>
      </c>
      <c r="G10" s="6" t="s">
        <v>4522</v>
      </c>
      <c r="H10" s="6" t="s">
        <v>4523</v>
      </c>
    </row>
    <row r="11" customFormat="false" ht="15" hidden="false" customHeight="false" outlineLevel="0" collapsed="false">
      <c r="A11" s="6" t="s">
        <v>241</v>
      </c>
      <c r="B11" s="6" t="s">
        <v>4524</v>
      </c>
      <c r="C11" s="6" t="s">
        <v>190</v>
      </c>
      <c r="D11" s="6" t="s">
        <v>169</v>
      </c>
      <c r="E11" s="6" t="s">
        <v>4335</v>
      </c>
      <c r="F11" s="6" t="s">
        <v>4375</v>
      </c>
      <c r="G11" s="6" t="s">
        <v>4525</v>
      </c>
      <c r="H11" s="6" t="s">
        <v>4526</v>
      </c>
    </row>
    <row r="12" customFormat="false" ht="15" hidden="false" customHeight="false" outlineLevel="0" collapsed="false">
      <c r="A12" s="6" t="s">
        <v>264</v>
      </c>
      <c r="B12" s="6"/>
      <c r="C12" s="6" t="s">
        <v>173</v>
      </c>
      <c r="D12" s="6" t="s">
        <v>171</v>
      </c>
      <c r="E12" s="6" t="s">
        <v>4273</v>
      </c>
      <c r="F12" s="6" t="s">
        <v>4369</v>
      </c>
      <c r="G12" s="6" t="s">
        <v>4527</v>
      </c>
      <c r="H12" s="6" t="s">
        <v>56</v>
      </c>
    </row>
    <row r="13" customFormat="false" ht="15" hidden="false" customHeight="false" outlineLevel="0" collapsed="false">
      <c r="A13" s="6" t="s">
        <v>283</v>
      </c>
      <c r="B13" s="6"/>
      <c r="C13" s="6" t="s">
        <v>171</v>
      </c>
      <c r="D13" s="6" t="s">
        <v>173</v>
      </c>
      <c r="E13" s="6" t="s">
        <v>4273</v>
      </c>
      <c r="F13" s="6" t="s">
        <v>4369</v>
      </c>
      <c r="G13" s="6" t="s">
        <v>4528</v>
      </c>
      <c r="H13" s="6" t="s">
        <v>4529</v>
      </c>
    </row>
    <row r="14" customFormat="false" ht="15" hidden="false" customHeight="false" outlineLevel="0" collapsed="false">
      <c r="A14" s="6" t="s">
        <v>529</v>
      </c>
      <c r="B14" s="6" t="s">
        <v>202</v>
      </c>
      <c r="C14" s="6" t="s">
        <v>171</v>
      </c>
      <c r="D14" s="6" t="s">
        <v>173</v>
      </c>
      <c r="E14" s="6" t="s">
        <v>4273</v>
      </c>
      <c r="F14" s="6" t="s">
        <v>4375</v>
      </c>
      <c r="G14" s="6" t="s">
        <v>4530</v>
      </c>
      <c r="H14" s="6" t="s">
        <v>4531</v>
      </c>
    </row>
    <row r="15" customFormat="false" ht="15" hidden="false" customHeight="false" outlineLevel="0" collapsed="false">
      <c r="A15" s="6" t="s">
        <v>530</v>
      </c>
      <c r="B15" s="6" t="s">
        <v>205</v>
      </c>
      <c r="C15" s="6" t="s">
        <v>183</v>
      </c>
      <c r="D15" s="6" t="s">
        <v>202</v>
      </c>
      <c r="E15" s="6" t="s">
        <v>4457</v>
      </c>
      <c r="F15" s="6"/>
      <c r="G15" s="6" t="s">
        <v>4532</v>
      </c>
      <c r="H15" s="6" t="s">
        <v>4533</v>
      </c>
    </row>
    <row r="16" customFormat="false" ht="15" hidden="false" customHeight="false" outlineLevel="0" collapsed="false">
      <c r="A16" s="6" t="s">
        <v>531</v>
      </c>
      <c r="B16" s="6" t="s">
        <v>171</v>
      </c>
      <c r="C16" s="6" t="s">
        <v>180</v>
      </c>
      <c r="D16" s="6" t="s">
        <v>198</v>
      </c>
      <c r="E16" s="6"/>
      <c r="F16" s="6"/>
      <c r="G16" s="6" t="s">
        <v>4534</v>
      </c>
      <c r="H16" s="6" t="s">
        <v>4535</v>
      </c>
    </row>
    <row r="19" customFormat="false" ht="15" hidden="false" customHeight="false" outlineLevel="0" collapsed="false">
      <c r="A19" s="5" t="s">
        <v>4340</v>
      </c>
      <c r="B19" s="5" t="s">
        <v>4536</v>
      </c>
      <c r="C19" s="5" t="s">
        <v>4537</v>
      </c>
      <c r="D19" s="5" t="s">
        <v>147</v>
      </c>
      <c r="E19" s="5" t="s">
        <v>4538</v>
      </c>
      <c r="F19" s="5" t="s">
        <v>4539</v>
      </c>
      <c r="G19" s="5" t="s">
        <v>4540</v>
      </c>
      <c r="H19" s="5"/>
    </row>
    <row r="20" customFormat="false" ht="15" hidden="false" customHeight="false" outlineLevel="0" collapsed="false">
      <c r="A20" s="6" t="s">
        <v>169</v>
      </c>
      <c r="B20" s="6" t="s">
        <v>247</v>
      </c>
      <c r="C20" s="6" t="s">
        <v>4541</v>
      </c>
      <c r="D20" s="6" t="s">
        <v>4542</v>
      </c>
      <c r="E20" s="6" t="s">
        <v>4543</v>
      </c>
      <c r="F20" s="6" t="s">
        <v>4335</v>
      </c>
      <c r="G20" s="6" t="s">
        <v>4544</v>
      </c>
    </row>
    <row r="21" customFormat="false" ht="15" hidden="false" customHeight="false" outlineLevel="0" collapsed="false">
      <c r="A21" s="6" t="s">
        <v>173</v>
      </c>
      <c r="B21" s="6" t="s">
        <v>230</v>
      </c>
      <c r="C21" s="6" t="s">
        <v>4545</v>
      </c>
      <c r="D21" s="6" t="s">
        <v>4546</v>
      </c>
      <c r="E21" s="6" t="s">
        <v>4547</v>
      </c>
      <c r="F21" s="6" t="s">
        <v>4303</v>
      </c>
      <c r="G21" s="6" t="s">
        <v>4548</v>
      </c>
    </row>
    <row r="22" customFormat="false" ht="15" hidden="false" customHeight="false" outlineLevel="0" collapsed="false">
      <c r="A22" s="6" t="s">
        <v>176</v>
      </c>
      <c r="B22" s="6" t="s">
        <v>234</v>
      </c>
      <c r="C22" s="6" t="s">
        <v>4549</v>
      </c>
      <c r="D22" s="6" t="s">
        <v>4550</v>
      </c>
      <c r="E22" s="6" t="s">
        <v>4273</v>
      </c>
      <c r="F22" s="6" t="s">
        <v>4368</v>
      </c>
      <c r="G22" s="6" t="s">
        <v>4551</v>
      </c>
    </row>
    <row r="23" customFormat="false" ht="15" hidden="false" customHeight="false" outlineLevel="0" collapsed="false">
      <c r="A23" s="6" t="s">
        <v>180</v>
      </c>
      <c r="B23" s="6" t="s">
        <v>237</v>
      </c>
      <c r="C23" s="6" t="s">
        <v>4552</v>
      </c>
      <c r="D23" s="6" t="s">
        <v>4542</v>
      </c>
      <c r="E23" s="6" t="s">
        <v>4349</v>
      </c>
      <c r="F23" s="6" t="s">
        <v>4553</v>
      </c>
      <c r="G23" s="6" t="s">
        <v>4554</v>
      </c>
    </row>
    <row r="24" customFormat="false" ht="15" hidden="false" customHeight="false" outlineLevel="0" collapsed="false">
      <c r="A24" s="6" t="s">
        <v>183</v>
      </c>
      <c r="B24" s="6" t="s">
        <v>250</v>
      </c>
      <c r="C24" s="6" t="s">
        <v>4541</v>
      </c>
      <c r="D24" s="6" t="s">
        <v>4546</v>
      </c>
      <c r="E24" s="6" t="s">
        <v>4368</v>
      </c>
      <c r="F24" s="6" t="s">
        <v>4555</v>
      </c>
      <c r="G24" s="6" t="s">
        <v>4556</v>
      </c>
    </row>
    <row r="25" customFormat="false" ht="15" hidden="false" customHeight="false" outlineLevel="0" collapsed="false">
      <c r="A25" s="6" t="s">
        <v>186</v>
      </c>
      <c r="B25" s="6" t="s">
        <v>234</v>
      </c>
      <c r="C25" s="6" t="s">
        <v>4545</v>
      </c>
      <c r="D25" s="6" t="s">
        <v>4550</v>
      </c>
      <c r="E25" s="6" t="s">
        <v>4273</v>
      </c>
      <c r="F25" s="6" t="s">
        <v>4543</v>
      </c>
      <c r="G25" s="6" t="s">
        <v>4557</v>
      </c>
    </row>
    <row r="26" customFormat="false" ht="15" hidden="false" customHeight="false" outlineLevel="0" collapsed="false">
      <c r="A26" s="6" t="s">
        <v>190</v>
      </c>
      <c r="B26" s="6" t="s">
        <v>230</v>
      </c>
      <c r="C26" s="6" t="s">
        <v>4549</v>
      </c>
      <c r="D26" s="6" t="s">
        <v>4542</v>
      </c>
      <c r="E26" s="6" t="s">
        <v>4273</v>
      </c>
      <c r="F26" s="6" t="s">
        <v>4369</v>
      </c>
      <c r="G26" s="6" t="s">
        <v>4558</v>
      </c>
    </row>
    <row r="27" customFormat="false" ht="15" hidden="false" customHeight="false" outlineLevel="0" collapsed="false">
      <c r="A27" s="6" t="s">
        <v>171</v>
      </c>
      <c r="B27" s="6" t="s">
        <v>247</v>
      </c>
      <c r="C27" s="6" t="s">
        <v>4552</v>
      </c>
      <c r="D27" s="6" t="s">
        <v>4546</v>
      </c>
      <c r="E27" s="6" t="s">
        <v>4374</v>
      </c>
      <c r="F27" s="6" t="s">
        <v>4335</v>
      </c>
      <c r="G27" s="6" t="s">
        <v>4559</v>
      </c>
    </row>
    <row r="28" customFormat="false" ht="15" hidden="false" customHeight="false" outlineLevel="0" collapsed="false">
      <c r="A28" s="6" t="s">
        <v>195</v>
      </c>
      <c r="B28" s="6" t="s">
        <v>244</v>
      </c>
      <c r="C28" s="6" t="s">
        <v>4541</v>
      </c>
      <c r="D28" s="6" t="s">
        <v>4550</v>
      </c>
      <c r="E28" s="6" t="s">
        <v>4368</v>
      </c>
      <c r="F28" s="6" t="s">
        <v>4560</v>
      </c>
      <c r="G28" s="6" t="s">
        <v>4561</v>
      </c>
    </row>
    <row r="29" customFormat="false" ht="15" hidden="false" customHeight="false" outlineLevel="0" collapsed="false">
      <c r="A29" s="6" t="s">
        <v>198</v>
      </c>
      <c r="B29" s="6" t="s">
        <v>241</v>
      </c>
      <c r="C29" s="6" t="s">
        <v>4545</v>
      </c>
      <c r="D29" s="6" t="s">
        <v>4542</v>
      </c>
      <c r="E29" s="6" t="s">
        <v>4273</v>
      </c>
      <c r="F29" s="6" t="s">
        <v>4369</v>
      </c>
      <c r="G29" s="6" t="s">
        <v>4562</v>
      </c>
    </row>
    <row r="30" customFormat="false" ht="15" hidden="false" customHeight="false" outlineLevel="0" collapsed="false">
      <c r="A30" s="6" t="s">
        <v>202</v>
      </c>
      <c r="B30" s="6" t="s">
        <v>241</v>
      </c>
      <c r="C30" s="6" t="s">
        <v>4549</v>
      </c>
      <c r="D30" s="6" t="s">
        <v>4546</v>
      </c>
      <c r="E30" s="6" t="s">
        <v>4547</v>
      </c>
      <c r="F30" s="6" t="s">
        <v>4303</v>
      </c>
      <c r="G30" s="6" t="s">
        <v>4563</v>
      </c>
    </row>
    <row r="31" customFormat="false" ht="15" hidden="false" customHeight="false" outlineLevel="0" collapsed="false">
      <c r="A31" s="6" t="s">
        <v>205</v>
      </c>
      <c r="B31" s="6" t="s">
        <v>244</v>
      </c>
      <c r="C31" s="6" t="s">
        <v>4552</v>
      </c>
      <c r="D31" s="6" t="s">
        <v>4550</v>
      </c>
      <c r="E31" s="6" t="s">
        <v>4349</v>
      </c>
      <c r="F31" s="6" t="s">
        <v>4547</v>
      </c>
      <c r="G31" s="6" t="s">
        <v>4564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22"/>
    <col collapsed="false" customWidth="true" hidden="false" outlineLevel="0" max="5" min="5" style="0" width="6"/>
  </cols>
  <sheetData>
    <row r="1" customFormat="false" ht="17.35" hidden="false" customHeight="false" outlineLevel="0" collapsed="false">
      <c r="A1" s="1" t="s">
        <v>4565</v>
      </c>
    </row>
    <row r="4" customFormat="false" ht="15" hidden="false" customHeight="false" outlineLevel="0" collapsed="false">
      <c r="A4" s="5" t="s">
        <v>4566</v>
      </c>
      <c r="B4" s="5" t="s">
        <v>4567</v>
      </c>
      <c r="C4" s="5" t="s">
        <v>4568</v>
      </c>
      <c r="D4" s="5" t="s">
        <v>4569</v>
      </c>
      <c r="E4" s="5" t="s">
        <v>4270</v>
      </c>
    </row>
    <row r="5" customFormat="false" ht="15" hidden="false" customHeight="false" outlineLevel="0" collapsed="false">
      <c r="A5" s="6" t="s">
        <v>4570</v>
      </c>
      <c r="B5" s="6" t="s">
        <v>4571</v>
      </c>
      <c r="C5" s="6" t="s">
        <v>4572</v>
      </c>
      <c r="D5" s="6" t="s">
        <v>4573</v>
      </c>
      <c r="E5" s="6" t="n">
        <v>61</v>
      </c>
    </row>
    <row r="6" customFormat="false" ht="15" hidden="false" customHeight="false" outlineLevel="0" collapsed="false">
      <c r="A6" s="6" t="s">
        <v>166</v>
      </c>
      <c r="B6" s="6" t="s">
        <v>4574</v>
      </c>
      <c r="C6" s="6" t="s">
        <v>200</v>
      </c>
      <c r="D6" s="6" t="s">
        <v>4573</v>
      </c>
      <c r="E6" s="6" t="n">
        <v>45</v>
      </c>
    </row>
    <row r="7" customFormat="false" ht="15" hidden="false" customHeight="false" outlineLevel="0" collapsed="false">
      <c r="A7" s="6" t="s">
        <v>166</v>
      </c>
      <c r="B7" s="6" t="s">
        <v>4575</v>
      </c>
      <c r="C7" s="6" t="s">
        <v>201</v>
      </c>
      <c r="D7" s="6" t="s">
        <v>4573</v>
      </c>
      <c r="E7" s="6" t="n">
        <v>45</v>
      </c>
    </row>
    <row r="8" customFormat="false" ht="15" hidden="false" customHeight="false" outlineLevel="0" collapsed="false">
      <c r="A8" s="6" t="s">
        <v>4570</v>
      </c>
      <c r="B8" s="6" t="s">
        <v>4576</v>
      </c>
      <c r="C8" s="6" t="s">
        <v>4577</v>
      </c>
      <c r="D8" s="6" t="s">
        <v>4573</v>
      </c>
      <c r="E8" s="6" t="n">
        <v>83</v>
      </c>
    </row>
    <row r="9" customFormat="false" ht="15" hidden="false" customHeight="false" outlineLevel="0" collapsed="false">
      <c r="A9" s="6" t="s">
        <v>4570</v>
      </c>
      <c r="B9" s="6" t="s">
        <v>4578</v>
      </c>
      <c r="C9" s="6" t="s">
        <v>1641</v>
      </c>
      <c r="D9" s="6" t="s">
        <v>4573</v>
      </c>
      <c r="E9" s="6" t="n">
        <v>83</v>
      </c>
    </row>
    <row r="10" customFormat="false" ht="15" hidden="false" customHeight="false" outlineLevel="0" collapsed="false">
      <c r="A10" s="6" t="s">
        <v>4579</v>
      </c>
      <c r="B10" s="6" t="s">
        <v>4580</v>
      </c>
      <c r="C10" s="6" t="s">
        <v>4581</v>
      </c>
      <c r="D10" s="6" t="s">
        <v>4573</v>
      </c>
      <c r="E10" s="6" t="n">
        <v>83</v>
      </c>
    </row>
    <row r="11" customFormat="false" ht="15" hidden="false" customHeight="false" outlineLevel="0" collapsed="false">
      <c r="A11" s="6" t="s">
        <v>4579</v>
      </c>
      <c r="B11" s="6" t="s">
        <v>4582</v>
      </c>
      <c r="C11" s="6" t="s">
        <v>4583</v>
      </c>
      <c r="D11" s="6" t="s">
        <v>4573</v>
      </c>
      <c r="E11" s="6" t="n">
        <v>83</v>
      </c>
    </row>
    <row r="12" customFormat="false" ht="15" hidden="false" customHeight="false" outlineLevel="0" collapsed="false">
      <c r="A12" s="6" t="s">
        <v>4579</v>
      </c>
      <c r="B12" s="6" t="s">
        <v>4584</v>
      </c>
      <c r="C12" s="6" t="s">
        <v>4585</v>
      </c>
      <c r="D12" s="6" t="s">
        <v>4573</v>
      </c>
      <c r="E12" s="6" t="n">
        <v>83</v>
      </c>
    </row>
    <row r="13" customFormat="false" ht="15" hidden="false" customHeight="false" outlineLevel="0" collapsed="false">
      <c r="A13" s="6" t="s">
        <v>4586</v>
      </c>
      <c r="B13" s="6" t="s">
        <v>4587</v>
      </c>
      <c r="C13" s="6" t="s">
        <v>4588</v>
      </c>
      <c r="D13" s="6" t="s">
        <v>4573</v>
      </c>
      <c r="E13" s="6" t="n">
        <v>83</v>
      </c>
    </row>
    <row r="14" customFormat="false" ht="15" hidden="false" customHeight="false" outlineLevel="0" collapsed="false">
      <c r="A14" s="6" t="s">
        <v>4</v>
      </c>
      <c r="B14" s="6" t="s">
        <v>4589</v>
      </c>
      <c r="C14" s="6" t="s">
        <v>4590</v>
      </c>
      <c r="D14" s="6" t="s">
        <v>4573</v>
      </c>
      <c r="E14" s="6" t="n">
        <v>85</v>
      </c>
    </row>
    <row r="15" customFormat="false" ht="15" hidden="false" customHeight="false" outlineLevel="0" collapsed="false">
      <c r="A15" s="6" t="s">
        <v>4</v>
      </c>
      <c r="B15" s="6" t="s">
        <v>4591</v>
      </c>
      <c r="C15" s="6" t="s">
        <v>4590</v>
      </c>
      <c r="D15" s="6" t="s">
        <v>4573</v>
      </c>
      <c r="E15" s="6" t="n">
        <v>85</v>
      </c>
    </row>
    <row r="16" customFormat="false" ht="15" hidden="false" customHeight="false" outlineLevel="0" collapsed="false">
      <c r="A16" s="6" t="s">
        <v>4</v>
      </c>
      <c r="B16" s="6" t="s">
        <v>4592</v>
      </c>
      <c r="C16" s="6" t="s">
        <v>4590</v>
      </c>
      <c r="D16" s="6" t="s">
        <v>4573</v>
      </c>
      <c r="E16" s="6" t="n">
        <v>85</v>
      </c>
    </row>
    <row r="17" customFormat="false" ht="15" hidden="false" customHeight="false" outlineLevel="0" collapsed="false">
      <c r="A17" s="6" t="s">
        <v>4</v>
      </c>
      <c r="B17" s="6" t="s">
        <v>4593</v>
      </c>
      <c r="C17" s="6" t="s">
        <v>4590</v>
      </c>
      <c r="D17" s="6" t="s">
        <v>4573</v>
      </c>
      <c r="E17" s="6" t="n">
        <v>85</v>
      </c>
    </row>
    <row r="18" customFormat="false" ht="15" hidden="false" customHeight="false" outlineLevel="0" collapsed="false">
      <c r="A18" s="6" t="s">
        <v>4</v>
      </c>
      <c r="B18" s="6" t="s">
        <v>4594</v>
      </c>
      <c r="C18" s="6" t="s">
        <v>4590</v>
      </c>
      <c r="D18" s="6" t="s">
        <v>4573</v>
      </c>
      <c r="E18" s="6" t="n">
        <v>85</v>
      </c>
    </row>
    <row r="19" customFormat="false" ht="15" hidden="false" customHeight="false" outlineLevel="0" collapsed="false">
      <c r="A19" s="6" t="s">
        <v>4</v>
      </c>
      <c r="B19" s="6" t="s">
        <v>4595</v>
      </c>
      <c r="C19" s="6" t="s">
        <v>4590</v>
      </c>
      <c r="D19" s="6" t="s">
        <v>4573</v>
      </c>
      <c r="E19" s="6" t="n">
        <v>85</v>
      </c>
    </row>
    <row r="20" customFormat="false" ht="15" hidden="false" customHeight="false" outlineLevel="0" collapsed="false">
      <c r="A20" s="6" t="s">
        <v>4</v>
      </c>
      <c r="B20" s="6" t="s">
        <v>4596</v>
      </c>
      <c r="C20" s="6" t="s">
        <v>4590</v>
      </c>
      <c r="D20" s="6" t="s">
        <v>4573</v>
      </c>
      <c r="E20" s="6" t="n">
        <v>85</v>
      </c>
    </row>
    <row r="21" customFormat="false" ht="15" hidden="false" customHeight="false" outlineLevel="0" collapsed="false">
      <c r="A21" s="6" t="s">
        <v>4</v>
      </c>
      <c r="B21" s="6" t="s">
        <v>4597</v>
      </c>
      <c r="C21" s="6" t="s">
        <v>4590</v>
      </c>
      <c r="D21" s="6" t="s">
        <v>4573</v>
      </c>
      <c r="E21" s="6" t="n">
        <v>85</v>
      </c>
    </row>
    <row r="22" customFormat="false" ht="15" hidden="false" customHeight="false" outlineLevel="0" collapsed="false">
      <c r="A22" s="6" t="s">
        <v>4</v>
      </c>
      <c r="B22" s="6" t="s">
        <v>4598</v>
      </c>
      <c r="C22" s="6" t="s">
        <v>4590</v>
      </c>
      <c r="D22" s="6" t="s">
        <v>4573</v>
      </c>
      <c r="E22" s="6" t="n">
        <v>85</v>
      </c>
    </row>
    <row r="23" customFormat="false" ht="15" hidden="false" customHeight="false" outlineLevel="0" collapsed="false">
      <c r="A23" s="6" t="s">
        <v>4</v>
      </c>
      <c r="B23" s="6" t="s">
        <v>4599</v>
      </c>
      <c r="C23" s="6" t="s">
        <v>4590</v>
      </c>
      <c r="D23" s="6" t="s">
        <v>4573</v>
      </c>
      <c r="E23" s="6" t="n">
        <v>85</v>
      </c>
    </row>
    <row r="24" customFormat="false" ht="15" hidden="false" customHeight="false" outlineLevel="0" collapsed="false">
      <c r="A24" s="6" t="s">
        <v>4</v>
      </c>
      <c r="B24" s="6" t="s">
        <v>4600</v>
      </c>
      <c r="C24" s="6" t="s">
        <v>4590</v>
      </c>
      <c r="D24" s="6" t="s">
        <v>4573</v>
      </c>
      <c r="E24" s="6" t="n">
        <v>85</v>
      </c>
    </row>
    <row r="25" customFormat="false" ht="15" hidden="false" customHeight="false" outlineLevel="0" collapsed="false">
      <c r="A25" s="6" t="s">
        <v>4</v>
      </c>
      <c r="B25" s="6" t="s">
        <v>4601</v>
      </c>
      <c r="C25" s="6" t="s">
        <v>4590</v>
      </c>
      <c r="D25" s="6" t="s">
        <v>4573</v>
      </c>
      <c r="E25" s="6" t="n">
        <v>85</v>
      </c>
    </row>
    <row r="26" customFormat="false" ht="15" hidden="false" customHeight="false" outlineLevel="0" collapsed="false">
      <c r="A26" s="6" t="s">
        <v>4602</v>
      </c>
      <c r="B26" s="6" t="s">
        <v>4603</v>
      </c>
      <c r="C26" s="6" t="s">
        <v>4604</v>
      </c>
      <c r="D26" s="6" t="s">
        <v>4573</v>
      </c>
      <c r="E26" s="6" t="n">
        <v>84</v>
      </c>
    </row>
    <row r="27" customFormat="false" ht="15" hidden="false" customHeight="false" outlineLevel="0" collapsed="false">
      <c r="A27" s="6" t="s">
        <v>4579</v>
      </c>
      <c r="B27" s="6" t="s">
        <v>4605</v>
      </c>
      <c r="C27" s="6" t="s">
        <v>4606</v>
      </c>
      <c r="D27" s="6" t="s">
        <v>4573</v>
      </c>
      <c r="E27" s="6" t="n">
        <v>84</v>
      </c>
    </row>
    <row r="28" customFormat="false" ht="15" hidden="false" customHeight="false" outlineLevel="0" collapsed="false">
      <c r="A28" s="6" t="s">
        <v>4607</v>
      </c>
      <c r="B28" s="6" t="s">
        <v>4608</v>
      </c>
      <c r="C28" s="6" t="s">
        <v>4609</v>
      </c>
      <c r="D28" s="6" t="s">
        <v>4573</v>
      </c>
      <c r="E28" s="6" t="n">
        <v>89</v>
      </c>
    </row>
    <row r="29" customFormat="false" ht="15" hidden="false" customHeight="false" outlineLevel="0" collapsed="false">
      <c r="A29" s="6" t="s">
        <v>4607</v>
      </c>
      <c r="B29" s="6" t="s">
        <v>4610</v>
      </c>
      <c r="C29" s="6" t="s">
        <v>4611</v>
      </c>
      <c r="D29" s="6" t="s">
        <v>4573</v>
      </c>
      <c r="E29" s="6" t="n">
        <v>89</v>
      </c>
    </row>
    <row r="30" customFormat="false" ht="15" hidden="false" customHeight="false" outlineLevel="0" collapsed="false">
      <c r="A30" s="6" t="s">
        <v>4607</v>
      </c>
      <c r="B30" s="6" t="s">
        <v>4612</v>
      </c>
      <c r="C30" s="6" t="s">
        <v>4613</v>
      </c>
      <c r="D30" s="6" t="s">
        <v>4573</v>
      </c>
      <c r="E30" s="6" t="n">
        <v>90</v>
      </c>
    </row>
    <row r="31" customFormat="false" ht="15" hidden="false" customHeight="false" outlineLevel="0" collapsed="false">
      <c r="A31" s="6" t="s">
        <v>4607</v>
      </c>
      <c r="B31" s="6" t="s">
        <v>4614</v>
      </c>
      <c r="C31" s="6" t="s">
        <v>4615</v>
      </c>
      <c r="D31" s="6" t="s">
        <v>4573</v>
      </c>
      <c r="E31" s="6" t="n">
        <v>90</v>
      </c>
    </row>
    <row r="32" customFormat="false" ht="15" hidden="false" customHeight="false" outlineLevel="0" collapsed="false">
      <c r="A32" s="6" t="s">
        <v>50</v>
      </c>
      <c r="B32" s="6" t="s">
        <v>4616</v>
      </c>
      <c r="C32" s="6" t="s">
        <v>4617</v>
      </c>
      <c r="D32" s="6" t="s">
        <v>4573</v>
      </c>
      <c r="E32" s="6" t="n">
        <v>87</v>
      </c>
    </row>
    <row r="33" customFormat="false" ht="15" hidden="false" customHeight="false" outlineLevel="0" collapsed="false">
      <c r="A33" s="6" t="s">
        <v>50</v>
      </c>
      <c r="B33" s="6" t="s">
        <v>4618</v>
      </c>
      <c r="C33" s="6" t="s">
        <v>4619</v>
      </c>
      <c r="D33" s="6" t="s">
        <v>4573</v>
      </c>
      <c r="E33" s="6" t="n">
        <v>87</v>
      </c>
    </row>
    <row r="34" customFormat="false" ht="15" hidden="false" customHeight="false" outlineLevel="0" collapsed="false">
      <c r="A34" s="6" t="s">
        <v>50</v>
      </c>
      <c r="B34" s="6" t="s">
        <v>4620</v>
      </c>
      <c r="C34" s="6" t="s">
        <v>4621</v>
      </c>
      <c r="D34" s="6" t="s">
        <v>4573</v>
      </c>
      <c r="E34" s="6" t="n">
        <v>87</v>
      </c>
    </row>
    <row r="35" customFormat="false" ht="15" hidden="false" customHeight="false" outlineLevel="0" collapsed="false">
      <c r="A35" s="6" t="s">
        <v>50</v>
      </c>
      <c r="B35" s="6" t="s">
        <v>4622</v>
      </c>
      <c r="C35" s="6" t="s">
        <v>4623</v>
      </c>
      <c r="D35" s="6" t="s">
        <v>4573</v>
      </c>
      <c r="E35" s="6" t="n">
        <v>87</v>
      </c>
    </row>
    <row r="36" customFormat="false" ht="15" hidden="false" customHeight="false" outlineLevel="0" collapsed="false">
      <c r="A36" s="6" t="s">
        <v>50</v>
      </c>
      <c r="B36" s="6" t="s">
        <v>4624</v>
      </c>
      <c r="C36" s="6" t="s">
        <v>4625</v>
      </c>
      <c r="D36" s="6" t="s">
        <v>4573</v>
      </c>
      <c r="E36" s="6" t="n">
        <v>88</v>
      </c>
    </row>
    <row r="37" customFormat="false" ht="15" hidden="false" customHeight="false" outlineLevel="0" collapsed="false">
      <c r="A37" s="6" t="s">
        <v>50</v>
      </c>
      <c r="B37" s="6" t="s">
        <v>4626</v>
      </c>
      <c r="C37" s="6" t="s">
        <v>4627</v>
      </c>
      <c r="D37" s="6" t="s">
        <v>4573</v>
      </c>
      <c r="E37" s="6" t="n">
        <v>88</v>
      </c>
    </row>
    <row r="38" customFormat="false" ht="15" hidden="false" customHeight="false" outlineLevel="0" collapsed="false">
      <c r="A38" s="6" t="s">
        <v>50</v>
      </c>
      <c r="B38" s="6" t="s">
        <v>4628</v>
      </c>
      <c r="C38" s="6" t="s">
        <v>4629</v>
      </c>
      <c r="D38" s="6" t="s">
        <v>4573</v>
      </c>
      <c r="E38" s="6" t="n">
        <v>88</v>
      </c>
    </row>
    <row r="39" customFormat="false" ht="15" hidden="false" customHeight="false" outlineLevel="0" collapsed="false">
      <c r="A39" s="6" t="s">
        <v>50</v>
      </c>
      <c r="B39" s="6" t="s">
        <v>4630</v>
      </c>
      <c r="C39" s="6" t="s">
        <v>4631</v>
      </c>
      <c r="D39" s="6" t="s">
        <v>4573</v>
      </c>
      <c r="E39" s="6" t="n">
        <v>88</v>
      </c>
    </row>
    <row r="40" customFormat="false" ht="15" hidden="false" customHeight="false" outlineLevel="0" collapsed="false">
      <c r="A40" s="6" t="s">
        <v>50</v>
      </c>
      <c r="B40" s="6" t="s">
        <v>4632</v>
      </c>
      <c r="C40" s="6" t="s">
        <v>4633</v>
      </c>
      <c r="D40" s="6" t="s">
        <v>4573</v>
      </c>
      <c r="E40" s="6" t="n">
        <v>88</v>
      </c>
    </row>
    <row r="41" customFormat="false" ht="15" hidden="false" customHeight="false" outlineLevel="0" collapsed="false">
      <c r="A41" s="6" t="s">
        <v>50</v>
      </c>
      <c r="B41" s="6" t="s">
        <v>4634</v>
      </c>
      <c r="C41" s="6" t="s">
        <v>4635</v>
      </c>
      <c r="D41" s="6" t="s">
        <v>4573</v>
      </c>
      <c r="E41" s="6" t="n">
        <v>88</v>
      </c>
    </row>
    <row r="42" customFormat="false" ht="15" hidden="false" customHeight="false" outlineLevel="0" collapsed="false">
      <c r="A42" s="6" t="s">
        <v>50</v>
      </c>
      <c r="B42" s="6" t="s">
        <v>4636</v>
      </c>
      <c r="C42" s="6" t="s">
        <v>4637</v>
      </c>
      <c r="D42" s="6" t="s">
        <v>4638</v>
      </c>
      <c r="E42" s="6" t="n">
        <v>88</v>
      </c>
    </row>
    <row r="43" customFormat="false" ht="15" hidden="false" customHeight="false" outlineLevel="0" collapsed="false">
      <c r="A43" s="6" t="s">
        <v>252</v>
      </c>
      <c r="B43" s="6" t="s">
        <v>4639</v>
      </c>
      <c r="C43" s="6" t="s">
        <v>4640</v>
      </c>
      <c r="D43" s="6" t="s">
        <v>4573</v>
      </c>
      <c r="E43" s="6" t="n">
        <v>62</v>
      </c>
    </row>
    <row r="44" customFormat="false" ht="15" hidden="false" customHeight="false" outlineLevel="0" collapsed="false">
      <c r="A44" s="6" t="s">
        <v>227</v>
      </c>
      <c r="B44" s="6" t="s">
        <v>4641</v>
      </c>
      <c r="C44" s="6" t="s">
        <v>4642</v>
      </c>
      <c r="D44" s="6" t="s">
        <v>4573</v>
      </c>
      <c r="E44" s="6" t="n">
        <v>54</v>
      </c>
    </row>
    <row r="45" customFormat="false" ht="15" hidden="false" customHeight="false" outlineLevel="0" collapsed="false">
      <c r="A45" s="6" t="s">
        <v>227</v>
      </c>
      <c r="B45" s="6" t="s">
        <v>4643</v>
      </c>
      <c r="C45" s="6" t="s">
        <v>4644</v>
      </c>
      <c r="D45" s="6" t="s">
        <v>4638</v>
      </c>
      <c r="E45" s="6" t="n">
        <v>54</v>
      </c>
    </row>
    <row r="47" customFormat="false" ht="15" hidden="false" customHeight="false" outlineLevel="0" collapsed="false">
      <c r="A47" s="6" t="s">
        <v>4645</v>
      </c>
      <c r="B47" s="6" t="s">
        <v>4646</v>
      </c>
      <c r="C47" s="6" t="s">
        <v>4647</v>
      </c>
      <c r="D47" s="6" t="s">
        <v>4648</v>
      </c>
      <c r="E47" s="6" t="n">
        <v>90</v>
      </c>
    </row>
    <row r="48" customFormat="false" ht="15" hidden="false" customHeight="false" outlineLevel="0" collapsed="false">
      <c r="A48" s="6" t="s">
        <v>4645</v>
      </c>
      <c r="B48" s="6" t="s">
        <v>4649</v>
      </c>
      <c r="C48" s="6"/>
      <c r="D48" s="6" t="s">
        <v>4648</v>
      </c>
      <c r="E48" s="6" t="n">
        <v>90</v>
      </c>
    </row>
    <row r="49" customFormat="false" ht="15" hidden="false" customHeight="false" outlineLevel="0" collapsed="false">
      <c r="A49" s="6" t="s">
        <v>4650</v>
      </c>
      <c r="B49" s="6" t="s">
        <v>4651</v>
      </c>
      <c r="C49" s="6" t="s">
        <v>4652</v>
      </c>
      <c r="D49" s="6" t="s">
        <v>4653</v>
      </c>
      <c r="E49" s="6" t="n">
        <v>90</v>
      </c>
    </row>
    <row r="50" customFormat="false" ht="15" hidden="false" customHeight="false" outlineLevel="0" collapsed="false">
      <c r="A50" s="6" t="s">
        <v>451</v>
      </c>
      <c r="B50" s="6" t="s">
        <v>4654</v>
      </c>
      <c r="C50" s="6" t="s">
        <v>4655</v>
      </c>
      <c r="D50" s="6" t="s">
        <v>4656</v>
      </c>
      <c r="E50" s="6" t="n">
        <v>86</v>
      </c>
    </row>
  </sheetData>
  <conditionalFormatting sqref="D5:D4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7" min="3" style="0" width="10"/>
  </cols>
  <sheetData>
    <row r="1" customFormat="false" ht="17.35" hidden="false" customHeight="false" outlineLevel="0" collapsed="false">
      <c r="A1" s="1" t="s">
        <v>4657</v>
      </c>
    </row>
    <row r="4" customFormat="false" ht="26.85" hidden="false" customHeight="false" outlineLevel="0" collapsed="false">
      <c r="A4" s="5" t="s">
        <v>4658</v>
      </c>
      <c r="B4" s="5" t="s">
        <v>4659</v>
      </c>
      <c r="C4" s="5" t="s">
        <v>4660</v>
      </c>
      <c r="D4" s="5" t="s">
        <v>4661</v>
      </c>
      <c r="E4" s="5" t="s">
        <v>4662</v>
      </c>
      <c r="F4" s="5" t="s">
        <v>4663</v>
      </c>
      <c r="G4" s="5" t="s">
        <v>4664</v>
      </c>
    </row>
    <row r="5" customFormat="false" ht="15" hidden="false" customHeight="false" outlineLevel="0" collapsed="false">
      <c r="A5" s="6" t="s">
        <v>4665</v>
      </c>
      <c r="B5" s="6" t="s">
        <v>4666</v>
      </c>
      <c r="C5" s="6" t="n">
        <v>36</v>
      </c>
      <c r="D5" s="6" t="n">
        <v>36</v>
      </c>
      <c r="E5" s="6" t="n">
        <v>3</v>
      </c>
      <c r="F5" s="6" t="n">
        <v>5</v>
      </c>
      <c r="G5" s="6" t="s">
        <v>4667</v>
      </c>
    </row>
    <row r="6" customFormat="false" ht="15" hidden="false" customHeight="false" outlineLevel="0" collapsed="false">
      <c r="A6" s="6" t="s">
        <v>4665</v>
      </c>
      <c r="B6" s="6" t="s">
        <v>4668</v>
      </c>
      <c r="C6" s="6" t="n">
        <v>34</v>
      </c>
      <c r="D6" s="6" t="n">
        <v>36</v>
      </c>
      <c r="E6" s="6" t="n">
        <v>3</v>
      </c>
      <c r="F6" s="6" t="n">
        <v>5</v>
      </c>
      <c r="G6" s="6"/>
    </row>
    <row r="7" customFormat="false" ht="15" hidden="false" customHeight="false" outlineLevel="0" collapsed="false">
      <c r="A7" s="6" t="s">
        <v>4669</v>
      </c>
      <c r="B7" s="6" t="s">
        <v>4666</v>
      </c>
      <c r="C7" s="6" t="n">
        <v>29</v>
      </c>
      <c r="D7" s="6" t="n">
        <v>36</v>
      </c>
      <c r="E7" s="6" t="n">
        <v>3</v>
      </c>
      <c r="F7" s="6" t="n">
        <v>5</v>
      </c>
      <c r="G7" s="6"/>
    </row>
    <row r="8" customFormat="false" ht="15" hidden="false" customHeight="false" outlineLevel="0" collapsed="false">
      <c r="A8" s="6" t="s">
        <v>4669</v>
      </c>
      <c r="B8" s="6" t="s">
        <v>4668</v>
      </c>
      <c r="C8" s="6" t="n">
        <v>28</v>
      </c>
      <c r="D8" s="6" t="n">
        <v>36</v>
      </c>
      <c r="E8" s="6" t="n">
        <v>3</v>
      </c>
      <c r="F8" s="6" t="n">
        <v>5</v>
      </c>
      <c r="G8" s="6"/>
    </row>
    <row r="9" customFormat="false" ht="15" hidden="false" customHeight="false" outlineLevel="0" collapsed="false">
      <c r="A9" s="6" t="s">
        <v>4670</v>
      </c>
      <c r="B9" s="6" t="s">
        <v>4666</v>
      </c>
      <c r="C9" s="6" t="n">
        <v>34</v>
      </c>
      <c r="D9" s="6" t="n">
        <v>36</v>
      </c>
      <c r="E9" s="6" t="n">
        <v>3</v>
      </c>
      <c r="F9" s="6" t="n">
        <v>5</v>
      </c>
      <c r="G9" s="6"/>
    </row>
    <row r="10" customFormat="false" ht="15" hidden="false" customHeight="false" outlineLevel="0" collapsed="false">
      <c r="A10" s="6" t="s">
        <v>4670</v>
      </c>
      <c r="B10" s="6" t="s">
        <v>4668</v>
      </c>
      <c r="C10" s="6" t="n">
        <v>34</v>
      </c>
      <c r="D10" s="6" t="n">
        <v>36</v>
      </c>
      <c r="E10" s="6" t="n">
        <v>3</v>
      </c>
      <c r="F10" s="6" t="n">
        <v>5</v>
      </c>
      <c r="G10" s="6"/>
    </row>
    <row r="11" customFormat="false" ht="15" hidden="false" customHeight="false" outlineLevel="0" collapsed="false">
      <c r="A11" s="6" t="s">
        <v>4671</v>
      </c>
      <c r="B11" s="6" t="s">
        <v>4666</v>
      </c>
      <c r="C11" s="6" t="n">
        <v>30</v>
      </c>
      <c r="D11" s="6" t="n">
        <v>36</v>
      </c>
      <c r="E11" s="6" t="n">
        <v>3</v>
      </c>
      <c r="F11" s="6" t="n">
        <v>5</v>
      </c>
      <c r="G11" s="6"/>
    </row>
    <row r="12" customFormat="false" ht="15" hidden="false" customHeight="false" outlineLevel="0" collapsed="false">
      <c r="A12" s="6" t="s">
        <v>4671</v>
      </c>
      <c r="B12" s="6" t="s">
        <v>4668</v>
      </c>
      <c r="C12" s="6" t="n">
        <v>28</v>
      </c>
      <c r="D12" s="6" t="n">
        <v>36</v>
      </c>
      <c r="E12" s="6" t="n">
        <v>3</v>
      </c>
      <c r="F12" s="6" t="n">
        <v>5</v>
      </c>
      <c r="G12" s="6"/>
    </row>
    <row r="13" customFormat="false" ht="15" hidden="false" customHeight="false" outlineLevel="0" collapsed="false">
      <c r="A13" s="6" t="s">
        <v>4672</v>
      </c>
      <c r="B13" s="6" t="s">
        <v>4666</v>
      </c>
      <c r="C13" s="6" t="n">
        <v>11</v>
      </c>
      <c r="D13" s="6" t="n">
        <v>36</v>
      </c>
      <c r="E13" s="6" t="n">
        <v>2</v>
      </c>
      <c r="F13" s="6" t="n">
        <v>5</v>
      </c>
      <c r="G13" s="6"/>
    </row>
    <row r="14" customFormat="false" ht="15" hidden="false" customHeight="false" outlineLevel="0" collapsed="false">
      <c r="A14" s="6" t="s">
        <v>4672</v>
      </c>
      <c r="B14" s="6" t="s">
        <v>4668</v>
      </c>
      <c r="C14" s="6" t="n">
        <v>10</v>
      </c>
      <c r="D14" s="6" t="n">
        <v>36</v>
      </c>
      <c r="E14" s="6" t="n">
        <v>2</v>
      </c>
      <c r="F14" s="6" t="n">
        <v>5</v>
      </c>
      <c r="G14" s="6"/>
    </row>
    <row r="17" customFormat="false" ht="15" hidden="false" customHeight="false" outlineLevel="0" collapsed="false">
      <c r="A17" s="3" t="s">
        <v>4673</v>
      </c>
    </row>
    <row r="18" customFormat="false" ht="15" hidden="false" customHeight="false" outlineLevel="0" collapsed="false">
      <c r="A18" s="6" t="s">
        <v>4674</v>
      </c>
    </row>
    <row r="19" customFormat="false" ht="15" hidden="false" customHeight="false" outlineLevel="0" collapsed="false">
      <c r="A19" s="6" t="s">
        <v>4675</v>
      </c>
    </row>
    <row r="20" customFormat="false" ht="15" hidden="false" customHeight="false" outlineLevel="0" collapsed="false">
      <c r="A20" s="6" t="s">
        <v>4676</v>
      </c>
    </row>
    <row r="21" customFormat="false" ht="15" hidden="false" customHeight="false" outlineLevel="0" collapsed="false">
      <c r="A21" s="6" t="s">
        <v>4677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9" min="3" style="0" width="9"/>
    <col collapsed="false" customWidth="true" hidden="false" outlineLevel="0" max="13" min="10" style="0" width="12"/>
  </cols>
  <sheetData>
    <row r="1" customFormat="false" ht="17.35" hidden="false" customHeight="false" outlineLevel="0" collapsed="false">
      <c r="A1" s="1" t="s">
        <v>4678</v>
      </c>
    </row>
    <row r="2" customFormat="false" ht="15" hidden="false" customHeight="false" outlineLevel="0" collapsed="false">
      <c r="A2" s="2" t="s">
        <v>4679</v>
      </c>
    </row>
    <row r="4" customFormat="false" ht="39.55" hidden="false" customHeight="false" outlineLevel="0" collapsed="false">
      <c r="A4" s="5" t="s">
        <v>9</v>
      </c>
      <c r="B4" s="5" t="s">
        <v>4680</v>
      </c>
      <c r="C4" s="5" t="s">
        <v>4681</v>
      </c>
      <c r="D4" s="5" t="s">
        <v>140</v>
      </c>
      <c r="E4" s="5" t="s">
        <v>4682</v>
      </c>
      <c r="F4" s="5" t="s">
        <v>152</v>
      </c>
      <c r="G4" s="5" t="s">
        <v>4683</v>
      </c>
      <c r="H4" s="5" t="s">
        <v>4684</v>
      </c>
      <c r="I4" s="5" t="s">
        <v>4685</v>
      </c>
      <c r="J4" s="5" t="s">
        <v>4686</v>
      </c>
      <c r="K4" s="5" t="s">
        <v>4687</v>
      </c>
      <c r="L4" s="5" t="s">
        <v>4688</v>
      </c>
      <c r="M4" s="5" t="s">
        <v>4689</v>
      </c>
    </row>
    <row r="5" customFormat="false" ht="15" hidden="false" customHeight="false" outlineLevel="0" collapsed="false">
      <c r="A5" s="6" t="s">
        <v>18</v>
      </c>
      <c r="B5" s="6" t="s">
        <v>4690</v>
      </c>
      <c r="C5" s="6" t="s">
        <v>4691</v>
      </c>
      <c r="D5" s="6" t="s">
        <v>154</v>
      </c>
      <c r="E5" s="6" t="n">
        <v>2924</v>
      </c>
      <c r="F5" s="24" t="n">
        <v>0.504787961696307</v>
      </c>
      <c r="G5" s="24" t="n">
        <v>0.486671097724527</v>
      </c>
      <c r="H5" s="24" t="n">
        <v>0.522892261167567</v>
      </c>
      <c r="I5" s="24" t="n">
        <v>0.531336661120355</v>
      </c>
      <c r="J5" s="24" t="n">
        <v>0.505867014341591</v>
      </c>
      <c r="K5" s="24" t="n">
        <v>0.503597122302158</v>
      </c>
      <c r="L5" s="25" t="n">
        <v>-0.000729082646876682</v>
      </c>
      <c r="M5" s="25" t="n">
        <v>-0.000640930793740845</v>
      </c>
    </row>
    <row r="6" customFormat="false" ht="15" hidden="false" customHeight="false" outlineLevel="0" collapsed="false">
      <c r="A6" s="6" t="s">
        <v>18</v>
      </c>
      <c r="B6" s="6" t="s">
        <v>4690</v>
      </c>
      <c r="C6" s="6" t="s">
        <v>4691</v>
      </c>
      <c r="D6" s="6" t="s">
        <v>149</v>
      </c>
      <c r="E6" s="6" t="n">
        <v>2413</v>
      </c>
      <c r="F6" s="24" t="n">
        <v>0.495648570244509</v>
      </c>
      <c r="G6" s="24" t="n">
        <v>0.475721895088558</v>
      </c>
      <c r="H6" s="24" t="n">
        <v>0.515589078704677</v>
      </c>
      <c r="I6" s="24" t="n">
        <v>0.538162642242576</v>
      </c>
      <c r="J6" s="24" t="n">
        <v>0.489639293937068</v>
      </c>
      <c r="K6" s="24" t="n">
        <v>0.502702702702703</v>
      </c>
      <c r="L6" s="25" t="n">
        <v>0.00117270655563212</v>
      </c>
      <c r="M6" s="25" t="n">
        <v>0.000774408340628048</v>
      </c>
    </row>
    <row r="7" customFormat="false" ht="15" hidden="false" customHeight="false" outlineLevel="0" collapsed="false">
      <c r="A7" s="6" t="s">
        <v>18</v>
      </c>
      <c r="B7" s="6" t="s">
        <v>4690</v>
      </c>
      <c r="C7" s="6" t="s">
        <v>4691</v>
      </c>
      <c r="D7" s="6" t="s">
        <v>4281</v>
      </c>
      <c r="E7" s="6" t="n">
        <v>2334</v>
      </c>
      <c r="F7" s="24" t="n">
        <v>0.408740359897172</v>
      </c>
      <c r="G7" s="24" t="n">
        <v>0.388961861589632</v>
      </c>
      <c r="H7" s="24" t="n">
        <v>0.428818778467419</v>
      </c>
      <c r="I7" s="24" t="n">
        <v>0.653867713004484</v>
      </c>
      <c r="J7" s="24" t="n">
        <v>0.339143064633261</v>
      </c>
      <c r="K7" s="24" t="n">
        <v>0.508881922675026</v>
      </c>
      <c r="L7" s="25" t="n">
        <v>0.0314883376834865</v>
      </c>
      <c r="M7" s="25" t="n">
        <v>0.0135731038088818</v>
      </c>
    </row>
    <row r="8" customFormat="false" ht="15" hidden="false" customHeight="false" outlineLevel="0" collapsed="false">
      <c r="A8" s="6" t="s">
        <v>22</v>
      </c>
      <c r="B8" s="6" t="s">
        <v>4692</v>
      </c>
      <c r="C8" s="6" t="s">
        <v>4691</v>
      </c>
      <c r="D8" s="6" t="s">
        <v>154</v>
      </c>
      <c r="E8" s="6" t="n">
        <v>2893</v>
      </c>
      <c r="F8" s="24" t="n">
        <v>0.506049083995852</v>
      </c>
      <c r="G8" s="24" t="n">
        <v>0.487834331825688</v>
      </c>
      <c r="H8" s="24" t="n">
        <v>0.524247792374682</v>
      </c>
      <c r="I8" s="24" t="n">
        <v>0.521485999445523</v>
      </c>
      <c r="J8" s="24" t="n">
        <v>0.505913272010513</v>
      </c>
      <c r="K8" s="24" t="n">
        <v>0.50619985412108</v>
      </c>
      <c r="L8" s="25" t="n">
        <v>-9.3240792635983E-006</v>
      </c>
      <c r="M8" s="25" t="n">
        <v>-0.000509237482830613</v>
      </c>
    </row>
    <row r="9" customFormat="false" ht="15" hidden="false" customHeight="false" outlineLevel="0" collapsed="false">
      <c r="A9" s="6" t="s">
        <v>22</v>
      </c>
      <c r="B9" s="6" t="s">
        <v>4692</v>
      </c>
      <c r="C9" s="6" t="s">
        <v>4691</v>
      </c>
      <c r="D9" s="6" t="s">
        <v>149</v>
      </c>
      <c r="E9" s="6" t="n">
        <v>2376</v>
      </c>
      <c r="F9" s="24" t="n">
        <v>0.498316498316498</v>
      </c>
      <c r="G9" s="24" t="n">
        <v>0.47823061953281</v>
      </c>
      <c r="H9" s="24" t="n">
        <v>0.518407812201471</v>
      </c>
      <c r="I9" s="24" t="n">
        <v>0.532611712461837</v>
      </c>
      <c r="J9" s="24" t="n">
        <v>0.499610288386594</v>
      </c>
      <c r="K9" s="24" t="n">
        <v>0.4967978042086</v>
      </c>
      <c r="L9" s="25" t="n">
        <v>0.00166466906769497</v>
      </c>
      <c r="M9" s="25" t="n">
        <v>0.00315157389937972</v>
      </c>
    </row>
    <row r="10" customFormat="false" ht="15" hidden="false" customHeight="false" outlineLevel="0" collapsed="false">
      <c r="A10" s="6" t="s">
        <v>22</v>
      </c>
      <c r="B10" s="6" t="s">
        <v>4692</v>
      </c>
      <c r="C10" s="6" t="s">
        <v>4691</v>
      </c>
      <c r="D10" s="6" t="s">
        <v>4281</v>
      </c>
      <c r="E10" s="6" t="n">
        <v>2198</v>
      </c>
      <c r="F10" s="24" t="n">
        <v>0.498180163785259</v>
      </c>
      <c r="G10" s="24" t="n">
        <v>0.477298546246438</v>
      </c>
      <c r="H10" s="24" t="n">
        <v>0.519068131538195</v>
      </c>
      <c r="I10" s="24" t="n">
        <v>0.636491031390135</v>
      </c>
      <c r="J10" s="24" t="n">
        <v>0.447067783701447</v>
      </c>
      <c r="K10" s="24" t="n">
        <v>0.574011299435028</v>
      </c>
      <c r="L10" s="25" t="n">
        <v>0.0425959073558485</v>
      </c>
      <c r="M10" s="25" t="n">
        <v>0.0242670788566459</v>
      </c>
    </row>
    <row r="11" customFormat="false" ht="15" hidden="false" customHeight="false" outlineLevel="0" collapsed="false">
      <c r="A11" s="6" t="s">
        <v>35</v>
      </c>
      <c r="B11" s="6" t="s">
        <v>4693</v>
      </c>
      <c r="C11" s="6" t="s">
        <v>4691</v>
      </c>
      <c r="D11" s="6" t="s">
        <v>154</v>
      </c>
      <c r="E11" s="6" t="n">
        <v>2015</v>
      </c>
      <c r="F11" s="24" t="n">
        <v>0.510669975186104</v>
      </c>
      <c r="G11" s="24" t="n">
        <v>0.488843660344467</v>
      </c>
      <c r="H11" s="24" t="n">
        <v>0.532455682803604</v>
      </c>
      <c r="I11" s="24" t="n">
        <v>0.525790349417637</v>
      </c>
      <c r="J11" s="24" t="n">
        <v>0.511111111111111</v>
      </c>
      <c r="K11" s="24" t="n">
        <v>0.510160427807487</v>
      </c>
      <c r="L11" s="25" t="n">
        <v>-0.000472702612879761</v>
      </c>
      <c r="M11" s="25" t="n">
        <v>-0.000105115497787124</v>
      </c>
    </row>
    <row r="12" customFormat="false" ht="15" hidden="false" customHeight="false" outlineLevel="0" collapsed="false">
      <c r="A12" s="6" t="s">
        <v>35</v>
      </c>
      <c r="B12" s="6" t="s">
        <v>4693</v>
      </c>
      <c r="C12" s="6" t="s">
        <v>4691</v>
      </c>
      <c r="D12" s="6" t="s">
        <v>149</v>
      </c>
      <c r="E12" s="6" t="n">
        <v>1807</v>
      </c>
      <c r="F12" s="24" t="n">
        <v>0.540121748754842</v>
      </c>
      <c r="G12" s="24" t="n">
        <v>0.517081167743634</v>
      </c>
      <c r="H12" s="24" t="n">
        <v>0.562992097637502</v>
      </c>
      <c r="I12" s="24" t="n">
        <v>0.538162642242576</v>
      </c>
      <c r="J12" s="24" t="n">
        <v>0.53596757852077</v>
      </c>
      <c r="K12" s="24" t="n">
        <v>0.545121951219512</v>
      </c>
      <c r="L12" s="25" t="n">
        <v>0.00237408977674312</v>
      </c>
      <c r="M12" s="25" t="n">
        <v>0.000561633187954008</v>
      </c>
    </row>
    <row r="13" customFormat="false" ht="15" hidden="false" customHeight="false" outlineLevel="0" collapsed="false">
      <c r="A13" s="6" t="s">
        <v>35</v>
      </c>
      <c r="B13" s="6" t="s">
        <v>4693</v>
      </c>
      <c r="C13" s="6" t="s">
        <v>4691</v>
      </c>
      <c r="D13" s="6" t="s">
        <v>4281</v>
      </c>
      <c r="E13" s="6" t="n">
        <v>1862</v>
      </c>
      <c r="F13" s="24" t="n">
        <v>0.519871106337272</v>
      </c>
      <c r="G13" s="24" t="n">
        <v>0.497160473615403</v>
      </c>
      <c r="H13" s="24" t="n">
        <v>0.542499913418523</v>
      </c>
      <c r="I13" s="24" t="n">
        <v>0.603139013452915</v>
      </c>
      <c r="J13" s="24" t="n">
        <v>0.506849315068493</v>
      </c>
      <c r="K13" s="24" t="n">
        <v>0.545893719806763</v>
      </c>
      <c r="L13" s="25" t="n">
        <v>0.0221990522274734</v>
      </c>
      <c r="M13" s="25" t="n">
        <v>0.00826314440217471</v>
      </c>
    </row>
    <row r="14" customFormat="false" ht="15" hidden="false" customHeight="false" outlineLevel="0" collapsed="false">
      <c r="A14" s="6" t="s">
        <v>20</v>
      </c>
      <c r="B14" s="6" t="s">
        <v>4694</v>
      </c>
      <c r="C14" s="6" t="s">
        <v>4691</v>
      </c>
      <c r="D14" s="6" t="s">
        <v>154</v>
      </c>
      <c r="E14" s="6" t="n">
        <v>1605</v>
      </c>
      <c r="F14" s="24" t="n">
        <v>0.510280373831776</v>
      </c>
      <c r="G14" s="24" t="n">
        <v>0.485828393114413</v>
      </c>
      <c r="H14" s="24" t="n">
        <v>0.534683259493277</v>
      </c>
      <c r="I14" s="24" t="n">
        <v>0.539528432732316</v>
      </c>
      <c r="J14" s="24" t="n">
        <v>0.505119453924915</v>
      </c>
      <c r="K14" s="24" t="n">
        <v>0.516528925619835</v>
      </c>
      <c r="L14" s="25" t="n">
        <v>-0.000931155901749215</v>
      </c>
      <c r="M14" s="25" t="n">
        <v>-0.00110011978032744</v>
      </c>
    </row>
    <row r="15" customFormat="false" ht="15" hidden="false" customHeight="false" outlineLevel="0" collapsed="false">
      <c r="A15" s="6" t="s">
        <v>20</v>
      </c>
      <c r="B15" s="6" t="s">
        <v>4694</v>
      </c>
      <c r="C15" s="6" t="s">
        <v>4691</v>
      </c>
      <c r="D15" s="6" t="s">
        <v>149</v>
      </c>
      <c r="E15" s="6" t="n">
        <v>1460</v>
      </c>
      <c r="F15" s="24" t="n">
        <v>0.48972602739726</v>
      </c>
      <c r="G15" s="24" t="n">
        <v>0.464144287392732</v>
      </c>
      <c r="H15" s="24" t="n">
        <v>0.515361691942737</v>
      </c>
      <c r="I15" s="24" t="n">
        <v>0.533166805439911</v>
      </c>
      <c r="J15" s="24" t="n">
        <v>0.502994011976048</v>
      </c>
      <c r="K15" s="24" t="n">
        <v>0.472</v>
      </c>
      <c r="L15" s="25" t="n">
        <v>0.00148994704620568</v>
      </c>
      <c r="M15" s="25" t="n">
        <v>0.00172099108433583</v>
      </c>
    </row>
    <row r="16" customFormat="false" ht="15" hidden="false" customHeight="false" outlineLevel="0" collapsed="false">
      <c r="A16" s="6" t="s">
        <v>20</v>
      </c>
      <c r="B16" s="6" t="s">
        <v>4694</v>
      </c>
      <c r="C16" s="6" t="s">
        <v>4691</v>
      </c>
      <c r="D16" s="6" t="s">
        <v>4281</v>
      </c>
      <c r="E16" s="6" t="n">
        <v>1851</v>
      </c>
      <c r="F16" s="24" t="n">
        <v>0.440302539168017</v>
      </c>
      <c r="G16" s="24" t="n">
        <v>0.417833828899807</v>
      </c>
      <c r="H16" s="24" t="n">
        <v>0.463018530676343</v>
      </c>
      <c r="I16" s="24" t="n">
        <v>0.632847533632287</v>
      </c>
      <c r="J16" s="24" t="n">
        <v>0.476948868398994</v>
      </c>
      <c r="K16" s="24" t="n">
        <v>0.373860182370821</v>
      </c>
      <c r="L16" s="25" t="n">
        <v>0.0383260540736582</v>
      </c>
      <c r="M16" s="25" t="n">
        <v>0.0105115574787401</v>
      </c>
    </row>
    <row r="17" customFormat="false" ht="15" hidden="false" customHeight="false" outlineLevel="0" collapsed="false">
      <c r="A17" s="6" t="s">
        <v>40</v>
      </c>
      <c r="B17" s="6" t="s">
        <v>4695</v>
      </c>
      <c r="C17" s="6" t="s">
        <v>4691</v>
      </c>
      <c r="D17" s="6" t="s">
        <v>154</v>
      </c>
      <c r="E17" s="6" t="n">
        <v>2043</v>
      </c>
      <c r="F17" s="24" t="n">
        <v>0.52129221732746</v>
      </c>
      <c r="G17" s="24" t="n">
        <v>0.499610595723946</v>
      </c>
      <c r="H17" s="24" t="n">
        <v>0.542893914639729</v>
      </c>
      <c r="I17" s="24" t="n">
        <v>0.547823676185196</v>
      </c>
      <c r="J17" s="24" t="n">
        <v>0.527372262773723</v>
      </c>
      <c r="K17" s="24" t="n">
        <v>0.514255543822598</v>
      </c>
      <c r="L17" s="25" t="n">
        <v>-0.00108298394136875</v>
      </c>
      <c r="M17" s="25" t="n">
        <v>-0.00150665892636288</v>
      </c>
    </row>
    <row r="18" customFormat="false" ht="15" hidden="false" customHeight="false" outlineLevel="0" collapsed="false">
      <c r="A18" s="6" t="s">
        <v>40</v>
      </c>
      <c r="B18" s="6" t="s">
        <v>4695</v>
      </c>
      <c r="C18" s="6" t="s">
        <v>4691</v>
      </c>
      <c r="D18" s="6" t="s">
        <v>149</v>
      </c>
      <c r="E18" s="6" t="n">
        <v>1641</v>
      </c>
      <c r="F18" s="24" t="n">
        <v>0.482632541133455</v>
      </c>
      <c r="G18" s="24" t="n">
        <v>0.458523917503884</v>
      </c>
      <c r="H18" s="24" t="n">
        <v>0.50682228969321</v>
      </c>
      <c r="I18" s="24" t="n">
        <v>0.536091060521932</v>
      </c>
      <c r="J18" s="24" t="n">
        <v>0.496</v>
      </c>
      <c r="K18" s="24" t="n">
        <v>0.467362924281984</v>
      </c>
      <c r="L18" s="25" t="n">
        <v>-0.00134019525198752</v>
      </c>
      <c r="M18" s="25" t="n">
        <v>0.000659697332689912</v>
      </c>
    </row>
    <row r="19" customFormat="false" ht="15" hidden="false" customHeight="false" outlineLevel="0" collapsed="false">
      <c r="A19" s="6" t="s">
        <v>40</v>
      </c>
      <c r="B19" s="6" t="s">
        <v>4695</v>
      </c>
      <c r="C19" s="6" t="s">
        <v>4691</v>
      </c>
      <c r="D19" s="6" t="s">
        <v>4281</v>
      </c>
      <c r="E19" s="6" t="n">
        <v>2194</v>
      </c>
      <c r="F19" s="24" t="n">
        <v>0.455332725615315</v>
      </c>
      <c r="G19" s="24" t="n">
        <v>0.434590306641789</v>
      </c>
      <c r="H19" s="24" t="n">
        <v>0.476231292148588</v>
      </c>
      <c r="I19" s="24" t="n">
        <v>0.604260089686099</v>
      </c>
      <c r="J19" s="24" t="n">
        <v>0.491754122938531</v>
      </c>
      <c r="K19" s="24" t="n">
        <v>0.398837209302326</v>
      </c>
      <c r="L19" s="25" t="n">
        <v>0.0906278836332649</v>
      </c>
      <c r="M19" s="25" t="n">
        <v>0.00959863796190843</v>
      </c>
    </row>
    <row r="20" customFormat="false" ht="15" hidden="false" customHeight="false" outlineLevel="0" collapsed="false">
      <c r="A20" s="6" t="s">
        <v>30</v>
      </c>
      <c r="B20" s="6" t="s">
        <v>4696</v>
      </c>
      <c r="C20" s="6" t="s">
        <v>4691</v>
      </c>
      <c r="D20" s="6" t="s">
        <v>154</v>
      </c>
      <c r="E20" s="6" t="n">
        <v>2820</v>
      </c>
      <c r="F20" s="24" t="n">
        <v>0.49468085106383</v>
      </c>
      <c r="G20" s="24" t="n">
        <v>0.47624721900766</v>
      </c>
      <c r="H20" s="24" t="n">
        <v>0.513128955633297</v>
      </c>
      <c r="I20" s="24" t="n">
        <v>0.528563505268996</v>
      </c>
      <c r="J20" s="24" t="n">
        <v>0.474034620505992</v>
      </c>
      <c r="K20" s="24" t="n">
        <v>0.518209408194234</v>
      </c>
      <c r="L20" s="25" t="n">
        <v>-0.000846851822938716</v>
      </c>
      <c r="M20" s="25" t="n">
        <v>-0.000345187721401884</v>
      </c>
    </row>
    <row r="21" customFormat="false" ht="15" hidden="false" customHeight="false" outlineLevel="0" collapsed="false">
      <c r="A21" s="6" t="s">
        <v>30</v>
      </c>
      <c r="B21" s="6" t="s">
        <v>4696</v>
      </c>
      <c r="C21" s="6" t="s">
        <v>4691</v>
      </c>
      <c r="D21" s="6" t="s">
        <v>149</v>
      </c>
      <c r="E21" s="6" t="n">
        <v>2652</v>
      </c>
      <c r="F21" s="24" t="n">
        <v>0.50867269984917</v>
      </c>
      <c r="G21" s="24" t="n">
        <v>0.489646756813559</v>
      </c>
      <c r="H21" s="24" t="n">
        <v>0.527673553253126</v>
      </c>
      <c r="I21" s="24" t="n">
        <v>0.524007771301693</v>
      </c>
      <c r="J21" s="24" t="n">
        <v>0.481741573033708</v>
      </c>
      <c r="K21" s="24" t="n">
        <v>0.539902280130293</v>
      </c>
      <c r="L21" s="25" t="n">
        <v>0.00224358370966696</v>
      </c>
      <c r="M21" s="25" t="n">
        <v>0.00159538559707943</v>
      </c>
    </row>
    <row r="22" customFormat="false" ht="15" hidden="false" customHeight="false" outlineLevel="0" collapsed="false">
      <c r="A22" s="6" t="s">
        <v>30</v>
      </c>
      <c r="B22" s="6" t="s">
        <v>4696</v>
      </c>
      <c r="C22" s="6" t="s">
        <v>4691</v>
      </c>
      <c r="D22" s="6" t="s">
        <v>4281</v>
      </c>
      <c r="E22" s="6" t="n">
        <v>2278</v>
      </c>
      <c r="F22" s="24" t="n">
        <v>0.392010535557507</v>
      </c>
      <c r="G22" s="24" t="n">
        <v>0.372160166378427</v>
      </c>
      <c r="H22" s="24" t="n">
        <v>0.412224516589926</v>
      </c>
      <c r="I22" s="24" t="n">
        <v>0.595571748878924</v>
      </c>
      <c r="J22" s="24" t="n">
        <v>0.334041047416844</v>
      </c>
      <c r="K22" s="24" t="n">
        <v>0.486705202312139</v>
      </c>
      <c r="L22" s="25" t="n">
        <v>0.00666487199185116</v>
      </c>
      <c r="M22" s="25" t="n">
        <v>0.0246631336246079</v>
      </c>
    </row>
    <row r="23" customFormat="false" ht="15" hidden="false" customHeight="false" outlineLevel="0" collapsed="false">
      <c r="A23" s="6" t="s">
        <v>38</v>
      </c>
      <c r="B23" s="6" t="s">
        <v>4697</v>
      </c>
      <c r="C23" s="6" t="s">
        <v>4691</v>
      </c>
      <c r="D23" s="6" t="s">
        <v>154</v>
      </c>
      <c r="E23" s="6" t="n">
        <v>2691</v>
      </c>
      <c r="F23" s="24" t="n">
        <v>0.492382014121145</v>
      </c>
      <c r="G23" s="24" t="n">
        <v>0.473516911049921</v>
      </c>
      <c r="H23" s="24" t="n">
        <v>0.511268836654137</v>
      </c>
      <c r="I23" s="24" t="n">
        <v>0.533130024951483</v>
      </c>
      <c r="J23" s="24" t="n">
        <v>0.479066575154427</v>
      </c>
      <c r="K23" s="24" t="n">
        <v>0.508103727714749</v>
      </c>
      <c r="L23" s="25" t="n">
        <v>-0.00142194677142241</v>
      </c>
      <c r="M23" s="25" t="n">
        <v>-0.00107995340365298</v>
      </c>
    </row>
    <row r="24" customFormat="false" ht="15" hidden="false" customHeight="false" outlineLevel="0" collapsed="false">
      <c r="A24" s="6" t="s">
        <v>38</v>
      </c>
      <c r="B24" s="6" t="s">
        <v>4697</v>
      </c>
      <c r="C24" s="6" t="s">
        <v>4691</v>
      </c>
      <c r="D24" s="6" t="s">
        <v>149</v>
      </c>
      <c r="E24" s="6" t="n">
        <v>1846</v>
      </c>
      <c r="F24" s="24" t="n">
        <v>0.510834236186349</v>
      </c>
      <c r="G24" s="24" t="n">
        <v>0.488031562522678</v>
      </c>
      <c r="H24" s="24" t="n">
        <v>0.533591910535772</v>
      </c>
      <c r="I24" s="24" t="n">
        <v>0.511524576506526</v>
      </c>
      <c r="J24" s="24" t="n">
        <v>0.530088495575221</v>
      </c>
      <c r="K24" s="24" t="n">
        <v>0.480446927374302</v>
      </c>
      <c r="L24" s="25" t="n">
        <v>0.000369412753035775</v>
      </c>
      <c r="M24" s="25" t="n">
        <v>-6.10076257210602E-005</v>
      </c>
    </row>
    <row r="25" customFormat="false" ht="15" hidden="false" customHeight="false" outlineLevel="0" collapsed="false">
      <c r="A25" s="6" t="s">
        <v>38</v>
      </c>
      <c r="B25" s="6" t="s">
        <v>4697</v>
      </c>
      <c r="C25" s="6" t="s">
        <v>4691</v>
      </c>
      <c r="D25" s="6" t="s">
        <v>4281</v>
      </c>
      <c r="E25" s="6" t="n">
        <v>2506</v>
      </c>
      <c r="F25" s="24" t="n">
        <v>0.452913008778931</v>
      </c>
      <c r="G25" s="24" t="n">
        <v>0.433510349243964</v>
      </c>
      <c r="H25" s="24" t="n">
        <v>0.472459812378985</v>
      </c>
      <c r="I25" s="24" t="n">
        <v>0.568105381165919</v>
      </c>
      <c r="J25" s="24" t="n">
        <v>0.484967320261438</v>
      </c>
      <c r="K25" s="24" t="n">
        <v>0.40266393442623</v>
      </c>
      <c r="L25" s="25" t="n">
        <v>0.0338399427775155</v>
      </c>
      <c r="M25" s="25" t="n">
        <v>0.0135693207121754</v>
      </c>
    </row>
    <row r="26" customFormat="false" ht="15" hidden="false" customHeight="false" outlineLevel="0" collapsed="false">
      <c r="A26" s="6" t="s">
        <v>43</v>
      </c>
      <c r="B26" s="6" t="s">
        <v>4698</v>
      </c>
      <c r="C26" s="6" t="s">
        <v>4691</v>
      </c>
      <c r="D26" s="6" t="s">
        <v>154</v>
      </c>
      <c r="E26" s="6" t="n">
        <v>2536</v>
      </c>
      <c r="F26" s="24" t="n">
        <v>0.50788643533123</v>
      </c>
      <c r="G26" s="24" t="n">
        <v>0.488431258985669</v>
      </c>
      <c r="H26" s="24" t="n">
        <v>0.527317754653607</v>
      </c>
      <c r="I26" s="24" t="n">
        <v>0.523252575884155</v>
      </c>
      <c r="J26" s="24" t="n">
        <v>0.509325681492109</v>
      </c>
      <c r="K26" s="24" t="n">
        <v>0.506129597197898</v>
      </c>
      <c r="L26" s="25" t="n">
        <v>-0.00173665801056974</v>
      </c>
      <c r="M26" s="25" t="n">
        <v>-0.00132118435572808</v>
      </c>
    </row>
    <row r="27" customFormat="false" ht="15" hidden="false" customHeight="false" outlineLevel="0" collapsed="false">
      <c r="A27" s="6" t="s">
        <v>43</v>
      </c>
      <c r="B27" s="6" t="s">
        <v>4698</v>
      </c>
      <c r="C27" s="6" t="s">
        <v>4691</v>
      </c>
      <c r="D27" s="6" t="s">
        <v>149</v>
      </c>
      <c r="E27" s="6" t="n">
        <v>1797</v>
      </c>
      <c r="F27" s="24" t="n">
        <v>0.512520868113523</v>
      </c>
      <c r="G27" s="24" t="n">
        <v>0.489407961361562</v>
      </c>
      <c r="H27" s="24" t="n">
        <v>0.5355803552122</v>
      </c>
      <c r="I27" s="24" t="n">
        <v>0.522645179216449</v>
      </c>
      <c r="J27" s="24" t="n">
        <v>0.515580736543909</v>
      </c>
      <c r="K27" s="24" t="n">
        <v>0.508130081300813</v>
      </c>
      <c r="L27" s="25" t="n">
        <v>0.000453850646532242</v>
      </c>
      <c r="M27" s="25" t="n">
        <v>-0.0049778572673051</v>
      </c>
    </row>
    <row r="28" customFormat="false" ht="15" hidden="false" customHeight="false" outlineLevel="0" collapsed="false">
      <c r="A28" s="6" t="s">
        <v>43</v>
      </c>
      <c r="B28" s="6" t="s">
        <v>4698</v>
      </c>
      <c r="C28" s="6" t="s">
        <v>4691</v>
      </c>
      <c r="D28" s="6" t="s">
        <v>4281</v>
      </c>
      <c r="E28" s="6" t="n">
        <v>2065</v>
      </c>
      <c r="F28" s="24" t="n">
        <v>0.446973365617433</v>
      </c>
      <c r="G28" s="24" t="n">
        <v>0.425647320629517</v>
      </c>
      <c r="H28" s="24" t="n">
        <v>0.46849633928142</v>
      </c>
      <c r="I28" s="24" t="n">
        <v>0.562657695542473</v>
      </c>
      <c r="J28" s="24" t="n">
        <v>0.424324324324324</v>
      </c>
      <c r="K28" s="24" t="n">
        <v>0.473298429319372</v>
      </c>
      <c r="L28" s="25" t="n">
        <v>0.0172887784429842</v>
      </c>
      <c r="M28" s="25" t="n">
        <v>0.00865421030288923</v>
      </c>
    </row>
    <row r="29" customFormat="false" ht="15" hidden="false" customHeight="false" outlineLevel="0" collapsed="false">
      <c r="A29" s="6" t="s">
        <v>37</v>
      </c>
      <c r="B29" s="6" t="s">
        <v>4699</v>
      </c>
      <c r="C29" s="6" t="s">
        <v>4691</v>
      </c>
      <c r="D29" s="6" t="s">
        <v>154</v>
      </c>
      <c r="E29" s="6" t="n">
        <v>2712</v>
      </c>
      <c r="F29" s="24" t="n">
        <v>0.523967551622419</v>
      </c>
      <c r="G29" s="24" t="n">
        <v>0.505150213320521</v>
      </c>
      <c r="H29" s="24" t="n">
        <v>0.542717084978467</v>
      </c>
      <c r="I29" s="24" t="n">
        <v>0.546111111111111</v>
      </c>
      <c r="J29" s="24" t="n">
        <v>0.510204081632653</v>
      </c>
      <c r="K29" s="24" t="n">
        <v>0.539116963594113</v>
      </c>
      <c r="L29" s="25" t="n">
        <v>-0.000621589606221712</v>
      </c>
      <c r="M29" s="25" t="n">
        <v>-0.00192470754034795</v>
      </c>
    </row>
    <row r="30" customFormat="false" ht="15" hidden="false" customHeight="false" outlineLevel="0" collapsed="false">
      <c r="A30" s="6" t="s">
        <v>37</v>
      </c>
      <c r="B30" s="6" t="s">
        <v>4699</v>
      </c>
      <c r="C30" s="6" t="s">
        <v>4691</v>
      </c>
      <c r="D30" s="6" t="s">
        <v>149</v>
      </c>
      <c r="E30" s="6" t="n">
        <v>2061</v>
      </c>
      <c r="F30" s="24" t="n">
        <v>0.510431829209122</v>
      </c>
      <c r="G30" s="24" t="n">
        <v>0.488850455924534</v>
      </c>
      <c r="H30" s="24" t="n">
        <v>0.53197438603913</v>
      </c>
      <c r="I30" s="24" t="n">
        <v>0.503193557345182</v>
      </c>
      <c r="J30" s="24" t="n">
        <v>0.489469250210615</v>
      </c>
      <c r="K30" s="24" t="n">
        <v>0.538901601830664</v>
      </c>
      <c r="L30" s="25" t="n">
        <v>0.000914570838874553</v>
      </c>
      <c r="M30" s="25" t="n">
        <v>0.000686333312699433</v>
      </c>
    </row>
    <row r="31" customFormat="false" ht="15" hidden="false" customHeight="false" outlineLevel="0" collapsed="false">
      <c r="A31" s="6" t="s">
        <v>37</v>
      </c>
      <c r="B31" s="6" t="s">
        <v>4699</v>
      </c>
      <c r="C31" s="6" t="s">
        <v>4691</v>
      </c>
      <c r="D31" s="6" t="s">
        <v>4281</v>
      </c>
      <c r="E31" s="6" t="n">
        <v>2237</v>
      </c>
      <c r="F31" s="24" t="n">
        <v>0.499776486365668</v>
      </c>
      <c r="G31" s="24" t="n">
        <v>0.479074481098408</v>
      </c>
      <c r="H31" s="24" t="n">
        <v>0.520479257996761</v>
      </c>
      <c r="I31" s="24" t="n">
        <v>0.503923766816144</v>
      </c>
      <c r="J31" s="24" t="n">
        <v>0.453257790368272</v>
      </c>
      <c r="K31" s="24" t="n">
        <v>0.579393939393939</v>
      </c>
      <c r="L31" s="25" t="n">
        <v>0.0370106115834299</v>
      </c>
      <c r="M31" s="25" t="n">
        <v>0.00854741272246275</v>
      </c>
    </row>
    <row r="32" customFormat="false" ht="15" hidden="false" customHeight="false" outlineLevel="0" collapsed="false">
      <c r="A32" s="6" t="s">
        <v>34</v>
      </c>
      <c r="B32" s="6" t="s">
        <v>4700</v>
      </c>
      <c r="C32" s="6" t="s">
        <v>4691</v>
      </c>
      <c r="D32" s="6" t="s">
        <v>154</v>
      </c>
      <c r="E32" s="6" t="n">
        <v>2684</v>
      </c>
      <c r="F32" s="24" t="n">
        <v>0.484724292101341</v>
      </c>
      <c r="G32" s="24" t="n">
        <v>0.465852218826175</v>
      </c>
      <c r="H32" s="24" t="n">
        <v>0.503640031014738</v>
      </c>
      <c r="I32" s="24" t="n">
        <v>0.528856825749168</v>
      </c>
      <c r="J32" s="24" t="n">
        <v>0.48870636550308</v>
      </c>
      <c r="K32" s="24" t="n">
        <v>0.479967293540474</v>
      </c>
      <c r="L32" s="25" t="n">
        <v>-0.00145846914512486</v>
      </c>
      <c r="M32" s="25" t="n">
        <v>-0.000728286150346354</v>
      </c>
    </row>
    <row r="33" customFormat="false" ht="15" hidden="false" customHeight="false" outlineLevel="0" collapsed="false">
      <c r="A33" s="6" t="s">
        <v>34</v>
      </c>
      <c r="B33" s="6" t="s">
        <v>4700</v>
      </c>
      <c r="C33" s="6" t="s">
        <v>4691</v>
      </c>
      <c r="D33" s="6" t="s">
        <v>149</v>
      </c>
      <c r="E33" s="6" t="n">
        <v>2140</v>
      </c>
      <c r="F33" s="24" t="n">
        <v>0.501401869158879</v>
      </c>
      <c r="G33" s="24" t="n">
        <v>0.48023388185523</v>
      </c>
      <c r="H33" s="24" t="n">
        <v>0.522564832378135</v>
      </c>
      <c r="I33" s="24" t="n">
        <v>0.513738551207327</v>
      </c>
      <c r="J33" s="24" t="n">
        <v>0.526898734177215</v>
      </c>
      <c r="K33" s="24" t="n">
        <v>0.464611872146119</v>
      </c>
      <c r="L33" s="25" t="n">
        <v>0.00118728339706195</v>
      </c>
      <c r="M33" s="25" t="n">
        <v>-0.000317244639603559</v>
      </c>
    </row>
    <row r="34" customFormat="false" ht="15" hidden="false" customHeight="false" outlineLevel="0" collapsed="false">
      <c r="A34" s="6" t="s">
        <v>34</v>
      </c>
      <c r="B34" s="6" t="s">
        <v>4700</v>
      </c>
      <c r="C34" s="6" t="s">
        <v>4691</v>
      </c>
      <c r="D34" s="6" t="s">
        <v>4281</v>
      </c>
      <c r="E34" s="6" t="n">
        <v>2448</v>
      </c>
      <c r="F34" s="24" t="n">
        <v>0.443627450980392</v>
      </c>
      <c r="G34" s="24" t="n">
        <v>0.424050217555065</v>
      </c>
      <c r="H34" s="24" t="n">
        <v>0.463381335935177</v>
      </c>
      <c r="I34" s="24" t="n">
        <v>0.586603139013453</v>
      </c>
      <c r="J34" s="24" t="n">
        <v>0.472282217422606</v>
      </c>
      <c r="K34" s="24" t="n">
        <v>0.40604343720491</v>
      </c>
      <c r="L34" s="25" t="n">
        <v>0.033790792869818</v>
      </c>
      <c r="M34" s="25" t="n">
        <v>0.0112923603668135</v>
      </c>
    </row>
    <row r="35" customFormat="false" ht="15" hidden="false" customHeight="false" outlineLevel="0" collapsed="false">
      <c r="A35" s="6" t="s">
        <v>49</v>
      </c>
      <c r="B35" s="6" t="s">
        <v>4701</v>
      </c>
      <c r="C35" s="6" t="s">
        <v>4691</v>
      </c>
      <c r="D35" s="6" t="s">
        <v>154</v>
      </c>
      <c r="E35" s="6" t="n">
        <v>2157</v>
      </c>
      <c r="F35" s="24" t="n">
        <v>0.499304589707928</v>
      </c>
      <c r="G35" s="24" t="n">
        <v>0.478223710430255</v>
      </c>
      <c r="H35" s="24" t="n">
        <v>0.520387941622353</v>
      </c>
      <c r="I35" s="24" t="n">
        <v>0.544647809206877</v>
      </c>
      <c r="J35" s="24" t="n">
        <v>0.49406779661017</v>
      </c>
      <c r="K35" s="24" t="n">
        <v>0.505629477993859</v>
      </c>
      <c r="L35" s="25" t="n">
        <v>-0.0013866965543749</v>
      </c>
      <c r="M35" s="25" t="n">
        <v>-0.00102237693948147</v>
      </c>
    </row>
    <row r="36" customFormat="false" ht="15" hidden="false" customHeight="false" outlineLevel="0" collapsed="false">
      <c r="A36" s="6" t="s">
        <v>49</v>
      </c>
      <c r="B36" s="6" t="s">
        <v>4701</v>
      </c>
      <c r="C36" s="6" t="s">
        <v>4691</v>
      </c>
      <c r="D36" s="6" t="s">
        <v>149</v>
      </c>
      <c r="E36" s="6" t="n">
        <v>1655</v>
      </c>
      <c r="F36" s="24" t="n">
        <v>0.527492447129909</v>
      </c>
      <c r="G36" s="24" t="n">
        <v>0.503403544588363</v>
      </c>
      <c r="H36" s="24" t="n">
        <v>0.551454013842774</v>
      </c>
      <c r="I36" s="24" t="n">
        <v>0.502359145156814</v>
      </c>
      <c r="J36" s="24" t="n">
        <v>0.559236947791165</v>
      </c>
      <c r="K36" s="24" t="n">
        <v>0.479514415781487</v>
      </c>
      <c r="L36" s="25" t="n">
        <v>0.0051374291222654</v>
      </c>
      <c r="M36" s="25" t="n">
        <v>-0.00193676203521557</v>
      </c>
    </row>
    <row r="37" customFormat="false" ht="15" hidden="false" customHeight="false" outlineLevel="0" collapsed="false">
      <c r="A37" s="6" t="s">
        <v>49</v>
      </c>
      <c r="B37" s="6" t="s">
        <v>4701</v>
      </c>
      <c r="C37" s="6" t="s">
        <v>4691</v>
      </c>
      <c r="D37" s="6" t="s">
        <v>4281</v>
      </c>
      <c r="E37" s="6" t="n">
        <v>2708</v>
      </c>
      <c r="F37" s="24" t="n">
        <v>0.465288035450517</v>
      </c>
      <c r="G37" s="24" t="n">
        <v>0.446563663169944</v>
      </c>
      <c r="H37" s="24" t="n">
        <v>0.484110753801902</v>
      </c>
      <c r="I37" s="24" t="n">
        <v>0.56109865470852</v>
      </c>
      <c r="J37" s="24" t="n">
        <v>0.506982392228294</v>
      </c>
      <c r="K37" s="24" t="n">
        <v>0.400565504241282</v>
      </c>
      <c r="L37" s="25" t="n">
        <v>0.0441707026703778</v>
      </c>
      <c r="M37" s="25" t="n">
        <v>0.0088960153910948</v>
      </c>
    </row>
    <row r="38" customFormat="false" ht="15" hidden="false" customHeight="false" outlineLevel="0" collapsed="false">
      <c r="A38" s="6" t="s">
        <v>25</v>
      </c>
      <c r="B38" s="6" t="s">
        <v>4702</v>
      </c>
      <c r="C38" s="6" t="s">
        <v>4703</v>
      </c>
      <c r="D38" s="6" t="s">
        <v>154</v>
      </c>
      <c r="E38" s="6" t="n">
        <v>2854</v>
      </c>
      <c r="F38" s="24" t="n">
        <v>0.497196916608269</v>
      </c>
      <c r="G38" s="24" t="n">
        <v>0.478869092582907</v>
      </c>
      <c r="H38" s="24" t="n">
        <v>0.515532276618241</v>
      </c>
      <c r="I38" s="24" t="n">
        <v>0.538546866333888</v>
      </c>
      <c r="J38" s="24" t="n">
        <v>0.488296488946684</v>
      </c>
      <c r="K38" s="24" t="n">
        <v>0.507598784194529</v>
      </c>
      <c r="L38" s="25" t="n">
        <v>-0.00153179643798991</v>
      </c>
      <c r="M38" s="25" t="n">
        <v>-0.000805028676449818</v>
      </c>
    </row>
    <row r="39" customFormat="false" ht="15" hidden="false" customHeight="false" outlineLevel="0" collapsed="false">
      <c r="A39" s="6" t="s">
        <v>25</v>
      </c>
      <c r="B39" s="6" t="s">
        <v>4702</v>
      </c>
      <c r="C39" s="6" t="s">
        <v>4703</v>
      </c>
      <c r="D39" s="6" t="s">
        <v>149</v>
      </c>
      <c r="E39" s="6" t="n">
        <v>2559</v>
      </c>
      <c r="F39" s="24" t="n">
        <v>0.501367721766315</v>
      </c>
      <c r="G39" s="24" t="n">
        <v>0.482007534079637</v>
      </c>
      <c r="H39" s="24" t="n">
        <v>0.520723809129401</v>
      </c>
      <c r="I39" s="24" t="n">
        <v>0.519011934499029</v>
      </c>
      <c r="J39" s="24" t="n">
        <v>0.509259259259259</v>
      </c>
      <c r="K39" s="24" t="n">
        <v>0.491774891774892</v>
      </c>
      <c r="L39" s="25" t="n">
        <v>-0.000272430192108043</v>
      </c>
      <c r="M39" s="25" t="n">
        <v>-9.26658043381937E-005</v>
      </c>
    </row>
    <row r="40" customFormat="false" ht="15" hidden="false" customHeight="false" outlineLevel="0" collapsed="false">
      <c r="A40" s="6" t="s">
        <v>25</v>
      </c>
      <c r="B40" s="6" t="s">
        <v>4702</v>
      </c>
      <c r="C40" s="6" t="s">
        <v>4703</v>
      </c>
      <c r="D40" s="6" t="s">
        <v>4281</v>
      </c>
      <c r="E40" s="6" t="n">
        <v>2930</v>
      </c>
      <c r="F40" s="24" t="n">
        <v>0.43481228668942</v>
      </c>
      <c r="G40" s="24" t="n">
        <v>0.416958987482587</v>
      </c>
      <c r="H40" s="24" t="n">
        <v>0.452836300715658</v>
      </c>
      <c r="I40" s="24" t="n">
        <v>0.585762331838565</v>
      </c>
      <c r="J40" s="24" t="n">
        <v>0.425047438330171</v>
      </c>
      <c r="K40" s="24" t="n">
        <v>0.446256486286138</v>
      </c>
      <c r="L40" s="25" t="n">
        <v>0.00771453313621329</v>
      </c>
      <c r="M40" s="25" t="n">
        <v>0.0155942625719356</v>
      </c>
    </row>
    <row r="41" customFormat="false" ht="15" hidden="false" customHeight="false" outlineLevel="0" collapsed="false">
      <c r="A41" s="6" t="s">
        <v>41</v>
      </c>
      <c r="B41" s="6" t="s">
        <v>4702</v>
      </c>
      <c r="C41" s="6" t="s">
        <v>4703</v>
      </c>
      <c r="D41" s="6" t="s">
        <v>154</v>
      </c>
      <c r="E41" s="6" t="n">
        <v>2537</v>
      </c>
      <c r="F41" s="24" t="n">
        <v>0.497832085139929</v>
      </c>
      <c r="G41" s="24" t="n">
        <v>0.478393709159471</v>
      </c>
      <c r="H41" s="24" t="n">
        <v>0.517277016634692</v>
      </c>
      <c r="I41" s="24" t="n">
        <v>0.538546866333888</v>
      </c>
      <c r="J41" s="24" t="n">
        <v>0.493516399694889</v>
      </c>
      <c r="K41" s="24" t="n">
        <v>0.502446982055465</v>
      </c>
      <c r="L41" s="25" t="n">
        <v>-0.001079136112972</v>
      </c>
      <c r="M41" s="25" t="n">
        <v>-0.000953417578183746</v>
      </c>
    </row>
    <row r="42" customFormat="false" ht="15" hidden="false" customHeight="false" outlineLevel="0" collapsed="false">
      <c r="A42" s="6" t="s">
        <v>41</v>
      </c>
      <c r="B42" s="6" t="s">
        <v>4702</v>
      </c>
      <c r="C42" s="6" t="s">
        <v>4703</v>
      </c>
      <c r="D42" s="6" t="s">
        <v>149</v>
      </c>
      <c r="E42" s="6" t="n">
        <v>1890</v>
      </c>
      <c r="F42" s="24" t="n">
        <v>0.483068783068783</v>
      </c>
      <c r="G42" s="24" t="n">
        <v>0.460596749071081</v>
      </c>
      <c r="H42" s="24" t="n">
        <v>0.50560950598214</v>
      </c>
      <c r="I42" s="24" t="n">
        <v>0.519011934499029</v>
      </c>
      <c r="J42" s="24" t="n">
        <v>0.478053435114504</v>
      </c>
      <c r="K42" s="24" t="n">
        <v>0.489311163895487</v>
      </c>
      <c r="L42" s="25" t="n">
        <v>0.0013626921378743</v>
      </c>
      <c r="M42" s="25" t="n">
        <v>0.00141385671295957</v>
      </c>
    </row>
    <row r="43" customFormat="false" ht="15" hidden="false" customHeight="false" outlineLevel="0" collapsed="false">
      <c r="A43" s="6" t="s">
        <v>41</v>
      </c>
      <c r="B43" s="6" t="s">
        <v>4702</v>
      </c>
      <c r="C43" s="6" t="s">
        <v>4703</v>
      </c>
      <c r="D43" s="6" t="s">
        <v>4281</v>
      </c>
      <c r="E43" s="6" t="n">
        <v>1969</v>
      </c>
      <c r="F43" s="24" t="n">
        <v>0.420010157440325</v>
      </c>
      <c r="G43" s="24" t="n">
        <v>0.39838575233183</v>
      </c>
      <c r="H43" s="24" t="n">
        <v>0.441946081708977</v>
      </c>
      <c r="I43" s="24" t="n">
        <v>0.585762331838565</v>
      </c>
      <c r="J43" s="24" t="n">
        <v>0.383064516129032</v>
      </c>
      <c r="K43" s="24" t="n">
        <v>0.534303534303534</v>
      </c>
      <c r="L43" s="25" t="n">
        <v>0.0170396112106987</v>
      </c>
      <c r="M43" s="25" t="n">
        <v>0.0129540288800402</v>
      </c>
    </row>
    <row r="44" customFormat="false" ht="15" hidden="false" customHeight="false" outlineLevel="0" collapsed="false">
      <c r="A44" s="6" t="s">
        <v>23</v>
      </c>
      <c r="B44" s="6" t="s">
        <v>4700</v>
      </c>
      <c r="C44" s="6" t="s">
        <v>4703</v>
      </c>
      <c r="D44" s="6" t="s">
        <v>154</v>
      </c>
      <c r="E44" s="6" t="n">
        <v>2043</v>
      </c>
      <c r="F44" s="24" t="n">
        <v>0.489965736661772</v>
      </c>
      <c r="G44" s="24" t="n">
        <v>0.468327651521838</v>
      </c>
      <c r="H44" s="24" t="n">
        <v>0.511641487272293</v>
      </c>
      <c r="I44" s="24" t="n">
        <v>0.528856825749168</v>
      </c>
      <c r="J44" s="24" t="n">
        <v>0.496323529411765</v>
      </c>
      <c r="K44" s="24" t="n">
        <v>0.482722513089005</v>
      </c>
      <c r="L44" s="25" t="n">
        <v>-0.00162689326670587</v>
      </c>
      <c r="M44" s="25" t="n">
        <v>-0.000845986326835135</v>
      </c>
    </row>
    <row r="45" customFormat="false" ht="15" hidden="false" customHeight="false" outlineLevel="0" collapsed="false">
      <c r="A45" s="6" t="s">
        <v>23</v>
      </c>
      <c r="B45" s="6" t="s">
        <v>4700</v>
      </c>
      <c r="C45" s="6" t="s">
        <v>4703</v>
      </c>
      <c r="D45" s="6" t="s">
        <v>149</v>
      </c>
      <c r="E45" s="6" t="n">
        <v>1410</v>
      </c>
      <c r="F45" s="24" t="n">
        <v>0.468085106382979</v>
      </c>
      <c r="G45" s="24" t="n">
        <v>0.442161749125082</v>
      </c>
      <c r="H45" s="24" t="n">
        <v>0.49418189785772</v>
      </c>
      <c r="I45" s="24" t="n">
        <v>0.513738551207327</v>
      </c>
      <c r="J45" s="24" t="n">
        <v>0.505050505050505</v>
      </c>
      <c r="K45" s="24" t="n">
        <v>0.420711974110032</v>
      </c>
      <c r="L45" s="25" t="n">
        <v>-0.00170679972465497</v>
      </c>
      <c r="M45" s="25" t="n">
        <v>0.000961103686115369</v>
      </c>
    </row>
    <row r="46" customFormat="false" ht="15" hidden="false" customHeight="false" outlineLevel="0" collapsed="false">
      <c r="A46" s="6" t="s">
        <v>23</v>
      </c>
      <c r="B46" s="6" t="s">
        <v>4700</v>
      </c>
      <c r="C46" s="6" t="s">
        <v>4703</v>
      </c>
      <c r="D46" s="6" t="s">
        <v>4281</v>
      </c>
      <c r="E46" s="6" t="n">
        <v>1993</v>
      </c>
      <c r="F46" s="24" t="n">
        <v>0.402408429503261</v>
      </c>
      <c r="G46" s="24" t="n">
        <v>0.381086369877402</v>
      </c>
      <c r="H46" s="24" t="n">
        <v>0.424105989897154</v>
      </c>
      <c r="I46" s="24" t="n">
        <v>0.586603139013453</v>
      </c>
      <c r="J46" s="24" t="n">
        <v>0.408906882591093</v>
      </c>
      <c r="K46" s="24" t="n">
        <v>0.391820580474934</v>
      </c>
      <c r="L46" s="25" t="n">
        <v>-0.00731451952664887</v>
      </c>
      <c r="M46" s="25" t="n">
        <v>0.0149870820816226</v>
      </c>
    </row>
    <row r="47" customFormat="false" ht="15" hidden="false" customHeight="false" outlineLevel="0" collapsed="false">
      <c r="A47" s="6" t="s">
        <v>24</v>
      </c>
      <c r="B47" s="6" t="s">
        <v>4700</v>
      </c>
      <c r="C47" s="6" t="s">
        <v>4704</v>
      </c>
      <c r="D47" s="6" t="s">
        <v>154</v>
      </c>
      <c r="E47" s="6" t="n">
        <v>2503</v>
      </c>
      <c r="F47" s="24" t="n">
        <v>0.48381941669996</v>
      </c>
      <c r="G47" s="24" t="n">
        <v>0.464281212683888</v>
      </c>
      <c r="H47" s="24" t="n">
        <v>0.503407212464314</v>
      </c>
      <c r="I47" s="24" t="n">
        <v>0.528856825749168</v>
      </c>
      <c r="J47" s="24" t="n">
        <v>0.479028697571744</v>
      </c>
      <c r="K47" s="24" t="n">
        <v>0.48951048951049</v>
      </c>
      <c r="L47" s="25" t="n">
        <v>-0.00150921168704872</v>
      </c>
      <c r="M47" s="25" t="n">
        <v>-0.000670560853968481</v>
      </c>
    </row>
    <row r="48" customFormat="false" ht="15" hidden="false" customHeight="false" outlineLevel="0" collapsed="false">
      <c r="A48" s="6" t="s">
        <v>24</v>
      </c>
      <c r="B48" s="6" t="s">
        <v>4700</v>
      </c>
      <c r="C48" s="6" t="s">
        <v>4704</v>
      </c>
      <c r="D48" s="6" t="s">
        <v>149</v>
      </c>
      <c r="E48" s="6" t="n">
        <v>2033</v>
      </c>
      <c r="F48" s="24" t="n">
        <v>0.509591736350221</v>
      </c>
      <c r="G48" s="24" t="n">
        <v>0.487863253431025</v>
      </c>
      <c r="H48" s="24" t="n">
        <v>0.531284038140397</v>
      </c>
      <c r="I48" s="24" t="n">
        <v>0.513738551207327</v>
      </c>
      <c r="J48" s="24" t="n">
        <v>0.542760372565622</v>
      </c>
      <c r="K48" s="24" t="n">
        <v>0.463615023474178</v>
      </c>
      <c r="L48" s="25" t="n">
        <v>0.00266294506105485</v>
      </c>
      <c r="M48" s="25" t="n">
        <v>-0.000234392549868813</v>
      </c>
    </row>
    <row r="49" customFormat="false" ht="15" hidden="false" customHeight="false" outlineLevel="0" collapsed="false">
      <c r="A49" s="6" t="s">
        <v>24</v>
      </c>
      <c r="B49" s="6" t="s">
        <v>4700</v>
      </c>
      <c r="C49" s="6" t="s">
        <v>4704</v>
      </c>
      <c r="D49" s="6" t="s">
        <v>4281</v>
      </c>
      <c r="E49" s="6" t="n">
        <v>2549</v>
      </c>
      <c r="F49" s="24" t="n">
        <v>0.446449588073754</v>
      </c>
      <c r="G49" s="24" t="n">
        <v>0.427245479415962</v>
      </c>
      <c r="H49" s="24" t="n">
        <v>0.465814865573715</v>
      </c>
      <c r="I49" s="24" t="n">
        <v>0.586603139013453</v>
      </c>
      <c r="J49" s="24" t="n">
        <v>0.473009446693657</v>
      </c>
      <c r="K49" s="24" t="n">
        <v>0.409559512652296</v>
      </c>
      <c r="L49" s="25" t="n">
        <v>0.0321240393503734</v>
      </c>
      <c r="M49" s="25" t="n">
        <v>0.0106847674422721</v>
      </c>
    </row>
    <row r="50" customFormat="false" ht="15" hidden="false" customHeight="false" outlineLevel="0" collapsed="false">
      <c r="A50" s="6" t="s">
        <v>32</v>
      </c>
      <c r="B50" s="6" t="s">
        <v>4695</v>
      </c>
      <c r="C50" s="6" t="s">
        <v>4703</v>
      </c>
      <c r="D50" s="6" t="s">
        <v>154</v>
      </c>
      <c r="E50" s="6" t="n">
        <v>2468</v>
      </c>
      <c r="F50" s="24" t="n">
        <v>0.514991896272285</v>
      </c>
      <c r="G50" s="24" t="n">
        <v>0.495266123210081</v>
      </c>
      <c r="H50" s="24" t="n">
        <v>0.534671070176421</v>
      </c>
      <c r="I50" s="24" t="n">
        <v>0.547823676185196</v>
      </c>
      <c r="J50" s="24" t="n">
        <v>0.507575757575758</v>
      </c>
      <c r="K50" s="24" t="n">
        <v>0.523519163763066</v>
      </c>
      <c r="L50" s="25" t="n">
        <v>-0.000965871433226604</v>
      </c>
      <c r="M50" s="25" t="n">
        <v>-0.00116021589047709</v>
      </c>
    </row>
    <row r="51" customFormat="false" ht="15" hidden="false" customHeight="false" outlineLevel="0" collapsed="false">
      <c r="A51" s="6" t="s">
        <v>32</v>
      </c>
      <c r="B51" s="6" t="s">
        <v>4695</v>
      </c>
      <c r="C51" s="6" t="s">
        <v>4703</v>
      </c>
      <c r="D51" s="6" t="s">
        <v>149</v>
      </c>
      <c r="E51" s="6" t="n">
        <v>1693</v>
      </c>
      <c r="F51" s="24" t="n">
        <v>0.500886001181335</v>
      </c>
      <c r="G51" s="24" t="n">
        <v>0.47709343096969</v>
      </c>
      <c r="H51" s="24" t="n">
        <v>0.5246745596312</v>
      </c>
      <c r="I51" s="24" t="n">
        <v>0.536091060521932</v>
      </c>
      <c r="J51" s="24" t="n">
        <v>0.515991471215352</v>
      </c>
      <c r="K51" s="24" t="n">
        <v>0.482119205298013</v>
      </c>
      <c r="L51" s="25" t="n">
        <v>-0.000492176993991069</v>
      </c>
      <c r="M51" s="25" t="n">
        <v>-0.0010980582447488</v>
      </c>
    </row>
    <row r="52" customFormat="false" ht="15" hidden="false" customHeight="false" outlineLevel="0" collapsed="false">
      <c r="A52" s="6" t="s">
        <v>32</v>
      </c>
      <c r="B52" s="6" t="s">
        <v>4695</v>
      </c>
      <c r="C52" s="6" t="s">
        <v>4703</v>
      </c>
      <c r="D52" s="6" t="s">
        <v>4281</v>
      </c>
      <c r="E52" s="6" t="n">
        <v>2526</v>
      </c>
      <c r="F52" s="24" t="n">
        <v>0.469517022961204</v>
      </c>
      <c r="G52" s="24" t="n">
        <v>0.45011544217705</v>
      </c>
      <c r="H52" s="24" t="n">
        <v>0.489011181402861</v>
      </c>
      <c r="I52" s="24" t="n">
        <v>0.604260089686099</v>
      </c>
      <c r="J52" s="24" t="n">
        <v>0.489986648865154</v>
      </c>
      <c r="K52" s="24" t="n">
        <v>0.439688715953307</v>
      </c>
      <c r="L52" s="25" t="n">
        <v>0.0332947063965564</v>
      </c>
      <c r="M52" s="25" t="n">
        <v>0.0132844029964335</v>
      </c>
    </row>
    <row r="53" customFormat="false" ht="15" hidden="false" customHeight="false" outlineLevel="0" collapsed="false">
      <c r="A53" s="6" t="s">
        <v>31</v>
      </c>
      <c r="B53" s="6" t="s">
        <v>4705</v>
      </c>
      <c r="C53" s="6" t="s">
        <v>4703</v>
      </c>
      <c r="D53" s="6" t="s">
        <v>154</v>
      </c>
      <c r="E53" s="6" t="n">
        <v>1256</v>
      </c>
      <c r="F53" s="24" t="n">
        <v>0.501592356687898</v>
      </c>
      <c r="G53" s="24" t="n">
        <v>0.473977532880476</v>
      </c>
      <c r="H53" s="24" t="n">
        <v>0.529197469437275</v>
      </c>
      <c r="I53" s="24" t="n">
        <v>0.544144144144144</v>
      </c>
      <c r="J53" s="24"/>
      <c r="K53" s="24" t="n">
        <v>0.501592356687898</v>
      </c>
      <c r="L53" s="25" t="n">
        <v>0.000827780504123215</v>
      </c>
      <c r="M53" s="25" t="n">
        <v>0.000483266001640762</v>
      </c>
    </row>
    <row r="54" customFormat="false" ht="15" hidden="false" customHeight="false" outlineLevel="0" collapsed="false">
      <c r="A54" s="6" t="s">
        <v>31</v>
      </c>
      <c r="B54" s="6" t="s">
        <v>4705</v>
      </c>
      <c r="C54" s="6" t="s">
        <v>4703</v>
      </c>
      <c r="D54" s="6" t="s">
        <v>149</v>
      </c>
      <c r="E54" s="6" t="n">
        <v>1047</v>
      </c>
      <c r="F54" s="24" t="n">
        <v>0.468003820439351</v>
      </c>
      <c r="G54" s="24" t="n">
        <v>0.437951182350321</v>
      </c>
      <c r="H54" s="24" t="n">
        <v>0.498290397731777</v>
      </c>
      <c r="I54" s="24" t="n">
        <v>0.555087296809151</v>
      </c>
      <c r="J54" s="24"/>
      <c r="K54" s="24" t="n">
        <v>0.468003820439351</v>
      </c>
      <c r="L54" s="25" t="n">
        <v>0.00126740106502371</v>
      </c>
      <c r="M54" s="25" t="n">
        <v>0.00296855399999235</v>
      </c>
    </row>
    <row r="55" customFormat="false" ht="15" hidden="false" customHeight="false" outlineLevel="0" collapsed="false">
      <c r="A55" s="6" t="s">
        <v>31</v>
      </c>
      <c r="B55" s="6" t="s">
        <v>4705</v>
      </c>
      <c r="C55" s="6" t="s">
        <v>4703</v>
      </c>
      <c r="D55" s="6" t="s">
        <v>4281</v>
      </c>
      <c r="E55" s="6" t="n">
        <v>927</v>
      </c>
      <c r="F55" s="24" t="n">
        <v>0.618122977346278</v>
      </c>
      <c r="G55" s="24" t="n">
        <v>0.586419977469203</v>
      </c>
      <c r="H55" s="24" t="n">
        <v>0.648850985925643</v>
      </c>
      <c r="I55" s="24" t="n">
        <v>0.631611316113161</v>
      </c>
      <c r="J55" s="24"/>
      <c r="K55" s="24" t="n">
        <v>0.618122977346278</v>
      </c>
      <c r="L55" s="25" t="n">
        <v>0.0565868370042976</v>
      </c>
      <c r="M55" s="25" t="n">
        <v>0.0191922942279751</v>
      </c>
    </row>
    <row r="56" customFormat="false" ht="15" hidden="false" customHeight="false" outlineLevel="0" collapsed="false">
      <c r="A56" s="6" t="s">
        <v>39</v>
      </c>
      <c r="B56" s="6" t="s">
        <v>4705</v>
      </c>
      <c r="C56" s="6" t="s">
        <v>4704</v>
      </c>
      <c r="D56" s="6" t="s">
        <v>154</v>
      </c>
      <c r="E56" s="6" t="n">
        <v>477</v>
      </c>
      <c r="F56" s="24" t="n">
        <v>0.505241090146751</v>
      </c>
      <c r="G56" s="24" t="n">
        <v>0.460510139958925</v>
      </c>
      <c r="H56" s="24" t="n">
        <v>0.54988829478549</v>
      </c>
      <c r="I56" s="24" t="n">
        <v>0.544144144144144</v>
      </c>
      <c r="J56" s="24"/>
      <c r="K56" s="24" t="n">
        <v>0.505241090146751</v>
      </c>
      <c r="L56" s="25" t="n">
        <v>0.00202360378288535</v>
      </c>
      <c r="M56" s="25" t="n">
        <v>0.000197324842028558</v>
      </c>
    </row>
    <row r="57" customFormat="false" ht="15" hidden="false" customHeight="false" outlineLevel="0" collapsed="false">
      <c r="A57" s="6" t="s">
        <v>39</v>
      </c>
      <c r="B57" s="6" t="s">
        <v>4705</v>
      </c>
      <c r="C57" s="6" t="s">
        <v>4704</v>
      </c>
      <c r="D57" s="6" t="s">
        <v>149</v>
      </c>
      <c r="E57" s="6" t="n">
        <v>551</v>
      </c>
      <c r="F57" s="24" t="n">
        <v>0.455535390199637</v>
      </c>
      <c r="G57" s="24" t="n">
        <v>0.414402328590933</v>
      </c>
      <c r="H57" s="24" t="n">
        <v>0.497284177972382</v>
      </c>
      <c r="I57" s="24" t="n">
        <v>0.555087296809151</v>
      </c>
      <c r="J57" s="24"/>
      <c r="K57" s="24" t="n">
        <v>0.455535390199637</v>
      </c>
      <c r="L57" s="25" t="n">
        <v>0.000114291329448782</v>
      </c>
      <c r="M57" s="25" t="n">
        <v>0.00463997248378116</v>
      </c>
    </row>
    <row r="58" customFormat="false" ht="15" hidden="false" customHeight="false" outlineLevel="0" collapsed="false">
      <c r="A58" s="6" t="s">
        <v>39</v>
      </c>
      <c r="B58" s="6" t="s">
        <v>4705</v>
      </c>
      <c r="C58" s="6" t="s">
        <v>4704</v>
      </c>
      <c r="D58" s="6" t="s">
        <v>4281</v>
      </c>
      <c r="E58" s="6" t="n">
        <v>823</v>
      </c>
      <c r="F58" s="24" t="n">
        <v>0.589307411907655</v>
      </c>
      <c r="G58" s="24" t="n">
        <v>0.55535676675692</v>
      </c>
      <c r="H58" s="24" t="n">
        <v>0.622428192296907</v>
      </c>
      <c r="I58" s="24" t="n">
        <v>0.631611316113161</v>
      </c>
      <c r="J58" s="24"/>
      <c r="K58" s="24" t="n">
        <v>0.589307411907655</v>
      </c>
      <c r="L58" s="25" t="n">
        <v>0.0374829487921984</v>
      </c>
      <c r="M58" s="25" t="n">
        <v>0.0354953040981867</v>
      </c>
    </row>
    <row r="59" customFormat="false" ht="15" hidden="false" customHeight="false" outlineLevel="0" collapsed="false">
      <c r="A59" s="6" t="s">
        <v>46</v>
      </c>
      <c r="B59" s="6" t="s">
        <v>4706</v>
      </c>
      <c r="C59" s="6" t="s">
        <v>4704</v>
      </c>
      <c r="D59" s="6" t="s">
        <v>154</v>
      </c>
      <c r="E59" s="6" t="n">
        <v>2501</v>
      </c>
      <c r="F59" s="24" t="n">
        <v>0.49140343862455</v>
      </c>
      <c r="G59" s="24" t="n">
        <v>0.471838464348669</v>
      </c>
      <c r="H59" s="24" t="n">
        <v>0.510994781474141</v>
      </c>
      <c r="I59" s="24" t="n">
        <v>0.52024403771492</v>
      </c>
      <c r="J59" s="24" t="n">
        <v>0.491071428571429</v>
      </c>
      <c r="K59" s="24" t="n">
        <v>0.491789109766638</v>
      </c>
      <c r="L59" s="25" t="n">
        <v>-0.000589691675426956</v>
      </c>
      <c r="M59" s="25" t="n">
        <v>-0.000181883620040421</v>
      </c>
    </row>
    <row r="60" customFormat="false" ht="15" hidden="false" customHeight="false" outlineLevel="0" collapsed="false">
      <c r="A60" s="6" t="s">
        <v>46</v>
      </c>
      <c r="B60" s="6" t="s">
        <v>4706</v>
      </c>
      <c r="C60" s="6" t="s">
        <v>4704</v>
      </c>
      <c r="D60" s="6" t="s">
        <v>149</v>
      </c>
      <c r="E60" s="6" t="n">
        <v>2180</v>
      </c>
      <c r="F60" s="24" t="n">
        <v>0.49908256880734</v>
      </c>
      <c r="G60" s="24" t="n">
        <v>0.478113393274432</v>
      </c>
      <c r="H60" s="24" t="n">
        <v>0.520054972050232</v>
      </c>
      <c r="I60" s="24" t="n">
        <v>0.537607549264502</v>
      </c>
      <c r="J60" s="24" t="n">
        <v>0.496240601503759</v>
      </c>
      <c r="K60" s="24" t="n">
        <v>0.502543234994914</v>
      </c>
      <c r="L60" s="25" t="n">
        <v>0.000520925770889086</v>
      </c>
      <c r="M60" s="25" t="n">
        <v>0.00132614422002965</v>
      </c>
    </row>
    <row r="61" customFormat="false" ht="15" hidden="false" customHeight="false" outlineLevel="0" collapsed="false">
      <c r="A61" s="6" t="s">
        <v>46</v>
      </c>
      <c r="B61" s="6" t="s">
        <v>4706</v>
      </c>
      <c r="C61" s="6" t="s">
        <v>4704</v>
      </c>
      <c r="D61" s="6" t="s">
        <v>4281</v>
      </c>
      <c r="E61" s="6" t="n">
        <v>2229</v>
      </c>
      <c r="F61" s="24" t="n">
        <v>0.448631673396142</v>
      </c>
      <c r="G61" s="24" t="n">
        <v>0.428090159664758</v>
      </c>
      <c r="H61" s="24" t="n">
        <v>0.469349945356575</v>
      </c>
      <c r="I61" s="24" t="n">
        <v>0.659192825112108</v>
      </c>
      <c r="J61" s="24" t="n">
        <v>0.426339285714286</v>
      </c>
      <c r="K61" s="24" t="n">
        <v>0.482485875706215</v>
      </c>
      <c r="L61" s="25" t="n">
        <v>0.0221729571843151</v>
      </c>
      <c r="M61" s="25" t="n">
        <v>0.0133109765600707</v>
      </c>
    </row>
    <row r="62" customFormat="false" ht="15" hidden="false" customHeight="false" outlineLevel="0" collapsed="false">
      <c r="A62" s="6" t="s">
        <v>29</v>
      </c>
      <c r="B62" s="6" t="s">
        <v>4693</v>
      </c>
      <c r="C62" s="6" t="s">
        <v>4704</v>
      </c>
      <c r="D62" s="6" t="s">
        <v>154</v>
      </c>
      <c r="E62" s="6" t="n">
        <v>2503</v>
      </c>
      <c r="F62" s="24" t="n">
        <v>0.508589692369157</v>
      </c>
      <c r="G62" s="24" t="n">
        <v>0.4890061774021</v>
      </c>
      <c r="H62" s="24" t="n">
        <v>0.528146880852558</v>
      </c>
      <c r="I62" s="24" t="n">
        <v>0.525790349417637</v>
      </c>
      <c r="J62" s="24" t="n">
        <v>0.494365138993238</v>
      </c>
      <c r="K62" s="24" t="n">
        <v>0.524744027303754</v>
      </c>
      <c r="L62" s="25" t="n">
        <v>-0.000425478314357384</v>
      </c>
      <c r="M62" s="25" t="n">
        <v>-0.000139513263007188</v>
      </c>
    </row>
    <row r="63" customFormat="false" ht="15" hidden="false" customHeight="false" outlineLevel="0" collapsed="false">
      <c r="A63" s="6" t="s">
        <v>29</v>
      </c>
      <c r="B63" s="6" t="s">
        <v>4693</v>
      </c>
      <c r="C63" s="6" t="s">
        <v>4704</v>
      </c>
      <c r="D63" s="6" t="s">
        <v>149</v>
      </c>
      <c r="E63" s="6" t="n">
        <v>1870</v>
      </c>
      <c r="F63" s="24" t="n">
        <v>0.494117647058824</v>
      </c>
      <c r="G63" s="24" t="n">
        <v>0.471492145141913</v>
      </c>
      <c r="H63" s="24" t="n">
        <v>0.516767268033673</v>
      </c>
      <c r="I63" s="24" t="n">
        <v>0.538162642242576</v>
      </c>
      <c r="J63" s="24" t="n">
        <v>0.488023952095808</v>
      </c>
      <c r="K63" s="24" t="n">
        <v>0.501152073732719</v>
      </c>
      <c r="L63" s="25" t="n">
        <v>-0.00302772437676818</v>
      </c>
      <c r="M63" s="25" t="n">
        <v>0.000996316134046212</v>
      </c>
    </row>
    <row r="64" customFormat="false" ht="15" hidden="false" customHeight="false" outlineLevel="0" collapsed="false">
      <c r="A64" s="6" t="s">
        <v>29</v>
      </c>
      <c r="B64" s="6" t="s">
        <v>4693</v>
      </c>
      <c r="C64" s="6" t="s">
        <v>4704</v>
      </c>
      <c r="D64" s="6" t="s">
        <v>4281</v>
      </c>
      <c r="E64" s="6" t="n">
        <v>2307</v>
      </c>
      <c r="F64" s="24" t="n">
        <v>0.496749024707412</v>
      </c>
      <c r="G64" s="24" t="n">
        <v>0.47636843848755</v>
      </c>
      <c r="H64" s="24" t="n">
        <v>0.517140419930094</v>
      </c>
      <c r="I64" s="24" t="n">
        <v>0.603139013452915</v>
      </c>
      <c r="J64" s="24" t="n">
        <v>0.4300395256917</v>
      </c>
      <c r="K64" s="24" t="n">
        <v>0.577735124760077</v>
      </c>
      <c r="L64" s="25" t="n">
        <v>0.0213125056208332</v>
      </c>
      <c r="M64" s="25" t="n">
        <v>0.00700445376131341</v>
      </c>
    </row>
    <row r="65" customFormat="false" ht="15" hidden="false" customHeight="false" outlineLevel="0" collapsed="false">
      <c r="A65" s="6" t="s">
        <v>44</v>
      </c>
      <c r="B65" s="6" t="s">
        <v>4707</v>
      </c>
      <c r="C65" s="6" t="s">
        <v>4704</v>
      </c>
      <c r="D65" s="6" t="s">
        <v>154</v>
      </c>
      <c r="E65" s="6" t="n">
        <v>724</v>
      </c>
      <c r="F65" s="24" t="n">
        <v>0.50414364640884</v>
      </c>
      <c r="G65" s="24" t="n">
        <v>0.467797848186004</v>
      </c>
      <c r="H65" s="24" t="n">
        <v>0.540445703707705</v>
      </c>
      <c r="I65" s="24" t="n">
        <v>0.542608695652174</v>
      </c>
      <c r="J65" s="24"/>
      <c r="K65" s="24" t="n">
        <v>0.50414364640884</v>
      </c>
      <c r="L65" s="25" t="n">
        <v>0.00134952153875242</v>
      </c>
      <c r="M65" s="25" t="n">
        <v>0.000519977814053223</v>
      </c>
    </row>
    <row r="66" customFormat="false" ht="15" hidden="false" customHeight="false" outlineLevel="0" collapsed="false">
      <c r="A66" s="6" t="s">
        <v>44</v>
      </c>
      <c r="B66" s="6" t="s">
        <v>4707</v>
      </c>
      <c r="C66" s="6" t="s">
        <v>4704</v>
      </c>
      <c r="D66" s="6" t="s">
        <v>149</v>
      </c>
      <c r="E66" s="6" t="n">
        <v>637</v>
      </c>
      <c r="F66" s="24" t="n">
        <v>0.455259026687598</v>
      </c>
      <c r="G66" s="24" t="n">
        <v>0.416969139793949</v>
      </c>
      <c r="H66" s="24" t="n">
        <v>0.494085323586706</v>
      </c>
      <c r="I66" s="24" t="n">
        <v>0.56195462478185</v>
      </c>
      <c r="J66" s="24"/>
      <c r="K66" s="24" t="n">
        <v>0.455259026687598</v>
      </c>
      <c r="L66" s="25" t="n">
        <v>0.00117939316354992</v>
      </c>
      <c r="M66" s="25" t="n">
        <v>0.00415689520142987</v>
      </c>
    </row>
    <row r="67" customFormat="false" ht="15" hidden="false" customHeight="false" outlineLevel="0" collapsed="false">
      <c r="A67" s="6" t="s">
        <v>44</v>
      </c>
      <c r="B67" s="6" t="s">
        <v>4707</v>
      </c>
      <c r="C67" s="6" t="s">
        <v>4704</v>
      </c>
      <c r="D67" s="6" t="s">
        <v>4281</v>
      </c>
      <c r="E67" s="6" t="n">
        <v>756</v>
      </c>
      <c r="F67" s="24" t="n">
        <v>0.509259259259259</v>
      </c>
      <c r="G67" s="24" t="n">
        <v>0.473666470764411</v>
      </c>
      <c r="H67" s="24" t="n">
        <v>0.544758422002713</v>
      </c>
      <c r="I67" s="24" t="n">
        <v>0.673267326732673</v>
      </c>
      <c r="J67" s="24"/>
      <c r="K67" s="24" t="n">
        <v>0.509259259259259</v>
      </c>
      <c r="L67" s="25" t="n">
        <v>0.0642075570087016</v>
      </c>
      <c r="M67" s="25" t="n">
        <v>0.016149304899206</v>
      </c>
    </row>
    <row r="68" customFormat="false" ht="15" hidden="false" customHeight="false" outlineLevel="0" collapsed="false">
      <c r="A68" s="6" t="s">
        <v>21</v>
      </c>
      <c r="B68" s="6" t="s">
        <v>4707</v>
      </c>
      <c r="C68" s="6" t="s">
        <v>4704</v>
      </c>
      <c r="D68" s="6" t="s">
        <v>154</v>
      </c>
      <c r="E68" s="6" t="n">
        <v>679</v>
      </c>
      <c r="F68" s="24" t="n">
        <v>0.500736377025037</v>
      </c>
      <c r="G68" s="24" t="n">
        <v>0.463229267761885</v>
      </c>
      <c r="H68" s="24" t="n">
        <v>0.538235200718067</v>
      </c>
      <c r="I68" s="24" t="n">
        <v>0.542608695652174</v>
      </c>
      <c r="J68" s="24"/>
      <c r="K68" s="24" t="n">
        <v>0.500736377025037</v>
      </c>
      <c r="L68" s="25" t="n">
        <v>0.000996324999388801</v>
      </c>
      <c r="M68" s="25" t="n">
        <v>0.00166704381590727</v>
      </c>
    </row>
    <row r="69" customFormat="false" ht="15" hidden="false" customHeight="false" outlineLevel="0" collapsed="false">
      <c r="A69" s="6" t="s">
        <v>21</v>
      </c>
      <c r="B69" s="6" t="s">
        <v>4707</v>
      </c>
      <c r="C69" s="6" t="s">
        <v>4704</v>
      </c>
      <c r="D69" s="6" t="s">
        <v>149</v>
      </c>
      <c r="E69" s="6" t="n">
        <v>460</v>
      </c>
      <c r="F69" s="24" t="n">
        <v>0.526086956521739</v>
      </c>
      <c r="G69" s="24" t="n">
        <v>0.480429236321673</v>
      </c>
      <c r="H69" s="24" t="n">
        <v>0.571312565189878</v>
      </c>
      <c r="I69" s="24" t="n">
        <v>0.56195462478185</v>
      </c>
      <c r="J69" s="24"/>
      <c r="K69" s="24" t="n">
        <v>0.526086956521739</v>
      </c>
      <c r="L69" s="25" t="n">
        <v>0.00497844039527327</v>
      </c>
      <c r="M69" s="25" t="n">
        <v>0.00337152110120616</v>
      </c>
    </row>
    <row r="70" customFormat="false" ht="15" hidden="false" customHeight="false" outlineLevel="0" collapsed="false">
      <c r="A70" s="6" t="s">
        <v>21</v>
      </c>
      <c r="B70" s="6" t="s">
        <v>4707</v>
      </c>
      <c r="C70" s="6" t="s">
        <v>4704</v>
      </c>
      <c r="D70" s="6" t="s">
        <v>4281</v>
      </c>
      <c r="E70" s="6" t="n">
        <v>551</v>
      </c>
      <c r="F70" s="24" t="n">
        <v>0.593466424682396</v>
      </c>
      <c r="G70" s="24" t="n">
        <v>0.551942917530866</v>
      </c>
      <c r="H70" s="24" t="n">
        <v>0.633695650305432</v>
      </c>
      <c r="I70" s="24" t="n">
        <v>0.673267326732673</v>
      </c>
      <c r="J70" s="24"/>
      <c r="K70" s="24" t="n">
        <v>0.593466424682396</v>
      </c>
      <c r="L70" s="25" t="n">
        <v>0.0277886042227597</v>
      </c>
      <c r="M70" s="25" t="n">
        <v>0.0110190376324637</v>
      </c>
    </row>
    <row r="71" customFormat="false" ht="15" hidden="false" customHeight="false" outlineLevel="0" collapsed="false">
      <c r="A71" s="6" t="s">
        <v>33</v>
      </c>
      <c r="B71" s="6" t="s">
        <v>4708</v>
      </c>
      <c r="C71" s="6" t="s">
        <v>4703</v>
      </c>
      <c r="D71" s="6" t="s">
        <v>154</v>
      </c>
      <c r="E71" s="6" t="n">
        <v>361</v>
      </c>
      <c r="F71" s="24" t="n">
        <v>0.454293628808864</v>
      </c>
      <c r="G71" s="24" t="n">
        <v>0.403680765444992</v>
      </c>
      <c r="H71" s="24" t="n">
        <v>0.505869022737057</v>
      </c>
      <c r="I71" s="24" t="n">
        <v>0.508620689655172</v>
      </c>
      <c r="J71" s="24"/>
      <c r="K71" s="24" t="n">
        <v>0.454293628808864</v>
      </c>
      <c r="L71" s="25" t="n">
        <v>-0.00123958875491298</v>
      </c>
      <c r="M71" s="25" t="n">
        <v>0.000902577105426859</v>
      </c>
    </row>
    <row r="72" customFormat="false" ht="15" hidden="false" customHeight="false" outlineLevel="0" collapsed="false">
      <c r="A72" s="6" t="s">
        <v>33</v>
      </c>
      <c r="B72" s="6" t="s">
        <v>4708</v>
      </c>
      <c r="C72" s="6" t="s">
        <v>4703</v>
      </c>
      <c r="D72" s="6" t="s">
        <v>149</v>
      </c>
      <c r="E72" s="6" t="n">
        <v>200</v>
      </c>
      <c r="F72" s="24" t="n">
        <v>0.42</v>
      </c>
      <c r="G72" s="24" t="n">
        <v>0.353734823501718</v>
      </c>
      <c r="H72" s="24" t="n">
        <v>0.489280537445214</v>
      </c>
      <c r="I72" s="24" t="n">
        <v>0.513888888888889</v>
      </c>
      <c r="J72" s="24"/>
      <c r="K72" s="24" t="n">
        <v>0.42</v>
      </c>
      <c r="L72" s="25" t="n">
        <v>-0.00509293631396085</v>
      </c>
      <c r="M72" s="25" t="n">
        <v>-0.00111298466230797</v>
      </c>
    </row>
    <row r="73" customFormat="false" ht="15" hidden="false" customHeight="false" outlineLevel="0" collapsed="false">
      <c r="A73" s="6" t="s">
        <v>33</v>
      </c>
      <c r="B73" s="6" t="s">
        <v>4708</v>
      </c>
      <c r="C73" s="6" t="s">
        <v>4703</v>
      </c>
      <c r="D73" s="6" t="s">
        <v>4281</v>
      </c>
      <c r="E73" s="6" t="n">
        <v>332</v>
      </c>
      <c r="F73" s="24" t="n">
        <v>0.451807228915663</v>
      </c>
      <c r="G73" s="24" t="n">
        <v>0.399128628771156</v>
      </c>
      <c r="H73" s="24" t="n">
        <v>0.505588356855402</v>
      </c>
      <c r="I73" s="24" t="n">
        <v>0.539741219963031</v>
      </c>
      <c r="J73" s="24"/>
      <c r="K73" s="24" t="n">
        <v>0.451807228915663</v>
      </c>
      <c r="L73" s="25" t="n">
        <v>-0.00620918846985395</v>
      </c>
      <c r="M73" s="25" t="n">
        <v>0.042409018432073</v>
      </c>
    </row>
    <row r="74" customFormat="false" ht="15" hidden="false" customHeight="false" outlineLevel="0" collapsed="false">
      <c r="A74" s="6" t="s">
        <v>48</v>
      </c>
      <c r="B74" s="6" t="s">
        <v>4708</v>
      </c>
      <c r="C74" s="6" t="s">
        <v>4703</v>
      </c>
      <c r="D74" s="6" t="s">
        <v>154</v>
      </c>
      <c r="E74" s="6" t="n">
        <v>348</v>
      </c>
      <c r="F74" s="24" t="n">
        <v>0.477011494252874</v>
      </c>
      <c r="G74" s="24" t="n">
        <v>0.425071209838468</v>
      </c>
      <c r="H74" s="24" t="n">
        <v>0.529453780952843</v>
      </c>
      <c r="I74" s="24" t="n">
        <v>0.508620689655172</v>
      </c>
      <c r="J74" s="24"/>
      <c r="K74" s="24" t="n">
        <v>0.477011494252874</v>
      </c>
      <c r="L74" s="25" t="n">
        <v>-0.000773097683941324</v>
      </c>
      <c r="M74" s="25" t="n">
        <v>0.000446294693645152</v>
      </c>
    </row>
    <row r="75" customFormat="false" ht="15" hidden="false" customHeight="false" outlineLevel="0" collapsed="false">
      <c r="A75" s="6" t="s">
        <v>48</v>
      </c>
      <c r="B75" s="6" t="s">
        <v>4708</v>
      </c>
      <c r="C75" s="6" t="s">
        <v>4703</v>
      </c>
      <c r="D75" s="6" t="s">
        <v>149</v>
      </c>
      <c r="E75" s="6" t="n">
        <v>371</v>
      </c>
      <c r="F75" s="24" t="n">
        <v>0.477088948787062</v>
      </c>
      <c r="G75" s="24" t="n">
        <v>0.42675870373856</v>
      </c>
      <c r="H75" s="24" t="n">
        <v>0.527888806036236</v>
      </c>
      <c r="I75" s="24" t="n">
        <v>0.513888888888889</v>
      </c>
      <c r="J75" s="24"/>
      <c r="K75" s="24" t="n">
        <v>0.477088948787062</v>
      </c>
      <c r="L75" s="25" t="n">
        <v>-0.00180111698590178</v>
      </c>
      <c r="M75" s="25" t="n">
        <v>0.00329782460877464</v>
      </c>
    </row>
    <row r="76" customFormat="false" ht="15" hidden="false" customHeight="false" outlineLevel="0" collapsed="false">
      <c r="A76" s="6" t="s">
        <v>48</v>
      </c>
      <c r="B76" s="6" t="s">
        <v>4708</v>
      </c>
      <c r="C76" s="6" t="s">
        <v>4703</v>
      </c>
      <c r="D76" s="6" t="s">
        <v>4281</v>
      </c>
      <c r="E76" s="6" t="n">
        <v>473</v>
      </c>
      <c r="F76" s="24" t="n">
        <v>0.437632135306554</v>
      </c>
      <c r="G76" s="24" t="n">
        <v>0.393603689378411</v>
      </c>
      <c r="H76" s="24" t="n">
        <v>0.482665495189378</v>
      </c>
      <c r="I76" s="24" t="n">
        <v>0.539741219963031</v>
      </c>
      <c r="J76" s="24"/>
      <c r="K76" s="24" t="n">
        <v>0.437632135306554</v>
      </c>
      <c r="L76" s="25" t="n">
        <v>-0.00900608221982792</v>
      </c>
      <c r="M76" s="25"/>
    </row>
    <row r="77" customFormat="false" ht="15" hidden="false" customHeight="false" outlineLevel="0" collapsed="false">
      <c r="A77" s="6" t="s">
        <v>19</v>
      </c>
      <c r="B77" s="6" t="s">
        <v>4709</v>
      </c>
      <c r="C77" s="6" t="s">
        <v>4704</v>
      </c>
      <c r="D77" s="6" t="s">
        <v>154</v>
      </c>
      <c r="E77" s="6" t="n">
        <v>2987</v>
      </c>
      <c r="F77" s="24" t="n">
        <v>0.501171744224975</v>
      </c>
      <c r="G77" s="24" t="n">
        <v>0.483250644653154</v>
      </c>
      <c r="H77" s="24" t="n">
        <v>0.519089833692473</v>
      </c>
      <c r="I77" s="24" t="n">
        <v>0.528448515126284</v>
      </c>
      <c r="J77" s="24" t="n">
        <v>0.5</v>
      </c>
      <c r="K77" s="24" t="n">
        <v>0.502473498233216</v>
      </c>
      <c r="L77" s="25" t="n">
        <v>-0.00058862578463525</v>
      </c>
      <c r="M77" s="25" t="n">
        <v>-0.000805844710965948</v>
      </c>
    </row>
    <row r="78" customFormat="false" ht="15" hidden="false" customHeight="false" outlineLevel="0" collapsed="false">
      <c r="A78" s="6" t="s">
        <v>19</v>
      </c>
      <c r="B78" s="6" t="s">
        <v>4709</v>
      </c>
      <c r="C78" s="6" t="s">
        <v>4704</v>
      </c>
      <c r="D78" s="6" t="s">
        <v>149</v>
      </c>
      <c r="E78" s="6" t="n">
        <v>2772</v>
      </c>
      <c r="F78" s="24" t="n">
        <v>0.496031746031746</v>
      </c>
      <c r="G78" s="24" t="n">
        <v>0.477437146538607</v>
      </c>
      <c r="H78" s="24" t="n">
        <v>0.514637329180756</v>
      </c>
      <c r="I78" s="24" t="n">
        <v>0.543611111111111</v>
      </c>
      <c r="J78" s="24" t="n">
        <v>0.520456069751844</v>
      </c>
      <c r="K78" s="24" t="n">
        <v>0.46760343481655</v>
      </c>
      <c r="L78" s="25" t="n">
        <v>0.00168347365314524</v>
      </c>
      <c r="M78" s="25" t="n">
        <v>0.00156180864433223</v>
      </c>
    </row>
    <row r="79" customFormat="false" ht="15" hidden="false" customHeight="false" outlineLevel="0" collapsed="false">
      <c r="A79" s="6" t="s">
        <v>19</v>
      </c>
      <c r="B79" s="6" t="s">
        <v>4709</v>
      </c>
      <c r="C79" s="6" t="s">
        <v>4704</v>
      </c>
      <c r="D79" s="6" t="s">
        <v>4281</v>
      </c>
      <c r="E79" s="6" t="n">
        <v>2675</v>
      </c>
      <c r="F79" s="24" t="n">
        <v>0.435140186915888</v>
      </c>
      <c r="G79" s="24" t="n">
        <v>0.41645850736699</v>
      </c>
      <c r="H79" s="24" t="n">
        <v>0.454007891243514</v>
      </c>
      <c r="I79" s="24" t="n">
        <v>0.646761984861228</v>
      </c>
      <c r="J79" s="24" t="n">
        <v>0.405017921146953</v>
      </c>
      <c r="K79" s="24" t="n">
        <v>0.46796875</v>
      </c>
      <c r="L79" s="25" t="n">
        <v>0.018941096176047</v>
      </c>
      <c r="M79" s="25" t="n">
        <v>0.0233394988693672</v>
      </c>
    </row>
    <row r="80" customFormat="false" ht="15" hidden="false" customHeight="false" outlineLevel="0" collapsed="false">
      <c r="A80" s="6" t="s">
        <v>26</v>
      </c>
      <c r="B80" s="6" t="s">
        <v>4696</v>
      </c>
      <c r="C80" s="6" t="s">
        <v>4704</v>
      </c>
      <c r="D80" s="6" t="s">
        <v>154</v>
      </c>
      <c r="E80" s="6" t="n">
        <v>1876</v>
      </c>
      <c r="F80" s="24" t="n">
        <v>0.515991471215352</v>
      </c>
      <c r="G80" s="24" t="n">
        <v>0.493367364300575</v>
      </c>
      <c r="H80" s="24" t="n">
        <v>0.538550218542575</v>
      </c>
      <c r="I80" s="24" t="n">
        <v>0.528563505268996</v>
      </c>
      <c r="J80" s="24" t="n">
        <v>0.511472275334608</v>
      </c>
      <c r="K80" s="24" t="n">
        <v>0.521686746987952</v>
      </c>
      <c r="L80" s="25" t="n">
        <v>-0.000284783366363438</v>
      </c>
      <c r="M80" s="25" t="n">
        <v>-0.000738050746685232</v>
      </c>
    </row>
    <row r="81" customFormat="false" ht="15" hidden="false" customHeight="false" outlineLevel="0" collapsed="false">
      <c r="A81" s="6" t="s">
        <v>26</v>
      </c>
      <c r="B81" s="6" t="s">
        <v>4696</v>
      </c>
      <c r="C81" s="6" t="s">
        <v>4704</v>
      </c>
      <c r="D81" s="6" t="s">
        <v>149</v>
      </c>
      <c r="E81" s="6" t="n">
        <v>1727</v>
      </c>
      <c r="F81" s="24" t="n">
        <v>0.47539085118703</v>
      </c>
      <c r="G81" s="24" t="n">
        <v>0.451918180420217</v>
      </c>
      <c r="H81" s="24" t="n">
        <v>0.498972761882071</v>
      </c>
      <c r="I81" s="24" t="n">
        <v>0.524007771301693</v>
      </c>
      <c r="J81" s="24" t="n">
        <v>0.44408945686901</v>
      </c>
      <c r="K81" s="24" t="n">
        <v>0.512690355329949</v>
      </c>
      <c r="L81" s="25" t="n">
        <v>-0.00299068324826877</v>
      </c>
      <c r="M81" s="25" t="n">
        <v>0.00116248283421927</v>
      </c>
    </row>
    <row r="82" customFormat="false" ht="15" hidden="false" customHeight="false" outlineLevel="0" collapsed="false">
      <c r="A82" s="6" t="s">
        <v>26</v>
      </c>
      <c r="B82" s="6" t="s">
        <v>4696</v>
      </c>
      <c r="C82" s="6" t="s">
        <v>4704</v>
      </c>
      <c r="D82" s="6" t="s">
        <v>4281</v>
      </c>
      <c r="E82" s="6" t="n">
        <v>2298</v>
      </c>
      <c r="F82" s="24" t="n">
        <v>0.516536118363795</v>
      </c>
      <c r="G82" s="24" t="n">
        <v>0.496093439449353</v>
      </c>
      <c r="H82" s="24" t="n">
        <v>0.536923602209812</v>
      </c>
      <c r="I82" s="24" t="n">
        <v>0.595571748878924</v>
      </c>
      <c r="J82" s="24" t="n">
        <v>0.534151957022256</v>
      </c>
      <c r="K82" s="24" t="n">
        <v>0.493467336683417</v>
      </c>
      <c r="L82" s="25" t="n">
        <v>0.0312183522714747</v>
      </c>
      <c r="M82" s="25" t="n">
        <v>0.0102261305999739</v>
      </c>
    </row>
    <row r="83" customFormat="false" ht="15" hidden="false" customHeight="false" outlineLevel="0" collapsed="false">
      <c r="A83" s="6" t="s">
        <v>28</v>
      </c>
      <c r="B83" s="6" t="s">
        <v>4696</v>
      </c>
      <c r="C83" s="6" t="s">
        <v>4704</v>
      </c>
      <c r="D83" s="6" t="s">
        <v>154</v>
      </c>
      <c r="E83" s="6" t="n">
        <v>2292</v>
      </c>
      <c r="F83" s="24" t="n">
        <v>0.494328097731239</v>
      </c>
      <c r="G83" s="24" t="n">
        <v>0.473885991873428</v>
      </c>
      <c r="H83" s="24" t="n">
        <v>0.514789185020309</v>
      </c>
      <c r="I83" s="24" t="n">
        <v>0.528563505268996</v>
      </c>
      <c r="J83" s="24" t="n">
        <v>0.485049833887043</v>
      </c>
      <c r="K83" s="24" t="n">
        <v>0.504595588235294</v>
      </c>
      <c r="L83" s="25" t="n">
        <v>-0.000829082351846699</v>
      </c>
      <c r="M83" s="25" t="n">
        <v>-0.000270369147512464</v>
      </c>
    </row>
    <row r="84" customFormat="false" ht="15" hidden="false" customHeight="false" outlineLevel="0" collapsed="false">
      <c r="A84" s="6" t="s">
        <v>28</v>
      </c>
      <c r="B84" s="6" t="s">
        <v>4696</v>
      </c>
      <c r="C84" s="6" t="s">
        <v>4704</v>
      </c>
      <c r="D84" s="6" t="s">
        <v>149</v>
      </c>
      <c r="E84" s="6" t="n">
        <v>1929</v>
      </c>
      <c r="F84" s="24" t="n">
        <v>0.472783825816485</v>
      </c>
      <c r="G84" s="24" t="n">
        <v>0.450579983028642</v>
      </c>
      <c r="H84" s="24" t="n">
        <v>0.49509585507418</v>
      </c>
      <c r="I84" s="24" t="n">
        <v>0.524007771301693</v>
      </c>
      <c r="J84" s="24" t="n">
        <v>0.472852912142152</v>
      </c>
      <c r="K84" s="24" t="n">
        <v>0.472707423580786</v>
      </c>
      <c r="L84" s="25" t="n">
        <v>0.000624702027487558</v>
      </c>
      <c r="M84" s="25" t="n">
        <v>0.00169597348973904</v>
      </c>
    </row>
    <row r="85" customFormat="false" ht="15" hidden="false" customHeight="false" outlineLevel="0" collapsed="false">
      <c r="A85" s="6" t="s">
        <v>28</v>
      </c>
      <c r="B85" s="6" t="s">
        <v>4696</v>
      </c>
      <c r="C85" s="6" t="s">
        <v>4704</v>
      </c>
      <c r="D85" s="6" t="s">
        <v>4281</v>
      </c>
      <c r="E85" s="6" t="n">
        <v>2105</v>
      </c>
      <c r="F85" s="24" t="n">
        <v>0.427553444180523</v>
      </c>
      <c r="G85" s="24" t="n">
        <v>0.406569728682923</v>
      </c>
      <c r="H85" s="24" t="n">
        <v>0.448801106186799</v>
      </c>
      <c r="I85" s="24" t="n">
        <v>0.595571748878924</v>
      </c>
      <c r="J85" s="24" t="n">
        <v>0.385615914307575</v>
      </c>
      <c r="K85" s="24" t="n">
        <v>0.496240601503759</v>
      </c>
      <c r="L85" s="25" t="n">
        <v>0.0186657073204708</v>
      </c>
      <c r="M85" s="25" t="n">
        <v>0.0332896511918693</v>
      </c>
    </row>
    <row r="86" customFormat="false" ht="15" hidden="false" customHeight="false" outlineLevel="0" collapsed="false">
      <c r="A86" s="6" t="s">
        <v>27</v>
      </c>
      <c r="B86" s="6" t="s">
        <v>4706</v>
      </c>
      <c r="C86" s="6" t="s">
        <v>4704</v>
      </c>
      <c r="D86" s="6" t="s">
        <v>154</v>
      </c>
      <c r="E86" s="6" t="n">
        <v>1740</v>
      </c>
      <c r="F86" s="24" t="n">
        <v>0.497126436781609</v>
      </c>
      <c r="G86" s="24" t="n">
        <v>0.473665344066401</v>
      </c>
      <c r="H86" s="24" t="n">
        <v>0.520600190142669</v>
      </c>
      <c r="I86" s="24" t="n">
        <v>0.52024403771492</v>
      </c>
      <c r="J86" s="24" t="n">
        <v>0.509594882729211</v>
      </c>
      <c r="K86" s="24" t="n">
        <v>0.482543640897756</v>
      </c>
      <c r="L86" s="25" t="n">
        <v>-0.000166176462510301</v>
      </c>
      <c r="M86" s="25" t="n">
        <v>-0.000195764971856075</v>
      </c>
    </row>
    <row r="87" customFormat="false" ht="15" hidden="false" customHeight="false" outlineLevel="0" collapsed="false">
      <c r="A87" s="6" t="s">
        <v>27</v>
      </c>
      <c r="B87" s="6" t="s">
        <v>4706</v>
      </c>
      <c r="C87" s="6" t="s">
        <v>4704</v>
      </c>
      <c r="D87" s="6" t="s">
        <v>149</v>
      </c>
      <c r="E87" s="6" t="n">
        <v>1080</v>
      </c>
      <c r="F87" s="24" t="n">
        <v>0.525</v>
      </c>
      <c r="G87" s="24" t="n">
        <v>0.495180934743003</v>
      </c>
      <c r="H87" s="24" t="n">
        <v>0.554641843788473</v>
      </c>
      <c r="I87" s="24" t="n">
        <v>0.537607549264502</v>
      </c>
      <c r="J87" s="24" t="n">
        <v>0.51530612244898</v>
      </c>
      <c r="K87" s="24" t="n">
        <v>0.536585365853659</v>
      </c>
      <c r="L87" s="25" t="n">
        <v>0.00202465047513004</v>
      </c>
      <c r="M87" s="25" t="n">
        <v>0.0041187245078288</v>
      </c>
    </row>
    <row r="88" customFormat="false" ht="15" hidden="false" customHeight="false" outlineLevel="0" collapsed="false">
      <c r="A88" s="6" t="s">
        <v>27</v>
      </c>
      <c r="B88" s="6" t="s">
        <v>4706</v>
      </c>
      <c r="C88" s="6" t="s">
        <v>4704</v>
      </c>
      <c r="D88" s="6" t="s">
        <v>4281</v>
      </c>
      <c r="E88" s="6" t="n">
        <v>1867</v>
      </c>
      <c r="F88" s="24" t="n">
        <v>0.603106588109266</v>
      </c>
      <c r="G88" s="24" t="n">
        <v>0.5807235587151</v>
      </c>
      <c r="H88" s="24" t="n">
        <v>0.625066177839828</v>
      </c>
      <c r="I88" s="24" t="n">
        <v>0.659192825112108</v>
      </c>
      <c r="J88" s="24" t="n">
        <v>0.633358954650269</v>
      </c>
      <c r="K88" s="24" t="n">
        <v>0.53356890459364</v>
      </c>
      <c r="L88" s="25" t="n">
        <v>0.0241364790531852</v>
      </c>
      <c r="M88" s="25" t="n">
        <v>0.0145965351739489</v>
      </c>
    </row>
    <row r="89" customFormat="false" ht="15" hidden="false" customHeight="false" outlineLevel="0" collapsed="false">
      <c r="A89" s="6" t="s">
        <v>36</v>
      </c>
      <c r="B89" s="6" t="s">
        <v>4709</v>
      </c>
      <c r="C89" s="6" t="s">
        <v>4704</v>
      </c>
      <c r="D89" s="6" t="s">
        <v>154</v>
      </c>
      <c r="E89" s="6" t="n">
        <v>1954</v>
      </c>
      <c r="F89" s="24" t="n">
        <v>0.489252814738997</v>
      </c>
      <c r="G89" s="24" t="n">
        <v>0.467130867284555</v>
      </c>
      <c r="H89" s="24" t="n">
        <v>0.511416937604257</v>
      </c>
      <c r="I89" s="24" t="n">
        <v>0.528448515126284</v>
      </c>
      <c r="J89" s="24" t="n">
        <v>0.478899082568807</v>
      </c>
      <c r="K89" s="24" t="n">
        <v>0.502314814814815</v>
      </c>
      <c r="L89" s="25" t="n">
        <v>-0.00099862534312759</v>
      </c>
      <c r="M89" s="25" t="n">
        <v>-0.000562502538002543</v>
      </c>
    </row>
    <row r="90" customFormat="false" ht="15" hidden="false" customHeight="false" outlineLevel="0" collapsed="false">
      <c r="A90" s="6" t="s">
        <v>36</v>
      </c>
      <c r="B90" s="6" t="s">
        <v>4709</v>
      </c>
      <c r="C90" s="6" t="s">
        <v>4704</v>
      </c>
      <c r="D90" s="6" t="s">
        <v>149</v>
      </c>
      <c r="E90" s="6" t="n">
        <v>1270</v>
      </c>
      <c r="F90" s="24" t="n">
        <v>0.516535433070866</v>
      </c>
      <c r="G90" s="24" t="n">
        <v>0.489042574189855</v>
      </c>
      <c r="H90" s="24" t="n">
        <v>0.543928558170715</v>
      </c>
      <c r="I90" s="24" t="n">
        <v>0.543611111111111</v>
      </c>
      <c r="J90" s="24" t="n">
        <v>0.514397905759162</v>
      </c>
      <c r="K90" s="24" t="n">
        <v>0.519762845849802</v>
      </c>
      <c r="L90" s="25" t="n">
        <v>0.00093428006004649</v>
      </c>
      <c r="M90" s="25" t="n">
        <v>-0.001834838589775</v>
      </c>
    </row>
    <row r="91" customFormat="false" ht="15" hidden="false" customHeight="false" outlineLevel="0" collapsed="false">
      <c r="A91" s="6" t="s">
        <v>36</v>
      </c>
      <c r="B91" s="6" t="s">
        <v>4709</v>
      </c>
      <c r="C91" s="6" t="s">
        <v>4704</v>
      </c>
      <c r="D91" s="6" t="s">
        <v>4281</v>
      </c>
      <c r="E91" s="6" t="n">
        <v>1795</v>
      </c>
      <c r="F91" s="24" t="n">
        <v>0.358217270194986</v>
      </c>
      <c r="G91" s="24" t="n">
        <v>0.336360179652546</v>
      </c>
      <c r="H91" s="24" t="n">
        <v>0.380679942168075</v>
      </c>
      <c r="I91" s="24" t="n">
        <v>0.646761984861228</v>
      </c>
      <c r="J91" s="24" t="n">
        <v>0.276546091015169</v>
      </c>
      <c r="K91" s="24" t="n">
        <v>0.432835820895522</v>
      </c>
      <c r="L91" s="25" t="n">
        <v>0.0200354379580624</v>
      </c>
      <c r="M91" s="25" t="n">
        <v>0.0180580981855984</v>
      </c>
    </row>
    <row r="92" customFormat="false" ht="15" hidden="false" customHeight="false" outlineLevel="0" collapsed="false">
      <c r="A92" s="6" t="s">
        <v>47</v>
      </c>
      <c r="B92" s="6" t="s">
        <v>4709</v>
      </c>
      <c r="C92" s="6" t="s">
        <v>4704</v>
      </c>
      <c r="D92" s="6" t="s">
        <v>154</v>
      </c>
      <c r="E92" s="6" t="n">
        <v>2521</v>
      </c>
      <c r="F92" s="24" t="n">
        <v>0.4970249900833</v>
      </c>
      <c r="G92" s="24" t="n">
        <v>0.477526520651448</v>
      </c>
      <c r="H92" s="24" t="n">
        <v>0.51653251259642</v>
      </c>
      <c r="I92" s="24" t="n">
        <v>0.528448515126284</v>
      </c>
      <c r="J92" s="24" t="n">
        <v>0.496598639455782</v>
      </c>
      <c r="K92" s="24" t="n">
        <v>0.497495826377296</v>
      </c>
      <c r="L92" s="25" t="n">
        <v>-0.000650815817370289</v>
      </c>
      <c r="M92" s="25" t="n">
        <v>-0.000641149475571379</v>
      </c>
    </row>
    <row r="93" customFormat="false" ht="15" hidden="false" customHeight="false" outlineLevel="0" collapsed="false">
      <c r="A93" s="6" t="s">
        <v>47</v>
      </c>
      <c r="B93" s="6" t="s">
        <v>4709</v>
      </c>
      <c r="C93" s="6" t="s">
        <v>4704</v>
      </c>
      <c r="D93" s="6" t="s">
        <v>149</v>
      </c>
      <c r="E93" s="6" t="n">
        <v>2373</v>
      </c>
      <c r="F93" s="24" t="n">
        <v>0.518752633796882</v>
      </c>
      <c r="G93" s="24" t="n">
        <v>0.498635060684201</v>
      </c>
      <c r="H93" s="24" t="n">
        <v>0.538809588551154</v>
      </c>
      <c r="I93" s="24" t="n">
        <v>0.543611111111111</v>
      </c>
      <c r="J93" s="24" t="n">
        <v>0.530054644808743</v>
      </c>
      <c r="K93" s="24" t="n">
        <v>0.505494505494506</v>
      </c>
      <c r="L93" s="25" t="n">
        <v>0.00228043863853895</v>
      </c>
      <c r="M93" s="25" t="n">
        <v>0.00124222141612443</v>
      </c>
    </row>
    <row r="94" customFormat="false" ht="15" hidden="false" customHeight="false" outlineLevel="0" collapsed="false">
      <c r="A94" s="6" t="s">
        <v>47</v>
      </c>
      <c r="B94" s="6" t="s">
        <v>4709</v>
      </c>
      <c r="C94" s="6" t="s">
        <v>4704</v>
      </c>
      <c r="D94" s="6" t="s">
        <v>4281</v>
      </c>
      <c r="E94" s="6" t="n">
        <v>2197</v>
      </c>
      <c r="F94" s="24" t="n">
        <v>0.512061902594447</v>
      </c>
      <c r="G94" s="24" t="n">
        <v>0.491157242141817</v>
      </c>
      <c r="H94" s="24" t="n">
        <v>0.532924454605463</v>
      </c>
      <c r="I94" s="24" t="n">
        <v>0.646761984861228</v>
      </c>
      <c r="J94" s="24" t="n">
        <v>0.442073170731707</v>
      </c>
      <c r="K94" s="24" t="n">
        <v>0.615819209039548</v>
      </c>
      <c r="L94" s="25" t="n">
        <v>0.0259516411942377</v>
      </c>
      <c r="M94" s="25" t="n">
        <v>0.031698471241122</v>
      </c>
    </row>
    <row r="95" customFormat="false" ht="15" hidden="false" customHeight="false" outlineLevel="0" collapsed="false">
      <c r="A95" s="6" t="s">
        <v>42</v>
      </c>
      <c r="B95" s="6" t="s">
        <v>4699</v>
      </c>
      <c r="C95" s="6" t="s">
        <v>4703</v>
      </c>
      <c r="D95" s="6" t="s">
        <v>154</v>
      </c>
      <c r="E95" s="6" t="n">
        <v>1364</v>
      </c>
      <c r="F95" s="24" t="n">
        <v>0.504398826979472</v>
      </c>
      <c r="G95" s="24" t="n">
        <v>0.477889795830259</v>
      </c>
      <c r="H95" s="24" t="n">
        <v>0.530883149809061</v>
      </c>
      <c r="I95" s="24" t="n">
        <v>0.546111111111111</v>
      </c>
      <c r="J95" s="24" t="n">
        <v>0.492264416315049</v>
      </c>
      <c r="K95" s="24" t="n">
        <v>0.517611026033691</v>
      </c>
      <c r="L95" s="25" t="n">
        <v>-0.00112479279328433</v>
      </c>
      <c r="M95" s="25" t="n">
        <v>-0.00230716626209779</v>
      </c>
    </row>
    <row r="96" customFormat="false" ht="15" hidden="false" customHeight="false" outlineLevel="0" collapsed="false">
      <c r="A96" s="6" t="s">
        <v>42</v>
      </c>
      <c r="B96" s="6" t="s">
        <v>4699</v>
      </c>
      <c r="C96" s="6" t="s">
        <v>4703</v>
      </c>
      <c r="D96" s="6" t="s">
        <v>149</v>
      </c>
      <c r="E96" s="6" t="n">
        <v>1296</v>
      </c>
      <c r="F96" s="24" t="n">
        <v>0.513117283950617</v>
      </c>
      <c r="G96" s="24" t="n">
        <v>0.48590587895333</v>
      </c>
      <c r="H96" s="24" t="n">
        <v>0.540251154334418</v>
      </c>
      <c r="I96" s="24" t="n">
        <v>0.503193557345182</v>
      </c>
      <c r="J96" s="24" t="n">
        <v>0.508746355685131</v>
      </c>
      <c r="K96" s="24" t="n">
        <v>0.518032786885246</v>
      </c>
      <c r="L96" s="25" t="n">
        <v>0.00316521695191941</v>
      </c>
      <c r="M96" s="25" t="n">
        <v>0.00540016114394776</v>
      </c>
    </row>
    <row r="97" customFormat="false" ht="15" hidden="false" customHeight="false" outlineLevel="0" collapsed="false">
      <c r="A97" s="6" t="s">
        <v>42</v>
      </c>
      <c r="B97" s="6" t="s">
        <v>4699</v>
      </c>
      <c r="C97" s="6" t="s">
        <v>4703</v>
      </c>
      <c r="D97" s="6" t="s">
        <v>4281</v>
      </c>
      <c r="E97" s="6" t="n">
        <v>1846</v>
      </c>
      <c r="F97" s="24" t="n">
        <v>0.531960996749729</v>
      </c>
      <c r="G97" s="24" t="n">
        <v>0.509155611903032</v>
      </c>
      <c r="H97" s="24" t="n">
        <v>0.554633633619396</v>
      </c>
      <c r="I97" s="24" t="n">
        <v>0.503923766816144</v>
      </c>
      <c r="J97" s="24" t="n">
        <v>0.530179445350734</v>
      </c>
      <c r="K97" s="24" t="n">
        <v>0.535483870967742</v>
      </c>
      <c r="L97" s="25" t="n">
        <v>0.0161492017549556</v>
      </c>
      <c r="M97" s="25" t="n">
        <v>-0.029744783797243</v>
      </c>
    </row>
    <row r="98" customFormat="false" ht="15" hidden="false" customHeight="false" outlineLevel="0" collapsed="false">
      <c r="A98" s="6" t="s">
        <v>45</v>
      </c>
      <c r="B98" s="6" t="s">
        <v>4696</v>
      </c>
      <c r="C98" s="6" t="s">
        <v>4704</v>
      </c>
      <c r="D98" s="6" t="s">
        <v>154</v>
      </c>
      <c r="E98" s="6" t="n">
        <v>1639</v>
      </c>
      <c r="F98" s="24" t="n">
        <v>0.48993288590604</v>
      </c>
      <c r="G98" s="24" t="n">
        <v>0.46578287916575</v>
      </c>
      <c r="H98" s="24" t="n">
        <v>0.514129974270637</v>
      </c>
      <c r="I98" s="24" t="n">
        <v>0.528563505268996</v>
      </c>
      <c r="J98" s="24" t="n">
        <v>0.468864468864469</v>
      </c>
      <c r="K98" s="24" t="n">
        <v>0.510975609756098</v>
      </c>
      <c r="L98" s="25" t="n">
        <v>-0.000817277691254325</v>
      </c>
      <c r="M98" s="25" t="n">
        <v>-0.000153464708974034</v>
      </c>
    </row>
    <row r="99" customFormat="false" ht="15" hidden="false" customHeight="false" outlineLevel="0" collapsed="false">
      <c r="A99" s="6" t="s">
        <v>45</v>
      </c>
      <c r="B99" s="6" t="s">
        <v>4696</v>
      </c>
      <c r="C99" s="6" t="s">
        <v>4704</v>
      </c>
      <c r="D99" s="6" t="s">
        <v>149</v>
      </c>
      <c r="E99" s="6" t="n">
        <v>1567</v>
      </c>
      <c r="F99" s="24" t="n">
        <v>0.478621569878749</v>
      </c>
      <c r="G99" s="24" t="n">
        <v>0.453970066629694</v>
      </c>
      <c r="H99" s="24" t="n">
        <v>0.503377637938354</v>
      </c>
      <c r="I99" s="24" t="n">
        <v>0.524007771301693</v>
      </c>
      <c r="J99" s="24" t="n">
        <v>0.497013142174433</v>
      </c>
      <c r="K99" s="24" t="n">
        <v>0.457534246575343</v>
      </c>
      <c r="L99" s="25" t="n">
        <v>0.000589937047768631</v>
      </c>
      <c r="M99" s="25" t="n">
        <v>0.00427299009106624</v>
      </c>
    </row>
    <row r="100" customFormat="false" ht="15" hidden="false" customHeight="false" outlineLevel="0" collapsed="false">
      <c r="A100" s="6" t="s">
        <v>45</v>
      </c>
      <c r="B100" s="6" t="s">
        <v>4696</v>
      </c>
      <c r="C100" s="6" t="s">
        <v>4704</v>
      </c>
      <c r="D100" s="6" t="s">
        <v>4281</v>
      </c>
      <c r="E100" s="6" t="n">
        <v>2030</v>
      </c>
      <c r="F100" s="24" t="n">
        <v>0.408374384236453</v>
      </c>
      <c r="G100" s="24" t="n">
        <v>0.387184339601688</v>
      </c>
      <c r="H100" s="24" t="n">
        <v>0.429910561004141</v>
      </c>
      <c r="I100" s="24" t="n">
        <v>0.595571748878924</v>
      </c>
      <c r="J100" s="24" t="n">
        <v>0.375595805529075</v>
      </c>
      <c r="K100" s="24" t="n">
        <v>0.443425076452599</v>
      </c>
      <c r="L100" s="25" t="n">
        <v>0.0189079641151638</v>
      </c>
      <c r="M100" s="25" t="n">
        <v>0.0295854124232826</v>
      </c>
    </row>
    <row r="101" customFormat="false" ht="15" hidden="false" customHeight="false" outlineLevel="0" collapsed="false">
      <c r="A101" s="6" t="s">
        <v>50</v>
      </c>
      <c r="B101" s="6" t="s">
        <v>4710</v>
      </c>
      <c r="C101" s="6" t="s">
        <v>4691</v>
      </c>
      <c r="D101" s="6" t="s">
        <v>154</v>
      </c>
      <c r="E101" s="6" t="n">
        <v>1767</v>
      </c>
      <c r="F101" s="24" t="n">
        <v>0.533106960950764</v>
      </c>
      <c r="G101" s="24" t="n">
        <v>0.509797920205042</v>
      </c>
      <c r="H101" s="24" t="n">
        <v>0.55627235959864</v>
      </c>
      <c r="I101" s="24" t="n">
        <v>0.643968871595331</v>
      </c>
      <c r="J101" s="24" t="n">
        <v>0.506585612968592</v>
      </c>
      <c r="K101" s="24" t="n">
        <v>0.566666666666667</v>
      </c>
      <c r="L101" s="25" t="n">
        <v>-0.0036230134595219</v>
      </c>
      <c r="M101" s="25" t="n">
        <v>-0.00338972618331934</v>
      </c>
    </row>
    <row r="102" customFormat="false" ht="15" hidden="false" customHeight="false" outlineLevel="0" collapsed="false">
      <c r="A102" s="6" t="s">
        <v>50</v>
      </c>
      <c r="B102" s="6" t="s">
        <v>4710</v>
      </c>
      <c r="C102" s="6" t="s">
        <v>4691</v>
      </c>
      <c r="D102" s="6" t="s">
        <v>149</v>
      </c>
      <c r="E102" s="6" t="n">
        <v>2334</v>
      </c>
      <c r="F102" s="24" t="n">
        <v>0.483718937446444</v>
      </c>
      <c r="G102" s="24" t="n">
        <v>0.463488064765941</v>
      </c>
      <c r="H102" s="24" t="n">
        <v>0.504003317028274</v>
      </c>
      <c r="I102" s="24" t="n">
        <v>0.544219573052398</v>
      </c>
      <c r="J102" s="24" t="n">
        <v>0.492671009771987</v>
      </c>
      <c r="K102" s="24" t="n">
        <v>0.47377938517179</v>
      </c>
      <c r="L102" s="25" t="n">
        <v>-0.00455580910994024</v>
      </c>
      <c r="M102" s="25" t="n">
        <v>-0.00306282356538387</v>
      </c>
    </row>
    <row r="103" customFormat="false" ht="15" hidden="false" customHeight="false" outlineLevel="0" collapsed="false">
      <c r="A103" s="6" t="s">
        <v>50</v>
      </c>
      <c r="B103" s="6" t="s">
        <v>4710</v>
      </c>
      <c r="C103" s="6" t="s">
        <v>4691</v>
      </c>
      <c r="D103" s="6" t="s">
        <v>4281</v>
      </c>
      <c r="E103" s="6" t="n">
        <v>2601</v>
      </c>
      <c r="F103" s="24" t="n">
        <v>0.469819300269127</v>
      </c>
      <c r="G103" s="24" t="n">
        <v>0.45069725963185</v>
      </c>
      <c r="H103" s="24" t="n">
        <v>0.489030361425799</v>
      </c>
      <c r="I103" s="24" t="n">
        <v>0.546013986013986</v>
      </c>
      <c r="J103" s="24" t="n">
        <v>0.489665003563792</v>
      </c>
      <c r="K103" s="24" t="n">
        <v>0.446577629382304</v>
      </c>
      <c r="L103" s="25" t="n">
        <v>-0.0148137757411725</v>
      </c>
      <c r="M103" s="25" t="n">
        <v>0.0256989780432649</v>
      </c>
    </row>
    <row r="104" customFormat="false" ht="15" hidden="false" customHeight="false" outlineLevel="0" collapsed="false">
      <c r="A104" s="6" t="s">
        <v>51</v>
      </c>
      <c r="B104" s="6" t="s">
        <v>4711</v>
      </c>
      <c r="C104" s="6" t="s">
        <v>4691</v>
      </c>
      <c r="D104" s="6" t="s">
        <v>154</v>
      </c>
      <c r="E104" s="6" t="n">
        <v>535</v>
      </c>
      <c r="F104" s="24" t="n">
        <v>0.510280373831776</v>
      </c>
      <c r="G104" s="24" t="n">
        <v>0.467998150113533</v>
      </c>
      <c r="H104" s="24" t="n">
        <v>0.552416012415863</v>
      </c>
      <c r="I104" s="24" t="n">
        <v>0.532523850823938</v>
      </c>
      <c r="J104" s="24"/>
      <c r="K104" s="24" t="n">
        <v>0.510280373831776</v>
      </c>
      <c r="L104" s="25" t="n">
        <v>-0.00302433395153545</v>
      </c>
      <c r="M104" s="25" t="n">
        <v>-0.000271039612108919</v>
      </c>
    </row>
    <row r="105" customFormat="false" ht="15" hidden="false" customHeight="false" outlineLevel="0" collapsed="false">
      <c r="A105" s="6" t="s">
        <v>51</v>
      </c>
      <c r="B105" s="6" t="s">
        <v>4711</v>
      </c>
      <c r="C105" s="6" t="s">
        <v>4691</v>
      </c>
      <c r="D105" s="6" t="s">
        <v>149</v>
      </c>
      <c r="E105" s="6" t="n">
        <v>437</v>
      </c>
      <c r="F105" s="24" t="n">
        <v>0.549199084668192</v>
      </c>
      <c r="G105" s="24" t="n">
        <v>0.50231983167187</v>
      </c>
      <c r="H105" s="24" t="n">
        <v>0.595220872290732</v>
      </c>
      <c r="I105" s="24" t="n">
        <v>0.522491349480969</v>
      </c>
      <c r="J105" s="24"/>
      <c r="K105" s="24" t="n">
        <v>0.549199084668192</v>
      </c>
      <c r="L105" s="25" t="n">
        <v>0.0158906436833845</v>
      </c>
      <c r="M105" s="25" t="n">
        <v>-0.00442354800751931</v>
      </c>
    </row>
    <row r="106" customFormat="false" ht="15" hidden="false" customHeight="false" outlineLevel="0" collapsed="false">
      <c r="A106" s="6" t="s">
        <v>51</v>
      </c>
      <c r="B106" s="6" t="s">
        <v>4711</v>
      </c>
      <c r="C106" s="6" t="s">
        <v>4691</v>
      </c>
      <c r="D106" s="6" t="s">
        <v>4281</v>
      </c>
      <c r="E106" s="6" t="n">
        <v>458</v>
      </c>
      <c r="F106" s="24" t="n">
        <v>0.534934497816594</v>
      </c>
      <c r="G106" s="24" t="n">
        <v>0.489152882222778</v>
      </c>
      <c r="H106" s="24" t="n">
        <v>0.580134942867037</v>
      </c>
      <c r="I106" s="24" t="n">
        <v>0.59982174688057</v>
      </c>
      <c r="J106" s="24"/>
      <c r="K106" s="24" t="n">
        <v>0.534934497816594</v>
      </c>
      <c r="L106" s="25" t="n">
        <v>0.0152869557718269</v>
      </c>
      <c r="M106" s="25" t="n">
        <v>0.00352595505187292</v>
      </c>
    </row>
    <row r="107" customFormat="false" ht="15" hidden="false" customHeight="false" outlineLevel="0" collapsed="false">
      <c r="A107" s="6" t="s">
        <v>52</v>
      </c>
      <c r="B107" s="6" t="s">
        <v>4712</v>
      </c>
      <c r="C107" s="6" t="s">
        <v>4691</v>
      </c>
      <c r="D107" s="6" t="s">
        <v>154</v>
      </c>
      <c r="E107" s="6" t="n">
        <v>2717</v>
      </c>
      <c r="F107" s="24" t="n">
        <v>0.485093853514906</v>
      </c>
      <c r="G107" s="24" t="n">
        <v>0.466335502941482</v>
      </c>
      <c r="H107" s="24" t="n">
        <v>0.503894296544089</v>
      </c>
      <c r="I107" s="24" t="n">
        <v>0.524149286498354</v>
      </c>
      <c r="J107" s="24" t="n">
        <v>0.497597803706246</v>
      </c>
      <c r="K107" s="24" t="n">
        <v>0.470634920634921</v>
      </c>
      <c r="L107" s="25" t="n">
        <v>-0.000452519578273264</v>
      </c>
      <c r="M107" s="25" t="n">
        <v>0.00141928532092984</v>
      </c>
    </row>
    <row r="108" customFormat="false" ht="15" hidden="false" customHeight="false" outlineLevel="0" collapsed="false">
      <c r="A108" s="6" t="s">
        <v>52</v>
      </c>
      <c r="B108" s="6" t="s">
        <v>4712</v>
      </c>
      <c r="C108" s="6" t="s">
        <v>4691</v>
      </c>
      <c r="D108" s="6" t="s">
        <v>149</v>
      </c>
      <c r="E108" s="6" t="n">
        <v>2778</v>
      </c>
      <c r="F108" s="24" t="n">
        <v>0.503959683225342</v>
      </c>
      <c r="G108" s="24" t="n">
        <v>0.485374190818016</v>
      </c>
      <c r="H108" s="24" t="n">
        <v>0.522534239338468</v>
      </c>
      <c r="I108" s="24" t="n">
        <v>0.520536692223439</v>
      </c>
      <c r="J108" s="24" t="n">
        <v>0.520208604954368</v>
      </c>
      <c r="K108" s="24" t="n">
        <v>0.483922829581994</v>
      </c>
      <c r="L108" s="25" t="n">
        <v>0.000632094044445738</v>
      </c>
      <c r="M108" s="25" t="n">
        <v>0.000906945420069622</v>
      </c>
    </row>
    <row r="109" customFormat="false" ht="15" hidden="false" customHeight="false" outlineLevel="0" collapsed="false">
      <c r="A109" s="6" t="s">
        <v>52</v>
      </c>
      <c r="B109" s="6" t="s">
        <v>4712</v>
      </c>
      <c r="C109" s="6" t="s">
        <v>4691</v>
      </c>
      <c r="D109" s="6" t="s">
        <v>4281</v>
      </c>
      <c r="E109" s="6" t="n">
        <v>3192</v>
      </c>
      <c r="F109" s="24" t="n">
        <v>0.466478696741855</v>
      </c>
      <c r="G109" s="24" t="n">
        <v>0.449222563672732</v>
      </c>
      <c r="H109" s="24" t="n">
        <v>0.483815419185993</v>
      </c>
      <c r="I109" s="24" t="n">
        <v>0.525124240750966</v>
      </c>
      <c r="J109" s="24" t="n">
        <v>0.479314420803783</v>
      </c>
      <c r="K109" s="24" t="n">
        <v>0.452</v>
      </c>
      <c r="L109" s="25" t="n">
        <v>-0.00392125679396474</v>
      </c>
      <c r="M109" s="25" t="n">
        <v>0.0140932717051936</v>
      </c>
    </row>
    <row r="110" customFormat="false" ht="15" hidden="false" customHeight="false" outlineLevel="0" collapsed="false">
      <c r="A110" s="6" t="s">
        <v>53</v>
      </c>
      <c r="B110" s="6" t="s">
        <v>4713</v>
      </c>
      <c r="C110" s="6" t="s">
        <v>4691</v>
      </c>
      <c r="D110" s="6" t="s">
        <v>154</v>
      </c>
      <c r="E110" s="6" t="n">
        <v>2158</v>
      </c>
      <c r="F110" s="24" t="n">
        <v>0.509731232622799</v>
      </c>
      <c r="G110" s="24" t="n">
        <v>0.488640665954251</v>
      </c>
      <c r="H110" s="24" t="n">
        <v>0.530787214423294</v>
      </c>
      <c r="I110" s="24" t="n">
        <v>0.50154130702836</v>
      </c>
      <c r="J110" s="24" t="n">
        <v>0.505840071877808</v>
      </c>
      <c r="K110" s="24" t="n">
        <v>0.513875598086124</v>
      </c>
      <c r="L110" s="25" t="n">
        <v>0.00204810025878734</v>
      </c>
      <c r="M110" s="25" t="n">
        <v>0.00505792045602731</v>
      </c>
    </row>
    <row r="111" customFormat="false" ht="15" hidden="false" customHeight="false" outlineLevel="0" collapsed="false">
      <c r="A111" s="6" t="s">
        <v>53</v>
      </c>
      <c r="B111" s="6" t="s">
        <v>4713</v>
      </c>
      <c r="C111" s="6" t="s">
        <v>4691</v>
      </c>
      <c r="D111" s="6" t="s">
        <v>149</v>
      </c>
      <c r="E111" s="6" t="n">
        <v>2252</v>
      </c>
      <c r="F111" s="24" t="n">
        <v>0.501332149200711</v>
      </c>
      <c r="G111" s="24" t="n">
        <v>0.480696507272652</v>
      </c>
      <c r="H111" s="24" t="n">
        <v>0.521963253944625</v>
      </c>
      <c r="I111" s="24" t="n">
        <v>0.502211166390271</v>
      </c>
      <c r="J111" s="24" t="n">
        <v>0.514792899408284</v>
      </c>
      <c r="K111" s="24" t="n">
        <v>0.48643592142189</v>
      </c>
      <c r="L111" s="25" t="n">
        <v>0.00997135244085392</v>
      </c>
      <c r="M111" s="25" t="n">
        <v>0.0176352155281277</v>
      </c>
    </row>
    <row r="112" customFormat="false" ht="15" hidden="false" customHeight="false" outlineLevel="0" collapsed="false">
      <c r="A112" s="6" t="s">
        <v>53</v>
      </c>
      <c r="B112" s="6" t="s">
        <v>4713</v>
      </c>
      <c r="C112" s="6" t="s">
        <v>4691</v>
      </c>
      <c r="D112" s="6" t="s">
        <v>4281</v>
      </c>
      <c r="E112" s="6" t="n">
        <v>2902</v>
      </c>
      <c r="F112" s="24" t="n">
        <v>0.476567884217781</v>
      </c>
      <c r="G112" s="24" t="n">
        <v>0.458438968328891</v>
      </c>
      <c r="H112" s="24" t="n">
        <v>0.494758755869152</v>
      </c>
      <c r="I112" s="24" t="n">
        <v>0.514238319048936</v>
      </c>
      <c r="J112" s="24" t="n">
        <v>0.475722188076214</v>
      </c>
      <c r="K112" s="24" t="n">
        <v>0.477647058823529</v>
      </c>
      <c r="L112" s="25" t="n">
        <v>0.0410264841433354</v>
      </c>
      <c r="M112" s="25" t="n">
        <v>0.0577108347102272</v>
      </c>
    </row>
    <row r="113" customFormat="false" ht="15" hidden="false" customHeight="false" outlineLevel="0" collapsed="false">
      <c r="A113" s="6" t="s">
        <v>54</v>
      </c>
      <c r="B113" s="6" t="s">
        <v>4697</v>
      </c>
      <c r="C113" s="6" t="s">
        <v>4704</v>
      </c>
      <c r="D113" s="6" t="s">
        <v>154</v>
      </c>
      <c r="E113" s="6" t="n">
        <v>2312</v>
      </c>
      <c r="F113" s="24" t="n">
        <v>0.511245674740484</v>
      </c>
      <c r="G113" s="24" t="n">
        <v>0.490867761431839</v>
      </c>
      <c r="H113" s="24" t="n">
        <v>0.531586278602678</v>
      </c>
      <c r="I113" s="24" t="n">
        <v>0.533130024951483</v>
      </c>
      <c r="J113" s="24" t="n">
        <v>0.504084967320261</v>
      </c>
      <c r="K113" s="24" t="n">
        <v>0.519301470588235</v>
      </c>
      <c r="L113" s="25" t="n">
        <v>-0.00128972882014025</v>
      </c>
      <c r="M113" s="25" t="n">
        <v>-0.00141662519854141</v>
      </c>
    </row>
    <row r="114" customFormat="false" ht="15" hidden="false" customHeight="false" outlineLevel="0" collapsed="false">
      <c r="A114" s="6" t="s">
        <v>54</v>
      </c>
      <c r="B114" s="6" t="s">
        <v>4697</v>
      </c>
      <c r="C114" s="6" t="s">
        <v>4704</v>
      </c>
      <c r="D114" s="6" t="s">
        <v>149</v>
      </c>
      <c r="E114" s="6" t="n">
        <v>1834</v>
      </c>
      <c r="F114" s="24" t="n">
        <v>0.478735005452563</v>
      </c>
      <c r="G114" s="24" t="n">
        <v>0.45594031619799</v>
      </c>
      <c r="H114" s="24" t="n">
        <v>0.501618594210829</v>
      </c>
      <c r="I114" s="24" t="n">
        <v>0.511524576506526</v>
      </c>
      <c r="J114" s="24" t="n">
        <v>0.5</v>
      </c>
      <c r="K114" s="24" t="n">
        <v>0.456858407079646</v>
      </c>
      <c r="L114" s="25" t="n">
        <v>-0.00267315114563457</v>
      </c>
      <c r="M114" s="25" t="n">
        <v>0.00163295983756006</v>
      </c>
    </row>
    <row r="115" customFormat="false" ht="15" hidden="false" customHeight="false" outlineLevel="0" collapsed="false">
      <c r="A115" s="6" t="s">
        <v>54</v>
      </c>
      <c r="B115" s="6" t="s">
        <v>4697</v>
      </c>
      <c r="C115" s="6" t="s">
        <v>4704</v>
      </c>
      <c r="D115" s="6" t="s">
        <v>4281</v>
      </c>
      <c r="E115" s="6" t="n">
        <v>2617</v>
      </c>
      <c r="F115" s="24" t="n">
        <v>0.445548337791364</v>
      </c>
      <c r="G115" s="24" t="n">
        <v>0.426599029850148</v>
      </c>
      <c r="H115" s="24" t="n">
        <v>0.46465727499483</v>
      </c>
      <c r="I115" s="24" t="n">
        <v>0.568105381165919</v>
      </c>
      <c r="J115" s="24" t="n">
        <v>0.490808823529412</v>
      </c>
      <c r="K115" s="24" t="n">
        <v>0.370558375634518</v>
      </c>
      <c r="L115" s="25" t="n">
        <v>-0.0977312284623695</v>
      </c>
      <c r="M115" s="25" t="n">
        <v>0.0240804585632502</v>
      </c>
    </row>
    <row r="116" customFormat="false" ht="15" hidden="false" customHeight="false" outlineLevel="0" collapsed="false">
      <c r="A116" s="6" t="s">
        <v>55</v>
      </c>
      <c r="B116" s="6" t="s">
        <v>4697</v>
      </c>
      <c r="C116" s="6" t="s">
        <v>4704</v>
      </c>
      <c r="D116" s="6" t="s">
        <v>154</v>
      </c>
      <c r="E116" s="6" t="n">
        <v>685</v>
      </c>
      <c r="F116" s="24" t="n">
        <v>0.497810218978102</v>
      </c>
      <c r="G116" s="24" t="n">
        <v>0.460483468322995</v>
      </c>
      <c r="H116" s="24" t="n">
        <v>0.5351613940082</v>
      </c>
      <c r="I116" s="24" t="n">
        <v>0.533130024951483</v>
      </c>
      <c r="J116" s="24" t="n">
        <v>0.524355300859599</v>
      </c>
      <c r="K116" s="24" t="n">
        <v>0.470238095238095</v>
      </c>
      <c r="L116" s="25" t="n">
        <v>-0.00131386535959644</v>
      </c>
      <c r="M116" s="25" t="n">
        <v>-0.00104080504859195</v>
      </c>
    </row>
    <row r="117" customFormat="false" ht="15" hidden="false" customHeight="false" outlineLevel="0" collapsed="false">
      <c r="A117" s="6" t="s">
        <v>55</v>
      </c>
      <c r="B117" s="6" t="s">
        <v>4697</v>
      </c>
      <c r="C117" s="6" t="s">
        <v>4704</v>
      </c>
      <c r="D117" s="6" t="s">
        <v>149</v>
      </c>
      <c r="E117" s="6" t="n">
        <v>731</v>
      </c>
      <c r="F117" s="24" t="n">
        <v>0.471956224350205</v>
      </c>
      <c r="G117" s="24" t="n">
        <v>0.436007701472402</v>
      </c>
      <c r="H117" s="24" t="n">
        <v>0.508197961353437</v>
      </c>
      <c r="I117" s="24" t="n">
        <v>0.511524576506526</v>
      </c>
      <c r="J117" s="24" t="n">
        <v>0.512747875354108</v>
      </c>
      <c r="K117" s="24" t="n">
        <v>0.433862433862434</v>
      </c>
      <c r="L117" s="25" t="n">
        <v>-0.0121525279942114</v>
      </c>
      <c r="M117" s="25" t="n">
        <v>4.22831975131756E-005</v>
      </c>
    </row>
    <row r="118" customFormat="false" ht="15" hidden="false" customHeight="false" outlineLevel="0" collapsed="false">
      <c r="A118" s="6" t="s">
        <v>55</v>
      </c>
      <c r="B118" s="6" t="s">
        <v>4697</v>
      </c>
      <c r="C118" s="6" t="s">
        <v>4704</v>
      </c>
      <c r="D118" s="6" t="s">
        <v>4281</v>
      </c>
      <c r="E118" s="6" t="n">
        <v>270</v>
      </c>
      <c r="F118" s="24" t="n">
        <v>0.425925925925926</v>
      </c>
      <c r="G118" s="24" t="n">
        <v>0.368388268138684</v>
      </c>
      <c r="H118" s="24" t="n">
        <v>0.485541887104347</v>
      </c>
      <c r="I118" s="24" t="n">
        <v>0.568105381165919</v>
      </c>
      <c r="J118" s="24" t="n">
        <v>0.415686274509804</v>
      </c>
      <c r="K118" s="24" t="n">
        <v>0.6</v>
      </c>
      <c r="L118" s="25" t="n">
        <v>-0.0429958310428731</v>
      </c>
      <c r="M118" s="25" t="n">
        <v>-0.0175558453662636</v>
      </c>
    </row>
    <row r="119" customFormat="false" ht="15" hidden="false" customHeight="false" outlineLevel="0" collapsed="false">
      <c r="A119" s="6" t="s">
        <v>56</v>
      </c>
      <c r="B119" s="6" t="s">
        <v>4697</v>
      </c>
      <c r="C119" s="6" t="s">
        <v>4703</v>
      </c>
      <c r="D119" s="6" t="s">
        <v>154</v>
      </c>
      <c r="E119" s="6" t="n">
        <v>2501</v>
      </c>
      <c r="F119" s="24" t="n">
        <v>0.492203118752499</v>
      </c>
      <c r="G119" s="24" t="n">
        <v>0.472636405353844</v>
      </c>
      <c r="H119" s="24" t="n">
        <v>0.511793747834286</v>
      </c>
      <c r="I119" s="24" t="n">
        <v>0.533130024951483</v>
      </c>
      <c r="J119" s="24" t="n">
        <v>0.476260043827611</v>
      </c>
      <c r="K119" s="24" t="n">
        <v>0.511484098939929</v>
      </c>
      <c r="L119" s="25" t="n">
        <v>-0.00136776294459771</v>
      </c>
      <c r="M119" s="25" t="n">
        <v>-0.00102001820668864</v>
      </c>
    </row>
    <row r="120" customFormat="false" ht="15" hidden="false" customHeight="false" outlineLevel="0" collapsed="false">
      <c r="A120" s="6" t="s">
        <v>56</v>
      </c>
      <c r="B120" s="6" t="s">
        <v>4697</v>
      </c>
      <c r="C120" s="6" t="s">
        <v>4703</v>
      </c>
      <c r="D120" s="6" t="s">
        <v>149</v>
      </c>
      <c r="E120" s="6" t="n">
        <v>1636</v>
      </c>
      <c r="F120" s="24" t="n">
        <v>0.504278728606357</v>
      </c>
      <c r="G120" s="24" t="n">
        <v>0.480069045166142</v>
      </c>
      <c r="H120" s="24" t="n">
        <v>0.528468364788576</v>
      </c>
      <c r="I120" s="24" t="n">
        <v>0.511524576506526</v>
      </c>
      <c r="J120" s="24" t="n">
        <v>0.523316062176166</v>
      </c>
      <c r="K120" s="24" t="n">
        <v>0.476900149031297</v>
      </c>
      <c r="L120" s="25" t="n">
        <v>-0.00135237624675388</v>
      </c>
      <c r="M120" s="25" t="n">
        <v>-0.000331749433797072</v>
      </c>
    </row>
    <row r="121" customFormat="false" ht="15" hidden="false" customHeight="false" outlineLevel="0" collapsed="false">
      <c r="A121" s="6" t="s">
        <v>56</v>
      </c>
      <c r="B121" s="6" t="s">
        <v>4697</v>
      </c>
      <c r="C121" s="6" t="s">
        <v>4703</v>
      </c>
      <c r="D121" s="6" t="s">
        <v>4281</v>
      </c>
      <c r="E121" s="6" t="n">
        <v>3054</v>
      </c>
      <c r="F121" s="24" t="n">
        <v>0.440406024885396</v>
      </c>
      <c r="G121" s="24" t="n">
        <v>0.422884824665018</v>
      </c>
      <c r="H121" s="24" t="n">
        <v>0.45807696223722</v>
      </c>
      <c r="I121" s="24" t="n">
        <v>0.568105381165919</v>
      </c>
      <c r="J121" s="24" t="n">
        <v>0.526041666666667</v>
      </c>
      <c r="K121" s="24" t="n">
        <v>0.328808446455505</v>
      </c>
      <c r="L121" s="25" t="n">
        <v>0.0384846159137128</v>
      </c>
      <c r="M121" s="25" t="n">
        <v>0.0221845316256996</v>
      </c>
    </row>
    <row r="123" customFormat="false" ht="15" hidden="false" customHeight="false" outlineLevel="0" collapsed="false">
      <c r="A123" s="3" t="s">
        <v>4714</v>
      </c>
    </row>
    <row r="124" customFormat="false" ht="26.85" hidden="false" customHeight="false" outlineLevel="0" collapsed="false">
      <c r="A124" s="5" t="s">
        <v>4715</v>
      </c>
      <c r="B124" s="5" t="s">
        <v>153</v>
      </c>
      <c r="C124" s="5" t="s">
        <v>152</v>
      </c>
      <c r="D124" s="5" t="s">
        <v>4683</v>
      </c>
      <c r="E124" s="5" t="s">
        <v>4684</v>
      </c>
      <c r="F124" s="5" t="s">
        <v>4716</v>
      </c>
    </row>
    <row r="125" customFormat="false" ht="15" hidden="false" customHeight="false" outlineLevel="0" collapsed="false">
      <c r="A125" s="6" t="s">
        <v>4717</v>
      </c>
      <c r="B125" s="6" t="n">
        <v>29919</v>
      </c>
      <c r="C125" s="24" t="n">
        <v>0.50593268491594</v>
      </c>
      <c r="D125" s="24" t="n">
        <v>0.500266999239086</v>
      </c>
      <c r="E125" s="24" t="n">
        <v>0.511596847274742</v>
      </c>
      <c r="F125" s="26" t="n">
        <v>0.040134104032749</v>
      </c>
    </row>
    <row r="126" customFormat="false" ht="15" hidden="false" customHeight="false" outlineLevel="0" collapsed="false">
      <c r="A126" s="6" t="s">
        <v>4718</v>
      </c>
      <c r="B126" s="6" t="n">
        <v>13443</v>
      </c>
      <c r="C126" s="24" t="n">
        <v>0.511567358476531</v>
      </c>
      <c r="D126" s="24" t="n">
        <v>0.503115162714707</v>
      </c>
      <c r="E126" s="24" t="n">
        <v>0.520012944929545</v>
      </c>
      <c r="F126" s="26" t="n">
        <v>0.00731111882902354</v>
      </c>
    </row>
    <row r="127" customFormat="false" ht="15" hidden="false" customHeight="false" outlineLevel="0" collapsed="false">
      <c r="A127" s="6" t="s">
        <v>4719</v>
      </c>
      <c r="B127" s="6" t="n">
        <v>24767</v>
      </c>
      <c r="C127" s="24" t="n">
        <v>0.501958250898373</v>
      </c>
      <c r="D127" s="24" t="n">
        <v>0.495731327173288</v>
      </c>
      <c r="E127" s="24" t="n">
        <v>0.508184567230559</v>
      </c>
      <c r="F127" s="26" t="n">
        <v>0.537656398578327</v>
      </c>
    </row>
    <row r="128" customFormat="false" ht="15" hidden="false" customHeight="false" outlineLevel="0" collapsed="false">
      <c r="A128" s="6" t="s">
        <v>4720</v>
      </c>
      <c r="B128" s="6" t="n">
        <v>35679</v>
      </c>
      <c r="C128" s="24" t="n">
        <v>0.588385324700804</v>
      </c>
      <c r="D128" s="24" t="n">
        <v>0.583269542986177</v>
      </c>
      <c r="E128" s="24" t="n">
        <v>0.593482075360273</v>
      </c>
      <c r="F128" s="26" t="n">
        <v>1.91473049286479E-244</v>
      </c>
    </row>
    <row r="129" customFormat="false" ht="15" hidden="false" customHeight="false" outlineLevel="0" collapsed="false">
      <c r="A129" s="6" t="s">
        <v>4721</v>
      </c>
      <c r="B129" s="6" t="n">
        <v>10618</v>
      </c>
      <c r="C129" s="24" t="n">
        <v>0.537954417027689</v>
      </c>
      <c r="D129" s="24" t="n">
        <v>0.528459305393741</v>
      </c>
      <c r="E129" s="24" t="n">
        <v>0.547422074723997</v>
      </c>
      <c r="F129" s="26" t="n">
        <v>5.2021349751147E-015</v>
      </c>
    </row>
    <row r="130" customFormat="false" ht="15" hidden="false" customHeight="false" outlineLevel="0" collapsed="false">
      <c r="A130" s="6" t="s">
        <v>4722</v>
      </c>
      <c r="B130" s="6" t="n">
        <v>3528</v>
      </c>
      <c r="C130" s="24" t="n">
        <v>0.491780045351474</v>
      </c>
      <c r="D130" s="24" t="n">
        <v>0.47530102968346</v>
      </c>
      <c r="E130" s="24" t="n">
        <v>0.508276942782803</v>
      </c>
      <c r="F130" s="26" t="n">
        <v>0.328826261404353</v>
      </c>
    </row>
    <row r="131" customFormat="false" ht="15" hidden="false" customHeight="false" outlineLevel="0" collapsed="false">
      <c r="A131" s="6" t="s">
        <v>4723</v>
      </c>
      <c r="B131" s="6" t="n">
        <v>3520</v>
      </c>
      <c r="C131" s="24" t="n">
        <v>0.475852272727273</v>
      </c>
      <c r="D131" s="24" t="n">
        <v>0.459388950777375</v>
      </c>
      <c r="E131" s="24" t="n">
        <v>0.492368245119285</v>
      </c>
      <c r="F131" s="26" t="n">
        <v>0.00416549333741494</v>
      </c>
    </row>
    <row r="132" customFormat="false" ht="15" hidden="false" customHeight="false" outlineLevel="0" collapsed="false">
      <c r="A132" s="6" t="s">
        <v>4724</v>
      </c>
      <c r="B132" s="6" t="n">
        <v>6207</v>
      </c>
      <c r="C132" s="24" t="n">
        <v>0.472853230223941</v>
      </c>
      <c r="D132" s="24" t="n">
        <v>0.460453206745839</v>
      </c>
      <c r="E132" s="24" t="n">
        <v>0.485286835956264</v>
      </c>
      <c r="F132" s="26" t="n">
        <v>1.89012234927589E-005</v>
      </c>
    </row>
    <row r="133" customFormat="false" ht="15" hidden="false" customHeight="false" outlineLevel="0" collapsed="false">
      <c r="A133" s="6" t="s">
        <v>4725</v>
      </c>
      <c r="B133" s="6" t="n">
        <v>5694</v>
      </c>
      <c r="C133" s="24" t="n">
        <v>0.498068141903758</v>
      </c>
      <c r="D133" s="24" t="n">
        <v>0.485086665819655</v>
      </c>
      <c r="E133" s="24" t="n">
        <v>0.511052222983431</v>
      </c>
      <c r="F133" s="26" t="n">
        <v>0.770630245484011</v>
      </c>
    </row>
    <row r="134" customFormat="false" ht="15" hidden="false" customHeight="false" outlineLevel="0" collapsed="false">
      <c r="A134" s="6" t="s">
        <v>4726</v>
      </c>
      <c r="B134" s="6" t="n">
        <v>308</v>
      </c>
      <c r="C134" s="24" t="n">
        <v>0.603896103896104</v>
      </c>
      <c r="D134" s="24" t="n">
        <v>0.548316754065809</v>
      </c>
      <c r="E134" s="24" t="n">
        <v>0.656915645973186</v>
      </c>
      <c r="F134" s="26" t="n">
        <v>0.00026559001939264</v>
      </c>
    </row>
    <row r="135" customFormat="false" ht="15" hidden="false" customHeight="false" outlineLevel="0" collapsed="false">
      <c r="A135" s="6" t="s">
        <v>4727</v>
      </c>
      <c r="B135" s="6" t="n">
        <v>17849</v>
      </c>
      <c r="C135" s="24" t="n">
        <v>0.500588268250322</v>
      </c>
      <c r="D135" s="24" t="n">
        <v>0.493253614874109</v>
      </c>
      <c r="E135" s="24" t="n">
        <v>0.507922668457728</v>
      </c>
      <c r="F135" s="26" t="n">
        <v>0.875098692914349</v>
      </c>
    </row>
    <row r="136" customFormat="false" ht="15" hidden="false" customHeight="false" outlineLevel="0" collapsed="false">
      <c r="A136" s="6" t="s">
        <v>4728</v>
      </c>
      <c r="B136" s="6" t="n">
        <v>17717</v>
      </c>
      <c r="C136" s="24" t="n">
        <v>0.526499971778518</v>
      </c>
      <c r="D136" s="24" t="n">
        <v>0.51914277352896</v>
      </c>
      <c r="E136" s="24" t="n">
        <v>0.533845680473134</v>
      </c>
      <c r="F136" s="26" t="n">
        <v>1.73136238345713E-012</v>
      </c>
    </row>
    <row r="137" customFormat="false" ht="15" hidden="false" customHeight="false" outlineLevel="0" collapsed="false">
      <c r="A137" s="6" t="s">
        <v>4729</v>
      </c>
      <c r="B137" s="6" t="n">
        <v>17697</v>
      </c>
      <c r="C137" s="24" t="n">
        <v>0.502910097756682</v>
      </c>
      <c r="D137" s="24" t="n">
        <v>0.495543634955886</v>
      </c>
      <c r="E137" s="24" t="n">
        <v>0.510275297404935</v>
      </c>
      <c r="F137" s="26" t="n">
        <v>0.438776445797095</v>
      </c>
    </row>
    <row r="138" customFormat="false" ht="15" hidden="false" customHeight="false" outlineLevel="0" collapsed="false">
      <c r="A138" s="6" t="s">
        <v>4730</v>
      </c>
      <c r="B138" s="6" t="n">
        <v>14773</v>
      </c>
      <c r="C138" s="24" t="n">
        <v>0.511947471738983</v>
      </c>
      <c r="D138" s="24" t="n">
        <v>0.503884806693688</v>
      </c>
      <c r="E138" s="24" t="n">
        <v>0.52000392471154</v>
      </c>
      <c r="F138" s="26" t="n">
        <v>0.00368084077072085</v>
      </c>
    </row>
    <row r="139" customFormat="false" ht="15" hidden="false" customHeight="false" outlineLevel="0" collapsed="false">
      <c r="A139" s="6" t="s">
        <v>4731</v>
      </c>
      <c r="B139" s="6" t="n">
        <v>44006</v>
      </c>
      <c r="C139" s="24" t="n">
        <v>0.451779302822342</v>
      </c>
      <c r="D139" s="24" t="n">
        <v>0.447133840969834</v>
      </c>
      <c r="E139" s="24" t="n">
        <v>0.456433183002367</v>
      </c>
      <c r="F139" s="26" t="n">
        <v>5.21304405211757E-091</v>
      </c>
    </row>
    <row r="140" customFormat="false" ht="15" hidden="false" customHeight="false" outlineLevel="0" collapsed="false">
      <c r="A140" s="6" t="s">
        <v>4732</v>
      </c>
      <c r="B140" s="6" t="n">
        <v>29937</v>
      </c>
      <c r="C140" s="24" t="n">
        <v>0.496275511908341</v>
      </c>
      <c r="D140" s="24" t="n">
        <v>0.490612527323577</v>
      </c>
      <c r="E140" s="24" t="n">
        <v>0.501939452244025</v>
      </c>
      <c r="F140" s="26" t="n">
        <v>0.197451943720929</v>
      </c>
    </row>
    <row r="141" customFormat="false" ht="15" hidden="false" customHeight="false" outlineLevel="0" collapsed="false">
      <c r="A141" s="6" t="s">
        <v>4733</v>
      </c>
      <c r="B141" s="6" t="n">
        <v>12720</v>
      </c>
      <c r="C141" s="24" t="n">
        <v>0.489701257861635</v>
      </c>
      <c r="D141" s="24" t="n">
        <v>0.481018267152496</v>
      </c>
      <c r="E141" s="24" t="n">
        <v>0.498390467391952</v>
      </c>
      <c r="F141" s="26" t="n">
        <v>0.0201767026612268</v>
      </c>
    </row>
    <row r="143" customFormat="false" ht="15" hidden="false" customHeight="false" outlineLevel="0" collapsed="false">
      <c r="A143" s="3" t="s">
        <v>4734</v>
      </c>
    </row>
    <row r="144" customFormat="false" ht="15" hidden="false" customHeight="false" outlineLevel="0" collapsed="false">
      <c r="A144" s="3" t="s">
        <v>4735</v>
      </c>
      <c r="B144" s="2" t="s">
        <v>4736</v>
      </c>
    </row>
    <row r="145" customFormat="false" ht="15" hidden="false" customHeight="false" outlineLevel="0" collapsed="false">
      <c r="A145" s="3" t="s">
        <v>4737</v>
      </c>
      <c r="B145" s="2" t="s">
        <v>4738</v>
      </c>
    </row>
    <row r="146" customFormat="false" ht="15" hidden="false" customHeight="false" outlineLevel="0" collapsed="false">
      <c r="A146" s="3" t="s">
        <v>4739</v>
      </c>
      <c r="B146" s="2" t="s">
        <v>4740</v>
      </c>
    </row>
    <row r="147" customFormat="false" ht="15" hidden="false" customHeight="false" outlineLevel="0" collapsed="false">
      <c r="A147" s="3" t="s">
        <v>4741</v>
      </c>
      <c r="B147" s="2" t="s">
        <v>4742</v>
      </c>
    </row>
    <row r="148" customFormat="false" ht="15" hidden="false" customHeight="false" outlineLevel="0" collapsed="false">
      <c r="B148" s="6" t="s">
        <v>4743</v>
      </c>
      <c r="C148" s="6" t="n">
        <v>87</v>
      </c>
      <c r="D148" s="27" t="n">
        <v>0.100106914512927</v>
      </c>
      <c r="E148" s="28" t="n">
        <v>0.64367816091954</v>
      </c>
    </row>
    <row r="149" customFormat="false" ht="15" hidden="false" customHeight="false" outlineLevel="0" collapsed="false">
      <c r="B149" s="6" t="s">
        <v>4744</v>
      </c>
      <c r="C149" s="6" t="n">
        <v>363</v>
      </c>
      <c r="D149" s="27" t="n">
        <v>0.100886880292076</v>
      </c>
      <c r="E149" s="28" t="n">
        <v>0.798898071625344</v>
      </c>
    </row>
    <row r="150" customFormat="false" ht="15" hidden="false" customHeight="false" outlineLevel="0" collapsed="false">
      <c r="B150" s="6" t="s">
        <v>4745</v>
      </c>
      <c r="C150" s="6" t="n">
        <v>24</v>
      </c>
      <c r="D150" s="27" t="n">
        <v>0.0777949541938953</v>
      </c>
      <c r="E150" s="28" t="n">
        <v>0.666666666666667</v>
      </c>
    </row>
    <row r="151" customFormat="false" ht="15" hidden="false" customHeight="false" outlineLevel="0" collapsed="false">
      <c r="B151" s="6" t="s">
        <v>4746</v>
      </c>
      <c r="C151" s="6" t="n">
        <v>80</v>
      </c>
      <c r="D151" s="27" t="n">
        <v>0.0548312923235024</v>
      </c>
      <c r="E151" s="28" t="n">
        <v>0.5875</v>
      </c>
    </row>
    <row r="152" customFormat="false" ht="15" hidden="false" customHeight="false" outlineLevel="0" collapsed="false">
      <c r="B152" s="6" t="s">
        <v>4747</v>
      </c>
      <c r="C152" s="6" t="n">
        <v>343</v>
      </c>
      <c r="D152" s="27" t="n">
        <v>0.0991984797861944</v>
      </c>
      <c r="E152" s="28" t="n">
        <v>0.705539358600583</v>
      </c>
    </row>
    <row r="153" customFormat="false" ht="15" hidden="false" customHeight="false" outlineLevel="0" collapsed="false">
      <c r="B153" s="6" t="s">
        <v>4748</v>
      </c>
      <c r="C153" s="6" t="n">
        <v>21</v>
      </c>
      <c r="D153" s="27" t="n">
        <v>0.108384690550395</v>
      </c>
      <c r="E153" s="28" t="n">
        <v>0.714285714285714</v>
      </c>
    </row>
    <row r="154" customFormat="false" ht="15" hidden="false" customHeight="false" outlineLevel="0" collapsed="false">
      <c r="B154" s="6" t="s">
        <v>4749</v>
      </c>
      <c r="C154" s="6" t="n">
        <v>151</v>
      </c>
      <c r="D154" s="27" t="n">
        <v>0.0216739718532896</v>
      </c>
      <c r="E154" s="28" t="n">
        <v>0.582781456953642</v>
      </c>
    </row>
    <row r="155" customFormat="false" ht="15" hidden="false" customHeight="false" outlineLevel="0" collapsed="false">
      <c r="B155" s="6" t="s">
        <v>4750</v>
      </c>
      <c r="C155" s="6" t="n">
        <v>223</v>
      </c>
      <c r="D155" s="27" t="n">
        <v>0.0241502952507445</v>
      </c>
      <c r="E155" s="28" t="n">
        <v>0.569506726457399</v>
      </c>
    </row>
    <row r="156" customFormat="false" ht="15" hidden="false" customHeight="false" outlineLevel="0" collapsed="false">
      <c r="B156" s="6" t="s">
        <v>4751</v>
      </c>
      <c r="C156" s="6" t="n">
        <v>40</v>
      </c>
      <c r="D156" s="27" t="n">
        <v>-0.0448623461666241</v>
      </c>
      <c r="E156" s="28" t="n">
        <v>0.45</v>
      </c>
    </row>
    <row r="157" customFormat="false" ht="15" hidden="false" customHeight="false" outlineLevel="0" collapsed="false">
      <c r="B157" s="6" t="s">
        <v>4752</v>
      </c>
      <c r="C157" s="6" t="n">
        <v>46</v>
      </c>
      <c r="D157" s="27" t="n">
        <v>0.0829343718920899</v>
      </c>
      <c r="E157" s="28" t="n">
        <v>0.782608695652174</v>
      </c>
    </row>
    <row r="158" customFormat="false" ht="15" hidden="false" customHeight="false" outlineLevel="0" collapsed="false">
      <c r="B158" s="6" t="s">
        <v>4753</v>
      </c>
      <c r="C158" s="6" t="n">
        <v>157</v>
      </c>
      <c r="D158" s="27" t="n">
        <v>0.00714675215120442</v>
      </c>
      <c r="E158" s="28" t="n">
        <v>0.45859872611465</v>
      </c>
    </row>
    <row r="159" customFormat="false" ht="15" hidden="false" customHeight="false" outlineLevel="0" collapsed="false">
      <c r="B159" s="6" t="s">
        <v>4754</v>
      </c>
      <c r="C159" s="6" t="n">
        <v>280</v>
      </c>
      <c r="D159" s="27" t="n">
        <v>0.0726769730757221</v>
      </c>
      <c r="E159" s="28" t="n">
        <v>0.596428571428571</v>
      </c>
    </row>
    <row r="160" customFormat="false" ht="15" hidden="false" customHeight="false" outlineLevel="0" collapsed="false">
      <c r="B160" s="6" t="s">
        <v>4755</v>
      </c>
      <c r="C160" s="6" t="n">
        <v>42</v>
      </c>
      <c r="D160" s="27" t="n">
        <v>0.0287593117750389</v>
      </c>
      <c r="E160" s="28" t="n">
        <v>0.547619047619048</v>
      </c>
    </row>
    <row r="161" customFormat="false" ht="15" hidden="false" customHeight="false" outlineLevel="0" collapsed="false">
      <c r="B161" s="6" t="s">
        <v>4756</v>
      </c>
      <c r="C161" s="6" t="n">
        <v>1857</v>
      </c>
      <c r="D161" s="27" t="n">
        <v>0.0652903796219881</v>
      </c>
      <c r="E161" s="28" t="n">
        <v>0.644588045234249</v>
      </c>
    </row>
  </sheetData>
  <conditionalFormatting sqref="F5:F122">
    <cfRule type="expression" priority="2" aboveAverage="0" equalAverage="0" bottom="0" percent="0" rank="0" text="" dxfId="0">
      <formula>AND(ISNUMBER(F5),G5&gt;0.5)</formula>
    </cfRule>
    <cfRule type="expression" priority="3" aboveAverage="0" equalAverage="0" bottom="0" percent="0" rank="0" text="" dxfId="1">
      <formula>AND(ISNUMBER(F5),H5&lt;0.5)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2026-10-26T12:31:14Z</dcterms:created>
  <dc:creator>openpyxl</dc:creator>
  <dc:description/>
  <dc:language>en-US</dc:language>
  <cp:lastModifiedBy/>
  <dcterms:modified xsi:type="dcterms:W3CDTF">2026-10-26T12:31:17Z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